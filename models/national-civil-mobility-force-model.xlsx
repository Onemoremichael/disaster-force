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467fed843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5ad3e045db8a4edd"/>
    <x:sheet xmlns:r="http://schemas.openxmlformats.org/officeDocument/2006/relationships" name="Controls" sheetId="2" r:id="R52305fe03bef416a"/>
    <x:sheet xmlns:r="http://schemas.openxmlformats.org/officeDocument/2006/relationships" name="Source Boundary" sheetId="3" r:id="R9480cd66f4b24f05"/>
    <x:sheet xmlns:r="http://schemas.openxmlformats.org/officeDocument/2006/relationships" name="Cohort Rules" sheetId="4" r:id="Re4e8504db50449cb"/>
    <x:sheet xmlns:r="http://schemas.openxmlformats.org/officeDocument/2006/relationships" name="County Cohorts" sheetId="5" r:id="R89a841542bbb4f04"/>
    <x:sheet xmlns:r="http://schemas.openxmlformats.org/officeDocument/2006/relationships" name="SCA Cohorts" sheetId="6" r:id="R6b40498d22064896"/>
    <x:sheet xmlns:r="http://schemas.openxmlformats.org/officeDocument/2006/relationships" name="National Cohorts" sheetId="7" r:id="Rc2b814338ef24780"/>
    <x:sheet xmlns:r="http://schemas.openxmlformats.org/officeDocument/2006/relationships" name="Network Sources" sheetId="8" r:id="R610dc1b3adc44c13"/>
    <x:sheet xmlns:r="http://schemas.openxmlformats.org/officeDocument/2006/relationships" name="Network by SCA" sheetId="9" r:id="R7ed326f3351a43bf"/>
    <x:sheet xmlns:r="http://schemas.openxmlformats.org/officeDocument/2006/relationships" name="Network Edges" sheetId="10" r:id="R351fa05f7ddd4ab5"/>
    <x:sheet xmlns:r="http://schemas.openxmlformats.org/officeDocument/2006/relationships" name="Mode Paths" sheetId="11" r:id="R717f9ee3fe4c452f"/>
    <x:sheet xmlns:r="http://schemas.openxmlformats.org/officeDocument/2006/relationships" name="Fleet Classes" sheetId="12" r:id="R7da6a9fbf4074dcf"/>
    <x:sheet xmlns:r="http://schemas.openxmlformats.org/officeDocument/2006/relationships" name="Architectures" sheetId="13" r:id="R92794158cc2d4d72"/>
    <x:sheet xmlns:r="http://schemas.openxmlformats.org/officeDocument/2006/relationships" name="Reference Case" sheetId="14" r:id="R72406bf69fb34118"/>
    <x:sheet xmlns:r="http://schemas.openxmlformats.org/officeDocument/2006/relationships" name="Simulation Summary" sheetId="15" r:id="R5df5cb93b8dd4e0a"/>
    <x:sheet xmlns:r="http://schemas.openxmlformats.org/officeDocument/2006/relationships" name="Trials" sheetId="16" r:id="R0d1c685616ad4c0d"/>
    <x:sheet xmlns:r="http://schemas.openxmlformats.org/officeDocument/2006/relationships" name="Finance" sheetId="17" r:id="Ref306ef83d914202"/>
    <x:sheet xmlns:r="http://schemas.openxmlformats.org/officeDocument/2006/relationships" name="Workforce" sheetId="18" r:id="Rb83fd6a2c36d45d2"/>
    <x:sheet xmlns:r="http://schemas.openxmlformats.org/officeDocument/2006/relationships" name="Technology Programs" sheetId="19" r:id="R7e0dc3363f85458a"/>
    <x:sheet xmlns:r="http://schemas.openxmlformats.org/officeDocument/2006/relationships" name="Rights Chain" sheetId="20" r:id="R72bcf92ce6f3431b"/>
    <x:sheet xmlns:r="http://schemas.openxmlformats.org/officeDocument/2006/relationships" name="Evidence Gates" sheetId="21" r:id="R6bf0baebf3c84d3c"/>
    <x:sheet xmlns:r="http://schemas.openxmlformats.org/officeDocument/2006/relationships" name="Sources" sheetId="22" r:id="Rb4d4efdde5454162"/>
    <x:sheet xmlns:r="http://schemas.openxmlformats.org/officeDocument/2006/relationships" name="Checks" sheetId="23" r:id="Rf73cfe093a32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%"/>
    <x:numFmt numFmtId="201" formatCode="0.00"/>
    <x:numFmt numFmtId="202" formatCode="#,#0"/>
    <x:numFmt numFmtId="203" formatCode="0.000"/>
    <x:numFmt numFmtId="204" formatCode="#,#0.00"/>
    <x:numFmt numFmtId="205" formatCode="#,#0.0"/>
    <x:numFmt numFmtId="206" formatCode="0.00x"/>
    <x:numFmt numFmtId="207" formatCode="$#,#0.0"/>
    <x:numFmt numFmtId="208" formatCode="$#,#0"/>
    <x:numFmt numFmtId="209" formatCode="#,#0.00000"/>
  </x:numFmts>
  <x:fonts count="11">
    <x:font>
      <x:sz val="11"/>
      <x:name val="Carlito"/>
    </x:font>
    <x:font>
      <x:b/>
      <x:sz val="18"/>
      <x:color rgb="FF17242E"/>
      <x:name val="Aptos"/>
    </x:font>
    <x:font>
      <x:i/>
      <x:sz val="10"/>
      <x:color rgb="FF60717D"/>
      <x:name val="Aptos"/>
    </x:font>
    <x:font>
      <x:b/>
      <x:sz val="9"/>
      <x:color rgb="FFFFFFFF"/>
      <x:name val="Aptos"/>
    </x:font>
    <x:font>
      <x:sz val="9"/>
      <x:color rgb="FF17242E"/>
      <x:name val="Aptos"/>
    </x:font>
    <x:font>
      <x:sz val="9"/>
      <x:color rgb="FF0000FF"/>
      <x:name val="Aptos"/>
    </x:font>
    <x:font>
      <x:i/>
      <x:sz val="9"/>
      <x:color rgb="FF17242E"/>
      <x:name val="Aptos"/>
    </x:font>
    <x:font>
      <x:b/>
      <x:sz val="11"/>
      <x:color rgb="FF143B57"/>
      <x:name val="Aptos"/>
    </x:font>
    <x:font>
      <x:b/>
      <x:sz val="10"/>
      <x:color rgb="FF17242E"/>
      <x:name val="Aptos"/>
    </x:font>
    <x:font>
      <x:sz val="10"/>
      <x:color rgb="FF17242E"/>
      <x:name val="Aptos"/>
    </x:font>
    <x:font>
      <x:sz val="1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43B57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EF2"/>
      </x:patternFill>
    </x:fill>
    <x:fill>
      <x:patternFill patternType="solid">
        <x:fgColor rgb="FFDDEBF7"/>
      </x:patternFill>
    </x:fill>
  </x:fills>
  <x:borders count="7">
    <x:border/>
    <x:border>
      <x:bottom style="thin">
        <x:color rgb="FF143B57"/>
      </x:bottom>
    </x:border>
    <x:border>
      <x:right style="thin">
        <x:color rgb="FFFFFFFF"/>
      </x:right>
      <x:bottom style="thin">
        <x:color rgb="FF143B57"/>
      </x:bottom>
    </x:border>
    <x:border>
      <x:left style="thin">
        <x:color rgb="FFFFFFFF"/>
      </x:left>
      <x:right style="thin">
        <x:color rgb="FFFFFFFF"/>
      </x:right>
      <x:bottom style="thin">
        <x:color rgb="FF143B57"/>
      </x:bottom>
    </x:border>
    <x:border>
      <x:left style="thin">
        <x:color rgb="FFFFFFFF"/>
      </x:left>
      <x:bottom style="thin">
        <x:color rgb="FF143B57"/>
      </x:bottom>
    </x:border>
    <x:border>
      <x:bottom style="thin">
        <x:color rgb="FFD4DEE4"/>
      </x:bottom>
    </x:border>
    <x:border>
      <x:top style="thin">
        <x:color rgb="FFD4DEE4"/>
      </x:top>
      <x:bottom style="thin">
        <x:color rgb="FFD4DEE4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201" fontId="4" fillId="3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3" borderId="6" xfId="0" applyNumberFormat="1" applyFont="1" applyFill="1" applyBorder="1" applyAlignment="1">
      <x:alignment vertical="top" wrapText="1"/>
    </x:xf>
    <x:xf numFmtId="202" fontId="4" fillId="3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2" fontId="4" fillId="3" borderId="6" xfId="0" applyNumberFormat="1" applyFont="1" applyFill="1" applyBorder="1" applyAlignment="1">
      <x:alignment vertical="top" wrapText="1"/>
    </x:xf>
    <x:xf numFmtId="200" fontId="4" fillId="3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0" fontId="4" fillId="3" borderId="6" xfId="0" applyNumberFormat="1" applyFont="1" applyFill="1" applyBorder="1" applyAlignment="1">
      <x:alignment vertical="top" wrapText="1"/>
    </x:xf>
    <x:xf numFmtId="203" fontId="4" fillId="3" borderId="5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203" fontId="4" fillId="3" borderId="6" xfId="0" applyNumberFormat="1" applyFont="1" applyFill="1" applyBorder="1" applyAlignment="1">
      <x:alignment vertical="top" wrapText="1"/>
    </x:xf>
    <x:xf numFmtId="204" fontId="4" fillId="3" borderId="5" xfId="0" applyNumberFormat="1" applyFont="1" applyFill="1" applyBorder="1" applyAlignment="1">
      <x:alignment vertical="top" wrapText="1"/>
    </x:xf>
    <x:xf numFmtId="204" fontId="4" fillId="0" borderId="6" xfId="0" applyNumberFormat="1" applyFont="1" applyFill="1" applyBorder="1" applyAlignment="1">
      <x:alignment vertical="top" wrapText="1"/>
    </x:xf>
    <x:xf numFmtId="204" fontId="4" fillId="3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204" fontId="8" fillId="7" borderId="0" xfId="0" applyNumberFormat="1" applyFont="1" applyFill="1" applyBorder="1"/>
    <x:xf numFmtId="205" fontId="4" fillId="3" borderId="5" xfId="0" applyNumberFormat="1" applyFont="1" applyFill="1" applyBorder="1" applyAlignment="1">
      <x:alignment vertical="top" wrapText="1"/>
    </x:xf>
    <x:xf numFmtId="205" fontId="4" fillId="0" borderId="6" xfId="0" applyNumberFormat="1" applyFont="1" applyFill="1" applyBorder="1" applyAlignment="1">
      <x:alignment vertical="top" wrapText="1"/>
    </x:xf>
    <x:xf numFmtId="205" fontId="4" fillId="3" borderId="6" xfId="0" applyNumberFormat="1" applyFont="1" applyFill="1" applyBorder="1" applyAlignment="1">
      <x:alignment vertical="top" wrapText="1"/>
    </x:xf>
    <x:xf numFmtId="204" fontId="5" fillId="4" borderId="5" xfId="0" applyNumberFormat="1" applyFont="1" applyFill="1" applyBorder="1" applyAlignment="1">
      <x:alignment vertical="top" wrapText="1"/>
    </x:xf>
    <x:xf numFmtId="204" fontId="5" fillId="4" borderId="6" xfId="0" applyNumberFormat="1" applyFont="1" applyFill="1" applyBorder="1" applyAlignment="1">
      <x:alignment vertical="top" wrapText="1"/>
    </x:xf>
    <x:xf numFmtId="206" fontId="4" fillId="3" borderId="5" xfId="0" applyNumberFormat="1" applyFont="1" applyFill="1" applyBorder="1" applyAlignment="1">
      <x:alignment vertical="top" wrapText="1"/>
    </x:xf>
    <x:xf numFmtId="206" fontId="4" fillId="0" borderId="6" xfId="0" applyNumberFormat="1" applyFont="1" applyFill="1" applyBorder="1" applyAlignment="1">
      <x:alignment vertical="top" wrapText="1"/>
    </x:xf>
    <x:xf numFmtId="206" fontId="4" fillId="3" borderId="6" xfId="0" applyNumberFormat="1" applyFont="1" applyFill="1" applyBorder="1" applyAlignment="1">
      <x:alignment vertical="top" wrapText="1"/>
    </x:xf>
    <x:xf numFmtId="207" fontId="4" fillId="3" borderId="5" xfId="0" applyNumberFormat="1" applyFont="1" applyFill="1" applyBorder="1" applyAlignment="1">
      <x:alignment vertical="top" wrapText="1"/>
    </x:xf>
    <x:xf numFmtId="207" fontId="4" fillId="0" borderId="6" xfId="0" applyNumberFormat="1" applyFont="1" applyFill="1" applyBorder="1" applyAlignment="1">
      <x:alignment vertical="top" wrapText="1"/>
    </x:xf>
    <x:xf numFmtId="207" fontId="4" fillId="3" borderId="6" xfId="0" applyNumberFormat="1" applyFont="1" applyFill="1" applyBorder="1" applyAlignment="1">
      <x:alignment vertical="top" wrapText="1"/>
    </x:xf>
    <x:xf numFmtId="208" fontId="4" fillId="3" borderId="5" xfId="0" applyNumberFormat="1" applyFont="1" applyFill="1" applyBorder="1" applyAlignment="1">
      <x:alignment vertical="top" wrapText="1"/>
    </x:xf>
    <x:xf numFmtId="208" fontId="4" fillId="0" borderId="6" xfId="0" applyNumberFormat="1" applyFont="1" applyFill="1" applyBorder="1" applyAlignment="1">
      <x:alignment vertical="top" wrapText="1"/>
    </x:xf>
    <x:xf numFmtId="208" fontId="4" fillId="3" borderId="6" xfId="0" applyNumberFormat="1" applyFont="1" applyFill="1" applyBorder="1" applyAlignment="1">
      <x:alignment vertical="top" wrapText="1"/>
    </x:xf>
    <x:xf numFmtId="202" fontId="8" fillId="7" borderId="0" xfId="0" applyNumberFormat="1" applyFont="1" applyFill="1" applyBorder="1"/>
    <x:xf numFmtId="209" fontId="4" fillId="3" borderId="5" xfId="0" applyNumberFormat="1" applyFont="1" applyFill="1" applyBorder="1" applyAlignment="1">
      <x:alignment vertical="top" wrapText="1"/>
    </x:xf>
    <x:xf numFmtId="209" fontId="4" fillId="0" borderId="6" xfId="0" applyNumberFormat="1" applyFont="1" applyFill="1" applyBorder="1" applyAlignment="1">
      <x:alignment vertical="top" wrapText="1"/>
    </x:xf>
    <x:xf numFmtId="209" fontId="4" fillId="3" borderId="6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5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/>
    </x:xf>
    <x:xf numFmtId="204" fontId="8" fillId="7" borderId="0" xfId="0" applyNumberFormat="1" applyFont="1" applyFill="1" applyBorder="1" applyAlignment="1">
      <x:alignment vertical="top"/>
    </x:xf>
    <x:xf numFmtId="202" fontId="8" fillId="7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29c1f8d6e4000" /><Relationship Type="http://schemas.openxmlformats.org/officeDocument/2006/relationships/theme" Target="/xl/theme/theme1.xml" Id="Re82c39ea22f84b90" /><Relationship Type="http://schemas.openxmlformats.org/officeDocument/2006/relationships/sharedStrings" Target="/xl/sharedStrings.xml" Id="R55eb41851d4f460c" /><Relationship Type="http://schemas.openxmlformats.org/officeDocument/2006/relationships/worksheet" Target="/xl/worksheets/sheet1.xml" Id="R5ad3e045db8a4edd" /><Relationship Type="http://schemas.openxmlformats.org/officeDocument/2006/relationships/worksheet" Target="/xl/worksheets/sheet2.xml" Id="R52305fe03bef416a" /><Relationship Type="http://schemas.openxmlformats.org/officeDocument/2006/relationships/worksheet" Target="/xl/worksheets/sheet3.xml" Id="R9480cd66f4b24f05" /><Relationship Type="http://schemas.openxmlformats.org/officeDocument/2006/relationships/worksheet" Target="/xl/worksheets/sheet4.xml" Id="Re4e8504db50449cb" /><Relationship Type="http://schemas.openxmlformats.org/officeDocument/2006/relationships/worksheet" Target="/xl/worksheets/sheet5.xml" Id="R89a841542bbb4f04" /><Relationship Type="http://schemas.openxmlformats.org/officeDocument/2006/relationships/worksheet" Target="/xl/worksheets/sheet6.xml" Id="R6b40498d22064896" /><Relationship Type="http://schemas.openxmlformats.org/officeDocument/2006/relationships/worksheet" Target="/xl/worksheets/sheet7.xml" Id="Rc2b814338ef24780" /><Relationship Type="http://schemas.openxmlformats.org/officeDocument/2006/relationships/worksheet" Target="/xl/worksheets/sheet8.xml" Id="R610dc1b3adc44c13" /><Relationship Type="http://schemas.openxmlformats.org/officeDocument/2006/relationships/worksheet" Target="/xl/worksheets/sheet9.xml" Id="R7ed326f3351a43bf" /><Relationship Type="http://schemas.openxmlformats.org/officeDocument/2006/relationships/worksheet" Target="/xl/worksheets/sheet10.xml" Id="R351fa05f7ddd4ab5" /><Relationship Type="http://schemas.openxmlformats.org/officeDocument/2006/relationships/worksheet" Target="/xl/worksheets/sheet11.xml" Id="R717f9ee3fe4c452f" /><Relationship Type="http://schemas.openxmlformats.org/officeDocument/2006/relationships/worksheet" Target="/xl/worksheets/sheet12.xml" Id="R7da6a9fbf4074dcf" /><Relationship Type="http://schemas.openxmlformats.org/officeDocument/2006/relationships/worksheet" Target="/xl/worksheets/sheet13.xml" Id="R92794158cc2d4d72" /><Relationship Type="http://schemas.openxmlformats.org/officeDocument/2006/relationships/worksheet" Target="/xl/worksheets/sheet14.xml" Id="R72406bf69fb34118" /><Relationship Type="http://schemas.openxmlformats.org/officeDocument/2006/relationships/worksheet" Target="/xl/worksheets/sheet15.xml" Id="R5df5cb93b8dd4e0a" /><Relationship Type="http://schemas.openxmlformats.org/officeDocument/2006/relationships/worksheet" Target="/xl/worksheets/sheet16.xml" Id="R0d1c685616ad4c0d" /><Relationship Type="http://schemas.openxmlformats.org/officeDocument/2006/relationships/worksheet" Target="/xl/worksheets/sheet17.xml" Id="Ref306ef83d914202" /><Relationship Type="http://schemas.openxmlformats.org/officeDocument/2006/relationships/worksheet" Target="/xl/worksheets/sheet18.xml" Id="Rb83fd6a2c36d45d2" /><Relationship Type="http://schemas.openxmlformats.org/officeDocument/2006/relationships/worksheet" Target="/xl/worksheets/sheet19.xml" Id="R7e0dc3363f85458a" /><Relationship Type="http://schemas.openxmlformats.org/officeDocument/2006/relationships/worksheet" Target="/xl/worksheets/sheet20.xml" Id="R72bcf92ce6f3431b" /><Relationship Type="http://schemas.openxmlformats.org/officeDocument/2006/relationships/worksheet" Target="/xl/worksheets/sheet21.xml" Id="R6bf0baebf3c84d3c" /><Relationship Type="http://schemas.openxmlformats.org/officeDocument/2006/relationships/worksheet" Target="/xl/worksheets/sheet22.xml" Id="Rb4d4efdde5454162" /><Relationship Type="http://schemas.openxmlformats.org/officeDocument/2006/relationships/worksheet" Target="/xl/worksheets/sheet23.xml" Id="Rf73cfe093a3245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18" hidden="0" customWidth="1"/>
    <x:col min="4" max="4" width="43" hidden="0" customWidth="1"/>
    <x:col min="5" max="5" width="4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9" customHeight="1">
      <x:c r="A1" s="83" t="str">
        <x:v>National Civil Mobility and Continuity Force</x:v>
      </x:c>
      <x:c r="B1" s="83"/>
      <x:c r="C1" s="83"/>
      <x:c r="D1" s="83"/>
      <x:c r="E1" s="83"/>
      <x:c r="F1" s="83"/>
      <x:c r="G1" s="83"/>
      <x:c r="H1" s="83"/>
    </x:row>
    <x:row r="2" ht="31" customHeight="1">
      <x:c r="A2" s="84" t="str">
        <x:v>Pass 33. Actual network gates and human-compatible movement turn a corridor assumption into a standing force, industrial base and assurance problem.</x:v>
      </x:c>
      <x:c r="B2" s="84"/>
      <x:c r="C2" s="84"/>
      <x:c r="D2" s="84"/>
      <x:c r="E2" s="84"/>
      <x:c r="F2" s="84"/>
      <x:c r="G2" s="84"/>
      <x:c r="H2" s="84"/>
    </x:row>
    <x:row r="3">
      <x:c r="A3" s="85"/>
      <x:c r="B3" s="85"/>
      <x:c r="C3" s="85"/>
      <x:c r="D3" s="85"/>
      <x:c r="E3" s="85"/>
      <x:c r="F3" s="85"/>
      <x:c r="G3" s="85"/>
      <x:c r="H3" s="85"/>
    </x:row>
    <x:row r="4" ht="32" customHeight="1">
      <x:c r="A4" s="86" t="str">
        <x:v>Decision measure</x:v>
      </x:c>
      <x:c r="B4" s="87" t="str">
        <x:v>Result</x:v>
      </x:c>
      <x:c r="C4" s="87" t="str">
        <x:v>Unit</x:v>
      </x:c>
      <x:c r="D4" s="87" t="str">
        <x:v>Finding</x:v>
      </x:c>
      <x:c r="E4" s="87" t="str">
        <x:v>Consequence</x:v>
      </x:c>
      <x:c r="F4" s="87" t="str">
        <x:v>Evidence state</x:v>
      </x:c>
      <x:c r="G4" s="87" t="str">
        <x:v>Owner</x:v>
      </x:c>
      <x:c r="H4" s="88" t="str">
        <x:v>Gate</x:v>
      </x:c>
    </x:row>
    <x:row r="5" ht="32.400001525878906" hidden="0" customHeight="1">
      <x:c r="A5" s="28" t="str">
        <x:v>Population represented</x:v>
      </x:c>
      <x:c r="B5" s="51" t="n">
        <x:f>SUM('SCA Cohorts'!B5:B36)</x:f>
        <x:v>344969692</x:v>
      </x:c>
      <x:c r="C5" s="28" t="str">
        <x:v>people</x:v>
      </x:c>
      <x:c r="D5" s="28" t="str">
        <x:v>2025 national denominator</x:v>
      </x:c>
      <x:c r="E5" s="28" t="str">
        <x:v>cohort rates applied to demand</x:v>
      </x:c>
      <x:c r="F5" s="28" t="str">
        <x:v>official + constructed</x:v>
      </x:c>
      <x:c r="G5" s="28" t="str">
        <x:v>population science</x:v>
      </x:c>
      <x:c r="H5" s="28" t="str">
        <x:v>G01</x:v>
      </x:c>
    </x:row>
    <x:row r="6" ht="64.80000305175781" hidden="0" customHeight="1">
      <x:c r="A6" s="27" t="str">
        <x:v>Protected/non-general population</x:v>
      </x:c>
      <x:c r="B6" s="52" t="n">
        <x:f>SUM('National Cohorts'!B5:B8)</x:f>
        <x:v>66311869.174337365</x:v>
      </x:c>
      <x:c r="C6" s="27" t="str">
        <x:v>people</x:v>
      </x:c>
      <x:c r="D6" s="27" t="str">
        <x:v>clinical + accessible + custodial + no-vehicle</x:v>
      </x:c>
      <x:c r="E6" s="27" t="str">
        <x:v>movement cannot assume private self-evacuation</x:v>
      </x:c>
      <x:c r="F6" s="27" t="str">
        <x:v>ACS screen</x:v>
      </x:c>
      <x:c r="G6" s="27" t="str">
        <x:v>mobility command</x:v>
      </x:c>
      <x:c r="H6" s="27" t="str">
        <x:v>G01-G02</x:v>
      </x:c>
    </x:row>
    <x:row r="7" ht="75.5999984741211" hidden="0" customHeight="1">
      <x:c r="A7" s="29" t="str">
        <x:v>Movement-place campaign demand</x:v>
      </x:c>
      <x:c r="B7" s="53" t="n">
        <x:f>'National Cohorts'!D12</x:f>
        <x:v>2652.634468892632</x:v>
      </x:c>
      <x:c r="C7" s="29" t="str">
        <x:v>CDE-place</x:v>
      </x:c>
      <x:c r="D7" s="29" t="str">
        <x:v>exceeds 2,500 person-CDE</x:v>
      </x:c>
      <x:c r="E7" s="29" t="str">
        <x:v>devices, caregivers and clinical/custody teams consume capacity</x:v>
      </x:c>
      <x:c r="F7" s="29" t="str">
        <x:v>R2+ arithmetic</x:v>
      </x:c>
      <x:c r="G7" s="29" t="str">
        <x:v>force design</x:v>
      </x:c>
      <x:c r="H7" s="29" t="str">
        <x:v>G02</x:v>
      </x:c>
    </x:row>
    <x:row r="8" ht="54" hidden="0" customHeight="1">
      <x:c r="A8" s="27" t="str">
        <x:v>Federal network path rows</x:v>
      </x:c>
      <x:c r="B8" s="52" t="n">
        <x:f>COUNTA('Mode Paths'!A5:A3972)</x:f>
        <x:v>3968</x:v>
      </x:c>
      <x:c r="C8" s="27" t="str">
        <x:v>OD-mode</x:v>
      </x:c>
      <x:c r="D8" s="27" t="str">
        <x:v>32 SCAs x 31 destinations x 4 modes</x:v>
      </x:c>
      <x:c r="E8" s="27" t="str">
        <x:v>presence gates replace all-modes-by-assumption</x:v>
      </x:c>
      <x:c r="F8" s="27" t="str">
        <x:v>official topology + screen</x:v>
      </x:c>
      <x:c r="G8" s="27" t="str">
        <x:v>network assurance</x:v>
      </x:c>
      <x:c r="H8" s="27" t="str">
        <x:v>G03-G06</x:v>
      </x:c>
    </x:row>
    <x:row r="9" ht="54" hidden="0" customHeight="1">
      <x:c r="A9" s="29" t="str">
        <x:v>Purpose-built mobility capital</x:v>
      </x:c>
      <x:c r="B9" s="53" t="n">
        <x:f>1158.75</x:f>
        <x:v>1158.75</x:v>
      </x:c>
      <x:c r="C9" s="29" t="str">
        <x:v>$B</x:v>
      </x:c>
      <x:c r="D9" s="29" t="str">
        <x:v>fleet, nodes, restoration, command and bases</x:v>
      </x:c>
      <x:c r="E9" s="29" t="str">
        <x:v>civil mobility is a peer industrial establishment</x:v>
      </x:c>
      <x:c r="F9" s="29" t="str">
        <x:v>planning screen</x:v>
      </x:c>
      <x:c r="G9" s="29" t="str">
        <x:v>cost agency</x:v>
      </x:c>
      <x:c r="H9" s="29" t="str">
        <x:v>G17</x:v>
      </x:c>
    </x:row>
    <x:row r="10" ht="43.20000076293945" hidden="0" customHeight="1">
      <x:c r="A10" s="27" t="str">
        <x:v>Direct workforce</x:v>
      </x:c>
      <x:c r="B10" s="52" t="n">
        <x:f>SUM('Fleet Classes'!L5:L13)</x:f>
        <x:v>443080</x:v>
      </x:c>
      <x:c r="C10" s="27" t="str">
        <x:v>people</x:v>
      </x:c>
      <x:c r="D10" s="27" t="str">
        <x:v>visible crews and maintainers only</x:v>
      </x:c>
      <x:c r="E10" s="27" t="str">
        <x:v>active/affiliate system is much larger</x:v>
      </x:c>
      <x:c r="F10" s="27" t="str">
        <x:v>billet screen</x:v>
      </x:c>
      <x:c r="G10" s="27" t="str">
        <x:v>personnel command</x:v>
      </x:c>
      <x:c r="H10" s="27" t="str">
        <x:v>G16</x:v>
      </x:c>
    </x:row>
    <x:row r="11" ht="43.20000076293945" hidden="0" customHeight="1">
      <x:c r="A11" s="29" t="str">
        <x:v>A0 mean closure</x:v>
      </x:c>
      <x:c r="B11" s="47" t="n">
        <x:f>'Simulation Summary'!B5</x:f>
        <x:v>0.6706745617002793</x:v>
      </x:c>
      <x:c r="C11" s="29" t="str">
        <x:v>fraction</x:v>
      </x:c>
      <x:c r="D11" s="29" t="str">
        <x:v>borrowed-fleet baseline remains far short</x:v>
      </x:c>
      <x:c r="E11" s="29" t="str">
        <x:v>existing-compatible transport is not a force</x:v>
      </x:c>
      <x:c r="F11" s="29" t="str">
        <x:v>500-trial screen</x:v>
      </x:c>
      <x:c r="G11" s="29" t="str">
        <x:v>Department</x:v>
      </x:c>
      <x:c r="H11" s="29" t="str">
        <x:v>G13</x:v>
      </x:c>
    </x:row>
    <x:row r="12" ht="32.400001525878906" hidden="0" customHeight="1">
      <x:c r="A12" s="27" t="str">
        <x:v>A1 mean closure</x:v>
      </x:c>
      <x:c r="B12" s="46" t="n">
        <x:f>'Simulation Summary'!B6</x:f>
        <x:v>0.9780016339280898</x:v>
      </x:c>
      <x:c r="C12" s="27" t="str">
        <x:v>fraction</x:v>
      </x:c>
      <x:c r="D12" s="27" t="str">
        <x:v>high national mean</x:v>
      </x:c>
      <x:c r="E12" s="27" t="str">
        <x:v>distributional tail prevents admission</x:v>
      </x:c>
      <x:c r="F12" s="27" t="str">
        <x:v>500-trial screen</x:v>
      </x:c>
      <x:c r="G12" s="27" t="str">
        <x:v>Department</x:v>
      </x:c>
      <x:c r="H12" s="27" t="str">
        <x:v>G14-G15</x:v>
      </x:c>
    </x:row>
    <x:row r="13" ht="32.400001525878906" hidden="0" customHeight="1">
      <x:c r="A13" s="29" t="str">
        <x:v>A1 success rate</x:v>
      </x:c>
      <x:c r="B13" s="47" t="n">
        <x:f>'Simulation Summary'!J6</x:f>
        <x:v>0.138</x:v>
      </x:c>
      <x:c r="C13" s="29" t="str">
        <x:v>fraction trials</x:v>
      </x:c>
      <x:c r="D13" s="29" t="str">
        <x:v>only 13.8% pass joint rule</x:v>
      </x:c>
      <x:c r="E13" s="29" t="str">
        <x:v>average closure is misleading</x:v>
      </x:c>
      <x:c r="F13" s="29" t="str">
        <x:v>500-trial screen</x:v>
      </x:c>
      <x:c r="G13" s="29" t="str">
        <x:v>Department</x:v>
      </x:c>
      <x:c r="H13" s="29" t="str">
        <x:v>G14-G15</x:v>
      </x:c>
    </x:row>
    <x:row r="14" ht="54" hidden="0" customHeight="1">
      <x:c r="A14" s="27" t="str">
        <x:v>A2 success rate</x:v>
      </x:c>
      <x:c r="B14" s="46" t="n">
        <x:f>'Simulation Summary'!J7</x:f>
        <x:v>0.988</x:v>
      </x:c>
      <x:c r="C14" s="27" t="str">
        <x:v>fraction trials</x:v>
      </x:c>
      <x:c r="D14" s="27" t="str">
        <x:v>98.8% passes model target</x:v>
      </x:c>
      <x:c r="E14" s="27" t="str">
        <x:v>first architecture admitted to test, not acquisition</x:v>
      </x:c>
      <x:c r="F14" s="27" t="str">
        <x:v>R2+ conditional</x:v>
      </x:c>
      <x:c r="G14" s="27" t="str">
        <x:v>independent test</x:v>
      </x:c>
      <x:c r="H14" s="27" t="str">
        <x:v>G03-G22</x:v>
      </x:c>
    </x:row>
    <x:row r="15" ht="64.80000305175781" hidden="0" customHeight="1">
      <x:c r="A15" s="29" t="str">
        <x:v>A2 25-year burden</x:v>
      </x:c>
      <x:c r="B15" s="53" t="n">
        <x:f>Finance!H7</x:f>
        <x:v>4986.765785625</x:v>
      </x:c>
      <x:c r="C15" s="29" t="str">
        <x:v>$B</x:v>
      </x:c>
      <x:c r="D15" s="29" t="str">
        <x:v>roughly $5.0T</x:v>
      </x:c>
      <x:c r="E15" s="29" t="str">
        <x:v>scale is comparable to a major national power instrument</x:v>
      </x:c>
      <x:c r="F15" s="29" t="str">
        <x:v>planning screen</x:v>
      </x:c>
      <x:c r="G15" s="29" t="str">
        <x:v>cost agency</x:v>
      </x:c>
      <x:c r="H15" s="29" t="str">
        <x:v>G17</x:v>
      </x:c>
    </x:row>
    <x:row r="16" ht="32.400001525878906" hidden="0" customHeight="1">
      <x:c r="A16" s="27" t="str">
        <x:v>Open evidence gates</x:v>
      </x:c>
      <x:c r="B16" s="52" t="n">
        <x:f>COUNTIF('Evidence Gates'!F5:F26,"OPEN")</x:f>
        <x:v>22</x:v>
      </x:c>
      <x:c r="C16" s="27" t="str">
        <x:v>count</x:v>
      </x:c>
      <x:c r="D16" s="27" t="str">
        <x:v>all twenty-two open</x:v>
      </x:c>
      <x:c r="E16" s="27" t="str">
        <x:v>no platform configuration or rendering</x:v>
      </x:c>
      <x:c r="F16" s="27" t="str">
        <x:v>governance</x:v>
      </x:c>
      <x:c r="G16" s="27" t="str">
        <x:v>test authority</x:v>
      </x:c>
      <x:c r="H16" s="27" t="str">
        <x:v>ALL</x:v>
      </x:c>
    </x:row>
    <x:row r="17">
      <x:c r="A17" s="85"/>
      <x:c r="B17" s="85"/>
      <x:c r="C17" s="85"/>
      <x:c r="D17" s="85"/>
      <x:c r="E17" s="85"/>
      <x:c r="F17" s="85"/>
      <x:c r="G17" s="85"/>
      <x:c r="H17" s="85"/>
    </x:row>
    <x:row r="18" ht="23" customHeight="1">
      <x:c r="A18" s="89" t="str">
        <x:v>Governing decision</x:v>
      </x:c>
      <x:c r="B18" s="89"/>
      <x:c r="C18" s="89"/>
      <x:c r="D18" s="89"/>
      <x:c r="E18" s="89"/>
      <x:c r="F18" s="89"/>
      <x:c r="G18" s="89"/>
      <x:c r="H18" s="89"/>
    </x:row>
    <x:row r="19" ht="50" customHeight="1">
      <x:c r="A19" s="90" t="str">
        <x:v>Do not fund a generic corridor multiplier. Establish a Civil Mobility and Continuity Service whose unit of output is a person entering complete service with accessibility, clinical, family, custody and return continuity intact.</x:v>
      </x:c>
      <x:c r="B19" s="90"/>
      <x:c r="C19" s="90"/>
      <x:c r="D19" s="90"/>
      <x:c r="E19" s="90"/>
      <x:c r="F19" s="90"/>
      <x:c r="G19" s="90"/>
      <x:c r="H19" s="90"/>
    </x:row>
    <x:row r="20" ht="50" customHeight="1">
      <x:c r="A20" s="90" t="str">
        <x:v>The proposed reference force contains 12,000 accessible road cells, 600 continuity trainsets, 400 civil airlifters, 180 waterborne bridge vessels, 160 transfer nodes, 160 route-assurance groups, 16 commands and 32 bases. Every quantity is a testable hypothesis.</x:v>
      </x:c>
      <x:c r="B20" s="90"/>
      <x:c r="C20" s="90"/>
      <x:c r="D20" s="90"/>
      <x:c r="E20" s="90"/>
      <x:c r="F20" s="90"/>
      <x:c r="G20" s="90"/>
      <x:c r="H20" s="90"/>
    </x:row>
    <x:row r="21" ht="50" customHeight="1">
      <x:c r="A21" s="90" t="str">
        <x:v>A universal-access fleet closes the national mean but strands the geographic tail. The restorable multimodal mesh is the first architecture to pass the declared 95% assurance rule, at 98.8% in 500 fixed-seed trials; this result depends on unproved route restoration, terminal survival and receiver hardening.</x:v>
      </x:c>
      <x:c r="B21" s="90"/>
      <x:c r="C21" s="90"/>
      <x:c r="D21" s="90"/>
      <x:c r="E21" s="90"/>
      <x:c r="F21" s="90"/>
      <x:c r="G21" s="90"/>
      <x:c r="H21" s="90"/>
    </x:row>
    <x:row r="22" ht="50" customHeight="1">
      <x:c r="A22" s="91" t="str">
        <x:v>All twenty-two evidence gates remain open. No site, vehicle geometry or platform rendering is authorized. The next work is parameter uncertainty, tract-scale equity, door-to-berth trials and reference configuration—not imagery.</x:v>
      </x:c>
      <x:c r="B22" s="91"/>
      <x:c r="C22" s="91"/>
      <x:c r="D22" s="91"/>
      <x:c r="E22" s="91"/>
      <x:c r="F22" s="91"/>
      <x:c r="G22" s="91"/>
      <x:c r="H22" s="91"/>
    </x:row>
  </x:sheetData>
  <x:mergeCells>
    <x:mergeCell ref="A1:H1"/>
    <x:mergeCell ref="A2:H2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21" hidden="0" customWidth="1"/>
    <x:col min="5" max="5" width="21" hidden="0" customWidth="1"/>
    <x:col min="6" max="6" width="21" hidden="0" customWidth="1"/>
    <x:col min="7" max="7" width="38" hidden="0" customWidth="1"/>
  </x:cols>
  <x:sheetData>
    <x:row r="1" ht="29" customHeight="1">
      <x:c r="A1" s="83" t="str">
        <x:v>National civil mobility controls</x:v>
      </x:c>
      <x:c r="B1" s="83"/>
      <x:c r="C1" s="83"/>
      <x:c r="D1" s="83"/>
      <x:c r="E1" s="83"/>
      <x:c r="F1" s="83"/>
      <x:c r="G1" s="83"/>
    </x:row>
    <x:row r="2" ht="31" customHeight="1">
      <x:c r="A2" s="84" t="str">
        <x:v>Yellow cells are design hypotheses. Changing stochastic assumptions requires regeneration from the documented fixed-seed method.</x:v>
      </x:c>
      <x:c r="B2" s="84"/>
      <x:c r="C2" s="84"/>
      <x:c r="D2" s="84"/>
      <x:c r="E2" s="84"/>
      <x:c r="F2" s="84"/>
      <x:c r="G2" s="84"/>
    </x:row>
    <x:row r="3">
      <x:c r="A3" s="85"/>
      <x:c r="B3" s="85"/>
      <x:c r="C3" s="85"/>
      <x:c r="D3" s="85"/>
      <x:c r="E3" s="85"/>
      <x:c r="F3" s="85"/>
      <x:c r="G3" s="85"/>
    </x:row>
    <x:row r="4" ht="32" customHeight="1">
      <x:c r="A4" s="86" t="str">
        <x:v>ID</x:v>
      </x:c>
      <x:c r="B4" s="87" t="str">
        <x:v>Control</x:v>
      </x:c>
      <x:c r="C4" s="87" t="str">
        <x:v>Value</x:v>
      </x:c>
      <x:c r="D4" s="87" t="str">
        <x:v>Unit</x:v>
      </x:c>
      <x:c r="E4" s="87" t="str">
        <x:v>Class</x:v>
      </x:c>
      <x:c r="F4" s="87" t="str">
        <x:v>Use</x:v>
      </x:c>
      <x:c r="G4" s="88" t="str">
        <x:v>Boundary</x:v>
      </x:c>
    </x:row>
    <x:row r="5" ht="21.600000381469727" hidden="0" customHeight="1">
      <x:c r="A5" s="28" t="str">
        <x:v>C01</x:v>
      </x:c>
      <x:c r="B5" s="28" t="str">
        <x:v>Population vintage</x:v>
      </x:c>
      <x:c r="C5" s="32" t="n">
        <x:v>2025</x:v>
      </x:c>
      <x:c r="D5" s="28" t="str">
        <x:v>year</x:v>
      </x:c>
      <x:c r="E5" s="28" t="str">
        <x:v>official estimate</x:v>
      </x:c>
      <x:c r="F5" s="28" t="str">
        <x:v>population denominator</x:v>
      </x:c>
      <x:c r="G5" s="28" t="str">
        <x:v>not incident demand</x:v>
      </x:c>
    </x:row>
    <x:row r="6" ht="43.20000076293945" hidden="0" customHeight="1">
      <x:c r="A6" s="27" t="str">
        <x:v>C02</x:v>
      </x:c>
      <x:c r="B6" s="27" t="str">
        <x:v>Cohort data vintage</x:v>
      </x:c>
      <x:c r="C6" s="33" t="n">
        <x:v>2024</x:v>
      </x:c>
      <x:c r="D6" s="27" t="str">
        <x:v>ACS 5-year</x:v>
      </x:c>
      <x:c r="E6" s="27" t="str">
        <x:v>official estimate</x:v>
      </x:c>
      <x:c r="F6" s="27" t="str">
        <x:v>county/state rates</x:v>
      </x:c>
      <x:c r="G6" s="27" t="str">
        <x:v>sampling and allocation error remain</x:v>
      </x:c>
    </x:row>
    <x:row r="7" ht="43.20000076293945" hidden="0" customHeight="1">
      <x:c r="A7" s="29" t="str">
        <x:v>C03</x:v>
      </x:c>
      <x:c r="B7" s="29" t="str">
        <x:v>Service deadline</x:v>
      </x:c>
      <x:c r="C7" s="33" t="n">
        <x:v>72</x:v>
      </x:c>
      <x:c r="D7" s="29" t="str">
        <x:v>hours</x:v>
      </x:c>
      <x:c r="E7" s="29" t="str">
        <x:v>force standard</x:v>
      </x:c>
      <x:c r="F7" s="29" t="str">
        <x:v>path gate</x:v>
      </x:c>
      <x:c r="G7" s="29" t="str">
        <x:v>completion includes transfer and reception</x:v>
      </x:c>
    </x:row>
    <x:row r="8" ht="21.600000381469727" hidden="0" customHeight="1">
      <x:c r="A8" s="27" t="str">
        <x:v>C04</x:v>
      </x:c>
      <x:c r="B8" s="27" t="str">
        <x:v>Concurrent demand</x:v>
      </x:c>
      <x:c r="C8" s="33" t="n">
        <x:v>2500</x:v>
      </x:c>
      <x:c r="D8" s="27" t="str">
        <x:v>CDE</x:v>
      </x:c>
      <x:c r="E8" s="27" t="str">
        <x:v>Pass 32</x:v>
      </x:c>
      <x:c r="F8" s="27" t="str">
        <x:v>campaign denominator</x:v>
      </x:c>
      <x:c r="G8" s="27" t="str">
        <x:v>2.5M people</x:v>
      </x:c>
    </x:row>
    <x:row r="9" ht="43.20000076293945" hidden="0" customHeight="1">
      <x:c r="A9" s="29" t="str">
        <x:v>C05</x:v>
      </x:c>
      <x:c r="B9" s="29" t="str">
        <x:v>Clinical share of community disability</x:v>
      </x:c>
      <x:c r="C9" s="34" t="n">
        <x:v>0.04</x:v>
      </x:c>
      <x:c r="D9" s="29" t="str">
        <x:v>fraction</x:v>
      </x:c>
      <x:c r="E9" s="29" t="str">
        <x:v>design hypothesis</x:v>
      </x:c>
      <x:c r="F9" s="29" t="str">
        <x:v>cohort precedence</x:v>
      </x:c>
      <x:c r="G9" s="29" t="str">
        <x:v>requires health-system evidence</x:v>
      </x:c>
    </x:row>
    <x:row r="10" ht="43.20000076293945" hidden="0" customHeight="1">
      <x:c r="A10" s="27" t="str">
        <x:v>C06</x:v>
      </x:c>
      <x:c r="B10" s="27" t="str">
        <x:v>4+ zero-vehicle household size</x:v>
      </x:c>
      <x:c r="C10" s="33" t="n">
        <x:v>4.5</x:v>
      </x:c>
      <x:c r="D10" s="27" t="str">
        <x:v>people</x:v>
      </x:c>
      <x:c r="E10" s="27" t="str">
        <x:v>design hypothesis</x:v>
      </x:c>
      <x:c r="F10" s="27" t="str">
        <x:v>person estimate</x:v>
      </x:c>
      <x:c r="G10" s="27" t="str">
        <x:v>sensitivity required</x:v>
      </x:c>
    </x:row>
    <x:row r="11" ht="32.400001525878906" hidden="0" customHeight="1">
      <x:c r="A11" s="29" t="str">
        <x:v>C07</x:v>
      </x:c>
      <x:c r="B11" s="29" t="str">
        <x:v>Capital reserve</x:v>
      </x:c>
      <x:c r="C11" s="34" t="n">
        <x:v>0.25</x:v>
      </x:c>
      <x:c r="D11" s="29" t="str">
        <x:v>fraction</x:v>
      </x:c>
      <x:c r="E11" s="29" t="str">
        <x:v>planning</x:v>
      </x:c>
      <x:c r="F11" s="29" t="str">
        <x:v>fleet capital</x:v>
      </x:c>
      <x:c r="G11" s="29" t="str">
        <x:v>not confidence interval</x:v>
      </x:c>
    </x:row>
    <x:row r="12" ht="21.600000381469727" hidden="0" customHeight="1">
      <x:c r="A12" s="27" t="str">
        <x:v>C08</x:v>
      </x:c>
      <x:c r="B12" s="27" t="str">
        <x:v>Mature O&amp;M share</x:v>
      </x:c>
      <x:c r="C12" s="33" t="n">
        <x:v>0.075</x:v>
      </x:c>
      <x:c r="D12" s="27" t="str">
        <x:v>capital/year</x:v>
      </x:c>
      <x:c r="E12" s="27" t="str">
        <x:v>planning</x:v>
      </x:c>
      <x:c r="F12" s="27" t="str">
        <x:v>force operations</x:v>
      </x:c>
      <x:c r="G12" s="27" t="str">
        <x:v>independent cost open</x:v>
      </x:c>
    </x:row>
    <x:row r="13" ht="21.600000381469727" hidden="0" customHeight="1">
      <x:c r="A13" s="29" t="str">
        <x:v>C09</x:v>
      </x:c>
      <x:c r="B13" s="29" t="str">
        <x:v>25-year O&amp;M factor</x:v>
      </x:c>
      <x:c r="C13" s="33" t="n">
        <x:v>15.81</x:v>
      </x:c>
      <x:c r="D13" s="29" t="str">
        <x:v>mature years</x:v>
      </x:c>
      <x:c r="E13" s="29" t="str">
        <x:v>Pass 31 ramp</x:v>
      </x:c>
      <x:c r="F13" s="29" t="str">
        <x:v>program expenditure</x:v>
      </x:c>
      <x:c r="G13" s="29" t="str">
        <x:v>undiscounted</x:v>
      </x:c>
    </x:row>
    <x:row r="14" ht="32.400001525878906" hidden="0" customHeight="1">
      <x:c r="A14" s="27" t="str">
        <x:v>C10</x:v>
      </x:c>
      <x:c r="B14" s="27" t="str">
        <x:v>Monte Carlo trials</x:v>
      </x:c>
      <x:c r="C14" s="33" t="n">
        <x:v>500</x:v>
      </x:c>
      <x:c r="D14" s="27" t="str">
        <x:v>trials/architecture</x:v>
      </x:c>
      <x:c r="E14" s="27" t="str">
        <x:v>method</x:v>
      </x:c>
      <x:c r="F14" s="27" t="str">
        <x:v>joint stress screen</x:v>
      </x:c>
      <x:c r="G14" s="27" t="str">
        <x:v>parameter uncertainty excluded</x:v>
      </x:c>
    </x:row>
    <x:row r="15" ht="21.600000381469727" hidden="0" customHeight="1">
      <x:c r="A15" s="29" t="str">
        <x:v>C11</x:v>
      </x:c>
      <x:c r="B15" s="29" t="str">
        <x:v>First random seed</x:v>
      </x:c>
      <x:c r="C15" s="33" t="n">
        <x:v>330905</x:v>
      </x:c>
      <x:c r="D15" s="29" t="str">
        <x:v>integer</x:v>
      </x:c>
      <x:c r="E15" s="29" t="str">
        <x:v>method</x:v>
      </x:c>
      <x:c r="F15" s="29" t="str">
        <x:v>reproducibility</x:v>
      </x:c>
      <x:c r="G15" s="29" t="str">
        <x:v>pseudo-random</x:v>
      </x:c>
    </x:row>
    <x:row r="16" ht="21.600000381469727" hidden="0" customHeight="1">
      <x:c r="A16" s="27" t="str">
        <x:v>C12</x:v>
      </x:c>
      <x:c r="B16" s="27" t="str">
        <x:v>Success: total closure</x:v>
      </x:c>
      <x:c r="C16" s="34" t="n">
        <x:v>0.99</x:v>
      </x:c>
      <x:c r="D16" s="27" t="str">
        <x:v>fraction</x:v>
      </x:c>
      <x:c r="E16" s="27" t="str">
        <x:v>design rule</x:v>
      </x:c>
      <x:c r="F16" s="27" t="str">
        <x:v>trial success</x:v>
      </x:c>
      <x:c r="G16" s="27" t="str">
        <x:v>not mortality outcome</x:v>
      </x:c>
    </x:row>
    <x:row r="17" ht="43.20000076293945" hidden="0" customHeight="1">
      <x:c r="A17" s="29" t="str">
        <x:v>C13</x:v>
      </x:c>
      <x:c r="B17" s="29" t="str">
        <x:v>Success: each protected cohort</x:v>
      </x:c>
      <x:c r="C17" s="34" t="n">
        <x:v>0.97</x:v>
      </x:c>
      <x:c r="D17" s="29" t="str">
        <x:v>fraction</x:v>
      </x:c>
      <x:c r="E17" s="29" t="str">
        <x:v>design rule</x:v>
      </x:c>
      <x:c r="F17" s="29" t="str">
        <x:v>trial success</x:v>
      </x:c>
      <x:c r="G17" s="29" t="str">
        <x:v>national cohort aggregate</x:v>
      </x:c>
    </x:row>
    <x:row r="18" ht="43.20000076293945" hidden="0" customHeight="1">
      <x:c r="A18" s="27" t="str">
        <x:v>C14</x:v>
      </x:c>
      <x:c r="B18" s="27" t="str">
        <x:v>Success: bottom demand decile</x:v>
      </x:c>
      <x:c r="C18" s="34" t="n">
        <x:v>0.95</x:v>
      </x:c>
      <x:c r="D18" s="27" t="str">
        <x:v>fraction</x:v>
      </x:c>
      <x:c r="E18" s="27" t="str">
        <x:v>design rule</x:v>
      </x:c>
      <x:c r="F18" s="27" t="str">
        <x:v>distributional floor</x:v>
      </x:c>
      <x:c r="G18" s="27" t="str">
        <x:v>population-weighted SCA measure</x:v>
      </x:c>
    </x:row>
    <x:row r="19" ht="32.400001525878906" hidden="0" customHeight="1">
      <x:c r="A19" s="29" t="str">
        <x:v>C15</x:v>
      </x:c>
      <x:c r="B19" s="29" t="str">
        <x:v>Architecture assurance target</x:v>
      </x:c>
      <x:c r="C19" s="34" t="n">
        <x:v>0.95</x:v>
      </x:c>
      <x:c r="D19" s="29" t="str">
        <x:v>fraction trials</x:v>
      </x:c>
      <x:c r="E19" s="29" t="str">
        <x:v>design rule</x:v>
      </x:c>
      <x:c r="F19" s="29" t="str">
        <x:v>architecture admission</x:v>
      </x:c>
      <x:c r="G19" s="29" t="str">
        <x:v>model-screen target</x:v>
      </x:c>
    </x:row>
    <x:row r="20" ht="21.600000381469727" hidden="0" customHeight="1">
      <x:c r="A20" s="27" t="str">
        <x:v>C16</x:v>
      </x:c>
      <x:c r="B20" s="27" t="str">
        <x:v>Rendering authorization</x:v>
      </x:c>
      <x:c r="C20" s="33" t="n">
        <x:v>0</x:v>
      </x:c>
      <x:c r="D20" s="27" t="str">
        <x:v>binary</x:v>
      </x:c>
      <x:c r="E20" s="27" t="str">
        <x:v>governance</x:v>
      </x:c>
      <x:c r="F20" s="27" t="str">
        <x:v>imagery gate</x:v>
      </x:c>
      <x:c r="G20" s="27" t="str">
        <x:v>all evidence gates open</x:v>
      </x:c>
    </x:row>
    <x:row r="21">
      <x:c r="A21" s="85"/>
      <x:c r="B21" s="85"/>
      <x:c r="C21" s="85"/>
      <x:c r="D21" s="85"/>
      <x:c r="E21" s="85"/>
      <x:c r="F21" s="85"/>
      <x:c r="G21" s="85"/>
    </x:row>
    <x:row r="22" ht="39" customHeight="1">
      <x:c r="A22" s="92" t="str">
        <x:v>CDE remains 1,000 people receiving complete service. Transport consumes movement places, not merely seats: one person may require space for a device, litter, caregiver, clinical team or custody staff.</x:v>
      </x:c>
      <x:c r="B22" s="92"/>
      <x:c r="C22" s="92"/>
      <x:c r="D22" s="92"/>
      <x:c r="E22" s="92"/>
      <x:c r="F22" s="92"/>
      <x:c r="G22" s="92"/>
    </x:row>
  </x:sheetData>
  <x:mergeCells>
    <x:mergeCell ref="A1:G1"/>
    <x:mergeCell ref="A2:G2"/>
    <x:mergeCell ref="A22:G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14" hidden="0" customWidth="1"/>
  </x:cols>
  <x:sheetData>
    <x:row r="1" ht="29" customHeight="1">
      <x:c r="A1" s="83" t="str">
        <x:v>Source and inference boundary</x:v>
      </x:c>
      <x:c r="B1" s="83"/>
      <x:c r="C1" s="83"/>
      <x:c r="D1" s="83"/>
      <x:c r="E1" s="83"/>
      <x:c r="F1" s="83"/>
      <x:c r="G1" s="83"/>
    </x:row>
    <x:row r="2" ht="31" customHeight="1">
      <x:c r="A2" s="84" t="str">
        <x:v>Observed infrastructure and population data gate the model. Operability, damage, capacity and architecture performance remain explicit hypotheses.</x:v>
      </x:c>
      <x:c r="B2" s="84"/>
      <x:c r="C2" s="84"/>
      <x:c r="D2" s="84"/>
      <x:c r="E2" s="84"/>
      <x:c r="F2" s="84"/>
      <x:c r="G2" s="84"/>
    </x:row>
    <x:row r="3">
      <x:c r="A3" s="85"/>
      <x:c r="B3" s="85"/>
      <x:c r="C3" s="85"/>
      <x:c r="D3" s="85"/>
      <x:c r="E3" s="85"/>
      <x:c r="F3" s="85"/>
      <x:c r="G3" s="85"/>
    </x:row>
    <x:row r="4" ht="32" customHeight="1">
      <x:c r="A4" s="86" t="str">
        <x:v>Layer</x:v>
      </x:c>
      <x:c r="B4" s="87" t="str">
        <x:v>Item</x:v>
      </x:c>
      <x:c r="C4" s="87" t="str">
        <x:v>Model use</x:v>
      </x:c>
      <x:c r="D4" s="87" t="str">
        <x:v>Permitted inference</x:v>
      </x:c>
      <x:c r="E4" s="87" t="str">
        <x:v>Prohibited inference</x:v>
      </x:c>
      <x:c r="F4" s="87" t="str">
        <x:v>Replacement evidence</x:v>
      </x:c>
      <x:c r="G4" s="88" t="str">
        <x:v>Status</x:v>
      </x:c>
    </x:row>
    <x:row r="5" ht="54" hidden="0" customHeight="1">
      <x:c r="A5" s="28" t="str">
        <x:v>Observed</x:v>
      </x:c>
      <x:c r="B5" s="28" t="str">
        <x:v>2025 population + 2024 ACS</x:v>
      </x:c>
      <x:c r="C5" s="28" t="str">
        <x:v>demand weights and planning cohorts</x:v>
      </x:c>
      <x:c r="D5" s="28" t="str">
        <x:v>population and survey-estimate prevalence</x:v>
      </x:c>
      <x:c r="E5" s="28" t="str">
        <x:v>who will evacuate or individual need</x:v>
      </x:c>
      <x:c r="F5" s="28" t="str">
        <x:v>incident registry, operators, disability-led field work</x:v>
      </x:c>
      <x:c r="G5" s="28" t="str">
        <x:v>BOUNDARY</x:v>
      </x:c>
    </x:row>
    <x:row r="6" ht="54" hidden="0" customHeight="1">
      <x:c r="A6" s="27" t="str">
        <x:v>Observed</x:v>
      </x:c>
      <x:c r="B6" s="27" t="str">
        <x:v>NTAD major roads</x:v>
      </x:c>
      <x:c r="C6" s="27" t="str">
        <x:v>county road coverage gate</x:v>
      </x:c>
      <x:c r="D6" s="27" t="str">
        <x:v>major-road footprint</x:v>
      </x:c>
      <x:c r="E6" s="27" t="str">
        <x:v>current condition or emergency throughput</x:v>
      </x:c>
      <x:c r="F6" s="27" t="str">
        <x:v>current network extract and damage-state routing</x:v>
      </x:c>
      <x:c r="G6" s="27" t="str">
        <x:v>BOUNDARY</x:v>
      </x:c>
    </x:row>
    <x:row r="7" ht="54" hidden="0" customHeight="1">
      <x:c r="A7" s="29" t="str">
        <x:v>Observed</x:v>
      </x:c>
      <x:c r="B7" s="29" t="str">
        <x:v>NARN rail topology</x:v>
      </x:c>
      <x:c r="C7" s="29" t="str">
        <x:v>shared-node SCA graph</x:v>
      </x:c>
      <x:c r="D7" s="29" t="str">
        <x:v>physical rail connectivity screen</x:v>
      </x:c>
      <x:c r="E7" s="29" t="str">
        <x:v>trackage rights, usable track or passenger loading</x:v>
      </x:c>
      <x:c r="F7" s="29" t="str">
        <x:v>railroad agreements, inspection and route trials</x:v>
      </x:c>
      <x:c r="G7" s="29" t="str">
        <x:v>BOUNDARY</x:v>
      </x:c>
    </x:row>
    <x:row r="8" ht="43.20000076293945" hidden="0" customHeight="1">
      <x:c r="A8" s="27" t="str">
        <x:v>Observed</x:v>
      </x:c>
      <x:c r="B8" s="27" t="str">
        <x:v>primary airports</x:v>
      </x:c>
      <x:c r="C8" s="27" t="str">
        <x:v>air endpoint gate</x:v>
      </x:c>
      <x:c r="D8" s="27" t="str">
        <x:v>primary-airport presence</x:v>
      </x:c>
      <x:c r="E8" s="27" t="str">
        <x:v>runway, fuel, airspace or terminal availability</x:v>
      </x:c>
      <x:c r="F8" s="27" t="str">
        <x:v>airport operating surveys and austere trials</x:v>
      </x:c>
      <x:c r="G8" s="27" t="str">
        <x:v>BOUNDARY</x:v>
      </x:c>
    </x:row>
    <x:row r="9" ht="43.20000076293945" hidden="0" customHeight="1">
      <x:c r="A9" s="29" t="str">
        <x:v>Observed</x:v>
      </x:c>
      <x:c r="B9" s="29" t="str">
        <x:v>ports, ferries, waterways</x:v>
      </x:c>
      <x:c r="C9" s="29" t="str">
        <x:v>water endpoint/topology gate</x:v>
      </x:c>
      <x:c r="D9" s="29" t="str">
        <x:v>navigable network and terminal presence</x:v>
      </x:c>
      <x:c r="E9" s="29" t="str">
        <x:v>draft, berth, weather or passenger suitability</x:v>
      </x:c>
      <x:c r="F9" s="29" t="str">
        <x:v>hydrographic, port and vessel trials</x:v>
      </x:c>
      <x:c r="G9" s="29" t="str">
        <x:v>BOUNDARY</x:v>
      </x:c>
    </x:row>
    <x:row r="10" ht="54" hidden="0" customHeight="1">
      <x:c r="A10" s="27" t="str">
        <x:v>Constructed</x:v>
      </x:c>
      <x:c r="B10" s="27" t="str">
        <x:v>five exclusive cohorts</x:v>
      </x:c>
      <x:c r="C10" s="27" t="str">
        <x:v>accessible/custodial capacity accounting</x:v>
      </x:c>
      <x:c r="D10" s="27" t="str">
        <x:v>one auditable precedence screen</x:v>
      </x:c>
      <x:c r="E10" s="27" t="str">
        <x:v>individual diagnosis or legal classification</x:v>
      </x:c>
      <x:c r="F10" s="27" t="str">
        <x:v>linked microdata and operational registry</x:v>
      </x:c>
      <x:c r="G10" s="27" t="str">
        <x:v>R2+</x:v>
      </x:c>
    </x:row>
    <x:row r="11" ht="43.20000076293945" hidden="0" customHeight="1">
      <x:c r="A11" s="29" t="str">
        <x:v>Assumed</x:v>
      </x:c>
      <x:c r="B11" s="29" t="str">
        <x:v>fleet classes and performance</x:v>
      </x:c>
      <x:c r="C11" s="29" t="str">
        <x:v>72-hour capacity</x:v>
      </x:c>
      <x:c r="D11" s="29" t="str">
        <x:v>architecture comparison</x:v>
      </x:c>
      <x:c r="E11" s="29" t="str">
        <x:v>validated design or acquisition quantity</x:v>
      </x:c>
      <x:c r="F11" s="29" t="str">
        <x:v>prototype mission-thread test</x:v>
      </x:c>
      <x:c r="G11" s="29" t="str">
        <x:v>R1/R2</x:v>
      </x:c>
    </x:row>
    <x:row r="12" ht="43.20000076293945" hidden="0" customHeight="1">
      <x:c r="A12" s="27" t="str">
        <x:v>Assumed</x:v>
      </x:c>
      <x:c r="B12" s="27" t="str">
        <x:v>joint survival parameters</x:v>
      </x:c>
      <x:c r="C12" s="27" t="str">
        <x:v>correlated route/receiver trials</x:v>
      </x:c>
      <x:c r="D12" s="27" t="str">
        <x:v>stress sensitivity</x:v>
      </x:c>
      <x:c r="E12" s="27" t="str">
        <x:v>forecast probability</x:v>
      </x:c>
      <x:c r="F12" s="27" t="str">
        <x:v>fitted hazard/fragility/covariance model</x:v>
      </x:c>
      <x:c r="G12" s="27" t="str">
        <x:v>R2+</x:v>
      </x:c>
    </x:row>
    <x:row r="13" ht="54" hidden="0" customHeight="1">
      <x:c r="A13" s="29" t="str">
        <x:v>Computed</x:v>
      </x:c>
      <x:c r="B13" s="29" t="str">
        <x:v>fixed-seed allocator</x:v>
      </x:c>
      <x:c r="C13" s="29" t="str">
        <x:v>service and equity results</x:v>
      </x:c>
      <x:c r="D13" s="29" t="str">
        <x:v>reproducible feasible allocation</x:v>
      </x:c>
      <x:c r="E13" s="29" t="str">
        <x:v>global optimum or causal forecast</x:v>
      </x:c>
      <x:c r="F13" s="29" t="str">
        <x:v>independent implementation and adversarial trials</x:v>
      </x:c>
      <x:c r="G13" s="29" t="str">
        <x:v>R2+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20" hidden="0" customWidth="1"/>
    <x:col min="4" max="4" width="20" hidden="0" customWidth="1"/>
    <x:col min="5" max="5" width="48" hidden="0" customWidth="1"/>
    <x:col min="6" max="6" width="48" hidden="0" customWidth="1"/>
    <x:col min="7" max="7" width="48" hidden="0" customWidth="1"/>
  </x:cols>
  <x:sheetData>
    <x:row r="1" ht="29" customHeight="1">
      <x:c r="A1" s="83" t="str">
        <x:v>Mutually exclusive movement cohorts</x:v>
      </x:c>
      <x:c r="B1" s="83"/>
      <x:c r="C1" s="83"/>
      <x:c r="D1" s="83"/>
      <x:c r="E1" s="83"/>
      <x:c r="F1" s="83"/>
      <x:c r="G1" s="83"/>
    </x:row>
    <x:row r="2" ht="31" customHeight="1">
      <x:c r="A2" s="84" t="str">
        <x:v>Precedence prevents double counting. Place factors account for the transport burden of people, devices, caregivers, clinical teams and custody continuity.</x:v>
      </x:c>
      <x:c r="B2" s="84"/>
      <x:c r="C2" s="84"/>
      <x:c r="D2" s="84"/>
      <x:c r="E2" s="84"/>
      <x:c r="F2" s="84"/>
      <x:c r="G2" s="84"/>
    </x:row>
    <x:row r="3">
      <x:c r="A3" s="85"/>
      <x:c r="B3" s="85"/>
      <x:c r="C3" s="85"/>
      <x:c r="D3" s="85"/>
      <x:c r="E3" s="85"/>
      <x:c r="F3" s="85"/>
      <x:c r="G3" s="85"/>
    </x:row>
    <x:row r="4" ht="32" customHeight="1">
      <x:c r="A4" s="86" t="str">
        <x:v>ID</x:v>
      </x:c>
      <x:c r="B4" s="87" t="str">
        <x:v>Cohort</x:v>
      </x:c>
      <x:c r="C4" s="87" t="str">
        <x:v>Precedence</x:v>
      </x:c>
      <x:c r="D4" s="87" t="str">
        <x:v>Movement places/person</x:v>
      </x:c>
      <x:c r="E4" s="87" t="str">
        <x:v>Source logic</x:v>
      </x:c>
      <x:c r="F4" s="87" t="str">
        <x:v>Operational requirement</x:v>
      </x:c>
      <x:c r="G4" s="88" t="str">
        <x:v>Boundary</x:v>
      </x:c>
    </x:row>
    <x:row r="5" ht="129.60000610351562" hidden="0" customHeight="1">
      <x:c r="A5" s="28" t="str">
        <x:v>CLINICAL</x:v>
      </x:c>
      <x:c r="B5" s="28" t="str">
        <x:v>Clinical-continuity movement</x:v>
      </x:c>
      <x:c r="C5" s="28" t="n">
        <x:v>1</x:v>
      </x:c>
      <x:c r="D5" s="39" t="n">
        <x:v>2</x:v>
      </x:c>
      <x:c r="E5" s="28" t="str">
        <x:v>nursing-facility residents plus an assumed 4% of community disability demand; monitored/stretcher-compatible movement</x:v>
      </x:c>
      <x:c r="F5" s="28" t="str">
        <x:v>patient regulation, monitored berth, records and receiving bed</x:v>
      </x:c>
      <x:c r="G5" s="28" t="str">
        <x:v>screening category, not individual classification</x:v>
      </x:c>
    </x:row>
    <x:row r="6" ht="151.1999969482422" hidden="0" customHeight="1">
      <x:c r="A6" s="27" t="str">
        <x:v>ACCESS</x:v>
      </x:c>
      <x:c r="B6" s="27" t="str">
        <x:v>Accessible-support movement</x:v>
      </x:c>
      <x:c r="C6" s="27" t="n">
        <x:v>2</x:v>
      </x:c>
      <x:c r="D6" s="40" t="n">
        <x:v>1.35</x:v>
      </x:c>
      <x:c r="E6" s="27" t="str">
        <x:v>remaining civilian noninstitutionalized population with disability; mobility, sensory, cognitive, equipment and caregiver continuity</x:v>
      </x:c>
      <x:c r="F6" s="27" t="str">
        <x:v>door-to-berth accessibility, device and caregiver continuity</x:v>
      </x:c>
      <x:c r="G6" s="27" t="str">
        <x:v>screening category, not individual classification</x:v>
      </x:c>
    </x:row>
    <x:row r="7" ht="118.80000305175781" hidden="0" customHeight="1">
      <x:c r="A7" s="29" t="str">
        <x:v>CUSTODY</x:v>
      </x:c>
      <x:c r="B7" s="29" t="str">
        <x:v>Institutional/custodial continuity</x:v>
      </x:c>
      <x:c r="C7" s="29" t="n">
        <x:v>3</x:v>
      </x:c>
      <x:c r="D7" s="41" t="n">
        <x:v>1.2</x:v>
      </x:c>
      <x:c r="E7" s="29" t="str">
        <x:v>institutionalized population other than nursing-facility residents; authority, staffing and custody chain required</x:v>
      </x:c>
      <x:c r="F7" s="29" t="str">
        <x:v>origin authority, staffing, identity and destination custody</x:v>
      </x:c>
      <x:c r="G7" s="29" t="str">
        <x:v>screening category, not individual classification</x:v>
      </x:c>
    </x:row>
    <x:row r="8" ht="97.19999694824219" hidden="0" customHeight="1">
      <x:c r="A8" s="27" t="str">
        <x:v>NOVEHICLE</x:v>
      </x:c>
      <x:c r="B8" s="27" t="str">
        <x:v>No-household-vehicle movement</x:v>
      </x:c>
      <x:c r="C8" s="27" t="n">
        <x:v>4</x:v>
      </x:c>
      <x:c r="D8" s="40" t="n">
        <x:v>1.1</x:v>
      </x:c>
      <x:c r="E8" s="27" t="str">
        <x:v>estimated people in zero-vehicle households after removing modeled disability overlap</x:v>
      </x:c>
      <x:c r="F8" s="27" t="str">
        <x:v>door-to-node collection and household continuity</x:v>
      </x:c>
      <x:c r="G8" s="27" t="str">
        <x:v>screening category, not individual classification</x:v>
      </x:c>
    </x:row>
    <x:row r="9" ht="64.80000305175781" hidden="0" customHeight="1">
      <x:c r="A9" s="29" t="str">
        <x:v>GENERAL</x:v>
      </x:c>
      <x:c r="B9" s="29" t="str">
        <x:v>General household movement</x:v>
      </x:c>
      <x:c r="C9" s="29" t="n">
        <x:v>5</x:v>
      </x:c>
      <x:c r="D9" s="41" t="n">
        <x:v>1</x:v>
      </x:c>
      <x:c r="E9" s="29" t="str">
        <x:v>residual population; family unity and essential property still apply</x:v>
      </x:c>
      <x:c r="F9" s="29" t="str">
        <x:v>family unity, communication, essential property and return</x:v>
      </x:c>
      <x:c r="G9" s="29" t="str">
        <x:v>residual does not mean self-transporting</x:v>
      </x:c>
    </x:row>
    <x:row r="10">
      <x:c r="A10" s="85"/>
      <x:c r="B10" s="85"/>
      <x:c r="C10" s="85"/>
      <x:c r="D10" s="85"/>
      <x:c r="E10" s="85"/>
      <x:c r="F10" s="85"/>
      <x:c r="G10" s="85"/>
    </x:row>
    <x:row r="11" ht="39" customHeight="1">
      <x:c r="A11" s="92" t="str">
        <x:v>The ACS disability concept is not converted directly into medical evacuation demand. Only an assumed 4% enters the clinical cohort; the remainder enters accessible support. That assumption is a major open sensitivity.</x:v>
      </x:c>
      <x:c r="B11" s="92"/>
      <x:c r="C11" s="92"/>
      <x:c r="D11" s="92"/>
      <x:c r="E11" s="92"/>
      <x:c r="F11" s="92"/>
      <x:c r="G11" s="92"/>
    </x:row>
  </x:sheetData>
  <x:mergeCells>
    <x:mergeCell ref="A1:G1"/>
    <x:mergeCell ref="A2:G2"/>
    <x:mergeCell ref="A11:G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9" customHeight="1">
      <x:c r="A1" s="83" t="str">
        <x:v>County cohort construction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</x:row>
    <x:row r="2" ht="31" customHeight="1">
      <x:c r="A2" s="84" t="str">
        <x:v>2024 ACS rates are applied to Pass 32's 2025 county population. State group-quarters rates are distributed to counties because B26101 is state-level in the table-based file.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</x:row>
    <x:row r="4" ht="32" customHeight="1">
      <x:c r="A4" s="86" t="str">
        <x:v>GEOID</x:v>
      </x:c>
      <x:c r="B4" s="87" t="str">
        <x:v>SCA</x:v>
      </x:c>
      <x:c r="C4" s="87" t="str">
        <x:v>2025 population</x:v>
      </x:c>
      <x:c r="D4" s="87" t="str">
        <x:v>Clinical</x:v>
      </x:c>
      <x:c r="E4" s="87" t="str">
        <x:v>Accessible</x:v>
      </x:c>
      <x:c r="F4" s="87" t="str">
        <x:v>Custodial</x:v>
      </x:c>
      <x:c r="G4" s="87" t="str">
        <x:v>No vehicle</x:v>
      </x:c>
      <x:c r="H4" s="87" t="str">
        <x:v>General</x:v>
      </x:c>
      <x:c r="I4" s="87" t="str">
        <x:v>ACS universe</x:v>
      </x:c>
      <x:c r="J4" s="87" t="str">
        <x:v>ACS disability</x:v>
      </x:c>
      <x:c r="K4" s="87" t="str">
        <x:v>Institutional est.</x:v>
      </x:c>
      <x:c r="L4" s="88" t="str">
        <x:v>Nursing est.</x:v>
      </x:c>
    </x:row>
    <x:row r="5" ht="15" hidden="0" customHeight="1">
      <x:c r="A5" s="28" t="str">
        <x:v>15003</x:v>
      </x:c>
      <x:c r="B5" s="28" t="str">
        <x:v>SCA-01</x:v>
      </x:c>
      <x:c r="C5" s="42" t="n">
        <x:v>988703</x:v>
      </x:c>
      <x:c r="D5" s="42" t="n">
        <x:v>8580.68383910005</x:v>
      </x:c>
      <x:c r="E5" s="42" t="n">
        <x:v>119114.35542374924</x:v>
      </x:c>
      <x:c r="F5" s="42" t="n">
        <x:v>2838.381818181818</x:v>
      </x:c>
      <x:c r="G5" s="42" t="n">
        <x:v>49541.57298097565</x:v>
      </x:c>
      <x:c r="H5" s="42" t="n">
        <x:v>808628.0059379933</x:v>
      </x:c>
      <x:c r="I5" s="42" t="n">
        <x:v>988703</x:v>
      </x:c>
      <x:c r="J5" s="42" t="n">
        <x:v>118672</x:v>
      </x:c>
      <x:c r="K5" s="42" t="n">
        <x:v>6455.967514625649</x:v>
      </x:c>
      <x:c r="L5" s="42" t="n">
        <x:v>3617.585696443831</x:v>
      </x:c>
    </x:row>
    <x:row r="6" ht="15" hidden="0" customHeight="1">
      <x:c r="A6" s="27" t="str">
        <x:v>15001</x:v>
      </x:c>
      <x:c r="B6" s="27" t="str">
        <x:v>SCA-01</x:v>
      </x:c>
      <x:c r="C6" s="43" t="n">
        <x:v>210043</x:v>
      </x:c>
      <x:c r="D6" s="43" t="n">
        <x:v>2116.990904219727</x:v>
      </x:c>
      <x:c r="E6" s="43" t="n">
        <x:v>32363.046266551748</x:v>
      </x:c>
      <x:c r="F6" s="43" t="n">
        <x:v>602.9942583732058</x:v>
      </x:c>
      <x:c r="G6" s="43" t="n">
        <x:v>5380.7873026521975</x:v>
      </x:c>
      <x:c r="H6" s="43" t="n">
        <x:v>169579.18126820313</x:v>
      </x:c>
      <x:c r="I6" s="43" t="n">
        <x:v>210043</x:v>
      </x:c>
      <x:c r="J6" s="43" t="n">
        <x:v>32775</x:v>
      </x:c>
      <x:c r="K6" s="43" t="n">
        <x:v>1371.5249014866095</x:v>
      </x:c>
      <x:c r="L6" s="43" t="n">
        <x:v>768.5306431134037</x:v>
      </x:c>
    </x:row>
    <x:row r="7" ht="15" hidden="0" customHeight="1">
      <x:c r="A7" s="29" t="str">
        <x:v>15009</x:v>
      </x:c>
      <x:c r="B7" s="29" t="str">
        <x:v>SCA-01</x:v>
      </x:c>
      <x:c r="C7" s="44" t="n">
        <x:v>160592</x:v>
      </x:c>
      <x:c r="D7" s="44" t="n">
        <x:v>1350.9988788648714</x:v>
      </x:c>
      <x:c r="E7" s="44" t="n">
        <x:v>18321.732347134224</x:v>
      </x:c>
      <x:c r="F7" s="44" t="n">
        <x:v>461.02966507177024</x:v>
      </x:c>
      <x:c r="G7" s="44" t="n">
        <x:v>4409.312656549285</x:v>
      </x:c>
      <x:c r="H7" s="44" t="n">
        <x:v>136048.92645237985</x:v>
      </x:c>
      <x:c r="I7" s="44" t="n">
        <x:v>160592</x:v>
      </x:c>
      <x:c r="J7" s="44" t="n">
        <x:v>19358</x:v>
      </x:c>
      <x:c r="K7" s="44" t="n">
        <x:v>1048.6230294727154</x:v>
      </x:c>
      <x:c r="L7" s="44" t="n">
        <x:v>587.5933644009451</x:v>
      </x:c>
    </x:row>
    <x:row r="8" ht="15" hidden="0" customHeight="1">
      <x:c r="A8" s="27" t="str">
        <x:v>15007</x:v>
      </x:c>
      <x:c r="B8" s="27" t="str">
        <x:v>SCA-01</x:v>
      </x:c>
      <x:c r="C8" s="43" t="n">
        <x:v>73400</x:v>
      </x:c>
      <x:c r="D8" s="43" t="n">
        <x:v>581.441615193512</x:v>
      </x:c>
      <x:c r="E8" s="43" t="n">
        <x:v>7509.044373835871</x:v>
      </x:c>
      <x:c r="F8" s="43" t="n">
        <x:v>210.71770334928226</x:v>
      </x:c>
      <x:c r="G8" s="43" t="n">
        <x:v>1351.7661197545742</x:v>
      </x:c>
      <x:c r="H8" s="43" t="n">
        <x:v>63747.03018786676</x:v>
      </x:c>
      <x:c r="I8" s="43" t="n">
        <x:v>73400</x:v>
      </x:c>
      <x:c r="J8" s="43" t="n">
        <x:v>7781</x:v>
      </x:c>
      <x:c r="K8" s="43" t="n">
        <x:v>479.28246963296624</x:v>
      </x:c>
      <x:c r="L8" s="43" t="n">
        <x:v>268.564766283684</x:v>
      </x:c>
    </x:row>
    <x:row r="9" ht="15" hidden="0" customHeight="1">
      <x:c r="A9" s="29" t="str">
        <x:v>15005</x:v>
      </x:c>
      <x:c r="B9" s="29" t="str">
        <x:v>SCA-01</x:v>
      </x:c>
      <x:c r="C9" s="44" t="n">
        <x:v>82</x:v>
      </x:c>
      <x:c r="D9" s="44" t="n">
        <x:v>1.144879967617723</x:v>
      </x:c>
      <x:c r="E9" s="44" t="n">
        <x:v>20.276363636363634</x:v>
      </x:c>
      <x:c r="F9" s="44" t="n">
        <x:v>0.2354066985645933</x:v>
      </x:c>
      <x:c r="G9" s="44" t="n">
        <x:v>4.454545454545454</x:v>
      </x:c>
      <x:c r="H9" s="44" t="n">
        <x:v>55.88880424290859</x:v>
      </x:c>
      <x:c r="I9" s="44" t="n">
        <x:v>82</x:v>
      </x:c>
      <x:c r="J9" s="44" t="n">
        <x:v>17</x:v>
      </x:c>
      <x:c r="K9" s="44" t="n">
        <x:v>0.5354381813338315</x:v>
      </x:c>
      <x:c r="L9" s="44" t="n">
        <x:v>0.3000314827692382</x:v>
      </x:c>
    </x:row>
    <x:row r="10" ht="15" hidden="0" customHeight="1">
      <x:c r="A10" s="27" t="str">
        <x:v>02020</x:v>
      </x:c>
      <x:c r="B10" s="27" t="str">
        <x:v>SCA-02</x:v>
      </x:c>
      <x:c r="C10" s="43" t="n">
        <x:v>287155</x:v>
      </x:c>
      <x:c r="D10" s="43" t="n">
        <x:v>2141.9792638107324</x:v>
      </x:c>
      <x:c r="E10" s="43" t="n">
        <x:v>34611.589344476364</x:v>
      </x:c>
      <x:c r="F10" s="43" t="n">
        <x:v>2186.91904782617</x:v>
      </x:c>
      <x:c r="G10" s="43" t="n">
        <x:v>9663.92919169496</x:v>
      </x:c>
      <x:c r="H10" s="43" t="n">
        <x:v>238550.5831521918</x:v>
      </x:c>
      <x:c r="I10" s="43" t="n">
        <x:v>287155</x:v>
      </x:c>
      <x:c r="J10" s="43" t="n">
        <x:v>34614</x:v>
      </x:c>
      <x:c r="K10" s="43" t="n">
        <x:v>2886.7487556170536</x:v>
      </x:c>
      <x:c r="L10" s="43" t="n">
        <x:v>699.8297077908838</x:v>
      </x:c>
    </x:row>
    <x:row r="11" ht="15" hidden="0" customHeight="1">
      <x:c r="A11" s="29" t="str">
        <x:v>02170</x:v>
      </x:c>
      <x:c r="B11" s="29" t="str">
        <x:v>SCA-02</x:v>
      </x:c>
      <x:c r="C11" s="44" t="n">
        <x:v>118666</x:v>
      </x:c>
      <x:c r="D11" s="44" t="n">
        <x:v>951.8165680741021</x:v>
      </x:c>
      <x:c r="E11" s="44" t="n">
        <x:v>15902.73360385345</x:v>
      </x:c>
      <x:c r="F11" s="44" t="n">
        <x:v>903.7381753037221</x:v>
      </x:c>
      <x:c r="G11" s="44" t="n">
        <x:v>2107.1283936651585</x:v>
      </x:c>
      <x:c r="H11" s="44" t="n">
        <x:v>98800.58325910357</x:v>
      </x:c>
      <x:c r="I11" s="44" t="n">
        <x:v>118666</x:v>
      </x:c>
      <x:c r="J11" s="44" t="n">
        <x:v>15302</x:v>
      </x:c>
      <x:c r="K11" s="44" t="n">
        <x:v>1192.9408432172636</x:v>
      </x:c>
      <x:c r="L11" s="44" t="n">
        <x:v>289.2026679135415</x:v>
      </x:c>
    </x:row>
    <x:row r="12" ht="15" hidden="0" customHeight="1">
      <x:c r="A12" s="27" t="str">
        <x:v>02090</x:v>
      </x:c>
      <x:c r="B12" s="27" t="str">
        <x:v>SCA-02</x:v>
      </x:c>
      <x:c r="C12" s="43" t="n">
        <x:v>93972</x:v>
      </x:c>
      <x:c r="D12" s="43" t="n">
        <x:v>772.3285548704425</x:v>
      </x:c>
      <x:c r="E12" s="43" t="n">
        <x:v>13039.392011140768</x:v>
      </x:c>
      <x:c r="F12" s="43" t="n">
        <x:v>715.6732662231925</x:v>
      </x:c>
      <x:c r="G12" s="43" t="n">
        <x:v>1987.6616281768593</x:v>
      </x:c>
      <x:c r="H12" s="43" t="n">
        <x:v>77456.94453958873</x:v>
      </x:c>
      <x:c r="I12" s="43" t="n">
        <x:v>93972</x:v>
      </x:c>
      <x:c r="J12" s="43" t="n">
        <x:v>12455</x:v>
      </x:c>
      <x:c r="K12" s="43" t="n">
        <x:v>944.6938206294362</x:v>
      </x:c>
      <x:c r="L12" s="43" t="n">
        <x:v>229.02055440624378</x:v>
      </x:c>
    </x:row>
    <x:row r="13" ht="15" hidden="0" customHeight="1">
      <x:c r="A13" s="29" t="str">
        <x:v>02122</x:v>
      </x:c>
      <x:c r="B13" s="29" t="str">
        <x:v>SCA-02</x:v>
      </x:c>
      <x:c r="C13" s="44" t="n">
        <x:v>61951</x:v>
      </x:c>
      <x:c r="D13" s="44" t="n">
        <x:v>578.5693431657986</x:v>
      </x:c>
      <x:c r="E13" s="44" t="n">
        <x:v>10262.103422284565</x:v>
      </x:c>
      <x:c r="F13" s="44" t="n">
        <x:v>471.8072885092687</x:v>
      </x:c>
      <x:c r="G13" s="44" t="n">
        <x:v>1819.1471920366394</x:v>
      </x:c>
      <x:c r="H13" s="44" t="n">
        <x:v>48819.37275400373</x:v>
      </x:c>
      <x:c r="I13" s="44" t="n">
        <x:v>61951</x:v>
      </x:c>
      <x:c r="J13" s="44" t="n">
        <x:v>10210</x:v>
      </x:c>
      <x:c r="K13" s="44" t="n">
        <x:v>622.7889890798771</x:v>
      </x:c>
      <x:c r="L13" s="44" t="n">
        <x:v>150.98170057060835</x:v>
      </x:c>
    </x:row>
    <x:row r="14" ht="15" hidden="0" customHeight="1">
      <x:c r="A14" s="27" t="str">
        <x:v>02110</x:v>
      </x:c>
      <x:c r="B14" s="27" t="str">
        <x:v>SCA-02</x:v>
      </x:c>
      <x:c r="C14" s="43" t="n">
        <x:v>31609</x:v>
      </x:c>
      <x:c r="D14" s="43" t="n">
        <x:v>225.56499026135725</x:v>
      </x:c>
      <x:c r="E14" s="43" t="n">
        <x:v>3564.7254656144305</x:v>
      </x:c>
      <x:c r="F14" s="43" t="n">
        <x:v>240.7282623765472</x:v>
      </x:c>
      <x:c r="G14" s="43" t="n">
        <x:v>1611.4913190529876</x:v>
      </x:c>
      <x:c r="H14" s="43" t="n">
        <x:v>25966.489962694675</x:v>
      </x:c>
      <x:c r="I14" s="43" t="n">
        <x:v>31609</x:v>
      </x:c>
      <x:c r="J14" s="43" t="n">
        <x:v>3647</x:v>
      </x:c>
      <x:c r="K14" s="43" t="n">
        <x:v>317.76302490396984</x:v>
      </x:c>
      <x:c r="L14" s="43" t="n">
        <x:v>77.03476252742263</x:v>
      </x:c>
    </x:row>
    <x:row r="15" ht="15" hidden="0" customHeight="1">
      <x:c r="A15" s="29" t="str">
        <x:v>02050</x:v>
      </x:c>
      <x:c r="B15" s="29" t="str">
        <x:v>SCA-02</x:v>
      </x:c>
      <x:c r="C15" s="44" t="n">
        <x:v>18391</x:v>
      </x:c>
      <x:c r="D15" s="44" t="n">
        <x:v>132.91573792978187</x:v>
      </x:c>
      <x:c r="E15" s="44" t="n">
        <x:v>2114.2742200618645</x:v>
      </x:c>
      <x:c r="F15" s="44" t="n">
        <x:v>140.06243390702267</x:v>
      </x:c>
      <x:c r="G15" s="44" t="n">
        <x:v>7396.719399027839</x:v>
      </x:c>
      <x:c r="H15" s="44" t="n">
        <x:v>8607.02820907349</x:v>
      </x:c>
      <x:c r="I15" s="44" t="n">
        <x:v>18391</x:v>
      </x:c>
      <x:c r="J15" s="44" t="n">
        <x:v>2168</x:v>
      </x:c>
      <x:c r="K15" s="44" t="n">
        <x:v>184.88341266756015</x:v>
      </x:c>
      <x:c r="L15" s="44" t="n">
        <x:v>44.82097876053749</x:v>
      </x:c>
    </x:row>
    <x:row r="16" ht="15" hidden="0" customHeight="1">
      <x:c r="A16" s="27" t="str">
        <x:v>02130</x:v>
      </x:c>
      <x:c r="B16" s="27" t="str">
        <x:v>SCA-02</x:v>
      </x:c>
      <x:c r="C16" s="43" t="n">
        <x:v>13549</x:v>
      </x:c>
      <x:c r="D16" s="43" t="n">
        <x:v>107.99900041978107</x:v>
      </x:c>
      <x:c r="E16" s="43" t="n">
        <x:v>1799.484759493671</x:v>
      </x:c>
      <x:c r="F16" s="43" t="n">
        <x:v>103.18666287892175</x:v>
      </x:c>
      <x:c r="G16" s="43" t="n">
        <x:v>793.151600893522</x:v>
      </x:c>
      <x:c r="H16" s="43" t="n">
        <x:v>10745.177976314106</x:v>
      </x:c>
      <x:c r="I16" s="43" t="n">
        <x:v>13549</x:v>
      </x:c>
      <x:c r="J16" s="43" t="n">
        <x:v>1858</x:v>
      </x:c>
      <x:c r="K16" s="43" t="n">
        <x:v>136.2071316531332</x:v>
      </x:c>
      <x:c r="L16" s="43" t="n">
        <x:v>33.02046877421144</x:v>
      </x:c>
    </x:row>
    <x:row r="17" ht="15" hidden="0" customHeight="1">
      <x:c r="A17" s="29" t="str">
        <x:v>02150</x:v>
      </x:c>
      <x:c r="B17" s="29" t="str">
        <x:v>SCA-02</x:v>
      </x:c>
      <x:c r="C17" s="44" t="n">
        <x:v>12387</x:v>
      </x:c>
      <x:c r="D17" s="44" t="n">
        <x:v>74.48487075439866</x:v>
      </x:c>
      <x:c r="E17" s="44" t="n">
        <x:v>1063.111905785266</x:v>
      </x:c>
      <x:c r="F17" s="44" t="n">
        <x:v>94.33708709729159</x:v>
      </x:c>
      <x:c r="G17" s="44" t="n">
        <x:v>581.8728616865814</x:v>
      </x:c>
      <x:c r="H17" s="44" t="n">
        <x:v>10573.193274676463</x:v>
      </x:c>
      <x:c r="I17" s="44" t="n">
        <x:v>12387</x:v>
      </x:c>
      <x:c r="J17" s="44" t="n">
        <x:v>1040</x:v>
      </x:c>
      <x:c r="K17" s="44" t="n">
        <x:v>124.52562844397083</x:v>
      </x:c>
      <x:c r="L17" s="44" t="n">
        <x:v>30.18854134667924</x:v>
      </x:c>
    </x:row>
    <x:row r="18" ht="15" hidden="0" customHeight="1">
      <x:c r="A18" s="27" t="str">
        <x:v>02185</x:v>
      </x:c>
      <x:c r="B18" s="27" t="str">
        <x:v>SCA-02</x:v>
      </x:c>
      <x:c r="C18" s="43" t="n">
        <x:v>10582</x:v>
      </x:c>
      <x:c r="D18" s="43" t="n">
        <x:v>80.18761204017903</x:v>
      </x:c>
      <x:c r="E18" s="43" t="n">
        <x:v>1305.5535108958836</x:v>
      </x:c>
      <x:c r="F18" s="43" t="n">
        <x:v>80.59054296145472</x:v>
      </x:c>
      <x:c r="G18" s="43" t="n">
        <x:v>1909.4224250325944</x:v>
      </x:c>
      <x:c r="H18" s="43" t="n">
        <x:v>7206.245909069888</x:v>
      </x:c>
      <x:c r="I18" s="43" t="n">
        <x:v>10582</x:v>
      </x:c>
      <x:c r="J18" s="43" t="n">
        <x:v>1380</x:v>
      </x:c>
      <x:c r="K18" s="43" t="n">
        <x:v>106.3800920476386</x:v>
      </x:c>
      <x:c r="L18" s="43" t="n">
        <x:v>25.789549086183882</x:v>
      </x:c>
    </x:row>
    <x:row r="19" ht="15" hidden="0" customHeight="1">
      <x:c r="A19" s="29" t="str">
        <x:v>02180</x:v>
      </x:c>
      <x:c r="B19" s="29" t="str">
        <x:v>SCA-02</x:v>
      </x:c>
      <x:c r="C19" s="44" t="n">
        <x:v>9830</x:v>
      </x:c>
      <x:c r="D19" s="44" t="n">
        <x:v>67.83514987585238</x:v>
      </x:c>
      <x:c r="E19" s="44" t="n">
        <x:v>1053.0794673273458</x:v>
      </x:c>
      <x:c r="F19" s="44" t="n">
        <x:v>74.86345088934983</x:v>
      </x:c>
      <x:c r="G19" s="44" t="n">
        <x:v>4222.154949932899</x:v>
      </x:c>
      <x:c r="H19" s="44" t="n">
        <x:v>4412.066981974553</x:v>
      </x:c>
      <x:c r="I19" s="44" t="n">
        <x:v>9830</x:v>
      </x:c>
      <x:c r="J19" s="44" t="n">
        <x:v>1081</x:v>
      </x:c>
      <x:c r="K19" s="44" t="n">
        <x:v>98.8202896265628</x:v>
      </x:c>
      <x:c r="L19" s="44" t="n">
        <x:v>23.956838737212962</x:v>
      </x:c>
    </x:row>
    <x:row r="20" ht="15" hidden="0" customHeight="1">
      <x:c r="A20" s="27" t="str">
        <x:v>02220</x:v>
      </x:c>
      <x:c r="B20" s="27" t="str">
        <x:v>SCA-02</x:v>
      </x:c>
      <x:c r="C20" s="43" t="n">
        <x:v>8319</x:v>
      </x:c>
      <x:c r="D20" s="43" t="n">
        <x:v>82.3867660391409</x:v>
      </x:c>
      <x:c r="E20" s="43" t="n">
        <x:v>1490.6977872876023</x:v>
      </x:c>
      <x:c r="F20" s="43" t="n">
        <x:v>63.35595604766034</x:v>
      </x:c>
      <x:c r="G20" s="43" t="n">
        <x:v>515.2519823788546</x:v>
      </x:c>
      <x:c r="H20" s="43" t="n">
        <x:v>6167.307508246742</x:v>
      </x:c>
      <x:c r="I20" s="43" t="n">
        <x:v>8319</x:v>
      </x:c>
      <x:c r="J20" s="43" t="n">
        <x:v>1483</x:v>
      </x:c>
      <x:c r="K20" s="43" t="n">
        <x:v>83.63031428315115</x:v>
      </x:c>
      <x:c r="L20" s="43" t="n">
        <x:v>20.274358235490805</x:v>
      </x:c>
    </x:row>
    <x:row r="21" ht="15" hidden="0" customHeight="1">
      <x:c r="A21" s="29" t="str">
        <x:v>02158</x:v>
      </x:c>
      <x:c r="B21" s="29" t="str">
        <x:v>SCA-02</x:v>
      </x:c>
      <x:c r="C21" s="44" t="n">
        <x:v>7932</x:v>
      </x:c>
      <x:c r="D21" s="44" t="n">
        <x:v>62.630217216150584</x:v>
      </x:c>
      <x:c r="E21" s="44" t="n">
        <x:v>1039.1765380374861</x:v>
      </x:c>
      <x:c r="F21" s="44" t="n">
        <x:v>60.408636058425515</x:v>
      </x:c>
      <x:c r="G21" s="44" t="n">
        <x:v>4534.830760749725</x:v>
      </x:c>
      <x:c r="H21" s="44" t="n">
        <x:v>2234.953847938213</x:v>
      </x:c>
      <x:c r="I21" s="44" t="n">
        <x:v>7932</x:v>
      </x:c>
      <x:c r="J21" s="44" t="n">
        <x:v>1114</x:v>
      </x:c>
      <x:c r="K21" s="44" t="n">
        <x:v>79.73983085634751</x:v>
      </x:c>
      <x:c r="L21" s="44" t="n">
        <x:v>19.331194797921995</x:v>
      </x:c>
    </x:row>
    <x:row r="22" ht="15" hidden="0" customHeight="1">
      <x:c r="A22" s="27" t="str">
        <x:v>02240</x:v>
      </x:c>
      <x:c r="B22" s="27" t="str">
        <x:v>SCA-02</x:v>
      </x:c>
      <x:c r="C22" s="43" t="n">
        <x:v>7270</x:v>
      </x:c>
      <x:c r="D22" s="43" t="n">
        <x:v>56.90692781181599</x:v>
      </x:c>
      <x:c r="E22" s="43" t="n">
        <x:v>940.538472685118</x:v>
      </x:c>
      <x:c r="F22" s="43" t="n">
        <x:v>55.36696723963105</x:v>
      </x:c>
      <x:c r="G22" s="43" t="n">
        <x:v>226.69207361251992</x:v>
      </x:c>
      <x:c r="H22" s="43" t="n">
        <x:v>5990.495558650915</x:v>
      </x:c>
      <x:c r="I22" s="43" t="n">
        <x:v>7270</x:v>
      </x:c>
      <x:c r="J22" s="43" t="n">
        <x:v>930</x:v>
      </x:c>
      <x:c r="K22" s="43" t="n">
        <x:v>73.08479202290046</x:v>
      </x:c>
      <x:c r="L22" s="43" t="n">
        <x:v>17.717824783269403</x:v>
      </x:c>
    </x:row>
    <x:row r="23" ht="15" hidden="0" customHeight="1">
      <x:c r="A23" s="29" t="str">
        <x:v>02188</x:v>
      </x:c>
      <x:c r="B23" s="29" t="str">
        <x:v>SCA-02</x:v>
      </x:c>
      <x:c r="C23" s="44" t="n">
        <x:v>7095</x:v>
      </x:c>
      <x:c r="D23" s="44" t="n">
        <x:v>50.61182204639714</x:v>
      </x:c>
      <x:c r="E23" s="44" t="n">
        <x:v>799.6918165832544</x:v>
      </x:c>
      <x:c r="F23" s="44" t="n">
        <x:v>54.03419980263856</x:v>
      </x:c>
      <x:c r="G23" s="44" t="n">
        <x:v>3306.1882862166917</x:v>
      </x:c>
      <x:c r="H23" s="44" t="n">
        <x:v>2884.4738753510183</x:v>
      </x:c>
      <x:c r="I23" s="44" t="n">
        <x:v>7095</x:v>
      </x:c>
      <x:c r="J23" s="44" t="n">
        <x:v>868</x:v>
      </x:c>
      <x:c r="K23" s="44" t="n">
        <x:v>71.3255294914001</x:v>
      </x:c>
      <x:c r="L23" s="44" t="n">
        <x:v>17.291329688761543</x:v>
      </x:c>
    </x:row>
    <x:row r="24" ht="15" hidden="0" customHeight="1">
      <x:c r="A24" s="27" t="str">
        <x:v>02063</x:v>
      </x:c>
      <x:c r="B24" s="27" t="str">
        <x:v>SCA-02</x:v>
      </x:c>
      <x:c r="C24" s="43" t="n">
        <x:v>6553</x:v>
      </x:c>
      <x:c r="D24" s="43" t="n">
        <x:v>55.05143705111608</x:v>
      </x:c>
      <x:c r="E24" s="43" t="n">
        <x:v>937.9445663499847</x:v>
      </x:c>
      <x:c r="F24" s="43" t="n">
        <x:v>49.90642865492467</x:v>
      </x:c>
      <x:c r="G24" s="43" t="n">
        <x:v>318.66357646337724</x:v>
      </x:c>
      <x:c r="H24" s="43" t="n">
        <x:v>5191.433991480597</x:v>
      </x:c>
      <x:c r="I24" s="43" t="n">
        <x:v>6553</x:v>
      </x:c>
      <x:c r="J24" s="43" t="n">
        <x:v>973</x:v>
      </x:c>
      <x:c r="K24" s="43" t="n">
        <x:v>65.87684210812472</x:v>
      </x:c>
      <x:c r="L24" s="43" t="n">
        <x:v>15.970413453200054</x:v>
      </x:c>
    </x:row>
    <x:row r="25" ht="15" hidden="0" customHeight="1">
      <x:c r="A25" s="29" t="str">
        <x:v>02198</x:v>
      </x:c>
      <x:c r="B25" s="29" t="str">
        <x:v>SCA-02</x:v>
      </x:c>
      <x:c r="C25" s="44" t="n">
        <x:v>5777</x:v>
      </x:c>
      <x:c r="D25" s="44" t="n">
        <x:v>62.37971778891636</x:v>
      </x:c>
      <x:c r="E25" s="44" t="n">
        <x:v>1159.2121305721305</x:v>
      </x:c>
      <x:c r="F25" s="44" t="n">
        <x:v>43.996557048603655</x:v>
      </x:c>
      <x:c r="G25" s="44" t="n">
        <x:v>373.3422253422254</x:v>
      </x:c>
      <x:c r="H25" s="44" t="n">
        <x:v>4138.0693692481245</x:v>
      </x:c>
      <x:c r="I25" s="44" t="n">
        <x:v>5777</x:v>
      </x:c>
      <x:c r="J25" s="44" t="n">
        <x:v>1191</x:v>
      </x:c>
      <x:c r="K25" s="44" t="n">
        <x:v>58.07576939701457</x:v>
      </x:c>
      <x:c r="L25" s="44" t="n">
        <x:v>14.079212348410913</x:v>
      </x:c>
    </x:row>
    <x:row r="26" ht="15" hidden="0" customHeight="1">
      <x:c r="A26" s="27" t="str">
        <x:v>02016</x:v>
      </x:c>
      <x:c r="B26" s="27" t="str">
        <x:v>SCA-02</x:v>
      </x:c>
      <x:c r="C26" s="43" t="n">
        <x:v>5240</x:v>
      </x:c>
      <x:c r="D26" s="43" t="n">
        <x:v>42.91362549968725</x:v>
      </x:c>
      <x:c r="E26" s="43" t="n">
        <x:v>723.4354515050165</x:v>
      </x:c>
      <x:c r="F26" s="43" t="n">
        <x:v>39.906864970518114</x:v>
      </x:c>
      <x:c r="G26" s="43" t="n">
        <x:v>63.785953177257525</x:v>
      </x:c>
      <x:c r="H26" s="43" t="n">
        <x:v>4369.95810484752</x:v>
      </x:c>
      <x:c r="I26" s="43" t="n">
        <x:v>5240</x:v>
      </x:c>
      <x:c r="J26" s="43" t="n">
        <x:v>731</x:v>
      </x:c>
      <x:c r="K26" s="43" t="n">
        <x:v>52.67734665749634</x:v>
      </x:c>
      <x:c r="L26" s="43" t="n">
        <x:v>12.770481686978222</x:v>
      </x:c>
    </x:row>
    <x:row r="27" ht="15" hidden="0" customHeight="1">
      <x:c r="A27" s="29" t="str">
        <x:v>02290</x:v>
      </x:c>
      <x:c r="B27" s="29" t="str">
        <x:v>SCA-02</x:v>
      </x:c>
      <x:c r="C27" s="44" t="n">
        <x:v>5028</x:v>
      </x:c>
      <x:c r="D27" s="44" t="n">
        <x:v>49.337013962394266</x:v>
      </x:c>
      <x:c r="E27" s="44" t="n">
        <x:v>889.996814843448</x:v>
      </x:c>
      <x:c r="F27" s="44" t="n">
        <x:v>38.29231241827578</x:v>
      </x:c>
      <x:c r="G27" s="44" t="n">
        <x:v>1331.4940085040587</x:v>
      </x:c>
      <x:c r="H27" s="44" t="n">
        <x:v>2718.879850271823</x:v>
      </x:c>
      <x:c r="I27" s="44" t="n">
        <x:v>5028</x:v>
      </x:c>
      <x:c r="J27" s="44" t="n">
        <x:v>954</x:v>
      </x:c>
      <x:c r="K27" s="44" t="n">
        <x:v>50.54612576219305</x:v>
      </x:c>
      <x:c r="L27" s="44" t="n">
        <x:v>12.25381334391727</x:v>
      </x:c>
    </x:row>
    <x:row r="28" ht="15" hidden="0" customHeight="1">
      <x:c r="A28" s="27" t="str">
        <x:v>02070</x:v>
      </x:c>
      <x:c r="B28" s="27" t="str">
        <x:v>SCA-02</x:v>
      </x:c>
      <x:c r="C28" s="43" t="n">
        <x:v>4483</x:v>
      </x:c>
      <x:c r="D28" s="43" t="n">
        <x:v>31.972713129389877</x:v>
      </x:c>
      <x:c r="E28" s="43" t="n">
        <x:v>505.131056772273</x:v>
      </x:c>
      <x:c r="F28" s="43" t="n">
        <x:v>34.14169382878487</x:v>
      </x:c>
      <x:c r="G28" s="43" t="n">
        <x:v>1197.7263448862427</x:v>
      </x:c>
      <x:c r="H28" s="43" t="n">
        <x:v>2714.0281913833096</x:v>
      </x:c>
      <x:c r="I28" s="43" t="n">
        <x:v>4483</x:v>
      </x:c>
      <x:c r="J28" s="43" t="n">
        <x:v>552</x:v>
      </x:c>
      <x:c r="K28" s="43" t="n">
        <x:v>45.067279592663375</x:v>
      </x:c>
      <x:c r="L28" s="43" t="n">
        <x:v>10.925585763878505</x:v>
      </x:c>
    </x:row>
    <x:row r="29" ht="15" hidden="0" customHeight="1">
      <x:c r="A29" s="29" t="str">
        <x:v>02013</x:v>
      </x:c>
      <x:c r="B29" s="29" t="str">
        <x:v>SCA-02</x:v>
      </x:c>
      <x:c r="C29" s="44" t="n">
        <x:v>3479</x:v>
      </x:c>
      <x:c r="D29" s="44" t="n">
        <x:v>25.94398502930674</x:v>
      </x:c>
      <x:c r="E29" s="44" t="n">
        <x:v>419.16630121177144</x:v>
      </x:c>
      <x:c r="F29" s="44" t="n">
        <x:v>26.495416647410785</x:v>
      </x:c>
      <x:c r="G29" s="44" t="n">
        <x:v>299.95181765724175</x:v>
      </x:c>
      <x:c r="H29" s="44" t="n">
        <x:v>2707.4424794542692</x:v>
      </x:c>
      <x:c r="I29" s="44" t="n">
        <x:v>3479</x:v>
      </x:c>
      <x:c r="J29" s="44" t="n">
        <x:v>435</x:v>
      </x:c>
      <x:c r="K29" s="44" t="n">
        <x:v>34.97413912622705</x:v>
      </x:c>
      <x:c r="L29" s="44" t="n">
        <x:v>8.478722478816266</x:v>
      </x:c>
    </x:row>
    <x:row r="30" ht="15" hidden="0" customHeight="1">
      <x:c r="A30" s="27" t="str">
        <x:v>02195</x:v>
      </x:c>
      <x:c r="B30" s="27" t="str">
        <x:v>SCA-02</x:v>
      </x:c>
      <x:c r="C30" s="43" t="n">
        <x:v>3394</x:v>
      </x:c>
      <x:c r="D30" s="43" t="n">
        <x:v>29.569696158993704</x:v>
      </x:c>
      <x:c r="E30" s="43" t="n">
        <x:v>511.15508256880736</x:v>
      </x:c>
      <x:c r="F30" s="43" t="n">
        <x:v>25.84807246372872</x:v>
      </x:c>
      <x:c r="G30" s="43" t="n">
        <x:v>187.5940366972477</x:v>
      </x:c>
      <x:c r="H30" s="43" t="n">
        <x:v>2639.8331121112224</x:v>
      </x:c>
      <x:c r="I30" s="43" t="n">
        <x:v>3394</x:v>
      </x:c>
      <x:c r="J30" s="43" t="n">
        <x:v>513</x:v>
      </x:c>
      <x:c r="K30" s="43" t="n">
        <x:v>34.119640182355454</x:v>
      </x:c>
      <x:c r="L30" s="43" t="n">
        <x:v>8.271567718626734</x:v>
      </x:c>
    </x:row>
    <x:row r="31" ht="15" hidden="0" customHeight="1">
      <x:c r="A31" s="29" t="str">
        <x:v>02066</x:v>
      </x:c>
      <x:c r="B31" s="29" t="str">
        <x:v>SCA-02</x:v>
      </x:c>
      <x:c r="C31" s="44" t="n">
        <x:v>2666</x:v>
      </x:c>
      <x:c r="D31" s="44" t="n">
        <x:v>27.06770717818603</x:v>
      </x:c>
      <x:c r="E31" s="44" t="n">
        <x:v>493.6886172650878</x:v>
      </x:c>
      <x:c r="F31" s="44" t="n">
        <x:v>20.303759925839945</x:v>
      </x:c>
      <x:c r="G31" s="44" t="n">
        <x:v>133.172268907563</x:v>
      </x:c>
      <x:c r="H31" s="44" t="n">
        <x:v>1991.767646723323</x:v>
      </x:c>
      <x:c r="I31" s="44" t="n">
        <x:v>2666</x:v>
      </x:c>
      <x:c r="J31" s="44" t="n">
        <x:v>505</x:v>
      </x:c>
      <x:c r="K31" s="44" t="n">
        <x:v>26.801108051313978</x:v>
      </x:c>
      <x:c r="L31" s="44" t="n">
        <x:v>6.497348125474034</x:v>
      </x:c>
    </x:row>
    <x:row r="32" ht="15" hidden="0" customHeight="1">
      <x:c r="A32" s="27" t="str">
        <x:v>02105</x:v>
      </x:c>
      <x:c r="B32" s="27" t="str">
        <x:v>SCA-02</x:v>
      </x:c>
      <x:c r="C32" s="43" t="n">
        <x:v>2271</x:v>
      </x:c>
      <x:c r="D32" s="43" t="n">
        <x:v>24.402364099891965</x:v>
      </x:c>
      <x:c r="E32" s="43" t="n">
        <x:v>452.8242319342276</x:v>
      </x:c>
      <x:c r="F32" s="43" t="n">
        <x:v>17.295513425199744</x:v>
      </x:c>
      <x:c r="G32" s="43" t="n">
        <x:v>354.94937256598877</x:v>
      </x:c>
      <x:c r="H32" s="43" t="n">
        <x:v>1421.528517974692</x:v>
      </x:c>
      <x:c r="I32" s="43" t="n">
        <x:v>2271</x:v>
      </x:c>
      <x:c r="J32" s="43" t="n">
        <x:v>480</x:v>
      </x:c>
      <x:c r="K32" s="43" t="n">
        <x:v>22.83020119449889</x:v>
      </x:c>
      <x:c r="L32" s="43" t="n">
        <x:v>5.534687769299149</x:v>
      </x:c>
    </x:row>
    <x:row r="33" ht="15" hidden="0" customHeight="1">
      <x:c r="A33" s="29" t="str">
        <x:v>02100</x:v>
      </x:c>
      <x:c r="B33" s="29" t="str">
        <x:v>SCA-02</x:v>
      </x:c>
      <x:c r="C33" s="44" t="n">
        <x:v>2068</x:v>
      </x:c>
      <x:c r="D33" s="44" t="n">
        <x:v>21.185302857260393</x:v>
      </x:c>
      <x:c r="E33" s="44" t="n">
        <x:v>387.48838554216866</x:v>
      </x:c>
      <x:c r="F33" s="44" t="n">
        <x:v>15.749503198288448</x:v>
      </x:c>
      <x:c r="G33" s="44" t="n">
        <x:v>35.41204819277109</x:v>
      </x:c>
      <x:c r="H33" s="44" t="n">
        <x:v>1608.1647602095113</x:v>
      </x:c>
      <x:c r="I33" s="44" t="n">
        <x:v>2068</x:v>
      </x:c>
      <x:c r="J33" s="44" t="n">
        <x:v>405</x:v>
      </x:c>
      <x:c r="K33" s="44" t="n">
        <x:v>20.78945665795848</x:v>
      </x:c>
      <x:c r="L33" s="44" t="n">
        <x:v>5.039953459670031</x:v>
      </x:c>
    </x:row>
    <x:row r="34" ht="15" hidden="0" customHeight="1">
      <x:c r="A34" s="27" t="str">
        <x:v>02275</x:v>
      </x:c>
      <x:c r="B34" s="27" t="str">
        <x:v>SCA-02</x:v>
      </x:c>
      <x:c r="C34" s="43" t="n">
        <x:v>2007</x:v>
      </x:c>
      <x:c r="D34" s="43" t="n">
        <x:v>20.597400835444</x:v>
      </x:c>
      <x:c r="E34" s="43" t="n">
        <x:v>376.9466731234867</x:v>
      </x:c>
      <x:c r="F34" s="43" t="n">
        <x:v>15.284938548822495</x:v>
      </x:c>
      <x:c r="G34" s="43" t="n">
        <x:v>80.03365617433414</x:v>
      </x:c>
      <x:c r="H34" s="43" t="n">
        <x:v>1514.1373313179126</x:v>
      </x:c>
      <x:c r="I34" s="43" t="n">
        <x:v>2007</x:v>
      </x:c>
      <x:c r="J34" s="43" t="n">
        <x:v>404</x:v>
      </x:c>
      <x:c r="K34" s="43" t="n">
        <x:v>20.176228004121214</x:v>
      </x:c>
      <x:c r="L34" s="43" t="n">
        <x:v>4.891289455298719</x:v>
      </x:c>
    </x:row>
    <x:row r="35" ht="15" hidden="0" customHeight="1">
      <x:c r="A35" s="29" t="str">
        <x:v>02068</x:v>
      </x:c>
      <x:c r="B35" s="29" t="str">
        <x:v>SCA-02</x:v>
      </x:c>
      <x:c r="C35" s="44" t="n">
        <x:v>1616</x:v>
      </x:c>
      <x:c r="D35" s="44" t="n">
        <x:v>9.458048340319875</x:v>
      </x:c>
      <x:c r="E35" s="44" t="n">
        <x:v>132.4720987654321</x:v>
      </x:c>
      <x:c r="F35" s="44" t="n">
        <x:v>12.307155303884976</x:v>
      </x:c>
      <x:c r="G35" s="44" t="n">
        <x:v>79.57098765432099</x:v>
      </x:c>
      <x:c r="H35" s="44" t="n">
        <x:v>1382.191709936042</x:v>
      </x:c>
      <x:c r="I35" s="44" t="n">
        <x:v>1616</x:v>
      </x:c>
      <x:c r="J35" s="44" t="n">
        <x:v>166</x:v>
      </x:c>
      <x:c r="K35" s="44" t="n">
        <x:v>16.245532862311848</x:v>
      </x:c>
      <x:c r="L35" s="44" t="n">
        <x:v>3.9383775584268714</x:v>
      </x:c>
    </x:row>
    <x:row r="36" ht="15" hidden="0" customHeight="1">
      <x:c r="A36" s="27" t="str">
        <x:v>02164</x:v>
      </x:c>
      <x:c r="B36" s="27" t="str">
        <x:v>SCA-02</x:v>
      </x:c>
      <x:c r="C36" s="43" t="n">
        <x:v>1357</x:v>
      </x:c>
      <x:c r="D36" s="43" t="n">
        <x:v>9.541303432416626</x:v>
      </x:c>
      <x:c r="E36" s="43" t="n">
        <x:v>149.61932673267327</x:v>
      </x:c>
      <x:c r="F36" s="43" t="n">
        <x:v>10.334659497136085</x:v>
      </x:c>
      <x:c r="G36" s="43" t="n">
        <x:v>277.05148514851487</x:v>
      </x:c>
      <x:c r="H36" s="43" t="n">
        <x:v>910.4532251892592</x:v>
      </x:c>
      <x:c r="I36" s="43" t="n">
        <x:v>1357</x:v>
      </x:c>
      <x:c r="J36" s="43" t="n">
        <x:v>116</x:v>
      </x:c>
      <x:c r="K36" s="43" t="n">
        <x:v>13.641824315691323</x:v>
      </x:c>
      <x:c r="L36" s="43" t="n">
        <x:v>3.307164818555238</x:v>
      </x:c>
    </x:row>
    <x:row r="37" ht="15" hidden="0" customHeight="1">
      <x:c r="A37" s="29" t="str">
        <x:v>02230</x:v>
      </x:c>
      <x:c r="B37" s="29" t="str">
        <x:v>SCA-02</x:v>
      </x:c>
      <x:c r="C37" s="44" t="n">
        <x:v>1104</x:v>
      </x:c>
      <x:c r="D37" s="44" t="n">
        <x:v>11.920156761207291</x:v>
      </x:c>
      <x:c r="E37" s="44" t="n">
        <x:v>221.50996784565916</x:v>
      </x:c>
      <x:c r="F37" s="44" t="n">
        <x:v>8.407858573941223</x:v>
      </x:c>
      <x:c r="G37" s="44" t="n">
        <x:v>72.7717041800643</x:v>
      </x:c>
      <x:c r="H37" s="44" t="n">
        <x:v>789.390312639128</x:v>
      </x:c>
      <x:c r="I37" s="44" t="n">
        <x:v>1104</x:v>
      </x:c>
      <x:c r="J37" s="44" t="n">
        <x:v>260</x:v>
      </x:c>
      <x:c r="K37" s="44" t="n">
        <x:v>11.098433341579382</x:v>
      </x:c>
      <x:c r="L37" s="44" t="n">
        <x:v>2.6905747676381595</x:v>
      </x:c>
    </x:row>
    <x:row r="38" ht="15" hidden="0" customHeight="1">
      <x:c r="A38" s="27" t="str">
        <x:v>02060</x:v>
      </x:c>
      <x:c r="B38" s="27" t="str">
        <x:v>SCA-02</x:v>
      </x:c>
      <x:c r="C38" s="43" t="n">
        <x:v>847</x:v>
      </x:c>
      <x:c r="D38" s="43" t="n">
        <x:v>6.89884049376141</x:v>
      </x:c>
      <x:c r="E38" s="43" t="n">
        <x:v>116.0305016722408</x:v>
      </x:c>
      <x:c r="F38" s="43" t="n">
        <x:v>6.450594395043674</x:v>
      </x:c>
      <x:c r="G38" s="43" t="n">
        <x:v>27.86231884057971</x:v>
      </x:c>
      <x:c r="H38" s="43" t="n">
        <x:v>689.7577445983744</x:v>
      </x:c>
      <x:c r="I38" s="43" t="n">
        <x:v>847</x:v>
      </x:c>
      <x:c r="J38" s="43" t="n">
        <x:v>128</x:v>
      </x:c>
      <x:c r="K38" s="43" t="n">
        <x:v>8.514830652461718</x:v>
      </x:c>
      <x:c r="L38" s="43" t="n">
        <x:v>2.0642362574180444</x:v>
      </x:c>
    </x:row>
    <x:row r="39" ht="15" hidden="0" customHeight="1">
      <x:c r="A39" s="29" t="str">
        <x:v>02282</x:v>
      </x:c>
      <x:c r="B39" s="29" t="str">
        <x:v>SCA-02</x:v>
      </x:c>
      <x:c r="C39" s="44" t="n">
        <x:v>672</x:v>
      </x:c>
      <x:c r="D39" s="44" t="n">
        <x:v>4.881879093944668</x:v>
      </x:c>
      <x:c r="E39" s="44" t="n">
        <x:v>77.85931034482759</x:v>
      </x:c>
      <x:c r="F39" s="44" t="n">
        <x:v>5.117826958051179</x:v>
      </x:c>
      <x:c r="G39" s="44" t="n">
        <x:v>32.974137931034484</x:v>
      </x:c>
      <x:c r="H39" s="44" t="n">
        <x:v>551.1668456721421</x:v>
      </x:c>
      <x:c r="I39" s="44" t="n">
        <x:v>672</x:v>
      </x:c>
      <x:c r="J39" s="44" t="n">
        <x:v>63</x:v>
      </x:c>
      <x:c r="K39" s="44" t="n">
        <x:v>6.755568120961363</x:v>
      </x:c>
      <x:c r="L39" s="44" t="n">
        <x:v>1.6377411629101841</x:v>
      </x:c>
    </x:row>
    <x:row r="40" ht="15" hidden="0" customHeight="1">
      <x:c r="A40" s="27" t="str">
        <x:v>53033</x:v>
      </x:c>
      <x:c r="B40" s="27" t="str">
        <x:v>SCA-03</x:v>
      </x:c>
      <x:c r="C40" s="43" t="n">
        <x:v>2344939</x:v>
      </x:c>
      <x:c r="D40" s="43" t="n">
        <x:v>17424.717401035603</x:v>
      </x:c>
      <x:c r="E40" s="43" t="n">
        <x:v>231964.14232658618</x:v>
      </x:c>
      <x:c r="F40" s="43" t="n">
        <x:v>8072.758722106991</x:v>
      </x:c>
      <x:c r="G40" s="43" t="n">
        <x:v>138915.78238127995</x:v>
      </x:c>
      <x:c r="H40" s="43" t="n">
        <x:v>1948561.5991689912</x:v>
      </x:c>
      <x:c r="I40" s="43" t="n">
        <x:v>2344939</x:v>
      </x:c>
      <x:c r="J40" s="43" t="n">
        <x:v>234294</x:v>
      </x:c>
      <x:c r="K40" s="43" t="n">
        <x:v>15832.303526201506</x:v>
      </x:c>
      <x:c r="L40" s="43" t="n">
        <x:v>7759.544804094515</x:v>
      </x:c>
    </x:row>
    <x:row r="41" ht="15" hidden="0" customHeight="1">
      <x:c r="A41" s="29" t="str">
        <x:v>53053</x:v>
      </x:c>
      <x:c r="B41" s="29" t="str">
        <x:v>SCA-03</x:v>
      </x:c>
      <x:c r="C41" s="44" t="n">
        <x:v>946288</x:v>
      </x:c>
      <x:c r="D41" s="44" t="n">
        <x:v>8450.135565652829</x:v>
      </x:c>
      <x:c r="E41" s="44" t="n">
        <x:v>127651.47384670786</x:v>
      </x:c>
      <x:c r="F41" s="44" t="n">
        <x:v>3257.7200113202002</x:v>
      </x:c>
      <x:c r="G41" s="44" t="n">
        <x:v>27844.215868395255</x:v>
      </x:c>
      <x:c r="H41" s="44" t="n">
        <x:v>779084.4547079238</x:v>
      </x:c>
      <x:c r="I41" s="44" t="n">
        <x:v>946288</x:v>
      </x:c>
      <x:c r="J41" s="44" t="n">
        <x:v>126423</x:v>
      </x:c>
      <x:c r="K41" s="44" t="n">
        <x:v>6389.044166693534</x:v>
      </x:c>
      <x:c r="L41" s="44" t="n">
        <x:v>3131.3241553733337</x:v>
      </x:c>
    </x:row>
    <x:row r="42" ht="15" hidden="0" customHeight="1">
      <x:c r="A42" s="27" t="str">
        <x:v>53061</x:v>
      </x:c>
      <x:c r="B42" s="27" t="str">
        <x:v>SCA-03</x:v>
      </x:c>
      <x:c r="C42" s="43" t="n">
        <x:v>870656</x:v>
      </x:c>
      <x:c r="D42" s="43" t="n">
        <x:v>7189.629384164026</x:v>
      </x:c>
      <x:c r="E42" s="43" t="n">
        <x:v>103405.82605366019</x:v>
      </x:c>
      <x:c r="F42" s="43" t="n">
        <x:v>2997.346974891366</x:v>
      </x:c>
      <x:c r="G42" s="43" t="n">
        <x:v>23454.607569856966</x:v>
      </x:c>
      <x:c r="H42" s="43" t="n">
        <x:v>733608.5900174275</x:v>
      </x:c>
      <x:c r="I42" s="43" t="n">
        <x:v>870656</x:v>
      </x:c>
      <x:c r="J42" s="43" t="n">
        <x:v>103404</x:v>
      </x:c>
      <x:c r="K42" s="43" t="n">
        <x:v>5878.400273486218</x:v>
      </x:c>
      <x:c r="L42" s="43" t="n">
        <x:v>2881.053298594852</x:v>
      </x:c>
    </x:row>
    <x:row r="43" ht="15" hidden="0" customHeight="1">
      <x:c r="A43" s="29" t="str">
        <x:v>41051</x:v>
      </x:c>
      <x:c r="B43" s="29" t="str">
        <x:v>SCA-03</x:v>
      </x:c>
      <x:c r="C43" s="44" t="n">
        <x:v>795391</x:v>
      </x:c>
      <x:c r="D43" s="44" t="n">
        <x:v>7426.519932286355</x:v>
      </x:c>
      <x:c r="E43" s="44" t="n">
        <x:v>108910.9799195475</x:v>
      </x:c>
      <x:c r="F43" s="44" t="n">
        <x:v>4489.8917082109765</x:v>
      </x:c>
      <x:c r="G43" s="44" t="n">
        <x:v>52433.14141016828</x:v>
      </x:c>
      <x:c r="H43" s="44" t="n">
        <x:v>622130.4670297869</x:v>
      </x:c>
      <x:c r="I43" s="44" t="n">
        <x:v>795391</x:v>
      </x:c>
      <x:c r="J43" s="44" t="n">
        <x:v>113500</x:v>
      </x:c>
      <x:c r="K43" s="44" t="n">
        <x:v>7378.454143849519</x:v>
      </x:c>
      <x:c r="L43" s="44" t="n">
        <x:v>2888.562435638542</x:v>
      </x:c>
    </x:row>
    <x:row r="44" ht="15" hidden="0" customHeight="1">
      <x:c r="A44" s="27" t="str">
        <x:v>41067</x:v>
      </x:c>
      <x:c r="B44" s="27" t="str">
        <x:v>SCA-03</x:v>
      </x:c>
      <x:c r="C44" s="43" t="n">
        <x:v>611708</x:v>
      </x:c>
      <x:c r="D44" s="43" t="n">
        <x:v>5070.242676482409</x:v>
      </x:c>
      <x:c r="E44" s="43" t="n">
        <x:v>68369.95567645412</x:v>
      </x:c>
      <x:c r="F44" s="43" t="n">
        <x:v>3453.0220697069994</x:v>
      </x:c>
      <x:c r="G44" s="43" t="n">
        <x:v>19499.595030935812</x:v>
      </x:c>
      <x:c r="H44" s="43" t="n">
        <x:v>515315.18454642064</x:v>
      </x:c>
      <x:c r="I44" s="43" t="n">
        <x:v>611708</x:v>
      </x:c>
      <x:c r="J44" s="43" t="n">
        <x:v>69850</x:v>
      </x:c>
      <x:c r="K44" s="43" t="n">
        <x:v>5674.51659300382</x:v>
      </x:c>
      <x:c r="L44" s="43" t="n">
        <x:v>2221.4945232968207</x:v>
      </x:c>
    </x:row>
    <x:row r="45" ht="15" hidden="0" customHeight="1">
      <x:c r="A45" s="29" t="str">
        <x:v>53063</x:v>
      </x:c>
      <x:c r="B45" s="29" t="str">
        <x:v>SCA-03</x:v>
      </x:c>
      <x:c r="C45" s="44" t="n">
        <x:v>558344</x:v>
      </x:c>
      <x:c r="D45" s="44" t="n">
        <x:v>5445.509504132265</x:v>
      </x:c>
      <x:c r="E45" s="44" t="n">
        <x:v>86349.97151239903</x:v>
      </x:c>
      <x:c r="F45" s="44" t="n">
        <x:v>1922.172131529266</x:v>
      </x:c>
      <x:c r="G45" s="44" t="n">
        <x:v>18411.810085254383</x:v>
      </x:c>
      <x:c r="H45" s="44" t="n">
        <x:v>446214.5367666851</x:v>
      </x:c>
      <x:c r="I45" s="44" t="n">
        <x:v>558344</x:v>
      </x:c>
      <x:c r="J45" s="44" t="n">
        <x:v>86941</x:v>
      </x:c>
      <x:c r="K45" s="44" t="n">
        <x:v>3769.7661559782377</x:v>
      </x:c>
      <x:c r="L45" s="44" t="n">
        <x:v>1847.5940244489718</x:v>
      </x:c>
    </x:row>
    <x:row r="46" ht="15" hidden="0" customHeight="1">
      <x:c r="A46" s="27" t="str">
        <x:v>53011</x:v>
      </x:c>
      <x:c r="B46" s="27" t="str">
        <x:v>SCA-03</x:v>
      </x:c>
      <x:c r="C46" s="43" t="n">
        <x:v>532119</x:v>
      </x:c>
      <x:c r="D46" s="43" t="n">
        <x:v>4609.490186998445</x:v>
      </x:c>
      <x:c r="E46" s="43" t="n">
        <x:v>68368.23052198773</x:v>
      </x:c>
      <x:c r="F46" s="43" t="n">
        <x:v>1831.8891444292794</x:v>
      </x:c>
      <x:c r="G46" s="43" t="n">
        <x:v>12946.546894875037</x:v>
      </x:c>
      <x:c r="H46" s="43" t="n">
        <x:v>444362.84325170954</x:v>
      </x:c>
      <x:c r="I46" s="43" t="n">
        <x:v>532119</x:v>
      </x:c>
      <x:c r="J46" s="43" t="n">
        <x:v>68812</x:v>
      </x:c>
      <x:c r="K46" s="43" t="n">
        <x:v>3592.7030596782342</x:v>
      </x:c>
      <x:c r="L46" s="43" t="n">
        <x:v>1760.8139152489548</x:v>
      </x:c>
    </x:row>
    <x:row r="47" ht="15" hidden="0" customHeight="1">
      <x:c r="A47" s="29" t="str">
        <x:v>41005</x:v>
      </x:c>
      <x:c r="B47" s="29" t="str">
        <x:v>SCA-03</x:v>
      </x:c>
      <x:c r="C47" s="44" t="n">
        <x:v>426280</x:v>
      </x:c>
      <x:c r="D47" s="44" t="n">
        <x:v>3771.87069398662</x:v>
      </x:c>
      <x:c r="E47" s="44" t="n">
        <x:v>53370.75047909914</x:v>
      </x:c>
      <x:c r="F47" s="44" t="n">
        <x:v>2406.302104721043</x:v>
      </x:c>
      <x:c r="G47" s="44" t="n">
        <x:v>10607.162760919928</x:v>
      </x:c>
      <x:c r="H47" s="44" t="n">
        <x:v>356123.91396127327</x:v>
      </x:c>
      <x:c r="I47" s="44" t="n">
        <x:v>426280</x:v>
      </x:c>
      <x:c r="J47" s="44" t="n">
        <x:v>55001</x:v>
      </x:c>
      <x:c r="K47" s="44" t="n">
        <x:v>3954.3915287451996</x:v>
      </x:c>
      <x:c r="L47" s="44" t="n">
        <x:v>1548.0894240241564</x:v>
      </x:c>
    </x:row>
    <x:row r="48" ht="15" hidden="0" customHeight="1">
      <x:c r="A48" s="27" t="str">
        <x:v>41039</x:v>
      </x:c>
      <x:c r="B48" s="27" t="str">
        <x:v>SCA-03</x:v>
      </x:c>
      <x:c r="C48" s="43" t="n">
        <x:v>381584</x:v>
      </x:c>
      <x:c r="D48" s="43" t="n">
        <x:v>4000.8561240924105</x:v>
      </x:c>
      <x:c r="E48" s="43" t="n">
        <x:v>62762.06026844021</x:v>
      </x:c>
      <x:c r="F48" s="43" t="n">
        <x:v>2153.998269512702</x:v>
      </x:c>
      <x:c r="G48" s="43" t="n">
        <x:v>15846.224064570188</x:v>
      </x:c>
      <x:c r="H48" s="43" t="n">
        <x:v>296820.8612733845</x:v>
      </x:c>
      <x:c r="I48" s="43" t="n">
        <x:v>381584</x:v>
      </x:c>
      <x:c r="J48" s="43" t="n">
        <x:v>65433</x:v>
      </x:c>
      <x:c r="K48" s="43" t="n">
        <x:v>3539.76854908677</x:v>
      </x:c>
      <x:c r="L48" s="43" t="n">
        <x:v>1385.770279574068</x:v>
      </x:c>
    </x:row>
    <x:row r="49" ht="15" hidden="0" customHeight="1">
      <x:c r="A49" s="29" t="str">
        <x:v>41047</x:v>
      </x:c>
      <x:c r="B49" s="29" t="str">
        <x:v>SCA-03</x:v>
      </x:c>
      <x:c r="C49" s="44" t="n">
        <x:v>355777</x:v>
      </x:c>
      <x:c r="D49" s="44" t="n">
        <x:v>3537.209285151076</x:v>
      </x:c>
      <x:c r="E49" s="44" t="n">
        <x:v>53883.84891037769</x:v>
      </x:c>
      <x:c r="F49" s="44" t="n">
        <x:v>2008.3206904178912</x:v>
      </x:c>
      <x:c r="G49" s="44" t="n">
        <x:v>11291.00802910331</x:v>
      </x:c>
      <x:c r="H49" s="44" t="n">
        <x:v>285056.61308495</x:v>
      </x:c>
      <x:c r="I49" s="44" t="n">
        <x:v>355777</x:v>
      </x:c>
      <x:c r="J49" s="44" t="n">
        <x:v>54035</x:v>
      </x:c>
      <x:c r="K49" s="44" t="n">
        <x:v>3300.36960430323</x:v>
      </x:c>
      <x:c r="L49" s="44" t="n">
        <x:v>1292.0489138853388</x:v>
      </x:c>
    </x:row>
    <x:row r="50" ht="15" hidden="0" customHeight="1">
      <x:c r="A50" s="27" t="str">
        <x:v>53067</x:v>
      </x:c>
      <x:c r="B50" s="27" t="str">
        <x:v>SCA-03</x:v>
      </x:c>
      <x:c r="C50" s="43" t="n">
        <x:v>304261</x:v>
      </x:c>
      <x:c r="D50" s="43" t="n">
        <x:v>2968.512641575223</x:v>
      </x:c>
      <x:c r="E50" s="43" t="n">
        <x:v>47080.670706581215</x:v>
      </x:c>
      <x:c r="F50" s="43" t="n">
        <x:v>1047.4582245196973</x:v>
      </x:c>
      <x:c r="G50" s="43" t="n">
        <x:v>7710.80519455936</x:v>
      </x:c>
      <x:c r="H50" s="43" t="n">
        <x:v>245453.5532327645</x:v>
      </x:c>
      <x:c r="I50" s="43" t="n">
        <x:v>304261</x:v>
      </x:c>
      <x:c r="J50" s="43" t="n">
        <x:v>46833</x:v>
      </x:c>
      <x:c r="K50" s="43" t="n">
        <x:v>2054.276253320703</x:v>
      </x:c>
      <x:c r="L50" s="43" t="n">
        <x:v>1006.8180288010055</x:v>
      </x:c>
    </x:row>
    <x:row r="51" ht="15" hidden="0" customHeight="1">
      <x:c r="A51" s="29" t="str">
        <x:v>53035</x:v>
      </x:c>
      <x:c r="B51" s="29" t="str">
        <x:v>SCA-03</x:v>
      </x:c>
      <x:c r="C51" s="44" t="n">
        <x:v>283374</x:v>
      </x:c>
      <x:c r="D51" s="44" t="n">
        <x:v>2619.753432973268</x:v>
      </x:c>
      <x:c r="E51" s="44" t="n">
        <x:v>40369.24197394394</x:v>
      </x:c>
      <x:c r="F51" s="44" t="n">
        <x:v>975.5519994841427</x:v>
      </x:c>
      <x:c r="G51" s="44" t="n">
        <x:v>6024.253545506999</x:v>
      </x:c>
      <x:c r="H51" s="44" t="n">
        <x:v>233385.19904809163</x:v>
      </x:c>
      <x:c r="I51" s="44" t="n">
        <x:v>283374</x:v>
      </x:c>
      <x:c r="J51" s="44" t="n">
        <x:v>39092</x:v>
      </x:c>
      <x:c r="K51" s="44" t="n">
        <x:v>1913.2536835430794</x:v>
      </x:c>
      <x:c r="L51" s="44" t="n">
        <x:v>937.7016840589367</x:v>
      </x:c>
    </x:row>
    <x:row r="52" ht="15" hidden="0" customHeight="1">
      <x:c r="A52" s="27" t="str">
        <x:v>53077</x:v>
      </x:c>
      <x:c r="B52" s="27" t="str">
        <x:v>SCA-03</x:v>
      </x:c>
      <x:c r="C52" s="43" t="n">
        <x:v>259185</x:v>
      </x:c>
      <x:c r="D52" s="43" t="n">
        <x:v>2301.210038817363</x:v>
      </x:c>
      <x:c r="E52" s="43" t="n">
        <x:v>34645.229207225726</x:v>
      </x:c>
      <x:c r="F52" s="43" t="n">
        <x:v>892.2782082558653</x:v>
      </x:c>
      <x:c r="G52" s="43" t="n">
        <x:v>6494.868625920668</x:v>
      </x:c>
      <x:c r="H52" s="43" t="n">
        <x:v>214851.41391978037</x:v>
      </x:c>
      <x:c r="I52" s="43" t="n">
        <x:v>259185</x:v>
      </x:c>
      <x:c r="J52" s="43" t="n">
        <x:v>35503</x:v>
      </x:c>
      <x:c r="K52" s="43" t="n">
        <x:v>1749.9370301054898</x:v>
      </x:c>
      <x:c r="L52" s="43" t="n">
        <x:v>857.6588218496246</x:v>
      </x:c>
    </x:row>
    <x:row r="53" ht="15" hidden="0" customHeight="1">
      <x:c r="A53" s="29" t="str">
        <x:v>53073</x:v>
      </x:c>
      <x:c r="B53" s="29" t="str">
        <x:v>SCA-03</x:v>
      </x:c>
      <x:c r="C53" s="44" t="n">
        <x:v>236392</x:v>
      </x:c>
      <x:c r="D53" s="44" t="n">
        <x:v>2132.3445368812277</x:v>
      </x:c>
      <x:c r="E53" s="44" t="n">
        <x:v>32402.619093872054</x:v>
      </x:c>
      <x:c r="F53" s="44" t="n">
        <x:v>813.8103293246926</x:v>
      </x:c>
      <x:c r="G53" s="44" t="n">
        <x:v>7357.494626145767</x:v>
      </x:c>
      <x:c r="H53" s="44" t="n">
        <x:v>193685.73141377626</x:v>
      </x:c>
      <x:c r="I53" s="44" t="n">
        <x:v>236392</x:v>
      </x:c>
      <x:c r="J53" s="44" t="n">
        <x:v>32681</x:v>
      </x:c>
      <x:c r="K53" s="44" t="n">
        <x:v>1596.0457372945846</x:v>
      </x:c>
      <x:c r="L53" s="44" t="n">
        <x:v>782.235407969892</x:v>
      </x:c>
    </x:row>
    <x:row r="54" ht="15" hidden="0" customHeight="1">
      <x:c r="A54" s="27" t="str">
        <x:v>53005</x:v>
      </x:c>
      <x:c r="B54" s="27" t="str">
        <x:v>SCA-03</x:v>
      </x:c>
      <x:c r="C54" s="43" t="n">
        <x:v>221722</x:v>
      </x:c>
      <x:c r="D54" s="43" t="n">
        <x:v>2071.5351567034013</x:v>
      </x:c>
      <x:c r="E54" s="43" t="n">
        <x:v>32108.247958055774</x:v>
      </x:c>
      <x:c r="F54" s="43" t="n">
        <x:v>763.3069386380653</x:v>
      </x:c>
      <x:c r="G54" s="43" t="n">
        <x:v>6393.273171677249</x:v>
      </x:c>
      <x:c r="H54" s="43" t="n">
        <x:v>180385.6367749255</x:v>
      </x:c>
      <x:c r="I54" s="43" t="n">
        <x:v>221722</x:v>
      </x:c>
      <x:c r="J54" s="43" t="n">
        <x:v>31907</x:v>
      </x:c>
      <x:c r="K54" s="43" t="n">
        <x:v>1496.9984304224758</x:v>
      </x:c>
      <x:c r="L54" s="43" t="n">
        <x:v>733.6914917844106</x:v>
      </x:c>
    </x:row>
    <x:row r="55" ht="15" hidden="0" customHeight="1">
      <x:c r="A55" s="29" t="str">
        <x:v>41017</x:v>
      </x:c>
      <x:c r="B55" s="29" t="str">
        <x:v>SCA-03</x:v>
      </x:c>
      <x:c r="C55" s="44" t="n">
        <x:v>213072</x:v>
      </x:c>
      <x:c r="D55" s="44" t="n">
        <x:v>1795.952851157432</x:v>
      </x:c>
      <x:c r="E55" s="44" t="n">
        <x:v>24531.722152709863</x:v>
      </x:c>
      <x:c r="F55" s="44" t="n">
        <x:v>1202.7672000964671</x:v>
      </x:c>
      <x:c r="G55" s="44" t="n">
        <x:v>4670.087662448243</x:v>
      </x:c>
      <x:c r="H55" s="44" t="n">
        <x:v>180871.470133588</x:v>
      </x:c>
      <x:c r="I55" s="44" t="n">
        <x:v>213072</x:v>
      </x:c>
      <x:c r="J55" s="44" t="n">
        <x:v>24649</x:v>
      </x:c>
      <x:c r="K55" s="44" t="n">
        <x:v>1976.564961557655</x:v>
      </x:c>
      <x:c r="L55" s="44" t="n">
        <x:v>773.7977614611876</x:v>
      </x:c>
    </x:row>
    <x:row r="56" ht="15" hidden="0" customHeight="1">
      <x:c r="A56" s="27" t="str">
        <x:v>16055</x:v>
      </x:c>
      <x:c r="B56" s="27" t="str">
        <x:v>SCA-03</x:v>
      </x:c>
      <x:c r="C56" s="43" t="n">
        <x:v>191864</x:v>
      </x:c>
      <x:c r="D56" s="43" t="n">
        <x:v>2042.8445473492413</x:v>
      </x:c>
      <x:c r="E56" s="43" t="n">
        <x:v>27714.609762419004</x:v>
      </x:c>
      <x:c r="F56" s="43" t="n">
        <x:v>1244.368074231929</x:v>
      </x:c>
      <x:c r="G56" s="43" t="n">
        <x:v>4145.7163426925845</x:v>
      </x:c>
      <x:c r="H56" s="43" t="n">
        <x:v>156716.46127330724</x:v>
      </x:c>
      <x:c r="I56" s="43" t="n">
        <x:v>191864</x:v>
      </x:c>
      <x:c r="J56" s="43" t="n">
        <x:v>27170</x:v>
      </x:c>
      <x:c r="K56" s="43" t="n">
        <x:v>2132.4372148137118</x:v>
      </x:c>
      <x:c r="L56" s="43" t="n">
        <x:v>888.0691405817827</x:v>
      </x:c>
    </x:row>
    <x:row r="57" ht="15" hidden="0" customHeight="1">
      <x:c r="A57" s="29" t="str">
        <x:v>53057</x:v>
      </x:c>
      <x:c r="B57" s="29" t="str">
        <x:v>SCA-03</x:v>
      </x:c>
      <x:c r="C57" s="44" t="n">
        <x:v>132975</x:v>
      </x:c>
      <x:c r="D57" s="44" t="n">
        <x:v>1251.5704127111683</x:v>
      </x:c>
      <x:c r="E57" s="44" t="n">
        <x:v>19477.154518950432</x:v>
      </x:c>
      <x:c r="F57" s="44" t="n">
        <x:v>457.78380208277355</x:v>
      </x:c>
      <x:c r="G57" s="44" t="n">
        <x:v>2510.919339164237</x:v>
      </x:c>
      <x:c r="H57" s="44" t="n">
        <x:v>109277.57192709138</x:v>
      </x:c>
      <x:c r="I57" s="44" t="n">
        <x:v>132975</x:v>
      </x:c>
      <x:c r="J57" s="44" t="n">
        <x:v>19782</x:v>
      </x:c>
      <x:c r="K57" s="44" t="n">
        <x:v>897.8061098376738</x:v>
      </x:c>
      <x:c r="L57" s="44" t="n">
        <x:v>440.0223077549003</x:v>
      </x:c>
    </x:row>
    <x:row r="58" ht="15" hidden="0" customHeight="1">
      <x:c r="A58" s="27" t="str">
        <x:v>41043</x:v>
      </x:c>
      <x:c r="B58" s="27" t="str">
        <x:v>SCA-03</x:v>
      </x:c>
      <x:c r="C58" s="43" t="n">
        <x:v>132843</x:v>
      </x:c>
      <x:c r="D58" s="43" t="n">
        <x:v>1450.263984996314</x:v>
      </x:c>
      <x:c r="E58" s="43" t="n">
        <x:v>23227.8702168671</x:v>
      </x:c>
      <x:c r="F58" s="43" t="n">
        <x:v>749.8836222610901</x:v>
      </x:c>
      <x:c r="G58" s="43" t="n">
        <x:v>3137.7293013258554</x:v>
      </x:c>
      <x:c r="H58" s="43" t="n">
        <x:v>104277.25287454962</x:v>
      </x:c>
      <x:c r="I58" s="43" t="n">
        <x:v>132843</x:v>
      </x:c>
      <x:c r="J58" s="43" t="n">
        <x:v>23642</x:v>
      </x:c>
      <x:c r="K58" s="43" t="n">
        <x:v>1232.3196815546085</x:v>
      </x:c>
      <x:c r="L58" s="43" t="n">
        <x:v>482.4360592935184</x:v>
      </x:c>
    </x:row>
    <x:row r="59" ht="15" hidden="0" customHeight="1">
      <x:c r="A59" s="29" t="str">
        <x:v>53015</x:v>
      </x:c>
      <x:c r="B59" s="29" t="str">
        <x:v>SCA-03</x:v>
      </x:c>
      <x:c r="C59" s="44" t="n">
        <x:v>114885</x:v>
      </x:c>
      <x:c r="D59" s="44" t="n">
        <x:v>1306.9540449998237</x:v>
      </x:c>
      <x:c r="E59" s="44" t="n">
        <x:v>22243.023360619034</x:v>
      </x:c>
      <x:c r="F59" s="44" t="n">
        <x:v>395.50661479435564</x:v>
      </x:c>
      <x:c r="G59" s="44" t="n">
        <x:v>3180.513496569883</x:v>
      </x:c>
      <x:c r="H59" s="44" t="n">
        <x:v>87759.00248301691</x:v>
      </x:c>
      <x:c r="I59" s="44" t="n">
        <x:v>114885</x:v>
      </x:c>
      <x:c r="J59" s="44" t="n">
        <x:v>22519</x:v>
      </x:c>
      <x:c r="K59" s="44" t="n">
        <x:v>775.6680197683862</x:v>
      </x:c>
      <x:c r="L59" s="44" t="n">
        <x:v>380.1614049740306</x:v>
      </x:c>
    </x:row>
    <x:row r="60" ht="15" hidden="0" customHeight="1">
      <x:c r="A60" s="27" t="str">
        <x:v>41019</x:v>
      </x:c>
      <x:c r="B60" s="27" t="str">
        <x:v>SCA-03</x:v>
      </x:c>
      <x:c r="C60" s="43" t="n">
        <x:v>111951</x:v>
      </x:c>
      <x:c r="D60" s="43" t="n">
        <x:v>1393.9030513281057</x:v>
      </x:c>
      <x:c r="E60" s="43" t="n">
        <x:v>23696.134012079376</x:v>
      </x:c>
      <x:c r="F60" s="43" t="n">
        <x:v>631.9506590166686</x:v>
      </x:c>
      <x:c r="G60" s="43" t="n">
        <x:v>2637.100553638194</x:v>
      </x:c>
      <x:c r="H60" s="43" t="n">
        <x:v>83591.91172393765</x:v>
      </x:c>
      <x:c r="I60" s="43" t="n">
        <x:v>111951</x:v>
      </x:c>
      <x:c r="J60" s="43" t="n">
        <x:v>24532</x:v>
      </x:c>
      <x:c r="K60" s="43" t="n">
        <x:v>1038.5147931748002</x:v>
      </x:c>
      <x:c r="L60" s="43" t="n">
        <x:v>406.5641341581316</x:v>
      </x:c>
    </x:row>
    <x:row r="61" ht="15" hidden="0" customHeight="1">
      <x:c r="A61" s="29" t="str">
        <x:v>41071</x:v>
      </x:c>
      <x:c r="B61" s="29" t="str">
        <x:v>SCA-03</x:v>
      </x:c>
      <x:c r="C61" s="44" t="n">
        <x:v>110024</x:v>
      </x:c>
      <x:c r="D61" s="44" t="n">
        <x:v>1102.7484251395483</x:v>
      </x:c>
      <x:c r="E61" s="44" t="n">
        <x:v>16876.3784111656</x:v>
      </x:c>
      <x:c r="F61" s="44" t="n">
        <x:v>621.0729632397204</x:v>
      </x:c>
      <x:c r="G61" s="44" t="n">
        <x:v>2696.2681346661634</x:v>
      </x:c>
      <x:c r="H61" s="44" t="n">
        <x:v>88727.53206578898</x:v>
      </x:c>
      <x:c r="I61" s="44" t="n">
        <x:v>110024</x:v>
      </x:c>
      <x:c r="J61" s="44" t="n">
        <x:v>16943</x:v>
      </x:c>
      <x:c r="K61" s="44" t="n">
        <x:v>1020.6389545807024</x:v>
      </x:c>
      <x:c r="L61" s="44" t="n">
        <x:v>399.56599134098195</x:v>
      </x:c>
    </x:row>
    <x:row r="62" ht="15" hidden="0" customHeight="1">
      <x:c r="A62" s="27" t="str">
        <x:v>53025</x:v>
      </x:c>
      <x:c r="B62" s="27" t="str">
        <x:v>SCA-03</x:v>
      </x:c>
      <x:c r="C62" s="43" t="n">
        <x:v>105727</x:v>
      </x:c>
      <x:c r="D62" s="43" t="n">
        <x:v>961.9497354355873</x:v>
      </x:c>
      <x:c r="E62" s="43" t="n">
        <x:v>14690.224936274319</x:v>
      </x:c>
      <x:c r="F62" s="43" t="n">
        <x:v>363.97900389400564</x:v>
      </x:c>
      <x:c r="G62" s="43" t="n">
        <x:v>2881.817957621434</x:v>
      </x:c>
      <x:c r="H62" s="43" t="n">
        <x:v>86829.02836677466</x:v>
      </x:c>
      <x:c r="I62" s="43" t="n">
        <x:v>105727</x:v>
      </x:c>
      <x:c r="J62" s="43" t="n">
        <x:v>14672</x:v>
      </x:c>
      <x:c r="K62" s="43" t="n">
        <x:v>713.8360336514965</x:v>
      </x:c>
      <x:c r="L62" s="43" t="n">
        <x:v>349.8570297574908</x:v>
      </x:c>
    </x:row>
    <x:row r="63" ht="15" hidden="0" customHeight="1">
      <x:c r="A63" s="29" t="str">
        <x:v>53021</x:v>
      </x:c>
      <x:c r="B63" s="29" t="str">
        <x:v>SCA-03</x:v>
      </x:c>
      <x:c r="C63" s="44" t="n">
        <x:v>102612</x:v>
      </x:c>
      <x:c r="D63" s="44" t="n">
        <x:v>769.4389322240164</x:v>
      </x:c>
      <x:c r="E63" s="44" t="n">
        <x:v>10317.351015299315</x:v>
      </x:c>
      <x:c r="F63" s="44" t="n">
        <x:v>353.2552096207375</x:v>
      </x:c>
      <x:c r="G63" s="44" t="n">
        <x:v>2645.055466479089</x:v>
      </x:c>
      <x:c r="H63" s="44" t="n">
        <x:v>88526.89937637685</x:v>
      </x:c>
      <x:c r="I63" s="44" t="n">
        <x:v>102612</x:v>
      </x:c>
      <x:c r="J63" s="44" t="n">
        <x:v>10125</x:v>
      </x:c>
      <x:c r="K63" s="44" t="n">
        <x:v>692.8045162072825</x:v>
      </x:c>
      <x:c r="L63" s="44" t="n">
        <x:v>339.549306586545</x:v>
      </x:c>
    </x:row>
    <x:row r="64" ht="15" hidden="0" customHeight="1">
      <x:c r="A64" s="27" t="str">
        <x:v>41003</x:v>
      </x:c>
      <x:c r="B64" s="27" t="str">
        <x:v>SCA-03</x:v>
      </x:c>
      <x:c r="C64" s="43" t="n">
        <x:v>97728</x:v>
      </x:c>
      <x:c r="D64" s="43" t="n">
        <x:v>855.5060321016462</x:v>
      </x:c>
      <x:c r="E64" s="43" t="n">
        <x:v>12014.26826310915</x:v>
      </x:c>
      <x:c r="F64" s="43" t="n">
        <x:v>551.6634420807407</x:v>
      </x:c>
      <x:c r="G64" s="43" t="n">
        <x:v>3709.676779712165</x:v>
      </x:c>
      <x:c r="H64" s="43" t="n">
        <x:v>80596.8854829963</x:v>
      </x:c>
      <x:c r="I64" s="43" t="n">
        <x:v>97728</x:v>
      </x:c>
      <x:c r="J64" s="43" t="n">
        <x:v>12306</x:v>
      </x:c>
      <x:c r="K64" s="43" t="n">
        <x:v>906.5749632195057</x:v>
      </x:c>
      <x:c r="L64" s="43" t="n">
        <x:v>354.911521138765</x:v>
      </x:c>
    </x:row>
    <x:row r="65" ht="15" hidden="0" customHeight="1">
      <x:c r="A65" s="29" t="str">
        <x:v>41053</x:v>
      </x:c>
      <x:c r="B65" s="29" t="str">
        <x:v>SCA-03</x:v>
      </x:c>
      <x:c r="C65" s="44" t="n">
        <x:v>90037</x:v>
      </x:c>
      <x:c r="D65" s="44" t="n">
        <x:v>941.9674091202293</x:v>
      </x:c>
      <x:c r="E65" s="44" t="n">
        <x:v>14759.681318696166</x:v>
      </x:c>
      <x:c r="F65" s="44" t="n">
        <x:v>508.2486220389616</x:v>
      </x:c>
      <x:c r="G65" s="44" t="n">
        <x:v>2163.903231436131</x:v>
      </x:c>
      <x:c r="H65" s="44" t="n">
        <x:v>71663.19941870851</x:v>
      </x:c>
      <x:c r="I65" s="44" t="n">
        <x:v>90037</x:v>
      </x:c>
      <x:c r="J65" s="44" t="n">
        <x:v>15166</x:v>
      </x:c>
      <x:c r="K65" s="44" t="n">
        <x:v>835.2293095468507</x:v>
      </x:c>
      <x:c r="L65" s="44" t="n">
        <x:v>326.9806875078891</x:v>
      </x:c>
    </x:row>
    <x:row r="66" ht="15" hidden="0" customHeight="1">
      <x:c r="A66" s="27" t="str">
        <x:v>53041</x:v>
      </x:c>
      <x:c r="B66" s="27" t="str">
        <x:v>SCA-03</x:v>
      </x:c>
      <x:c r="C66" s="43" t="n">
        <x:v>88062</x:v>
      </x:c>
      <x:c r="D66" s="43" t="n">
        <x:v>984.80733560457</x:v>
      </x:c>
      <x:c r="E66" s="43" t="n">
        <x:v>16641.71659090909</x:v>
      </x:c>
      <x:c r="F66" s="43" t="n">
        <x:v>303.1649346043483</x:v>
      </x:c>
      <x:c r="G66" s="43" t="n">
        <x:v>1876.5568773674242</x:v>
      </x:c>
      <x:c r="H66" s="43" t="n">
        <x:v>68255.75426151456</x:v>
      </x:c>
      <x:c r="I66" s="43" t="n">
        <x:v>88062</x:v>
      </x:c>
      <x:c r="J66" s="43" t="n">
        <x:v>16630</x:v>
      </x:c>
      <x:c r="K66" s="43" t="n">
        <x:v>594.5674122543729</x:v>
      </x:c>
      <x:c r="L66" s="43" t="n">
        <x:v>291.40247765002465</x:v>
      </x:c>
    </x:row>
    <x:row r="67" ht="15" hidden="0" customHeight="1">
      <x:c r="A67" s="29" t="str">
        <x:v>53029</x:v>
      </x:c>
      <x:c r="B67" s="29" t="str">
        <x:v>SCA-03</x:v>
      </x:c>
      <x:c r="C67" s="44" t="n">
        <x:v>85657</x:v>
      </x:c>
      <x:c r="D67" s="44" t="n">
        <x:v>860.9080754694139</x:v>
      </x:c>
      <x:c r="E67" s="44" t="n">
        <x:v>13859.133314415578</x:v>
      </x:c>
      <x:c r="F67" s="44" t="n">
        <x:v>294.88540804665644</x:v>
      </x:c>
      <x:c r="G67" s="44" t="n">
        <x:v>1815.078035734465</x:v>
      </x:c>
      <x:c r="H67" s="44" t="n">
        <x:v>68826.99516633389</x:v>
      </x:c>
      <x:c r="I67" s="44" t="n">
        <x:v>85657</x:v>
      </x:c>
      <x:c r="J67" s="44" t="n">
        <x:v>13423</x:v>
      </x:c>
      <x:c r="K67" s="44" t="n">
        <x:v>578.3295954154212</x:v>
      </x:c>
      <x:c r="L67" s="44" t="n">
        <x:v>283.44418736876474</x:v>
      </x:c>
    </x:row>
    <x:row r="68" ht="15" hidden="0" customHeight="1">
      <x:c r="A68" s="27" t="str">
        <x:v>53007</x:v>
      </x:c>
      <x:c r="B68" s="27" t="str">
        <x:v>SCA-03</x:v>
      </x:c>
      <x:c r="C68" s="43" t="n">
        <x:v>81941</x:v>
      </x:c>
      <x:c r="D68" s="43" t="n">
        <x:v>786.8196230190946</x:v>
      </x:c>
      <x:c r="E68" s="43" t="n">
        <x:v>12376.125699035725</x:v>
      </x:c>
      <x:c r="F68" s="43" t="n">
        <x:v>282.09259279161154</x:v>
      </x:c>
      <x:c r="G68" s="43" t="n">
        <x:v>2389.8114252624687</x:v>
      </x:c>
      <x:c r="H68" s="43" t="n">
        <x:v>66106.1506598911</x:v>
      </x:c>
      <x:c r="I68" s="43" t="n">
        <x:v>81941</x:v>
      </x:c>
      <x:c r="J68" s="43" t="n">
        <x:v>12498</x:v>
      </x:c>
      <x:c r="K68" s="43" t="n">
        <x:v>553.2403116842175</x:v>
      </x:c>
      <x:c r="L68" s="43" t="n">
        <x:v>271.147718892606</x:v>
      </x:c>
    </x:row>
    <x:row r="69" ht="15" hidden="0" customHeight="1">
      <x:c r="A69" s="29" t="str">
        <x:v>53009</x:v>
      </x:c>
      <x:c r="B69" s="29" t="str">
        <x:v>SCA-03</x:v>
      </x:c>
      <x:c r="C69" s="44" t="n">
        <x:v>78202</x:v>
      </x:c>
      <x:c r="D69" s="44" t="n">
        <x:v>907.7151736838097</x:v>
      </x:c>
      <x:c r="E69" s="44" t="n">
        <x:v>15574.56075976192</x:v>
      </x:c>
      <x:c r="F69" s="44" t="n">
        <x:v>269.2205970331044</x:v>
      </x:c>
      <x:c r="G69" s="44" t="n">
        <x:v>2241.3134671986395</x:v>
      </x:c>
      <x:c r="H69" s="44" t="n">
        <x:v>59209.190002322524</x:v>
      </x:c>
      <x:c r="I69" s="44" t="n">
        <x:v>78202</x:v>
      </x:c>
      <x:c r="J69" s="44" t="n">
        <x:v>15859</x:v>
      </x:c>
      <x:c r="K69" s="44" t="n">
        <x:v>527.9957390601675</x:v>
      </x:c>
      <x:c r="L69" s="44" t="n">
        <x:v>258.77514202706305</x:v>
      </x:c>
    </x:row>
    <x:row r="70" ht="15" hidden="0" customHeight="1">
      <x:c r="A70" s="27" t="str">
        <x:v>53027</x:v>
      </x:c>
      <x:c r="B70" s="27" t="str">
        <x:v>SCA-03</x:v>
      </x:c>
      <x:c r="C70" s="43" t="n">
        <x:v>78144</x:v>
      </x:c>
      <x:c r="D70" s="43" t="n">
        <x:v>945.2714687891785</x:v>
      </x:c>
      <x:c r="E70" s="43" t="n">
        <x:v>16480.518054378717</x:v>
      </x:c>
      <x:c r="F70" s="43" t="n">
        <x:v>269.020924459156</x:v>
      </x:c>
      <x:c r="G70" s="43" t="n">
        <x:v>1905.9149595109134</x:v>
      </x:c>
      <x:c r="H70" s="43" t="n">
        <x:v>58543.274592862035</x:v>
      </x:c>
      <x:c r="I70" s="43" t="n">
        <x:v>78144</x:v>
      </x:c>
      <x:c r="J70" s="43" t="n">
        <x:v>16386</x:v>
      </x:c>
      <x:c r="K70" s="43" t="n">
        <x:v>527.6041409825546</x:v>
      </x:c>
      <x:c r="L70" s="43" t="n">
        <x:v>258.58321652339856</x:v>
      </x:c>
    </x:row>
    <x:row r="71" ht="15" hidden="0" customHeight="1">
      <x:c r="A71" s="29" t="str">
        <x:v>53045</x:v>
      </x:c>
      <x:c r="B71" s="29" t="str">
        <x:v>SCA-03</x:v>
      </x:c>
      <x:c r="C71" s="44" t="n">
        <x:v>71165</x:v>
      </x:c>
      <x:c r="D71" s="44" t="n">
        <x:v>787.6681163605256</x:v>
      </x:c>
      <x:c r="E71" s="44" t="n">
        <x:v>13252.2919781908</x:v>
      </x:c>
      <x:c r="F71" s="44" t="n">
        <x:v>244.9948056042157</x:v>
      </x:c>
      <x:c r="G71" s="44" t="n">
        <x:v>1320.6664382323704</x:v>
      </x:c>
      <x:c r="H71" s="44" t="n">
        <x:v>55559.37866161209</x:v>
      </x:c>
      <x:c r="I71" s="44" t="n">
        <x:v>71165</x:v>
      </x:c>
      <x:c r="J71" s="44" t="n">
        <x:v>12879</x:v>
      </x:c>
      <x:c r="K71" s="44" t="n">
        <x:v>480.48408954012456</x:v>
      </x:c>
      <x:c r="L71" s="44" t="n">
        <x:v>235.48928393590884</x:v>
      </x:c>
    </x:row>
    <x:row r="72" ht="15" hidden="0" customHeight="1">
      <x:c r="A72" s="27" t="str">
        <x:v>41011</x:v>
      </x:c>
      <x:c r="B72" s="27" t="str">
        <x:v>SCA-03</x:v>
      </x:c>
      <x:c r="C72" s="43" t="n">
        <x:v>63992</x:v>
      </x:c>
      <x:c r="D72" s="43" t="n">
        <x:v>810.5354709700254</x:v>
      </x:c>
      <x:c r="E72" s="43" t="n">
        <x:v>13875.371425895573</x:v>
      </x:c>
      <x:c r="F72" s="43" t="n">
        <x:v>361.22756001996106</x:v>
      </x:c>
      <x:c r="G72" s="43" t="n">
        <x:v>2300.7311324436123</x:v>
      </x:c>
      <x:c r="H72" s="43" t="n">
        <x:v>46644.13441067083</x:v>
      </x:c>
      <x:c r="I72" s="43" t="n">
        <x:v>63992</x:v>
      </x:c>
      <x:c r="J72" s="43" t="n">
        <x:v>14470</x:v>
      </x:c>
      <x:c r="K72" s="43" t="n">
        <x:v>593.622554911004</x:v>
      </x:c>
      <x:c r="L72" s="43" t="n">
        <x:v>232.394994891043</x:v>
      </x:c>
    </x:row>
    <x:row r="73" ht="15" hidden="0" customHeight="1">
      <x:c r="A73" s="29" t="str">
        <x:v>53071</x:v>
      </x:c>
      <x:c r="B73" s="29" t="str">
        <x:v>SCA-03</x:v>
      </x:c>
      <x:c r="C73" s="44" t="n">
        <x:v>62361</x:v>
      </x:c>
      <x:c r="D73" s="44" t="n">
        <x:v>562.8489031207274</x:v>
      </x:c>
      <x:c r="E73" s="44" t="n">
        <x:v>8555.822088406163</x:v>
      </x:c>
      <x:c r="F73" s="44" t="n">
        <x:v>214.68588593106858</x:v>
      </x:c>
      <x:c r="G73" s="44" t="n">
        <x:v>1677.315584743622</x:v>
      </x:c>
      <x:c r="H73" s="44" t="n">
        <x:v>51350.32753779842</x:v>
      </x:c>
      <x:c r="I73" s="44" t="n">
        <x:v>62361</x:v>
      </x:c>
      <x:c r="J73" s="44" t="n">
        <x:v>8487</x:v>
      </x:c>
      <x:c r="K73" s="44" t="n">
        <x:v>421.04220203487256</x:v>
      </x:c>
      <x:c r="L73" s="44" t="n">
        <x:v>206.35631610380398</x:v>
      </x:c>
    </x:row>
    <x:row r="74" ht="15" hidden="0" customHeight="1">
      <x:c r="A74" s="27" t="str">
        <x:v>16017</x:v>
      </x:c>
      <x:c r="B74" s="27" t="str">
        <x:v>SCA-03</x:v>
      </x:c>
      <x:c r="C74" s="43" t="n">
        <x:v>54420</x:v>
      </x:c>
      <x:c r="D74" s="43" t="n">
        <x:v>630.0533859344623</x:v>
      </x:c>
      <x:c r="E74" s="43" t="n">
        <x:v>9075.908794788273</x:v>
      </x:c>
      <x:c r="F74" s="43" t="n">
        <x:v>352.95058270286023</x:v>
      </x:c>
      <x:c r="G74" s="43" t="n">
        <x:v>1440.198697068404</x:v>
      </x:c>
      <x:c r="H74" s="43" t="n">
        <x:v>42920.888539506</x:v>
      </x:c>
      <x:c r="I74" s="43" t="n">
        <x:v>54420</x:v>
      </x:c>
      <x:c r="J74" s="43" t="n">
        <x:v>8800</x:v>
      </x:c>
      <x:c r="K74" s="43" t="n">
        <x:v>604.8411021878111</x:v>
      </x:c>
      <x:c r="L74" s="43" t="n">
        <x:v>251.89051948495086</x:v>
      </x:c>
    </x:row>
    <x:row r="75" ht="15" hidden="0" customHeight="1">
      <x:c r="A75" s="29" t="str">
        <x:v>41009</x:v>
      </x:c>
      <x:c r="B75" s="29" t="str">
        <x:v>SCA-03</x:v>
      </x:c>
      <x:c r="C75" s="44" t="n">
        <x:v>54091</x:v>
      </x:c>
      <x:c r="D75" s="44" t="n">
        <x:v>564.0069248088969</x:v>
      </x:c>
      <x:c r="E75" s="44" t="n">
        <x:v>8821.647754864178</x:v>
      </x:c>
      <x:c r="F75" s="44" t="n">
        <x:v>305.3375413964201</x:v>
      </x:c>
      <x:c r="G75" s="44" t="n">
        <x:v>1352.6733903562365</x:v>
      </x:c>
      <x:c r="H75" s="44" t="n">
        <x:v>43047.33438857427</x:v>
      </x:c>
      <x:c r="I75" s="44" t="n">
        <x:v>54091</x:v>
      </x:c>
      <x:c r="J75" s="44" t="n">
        <x:v>9037</x:v>
      </x:c>
      <x:c r="K75" s="44" t="n">
        <x:v>501.77580975264283</x:v>
      </x:c>
      <x:c r="L75" s="44" t="n">
        <x:v>196.43826835622278</x:v>
      </x:c>
    </x:row>
    <x:row r="76" ht="15" hidden="0" customHeight="1">
      <x:c r="A76" s="27" t="str">
        <x:v>41041</x:v>
      </x:c>
      <x:c r="B76" s="27" t="str">
        <x:v>SCA-03</x:v>
      </x:c>
      <x:c r="C76" s="43" t="n">
        <x:v>50636</x:v>
      </x:c>
      <x:c r="D76" s="43" t="n">
        <x:v>655.8650100545672</x:v>
      </x:c>
      <x:c r="E76" s="43" t="n">
        <x:v>11327.376207816855</x:v>
      </x:c>
      <x:c r="F76" s="43" t="n">
        <x:v>285.83445945072424</x:v>
      </x:c>
      <x:c r="G76" s="43" t="n">
        <x:v>1228.3137417709506</x:v>
      </x:c>
      <x:c r="H76" s="43" t="n">
        <x:v>37138.610580906905</x:v>
      </x:c>
      <x:c r="I76" s="43" t="n">
        <x:v>50636</x:v>
      </x:c>
      <x:c r="J76" s="43" t="n">
        <x:v>11787</x:v>
      </x:c>
      <x:c r="K76" s="43" t="n">
        <x:v>469.72546084625577</x:v>
      </x:c>
      <x:c r="L76" s="43" t="n">
        <x:v>183.89100139553153</x:v>
      </x:c>
    </x:row>
    <x:row r="77" ht="15" hidden="0" customHeight="1">
      <x:c r="A77" s="29" t="str">
        <x:v>53065</x:v>
      </x:c>
      <x:c r="B77" s="29" t="str">
        <x:v>SCA-03</x:v>
      </x:c>
      <x:c r="C77" s="44" t="n">
        <x:v>49668</x:v>
      </x:c>
      <x:c r="D77" s="44" t="n">
        <x:v>515.6651625434755</x:v>
      </x:c>
      <x:c r="E77" s="44" t="n">
        <x:v>8431.458004764492</x:v>
      </x:c>
      <x:c r="F77" s="44" t="n">
        <x:v>170.98857591161644</x:v>
      </x:c>
      <x:c r="G77" s="44" t="n">
        <x:v>1012.4996865465791</x:v>
      </x:c>
      <x:c r="H77" s="44" t="n">
        <x:v>39537.38857023384</x:v>
      </x:c>
      <x:c r="I77" s="44" t="n">
        <x:v>49668</x:v>
      </x:c>
      <x:c r="J77" s="44" t="n">
        <x:v>8462</x:v>
      </x:c>
      <x:c r="K77" s="44" t="n">
        <x:v>335.3429882565714</x:v>
      </x:c>
      <x:c r="L77" s="44" t="n">
        <x:v>164.35441234495497</x:v>
      </x:c>
    </x:row>
    <x:row r="78" ht="15" hidden="0" customHeight="1">
      <x:c r="A78" s="27" t="str">
        <x:v>53037</x:v>
      </x:c>
      <x:c r="B78" s="27" t="str">
        <x:v>SCA-03</x:v>
      </x:c>
      <x:c r="C78" s="43" t="n">
        <x:v>48803</x:v>
      </x:c>
      <x:c r="D78" s="43" t="n">
        <x:v>476.80411007123223</x:v>
      </x:c>
      <x:c r="E78" s="43" t="n">
        <x:v>7567.488839500907</x:v>
      </x:c>
      <x:c r="F78" s="43" t="n">
        <x:v>168.01070045531563</x:v>
      </x:c>
      <x:c r="G78" s="43" t="n">
        <x:v>1158.3561480217552</x:v>
      </x:c>
      <x:c r="H78" s="43" t="n">
        <x:v>39432.34020195079</x:v>
      </x:c>
      <x:c r="I78" s="43" t="n">
        <x:v>48803</x:v>
      </x:c>
      <x:c r="J78" s="43" t="n">
        <x:v>7573</x:v>
      </x:c>
      <x:c r="K78" s="43" t="n">
        <x:v>329.50277554734345</x:v>
      </x:c>
      <x:c r="L78" s="43" t="n">
        <x:v>161.49207509202782</x:v>
      </x:c>
    </x:row>
    <x:row r="79" ht="15" hidden="0" customHeight="1">
      <x:c r="A79" s="29" t="str">
        <x:v>53075</x:v>
      </x:c>
      <x:c r="B79" s="29" t="str">
        <x:v>SCA-03</x:v>
      </x:c>
      <x:c r="C79" s="44" t="n">
        <x:v>48512</x:v>
      </x:c>
      <x:c r="D79" s="44" t="n">
        <x:v>443.99810770049163</x:v>
      </x:c>
      <x:c r="E79" s="44" t="n">
        <x:v>6803.255260492661</x:v>
      </x:c>
      <x:c r="F79" s="44" t="n">
        <x:v>167.00889495498788</x:v>
      </x:c>
      <x:c r="G79" s="44" t="n">
        <x:v>1572.91717449146</x:v>
      </x:c>
      <x:c r="H79" s="44" t="n">
        <x:v>39524.8205623604</x:v>
      </x:c>
      <x:c r="I79" s="44" t="n">
        <x:v>48512</x:v>
      </x:c>
      <x:c r="J79" s="44" t="n">
        <x:v>6808</x:v>
      </x:c>
      <x:c r="K79" s="44" t="n">
        <x:v>327.5380334682853</x:v>
      </x:c>
      <x:c r="L79" s="44" t="n">
        <x:v>160.5291385132974</x:v>
      </x:c>
    </x:row>
    <x:row r="80" ht="15" hidden="0" customHeight="1">
      <x:c r="A80" s="27" t="str">
        <x:v>53017</x:v>
      </x:c>
      <x:c r="B80" s="27" t="str">
        <x:v>SCA-03</x:v>
      </x:c>
      <x:c r="C80" s="43" t="n">
        <x:v>46473</x:v>
      </x:c>
      <x:c r="D80" s="43" t="n">
        <x:v>450.8126753831905</x:v>
      </x:c>
      <x:c r="E80" s="43" t="n">
        <x:v>7128.737065003727</x:v>
      </x:c>
      <x:c r="F80" s="43" t="n">
        <x:v>159.98937119152274</x:v>
      </x:c>
      <x:c r="G80" s="43" t="n">
        <x:v>763.3337739216881</x:v>
      </x:c>
      <x:c r="H80" s="43" t="n">
        <x:v>37970.127114499875</x:v>
      </x:c>
      <x:c r="I80" s="43" t="n">
        <x:v>46473</x:v>
      </x:c>
      <x:c r="J80" s="43" t="n">
        <x:v>7072</x:v>
      </x:c>
      <x:c r="K80" s="43" t="n">
        <x:v>313.77133553289127</x:v>
      </x:c>
      <x:c r="L80" s="43" t="n">
        <x:v>153.78196434136854</x:v>
      </x:c>
    </x:row>
    <x:row r="81" ht="15" hidden="0" customHeight="1">
      <x:c r="A81" s="29" t="str">
        <x:v>53047</x:v>
      </x:c>
      <x:c r="B81" s="29" t="str">
        <x:v>SCA-03</x:v>
      </x:c>
      <x:c r="C81" s="44" t="n">
        <x:v>45230</x:v>
      </x:c>
      <x:c r="D81" s="44" t="n">
        <x:v>451.7857530272479</x:v>
      </x:c>
      <x:c r="E81" s="44" t="n">
        <x:v>7250.806818552806</x:v>
      </x:c>
      <x:c r="F81" s="44" t="n">
        <x:v>155.7101813739714</x:v>
      </x:c>
      <x:c r="G81" s="44" t="n">
        <x:v>1053.7585989786162</x:v>
      </x:c>
      <x:c r="H81" s="44" t="n">
        <x:v>36317.93864806736</x:v>
      </x:c>
      <x:c r="I81" s="44" t="n">
        <x:v>45230</x:v>
      </x:c>
      <x:c r="J81" s="44" t="n">
        <x:v>7161</x:v>
      </x:c>
      <x:c r="K81" s="44" t="n">
        <x:v>305.37898362818567</x:v>
      </x:c>
      <x:c r="L81" s="44" t="n">
        <x:v>149.66880225421426</x:v>
      </x:c>
    </x:row>
    <x:row r="82" ht="15" hidden="0" customHeight="1">
      <x:c r="A82" s="27" t="str">
        <x:v>16057</x:v>
      </x:c>
      <x:c r="B82" s="27" t="str">
        <x:v>SCA-03</x:v>
      </x:c>
      <x:c r="C82" s="43" t="n">
        <x:v>41842</x:v>
      </x:c>
      <x:c r="D82" s="43" t="n">
        <x:v>413.0918681085498</x:v>
      </x:c>
      <x:c r="E82" s="43" t="n">
        <x:v>5266.088796550372</x:v>
      </x:c>
      <x:c r="F82" s="43" t="n">
        <x:v>271.37372806786254</x:v>
      </x:c>
      <x:c r="G82" s="43" t="n">
        <x:v>1063.967377989024</x:v>
      </x:c>
      <x:c r="H82" s="43" t="n">
        <x:v>34827.47822928419</x:v>
      </x:c>
      <x:c r="I82" s="43" t="n">
        <x:v>41842</x:v>
      </x:c>
      <x:c r="J82" s="43" t="n">
        <x:v>5351</x:v>
      </x:c>
      <x:c r="K82" s="43" t="n">
        <x:v>465.0452296534802</x:v>
      </x:c>
      <x:c r="L82" s="43" t="n">
        <x:v>193.67150158561768</x:v>
      </x:c>
    </x:row>
    <x:row r="83" ht="15" hidden="0" customHeight="1">
      <x:c r="A83" s="29" t="str">
        <x:v>41007</x:v>
      </x:c>
      <x:c r="B83" s="29" t="str">
        <x:v>SCA-03</x:v>
      </x:c>
      <x:c r="C83" s="44" t="n">
        <x:v>40926</x:v>
      </x:c>
      <x:c r="D83" s="44" t="n">
        <x:v>475.3699953629708</x:v>
      </x:c>
      <x:c r="E83" s="44" t="n">
        <x:v>7841.809919623603</x:v>
      </x:c>
      <x:c r="F83" s="44" t="n">
        <x:v>231.02261409827673</x:v>
      </x:c>
      <x:c r="G83" s="44" t="n">
        <x:v>1493.9592604391296</x:v>
      </x:c>
      <x:c r="H83" s="44" t="n">
        <x:v>30883.83821047602</x:v>
      </x:c>
      <x:c r="I83" s="44" t="n">
        <x:v>40926</x:v>
      </x:c>
      <x:c r="J83" s="44" t="n">
        <x:v>8145</x:v>
      </x:c>
      <x:c r="K83" s="44" t="n">
        <x:v>379.6505294769307</x:v>
      </x:c>
      <x:c r="L83" s="44" t="n">
        <x:v>148.627915378654</x:v>
      </x:c>
    </x:row>
    <x:row r="84" ht="15" hidden="0" customHeight="1">
      <x:c r="A84" s="27" t="str">
        <x:v>53031</x:v>
      </x:c>
      <x:c r="B84" s="27" t="str">
        <x:v>SCA-03</x:v>
      </x:c>
      <x:c r="C84" s="43" t="n">
        <x:v>33970</x:v>
      </x:c>
      <x:c r="D84" s="43" t="n">
        <x:v>386.71067090856997</x:v>
      </x:c>
      <x:c r="E84" s="43" t="n">
        <x:v>6583.245332364692</x:v>
      </x:c>
      <x:c r="F84" s="43" t="n">
        <x:v>116.94616098328122</x:v>
      </x:c>
      <x:c r="G84" s="43" t="n">
        <x:v>763.8097529967308</x:v>
      </x:c>
      <x:c r="H84" s="43" t="n">
        <x:v>26119.288082746727</x:v>
      </x:c>
      <x:c r="I84" s="43" t="n">
        <x:v>33970</x:v>
      </x:c>
      <x:c r="J84" s="43" t="n">
        <x:v>6669</x:v>
      </x:c>
      <x:c r="K84" s="43" t="n">
        <x:v>229.3549430433223</x:v>
      </x:c>
      <x:c r="L84" s="43" t="n">
        <x:v>112.40878206004108</x:v>
      </x:c>
    </x:row>
    <x:row r="85" ht="15" hidden="0" customHeight="1">
      <x:c r="A85" s="29" t="str">
        <x:v>41057</x:v>
      </x:c>
      <x:c r="B85" s="29" t="str">
        <x:v>SCA-03</x:v>
      </x:c>
      <x:c r="C85" s="44" t="n">
        <x:v>27384</x:v>
      </x:c>
      <x:c r="D85" s="44" t="n">
        <x:v>327.4981281166963</x:v>
      </x:c>
      <x:c r="E85" s="44" t="n">
        <x:v>5473.192526946108</x:v>
      </x:c>
      <x:c r="F85" s="44" t="n">
        <x:v>154.57956468912695</x:v>
      </x:c>
      <x:c r="G85" s="44" t="n">
        <x:v>644.9242702095809</x:v>
      </x:c>
      <x:c r="H85" s="44" t="n">
        <x:v>20783.805510038488</x:v>
      </x:c>
      <x:c r="I85" s="44" t="n">
        <x:v>27384</x:v>
      </x:c>
      <x:c r="J85" s="44" t="n">
        <x:v>5563</x:v>
      </x:c>
      <x:c r="K85" s="44" t="n">
        <x:v>254.02800418306873</x:v>
      </x:c>
      <x:c r="L85" s="44" t="n">
        <x:v>99.44843949394178</x:v>
      </x:c>
    </x:row>
    <x:row r="86" ht="15" hidden="0" customHeight="1">
      <x:c r="A86" s="27" t="str">
        <x:v>41065</x:v>
      </x:c>
      <x:c r="B86" s="27" t="str">
        <x:v>SCA-03</x:v>
      </x:c>
      <x:c r="C86" s="43" t="n">
        <x:v>26310</x:v>
      </x:c>
      <x:c r="D86" s="43" t="n">
        <x:v>279.8199758829354</x:v>
      </x:c>
      <x:c r="E86" s="43" t="n">
        <x:v>4422.525658626376</x:v>
      </x:c>
      <x:c r="F86" s="43" t="n">
        <x:v>148.51695687156482</x:v>
      </x:c>
      <x:c r="G86" s="43" t="n">
        <x:v>676.0081489435134</x:v>
      </x:c>
      <x:c r="H86" s="43" t="n">
        <x:v>20783.12925967561</x:v>
      </x:c>
      <x:c r="I86" s="43" t="n">
        <x:v>26310</x:v>
      </x:c>
      <x:c r="J86" s="43" t="n">
        <x:v>4566</x:v>
      </x:c>
      <x:c r="K86" s="43" t="n">
        <x:v>244.06503031173455</x:v>
      </x:c>
      <x:c r="L86" s="43" t="n">
        <x:v>95.54807344016973</x:v>
      </x:c>
    </x:row>
    <x:row r="87" ht="15" hidden="0" customHeight="1">
      <x:c r="A87" s="29" t="str">
        <x:v>41031</x:v>
      </x:c>
      <x:c r="B87" s="29" t="str">
        <x:v>SCA-03</x:v>
      </x:c>
      <x:c r="C87" s="44" t="n">
        <x:v>25740</x:v>
      </x:c>
      <x:c r="D87" s="44" t="n">
        <x:v>280.28652849969217</x:v>
      </x:c>
      <x:c r="E87" s="44" t="n">
        <x:v>4483.403561666529</x:v>
      </x:c>
      <x:c r="F87" s="44" t="n">
        <x:v>145.2993717169927</x:v>
      </x:c>
      <x:c r="G87" s="44" t="n">
        <x:v>662.6260043071317</x:v>
      </x:c>
      <x:c r="H87" s="44" t="n">
        <x:v>20168.384533809654</x:v>
      </x:c>
      <x:c r="I87" s="44" t="n">
        <x:v>25740</x:v>
      </x:c>
      <x:c r="J87" s="44" t="n">
        <x:v>4381</x:v>
      </x:c>
      <x:c r="K87" s="44" t="n">
        <x:v>238.7774184805795</x:v>
      </x:c>
      <x:c r="L87" s="44" t="n">
        <x:v>93.4780467635868</x:v>
      </x:c>
    </x:row>
    <x:row r="88" ht="15" hidden="0" customHeight="1">
      <x:c r="A88" s="27" t="str">
        <x:v>53049</x:v>
      </x:c>
      <x:c r="B88" s="27" t="str">
        <x:v>SCA-03</x:v>
      </x:c>
      <x:c r="C88" s="43" t="n">
        <x:v>24357</x:v>
      </x:c>
      <x:c r="D88" s="43" t="n">
        <x:v>306.20814792156426</x:v>
      </x:c>
      <x:c r="E88" s="43" t="n">
        <x:v>5414.624725528961</x:v>
      </x:c>
      <x:c r="F88" s="43" t="n">
        <x:v>83.85215316661115</x:v>
      </x:c>
      <x:c r="G88" s="43" t="n">
        <x:v>562.4942581920667</x:v>
      </x:c>
      <x:c r="H88" s="43" t="n">
        <x:v>17989.820715190795</x:v>
      </x:c>
      <x:c r="I88" s="43" t="n">
        <x:v>24357</x:v>
      </x:c>
      <x:c r="J88" s="43" t="n">
        <x:v>5505</x:v>
      </x:c>
      <x:c r="K88" s="43" t="n">
        <x:v>164.45093752446869</x:v>
      </x:c>
      <x:c r="L88" s="43" t="n">
        <x:v>80.59878435785754</x:v>
      </x:c>
    </x:row>
    <x:row r="89" ht="15" hidden="0" customHeight="1">
      <x:c r="A89" s="29" t="str">
        <x:v>53039</x:v>
      </x:c>
      <x:c r="B89" s="29" t="str">
        <x:v>SCA-03</x:v>
      </x:c>
      <x:c r="C89" s="44" t="n">
        <x:v>24331</x:v>
      </x:c>
      <x:c r="D89" s="44" t="n">
        <x:v>262.99785036545387</x:v>
      </x:c>
      <x:c r="E89" s="44" t="n">
        <x:v>4379.642437876908</x:v>
      </x:c>
      <x:c r="F89" s="44" t="n">
        <x:v>83.76264477139286</x:v>
      </x:c>
      <x:c r="G89" s="44" t="n">
        <x:v>658.5290834438218</x:v>
      </x:c>
      <x:c r="H89" s="44" t="n">
        <x:v>18946.067983542423</x:v>
      </x:c>
      <x:c r="I89" s="44" t="n">
        <x:v>24331</x:v>
      </x:c>
      <x:c r="J89" s="44" t="n">
        <x:v>4384</x:v>
      </x:c>
      <x:c r="K89" s="44" t="n">
        <x:v>164.27539355864218</x:v>
      </x:c>
      <x:c r="L89" s="44" t="n">
        <x:v>80.51274878724932</x:v>
      </x:c>
    </x:row>
    <x:row r="90" ht="15" hidden="0" customHeight="1">
      <x:c r="A90" s="27" t="str">
        <x:v>41027</x:v>
      </x:c>
      <x:c r="B90" s="27" t="str">
        <x:v>SCA-03</x:v>
      </x:c>
      <x:c r="C90" s="43" t="n">
        <x:v>23720</x:v>
      </x:c>
      <x:c r="D90" s="43" t="n">
        <x:v>199.56569315298051</x:v>
      </x:c>
      <x:c r="E90" s="43" t="n">
        <x:v>2722.164729627449</x:v>
      </x:c>
      <x:c r="F90" s="43" t="n">
        <x:v>133.89670152008807</x:v>
      </x:c>
      <x:c r="G90" s="43" t="n">
        <x:v>647.1350180809015</x:v>
      </x:c>
      <x:c r="H90" s="43" t="n">
        <x:v>20017.237857618584</x:v>
      </x:c>
      <x:c r="I90" s="43" t="n">
        <x:v>23720</x:v>
      </x:c>
      <x:c r="J90" s="43" t="n">
        <x:v>2843</x:v>
      </x:c>
      <x:c r="K90" s="43" t="n">
        <x:v>220.03886427192487</x:v>
      </x:c>
      <x:c r="L90" s="43" t="n">
        <x:v>86.14216275183679</x:v>
      </x:c>
    </x:row>
    <x:row r="91" ht="15" hidden="0" customHeight="1">
      <x:c r="A91" s="29" t="str">
        <x:v>30053</x:v>
      </x:c>
      <x:c r="B91" s="29" t="str">
        <x:v>SCA-03</x:v>
      </x:c>
      <x:c r="C91" s="44" t="n">
        <x:v>22328</x:v>
      </x:c>
      <x:c r="D91" s="44" t="n">
        <x:v>329.9134165362675</x:v>
      </x:c>
      <x:c r="E91" s="44" t="n">
        <x:v>4911.5211444921315</x:v>
      </x:c>
      <x:c r="F91" s="44" t="n">
        <x:v>135.14250027979855</x:v>
      </x:c>
      <x:c r="G91" s="44" t="n">
        <x:v>605.8984263233191</x:v>
      </x:c>
      <x:c r="H91" s="44" t="n">
        <x:v>16345.524512368484</x:v>
      </x:c>
      <x:c r="I91" s="44" t="n">
        <x:v>22328</x:v>
      </x:c>
      <x:c r="J91" s="44" t="n">
        <x:v>4805</x:v>
      </x:c>
      <x:c r="K91" s="44" t="n">
        <x:v>260.4092024622272</x:v>
      </x:c>
      <x:c r="L91" s="44" t="n">
        <x:v>125.26670218242865</x:v>
      </x:c>
    </x:row>
    <x:row r="92" ht="15" hidden="0" customHeight="1">
      <x:c r="A92" s="27" t="str">
        <x:v>53001</x:v>
      </x:c>
      <x:c r="B92" s="27" t="str">
        <x:v>SCA-03</x:v>
      </x:c>
      <x:c r="C92" s="43" t="n">
        <x:v>21488</x:v>
      </x:c>
      <x:c r="D92" s="43" t="n">
        <x:v>171.27408752643635</x:v>
      </x:c>
      <x:c r="E92" s="43" t="n">
        <x:v>2404.0559394997094</x:v>
      </x:c>
      <x:c r="F92" s="43" t="n">
        <x:v>73.97524601733137</x:v>
      </x:c>
      <x:c r="G92" s="43" t="n">
        <x:v>788.9292224161334</x:v>
      </x:c>
      <x:c r="H92" s="43" t="n">
        <x:v>18049.765504540388</x:v>
      </x:c>
      <x:c r="I92" s="43" t="n">
        <x:v>21488</x:v>
      </x:c>
      <x:c r="J92" s="43" t="n">
        <x:v>2404</x:v>
      </x:c>
      <x:c r="K92" s="43" t="n">
        <x:v>145.08033606461316</x:v>
      </x:c>
      <x:c r="L92" s="43" t="n">
        <x:v>71.10509004728179</x:v>
      </x:c>
    </x:row>
    <x:row r="93" ht="15" hidden="0" customHeight="1">
      <x:c r="A93" s="29" t="str">
        <x:v>53055</x:v>
      </x:c>
      <x:c r="B93" s="29" t="str">
        <x:v>SCA-03</x:v>
      </x:c>
      <x:c r="C93" s="44" t="n">
        <x:v>18577</x:v>
      </x:c>
      <x:c r="D93" s="44" t="n">
        <x:v>156.5424103101255</x:v>
      </x:c>
      <x:c r="E93" s="44" t="n">
        <x:v>2281.679882653338</x:v>
      </x:c>
      <x:c r="F93" s="44" t="n">
        <x:v>63.95374838346821</x:v>
      </x:c>
      <x:c r="G93" s="44" t="n">
        <x:v>400.27533003748573</x:v>
      </x:c>
      <x:c r="H93" s="44" t="n">
        <x:v>15674.548628615583</x:v>
      </x:c>
      <x:c r="I93" s="44" t="n">
        <x:v>18577</x:v>
      </x:c>
      <x:c r="J93" s="44" t="n">
        <x:v>2355</x:v>
      </x:c>
      <x:c r="K93" s="44" t="n">
        <x:v>125.42616358303792</x:v>
      </x:c>
      <x:c r="L93" s="44" t="n">
        <x:v>61.47241519956971</x:v>
      </x:c>
    </x:row>
    <x:row r="94" ht="15" hidden="0" customHeight="1">
      <x:c r="A94" s="27" t="str">
        <x:v>53051</x:v>
      </x:c>
      <x:c r="B94" s="27" t="str">
        <x:v>SCA-03</x:v>
      </x:c>
      <x:c r="C94" s="43" t="n">
        <x:v>14457</x:v>
      </x:c>
      <x:c r="D94" s="43" t="n">
        <x:v>166.79315094564447</x:v>
      </x:c>
      <x:c r="E94" s="43" t="n">
        <x:v>2854.8975510496525</x:v>
      </x:c>
      <x:c r="F94" s="43" t="n">
        <x:v>49.770110371954566</x:v>
      </x:c>
      <x:c r="G94" s="43" t="n">
        <x:v>269.6637529555062</x:v>
      </x:c>
      <x:c r="H94" s="43" t="n">
        <x:v>11115.875434677242</x:v>
      </x:c>
      <x:c r="I94" s="43" t="n">
        <x:v>14457</x:v>
      </x:c>
      <x:c r="J94" s="43" t="n">
        <x:v>2871</x:v>
      </x:c>
      <x:c r="K94" s="43" t="n">
        <x:v>97.60919669053018</x:v>
      </x:c>
      <x:c r="L94" s="43" t="n">
        <x:v>47.83908631857562</x:v>
      </x:c>
    </x:row>
    <x:row r="95" ht="15" hidden="0" customHeight="1">
      <x:c r="A95" s="29" t="str">
        <x:v>16021</x:v>
      </x:c>
      <x:c r="B95" s="29" t="str">
        <x:v>SCA-03</x:v>
      </x:c>
      <x:c r="C95" s="44" t="n">
        <x:v>13997</x:v>
      </x:c>
      <x:c r="D95" s="44" t="n">
        <x:v>158.7862018651744</x:v>
      </x:c>
      <x:c r="E95" s="44" t="n">
        <x:v>2255.979494717501</x:v>
      </x:c>
      <x:c r="F95" s="44" t="n">
        <x:v>90.78003135045819</x:v>
      </x:c>
      <x:c r="G95" s="44" t="n">
        <x:v>125.64836931557188</x:v>
      </x:c>
      <x:c r="H95" s="44" t="n">
        <x:v>11365.805902751294</x:v>
      </x:c>
      <x:c r="I95" s="44" t="n">
        <x:v>13997</x:v>
      </x:c>
      <x:c r="J95" s="44" t="n">
        <x:v>2193</x:v>
      </x:c>
      <x:c r="K95" s="44" t="n">
        <x:v>155.56708760240338</x:v>
      </x:c>
      <x:c r="L95" s="44" t="n">
        <x:v>64.78705625194519</x:v>
      </x:c>
    </x:row>
    <x:row r="96" ht="15" hidden="0" customHeight="1">
      <x:c r="A96" s="27" t="str">
        <x:v>53059</x:v>
      </x:c>
      <x:c r="B96" s="27" t="str">
        <x:v>SCA-03</x:v>
      </x:c>
      <x:c r="C96" s="43" t="n">
        <x:v>12669</x:v>
      </x:c>
      <x:c r="D96" s="43" t="n">
        <x:v>113.39705177272408</x:v>
      </x:c>
      <x:c r="E96" s="43" t="n">
        <x:v>1715.389571128014</x:v>
      </x:c>
      <x:c r="F96" s="43" t="n">
        <x:v>43.61468688540446</x:v>
      </x:c>
      <x:c r="G96" s="43" t="n">
        <x:v>298.05834277391165</x:v>
      </x:c>
      <x:c r="H96" s="43" t="n">
        <x:v>10498.540347439945</x:v>
      </x:c>
      <x:c r="I96" s="43" t="n">
        <x:v>12669</x:v>
      </x:c>
      <x:c r="J96" s="43" t="n">
        <x:v>1743</x:v>
      </x:c>
      <x:c r="K96" s="43" t="n">
        <x:v>85.53717319446129</x:v>
      </x:c>
      <x:c r="L96" s="43" t="n">
        <x:v>41.92248630905683</x:v>
      </x:c>
    </x:row>
    <x:row r="97" ht="15" hidden="0" customHeight="1">
      <x:c r="A97" s="29" t="str">
        <x:v>41049</x:v>
      </x:c>
      <x:c r="B97" s="29" t="str">
        <x:v>SCA-03</x:v>
      </x:c>
      <x:c r="C97" s="44" t="n">
        <x:v>12602</x:v>
      </x:c>
      <x:c r="D97" s="44" t="n">
        <x:v>133.03795391038616</x:v>
      </x:c>
      <x:c r="E97" s="44" t="n">
        <x:v>2094.5329494998778</x:v>
      </x:c>
      <x:c r="F97" s="44" t="n">
        <x:v>71.13685634722387</x:v>
      </x:c>
      <x:c r="G97" s="44" t="n">
        <x:v>305.1144181507685</x:v>
      </x:c>
      <x:c r="H97" s="44" t="n">
        <x:v>9998.177822091744</x:v>
      </x:c>
      <x:c r="I97" s="44" t="n">
        <x:v>12602</x:v>
      </x:c>
      <x:c r="J97" s="44" t="n">
        <x:v>2129</x:v>
      </x:c>
      <x:c r="K97" s="44" t="n">
        <x:v>116.90260402844845</x:v>
      </x:c>
      <x:c r="L97" s="44" t="n">
        <x:v>45.76574768122459</x:v>
      </x:c>
    </x:row>
    <x:row r="98" ht="15" hidden="0" customHeight="1">
      <x:c r="A98" s="27" t="str">
        <x:v>53043</x:v>
      </x:c>
      <x:c r="B98" s="27" t="str">
        <x:v>SCA-03</x:v>
      </x:c>
      <x:c r="C98" s="43" t="n">
        <x:v>11982</x:v>
      </x:c>
      <x:c r="D98" s="43" t="n">
        <x:v>139.0953372967101</x:v>
      </x:c>
      <x:c r="E98" s="43" t="n">
        <x:v>2386.70821171092</x:v>
      </x:c>
      <x:c r="F98" s="43" t="n">
        <x:v>41.24959967329042</x:v>
      </x:c>
      <x:c r="G98" s="43" t="n">
        <x:v>219.52505714788114</x:v>
      </x:c>
      <x:c r="H98" s="43" t="n">
        <x:v>9195.4217941712</x:v>
      </x:c>
      <x:c r="I98" s="43" t="n">
        <x:v>11982</x:v>
      </x:c>
      <x:c r="J98" s="43" t="n">
        <x:v>2360</x:v>
      </x:c>
      <x:c r="K98" s="43" t="n">
        <x:v>80.89876148204556</x:v>
      </x:c>
      <x:c r="L98" s="43" t="n">
        <x:v>39.64916180875514</x:v>
      </x:c>
    </x:row>
    <x:row r="99" ht="15" hidden="0" customHeight="1">
      <x:c r="A99" s="29" t="str">
        <x:v>16009</x:v>
      </x:c>
      <x:c r="B99" s="29" t="str">
        <x:v>SCA-03</x:v>
      </x:c>
      <x:c r="C99" s="44" t="n">
        <x:v>10508</x:v>
      </x:c>
      <x:c r="D99" s="44" t="n">
        <x:v>133.99760047981192</x:v>
      </x:c>
      <x:c r="E99" s="44" t="n">
        <x:v>2048.636753853804</x:v>
      </x:c>
      <x:c r="F99" s="44" t="n">
        <x:v>68.15150170969599</x:v>
      </x:c>
      <x:c r="G99" s="44" t="n">
        <x:v>145.83580308304326</x:v>
      </x:c>
      <x:c r="H99" s="44" t="n">
        <x:v>8111.378340873644</x:v>
      </x:c>
      <x:c r="I99" s="44" t="n">
        <x:v>10508</x:v>
      </x:c>
      <x:c r="J99" s="44" t="n">
        <x:v>2042</x:v>
      </x:c>
      <x:c r="K99" s="44" t="n">
        <x:v>116.7892374455994</x:v>
      </x:c>
      <x:c r="L99" s="44" t="n">
        <x:v>48.63773573590341</x:v>
      </x:c>
    </x:row>
    <x:row r="100" ht="15" hidden="0" customHeight="1">
      <x:c r="A100" s="27" t="str">
        <x:v>53019</x:v>
      </x:c>
      <x:c r="B100" s="27" t="str">
        <x:v>SCA-03</x:v>
      </x:c>
      <x:c r="C100" s="43" t="n">
        <x:v>7517</x:v>
      </x:c>
      <x:c r="D100" s="43" t="n">
        <x:v>95.50897094176204</x:v>
      </x:c>
      <x:c r="E100" s="43" t="n">
        <x:v>1695.2343325143324</x:v>
      </x:c>
      <x:c r="F100" s="43" t="n">
        <x:v>25.87825410984177</x:v>
      </x:c>
      <x:c r="G100" s="43" t="n">
        <x:v>122.41332241332242</x:v>
      </x:c>
      <x:c r="H100" s="43" t="n">
        <x:v>5577.965120020742</x:v>
      </x:c>
      <x:c r="I100" s="43" t="n">
        <x:v>7517</x:v>
      </x:c>
      <x:c r="J100" s="43" t="n">
        <x:v>1721</x:v>
      </x:c>
      <x:c r="K100" s="43" t="n">
        <x:v>50.75246119683997</x:v>
      </x:c>
      <x:c r="L100" s="43" t="n">
        <x:v>24.874207086998197</x:v>
      </x:c>
    </x:row>
    <x:row r="101" ht="15" hidden="0" customHeight="1">
      <x:c r="A101" s="29" t="str">
        <x:v>53069</x:v>
      </x:c>
      <x:c r="B101" s="29" t="str">
        <x:v>SCA-03</x:v>
      </x:c>
      <x:c r="C101" s="44" t="n">
        <x:v>4873</x:v>
      </x:c>
      <x:c r="D101" s="44" t="n">
        <x:v>54.84865404006228</x:v>
      </x:c>
      <x:c r="E101" s="44" t="n">
        <x:v>929.3664641241112</x:v>
      </x:c>
      <x:c r="F101" s="44" t="n">
        <x:v>16.77593884225874</x:v>
      </x:c>
      <x:c r="G101" s="44" t="n">
        <x:v>88.94828700711052</x:v>
      </x:c>
      <x:c r="H101" s="44" t="n">
        <x:v>3783.0606559864577</x:v>
      </x:c>
      <x:c r="I101" s="44" t="n">
        <x:v>4873</x:v>
      </x:c>
      <x:c r="J101" s="44" t="n">
        <x:v>922</x:v>
      </x:c>
      <x:c r="K101" s="44" t="n">
        <x:v>32.90099021048306</x:v>
      </x:c>
      <x:c r="L101" s="44" t="n">
        <x:v>16.12505136822432</x:v>
      </x:c>
    </x:row>
    <x:row r="102" ht="15" hidden="0" customHeight="1">
      <x:c r="A102" s="27" t="str">
        <x:v>53013</x:v>
      </x:c>
      <x:c r="B102" s="27" t="str">
        <x:v>SCA-03</x:v>
      </x:c>
      <x:c r="C102" s="43" t="n">
        <x:v>4141</x:v>
      </x:c>
      <x:c r="D102" s="43" t="n">
        <x:v>44.06114202176914</x:v>
      </x:c>
      <x:c r="E102" s="43" t="n">
        <x:v>728.5997489329651</x:v>
      </x:c>
      <x:c r="F102" s="43" t="n">
        <x:v>14.255933253805342</x:v>
      </x:c>
      <x:c r="G102" s="43" t="n">
        <x:v>147.00979161436103</x:v>
      </x:c>
      <x:c r="H102" s="43" t="n">
        <x:v>3207.0733841770993</x:v>
      </x:c>
      <x:c r="I102" s="43" t="n">
        <x:v>4141</x:v>
      </x:c>
      <x:c r="J102" s="43" t="n">
        <x:v>730</x:v>
      </x:c>
      <x:c r="K102" s="43" t="n">
        <x:v>27.958752403367605</x:v>
      </x:c>
      <x:c r="L102" s="43" t="n">
        <x:v>13.702819149562263</x:v>
      </x:c>
    </x:row>
    <x:row r="103" ht="15" hidden="0" customHeight="1">
      <x:c r="A103" s="29" t="str">
        <x:v>41055</x:v>
      </x:c>
      <x:c r="B103" s="29" t="str">
        <x:v>SCA-03</x:v>
      </x:c>
      <x:c r="C103" s="44" t="n">
        <x:v>2051</x:v>
      </x:c>
      <x:c r="D103" s="44" t="n">
        <x:v>28.995605792819077</x:v>
      </x:c>
      <x:c r="E103" s="44" t="n">
        <x:v>517.1313931888544</x:v>
      </x:c>
      <x:c r="F103" s="44" t="n">
        <x:v>11.577661670223467</x:v>
      </x:c>
      <x:c r="G103" s="44" t="n">
        <x:v>58.61996904024767</x:v>
      </x:c>
      <x:c r="H103" s="44" t="n">
        <x:v>1434.6753703078552</x:v>
      </x:c>
      <x:c r="I103" s="44" t="n">
        <x:v>2051</x:v>
      </x:c>
      <x:c r="J103" s="44" t="n">
        <x:v>509</x:v>
      </x:c>
      <x:c r="K103" s="44" t="n">
        <x:v>19.026126080173604</x:v>
      </x:c>
      <x:c r="L103" s="44" t="n">
        <x:v>7.448464409950137</x:v>
      </x:c>
    </x:row>
    <x:row r="104" ht="15" hidden="0" customHeight="1">
      <x:c r="A104" s="27" t="str">
        <x:v>41021</x:v>
      </x:c>
      <x:c r="B104" s="27" t="str">
        <x:v>SCA-03</x:v>
      </x:c>
      <x:c r="C104" s="43" t="n">
        <x:v>1971</x:v>
      </x:c>
      <x:c r="D104" s="43" t="n">
        <x:v>22.34766575503753</x:v>
      </x:c>
      <x:c r="E104" s="43" t="n">
        <x:v>364.5535537190083</x:v>
      </x:c>
      <x:c r="F104" s="43" t="n">
        <x:v>11.126070771336153</x:v>
      </x:c>
      <x:c r="G104" s="43" t="n">
        <x:v>41.17407024793388</x:v>
      </x:c>
      <x:c r="H104" s="43" t="n">
        <x:v>1531.7986395066841</x:v>
      </x:c>
      <x:c r="I104" s="43" t="n">
        <x:v>1971</x:v>
      </x:c>
      <x:c r="J104" s="43" t="n">
        <x:v>373</x:v>
      </x:c>
      <x:c r="K104" s="43" t="n">
        <x:v>18.284005121415003</x:v>
      </x:c>
      <x:c r="L104" s="43" t="n">
        <x:v>7.15793435007885</x:v>
      </x:c>
    </x:row>
    <x:row r="105" ht="15" hidden="0" customHeight="1">
      <x:c r="A105" s="29" t="str">
        <x:v>41069</x:v>
      </x:c>
      <x:c r="B105" s="29" t="str">
        <x:v>SCA-03</x:v>
      </x:c>
      <x:c r="C105" s="44" t="n">
        <x:v>1472</x:v>
      </x:c>
      <x:c r="D105" s="44" t="n">
        <x:v>24.575921451800046</x:v>
      </x:c>
      <x:c r="E105" s="44" t="n">
        <x:v>461.5240404040404</x:v>
      </x:c>
      <x:c r="F105" s="44" t="n">
        <x:v>8.309272539526544</x:v>
      </x:c>
      <x:c r="G105" s="44" t="n">
        <x:v>18.855218855218858</x:v>
      </x:c>
      <x:c r="H105" s="44" t="n">
        <x:v>958.7355467494141</x:v>
      </x:c>
      <x:c r="I105" s="44" t="n">
        <x:v>1472</x:v>
      </x:c>
      <x:c r="J105" s="44" t="n">
        <x:v>485</x:v>
      </x:c>
      <x:c r="K105" s="44" t="n">
        <x:v>13.655025641158238</x:v>
      </x:c>
      <x:c r="L105" s="44" t="n">
        <x:v>5.3457531016316935</x:v>
      </x:c>
    </x:row>
    <x:row r="106" ht="15" hidden="0" customHeight="1">
      <x:c r="A106" s="27" t="str">
        <x:v>06085</x:v>
      </x:c>
      <x:c r="B106" s="27" t="str">
        <x:v>SCA-04</x:v>
      </x:c>
      <x:c r="C106" s="43" t="n">
        <x:v>1914391</x:v>
      </x:c>
      <x:c r="D106" s="43" t="n">
        <x:v>12620.78286764972</x:v>
      </x:c>
      <x:c r="E106" s="43" t="n">
        <x:v>165190.26218532975</x:v>
      </x:c>
      <x:c r="F106" s="43" t="n">
        <x:v>9176.241405884643</x:v>
      </x:c>
      <x:c r="G106" s="43" t="n">
        <x:v>63854.646142349724</x:v>
      </x:c>
      <x:c r="H106" s="43" t="n">
        <x:v>1663549.067398786</x:v>
      </x:c>
      <x:c r="I106" s="43" t="n">
        <x:v>1914391</x:v>
      </x:c>
      <x:c r="J106" s="43" t="n">
        <x:v>170081</x:v>
      </x:c>
      <x:c r="K106" s="43" t="n">
        <x:v>14914.096682478954</x:v>
      </x:c>
      <x:c r="L106" s="43" t="n">
        <x:v>5737.855276594311</x:v>
      </x:c>
    </x:row>
    <x:row r="107" ht="15" hidden="0" customHeight="1">
      <x:c r="A107" s="29" t="str">
        <x:v>06001</x:v>
      </x:c>
      <x:c r="B107" s="29" t="str">
        <x:v>SCA-04</x:v>
      </x:c>
      <x:c r="C107" s="44" t="n">
        <x:v>1636630</x:v>
      </x:c>
      <x:c r="D107" s="44" t="n">
        <x:v>11667.684488180203</x:v>
      </x:c>
      <x:c r="E107" s="44" t="n">
        <x:v>162296.17578034048</x:v>
      </x:c>
      <x:c r="F107" s="44" t="n">
        <x:v>7844.85090669199</x:v>
      </x:c>
      <x:c r="G107" s="44" t="n">
        <x:v>89310.30129324547</x:v>
      </x:c>
      <x:c r="H107" s="44" t="n">
        <x:v>1365510.9875315418</x:v>
      </x:c>
      <x:c r="I107" s="44" t="n">
        <x:v>1636630</x:v>
      </x:c>
      <x:c r="J107" s="44" t="n">
        <x:v>169293</x:v>
      </x:c>
      <x:c r="K107" s="44" t="n">
        <x:v>12750.194737358006</x:v>
      </x:c>
      <x:c r="L107" s="44" t="n">
        <x:v>4905.343830666017</x:v>
      </x:c>
    </x:row>
    <x:row r="108" ht="15" hidden="0" customHeight="1">
      <x:c r="A108" s="27" t="str">
        <x:v>06067</x:v>
      </x:c>
      <x:c r="B108" s="27" t="str">
        <x:v>SCA-04</x:v>
      </x:c>
      <x:c r="C108" s="43" t="n">
        <x:v>1618460</x:v>
      </x:c>
      <x:c r="D108" s="43" t="n">
        <x:v>13318.776112844074</x:v>
      </x:c>
      <x:c r="E108" s="43" t="n">
        <x:v>203229.40344563065</x:v>
      </x:c>
      <x:c r="F108" s="43" t="n">
        <x:v>7757.75673087058</x:v>
      </x:c>
      <x:c r="G108" s="43" t="n">
        <x:v>58928.16895742456</x:v>
      </x:c>
      <x:c r="H108" s="43" t="n">
        <x:v>1335225.8947532303</x:v>
      </x:c>
      <x:c r="I108" s="43" t="n">
        <x:v>1618460</x:v>
      </x:c>
      <x:c r="J108" s="43" t="n">
        <x:v>206663</x:v>
      </x:c>
      <x:c r="K108" s="43" t="n">
        <x:v>12608.64103348004</x:v>
      </x:c>
      <x:c r="L108" s="43" t="n">
        <x:v>4850.884302609461</x:v>
      </x:c>
    </x:row>
    <x:row r="109" ht="15" hidden="0" customHeight="1">
      <x:c r="A109" s="29" t="str">
        <x:v>06013</x:v>
      </x:c>
      <x:c r="B109" s="29" t="str">
        <x:v>SCA-04</x:v>
      </x:c>
      <x:c r="C109" s="44" t="n">
        <x:v>1170070</x:v>
      </x:c>
      <x:c r="D109" s="44" t="n">
        <x:v>8707.253002727939</x:v>
      </x:c>
      <x:c r="E109" s="44" t="n">
        <x:v>124807.03630128602</x:v>
      </x:c>
      <x:c r="F109" s="44" t="n">
        <x:v>5608.491045864424</x:v>
      </x:c>
      <x:c r="G109" s="44" t="n">
        <x:v>35406.23748334072</x:v>
      </x:c>
      <x:c r="H109" s="44" t="n">
        <x:v>995540.9821667809</x:v>
      </x:c>
      <x:c r="I109" s="44" t="n">
        <x:v>1170070</x:v>
      </x:c>
      <x:c r="J109" s="44" t="n">
        <x:v>128890</x:v>
      </x:c>
      <x:c r="K109" s="44" t="n">
        <x:v>9115.450869372113</x:v>
      </x:c>
      <x:c r="L109" s="44" t="n">
        <x:v>3506.959823507688</x:v>
      </x:c>
    </x:row>
    <x:row r="110" ht="15" hidden="0" customHeight="1">
      <x:c r="A110" s="27" t="str">
        <x:v>06019</x:v>
      </x:c>
      <x:c r="B110" s="27" t="str">
        <x:v>SCA-04</x:v>
      </x:c>
      <x:c r="C110" s="43" t="n">
        <x:v>1035456</x:v>
      </x:c>
      <x:c r="D110" s="43" t="n">
        <x:v>8615.37748678159</x:v>
      </x:c>
      <x:c r="E110" s="43" t="n">
        <x:v>132285.25770147552</x:v>
      </x:c>
      <x:c r="F110" s="43" t="n">
        <x:v>4963.246390717303</x:v>
      </x:c>
      <x:c r="G110" s="43" t="n">
        <x:v>37686.80254150652</x:v>
      </x:c>
      <x:c r="H110" s="43" t="n">
        <x:v>851905.3158795191</x:v>
      </x:c>
      <x:c r="I110" s="43" t="n">
        <x:v>1035456</x:v>
      </x:c>
      <x:c r="J110" s="43" t="n">
        <x:v>133691</x:v>
      </x:c>
      <x:c r="K110" s="43" t="n">
        <x:v>8066.738139937415</x:v>
      </x:c>
      <x:c r="L110" s="43" t="n">
        <x:v>3103.491749220112</x:v>
      </x:c>
    </x:row>
    <x:row r="111" ht="15" hidden="0" customHeight="1">
      <x:c r="A111" s="29" t="str">
        <x:v>06075</x:v>
      </x:c>
      <x:c r="B111" s="29" t="str">
        <x:v>SCA-04</x:v>
      </x:c>
      <x:c r="C111" s="44" t="n">
        <x:v>826079</x:v>
      </x:c>
      <x:c r="D111" s="44" t="n">
        <x:v>6411.571242934432</x:v>
      </x:c>
      <x:c r="E111" s="44" t="n">
        <x:v>94455.09345957525</x:v>
      </x:c>
      <x:c r="F111" s="44" t="n">
        <x:v>3959.6405981493754</x:v>
      </x:c>
      <x:c r="G111" s="44" t="n">
        <x:v>149307.17839293278</x:v>
      </x:c>
      <x:c r="H111" s="44" t="n">
        <x:v>571945.5163064082</x:v>
      </x:c>
      <x:c r="I111" s="44" t="n">
        <x:v>826079</x:v>
      </x:c>
      <x:c r="J111" s="44" t="n">
        <x:v>98423</x:v>
      </x:c>
      <x:c r="K111" s="44" t="n">
        <x:v>6435.582946934838</x:v>
      </x:c>
      <x:c r="L111" s="44" t="n">
        <x:v>2475.9423487854633</x:v>
      </x:c>
    </x:row>
    <x:row r="112" ht="15" hidden="0" customHeight="1">
      <x:c r="A112" s="27" t="str">
        <x:v>06077</x:v>
      </x:c>
      <x:c r="B112" s="27" t="str">
        <x:v>SCA-04</x:v>
      </x:c>
      <x:c r="C112" s="43" t="n">
        <x:v>823815</x:v>
      </x:c>
      <x:c r="D112" s="43" t="n">
        <x:v>6627.177715313014</x:v>
      </x:c>
      <x:c r="E112" s="43" t="n">
        <x:v>99792.50586416155</x:v>
      </x:c>
      <x:c r="F112" s="43" t="n">
        <x:v>3948.788577562711</x:v>
      </x:c>
      <x:c r="G112" s="43" t="n">
        <x:v>21624.376971492882</x:v>
      </x:c>
      <x:c r="H112" s="43" t="n">
        <x:v>691822.1508714699</x:v>
      </x:c>
      <x:c r="I112" s="43" t="n">
        <x:v>823815</x:v>
      </x:c>
      <x:c r="J112" s="43" t="n">
        <x:v>99557</x:v>
      </x:c>
      <x:c r="K112" s="43" t="n">
        <x:v>6417.945215202328</x:v>
      </x:c>
      <x:c r="L112" s="43" t="n">
        <x:v>2469.1566376396163</x:v>
      </x:c>
    </x:row>
    <x:row r="113" ht="15" hidden="0" customHeight="1">
      <x:c r="A113" s="29" t="str">
        <x:v>06081</x:v>
      </x:c>
      <x:c r="B113" s="29" t="str">
        <x:v>SCA-04</x:v>
      </x:c>
      <x:c r="C113" s="44" t="n">
        <x:v>743568</x:v>
      </x:c>
      <x:c r="D113" s="44" t="n">
        <x:v>5021.66936809276</x:v>
      </x:c>
      <x:c r="E113" s="44" t="n">
        <x:v>67032.73976042456</x:v>
      </x:c>
      <x:c r="F113" s="44" t="n">
        <x:v>3564.1410086501833</x:v>
      </x:c>
      <x:c r="G113" s="44" t="n">
        <x:v>24395.211888741473</x:v>
      </x:c>
      <x:c r="H113" s="44" t="n">
        <x:v>643554.2379740911</x:v>
      </x:c>
      <x:c r="I113" s="44" t="n">
        <x:v>743568</x:v>
      </x:c>
      <x:c r="J113" s="44" t="n">
        <x:v>69363</x:v>
      </x:c>
      <x:c r="K113" s="44" t="n">
        <x:v>5792.77955339192</x:v>
      </x:c>
      <x:c r="L113" s="44" t="n">
        <x:v>2228.638544741737</x:v>
      </x:c>
    </x:row>
    <x:row r="114" ht="15" hidden="0" customHeight="1">
      <x:c r="A114" s="27" t="str">
        <x:v>06099</x:v>
      </x:c>
      <x:c r="B114" s="27" t="str">
        <x:v>SCA-04</x:v>
      </x:c>
      <x:c r="C114" s="43" t="n">
        <x:v>557719</x:v>
      </x:c>
      <x:c r="D114" s="43" t="n">
        <x:v>4492.557635192094</x:v>
      </x:c>
      <x:c r="E114" s="43" t="n">
        <x:v>67702.79630590981</x:v>
      </x:c>
      <x:c r="F114" s="43" t="n">
        <x:v>2673.3118681860583</x:v>
      </x:c>
      <x:c r="G114" s="43" t="n">
        <x:v>14957.354391750257</x:v>
      </x:c>
      <x:c r="H114" s="43" t="n">
        <x:v>467892.9797989618</x:v>
      </x:c>
      <x:c r="I114" s="43" t="n">
        <x:v>557719</x:v>
      </x:c>
      <x:c r="J114" s="43" t="n">
        <x:v>69674</x:v>
      </x:c>
      <x:c r="K114" s="43" t="n">
        <x:v>4344.919657298577</x:v>
      </x:c>
      <x:c r="L114" s="43" t="n">
        <x:v>1671.6077891125183</x:v>
      </x:c>
    </x:row>
    <x:row r="115" ht="15" hidden="0" customHeight="1">
      <x:c r="A115" s="29" t="str">
        <x:v>32031</x:v>
      </x:c>
      <x:c r="B115" s="29" t="str">
        <x:v>SCA-04</x:v>
      </x:c>
      <x:c r="C115" s="44" t="n">
        <x:v>509386</x:v>
      </x:c>
      <x:c r="D115" s="44" t="n">
        <x:v>3474.3203948678038</x:v>
      </x:c>
      <x:c r="E115" s="44" t="n">
        <x:v>62822.78159103147</x:v>
      </x:c>
      <x:c r="F115" s="44" t="n">
        <x:v>3053.649275327732</x:v>
      </x:c>
      <x:c r="G115" s="44" t="n">
        <x:v>17470.2712188812</x:v>
      </x:c>
      <x:c r="H115" s="44" t="n">
        <x:v>422564.9775198918</x:v>
      </x:c>
      <x:c r="I115" s="44" t="n">
        <x:v>509386</x:v>
      </x:c>
      <x:c r="J115" s="44" t="n">
        <x:v>63463</x:v>
      </x:c>
      <x:c r="K115" s="44" t="n">
        <x:v>3910.3537705692247</x:v>
      </x:c>
      <x:c r="L115" s="44" t="n">
        <x:v>856.7044952414925</x:v>
      </x:c>
    </x:row>
    <x:row r="116" ht="15" hidden="0" customHeight="1">
      <x:c r="A116" s="27" t="str">
        <x:v>06097</x:v>
      </x:c>
      <x:c r="B116" s="27" t="str">
        <x:v>SCA-04</x:v>
      </x:c>
      <x:c r="C116" s="43" t="n">
        <x:v>486444</x:v>
      </x:c>
      <x:c r="D116" s="43" t="n">
        <x:v>3907.190380985351</x:v>
      </x:c>
      <x:c r="E116" s="43" t="n">
        <x:v>58781.03056452668</x:v>
      </x:c>
      <x:c r="F116" s="43" t="n">
        <x:v>2331.669744813964</x:v>
      </x:c>
      <x:c r="G116" s="43" t="n">
        <x:v>12843.98282236352</x:v>
      </x:c>
      <x:c r="H116" s="43" t="n">
        <x:v>408580.1264873105</x:v>
      </x:c>
      <x:c r="I116" s="43" t="n">
        <x:v>486444</x:v>
      </x:c>
      <x:c r="J116" s="43" t="n">
        <x:v>60637</x:v>
      </x:c>
      <x:c r="K116" s="43" t="n">
        <x:v>3789.6505189440363</x:v>
      </x:c>
      <x:c r="L116" s="43" t="n">
        <x:v>1457.9807741300724</x:v>
      </x:c>
    </x:row>
    <x:row r="117" ht="15" hidden="0" customHeight="1">
      <x:c r="A117" s="29" t="str">
        <x:v>06095</x:v>
      </x:c>
      <x:c r="B117" s="29" t="str">
        <x:v>SCA-04</x:v>
      </x:c>
      <x:c r="C117" s="44" t="n">
        <x:v>455376</x:v>
      </x:c>
      <x:c r="D117" s="44" t="n">
        <x:v>3817.309337246388</x:v>
      </x:c>
      <x:c r="E117" s="44" t="n">
        <x:v>58858.710326231645</x:v>
      </x:c>
      <x:c r="F117" s="44" t="n">
        <x:v>2182.7516460566967</x:v>
      </x:c>
      <x:c r="G117" s="44" t="n">
        <x:v>12536.058892127614</x:v>
      </x:c>
      <x:c r="H117" s="44" t="n">
        <x:v>377981.1697983377</x:v>
      </x:c>
      <x:c r="I117" s="44" t="n">
        <x:v>455376</x:v>
      </x:c>
      <x:c r="J117" s="44" t="n">
        <x:v>59170</x:v>
      </x:c>
      <x:c r="K117" s="44" t="n">
        <x:v>3547.614719710099</x:v>
      </x:c>
      <x:c r="L117" s="44" t="n">
        <x:v>1364.8630736534026</x:v>
      </x:c>
    </x:row>
    <x:row r="118" ht="15" hidden="0" customHeight="1">
      <x:c r="A118" s="27" t="str">
        <x:v>06061</x:v>
      </x:c>
      <x:c r="B118" s="27" t="str">
        <x:v>SCA-04</x:v>
      </x:c>
      <x:c r="C118" s="43" t="n">
        <x:v>442081</x:v>
      </x:c>
      <x:c r="D118" s="43" t="n">
        <x:v>3401.2143012573297</x:v>
      </x:c>
      <x:c r="E118" s="43" t="n">
        <x:v>49828.78313405649</x:v>
      </x:c>
      <x:c r="F118" s="43" t="n">
        <x:v>2119.0247848819226</x:v>
      </x:c>
      <x:c r="G118" s="43" t="n">
        <x:v>9949.871933108729</x:v>
      </x:c>
      <x:c r="H118" s="43" t="n">
        <x:v>376782.10584669554</x:v>
      </x:c>
      <x:c r="I118" s="43" t="n">
        <x:v>442081</x:v>
      </x:c>
      <x:c r="J118" s="43" t="n">
        <x:v>48859</x:v>
      </x:c>
      <x:c r="K118" s="43" t="n">
        <x:v>3444.0397888868984</x:v>
      </x:c>
      <x:c r="L118" s="43" t="n">
        <x:v>1325.015004004976</x:v>
      </x:c>
    </x:row>
    <x:row r="119" ht="15" hidden="0" customHeight="1">
      <x:c r="A119" s="29" t="str">
        <x:v>06053</x:v>
      </x:c>
      <x:c r="B119" s="29" t="str">
        <x:v>SCA-04</x:v>
      </x:c>
      <x:c r="C119" s="44" t="n">
        <x:v>433729</x:v>
      </x:c>
      <x:c r="D119" s="44" t="n">
        <x:v>2908.1846284519693</x:v>
      </x:c>
      <x:c r="E119" s="44" t="n">
        <x:v>38596.85818980327</x:v>
      </x:c>
      <x:c r="F119" s="44" t="n">
        <x:v>2078.9911824350093</x:v>
      </x:c>
      <x:c r="G119" s="44" t="n">
        <x:v>10520.186746047146</x:v>
      </x:c>
      <x:c r="H119" s="44" t="n">
        <x:v>379624.7792532626</x:v>
      </x:c>
      <x:c r="I119" s="44" t="n">
        <x:v>433729</x:v>
      </x:c>
      <x:c r="J119" s="44" t="n">
        <x:v>39174</x:v>
      </x:c>
      <x:c r="K119" s="44" t="n">
        <x:v>3378.973386311842</x:v>
      </x:c>
      <x:c r="L119" s="44" t="n">
        <x:v>1299.982203876833</x:v>
      </x:c>
    </x:row>
    <x:row r="120" ht="15" hidden="0" customHeight="1">
      <x:c r="A120" s="27" t="str">
        <x:v>06047</x:v>
      </x:c>
      <x:c r="B120" s="27" t="str">
        <x:v>SCA-04</x:v>
      </x:c>
      <x:c r="C120" s="43" t="n">
        <x:v>297260</x:v>
      </x:c>
      <x:c r="D120" s="43" t="n">
        <x:v>2376.1491344264386</x:v>
      </x:c>
      <x:c r="E120" s="43" t="n">
        <x:v>35644.67645010875</x:v>
      </x:c>
      <x:c r="F120" s="43" t="n">
        <x:v>1424.854964483885</x:v>
      </x:c>
      <x:c r="G120" s="43" t="n">
        <x:v>9911.74023647874</x:v>
      </x:c>
      <x:c r="H120" s="43" t="n">
        <x:v>247902.57921450218</x:v>
      </x:c>
      <x:c r="I120" s="43" t="n">
        <x:v>297260</x:v>
      </x:c>
      <x:c r="J120" s="43" t="n">
        <x:v>35949</x:v>
      </x:c>
      <x:c r="K120" s="43" t="n">
        <x:v>2315.809246822459</x:v>
      </x:c>
      <x:c r="L120" s="43" t="n">
        <x:v>890.954282338574</x:v>
      </x:c>
    </x:row>
    <x:row r="121" ht="15" hidden="0" customHeight="1">
      <x:c r="A121" s="29" t="str">
        <x:v>06087</x:v>
      </x:c>
      <x:c r="B121" s="29" t="str">
        <x:v>SCA-04</x:v>
      </x:c>
      <x:c r="C121" s="44" t="n">
        <x:v>258852</x:v>
      </x:c>
      <x:c r="D121" s="44" t="n">
        <x:v>1968.0591018807643</x:v>
      </x:c>
      <x:c r="E121" s="44" t="n">
        <x:v>28613.331149822086</x:v>
      </x:c>
      <x:c r="F121" s="44" t="n">
        <x:v>1240.7540781355801</x:v>
      </x:c>
      <x:c r="G121" s="44" t="n">
        <x:v>6658.090292277551</x:v>
      </x:c>
      <x:c r="H121" s="44" t="n">
        <x:v>220371.76537788403</x:v>
      </x:c>
      <x:c r="I121" s="44" t="n">
        <x:v>258852</x:v>
      </x:c>
      <x:c r="J121" s="44" t="n">
        <x:v>30386</x:v>
      </x:c>
      <x:c r="K121" s="44" t="n">
        <x:v>2016.5910487737574</x:v>
      </x:c>
      <x:c r="L121" s="44" t="n">
        <x:v>775.8369706381773</x:v>
      </x:c>
    </x:row>
    <x:row r="122" ht="15" hidden="0" customHeight="1">
      <x:c r="A122" s="27" t="str">
        <x:v>06041</x:v>
      </x:c>
      <x:c r="B122" s="27" t="str">
        <x:v>SCA-04</x:v>
      </x:c>
      <x:c r="C122" s="43" t="n">
        <x:v>253694</x:v>
      </x:c>
      <x:c r="D122" s="43" t="n">
        <x:v>1775.320701819955</x:v>
      </x:c>
      <x:c r="E122" s="43" t="n">
        <x:v>24358.641683595313</x:v>
      </x:c>
      <x:c r="F122" s="43" t="n">
        <x:v>1216.0302609156115</x:v>
      </x:c>
      <x:c r="G122" s="43" t="n">
        <x:v>7058.570617208305</x:v>
      </x:c>
      <x:c r="H122" s="43" t="n">
        <x:v>219285.4367364608</x:v>
      </x:c>
      <x:c r="I122" s="43" t="n">
        <x:v>253694</x:v>
      </x:c>
      <x:c r="J122" s="43" t="n">
        <x:v>25464</x:v>
      </x:c>
      <x:c r="K122" s="43" t="n">
        <x:v>1976.4075592524284</x:v>
      </x:c>
      <x:c r="L122" s="43" t="n">
        <x:v>760.3772983368169</x:v>
      </x:c>
    </x:row>
    <x:row r="123" ht="15" hidden="0" customHeight="1">
      <x:c r="A123" s="29" t="str">
        <x:v>06113</x:v>
      </x:c>
      <x:c r="B123" s="29" t="str">
        <x:v>SCA-04</x:v>
      </x:c>
      <x:c r="C123" s="44" t="n">
        <x:v>224410</x:v>
      </x:c>
      <x:c r="D123" s="44" t="n">
        <x:v>1701.087108750982</x:v>
      </x:c>
      <x:c r="E123" s="44" t="n">
        <x:v>24683.531194056446</x:v>
      </x:c>
      <x:c r="F123" s="44" t="n">
        <x:v>1075.6634009951847</x:v>
      </x:c>
      <x:c r="G123" s="44" t="n">
        <x:v>9195.127707793601</x:v>
      </x:c>
      <x:c r="H123" s="44" t="n">
        <x:v>187754.59058840378</x:v>
      </x:c>
      <x:c r="I123" s="44" t="n">
        <x:v>224410</x:v>
      </x:c>
      <x:c r="J123" s="44" t="n">
        <x:v>25076</x:v>
      </x:c>
      <x:c r="K123" s="44" t="n">
        <x:v>1748.270043327148</x:v>
      </x:c>
      <x:c r="L123" s="44" t="n">
        <x:v>672.6066423319633</x:v>
      </x:c>
    </x:row>
    <x:row r="124" ht="15" hidden="0" customHeight="1">
      <x:c r="A124" s="27" t="str">
        <x:v>41029</x:v>
      </x:c>
      <x:c r="B124" s="27" t="str">
        <x:v>SCA-04</x:v>
      </x:c>
      <x:c r="C124" s="43" t="n">
        <x:v>221795</x:v>
      </x:c>
      <x:c r="D124" s="43" t="n">
        <x:v>2259.181134562979</x:v>
      </x:c>
      <x:c r="E124" s="43" t="n">
        <x:v>34888.91284076583</x:v>
      </x:c>
      <x:c r="F124" s="43" t="n">
        <x:v>1252.0075427338925</x:v>
      </x:c>
      <x:c r="G124" s="43" t="n">
        <x:v>6862.227294704546</x:v>
      </x:c>
      <x:c r="H124" s="43" t="n">
        <x:v>176532.67118723277</x:v>
      </x:c>
      <x:c r="I124" s="43" t="n">
        <x:v>221795</x:v>
      </x:c>
      <x:c r="J124" s="43" t="n">
        <x:v>36262</x:v>
      </x:c>
      <x:c r="K124" s="43" t="n">
        <x:v>2057.4839755982957</x:v>
      </x:c>
      <x:c r="L124" s="43" t="n">
        <x:v>805.4764328644031</x:v>
      </x:c>
    </x:row>
    <x:row r="125" ht="15" hidden="0" customHeight="1">
      <x:c r="A125" s="29" t="str">
        <x:v>06007</x:v>
      </x:c>
      <x:c r="B125" s="29" t="str">
        <x:v>SCA-04</x:v>
      </x:c>
      <x:c r="C125" s="44" t="n">
        <x:v>209211</x:v>
      </x:c>
      <x:c r="D125" s="44" t="n">
        <x:v>1993.015899309852</x:v>
      </x:c>
      <x:c r="E125" s="44" t="n">
        <x:v>32783.13690639935</x:v>
      </x:c>
      <x:c r="F125" s="44" t="n">
        <x:v>1002.8101055461148</x:v>
      </x:c>
      <x:c r="G125" s="44" t="n">
        <x:v>6682.042506896685</x:v>
      </x:c>
      <x:c r="H125" s="44" t="n">
        <x:v>166749.994581848</x:v>
      </x:c>
      <x:c r="I125" s="44" t="n">
        <x:v>209211</x:v>
      </x:c>
      <x:c r="J125" s="44" t="n">
        <x:v>33608</x:v>
      </x:c>
      <x:c r="K125" s="44" t="n">
        <x:v>1629.8619670893274</x:v>
      </x:c>
      <x:c r="L125" s="44" t="n">
        <x:v>627.0518615432127</x:v>
      </x:c>
    </x:row>
    <x:row r="126" ht="15" hidden="0" customHeight="1">
      <x:c r="A126" s="27" t="str">
        <x:v>06017</x:v>
      </x:c>
      <x:c r="B126" s="27" t="str">
        <x:v>SCA-04</x:v>
      </x:c>
      <x:c r="C126" s="43" t="n">
        <x:v>192323</x:v>
      </x:c>
      <x:c r="D126" s="43" t="n">
        <x:v>1546.900543790114</x:v>
      </x:c>
      <x:c r="E126" s="43" t="n">
        <x:v>23291.17851347757</x:v>
      </x:c>
      <x:c r="F126" s="43" t="n">
        <x:v>921.8609343148564</x:v>
      </x:c>
      <x:c r="G126" s="43" t="n">
        <x:v>3888.193311535593</x:v>
      </x:c>
      <x:c r="H126" s="43" t="n">
        <x:v>162674.8666968819</x:v>
      </x:c>
      <x:c r="I126" s="43" t="n">
        <x:v>192323</x:v>
      </x:c>
      <x:c r="J126" s="43" t="n">
        <x:v>24191</x:v>
      </x:c>
      <x:c r="K126" s="43" t="n">
        <x:v>1498.2957067100713</x:v>
      </x:c>
      <x:c r="L126" s="43" t="n">
        <x:v>576.4347723952148</x:v>
      </x:c>
    </x:row>
    <x:row r="127" ht="15" hidden="0" customHeight="1">
      <x:c r="A127" s="29" t="str">
        <x:v>06089</x:v>
      </x:c>
      <x:c r="B127" s="29" t="str">
        <x:v>SCA-04</x:v>
      </x:c>
      <x:c r="C127" s="44" t="n">
        <x:v>181648</x:v>
      </x:c>
      <x:c r="D127" s="44" t="n">
        <x:v>1859.8180103734342</x:v>
      </x:c>
      <x:c r="E127" s="44" t="n">
        <x:v>31569.08604874142</x:v>
      </x:c>
      <x:c r="F127" s="44" t="n">
        <x:v>870.6925068578641</x:v>
      </x:c>
      <x:c r="G127" s="44" t="n">
        <x:v>5929.3138160016915</x:v>
      </x:c>
      <x:c r="H127" s="44" t="n">
        <x:v>141419.08961802558</x:v>
      </x:c>
      <x:c r="I127" s="44" t="n">
        <x:v>181648</x:v>
      </x:c>
      <x:c r="J127" s="44" t="n">
        <x:v>32551</x:v>
      </x:c>
      <x:c r="K127" s="44" t="n">
        <x:v>1415.1319318670726</x:v>
      </x:c>
      <x:c r="L127" s="44" t="n">
        <x:v>544.4394250092084</x:v>
      </x:c>
    </x:row>
    <x:row r="128" ht="15" hidden="0" customHeight="1">
      <x:c r="A128" s="27" t="str">
        <x:v>06039</x:v>
      </x:c>
      <x:c r="B128" s="27" t="str">
        <x:v>SCA-04</x:v>
      </x:c>
      <x:c r="C128" s="43" t="n">
        <x:v>167927</x:v>
      </x:c>
      <x:c r="D128" s="43" t="n">
        <x:v>1458.8967562846003</x:v>
      </x:c>
      <x:c r="E128" s="43" t="n">
        <x:v>22933.973222328517</x:v>
      </x:c>
      <x:c r="F128" s="43" t="n">
        <x:v>804.923701880123</x:v>
      </x:c>
      <x:c r="G128" s="43" t="n">
        <x:v>4418.63962109264</x:v>
      </x:c>
      <x:c r="H128" s="43" t="n">
        <x:v>138310.5666984141</x:v>
      </x:c>
      <x:c r="I128" s="43" t="n">
        <x:v>167927</x:v>
      </x:c>
      <x:c r="J128" s="43" t="n">
        <x:v>22009</x:v>
      </x:c>
      <x:c r="K128" s="43" t="n">
        <x:v>1308.238240567702</x:v>
      </x:c>
      <x:c r="L128" s="43" t="n">
        <x:v>503.31453868757893</x:v>
      </x:c>
    </x:row>
    <x:row r="129" ht="15" hidden="0" customHeight="1">
      <x:c r="A129" s="29" t="str">
        <x:v>06055</x:v>
      </x:c>
      <x:c r="B129" s="29" t="str">
        <x:v>SCA-04</x:v>
      </x:c>
      <x:c r="C129" s="44" t="n">
        <x:v>132949</x:v>
      </x:c>
      <x:c r="D129" s="44" t="n">
        <x:v>1078.7513783306129</x:v>
      </x:c>
      <x:c r="E129" s="44" t="n">
        <x:v>16326.568297645983</x:v>
      </x:c>
      <x:c r="F129" s="44" t="n">
        <x:v>637.2638184524257</x:v>
      </x:c>
      <x:c r="G129" s="44" t="n">
        <x:v>3494.4243822766985</x:v>
      </x:c>
      <x:c r="H129" s="44" t="n">
        <x:v>111411.99212329427</x:v>
      </x:c>
      <x:c r="I129" s="44" t="n">
        <x:v>132949</x:v>
      </x:c>
      <x:c r="J129" s="44" t="n">
        <x:v>17074</x:v>
      </x:c>
      <x:c r="K129" s="44" t="n">
        <x:v>1035.7415177144558</x:v>
      </x:c>
      <x:c r="L129" s="44" t="n">
        <x:v>398.4776992620301</x:v>
      </x:c>
    </x:row>
    <x:row r="130" ht="15" hidden="0" customHeight="1">
      <x:c r="A130" s="27" t="str">
        <x:v>06023</x:v>
      </x:c>
      <x:c r="B130" s="27" t="str">
        <x:v>SCA-04</x:v>
      </x:c>
      <x:c r="C130" s="43" t="n">
        <x:v>131647</x:v>
      </x:c>
      <x:c r="D130" s="43" t="n">
        <x:v>1387.7049177044557</x:v>
      </x:c>
      <x:c r="E130" s="43" t="n">
        <x:v>23835.110443097645</x:v>
      </x:c>
      <x:c r="F130" s="43" t="n">
        <x:v>631.0229479560317</x:v>
      </x:c>
      <x:c r="G130" s="43" t="n">
        <x:v>4192.518877665545</x:v>
      </x:c>
      <x:c r="H130" s="43" t="n">
        <x:v>101600.64281357631</x:v>
      </x:c>
      <x:c r="I130" s="43" t="n">
        <x:v>131647</x:v>
      </x:c>
      <x:c r="J130" s="43" t="n">
        <x:v>25206</x:v>
      </x:c>
      <x:c r="K130" s="43" t="n">
        <x:v>1025.5982638647522</x:v>
      </x:c>
      <x:c r="L130" s="43" t="n">
        <x:v>394.5753159087205</x:v>
      </x:c>
    </x:row>
    <x:row r="131" ht="15" hidden="0" customHeight="1">
      <x:c r="A131" s="29" t="str">
        <x:v>06057</x:v>
      </x:c>
      <x:c r="B131" s="29" t="str">
        <x:v>SCA-04</x:v>
      </x:c>
      <x:c r="C131" s="44" t="n">
        <x:v>101911</x:v>
      </x:c>
      <x:c r="D131" s="44" t="n">
        <x:v>912.3513138872958</x:v>
      </x:c>
      <x:c r="E131" s="44" t="n">
        <x:v>14565.633562435396</x:v>
      </x:c>
      <x:c r="F131" s="44" t="n">
        <x:v>488.4895185545219</x:v>
      </x:c>
      <x:c r="G131" s="44" t="n">
        <x:v>2520.591145346262</x:v>
      </x:c>
      <x:c r="H131" s="44" t="n">
        <x:v>83423.93445977653</x:v>
      </x:c>
      <x:c r="I131" s="44" t="n">
        <x:v>101911</x:v>
      </x:c>
      <x:c r="J131" s="44" t="n">
        <x:v>15124</x:v>
      </x:c>
      <x:c r="K131" s="44" t="n">
        <x:v>793.9394340070094</x:v>
      </x:c>
      <x:c r="L131" s="44" t="n">
        <x:v>305.44991545248746</x:v>
      </x:c>
    </x:row>
    <x:row r="132" ht="15" hidden="0" customHeight="1">
      <x:c r="A132" s="27" t="str">
        <x:v>06101</x:v>
      </x:c>
      <x:c r="B132" s="27" t="str">
        <x:v>SCA-04</x:v>
      </x:c>
      <x:c r="C132" s="43" t="n">
        <x:v>98787</x:v>
      </x:c>
      <x:c r="D132" s="43" t="n">
        <x:v>890.0766253749158</x:v>
      </x:c>
      <x:c r="E132" s="43" t="n">
        <x:v>14255.760772621952</x:v>
      </x:c>
      <x:c r="F132" s="43" t="n">
        <x:v>473.5152639994266</x:v>
      </x:c>
      <x:c r="G132" s="43" t="n">
        <x:v>3324.3694765117184</x:v>
      </x:c>
      <x:c r="H132" s="43" t="n">
        <x:v>79843.277861492</x:v>
      </x:c>
      <x:c r="I132" s="43" t="n">
        <x:v>98787</x:v>
      </x:c>
      <x:c r="J132" s="43" t="n">
        <x:v>14662</x:v>
      </x:c>
      <x:c r="K132" s="43" t="n">
        <x:v>769.6018571817609</x:v>
      </x:c>
      <x:c r="L132" s="43" t="n">
        <x:v>296.08659318233435</x:v>
      </x:c>
    </x:row>
    <x:row r="133" ht="15" hidden="0" customHeight="1">
      <x:c r="A133" s="29" t="str">
        <x:v>06115</x:v>
      </x:c>
      <x:c r="B133" s="29" t="str">
        <x:v>SCA-04</x:v>
      </x:c>
      <x:c r="C133" s="44" t="n">
        <x:v>88691</x:v>
      </x:c>
      <x:c r="D133" s="44" t="n">
        <x:v>859.1454475214389</x:v>
      </x:c>
      <x:c r="E133" s="44" t="n">
        <x:v>14239.651441189459</x:v>
      </x:c>
      <x:c r="F133" s="44" t="n">
        <x:v>425.1221545281579</x:v>
      </x:c>
      <x:c r="G133" s="44" t="n">
        <x:v>2487.8608187349723</x:v>
      </x:c>
      <x:c r="H133" s="44" t="n">
        <x:v>70679.22013802596</x:v>
      </x:c>
      <x:c r="I133" s="44" t="n">
        <x:v>88691</x:v>
      </x:c>
      <x:c r="J133" s="44" t="n">
        <x:v>13633</x:v>
      </x:c>
      <x:c r="K133" s="44" t="n">
        <x:v>690.948792000036</x:v>
      </x:c>
      <x:c r="L133" s="44" t="n">
        <x:v>265.82663747187803</x:v>
      </x:c>
    </x:row>
    <x:row r="134" ht="15" hidden="0" customHeight="1">
      <x:c r="A134" s="27" t="str">
        <x:v>06045</x:v>
      </x:c>
      <x:c r="B134" s="27" t="str">
        <x:v>SCA-04</x:v>
      </x:c>
      <x:c r="C134" s="43" t="n">
        <x:v>88122</x:v>
      </x:c>
      <x:c r="D134" s="43" t="n">
        <x:v>920.0730746940451</x:v>
      </x:c>
      <x:c r="E134" s="43" t="n">
        <x:v>15742.844560208196</x:v>
      </x:c>
      <x:c r="F134" s="43" t="n">
        <x:v>422.3947694955558</x:v>
      </x:c>
      <x:c r="G134" s="43" t="n">
        <x:v>2879.6066167025947</x:v>
      </x:c>
      <x:c r="H134" s="43" t="n">
        <x:v>68157.08097889961</x:v>
      </x:c>
      <x:c r="I134" s="43" t="n">
        <x:v>88122</x:v>
      </x:c>
      <x:c r="J134" s="43" t="n">
        <x:v>16661</x:v>
      </x:c>
      <x:c r="K134" s="43" t="n">
        <x:v>686.5159875142593</x:v>
      </x:c>
      <x:c r="L134" s="43" t="n">
        <x:v>264.12121801870353</x:v>
      </x:c>
    </x:row>
    <x:row r="135" ht="15" hidden="0" customHeight="1">
      <x:c r="A135" s="29" t="str">
        <x:v>41033</x:v>
      </x:c>
      <x:c r="B135" s="29" t="str">
        <x:v>SCA-04</x:v>
      </x:c>
      <x:c r="C135" s="44" t="n">
        <x:v>87867</x:v>
      </x:c>
      <x:c r="D135" s="44" t="n">
        <x:v>1020.9899041673665</x:v>
      </x:c>
      <x:c r="E135" s="44" t="n">
        <x:v>16845.35626880366</x:v>
      </x:c>
      <x:c r="F135" s="44" t="n">
        <x:v>495.9992189066432</x:v>
      </x:c>
      <x:c r="G135" s="44" t="n">
        <x:v>1998.743388666285</x:v>
      </x:c>
      <x:c r="H135" s="44" t="n">
        <x:v>67505.91121945604</x:v>
      </x:c>
      <x:c r="I135" s="44" t="n">
        <x:v>87867</x:v>
      </x:c>
      <x:c r="J135" s="44" t="n">
        <x:v>17444</x:v>
      </x:c>
      <x:c r="K135" s="44" t="n">
        <x:v>815.0992785405236</x:v>
      </x:c>
      <x:c r="L135" s="44" t="n">
        <x:v>319.10005963388045</x:v>
      </x:c>
    </x:row>
    <x:row r="136" ht="15" hidden="0" customHeight="1">
      <x:c r="A136" s="27" t="str">
        <x:v>06069</x:v>
      </x:c>
      <x:c r="B136" s="27" t="str">
        <x:v>SCA-04</x:v>
      </x:c>
      <x:c r="C136" s="43" t="n">
        <x:v>70082</x:v>
      </x:c>
      <x:c r="D136" s="43" t="n">
        <x:v>505.166392890679</x:v>
      </x:c>
      <x:c r="E136" s="43" t="n">
        <x:v>7082.761536903557</x:v>
      </x:c>
      <x:c r="F136" s="43" t="n">
        <x:v>335.9237220647232</x:v>
      </x:c>
      <x:c r="G136" s="43" t="n">
        <x:v>1007.0130830404479</x:v>
      </x:c>
      <x:c r="H136" s="43" t="n">
        <x:v>61151.135265100595</x:v>
      </x:c>
      <x:c r="I136" s="43" t="n">
        <x:v>70082</x:v>
      </x:c>
      <x:c r="J136" s="43" t="n">
        <x:v>7069</x:v>
      </x:c>
      <x:c r="K136" s="43" t="n">
        <x:v>545.9750509177541</x:v>
      </x:c>
      <x:c r="L136" s="43" t="n">
        <x:v>210.05132885303084</x:v>
      </x:c>
    </x:row>
    <x:row r="137" ht="15" hidden="0" customHeight="1">
      <x:c r="A137" s="29" t="str">
        <x:v>06033</x:v>
      </x:c>
      <x:c r="B137" s="29" t="str">
        <x:v>SCA-04</x:v>
      </x:c>
      <x:c r="C137" s="44" t="n">
        <x:v>67772</x:v>
      </x:c>
      <x:c r="D137" s="44" t="n">
        <x:v>788.3433936173305</x:v>
      </x:c>
      <x:c r="E137" s="44" t="n">
        <x:v>14045.175555193797</x:v>
      </x:c>
      <x:c r="F137" s="44" t="n">
        <x:v>324.85120989370193</x:v>
      </x:c>
      <x:c r="G137" s="44" t="n">
        <x:v>1823.870950555712</x:v>
      </x:c>
      <x:c r="H137" s="44" t="n">
        <x:v>50789.75889073946</x:v>
      </x:c>
      <x:c r="I137" s="44" t="n">
        <x:v>67772</x:v>
      </x:c>
      <x:c r="J137" s="44" t="n">
        <x:v>14587</x:v>
      </x:c>
      <x:c r="K137" s="44" t="n">
        <x:v>527.9789553779576</x:v>
      </x:c>
      <x:c r="L137" s="44" t="n">
        <x:v>203.12774548425566</x:v>
      </x:c>
    </x:row>
    <x:row r="138" ht="15" hidden="0" customHeight="1">
      <x:c r="A138" s="27" t="str">
        <x:v>32019</x:v>
      </x:c>
      <x:c r="B138" s="27" t="str">
        <x:v>SCA-04</x:v>
      </x:c>
      <x:c r="C138" s="43" t="n">
        <x:v>65088</x:v>
      </x:c>
      <x:c r="D138" s="43" t="n">
        <x:v>571.4961361891567</x:v>
      </x:c>
      <x:c r="E138" s="43" t="n">
        <x:v>11088.688671109368</x:v>
      </x:c>
      <x:c r="F138" s="43" t="n">
        <x:v>390.187252952636</x:v>
      </x:c>
      <x:c r="G138" s="43" t="n">
        <x:v>805.2636384424409</x:v>
      </x:c>
      <x:c r="H138" s="43" t="n">
        <x:v>52232.3643013064</x:v>
      </x:c>
      <x:c r="I138" s="43" t="n">
        <x:v>65088</x:v>
      </x:c>
      <x:c r="J138" s="43" t="n">
        <x:v>10865</x:v>
      </x:c>
      <x:c r="K138" s="43" t="n">
        <x:v>499.6546945122357</x:v>
      </x:c>
      <x:c r="L138" s="43" t="n">
        <x:v>109.46744155959972</x:v>
      </x:c>
    </x:row>
    <x:row r="139" ht="15" hidden="0" customHeight="1">
      <x:c r="A139" s="29" t="str">
        <x:v>06103</x:v>
      </x:c>
      <x:c r="B139" s="29" t="str">
        <x:v>SCA-04</x:v>
      </x:c>
      <x:c r="C139" s="44" t="n">
        <x:v>64665</x:v>
      </x:c>
      <x:c r="D139" s="44" t="n">
        <x:v>660.2638965375451</x:v>
      </x:c>
      <x:c r="E139" s="44" t="n">
        <x:v>11194.764493089695</x:v>
      </x:c>
      <x:c r="F139" s="44" t="n">
        <x:v>309.9584413589128</x:v>
      </x:c>
      <x:c r="G139" s="44" t="n">
        <x:v>1949.5787110039266</x:v>
      </x:c>
      <x:c r="H139" s="44" t="n">
        <x:v>50550.43445800992</x:v>
      </x:c>
      <x:c r="I139" s="44" t="n">
        <x:v>64665</x:v>
      </x:c>
      <x:c r="J139" s="44" t="n">
        <x:v>11665</x:v>
      </x:c>
      <x:c r="K139" s="44" t="n">
        <x:v>503.773817351054</x:v>
      </x:c>
      <x:c r="L139" s="44" t="n">
        <x:v>193.81537599214118</x:v>
      </x:c>
    </x:row>
    <x:row r="140" ht="15" hidden="0" customHeight="1">
      <x:c r="A140" s="27" t="str">
        <x:v>32510</x:v>
      </x:c>
      <x:c r="B140" s="27" t="str">
        <x:v>SCA-04</x:v>
      </x:c>
      <x:c r="C140" s="43" t="n">
        <x:v>58571</x:v>
      </x:c>
      <x:c r="D140" s="43" t="n">
        <x:v>471.9365493729062</x:v>
      </x:c>
      <x:c r="E140" s="43" t="n">
        <x:v>8962.311432889528</x:v>
      </x:c>
      <x:c r="F140" s="43" t="n">
        <x:v>351.11937058580446</x:v>
      </x:c>
      <x:c r="G140" s="43" t="n">
        <x:v>2145.2319539402665</x:v>
      </x:c>
      <x:c r="H140" s="43" t="n">
        <x:v>46640.40069321149</x:v>
      </x:c>
      <x:c r="I140" s="43" t="n">
        <x:v>58571</x:v>
      </x:c>
      <x:c r="J140" s="43" t="n">
        <x:v>8859</x:v>
      </x:c>
      <x:c r="K140" s="43" t="n">
        <x:v>449.62627692164693</x:v>
      </x:c>
      <x:c r="L140" s="43" t="n">
        <x:v>98.50690633584249</x:v>
      </x:c>
    </x:row>
    <x:row r="141" ht="15" hidden="0" customHeight="1">
      <x:c r="A141" s="29" t="str">
        <x:v>06109</x:v>
      </x:c>
      <x:c r="B141" s="29" t="str">
        <x:v>SCA-04</x:v>
      </x:c>
      <x:c r="C141" s="44" t="n">
        <x:v>53160</x:v>
      </x:c>
      <x:c r="D141" s="44" t="n">
        <x:v>610.0500092469799</x:v>
      </x:c>
      <x:c r="E141" s="44" t="n">
        <x:v>10817.22420235258</x:v>
      </x:c>
      <x:c r="F141" s="44" t="n">
        <x:v>254.8115787928525</x:v>
      </x:c>
      <x:c r="G141" s="44" t="n">
        <x:v>1428.7114630583533</x:v>
      </x:c>
      <x:c r="H141" s="44" t="n">
        <x:v>40049.202746549236</x:v>
      </x:c>
      <x:c r="I141" s="44" t="n">
        <x:v>53160</x:v>
      </x:c>
      <x:c r="J141" s="44" t="n">
        <x:v>11028</x:v>
      </x:c>
      <x:c r="K141" s="44" t="n">
        <x:v>414.14391294180825</x:v>
      </x:c>
      <x:c r="L141" s="44" t="n">
        <x:v>159.33233414895577</x:v>
      </x:c>
    </x:row>
    <x:row r="142" ht="15" hidden="0" customHeight="1">
      <x:c r="A142" s="27" t="str">
        <x:v>32005</x:v>
      </x:c>
      <x:c r="B142" s="27" t="str">
        <x:v>SCA-04</x:v>
      </x:c>
      <x:c r="C142" s="43" t="n">
        <x:v>50111</x:v>
      </x:c>
      <x:c r="D142" s="43" t="n">
        <x:v>418.2167730425345</x:v>
      </x:c>
      <x:c r="E142" s="43" t="n">
        <x:v>8014.517094321307</x:v>
      </x:c>
      <x:c r="F142" s="43" t="n">
        <x:v>300.4036601633103</x:v>
      </x:c>
      <x:c r="G142" s="43" t="n">
        <x:v>1140.9256188319043</x:v>
      </x:c>
      <x:c r="H142" s="43" t="n">
        <x:v>40236.936853640946</x:v>
      </x:c>
      <x:c r="I142" s="43" t="n">
        <x:v>50111</x:v>
      </x:c>
      <x:c r="J142" s="43" t="n">
        <x:v>8238</x:v>
      </x:c>
      <x:c r="K142" s="43" t="n">
        <x:v>384.68222094245704</x:v>
      </x:c>
      <x:c r="L142" s="43" t="n">
        <x:v>84.27856077914672</x:v>
      </x:c>
    </x:row>
    <x:row r="143" ht="15" hidden="0" customHeight="1">
      <x:c r="A143" s="29" t="str">
        <x:v>06009</x:v>
      </x:c>
      <x:c r="B143" s="29" t="str">
        <x:v>SCA-04</x:v>
      </x:c>
      <x:c r="C143" s="44" t="n">
        <x:v>46605</x:v>
      </x:c>
      <x:c r="D143" s="44" t="n">
        <x:v>518.5731321922984</x:v>
      </x:c>
      <x:c r="E143" s="44" t="n">
        <x:v>9093.302155453952</x:v>
      </x:c>
      <x:c r="F143" s="44" t="n">
        <x:v>223.39152802183764</x:v>
      </x:c>
      <x:c r="G143" s="44" t="n">
        <x:v>537.0134988025256</x:v>
      </x:c>
      <x:c r="H143" s="44" t="n">
        <x:v>36232.71968552939</x:v>
      </x:c>
      <x:c r="I143" s="44" t="n">
        <x:v>46605</x:v>
      </x:c>
      <x:c r="J143" s="44" t="n">
        <x:v>9335</x:v>
      </x:c>
      <x:c r="K143" s="44" t="n">
        <x:v>363.0770704035548</x:v>
      </x:c>
      <x:c r="L143" s="44" t="n">
        <x:v>139.68554238171714</x:v>
      </x:c>
    </x:row>
    <x:row r="144" ht="15" hidden="0" customHeight="1">
      <x:c r="A144" s="27" t="str">
        <x:v>06093</x:v>
      </x:c>
      <x:c r="B144" s="27" t="str">
        <x:v>SCA-04</x:v>
      </x:c>
      <x:c r="C144" s="43" t="n">
        <x:v>42013</x:v>
      </x:c>
      <x:c r="D144" s="43" t="n">
        <x:v>416.8764905046567</x:v>
      </x:c>
      <x:c r="E144" s="43" t="n">
        <x:v>6982.900623308114</x:v>
      </x:c>
      <x:c r="F144" s="43" t="n">
        <x:v>201.3807159485348</x:v>
      </x:c>
      <x:c r="G144" s="43" t="n">
        <x:v>1530.1165868443582</x:v>
      </x:c>
      <x:c r="H144" s="43" t="n">
        <x:v>32881.725583394335</x:v>
      </x:c>
      <x:c r="I144" s="43" t="n">
        <x:v>42013</x:v>
      </x:c>
      <x:c r="J144" s="43" t="n">
        <x:v>7483</x:v>
      </x:c>
      <x:c r="K144" s="43" t="n">
        <x:v>327.30301381535344</x:v>
      </x:c>
      <x:c r="L144" s="43" t="n">
        <x:v>125.92229786681864</x:v>
      </x:c>
    </x:row>
    <x:row r="145" ht="15" hidden="0" customHeight="1">
      <x:c r="A145" s="29" t="str">
        <x:v>06005</x:v>
      </x:c>
      <x:c r="B145" s="29" t="str">
        <x:v>SCA-04</x:v>
      </x:c>
      <x:c r="C145" s="44" t="n">
        <x:v>41876</x:v>
      </x:c>
      <x:c r="D145" s="44" t="n">
        <x:v>396.9193807282277</x:v>
      </x:c>
      <x:c r="E145" s="44" t="n">
        <x:v>6513.784855390932</x:v>
      </x:c>
      <x:c r="F145" s="44" t="n">
        <x:v>200.72403449077297</x:v>
      </x:c>
      <x:c r="G145" s="44" t="n">
        <x:v>806.126582278481</x:v>
      </x:c>
      <x:c r="H145" s="44" t="n">
        <x:v>33958.44514711159</x:v>
      </x:c>
      <x:c r="I145" s="44" t="n">
        <x:v>41876</x:v>
      </x:c>
      <x:c r="J145" s="44" t="n">
        <x:v>6157</x:v>
      </x:c>
      <x:c r="K145" s="44" t="n">
        <x:v>326.2357129110452</x:v>
      </x:c>
      <x:c r="L145" s="44" t="n">
        <x:v>125.51167842027223</x:v>
      </x:c>
    </x:row>
    <x:row r="146" ht="15" hidden="0" customHeight="1">
      <x:c r="A146" s="27" t="str">
        <x:v>06021</x:v>
      </x:c>
      <x:c r="B146" s="27" t="str">
        <x:v>SCA-04</x:v>
      </x:c>
      <x:c r="C146" s="43" t="n">
        <x:v>28141</x:v>
      </x:c>
      <x:c r="D146" s="43" t="n">
        <x:v>245.23573584003992</x:v>
      </x:c>
      <x:c r="E146" s="43" t="n">
        <x:v>3861.381716465353</x:v>
      </x:c>
      <x:c r="F146" s="43" t="n">
        <x:v>134.8881233786618</x:v>
      </x:c>
      <x:c r="G146" s="43" t="n">
        <x:v>620.0881012926468</x:v>
      </x:c>
      <x:c r="H146" s="43" t="n">
        <x:v>23279.406323023297</x:v>
      </x:c>
      <x:c r="I146" s="43" t="n">
        <x:v>28141</x:v>
      </x:c>
      <x:c r="J146" s="43" t="n">
        <x:v>4047</x:v>
      </x:c>
      <x:c r="K146" s="43" t="n">
        <x:v>219.23295436597866</x:v>
      </x:c>
      <x:c r="L146" s="43" t="n">
        <x:v>84.34483098731687</x:v>
      </x:c>
    </x:row>
    <x:row r="147" ht="15" hidden="0" customHeight="1">
      <x:c r="A147" s="29" t="str">
        <x:v>06035</x:v>
      </x:c>
      <x:c r="B147" s="29" t="str">
        <x:v>SCA-04</x:v>
      </x:c>
      <x:c r="C147" s="44" t="n">
        <x:v>28117</x:v>
      </x:c>
      <x:c r="D147" s="44" t="n">
        <x:v>286.7303083976927</x:v>
      </x:c>
      <x:c r="E147" s="44" t="n">
        <x:v>4858.977857857857</x:v>
      </x:c>
      <x:c r="F147" s="44" t="n">
        <x:v>134.77308429117068</x:v>
      </x:c>
      <x:c r="G147" s="44" t="n">
        <x:v>739.2179679679679</x:v>
      </x:c>
      <x:c r="H147" s="44" t="n">
        <x:v>22097.30078148531</x:v>
      </x:c>
      <x:c r="I147" s="44" t="n">
        <x:v>28117</x:v>
      </x:c>
      <x:c r="J147" s="44" t="n">
        <x:v>4316</x:v>
      </x:c>
      <x:c r="K147" s="44" t="n">
        <x:v>219.04598194478598</x:v>
      </x:c>
      <x:c r="L147" s="44" t="n">
        <x:v>84.2728976536153</x:v>
      </x:c>
    </x:row>
    <x:row r="148" ht="15" hidden="0" customHeight="1">
      <x:c r="A148" s="27" t="str">
        <x:v>06015</x:v>
      </x:c>
      <x:c r="B148" s="27" t="str">
        <x:v>SCA-04</x:v>
      </x:c>
      <x:c r="C148" s="43" t="n">
        <x:v>26410</x:v>
      </x:c>
      <x:c r="D148" s="43" t="n">
        <x:v>301.62174993857576</x:v>
      </x:c>
      <x:c r="E148" s="43" t="n">
        <x:v>5339.162655467614</x:v>
      </x:c>
      <x:c r="F148" s="43" t="n">
        <x:v>126.59092919336408</x:v>
      </x:c>
      <x:c r="G148" s="43" t="n">
        <x:v>1033.735079147149</x:v>
      </x:c>
      <x:c r="H148" s="43" t="n">
        <x:v>19608.889586253295</x:v>
      </x:c>
      <x:c r="I148" s="43" t="n">
        <x:v>26410</x:v>
      </x:c>
      <x:c r="J148" s="43" t="n">
        <x:v>5215</x:v>
      </x:c>
      <x:c r="K148" s="43" t="n">
        <x:v>205.7475684874559</x:v>
      </x:c>
      <x:c r="L148" s="43" t="n">
        <x:v>79.15663929409183</x:v>
      </x:c>
    </x:row>
    <x:row r="149" ht="15" hidden="0" customHeight="1">
      <x:c r="A149" s="29" t="str">
        <x:v>32001</x:v>
      </x:c>
      <x:c r="B149" s="29" t="str">
        <x:v>SCA-04</x:v>
      </x:c>
      <x:c r="C149" s="44" t="n">
        <x:v>25851</x:v>
      </x:c>
      <x:c r="D149" s="44" t="n">
        <x:v>255.35955170955438</x:v>
      </x:c>
      <x:c r="E149" s="44" t="n">
        <x:v>5085.176869437413</x:v>
      </x:c>
      <x:c r="F149" s="44" t="n">
        <x:v>154.97066550022421</x:v>
      </x:c>
      <x:c r="G149" s="44" t="n">
        <x:v>486.99426390136364</x:v>
      </x:c>
      <x:c r="H149" s="44" t="n">
        <x:v>19868.498649451445</x:v>
      </x:c>
      <x:c r="I149" s="44" t="n">
        <x:v>25851</x:v>
      </x:c>
      <x:c r="J149" s="44" t="n">
        <x:v>5019</x:v>
      </x:c>
      <x:c r="K149" s="44" t="n">
        <x:v>198.4478476498864</x:v>
      </x:c>
      <x:c r="L149" s="44" t="n">
        <x:v>43.477182149662184</x:v>
      </x:c>
    </x:row>
    <x:row r="150" ht="15" hidden="0" customHeight="1">
      <x:c r="A150" s="27" t="str">
        <x:v>41015</x:v>
      </x:c>
      <x:c r="B150" s="27" t="str">
        <x:v>SCA-04</x:v>
      </x:c>
      <x:c r="C150" s="43" t="n">
        <x:v>22621</x:v>
      </x:c>
      <x:c r="D150" s="43" t="n">
        <x:v>285.87615996665073</x:v>
      </x:c>
      <x:c r="E150" s="43" t="n">
        <x:v>4889.4036938950985</x:v>
      </x:c>
      <x:c r="F150" s="43" t="n">
        <x:v>127.69297154662361</x:v>
      </x:c>
      <x:c r="G150" s="43" t="n">
        <x:v>564.4778804815132</x:v>
      </x:c>
      <x:c r="H150" s="43" t="n">
        <x:v>16753.549294110115</x:v>
      </x:c>
      <x:c r="I150" s="43" t="n">
        <x:v>22621</x:v>
      </x:c>
      <x:c r="J150" s="43" t="n">
        <x:v>5237</x:v>
      </x:c>
      <x:c r="K150" s="43" t="n">
        <x:v>209.8439776009786</x:v>
      </x:c>
      <x:c r="L150" s="43" t="n">
        <x:v>82.15100605435498</x:v>
      </x:c>
    </x:row>
    <x:row r="151" ht="15" hidden="0" customHeight="1">
      <x:c r="A151" s="29" t="str">
        <x:v>06011</x:v>
      </x:c>
      <x:c r="B151" s="29" t="str">
        <x:v>SCA-04</x:v>
      </x:c>
      <x:c r="C151" s="44" t="n">
        <x:v>21836</x:v>
      </x:c>
      <x:c r="D151" s="44" t="n">
        <x:v>171.19603068279608</x:v>
      </x:c>
      <x:c r="E151" s="44" t="n">
        <x:v>2537.968461679838</x:v>
      </x:c>
      <x:c r="F151" s="44" t="n">
        <x:v>104.66639643567959</x:v>
      </x:c>
      <x:c r="G151" s="44" t="n">
        <x:v>602.9449549715126</x:v>
      </x:c>
      <x:c r="H151" s="44" t="n">
        <x:v>18419.22415623017</x:v>
      </x:c>
      <x:c r="I151" s="44" t="n">
        <x:v>21836</x:v>
      </x:c>
      <x:c r="J151" s="44" t="n">
        <x:v>2635</x:v>
      </x:c>
      <x:c r="K151" s="44" t="n">
        <x:v>170.11374121514908</x:v>
      </x:c>
      <x:c r="L151" s="44" t="n">
        <x:v>65.44734477946949</x:v>
      </x:c>
    </x:row>
    <x:row r="152" ht="15" hidden="0" customHeight="1">
      <x:c r="A152" s="27" t="str">
        <x:v>06063</x:v>
      </x:c>
      <x:c r="B152" s="27" t="str">
        <x:v>SCA-04</x:v>
      </x:c>
      <x:c r="C152" s="43" t="n">
        <x:v>18583</x:v>
      </x:c>
      <x:c r="D152" s="43" t="n">
        <x:v>238.91684069241487</x:v>
      </x:c>
      <x:c r="E152" s="43" t="n">
        <x:v>4397.267036441864</x:v>
      </x:c>
      <x:c r="F152" s="43" t="n">
        <x:v>89.07380678531936</x:v>
      </x:c>
      <x:c r="G152" s="43" t="n">
        <x:v>586.9858483230522</x:v>
      </x:c>
      <x:c r="H152" s="43" t="n">
        <x:v>13270.756467757348</x:v>
      </x:c>
      <x:c r="I152" s="43" t="n">
        <x:v>18583</x:v>
      </x:c>
      <x:c r="J152" s="43" t="n">
        <x:v>4755</x:v>
      </x:c>
      <x:c r="K152" s="43" t="n">
        <x:v>144.77118762598988</x:v>
      </x:c>
      <x:c r="L152" s="43" t="n">
        <x:v>55.697380840670526</x:v>
      </x:c>
    </x:row>
    <x:row r="153" ht="15" hidden="0" customHeight="1">
      <x:c r="A153" s="29" t="str">
        <x:v>06043</x:v>
      </x:c>
      <x:c r="B153" s="29" t="str">
        <x:v>SCA-04</x:v>
      </x:c>
      <x:c r="C153" s="44" t="n">
        <x:v>16918</x:v>
      </x:c>
      <x:c r="D153" s="44" t="n">
        <x:v>171.38420742230986</x:v>
      </x:c>
      <x:c r="E153" s="44" t="n">
        <x:v>2896.2528385724413</x:v>
      </x:c>
      <x:c r="F153" s="44" t="n">
        <x:v>81.09297009062225</x:v>
      </x:c>
      <x:c r="G153" s="44" t="n">
        <x:v>360.3037697943749</x:v>
      </x:c>
      <x:c r="H153" s="44" t="n">
        <x:v>13408.966214120252</x:v>
      </x:c>
      <x:c r="I153" s="44" t="n">
        <x:v>16918</x:v>
      </x:c>
      <x:c r="J153" s="44" t="n">
        <x:v>3018</x:v>
      </x:c>
      <x:c r="K153" s="44" t="n">
        <x:v>131.79997590574703</x:v>
      </x:c>
      <x:c r="L153" s="44" t="n">
        <x:v>50.70700581512479</x:v>
      </x:c>
    </x:row>
    <x:row r="154" ht="15" hidden="0" customHeight="1">
      <x:c r="A154" s="27" t="str">
        <x:v>06105</x:v>
      </x:c>
      <x:c r="B154" s="27" t="str">
        <x:v>SCA-04</x:v>
      </x:c>
      <x:c r="C154" s="43" t="n">
        <x:v>15720</x:v>
      </x:c>
      <x:c r="D154" s="43" t="n">
        <x:v>156.23103926971757</x:v>
      </x:c>
      <x:c r="E154" s="43" t="n">
        <x:v>2618.752936684696</x:v>
      </x:c>
      <x:c r="F154" s="43" t="n">
        <x:v>75.35060230669</x:v>
      </x:c>
      <x:c r="G154" s="43" t="n">
        <x:v>267.7767737830099</x:v>
      </x:c>
      <x:c r="H154" s="43" t="n">
        <x:v>12601.888647955886</x:v>
      </x:c>
      <x:c r="I154" s="43" t="n">
        <x:v>15720</x:v>
      </x:c>
      <x:c r="J154" s="43" t="n">
        <x:v>2727</x:v>
      </x:c>
      <x:c r="K154" s="43" t="n">
        <x:v>122.46693588121191</x:v>
      </x:c>
      <x:c r="L154" s="43" t="n">
        <x:v>47.11633357452191</x:v>
      </x:c>
    </x:row>
    <x:row r="155" ht="15" hidden="0" customHeight="1">
      <x:c r="A155" s="29" t="str">
        <x:v>06051</x:v>
      </x:c>
      <x:c r="B155" s="29" t="str">
        <x:v>SCA-04</x:v>
      </x:c>
      <x:c r="C155" s="44" t="n">
        <x:v>12505</x:v>
      </x:c>
      <x:c r="D155" s="44" t="n">
        <x:v>84.01586303507919</x:v>
      </x:c>
      <x:c r="E155" s="44" t="n">
        <x:v>1116.8543749038904</x:v>
      </x:c>
      <x:c r="F155" s="44" t="n">
        <x:v>59.94015787819075</x:v>
      </x:c>
      <x:c r="G155" s="44" t="n">
        <x:v>381.3792095955713</x:v>
      </x:c>
      <x:c r="H155" s="44" t="n">
        <x:v>10862.810394587268</x:v>
      </x:c>
      <x:c r="I155" s="44" t="n">
        <x:v>12505</x:v>
      </x:c>
      <x:c r="J155" s="44" t="n">
        <x:v>1210</x:v>
      </x:c>
      <x:c r="K155" s="44" t="n">
        <x:v>97.42042195894116</x:v>
      </x:c>
      <x:c r="L155" s="44" t="n">
        <x:v>37.480264080750416</x:v>
      </x:c>
    </x:row>
    <x:row r="156" ht="15" hidden="0" customHeight="1">
      <x:c r="A156" s="27" t="str">
        <x:v>06049</x:v>
      </x:c>
      <x:c r="B156" s="27" t="str">
        <x:v>SCA-04</x:v>
      </x:c>
      <x:c r="C156" s="43" t="n">
        <x:v>8426</x:v>
      </x:c>
      <x:c r="D156" s="43" t="n">
        <x:v>86.4366336500993</x:v>
      </x:c>
      <x:c r="E156" s="43" t="n">
        <x:v>1468.3689378330373</x:v>
      </x:c>
      <x:c r="F156" s="43" t="n">
        <x:v>40.38830630001082</x:v>
      </x:c>
      <x:c r="G156" s="43" t="n">
        <x:v>165.33143872113675</x:v>
      </x:c>
      <x:c r="H156" s="43" t="n">
        <x:v>6665.474683495716</x:v>
      </x:c>
      <x:c r="I156" s="43" t="n">
        <x:v>8426</x:v>
      </x:c>
      <x:c r="J156" s="43" t="n">
        <x:v>1533</x:v>
      </x:c>
      <x:c r="K156" s="43" t="n">
        <x:v>65.64290087373357</x:v>
      </x:c>
      <x:c r="L156" s="43" t="n">
        <x:v>25.25459457372275</x:v>
      </x:c>
    </x:row>
    <x:row r="157" ht="15" hidden="0" customHeight="1">
      <x:c r="A157" s="29" t="str">
        <x:v>32027</x:v>
      </x:c>
      <x:c r="B157" s="29" t="str">
        <x:v>SCA-04</x:v>
      </x:c>
      <x:c r="C157" s="44" t="n">
        <x:v>6421</x:v>
      </x:c>
      <x:c r="D157" s="44" t="n">
        <x:v>59.21352700898805</x:v>
      </x:c>
      <x:c r="E157" s="44" t="n">
        <x:v>1161.946756529065</x:v>
      </x:c>
      <x:c r="F157" s="44" t="n">
        <x:v>38.49238494359753</x:v>
      </x:c>
      <x:c r="G157" s="44" t="n">
        <x:v>51.93597304128054</x:v>
      </x:c>
      <x:c r="H157" s="44" t="n">
        <x:v>5109.411358477069</x:v>
      </x:c>
      <x:c r="I157" s="44" t="n">
        <x:v>6421</x:v>
      </x:c>
      <x:c r="J157" s="44" t="n">
        <x:v>895</x:v>
      </x:c>
      <x:c r="K157" s="44" t="n">
        <x:v>49.29146376387453</x:v>
      </x:c>
      <x:c r="L157" s="44" t="n">
        <x:v>10.799078820277007</x:v>
      </x:c>
    </x:row>
    <x:row r="158" ht="15" hidden="0" customHeight="1">
      <x:c r="A158" s="27" t="str">
        <x:v>32015</x:v>
      </x:c>
      <x:c r="B158" s="27" t="str">
        <x:v>SCA-04</x:v>
      </x:c>
      <x:c r="C158" s="43" t="n">
        <x:v>5872</x:v>
      </x:c>
      <x:c r="D158" s="43" t="n">
        <x:v>44.34717062568778</x:v>
      </x:c>
      <x:c r="E158" s="43" t="n">
        <x:v>827.3140947075208</x:v>
      </x:c>
      <x:c r="F158" s="43" t="n">
        <x:v>35.20125905447823</x:v>
      </x:c>
      <x:c r="G158" s="43" t="n">
        <x:v>61.43314763231198</x:v>
      </x:c>
      <x:c r="H158" s="43" t="n">
        <x:v>4903.704327980002</x:v>
      </x:c>
      <x:c r="I158" s="43" t="n">
        <x:v>5872</x:v>
      </x:c>
      <x:c r="J158" s="43" t="n">
        <x:v>843</x:v>
      </x:c>
      <x:c r="K158" s="43" t="n">
        <x:v>45.077009067352634</x:v>
      </x:c>
      <x:c r="L158" s="43" t="n">
        <x:v>9.87575001287441</x:v>
      </x:c>
    </x:row>
    <x:row r="159" ht="15" hidden="0" customHeight="1">
      <x:c r="A159" s="29" t="str">
        <x:v>32021</x:v>
      </x:c>
      <x:c r="B159" s="29" t="str">
        <x:v>SCA-04</x:v>
      </x:c>
      <x:c r="C159" s="44" t="n">
        <x:v>4407</x:v>
      </x:c>
      <x:c r="D159" s="44" t="n">
        <x:v>48.01279096687098</x:v>
      </x:c>
      <x:c r="E159" s="44" t="n">
        <x:v>974.4223906705539</x:v>
      </x:c>
      <x:c r="F159" s="44" t="n">
        <x:v>26.41892858533473</x:v>
      </x:c>
      <x:c r="G159" s="44" t="n">
        <x:v>71.5801749271137</x:v>
      </x:c>
      <x:c r="H159" s="44" t="n">
        <x:v>3286.565714850127</x:v>
      </x:c>
      <x:c r="I159" s="44" t="n">
        <x:v>4407</x:v>
      </x:c>
      <x:c r="J159" s="44" t="n">
        <x:v>1027</x:v>
      </x:c>
      <x:c r="K159" s="44" t="n">
        <x:v>33.83078660759929</x:v>
      </x:c>
      <x:c r="L159" s="44" t="n">
        <x:v>7.411858022264565</x:v>
      </x:c>
    </x:row>
    <x:row r="160" ht="15" hidden="0" customHeight="1">
      <x:c r="A160" s="27" t="str">
        <x:v>32029</x:v>
      </x:c>
      <x:c r="B160" s="27" t="str">
        <x:v>SCA-04</x:v>
      </x:c>
      <x:c r="C160" s="43" t="n">
        <x:v>4260</x:v>
      </x:c>
      <x:c r="D160" s="43" t="n">
        <x:v>40.34277794085206</x:v>
      </x:c>
      <x:c r="E160" s="43" t="n">
        <x:v>796.2756008739984</x:v>
      </x:c>
      <x:c r="F160" s="43" t="n">
        <x:v>25.5376981560077</x:v>
      </x:c>
      <x:c r="G160" s="43" t="n">
        <x:v>90.19276523428016</x:v>
      </x:c>
      <x:c r="H160" s="43" t="n">
        <x:v>3307.651157794862</x:v>
      </x:c>
      <x:c r="I160" s="43" t="n">
        <x:v>4260</x:v>
      </x:c>
      <x:c r="J160" s="43" t="n">
        <x:v>802</x:v>
      </x:c>
      <x:c r="K160" s="43" t="n">
        <x:v>32.702326060443156</x:v>
      </x:c>
      <x:c r="L160" s="43" t="n">
        <x:v>7.164627904435454</x:v>
      </x:c>
    </x:row>
    <x:row r="161" ht="15" hidden="0" customHeight="1">
      <x:c r="A161" s="29" t="str">
        <x:v>06091</x:v>
      </x:c>
      <x:c r="B161" s="29" t="str">
        <x:v>SCA-04</x:v>
      </x:c>
      <x:c r="C161" s="44" t="n">
        <x:v>3098</x:v>
      </x:c>
      <x:c r="D161" s="44" t="n">
        <x:v>29.46277265593559</x:v>
      </x:c>
      <x:c r="E161" s="44" t="n">
        <x:v>484.2570759350208</x:v>
      </x:c>
      <x:c r="F161" s="44" t="n">
        <x:v>14.84962887698</x:v>
      </x:c>
      <x:c r="G161" s="44" t="n">
        <x:v>66.13675859463544</x:v>
      </x:c>
      <x:c r="H161" s="44" t="n">
        <x:v>2503.293763937428</x:v>
      </x:c>
      <x:c r="I161" s="44" t="n">
        <x:v>3098</x:v>
      </x:c>
      <x:c r="J161" s="44" t="n">
        <x:v>431</x:v>
      </x:c>
      <x:c r="K161" s="44" t="n">
        <x:v>24.135023368956393</x:v>
      </x:c>
      <x:c r="L161" s="44" t="n">
        <x:v>9.285394491976392</x:v>
      </x:c>
    </x:row>
    <x:row r="162" ht="15" hidden="0" customHeight="1">
      <x:c r="A162" s="27" t="str">
        <x:v>06003</x:v>
      </x:c>
      <x:c r="B162" s="27" t="str">
        <x:v>SCA-04</x:v>
      </x:c>
      <x:c r="C162" s="43" t="n">
        <x:v>1043</x:v>
      </x:c>
      <x:c r="D162" s="43" t="n">
        <x:v>7.902216655166441</x:v>
      </x:c>
      <x:c r="E162" s="43" t="n">
        <x:v>114.62673267326733</x:v>
      </x:c>
      <x:c r="F162" s="43" t="n">
        <x:v>4.999407010552015</x:v>
      </x:c>
      <x:c r="G162" s="43" t="n">
        <x:v>42.947710396039604</x:v>
      </x:c>
      <x:c r="H162" s="43" t="n">
        <x:v>872.5239332649745</x:v>
      </x:c>
      <x:c r="I162" s="43" t="n">
        <x:v>1043</x:v>
      </x:c>
      <x:c r="J162" s="43" t="n">
        <x:v>185</x:v>
      </x:c>
      <x:c r="K162" s="43" t="n">
        <x:v>8.125509804332317</x:v>
      </x:c>
      <x:c r="L162" s="43" t="n">
        <x:v>3.1261027937803023</x:v>
      </x:c>
    </x:row>
    <x:row r="163" ht="15" hidden="0" customHeight="1">
      <x:c r="A163" s="29" t="str">
        <x:v>06037</x:v>
      </x:c>
      <x:c r="B163" s="29" t="str">
        <x:v>SCA-05</x:v>
      </x:c>
      <x:c r="C163" s="44" t="n">
        <x:v>9694934</x:v>
      </x:c>
      <x:c r="D163" s="44" t="n">
        <x:v>72749.04855960196</x:v>
      </x:c>
      <x:c r="E163" s="44" t="n">
        <x:v>1048588.242793845</x:v>
      </x:c>
      <x:c r="F163" s="44" t="n">
        <x:v>46470.681693613704</x:v>
      </x:c>
      <x:c r="G163" s="44" t="n">
        <x:v>477323.6906119934</x:v>
      </x:c>
      <x:c r="H163" s="44" t="n">
        <x:v>8049802.336340946</x:v>
      </x:c>
      <x:c r="I163" s="44" t="n">
        <x:v>9694934</x:v>
      </x:c>
      <x:c r="J163" s="44" t="n">
        <x:v>1097687</x:v>
      </x:c>
      <x:c r="K163" s="44" t="n">
        <x:v>75528.55347013877</x:v>
      </x:c>
      <x:c r="L163" s="44" t="n">
        <x:v>29057.871776525066</x:v>
      </x:c>
    </x:row>
    <x:row r="164" ht="15" hidden="0" customHeight="1">
      <x:c r="A164" s="27" t="str">
        <x:v>06059</x:v>
      </x:c>
      <x:c r="B164" s="27" t="str">
        <x:v>SCA-05</x:v>
      </x:c>
      <x:c r="C164" s="43" t="n">
        <x:v>3149507</x:v>
      </x:c>
      <x:c r="D164" s="43" t="n">
        <x:v>21583.988147323733</x:v>
      </x:c>
      <x:c r="E164" s="43" t="n">
        <x:v>291461.1775093699</x:v>
      </x:c>
      <x:c r="F164" s="43" t="n">
        <x:v>15096.5171386219</x:v>
      </x:c>
      <x:c r="G164" s="43" t="n">
        <x:v>84702.77116900397</x:v>
      </x:c>
      <x:c r="H164" s="43" t="n">
        <x:v>2736662.5460356805</x:v>
      </x:c>
      <x:c r="I164" s="43" t="n">
        <x:v>3149507</x:v>
      </x:c>
      <x:c r="J164" s="43" t="n">
        <x:v>303830</x:v>
      </x:c>
      <x:c r="K164" s="43" t="n">
        <x:v>24536.289556388554</x:v>
      </x:c>
      <x:c r="L164" s="43" t="n">
        <x:v>9439.772417766653</x:v>
      </x:c>
    </x:row>
    <x:row r="165" ht="15" hidden="0" customHeight="1">
      <x:c r="A165" s="29" t="str">
        <x:v>06029</x:v>
      </x:c>
      <x:c r="B165" s="29" t="str">
        <x:v>SCA-05</x:v>
      </x:c>
      <x:c r="C165" s="44" t="n">
        <x:v>927068</x:v>
      </x:c>
      <x:c r="D165" s="44" t="n">
        <x:v>7358.790966730002</x:v>
      </x:c>
      <x:c r="E165" s="44" t="n">
        <x:v>109923.89139348202</x:v>
      </x:c>
      <x:c r="F165" s="44" t="n">
        <x:v>4443.710698426112</x:v>
      </x:c>
      <x:c r="G165" s="44" t="n">
        <x:v>31942.727464409232</x:v>
      </x:c>
      <x:c r="H165" s="44" t="n">
        <x:v>773398.8794769526</x:v>
      </x:c>
      <x:c r="I165" s="44" t="n">
        <x:v>927068</x:v>
      </x:c>
      <x:c r="J165" s="44" t="n">
        <x:v>110244</x:v>
      </x:c>
      <x:c r="K165" s="44" t="n">
        <x:v>7222.339523761028</x:v>
      </x:c>
      <x:c r="L165" s="44" t="n">
        <x:v>2778.628825334916</x:v>
      </x:c>
    </x:row>
    <x:row r="166" ht="15" hidden="0" customHeight="1">
      <x:c r="A166" s="27" t="str">
        <x:v>06111</x:v>
      </x:c>
      <x:c r="B166" s="27" t="str">
        <x:v>SCA-05</x:v>
      </x:c>
      <x:c r="C166" s="43" t="n">
        <x:v>830851</x:v>
      </x:c>
      <x:c r="D166" s="43" t="n">
        <x:v>6380.948580335797</x:v>
      </x:c>
      <x:c r="E166" s="43" t="n">
        <x:v>93376.88368878415</x:v>
      </x:c>
      <x:c r="F166" s="43" t="n">
        <x:v>3982.5142033788607</x:v>
      </x:c>
      <x:c r="G166" s="43" t="n">
        <x:v>17956.15082199506</x:v>
      </x:c>
      <x:c r="H166" s="43" t="n">
        <x:v>709154.5027055062</x:v>
      </x:c>
      <x:c r="I166" s="43" t="n">
        <x:v>830851</x:v>
      </x:c>
      <x:c r="J166" s="43" t="n">
        <x:v>97160</x:v>
      </x:c>
      <x:c r="K166" s="43" t="n">
        <x:v>6472.759296681985</x:v>
      </x:c>
      <x:c r="L166" s="43" t="n">
        <x:v>2490.2450933031237</x:v>
      </x:c>
    </x:row>
    <x:row r="167" ht="15" hidden="0" customHeight="1">
      <x:c r="A167" s="29" t="str">
        <x:v>06107</x:v>
      </x:c>
      <x:c r="B167" s="29" t="str">
        <x:v>SCA-05</x:v>
      </x:c>
      <x:c r="C167" s="44" t="n">
        <x:v>485146</x:v>
      </x:c>
      <x:c r="D167" s="44" t="n">
        <x:v>3881.4148828765137</x:v>
      </x:c>
      <x:c r="E167" s="44" t="n">
        <x:v>58255.78807705921</x:v>
      </x:c>
      <x:c r="F167" s="44" t="n">
        <x:v>2325.4480474988186</x:v>
      </x:c>
      <x:c r="G167" s="44" t="n">
        <x:v>11571.22581154877</x:v>
      </x:c>
      <x:c r="H167" s="44" t="n">
        <x:v>409112.1231810167</x:v>
      </x:c>
      <x:c r="I167" s="44" t="n">
        <x:v>485146</x:v>
      </x:c>
      <x:c r="J167" s="44" t="n">
        <x:v>59370</x:v>
      </x:c>
      <x:c r="K167" s="44" t="n">
        <x:v>3779.5384271645316</x:v>
      </x:c>
      <x:c r="L167" s="44" t="n">
        <x:v>1454.0903796657128</x:v>
      </x:c>
    </x:row>
    <x:row r="168" ht="15" hidden="0" customHeight="1">
      <x:c r="A168" s="27" t="str">
        <x:v>06083</x:v>
      </x:c>
      <x:c r="B168" s="27" t="str">
        <x:v>SCA-05</x:v>
      </x:c>
      <x:c r="C168" s="43" t="n">
        <x:v>442065</x:v>
      </x:c>
      <x:c r="D168" s="43" t="n">
        <x:v>3323.4204940468103</x:v>
      </x:c>
      <x:c r="E168" s="43" t="n">
        <x:v>47962.88269434325</x:v>
      </x:c>
      <x:c r="F168" s="43" t="n">
        <x:v>2118.9480921569284</x:v>
      </x:c>
      <x:c r="G168" s="43" t="n">
        <x:v>14004.557584713724</x:v>
      </x:c>
      <x:c r="H168" s="43" t="n">
        <x:v>374655.1911347393</x:v>
      </x:c>
      <x:c r="I168" s="43" t="n">
        <x:v>442065</x:v>
      </x:c>
      <x:c r="J168" s="43" t="n">
        <x:v>49329</x:v>
      </x:c>
      <x:c r="K168" s="43" t="n">
        <x:v>3443.9151406061033</x:v>
      </x:c>
      <x:c r="L168" s="43" t="n">
        <x:v>1324.9670484491749</x:v>
      </x:c>
    </x:row>
    <x:row r="169" ht="15" hidden="0" customHeight="1">
      <x:c r="A169" s="29" t="str">
        <x:v>06079</x:v>
      </x:c>
      <x:c r="B169" s="29" t="str">
        <x:v>SCA-05</x:v>
      </x:c>
      <x:c r="C169" s="44" t="n">
        <x:v>282367</x:v>
      </x:c>
      <x:c r="D169" s="44" t="n">
        <x:v>2343.691744535922</x:v>
      </x:c>
      <x:c r="E169" s="44" t="n">
        <x:v>35937.00223155369</x:v>
      </x:c>
      <x:c r="F169" s="44" t="n">
        <x:v>1353.4684174003266</x:v>
      </x:c>
      <x:c r="G169" s="44" t="n">
        <x:v>6099.743251349731</x:v>
      </x:c>
      <x:c r="H169" s="44" t="n">
        <x:v>236633.09435516034</x:v>
      </x:c>
      <x:c r="I169" s="44" t="n">
        <x:v>282367</x:v>
      </x:c>
      <x:c r="J169" s="44" t="n">
        <x:v>36686</x:v>
      </x:c>
      <x:c r="K169" s="44" t="n">
        <x:v>2199.785068954845</x:v>
      </x:c>
      <x:c r="L169" s="44" t="n">
        <x:v>846.3166515545183</x:v>
      </x:c>
    </x:row>
    <x:row r="170" ht="15" hidden="0" customHeight="1">
      <x:c r="A170" s="27" t="str">
        <x:v>06031</x:v>
      </x:c>
      <x:c r="B170" s="27" t="str">
        <x:v>SCA-05</x:v>
      </x:c>
      <x:c r="C170" s="43" t="n">
        <x:v>154327</x:v>
      </x:c>
      <x:c r="D170" s="43" t="n">
        <x:v>1254.4926034056737</x:v>
      </x:c>
      <x:c r="E170" s="43" t="n">
        <x:v>19006.56689157549</x:v>
      </x:c>
      <x:c r="F170" s="43" t="n">
        <x:v>739.7348856351493</x:v>
      </x:c>
      <x:c r="G170" s="43" t="n">
        <x:v>3987.204612054367</x:v>
      </x:c>
      <x:c r="H170" s="43" t="n">
        <x:v>129339.00100732932</x:v>
      </x:c>
      <x:c r="I170" s="43" t="n">
        <x:v>154327</x:v>
      </x:c>
      <x:c r="J170" s="43" t="n">
        <x:v>17424</x:v>
      </x:c>
      <x:c r="K170" s="43" t="n">
        <x:v>1202.2872018918442</x:v>
      </x:c>
      <x:c r="L170" s="43" t="n">
        <x:v>462.55231625669484</x:v>
      </x:c>
    </x:row>
    <x:row r="171" ht="15" hidden="0" customHeight="1">
      <x:c r="A171" s="29" t="str">
        <x:v>06073</x:v>
      </x:c>
      <x:c r="B171" s="29" t="str">
        <x:v>SCA-06</x:v>
      </x:c>
      <x:c r="C171" s="44" t="n">
        <x:v>3282248</x:v>
      </x:c>
      <x:c r="D171" s="44" t="n">
        <x:v>24412.24146673231</x:v>
      </x:c>
      <x:c r="E171" s="44" t="n">
        <x:v>349790.754526297</x:v>
      </x:c>
      <x:c r="F171" s="44" t="n">
        <x:v>15732.783951649404</x:v>
      </x:c>
      <x:c r="G171" s="44" t="n">
        <x:v>101300.75019004733</x:v>
      </x:c>
      <x:c r="H171" s="44" t="n">
        <x:v>2791011.469865274</x:v>
      </x:c>
      <x:c r="I171" s="44" t="n">
        <x:v>3282248</x:v>
      </x:c>
      <x:c r="J171" s="44" t="n">
        <x:v>352956</x:v>
      </x:c>
      <x:c r="K171" s="44" t="n">
        <x:v>25570.410646452674</x:v>
      </x:c>
      <x:c r="L171" s="44" t="n">
        <x:v>9837.62669480327</x:v>
      </x:c>
    </x:row>
    <x:row r="172" ht="15" hidden="0" customHeight="1">
      <x:c r="A172" s="27" t="str">
        <x:v>06065</x:v>
      </x:c>
      <x:c r="B172" s="27" t="str">
        <x:v>SCA-06</x:v>
      </x:c>
      <x:c r="C172" s="43" t="n">
        <x:v>2544916</x:v>
      </x:c>
      <x:c r="D172" s="43" t="n">
        <x:v>19997.047285517456</x:v>
      </x:c>
      <x:c r="E172" s="43" t="n">
        <x:v>296864.84298197925</x:v>
      </x:c>
      <x:c r="F172" s="43" t="n">
        <x:v>12198.53393256567</x:v>
      </x:c>
      <x:c r="G172" s="43" t="n">
        <x:v>55866.21712497317</x:v>
      </x:c>
      <x:c r="H172" s="43" t="n">
        <x:v>2159989.3586749644</x:v>
      </x:c>
      <x:c r="I172" s="43" t="n">
        <x:v>2544916</x:v>
      </x:c>
      <x:c r="J172" s="43" t="n">
        <x:v>298390</x:v>
      </x:c>
      <x:c r="K172" s="43" t="n">
        <x:v>19826.212760500657</x:v>
      </x:c>
      <x:c r="L172" s="43" t="n">
        <x:v>7627.678827934988</x:v>
      </x:c>
    </x:row>
    <x:row r="173" ht="15" hidden="0" customHeight="1">
      <x:c r="A173" s="29" t="str">
        <x:v>06025</x:v>
      </x:c>
      <x:c r="B173" s="29" t="str">
        <x:v>SCA-06</x:v>
      </x:c>
      <x:c r="C173" s="44" t="n">
        <x:v>181411</x:v>
      </x:c>
      <x:c r="D173" s="44" t="n">
        <x:v>1620.1701830555508</x:v>
      </x:c>
      <x:c r="E173" s="44" t="n">
        <x:v>25834.586393199486</x:v>
      </x:c>
      <x:c r="F173" s="44" t="n">
        <x:v>869.5564958688892</x:v>
      </x:c>
      <x:c r="G173" s="44" t="n">
        <x:v>4762.892527166856</x:v>
      </x:c>
      <x:c r="H173" s="44" t="n">
        <x:v>148323.79440070922</x:v>
      </x:c>
      <x:c r="I173" s="44" t="n">
        <x:v>181411</x:v>
      </x:c>
      <x:c r="J173" s="44" t="n">
        <x:v>25705</x:v>
      </x:c>
      <x:c r="K173" s="44" t="n">
        <x:v>1413.2855792077949</x:v>
      </x:c>
      <x:c r="L173" s="44" t="n">
        <x:v>543.7290833389055</x:v>
      </x:c>
    </x:row>
    <x:row r="174" ht="15" hidden="0" customHeight="1">
      <x:c r="A174" s="27" t="str">
        <x:v>32003</x:v>
      </x:c>
      <x:c r="B174" s="27" t="str">
        <x:v>SCA-07</x:v>
      </x:c>
      <x:c r="C174" s="43" t="n">
        <x:v>2407226</x:v>
      </x:c>
      <x:c r="D174" s="43" t="n">
        <x:v>17057.757663415217</x:v>
      </x:c>
      <x:c r="E174" s="43" t="n">
        <x:v>312220.67084093683</x:v>
      </x:c>
      <x:c r="F174" s="43" t="n">
        <x:v>14430.753751477416</x:v>
      </x:c>
      <x:c r="G174" s="43" t="n">
        <x:v>99282.51825052062</x:v>
      </x:c>
      <x:c r="H174" s="43" t="n">
        <x:v>1964234.2994936502</x:v>
      </x:c>
      <x:c r="I174" s="43" t="n">
        <x:v>2407226</x:v>
      </x:c>
      <x:c r="J174" s="43" t="n">
        <x:v>311356</x:v>
      </x:c>
      <x:c r="K174" s="43" t="n">
        <x:v>18479.316796520267</x:v>
      </x:c>
      <x:c r="L174" s="43" t="n">
        <x:v>4048.56304504285</x:v>
      </x:c>
    </x:row>
    <x:row r="175" ht="15" hidden="0" customHeight="1">
      <x:c r="A175" s="29" t="str">
        <x:v>06071</x:v>
      </x:c>
      <x:c r="B175" s="29" t="str">
        <x:v>SCA-07</x:v>
      </x:c>
      <x:c r="C175" s="44" t="n">
        <x:v>2224091</x:v>
      </x:c>
      <x:c r="D175" s="44" t="n">
        <x:v>17521.0333338573</x:v>
      </x:c>
      <x:c r="E175" s="44" t="n">
        <x:v>260518.51992693858</x:v>
      </x:c>
      <x:c r="F175" s="44" t="n">
        <x:v>10660.72496405143</x:v>
      </x:c>
      <x:c r="G175" s="44" t="n">
        <x:v>57921.95791677737</x:v>
      </x:c>
      <x:c r="H175" s="44" t="n">
        <x:v>1877468.7638583751</x:v>
      </x:c>
      <x:c r="I175" s="44" t="n">
        <x:v>2224091</x:v>
      </x:c>
      <x:c r="J175" s="44" t="n">
        <x:v>263599</x:v>
      </x:c>
      <x:c r="K175" s="44" t="n">
        <x:v>17326.819967619624</x:v>
      </x:c>
      <x:c r="L175" s="44" t="n">
        <x:v>6666.095003568194</x:v>
      </x:c>
    </x:row>
    <x:row r="176" ht="15" hidden="0" customHeight="1">
      <x:c r="A176" s="27" t="str">
        <x:v>04015</x:v>
      </x:c>
      <x:c r="B176" s="27" t="str">
        <x:v>SCA-07</x:v>
      </x:c>
      <x:c r="C176" s="43" t="n">
        <x:v>228102</x:v>
      </x:c>
      <x:c r="D176" s="43" t="n">
        <x:v>2671.4233028419103</x:v>
      </x:c>
      <x:c r="E176" s="43" t="n">
        <x:v>47870.73929991273</x:v>
      </x:c>
      <x:c r="F176" s="43" t="n">
        <x:v>1987.334777643851</x:v>
      </x:c>
      <x:c r="G176" s="43" t="n">
        <x:v>4842.274503285266</x:v>
      </x:c>
      <x:c r="H176" s="43" t="n">
        <x:v>170730.22811631626</x:v>
      </x:c>
      <x:c r="I176" s="43" t="n">
        <x:v>228102</x:v>
      </x:c>
      <x:c r="J176" s="43" t="n">
        <x:v>47345</x:v>
      </x:c>
      <x:c r="K176" s="43" t="n">
        <x:v>2664.1439429893976</x:v>
      </x:c>
      <x:c r="L176" s="43" t="n">
        <x:v>676.8091653455463</x:v>
      </x:c>
    </x:row>
    <x:row r="177" ht="15" hidden="0" customHeight="1">
      <x:c r="A177" s="29" t="str">
        <x:v>49053</x:v>
      </x:c>
      <x:c r="B177" s="29" t="str">
        <x:v>SCA-07</x:v>
      </x:c>
      <x:c r="C177" s="44" t="n">
        <x:v>213670</x:v>
      </x:c>
      <x:c r="D177" s="44" t="n">
        <x:v>1593.292006062605</x:v>
      </x:c>
      <x:c r="E177" s="44" t="n">
        <x:v>27175.10620904644</x:v>
      </x:c>
      <x:c r="F177" s="44" t="n">
        <x:v>768.4315003459275</x:v>
      </x:c>
      <x:c r="G177" s="44" t="n">
        <x:v>3241.0477137788534</x:v>
      </x:c>
      <x:c r="H177" s="44" t="n">
        <x:v>180892.12257076617</x:v>
      </x:c>
      <x:c r="I177" s="44" t="n">
        <x:v>213670</x:v>
      </x:c>
      <x:c r="J177" s="44" t="n">
        <x:v>25839</x:v>
      </x:c>
      <x:c r="K177" s="44" t="n">
        <x:v>1229.4274143649309</x:v>
      </x:c>
      <x:c r="L177" s="44" t="n">
        <x:v>460.9959140190034</x:v>
      </x:c>
    </x:row>
    <x:row r="178" ht="15" hidden="0" customHeight="1">
      <x:c r="A178" s="27" t="str">
        <x:v>49021</x:v>
      </x:c>
      <x:c r="B178" s="27" t="str">
        <x:v>SCA-07</x:v>
      </x:c>
      <x:c r="C178" s="43" t="n">
        <x:v>67141</x:v>
      </x:c>
      <x:c r="D178" s="43" t="n">
        <x:v>499.94660035260847</x:v>
      </x:c>
      <x:c r="E178" s="43" t="n">
        <x:v>8522.13564103808</x:v>
      </x:c>
      <x:c r="F178" s="43" t="n">
        <x:v>241.46234550814765</x:v>
      </x:c>
      <x:c r="G178" s="43" t="n">
        <x:v>1195.3701996927803</x:v>
      </x:c>
      <x:c r="H178" s="43" t="n">
        <x:v>56682.08521340838</x:v>
      </x:c>
      <x:c r="I178" s="43" t="n">
        <x:v>67141</x:v>
      </x:c>
      <x:c r="J178" s="43" t="n">
        <x:v>8177</x:v>
      </x:c>
      <x:c r="K178" s="43" t="n">
        <x:v>386.31996081750276</x:v>
      </x:c>
      <x:c r="L178" s="43" t="n">
        <x:v>144.8576153093551</x:v>
      </x:c>
    </x:row>
    <x:row r="179" ht="15" hidden="0" customHeight="1">
      <x:c r="A179" s="29" t="str">
        <x:v>32023</x:v>
      </x:c>
      <x:c r="B179" s="29" t="str">
        <x:v>SCA-07</x:v>
      </x:c>
      <x:c r="C179" s="44" t="n">
        <x:v>57336</x:v>
      </x:c>
      <x:c r="D179" s="44" t="n">
        <x:v>687.3503530058368</x:v>
      </x:c>
      <x:c r="E179" s="44" t="n">
        <x:v>14182.092384654385</x:v>
      </x:c>
      <x:c r="F179" s="44" t="n">
        <x:v>343.7158360264924</x:v>
      </x:c>
      <x:c r="G179" s="44" t="n">
        <x:v>1383.7276397573846</x:v>
      </x:c>
      <x:c r="H179" s="44" t="n">
        <x:v>40739.1137865559</x:v>
      </x:c>
      <x:c r="I179" s="44" t="n">
        <x:v>57336</x:v>
      </x:c>
      <x:c r="J179" s="44" t="n">
        <x:v>13721</x:v>
      </x:c>
      <x:c r="K179" s="44" t="n">
        <x:v>440.1456730050631</x:v>
      </x:c>
      <x:c r="L179" s="44" t="n">
        <x:v>96.4298369785707</x:v>
      </x:c>
    </x:row>
    <x:row r="180" ht="15" hidden="0" customHeight="1">
      <x:c r="A180" s="27" t="str">
        <x:v>06027</x:v>
      </x:c>
      <x:c r="B180" s="27" t="str">
        <x:v>SCA-07</x:v>
      </x:c>
      <x:c r="C180" s="43" t="n">
        <x:v>18158</x:v>
      </x:c>
      <x:c r="D180" s="43" t="n">
        <x:v>161.4772606165376</x:v>
      </x:c>
      <x:c r="E180" s="43" t="n">
        <x:v>2569.2887814439723</x:v>
      </x:c>
      <x:c r="F180" s="43" t="n">
        <x:v>87.03665627766392</x:v>
      </x:c>
      <x:c r="G180" s="43" t="n">
        <x:v>532.0274420124142</x:v>
      </x:c>
      <x:c r="H180" s="43" t="n">
        <x:v>14808.169859649412</x:v>
      </x:c>
      <x:c r="I180" s="43" t="n">
        <x:v>18158</x:v>
      </x:c>
      <x:c r="J180" s="43" t="n">
        <x:v>2707</x:v>
      </x:c>
      <x:c r="K180" s="43" t="n">
        <x:v>141.46021766736934</x:v>
      </x:c>
      <x:c r="L180" s="43" t="n">
        <x:v>54.4235613897054</x:v>
      </x:c>
    </x:row>
    <x:row r="181" ht="15" hidden="0" customHeight="1">
      <x:c r="A181" s="29" t="str">
        <x:v>49025</x:v>
      </x:c>
      <x:c r="B181" s="29" t="str">
        <x:v>SCA-07</x:v>
      </x:c>
      <x:c r="C181" s="44" t="n">
        <x:v>8597</x:v>
      </x:c>
      <x:c r="D181" s="44" t="n">
        <x:v>75.83977569710308</x:v>
      </x:c>
      <x:c r="E181" s="44" t="n">
        <x:v>1374.9991669822034</x:v>
      </x:c>
      <x:c r="F181" s="44" t="n">
        <x:v>30.91779664189609</x:v>
      </x:c>
      <x:c r="G181" s="44" t="n">
        <x:v>110.00833017796289</x:v>
      </x:c>
      <x:c r="H181" s="44" t="n">
        <x:v>7005.234930500835</x:v>
      </x:c>
      <x:c r="I181" s="44" t="n">
        <x:v>8597</x:v>
      </x:c>
      <x:c r="J181" s="44" t="n">
        <x:v>1320</x:v>
      </x:c>
      <x:c r="K181" s="44" t="n">
        <x:v>49.46594038140736</x:v>
      </x:c>
      <x:c r="L181" s="44" t="n">
        <x:v>18.548143739511268</x:v>
      </x:c>
    </x:row>
    <x:row r="182" ht="15" hidden="0" customHeight="1">
      <x:c r="A182" s="27" t="str">
        <x:v>32017</x:v>
      </x:c>
      <x:c r="B182" s="27" t="str">
        <x:v>SCA-07</x:v>
      </x:c>
      <x:c r="C182" s="43" t="n">
        <x:v>4320</x:v>
      </x:c>
      <x:c r="D182" s="43" t="n">
        <x:v>56.18802525417757</x:v>
      </x:c>
      <x:c r="E182" s="43" t="n">
        <x:v>1174.139690341607</x:v>
      </x:c>
      <x:c r="F182" s="43" t="n">
        <x:v>25.897384045528938</x:v>
      </x:c>
      <x:c r="G182" s="43" t="n">
        <x:v>22.94028016711723</x:v>
      </x:c>
      <x:c r="H182" s="43" t="n">
        <x:v>3040.8346201915692</x:v>
      </x:c>
      <x:c r="I182" s="43" t="n">
        <x:v>4320</x:v>
      </x:c>
      <x:c r="J182" s="43" t="n">
        <x:v>1152</x:v>
      </x:c>
      <x:c r="K182" s="43" t="n">
        <x:v>33.16292220213954</x:v>
      </x:c>
      <x:c r="L182" s="43" t="n">
        <x:v>7.265538156610601</x:v>
      </x:c>
    </x:row>
    <x:row r="183" ht="15" hidden="0" customHeight="1">
      <x:c r="A183" s="29" t="str">
        <x:v>32009</x:v>
      </x:c>
      <x:c r="B183" s="29" t="str">
        <x:v>SCA-07</x:v>
      </x:c>
      <x:c r="C183" s="44" t="n">
        <x:v>729</x:v>
      </x:c>
      <x:c r="D183" s="44" t="n">
        <x:v>10.413456824202012</x:v>
      </x:c>
      <x:c r="E183" s="44" t="n">
        <x:v>220.4975342465753</x:v>
      </x:c>
      <x:c r="F183" s="44" t="n">
        <x:v>4.370183557683008</x:v>
      </x:c>
      <x:c r="G183" s="44" t="n">
        <x:v>85.6164383561644</x:v>
      </x:c>
      <x:c r="H183" s="44" t="n">
        <x:v>408.10238701537526</x:v>
      </x:c>
      <x:c r="I183" s="44" t="n">
        <x:v>729</x:v>
      </x:c>
      <x:c r="J183" s="44" t="n">
        <x:v>322</x:v>
      </x:c>
      <x:c r="K183" s="44" t="n">
        <x:v>5.596243121611047</x:v>
      </x:c>
      <x:c r="L183" s="44" t="n">
        <x:v>1.226059563928039</x:v>
      </x:c>
    </x:row>
    <x:row r="184" ht="15" hidden="0" customHeight="1">
      <x:c r="A184" s="27" t="str">
        <x:v>16001</x:v>
      </x:c>
      <x:c r="B184" s="27" t="str">
        <x:v>SCA-08</x:v>
      </x:c>
      <x:c r="C184" s="43" t="n">
        <x:v>546141</x:v>
      </x:c>
      <x:c r="D184" s="43" t="n">
        <x:v>5109.318657994356</x:v>
      </x:c>
      <x:c r="E184" s="43" t="n">
        <x:v>61954.30260905062</x:v>
      </x:c>
      <x:c r="F184" s="43" t="n">
        <x:v>3542.094527525226</x:v>
      </x:c>
      <x:c r="G184" s="43" t="n">
        <x:v>10820.97525189683</x:v>
      </x:c>
      <x:c r="H184" s="43" t="n">
        <x:v>464714.308953533</x:v>
      </x:c>
      <x:c r="I184" s="43" t="n">
        <x:v>546141</x:v>
      </x:c>
      <x:c r="J184" s="43" t="n">
        <x:v>60210</x:v>
      </x:c>
      <x:c r="K184" s="43" t="n">
        <x:v>6069.983910142472</x:v>
      </x:c>
      <x:c r="L184" s="43" t="n">
        <x:v>2527.889382617246</x:v>
      </x:c>
    </x:row>
    <x:row r="185" ht="15" hidden="0" customHeight="1">
      <x:c r="A185" s="29" t="str">
        <x:v>16027</x:v>
      </x:c>
      <x:c r="B185" s="29" t="str">
        <x:v>SCA-08</x:v>
      </x:c>
      <x:c r="C185" s="44" t="n">
        <x:v>275123</x:v>
      </x:c>
      <x:c r="D185" s="44" t="n">
        <x:v>2896.8217216025396</x:v>
      </x:c>
      <x:c r="E185" s="44" t="n">
        <x:v>38961.041983396724</x:v>
      </x:c>
      <x:c r="F185" s="44" t="n">
        <x:v>1784.3591173274353</x:v>
      </x:c>
      <x:c r="G185" s="44" t="n">
        <x:v>4598.310964026235</x:v>
      </x:c>
      <x:c r="H185" s="44" t="n">
        <x:v>226882.46621364707</x:v>
      </x:c>
      <x:c r="I185" s="44" t="n">
        <x:v>275123</x:v>
      </x:c>
      <x:c r="J185" s="44" t="n">
        <x:v>36729</x:v>
      </x:c>
      <x:c r="K185" s="44" t="n">
        <x:v>3057.804089621778</x:v>
      </x:c>
      <x:c r="L185" s="44" t="n">
        <x:v>1273.4449722943427</x:v>
      </x:c>
    </x:row>
    <x:row r="186" ht="15" hidden="0" customHeight="1">
      <x:c r="A186" s="27" t="str">
        <x:v>30031</x:v>
      </x:c>
      <x:c r="B186" s="27" t="str">
        <x:v>SCA-08</x:v>
      </x:c>
      <x:c r="C186" s="43" t="n">
        <x:v>128740</x:v>
      </x:c>
      <x:c r="D186" s="43" t="n">
        <x:v>1178.5094374957298</x:v>
      </x:c>
      <x:c r="E186" s="43" t="n">
        <x:v>10949.75651892382</x:v>
      </x:c>
      <x:c r="F186" s="43" t="n">
        <x:v>779.2119977616117</x:v>
      </x:c>
      <x:c r="G186" s="43" t="n">
        <x:v>2110.353312073041</x:v>
      </x:c>
      <x:c r="H186" s="43" t="n">
        <x:v>113722.1687337458</x:v>
      </x:c>
      <x:c r="I186" s="43" t="n">
        <x:v>128740</x:v>
      </x:c>
      <x:c r="J186" s="43" t="n">
        <x:v>10946</x:v>
      </x:c>
      <x:c r="K186" s="43" t="n">
        <x:v>1501.4815803021825</x:v>
      </x:c>
      <x:c r="L186" s="43" t="n">
        <x:v>722.2695825405708</x:v>
      </x:c>
    </x:row>
    <x:row r="187" ht="15" hidden="0" customHeight="1">
      <x:c r="A187" s="29" t="str">
        <x:v>30063</x:v>
      </x:c>
      <x:c r="B187" s="29" t="str">
        <x:v>SCA-08</x:v>
      </x:c>
      <x:c r="C187" s="44" t="n">
        <x:v>123513</x:v>
      </x:c>
      <x:c r="D187" s="44" t="n">
        <x:v>1316.3284024473983</x:v>
      </x:c>
      <x:c r="E187" s="44" t="n">
        <x:v>14961.212163941813</x:v>
      </x:c>
      <x:c r="F187" s="44" t="n">
        <x:v>747.5750464465586</x:v>
      </x:c>
      <x:c r="G187" s="44" t="n">
        <x:v>3426.2569289702315</x:v>
      </x:c>
      <x:c r="H187" s="44" t="n">
        <x:v>103061.62745819401</x:v>
      </x:c>
      <x:c r="I187" s="44" t="n">
        <x:v>123513</x:v>
      </x:c>
      <x:c r="J187" s="44" t="n">
        <x:v>15119</x:v>
      </x:c>
      <x:c r="K187" s="44" t="n">
        <x:v>1440.5196087297147</x:v>
      </x:c>
      <x:c r="L187" s="44" t="n">
        <x:v>692.9445622831561</x:v>
      </x:c>
    </x:row>
    <x:row r="188" ht="15" hidden="0" customHeight="1">
      <x:c r="A188" s="27" t="str">
        <x:v>30029</x:v>
      </x:c>
      <x:c r="B188" s="27" t="str">
        <x:v>SCA-08</x:v>
      </x:c>
      <x:c r="C188" s="43" t="n">
        <x:v>115429</x:v>
      </x:c>
      <x:c r="D188" s="43" t="n">
        <x:v>1188.2942929381584</x:v>
      </x:c>
      <x:c r="E188" s="43" t="n">
        <x:v>12976.880838238241</x:v>
      </x:c>
      <x:c r="F188" s="43" t="n">
        <x:v>698.6458108561835</x:v>
      </x:c>
      <x:c r="G188" s="43" t="n">
        <x:v>2265.943988374</x:v>
      </x:c>
      <x:c r="H188" s="43" t="n">
        <x:v>98299.23506959341</x:v>
      </x:c>
      <x:c r="I188" s="43" t="n">
        <x:v>115429</x:v>
      </x:c>
      <x:c r="J188" s="43" t="n">
        <x:v>12853</x:v>
      </x:c>
      <x:c r="K188" s="43" t="n">
        <x:v>1346.2367355344152</x:v>
      </x:c>
      <x:c r="L188" s="43" t="n">
        <x:v>647.5909246782317</x:v>
      </x:c>
    </x:row>
    <x:row r="189" ht="15" hidden="0" customHeight="1">
      <x:c r="A189" s="29" t="str">
        <x:v>16083</x:v>
      </x:c>
      <x:c r="B189" s="29" t="str">
        <x:v>SCA-08</x:v>
      </x:c>
      <x:c r="C189" s="44" t="n">
        <x:v>97539</x:v>
      </x:c>
      <x:c r="D189" s="44" t="n">
        <x:v>1015.1142137613521</x:v>
      </x:c>
      <x:c r="E189" s="44" t="n">
        <x:v>13527.394104895331</x:v>
      </x:c>
      <x:c r="F189" s="44" t="n">
        <x:v>632.6065212468632</x:v>
      </x:c>
      <x:c r="G189" s="44" t="n">
        <x:v>1544.6672598440482</x:v>
      </x:c>
      <x:c r="H189" s="44" t="n">
        <x:v>80819.2179002524</x:v>
      </x:c>
      <x:c r="I189" s="44" t="n">
        <x:v>97539</x:v>
      </x:c>
      <x:c r="J189" s="44" t="n">
        <x:v>13395</x:v>
      </x:c>
      <x:c r="K189" s="44" t="n">
        <x:v>1084.0793139709099</x:v>
      </x:c>
      <x:c r="L189" s="44" t="n">
        <x:v>451.4727927240467</x:v>
      </x:c>
    </x:row>
    <x:row r="190" ht="15" hidden="0" customHeight="1">
      <x:c r="A190" s="27" t="str">
        <x:v>30013</x:v>
      </x:c>
      <x:c r="B190" s="27" t="str">
        <x:v>SCA-08</x:v>
      </x:c>
      <x:c r="C190" s="43" t="n">
        <x:v>85029</x:v>
      </x:c>
      <x:c r="D190" s="43" t="n">
        <x:v>1032.5479177483205</x:v>
      </x:c>
      <x:c r="E190" s="43" t="n">
        <x:v>13332.240223161705</x:v>
      </x:c>
      <x:c r="F190" s="43" t="n">
        <x:v>514.6467062115278</x:v>
      </x:c>
      <x:c r="G190" s="43" t="n">
        <x:v>2607.4833868508163</x:v>
      </x:c>
      <x:c r="H190" s="43" t="n">
        <x:v>67542.08176602764</x:v>
      </x:c>
      <x:c r="I190" s="43" t="n">
        <x:v>85029</x:v>
      </x:c>
      <x:c r="J190" s="43" t="n">
        <x:v>13174</x:v>
      </x:c>
      <x:c r="K190" s="43" t="n">
        <x:v>991.6846146614438</x:v>
      </x:c>
      <x:c r="L190" s="43" t="n">
        <x:v>477.0379084499161</x:v>
      </x:c>
    </x:row>
    <x:row r="191" ht="15" hidden="0" customHeight="1">
      <x:c r="A191" s="29" t="str">
        <x:v>41059</x:v>
      </x:c>
      <x:c r="B191" s="29" t="str">
        <x:v>SCA-08</x:v>
      </x:c>
      <x:c r="C191" s="44" t="n">
        <x:v>81119</x:v>
      </x:c>
      <x:c r="D191" s="44" t="n">
        <x:v>904.4964812265011</x:v>
      </x:c>
      <x:c r="E191" s="44" t="n">
        <x:v>14637.66317142633</x:v>
      </x:c>
      <x:c r="F191" s="44" t="n">
        <x:v>457.9075265854985</x:v>
      </x:c>
      <x:c r="G191" s="44" t="n">
        <x:v>1989.890771562198</x:v>
      </x:c>
      <x:c r="H191" s="44" t="n">
        <x:v>63129.042049199474</x:v>
      </x:c>
      <x:c r="I191" s="44" t="n">
        <x:v>81119</x:v>
      </x:c>
      <x:c r="J191" s="44" t="n">
        <x:v>14388</x:v>
      </x:c>
      <x:c r="K191" s="44" t="n">
        <x:v>752.5013756692358</x:v>
      </x:c>
      <x:c r="L191" s="44" t="n">
        <x:v>294.5938490837373</x:v>
      </x:c>
    </x:row>
    <x:row r="192" ht="15" hidden="0" customHeight="1">
      <x:c r="A192" s="27" t="str">
        <x:v>30049</x:v>
      </x:c>
      <x:c r="B192" s="27" t="str">
        <x:v>SCA-08</x:v>
      </x:c>
      <x:c r="C192" s="43" t="n">
        <x:v>75331</x:v>
      </x:c>
      <x:c r="D192" s="43" t="n">
        <x:v>867.4341350661908</x:v>
      </x:c>
      <x:c r="E192" s="43" t="n">
        <x:v>10675.317189881807</x:v>
      </x:c>
      <x:c r="F192" s="43" t="n">
        <x:v>455.94857078903186</x:v>
      </x:c>
      <x:c r="G192" s="43" t="n">
        <x:v>2274.1583452999007</x:v>
      </x:c>
      <x:c r="H192" s="43" t="n">
        <x:v>61058.14175896307</x:v>
      </x:c>
      <x:c r="I192" s="43" t="n">
        <x:v>75331</x:v>
      </x:c>
      <x:c r="J192" s="43" t="n">
        <x:v>10691</x:v>
      </x:c>
      <x:c r="K192" s="43" t="n">
        <x:v>878.5778229434807</x:v>
      </x:c>
      <x:c r="L192" s="43" t="n">
        <x:v>422.6292521544488</x:v>
      </x:c>
    </x:row>
    <x:row r="193" ht="15" hidden="0" customHeight="1">
      <x:c r="A193" s="29" t="str">
        <x:v>41035</x:v>
      </x:c>
      <x:c r="B193" s="29" t="str">
        <x:v>SCA-08</x:v>
      </x:c>
      <x:c r="C193" s="44" t="n">
        <x:v>70274</x:v>
      </x:c>
      <x:c r="D193" s="44" t="n">
        <x:v>824.7964238082793</x:v>
      </x:c>
      <x:c r="E193" s="44" t="n">
        <x:v>13670.101343180244</x:v>
      </x:c>
      <x:c r="F193" s="44" t="n">
        <x:v>396.68873535508715</x:v>
      </x:c>
      <x:c r="G193" s="44" t="n">
        <x:v>2482.6084698822992</x:v>
      </x:c>
      <x:c r="H193" s="44" t="n">
        <x:v>52899.80502777409</x:v>
      </x:c>
      <x:c r="I193" s="44" t="n">
        <x:v>70274</x:v>
      </x:c>
      <x:c r="J193" s="44" t="n">
        <x:v>14048</x:v>
      </x:c>
      <x:c r="K193" s="44" t="n">
        <x:v>651.897603197523</x:v>
      </x:c>
      <x:c r="L193" s="44" t="n">
        <x:v>255.20886784243586</x:v>
      </x:c>
    </x:row>
    <x:row r="194" ht="15" hidden="0" customHeight="1">
      <x:c r="A194" s="27" t="str">
        <x:v>16065</x:v>
      </x:c>
      <x:c r="B194" s="27" t="str">
        <x:v>SCA-08</x:v>
      </x:c>
      <x:c r="C194" s="43" t="n">
        <x:v>55172</x:v>
      </x:c>
      <x:c r="D194" s="43" t="n">
        <x:v>414.47143442787757</x:v>
      </x:c>
      <x:c r="E194" s="43" t="n">
        <x:v>3818.404286898076</x:v>
      </x:c>
      <x:c r="F194" s="43" t="n">
        <x:v>357.82781236461244</x:v>
      </x:c>
      <x:c r="G194" s="43" t="n">
        <x:v>507.10127980848904</x:v>
      </x:c>
      <x:c r="H194" s="43" t="n">
        <x:v>50074.19518650095</x:v>
      </x:c>
      <x:c r="I194" s="43" t="n">
        <x:v>55172</x:v>
      </x:c>
      <x:c r="J194" s="43" t="n">
        <x:v>3915</x:v>
      </x:c>
      <x:c r="K194" s="43" t="n">
        <x:v>613.1990681717368</x:v>
      </x:c>
      <x:c r="L194" s="43" t="n">
        <x:v>255.37125580712438</x:v>
      </x:c>
    </x:row>
    <x:row r="195" ht="15" hidden="0" customHeight="1">
      <x:c r="A195" s="29" t="str">
        <x:v>32007</x:v>
      </x:c>
      <x:c r="B195" s="29" t="str">
        <x:v>SCA-08</x:v>
      </x:c>
      <x:c r="C195" s="44" t="n">
        <x:v>54815</x:v>
      </x:c>
      <x:c r="D195" s="44" t="n">
        <x:v>402.3519963553014</x:v>
      </x:c>
      <x:c r="E195" s="44" t="n">
        <x:v>7443.889723334956</x:v>
      </x:c>
      <x:c r="F195" s="44" t="n">
        <x:v>328.6030339017751</x:v>
      </x:c>
      <x:c r="G195" s="44" t="n">
        <x:v>1175.7724813747145</x:v>
      </x:c>
      <x:c r="H195" s="44" t="n">
        <x:v>45464.38276503325</x:v>
      </x:c>
      <x:c r="I195" s="44" t="n">
        <x:v>54815</x:v>
      </x:c>
      <x:c r="J195" s="44" t="n">
        <x:v>7557</x:v>
      </x:c>
      <x:c r="K195" s="44" t="n">
        <x:v>420.7929584514534</x:v>
      </x:c>
      <x:c r="L195" s="44" t="n">
        <x:v>92.18992454967827</x:v>
      </x:c>
    </x:row>
    <x:row r="196" ht="15" hidden="0" customHeight="1">
      <x:c r="A196" s="27" t="str">
        <x:v>16011</x:v>
      </x:c>
      <x:c r="B196" s="27" t="str">
        <x:v>SCA-08</x:v>
      </x:c>
      <x:c r="C196" s="43" t="n">
        <x:v>51153</x:v>
      </x:c>
      <x:c r="D196" s="43" t="n">
        <x:v>539.3548792151261</x:v>
      </x:c>
      <x:c r="E196" s="43" t="n">
        <x:v>7262.066938775511</x:v>
      </x:c>
      <x:c r="F196" s="43" t="n">
        <x:v>331.7618735207536</x:v>
      </x:c>
      <x:c r="G196" s="43" t="n">
        <x:v>1157.6011048487192</x:v>
      </x:c>
      <x:c r="H196" s="43" t="n">
        <x:v>41862.215203639884</x:v>
      </x:c>
      <x:c r="I196" s="43" t="n">
        <x:v>51153</x:v>
      </x:c>
      <x:c r="J196" s="43" t="n">
        <x:v>7268</x:v>
      </x:c>
      <x:c r="K196" s="43" t="n">
        <x:v>568.5306302869001</x:v>
      </x:c>
      <x:c r="L196" s="43" t="n">
        <x:v>236.76875676614648</x:v>
      </x:c>
    </x:row>
    <x:row r="197" ht="15" hidden="0" customHeight="1">
      <x:c r="A197" s="29" t="str">
        <x:v>30081</x:v>
      </x:c>
      <x:c r="B197" s="29" t="str">
        <x:v>SCA-08</x:v>
      </x:c>
      <x:c r="C197" s="44" t="n">
        <x:v>48582</x:v>
      </x:c>
      <x:c r="D197" s="44" t="n">
        <x:v>623.4543974601773</x:v>
      </x:c>
      <x:c r="E197" s="44" t="n">
        <x:v>8421.479248725285</x:v>
      </x:c>
      <x:c r="F197" s="44" t="n">
        <x:v>294.04751650811414</x:v>
      </x:c>
      <x:c r="G197" s="44" t="n">
        <x:v>1142.2876444138467</x:v>
      </x:c>
      <x:c r="H197" s="44" t="n">
        <x:v>38100.73119289258</x:v>
      </x:c>
      <x:c r="I197" s="44" t="n">
        <x:v>48582</x:v>
      </x:c>
      <x:c r="J197" s="44" t="n">
        <x:v>8393</x:v>
      </x:c>
      <x:c r="K197" s="44" t="n">
        <x:v>566.6069452714046</x:v>
      </x:c>
      <x:c r="L197" s="44" t="n">
        <x:v>272.55942876329044</x:v>
      </x:c>
    </x:row>
    <x:row r="198" ht="15" hidden="0" customHeight="1">
      <x:c r="A198" s="27" t="str">
        <x:v>16069</x:v>
      </x:c>
      <x:c r="B198" s="27" t="str">
        <x:v>SCA-08</x:v>
      </x:c>
      <x:c r="C198" s="43" t="n">
        <x:v>42905</x:v>
      </x:c>
      <x:c r="D198" s="43" t="n">
        <x:v>509.93866919038857</x:v>
      </x:c>
      <x:c r="E198" s="43" t="n">
        <x:v>7472.326191329273</x:v>
      </x:c>
      <x:c r="F198" s="43" t="n">
        <x:v>278.2680035072808</x:v>
      </x:c>
      <x:c r="G198" s="43" t="n">
        <x:v>1007.267048847486</x:v>
      </x:c>
      <x:c r="H198" s="43" t="n">
        <x:v>33637.20008712557</x:v>
      </x:c>
      <x:c r="I198" s="43" t="n">
        <x:v>42905</x:v>
      </x:c>
      <x:c r="J198" s="43" t="n">
        <x:v>7595</x:v>
      </x:c>
      <x:c r="K198" s="43" t="n">
        <x:v>476.8597480589496</x:v>
      </x:c>
      <x:c r="L198" s="43" t="n">
        <x:v>198.5917445516688</x:v>
      </x:c>
    </x:row>
    <x:row r="199" ht="15" hidden="0" customHeight="1">
      <x:c r="A199" s="29" t="str">
        <x:v>30093</x:v>
      </x:c>
      <x:c r="B199" s="29" t="str">
        <x:v>SCA-08</x:v>
      </x:c>
      <x:c r="C199" s="44" t="n">
        <x:v>36118</x:v>
      </x:c>
      <x:c r="D199" s="44" t="n">
        <x:v>469.5022930218817</x:v>
      </x:c>
      <x:c r="E199" s="44" t="n">
        <x:v>6404.870421892816</x:v>
      </x:c>
      <x:c r="F199" s="44" t="n">
        <x:v>218.60788360380528</x:v>
      </x:c>
      <x:c r="G199" s="44" t="n">
        <x:v>1146.2827822120864</x:v>
      </x:c>
      <x:c r="H199" s="44" t="n">
        <x:v>27878.73661926941</x:v>
      </x:c>
      <x:c r="I199" s="44" t="n">
        <x:v>36118</x:v>
      </x:c>
      <x:c r="J199" s="44" t="n">
        <x:v>6480</x:v>
      </x:c>
      <x:c r="K199" s="44" t="n">
        <x:v>421.2405757134863</x:v>
      </x:c>
      <x:c r="L199" s="44" t="n">
        <x:v>202.63269210968102</x:v>
      </x:c>
    </x:row>
    <x:row r="200" ht="15" hidden="0" customHeight="1">
      <x:c r="A200" s="27" t="str">
        <x:v>16051</x:v>
      </x:c>
      <x:c r="B200" s="27" t="str">
        <x:v>SCA-08</x:v>
      </x:c>
      <x:c r="C200" s="43" t="n">
        <x:v>35297</x:v>
      </x:c>
      <x:c r="D200" s="43" t="n">
        <x:v>343.5533205945871</x:v>
      </x:c>
      <x:c r="E200" s="43" t="n">
        <x:v>4324.230227341619</x:v>
      </x:c>
      <x:c r="F200" s="43" t="n">
        <x:v>228.92496724849062</x:v>
      </x:c>
      <x:c r="G200" s="43" t="n">
        <x:v>271.7481054865111</x:v>
      </x:c>
      <x:c r="H200" s="43" t="n">
        <x:v>30128.543379328792</x:v>
      </x:c>
      <x:c r="I200" s="43" t="n">
        <x:v>35297</x:v>
      </x:c>
      <x:c r="J200" s="43" t="n">
        <x:v>4210</x:v>
      </x:c>
      <x:c r="K200" s="43" t="n">
        <x:v>392.3020283705103</x:v>
      </x:c>
      <x:c r="L200" s="43" t="n">
        <x:v>163.37706112201968</x:v>
      </x:c>
    </x:row>
    <x:row r="201" ht="15" hidden="0" customHeight="1">
      <x:c r="A201" s="29" t="str">
        <x:v>30047</x:v>
      </x:c>
      <x:c r="B201" s="29" t="str">
        <x:v>SCA-08</x:v>
      </x:c>
      <x:c r="C201" s="44" t="n">
        <x:v>33392</x:v>
      </x:c>
      <x:c r="D201" s="44" t="n">
        <x:v>396.52798785324404</x:v>
      </x:c>
      <x:c r="E201" s="44" t="n">
        <x:v>5020.535141717924</x:v>
      </x:c>
      <x:c r="F201" s="44" t="n">
        <x:v>202.10849020705092</x:v>
      </x:c>
      <x:c r="G201" s="44" t="n">
        <x:v>919.7101659815164</x:v>
      </x:c>
      <x:c r="H201" s="44" t="n">
        <x:v>26853.118214240265</x:v>
      </x:c>
      <x:c r="I201" s="44" t="n">
        <x:v>33392</x:v>
      </x:c>
      <x:c r="J201" s="44" t="n">
        <x:v>5067</x:v>
      </x:c>
      <x:c r="K201" s="44" t="n">
        <x:v>389.4475138220481</x:v>
      </x:c>
      <x:c r="L201" s="44" t="n">
        <x:v>187.3390236149972</x:v>
      </x:c>
    </x:row>
    <x:row r="202" ht="15" hidden="0" customHeight="1">
      <x:c r="A202" s="27" t="str">
        <x:v>41045</x:v>
      </x:c>
      <x:c r="B202" s="27" t="str">
        <x:v>SCA-08</x:v>
      </x:c>
      <x:c r="C202" s="43" t="n">
        <x:v>32261</x:v>
      </x:c>
      <x:c r="D202" s="43" t="n">
        <x:v>322.751111183964</x:v>
      </x:c>
      <x:c r="E202" s="43" t="n">
        <x:v>4934.189589962851</x:v>
      </x:c>
      <x:c r="F202" s="43" t="n">
        <x:v>182.10967486254475</x:v>
      </x:c>
      <x:c r="G202" s="43" t="n">
        <x:v>873.4678629003996</x:v>
      </x:c>
      <x:c r="H202" s="43" t="n">
        <x:v>25948.481761090243</x:v>
      </x:c>
      <x:c r="I202" s="43" t="n">
        <x:v>32261</x:v>
      </x:c>
      <x:c r="J202" s="43" t="n">
        <x:v>4546</x:v>
      </x:c>
      <x:c r="K202" s="43" t="n">
        <x:v>299.2695531313899</x:v>
      </x:c>
      <x:c r="L202" s="43" t="n">
        <x:v>117.15987826884515</x:v>
      </x:c>
    </x:row>
    <x:row r="203" ht="15" hidden="0" customHeight="1">
      <x:c r="A203" s="29" t="str">
        <x:v>16039</x:v>
      </x:c>
      <x:c r="B203" s="29" t="str">
        <x:v>SCA-08</x:v>
      </x:c>
      <x:c r="C203" s="44" t="n">
        <x:v>29465</x:v>
      </x:c>
      <x:c r="D203" s="44" t="n">
        <x:v>332.34284007026974</x:v>
      </x:c>
      <x:c r="E203" s="44" t="n">
        <x:v>4703.04</x:v>
      </x:c>
      <x:c r="F203" s="44" t="n">
        <x:v>191.10049465894485</x:v>
      </x:c>
      <x:c r="G203" s="44" t="n">
        <x:v>753.2795180722892</x:v>
      </x:c>
      <x:c r="H203" s="44" t="n">
        <x:v>23485.237147198495</x:v>
      </x:c>
      <x:c r="I203" s="44" t="n">
        <x:v>29465</x:v>
      </x:c>
      <x:c r="J203" s="44" t="n">
        <x:v>4278</x:v>
      </x:c>
      <x:c r="K203" s="44" t="n">
        <x:v>327.48333472921456</x:v>
      </x:c>
      <x:c r="L203" s="44" t="n">
        <x:v>136.3828400702697</x:v>
      </x:c>
    </x:row>
    <x:row r="204" ht="15" hidden="0" customHeight="1">
      <x:c r="A204" s="27" t="str">
        <x:v>16075</x:v>
      </x:c>
      <x:c r="B204" s="27" t="str">
        <x:v>SCA-08</x:v>
      </x:c>
      <x:c r="C204" s="43" t="n">
        <x:v>27824</x:v>
      </x:c>
      <x:c r="D204" s="43" t="n">
        <x:v>328.8911381457565</x:v>
      </x:c>
      <x:c r="E204" s="43" t="n">
        <x:v>4802.4934614080685</x:v>
      </x:c>
      <x:c r="F204" s="43" t="n">
        <x:v>180.4574974848288</x:v>
      </x:c>
      <x:c r="G204" s="43" t="n">
        <x:v>468.3374392586733</x:v>
      </x:c>
      <x:c r="H204" s="43" t="n">
        <x:v>22043.820463702672</x:v>
      </x:c>
      <x:c r="I204" s="43" t="n">
        <x:v>27824</x:v>
      </x:c>
      <x:c r="J204" s="43" t="n">
        <x:v>4773</x:v>
      </x:c>
      <x:c r="K204" s="43" t="n">
        <x:v>309.2447414052491</x:v>
      </x:c>
      <x:c r="L204" s="43" t="n">
        <x:v>128.7872439204203</x:v>
      </x:c>
    </x:row>
    <x:row r="205" ht="15" hidden="0" customHeight="1">
      <x:c r="A205" s="29" t="str">
        <x:v>41013</x:v>
      </x:c>
      <x:c r="B205" s="29" t="str">
        <x:v>SCA-08</x:v>
      </x:c>
      <x:c r="C205" s="44" t="n">
        <x:v>27564</x:v>
      </x:c>
      <x:c r="D205" s="44" t="n">
        <x:v>317.97125385085525</x:v>
      </x:c>
      <x:c r="E205" s="44" t="n">
        <x:v>5228.858921332875</x:v>
      </x:c>
      <x:c r="F205" s="44" t="n">
        <x:v>155.59564421162344</x:v>
      </x:c>
      <x:c r="G205" s="44" t="n">
        <x:v>723.7621283255087</x:v>
      </x:c>
      <x:c r="H205" s="44" t="n">
        <x:v>21137.812052279136</x:v>
      </x:c>
      <x:c r="I205" s="44" t="n">
        <x:v>27564</x:v>
      </x:c>
      <x:c r="J205" s="44" t="n">
        <x:v>5177</x:v>
      </x:c>
      <x:c r="K205" s="44" t="n">
        <x:v>255.6977763402756</x:v>
      </x:c>
      <x:c r="L205" s="44" t="n">
        <x:v>100.10213212865217</x:v>
      </x:c>
    </x:row>
    <x:row r="206" ht="15" hidden="0" customHeight="1">
      <x:c r="A206" s="27" t="str">
        <x:v>16053</x:v>
      </x:c>
      <x:c r="B206" s="27" t="str">
        <x:v>SCA-08</x:v>
      </x:c>
      <x:c r="C206" s="43" t="n">
        <x:v>26362</x:v>
      </x:c>
      <x:c r="D206" s="43" t="n">
        <x:v>271.4428081240211</x:v>
      </x:c>
      <x:c r="E206" s="43" t="n">
        <x:v>3586.143216514642</x:v>
      </x:c>
      <x:c r="F206" s="43" t="n">
        <x:v>170.97543662647558</x:v>
      </x:c>
      <x:c r="G206" s="43" t="n">
        <x:v>560.8973035685709</x:v>
      </x:c>
      <x:c r="H206" s="43" t="n">
        <x:v>21772.541235166293</x:v>
      </x:c>
      <x:c r="I206" s="43" t="n">
        <x:v>26362</x:v>
      </x:c>
      <x:c r="J206" s="43" t="n">
        <x:v>3542</x:v>
      </x:c>
      <x:c r="K206" s="43" t="n">
        <x:v>292.9956107290532</x:v>
      </x:c>
      <x:c r="L206" s="43" t="n">
        <x:v>122.02017410257763</x:v>
      </x:c>
    </x:row>
    <x:row r="207" ht="15" hidden="0" customHeight="1">
      <x:c r="A207" s="29" t="str">
        <x:v>41061</x:v>
      </x:c>
      <x:c r="B207" s="29" t="str">
        <x:v>SCA-08</x:v>
      </x:c>
      <x:c r="C207" s="44" t="n">
        <x:v>25900</x:v>
      </x:c>
      <x:c r="D207" s="44" t="n">
        <x:v>286.950750133647</x:v>
      </x:c>
      <x:c r="E207" s="44" t="n">
        <x:v>4629.399438007622</x:v>
      </x:c>
      <x:c r="F207" s="44" t="n">
        <x:v>146.20255351476735</x:v>
      </x:c>
      <x:c r="G207" s="44" t="n">
        <x:v>1111.6660379537318</x:v>
      </x:c>
      <x:c r="H207" s="44" t="n">
        <x:v>19725.781220390232</x:v>
      </x:c>
      <x:c r="I207" s="44" t="n">
        <x:v>25900</x:v>
      </x:c>
      <x:c r="J207" s="44" t="n">
        <x:v>4837</x:v>
      </x:c>
      <x:c r="K207" s="44" t="n">
        <x:v>240.26166039809672</x:v>
      </x:c>
      <x:c r="L207" s="44" t="n">
        <x:v>94.05910688332938</x:v>
      </x:c>
    </x:row>
    <x:row r="208" ht="15" hidden="0" customHeight="1">
      <x:c r="A208" s="27" t="str">
        <x:v>16013</x:v>
      </x:c>
      <x:c r="B208" s="27" t="str">
        <x:v>SCA-08</x:v>
      </x:c>
      <x:c r="C208" s="43" t="n">
        <x:v>25517</x:v>
      </x:c>
      <x:c r="D208" s="43" t="n">
        <x:v>237.57474206050847</x:v>
      </x:c>
      <x:c r="E208" s="43" t="n">
        <x:v>2867.178424359594</x:v>
      </x:c>
      <x:c r="F208" s="43" t="n">
        <x:v>165.49503893474616</x:v>
      </x:c>
      <x:c r="G208" s="43" t="n">
        <x:v>145.68753020782987</x:v>
      </x:c>
      <x:c r="H208" s="43" t="n">
        <x:v>22101.06426443732</x:v>
      </x:c>
      <x:c r="I208" s="43" t="n">
        <x:v>25517</x:v>
      </x:c>
      <x:c r="J208" s="43" t="n">
        <x:v>2906</x:v>
      </x:c>
      <x:c r="K208" s="43" t="n">
        <x:v>283.60401331360487</x:v>
      </x:c>
      <x:c r="L208" s="43" t="n">
        <x:v>118.1089743788587</x:v>
      </x:c>
    </x:row>
    <x:row r="209" ht="15" hidden="0" customHeight="1">
      <x:c r="A209" s="29" t="str">
        <x:v>16067</x:v>
      </x:c>
      <x:c r="B209" s="29" t="str">
        <x:v>SCA-08</x:v>
      </x:c>
      <x:c r="C209" s="44" t="n">
        <x:v>22911</x:v>
      </x:c>
      <x:c r="D209" s="44" t="n">
        <x:v>229.9425155145585</x:v>
      </x:c>
      <x:c r="E209" s="44" t="n">
        <x:v>2973.4985677541627</x:v>
      </x:c>
      <x:c r="F209" s="44" t="n">
        <x:v>148.59336273989769</x:v>
      </x:c>
      <x:c r="G209" s="44" t="n">
        <x:v>541.801926808357</x:v>
      </x:c>
      <x:c r="H209" s="44" t="n">
        <x:v>19017.16362718302</x:v>
      </x:c>
      <x:c r="I209" s="44" t="n">
        <x:v>22911</x:v>
      </x:c>
      <x:c r="J209" s="44" t="n">
        <x:v>2996</x:v>
      </x:c>
      <x:c r="K209" s="44" t="n">
        <x:v>254.64010459803274</x:v>
      </x:c>
      <x:c r="L209" s="44" t="n">
        <x:v>106.04674185813505</x:v>
      </x:c>
    </x:row>
    <x:row r="210" ht="15" hidden="0" customHeight="1">
      <x:c r="A210" s="27" t="str">
        <x:v>53003</x:v>
      </x:c>
      <x:c r="B210" s="27" t="str">
        <x:v>SCA-08</x:v>
      </x:c>
      <x:c r="C210" s="43" t="n">
        <x:v>22545</x:v>
      </x:c>
      <x:c r="D210" s="43" t="n">
        <x:v>265.6504064993019</x:v>
      </x:c>
      <x:c r="E210" s="43" t="n">
        <x:v>4585.143350418128</x:v>
      </x:c>
      <x:c r="F210" s="43" t="n">
        <x:v>77.61410654601337</x:v>
      </x:c>
      <x:c r="G210" s="43" t="n">
        <x:v>364.12462908011867</x:v>
      </x:c>
      <x:c r="H210" s="43" t="n">
        <x:v>17252.46750745644</x:v>
      </x:c>
      <x:c r="I210" s="43" t="n">
        <x:v>22545</x:v>
      </x:c>
      <x:c r="J210" s="43" t="n">
        <x:v>4712</x:v>
      </x:c>
      <x:c r="K210" s="43" t="n">
        <x:v>152.21687344455992</x:v>
      </x:c>
      <x:c r="L210" s="43" t="n">
        <x:v>74.60276689854655</x:v>
      </x:c>
    </x:row>
    <x:row r="211" ht="15" hidden="0" customHeight="1">
      <x:c r="A211" s="29" t="str">
        <x:v>16045</x:v>
      </x:c>
      <x:c r="B211" s="29" t="str">
        <x:v>SCA-08</x:v>
      </x:c>
      <x:c r="C211" s="44" t="n">
        <x:v>21773</x:v>
      </x:c>
      <x:c r="D211" s="44" t="n">
        <x:v>247.68770840430307</x:v>
      </x:c>
      <x:c r="E211" s="44" t="n">
        <x:v>3525.8005780005897</x:v>
      </x:c>
      <x:c r="F211" s="44" t="n">
        <x:v>141.21266146985258</x:v>
      </x:c>
      <x:c r="G211" s="44" t="n">
        <x:v>194.52845768209966</x:v>
      </x:c>
      <x:c r="H211" s="44" t="n">
        <x:v>17663.770594443155</x:v>
      </x:c>
      <x:c r="I211" s="44" t="n">
        <x:v>21773</x:v>
      </x:c>
      <x:c r="J211" s="44" t="n">
        <x:v>3432</x:v>
      </x:c>
      <x:c r="K211" s="44" t="n">
        <x:v>241.9920124574644</x:v>
      </x:c>
      <x:c r="L211" s="44" t="n">
        <x:v>100.77935098761182</x:v>
      </x:c>
    </x:row>
    <x:row r="212" ht="15" hidden="0" customHeight="1">
      <x:c r="A212" s="27" t="str">
        <x:v>30067</x:v>
      </x:c>
      <x:c r="B212" s="27" t="str">
        <x:v>SCA-08</x:v>
      </x:c>
      <x:c r="C212" s="43" t="n">
        <x:v>18214</x:v>
      </x:c>
      <x:c r="D212" s="43" t="n">
        <x:v>196.82457252110632</x:v>
      </x:c>
      <x:c r="E212" s="43" t="n">
        <x:v>2271.3271318887564</x:v>
      </x:c>
      <x:c r="F212" s="43" t="n">
        <x:v>110.24209513150532</x:v>
      </x:c>
      <x:c r="G212" s="43" t="n">
        <x:v>346.3005175453563</x:v>
      </x:c>
      <x:c r="H212" s="43" t="n">
        <x:v>15289.305682913275</x:v>
      </x:c>
      <x:c r="I212" s="43" t="n">
        <x:v>18214</x:v>
      </x:c>
      <x:c r="J212" s="43" t="n">
        <x:v>2284</x:v>
      </x:c>
      <x:c r="K212" s="43" t="n">
        <x:v>212.4280371572468</x:v>
      </x:c>
      <x:c r="L212" s="43" t="n">
        <x:v>102.18594202574147</x:v>
      </x:c>
    </x:row>
    <x:row r="213" ht="15" hidden="0" customHeight="1">
      <x:c r="A213" s="29" t="str">
        <x:v>16049</x:v>
      </x:c>
      <x:c r="B213" s="29" t="str">
        <x:v>SCA-08</x:v>
      </x:c>
      <x:c r="C213" s="44" t="n">
        <x:v>17874</x:v>
      </x:c>
      <x:c r="D213" s="44" t="n">
        <x:v>209.56026944824768</x:v>
      </x:c>
      <x:c r="E213" s="44" t="n">
        <x:v>3043.871540507002</x:v>
      </x:c>
      <x:c r="F213" s="44" t="n">
        <x:v>115.92500395499678</x:v>
      </x:c>
      <x:c r="G213" s="44" t="n">
        <x:v>266.52508420492825</x:v>
      </x:c>
      <x:c r="H213" s="44" t="n">
        <x:v>14238.118101884826</x:v>
      </x:c>
      <x:c r="I213" s="44" t="n">
        <x:v>17874</x:v>
      </x:c>
      <x:c r="J213" s="44" t="n">
        <x:v>3002</x:v>
      </x:c>
      <x:c r="K213" s="44" t="n">
        <x:v>198.65729254878605</x:v>
      </x:c>
      <x:c r="L213" s="44" t="n">
        <x:v>82.73228859378926</x:v>
      </x:c>
    </x:row>
    <x:row r="214" ht="15" hidden="0" customHeight="1">
      <x:c r="A214" s="27" t="str">
        <x:v>32013</x:v>
      </x:c>
      <x:c r="B214" s="27" t="str">
        <x:v>SCA-08</x:v>
      </x:c>
      <x:c r="C214" s="43" t="n">
        <x:v>17267</x:v>
      </x:c>
      <x:c r="D214" s="43" t="n">
        <x:v>129.49403917619728</x:v>
      </x:c>
      <x:c r="E214" s="43" t="n">
        <x:v>2410.890010505427</x:v>
      </x:c>
      <x:c r="F214" s="43" t="n">
        <x:v>103.51160423938616</x:v>
      </x:c>
      <x:c r="G214" s="43" t="n">
        <x:v>273.0313411929497</x:v>
      </x:c>
      <x:c r="H214" s="43" t="n">
        <x:v>14350.073004886039</x:v>
      </x:c>
      <x:c r="I214" s="43" t="n">
        <x:v>17267</x:v>
      </x:c>
      <x:c r="J214" s="43" t="n">
        <x:v>2492</x:v>
      </x:c>
      <x:c r="K214" s="43" t="n">
        <x:v>132.55189297785728</x:v>
      </x:c>
      <x:c r="L214" s="43" t="n">
        <x:v>29.040288738471123</x:v>
      </x:c>
    </x:row>
    <x:row r="215" ht="15" hidden="0" customHeight="1">
      <x:c r="A215" s="29" t="str">
        <x:v>41001</x:v>
      </x:c>
      <x:c r="B215" s="29" t="str">
        <x:v>SCA-08</x:v>
      </x:c>
      <x:c r="C215" s="44" t="n">
        <x:v>16658</x:v>
      </x:c>
      <x:c r="D215" s="44" t="n">
        <x:v>211.06007621214536</x:v>
      </x:c>
      <x:c r="E215" s="44" t="n">
        <x:v>3613.546907890716</x:v>
      </x:c>
      <x:c r="F215" s="44" t="n">
        <x:v>94.03251492081057</x:v>
      </x:c>
      <x:c r="G215" s="44" t="n">
        <x:v>325.0950430902757</x:v>
      </x:c>
      <x:c r="H215" s="44" t="n">
        <x:v>12414.265457886053</x:v>
      </x:c>
      <x:c r="I215" s="44" t="n">
        <x:v>16658</x:v>
      </x:c>
      <x:c r="J215" s="44" t="n">
        <x:v>3697</x:v>
      </x:c>
      <x:c r="K215" s="44" t="n">
        <x:v>154.52813663750945</x:v>
      </x:c>
      <x:c r="L215" s="44" t="n">
        <x:v>60.49562171669888</x:v>
      </x:c>
    </x:row>
    <x:row r="216" ht="15" hidden="0" customHeight="1">
      <x:c r="A216" s="27" t="str">
        <x:v>16047</x:v>
      </x:c>
      <x:c r="B216" s="27" t="str">
        <x:v>SCA-08</x:v>
      </x:c>
      <x:c r="C216" s="43" t="n">
        <x:v>16446</x:v>
      </x:c>
      <x:c r="D216" s="43" t="n">
        <x:v>189.528957736389</x:v>
      </x:c>
      <x:c r="E216" s="43" t="n">
        <x:v>2721.7527658499616</x:v>
      </x:c>
      <x:c r="F216" s="43" t="n">
        <x:v>106.66345613986108</x:v>
      </x:c>
      <x:c r="G216" s="43" t="n">
        <x:v>168.83202828997221</x:v>
      </x:c>
      <x:c r="H216" s="43" t="n">
        <x:v>13259.222791983815</x:v>
      </x:c>
      <x:c r="I216" s="43" t="n">
        <x:v>16446</x:v>
      </x:c>
      <x:c r="J216" s="43" t="n">
        <x:v>2730</x:v>
      </x:c>
      <x:c r="K216" s="43" t="n">
        <x:v>182.7860486325017</x:v>
      </x:c>
      <x:c r="L216" s="43" t="n">
        <x:v>76.1225924926406</x:v>
      </x:c>
    </x:row>
    <x:row r="217" ht="15" hidden="0" customHeight="1">
      <x:c r="A217" s="29" t="str">
        <x:v>30041</x:v>
      </x:c>
      <x:c r="B217" s="29" t="str">
        <x:v>SCA-08</x:v>
      </x:c>
      <x:c r="C217" s="44" t="n">
        <x:v>16167</x:v>
      </x:c>
      <x:c r="D217" s="44" t="n">
        <x:v>168.25159187499537</x:v>
      </x:c>
      <x:c r="E217" s="44" t="n">
        <x:v>1861.1982470815906</x:v>
      </x:c>
      <x:c r="F217" s="44" t="n">
        <x:v>97.8524185786234</x:v>
      </x:c>
      <x:c r="G217" s="44" t="n">
        <x:v>753.7884387290092</x:v>
      </x:c>
      <x:c r="H217" s="44" t="n">
        <x:v>13285.909303735782</x:v>
      </x:c>
      <x:c r="I217" s="44" t="n">
        <x:v>16167</x:v>
      </x:c>
      <x:c r="J217" s="44" t="n">
        <x:v>1921</x:v>
      </x:c>
      <x:c r="K217" s="44" t="n">
        <x:v>188.55408349188585</x:v>
      </x:c>
      <x:c r="L217" s="44" t="n">
        <x:v>90.70166491326245</x:v>
      </x:c>
    </x:row>
    <x:row r="218" ht="15" hidden="0" customHeight="1">
      <x:c r="A218" s="27" t="str">
        <x:v>16043</x:v>
      </x:c>
      <x:c r="B218" s="27" t="str">
        <x:v>SCA-08</x:v>
      </x:c>
      <x:c r="C218" s="43" t="n">
        <x:v>14208</x:v>
      </x:c>
      <x:c r="D218" s="43" t="n">
        <x:v>161.66928686405163</x:v>
      </x:c>
      <x:c r="E218" s="43" t="n">
        <x:v>2301.734108180599</x:v>
      </x:c>
      <x:c r="F218" s="43" t="n">
        <x:v>92.14850935395515</x:v>
      </x:c>
      <x:c r="G218" s="43" t="n">
        <x:v>189.93998658918193</x:v>
      </x:c>
      <x:c r="H218" s="43" t="n">
        <x:v>11462.508109012213</x:v>
      </x:c>
      <x:c r="I218" s="43" t="n">
        <x:v>14208</x:v>
      </x:c>
      <x:c r="J218" s="43" t="n">
        <x:v>2265</x:v>
      </x:c>
      <x:c r="K218" s="43" t="n">
        <x:v>157.9122083771485</x:v>
      </x:c>
      <x:c r="L218" s="43" t="n">
        <x:v>65.76369902319334</x:v>
      </x:c>
    </x:row>
    <x:row r="219" ht="15" hidden="0" customHeight="1">
      <x:c r="A219" s="29" t="str">
        <x:v>16079</x:v>
      </x:c>
      <x:c r="B219" s="29" t="str">
        <x:v>SCA-08</x:v>
      </x:c>
      <x:c r="C219" s="44" t="n">
        <x:v>14130</x:v>
      </x:c>
      <x:c r="D219" s="44" t="n">
        <x:v>188.80279739024888</x:v>
      </x:c>
      <x:c r="E219" s="44" t="n">
        <x:v>2961.603172504957</x:v>
      </x:c>
      <x:c r="F219" s="44" t="n">
        <x:v>91.64262649010318</x:v>
      </x:c>
      <x:c r="G219" s="44" t="n">
        <x:v>345.88896232650364</x:v>
      </x:c>
      <x:c r="H219" s="44" t="n">
        <x:v>10542.062441288188</x:v>
      </x:c>
      <x:c r="I219" s="44" t="n">
        <x:v>14130</x:v>
      </x:c>
      <x:c r="J219" s="44" t="n">
        <x:v>2973</x:v>
      </x:c>
      <x:c r="K219" s="44" t="n">
        <x:v>157.04529169264555</x:v>
      </x:c>
      <x:c r="L219" s="44" t="n">
        <x:v>65.40266520254237</x:v>
      </x:c>
    </x:row>
    <x:row r="220" ht="15" hidden="0" customHeight="1">
      <x:c r="A220" s="27" t="str">
        <x:v>30089</x:v>
      </x:c>
      <x:c r="B220" s="27" t="str">
        <x:v>SCA-08</x:v>
      </x:c>
      <x:c r="C220" s="43" t="n">
        <x:v>14062</x:v>
      </x:c>
      <x:c r="D220" s="43" t="n">
        <x:v>208.2906043698587</x:v>
      </x:c>
      <x:c r="E220" s="43" t="n">
        <x:v>3105.5667305061556</x:v>
      </x:c>
      <x:c r="F220" s="43" t="n">
        <x:v>85.11169110240628</x:v>
      </x:c>
      <x:c r="G220" s="43" t="n">
        <x:v>313.7545599635203</x:v>
      </x:c>
      <x:c r="H220" s="43" t="n">
        <x:v>10349.276414058058</x:v>
      </x:c>
      <x:c r="I220" s="43" t="n">
        <x:v>14062</x:v>
      </x:c>
      <x:c r="J220" s="43" t="n">
        <x:v>3027</x:v>
      </x:c>
      <x:c r="K220" s="43" t="n">
        <x:v>164.00368170117517</x:v>
      </x:c>
      <x:c r="L220" s="43" t="n">
        <x:v>78.89199059876888</x:v>
      </x:c>
    </x:row>
    <x:row r="221" ht="15" hidden="0" customHeight="1">
      <x:c r="A221" s="29" t="str">
        <x:v>30035</x:v>
      </x:c>
      <x:c r="B221" s="29" t="str">
        <x:v>SCA-08</x:v>
      </x:c>
      <x:c r="C221" s="44" t="n">
        <x:v>13463</x:v>
      </x:c>
      <x:c r="D221" s="44" t="n">
        <x:v>171.08620169800534</x:v>
      </x:c>
      <x:c r="E221" s="44" t="n">
        <x:v>2293.314690108591</x:v>
      </x:c>
      <x:c r="F221" s="44" t="n">
        <x:v>81.48618242865138</x:v>
      </x:c>
      <x:c r="G221" s="44" t="n">
        <x:v>331.49183718696906</x:v>
      </x:c>
      <x:c r="H221" s="44" t="n">
        <x:v>10585.621088577784</x:v>
      </x:c>
      <x:c r="I221" s="44" t="n">
        <x:v>13463</x:v>
      </x:c>
      <x:c r="J221" s="44" t="n">
        <x:v>2402</x:v>
      </x:c>
      <x:c r="K221" s="44" t="n">
        <x:v>157.01760537213207</x:v>
      </x:c>
      <x:c r="L221" s="44" t="n">
        <x:v>75.53142294348069</x:v>
      </x:c>
    </x:row>
    <x:row r="222" ht="15" hidden="0" customHeight="1">
      <x:c r="A222" s="27" t="str">
        <x:v>30043</x:v>
      </x:c>
      <x:c r="B222" s="27" t="str">
        <x:v>SCA-08</x:v>
      </x:c>
      <x:c r="C222" s="43" t="n">
        <x:v>13329</x:v>
      </x:c>
      <x:c r="D222" s="43" t="n">
        <x:v>169.32267331132675</x:v>
      </x:c>
      <x:c r="E222" s="43" t="n">
        <x:v>2269.0327226503537</x:v>
      </x:c>
      <x:c r="F222" s="43" t="n">
        <x:v>80.67513374370455</x:v>
      </x:c>
      <x:c r="G222" s="43" t="n">
        <x:v>324.1336299356479</x:v>
      </x:c>
      <x:c r="H222" s="43" t="n">
        <x:v>10485.835840358968</x:v>
      </x:c>
      <x:c r="I222" s="43" t="n">
        <x:v>13329</x:v>
      </x:c>
      <x:c r="J222" s="43" t="n">
        <x:v>2232</x:v>
      </x:c>
      <x:c r="K222" s="43" t="n">
        <x:v>155.4547769445999</x:v>
      </x:c>
      <x:c r="L222" s="43" t="n">
        <x:v>74.77964320089535</x:v>
      </x:c>
    </x:row>
    <x:row r="223" ht="15" hidden="0" customHeight="1">
      <x:c r="A223" s="29" t="str">
        <x:v>16085</x:v>
      </x:c>
      <x:c r="B223" s="29" t="str">
        <x:v>SCA-08</x:v>
      </x:c>
      <x:c r="C223" s="44" t="n">
        <x:v>12831</x:v>
      </x:c>
      <x:c r="D223" s="44" t="n">
        <x:v>115.31818365054257</x:v>
      </x:c>
      <x:c r="E223" s="44" t="n">
        <x:v>1342.2748836829646</x:v>
      </x:c>
      <x:c r="F223" s="44" t="n">
        <x:v>83.21773110364572</x:v>
      </x:c>
      <x:c r="G223" s="44" t="n">
        <x:v>287.35695045302424</x:v>
      </x:c>
      <x:c r="H223" s="44" t="n">
        <x:v>11002.832251109823</x:v>
      </x:c>
      <x:c r="I223" s="44" t="n">
        <x:v>12831</x:v>
      </x:c>
      <x:c r="J223" s="44" t="n">
        <x:v>1335</x:v>
      </x:c>
      <x:c r="K223" s="44" t="n">
        <x:v>142.60779460073144</x:v>
      </x:c>
      <x:c r="L223" s="44" t="n">
        <x:v>59.39006349708571</x:v>
      </x:c>
    </x:row>
    <x:row r="224" ht="15" hidden="0" customHeight="1">
      <x:c r="A224" s="27" t="str">
        <x:v>16073</x:v>
      </x:c>
      <x:c r="B224" s="27" t="str">
        <x:v>SCA-08</x:v>
      </x:c>
      <x:c r="C224" s="43" t="n">
        <x:v>12661</x:v>
      </x:c>
      <x:c r="D224" s="43" t="n">
        <x:v>153.80948289676124</x:v>
      </x:c>
      <x:c r="E224" s="43" t="n">
        <x:v>2284.9509115954947</x:v>
      </x:c>
      <x:c r="F224" s="43" t="n">
        <x:v>82.11516588755816</x:v>
      </x:c>
      <x:c r="G224" s="43" t="n">
        <x:v>181.07795154363504</x:v>
      </x:c>
      <x:c r="H224" s="43" t="n">
        <x:v>9959.04648807655</x:v>
      </x:c>
      <x:c r="I224" s="43" t="n">
        <x:v>12661</x:v>
      </x:c>
      <x:c r="J224" s="43" t="n">
        <x:v>2320</x:v>
      </x:c>
      <x:c r="K224" s="43" t="n">
        <x:v>140.7183608011738</x:v>
      </x:c>
      <x:c r="L224" s="43" t="n">
        <x:v>58.60319491361563</x:v>
      </x:c>
    </x:row>
    <x:row r="225" ht="15" hidden="0" customHeight="1">
      <x:c r="A225" s="29" t="str">
        <x:v>30027</x:v>
      </x:c>
      <x:c r="B225" s="29" t="str">
        <x:v>SCA-08</x:v>
      </x:c>
      <x:c r="C225" s="44" t="n">
        <x:v>11825</x:v>
      </x:c>
      <x:c r="D225" s="44" t="n">
        <x:v>135.33213249578688</x:v>
      </x:c>
      <x:c r="E225" s="44" t="n">
        <x:v>1655.769008662175</x:v>
      </x:c>
      <x:c r="F225" s="44" t="n">
        <x:v>71.57202014549524</x:v>
      </x:c>
      <x:c r="G225" s="44" t="n">
        <x:v>730.7193105258552</x:v>
      </x:c>
      <x:c r="H225" s="44" t="n">
        <x:v>9231.607528170687</x:v>
      </x:c>
      <x:c r="I225" s="44" t="n">
        <x:v>11825</x:v>
      </x:c>
      <x:c r="J225" s="44" t="n">
        <x:v>1667</x:v>
      </x:c>
      <x:c r="K225" s="44" t="n">
        <x:v>137.91377728035815</x:v>
      </x:c>
      <x:c r="L225" s="44" t="n">
        <x:v>66.3417571348629</x:v>
      </x:c>
    </x:row>
    <x:row r="226" ht="15" hidden="0" customHeight="1">
      <x:c r="A226" s="27" t="str">
        <x:v>16087</x:v>
      </x:c>
      <x:c r="B226" s="27" t="str">
        <x:v>SCA-08</x:v>
      </x:c>
      <x:c r="C226" s="43" t="n">
        <x:v>11583</x:v>
      </x:c>
      <x:c r="D226" s="43" t="n">
        <x:v>137.772906252926</x:v>
      </x:c>
      <x:c r="E226" s="43" t="n">
        <x:v>2019.825213270142</x:v>
      </x:c>
      <x:c r="F226" s="43" t="n">
        <x:v>75.12360528201452</x:v>
      </x:c>
      <x:c r="G226" s="43" t="n">
        <x:v>187.40348158950053</x:v>
      </x:c>
      <x:c r="H226" s="43" t="n">
        <x:v>9162.874793605415</x:v>
      </x:c>
      <x:c r="I226" s="43" t="n">
        <x:v>11583</x:v>
      </x:c>
      <x:c r="J226" s="43" t="n">
        <x:v>1993</x:v>
      </x:c>
      <x:c r="K226" s="43" t="n">
        <x:v>128.7371276486846</x:v>
      </x:c>
      <x:c r="L226" s="43" t="n">
        <x:v>53.61352236667008</x:v>
      </x:c>
    </x:row>
    <x:row r="227" ht="15" hidden="0" customHeight="1">
      <x:c r="A227" s="29" t="str">
        <x:v>30001</x:v>
      </x:c>
      <x:c r="B227" s="29" t="str">
        <x:v>SCA-08</x:v>
      </x:c>
      <x:c r="C227" s="44" t="n">
        <x:v>10043</x:v>
      </x:c>
      <x:c r="D227" s="44" t="n">
        <x:v>126.22323382787921</x:v>
      </x:c>
      <x:c r="E227" s="44" t="n">
        <x:v>1677.0966050420168</x:v>
      </x:c>
      <x:c r="F227" s="44" t="n">
        <x:v>60.786283156127595</x:v>
      </x:c>
      <x:c r="G227" s="44" t="n">
        <x:v>55.345378151260505</x:v>
      </x:c>
      <x:c r="H227" s="44" t="n">
        <x:v>8123.548499822716</x:v>
      </x:c>
      <x:c r="I227" s="44" t="n">
        <x:v>10043</x:v>
      </x:c>
      <x:c r="J227" s="44" t="n">
        <x:v>1656</x:v>
      </x:c>
      <x:c r="K227" s="44" t="n">
        <x:v>117.13049177392278</x:v>
      </x:c>
      <x:c r="L227" s="44" t="n">
        <x:v>56.34420861779519</x:v>
      </x:c>
    </x:row>
    <x:row r="228" ht="15" hidden="0" customHeight="1">
      <x:c r="A228" s="27" t="str">
        <x:v>30057</x:v>
      </x:c>
      <x:c r="B228" s="27" t="str">
        <x:v>SCA-08</x:v>
      </x:c>
      <x:c r="C228" s="43" t="n">
        <x:v>10026</x:v>
      </x:c>
      <x:c r="D228" s="43" t="n">
        <x:v>114.0713747471636</x:v>
      </x:c>
      <x:c r="E228" s="43" t="n">
        <x:v>1387.7409881121168</x:v>
      </x:c>
      <x:c r="F228" s="43" t="n">
        <x:v>60.68338891997762</x:v>
      </x:c>
      <x:c r="G228" s="43" t="n">
        <x:v>109.97267968153561</x:v>
      </x:c>
      <x:c r="H228" s="43" t="n">
        <x:v>8353.531568539205</x:v>
      </x:c>
      <x:c r="I228" s="43" t="n">
        <x:v>10026</x:v>
      </x:c>
      <x:c r="J228" s="43" t="n">
        <x:v>1322</x:v>
      </x:c>
      <x:c r="K228" s="43" t="n">
        <x:v>116.93222249580302</x:v>
      </x:c>
      <x:c r="L228" s="43" t="n">
        <x:v>56.2488335758254</x:v>
      </x:c>
    </x:row>
    <x:row r="229" ht="15" hidden="0" customHeight="1">
      <x:c r="A229" s="29" t="str">
        <x:v>30023</x:v>
      </x:c>
      <x:c r="B229" s="29" t="str">
        <x:v>SCA-08</x:v>
      </x:c>
      <x:c r="C229" s="44" t="n">
        <x:v>9709</x:v>
      </x:c>
      <x:c r="D229" s="44" t="n">
        <x:v>153.93048289706388</x:v>
      </x:c>
      <x:c r="E229" s="44" t="n">
        <x:v>2387.042720139494</x:v>
      </x:c>
      <x:c r="F229" s="44" t="n">
        <x:v>58.76471404588697</x:v>
      </x:c>
      <x:c r="G229" s="44" t="n">
        <x:v>298.67469485614646</x:v>
      </x:c>
      <x:c r="H229" s="44" t="n">
        <x:v>6810.587388061409</x:v>
      </x:c>
      <x:c r="I229" s="44" t="n">
        <x:v>9709</x:v>
      </x:c>
      <x:c r="J229" s="44" t="n">
        <x:v>2350</x:v>
      </x:c>
      <x:c r="K229" s="44" t="n">
        <x:v>113.23508360380526</x:v>
      </x:c>
      <x:c r="L229" s="44" t="n">
        <x:v>54.470369557918296</x:v>
      </x:c>
    </x:row>
    <x:row r="230" ht="15" hidden="0" customHeight="1">
      <x:c r="A230" s="27" t="str">
        <x:v>30095</x:v>
      </x:c>
      <x:c r="B230" s="27" t="str">
        <x:v>SCA-08</x:v>
      </x:c>
      <x:c r="C230" s="43" t="n">
        <x:v>9445</x:v>
      </x:c>
      <x:c r="D230" s="43" t="n">
        <x:v>121.98964686348906</x:v>
      </x:c>
      <x:c r="E230" s="43" t="n">
        <x:v>1656.0094945054946</x:v>
      </x:c>
      <x:c r="F230" s="43" t="n">
        <x:v>57.16682708449916</x:v>
      </x:c>
      <x:c r="G230" s="43" t="n">
        <x:v>193.71494505494508</x:v>
      </x:c>
      <x:c r="H230" s="43" t="n">
        <x:v>7416.1190864915725</x:v>
      </x:c>
      <x:c r="I230" s="43" t="n">
        <x:v>9445</x:v>
      </x:c>
      <x:c r="J230" s="43" t="n">
        <x:v>1662</x:v>
      </x:c>
      <x:c r="K230" s="43" t="n">
        <x:v>110.15607834359261</x:v>
      </x:c>
      <x:c r="L230" s="43" t="n">
        <x:v>52.98925125909345</x:v>
      </x:c>
    </x:row>
    <x:row r="231" ht="15" hidden="0" customHeight="1">
      <x:c r="A231" s="29" t="str">
        <x:v>16035</x:v>
      </x:c>
      <x:c r="B231" s="29" t="str">
        <x:v>SCA-08</x:v>
      </x:c>
      <x:c r="C231" s="44" t="n">
        <x:v>9118</x:v>
      </x:c>
      <x:c r="D231" s="44" t="n">
        <x:v>129.77893272795473</x:v>
      </x:c>
      <x:c r="E231" s="44" t="n">
        <x:v>2101.8001157184185</x:v>
      </x:c>
      <x:c r="F231" s="44" t="n">
        <x:v>59.13640964874458</x:v>
      </x:c>
      <x:c r="G231" s="44" t="n">
        <x:v>177.81292189006749</x:v>
      </x:c>
      <x:c r="H231" s="44" t="n">
        <x:v>6649.471620014815</x:v>
      </x:c>
      <x:c r="I231" s="44" t="n">
        <x:v>9118</x:v>
      </x:c>
      <x:c r="J231" s="44" t="n">
        <x:v>1992</x:v>
      </x:c>
      <x:c r="K231" s="44" t="n">
        <x:v>101.34033755509853</x:v>
      </x:c>
      <x:c r="L231" s="44" t="n">
        <x:v>42.20392790635395</x:v>
      </x:c>
    </x:row>
    <x:row r="232" ht="15" hidden="0" customHeight="1">
      <x:c r="A232" s="27" t="str">
        <x:v>16015</x:v>
      </x:c>
      <x:c r="B232" s="27" t="str">
        <x:v>SCA-08</x:v>
      </x:c>
      <x:c r="C232" s="43" t="n">
        <x:v>8545</x:v>
      </x:c>
      <x:c r="D232" s="43" t="n">
        <x:v>91.90357336125142</x:v>
      </x:c>
      <x:c r="E232" s="43" t="n">
        <x:v>1256.4445306815423</x:v>
      </x:c>
      <x:c r="F232" s="43" t="n">
        <x:v>55.42011630275526</x:v>
      </x:c>
      <x:c r="G232" s="43" t="n">
        <x:v>159.20494785350473</x:v>
      </x:c>
      <x:c r="H232" s="43" t="n">
        <x:v>6982.026831800947</x:v>
      </x:c>
      <x:c r="I232" s="43" t="n">
        <x:v>8545</x:v>
      </x:c>
      <x:c r="J232" s="43" t="n">
        <x:v>1263</x:v>
      </x:c>
      <x:c r="K232" s="43" t="n">
        <x:v>94.97183421894242</x:v>
      </x:c>
      <x:c r="L232" s="43" t="n">
        <x:v>39.55171791618716</x:v>
      </x:c>
    </x:row>
    <x:row r="233" ht="15" hidden="0" customHeight="1">
      <x:c r="A233" s="29" t="str">
        <x:v>30007</x:v>
      </x:c>
      <x:c r="B233" s="29" t="str">
        <x:v>SCA-08</x:v>
      </x:c>
      <x:c r="C233" s="44" t="n">
        <x:v>8493</x:v>
      </x:c>
      <x:c r="D233" s="44" t="n">
        <x:v>99.70680062385992</x:v>
      </x:c>
      <x:c r="E233" s="44" t="n">
        <x:v>1249.405241161782</x:v>
      </x:c>
      <x:c r="F233" s="44" t="n">
        <x:v>51.404749860100736</x:v>
      </x:c>
      <x:c r="G233" s="44" t="n">
        <x:v>97.37744775923248</x:v>
      </x:c>
      <x:c r="H233" s="44" t="n">
        <x:v>6995.1057605950255</x:v>
      </x:c>
      <x:c r="I233" s="44" t="n">
        <x:v>8493</x:v>
      </x:c>
      <x:c r="J233" s="44" t="n">
        <x:v>1166</x:v>
      </x:c>
      <x:c r="K233" s="44" t="n">
        <x:v>99.05299876888641</x:v>
      </x:c>
      <x:c r="L233" s="44" t="n">
        <x:v>47.648248908785675</x:v>
      </x:c>
    </x:row>
    <x:row r="234" ht="15" hidden="0" customHeight="1">
      <x:c r="A234" s="27" t="str">
        <x:v>16059</x:v>
      </x:c>
      <x:c r="B234" s="27" t="str">
        <x:v>SCA-08</x:v>
      </x:c>
      <x:c r="C234" s="43" t="n">
        <x:v>8474</x:v>
      </x:c>
      <x:c r="D234" s="43" t="n">
        <x:v>119.6225146120692</x:v>
      </x:c>
      <x:c r="E234" s="43" t="n">
        <x:v>1929.5863210907748</x:v>
      </x:c>
      <x:c r="F234" s="43" t="n">
        <x:v>54.95963318309515</x:v>
      </x:c>
      <x:c r="G234" s="43" t="n">
        <x:v>185.36174917086353</x:v>
      </x:c>
      <x:c r="H234" s="43" t="n">
        <x:v>6184.469781943198</x:v>
      </x:c>
      <x:c r="I234" s="43" t="n">
        <x:v>8474</x:v>
      </x:c>
      <x:c r="J234" s="43" t="n">
        <x:v>1931</x:v>
      </x:c>
      <x:c r="K234" s="43" t="n">
        <x:v>94.1827177497154</x:v>
      </x:c>
      <x:c r="L234" s="43" t="n">
        <x:v>39.223084566620244</x:v>
      </x:c>
    </x:row>
    <x:row r="235" ht="15" hidden="0" customHeight="1">
      <x:c r="A235" s="29" t="str">
        <x:v>41037</x:v>
      </x:c>
      <x:c r="B235" s="29" t="str">
        <x:v>SCA-08</x:v>
      </x:c>
      <x:c r="C235" s="44" t="n">
        <x:v>8187</x:v>
      </x:c>
      <x:c r="D235" s="44" t="n">
        <x:v>81.8959470824362</x:v>
      </x:c>
      <x:c r="E235" s="44" t="n">
        <x:v>1251.9318499285991</x:v>
      </x:c>
      <x:c r="F235" s="44" t="n">
        <x:v>46.214683614880315</x:v>
      </x:c>
      <x:c r="G235" s="44" t="n">
        <x:v>208.49642996235235</x:v>
      </x:c>
      <x:c r="H235" s="44" t="n">
        <x:v>6598.461089411732</x:v>
      </x:c>
      <x:c r="I235" s="44" t="n">
        <x:v>8187</x:v>
      </x:c>
      <x:c r="J235" s="44" t="n">
        <x:v>1227</x:v>
      </x:c>
      <x:c r="K235" s="44" t="n">
        <x:v>75.94680361695822</x:v>
      </x:c>
      <x:c r="L235" s="44" t="n">
        <x:v>29.732120002077902</x:v>
      </x:c>
    </x:row>
    <x:row r="236" ht="15" hidden="0" customHeight="1">
      <x:c r="A236" s="27" t="str">
        <x:v>41063</x:v>
      </x:c>
      <x:c r="B236" s="27" t="str">
        <x:v>SCA-08</x:v>
      </x:c>
      <x:c r="C236" s="43" t="n">
        <x:v>7595</x:v>
      </x:c>
      <x:c r="D236" s="43" t="n">
        <x:v>90.41779937381554</x:v>
      </x:c>
      <x:c r="E236" s="43" t="n">
        <x:v>1508.0544435548438</x:v>
      </x:c>
      <x:c r="F236" s="43" t="n">
        <x:v>42.872910963114194</x:v>
      </x:c>
      <x:c r="G236" s="43" t="n">
        <x:v>134.838537496664</x:v>
      </x:c>
      <x:c r="H236" s="43" t="n">
        <x:v>5818.816308611563</x:v>
      </x:c>
      <x:c r="I236" s="43" t="n">
        <x:v>7595</x:v>
      </x:c>
      <x:c r="J236" s="43" t="n">
        <x:v>1550</x:v>
      </x:c>
      <x:c r="K236" s="43" t="n">
        <x:v>70.45510852214457</x:v>
      </x:c>
      <x:c r="L236" s="43" t="n">
        <x:v>27.582197559030373</x:v>
      </x:c>
    </x:row>
    <x:row r="237" ht="15" hidden="0" customHeight="1">
      <x:c r="A237" s="29" t="str">
        <x:v>30105</x:v>
      </x:c>
      <x:c r="B237" s="29" t="str">
        <x:v>SCA-08</x:v>
      </x:c>
      <x:c r="C237" s="44" t="n">
        <x:v>7385</x:v>
      </x:c>
      <x:c r="D237" s="44" t="n">
        <x:v>90.20053233307304</x:v>
      </x:c>
      <x:c r="E237" s="44" t="n">
        <x:v>1170.4438090099811</x:v>
      </x:c>
      <x:c r="F237" s="44" t="n">
        <x:v>44.69846670397314</x:v>
      </x:c>
      <x:c r="G237" s="44" t="n">
        <x:v>174.91300242783922</x:v>
      </x:c>
      <x:c r="H237" s="44" t="n">
        <x:v>5904.744189525133</x:v>
      </x:c>
      <x:c r="I237" s="44" t="n">
        <x:v>7385</x:v>
      </x:c>
      <x:c r="J237" s="44" t="n">
        <x:v>1224</x:v>
      </x:c>
      <x:c r="K237" s="44" t="n">
        <x:v>86.13050699496362</x:v>
      </x:c>
      <x:c r="L237" s="44" t="n">
        <x:v>41.432040290990486</x:v>
      </x:c>
    </x:row>
    <x:row r="238" ht="15" hidden="0" customHeight="1">
      <x:c r="A238" s="27" t="str">
        <x:v>41025</x:v>
      </x:c>
      <x:c r="B238" s="27" t="str">
        <x:v>SCA-08</x:v>
      </x:c>
      <x:c r="C238" s="43" t="n">
        <x:v>7380</x:v>
      </x:c>
      <x:c r="D238" s="43" t="n">
        <x:v>82.37743940619191</x:v>
      </x:c>
      <x:c r="E238" s="43" t="n">
        <x:v>1333.8249931935748</x:v>
      </x:c>
      <x:c r="F238" s="43" t="n">
        <x:v>41.65926042235454</x:v>
      </x:c>
      <x:c r="G238" s="43" t="n">
        <x:v>236.62054179145113</x:v>
      </x:c>
      <x:c r="H238" s="43" t="n">
        <x:v>5685.517765186428</x:v>
      </x:c>
      <x:c r="I238" s="43" t="n">
        <x:v>7380</x:v>
      </x:c>
      <x:c r="J238" s="43" t="n">
        <x:v>1383</x:v>
      </x:c>
      <x:c r="K238" s="43" t="n">
        <x:v>68.46065844548083</x:v>
      </x:c>
      <x:c r="L238" s="43" t="n">
        <x:v>26.80139802312629</x:v>
      </x:c>
    </x:row>
    <x:row r="239" ht="15" hidden="0" customHeight="1">
      <x:c r="A239" s="29" t="str">
        <x:v>30077</x:v>
      </x:c>
      <x:c r="B239" s="29" t="str">
        <x:v>SCA-08</x:v>
      </x:c>
      <x:c r="C239" s="44" t="n">
        <x:v>7157</x:v>
      </x:c>
      <x:c r="D239" s="44" t="n">
        <x:v>102.7584356850043</x:v>
      </x:c>
      <x:c r="E239" s="44" t="n">
        <x:v>1502.533032377428</x:v>
      </x:c>
      <x:c r="F239" s="44" t="n">
        <x:v>43.31847341913823</x:v>
      </x:c>
      <x:c r="G239" s="44" t="n">
        <x:v>53.910638297872346</x:v>
      </x:c>
      <x:c r="H239" s="44" t="n">
        <x:v>5454.479420220557</x:v>
      </x:c>
      <x:c r="I239" s="44" t="n">
        <x:v>7157</x:v>
      </x:c>
      <x:c r="J239" s="44" t="n">
        <x:v>1182</x:v>
      </x:c>
      <x:c r="K239" s="44" t="n">
        <x:v>83.47136608841635</x:v>
      </x:c>
      <x:c r="L239" s="44" t="n">
        <x:v>40.15289266927812</x:v>
      </x:c>
    </x:row>
    <x:row r="240" ht="15" hidden="0" customHeight="1">
      <x:c r="A240" s="27" t="str">
        <x:v>41023</x:v>
      </x:c>
      <x:c r="B240" s="27" t="str">
        <x:v>SCA-08</x:v>
      </x:c>
      <x:c r="C240" s="43" t="n">
        <x:v>7075</x:v>
      </x:c>
      <x:c r="D240" s="43" t="n">
        <x:v>94.37340889468413</x:v>
      </x:c>
      <x:c r="E240" s="43" t="n">
        <x:v>1648.3117613956106</x:v>
      </x:c>
      <x:c r="F240" s="43" t="n">
        <x:v>39.93757012034667</x:v>
      </x:c>
      <x:c r="G240" s="43" t="n">
        <x:v>119.65588069780527</x:v>
      </x:c>
      <x:c r="H240" s="43" t="n">
        <x:v>5172.721378891554</x:v>
      </x:c>
      <x:c r="I240" s="43" t="n">
        <x:v>7075</x:v>
      </x:c>
      <x:c r="J240" s="43" t="n">
        <x:v>1725</x:v>
      </x:c>
      <x:c r="K240" s="43" t="n">
        <x:v>65.63132229021367</x:v>
      </x:c>
      <x:c r="L240" s="43" t="n">
        <x:v>25.693752169867004</x:v>
      </x:c>
    </x:row>
    <x:row r="241" ht="15" hidden="0" customHeight="1">
      <x:c r="A241" s="29" t="str">
        <x:v>30005</x:v>
      </x:c>
      <x:c r="B241" s="29" t="str">
        <x:v>SCA-08</x:v>
      </x:c>
      <x:c r="C241" s="44" t="n">
        <x:v>6860</x:v>
      </x:c>
      <x:c r="D241" s="44" t="n">
        <x:v>91.6621376452174</x:v>
      </x:c>
      <x:c r="E241" s="44" t="n">
        <x:v>1276.2120734908137</x:v>
      </x:c>
      <x:c r="F241" s="44" t="n">
        <x:v>41.520850587576945</x:v>
      </x:c>
      <x:c r="G241" s="44" t="n">
        <x:v>331.3530183727034</x:v>
      </x:c>
      <x:c r="H241" s="44" t="n">
        <x:v>5119.251919903689</x:v>
      </x:c>
      <x:c r="I241" s="44" t="n">
        <x:v>6860</x:v>
      </x:c>
      <x:c r="J241" s="44" t="n">
        <x:v>1329</x:v>
      </x:c>
      <x:c r="K241" s="44" t="n">
        <x:v>80.00748517067711</x:v>
      </x:c>
      <x:c r="L241" s="44" t="n">
        <x:v>38.48663458310017</x:v>
      </x:c>
    </x:row>
    <x:row r="242" ht="15" hidden="0" customHeight="1">
      <x:c r="A242" s="27" t="str">
        <x:v>30099</x:v>
      </x:c>
      <x:c r="B242" s="27" t="str">
        <x:v>SCA-08</x:v>
      </x:c>
      <x:c r="C242" s="43" t="n">
        <x:v>6496</x:v>
      </x:c>
      <x:c r="D242" s="43" t="n">
        <x:v>66.808931070074</x:v>
      </x:c>
      <x:c r="E242" s="43" t="n">
        <x:v>728.7466666666667</x:v>
      </x:c>
      <x:c r="F242" s="43" t="n">
        <x:v>39.317703413542255</x:v>
      </x:c>
      <x:c r="G242" s="43" t="n">
        <x:v>178.3946360153257</x:v>
      </x:c>
      <x:c r="H242" s="43" t="n">
        <x:v>5482.732062834391</x:v>
      </x:c>
      <x:c r="I242" s="43" t="n">
        <x:v>6496</x:v>
      </x:c>
      <x:c r="J242" s="43" t="n">
        <x:v>732</x:v>
      </x:c>
      <x:c r="K242" s="43" t="n">
        <x:v>75.7621900391718</x:v>
      </x:c>
      <x:c r="L242" s="43" t="n">
        <x:v>36.444486625629544</x:v>
      </x:c>
    </x:row>
    <x:row r="243" ht="15" hidden="0" customHeight="1">
      <x:c r="A243" s="29" t="str">
        <x:v>30073</x:v>
      </x:c>
      <x:c r="B243" s="29" t="str">
        <x:v>SCA-08</x:v>
      </x:c>
      <x:c r="C243" s="44" t="n">
        <x:v>6072</x:v>
      </x:c>
      <x:c r="D243" s="44" t="n">
        <x:v>80.71073932315598</x:v>
      </x:c>
      <x:c r="E243" s="44" t="n">
        <x:v>1119.4804428044279</x:v>
      </x:c>
      <x:c r="F243" s="44" t="n">
        <x:v>36.751400111919416</x:v>
      </x:c>
      <x:c r="G243" s="44" t="n">
        <x:v>275.91504528681645</x:v>
      </x:c>
      <x:c r="H243" s="44" t="n">
        <x:v>4559.142372473681</x:v>
      </x:c>
      <x:c r="I243" s="44" t="n">
        <x:v>6072</x:v>
      </x:c>
      <x:c r="J243" s="44" t="n">
        <x:v>1145</x:v>
      </x:c>
      <x:c r="K243" s="44" t="n">
        <x:v>70.81712098489088</x:v>
      </x:c>
      <x:c r="L243" s="44" t="n">
        <x:v>34.06572087297146</x:v>
      </x:c>
    </x:row>
    <x:row r="244" ht="15" hidden="0" customHeight="1">
      <x:c r="A244" s="27" t="str">
        <x:v>30015</x:v>
      </x:c>
      <x:c r="B244" s="27" t="str">
        <x:v>SCA-08</x:v>
      </x:c>
      <x:c r="C244" s="43" t="n">
        <x:v>5865</x:v>
      </x:c>
      <x:c r="D244" s="43" t="n">
        <x:v>64.89346727452578</x:v>
      </x:c>
      <x:c r="E244" s="43" t="n">
        <x:v>767.7378670788254</x:v>
      </x:c>
      <x:c r="F244" s="43" t="n">
        <x:v>35.49851147174036</x:v>
      </x:c>
      <x:c r="G244" s="43" t="n">
        <x:v>180.93345354628198</x:v>
      </x:c>
      <x:c r="H244" s="43" t="n">
        <x:v>4815.936700628627</x:v>
      </x:c>
      <x:c r="I244" s="43" t="n">
        <x:v>5865</x:v>
      </x:c>
      <x:c r="J244" s="43" t="n">
        <x:v>794</x:v>
      </x:c>
      <x:c r="K244" s="43" t="n">
        <x:v>68.40290095131506</x:v>
      </x:c>
      <x:c r="L244" s="43" t="n">
        <x:v>32.904389479574704</x:v>
      </x:c>
    </x:row>
    <x:row r="245" ht="15" hidden="0" customHeight="1">
      <x:c r="A245" s="29" t="str">
        <x:v>16063</x:v>
      </x:c>
      <x:c r="B245" s="29" t="str">
        <x:v>SCA-08</x:v>
      </x:c>
      <x:c r="C245" s="44" t="n">
        <x:v>5603</x:v>
      </x:c>
      <x:c r="D245" s="44" t="n">
        <x:v>58.68084911368647</x:v>
      </x:c>
      <x:c r="E245" s="44" t="n">
        <x:v>785.9180719261909</x:v>
      </x:c>
      <x:c r="F245" s="44" t="n">
        <x:v>36.33925238669839</x:v>
      </x:c>
      <x:c r="G245" s="44" t="n">
        <x:v>22.201092073055925</x:v>
      </x:c>
      <x:c r="H245" s="44" t="n">
        <x:v>4699.860734500368</x:v>
      </x:c>
      <x:c r="I245" s="44" t="n">
        <x:v>5603</x:v>
      </x:c>
      <x:c r="J245" s="44" t="n">
        <x:v>776</x:v>
      </x:c>
      <x:c r="K245" s="44" t="n">
        <x:v>62.2735151701269</x:v>
      </x:c>
      <x:c r="L245" s="44" t="n">
        <x:v>25.93426278342851</x:v>
      </x:c>
    </x:row>
    <x:row r="246" ht="15" hidden="0" customHeight="1">
      <x:c r="A246" s="27" t="str">
        <x:v>30065</x:v>
      </x:c>
      <x:c r="B246" s="27" t="str">
        <x:v>SCA-08</x:v>
      </x:c>
      <x:c r="C246" s="43" t="n">
        <x:v>5582</x:v>
      </x:c>
      <x:c r="D246" s="43" t="n">
        <x:v>82.943368228534</x:v>
      </x:c>
      <x:c r="E246" s="43" t="n">
        <x:v>1239.040624390244</x:v>
      </x:c>
      <x:c r="F246" s="43" t="n">
        <x:v>33.78562506994964</x:v>
      </x:c>
      <x:c r="G246" s="43" t="n">
        <x:v>182.96975609756097</x:v>
      </x:c>
      <x:c r="H246" s="43" t="n">
        <x:v>4043.260626213711</x:v>
      </x:c>
      <x:c r="I246" s="43" t="n">
        <x:v>5582</x:v>
      </x:c>
      <x:c r="J246" s="43" t="n">
        <x:v>1185</x:v>
      </x:c>
      <x:c r="K246" s="43" t="n">
        <x:v>65.1023006155568</x:v>
      </x:c>
      <x:c r="L246" s="43" t="n">
        <x:v>31.31667554560716</x:v>
      </x:c>
    </x:row>
    <x:row r="247" ht="15" hidden="0" customHeight="1">
      <x:c r="A247" s="29" t="str">
        <x:v>30101</x:v>
      </x:c>
      <x:c r="B247" s="29" t="str">
        <x:v>SCA-08</x:v>
      </x:c>
      <x:c r="C247" s="44" t="n">
        <x:v>5211</x:v>
      </x:c>
      <x:c r="D247" s="44" t="n">
        <x:v>64.57184732180676</x:v>
      </x:c>
      <x:c r="E247" s="44" t="n">
        <x:v>848.0782034346101</x:v>
      </x:c>
      <x:c r="F247" s="44" t="n">
        <x:v>31.540109681029662</x:v>
      </x:c>
      <x:c r="G247" s="44" t="n">
        <x:v>154.4676354029062</x:v>
      </x:c>
      <x:c r="H247" s="44" t="n">
        <x:v>4112.342204159647</x:v>
      </x:c>
      <x:c r="I247" s="44" t="n">
        <x:v>5211</x:v>
      </x:c>
      <x:c r="J247" s="44" t="n">
        <x:v>770</x:v>
      </x:c>
      <x:c r="K247" s="44" t="n">
        <x:v>60.775365193061</x:v>
      </x:c>
      <x:c r="L247" s="44" t="n">
        <x:v>29.235255512031337</x:v>
      </x:c>
    </x:row>
    <x:row r="248" ht="15" hidden="0" customHeight="1">
      <x:c r="A248" s="27" t="str">
        <x:v>30061</x:v>
      </x:c>
      <x:c r="B248" s="27" t="str">
        <x:v>SCA-08</x:v>
      </x:c>
      <x:c r="C248" s="43" t="n">
        <x:v>5185</x:v>
      </x:c>
      <x:c r="D248" s="43" t="n">
        <x:v>66.87106966501848</x:v>
      </x:c>
      <x:c r="E248" s="43" t="n">
        <x:v>906.7603647416413</x:v>
      </x:c>
      <x:c r="F248" s="43" t="n">
        <x:v>31.38274202574147</x:v>
      </x:c>
      <x:c r="G248" s="43" t="n">
        <x:v>82.19209726443768</x:v>
      </x:c>
      <x:c r="H248" s="43" t="n">
        <x:v>4097.793726303161</x:v>
      </x:c>
      <x:c r="I248" s="43" t="n">
        <x:v>5185</x:v>
      </x:c>
      <x:c r="J248" s="43" t="n">
        <x:v>899</x:v>
      </x:c>
      <x:c r="K248" s="43" t="n">
        <x:v>60.472129826524906</x:v>
      </x:c>
      <x:c r="L248" s="43" t="n">
        <x:v>29.089387800783435</x:v>
      </x:c>
    </x:row>
    <x:row r="249" ht="15" hidden="0" customHeight="1">
      <x:c r="A249" s="29" t="str">
        <x:v>16003</x:v>
      </x:c>
      <x:c r="B249" s="29" t="str">
        <x:v>SCA-08</x:v>
      </x:c>
      <x:c r="C249" s="44" t="n">
        <x:v>5013</x:v>
      </x:c>
      <x:c r="D249" s="44" t="n">
        <x:v>57.80656288212692</x:v>
      </x:c>
      <x:c r="E249" s="44" t="n">
        <x:v>830.476726733093</x:v>
      </x:c>
      <x:c r="F249" s="44" t="n">
        <x:v>32.5127025191003</x:v>
      </x:c>
      <x:c r="G249" s="44" t="n">
        <x:v>29.787576849692602</x:v>
      </x:c>
      <x:c r="H249" s="44" t="n">
        <x:v>4062.4164310159877</x:v>
      </x:c>
      <x:c r="I249" s="44" t="n">
        <x:v>5013</x:v>
      </x:c>
      <x:c r="J249" s="44" t="n">
        <x:v>814</x:v>
      </x:c>
      <x:c r="K249" s="44" t="n">
        <x:v>55.716068454015016</x:v>
      </x:c>
      <x:c r="L249" s="44" t="n">
        <x:v>23.20336593491471</x:v>
      </x:c>
    </x:row>
    <x:row r="250" ht="15" hidden="0" customHeight="1">
      <x:c r="A250" s="27" t="str">
        <x:v>16037</x:v>
      </x:c>
      <x:c r="B250" s="27" t="str">
        <x:v>SCA-08</x:v>
      </x:c>
      <x:c r="C250" s="43" t="n">
        <x:v>4636</x:v>
      </x:c>
      <x:c r="D250" s="43" t="n">
        <x:v>67.50356605678569</x:v>
      </x:c>
      <x:c r="E250" s="43" t="n">
        <x:v>1105.0847261204165</x:v>
      </x:c>
      <x:c r="F250" s="43" t="n">
        <x:v>30.067602010482553</x:v>
      </x:c>
      <x:c r="G250" s="43" t="n">
        <x:v>71.41127206880942</x:v>
      </x:c>
      <x:c r="H250" s="43" t="n">
        <x:v>3361.9328337435063</x:v>
      </x:c>
      <x:c r="I250" s="43" t="n">
        <x:v>4636</x:v>
      </x:c>
      <x:c r="J250" s="43" t="n">
        <x:v>1097</x:v>
      </x:c>
      <x:c r="K250" s="43" t="n">
        <x:v>51.52597114558421</x:v>
      </x:c>
      <x:c r="L250" s="43" t="n">
        <x:v>21.458369135101655</x:v>
      </x:c>
    </x:row>
    <x:row r="251" ht="15" hidden="0" customHeight="1">
      <x:c r="A251" s="29" t="str">
        <x:v>30071</x:v>
      </x:c>
      <x:c r="B251" s="29" t="str">
        <x:v>SCA-08</x:v>
      </x:c>
      <x:c r="C251" s="44" t="n">
        <x:v>4203</x:v>
      </x:c>
      <x:c r="D251" s="44" t="n">
        <x:v>52.69492459919162</x:v>
      </x:c>
      <x:c r="E251" s="44" t="n">
        <x:v>698.7563531114326</x:v>
      </x:c>
      <x:c r="F251" s="44" t="n">
        <x:v>25.439086737548966</x:v>
      </x:c>
      <x:c r="G251" s="44" t="n">
        <x:v>17.36324167872648</x:v>
      </x:c>
      <x:c r="H251" s="44" t="n">
        <x:v>3408.7463938731003</x:v>
      </x:c>
      <x:c r="I251" s="44" t="n">
        <x:v>4203</x:v>
      </x:c>
      <x:c r="J251" s="44" t="n">
        <x:v>718</x:v>
      </x:c>
      <x:c r="K251" s="44" t="n">
        <x:v>49.01916329043089</x:v>
      </x:c>
      <x:c r="L251" s="44" t="n">
        <x:v>23.580076552881923</x:v>
      </x:c>
    </x:row>
    <x:row r="252" ht="15" hidden="0" customHeight="1">
      <x:c r="A252" s="27" t="str">
        <x:v>30097</x:v>
      </x:c>
      <x:c r="B252" s="27" t="str">
        <x:v>SCA-08</x:v>
      </x:c>
      <x:c r="C252" s="43" t="n">
        <x:v>3762</x:v>
      </x:c>
      <x:c r="D252" s="43" t="n">
        <x:v>47.13799649578117</x:v>
      </x:c>
      <x:c r="E252" s="43" t="n">
        <x:v>624.7694577006507</x:v>
      </x:c>
      <x:c r="F252" s="43" t="n">
        <x:v>22.769889199776166</x:v>
      </x:c>
      <x:c r="G252" s="43" t="n">
        <x:v>38.86930585683297</x:v>
      </x:c>
      <x:c r="H252" s="43" t="n">
        <x:v>3028.453350746959</x:v>
      </x:c>
      <x:c r="I252" s="43" t="n">
        <x:v>3762</x:v>
      </x:c>
      <x:c r="J252" s="43" t="n">
        <x:v>638</x:v>
      </x:c>
      <x:c r="K252" s="43" t="n">
        <x:v>43.87582495803022</x:v>
      </x:c>
      <x:c r="L252" s="43" t="n">
        <x:v>21.105935758254056</x:v>
      </x:c>
    </x:row>
    <x:row r="253" ht="15" hidden="0" customHeight="1">
      <x:c r="A253" s="29" t="str">
        <x:v>16061</x:v>
      </x:c>
      <x:c r="B253" s="29" t="str">
        <x:v>SCA-08</x:v>
      </x:c>
      <x:c r="C253" s="44" t="n">
        <x:v>3704</x:v>
      </x:c>
      <x:c r="D253" s="44" t="n">
        <x:v>52.75947374942567</x:v>
      </x:c>
      <x:c r="E253" s="44" t="n">
        <x:v>854.7599017735334</x:v>
      </x:c>
      <x:c r="F253" s="44" t="n">
        <x:v>24.02295035522592</x:v>
      </x:c>
      <x:c r="G253" s="44" t="n">
        <x:v>45.9568894952251</x:v>
      </x:c>
      <x:c r="H253" s="44" t="n">
        <x:v>2726.5007846265903</x:v>
      </x:c>
      <x:c r="I253" s="44" t="n">
        <x:v>3704</x:v>
      </x:c>
      <x:c r="J253" s="44" t="n">
        <x:v>881</x:v>
      </x:c>
      <x:c r="K253" s="44" t="n">
        <x:v>41.16742819742103</x:v>
      </x:c>
      <x:c r="L253" s="44" t="n">
        <x:v>17.144477842195112</x:v>
      </x:c>
    </x:row>
    <x:row r="254" ht="15" hidden="0" customHeight="1">
      <x:c r="A254" s="27" t="str">
        <x:v>30039</x:v>
      </x:c>
      <x:c r="B254" s="27" t="str">
        <x:v>SCA-08</x:v>
      </x:c>
      <x:c r="C254" s="43" t="n">
        <x:v>3658</x:v>
      </x:c>
      <x:c r="D254" s="43" t="n">
        <x:v>44.46108258605335</x:v>
      </x:c>
      <x:c r="E254" s="43" t="n">
        <x:v>574.5268241469817</x:v>
      </x:c>
      <x:c r="F254" s="43" t="n">
        <x:v>22.140418578623393</x:v>
      </x:c>
      <x:c r="G254" s="43" t="n">
        <x:v>50.18372703412074</x:v>
      </x:c>
      <x:c r="H254" s="43" t="n">
        <x:v>2966.6879476542213</x:v>
      </x:c>
      <x:c r="I254" s="43" t="n">
        <x:v>3658</x:v>
      </x:c>
      <x:c r="J254" s="43" t="n">
        <x:v>561</x:v>
      </x:c>
      <x:c r="K254" s="43" t="n">
        <x:v>42.66288349188584</x:v>
      </x:c>
      <x:c r="L254" s="43" t="n">
        <x:v>20.52246491326245</x:v>
      </x:c>
    </x:row>
    <x:row r="255" ht="15" hidden="0" customHeight="1">
      <x:c r="A255" s="29" t="str">
        <x:v>16023</x:v>
      </x:c>
      <x:c r="B255" s="29" t="str">
        <x:v>SCA-08</x:v>
      </x:c>
      <x:c r="C255" s="44" t="n">
        <x:v>2783</x:v>
      </x:c>
      <x:c r="D255" s="44" t="n">
        <x:v>33.97591058090632</x:v>
      </x:c>
      <x:c r="E255" s="44" t="n">
        <x:v>506.26581613508444</x:v>
      </x:c>
      <x:c r="F255" s="44" t="n">
        <x:v>18.049641155127897</x:v>
      </x:c>
      <x:c r="G255" s="44" t="n">
        <x:v>72.94559099437147</x:v>
      </x:c>
      <x:c r="H255" s="44" t="n">
        <x:v>2151.76304113451</x:v>
      </x:c>
      <x:c r="I255" s="44" t="n">
        <x:v>2783</x:v>
      </x:c>
      <x:c r="J255" s="44" t="n">
        <x:v>505</x:v>
      </x:c>
      <x:c r="K255" s="44" t="n">
        <x:v>30.931142730405703</x:v>
      </x:c>
      <x:c r="L255" s="44" t="n">
        <x:v>12.881501575277806</x:v>
      </x:c>
    </x:row>
    <x:row r="256" ht="15" hidden="0" customHeight="1">
      <x:c r="A256" s="27" t="str">
        <x:v>53023</x:v>
      </x:c>
      <x:c r="B256" s="27" t="str">
        <x:v>SCA-08</x:v>
      </x:c>
      <x:c r="C256" s="43" t="n">
        <x:v>2416</x:v>
      </x:c>
      <x:c r="D256" s="43" t="n">
        <x:v>31.42760482107043</x:v>
      </x:c>
      <x:c r="E256" s="43" t="n">
        <x:v>562.3899570077386</x:v>
      </x:c>
      <x:c r="F256" s="43" t="n">
        <x:v>8.317395494130334</x:v>
      </x:c>
      <x:c r="G256" s="43" t="n">
        <x:v>0</x:v>
      </x:c>
      <x:c r="H256" s="43" t="n">
        <x:v>1813.8650426770607</x:v>
      </x:c>
      <x:c r="I256" s="43" t="n">
        <x:v>2416</x:v>
      </x:c>
      <x:c r="J256" s="43" t="n">
        <x:v>564</x:v>
      </x:c>
      <x:c r="K256" s="43" t="n">
        <x:v>16.312085439878324</x:v>
      </x:c>
      <x:c r="L256" s="43" t="n">
        <x:v>7.99468994574799</x:v>
      </x:c>
    </x:row>
    <x:row r="257" ht="15" hidden="0" customHeight="1">
      <x:c r="A257" s="29" t="str">
        <x:v>30045</x:v>
      </x:c>
      <x:c r="B257" s="29" t="str">
        <x:v>SCA-08</x:v>
      </x:c>
      <x:c r="C257" s="44" t="n">
        <x:v>2162</x:v>
      </x:c>
      <x:c r="D257" s="44" t="n">
        <x:v>20.656247106823542</x:v>
      </x:c>
      <x:c r="E257" s="44" t="n">
        <x:v>204.64286128564524</x:v>
      </x:c>
      <x:c r="F257" s="44" t="n">
        <x:v>13.085725797425853</x:v>
      </x:c>
      <x:c r="G257" s="44" t="n">
        <x:v>37.85886901884968</x:v>
      </x:c>
      <x:c r="H257" s="44" t="n">
        <x:v>1885.7562967912559</x:v>
      </x:c>
      <x:c r="I257" s="44" t="n">
        <x:v>2162</x:v>
      </x:c>
      <x:c r="J257" s="44" t="n">
        <x:v>204</x:v>
      </x:c>
      <x:c r="K257" s="44" t="n">
        <x:v>25.21518701734751</x:v>
      </x:c>
      <x:c r="L257" s="44" t="n">
        <x:v>12.129461219921657</x:v>
      </x:c>
    </x:row>
    <x:row r="258" ht="15" hidden="0" customHeight="1">
      <x:c r="A258" s="27" t="str">
        <x:v>30059</x:v>
      </x:c>
      <x:c r="B258" s="27" t="str">
        <x:v>SCA-08</x:v>
      </x:c>
      <x:c r="C258" s="43" t="n">
        <x:v>2137</x:v>
      </x:c>
      <x:c r="D258" s="43" t="n">
        <x:v>27.97889035733301</x:v>
      </x:c>
      <x:c r="E258" s="43" t="n">
        <x:v>383.7524772497472</x:v>
      </x:c>
      <x:c r="F258" s="43" t="n">
        <x:v>12.93441074426413</x:v>
      </x:c>
      <x:c r="G258" s="43" t="n">
        <x:v>11.381193124368048</x:v>
      </x:c>
      <x:c r="H258" s="43" t="n">
        <x:v>1700.9530285242877</x:v>
      </x:c>
      <x:c r="I258" s="43" t="n">
        <x:v>2137</x:v>
      </x:c>
      <x:c r="J258" s="43" t="n">
        <x:v>370</x:v>
      </x:c>
      <x:c r="K258" s="43" t="n">
        <x:v>24.92361454952434</x:v>
      </x:c>
      <x:c r="L258" s="43" t="n">
        <x:v>11.989203805260212</x:v>
      </x:c>
    </x:row>
    <x:row r="259" ht="15" hidden="0" customHeight="1">
      <x:c r="A259" s="29" t="str">
        <x:v>30107</x:v>
      </x:c>
      <x:c r="B259" s="29" t="str">
        <x:v>SCA-08</x:v>
      </x:c>
      <x:c r="C259" s="44" t="n">
        <x:v>2100</x:v>
      </x:c>
      <x:c r="D259" s="44" t="n">
        <x:v>21.386354226337026</x:v>
      </x:c>
      <x:c r="E259" s="44" t="n">
        <x:v>230.51355347461802</x:v>
      </x:c>
      <x:c r="F259" s="44" t="n">
        <x:v>12.710464465584781</x:v>
      </x:c>
      <x:c r="G259" s="44" t="n">
        <x:v>20.37013307047807</x:v>
      </x:c>
      <x:c r="H259" s="44" t="n">
        <x:v>1815.0194947629823</x:v>
      </x:c>
      <x:c r="I259" s="44" t="n">
        <x:v>2100</x:v>
      </x:c>
      <x:c r="J259" s="44" t="n">
        <x:v>232</x:v>
      </x:c>
      <x:c r="K259" s="44" t="n">
        <x:v>24.492087297146057</x:v>
      </x:c>
      <x:c r="L259" s="44" t="n">
        <x:v>11.781622831561275</x:v>
      </x:c>
    </x:row>
    <x:row r="260" ht="15" hidden="0" customHeight="1">
      <x:c r="A260" s="27" t="str">
        <x:v>30051</x:v>
      </x:c>
      <x:c r="B260" s="27" t="str">
        <x:v>SCA-08</x:v>
      </x:c>
      <x:c r="C260" s="43" t="n">
        <x:v>1957</x:v>
      </x:c>
      <x:c r="D260" s="43" t="n">
        <x:v>25.226880320893866</x:v>
      </x:c>
      <x:c r="E260" s="43" t="n">
        <x:v>341.94071762870516</x:v>
      </x:c>
      <x:c r="F260" s="43" t="n">
        <x:v>11.84494236149972</x:v>
      </x:c>
      <x:c r="G260" s="43" t="n">
        <x:v>140.69474778991162</x:v>
      </x:c>
      <x:c r="H260" s="43" t="n">
        <x:v>1437.2927118989896</x:v>
      </x:c>
      <x:c r="I260" s="43" t="n">
        <x:v>1957</x:v>
      </x:c>
      <x:c r="J260" s="43" t="n">
        <x:v>350</x:v>
      </x:c>
      <x:c r="K260" s="43" t="n">
        <x:v>22.82429278119754</x:v>
      </x:c>
      <x:c r="L260" s="43" t="n">
        <x:v>10.979350419697818</x:v>
      </x:c>
    </x:row>
    <x:row r="261" ht="15" hidden="0" customHeight="1">
      <x:c r="A261" s="29" t="str">
        <x:v>32011</x:v>
      </x:c>
      <x:c r="B261" s="29" t="str">
        <x:v>SCA-08</x:v>
      </x:c>
      <x:c r="C261" s="44" t="n">
        <x:v>1867</x:v>
      </x:c>
      <x:c r="D261" s="44" t="n">
        <x:v>19.03136496770708</x:v>
      </x:c>
      <x:c r="E261" s="44" t="n">
        <x:v>381.39298290057</x:v>
      </x:c>
      <x:c r="F261" s="44" t="n">
        <x:v>11.19222592893577</x:v>
      </x:c>
      <x:c r="G261" s="44" t="n">
        <x:v>67.69981000633312</x:v>
      </x:c>
      <x:c r="H261" s="44" t="n">
        <x:v>1387.683616196454</x:v>
      </x:c>
      <x:c r="I261" s="44" t="n">
        <x:v>1867</x:v>
      </x:c>
      <x:c r="J261" s="44" t="n">
        <x:v>336</x:v>
      </x:c>
      <x:c r="K261" s="44" t="n">
        <x:v>14.3322166091191</x:v>
      </x:c>
      <x:c r="L261" s="44" t="n">
        <x:v>3.1399906801833315</x:v>
      </x:c>
    </x:row>
    <x:row r="262" ht="15" hidden="0" customHeight="1">
      <x:c r="A262" s="27" t="str">
        <x:v>30055</x:v>
      </x:c>
      <x:c r="B262" s="27" t="str">
        <x:v>SCA-08</x:v>
      </x:c>
      <x:c r="C262" s="43" t="n">
        <x:v>1720</x:v>
      </x:c>
      <x:c r="D262" s="43" t="n">
        <x:v>17.368327472552085</x:v>
      </x:c>
      <x:c r="E262" s="43" t="n">
        <x:v>185.24681625227413</x:v>
      </x:c>
      <x:c r="F262" s="43" t="n">
        <x:v>10.410475657526582</x:v>
      </x:c>
      <x:c r="G262" s="43" t="n">
        <x:v>2.6634323832625832</x:v>
      </x:c>
      <x:c r="H262" s="43" t="n">
        <x:v>1504.3109482343846</x:v>
      </x:c>
      <x:c r="I262" s="43" t="n">
        <x:v>1720</x:v>
      </x:c>
      <x:c r="J262" s="43" t="n">
        <x:v>185</x:v>
      </x:c>
      <x:c r="K262" s="43" t="n">
        <x:v>20.060185786233912</x:v>
      </x:c>
      <x:c r="L262" s="43" t="n">
        <x:v>9.64971012870733</x:v>
      </x:c>
    </x:row>
    <x:row r="263" ht="15" hidden="0" customHeight="1">
      <x:c r="A263" s="29" t="str">
        <x:v>30019</x:v>
      </x:c>
      <x:c r="B263" s="29" t="str">
        <x:v>SCA-08</x:v>
      </x:c>
      <x:c r="C263" s="44" t="n">
        <x:v>1612</x:v>
      </x:c>
      <x:c r="D263" s="44" t="n">
        <x:v>19.484665306041983</x:v>
      </x:c>
      <x:c r="E263" s="44" t="n">
        <x:v>250.58081300813004</x:v>
      </x:c>
      <x:c r="F263" s="44" t="n">
        <x:v>9.756794627867936</x:v>
      </x:c>
      <x:c r="G263" s="44" t="n">
        <x:v>15.923441734417345</x:v>
      </x:c>
      <x:c r="H263" s="44" t="n">
        <x:v>1316.2542853235427</x:v>
      </x:c>
      <x:c r="I263" s="44" t="n">
        <x:v>1612</x:v>
      </x:c>
      <x:c r="J263" s="44" t="n">
        <x:v>239</x:v>
      </x:c>
      <x:c r="K263" s="44" t="n">
        <x:v>18.80059272523783</x:v>
      </x:c>
      <x:c r="L263" s="44" t="n">
        <x:v>9.043798097369894</x:v>
      </x:c>
    </x:row>
    <x:row r="264" ht="15" hidden="0" customHeight="1">
      <x:c r="A264" s="27" t="str">
        <x:v>16025</x:v>
      </x:c>
      <x:c r="B264" s="27" t="str">
        <x:v>SCA-08</x:v>
      </x:c>
      <x:c r="C264" s="43" t="n">
        <x:v>1316</x:v>
      </x:c>
      <x:c r="D264" s="43" t="n">
        <x:v>17.003317033554552</x:v>
      </x:c>
      <x:c r="E264" s="43" t="n">
        <x:v>261.88868327402133</x:v>
      </x:c>
      <x:c r="F264" s="43" t="n">
        <x:v>8.53515190806623</x:v>
      </x:c>
      <x:c r="G264" s="43" t="n">
        <x:v>24.573843416370106</x:v>
      </x:c>
      <x:c r="H264" s="43" t="n">
        <x:v>1003.9990043679878</x:v>
      </x:c>
      <x:c r="I264" s="43" t="n">
        <x:v>1316</x:v>
      </x:c>
      <x:c r="J264" s="43" t="n">
        <x:v>233</x:v>
      </x:c>
      <x:c r="K264" s="43" t="n">
        <x:v>14.626440471869891</x:v>
      </x:c>
      <x:c r="L264" s="43" t="n">
        <x:v>6.091288563803663</x:v>
      </x:c>
    </x:row>
    <x:row r="265" ht="15" hidden="0" customHeight="1">
      <x:c r="A265" s="29" t="str">
        <x:v>30033</x:v>
      </x:c>
      <x:c r="B265" s="29" t="str">
        <x:v>SCA-08</x:v>
      </x:c>
      <x:c r="C265" s="44" t="n">
        <x:v>1148</x:v>
      </x:c>
      <x:c r="D265" s="44" t="n">
        <x:v>13.492165347118439</x:v>
      </x:c>
      <x:c r="E265" s="44" t="n">
        <x:v>169.23707678075857</x:v>
      </x:c>
      <x:c r="F265" s="44" t="n">
        <x:v>6.948387241186346</x:v>
      </x:c>
      <x:c r="G265" s="44" t="n">
        <x:v>8.464384828862164</x:v>
      </x:c>
      <x:c r="H265" s="44" t="n">
        <x:v>949.8579858020746</x:v>
      </x:c>
      <x:c r="I265" s="44" t="n">
        <x:v>1148</x:v>
      </x:c>
      <x:c r="J265" s="44" t="n">
        <x:v>166</x:v>
      </x:c>
      <x:c r="K265" s="44" t="n">
        <x:v>13.389007722439844</x:v>
      </x:c>
      <x:c r="L265" s="44" t="n">
        <x:v>6.4406204812534975</x:v>
      </x:c>
    </x:row>
    <x:row r="266" ht="15" hidden="0" customHeight="1">
      <x:c r="A266" s="27" t="str">
        <x:v>30037</x:v>
      </x:c>
      <x:c r="B266" s="27" t="str">
        <x:v>SCA-08</x:v>
      </x:c>
      <x:c r="C266" s="43" t="n">
        <x:v>844</x:v>
      </x:c>
      <x:c r="D266" s="43" t="n">
        <x:v>10.856202666022622</x:v>
      </x:c>
      <x:c r="E266" s="43" t="n">
        <x:v>146.90669632925474</x:v>
      </x:c>
      <x:c r="F266" s="43" t="n">
        <x:v>5.108396194739788</x:v>
      </x:c>
      <x:c r="G266" s="43" t="n">
        <x:v>51.98665183537263</x:v>
      </x:c>
      <x:c r="H266" s="43" t="n">
        <x:v>629.1420529746102</x:v>
      </x:c>
      <x:c r="I266" s="43" t="n">
        <x:v>844</x:v>
      </x:c>
      <x:c r="J266" s="43" t="n">
        <x:v>163</x:v>
      </x:c>
      <x:c r="K266" s="43" t="n">
        <x:v>9.843486513710129</x:v>
      </x:c>
      <x:c r="L266" s="43" t="n">
        <x:v>4.735090318970341</x:v>
      </x:c>
    </x:row>
    <x:row r="267" ht="15" hidden="0" customHeight="1">
      <x:c r="A267" s="29" t="str">
        <x:v>16033</x:v>
      </x:c>
      <x:c r="B267" s="29" t="str">
        <x:v>SCA-08</x:v>
      </x:c>
      <x:c r="C267" s="44" t="n">
        <x:v>783</x:v>
      </x:c>
      <x:c r="D267" s="44" t="n">
        <x:v>7.896821987457336</x:v>
      </x:c>
      <x:c r="E267" s="44" t="n">
        <x:v>102.5423487544484</x:v>
      </x:c>
      <x:c r="F267" s="44" t="n">
        <x:v>5.078285671744572</x:v>
      </x:c>
      <x:c r="G267" s="44" t="n">
        <x:v>0</x:v>
      </x:c>
      <x:c r="H267" s="44" t="n">
        <x:v>667.4825435863497</x:v>
      </x:c>
      <x:c r="I267" s="44" t="n">
        <x:v>783</x:v>
      </x:c>
      <x:c r="J267" s="44" t="n">
        <x:v>115</x:v>
      </x:c>
      <x:c r="K267" s="44" t="n">
        <x:v>8.702509794433226</x:v>
      </x:c>
      <x:c r="L267" s="44" t="n">
        <x:v>3.6242241226886533</x:v>
      </x:c>
    </x:row>
    <x:row r="268" ht="15" hidden="0" customHeight="1">
      <x:c r="A268" s="27" t="str">
        <x:v>30069</x:v>
      </x:c>
      <x:c r="B268" s="27" t="str">
        <x:v>SCA-08</x:v>
      </x:c>
      <x:c r="C268" s="43" t="n">
        <x:v>548</x:v>
      </x:c>
      <x:c r="D268" s="43" t="n">
        <x:v>4.5455834689761625</x:v>
      </x:c>
      <x:c r="E268" s="43" t="n">
        <x:v>35.30738255033557</x:v>
      </x:c>
      <x:c r="F268" s="43" t="n">
        <x:v>3.31682596530498</x:v>
      </x:c>
      <x:c r="G268" s="43" t="n">
        <x:v>0</x:v>
      </x:c>
      <x:c r="H268" s="43" t="n">
        <x:v>504.8302080153833</x:v>
      </x:c>
      <x:c r="I268" s="43" t="n">
        <x:v>548</x:v>
      </x:c>
      <x:c r="J268" s="43" t="n">
        <x:v>30</x:v>
      </x:c>
      <x:c r="K268" s="43" t="n">
        <x:v>6.391268494683827</x:v>
      </x:c>
      <x:c r="L268" s="43" t="n">
        <x:v>3.0744425293788473</x:v>
      </x:c>
    </x:row>
    <x:row r="269" ht="15" hidden="0" customHeight="1">
      <x:c r="A269" s="29" t="str">
        <x:v>04013</x:v>
      </x:c>
      <x:c r="B269" s="29" t="str">
        <x:v>SCA-09</x:v>
      </x:c>
      <x:c r="C269" s="44" t="n">
        <x:v>4689558</x:v>
      </x:c>
      <x:c r="D269" s="44" t="n">
        <x:v>36716.80759482445</x:v>
      </x:c>
      <x:c r="E269" s="44" t="n">
        <x:v>547254.2715285391</x:v>
      </x:c>
      <x:c r="F269" s="44" t="n">
        <x:v>40857.69394910147</x:v>
      </x:c>
      <x:c r="G269" s="44" t="n">
        <x:v>135699.41727831593</x:v>
      </x:c>
      <x:c r="H269" s="44" t="n">
        <x:v>3929029.8096492193</x:v>
      </x:c>
      <x:c r="I269" s="44" t="n">
        <x:v>4689558</x:v>
      </x:c>
      <x:c r="J269" s="44" t="n">
        <x:v>549133</x:v>
      </x:c>
      <x:c r="K269" s="44" t="n">
        <x:v>54772.24023023679</x:v>
      </x:c>
      <x:c r="L269" s="44" t="n">
        <x:v>13914.546281135323</x:v>
      </x:c>
    </x:row>
    <x:row r="270" ht="15" hidden="0" customHeight="1">
      <x:c r="A270" s="27" t="str">
        <x:v>04019</x:v>
      </x:c>
      <x:c r="B270" s="27" t="str">
        <x:v>SCA-09</x:v>
      </x:c>
      <x:c r="C270" s="43" t="n">
        <x:v>1074685</x:v>
      </x:c>
      <x:c r="D270" s="43" t="n">
        <x:v>9649.538789181293</x:v>
      </x:c>
      <x:c r="E270" s="43" t="n">
        <x:v>155059.3091543734</x:v>
      </x:c>
      <x:c r="F270" s="43" t="n">
        <x:v>9363.174700406758</x:v>
      </x:c>
      <x:c r="G270" s="43" t="n">
        <x:v>42662.822851451885</x:v>
      </x:c>
      <x:c r="H270" s="43" t="n">
        <x:v>857950.1545045867</x:v>
      </x:c>
      <x:c r="I270" s="43" t="n">
        <x:v>1074685</x:v>
      </x:c>
      <x:c r="J270" s="43" t="n">
        <x:v>156042</x:v>
      </x:c>
      <x:c r="K270" s="43" t="n">
        <x:v>12551.908941489162</x:v>
      </x:c>
      <x:c r="L270" s="43" t="n">
        <x:v>3188.7342410824035</x:v>
      </x:c>
    </x:row>
    <x:row r="271" ht="15" hidden="0" customHeight="1">
      <x:c r="A271" s="29" t="str">
        <x:v>04021</x:v>
      </x:c>
      <x:c r="B271" s="29" t="str">
        <x:v>SCA-09</x:v>
      </x:c>
      <x:c r="C271" s="44" t="n">
        <x:v>539380</x:v>
      </x:c>
      <x:c r="D271" s="44" t="n">
        <x:v>5302.930026280538</x:v>
      </x:c>
      <x:c r="E271" s="44" t="n">
        <x:v>88860.41689250205</x:v>
      </x:c>
      <x:c r="F271" s="44" t="n">
        <x:v>4699.339034140607</x:v>
      </x:c>
      <x:c r="G271" s="44" t="n">
        <x:v>10736.764412875818</x:v>
      </x:c>
      <x:c r="H271" s="44" t="n">
        <x:v>429780.549634201</x:v>
      </x:c>
      <x:c r="I271" s="44" t="n">
        <x:v>539380</x:v>
      </x:c>
      <x:c r="J271" s="44" t="n">
        <x:v>77724</x:v>
      </x:c>
      <x:c r="K271" s="44" t="n">
        <x:v>6299.751689900226</x:v>
      </x:c>
      <x:c r="L271" s="44" t="n">
        <x:v>1600.4126557596196</x:v>
      </x:c>
    </x:row>
    <x:row r="272" ht="15" hidden="0" customHeight="1">
      <x:c r="A272" s="27" t="str">
        <x:v>04025</x:v>
      </x:c>
      <x:c r="B272" s="27" t="str">
        <x:v>SCA-09</x:v>
      </x:c>
      <x:c r="C272" s="43" t="n">
        <x:v>252552</x:v>
      </x:c>
      <x:c r="D272" s="43" t="n">
        <x:v>2625.1729363828135</x:v>
      </x:c>
      <x:c r="E272" s="43" t="n">
        <x:v>45019.61636199006</x:v>
      </x:c>
      <x:c r="F272" s="43" t="n">
        <x:v>2200.354984890575</x:v>
      </x:c>
      <x:c r="G272" s="43" t="n">
        <x:v>5616.321936469826</x:v>
      </x:c>
      <x:c r="H272" s="43" t="n">
        <x:v>197090.53378026673</x:v>
      </x:c>
      <x:c r="I272" s="43" t="n">
        <x:v>252552</x:v>
      </x:c>
      <x:c r="J272" s="43" t="n">
        <x:v>45321</x:v>
      </x:c>
      <x:c r="K272" s="43" t="n">
        <x:v>2949.7105728571355</x:v>
      </x:c>
      <x:c r="L272" s="43" t="n">
        <x:v>749.3555879665606</x:v>
      </x:c>
    </x:row>
    <x:row r="273" ht="15" hidden="0" customHeight="1">
      <x:c r="A273" s="29" t="str">
        <x:v>04027</x:v>
      </x:c>
      <x:c r="B273" s="29" t="str">
        <x:v>SCA-09</x:v>
      </x:c>
      <x:c r="C273" s="44" t="n">
        <x:v>224449</x:v>
      </x:c>
      <x:c r="D273" s="44" t="n">
        <x:v>1885.7292316351623</x:v>
      </x:c>
      <x:c r="E273" s="44" t="n">
        <x:v>29274.21614980679</x:v>
      </x:c>
      <x:c r="F273" s="44" t="n">
        <x:v>1955.5080775590952</x:v>
      </x:c>
      <x:c r="G273" s="44" t="n">
        <x:v>6622.75755474091</x:v>
      </x:c>
      <x:c r="H273" s="44" t="n">
        <x:v>184710.78898625803</x:v>
      </x:c>
      <x:c r="I273" s="44" t="n">
        <x:v>224449</x:v>
      </x:c>
      <x:c r="J273" s="44" t="n">
        <x:v>27425</x:v>
      </x:c>
      <x:c r="K273" s="44" t="n">
        <x:v>2621.478302952308</x:v>
      </x:c>
      <x:c r="L273" s="44" t="n">
        <x:v>665.9702253932123</x:v>
      </x:c>
    </x:row>
    <x:row r="274" ht="15" hidden="0" customHeight="1">
      <x:c r="A274" s="27" t="str">
        <x:v>04005</x:v>
      </x:c>
      <x:c r="B274" s="27" t="str">
        <x:v>SCA-09</x:v>
      </x:c>
      <x:c r="C274" s="43" t="n">
        <x:v>144368</x:v>
      </x:c>
      <x:c r="D274" s="43" t="n">
        <x:v>1203.1964508434228</x:v>
      </x:c>
      <x:c r="E274" s="43" t="n">
        <x:v>18596.09451010659</x:v>
      </x:c>
      <x:c r="F274" s="43" t="n">
        <x:v>1257.803733324949</x:v>
      </x:c>
      <x:c r="G274" s="43" t="n">
        <x:v>4312.229152325524</x:v>
      </x:c>
      <x:c r="H274" s="43" t="n">
        <x:v>118998.6761533995</x:v>
      </x:c>
      <x:c r="I274" s="43" t="n">
        <x:v>144368</x:v>
      </x:c>
      <x:c r="J274" s="43" t="n">
        <x:v>19297</x:v>
      </x:c>
      <x:c r="K274" s="43" t="n">
        <x:v>1686.1629129139303</x:v>
      </x:c>
      <x:c r="L274" s="43" t="n">
        <x:v>428.35917958898136</x:v>
      </x:c>
    </x:row>
    <x:row r="275" ht="15" hidden="0" customHeight="1">
      <x:c r="A275" s="29" t="str">
        <x:v>04003</x:v>
      </x:c>
      <x:c r="B275" s="29" t="str">
        <x:v>SCA-09</x:v>
      </x:c>
      <x:c r="C275" s="44" t="n">
        <x:v>126332</x:v>
      </x:c>
      <x:c r="D275" s="44" t="n">
        <x:v>1343.610583755172</x:v>
      </x:c>
      <x:c r="E275" s="44" t="n">
        <x:v>23250.39912663163</x:v>
      </x:c>
      <x:c r="F275" s="44" t="n">
        <x:v>1100.66539148847</x:v>
      </x:c>
      <x:c r="G275" s="44" t="n">
        <x:v>3415.8315985760296</x:v>
      </x:c>
      <x:c r="H275" s="44" t="n">
        <x:v>97221.4932995487</x:v>
      </x:c>
      <x:c r="I275" s="44" t="n">
        <x:v>126332</x:v>
      </x:c>
      <x:c r="J275" s="44" t="n">
        <x:v>22618</x:v>
      </x:c>
      <x:c r="K275" s="44" t="n">
        <x:v>1475.509344967324</x:v>
      </x:c>
      <x:c r="L275" s="44" t="n">
        <x:v>374.84395347885396</x:v>
      </x:c>
    </x:row>
    <x:row r="276" ht="15" hidden="0" customHeight="1">
      <x:c r="A276" s="27" t="str">
        <x:v>04017</x:v>
      </x:c>
      <x:c r="B276" s="27" t="str">
        <x:v>SCA-09</x:v>
      </x:c>
      <x:c r="C276" s="43" t="n">
        <x:v>109946</x:v>
      </x:c>
      <x:c r="D276" s="43" t="n">
        <x:v>1097.5994347098413</x:v>
      </x:c>
      <x:c r="E276" s="43" t="n">
        <x:v>18512.998475745353</x:v>
      </x:c>
      <x:c r="F276" s="43" t="n">
        <x:v>957.9026464600523</x:v>
      </x:c>
      <x:c r="G276" s="43" t="n">
        <x:v>5252.298678903923</x:v>
      </x:c>
      <x:c r="H276" s="43" t="n">
        <x:v>84125.20076418083</x:v>
      </x:c>
      <x:c r="I276" s="43" t="n">
        <x:v>109946</x:v>
      </x:c>
      <x:c r="J276" s="43" t="n">
        <x:v>18614</x:v>
      </x:c>
      <x:c r="K276" s="43" t="n">
        <x:v>1284.127144680504</x:v>
      </x:c>
      <x:c r="L276" s="43" t="n">
        <x:v>326.2244982204515</x:v>
      </x:c>
    </x:row>
    <x:row r="277" ht="15" hidden="0" customHeight="1">
      <x:c r="A277" s="29" t="str">
        <x:v>04001</x:v>
      </x:c>
      <x:c r="B277" s="29" t="str">
        <x:v>SCA-09</x:v>
      </x:c>
      <x:c r="C277" s="44" t="n">
        <x:v>64445</x:v>
      </x:c>
      <x:c r="D277" s="44" t="n">
        <x:v>532.2708772710217</x:v>
      </x:c>
      <x:c r="E277" s="44" t="n">
        <x:v>8185.294472113094</x:v>
      </x:c>
      <x:c r="F277" s="44" t="n">
        <x:v>561.475961391211</x:v>
      </x:c>
      <x:c r="G277" s="44" t="n">
        <x:v>3675.559130138893</x:v>
      </x:c>
      <x:c r="H277" s="44" t="n">
        <x:v>51490.39955908578</x:v>
      </x:c>
      <x:c r="I277" s="44" t="n">
        <x:v>64445</x:v>
      </x:c>
      <x:c r="J277" s="44" t="n">
        <x:v>8554</x:v>
      </x:c>
      <x:c r="K277" s="44" t="n">
        <x:v>752.6929023241871</x:v>
      </x:c>
      <x:c r="L277" s="44" t="n">
        <x:v>191.21694093297617</x:v>
      </x:c>
    </x:row>
    <x:row r="278" ht="15" hidden="0" customHeight="1">
      <x:c r="A278" s="27" t="str">
        <x:v>04007</x:v>
      </x:c>
      <x:c r="B278" s="27" t="str">
        <x:v>SCA-09</x:v>
      </x:c>
      <x:c r="C278" s="43" t="n">
        <x:v>53801</x:v>
      </x:c>
      <x:c r="D278" s="43" t="n">
        <x:v>653.8625042807247</x:v>
      </x:c>
      <x:c r="E278" s="43" t="n">
        <x:v>11861.46566501156</x:v>
      </x:c>
      <x:c r="F278" s="43" t="n">
        <x:v>468.7402932548458</x:v>
      </x:c>
      <x:c r="G278" s="43" t="n">
        <x:v>1987.8740855854148</x:v>
      </x:c>
      <x:c r="H278" s="43" t="n">
        <x:v>38829.057451867455</x:v>
      </x:c>
      <x:c r="I278" s="43" t="n">
        <x:v>53801</x:v>
      </x:c>
      <x:c r="J278" s="43" t="n">
        <x:v>12118</x:v>
      </x:c>
      <x:c r="K278" s="43" t="n">
        <x:v>628.3750614934221</x:v>
      </x:c>
      <x:c r="L278" s="43" t="n">
        <x:v>159.63476823857633</x:v>
      </x:c>
    </x:row>
    <x:row r="279" ht="15" hidden="0" customHeight="1">
      <x:c r="A279" s="29" t="str">
        <x:v>04023</x:v>
      </x:c>
      <x:c r="B279" s="29" t="str">
        <x:v>SCA-09</x:v>
      </x:c>
      <x:c r="C279" s="44" t="n">
        <x:v>50020</x:v>
      </x:c>
      <x:c r="D279" s="44" t="n">
        <x:v>414.41645285247256</x:v>
      </x:c>
      <x:c r="E279" s="44" t="n">
        <x:v>6384.010024775281</x:v>
      </x:c>
      <x:c r="F279" s="44" t="n">
        <x:v>435.79839535710096</x:v>
      </x:c>
      <x:c r="G279" s="44" t="n">
        <x:v>1203.9030487929729</x:v>
      </x:c>
      <x:c r="H279" s="44" t="n">
        <x:v>41581.87207822217</x:v>
      </x:c>
      <x:c r="I279" s="44" t="n">
        <x:v>50020</x:v>
      </x:c>
      <x:c r="J279" s="44" t="n">
        <x:v>6493</x:v>
      </x:c>
      <x:c r="K279" s="44" t="n">
        <x:v>584.2144305106034</x:v>
      </x:c>
      <x:c r="L279" s="44" t="n">
        <x:v>148.4160351535025</x:v>
      </x:c>
    </x:row>
    <x:row r="280" ht="15" hidden="0" customHeight="1">
      <x:c r="A280" s="27" t="str">
        <x:v>04009</x:v>
      </x:c>
      <x:c r="B280" s="27" t="str">
        <x:v>SCA-09</x:v>
      </x:c>
      <x:c r="C280" s="43" t="n">
        <x:v>40157</x:v>
      </x:c>
      <x:c r="D280" s="43" t="n">
        <x:v>377.85230847397605</x:v>
      </x:c>
      <x:c r="E280" s="43" t="n">
        <x:v>6208.826747481366</x:v>
      </x:c>
      <x:c r="F280" s="43" t="n">
        <x:v>349.86717637655147</x:v>
      </x:c>
      <x:c r="G280" s="43" t="n">
        <x:v>1092.3050208862314</x:v>
      </x:c>
      <x:c r="H280" s="43" t="n">
        <x:v>32128.148746781873</x:v>
      </x:c>
      <x:c r="I280" s="43" t="n">
        <x:v>40157</x:v>
      </x:c>
      <x:c r="J280" s="43" t="n">
        <x:v>5899</x:v>
      </x:c>
      <x:c r="K280" s="43" t="n">
        <x:v>469.0183703721372</x:v>
      </x:c>
      <x:c r="L280" s="43" t="n">
        <x:v>119.15119399558576</x:v>
      </x:c>
    </x:row>
    <x:row r="281" ht="15" hidden="0" customHeight="1">
      <x:c r="A281" s="29" t="str">
        <x:v>04012</x:v>
      </x:c>
      <x:c r="B281" s="29" t="str">
        <x:v>SCA-09</x:v>
      </x:c>
      <x:c r="C281" s="44" t="n">
        <x:v>16711</x:v>
      </x:c>
      <x:c r="D281" s="44" t="n">
        <x:v>204.93455468889027</x:v>
      </x:c>
      <x:c r="E281" s="44" t="n">
        <x:v>3728.418742305371</x:v>
      </x:c>
      <x:c r="F281" s="44" t="n">
        <x:v>145.5943019754601</x:v>
      </x:c>
      <x:c r="G281" s="44" t="n">
        <x:v>520.0436028968014</x:v>
      </x:c>
      <x:c r="H281" s="44" t="n">
        <x:v>12112.008798133476</x:v>
      </x:c>
      <x:c r="I281" s="44" t="n">
        <x:v>16711</x:v>
      </x:c>
      <x:c r="J281" s="44" t="n">
        <x:v>3851</x:v>
      </x:c>
      <x:c r="K281" s="44" t="n">
        <x:v>195.1780757349599</x:v>
      </x:c>
      <x:c r="L281" s="44" t="n">
        <x:v>49.5837737594998</x:v>
      </x:c>
    </x:row>
    <x:row r="282" ht="15" hidden="0" customHeight="1">
      <x:c r="A282" s="27" t="str">
        <x:v>04011</x:v>
      </x:c>
      <x:c r="B282" s="27" t="str">
        <x:v>SCA-09</x:v>
      </x:c>
      <x:c r="C282" s="43" t="n">
        <x:v>9312</x:v>
      </x:c>
      <x:c r="D282" s="43" t="n">
        <x:v>85.83243175408629</x:v>
      </x:c>
      <x:c r="E282" s="43" t="n">
        <x:v>1396.859552334257</x:v>
      </x:c>
      <x:c r="F282" s="43" t="n">
        <x:v>81.1306408949485</x:v>
      </x:c>
      <x:c r="G282" s="43" t="n">
        <x:v>91.96802387550629</x:v>
      </x:c>
      <x:c r="H282" s="43" t="n">
        <x:v>7656.209351141202</x:v>
      </x:c>
      <x:c r="I282" s="43" t="n">
        <x:v>9312</x:v>
      </x:c>
      <x:c r="J282" s="43" t="n">
        <x:v>1466</x:v>
      </x:c>
      <x:c r="K282" s="43" t="n">
        <x:v>108.76059130177407</x:v>
      </x:c>
      <x:c r="L282" s="43" t="n">
        <x:v>27.62995040682557</x:v>
      </x:c>
    </x:row>
    <x:row r="283" ht="15" hidden="0" customHeight="1">
      <x:c r="A283" s="29" t="str">
        <x:v>49035</x:v>
      </x:c>
      <x:c r="B283" s="29" t="str">
        <x:v>SCA-10</x:v>
      </x:c>
      <x:c r="C283" s="44" t="n">
        <x:v>1220916</x:v>
      </x:c>
      <x:c r="D283" s="44" t="n">
        <x:v>7851.936239545673</x:v>
      </x:c>
      <x:c r="E283" s="44" t="n">
        <x:v>125227.04307876238</x:v>
      </x:c>
      <x:c r="F283" s="44" t="n">
        <x:v>4390.837804447739</x:v>
      </x:c>
      <x:c r="G283" s="44" t="n">
        <x:v>34745.19456320051</x:v>
      </x:c>
      <x:c r="H283" s="44" t="n">
        <x:v>1048700.9883140437</x:v>
      </x:c>
      <x:c r="I283" s="44" t="n">
        <x:v>1220916</x:v>
      </x:c>
      <x:c r="J283" s="44" t="n">
        <x:v>127079</x:v>
      </x:c>
      <x:c r="K283" s="44" t="n">
        <x:v>7024.980582378312</x:v>
      </x:c>
      <x:c r="L283" s="44" t="n">
        <x:v>2634.142777930573</x:v>
      </x:c>
    </x:row>
    <x:row r="284" ht="15" hidden="0" customHeight="1">
      <x:c r="A284" s="27" t="str">
        <x:v>49049</x:v>
      </x:c>
      <x:c r="B284" s="27" t="str">
        <x:v>SCA-10</x:v>
      </x:c>
      <x:c r="C284" s="43" t="n">
        <x:v>759859</x:v>
      </x:c>
      <x:c r="D284" s="43" t="n">
        <x:v>4337.217898477173</x:v>
      </x:c>
      <x:c r="E284" s="43" t="n">
        <x:v>64747.48396728243</x:v>
      </x:c>
      <x:c r="F284" s="43" t="n">
        <x:v>2732.7167661410404</x:v>
      </x:c>
      <x:c r="G284" s="43" t="n">
        <x:v>10605.91912867058</x:v>
      </x:c>
      <x:c r="H284" s="43" t="n">
        <x:v>677435.6622394287</x:v>
      </x:c>
      <x:c r="I284" s="43" t="n">
        <x:v>759859</x:v>
      </x:c>
      <x:c r="J284" s="43" t="n">
        <x:v>62343</x:v>
      </x:c>
      <x:c r="K284" s="43" t="n">
        <x:v>4372.122832648111</x:v>
      </x:c>
      <x:c r="L284" s="43" t="n">
        <x:v>1639.4060665070713</x:v>
      </x:c>
    </x:row>
    <x:row r="285" ht="15" hidden="0" customHeight="1">
      <x:c r="A285" s="29" t="str">
        <x:v>49011</x:v>
      </x:c>
      <x:c r="B285" s="29" t="str">
        <x:v>SCA-10</x:v>
      </x:c>
      <x:c r="C285" s="44" t="n">
        <x:v>381227</x:v>
      </x:c>
      <x:c r="D285" s="44" t="n">
        <x:v>2319.716135921577</x:v>
      </x:c>
      <x:c r="E285" s="44" t="n">
        <x:v>35933.12949299096</x:v>
      </x:c>
      <x:c r="F285" s="44" t="n">
        <x:v>1371.0246435268255</x:v>
      </x:c>
      <x:c r="G285" s="44" t="n">
        <x:v>5058.737566323857</x:v>
      </x:c>
      <x:c r="H285" s="44" t="n">
        <x:v>336544.3921612368</x:v>
      </x:c>
      <x:c r="I285" s="44" t="n">
        <x:v>381227</x:v>
      </x:c>
      <x:c r="J285" s="44" t="n">
        <x:v>35973</x:v>
      </x:c>
      <x:c r="K285" s="44" t="n">
        <x:v>2193.5270505737794</x:v>
      </x:c>
      <x:c r="L285" s="44" t="n">
        <x:v>822.5024070469539</x:v>
      </x:c>
    </x:row>
    <x:row r="286" ht="15" hidden="0" customHeight="1">
      <x:c r="A286" s="27" t="str">
        <x:v>49057</x:v>
      </x:c>
      <x:c r="B286" s="27" t="str">
        <x:v>SCA-10</x:v>
      </x:c>
      <x:c r="C286" s="43" t="n">
        <x:v>278174</x:v>
      </x:c>
      <x:c r="D286" s="43" t="n">
        <x:v>1943.1711496136693</x:v>
      </x:c>
      <x:c r="E286" s="43" t="n">
        <x:v>32232.167602560636</x:v>
      </x:c>
      <x:c r="F286" s="43" t="n">
        <x:v>1000.4102783602191</x:v>
      </x:c>
      <x:c r="G286" s="43" t="n">
        <x:v>6612.347549063805</x:v>
      </x:c>
      <x:c r="H286" s="43" t="n">
        <x:v>236385.90342040168</x:v>
      </x:c>
      <x:c r="I286" s="43" t="n">
        <x:v>278174</x:v>
      </x:c>
      <x:c r="J286" s="43" t="n">
        <x:v>32128</x:v>
      </x:c>
      <x:c r="K286" s="43" t="n">
        <x:v>1600.5744445338619</x:v>
      </x:c>
      <x:c r="L286" s="43" t="n">
        <x:v>600.1641661736428</x:v>
      </x:c>
    </x:row>
    <x:row r="287" ht="15" hidden="0" customHeight="1">
      <x:c r="A287" s="29" t="str">
        <x:v>30111</x:v>
      </x:c>
      <x:c r="B287" s="29" t="str">
        <x:v>SCA-10</x:v>
      </x:c>
      <x:c r="C287" s="44" t="n">
        <x:v>172692</x:v>
      </x:c>
      <x:c r="D287" s="44" t="n">
        <x:v>1961.4827696445782</x:v>
      </x:c>
      <x:c r="E287" s="44" t="n">
        <x:v>23823.10635686439</x:v>
      </x:c>
      <x:c r="F287" s="44" t="n">
        <x:v>1045.2359664241744</x:v>
      </x:c>
      <x:c r="G287" s="44" t="n">
        <x:v>3463.7359503388716</x:v>
      </x:c>
      <x:c r="H287" s="44" t="n">
        <x:v>142398.43895672797</x:v>
      </x:c>
      <x:c r="I287" s="44" t="n">
        <x:v>172692</x:v>
      </x:c>
      <x:c r="J287" s="44" t="n">
        <x:v>23959</x:v>
      </x:c>
      <x:c r="K287" s="44" t="n">
        <x:v>2014.0893045327364</x:v>
      </x:c>
      <x:c r="L287" s="44" t="n">
        <x:v>968.8533381085618</x:v>
      </x:c>
    </x:row>
    <x:row r="288" ht="15" hidden="0" customHeight="1">
      <x:c r="A288" s="27" t="str">
        <x:v>49005</x:v>
      </x:c>
      <x:c r="B288" s="27" t="str">
        <x:v>SCA-10</x:v>
      </x:c>
      <x:c r="C288" s="43" t="n">
        <x:v>145000</x:v>
      </x:c>
      <x:c r="D288" s="43" t="n">
        <x:v>827.602311917257</x:v>
      </x:c>
      <x:c r="E288" s="43" t="n">
        <x:v>12354.308433146982</x:v>
      </x:c>
      <x:c r="F288" s="43" t="n">
        <x:v>521.4703400110426</x:v>
      </x:c>
      <x:c r="G288" s="43" t="n">
        <x:v>2178.337828236797</x:v>
      </x:c>
      <x:c r="H288" s="43" t="n">
        <x:v>129118.28108668793</x:v>
      </x:c>
      <x:c r="I288" s="43" t="n">
        <x:v>145000</x:v>
      </x:c>
      <x:c r="J288" s="43" t="n">
        <x:v>12367</x:v>
      </x:c>
      <x:c r="K288" s="43" t="n">
        <x:v>834.3098005471754</x:v>
      </x:c>
      <x:c r="L288" s="43" t="n">
        <x:v>312.83946053613283</x:v>
      </x:c>
    </x:row>
    <x:row r="289" ht="15" hidden="0" customHeight="1">
      <x:c r="A289" s="29" t="str">
        <x:v>16019</x:v>
      </x:c>
      <x:c r="B289" s="29" t="str">
        <x:v>SCA-10</x:v>
      </x:c>
      <x:c r="C289" s="44" t="n">
        <x:v>135771</x:v>
      </x:c>
      <x:c r="D289" s="44" t="n">
        <x:v>1385.9314692740988</x:v>
      </x:c>
      <x:c r="E289" s="44" t="n">
        <x:v>18179.917458392585</x:v>
      </x:c>
      <x:c r="F289" s="44" t="n">
        <x:v>880.5669526672187</x:v>
      </x:c>
      <x:c r="G289" s="44" t="n">
        <x:v>1747.2847392602087</x:v>
      </x:c>
      <x:c r="H289" s="44" t="n">
        <x:v>113577.29938040588</x:v>
      </x:c>
      <x:c r="I289" s="44" t="n">
        <x:v>135771</x:v>
      </x:c>
      <x:c r="J289" s="44" t="n">
        <x:v>17851</x:v>
      </x:c>
      <x:c r="K289" s="44" t="n">
        <x:v>1509.0018611749597</x:v>
      </x:c>
      <x:c r="L289" s="44" t="n">
        <x:v>628.4349085077409</x:v>
      </x:c>
    </x:row>
    <x:row r="290" ht="15" hidden="0" customHeight="1">
      <x:c r="A290" s="27" t="str">
        <x:v>16005</x:v>
      </x:c>
      <x:c r="B290" s="27" t="str">
        <x:v>SCA-10</x:v>
      </x:c>
      <x:c r="C290" s="43" t="n">
        <x:v>91591</x:v>
      </x:c>
      <x:c r="D290" s="43" t="n">
        <x:v>1014.4498801585308</x:v>
      </x:c>
      <x:c r="E290" s="43" t="n">
        <x:v>14172.197533883624</x:v>
      </x:c>
      <x:c r="F290" s="43" t="n">
        <x:v>594.0297100392811</x:v>
      </x:c>
      <x:c r="G290" s="43" t="n">
        <x:v>2467.386833791909</x:v>
      </x:c>
      <x:c r="H290" s="43" t="n">
        <x:v>73342.93604212666</x:v>
      </x:c>
      <x:c r="I290" s="43" t="n">
        <x:v>91591</x:v>
      </x:c>
      <x:c r="J290" s="43" t="n">
        <x:v>14235</x:v>
      </x:c>
      <x:c r="K290" s="43" t="n">
        <x:v>1017.9713596193276</x:v>
      </x:c>
      <x:c r="L290" s="43" t="n">
        <x:v>423.94164958004654</x:v>
      </x:c>
    </x:row>
    <x:row r="291" ht="15" hidden="0" customHeight="1">
      <x:c r="A291" s="29" t="str">
        <x:v>49045</x:v>
      </x:c>
      <x:c r="B291" s="29" t="str">
        <x:v>SCA-10</x:v>
      </x:c>
      <x:c r="C291" s="44" t="n">
        <x:v>87461</x:v>
      </x:c>
      <x:c r="D291" s="44" t="n">
        <x:v>580.1864737306331</x:v>
      </x:c>
      <x:c r="E291" s="44" t="n">
        <x:v>9395.716408219212</x:v>
      </x:c>
      <x:c r="F291" s="44" t="n">
        <x:v>314.54012005314337</x:v>
      </x:c>
      <x:c r="G291" s="44" t="n">
        <x:v>1226.4610678884644</x:v>
      </x:c>
      <x:c r="H291" s="44" t="n">
        <x:v>75944.09593010855</x:v>
      </x:c>
      <x:c r="I291" s="44" t="n">
        <x:v>87461</x:v>
      </x:c>
      <x:c r="J291" s="44" t="n">
        <x:v>8817</x:v>
      </x:c>
      <x:c r="K291" s="44" t="n">
        <x:v>503.2384101079759</x:v>
      </x:c>
      <x:c r="L291" s="44" t="n">
        <x:v>188.69829005483248</x:v>
      </x:c>
    </x:row>
    <x:row r="292" ht="15" hidden="0" customHeight="1">
      <x:c r="A292" s="27" t="str">
        <x:v>56025</x:v>
      </x:c>
      <x:c r="B292" s="27" t="str">
        <x:v>SCA-10</x:v>
      </x:c>
      <x:c r="C292" s="43" t="n">
        <x:v>80526</x:v>
      </x:c>
      <x:c r="D292" s="43" t="n">
        <x:v>912.4748148058698</x:v>
      </x:c>
      <x:c r="E292" s="43" t="n">
        <x:v>12949.680965464897</x:v>
      </x:c>
      <x:c r="F292" s="43" t="n">
        <x:v>533.7087244611494</x:v>
      </x:c>
      <x:c r="G292" s="43" t="n">
        <x:v>1684.1187096774197</x:v>
      </x:c>
      <x:c r="H292" s="43" t="n">
        <x:v>64446.01678559066</x:v>
      </x:c>
      <x:c r="I292" s="43" t="n">
        <x:v>80526</x:v>
      </x:c>
      <x:c r="J292" s="43" t="n">
        <x:v>13242</x:v>
      </x:c>
      <x:c r="K292" s="43" t="n">
        <x:v>906.6134990393151</x:v>
      </x:c>
      <x:c r="L292" s="43" t="n">
        <x:v>372.90477457816576</x:v>
      </x:c>
    </x:row>
    <x:row r="293" ht="15" hidden="0" customHeight="1">
      <x:c r="A293" s="29" t="str">
        <x:v>49003</x:v>
      </x:c>
      <x:c r="B293" s="29" t="str">
        <x:v>SCA-10</x:v>
      </x:c>
      <x:c r="C293" s="44" t="n">
        <x:v>65320</x:v>
      </x:c>
      <x:c r="D293" s="44" t="n">
        <x:v>432.18920023095797</x:v>
      </x:c>
      <x:c r="E293" s="44" t="n">
        <x:v>6990.25000903758</x:v>
      </x:c>
      <x:c r="F293" s="44" t="n">
        <x:v>234.91339730704343</x:v>
      </x:c>
      <x:c r="G293" s="44" t="n">
        <x:v>1155.0832278949013</x:v>
      </x:c>
      <x:c r="H293" s="44" t="n">
        <x:v>56507.56416552952</x:v>
      </x:c>
      <x:c r="I293" s="44" t="n">
        <x:v>65320</x:v>
      </x:c>
      <x:c r="J293" s="44" t="n">
        <x:v>6784</x:v>
      </x:c>
      <x:c r="K293" s="44" t="n">
        <x:v>375.8421804947689</x:v>
      </x:c>
      <x:c r="L293" s="44" t="n">
        <x:v>140.9287831877255</x:v>
      </x:c>
    </x:row>
    <x:row r="294" ht="15" hidden="0" customHeight="1">
      <x:c r="A294" s="27" t="str">
        <x:v>49043</x:v>
      </x:c>
      <x:c r="B294" s="27" t="str">
        <x:v>SCA-10</x:v>
      </x:c>
      <x:c r="C294" s="43" t="n">
        <x:v>43141</x:v>
      </x:c>
      <x:c r="D294" s="43" t="n">
        <x:v>191.4967521820647</x:v>
      </x:c>
      <x:c r="E294" s="43" t="n">
        <x:v>2362.067073005806</x:v>
      </x:c>
      <x:c r="F294" s="43" t="n">
        <x:v>155.1500133683889</x:v>
      </x:c>
      <x:c r="G294" s="43" t="n">
        <x:v>789.7343600624898</x:v>
      </x:c>
      <x:c r="H294" s="43" t="n">
        <x:v>39642.55180138125</x:v>
      </x:c>
      <x:c r="I294" s="43" t="n">
        <x:v>43141</x:v>
      </x:c>
      <x:c r="J294" s="43" t="n">
        <x:v>2446</x:v>
      </x:c>
      <x:c r="K294" s="43" t="n">
        <x:v>248.22730417521169</x:v>
      </x:c>
      <x:c r="L294" s="43" t="n">
        <x:v>93.0772908068228</x:v>
      </x:c>
    </x:row>
    <x:row r="295" ht="15" hidden="0" customHeight="1">
      <x:c r="A295" s="29" t="str">
        <x:v>56037</x:v>
      </x:c>
      <x:c r="B295" s="29" t="str">
        <x:v>SCA-10</x:v>
      </x:c>
      <x:c r="C295" s="44" t="n">
        <x:v>41267</x:v>
      </x:c>
      <x:c r="D295" s="44" t="n">
        <x:v>448.6475796738863</x:v>
      </x:c>
      <x:c r="E295" s="44" t="n">
        <x:v>6181.099372118977</x:v>
      </x:c>
      <x:c r="F295" s="44" t="n">
        <x:v>273.50865474925183</x:v>
      </x:c>
      <x:c r="G295" s="44" t="n">
        <x:v>588.6732131592994</x:v>
      </x:c>
      <x:c r="H295" s="44" t="n">
        <x:v>33775.07118029858</x:v>
      </x:c>
      <x:c r="I295" s="44" t="n">
        <x:v>41267</x:v>
      </x:c>
      <x:c r="J295" s="44" t="n">
        <x:v>6431</x:v>
      </x:c>
      <x:c r="K295" s="44" t="n">
        <x:v>464.610427251514</x:v>
      </x:c>
      <x:c r="L295" s="44" t="n">
        <x:v>191.1017725022622</x:v>
      </x:c>
    </x:row>
    <x:row r="296" ht="15" hidden="0" customHeight="1">
      <x:c r="A296" s="27" t="str">
        <x:v>56013</x:v>
      </x:c>
      <x:c r="B296" s="27" t="str">
        <x:v>SCA-10</x:v>
      </x:c>
      <x:c r="C296" s="43" t="n">
        <x:v>39464</x:v>
      </x:c>
      <x:c r="D296" s="43" t="n">
        <x:v>426.178162285218</x:v>
      </x:c>
      <x:c r="E296" s="43" t="n">
        <x:v>5842.22000513426</x:v>
      </x:c>
      <x:c r="F296" s="43" t="n">
        <x:v>261.558764897484</x:v>
      </x:c>
      <x:c r="G296" s="43" t="n">
        <x:v>835.642963495405</x:v>
      </x:c>
      <x:c r="H296" s="43" t="n">
        <x:v>32098.400104187633</x:v>
      </x:c>
      <x:c r="I296" s="43" t="n">
        <x:v>39464</x:v>
      </x:c>
      <x:c r="J296" s="43" t="n">
        <x:v>6007</x:v>
      </x:c>
      <x:c r="K296" s="43" t="n">
        <x:v>444.3110936354411</x:v>
      </x:c>
      <x:c r="L296" s="43" t="n">
        <x:v>182.7523287379571</x:v>
      </x:c>
    </x:row>
    <x:row r="297" ht="15" hidden="0" customHeight="1">
      <x:c r="A297" s="29" t="str">
        <x:v>49051</x:v>
      </x:c>
      <x:c r="B297" s="29" t="str">
        <x:v>SCA-10</x:v>
      </x:c>
      <x:c r="C297" s="44" t="n">
        <x:v>38514</x:v>
      </x:c>
      <x:c r="D297" s="44" t="n">
        <x:v>179.08572220669814</x:v>
      </x:c>
      <x:c r="E297" s="44" t="n">
        <x:v>2303.789915070225</x:v>
      </x:c>
      <x:c r="F297" s="44" t="n">
        <x:v>138.50971500127787</x:v>
      </x:c>
      <x:c r="G297" s="44" t="n">
        <x:v>404.14468295632577</x:v>
      </x:c>
      <x:c r="H297" s="44" t="n">
        <x:v>35488.46996476547</x:v>
      </x:c>
      <x:c r="I297" s="44" t="n">
        <x:v>38514</x:v>
      </x:c>
      <x:c r="J297" s="44" t="n">
        <x:v>2267</x:v>
      </x:c>
      <x:c r="K297" s="44" t="n">
        <x:v>221.60419074671663</x:v>
      </x:c>
      <x:c r="L297" s="44" t="n">
        <x:v>83.09447574543876</x:v>
      </x:c>
    </x:row>
    <x:row r="298" ht="15" hidden="0" customHeight="1">
      <x:c r="A298" s="27" t="str">
        <x:v>49047</x:v>
      </x:c>
      <x:c r="B298" s="27" t="str">
        <x:v>SCA-10</x:v>
      </x:c>
      <x:c r="C298" s="43" t="n">
        <x:v>38278</x:v>
      </x:c>
      <x:c r="D298" s="43" t="n">
        <x:v>297.2259593082417</x:v>
      </x:c>
      <x:c r="E298" s="43" t="n">
        <x:v>5151.375762089868</x:v>
      </x:c>
      <x:c r="F298" s="43" t="n">
        <x:v>137.66097706857025</x:v>
      </x:c>
      <x:c r="G298" s="43" t="n">
        <x:v>578.2253241634273</x:v>
      </x:c>
      <x:c r="H298" s="43" t="n">
        <x:v>32113.511977369893</x:v>
      </x:c>
      <x:c r="I298" s="43" t="n">
        <x:v>38278</x:v>
      </x:c>
      <x:c r="J298" s="43" t="n">
        <x:v>5157</x:v>
      </x:c>
      <x:c r="K298" s="43" t="n">
        <x:v>220.24627962306744</x:v>
      </x:c>
      <x:c r="L298" s="43" t="n">
        <x:v>82.58530255449719</x:v>
      </x:c>
    </x:row>
    <x:row r="299" ht="15" hidden="0" customHeight="1">
      <x:c r="A299" s="29" t="str">
        <x:v>56033</x:v>
      </x:c>
      <x:c r="B299" s="29" t="str">
        <x:v>SCA-10</x:v>
      </x:c>
      <x:c r="C299" s="44" t="n">
        <x:v>33241</x:v>
      </x:c>
      <x:c r="D299" s="44" t="n">
        <x:v>329.1531490279663</x:v>
      </x:c>
      <x:c r="E299" s="44" t="n">
        <x:v>4205.248153453009</x:v>
      </x:c>
      <x:c r="F299" s="44" t="n">
        <x:v>220.31408128819348</x:v>
      </x:c>
      <x:c r="G299" s="44" t="n">
        <x:v>645.9563996592736</x:v>
      </x:c>
      <x:c r="H299" s="44" t="n">
        <x:v>27840.328216571557</x:v>
      </x:c>
      <x:c r="I299" s="44" t="n">
        <x:v>33241</x:v>
      </x:c>
      <x:c r="J299" s="44" t="n">
        <x:v>4177</x:v>
      </x:c>
      <x:c r="K299" s="44" t="n">
        <x:v>374.24855725561775</x:v>
      </x:c>
      <x:c r="L299" s="44" t="n">
        <x:v>153.93447596742428</x:v>
      </x:c>
    </x:row>
    <x:row r="300" ht="15" hidden="0" customHeight="1">
      <x:c r="A300" s="27" t="str">
        <x:v>49039</x:v>
      </x:c>
      <x:c r="B300" s="27" t="str">
        <x:v>SCA-10</x:v>
      </x:c>
      <x:c r="C300" s="43" t="n">
        <x:v>31453</x:v>
      </x:c>
      <x:c r="D300" s="43" t="n">
        <x:v>236.13314187496988</x:v>
      </x:c>
      <x:c r="E300" s="43" t="n">
        <x:v>4038.5488584211284</x:v>
      </x:c>
      <x:c r="F300" s="43" t="n">
        <x:v>113.11590761632637</x:v>
      </x:c>
      <x:c r="G300" s="43" t="n">
        <x:v>357.76147351710205</x:v>
      </x:c>
      <x:c r="H300" s="43" t="n">
        <x:v>26707.440618570472</x:v>
      </x:c>
      <x:c r="I300" s="43" t="n">
        <x:v>31453</x:v>
      </x:c>
      <x:c r="J300" s="43" t="n">
        <x:v>3707</x:v>
      </x:c>
      <x:c r="K300" s="43" t="n">
        <x:v>180.97618039041592</x:v>
      </x:c>
      <x:c r="L300" s="43" t="n">
        <x:v>67.86027277408955</x:v>
      </x:c>
    </x:row>
    <x:row r="301" ht="15" hidden="0" customHeight="1">
      <x:c r="A301" s="29" t="str">
        <x:v>56029</x:v>
      </x:c>
      <x:c r="B301" s="29" t="str">
        <x:v>SCA-10</x:v>
      </x:c>
      <x:c r="C301" s="44" t="n">
        <x:v>31171</x:v>
      </x:c>
      <x:c r="D301" s="44" t="n">
        <x:v>293.80099503784675</x:v>
      </x:c>
      <x:c r="E301" s="44" t="n">
        <x:v>3586.8576702307255</x:v>
      </x:c>
      <x:c r="F301" s="44" t="n">
        <x:v>206.59457380446673</x:v>
      </x:c>
      <x:c r="G301" s="44" t="n">
        <x:v>624.4558244231852</x:v>
      </x:c>
      <x:c r="H301" s="44" t="n">
        <x:v>26459.290936503774</x:v>
      </x:c>
      <x:c r="I301" s="44" t="n">
        <x:v>31171</x:v>
      </x:c>
      <x:c r="J301" s="44" t="n">
        <x:v>3621</x:v>
      </x:c>
      <x:c r="K301" s="44" t="n">
        <x:v>350.94316591603325</x:v>
      </x:c>
      <x:c r="L301" s="44" t="n">
        <x:v>144.34859211156652</x:v>
      </x:c>
    </x:row>
    <x:row r="302" ht="15" hidden="0" customHeight="1">
      <x:c r="A302" s="27" t="str">
        <x:v>16031</x:v>
      </x:c>
      <x:c r="B302" s="27" t="str">
        <x:v>SCA-10</x:v>
      </x:c>
      <x:c r="C302" s="43" t="n">
        <x:v>26397</x:v>
      </x:c>
      <x:c r="D302" s="43" t="n">
        <x:v>270.3125476526566</x:v>
      </x:c>
      <x:c r="E302" s="43" t="n">
        <x:v>3555.128908671807</x:v>
      </x:c>
      <x:c r="F302" s="43" t="n">
        <x:v>171.20243534743483</x:v>
      </x:c>
      <x:c r="G302" s="43" t="n">
        <x:v>568.6975598124155</x:v>
      </x:c>
      <x:c r="H302" s="43" t="n">
        <x:v>21831.658548515687</x:v>
      </x:c>
      <x:c r="I302" s="43" t="n">
        <x:v>26397</x:v>
      </x:c>
      <x:c r="J302" s="43" t="n">
        <x:v>3530</x:v>
      </x:c>
      <x:c r="K302" s="43" t="n">
        <x:v>293.38461180543277</x:v>
      </x:c>
      <x:c r="L302" s="43" t="n">
        <x:v>122.18217645799794</x:v>
      </x:c>
    </x:row>
    <x:row r="303" ht="15" hidden="0" customHeight="1">
      <x:c r="A303" s="29" t="str">
        <x:v>56039</x:v>
      </x:c>
      <x:c r="B303" s="29" t="str">
        <x:v>SCA-10</x:v>
      </x:c>
      <x:c r="C303" s="44" t="n">
        <x:v>23333</x:v>
      </x:c>
      <x:c r="D303" s="44" t="n">
        <x:v>165.89652122161257</x:v>
      </x:c>
      <x:c r="E303" s="44" t="n">
        <x:v>1388.2709671885052</x:v>
      </x:c>
      <x:c r="F303" s="44" t="n">
        <x:v>154.64602324531205</x:v>
      </x:c>
      <x:c r="G303" s="44" t="n">
        <x:v>221.37336478661805</x:v>
      </x:c>
      <x:c r="H303" s="44" t="n">
        <x:v>21402.813123557953</x:v>
      </x:c>
      <x:c r="I303" s="44" t="n">
        <x:v>23333</x:v>
      </x:c>
      <x:c r="J303" s="44" t="n">
        <x:v>1445</x:v>
      </x:c>
      <x:c r="K303" s="44" t="n">
        <x:v>262.69792083407026</x:v>
      </x:c>
      <x:c r="L303" s="44" t="n">
        <x:v>108.0518975887582</x:v>
      </x:c>
    </x:row>
    <x:row r="304" ht="15" hidden="0" customHeight="1">
      <x:c r="A304" s="27" t="str">
        <x:v>49041</x:v>
      </x:c>
      <x:c r="B304" s="27" t="str">
        <x:v>SCA-10</x:v>
      </x:c>
      <x:c r="C304" s="43" t="n">
        <x:v>22827</x:v>
      </x:c>
      <x:c r="D304" s="43" t="n">
        <x:v>186.65541655416533</x:v>
      </x:c>
      <x:c r="E304" s="43" t="n">
        <x:v>3297.7405298806616</x:v>
      </x:c>
      <x:c r="F304" s="43" t="n">
        <x:v>82.09381690642806</x:v>
      </x:c>
      <x:c r="G304" s="43" t="n">
        <x:v>486.34670322075294</x:v>
      </x:c>
      <x:c r="H304" s="43" t="n">
        <x:v>18774.16353343799</x:v>
      </x:c>
      <x:c r="I304" s="43" t="n">
        <x:v>22827</x:v>
      </x:c>
      <x:c r="J304" s="43" t="n">
        <x:v>3266</x:v>
      </x:c>
      <x:c r="K304" s="43" t="n">
        <x:v>131.34337804889913</x:v>
      </x:c>
      <x:c r="L304" s="43" t="n">
        <x:v>49.24956114247106</x:v>
      </x:c>
    </x:row>
    <x:row r="305" ht="15" hidden="0" customHeight="1">
      <x:c r="A305" s="29" t="str">
        <x:v>56023</x:v>
      </x:c>
      <x:c r="B305" s="29" t="str">
        <x:v>SCA-10</x:v>
      </x:c>
      <x:c r="C305" s="44" t="n">
        <x:v>21180</x:v>
      </x:c>
      <x:c r="D305" s="44" t="n">
        <x:v>204.51089277466176</x:v>
      </x:c>
      <x:c r="E305" s="44" t="n">
        <x:v>2554.301773640372</x:v>
      </x:c>
      <x:c r="F305" s="44" t="n">
        <x:v>140.37640990595764</x:v>
      </x:c>
      <x:c r="G305" s="44" t="n">
        <x:v>277.1769720725135</x:v>
      </x:c>
      <x:c r="H305" s="44" t="n">
        <x:v>18003.633951606495</x:v>
      </x:c>
      <x:c r="I305" s="44" t="n">
        <x:v>21180</x:v>
      </x:c>
      <x:c r="J305" s="44" t="n">
        <x:v>2564</x:v>
      </x:c>
      <x:c r="K305" s="44" t="n">
        <x:v>238.4580621122705</x:v>
      </x:c>
      <x:c r="L305" s="44" t="n">
        <x:v>98.08165220631288</x:v>
      </x:c>
    </x:row>
    <x:row r="306" ht="15" hidden="0" customHeight="1">
      <x:c r="A306" s="27" t="str">
        <x:v>49013</x:v>
      </x:c>
      <x:c r="B306" s="27" t="str">
        <x:v>SCA-10</x:v>
      </x:c>
      <x:c r="C306" s="43" t="n">
        <x:v>20856</x:v>
      </x:c>
      <x:c r="D306" s="43" t="n">
        <x:v>172.11580235371142</x:v>
      </x:c>
      <x:c r="E306" s="43" t="n">
        <x:v>3050.848808664259</x:v>
      </x:c>
      <x:c r="F306" s="43" t="n">
        <x:v>75.00541662945037</x:v>
      </x:c>
      <x:c r="G306" s="43" t="n">
        <x:v>430.1688477737665</x:v>
      </x:c>
      <x:c r="H306" s="43" t="n">
        <x:v>17127.861124578812</x:v>
      </x:c>
      <x:c r="I306" s="43" t="n">
        <x:v>20856</x:v>
      </x:c>
      <x:c r="J306" s="43" t="n">
        <x:v>3039</x:v>
      </x:c>
      <x:c r="K306" s="43" t="n">
        <x:v>120.00251862215096</x:v>
      </x:c>
      <x:c r="L306" s="43" t="n">
        <x:v>44.99710199270059</x:v>
      </x:c>
    </x:row>
    <x:row r="307" ht="15" hidden="0" customHeight="1">
      <x:c r="A307" s="29" t="str">
        <x:v>56041</x:v>
      </x:c>
      <x:c r="B307" s="29" t="str">
        <x:v>SCA-10</x:v>
      </x:c>
      <x:c r="C307" s="44" t="n">
        <x:v>20728</x:v>
      </x:c>
      <x:c r="D307" s="44" t="n">
        <x:v>218.51675733822668</x:v>
      </x:c>
      <x:c r="E307" s="44" t="n">
        <x:v>2940.678111604745</x:v>
      </x:c>
      <x:c r="F307" s="44" t="n">
        <x:v>137.3806527162743</x:v>
      </x:c>
      <x:c r="G307" s="44" t="n">
        <x:v>326.82595322950743</x:v>
      </x:c>
      <x:c r="H307" s="44" t="n">
        <x:v>17104.598525111247</x:v>
      </x:c>
      <x:c r="I307" s="44" t="n">
        <x:v>20728</x:v>
      </x:c>
      <x:c r="J307" s="44" t="n">
        <x:v>3027</x:v>
      </x:c>
      <x:c r="K307" s="44" t="n">
        <x:v>233.36915540430326</x:v>
      </x:c>
      <x:c r="L307" s="44" t="n">
        <x:v>95.98850268802896</x:v>
      </x:c>
    </x:row>
    <x:row r="308" ht="15" hidden="0" customHeight="1">
      <x:c r="A308" s="27" t="str">
        <x:v>49007</x:v>
      </x:c>
      <x:c r="B308" s="27" t="str">
        <x:v>SCA-10</x:v>
      </x:c>
      <x:c r="C308" s="43" t="n">
        <x:v>20680</x:v>
      </x:c>
      <x:c r="D308" s="43" t="n">
        <x:v>203.4358702347847</x:v>
      </x:c>
      <x:c r="E308" s="43" t="n">
        <x:v>3811.6437749224638</x:v>
      </x:c>
      <x:c r="F308" s="43" t="n">
        <x:v>74.37245952709213</x:v>
      </x:c>
      <x:c r="G308" s="43" t="n">
        <x:v>682.3599911386798</x:v>
      </x:c>
      <x:c r="H308" s="43" t="n">
        <x:v>15908.18790417698</x:v>
      </x:c>
      <x:c r="I308" s="43" t="n">
        <x:v>20680</x:v>
      </x:c>
      <x:c r="J308" s="43" t="n">
        <x:v>3900</x:v>
      </x:c>
      <x:c r="K308" s="43" t="n">
        <x:v>118.98983914010749</x:v>
      </x:c>
      <x:c r="L308" s="43" t="n">
        <x:v>44.61737961301535</x:v>
      </x:c>
    </x:row>
    <x:row r="309" ht="15" hidden="0" customHeight="1">
      <x:c r="A309" s="29" t="str">
        <x:v>16041</x:v>
      </x:c>
      <x:c r="B309" s="29" t="str">
        <x:v>SCA-10</x:v>
      </x:c>
      <x:c r="C309" s="44" t="n">
        <x:v>15889</x:v>
      </x:c>
      <x:c r="D309" s="44" t="n">
        <x:v>140.37416551719016</x:v>
      </x:c>
      <x:c r="E309" s="44" t="n">
        <x:v>1603.9133950822948</x:v>
      </x:c>
      <x:c r="F309" s="44" t="n">
        <x:v>103.05093363773884</x:v>
      </x:c>
      <x:c r="G309" s="44" t="n">
        <x:v>179.8646631571933</x:v>
      </x:c>
      <x:c r="H309" s="44" t="n">
        <x:v>13861.796842605583</x:v>
      </x:c>
      <x:c r="I309" s="44" t="n">
        <x:v>15889</x:v>
      </x:c>
      <x:c r="J309" s="44" t="n">
        <x:v>1578</x:v>
      </x:c>
      <x:c r="K309" s="44" t="n">
        <x:v>176.59537435983336</x:v>
      </x:c>
      <x:c r="L309" s="44" t="n">
        <x:v>73.54444072209452</x:v>
      </x:c>
    </x:row>
    <x:row r="310" ht="15" hidden="0" customHeight="1">
      <x:c r="A310" s="27" t="str">
        <x:v>49037</x:v>
      </x:c>
      <x:c r="B310" s="27" t="str">
        <x:v>SCA-10</x:v>
      </x:c>
      <x:c r="C310" s="43" t="n">
        <x:v>14542</x:v>
      </x:c>
      <x:c r="D310" s="43" t="n">
        <x:v>152.4156848402689</x:v>
      </x:c>
      <x:c r="E310" s="43" t="n">
        <x:v>2904.986957250628</x:v>
      </x:c>
      <x:c r="F310" s="43" t="n">
        <x:v>52.29808058234883</x:v>
      </x:c>
      <x:c r="G310" s="43" t="n">
        <x:v>624.0259849119866</x:v>
      </x:c>
      <x:c r="H310" s="43" t="n">
        <x:v>10808.273292414768</x:v>
      </x:c>
      <x:c r="I310" s="43" t="n">
        <x:v>14542</x:v>
      </x:c>
      <x:c r="J310" s="43" t="n">
        <x:v>2979</x:v>
      </x:c>
      <x:c r="K310" s="43" t="n">
        <x:v>83.67264220384155</x:v>
      </x:c>
      <x:c r="L310" s="43" t="n">
        <x:v>31.374561621492713</x:v>
      </x:c>
    </x:row>
    <x:row r="311" ht="15" hidden="0" customHeight="1">
      <x:c r="A311" s="29" t="str">
        <x:v>49027</x:v>
      </x:c>
      <x:c r="B311" s="29" t="str">
        <x:v>SCA-10</x:v>
      </x:c>
      <x:c r="C311" s="44" t="n">
        <x:v>14057</x:v>
      </x:c>
      <x:c r="D311" s="44" t="n">
        <x:v>116.42889334579911</x:v>
      </x:c>
      <x:c r="E311" s="44" t="n">
        <x:v>2066.4174187670815</x:v>
      </x:c>
      <x:c r="F311" s="44" t="n">
        <x:v>50.55385220369121</x:v>
      </x:c>
      <x:c r="G311" s="44" t="n">
        <x:v>116.86835712116611</x:v>
      </x:c>
      <x:c r="H311" s="44" t="n">
        <x:v>11706.731478562262</x:v>
      </x:c>
      <x:c r="I311" s="44" t="n">
        <x:v>14057</x:v>
      </x:c>
      <x:c r="J311" s="44" t="n">
        <x:v>2017</x:v>
      </x:c>
      <x:c r="K311" s="44" t="n">
        <x:v>80.88201976752858</x:v>
      </x:c>
      <x:c r="L311" s="44" t="n">
        <x:v>30.328167563837372</x:v>
      </x:c>
    </x:row>
    <x:row r="312" ht="15" hidden="0" customHeight="1">
      <x:c r="A312" s="27" t="str">
        <x:v>49023</x:v>
      </x:c>
      <x:c r="B312" s="27" t="str">
        <x:v>SCA-10</x:v>
      </x:c>
      <x:c r="C312" s="43" t="n">
        <x:v>13567</x:v>
      </x:c>
      <x:c r="D312" s="43" t="n">
        <x:v>98.63805946092236</x:v>
      </x:c>
      <x:c r="E312" s="43" t="n">
        <x:v>1664.8097645362805</x:v>
      </x:c>
      <x:c r="F312" s="43" t="n">
        <x:v>48.791642089171134</x:v>
      </x:c>
      <x:c r="G312" s="43" t="n">
        <x:v>256.4199903892359</x:v>
      </x:c>
      <x:c r="H312" s="43" t="n">
        <x:v>11498.340543524391</x:v>
      </x:c>
      <x:c r="I312" s="43" t="n">
        <x:v>13567</x:v>
      </x:c>
      <x:c r="J312" s="43" t="n">
        <x:v>1596</x:v>
      </x:c>
      <x:c r="K312" s="43" t="n">
        <x:v>78.06262802774847</x:v>
      </x:c>
      <x:c r="L312" s="43" t="n">
        <x:v>29.270985938577336</x:v>
      </x:c>
    </x:row>
    <x:row r="313" ht="15" hidden="0" customHeight="1">
      <x:c r="A313" s="29" t="str">
        <x:v>49029</x:v>
      </x:c>
      <x:c r="B313" s="29" t="str">
        <x:v>SCA-10</x:v>
      </x:c>
      <x:c r="C313" s="44" t="n">
        <x:v>13383</x:v>
      </x:c>
      <x:c r="D313" s="44" t="n">
        <x:v>66.56374764222892</x:v>
      </x:c>
      <x:c r="E313" s="44" t="n">
        <x:v>904.5538605961041</x:v>
      </x:c>
      <x:c r="F313" s="44" t="n">
        <x:v>48.12991420943298</x:v>
      </x:c>
      <x:c r="G313" s="44" t="n">
        <x:v>27.88781976061957</x:v>
      </x:c>
      <x:c r="H313" s="44" t="n">
        <x:v>12335.864657791613</x:v>
      </x:c>
      <x:c r="I313" s="44" t="n">
        <x:v>13383</x:v>
      </x:c>
      <x:c r="J313" s="44" t="n">
        <x:v>900</x:v>
      </x:c>
      <x:c r="K313" s="44" t="n">
        <x:v>77.00391766015757</x:v>
      </x:c>
      <x:c r="L313" s="44" t="n">
        <x:v>28.87400345072459</x:v>
      </x:c>
    </x:row>
    <x:row r="314" ht="15" hidden="0" customHeight="1">
      <x:c r="A314" s="27" t="str">
        <x:v>16081</x:v>
      </x:c>
      <x:c r="B314" s="27" t="str">
        <x:v>SCA-10</x:v>
      </x:c>
      <x:c r="C314" s="43" t="n">
        <x:v>13254</x:v>
      </x:c>
      <x:c r="D314" s="43" t="n">
        <x:v>105.61343222376286</x:v>
      </x:c>
      <x:c r="E314" s="43" t="n">
        <x:v>1062.370909090909</x:v>
      </x:c>
      <x:c r="F314" s="43" t="n">
        <x:v>85.96117278838128</x:v>
      </x:c>
      <x:c r="G314" s="43" t="n">
        <x:v>85.23500967117988</x:v>
      </x:c>
      <x:c r="H314" s="43" t="n">
        <x:v>11914.819476225766</x:v>
      </x:c>
      <x:c r="I314" s="43" t="n">
        <x:v>13254</x:v>
      </x:c>
      <x:c r="J314" s="43" t="n">
        <x:v>1036</x:v>
      </x:c>
      <x:c r="K314" s="43" t="n">
        <x:v>147.3091504666896</x:v>
      </x:c>
      <x:c r="L314" s="43" t="n">
        <x:v>61.34797767830832</x:v>
      </x:c>
    </x:row>
    <x:row r="315" ht="15" hidden="0" customHeight="1">
      <x:c r="A315" s="29" t="str">
        <x:v>08081</x:v>
      </x:c>
      <x:c r="B315" s="29" t="str">
        <x:v>SCA-10</x:v>
      </x:c>
      <x:c r="C315" s="44" t="n">
        <x:v>13122</x:v>
      </x:c>
      <x:c r="D315" s="44" t="n">
        <x:v>131.95064169082912</x:v>
      </x:c>
      <x:c r="E315" s="44" t="n">
        <x:v>2036.9361530837843</x:v>
      </x:c>
      <x:c r="F315" s="44" t="n">
        <x:v>72.6499319622755</x:v>
      </x:c>
      <x:c r="G315" s="44" t="n">
        <x:v>319.3928489746131</x:v>
      </x:c>
      <x:c r="H315" s="44" t="n">
        <x:v>10561.070424288499</x:v>
      </x:c>
      <x:c r="I315" s="44" t="n">
        <x:v>13122</x:v>
      </x:c>
      <x:c r="J315" s="44" t="n">
        <x:v>2121</x:v>
      </x:c>
      <x:c r="K315" s="44" t="n">
        <x:v>119.72823394128028</x:v>
      </x:c>
      <x:c r="L315" s="44" t="n">
        <x:v>47.07830197900477</x:v>
      </x:c>
    </x:row>
    <x:row r="316" ht="15" hidden="0" customHeight="1">
      <x:c r="A316" s="27" t="str">
        <x:v>30003</x:v>
      </x:c>
      <x:c r="B316" s="27" t="str">
        <x:v>SCA-10</x:v>
      </x:c>
      <x:c r="C316" s="43" t="n">
        <x:v>12752</x:v>
      </x:c>
      <x:c r="D316" s="43" t="n">
        <x:v>138.62250207050923</x:v>
      </x:c>
      <x:c r="E316" s="43" t="n">
        <x:v>1609.92</x:v>
      </x:c>
      <x:c r="F316" s="43" t="n">
        <x:v>77.18278231673197</x:v>
      </x:c>
      <x:c r="G316" s="43" t="n">
        <x:v>591.4425188205772</x:v>
      </x:c>
      <x:c r="H316" s="43" t="n">
        <x:v>10334.832196792182</x:v>
      </x:c>
      <x:c r="I316" s="43" t="n">
        <x:v>12752</x:v>
      </x:c>
      <x:c r="J316" s="43" t="n">
        <x:v>1677</x:v>
      </x:c>
      <x:c r="K316" s="43" t="n">
        <x:v>148.7252843872412</x:v>
      </x:c>
      <x:c r="L316" s="43" t="n">
        <x:v>71.54250207050923</x:v>
      </x:c>
    </x:row>
    <x:row r="317" ht="15" hidden="0" customHeight="1">
      <x:c r="A317" s="29" t="str">
        <x:v>56003</x:v>
      </x:c>
      <x:c r="B317" s="29" t="str">
        <x:v>SCA-10</x:v>
      </x:c>
      <x:c r="C317" s="44" t="n">
        <x:v>12024</x:v>
      </x:c>
      <x:c r="D317" s="44" t="n">
        <x:v>132.46011158559625</x:v>
      </x:c>
      <x:c r="E317" s="44" t="n">
        <x:v>1842.6871130359461</x:v>
      </x:c>
      <x:c r="F317" s="44" t="n">
        <x:v>79.69244347069095</x:v>
      </x:c>
      <x:c r="G317" s="44" t="n">
        <x:v>125.21420528367258</x:v>
      </x:c>
      <x:c r="H317" s="44" t="n">
        <x:v>9843.946126624092</x:v>
      </x:c>
      <x:c r="I317" s="44" t="n">
        <x:v>12024</x:v>
      </x:c>
      <x:c r="J317" s="44" t="n">
        <x:v>1843</x:v>
      </x:c>
      <x:c r="K317" s="44" t="n">
        <x:v>135.3739253464561</x:v>
      </x:c>
      <x:c r="L317" s="44" t="n">
        <x:v>55.68148187576516</x:v>
      </x:c>
    </x:row>
    <x:row r="318" ht="15" hidden="0" customHeight="1">
      <x:c r="A318" s="27" t="str">
        <x:v>30009</x:v>
      </x:c>
      <x:c r="B318" s="27" t="str">
        <x:v>SCA-10</x:v>
      </x:c>
      <x:c r="C318" s="43" t="n">
        <x:v>11466</x:v>
      </x:c>
      <x:c r="D318" s="43" t="n">
        <x:v>144.0947553284421</x:v>
      </x:c>
      <x:c r="E318" s="43" t="n">
        <x:v>1914.4102720348203</x:v>
      </x:c>
      <x:c r="F318" s="43" t="n">
        <x:v>69.3991359820929</x:v>
      </x:c>
      <x:c r="G318" s="43" t="n">
        <x:v>225.93262604280014</x:v>
      </x:c>
      <x:c r="H318" s="43" t="n">
        <x:v>9112.163210611845</x:v>
      </x:c>
      <x:c r="I318" s="43" t="n">
        <x:v>11466</x:v>
      </x:c>
      <x:c r="J318" s="43" t="n">
        <x:v>1918</x:v>
      </x:c>
      <x:c r="K318" s="43" t="n">
        <x:v>133.72679664241747</x:v>
      </x:c>
      <x:c r="L318" s="43" t="n">
        <x:v>64.32766066032457</x:v>
      </x:c>
    </x:row>
    <x:row r="319" ht="15" hidden="0" customHeight="1">
      <x:c r="A319" s="29" t="str">
        <x:v>49015</x:v>
      </x:c>
      <x:c r="B319" s="29" t="str">
        <x:v>SCA-10</x:v>
      </x:c>
      <x:c r="C319" s="44" t="n">
        <x:v>10177</x:v>
      </x:c>
      <x:c r="D319" s="44" t="n">
        <x:v>97.11588631244153</x:v>
      </x:c>
      <x:c r="E319" s="44" t="n">
        <x:v>1803.8129090363252</x:v>
      </x:c>
      <x:c r="F319" s="44" t="n">
        <x:v>36.60002517443021</x:v>
      </x:c>
      <x:c r="G319" s="44" t="n">
        <x:v>131.68237766436505</x:v>
      </x:c>
      <x:c r="H319" s="44" t="n">
        <x:v>8107.788801812439</x:v>
      </x:c>
      <x:c r="I319" s="44" t="n">
        <x:v>10177</x:v>
      </x:c>
      <x:c r="J319" s="44" t="n">
        <x:v>1845</x:v>
      </x:c>
      <x:c r="K319" s="44" t="n">
        <x:v>58.55704027702485</x:v>
      </x:c>
      <x:c r="L319" s="44" t="n">
        <x:v>21.957015102594646</x:v>
      </x:c>
    </x:row>
    <x:row r="320" ht="15" hidden="0" customHeight="1">
      <x:c r="A320" s="27" t="str">
        <x:v>49019</x:v>
      </x:c>
      <x:c r="B320" s="27" t="str">
        <x:v>SCA-10</x:v>
      </x:c>
      <x:c r="C320" s="43" t="n">
        <x:v>9790</x:v>
      </x:c>
      <x:c r="D320" s="43" t="n">
        <x:v>76.66041084587191</x:v>
      </x:c>
      <x:c r="E320" s="43" t="n">
        <x:v>1332.9204834211341</x:v>
      </x:c>
      <x:c r="F320" s="43" t="n">
        <x:v>35.2082388186766</x:v>
      </x:c>
      <x:c r="G320" s="43" t="n">
        <x:v>228.27476500361533</x:v>
      </x:c>
      <x:c r="H320" s="43" t="n">
        <x:v>8116.936101910703</x:v>
      </x:c>
      <x:c r="I320" s="43" t="n">
        <x:v>9790</x:v>
      </x:c>
      <x:c r="J320" s="43" t="n">
        <x:v>1373</x:v>
      </x:c>
      <x:c r="K320" s="43" t="n">
        <x:v>56.33029618866791</x:v>
      </x:c>
      <x:c r="L320" s="43" t="n">
        <x:v>21.12205736999131</x:v>
      </x:c>
    </x:row>
    <x:row r="321" ht="15" hidden="0" customHeight="1">
      <x:c r="A321" s="29" t="str">
        <x:v>56035</x:v>
      </x:c>
      <x:c r="B321" s="29" t="str">
        <x:v>SCA-10</x:v>
      </x:c>
      <x:c r="C321" s="44" t="n">
        <x:v>8929</x:v>
      </x:c>
      <x:c r="D321" s="44" t="n">
        <x:v>100.38837353183156</x:v>
      </x:c>
      <x:c r="E321" s="44" t="n">
        <x:v>1416.9458117326058</x:v>
      </x:c>
      <x:c r="F321" s="44" t="n">
        <x:v>59.179460059031896</x:v>
      </x:c>
      <x:c r="G321" s="44" t="n">
        <x:v>77.6268758526603</x:v>
      </x:c>
      <x:c r="H321" s="44" t="n">
        <x:v>7274.859478823871</x:v>
      </x:c>
      <x:c r="I321" s="44" t="n">
        <x:v>8929</x:v>
      </x:c>
      <x:c r="J321" s="44" t="n">
        <x:v>1454</x:v>
      </x:c>
      <x:c r="K321" s="44" t="n">
        <x:v>100.52842476867154</x:v>
      </x:c>
      <x:c r="L321" s="44" t="n">
        <x:v>41.348964709639645</x:v>
      </x:c>
    </x:row>
    <x:row r="322" ht="15" hidden="0" customHeight="1">
      <x:c r="A322" s="27" t="str">
        <x:v>56019</x:v>
      </x:c>
      <x:c r="B322" s="27" t="str">
        <x:v>SCA-10</x:v>
      </x:c>
      <x:c r="C322" s="43" t="n">
        <x:v>8908</x:v>
      </x:c>
      <x:c r="D322" s="43" t="n">
        <x:v>93.0868822681742</x:v>
      </x:c>
      <x:c r="E322" s="43" t="n">
        <x:v>1244.043975734951</x:v>
      </x:c>
      <x:c r="F322" s="43" t="n">
        <x:v>59.0402766497767</x:v>
      </x:c>
      <x:c r="G322" s="43" t="n">
        <x:v>108.52484834344376</x:v>
      </x:c>
      <x:c r="H322" s="43" t="n">
        <x:v>7403.304017003655</x:v>
      </x:c>
      <x:c r="I322" s="43" t="n">
        <x:v>8908</x:v>
      </x:c>
      <x:c r="J322" s="43" t="n">
        <x:v>1247</x:v>
      </x:c>
      <x:c r="K322" s="43" t="n">
        <x:v>100.29199326232794</x:v>
      </x:c>
      <x:c r="L322" s="43" t="n">
        <x:v>41.251716612551235</x:v>
      </x:c>
    </x:row>
    <x:row r="323" ht="15" hidden="0" customHeight="1">
      <x:c r="A323" s="29" t="str">
        <x:v>32033</x:v>
      </x:c>
      <x:c r="B323" s="29" t="str">
        <x:v>SCA-10</x:v>
      </x:c>
      <x:c r="C323" s="44" t="n">
        <x:v>8661</x:v>
      </x:c>
      <x:c r="D323" s="44" t="n">
        <x:v>94.82421357536612</x:v>
      </x:c>
      <x:c r="E323" s="44" t="n">
        <x:v>1926.187648173207</x:v>
      </x:c>
      <x:c r="F323" s="44" t="n">
        <x:v>51.92065815239031</x:v>
      </x:c>
      <x:c r="G323" s="44" t="n">
        <x:v>64.5401894451962</x:v>
      </x:c>
      <x:c r="H323" s="44" t="n">
        <x:v>6523.52729065384</x:v>
      </x:c>
      <x:c r="I323" s="44" t="n">
        <x:v>8661</x:v>
      </x:c>
      <x:c r="J323" s="44" t="n">
        <x:v>1712</x:v>
      </x:c>
      <x:c r="K323" s="44" t="n">
        <x:v>66.48705305387281</x:v>
      </x:c>
      <x:c r="L323" s="44" t="n">
        <x:v>14.566394901482504</x:v>
      </x:c>
    </x:row>
    <x:row r="324" ht="15" hidden="0" customHeight="1">
      <x:c r="A324" s="27" t="str">
        <x:v>30087</x:v>
      </x:c>
      <x:c r="B324" s="27" t="str">
        <x:v>SCA-10</x:v>
      </x:c>
      <x:c r="C324" s="43" t="n">
        <x:v>8253</x:v>
      </x:c>
      <x:c r="D324" s="43" t="n">
        <x:v>101.98122910576966</x:v>
      </x:c>
      <x:c r="E324" s="43" t="n">
        <x:v>1336.3068330656122</x:v>
      </x:c>
      <x:c r="F324" s="43" t="n">
        <x:v>49.95212534974819</x:v>
      </x:c>
      <x:c r="G324" s="43" t="n">
        <x:v>388.6494501420981</x:v>
      </x:c>
      <x:c r="H324" s="43" t="n">
        <x:v>6376.110362336772</x:v>
      </x:c>
      <x:c r="I324" s="43" t="n">
        <x:v>8253</x:v>
      </x:c>
      <x:c r="J324" s="43" t="n">
        <x:v>1365</x:v>
      </x:c>
      <x:c r="K324" s="43" t="n">
        <x:v>96.253903077784</x:v>
      </x:c>
      <x:c r="L324" s="43" t="n">
        <x:v>46.301777728035816</x:v>
      </x:c>
    </x:row>
    <x:row r="325" ht="15" hidden="0" customHeight="1">
      <x:c r="A325" s="29" t="str">
        <x:v>16077</x:v>
      </x:c>
      <x:c r="B325" s="29" t="str">
        <x:v>SCA-10</x:v>
      </x:c>
      <x:c r="C325" s="44" t="n">
        <x:v>8246</x:v>
      </x:c>
      <x:c r="D325" s="44" t="n">
        <x:v>92.6232432860583</x:v>
      </x:c>
      <x:c r="E325" s="44" t="n">
        <x:v>1306.931720376797</x:v>
      </x:c>
      <x:c r="F325" s="44" t="n">
        <x:v>53.48089865798944</x:v>
      </x:c>
      <x:c r="G325" s="44" t="n">
        <x:v>81.40307387208726</x:v>
      </x:c>
      <x:c r="H325" s="44" t="n">
        <x:v>6711.5610638070675</x:v>
      </x:c>
      <x:c r="I325" s="44" t="n">
        <x:v>8246</x:v>
      </x:c>
      <x:c r="J325" s="44" t="n">
        <x:v>1332</x:v>
      </x:c>
      <x:c r="K325" s="44" t="n">
        <x:v>91.64865359501452</x:v>
      </x:c>
      <x:c r="L325" s="44" t="n">
        <x:v>38.16775493702508</x:v>
      </x:c>
    </x:row>
    <x:row r="326" ht="15" hidden="0" customHeight="1">
      <x:c r="A326" s="27" t="str">
        <x:v>56043</x:v>
      </x:c>
      <x:c r="B326" s="27" t="str">
        <x:v>SCA-10</x:v>
      </x:c>
      <x:c r="C326" s="43" t="n">
        <x:v>7597</x:v>
      </x:c>
      <x:c r="D326" s="43" t="n">
        <x:v>77.97216814221233</x:v>
      </x:c>
      <x:c r="E326" s="43" t="n">
        <x:v>1026.9962713209043</x:v>
      </x:c>
      <x:c r="F326" s="43" t="n">
        <x:v>50.351255243416425</x:v>
      </x:c>
      <x:c r="G326" s="43" t="n">
        <x:v>125.44069813566044</x:v>
      </x:c>
      <x:c r="H326" s="43" t="n">
        <x:v>6316.239607157807</x:v>
      </x:c>
      <x:c r="I326" s="43" t="n">
        <x:v>7597</x:v>
      </x:c>
      <x:c r="J326" s="43" t="n">
        <x:v>1065</x:v>
      </x:c>
      <x:c r="K326" s="43" t="n">
        <x:v>85.53191208059107</x:v>
      </x:c>
      <x:c r="L326" s="43" t="n">
        <x:v>35.180656837174645</x:v>
      </x:c>
    </x:row>
    <x:row r="327" ht="15" hidden="0" customHeight="1">
      <x:c r="A327" s="29" t="str">
        <x:v>49001</x:v>
      </x:c>
      <x:c r="B327" s="29" t="str">
        <x:v>SCA-10</x:v>
      </x:c>
      <x:c r="C327" s="44" t="n">
        <x:v>7301</x:v>
      </x:c>
      <x:c r="D327" s="44" t="n">
        <x:v>69.1034385042774</x:v>
      </x:c>
      <x:c r="E327" s="44" t="n">
        <x:v>1280.4343749096688</x:v>
      </x:c>
      <x:c r="F327" s="44" t="n">
        <x:v>26.256930706349113</x:v>
      </x:c>
      <x:c r="G327" s="44" t="n">
        <x:v>92.35655441537794</x:v>
      </x:c>
      <x:c r="H327" s="44" t="n">
        <x:v>5832.848701464326</x:v>
      </x:c>
      <x:c r="I327" s="44" t="n">
        <x:v>7301</x:v>
      </x:c>
      <x:c r="J327" s="44" t="n">
        <x:v>1264</x:v>
      </x:c>
      <x:c r="K327" s="44" t="n">
        <x:v>42.008936922723635</x:v>
      </x:c>
      <x:c r="L327" s="44" t="n">
        <x:v>15.752006216374522</x:v>
      </x:c>
    </x:row>
    <x:row r="328" ht="15" hidden="0" customHeight="1">
      <x:c r="A328" s="27" t="str">
        <x:v>16029</x:v>
      </x:c>
      <x:c r="B328" s="27" t="str">
        <x:v>SCA-10</x:v>
      </x:c>
      <x:c r="C328" s="43" t="n">
        <x:v>7252</x:v>
      </x:c>
      <x:c r="D328" s="43" t="n">
        <x:v>73.60194384192991</x:v>
      </x:c>
      <x:c r="E328" s="43" t="n">
        <x:v>960.8413391721994</x:v>
      </x:c>
      <x:c r="F328" s="43" t="n">
        <x:v>47.03413498274794</x:v>
      </x:c>
      <x:c r="G328" s="43" t="n">
        <x:v>79.73371945189997</x:v>
      </x:c>
      <x:c r="H328" s="43" t="n">
        <x:v>6090.788862551222</x:v>
      </x:c>
      <x:c r="I328" s="43" t="n">
        <x:v>7252</x:v>
      </x:c>
      <x:c r="J328" s="43" t="n">
        <x:v>977</x:v>
      </x:c>
      <x:c r="K328" s="43" t="n">
        <x:v>80.60102302583621</x:v>
      </x:c>
      <x:c r="L328" s="43" t="n">
        <x:v>33.56688804308827</x:v>
      </x:c>
    </x:row>
    <x:row r="329" ht="15" hidden="0" customHeight="1">
      <x:c r="A329" s="29" t="str">
        <x:v>16007</x:v>
      </x:c>
      <x:c r="B329" s="29" t="str">
        <x:v>SCA-10</x:v>
      </x:c>
      <x:c r="C329" s="44" t="n">
        <x:v>6727</x:v>
      </x:c>
      <x:c r="D329" s="44" t="n">
        <x:v>68.88886241904889</x:v>
      </x:c>
      <x:c r="E329" s="44" t="n">
        <x:v>906.0482329743667</x:v>
      </x:c>
      <x:c r="F329" s="44" t="n">
        <x:v>43.62915416835982</x:v>
      </x:c>
      <x:c r="G329" s="44" t="n">
        <x:v>75.22372212953131</x:v>
      </x:c>
      <x:c r="H329" s="44" t="n">
        <x:v>5633.210028308694</x:v>
      </x:c>
      <x:c r="I329" s="44" t="n">
        <x:v>6727</x:v>
      </x:c>
      <x:c r="J329" s="44" t="n">
        <x:v>925</x:v>
      </x:c>
      <x:c r="K329" s="44" t="n">
        <x:v>74.76600688014344</x:v>
      </x:c>
      <x:c r="L329" s="44" t="n">
        <x:v>31.136852711783618</x:v>
      </x:c>
    </x:row>
    <x:row r="330" ht="15" hidden="0" customHeight="1">
      <x:c r="A330" s="27" t="str">
        <x:v>08103</x:v>
      </x:c>
      <x:c r="B330" s="27" t="str">
        <x:v>SCA-10</x:v>
      </x:c>
      <x:c r="C330" s="43" t="n">
        <x:v>6683</x:v>
      </x:c>
      <x:c r="D330" s="43" t="n">
        <x:v>60.45963095087909</x:v>
      </x:c>
      <x:c r="E330" s="43" t="n">
        <x:v>875.5866213292118</x:v>
      </x:c>
      <x:c r="F330" s="43" t="n">
        <x:v>37.000418785542394</x:v>
      </x:c>
      <x:c r="G330" s="43" t="n">
        <x:v>120.89335394126738</x:v>
      </x:c>
      <x:c r="H330" s="43" t="n">
        <x:v>5589.0599749931</x:v>
      </x:c>
      <x:c r="I330" s="43" t="n">
        <x:v>6683</x:v>
      </x:c>
      <x:c r="J330" s="43" t="n">
        <x:v>883</x:v>
      </x:c>
      <x:c r="K330" s="43" t="n">
        <x:v>60.977273847704325</x:v>
      </x:c>
      <x:c r="L330" s="43" t="n">
        <x:v>23.97685506216193</x:v>
      </x:c>
    </x:row>
    <x:row r="331" ht="15" hidden="0" customHeight="1">
      <x:c r="A331" s="29" t="str">
        <x:v>49017</x:v>
      </x:c>
      <x:c r="B331" s="29" t="str">
        <x:v>SCA-10</x:v>
      </x:c>
      <x:c r="C331" s="44" t="n">
        <x:v>5256</x:v>
      </x:c>
      <x:c r="D331" s="44" t="n">
        <x:v>38.42755064052267</x:v>
      </x:c>
      <x:c r="E331" s="44" t="n">
        <x:v>650.103829787234</x:v>
      </x:c>
      <x:c r="F331" s="44" t="n">
        <x:v>18.90240073860717</x:v>
      </x:c>
      <x:c r="G331" s="44" t="n">
        <x:v>20.907801418439714</x:v>
      </x:c>
      <x:c r="H331" s="44" t="n">
        <x:v>4527.658417415197</x:v>
      </x:c>
      <x:c r="I331" s="44" t="n">
        <x:v>5256</x:v>
      </x:c>
      <x:c r="J331" s="44" t="n">
        <x:v>654</x:v>
      </x:c>
      <x:c r="K331" s="44" t="n">
        <x:v>30.24229180466175</x:v>
      </x:c>
      <x:c r="L331" s="44" t="n">
        <x:v>11.33989106605458</x:v>
      </x:c>
    </x:row>
    <x:row r="332" ht="15" hidden="0" customHeight="1">
      <x:c r="A332" s="27" t="str">
        <x:v>16071</x:v>
      </x:c>
      <x:c r="B332" s="27" t="str">
        <x:v>SCA-10</x:v>
      </x:c>
      <x:c r="C332" s="43" t="n">
        <x:v>5085</x:v>
      </x:c>
      <x:c r="D332" s="43" t="n">
        <x:v>50.56481243442248</x:v>
      </x:c>
      <x:c r="E332" s="43" t="n">
        <x:v>648.6764282691494</x:v>
      </x:c>
      <x:c r="F332" s="43" t="n">
        <x:v>32.9796713165021</x:v>
      </x:c>
      <x:c r="G332" s="43" t="n">
        <x:v>46.82437579348286</x:v>
      </x:c>
      <x:c r="H332" s="43" t="n">
        <x:v>4305.9547121864425</x:v>
      </x:c>
      <x:c r="I332" s="43" t="n">
        <x:v>5085</x:v>
      </x:c>
      <x:c r="J332" s="43" t="n">
        <x:v>628</x:v>
      </x:c>
      <x:c r="K332" s="43" t="n">
        <x:v>56.51629923971002</x:v>
      </x:c>
      <x:c r="L332" s="43" t="n">
        <x:v>23.536627923207924</x:v>
      </x:c>
    </x:row>
    <x:row r="333" ht="15" hidden="0" customHeight="1">
      <x:c r="A333" s="29" t="str">
        <x:v>56017</x:v>
      </x:c>
      <x:c r="B333" s="29" t="str">
        <x:v>SCA-10</x:v>
      </x:c>
      <x:c r="C333" s="44" t="n">
        <x:v>4600</x:v>
      </x:c>
      <x:c r="D333" s="44" t="n">
        <x:v>54.63118404479828</x:v>
      </x:c>
      <x:c r="E333" s="44" t="n">
        <x:v>799.9012780960775</x:v>
      </x:c>
      <x:c r="F333" s="44" t="n">
        <x:v>30.487794408281637</x:v>
      </x:c>
      <x:c r="G333" s="44" t="n">
        <x:v>67.14676068752755</x:v>
      </x:c>
      <x:c r="H333" s="44" t="n">
        <x:v>3647.8329827633147</x:v>
      </x:c>
      <x:c r="I333" s="44" t="n">
        <x:v>4600</x:v>
      </x:c>
      <x:c r="J333" s="44" t="n">
        <x:v>822</x:v>
      </x:c>
      <x:c r="K333" s="44" t="n">
        <x:v>51.789758532410026</x:v>
      </x:c>
      <x:c r="L333" s="44" t="n">
        <x:v>21.30196412412839</x:v>
      </x:c>
    </x:row>
    <x:row r="334" ht="15" hidden="0" customHeight="1">
      <x:c r="A334" s="27" t="str">
        <x:v>49033</x:v>
      </x:c>
      <x:c r="B334" s="27" t="str">
        <x:v>SCA-10</x:v>
      </x:c>
      <x:c r="C334" s="43" t="n">
        <x:v>2687</x:v>
      </x:c>
      <x:c r="D334" s="43" t="n">
        <x:v>22.0647035657989</x:v>
      </x:c>
      <x:c r="E334" s="43" t="n">
        <x:v>390.41915364086924</x:v>
      </x:c>
      <x:c r="F334" s="43" t="n">
        <x:v>9.663384852480492</x:v>
      </x:c>
      <x:c r="G334" s="43" t="n">
        <x:v>0</x:v>
      </x:c>
      <x:c r="H334" s="43" t="n">
        <x:v>2264.8527579408515</x:v>
      </x:c>
      <x:c r="I334" s="43" t="n">
        <x:v>2687</x:v>
      </x:c>
      <x:c r="J334" s="43" t="n">
        <x:v>397</x:v>
      </x:c>
      <x:c r="K334" s="43" t="n">
        <x:v>15.460623683243174</x:v>
      </x:c>
      <x:c r="L334" s="43" t="n">
        <x:v>5.797238830762682</x:v>
      </x:c>
    </x:row>
    <x:row r="335" ht="15" hidden="0" customHeight="1">
      <x:c r="A335" s="29" t="str">
        <x:v>49055</x:v>
      </x:c>
      <x:c r="B335" s="29" t="str">
        <x:v>SCA-10</x:v>
      </x:c>
      <x:c r="C335" s="44" t="n">
        <x:v>2587</x:v>
      </x:c>
      <x:c r="D335" s="44" t="n">
        <x:v>18.224569190731053</x:v>
      </x:c>
      <x:c r="E335" s="44" t="n">
        <x:v>303.4339610894941</x:v>
      </x:c>
      <x:c r="F335" s="44" t="n">
        <x:v>9.303750135231496</x:v>
      </x:c>
      <x:c r="G335" s="44" t="n">
        <x:v>23.701167315175095</x:v>
      </x:c>
      <x:c r="H335" s="44" t="n">
        <x:v>2232.336552269368</x:v>
      </x:c>
      <x:c r="I335" s="44" t="n">
        <x:v>2587</x:v>
      </x:c>
      <x:c r="J335" s="44" t="n">
        <x:v>314</x:v>
      </x:c>
      <x:c r="K335" s="44" t="n">
        <x:v>14.885237613900294</x:v>
      </x:c>
      <x:c r="L335" s="44" t="n">
        <x:v>5.581487478668797</x:v>
      </x:c>
    </x:row>
    <x:row r="336" ht="15" hidden="0" customHeight="1">
      <x:c r="A336" s="27" t="str">
        <x:v>49031</x:v>
      </x:c>
      <x:c r="B336" s="27" t="str">
        <x:v>SCA-10</x:v>
      </x:c>
      <x:c r="C336" s="43" t="n">
        <x:v>1509</x:v>
      </x:c>
      <x:c r="D336" s="43" t="n">
        <x:v>17.251169472656766</x:v>
      </x:c>
      <x:c r="E336" s="43" t="n">
        <x:v>335.8915576694411</x:v>
      </x:c>
      <x:c r="F336" s="43" t="n">
        <x:v>5.426887883287333</x:v>
      </x:c>
      <x:c r="G336" s="43" t="n">
        <x:v>19.971462544589777</x:v>
      </x:c>
      <x:c r="H336" s="43" t="n">
        <x:v>1130.458922430025</x:v>
      </x:c>
      <x:c r="I336" s="43" t="n">
        <x:v>1509</x:v>
      </x:c>
      <x:c r="J336" s="43" t="n">
        <x:v>390</x:v>
      </x:c>
      <x:c r="K336" s="43" t="n">
        <x:v>8.682575786384053</x:v>
      </x:c>
      <x:c r="L336" s="43" t="n">
        <x:v>3.25568790309672</x:v>
      </x:c>
    </x:row>
    <x:row r="337" ht="15" hidden="0" customHeight="1">
      <x:c r="A337" s="29" t="str">
        <x:v>49009</x:v>
      </x:c>
      <x:c r="B337" s="29" t="str">
        <x:v>SCA-10</x:v>
      </x:c>
      <x:c r="C337" s="44" t="n">
        <x:v>934</x:v>
      </x:c>
      <x:c r="D337" s="44" t="n">
        <x:v>8.000973982148043</x:v>
      </x:c>
      <x:c r="E337" s="44" t="n">
        <x:v>143.66055248618784</x:v>
      </x:c>
      <x:c r="F337" s="44" t="n">
        <x:v>3.3589882591056117</x:v>
      </x:c>
      <x:c r="G337" s="44" t="n">
        <x:v>0</x:v>
      </x:c>
      <x:c r="H337" s="44" t="n">
        <x:v>778.9794852725585</x:v>
      </x:c>
      <x:c r="I337" s="44" t="n">
        <x:v>934</x:v>
      </x:c>
      <x:c r="J337" s="44" t="n">
        <x:v>116</x:v>
      </x:c>
      <x:c r="K337" s="44" t="n">
        <x:v>5.374105887662495</x:v>
      </x:c>
      <x:c r="L337" s="44" t="n">
        <x:v>2.015117628556883</x:v>
      </x:c>
    </x:row>
    <x:row r="338" ht="15" hidden="0" customHeight="1">
      <x:c r="A338" s="27" t="str">
        <x:v>30103</x:v>
      </x:c>
      <x:c r="B338" s="27" t="str">
        <x:v>SCA-10</x:v>
      </x:c>
      <x:c r="C338" s="43" t="n">
        <x:v>728</x:v>
      </x:c>
      <x:c r="D338" s="43" t="n">
        <x:v>7.2270281553784015</x:v>
      </x:c>
      <x:c r="E338" s="43" t="n">
        <x:v>75.4255737704918</x:v>
      </x:c>
      <x:c r="F338" s="43" t="n">
        <x:v>4.406294348069391</x:v>
      </x:c>
      <x:c r="G338" s="43" t="n">
        <x:v>44.60382513661203</x:v>
      </x:c>
      <x:c r="H338" s="43" t="n">
        <x:v>596.3372785894484</x:v>
      </x:c>
      <x:c r="I338" s="43" t="n">
        <x:v>728</x:v>
      </x:c>
      <x:c r="J338" s="43" t="n">
        <x:v>79</x:v>
      </x:c>
      <x:c r="K338" s="43" t="n">
        <x:v>8.490590263010633</x:v>
      </x:c>
      <x:c r="L338" s="43" t="n">
        <x:v>4.084295914941242</x:v>
      </x:c>
    </x:row>
    <x:row r="339" ht="15" hidden="0" customHeight="1">
      <x:c r="A339" s="29" t="str">
        <x:v>48141</x:v>
      </x:c>
      <x:c r="B339" s="29" t="str">
        <x:v>SCA-11</x:v>
      </x:c>
      <x:c r="C339" s="44" t="n">
        <x:v>877858</x:v>
      </x:c>
      <x:c r="D339" s="44" t="n">
        <x:v>7923.487872267879</x:v>
      </x:c>
      <x:c r="E339" s="44" t="n">
        <x:v>116218.79123431993</x:v>
      </x:c>
      <x:c r="F339" s="44" t="n">
        <x:v>7572.218587561907</x:v>
      </x:c>
      <x:c r="G339" s="44" t="n">
        <x:v>28160.75553835696</x:v>
      </x:c>
      <x:c r="H339" s="44" t="n">
        <x:v>717982.7467674933</x:v>
      </x:c>
      <x:c r="I339" s="44" t="n">
        <x:v>877858</x:v>
      </x:c>
      <x:c r="J339" s="44" t="n">
        <x:v>116445</x:v>
      </x:c>
      <x:c r="K339" s="44" t="n">
        <x:v>10653.256825066455</x:v>
      </x:c>
      <x:c r="L339" s="44" t="n">
        <x:v>3081.0382375045483</x:v>
      </x:c>
    </x:row>
    <x:row r="340" ht="15" hidden="0" customHeight="1">
      <x:c r="A340" s="27" t="str">
        <x:v>35001</x:v>
      </x:c>
      <x:c r="B340" s="27" t="str">
        <x:v>SCA-11</x:v>
      </x:c>
      <x:c r="C340" s="43" t="n">
        <x:v>667601</x:v>
      </x:c>
      <x:c r="D340" s="43" t="n">
        <x:v>6139.474299853126</x:v>
      </x:c>
      <x:c r="E340" s="43" t="n">
        <x:v>101016.21146262901</x:v>
      </x:c>
      <x:c r="F340" s="43" t="n">
        <x:v>5038.2283947240085</x:v>
      </x:c>
      <x:c r="G340" s="43" t="n">
        <x:v>21551.949647185666</x:v>
      </x:c>
      <x:c r="H340" s="43" t="n">
        <x:v>533855.1361956082</x:v>
      </x:c>
      <x:c r="I340" s="43" t="n">
        <x:v>667601</x:v>
      </x:c>
      <x:c r="J340" s="43" t="n">
        <x:v>104962</x:v>
      </x:c>
      <x:c r="K340" s="43" t="n">
        <x:v>6968.693883634258</x:v>
      </x:c>
      <x:c r="L340" s="43" t="n">
        <x:v>1930.4654889102492</x:v>
      </x:c>
    </x:row>
    <x:row r="341" ht="15" hidden="0" customHeight="1">
      <x:c r="A341" s="29" t="str">
        <x:v>48303</x:v>
      </x:c>
      <x:c r="B341" s="29" t="str">
        <x:v>SCA-11</x:v>
      </x:c>
      <x:c r="C341" s="44" t="n">
        <x:v>328906</x:v>
      </x:c>
      <x:c r="D341" s="44" t="n">
        <x:v>2942.5282233548273</x:v>
      </x:c>
      <x:c r="E341" s="44" t="n">
        <x:v>42915.824068671274</x:v>
      </x:c>
      <x:c r="F341" s="44" t="n">
        <x:v>2837.0740219496056</x:v>
      </x:c>
      <x:c r="G341" s="44" t="n">
        <x:v>10435.5279454295</x:v>
      </x:c>
      <x:c r="H341" s="44" t="n">
        <x:v>269775.0457405948</x:v>
      </x:c>
      <x:c r="I341" s="44" t="n">
        <x:v>328906</x:v>
      </x:c>
      <x:c r="J341" s="44" t="n">
        <x:v>42720</x:v>
      </x:c>
      <x:c r="K341" s="44" t="n">
        <x:v>3991.4429091097963</x:v>
      </x:c>
      <x:c r="L341" s="44" t="n">
        <x:v>1154.368887160191</x:v>
      </x:c>
    </x:row>
    <x:row r="342" ht="15" hidden="0" customHeight="1">
      <x:c r="A342" s="27" t="str">
        <x:v>35013</x:v>
      </x:c>
      <x:c r="B342" s="27" t="str">
        <x:v>SCA-11</x:v>
      </x:c>
      <x:c r="C342" s="43" t="n">
        <x:v>229091</x:v>
      </x:c>
      <x:c r="D342" s="43" t="n">
        <x:v>1993.9023660043074</x:v>
      </x:c>
      <x:c r="E342" s="43" t="n">
        <x:v>31954.857256124076</x:v>
      </x:c>
      <x:c r="F342" s="43" t="n">
        <x:v>1728.8961238460067</x:v>
      </x:c>
      <x:c r="G342" s="43" t="n">
        <x:v>7118.818574249892</x:v>
      </x:c>
      <x:c r="H342" s="43" t="n">
        <x:v>186294.52567977572</x:v>
      </x:c>
      <x:c r="I342" s="43" t="n">
        <x:v>229091</x:v>
      </x:c>
      <x:c r="J342" s="43" t="n">
        <x:v>32077</x:v>
      </x:c>
      <x:c r="K342" s="43" t="n">
        <x:v>2391.3461041784776</x:v>
      </x:c>
      <x:c r="L342" s="43" t="n">
        <x:v>662.4499803324709</x:v>
      </x:c>
    </x:row>
    <x:row r="343" ht="15" hidden="0" customHeight="1">
      <x:c r="A343" s="29" t="str">
        <x:v>48329</x:v>
      </x:c>
      <x:c r="B343" s="29" t="str">
        <x:v>SCA-11</x:v>
      </x:c>
      <x:c r="C343" s="44" t="n">
        <x:v>187855</x:v>
      </x:c>
      <x:c r="D343" s="44" t="n">
        <x:v>1495.9444050772922</x:v>
      </x:c>
      <x:c r="E343" s="44" t="n">
        <x:v>20079.01028492329</x:v>
      </x:c>
      <x:c r="F343" s="44" t="n">
        <x:v>1620.3977440160506</x:v>
      </x:c>
      <x:c r="G343" s="44" t="n">
        <x:v>4133.161125850733</x:v>
      </x:c>
      <x:c r="H343" s="44" t="n">
        <x:v>160526.48644013263</x:v>
      </x:c>
      <x:c r="I343" s="44" t="n">
        <x:v>187855</x:v>
      </x:c>
      <x:c r="J343" s="44" t="n">
        <x:v>19304</x:v>
      </x:c>
      <x:c r="K343" s="44" t="n">
        <x:v>2279.716720554872</x:v>
      </x:c>
      <x:c r="L343" s="44" t="n">
        <x:v>659.3189765388216</x:v>
      </x:c>
    </x:row>
    <x:row r="344" ht="15" hidden="0" customHeight="1">
      <x:c r="A344" s="27" t="str">
        <x:v>48135</x:v>
      </x:c>
      <x:c r="B344" s="27" t="str">
        <x:v>SCA-11</x:v>
      </x:c>
      <x:c r="C344" s="43" t="n">
        <x:v>173801</x:v>
      </x:c>
      <x:c r="D344" s="43" t="n">
        <x:v>1370.5000933680458</x:v>
      </x:c>
      <x:c r="E344" s="43" t="n">
        <x:v>18252.162265351104</x:v>
      </x:c>
      <x:c r="F344" s="43" t="n">
        <x:v>1499.1708940817844</x:v>
      </x:c>
      <x:c r="G344" s="43" t="n">
        <x:v>6177.693211191679</x:v>
      </x:c>
      <x:c r="H344" s="43" t="n">
        <x:v>146501.4735360074</x:v>
      </x:c>
      <x:c r="I344" s="43" t="n">
        <x:v>173801</x:v>
      </x:c>
      <x:c r="J344" s="43" t="n">
        <x:v>17817</x:v>
      </x:c>
      <x:c r="K344" s="43" t="n">
        <x:v>2109.164226393534</x:v>
      </x:c>
      <x:c r="L344" s="43" t="n">
        <x:v>609.9933323117497</x:v>
      </x:c>
    </x:row>
    <x:row r="345" ht="15" hidden="0" customHeight="1">
      <x:c r="A345" s="29" t="str">
        <x:v>35049</x:v>
      </x:c>
      <x:c r="B345" s="29" t="str">
        <x:v>SCA-11</x:v>
      </x:c>
      <x:c r="C345" s="44" t="n">
        <x:v>156907</x:v>
      </x:c>
      <x:c r="D345" s="44" t="n">
        <x:v>1414.454077845698</x:v>
      </x:c>
      <x:c r="E345" s="44" t="n">
        <x:v>23057.631430345686</x:v>
      </x:c>
      <x:c r="F345" s="44" t="n">
        <x:v>1184.140381351975</x:v>
      </x:c>
      <x:c r="G345" s="44" t="n">
        <x:v>3498.228265369489</x:v>
      </x:c>
      <x:c r="H345" s="44" t="n">
        <x:v>127752.54584508715</x:v>
      </x:c>
      <x:c r="I345" s="44" t="n">
        <x:v>156907</x:v>
      </x:c>
      <x:c r="J345" s="44" t="n">
        <x:v>23664</x:v>
      </x:c>
      <x:c r="K345" s="44" t="n">
        <x:v>1637.859816266603</x:v>
      </x:c>
      <x:c r="L345" s="44" t="n">
        <x:v>453.71943491462787</x:v>
      </x:c>
    </x:row>
    <x:row r="346" ht="15" hidden="0" customHeight="1">
      <x:c r="A346" s="27" t="str">
        <x:v>35061</x:v>
      </x:c>
      <x:c r="B346" s="27" t="str">
        <x:v>SCA-11</x:v>
      </x:c>
      <x:c r="C346" s="43" t="n">
        <x:v>82013</x:v>
      </x:c>
      <x:c r="D346" s="43" t="n">
        <x:v>899.8968083156532</x:v>
      </x:c>
      <x:c r="E346" s="43" t="n">
        <x:v>15905.862680960949</x:v>
      </x:c>
      <x:c r="F346" s="43" t="n">
        <x:v>618.9329035404382</x:v>
      </x:c>
      <x:c r="G346" s="43" t="n">
        <x:v>1167.0396744659206</x:v>
      </x:c>
      <x:c r="H346" s="43" t="n">
        <x:v>63421.26793271704</x:v>
      </x:c>
      <x:c r="I346" s="43" t="n">
        <x:v>82013</x:v>
      </x:c>
      <x:c r="J346" s="43" t="n">
        <x:v>15490</x:v>
      </x:c>
      <x:c r="K346" s="43" t="n">
        <x:v>856.0854334827186</x:v>
      </x:c>
      <x:c r="L346" s="43" t="n">
        <x:v>237.1525299422803</x:v>
      </x:c>
    </x:row>
    <x:row r="347" ht="15" hidden="0" customHeight="1">
      <x:c r="A347" s="29" t="str">
        <x:v>35025</x:v>
      </x:c>
      <x:c r="B347" s="29" t="str">
        <x:v>SCA-11</x:v>
      </x:c>
      <x:c r="C347" s="44" t="n">
        <x:v>74749</x:v>
      </x:c>
      <x:c r="D347" s="44" t="n">
        <x:v>626.9045190249628</x:v>
      </x:c>
      <x:c r="E347" s="44" t="n">
        <x:v>9858.165663923164</x:v>
      </x:c>
      <x:c r="F347" s="44" t="n">
        <x:v>564.1131967705635</x:v>
      </x:c>
      <x:c r="G347" s="44" t="n">
        <x:v>1415.1301961165318</x:v>
      </x:c>
      <x:c r="H347" s="44" t="n">
        <x:v>62284.68642416478</x:v>
      </x:c>
      <x:c r="I347" s="44" t="n">
        <x:v>74749</x:v>
      </x:c>
      <x:c r="J347" s="44" t="n">
        <x:v>9898</x:v>
      </x:c>
      <x:c r="K347" s="44" t="n">
        <x:v>780.2608131320611</x:v>
      </x:c>
      <x:c r="L347" s="44" t="n">
        <x:v>216.14761636149768</x:v>
      </x:c>
    </x:row>
    <x:row r="348" ht="15" hidden="0" customHeight="1">
      <x:c r="A348" s="27" t="str">
        <x:v>35035</x:v>
      </x:c>
      <x:c r="B348" s="27" t="str">
        <x:v>SCA-11</x:v>
      </x:c>
      <x:c r="C348" s="43" t="n">
        <x:v>70368</x:v>
      </x:c>
      <x:c r="D348" s="43" t="n">
        <x:v>762.5495585095119</x:v>
      </x:c>
      <x:c r="E348" s="43" t="n">
        <x:v>13417.685795684749</x:v>
      </x:c>
      <x:c r="F348" s="43" t="n">
        <x:v>531.0508158015627</x:v>
      </x:c>
      <x:c r="G348" s="43" t="n">
        <x:v>1475.3336763239975</x:v>
      </x:c>
      <x:c r="H348" s="43" t="n">
        <x:v>54181.38015368018</x:v>
      </x:c>
      <x:c r="I348" s="43" t="n">
        <x:v>70368</x:v>
      </x:c>
      <x:c r="J348" s="43" t="n">
        <x:v>12354</x:v>
      </x:c>
      <x:c r="K348" s="43" t="n">
        <x:v>734.5301328242101</x:v>
      </x:c>
      <x:c r="L348" s="43" t="n">
        <x:v>203.47931702264736</x:v>
      </x:c>
    </x:row>
    <x:row r="349" ht="15" hidden="0" customHeight="1">
      <x:c r="A349" s="29" t="str">
        <x:v>35031</x:v>
      </x:c>
      <x:c r="B349" s="29" t="str">
        <x:v>SCA-11</x:v>
      </x:c>
      <x:c r="C349" s="44" t="n">
        <x:v>68119</x:v>
      </x:c>
      <x:c r="D349" s="44" t="n">
        <x:v>646.1337111731623</x:v>
      </x:c>
      <x:c r="E349" s="44" t="n">
        <x:v>10779.784922089826</x:v>
      </x:c>
      <x:c r="F349" s="44" t="n">
        <x:v>514.0781395177729</x:v>
      </x:c>
      <x:c r="G349" s="44" t="n">
        <x:v>3689.3058976856096</x:v>
      </x:c>
      <x:c r="H349" s="44" t="n">
        <x:v>52489.69732953363</x:v>
      </x:c>
      <x:c r="I349" s="44" t="n">
        <x:v>68119</x:v>
      </x:c>
      <x:c r="J349" s="44" t="n">
        <x:v>11510</x:v>
      </x:c>
      <x:c r="K349" s="44" t="n">
        <x:v>711.0541456038592</x:v>
      </x:c>
      <x:c r="L349" s="44" t="n">
        <x:v>196.97600608608624</x:v>
      </x:c>
    </x:row>
    <x:row r="350" ht="15" hidden="0" customHeight="1">
      <x:c r="A350" s="27" t="str">
        <x:v>35005</x:v>
      </x:c>
      <x:c r="B350" s="27" t="str">
        <x:v>SCA-11</x:v>
      </x:c>
      <x:c r="C350" s="43" t="n">
        <x:v>63364</x:v>
      </x:c>
      <x:c r="D350" s="43" t="n">
        <x:v>679.9563315675373</x:v>
      </x:c>
      <x:c r="E350" s="43" t="n">
        <x:v>11921.522406521635</x:v>
      </x:c>
      <x:c r="F350" s="43" t="n">
        <x:v>478.1932681396405</x:v>
      </x:c>
      <x:c r="G350" s="43" t="n">
        <x:v>1376.8794991180537</x:v>
      </x:c>
      <x:c r="H350" s="43" t="n">
        <x:v>48907.44849465313</x:v>
      </x:c>
      <x:c r="I350" s="43" t="n">
        <x:v>63364</x:v>
      </x:c>
      <x:c r="J350" s="43" t="n">
        <x:v>12333</x:v>
      </x:c>
      <x:c r="K350" s="43" t="n">
        <x:v>661.419499435443</x:v>
      </x:c>
      <x:c r="L350" s="43" t="n">
        <x:v>183.22623129580248</x:v>
      </x:c>
    </x:row>
    <x:row r="351" ht="15" hidden="0" customHeight="1">
      <x:c r="A351" s="29" t="str">
        <x:v>35015</x:v>
      </x:c>
      <x:c r="B351" s="29" t="str">
        <x:v>SCA-11</x:v>
      </x:c>
      <x:c r="C351" s="44" t="n">
        <x:v>62509</x:v>
      </x:c>
      <x:c r="D351" s="44" t="n">
        <x:v>599.9424619132537</x:v>
      </x:c>
      <x:c r="E351" s="44" t="n">
        <x:v>10060.526102368067</x:v>
      </x:c>
      <x:c r="F351" s="44" t="n">
        <x:v>471.74078338079636</x:v>
      </x:c>
      <x:c r="G351" s="44" t="n">
        <x:v>1802.4511244601101</x:v>
      </x:c>
      <x:c r="H351" s="44" t="n">
        <x:v>49574.339527877775</x:v>
      </x:c>
      <x:c r="I351" s="44" t="n">
        <x:v>62509</x:v>
      </x:c>
      <x:c r="J351" s="44" t="n">
        <x:v>10131</x:v>
      </x:c>
      <x:c r="K351" s="44" t="n">
        <x:v>652.4946576953806</x:v>
      </x:c>
      <x:c r="L351" s="44" t="n">
        <x:v>180.75387431458427</x:v>
      </x:c>
    </x:row>
    <x:row r="352" ht="15" hidden="0" customHeight="1">
      <x:c r="A352" s="27" t="str">
        <x:v>35009</x:v>
      </x:c>
      <x:c r="B352" s="27" t="str">
        <x:v>SCA-11</x:v>
      </x:c>
      <x:c r="C352" s="43" t="n">
        <x:v>46655</x:v>
      </x:c>
      <x:c r="D352" s="43" t="n">
        <x:v>466.773796706842</x:v>
      </x:c>
      <x:c r="E352" s="43" t="n">
        <x:v>7964.7377186137255</x:v>
      </x:c>
      <x:c r="F352" s="43" t="n">
        <x:v>352.09435839048865</x:v>
      </x:c>
      <x:c r="G352" s="43" t="n">
        <x:v>1707.6496212990587</x:v>
      </x:c>
      <x:c r="H352" s="43" t="n">
        <x:v>36163.74450498988</x:v>
      </x:c>
      <x:c r="I352" s="43" t="n">
        <x:v>46655</x:v>
      </x:c>
      <x:c r="J352" s="43" t="n">
        <x:v>7748</x:v>
      </x:c>
      <x:c r="K352" s="43" t="n">
        <x:v>487.0040834884254</x:v>
      </x:c>
      <x:c r="L352" s="43" t="n">
        <x:v>134.90972509793676</x:v>
      </x:c>
    </x:row>
    <x:row r="353" ht="15" hidden="0" customHeight="1">
      <x:c r="A353" s="29" t="str">
        <x:v>48189</x:v>
      </x:c>
      <x:c r="B353" s="29" t="str">
        <x:v>SCA-11</x:v>
      </x:c>
      <x:c r="C353" s="44" t="n">
        <x:v>31819</x:v>
      </x:c>
      <x:c r="D353" s="44" t="n">
        <x:v>303.16156261324016</x:v>
      </x:c>
      <x:c r="E353" s="44" t="n">
        <x:v>4595.656628385271</x:v>
      </x:c>
      <x:c r="F353" s="44" t="n">
        <x:v>274.4640058387944</x:v>
      </x:c>
      <x:c r="G353" s="44" t="n">
        <x:v>796.0291223798084</x:v>
      </x:c>
      <x:c r="H353" s="44" t="n">
        <x:v>25849.688680782885</x:v>
      </x:c>
      <x:c r="I353" s="44" t="n">
        <x:v>31819</x:v>
      </x:c>
      <x:c r="J353" s="44" t="n">
        <x:v>4572</x:v>
      </x:c>
      <x:c r="K353" s="44" t="n">
        <x:v>386.1398756026482</x:v>
      </x:c>
      <x:c r="L353" s="44" t="n">
        <x:v>111.67586976385385</x:v>
      </x:c>
    </x:row>
    <x:row r="354" ht="15" hidden="0" customHeight="1">
      <x:c r="A354" s="27" t="str">
        <x:v>35017</x:v>
      </x:c>
      <x:c r="B354" s="27" t="str">
        <x:v>SCA-11</x:v>
      </x:c>
      <x:c r="C354" s="43" t="n">
        <x:v>27252</x:v>
      </x:c>
      <x:c r="D354" s="43" t="n">
        <x:v>328.58320472642305</x:v>
      </x:c>
      <x:c r="E354" s="43" t="n">
        <x:v>5994.721897233201</x:v>
      </x:c>
      <x:c r="F354" s="43" t="n">
        <x:v>205.66446157662836</x:v>
      </x:c>
      <x:c r="G354" s="43" t="n">
        <x:v>390.0555555555556</x:v>
      </x:c>
      <x:c r="H354" s="43" t="n">
        <x:v>20332.97488090819</x:v>
      </x:c>
      <x:c r="I354" s="43" t="n">
        <x:v>27252</x:v>
      </x:c>
      <x:c r="J354" s="43" t="n">
        <x:v>6261</x:v>
      </x:c>
      <x:c r="K354" s="43" t="n">
        <x:v>284.46758725166796</x:v>
      </x:c>
      <x:c r="L354" s="43" t="n">
        <x:v>78.8031256750396</x:v>
      </x:c>
    </x:row>
    <x:row r="355" ht="15" hidden="0" customHeight="1">
      <x:c r="A355" s="29" t="str">
        <x:v>35006</x:v>
      </x:c>
      <x:c r="B355" s="29" t="str">
        <x:v>SCA-11</x:v>
      </x:c>
      <x:c r="C355" s="44" t="n">
        <x:v>26807</x:v>
      </x:c>
      <x:c r="D355" s="44" t="n">
        <x:v>311.32334322916336</x:v>
      </x:c>
      <x:c r="E355" s="44" t="n">
        <x:v>5611.367996222257</x:v>
      </x:c>
      <x:c r="F355" s="44" t="n">
        <x:v>202.30615079570958</x:v>
      </x:c>
      <x:c r="G355" s="44" t="n">
        <x:v>882.8253974500236</x:v>
      </x:c>
      <x:c r="H355" s="44" t="n">
        <x:v>19799.17711230285</x:v>
      </x:c>
      <x:c r="I355" s="44" t="n">
        <x:v>26807</x:v>
      </x:c>
      <x:c r="J355" s="44" t="n">
        <x:v>5541</x:v>
      </x:c>
      <x:c r="K355" s="44" t="n">
        <x:v>279.8224941822789</x:v>
      </x:c>
      <x:c r="L355" s="44" t="n">
        <x:v>77.51634338656929</x:v>
      </x:c>
    </x:row>
    <x:row r="356" ht="15" hidden="0" customHeight="1">
      <x:c r="A356" s="27" t="str">
        <x:v>35029</x:v>
      </x:c>
      <x:c r="B356" s="27" t="str">
        <x:v>SCA-11</x:v>
      </x:c>
      <x:c r="C356" s="43" t="n">
        <x:v>25407</x:v>
      </x:c>
      <x:c r="D356" s="43" t="n">
        <x:v>279.56312502775944</x:v>
      </x:c>
      <x:c r="E356" s="43" t="n">
        <x:v>4946.282051282051</x:v>
      </x:c>
      <x:c r="F356" s="43" t="n">
        <x:v>191.74067867596494</x:v>
      </x:c>
      <x:c r="G356" s="43" t="n">
        <x:v>487.89031339031334</x:v>
      </x:c>
      <x:c r="H356" s="43" t="n">
        <x:v>19501.523831623912</x:v>
      </x:c>
      <x:c r="I356" s="43" t="n">
        <x:v>25407</x:v>
      </x:c>
      <x:c r="J356" s="43" t="n">
        <x:v>5125</x:v>
      </x:c>
      <x:c r="K356" s="43" t="n">
        <x:v>265.20871823363893</x:v>
      </x:c>
      <x:c r="L356" s="43" t="n">
        <x:v>73.46803955767398</x:v>
      </x:c>
    </x:row>
    <x:row r="357" ht="15" hidden="0" customHeight="1">
      <x:c r="A357" s="29" t="str">
        <x:v>48165</x:v>
      </x:c>
      <x:c r="B357" s="29" t="str">
        <x:v>SCA-11</x:v>
      </x:c>
      <x:c r="C357" s="44" t="n">
        <x:v>23956</x:v>
      </x:c>
      <x:c r="D357" s="44" t="n">
        <x:v>192.00430306267717</x:v>
      </x:c>
      <x:c r="E357" s="44" t="n">
        <x:v>2590.2092081499295</x:v>
      </x:c>
      <x:c r="F357" s="44" t="n">
        <x:v>206.6394205938011</x:v>
      </x:c>
      <x:c r="G357" s="44" t="n">
        <x:v>584.7776466851204</x:v>
      </x:c>
      <x:c r="H357" s="44" t="n">
        <x:v>20382.369421508472</x:v>
      </x:c>
      <x:c r="I357" s="44" t="n">
        <x:v>23956</x:v>
      </x:c>
      <x:c r="J357" s="44" t="n">
        <x:v>2482</x:v>
      </x:c>
      <x:c r="K357" s="44" t="n">
        <x:v>290.71833998356453</x:v>
      </x:c>
      <x:c r="L357" s="44" t="n">
        <x:v>84.07891938976344</x:v>
      </x:c>
    </x:row>
    <x:row r="358" ht="15" hidden="0" customHeight="1">
      <x:c r="A358" s="27" t="str">
        <x:v>48219</x:v>
      </x:c>
      <x:c r="B358" s="27" t="str">
        <x:v>SCA-11</x:v>
      </x:c>
      <x:c r="C358" s="43" t="n">
        <x:v>21600</x:v>
      </x:c>
      <x:c r="D358" s="43" t="n">
        <x:v>212.46307369814528</x:v>
      </x:c>
      <x:c r="E358" s="43" t="n">
        <x:v>3279.6734693877556</x:v>
      </x:c>
      <x:c r="F358" s="43" t="n">
        <x:v>186.3170598107407</x:v>
      </x:c>
      <x:c r="G358" s="43" t="n">
        <x:v>401.13520408163265</x:v>
      </x:c>
      <x:c r="H358" s="43" t="n">
        <x:v>17520.411193021726</x:v>
      </x:c>
      <x:c r="I358" s="43" t="n">
        <x:v>21600</x:v>
      </x:c>
      <x:c r="J358" s="43" t="n">
        <x:v>3348</x:v>
      </x:c>
      <x:c r="K358" s="43" t="n">
        <x:v>262.12707228439615</x:v>
      </x:c>
      <x:c r="L358" s="43" t="n">
        <x:v>75.81001247365546</x:v>
      </x:c>
    </x:row>
    <x:row r="359" ht="15" hidden="0" customHeight="1">
      <x:c r="A359" s="29" t="str">
        <x:v>35027</x:v>
      </x:c>
      <x:c r="B359" s="29" t="str">
        <x:v>SCA-11</x:v>
      </x:c>
      <x:c r="C359" s="44" t="n">
        <x:v>19844</x:v>
      </x:c>
      <x:c r="D359" s="44" t="n">
        <x:v>236.10033335246067</x:v>
      </x:c>
      <x:c r="E359" s="44" t="n">
        <x:v>4289.244437363075</x:v>
      </x:c>
      <x:c r="F359" s="44" t="n">
        <x:v>149.75802053157983</x:v>
      </x:c>
      <x:c r="G359" s="44" t="n">
        <x:v>490.86471818362884</x:v>
      </x:c>
      <x:c r="H359" s="44" t="n">
        <x:v>14678.032490569258</x:v>
      </x:c>
      <x:c r="I359" s="44" t="n">
        <x:v>19844</x:v>
      </x:c>
      <x:c r="J359" s="44" t="n">
        <x:v>4522</x:v>
      </x:c>
      <x:c r="K359" s="44" t="n">
        <x:v>207.13983566057902</x:v>
      </x:c>
      <x:c r="L359" s="44" t="n">
        <x:v>57.381815128999186</x:v>
      </x:c>
    </x:row>
    <x:row r="360" ht="15" hidden="0" customHeight="1">
      <x:c r="A360" s="27" t="str">
        <x:v>48003</x:v>
      </x:c>
      <x:c r="B360" s="27" t="str">
        <x:v>SCA-11</x:v>
      </x:c>
      <x:c r="C360" s="43" t="n">
        <x:v>18914</x:v>
      </x:c>
      <x:c r="D360" s="43" t="n">
        <x:v>164.63424184063723</x:v>
      </x:c>
      <x:c r="E360" s="43" t="n">
        <x:v>2358.032275367827</x:v>
      </x:c>
      <x:c r="F360" s="43" t="n">
        <x:v>163.1481883916828</x:v>
      </x:c>
      <x:c r="G360" s="43" t="n">
        <x:v>467.2620120527716</x:v>
      </x:c>
      <x:c r="H360" s="43" t="n">
        <x:v>15760.923282347081</x:v>
      </x:c>
      <x:c r="I360" s="43" t="n">
        <x:v>18914</x:v>
      </x:c>
      <x:c r="J360" s="43" t="n">
        <x:v>2392</x:v>
      </x:c>
      <x:c r="K360" s="43" t="n">
        <x:v>229.53108542532726</x:v>
      </x:c>
      <x:c r="L360" s="43" t="n">
        <x:v>66.38289703364443</x:v>
      </x:c>
    </x:row>
    <x:row r="361" ht="15" hidden="0" customHeight="1">
      <x:c r="A361" s="29" t="str">
        <x:v>35041</x:v>
      </x:c>
      <x:c r="B361" s="29" t="str">
        <x:v>SCA-11</x:v>
      </x:c>
      <x:c r="C361" s="44" t="n">
        <x:v>18615</x:v>
      </x:c>
      <x:c r="D361" s="44" t="n">
        <x:v>201.62506417622166</x:v>
      </x:c>
      <x:c r="E361" s="44" t="n">
        <x:v>3547.129955516979</x:v>
      </x:c>
      <x:c r="F361" s="44" t="n">
        <x:v>140.48304536360405</x:v>
      </x:c>
      <x:c r="G361" s="44" t="n">
        <x:v>615.9589617012043</x:v>
      </x:c>
      <x:c r="H361" s="44" t="n">
        <x:v>14109.802973241991</x:v>
      </x:c>
      <x:c r="I361" s="44" t="n">
        <x:v>18615</x:v>
      </x:c>
      <x:c r="J361" s="44" t="n">
        <x:v>3659</x:v>
      </x:c>
      <x:c r="K361" s="44" t="n">
        <x:v>194.31102805995155</x:v>
      </x:c>
      <x:c r="L361" s="44" t="n">
        <x:v>53.8279826963475</x:v>
      </x:c>
    </x:row>
    <x:row r="362" ht="15" hidden="0" customHeight="1">
      <x:c r="A362" s="27" t="str">
        <x:v>35057</x:v>
      </x:c>
      <x:c r="B362" s="27" t="str">
        <x:v>SCA-11</x:v>
      </x:c>
      <x:c r="C362" s="43" t="n">
        <x:v>16100</x:v>
      </x:c>
      <x:c r="D362" s="43" t="n">
        <x:v>203.91447505647093</x:v>
      </x:c>
      <x:c r="E362" s="43" t="n">
        <x:v>3776.615544580192</x:v>
      </x:c>
      <x:c r="F362" s="43" t="n">
        <x:v>121.50292937706286</x:v>
      </x:c>
      <x:c r="G362" s="43" t="n">
        <x:v>273.54665973485834</x:v>
      </x:c>
      <x:c r="H362" s="43" t="n">
        <x:v>11724.420391251417</x:v>
      </x:c>
      <x:c r="I362" s="43" t="n">
        <x:v>16100</x:v>
      </x:c>
      <x:c r="J362" s="43" t="n">
        <x:v>3760</x:v>
      </x:c>
      <x:c r="K362" s="43" t="n">
        <x:v>168.0584234093591</x:v>
      </x:c>
      <x:c r="L362" s="43" t="n">
        <x:v>46.55549403229625</x:v>
      </x:c>
    </x:row>
    <x:row r="363" ht="15" hidden="0" customHeight="1">
      <x:c r="A363" s="29" t="str">
        <x:v>35053</x:v>
      </x:c>
      <x:c r="B363" s="29" t="str">
        <x:v>SCA-11</x:v>
      </x:c>
      <x:c r="C363" s="44" t="n">
        <x:v>15838</x:v>
      </x:c>
      <x:c r="D363" s="44" t="n">
        <x:v>222.0537293883031</x:v>
      </x:c>
      <x:c r="E363" s="44" t="n">
        <x:v>4230.140316027088</x:v>
      </x:c>
      <x:c r="F363" s="44" t="n">
        <x:v>119.52567673751065</x:v>
      </x:c>
      <x:c r="G363" s="44" t="n">
        <x:v>373.88374717832954</x:v>
      </x:c>
      <x:c r="H363" s="44" t="n">
        <x:v>10892.396530668768</x:v>
      </x:c>
      <x:c r="I363" s="44" t="n">
        <x:v>15838</x:v>
      </x:c>
      <x:c r="J363" s="44" t="n">
        <x:v>4437</x:v>
      </x:c>
      <x:c r="K363" s="44" t="n">
        <x:v>165.32355962468506</x:v>
      </x:c>
      <x:c r="L363" s="44" t="n">
        <x:v>45.79788288717442</x:v>
      </x:c>
    </x:row>
    <x:row r="364" ht="15" hidden="0" customHeight="1">
      <x:c r="A364" s="27" t="str">
        <x:v>48371</x:v>
      </x:c>
      <x:c r="B364" s="27" t="str">
        <x:v>SCA-11</x:v>
      </x:c>
      <x:c r="C364" s="43" t="n">
        <x:v>14560</x:v>
      </x:c>
      <x:c r="D364" s="43" t="n">
        <x:v>111.89906357303728</x:v>
      </x:c>
      <x:c r="E364" s="43" t="n">
        <x:v>1459.1399906235347</x:v>
      </x:c>
      <x:c r="F364" s="43" t="n">
        <x:v>125.59149957612891</x:v>
      </x:c>
      <x:c r="G364" s="43" t="n">
        <x:v>458.5516486951086</x:v>
      </x:c>
      <x:c r="H364" s="43" t="n">
        <x:v>12404.81779753219</x:v>
      </x:c>
      <x:c r="I364" s="43" t="n">
        <x:v>14560</x:v>
      </x:c>
      <x:c r="J364" s="43" t="n">
        <x:v>1336</x:v>
      </x:c>
      <x:c r="K364" s="43" t="n">
        <x:v>176.69306353985223</x:v>
      </x:c>
      <x:c r="L364" s="43" t="n">
        <x:v>51.101563963723315</x:v>
      </x:c>
    </x:row>
    <x:row r="365" ht="15" hidden="0" customHeight="1">
      <x:c r="A365" s="29" t="str">
        <x:v>48279</x:v>
      </x:c>
      <x:c r="B365" s="29" t="str">
        <x:v>SCA-11</x:v>
      </x:c>
      <x:c r="C365" s="44" t="n">
        <x:v>12579</x:v>
      </x:c>
      <x:c r="D365" s="44" t="n">
        <x:v>116.86554367400186</x:v>
      </x:c>
      <x:c r="E365" s="44" t="n">
        <x:v>1745.2017738359202</x:v>
      </x:c>
      <x:c r="F365" s="44" t="n">
        <x:v>108.5038099703383</x:v>
      </x:c>
      <x:c r="G365" s="44" t="n">
        <x:v>179.22303611023122</x:v>
      </x:c>
      <x:c r="H365" s="44" t="n">
        <x:v>10429.205836409508</x:v>
      </x:c>
      <x:c r="I365" s="44" t="n">
        <x:v>12579</x:v>
      </x:c>
      <x:c r="J365" s="44" t="n">
        <x:v>1825</x:v>
      </x:c>
      <x:c r="K365" s="44" t="n">
        <x:v>152.65261306784348</x:v>
      </x:c>
      <x:c r="L365" s="44" t="n">
        <x:v>44.14880309750519</x:v>
      </x:c>
    </x:row>
    <x:row r="366" ht="15" hidden="0" customHeight="1">
      <x:c r="A366" s="27" t="str">
        <x:v>48389</x:v>
      </x:c>
      <x:c r="B366" s="27" t="str">
        <x:v>SCA-11</x:v>
      </x:c>
      <x:c r="C366" s="43" t="n">
        <x:v>12138</x:v>
      </x:c>
      <x:c r="D366" s="43" t="n">
        <x:v>93.92931529147366</x:v>
      </x:c>
      <x:c r="E366" s="43" t="n">
        <x:v>1231.8791987673344</x:v>
      </x:c>
      <x:c r="F366" s="43" t="n">
        <x:v>104.69983666586899</x:v>
      </x:c>
      <x:c r="G366" s="43" t="n">
        <x:v>339.82708440335557</x:v>
      </x:c>
      <x:c r="H366" s="43" t="n">
        <x:v>10367.664564871968</x:v>
      </x:c>
      <x:c r="I366" s="43" t="n">
        <x:v>12138</x:v>
      </x:c>
      <x:c r="J366" s="43" t="n">
        <x:v>1235</x:v>
      </x:c>
      <x:c r="K366" s="43" t="n">
        <x:v>147.3008520087037</x:v>
      </x:c>
      <x:c r="L366" s="43" t="n">
        <x:v>42.60101534283472</x:v>
      </x:c>
    </x:row>
    <x:row r="367" ht="15" hidden="0" customHeight="1">
      <x:c r="A367" s="29" t="str">
        <x:v>48115</x:v>
      </x:c>
      <x:c r="B367" s="29" t="str">
        <x:v>SCA-11</x:v>
      </x:c>
      <x:c r="C367" s="44" t="n">
        <x:v>11776</x:v>
      </x:c>
      <x:c r="D367" s="44" t="n">
        <x:v>110.23079698198369</x:v>
      </x:c>
      <x:c r="E367" s="44" t="n">
        <x:v>1653.607231023423</x:v>
      </x:c>
      <x:c r="F367" s="44" t="n">
        <x:v>101.57730075607786</x:v>
      </x:c>
      <x:c r="G367" s="44" t="n">
        <x:v>181.84391097288363</x:v>
      </x:c>
      <x:c r="H367" s="44" t="n">
        <x:v>9728.740760265633</x:v>
      </x:c>
      <x:c r="I367" s="44" t="n">
        <x:v>11776</x:v>
      </x:c>
      <x:c r="J367" s="44" t="n">
        <x:v>1505</x:v>
      </x:c>
      <x:c r="K367" s="44" t="n">
        <x:v>142.90779644541894</x:v>
      </x:c>
      <x:c r="L367" s="44" t="n">
        <x:v>41.330495689341056</x:v>
      </x:c>
    </x:row>
    <x:row r="368" ht="15" hidden="0" customHeight="1">
      <x:c r="A368" s="27" t="str">
        <x:v>48445</x:v>
      </x:c>
      <x:c r="B368" s="27" t="str">
        <x:v>SCA-11</x:v>
      </x:c>
      <x:c r="C368" s="43" t="n">
        <x:v>11720</x:v>
      </x:c>
      <x:c r="D368" s="43" t="n">
        <x:v>113.47538240521806</x:v>
      </x:c>
      <x:c r="E368" s="43" t="n">
        <x:v>1736.194348623853</x:v>
      </x:c>
      <x:c r="F368" s="43" t="n">
        <x:v>101.09425652693893</x:v>
      </x:c>
      <x:c r="G368" s="43" t="n">
        <x:v>238.48403669724772</x:v>
      </x:c>
      <x:c r="H368" s="43" t="n">
        <x:v>9530.751975746742</x:v>
      </x:c>
      <x:c r="I368" s="43" t="n">
        <x:v>11720</x:v>
      </x:c>
      <x:c r="J368" s="43" t="n">
        <x:v>1682</x:v>
      </x:c>
      <x:c r="K368" s="43" t="n">
        <x:v>142.22820773949644</x:v>
      </x:c>
      <x:c r="L368" s="43" t="n">
        <x:v>41.133951212557506</x:v>
      </x:c>
    </x:row>
    <x:row r="369" ht="15" hidden="0" customHeight="1">
      <x:c r="A369" s="29" t="str">
        <x:v>35051</x:v>
      </x:c>
      <x:c r="B369" s="29" t="str">
        <x:v>SCA-11</x:v>
      </x:c>
      <x:c r="C369" s="44" t="n">
        <x:v>11395</x:v>
      </x:c>
      <x:c r="D369" s="44" t="n">
        <x:v>177.0317482018747</x:v>
      </x:c>
      <x:c r="E369" s="44" t="n">
        <x:v>3457.9547203262114</x:v>
      </x:c>
      <x:c r="F369" s="44" t="n">
        <x:v>85.9953962889212</x:v>
      </x:c>
      <x:c r="G369" s="44" t="n">
        <x:v>283.13181455544725</x:v>
      </x:c>
      <x:c r="H369" s="44" t="n">
        <x:v>7390.886320627546</x:v>
      </x:c>
      <x:c r="I369" s="44" t="n">
        <x:v>11395</x:v>
      </x:c>
      <x:c r="J369" s="44" t="n">
        <x:v>3566</x:v>
      </x:c>
      <x:c r="K369" s="44" t="n">
        <x:v>118.94569781053708</x:v>
      </x:c>
      <x:c r="L369" s="44" t="n">
        <x:v>32.95030152161589</x:v>
      </x:c>
    </x:row>
    <x:row r="370" ht="15" hidden="0" customHeight="1">
      <x:c r="A370" s="27" t="str">
        <x:v>48475</x:v>
      </x:c>
      <x:c r="B370" s="27" t="str">
        <x:v>SCA-11</x:v>
      </x:c>
      <x:c r="C370" s="43" t="n">
        <x:v>11125</x:v>
      </x:c>
      <x:c r="D370" s="43" t="n">
        <x:v>99.42295618845183</x:v>
      </x:c>
      <x:c r="E370" s="43" t="n">
        <x:v>1449.0549610012695</x:v>
      </x:c>
      <x:c r="F370" s="43" t="n">
        <x:v>95.9619115923375</x:v>
      </x:c>
      <x:c r="G370" s="43" t="n">
        <x:v>461.54725194993654</x:v>
      </x:c>
      <x:c r="H370" s="43" t="n">
        <x:v>9019.012919268005</x:v>
      </x:c>
      <x:c r="I370" s="43" t="n">
        <x:v>11125</x:v>
      </x:c>
      <x:c r="J370" s="43" t="n">
        <x:v>1496</x:v>
      </x:c>
      <x:c r="K370" s="43" t="n">
        <x:v>135.00757773906977</x:v>
      </x:c>
      <x:c r="L370" s="43" t="n">
        <x:v>39.04566614673227</x:v>
      </x:c>
    </x:row>
    <x:row r="371" ht="15" hidden="0" customHeight="1">
      <x:c r="A371" s="29" t="str">
        <x:v>48369</x:v>
      </x:c>
      <x:c r="B371" s="29" t="str">
        <x:v>SCA-11</x:v>
      </x:c>
      <x:c r="C371" s="44" t="n">
        <x:v>9678</x:v>
      </x:c>
      <x:c r="D371" s="44" t="n">
        <x:v>80.93948038458285</x:v>
      </x:c>
      <x:c r="E371" s="44" t="n">
        <x:v>1127.3371950966134</x:v>
      </x:c>
      <x:c r="F371" s="44" t="n">
        <x:v>83.48039374297909</x:v>
      </x:c>
      <x:c r="G371" s="44" t="n">
        <x:v>99.72813214211511</x:v>
      </x:c>
      <x:c r="H371" s="44" t="n">
        <x:v>8286.514798633709</x:v>
      </x:c>
      <x:c r="I371" s="44" t="n">
        <x:v>9678</x:v>
      </x:c>
      <x:c r="J371" s="44" t="n">
        <x:v>1168</x:v>
      </x:c>
      <x:c r="K371" s="44" t="n">
        <x:v>117.44749099853638</x:v>
      </x:c>
      <x:c r="L371" s="44" t="n">
        <x:v>33.9670972555573</x:v>
      </x:c>
    </x:row>
    <x:row r="372" ht="15" hidden="0" customHeight="1">
      <x:c r="A372" s="27" t="str">
        <x:v>48043</x:v>
      </x:c>
      <x:c r="B372" s="27" t="str">
        <x:v>SCA-11</x:v>
      </x:c>
      <x:c r="C372" s="43" t="n">
        <x:v>9458</x:v>
      </x:c>
      <x:c r="D372" s="43" t="n">
        <x:v>84.20664767929992</x:v>
      </x:c>
      <x:c r="E372" s="43" t="n">
        <x:v>1224.280546552272</x:v>
      </x:c>
      <x:c r="F372" s="43" t="n">
        <x:v>81.58271998564746</x:v>
      </x:c>
      <x:c r="G372" s="43" t="n">
        <x:v>270.7958902658617</x:v>
      </x:c>
      <x:c r="H372" s="43" t="n">
        <x:v>7797.134195516919</x:v>
      </x:c>
      <x:c r="I372" s="43" t="n">
        <x:v>9458</x:v>
      </x:c>
      <x:c r="J372" s="43" t="n">
        <x:v>1273</x:v>
      </x:c>
      <x:c r="K372" s="43" t="n">
        <x:v>114.77767822526938</x:v>
      </x:c>
      <x:c r="L372" s="43" t="n">
        <x:v>33.19495823962192</x:v>
      </x:c>
    </x:row>
    <x:row r="373" ht="15" hidden="0" customHeight="1">
      <x:c r="A373" s="29" t="str">
        <x:v>48495</x:v>
      </x:c>
      <x:c r="B373" s="29" t="str">
        <x:v>SCA-11</x:v>
      </x:c>
      <x:c r="C373" s="44" t="n">
        <x:v>7540</x:v>
      </x:c>
      <x:c r="D373" s="44" t="n">
        <x:v>60.98798100703199</x:v>
      </x:c>
      <x:c r="E373" s="44" t="n">
        <x:v>828.592106333921</x:v>
      </x:c>
      <x:c r="F373" s="44" t="n">
        <x:v>65.03845513763818</x:v>
      </x:c>
      <x:c r="G373" s="44" t="n">
        <x:v>94.75152583751526</x:v>
      </x:c>
      <x:c r="H373" s="44" t="n">
        <x:v>6490.629931683893</x:v>
      </x:c>
      <x:c r="I373" s="44" t="n">
        <x:v>7540</x:v>
      </x:c>
      <x:c r="J373" s="44" t="n">
        <x:v>844</x:v>
      </x:c>
      <x:c r="K373" s="44" t="n">
        <x:v>91.50176504742348</x:v>
      </x:c>
      <x:c r="L373" s="44" t="n">
        <x:v>26.463309909785288</x:v>
      </x:c>
    </x:row>
    <x:row r="374" ht="15" hidden="0" customHeight="1">
      <x:c r="A374" s="27" t="str">
        <x:v>48501</x:v>
      </x:c>
      <x:c r="B374" s="27" t="str">
        <x:v>SCA-11</x:v>
      </x:c>
      <x:c r="C374" s="43" t="n">
        <x:v>7438</x:v>
      </x:c>
      <x:c r="D374" s="43" t="n">
        <x:v>66.62391495625741</x:v>
      </x:c>
      <x:c r="E374" s="43" t="n">
        <x:v>972.4463225290116</x:v>
      </x:c>
      <x:c r="F374" s="43" t="n">
        <x:v>64.1586245774208</x:v>
      </x:c>
      <x:c r="G374" s="43" t="n">
        <x:v>151.16713352007469</x:v>
      </x:c>
      <x:c r="H374" s="43" t="n">
        <x:v>6183.604004417235</x:v>
      </x:c>
      <x:c r="I374" s="43" t="n">
        <x:v>7438</x:v>
      </x:c>
      <x:c r="J374" s="43" t="n">
        <x:v>1021</x:v>
      </x:c>
      <x:c r="K374" s="43" t="n">
        <x:v>90.26394276163605</x:v>
      </x:c>
      <x:c r="L374" s="43" t="n">
        <x:v>26.105318184215246</x:v>
      </x:c>
    </x:row>
    <x:row r="375" ht="15" hidden="0" customHeight="1">
      <x:c r="A375" s="29" t="str">
        <x:v>48069</x:v>
      </x:c>
      <x:c r="B375" s="29" t="str">
        <x:v>SCA-11</x:v>
      </x:c>
      <x:c r="C375" s="44" t="n">
        <x:v>7295</x:v>
      </x:c>
      <x:c r="D375" s="44" t="n">
        <x:v>52.717587115892655</x:v>
      </x:c>
      <x:c r="E375" s="44" t="n">
        <x:v>650.7398230088496</x:v>
      </x:c>
      <x:c r="F375" s="44" t="n">
        <x:v>62.92513663515525</x:v>
      </x:c>
      <x:c r="G375" s="44" t="n">
        <x:v>112.47787610619469</x:v>
      </x:c>
      <x:c r="H375" s="44" t="n">
        <x:v>6416.1395771339085</x:v>
      </x:c>
      <x:c r="I375" s="44" t="n">
        <x:v>7295</x:v>
      </x:c>
      <x:c r="J375" s="44" t="n">
        <x:v>672</x:v>
      </x:c>
      <x:c r="K375" s="44" t="n">
        <x:v>88.5285644590125</x:v>
      </x:c>
      <x:c r="L375" s="44" t="n">
        <x:v>25.603427823857253</x:v>
      </x:c>
    </x:row>
    <x:row r="376" ht="15" hidden="0" customHeight="1">
      <x:c r="A376" s="27" t="str">
        <x:v>48017</x:v>
      </x:c>
      <x:c r="B376" s="27" t="str">
        <x:v>SCA-11</x:v>
      </x:c>
      <x:c r="C376" s="43" t="n">
        <x:v>6963</x:v>
      </x:c>
      <x:c r="D376" s="43" t="n">
        <x:v>65.62719719242044</x:v>
      </x:c>
      <x:c r="E376" s="43" t="n">
        <x:v>988.5359361135759</x:v>
      </x:c>
      <x:c r="F376" s="43" t="n">
        <x:v>60.061374419545714</x:v>
      </x:c>
      <x:c r="G376" s="43" t="n">
        <x:v>293.5535344572611</x:v>
      </x:c>
      <x:c r="H376" s="43" t="n">
        <x:v>5555.221957817197</x:v>
      </x:c>
      <x:c r="I376" s="43" t="n">
        <x:v>6963</x:v>
      </x:c>
      <x:c r="J376" s="43" t="n">
        <x:v>1000</x:v>
      </x:c>
      <x:c r="K376" s="43" t="n">
        <x:v>84.49957427390048</x:v>
      </x:c>
      <x:c r="L376" s="43" t="n">
        <x:v>24.438199854354767</x:v>
      </x:c>
    </x:row>
    <x:row r="377" ht="15" hidden="0" customHeight="1">
      <x:c r="A377" s="29" t="str">
        <x:v>48305</x:v>
      </x:c>
      <x:c r="B377" s="29" t="str">
        <x:v>SCA-11</x:v>
      </x:c>
      <x:c r="C377" s="44" t="n">
        <x:v>6017</x:v>
      </x:c>
      <x:c r="D377" s="44" t="n">
        <x:v>50.45377900621145</x:v>
      </x:c>
      <x:c r="E377" s="44" t="n">
        <x:v>704.0586460890914</x:v>
      </x:c>
      <x:c r="F377" s="44" t="n">
        <x:v>51.90137726301977</x:v>
      </x:c>
      <x:c r="G377" s="44" t="n">
        <x:v>201.08786390740093</x:v>
      </x:c>
      <x:c r="H377" s="44" t="n">
        <x:v>5009.4983337342765</x:v>
      </x:c>
      <x:c r="I377" s="44" t="n">
        <x:v>6017</x:v>
      </x:c>
      <x:c r="J377" s="44" t="n">
        <x:v>695</x:v>
      </x:c>
      <x:c r="K377" s="44" t="n">
        <x:v>73.0193793488524</x:v>
      </x:c>
      <x:c r="L377" s="44" t="n">
        <x:v>21.118002085832636</x:v>
      </x:c>
    </x:row>
    <x:row r="378" ht="15" hidden="0" customHeight="1">
      <x:c r="A378" s="27" t="str">
        <x:v>48377</x:v>
      </x:c>
      <x:c r="B378" s="27" t="str">
        <x:v>SCA-11</x:v>
      </x:c>
      <x:c r="C378" s="43" t="n">
        <x:v>5433</x:v>
      </x:c>
      <x:c r="D378" s="43" t="n">
        <x:v>55.36776719671948</x:v>
      </x:c>
      <x:c r="E378" s="43" t="n">
        <x:v>871.1866374219672</x:v>
      </x:c>
      <x:c r="F378" s="43" t="n">
        <x:v>46.86391601628492</x:v>
      </x:c>
      <x:c r="G378" s="43" t="n">
        <x:v>114.94955289353805</x:v>
      </x:c>
      <x:c r="H378" s="43" t="n">
        <x:v>4344.632126471491</x:v>
      </x:c>
      <x:c r="I378" s="43" t="n">
        <x:v>5433</x:v>
      </x:c>
      <x:c r="J378" s="43" t="n">
        <x:v>990</x:v>
      </x:c>
      <x:c r="K378" s="43" t="n">
        <x:v>65.93223998708909</x:v>
      </x:c>
      <x:c r="L378" s="43" t="n">
        <x:v>19.068323970804173</x:v>
      </x:c>
    </x:row>
    <x:row r="379" ht="15" hidden="0" customHeight="1">
      <x:c r="A379" s="29" t="str">
        <x:v>48317</x:v>
      </x:c>
      <x:c r="B379" s="29" t="str">
        <x:v>SCA-11</x:v>
      </x:c>
      <x:c r="C379" s="44" t="n">
        <x:v>5284</x:v>
      </x:c>
      <x:c r="D379" s="44" t="n">
        <x:v>44.2020283665314</x:v>
      </x:c>
      <x:c r="E379" s="44" t="n">
        <x:v>615.759674229203</x:v>
      </x:c>
      <x:c r="F379" s="44" t="n">
        <x:v>45.578673335183055</x:v>
      </x:c>
      <x:c r="G379" s="44" t="n">
        <x:v>0</x:v>
      </x:c>
      <x:c r="H379" s="44" t="n">
        <x:v>4578.459624069083</x:v>
      </x:c>
      <x:c r="I379" s="44" t="n">
        <x:v>5284</x:v>
      </x:c>
      <x:c r="J379" s="44" t="n">
        <x:v>626</x:v>
      </x:c>
      <x:c r="K379" s="44" t="n">
        <x:v>64.12404860883099</x:v>
      </x:c>
      <x:c r="L379" s="44" t="n">
        <x:v>18.545375273647938</x:v>
      </x:c>
    </x:row>
    <x:row r="380" ht="15" hidden="0" customHeight="1">
      <x:c r="A380" s="27" t="str">
        <x:v>48103</x:v>
      </x:c>
      <x:c r="B380" s="27" t="str">
        <x:v>SCA-11</x:v>
      </x:c>
      <x:c r="C380" s="43" t="n">
        <x:v>4554</x:v>
      </x:c>
      <x:c r="D380" s="43" t="n">
        <x:v>32.43617682700776</x:v>
      </x:c>
      <x:c r="E380" s="43" t="n">
        <x:v>394.86958073148975</x:v>
      </x:c>
      <x:c r="F380" s="43" t="n">
        <x:v>39.281846776764496</x:v>
      </x:c>
      <x:c r="G380" s="43" t="n">
        <x:v>175.56801962533453</x:v>
      </x:c>
      <x:c r="H380" s="43" t="n">
        <x:v>3911.8443760394034</x:v>
      </x:c>
      <x:c r="I380" s="43" t="n">
        <x:v>4554</x:v>
      </x:c>
      <x:c r="J380" s="43" t="n">
        <x:v>405</x:v>
      </x:c>
      <x:c r="K380" s="43" t="n">
        <x:v>55.26512440662685</x:v>
      </x:c>
      <x:c r="L380" s="43" t="n">
        <x:v>15.98327762986236</x:v>
      </x:c>
    </x:row>
    <x:row r="381" ht="15" hidden="0" customHeight="1">
      <x:c r="A381" s="29" t="str">
        <x:v>35019</x:v>
      </x:c>
      <x:c r="B381" s="29" t="str">
        <x:v>SCA-11</x:v>
      </x:c>
      <x:c r="C381" s="44" t="n">
        <x:v>4343</x:v>
      </x:c>
      <x:c r="D381" s="44" t="n">
        <x:v>53.52105129604503</x:v>
      </x:c>
      <x:c r="E381" s="44" t="n">
        <x:v>983.1032277526394</x:v>
      </x:c>
      <x:c r="F381" s="44" t="n">
        <x:v>32.7756038686077</x:v>
      </x:c>
      <x:c r="G381" s="44" t="n">
        <x:v>83.29813976872799</x:v>
      </x:c>
      <x:c r="H381" s="44" t="n">
        <x:v>3190.30197731398</x:v>
      </x:c>
      <x:c r="I381" s="44" t="n">
        <x:v>4343</x:v>
      </x:c>
      <x:c r="J381" s="44" t="n">
        <x:v>938</x:v>
      </x:c>
      <x:c r="K381" s="44" t="n">
        <x:v>45.33402067495942</x:v>
      </x:c>
      <x:c r="L381" s="44" t="n">
        <x:v>12.558416806351715</x:v>
      </x:c>
    </x:row>
    <x:row r="382" ht="15" hidden="0" customHeight="1">
      <x:c r="A382" s="27" t="str">
        <x:v>35023</x:v>
      </x:c>
      <x:c r="B382" s="27" t="str">
        <x:v>SCA-11</x:v>
      </x:c>
      <x:c r="C382" s="43" t="n">
        <x:v>3929</x:v>
      </x:c>
      <x:c r="D382" s="43" t="n">
        <x:v>41.236296904129674</x:v>
      </x:c>
      <x:c r="E382" s="43" t="n">
        <x:v>717.0005129494594</x:v>
      </x:c>
      <x:c r="F382" s="43" t="n">
        <x:v>29.65124282748323</x:v>
      </x:c>
      <x:c r="G382" s="43" t="n">
        <x:v>149.83278853407091</x:v>
      </x:c>
      <x:c r="H382" s="43" t="n">
        <x:v>2991.279158784857</x:v>
      </x:c>
      <x:c r="I382" s="43" t="n">
        <x:v>3929</x:v>
      </x:c>
      <x:c r="J382" s="43" t="n">
        <x:v>756</x:v>
      </x:c>
      <x:c r="K382" s="43" t="n">
        <x:v>41.01251835871876</x:v>
      </x:c>
      <x:c r="L382" s="43" t="n">
        <x:v>11.361275531235528</x:v>
      </x:c>
    </x:row>
    <x:row r="383" ht="15" hidden="0" customHeight="1">
      <x:c r="A383" s="29" t="str">
        <x:v>35003</x:v>
      </x:c>
      <x:c r="B383" s="29" t="str">
        <x:v>SCA-11</x:v>
      </x:c>
      <x:c r="C383" s="44" t="n">
        <x:v>3827</x:v>
      </x:c>
      <x:c r="D383" s="44" t="n">
        <x:v>68.33307640977152</x:v>
      </x:c>
      <x:c r="E383" s="44" t="n">
        <x:v>1374.4019694942465</x:v>
      </x:c>
      <x:c r="F383" s="44" t="n">
        <x:v>28.881472715901836</x:v>
      </x:c>
      <x:c r="G383" s="44" t="n">
        <x:v>73.85656944072785</x:v>
      </x:c>
      <x:c r="H383" s="44" t="n">
        <x:v>2281.5269119393524</x:v>
      </x:c>
      <x:c r="I383" s="44" t="n">
        <x:v>3827</x:v>
      </x:c>
      <x:c r="J383" s="44" t="n">
        <x:v>1398</x:v>
      </x:c>
      <x:c r="K383" s="44" t="n">
        <x:v>39.947800396746416</x:v>
      </x:c>
      <x:c r="L383" s="44" t="n">
        <x:v>11.066327680844582</x:v>
      </x:c>
    </x:row>
    <x:row r="384" ht="15" hidden="0" customHeight="1">
      <x:c r="A384" s="27" t="str">
        <x:v>48229</x:v>
      </x:c>
      <x:c r="B384" s="27" t="str">
        <x:v>SCA-11</x:v>
      </x:c>
      <x:c r="C384" s="43" t="n">
        <x:v>3433</x:v>
      </x:c>
      <x:c r="D384" s="43" t="n">
        <x:v>49.930257681736464</x:v>
      </x:c>
      <x:c r="E384" s="43" t="n">
        <x:v>909.1531034482759</x:v>
      </x:c>
      <x:c r="F384" s="43" t="n">
        <x:v>29.612336404179295</x:v>
      </x:c>
      <x:c r="G384" s="43" t="n">
        <x:v>36.93103448275862</x:v>
      </x:c>
      <x:c r="H384" s="43" t="n">
        <x:v>2407.3732679830496</x:v>
      </x:c>
      <x:c r="I384" s="43" t="n">
        <x:v>3433</x:v>
      </x:c>
      <x:c r="J384" s="43" t="n">
        <x:v>808</x:v>
      </x:c>
      <x:c r="K384" s="43" t="n">
        <x:v>41.661214775570926</x:v>
      </x:c>
      <x:c r="L384" s="43" t="n">
        <x:v>12.04887837139163</x:v>
      </x:c>
    </x:row>
    <x:row r="385" ht="15" hidden="0" customHeight="1">
      <x:c r="A385" s="29" t="str">
        <x:v>48461</x:v>
      </x:c>
      <x:c r="B385" s="29" t="str">
        <x:v>SCA-11</x:v>
      </x:c>
      <x:c r="C385" s="44" t="n">
        <x:v>3131</x:v>
      </x:c>
      <x:c r="D385" s="44" t="n">
        <x:v>24.80188213076652</x:v>
      </x:c>
      <x:c r="E385" s="44" t="n">
        <x:v>331.51056107726833</x:v>
      </x:c>
      <x:c r="F385" s="44" t="n">
        <x:v>27.007347882751354</x:v>
      </x:c>
      <x:c r="G385" s="44" t="n">
        <x:v>62.279576787431864</x:v>
      </x:c>
      <x:c r="H385" s="44" t="n">
        <x:v>2685.4006321217817</x:v>
      </x:c>
      <x:c r="I385" s="44" t="n">
        <x:v>3131</x:v>
      </x:c>
      <x:c r="J385" s="44" t="n">
        <x:v>344</x:v>
      </x:c>
      <x:c r="K385" s="44" t="n">
        <x:v>37.996289968631686</x:v>
      </x:c>
      <x:c r="L385" s="44" t="n">
        <x:v>10.988942085880335</x:v>
      </x:c>
    </x:row>
    <x:row r="386" ht="15" hidden="0" customHeight="1">
      <x:c r="A386" s="27" t="str">
        <x:v>48079</x:v>
      </x:c>
      <x:c r="B386" s="27" t="str">
        <x:v>SCA-11</x:v>
      </x:c>
      <x:c r="C386" s="43" t="n">
        <x:v>2546</x:v>
      </x:c>
      <x:c r="D386" s="43" t="n">
        <x:v>31.37224892454684</x:v>
      </x:c>
      <x:c r="E386" s="43" t="n">
        <x:v>538.4758722358722</x:v>
      </x:c>
      <x:c r="F386" s="43" t="n">
        <x:v>21.961260846210454</x:v>
      </x:c>
      <x:c r="G386" s="43" t="n">
        <x:v>61.595413595413596</x:v>
      </x:c>
      <x:c r="H386" s="43" t="n">
        <x:v>1892.5952043979569</x:v>
      </x:c>
      <x:c r="I386" s="43" t="n">
        <x:v>2546</x:v>
      </x:c>
      <x:c r="J386" s="43" t="n">
        <x:v>538</x:v>
      </x:c>
      <x:c r="K386" s="43" t="n">
        <x:v>30.89701509426262</x:v>
      </x:c>
      <x:c r="L386" s="43" t="n">
        <x:v>8.935754248052167</x:v>
      </x:c>
    </x:row>
    <x:row r="387" ht="15" hidden="0" customHeight="1">
      <x:c r="A387" s="29" t="str">
        <x:v>48109</x:v>
      </x:c>
      <x:c r="B387" s="29" t="str">
        <x:v>SCA-11</x:v>
      </x:c>
      <x:c r="C387" s="44" t="n">
        <x:v>2267</x:v>
      </x:c>
      <x:c r="D387" s="44" t="n">
        <x:v>29.241557664104537</x:v>
      </x:c>
      <x:c r="E387" s="44" t="n">
        <x:v>510.8403858520901</x:v>
      </x:c>
      <x:c r="F387" s="44" t="n">
        <x:v>19.55466549032172</x:v>
      </x:c>
      <x:c r="G387" s="44" t="n">
        <x:v>34.43729903536978</x:v>
      </x:c>
      <x:c r="H387" s="44" t="n">
        <x:v>1672.926091958114</x:v>
      </x:c>
      <x:c r="I387" s="44" t="n">
        <x:v>2267</x:v>
      </x:c>
      <x:c r="J387" s="44" t="n">
        <x:v>511</x:v>
      </x:c>
      <x:c r="K387" s="44" t="n">
        <x:v>27.511207077255836</x:v>
      </x:c>
      <x:c r="L387" s="44" t="n">
        <x:v>7.956541586934118</x:v>
      </x:c>
    </x:row>
    <x:row r="388" ht="15" hidden="0" customHeight="1">
      <x:c r="A388" s="27" t="str">
        <x:v>48243</x:v>
      </x:c>
      <x:c r="B388" s="27" t="str">
        <x:v>SCA-11</x:v>
      </x:c>
      <x:c r="C388" s="43" t="n">
        <x:v>1711</x:v>
      </x:c>
      <x:c r="D388" s="43" t="n">
        <x:v>17.658433007594727</x:v>
      </x:c>
      <x:c r="E388" s="43" t="n">
        <x:v>279.67913513513514</x:v>
      </x:c>
      <x:c r="F388" s="43" t="n">
        <x:v>14.758726358156354</x:v>
      </x:c>
      <x:c r="G388" s="43" t="n">
        <x:v>39.82702702702703</x:v>
      </x:c>
      <x:c r="H388" s="43" t="n">
        <x:v>1359.0766784720868</x:v>
      </x:c>
      <x:c r="I388" s="43" t="n">
        <x:v>1711</x:v>
      </x:c>
      <x:c r="J388" s="43" t="n">
        <x:v>315</x:v>
      </x:c>
      <x:c r="K388" s="43" t="n">
        <x:v>20.763862068453786</x:v>
      </x:c>
      <x:c r="L388" s="43" t="n">
        <x:v>6.005135710297431</x:v>
      </x:c>
    </x:row>
    <x:row r="389" ht="15" hidden="0" customHeight="1">
      <x:c r="A389" s="29" t="str">
        <x:v>35011</x:v>
      </x:c>
      <x:c r="B389" s="29" t="str">
        <x:v>SCA-11</x:v>
      </x:c>
      <x:c r="C389" s="44" t="n">
        <x:v>1647</x:v>
      </x:c>
      <x:c r="D389" s="44" t="n">
        <x:v>18.84955693546265</x:v>
      </x:c>
      <x:c r="E389" s="44" t="n">
        <x:v>338.08839948783606</x:v>
      </x:c>
      <x:c r="F389" s="44" t="n">
        <x:v>12.429523272299537</x:v>
      </x:c>
      <x:c r="G389" s="44" t="n">
        <x:v>36.16389244558259</x:v>
      </x:c>
      <x:c r="H389" s="44" t="n">
        <x:v>1241.4686278588192</x:v>
      </x:c>
      <x:c r="I389" s="44" t="n">
        <x:v>1647</x:v>
      </x:c>
      <x:c r="J389" s="44" t="n">
        <x:v>334</x:v>
      </x:c>
      <x:c r="K389" s="44" t="n">
        <x:v>17.19206356243568</x:v>
      </x:c>
      <x:c r="L389" s="44" t="n">
        <x:v>4.762540290136145</x:v>
      </x:c>
    </x:row>
    <x:row r="390" ht="15" hidden="0" customHeight="1">
      <x:c r="A390" s="27" t="str">
        <x:v>48301</x:v>
      </x:c>
      <x:c r="B390" s="27" t="str">
        <x:v>SCA-11</x:v>
      </x:c>
      <x:c r="C390" s="43" t="n">
        <x:v>52</x:v>
      </x:c>
      <x:c r="D390" s="43" t="n">
        <x:v>1.6952328583119989</x:v>
      </x:c>
      <x:c r="E390" s="43" t="n">
        <x:v>36.305454545454545</x:v>
      </x:c>
      <x:c r="F390" s="43" t="n">
        <x:v>0.44854106991474607</x:v>
      </x:c>
      <x:c r="G390" s="43" t="n">
        <x:v>0.5454545454545455</x:v>
      </x:c>
      <x:c r="H390" s="43" t="n">
        <x:v>13.005316980864167</x:v>
      </x:c>
      <x:c r="I390" s="43" t="n">
        <x:v>52</x:v>
      </x:c>
      <x:c r="J390" s="43" t="n">
        <x:v>24</x:v>
      </x:c>
      <x:c r="K390" s="43" t="n">
        <x:v>0.6310466554994723</x:v>
      </x:c>
      <x:c r="L390" s="43" t="n">
        <x:v>0.18250558558472613</x:v>
      </x:c>
    </x:row>
    <x:row r="391" ht="15" hidden="0" customHeight="1">
      <x:c r="A391" s="29" t="str">
        <x:v>08041</x:v>
      </x:c>
      <x:c r="B391" s="29" t="str">
        <x:v>SCA-12</x:v>
      </x:c>
      <x:c r="C391" s="44" t="n">
        <x:v>757040</x:v>
      </x:c>
      <x:c r="D391" s="44" t="n">
        <x:v>6549.980599650417</x:v>
      </x:c>
      <x:c r="E391" s="44" t="n">
        <x:v>92014.06071957386</x:v>
      </x:c>
      <x:c r="F391" s="44" t="n">
        <x:v>4191.350746282659</x:v>
      </x:c>
      <x:c r="G391" s="44" t="n">
        <x:v>16922.38981445264</x:v>
      </x:c>
      <x:c r="H391" s="44" t="n">
        <x:v>637362.2181200405</x:v>
      </x:c>
      <x:c r="I391" s="44" t="n">
        <x:v>757040</x:v>
      </x:c>
      <x:c r="J391" s="44" t="n">
        <x:v>89013</x:v>
      </x:c>
      <x:c r="K391" s="44" t="n">
        <x:v>6907.412149284166</x:v>
      </x:c>
      <x:c r="L391" s="44" t="n">
        <x:v>2716.0614030015067</x:v>
      </x:c>
    </x:row>
    <x:row r="392" ht="15" hidden="0" customHeight="1">
      <x:c r="A392" s="27" t="str">
        <x:v>08031</x:v>
      </x:c>
      <x:c r="B392" s="27" t="str">
        <x:v>SCA-12</x:v>
      </x:c>
      <x:c r="C392" s="43" t="n">
        <x:v>740613</x:v>
      </x:c>
      <x:c r="D392" s="43" t="n">
        <x:v>5779.941596272995</x:v>
      </x:c>
      <x:c r="E392" s="43" t="n">
        <x:v>74947.58328800656</x:v>
      </x:c>
      <x:c r="F392" s="43" t="n">
        <x:v>4100.4026871190945</x:v>
      </x:c>
      <x:c r="G392" s="43" t="n">
        <x:v>44080.31641389621</x:v>
      </x:c>
      <x:c r="H392" s="43" t="n">
        <x:v>611704.756014705</x:v>
      </x:c>
      <x:c r="I392" s="43" t="n">
        <x:v>740613</x:v>
      </x:c>
      <x:c r="J392" s="43" t="n">
        <x:v>75017</x:v>
      </x:c>
      <x:c r="K392" s="43" t="n">
        <x:v>6757.528313058483</x:v>
      </x:c>
      <x:c r="L392" s="43" t="n">
        <x:v>2657.125625939389</x:v>
      </x:c>
    </x:row>
    <x:row r="393" ht="15" hidden="0" customHeight="1">
      <x:c r="A393" s="29" t="str">
        <x:v>08005</x:v>
      </x:c>
      <x:c r="B393" s="29" t="str">
        <x:v>SCA-12</x:v>
      </x:c>
      <x:c r="C393" s="44" t="n">
        <x:v>673820</x:v>
      </x:c>
      <x:c r="D393" s="44" t="n">
        <x:v>5355.482138386852</x:v>
      </x:c>
      <x:c r="E393" s="44" t="n">
        <x:v>70511.81560204715</x:v>
      </x:c>
      <x:c r="F393" s="44" t="n">
        <x:v>3730.603349704351</x:v>
      </x:c>
      <x:c r="G393" s="44" t="n">
        <x:v>20740.57957802706</x:v>
      </x:c>
      <x:c r="H393" s="44" t="n">
        <x:v>573481.5193318346</x:v>
      </x:c>
      <x:c r="I393" s="44" t="n">
        <x:v>673820</x:v>
      </x:c>
      <x:c r="J393" s="44" t="n">
        <x:v>71266</x:v>
      </x:c>
      <x:c r="K393" s="44" t="n">
        <x:v>6148.093171339238</x:v>
      </x:c>
      <x:c r="L393" s="44" t="n">
        <x:v>2417.4898216348874</x:v>
      </x:c>
    </x:row>
    <x:row r="394" ht="15" hidden="0" customHeight="1">
      <x:c r="A394" s="27" t="str">
        <x:v>08059</x:v>
      </x:c>
      <x:c r="B394" s="27" t="str">
        <x:v>SCA-12</x:v>
      </x:c>
      <x:c r="C394" s="43" t="n">
        <x:v>580451</x:v>
      </x:c>
      <x:c r="D394" s="43" t="n">
        <x:v>4647.21355041207</x:v>
      </x:c>
      <x:c r="E394" s="43" t="n">
        <x:v>61552.974387730916</x:v>
      </x:c>
      <x:c r="F394" s="43" t="n">
        <x:v>3213.6660308973314</x:v>
      </x:c>
      <x:c r="G394" s="43" t="n">
        <x:v>13182.955629139073</x:v>
      </x:c>
      <x:c r="H394" s="43" t="n">
        <x:v>497854.19040182064</x:v>
      </x:c>
      <x:c r="I394" s="43" t="n">
        <x:v>580451</x:v>
      </x:c>
      <x:c r="J394" s="43" t="n">
        <x:v>63383</x:v>
      </x:c>
      <x:c r="K394" s="43" t="n">
        <x:v>5296.172315153946</x:v>
      </x:c>
      <x:c r="L394" s="43" t="n">
        <x:v>2082.506284256615</x:v>
      </x:c>
    </x:row>
    <x:row r="395" ht="15" hidden="0" customHeight="1">
      <x:c r="A395" s="29" t="str">
        <x:v>08001</x:v>
      </x:c>
      <x:c r="B395" s="29" t="str">
        <x:v>SCA-12</x:v>
      </x:c>
      <x:c r="C395" s="44" t="n">
        <x:v>554668</x:v>
      </x:c>
      <x:c r="D395" s="44" t="n">
        <x:v>4508.078422795601</x:v>
      </x:c>
      <x:c r="E395" s="44" t="n">
        <x:v>60433.7950833713</x:v>
      </x:c>
      <x:c r="F395" s="44" t="n">
        <x:v>3070.9184927336864</x:v>
      </x:c>
      <x:c r="G395" s="44" t="n">
        <x:v>13409.722649012909</x:v>
      </x:c>
      <x:c r="H395" s="44" t="n">
        <x:v>473245.4853520865</x:v>
      </x:c>
      <x:c r="I395" s="44" t="n">
        <x:v>554668</x:v>
      </x:c>
      <x:c r="J395" s="44" t="n">
        <x:v>59789</x:v>
      </x:c>
      <x:c r="K395" s="44" t="n">
        <x:v>5060.922120388816</x:v>
      </x:c>
      <x:c r="L395" s="44" t="n">
        <x:v>1990.0036276551302</x:v>
      </x:c>
    </x:row>
    <x:row r="396" ht="15" hidden="0" customHeight="1">
      <x:c r="A396" s="27" t="str">
        <x:v>08035</x:v>
      </x:c>
      <x:c r="B396" s="27" t="str">
        <x:v>SCA-12</x:v>
      </x:c>
      <x:c r="C396" s="43" t="n">
        <x:v>399396</x:v>
      </x:c>
      <x:c r="D396" s="43" t="n">
        <x:v>2723.797819155326</x:v>
      </x:c>
      <x:c r="E396" s="43" t="n">
        <x:v>30980.867829446004</x:v>
      </x:c>
      <x:c r="F396" s="43" t="n">
        <x:v>2211.2553136720767</x:v>
      </x:c>
      <x:c r="G396" s="43" t="n">
        <x:v>5221.507912298696</x:v>
      </x:c>
      <x:c r="H396" s="43" t="n">
        <x:v>358258.5711254279</x:v>
      </x:c>
      <x:c r="I396" s="43" t="n">
        <x:v>399396</x:v>
      </x:c>
      <x:c r="J396" s="43" t="n">
        <x:v>30330</x:v>
      </x:c>
      <x:c r="K396" s="43" t="n">
        <x:v>3644.1836399338194</x:v>
      </x:c>
      <x:c r="L396" s="43" t="n">
        <x:v>1432.9283262617428</x:v>
      </x:c>
    </x:row>
    <x:row r="397" ht="15" hidden="0" customHeight="1">
      <x:c r="A397" s="29" t="str">
        <x:v>08123</x:v>
      </x:c>
      <x:c r="B397" s="29" t="str">
        <x:v>SCA-12</x:v>
      </x:c>
      <x:c r="C397" s="44" t="n">
        <x:v>378426</x:v>
      </x:c>
      <x:c r="D397" s="44" t="n">
        <x:v>3118.9298493405436</x:v>
      </x:c>
      <x:c r="E397" s="44" t="n">
        <x:v>42269.67348576087</x:v>
      </x:c>
      <x:c r="F397" s="44" t="n">
        <x:v>2095.1549422920343</x:v>
      </x:c>
      <x:c r="G397" s="44" t="n">
        <x:v>6741.786611022772</x:v>
      </x:c>
      <x:c r="H397" s="44" t="n">
        <x:v>324200.4551115838</x:v>
      </x:c>
      <x:c r="I397" s="44" t="n">
        <x:v>378426</x:v>
      </x:c>
      <x:c r="J397" s="44" t="n">
        <x:v>40538</x:v>
      </x:c>
      <x:c r="K397" s="44" t="n">
        <x:v>3452.848396392542</x:v>
      </x:c>
      <x:c r="L397" s="44" t="n">
        <x:v>1357.6934541005076</x:v>
      </x:c>
    </x:row>
    <x:row r="398" ht="15" hidden="0" customHeight="1">
      <x:c r="A398" s="27" t="str">
        <x:v>08069</x:v>
      </x:c>
      <x:c r="B398" s="27" t="str">
        <x:v>SCA-12</x:v>
      </x:c>
      <x:c r="C398" s="43" t="n">
        <x:v>377292</x:v>
      </x:c>
      <x:c r="D398" s="43" t="n">
        <x:v>2963.329145240648</x:v>
      </x:c>
      <x:c r="E398" s="43" t="n">
        <x:v>38632.90047294945</x:v>
      </x:c>
      <x:c r="F398" s="43" t="n">
        <x:v>2088.876553110109</x:v>
      </x:c>
      <x:c r="G398" s="43" t="n">
        <x:v>7510.295120567299</x:v>
      </x:c>
      <x:c r="H398" s="43" t="n">
        <x:v>326096.5987081325</x:v>
      </x:c>
      <x:c r="I398" s="43" t="n">
        <x:v>377292</x:v>
      </x:c>
      <x:c r="J398" s="43" t="n">
        <x:v>38912</x:v>
      </x:c>
      <x:c r="K398" s="43" t="n">
        <x:v>3442.501511977863</x:v>
      </x:c>
      <x:c r="L398" s="43" t="n">
        <x:v>1353.624958867754</x:v>
      </x:c>
    </x:row>
    <x:row r="399" ht="15" hidden="0" customHeight="1">
      <x:c r="A399" s="29" t="str">
        <x:v>08013</x:v>
      </x:c>
      <x:c r="B399" s="29" t="str">
        <x:v>SCA-12</x:v>
      </x:c>
      <x:c r="C399" s="44" t="n">
        <x:v>328560</x:v>
      </x:c>
      <x:c r="D399" s="44" t="n">
        <x:v>2410.143383539577</x:v>
      </x:c>
      <x:c r="E399" s="44" t="n">
        <x:v>29552.546100749005</x:v>
      </x:c>
      <x:c r="F399" s="44" t="n">
        <x:v>1819.071913239235</x:v>
      </x:c>
      <x:c r="G399" s="44" t="n">
        <x:v>9539.330160449403</x:v>
      </x:c>
      <x:c r="H399" s="44" t="n">
        <x:v>285238.90844202274</x:v>
      </x:c>
      <x:c r="I399" s="44" t="n">
        <x:v>328560</x:v>
      </x:c>
      <x:c r="J399" s="44" t="n">
        <x:v>30622</x:v>
      </x:c>
      <x:c r="K399" s="44" t="n">
        <x:v>2997.8592092476033</x:v>
      </x:c>
      <x:c r="L399" s="44" t="n">
        <x:v>1178.7872960083682</x:v>
      </x:c>
    </x:row>
    <x:row r="400" ht="15" hidden="0" customHeight="1">
      <x:c r="A400" s="27" t="str">
        <x:v>08101</x:v>
      </x:c>
      <x:c r="B400" s="27" t="str">
        <x:v>SCA-12</x:v>
      </x:c>
      <x:c r="C400" s="43" t="n">
        <x:v>169277</x:v>
      </x:c>
      <x:c r="D400" s="43" t="n">
        <x:v>1785.3354823667637</x:v>
      </x:c>
      <x:c r="E400" s="43" t="n">
        <x:v>28272.333745800974</x:v>
      </x:c>
      <x:c r="F400" s="43" t="n">
        <x:v>937.2018391082237</x:v>
      </x:c>
      <x:c r="G400" s="43" t="n">
        <x:v>5942.820644969948</x:v>
      </x:c>
      <x:c r="H400" s="43" t="n">
        <x:v>132339.30828775407</x:v>
      </x:c>
      <x:c r="I400" s="43" t="n">
        <x:v>169277</x:v>
      </x:c>
      <x:c r="J400" s="43" t="n">
        <x:v>28744</x:v>
      </x:c>
      <x:c r="K400" s="43" t="n">
        <x:v>1544.5234153999468</x:v>
      </x:c>
      <x:c r="L400" s="43" t="n">
        <x:v>607.3215762917231</x:v>
      </x:c>
    </x:row>
    <x:row r="401" ht="15" hidden="0" customHeight="1">
      <x:c r="A401" s="29" t="str">
        <x:v>08077</x:v>
      </x:c>
      <x:c r="B401" s="29" t="str">
        <x:v>SCA-12</x:v>
      </x:c>
      <x:c r="C401" s="44" t="n">
        <x:v>162845</x:v>
      </x:c>
      <x:c r="D401" s="44" t="n">
        <x:v>1582.4514616209512</x:v>
      </x:c>
      <x:c r="E401" s="44" t="n">
        <x:v>23956.949233871223</x:v>
      </x:c>
      <x:c r="F401" s="44" t="n">
        <x:v>901.5910814202681</x:v>
      </x:c>
      <x:c r="G401" s="44" t="n">
        <x:v>4517.015417983832</x:v>
      </x:c>
      <x:c r="H401" s="44" t="n">
        <x:v>131886.99280510374</x:v>
      </x:c>
      <x:c r="I401" s="44" t="n">
        <x:v>162845</x:v>
      </x:c>
      <x:c r="J401" s="44" t="n">
        <x:v>24093</x:v>
      </x:c>
      <x:c r="K401" s="44" t="n">
        <x:v>1485.8363249632516</x:v>
      </x:c>
      <x:c r="L401" s="44" t="n">
        <x:v>584.2452435429836</x:v>
      </x:c>
    </x:row>
    <x:row r="402" ht="15" hidden="0" customHeight="1">
      <x:c r="A402" s="27" t="str">
        <x:v>35043</x:v>
      </x:c>
      <x:c r="B402" s="27" t="str">
        <x:v>SCA-12</x:v>
      </x:c>
      <x:c r="C402" s="43" t="n">
        <x:v>159565</x:v>
      </x:c>
      <x:c r="D402" s="43" t="n">
        <x:v>1498.404538636241</x:v>
      </x:c>
      <x:c r="E402" s="43" t="n">
        <x:v>24887.97863370951</x:v>
      </x:c>
      <x:c r="F402" s="43" t="n">
        <x:v>1204.1996848478905</x:v>
      </x:c>
      <x:c r="G402" s="43" t="n">
        <x:v>2603.871959362153</x:v>
      </x:c>
      <x:c r="H402" s="43" t="n">
        <x:v>129370.5451834442</x:v>
      </x:c>
      <x:c r="I402" s="43" t="n">
        <x:v>159565</x:v>
      </x:c>
      <x:c r="J402" s="43" t="n">
        <x:v>24820</x:v>
      </x:c>
      <x:c r="K402" s="43" t="n">
        <x:v>1665.6051137462352</x:v>
      </x:c>
      <x:c r="L402" s="43" t="n">
        <x:v>461.40542889834484</x:v>
      </x:c>
    </x:row>
    <x:row r="403" ht="15" hidden="0" customHeight="1">
      <x:c r="A403" s="29" t="str">
        <x:v>48381</x:v>
      </x:c>
      <x:c r="B403" s="29" t="str">
        <x:v>SCA-12</x:v>
      </x:c>
      <x:c r="C403" s="44" t="n">
        <x:v>152351</x:v>
      </x:c>
      <x:c r="D403" s="44" t="n">
        <x:v>1286.4960054875276</x:v>
      </x:c>
      <x:c r="E403" s="44" t="n">
        <x:v>18042.869453507454</x:v>
      </x:c>
      <x:c r="F403" s="44" t="n">
        <x:v>1314.1477027419517</x:v>
      </x:c>
      <x:c r="G403" s="44" t="n">
        <x:v>2430.034502254644</x:v>
      </x:c>
      <x:c r="H403" s="44" t="n">
        <x:v>129277.45233600843</x:v>
      </x:c>
      <x:c r="I403" s="44" t="n">
        <x:v>152351</x:v>
      </x:c>
      <x:c r="J403" s="44" t="n">
        <x:v>17892</x:v>
      </x:c>
      <x:c r="K403" s="44" t="n">
        <x:v>1848.8574810000018</x:v>
      </x:c>
      <x:c r="L403" s="44" t="n">
        <x:v>534.7097782580502</x:v>
      </x:c>
    </x:row>
    <x:row r="404" ht="15" hidden="0" customHeight="1">
      <x:c r="A404" s="27" t="str">
        <x:v>35045</x:v>
      </x:c>
      <x:c r="B404" s="27" t="str">
        <x:v>SCA-12</x:v>
      </x:c>
      <x:c r="C404" s="43" t="n">
        <x:v>120340</x:v>
      </x:c>
      <x:c r="D404" s="43" t="n">
        <x:v>1129.0541346517684</x:v>
      </x:c>
      <x:c r="E404" s="43" t="n">
        <x:v>18745.764098455064</x:v>
      </x:c>
      <x:c r="F404" s="43" t="n">
        <x:v>908.1777963500463</x:v>
      </x:c>
      <x:c r="G404" s="43" t="n">
        <x:v>3896.7294739214262</x:v>
      </x:c>
      <x:c r="H404" s="43" t="n">
        <x:v>95660.27449662169</x:v>
      </x:c>
      <x:c r="I404" s="43" t="n">
        <x:v>120340</x:v>
      </x:c>
      <x:c r="J404" s="43" t="n">
        <x:v>19441</x:v>
      </x:c>
      <x:c r="K404" s="43" t="n">
        <x:v>1256.1584268995202</x:v>
      </x:c>
      <x:c r="L404" s="43" t="n">
        <x:v>347.980630549474</x:v>
      </x:c>
    </x:row>
    <x:row r="405" ht="15" hidden="0" customHeight="1">
      <x:c r="A405" s="29" t="str">
        <x:v>46103</x:v>
      </x:c>
      <x:c r="B405" s="29" t="str">
        <x:v>SCA-12</x:v>
      </x:c>
      <x:c r="C405" s="44" t="n">
        <x:v>116792</x:v>
      </x:c>
      <x:c r="D405" s="44" t="n">
        <x:v>1770.02244807924</x:v>
      </x:c>
      <x:c r="E405" s="44" t="n">
        <x:v>17435.25817626915</x:v>
      </x:c>
      <x:c r="F405" s="44" t="n">
        <x:v>976.6259097140488</x:v>
      </x:c>
      <x:c r="G405" s="44" t="n">
        <x:v>3130.543367879883</x:v>
      </x:c>
      <x:c r="H405" s="44" t="n">
        <x:v>93479.55009805766</x:v>
      </x:c>
      <x:c r="I405" s="44" t="n">
        <x:v>116792</x:v>
      </x:c>
      <x:c r="J405" s="44" t="n">
        <x:v>17120</x:v>
      </x:c>
      <x:c r="K405" s="44" t="n">
        <x:v>2020.1792671154076</x:v>
      </x:c>
      <x:c r="L405" s="44" t="n">
        <x:v>1043.5533574013587</x:v>
      </x:c>
    </x:row>
    <x:row r="406" ht="15" hidden="0" customHeight="1">
      <x:c r="A406" s="27" t="str">
        <x:v>48375</x:v>
      </x:c>
      <x:c r="B406" s="27" t="str">
        <x:v>SCA-12</x:v>
      </x:c>
      <x:c r="C406" s="43" t="n">
        <x:v>114453</x:v>
      </x:c>
      <x:c r="D406" s="43" t="n">
        <x:v>1086.238639489403</x:v>
      </x:c>
      <x:c r="E406" s="43" t="n">
        <x:v>16428.96806147091</x:v>
      </x:c>
      <x:c r="F406" s="43" t="n">
        <x:v>987.2475206721622</x:v>
      </x:c>
      <x:c r="G406" s="43" t="n">
        <x:v>4487.960098792535</x:v>
      </x:c>
      <x:c r="H406" s="43" t="n">
        <x:v>91462.585679575</x:v>
      </x:c>
      <x:c r="I406" s="43" t="n">
        <x:v>114453</x:v>
      </x:c>
      <x:c r="J406" s="43" t="n">
        <x:v>16346</x:v>
      </x:c>
      <x:c r="K406" s="43" t="n">
        <x:v>1388.945824266944</x:v>
      </x:c>
      <x:c r="L406" s="43" t="n">
        <x:v>401.6983035947819</x:v>
      </x:c>
    </x:row>
    <x:row r="407" ht="15" hidden="0" customHeight="1">
      <x:c r="A407" s="29" t="str">
        <x:v>56021</x:v>
      </x:c>
      <x:c r="B407" s="29" t="str">
        <x:v>SCA-12</x:v>
      </x:c>
      <x:c r="C407" s="44" t="n">
        <x:v>102938</x:v>
      </x:c>
      <x:c r="D407" s="44" t="n">
        <x:v>1068.2677192229862</x:v>
      </x:c>
      <x:c r="E407" s="44" t="n">
        <x:v>14197.825697823697</x:v>
      </x:c>
      <x:c r="F407" s="44" t="n">
        <x:v>682.2505610434121</x:v>
      </x:c>
      <x:c r="G407" s="44" t="n">
        <x:v>2427.2591432415497</x:v>
      </x:c>
      <x:c r="H407" s="44" t="n">
        <x:v>84562.39687866835</x:v>
      </x:c>
      <x:c r="I407" s="44" t="n">
        <x:v>102938</x:v>
      </x:c>
      <x:c r="J407" s="44" t="n">
        <x:v>13989</x:v>
      </x:c>
      <x:c r="K407" s="44" t="n">
        <x:v>1158.9422095237442</x:v>
      </x:c>
      <x:c r="L407" s="44" t="n">
        <x:v>476.69164848033216</x:v>
      </x:c>
    </x:row>
    <x:row r="408" ht="15" hidden="0" customHeight="1">
      <x:c r="A408" s="27" t="str">
        <x:v>08014</x:v>
      </x:c>
      <x:c r="B408" s="27" t="str">
        <x:v>SCA-12</x:v>
      </x:c>
      <x:c r="C408" s="43" t="n">
        <x:v>79174</x:v>
      </x:c>
      <x:c r="D408" s="43" t="n">
        <x:v>576.5845234935033</x:v>
      </x:c>
      <x:c r="E408" s="43" t="n">
        <x:v>7020.694350975813</x:v>
      </x:c>
      <x:c r="F408" s="43" t="n">
        <x:v>438.34672406502074</x:v>
      </x:c>
      <x:c r="G408" s="43" t="n">
        <x:v>1709.5229866856682</x:v>
      </x:c>
      <x:c r="H408" s="43" t="n">
        <x:v>69428.85141478</x:v>
      </x:c>
      <x:c r="I408" s="43" t="n">
        <x:v>79174</x:v>
      </x:c>
      <x:c r="J408" s="43" t="n">
        <x:v>7000</x:v>
      </x:c>
      <x:c r="K408" s="43" t="n">
        <x:v>722.4023162678651</x:v>
      </x:c>
      <x:c r="L408" s="43" t="n">
        <x:v>284.05559220284437</x:v>
      </x:c>
    </x:row>
    <x:row r="409" ht="15" hidden="0" customHeight="1">
      <x:c r="A409" s="29" t="str">
        <x:v>08045</x:v>
      </x:c>
      <x:c r="B409" s="29" t="str">
        <x:v>SCA-12</x:v>
      </x:c>
      <x:c r="C409" s="44" t="n">
        <x:v>63474</x:v>
      </x:c>
      <x:c r="D409" s="44" t="n">
        <x:v>473.8524027463459</x:v>
      </x:c>
      <x:c r="E409" s="44" t="n">
        <x:v>5906.98324466795</x:v>
      </x:c>
      <x:c r="F409" s="44" t="n">
        <x:v>351.42369923589973</x:v>
      </x:c>
      <x:c r="G409" s="44" t="n">
        <x:v>1635.4434293291076</x:v>
      </x:c>
      <x:c r="H409" s="44" t="n">
        <x:v>55106.2972240207</x:v>
      </x:c>
      <x:c r="I409" s="44" t="n">
        <x:v>63474</x:v>
      </x:c>
      <x:c r="J409" s="44" t="n">
        <x:v>5995</x:v>
      </x:c>
      <x:c r="K409" s="44" t="n">
        <x:v>579.151800121081</x:v>
      </x:c>
      <x:c r="L409" s="44" t="n">
        <x:v>227.72810088518128</x:v>
      </x:c>
    </x:row>
    <x:row r="410" ht="15" hidden="0" customHeight="1">
      <x:c r="A410" s="27" t="str">
        <x:v>08067</x:v>
      </x:c>
      <x:c r="B410" s="27" t="str">
        <x:v>SCA-12</x:v>
      </x:c>
      <x:c r="C410" s="43" t="n">
        <x:v>56898</x:v>
      </x:c>
      <x:c r="D410" s="43" t="n">
        <x:v>444.6345599012916</x:v>
      </x:c>
      <x:c r="E410" s="43" t="n">
        <x:v>5771.986225922881</x:v>
      </x:c>
      <x:c r="F410" s="43" t="n">
        <x:v>315.01568577881056</x:v>
      </x:c>
      <x:c r="G410" s="43" t="n">
        <x:v>1023.1120323053283</x:v>
      </x:c>
      <x:c r="H410" s="43" t="n">
        <x:v>49343.25149609169</x:v>
      </x:c>
      <x:c r="I410" s="43" t="n">
        <x:v>56898</x:v>
      </x:c>
      <x:c r="J410" s="43" t="n">
        <x:v>5914</x:v>
      </x:c>
      <x:c r="K410" s="43" t="n">
        <x:v>519.1508195999821</x:v>
      </x:c>
      <x:c r="L410" s="43" t="n">
        <x:v>204.13513382117156</x:v>
      </x:c>
    </x:row>
    <x:row r="411" ht="15" hidden="0" customHeight="1">
      <x:c r="A411" s="29" t="str">
        <x:v>08037</x:v>
      </x:c>
      <x:c r="B411" s="29" t="str">
        <x:v>SCA-12</x:v>
      </x:c>
      <x:c r="C411" s="44" t="n">
        <x:v>54291</x:v>
      </x:c>
      <x:c r="D411" s="44" t="n">
        <x:v>337.56526832847663</x:v>
      </x:c>
      <x:c r="E411" s="44" t="n">
        <x:v>3426.8008381602594</x:v>
      </x:c>
      <x:c r="F411" s="44" t="n">
        <x:v>300.582034458459</x:v>
      </x:c>
      <x:c r="G411" s="44" t="n">
        <x:v>1736.7724293210829</x:v>
      </x:c>
      <x:c r="H411" s="44" t="n">
        <x:v>48489.27942973172</x:v>
      </x:c>
      <x:c r="I411" s="44" t="n">
        <x:v>54291</x:v>
      </x:c>
      <x:c r="J411" s="44" t="n">
        <x:v>3621</x:v>
      </x:c>
      <x:c r="K411" s="44" t="n">
        <x:v>495.3639345302582</x:v>
      </x:c>
      <x:c r="L411" s="44" t="n">
        <x:v>194.78190007179913</x:v>
      </x:c>
    </x:row>
    <x:row r="412" ht="15" hidden="0" customHeight="1">
      <x:c r="A412" s="27" t="str">
        <x:v>08043</x:v>
      </x:c>
      <x:c r="B412" s="27" t="str">
        <x:v>SCA-12</x:v>
      </x:c>
      <x:c r="C412" s="43" t="n">
        <x:v>50039</x:v>
      </x:c>
      <x:c r="D412" s="43" t="n">
        <x:v>559.0534243594506</x:v>
      </x:c>
      <x:c r="E412" s="43" t="n">
        <x:v>9108.638100991842</x:v>
      </x:c>
      <x:c r="F412" s="43" t="n">
        <x:v>277.04084327543853</x:v>
      </x:c>
      <x:c r="G412" s="43" t="n">
        <x:v>800.2547986585162</x:v>
      </x:c>
      <x:c r="H412" s="43" t="n">
        <x:v>39294.012832714754</x:v>
      </x:c>
      <x:c r="I412" s="43" t="n">
        <x:v>50039</x:v>
      </x:c>
      <x:c r="J412" s="43" t="n">
        <x:v>7972</x:v>
      </x:c>
      <x:c r="K412" s="43" t="n">
        <x:v>456.5676800935623</x:v>
      </x:c>
      <x:c r="L412" s="43" t="n">
        <x:v>179.52683681812374</x:v>
      </x:c>
    </x:row>
    <x:row r="413" ht="15" hidden="0" customHeight="1">
      <x:c r="A413" s="29" t="str">
        <x:v>56005</x:v>
      </x:c>
      <x:c r="B413" s="29" t="str">
        <x:v>SCA-12</x:v>
      </x:c>
      <x:c r="C413" s="44" t="n">
        <x:v>48145</x:v>
      </x:c>
      <x:c r="D413" s="44" t="n">
        <x:v>425.77087248130124</x:v>
      </x:c>
      <x:c r="E413" s="44" t="n">
        <x:v>4867.632786040822</x:v>
      </x:c>
      <x:c r="F413" s="44" t="n">
        <x:v>319.09453517102594</x:v>
      </x:c>
      <x:c r="G413" s="44" t="n">
        <x:v>1203.7969866718176</x:v>
      </x:c>
      <x:c r="H413" s="44" t="n">
        <x:v>41328.70481963504</x:v>
      </x:c>
      <x:c r="I413" s="44" t="n">
        <x:v>48145</x:v>
      </x:c>
      <x:c r="J413" s="44" t="n">
        <x:v>4907</x:v>
      </x:c>
      <x:c r="K413" s="44" t="n">
        <x:v>542.0473749006262</x:v>
      </x:c>
      <x:c r="L413" s="44" t="n">
        <x:v>222.95283972960027</x:v>
      </x:c>
    </x:row>
    <x:row r="414" ht="15" hidden="0" customHeight="1">
      <x:c r="A414" s="27" t="str">
        <x:v>08085</x:v>
      </x:c>
      <x:c r="B414" s="27" t="str">
        <x:v>SCA-12</x:v>
      </x:c>
      <x:c r="C414" s="43" t="n">
        <x:v>44591</x:v>
      </x:c>
      <x:c r="D414" s="43" t="n">
        <x:v>411.9749440627085</x:v>
      </x:c>
      <x:c r="E414" s="43" t="n">
        <x:v>6047.858532135453</x:v>
      </x:c>
      <x:c r="F414" s="43" t="n">
        <x:v>246.87800000989387</x:v>
      </x:c>
      <x:c r="G414" s="43" t="n">
        <x:v>792.1684519695922</x:v>
      </x:c>
      <x:c r="H414" s="43" t="n">
        <x:v>37092.120071822355</x:v>
      </x:c>
      <x:c r="I414" s="43" t="n">
        <x:v>44591</x:v>
      </x:c>
      <x:c r="J414" s="43" t="n">
        <x:v>6133</x:v>
      </x:c>
      <x:c r="K414" s="43" t="n">
        <x:v>406.85883856695847</x:v>
      </x:c>
      <x:c r="L414" s="43" t="n">
        <x:v>159.9808385570646</x:v>
      </x:c>
    </x:row>
    <x:row r="415" ht="15" hidden="0" customHeight="1">
      <x:c r="A415" s="29" t="str">
        <x:v>35039</x:v>
      </x:c>
      <x:c r="B415" s="29" t="str">
        <x:v>SCA-12</x:v>
      </x:c>
      <x:c r="C415" s="44" t="n">
        <x:v>39832</x:v>
      </x:c>
      <x:c r="D415" s="44" t="n">
        <x:v>367.26011124426145</x:v>
      </x:c>
      <x:c r="E415" s="44" t="n">
        <x:v>6049.922016504126</x:v>
      </x:c>
      <x:c r="F415" s="44" t="n">
        <x:v>300.6027753383334</x:v>
      </x:c>
      <x:c r="G415" s="44" t="n">
        <x:v>775.2843960990247</x:v>
      </x:c>
      <x:c r="H415" s="44" t="n">
        <x:v>32338.930700814257</x:v>
      </x:c>
      <x:c r="I415" s="44" t="n">
        <x:v>39832</x:v>
      </x:c>
      <x:c r="J415" s="44" t="n">
        <x:v>6327</x:v>
      </x:c>
      <x:c r="K415" s="44" t="n">
        <x:v>415.78280256158956</x:v>
      </x:c>
      <x:c r="L415" s="44" t="n">
        <x:v>115.18002722325618</x:v>
      </x:c>
    </x:row>
    <x:row r="416" ht="15" hidden="0" customHeight="1">
      <x:c r="A416" s="27" t="str">
        <x:v>56001</x:v>
      </x:c>
      <x:c r="B416" s="27" t="str">
        <x:v>SCA-12</x:v>
      </x:c>
      <x:c r="C416" s="43" t="n">
        <x:v>38558</x:v>
      </x:c>
      <x:c r="D416" s="43" t="n">
        <x:v>355.97125347016714</x:v>
      </x:c>
      <x:c r="E416" s="43" t="n">
        <x:v>4257.947651815443</x:v>
      </x:c>
      <x:c r="F416" s="43" t="n">
        <x:v>255.55399495533115</x:v>
      </x:c>
      <x:c r="G416" s="43" t="n">
        <x:v>1309.311756778183</x:v>
      </x:c>
      <x:c r="H416" s="43" t="n">
        <x:v>32379.215342980875</x:v>
      </x:c>
      <x:c r="I416" s="43" t="n">
        <x:v>38558</x:v>
      </x:c>
      <x:c r="J416" s="43" t="n">
        <x:v>4353</x:v>
      </x:c>
      <x:c r="K416" s="43" t="n">
        <x:v>434.1107629331882</x:v>
      </x:c>
      <x:c r="L416" s="43" t="n">
        <x:v>178.55676797785705</x:v>
      </x:c>
    </x:row>
    <x:row r="417" ht="15" hidden="0" customHeight="1">
      <x:c r="A417" s="29" t="str">
        <x:v>31157</x:v>
      </x:c>
      <x:c r="B417" s="29" t="str">
        <x:v>SCA-12</x:v>
      </x:c>
      <x:c r="C417" s="44" t="n">
        <x:v>35586</x:v>
      </x:c>
      <x:c r="D417" s="44" t="n">
        <x:v>430.51665971927105</x:v>
      </x:c>
      <x:c r="E417" s="44" t="n">
        <x:v>5162.799418446161</x:v>
      </x:c>
      <x:c r="F417" s="44" t="n">
        <x:v>169.35976978905924</x:v>
      </x:c>
      <x:c r="G417" s="44" t="n">
        <x:v>1139.6153736937756</x:v>
      </x:c>
      <x:c r="H417" s="44" t="n">
        <x:v>28683.708778351735</x:v>
      </x:c>
      <x:c r="I417" s="44" t="n">
        <x:v>35586</x:v>
      </x:c>
      <x:c r="J417" s="44" t="n">
        <x:v>5322</x:v>
      </x:c>
      <x:c r="K417" s="44" t="n">
        <x:v>384.7597870730735</x:v>
      </x:c>
      <x:c r="L417" s="44" t="n">
        <x:v>215.40001728401424</x:v>
      </x:c>
    </x:row>
    <x:row r="418" ht="15" hidden="0" customHeight="1">
      <x:c r="A418" s="27" t="str">
        <x:v>35055</x:v>
      </x:c>
      <x:c r="B418" s="27" t="str">
        <x:v>SCA-12</x:v>
      </x:c>
      <x:c r="C418" s="43" t="n">
        <x:v>34564</x:v>
      </x:c>
      <x:c r="D418" s="43" t="n">
        <x:v>392.0783910030832</x:v>
      </x:c>
      <x:c r="E418" s="43" t="n">
        <x:v>7011.157266212201</x:v>
      </x:c>
      <x:c r="F418" s="43" t="n">
        <x:v>260.84641310489445</x:v>
      </x:c>
      <x:c r="G418" s="43" t="n">
        <x:v>421.95580609450565</x:v>
      </x:c>
      <x:c r="H418" s="43" t="n">
        <x:v>26477.962123585316</x:v>
      </x:c>
      <x:c r="I418" s="43" t="n">
        <x:v>34564</x:v>
      </x:c>
      <x:c r="J418" s="43" t="n">
        <x:v>7253</x:v>
      </x:c>
      <x:c r="K418" s="43" t="n">
        <x:v>360.7932513491359</x:v>
      </x:c>
      <x:c r="L418" s="43" t="n">
        <x:v>99.94683824424148</x:v>
      </x:c>
    </x:row>
    <x:row r="419" ht="15" hidden="0" customHeight="1">
      <x:c r="A419" s="29" t="str">
        <x:v>31111</x:v>
      </x:c>
      <x:c r="B419" s="29" t="str">
        <x:v>SCA-12</x:v>
      </x:c>
      <x:c r="C419" s="44" t="n">
        <x:v>33303</x:v>
      </x:c>
      <x:c r="D419" s="44" t="n">
        <x:v>433.51062150368296</x:v>
      </x:c>
      <x:c r="E419" s="44" t="n">
        <x:v>5566.307335168122</x:v>
      </x:c>
      <x:c r="F419" s="44" t="n">
        <x:v>158.49458813255322</x:v>
      </x:c>
      <x:c r="G419" s="44" t="n">
        <x:v>569.0412827569703</x:v>
      </x:c>
      <x:c r="H419" s="44" t="n">
        <x:v>26575.64617243867</x:v>
      </x:c>
      <x:c r="I419" s="44" t="n">
        <x:v>33303</x:v>
      </x:c>
      <x:c r="J419" s="44" t="n">
        <x:v>5820</x:v>
      </x:c>
      <x:c r="K419" s="44" t="n">
        <x:v>360.07573733756436</x:v>
      </x:c>
      <x:c r="L419" s="44" t="n">
        <x:v>201.58114920501114</x:v>
      </x:c>
    </x:row>
    <x:row r="420" ht="15" hidden="0" customHeight="1">
      <x:c r="A420" s="27" t="str">
        <x:v>08029</x:v>
      </x:c>
      <x:c r="B420" s="27" t="str">
        <x:v>SCA-12</x:v>
      </x:c>
      <x:c r="C420" s="43" t="n">
        <x:v>32178</x:v>
      </x:c>
      <x:c r="D420" s="43" t="n">
        <x:v>356.70007802090083</x:v>
      </x:c>
      <x:c r="E420" s="43" t="n">
        <x:v>5790.0920397070795</x:v>
      </x:c>
      <x:c r="F420" s="43" t="n">
        <x:v>178.1534454109207</x:v>
      </x:c>
      <x:c r="G420" s="43" t="n">
        <x:v>735.3695687550854</x:v>
      </x:c>
      <x:c r="H420" s="43" t="n">
        <x:v>25117.68486810602</x:v>
      </x:c>
      <x:c r="I420" s="43" t="n">
        <x:v>32178</x:v>
      </x:c>
      <x:c r="J420" s="43" t="n">
        <x:v>5759</x:v>
      </x:c>
      <x:c r="K420" s="43" t="n">
        <x:v>293.5996884440266</x:v>
      </x:c>
      <x:c r="L420" s="43" t="n">
        <x:v>115.44624303310589</x:v>
      </x:c>
    </x:row>
    <x:row r="421" ht="15" hidden="0" customHeight="1">
      <x:c r="A421" s="29" t="str">
        <x:v>08117</x:v>
      </x:c>
      <x:c r="B421" s="29" t="str">
        <x:v>SCA-12</x:v>
      </x:c>
      <x:c r="C421" s="44" t="n">
        <x:v>31517</x:v>
      </x:c>
      <x:c r="D421" s="44" t="n">
        <x:v>191.9181015726986</x:v>
      </x:c>
      <x:c r="E421" s="44" t="n">
        <x:v>1892.2404853491676</x:v>
      </x:c>
      <x:c r="F421" s="44" t="n">
        <x:v>174.49381997066283</x:v>
      </x:c>
      <x:c r="G421" s="44" t="n">
        <x:v>520.2901123015362</x:v>
      </x:c>
      <x:c r="H421" s="44" t="n">
        <x:v>28738.057480805932</x:v>
      </x:c>
      <x:c r="I421" s="44" t="n">
        <x:v>31517</x:v>
      </x:c>
      <x:c r="J421" s="44" t="n">
        <x:v>1938</x:v>
      </x:c>
      <x:c r="K421" s="44" t="n">
        <x:v>287.5685679871461</x:v>
      </x:c>
      <x:c r="L421" s="44" t="n">
        <x:v>113.07474801648326</x:v>
      </x:c>
    </x:row>
    <x:row r="422" ht="15" hidden="0" customHeight="1">
      <x:c r="A422" s="27" t="str">
        <x:v>46093</x:v>
      </x:c>
      <x:c r="B422" s="27" t="str">
        <x:v>SCA-12</x:v>
      </x:c>
      <x:c r="C422" s="43" t="n">
        <x:v>30711</x:v>
      </x:c>
      <x:c r="D422" s="43" t="n">
        <x:v>446.2032488101133</x:v>
      </x:c>
      <x:c r="E422" s="43" t="n">
        <x:v>4123.1048720893805</x:v>
      </x:c>
      <x:c r="F422" s="43" t="n">
        <x:v>256.8083285946654</x:v>
      </x:c>
      <x:c r="G422" s="43" t="n">
        <x:v>747.4712679683965</x:v>
      </x:c>
      <x:c r="H422" s="43" t="n">
        <x:v>25137.412282537443</x:v>
      </x:c>
      <x:c r="I422" s="43" t="n">
        <x:v>30711</x:v>
      </x:c>
      <x:c r="J422" s="43" t="n">
        <x:v>4018</x:v>
      </x:c>
      <x:c r="K422" s="43" t="n">
        <x:v>531.2155410677211</x:v>
      </x:c>
      <x:c r="L422" s="43" t="n">
        <x:v>274.4072124730557</x:v>
      </x:c>
    </x:row>
    <x:row r="423" ht="15" hidden="0" customHeight="1">
      <x:c r="A423" s="29" t="str">
        <x:v>08039</x:v>
      </x:c>
      <x:c r="B423" s="29" t="str">
        <x:v>SCA-12</x:v>
      </x:c>
      <x:c r="C423" s="44" t="n">
        <x:v>30534</x:v>
      </x:c>
      <x:c r="D423" s="44" t="n">
        <x:v>237.53601235461565</x:v>
      </x:c>
      <x:c r="E423" s="44" t="n">
        <x:v>3071.712266100292</x:v>
      </x:c>
      <x:c r="F423" s="44" t="n">
        <x:v>169.0514420466484</x:v>
      </x:c>
      <x:c r="G423" s="44" t="n">
        <x:v>313.77061809280394</x:v>
      </x:c>
      <x:c r="H423" s="44" t="n">
        <x:v>26741.92966140564</x:v>
      </x:c>
      <x:c r="I423" s="44" t="n">
        <x:v>30534</x:v>
      </x:c>
      <x:c r="J423" s="44" t="n">
        <x:v>2911</x:v>
      </x:c>
      <x:c r="K423" s="44" t="n">
        <x:v>278.59944331375186</x:v>
      </x:c>
      <x:c r="L423" s="44" t="n">
        <x:v>109.54800126710346</x:v>
      </x:c>
    </x:row>
    <x:row r="424" ht="15" hidden="0" customHeight="1">
      <x:c r="A424" s="27" t="str">
        <x:v>08087</x:v>
      </x:c>
      <x:c r="B424" s="27" t="str">
        <x:v>SCA-12</x:v>
      </x:c>
      <x:c r="C424" s="43" t="n">
        <x:v>30306</x:v>
      </x:c>
      <x:c r="D424" s="43" t="n">
        <x:v>250.25315139160344</x:v>
      </x:c>
      <x:c r="E424" s="43" t="n">
        <x:v>3396.5557069682695</x:v>
      </x:c>
      <x:c r="F424" s="43" t="n">
        <x:v>167.7891204121873</x:v>
      </x:c>
      <x:c r="G424" s="43" t="n">
        <x:v>809.0614321564852</x:v>
      </x:c>
      <x:c r="H424" s="43" t="n">
        <x:v>25682.340589071453</x:v>
      </x:c>
      <x:c r="I424" s="43" t="n">
        <x:v>30306</x:v>
      </x:c>
      <x:c r="J424" s="43" t="n">
        <x:v>3396</x:v>
      </x:c>
      <x:c r="K424" s="43" t="n">
        <x:v>276.51911734677947</x:v>
      </x:c>
      <x:c r="L424" s="43" t="n">
        <x:v>108.72999693459218</x:v>
      </x:c>
    </x:row>
    <x:row r="425" ht="15" hidden="0" customHeight="1">
      <x:c r="A425" s="29" t="str">
        <x:v>46081</x:v>
      </x:c>
      <x:c r="B425" s="29" t="str">
        <x:v>SCA-12</x:v>
      </x:c>
      <x:c r="C425" s="44" t="n">
        <x:v>29459</x:v>
      </x:c>
      <x:c r="D425" s="44" t="n">
        <x:v>457.66464838701023</x:v>
      </x:c>
      <x:c r="E425" s="44" t="n">
        <x:v>4666.6616738261</x:v>
      </x:c>
      <x:c r="F425" s="44" t="n">
        <x:v>246.33898447039326</x:v>
      </x:c>
      <x:c r="G425" s="44" t="n">
        <x:v>649.6202044141608</x:v>
      </x:c>
      <x:c r="H425" s="44" t="n">
        <x:v>23438.714488902333</x:v>
      </x:c>
      <x:c r="I425" s="44" t="n">
        <x:v>29459</x:v>
      </x:c>
      <x:c r="J425" s="44" t="n">
        <x:v>4456</x:v>
      </x:c>
      <x:c r="K425" s="44" t="n">
        <x:v>509.5593964479827</x:v>
      </x:c>
      <x:c r="L425" s="44" t="n">
        <x:v>263.22041197758944</x:v>
      </x:c>
    </x:row>
    <x:row r="426" ht="15" hidden="0" customHeight="1">
      <x:c r="A426" s="27" t="str">
        <x:v>08083</x:v>
      </x:c>
      <x:c r="B426" s="27" t="str">
        <x:v>SCA-12</x:v>
      </x:c>
      <x:c r="C426" s="43" t="n">
        <x:v>26678</x:v>
      </x:c>
      <x:c r="D426" s="43" t="n">
        <x:v>251.99502223970555</x:v>
      </x:c>
      <x:c r="E426" s="43" t="n">
        <x:v>3750.752156622821</x:v>
      </x:c>
      <x:c r="F426" s="43" t="n">
        <x:v>147.70270422874458</x:v>
      </x:c>
      <x:c r="G426" s="43" t="n">
        <x:v>662.353624961762</x:v>
      </x:c>
      <x:c r="H426" s="43" t="n">
        <x:v>21865.19649194697</x:v>
      </x:c>
      <x:c r="I426" s="43" t="n">
        <x:v>26678</x:v>
      </x:c>
      <x:c r="J426" s="43" t="n">
        <x:v>3830</x:v>
      </x:c>
      <x:c r="K426" s="43" t="n">
        <x:v>243.41638660916595</x:v>
      </x:c>
      <x:c r="L426" s="43" t="n">
        <x:v>95.71368238042137</x:v>
      </x:c>
    </x:row>
    <x:row r="427" ht="15" hidden="0" customHeight="1">
      <x:c r="A427" s="29" t="str">
        <x:v>35047</x:v>
      </x:c>
      <x:c r="B427" s="29" t="str">
        <x:v>SCA-12</x:v>
      </x:c>
      <x:c r="C427" s="44" t="n">
        <x:v>26260</x:v>
      </x:c>
      <x:c r="D427" s="44" t="n">
        <x:v>322.3492544032703</x:v>
      </x:c>
      <x:c r="E427" s="44" t="n">
        <x:v>5913.951387733495</x:v>
      </x:c>
      <x:c r="F427" s="44" t="n">
        <x:v>198.17806990320935</x:v>
      </x:c>
      <x:c r="G427" s="44" t="n">
        <x:v>1045.9310670800878</x:v>
      </x:c>
      <x:c r="H427" s="44" t="n">
        <x:v>18779.590220879938</x:v>
      </x:c>
      <x:c r="I427" s="44" t="n">
        <x:v>26260</x:v>
      </x:c>
      <x:c r="J427" s="44" t="n">
        <x:v>6204</x:v>
      </x:c>
      <x:c r="K427" s="44" t="n">
        <x:v>274.1126831509174</x:v>
      </x:c>
      <x:c r="L427" s="44" t="n">
        <x:v>75.93461324770806</x:v>
      </x:c>
    </x:row>
    <x:row r="428" ht="15" hidden="0" customHeight="1">
      <x:c r="A428" s="27" t="str">
        <x:v>08107</x:v>
      </x:c>
      <x:c r="B428" s="27" t="str">
        <x:v>SCA-12</x:v>
      </x:c>
      <x:c r="C428" s="43" t="n">
        <x:v>25329</x:v>
      </x:c>
      <x:c r="D428" s="43" t="n">
        <x:v>166.33099609544138</x:v>
      </x:c>
      <x:c r="E428" s="43" t="n">
        <x:v>1810.9721443770827</x:v>
      </x:c>
      <x:c r="F428" s="43" t="n">
        <x:v>140.23396789151627</x:v>
      </x:c>
      <x:c r="G428" s="43" t="n">
        <x:v>216.57236921347413</x:v>
      </x:c>
      <x:c r="H428" s="43" t="n">
        <x:v>22994.890522422487</x:v>
      </x:c>
      <x:c r="I428" s="43" t="n">
        <x:v>25329</x:v>
      </x:c>
      <x:c r="J428" s="43" t="n">
        <x:v>1855</x:v>
      </x:c>
      <x:c r="K428" s="43" t="n">
        <x:v>231.1077913045792</x:v>
      </x:c>
      <x:c r="L428" s="43" t="n">
        <x:v>90.87382341306294</x:v>
      </x:c>
    </x:row>
    <x:row r="429" ht="15" hidden="0" customHeight="1">
      <x:c r="A429" s="29" t="str">
        <x:v>08119</x:v>
      </x:c>
      <x:c r="B429" s="29" t="str">
        <x:v>SCA-12</x:v>
      </x:c>
      <x:c r="C429" s="44" t="n">
        <x:v>24756</x:v>
      </x:c>
      <x:c r="D429" s="44" t="n">
        <x:v>211.3095621863575</x:v>
      </x:c>
      <x:c r="E429" s="44" t="n">
        <x:v>2939.796307667382</x:v>
      </x:c>
      <x:c r="F429" s="44" t="n">
        <x:v>137.0615543101732</x:v>
      </x:c>
      <x:c r="G429" s="44" t="n">
        <x:v>453.4858641500263</x:v>
      </x:c>
      <x:c r="H429" s="44" t="n">
        <x:v>21014.34671168606</x:v>
      </x:c>
      <x:c r="I429" s="44" t="n">
        <x:v>24756</x:v>
      </x:c>
      <x:c r="J429" s="44" t="n">
        <x:v>3054</x:v>
      </x:c>
      <x:c r="K429" s="44" t="n">
        <x:v>225.87960367705645</x:v>
      </x:c>
      <x:c r="L429" s="44" t="n">
        <x:v>88.81804936688326</x:v>
      </x:c>
    </x:row>
    <x:row r="430" ht="15" hidden="0" customHeight="1">
      <x:c r="A430" s="27" t="str">
        <x:v>48341</x:v>
      </x:c>
      <x:c r="B430" s="27" t="str">
        <x:v>SCA-12</x:v>
      </x:c>
      <x:c r="C430" s="43" t="n">
        <x:v>21891</x:v>
      </x:c>
      <x:c r="D430" s="43" t="n">
        <x:v>169.63978139778519</x:v>
      </x:c>
      <x:c r="E430" s="43" t="n">
        <x:v>2227.4025501459646</x:v>
      </x:c>
      <x:c r="F430" s="43" t="n">
        <x:v>188.82716464430206</x:v>
      </x:c>
      <x:c r="G430" s="43" t="n">
        <x:v>753.2040446369714</x:v>
      </x:c>
      <x:c r="H430" s="43" t="n">
        <x:v>18551.926459174978</x:v>
      </x:c>
      <x:c r="I430" s="43" t="n">
        <x:v>21891</x:v>
      </x:c>
      <x:c r="J430" s="43" t="n">
        <x:v>2251</x:v>
      </x:c>
      <x:c r="K430" s="43" t="n">
        <x:v>265.65850645267204</x:v>
      </x:c>
      <x:c r="L430" s="43" t="n">
        <x:v>76.83134180836998</x:v>
      </x:c>
    </x:row>
    <x:row r="431" ht="15" hidden="0" customHeight="1">
      <x:c r="A431" s="29" t="str">
        <x:v>08015</x:v>
      </x:c>
      <x:c r="B431" s="29" t="str">
        <x:v>SCA-12</x:v>
      </x:c>
      <x:c r="C431" s="44" t="n">
        <x:v>20831</x:v>
      </x:c>
      <x:c r="D431" s="44" t="n">
        <x:v>169.9889923199255</x:v>
      </x:c>
      <x:c r="E431" s="44" t="n">
        <x:v>2286.0675787789924</x:v>
      </x:c>
      <x:c r="F431" s="44" t="n">
        <x:v>115.33079810289294</x:v>
      </x:c>
      <x:c r="G431" s="44" t="n">
        <x:v>248.8771527592642</x:v>
      </x:c>
      <x:c r="H431" s="44" t="n">
        <x:v>18010.735478038925</x:v>
      </x:c>
      <x:c r="I431" s="44" t="n">
        <x:v>20831</x:v>
      </x:c>
      <x:c r="J431" s="44" t="n">
        <x:v>2144</x:v>
      </x:c>
      <x:c r="K431" s="44" t="n">
        <x:v>190.06697464036043</x:v>
      </x:c>
      <x:c r="L431" s="44" t="n">
        <x:v>74.73617653746749</x:v>
      </x:c>
    </x:row>
    <x:row r="432" ht="15" hidden="0" customHeight="1">
      <x:c r="A432" s="27" t="str">
        <x:v>08075</x:v>
      </x:c>
      <x:c r="B432" s="27" t="str">
        <x:v>SCA-12</x:v>
      </x:c>
      <x:c r="C432" s="43" t="n">
        <x:v>20654</x:v>
      </x:c>
      <x:c r="D432" s="43" t="n">
        <x:v>209.60727289025934</x:v>
      </x:c>
      <x:c r="E432" s="43" t="n">
        <x:v>3252.1470247674783</x:v>
      </x:c>
      <x:c r="F432" s="43" t="n">
        <x:v>114.35083788666655</x:v>
      </x:c>
      <x:c r="G432" s="43" t="n">
        <x:v>828.4569442993</x:v>
      </x:c>
      <x:c r="H432" s="43" t="n">
        <x:v>16249.437920156295</x:v>
      </x:c>
      <x:c r="I432" s="43" t="n">
        <x:v>20654</x:v>
      </x:c>
      <x:c r="J432" s="43" t="n">
        <x:v>3139</x:v>
      </x:c>
      <x:c r="K432" s="43" t="n">
        <x:v>188.45198474494765</x:v>
      </x:c>
      <x:c r="L432" s="43" t="n">
        <x:v>74.1011468582811</x:v>
      </x:c>
    </x:row>
    <x:row r="433" ht="15" hidden="0" customHeight="1">
      <x:c r="A433" s="29" t="str">
        <x:v>35028</x:v>
      </x:c>
      <x:c r="B433" s="29" t="str">
        <x:v>SCA-12</x:v>
      </x:c>
      <x:c r="C433" s="44" t="n">
        <x:v>19407</x:v>
      </x:c>
      <x:c r="D433" s="44" t="n">
        <x:v>138.62135441106253</x:v>
      </x:c>
      <x:c r="E433" s="44" t="n">
        <x:v>1980.0765217391304</x:v>
      </x:c>
      <x:c r="F433" s="44" t="n">
        <x:v>146.46008387705956</x:v>
      </x:c>
      <x:c r="G433" s="44" t="n">
        <x:v>222.53623188405797</x:v>
      </x:c>
      <x:c r="H433" s="44" t="n">
        <x:v>16919.30580808869</x:v>
      </x:c>
      <x:c r="I433" s="44" t="n">
        <x:v>19407</x:v>
      </x:c>
      <x:c r="J433" s="44" t="n">
        <x:v>2046</x:v>
      </x:c>
      <x:c r="K433" s="44" t="n">
        <x:v>202.578249882325</x:v>
      </x:c>
      <x:c r="L433" s="44" t="n">
        <x:v>56.11816600526543</x:v>
      </x:c>
    </x:row>
    <x:row r="434" ht="15" hidden="0" customHeight="1">
      <x:c r="A434" s="27" t="str">
        <x:v>48117</x:v>
      </x:c>
      <x:c r="B434" s="27" t="str">
        <x:v>SCA-12</x:v>
      </x:c>
      <x:c r="C434" s="43" t="n">
        <x:v>18626</x:v>
      </x:c>
      <x:c r="D434" s="43" t="n">
        <x:v>127.40095155320293</x:v>
      </x:c>
      <x:c r="E434" s="43" t="n">
        <x:v>1488.6925124609736</x:v>
      </x:c>
      <x:c r="F434" s="43" t="n">
        <x:v>160.66396092753962</x:v>
      </x:c>
      <x:c r="G434" s="43" t="n">
        <x:v>452.8716656624856</x:v>
      </x:c>
      <x:c r="H434" s="43" t="n">
        <x:v>16396.3709093958</x:v>
      </x:c>
      <x:c r="I434" s="43" t="n">
        <x:v>18626</x:v>
      </x:c>
      <x:c r="J434" s="43" t="n">
        <x:v>1520</x:v>
      </x:c>
      <x:c r="K434" s="43" t="n">
        <x:v>226.03605779486864</x:v>
      </x:c>
      <x:c r="L434" s="43" t="n">
        <x:v>65.37209686732902</x:v>
      </x:c>
    </x:row>
    <x:row r="435" ht="15" hidden="0" customHeight="1">
      <x:c r="A435" s="29" t="str">
        <x:v>08093</x:v>
      </x:c>
      <x:c r="B435" s="29" t="str">
        <x:v>SCA-12</x:v>
      </x:c>
      <x:c r="C435" s="44" t="n">
        <x:v>18314</x:v>
      </x:c>
      <x:c r="D435" s="44" t="n">
        <x:v>145.69351628736726</x:v>
      </x:c>
      <x:c r="E435" s="44" t="n">
        <x:v>1919.704249253479</x:v>
      </x:c>
      <x:c r="F435" s="44" t="n">
        <x:v>101.3954316382498</x:v>
      </x:c>
      <x:c r="G435" s="44" t="n">
        <x:v>495.29077694517997</x:v>
      </x:c>
      <x:c r="H435" s="44" t="n">
        <x:v>15651.916025875724</x:v>
      </x:c>
      <x:c r="I435" s="44" t="n">
        <x:v>18314</x:v>
      </x:c>
      <x:c r="J435" s="44" t="n">
        <x:v>1938</x:v>
      </x:c>
      <x:c r="K435" s="44" t="n">
        <x:v>167.10127087338876</x:v>
      </x:c>
      <x:c r="L435" s="44" t="n">
        <x:v>65.70583923513895</x:v>
      </x:c>
    </x:row>
    <x:row r="436" ht="15" hidden="0" customHeight="1">
      <x:c r="A436" s="27" t="str">
        <x:v>08089</x:v>
      </x:c>
      <x:c r="B436" s="27" t="str">
        <x:v>SCA-12</x:v>
      </x:c>
      <x:c r="C436" s="43" t="n">
        <x:v>17683</x:v>
      </x:c>
      <x:c r="D436" s="43" t="n">
        <x:v>200.11613981740413</x:v>
      </x:c>
      <x:c r="E436" s="43" t="n">
        <x:v>3280.179922796956</x:v>
      </x:c>
      <x:c r="F436" s="43" t="n">
        <x:v>97.90190114989468</x:v>
      </x:c>
      <x:c r="G436" s="43" t="n">
        <x:v>761.9959744127054</x:v>
      </x:c>
      <x:c r="H436" s="43" t="n">
        <x:v>13342.80606182304</x:v>
      </x:c>
      <x:c r="I436" s="43" t="n">
        <x:v>17683</x:v>
      </x:c>
      <x:c r="J436" s="43" t="n">
        <x:v>3504</x:v>
      </x:c>
      <x:c r="K436" s="43" t="n">
        <x:v>161.34387751742565</x:v>
      </x:c>
      <x:c r="L436" s="43" t="n">
        <x:v>63.44197636753097</x:v>
      </x:c>
    </x:row>
    <x:row r="437" ht="15" hidden="0" customHeight="1">
      <x:c r="A437" s="29" t="str">
        <x:v>08051</x:v>
      </x:c>
      <x:c r="B437" s="29" t="str">
        <x:v>SCA-12</x:v>
      </x:c>
      <x:c r="C437" s="44" t="n">
        <x:v>17439</x:v>
      </x:c>
      <x:c r="D437" s="44" t="n">
        <x:v>133.9716270320407</x:v>
      </x:c>
      <x:c r="E437" s="44" t="n">
        <x:v>1713.7214114358912</x:v>
      </x:c>
      <x:c r="F437" s="44" t="n">
        <x:v>96.55099554108541</x:v>
      </x:c>
      <x:c r="G437" s="44" t="n">
        <x:v>276.47187609176666</x:v>
      </x:c>
      <x:c r="H437" s="44" t="n">
        <x:v>15218.284089899216</x:v>
      </x:c>
      <x:c r="I437" s="44" t="n">
        <x:v>17439</x:v>
      </x:c>
      <x:c r="J437" s="44" t="n">
        <x:v>1758</x:v>
      </x:c>
      <x:c r="K437" s="44" t="n">
        <x:v>159.11756376329728</x:v>
      </x:c>
      <x:c r="L437" s="44" t="n">
        <x:v>62.56656822221187</x:v>
      </x:c>
    </x:row>
    <x:row r="438" ht="15" hidden="0" customHeight="1">
      <x:c r="A438" s="27" t="str">
        <x:v>08003</x:v>
      </x:c>
      <x:c r="B438" s="27" t="str">
        <x:v>SCA-12</x:v>
      </x:c>
      <x:c r="C438" s="43" t="n">
        <x:v>16688</x:v>
      </x:c>
      <x:c r="D438" s="43" t="n">
        <x:v>189.21156263242358</x:v>
      </x:c>
      <x:c r="E438" s="43" t="n">
        <x:v>3104.1452609730786</x:v>
      </x:c>
      <x:c r="F438" s="43" t="n">
        <x:v>92.39308524511915</x:v>
      </x:c>
      <x:c r="G438" s="43" t="n">
        <x:v>626.0445333007754</x:v>
      </x:c>
      <x:c r="H438" s="43" t="n">
        <x:v>12676.205557848603</x:v>
      </x:c>
      <x:c r="I438" s="43" t="n">
        <x:v>16688</x:v>
      </x:c>
      <x:c r="J438" s="43" t="n">
        <x:v>3174</x:v>
      </x:c>
      <x:c r="K438" s="43" t="n">
        <x:v>152.26526200366447</x:v>
      </x:c>
      <x:c r="L438" s="43" t="n">
        <x:v>59.872176758545315</x:v>
      </x:c>
    </x:row>
    <x:row r="439" ht="15" hidden="0" customHeight="1">
      <x:c r="A439" s="29" t="str">
        <x:v>08097</x:v>
      </x:c>
      <x:c r="B439" s="29" t="str">
        <x:v>SCA-12</x:v>
      </x:c>
      <x:c r="C439" s="44" t="n">
        <x:v>16625</x:v>
      </x:c>
      <x:c r="D439" s="44" t="n">
        <x:v>119.42363229895969</x:v>
      </x:c>
      <x:c r="E439" s="44" t="n">
        <x:v>1434.659593280283</x:v>
      </x:c>
      <x:c r="F439" s="44" t="n">
        <x:v>92.04428584612333</x:v>
      </x:c>
      <x:c r="G439" s="44" t="n">
        <x:v>425.0209254347185</x:v>
      </x:c>
      <x:c r="H439" s="44" t="n">
        <x:v>14553.851563139915</x:v>
      </x:c>
      <x:c r="I439" s="44" t="n">
        <x:v>16625</x:v>
      </x:c>
      <x:c r="J439" s="44" t="n">
        <x:v>1525</x:v>
      </x:c>
      <x:c r="K439" s="44" t="n">
        <x:v>151.6904350917379</x:v>
      </x:c>
      <x:c r="L439" s="44" t="n">
        <x:v>59.646149245614566</x:v>
      </x:c>
    </x:row>
    <x:row r="440" ht="15" hidden="0" customHeight="1">
      <x:c r="A440" s="27" t="str">
        <x:v>08049</x:v>
      </x:c>
      <x:c r="B440" s="27" t="str">
        <x:v>SCA-12</x:v>
      </x:c>
      <x:c r="C440" s="43" t="n">
        <x:v>16496</x:v>
      </x:c>
      <x:c r="D440" s="43" t="n">
        <x:v>120.56766480038922</x:v>
      </x:c>
      <x:c r="E440" s="43" t="n">
        <x:v>1473.2240110929029</x:v>
      </x:c>
      <x:c r="F440" s="43" t="n">
        <x:v>91.33007755294139</x:v>
      </x:c>
      <x:c r="G440" s="43" t="n">
        <x:v>112.46438926005294</x:v>
      </x:c>
      <x:c r="H440" s="43" t="n">
        <x:v>14698.413857293714</x:v>
      </x:c>
      <x:c r="I440" s="43" t="n">
        <x:v>16496</x:v>
      </x:c>
      <x:c r="J440" s="43" t="n">
        <x:v>1476</x:v>
      </x:c>
      <x:c r="K440" s="43" t="n">
        <x:v>150.51340855779299</x:v>
      </x:c>
      <x:c r="L440" s="43" t="n">
        <x:v>59.1833310048516</x:v>
      </x:c>
    </x:row>
    <x:row r="441" ht="15" hidden="0" customHeight="1">
      <x:c r="A441" s="29" t="str">
        <x:v>08071</x:v>
      </x:c>
      <x:c r="B441" s="29" t="str">
        <x:v>SCA-12</x:v>
      </x:c>
      <x:c r="C441" s="44" t="n">
        <x:v>14391</x:v>
      </x:c>
      <x:c r="D441" s="44" t="n">
        <x:v>176.21922074259183</x:v>
      </x:c>
      <x:c r="E441" s="44" t="n">
        <x:v>2990.113892646424</x:v>
      </x:c>
      <x:c r="F441" s="44" t="n">
        <x:v>79.67574842776307</x:v>
      </x:c>
      <x:c r="G441" s="44" t="n">
        <x:v>590.0251834796373</x:v>
      </x:c>
      <x:c r="H441" s="44" t="n">
        <x:v>10554.965954703584</x:v>
      </x:c>
      <x:c r="I441" s="44" t="n">
        <x:v>14391</x:v>
      </x:c>
      <x:c r="J441" s="44" t="n">
        <x:v>3008</x:v>
      </x:c>
      <x:c r="K441" s="44" t="n">
        <x:v>131.30689031008723</x:v>
      </x:c>
      <x:c r="L441" s="44" t="n">
        <x:v>51.631141882324165</x:v>
      </x:c>
    </x:row>
    <x:row r="442" ht="15" hidden="0" customHeight="1">
      <x:c r="A442" s="27" t="str">
        <x:v>08007</x:v>
      </x:c>
      <x:c r="B442" s="27" t="str">
        <x:v>SCA-12</x:v>
      </x:c>
      <x:c r="C442" s="43" t="n">
        <x:v>14306</x:v>
      </x:c>
      <x:c r="D442" s="43" t="n">
        <x:v>158.74041807373152</x:v>
      </x:c>
      <x:c r="E442" s="43" t="n">
        <x:v>2577.941614726772</x:v>
      </x:c>
      <x:c r="F442" s="43" t="n">
        <x:v>79.20514606403853</x:v>
      </x:c>
      <x:c r="G442" s="43" t="n">
        <x:v>298.5171764023771</x:v>
      </x:c>
      <x:c r="H442" s="43" t="n">
        <x:v>11191.595644733081</x:v>
      </x:c>
      <x:c r="I442" s="43" t="n">
        <x:v>14306</x:v>
      </x:c>
      <x:c r="J442" s="43" t="n">
        <x:v>2590</x:v>
      </x:c>
      <x:c r="K442" s="43" t="n">
        <x:v>130.5313301908212</x:v>
      </x:c>
      <x:c r="L442" s="43" t="n">
        <x:v>51.32618412678267</x:v>
      </x:c>
    </x:row>
    <x:row r="443" ht="15" hidden="0" customHeight="1">
      <x:c r="A443" s="29" t="str">
        <x:v>56007</x:v>
      </x:c>
      <x:c r="B443" s="29" t="str">
        <x:v>SCA-12</x:v>
      </x:c>
      <x:c r="C443" s="44" t="n">
        <x:v>14013</x:v>
      </x:c>
      <x:c r="D443" s="44" t="n">
        <x:v>150.29329511775683</x:v>
      </x:c>
      <x:c r="E443" s="44" t="n">
        <x:v>2049.6247005405403</x:v>
      </x:c>
      <x:c r="F443" s="44" t="n">
        <x:v>92.87510066157621</x:v>
      </x:c>
      <x:c r="G443" s="44" t="n">
        <x:v>407.7146666666667</x:v>
      </x:c>
      <x:c r="H443" s="44" t="n">
        <x:v>11312.492237013459</x:v>
      </x:c>
      <x:c r="I443" s="44" t="n">
        <x:v>14013</x:v>
      </x:c>
      <x:c r="J443" s="44" t="n">
        <x:v>2114</x:v>
      </x:c>
      <x:c r="K443" s="44" t="n">
        <x:v>157.76736659014384</x:v>
      </x:c>
      <x:c r="L443" s="44" t="n">
        <x:v>64.89226592856762</x:v>
      </x:c>
    </x:row>
    <x:row r="444" ht="15" hidden="0" customHeight="1">
      <x:c r="A444" s="27" t="str">
        <x:v>56009</x:v>
      </x:c>
      <x:c r="B444" s="27" t="str">
        <x:v>SCA-12</x:v>
      </x:c>
      <x:c r="C444" s="43" t="n">
        <x:v>13824</x:v>
      </x:c>
      <x:c r="D444" s="43" t="n">
        <x:v>157.33691823913932</x:v>
      </x:c>
      <x:c r="E444" s="43" t="n">
        <x:v>2239.6772444248177</x:v>
      </x:c>
      <x:c r="F444" s="43" t="n">
        <x:v>91.62244997827942</x:v>
      </x:c>
      <x:c r="G444" s="43" t="n">
        <x:v>313.37587399720326</x:v>
      </x:c>
      <x:c r="H444" s="43" t="n">
        <x:v>11021.98751336056</x:v>
      </x:c>
      <x:c r="I444" s="43" t="n">
        <x:v>13824</x:v>
      </x:c>
      <x:c r="J444" s="43" t="n">
        <x:v>2293</x:v>
      </x:c>
      <x:c r="K444" s="43" t="n">
        <x:v>155.63948303305133</x:v>
      </x:c>
      <x:c r="L444" s="43" t="n">
        <x:v>64.01703305477191</x:v>
      </x:c>
    </x:row>
    <x:row r="445" ht="15" hidden="0" customHeight="1">
      <x:c r="A445" s="29" t="str">
        <x:v>46102</x:v>
      </x:c>
      <x:c r="B445" s="29" t="str">
        <x:v>SCA-12</x:v>
      </x:c>
      <x:c r="C445" s="44" t="n">
        <x:v>13338</x:v>
      </x:c>
      <x:c r="D445" s="44" t="n">
        <x:v>176.03836836930626</x:v>
      </x:c>
      <x:c r="E445" s="44" t="n">
        <x:v>1364.6739716902582</x:v>
      </x:c>
      <x:c r="F445" s="44" t="n">
        <x:v>111.53363572647088</x:v>
      </x:c>
      <x:c r="G445" s="44" t="n">
        <x:v>2337.6390507910073</x:v>
      </x:c>
      <x:c r="H445" s="44" t="n">
        <x:v>9348.114973422957</x:v>
      </x:c>
      <x:c r="I445" s="44" t="n">
        <x:v>13338</x:v>
      </x:c>
      <x:c r="J445" s="44" t="n">
        <x:v>1408</x:v>
      </x:c>
      <x:c r="K445" s="44" t="n">
        <x:v>230.71058860868303</x:v>
      </x:c>
      <x:c r="L445" s="44" t="n">
        <x:v>119.17695288221215</x:v>
      </x:c>
    </x:row>
    <x:row r="446" ht="15" hidden="0" customHeight="1">
      <x:c r="A446" s="27" t="str">
        <x:v>56015</x:v>
      </x:c>
      <x:c r="B446" s="27" t="str">
        <x:v>SCA-12</x:v>
      </x:c>
      <x:c r="C446" s="43" t="n">
        <x:v>12640</x:v>
      </x:c>
      <x:c r="D446" s="43" t="n">
        <x:v>151.0530225571094</x:v>
      </x:c>
      <x:c r="E446" s="43" t="n">
        <x:v>2220.454316002019</x:v>
      </x:c>
      <x:c r="F446" s="43" t="n">
        <x:v>83.77515680884346</x:v>
      </x:c>
      <x:c r="G446" s="43" t="n">
        <x:v>380.7274103987885</x:v>
      </x:c>
      <x:c r="H446" s="43" t="n">
        <x:v>9803.990094233239</x:v>
      </x:c>
      <x:c r="I446" s="43" t="n">
        <x:v>12640</x:v>
      </x:c>
      <x:c r="J446" s="43" t="n">
        <x:v>2175</x:v>
      </x:c>
      <x:c r="K446" s="43" t="n">
        <x:v>142.30924953253538</x:v>
      </x:c>
      <x:c r="L446" s="43" t="n">
        <x:v>58.53409272369192</x:v>
      </x:c>
    </x:row>
    <x:row r="447" ht="15" hidden="0" customHeight="1">
      <x:c r="A447" s="29" t="str">
        <x:v>35007</x:v>
      </x:c>
      <x:c r="B447" s="29" t="str">
        <x:v>SCA-12</x:v>
      </x:c>
      <x:c r="C447" s="44" t="n">
        <x:v>12184</x:v>
      </x:c>
      <x:c r="D447" s="44" t="n">
        <x:v>163.52179447487808</x:v>
      </x:c>
      <x:c r="E447" s="44" t="n">
        <x:v>3078.959629946891</x:v>
      </x:c>
      <x:c r="F447" s="44" t="n">
        <x:v>91.94979450497726</x:v>
      </x:c>
      <x:c r="G447" s="44" t="n">
        <x:v>500.26374850094226</x:v>
      </x:c>
      <x:c r="H447" s="44" t="n">
        <x:v>8349.30503257231</x:v>
      </x:c>
      <x:c r="I447" s="44" t="n">
        <x:v>12184</x:v>
      </x:c>
      <x:c r="J447" s="44" t="n">
        <x:v>3073</x:v>
      </x:c>
      <x:c r="K447" s="44" t="n">
        <x:v>127.18160439873488</x:v>
      </x:c>
      <x:c r="L447" s="44" t="n">
        <x:v>35.231809893757614</x:v>
      </x:c>
    </x:row>
    <x:row r="448" ht="15" hidden="0" customHeight="1">
      <x:c r="A448" s="27" t="str">
        <x:v>30017</x:v>
      </x:c>
      <x:c r="B448" s="27" t="str">
        <x:v>SCA-12</x:v>
      </x:c>
      <x:c r="C448" s="43" t="n">
        <x:v>12034</x:v>
      </x:c>
      <x:c r="D448" s="43" t="n">
        <x:v>169.86751099936683</x:v>
      </x:c>
      <x:c r="E448" s="43" t="n">
        <x:v>2456.4768450704223</x:v>
      </x:c>
      <x:c r="F448" s="43" t="n">
        <x:v>72.83701398992726</x:v>
      </x:c>
      <x:c r="G448" s="43" t="n">
        <x:v>257.8625693555271</x:v>
      </x:c>
      <x:c r="H448" s="43" t="n">
        <x:v>9076.956060584756</x:v>
      </x:c>
      <x:c r="I448" s="43" t="n">
        <x:v>12034</x:v>
      </x:c>
      <x:c r="J448" s="43" t="n">
        <x:v>2491</x:v>
      </x:c>
      <x:c r="K448" s="43" t="n">
        <x:v>140.35132311135982</x:v>
      </x:c>
      <x:c r="L448" s="43" t="n">
        <x:v>67.51430912143256</x:v>
      </x:c>
    </x:row>
    <x:row r="449" ht="15" hidden="0" customHeight="1">
      <x:c r="A449" s="29" t="str">
        <x:v>08099</x:v>
      </x:c>
      <x:c r="B449" s="29" t="str">
        <x:v>SCA-12</x:v>
      </x:c>
      <x:c r="C449" s="44" t="n">
        <x:v>11884</x:v>
      </x:c>
      <x:c r="D449" s="44" t="n">
        <x:v>122.4823069630005</x:v>
      </x:c>
      <x:c r="E449" s="44" t="n">
        <x:v>1916.295</x:v>
      </x:c>
      <x:c r="F449" s="44" t="n">
        <x:v>65.79574694708751</x:v>
      </x:c>
      <x:c r="G449" s="44" t="n">
        <x:v>471.34570312499994</x:v>
      </x:c>
      <x:c r="H449" s="44" t="n">
        <x:v>9308.081242964912</x:v>
      </x:c>
      <x:c r="I449" s="44" t="n">
        <x:v>11884</x:v>
      </x:c>
      <x:c r="J449" s="44" t="n">
        <x:v>1978</x:v>
      </x:c>
      <x:c r="K449" s="44" t="n">
        <x:v>108.43242891008802</x:v>
      </x:c>
      <x:c r="L449" s="44" t="n">
        <x:v>42.63668196300051</x:v>
      </x:c>
    </x:row>
    <x:row r="450" ht="15" hidden="0" customHeight="1">
      <x:c r="A450" s="27" t="str">
        <x:v>08105</x:v>
      </x:c>
      <x:c r="B450" s="27" t="str">
        <x:v>SCA-12</x:v>
      </x:c>
      <x:c r="C450" s="43" t="n">
        <x:v>11087</x:v>
      </x:c>
      <x:c r="D450" s="43" t="n">
        <x:v>116.63597649048224</x:v>
      </x:c>
      <x:c r="E450" s="43" t="n">
        <x:v>1844.609326871298</x:v>
      </x:c>
      <x:c r="F450" s="43" t="n">
        <x:v>61.38315772487035</x:v>
      </x:c>
      <x:c r="G450" s="43" t="n">
        <x:v>470.38763238197805</x:v>
      </x:c>
      <x:c r="H450" s="43" t="n">
        <x:v>8593.983906531372</x:v>
      </x:c>
      <x:c r="I450" s="43" t="n">
        <x:v>11087</x:v>
      </x:c>
      <x:c r="J450" s="43" t="n">
        <x:v>1931</x:v>
      </x:c>
      <x:c r="K450" s="43" t="n">
        <x:v>101.16041226238184</x:v>
      </x:c>
      <x:c r="L450" s="43" t="n">
        <x:v>39.777254537511496</x:v>
      </x:c>
    </x:row>
    <x:row r="451" ht="15" hidden="0" customHeight="1">
      <x:c r="A451" s="29" t="str">
        <x:v>46019</x:v>
      </x:c>
      <x:c r="B451" s="29" t="str">
        <x:v>SCA-12</x:v>
      </x:c>
      <x:c r="C451" s="44" t="n">
        <x:v>10856</x:v>
      </x:c>
      <x:c r="D451" s="44" t="n">
        <x:v>163.749238732806</x:v>
      </x:c>
      <x:c r="E451" s="44" t="n">
        <x:v>1601.9835280771413</x:v>
      </x:c>
      <x:c r="F451" s="44" t="n">
        <x:v>90.77891358873651</x:v>
      </x:c>
      <x:c r="G451" s="44" t="n">
        <x:v>222.5728871242201</x:v>
      </x:c>
      <x:c r="H451" s="44" t="n">
        <x:v>8776.915432477095</x:v>
      </x:c>
      <x:c r="I451" s="44" t="n">
        <x:v>10856</x:v>
      </x:c>
      <x:c r="J451" s="44" t="n">
        <x:v>1626</x:v>
      </x:c>
      <x:c r="K451" s="44" t="n">
        <x:v>187.77883865166163</x:v>
      </x:c>
      <x:c r="L451" s="44" t="n">
        <x:v>96.99992506292512</x:v>
      </x:c>
    </x:row>
    <x:row r="452" ht="15" hidden="0" customHeight="1">
      <x:c r="A452" s="27" t="str">
        <x:v>31013</x:v>
      </x:c>
      <x:c r="B452" s="27" t="str">
        <x:v>SCA-12</x:v>
      </x:c>
      <x:c r="C452" s="43" t="n">
        <x:v>10494</x:v>
      </x:c>
      <x:c r="D452" s="43" t="n">
        <x:v>127.41682145953078</x:v>
      </x:c>
      <x:c r="E452" s="43" t="n">
        <x:v>1533.5337899716178</x:v>
      </x:c>
      <x:c r="F452" s="43" t="n">
        <x:v>49.94271410572662</x:v>
      </x:c>
      <x:c r="G452" s="43" t="n">
        <x:v>373.44564806054876</x:v>
      </x:c>
      <x:c r="H452" s="43" t="n">
        <x:v>8409.661026402577</x:v>
      </x:c>
      <x:c r="I452" s="43" t="n">
        <x:v>10494</x:v>
      </x:c>
      <x:c r="J452" s="43" t="n">
        <x:v>1609</x:v>
      </x:c>
      <x:c r="K452" s="43" t="n">
        <x:v>113.46229431643998</x:v>
      </x:c>
      <x:c r="L452" s="43" t="n">
        <x:v>63.51958021071336</x:v>
      </x:c>
    </x:row>
    <x:row r="453" ht="15" hidden="0" customHeight="1">
      <x:c r="A453" s="29" t="str">
        <x:v>31145</x:v>
      </x:c>
      <x:c r="B453" s="29" t="str">
        <x:v>SCA-12</x:v>
      </x:c>
      <x:c r="C453" s="44" t="n">
        <x:v>10307</x:v>
      </x:c>
      <x:c r="D453" s="44" t="n">
        <x:v>133.2215079309392</x:v>
      </x:c>
      <x:c r="E453" s="44" t="n">
        <x:v>1700.0118719164168</x:v>
      </x:c>
      <x:c r="F453" s="44" t="n">
        <x:v>49.052749598601515</x:v>
      </x:c>
      <x:c r="G453" s="44" t="n">
        <x:v>455.5044984037922</x:v>
      </x:c>
      <x:c r="H453" s="44" t="n">
        <x:v>7969.209372150251</x:v>
      </x:c>
      <x:c r="I453" s="44" t="n">
        <x:v>10307</x:v>
      </x:c>
      <x:c r="J453" s="44" t="n">
        <x:v>1776</x:v>
      </x:c>
      <x:c r="K453" s="44" t="n">
        <x:v>111.44042953302333</x:v>
      </x:c>
      <x:c r="L453" s="44" t="n">
        <x:v>62.38767993442182</x:v>
      </x:c>
    </x:row>
    <x:row r="454" ht="15" hidden="0" customHeight="1">
      <x:c r="A454" s="27" t="str">
        <x:v>08125</x:v>
      </x:c>
      <x:c r="B454" s="27" t="str">
        <x:v>SCA-12</x:v>
      </x:c>
      <x:c r="C454" s="43" t="n">
        <x:v>9896</x:v>
      </x:c>
      <x:c r="D454" s="43" t="n">
        <x:v>69.08627922703448</x:v>
      </x:c>
      <x:c r="E454" s="43" t="n">
        <x:v>805.9685041297033</x:v>
      </x:c>
      <x:c r="F454" s="43" t="n">
        <x:v>54.789188134330026</x:v>
      </x:c>
      <x:c r="G454" s="43" t="n">
        <x:v>322.5948302233098</x:v>
      </x:c>
      <x:c r="H454" s="43" t="n">
        <x:v>8643.561198285623</x:v>
      </x:c>
      <x:c r="I454" s="43" t="n">
        <x:v>9896</x:v>
      </x:c>
      <x:c r="J454" s="43" t="n">
        <x:v>832</x:v>
      </x:c>
      <x:c r="K454" s="43" t="n">
        <x:v>90.2934463559602</x:v>
      </x:c>
      <x:c r="L454" s="43" t="n">
        <x:v>35.50425822163018</x:v>
      </x:c>
    </x:row>
    <x:row r="455" ht="15" hidden="0" customHeight="1">
      <x:c r="A455" s="29" t="str">
        <x:v>31033</x:v>
      </x:c>
      <x:c r="B455" s="29" t="str">
        <x:v>SCA-12</x:v>
      </x:c>
      <x:c r="C455" s="44" t="n">
        <x:v>9528</x:v>
      </x:c>
      <x:c r="D455" s="44" t="n">
        <x:v>113.63517942285306</x:v>
      </x:c>
      <x:c r="E455" s="44" t="n">
        <x:v>1343.1058035808878</x:v>
      </x:c>
      <x:c r="F455" s="44" t="n">
        <x:v>45.34535734699479</x:v>
      </x:c>
      <x:c r="G455" s="44" t="n">
        <x:v>212.43744040682276</x:v>
      </x:c>
      <x:c r="H455" s="44" t="n">
        <x:v>7813.476219242442</x:v>
      </x:c>
      <x:c r="I455" s="44" t="n">
        <x:v>9528</x:v>
      </x:c>
      <x:c r="J455" s="44" t="n">
        <x:v>1386</x:v>
      </x:c>
      <x:c r="K455" s="44" t="n">
        <x:v>103.01779495397753</x:v>
      </x:c>
      <x:c r="L455" s="44" t="n">
        <x:v>57.67243760698274</x:v>
      </x:c>
    </x:row>
    <x:row r="456" ht="15" hidden="0" customHeight="1">
      <x:c r="A456" s="27" t="str">
        <x:v>46033</x:v>
      </x:c>
      <x:c r="B456" s="27" t="str">
        <x:v>SCA-12</x:v>
      </x:c>
      <x:c r="C456" s="43" t="n">
        <x:v>9431</x:v>
      </x:c>
      <x:c r="D456" s="43" t="n">
        <x:v>155.73941489027942</x:v>
      </x:c>
      <x:c r="E456" s="43" t="n">
        <x:v>1715.3296863237138</x:v>
      </x:c>
      <x:c r="F456" s="43" t="n">
        <x:v>78.86292686582297</x:v>
      </x:c>
      <x:c r="G456" s="43" t="n">
        <x:v>34.44792973651192</x:v>
      </x:c>
      <x:c r="H456" s="43" t="n">
        <x:v>7446.620042183672</x:v>
      </x:c>
      <x:c r="I456" s="43" t="n">
        <x:v>9431</x:v>
      </x:c>
      <x:c r="J456" s="43" t="n">
        <x:v>1661</x:v>
      </x:c>
      <x:c r="K456" s="43" t="n">
        <x:v>163.1302714926143</x:v>
      </x:c>
      <x:c r="L456" s="43" t="n">
        <x:v>84.26734462679133</x:v>
      </x:c>
    </x:row>
    <x:row r="457" ht="15" hidden="0" customHeight="1">
      <x:c r="A457" s="29" t="str">
        <x:v>08019</x:v>
      </x:c>
      <x:c r="B457" s="29" t="str">
        <x:v>SCA-12</x:v>
      </x:c>
      <x:c r="C457" s="44" t="n">
        <x:v>8994</x:v>
      </x:c>
      <x:c r="D457" s="44" t="n">
        <x:v>76.713901039597</x:v>
      </x:c>
      <x:c r="E457" s="44" t="n">
        <x:v>1066.6987863601698</x:v>
      </x:c>
      <x:c r="F457" s="44" t="n">
        <x:v>49.79526658045314</x:v>
      </x:c>
      <x:c r="G457" s="44" t="n">
        <x:v>245.40799651378143</x:v>
      </x:c>
      <x:c r="H457" s="44" t="n">
        <x:v>7555.384049505998</x:v>
      </x:c>
      <x:c r="I457" s="44" t="n">
        <x:v>8994</x:v>
      </x:c>
      <x:c r="J457" s="44" t="n">
        <x:v>1134</x:v>
      </x:c>
      <x:c r="K457" s="44" t="n">
        <x:v>82.06338485504305</x:v>
      </x:c>
      <x:c r="L457" s="44" t="n">
        <x:v>32.268118274589916</x:v>
      </x:c>
    </x:row>
    <x:row r="458" ht="15" hidden="0" customHeight="1">
      <x:c r="A458" s="27" t="str">
        <x:v>46121</x:v>
      </x:c>
      <x:c r="B458" s="27" t="str">
        <x:v>SCA-12</x:v>
      </x:c>
      <x:c r="C458" s="43" t="n">
        <x:v>8863</x:v>
      </x:c>
      <x:c r="D458" s="43" t="n">
        <x:v>122.95816454091045</x:v>
      </x:c>
      <x:c r="E458" s="43" t="n">
        <x:v>1050.3835632057887</x:v>
      </x:c>
      <x:c r="F458" s="43" t="n">
        <x:v>74.11325636854934</x:v>
      </x:c>
      <x:c r="G458" s="43" t="n">
        <x:v>678.8869093301173</x:v>
      </x:c>
      <x:c r="H458" s="43" t="n">
        <x:v>6936.658106554634</x:v>
      </x:c>
      <x:c r="I458" s="43" t="n">
        <x:v>8863</x:v>
      </x:c>
      <x:c r="J458" s="43" t="n">
        <x:v>1126</x:v>
      </x:c>
      <x:c r="K458" s="43" t="n">
        <x:v>153.30543910921858</x:v>
      </x:c>
      <x:c r="L458" s="43" t="n">
        <x:v>79.19218274066924</x:v>
      </x:c>
    </x:row>
    <x:row r="459" ht="15" hidden="0" customHeight="1">
      <x:c r="A459" s="29" t="str">
        <x:v>30021</x:v>
      </x:c>
      <x:c r="B459" s="29" t="str">
        <x:v>SCA-12</x:v>
      </x:c>
      <x:c r="C459" s="44" t="n">
        <x:v>8692</x:v>
      </x:c>
      <x:c r="D459" s="44" t="n">
        <x:v>113.82263154332901</x:v>
      </x:c>
      <x:c r="E459" s="44" t="n">
        <x:v>1561.3904067321178</x:v>
      </x:c>
      <x:c r="F459" s="44" t="n">
        <x:v>52.60921768326806</x:v>
      </x:c>
      <x:c r="G459" s="44" t="n">
        <x:v>142.25397381954184</x:v>
      </x:c>
      <x:c r="H459" s="44" t="n">
        <x:v>6821.923770221743</x:v>
      </x:c>
      <x:c r="I459" s="44" t="n">
        <x:v>8692</x:v>
      </x:c>
      <x:c r="J459" s="44" t="n">
        <x:v>1601</x:v>
      </x:c>
      <x:c r="K459" s="44" t="n">
        <x:v>101.37391561275882</x:v>
      </x:c>
      <x:c r="L459" s="44" t="n">
        <x:v>48.764697929490765</x:v>
      </x:c>
    </x:row>
    <x:row r="460" ht="15" hidden="0" customHeight="1">
      <x:c r="A460" s="27" t="str">
        <x:v>56031</x:v>
      </x:c>
      <x:c r="B460" s="27" t="str">
        <x:v>SCA-12</x:v>
      </x:c>
      <x:c r="C460" s="43" t="n">
        <x:v>8634</x:v>
      </x:c>
      <x:c r="D460" s="43" t="n">
        <x:v>97.92154469916207</x:v>
      </x:c>
      <x:c r="E460" s="43" t="n">
        <x:v>1390.5284210526315</x:v>
      </x:c>
      <x:c r="F460" s="43" t="n">
        <x:v>57.22426454806601</x:v>
      </x:c>
      <x:c r="G460" s="43" t="n">
        <x:v>59.92105263157894</x:v>
      </x:c>
      <x:c r="H460" s="43" t="n">
        <x:v>7028.404717068562</x:v>
      </x:c>
      <x:c r="I460" s="43" t="n">
        <x:v>8634</x:v>
      </x:c>
      <x:c r="J460" s="43" t="n">
        <x:v>1428</x:v>
      </x:c>
      <x:c r="K460" s="43" t="n">
        <x:v>97.20712503670177</x:v>
      </x:c>
      <x:c r="L460" s="43" t="n">
        <x:v>39.98286048863576</x:v>
      </x:c>
    </x:row>
    <x:row r="461" ht="15" hidden="0" customHeight="1">
      <x:c r="A461" s="29" t="str">
        <x:v>35037</x:v>
      </x:c>
      <x:c r="B461" s="29" t="str">
        <x:v>SCA-12</x:v>
      </x:c>
      <x:c r="C461" s="44" t="n">
        <x:v>8454</x:v>
      </x:c>
      <x:c r="D461" s="44" t="n">
        <x:v>106.04337541013199</x:v>
      </x:c>
      <x:c r="E461" s="44" t="n">
        <x:v>1958.3376857949202</x:v>
      </x:c>
      <x:c r="F461" s="44" t="n">
        <x:v>63.80035807165773</x:v>
      </x:c>
      <x:c r="G461" s="44" t="n">
        <x:v>470.39510818438384</x:v>
      </x:c>
      <x:c r="H461" s="44" t="n">
        <x:v>5855.423472538907</x:v>
      </x:c>
      <x:c r="I461" s="44" t="n">
        <x:v>8454</x:v>
      </x:c>
      <x:c r="J461" s="44" t="n">
        <x:v>2052</x:v>
      </x:c>
      <x:c r="K461" s="44" t="n">
        <x:v>88.24632990700137</x:v>
      </x:c>
      <x:c r="L461" s="44" t="n">
        <x:v>24.445971835343634</x:v>
      </x:c>
    </x:row>
    <x:row r="462" ht="15" hidden="0" customHeight="1">
      <x:c r="A462" s="27" t="str">
        <x:v>31101</x:v>
      </x:c>
      <x:c r="B462" s="27" t="str">
        <x:v>SCA-12</x:v>
      </x:c>
      <x:c r="C462" s="43" t="n">
        <x:v>8100</x:v>
      </x:c>
      <x:c r="D462" s="43" t="n">
        <x:v>101.57152440781685</x:v>
      </x:c>
      <x:c r="E462" s="43" t="n">
        <x:v>1261.0245338567222</x:v>
      </x:c>
      <x:c r="F462" s="43" t="n">
        <x:v>38.54926474713032</x:v>
      </x:c>
      <x:c r="G462" s="43" t="n">
        <x:v>223.70093228655546</x:v>
      </x:c>
      <x:c r="H462" s="43" t="n">
        <x:v>6475.1537447017745</x:v>
      </x:c>
      <x:c r="I462" s="43" t="n">
        <x:v>8100</x:v>
      </x:c>
      <x:c r="J462" s="43" t="n">
        <x:v>1322</x:v>
      </x:c>
      <x:c r="K462" s="43" t="n">
        <x:v>87.57810024425041</x:v>
      </x:c>
      <x:c r="L462" s="43" t="n">
        <x:v>49.028835497120085</x:v>
      </x:c>
    </x:row>
    <x:row r="463" ht="15" hidden="0" customHeight="1">
      <x:c r="A463" s="29" t="str">
        <x:v>31045</x:v>
      </x:c>
      <x:c r="B463" s="29" t="str">
        <x:v>SCA-12</x:v>
      </x:c>
      <x:c r="C463" s="44" t="n">
        <x:v>7858</x:v>
      </x:c>
      <x:c r="D463" s="44" t="n">
        <x:v>92.27769871562872</x:v>
      </x:c>
      <x:c r="E463" s="44" t="n">
        <x:v>1073.1282081784386</x:v>
      </x:c>
      <x:c r="F463" s="44" t="n">
        <x:v>37.39754597320371</x:v>
      </x:c>
      <x:c r="G463" s="44" t="n">
        <x:v>139.81239157372985</x:v>
      </x:c>
      <x:c r="H463" s="44" t="n">
        <x:v>6515.384155558999</x:v>
      </x:c>
      <x:c r="I463" s="44" t="n">
        <x:v>7858</x:v>
      </x:c>
      <x:c r="J463" s="44" t="n">
        <x:v>1148</x:v>
      </x:c>
      <x:c r="K463" s="44" t="n">
        <x:v>84.96156934806416</x:v>
      </x:c>
      <x:c r="L463" s="44" t="n">
        <x:v>47.56402337486045</x:v>
      </x:c>
    </x:row>
    <x:row r="464" ht="15" hidden="0" customHeight="1">
      <x:c r="A464" s="27" t="str">
        <x:v>56011</x:v>
      </x:c>
      <x:c r="B464" s="27" t="str">
        <x:v>SCA-12</x:v>
      </x:c>
      <x:c r="C464" s="43" t="n">
        <x:v>7852</x:v>
      </x:c>
      <x:c r="D464" s="43" t="n">
        <x:v>83.6642634296392</x:v>
      </x:c>
      <x:c r="E464" s="43" t="n">
        <x:v>1135.2656842105264</x:v>
      </x:c>
      <x:c r="F464" s="43" t="n">
        <x:v>52.041339498658125</x:v>
      </x:c>
      <x:c r="G464" s="43" t="n">
        <x:v>129.10769230769233</x:v>
      </x:c>
      <x:c r="H464" s="43" t="n">
        <x:v>6451.921020553485</x:v>
      </x:c>
      <x:c r="I464" s="43" t="n">
        <x:v>7852</x:v>
      </x:c>
      <x:c r="J464" s="43" t="n">
        <x:v>1116</x:v>
      </x:c>
      <x:c r="K464" s="43" t="n">
        <x:v>88.40286608619206</x:v>
      </x:c>
      <x:c r="L464" s="43" t="n">
        <x:v>36.36152658753394</x:v>
      </x:c>
    </x:row>
    <x:row r="465" ht="15" hidden="0" customHeight="1">
      <x:c r="A465" s="29" t="str">
        <x:v>08113</x:v>
      </x:c>
      <x:c r="B465" s="29" t="str">
        <x:v>SCA-12</x:v>
      </x:c>
      <x:c r="C465" s="44" t="n">
        <x:v>7753</x:v>
      </x:c>
      <x:c r="D465" s="44" t="n">
        <x:v>52.13887229858615</x:v>
      </x:c>
      <x:c r="E465" s="44" t="n">
        <x:v>583.755294117647</x:v>
      </x:c>
      <x:c r="F465" s="44" t="n">
        <x:v>42.92447207007485</x:v>
      </x:c>
      <x:c r="G465" s="44" t="n">
        <x:v>688.4117647058824</x:v>
      </x:c>
      <x:c r="H465" s="44" t="n">
        <x:v>6385.76959680781</x:v>
      </x:c>
      <x:c r="I465" s="44" t="n">
        <x:v>7753</x:v>
      </x:c>
      <x:c r="J465" s="44" t="n">
        <x:v>624</x:v>
      </x:c>
      <x:c r="K465" s="44" t="n">
        <x:v>70.74020711375904</x:v>
      </x:c>
      <x:c r="L465" s="44" t="n">
        <x:v>27.815735043684192</x:v>
      </x:c>
    </x:row>
    <x:row r="466" ht="15" hidden="0" customHeight="1">
      <x:c r="A466" s="27" t="str">
        <x:v>20193</x:v>
      </x:c>
      <x:c r="B466" s="27" t="str">
        <x:v>SCA-12</x:v>
      </x:c>
      <x:c r="C466" s="43" t="n">
        <x:v>7725</x:v>
      </x:c>
      <x:c r="D466" s="43" t="n">
        <x:v>93.34767734176725</x:v>
      </x:c>
      <x:c r="E466" s="43" t="n">
        <x:v>958.0432766615147</x:v>
      </x:c>
      <x:c r="F466" s="43" t="n">
        <x:v>54.05827978245092</x:v>
      </x:c>
      <x:c r="G466" s="43" t="n">
        <x:v>107.9809376609995</x:v>
      </x:c>
      <x:c r="H466" s="43" t="n">
        <x:v>6511.569828553267</x:v>
      </x:c>
      <x:c r="I466" s="43" t="n">
        <x:v>7725</x:v>
      </x:c>
      <x:c r="J466" s="43" t="n">
        <x:v>1003</x:v>
      </x:c>
      <x:c r="K466" s="43" t="n">
        <x:v>107.48748726332173</x:v>
      </x:c>
      <x:c r="L466" s="43" t="n">
        <x:v>53.42920748087081</x:v>
      </x:c>
    </x:row>
    <x:row r="467" ht="15" hidden="0" customHeight="1">
      <x:c r="A467" s="29" t="str">
        <x:v>08065</x:v>
      </x:c>
      <x:c r="B467" s="29" t="str">
        <x:v>SCA-12</x:v>
      </x:c>
      <x:c r="C467" s="44" t="n">
        <x:v>7552</x:v>
      </x:c>
      <x:c r="D467" s="44" t="n">
        <x:v>51.15552708663906</x:v>
      </x:c>
      <x:c r="E467" s="44" t="n">
        <x:v>577.4622585924712</x:v>
      </x:c>
      <x:c r="F467" s="44" t="n">
        <x:v>41.811635892326215</x:v>
      </x:c>
      <x:c r="G467" s="44" t="n">
        <x:v>297.73295144571745</x:v>
      </x:c>
      <x:c r="H467" s="44" t="n">
        <x:v>6583.837626982846</x:v>
      </x:c>
      <x:c r="I467" s="44" t="n">
        <x:v>7552</x:v>
      </x:c>
      <x:c r="J467" s="44" t="n">
        <x:v>584</x:v>
      </x:c>
      <x:c r="K467" s="44" t="n">
        <x:v>68.9062355376123</x:v>
      </x:c>
      <x:c r="L467" s="44" t="n">
        <x:v>27.094599645286088</x:v>
      </x:c>
    </x:row>
    <x:row r="468" ht="15" hidden="0" customHeight="1">
      <x:c r="A468" s="27" t="str">
        <x:v>08021</x:v>
      </x:c>
      <x:c r="B468" s="27" t="str">
        <x:v>SCA-12</x:v>
      </x:c>
      <x:c r="C468" s="43" t="n">
        <x:v>7529</x:v>
      </x:c>
      <x:c r="D468" s="43" t="n">
        <x:v>83.23826756181076</x:v>
      </x:c>
      <x:c r="E468" s="43" t="n">
        <x:v>1349.4284615384615</x:v>
      </x:c>
      <x:c r="F468" s="43" t="n">
        <x:v>41.68429642920076</x:v>
      </x:c>
      <x:c r="G468" s="43" t="n">
        <x:v>178.92628205128204</x:v>
      </x:c>
      <x:c r="H468" s="43" t="n">
        <x:v>5875.722692419245</x:v>
      </x:c>
      <x:c r="I468" s="43" t="n">
        <x:v>7529</x:v>
      </x:c>
      <x:c r="J468" s="43" t="n">
        <x:v>1398</x:v>
      </x:c>
      <x:c r="K468" s="43" t="n">
        <x:v>68.69637809357562</x:v>
      </x:c>
      <x:c r="L468" s="43" t="n">
        <x:v>27.01208166437486</x:v>
      </x:c>
    </x:row>
    <x:row r="469" ht="15" hidden="0" customHeight="1">
      <x:c r="A469" s="29" t="str">
        <x:v>48111</x:v>
      </x:c>
      <x:c r="B469" s="29" t="str">
        <x:v>SCA-12</x:v>
      </x:c>
      <x:c r="C469" s="44" t="n">
        <x:v>7508</x:v>
      </x:c>
      <x:c r="D469" s="44" t="n">
        <x:v>53.224346797815834</x:v>
      </x:c>
      <x:c r="E469" s="44" t="n">
        <x:v>644.9603524229075</x:v>
      </x:c>
      <x:c r="F469" s="44" t="n">
        <x:v>64.76242986384449</x:v>
      </x:c>
      <x:c r="G469" s="44" t="n">
        <x:v>100.15693832599119</x:v>
      </x:c>
      <x:c r="H469" s="44" t="n">
        <x:v>6644.895932589441</x:v>
      </x:c>
      <x:c r="I469" s="44" t="n">
        <x:v>7508</x:v>
      </x:c>
      <x:c r="J469" s="44" t="n">
        <x:v>650</x:v>
      </x:c>
      <x:c r="K469" s="44" t="n">
        <x:v>91.11342864403917</x:v>
      </x:c>
      <x:c r="L469" s="44" t="n">
        <x:v>26.350998780194686</x:v>
      </x:c>
    </x:row>
    <x:row r="470" ht="15" hidden="0" customHeight="1">
      <x:c r="A470" s="27" t="str">
        <x:v>46047</x:v>
      </x:c>
      <x:c r="B470" s="27" t="str">
        <x:v>SCA-12</x:v>
      </x:c>
      <x:c r="C470" s="43" t="n">
        <x:v>7467</x:v>
      </x:c>
      <x:c r="D470" s="43" t="n">
        <x:v>122.62276139980997</x:v>
      </x:c>
      <x:c r="E470" s="43" t="n">
        <x:v>1341.696957947256</x:v>
      </x:c>
      <x:c r="F470" s="43" t="n">
        <x:v>62.43977042806704</x:v>
      </x:c>
      <x:c r="G470" s="43" t="n">
        <x:v>290.9930149679259</x:v>
      </x:c>
      <x:c r="H470" s="43" t="n">
        <x:v>5649.247495256942</x:v>
      </x:c>
      <x:c r="I470" s="43" t="n">
        <x:v>7467</x:v>
      </x:c>
      <x:c r="J470" s="43" t="n">
        <x:v>1313</x:v>
      </x:c>
      <x:c r="K470" s="43" t="n">
        <x:v>129.15849191340803</x:v>
      </x:c>
      <x:c r="L470" s="43" t="n">
        <x:v>66.71872148534099</x:v>
      </x:c>
    </x:row>
    <x:row r="471" ht="15" hidden="0" customHeight="1">
      <x:c r="A471" s="29" t="str">
        <x:v>08063</x:v>
      </x:c>
      <x:c r="B471" s="29" t="str">
        <x:v>SCA-12</x:v>
      </x:c>
      <x:c r="C471" s="44" t="n">
        <x:v>7069</x:v>
      </x:c>
      <x:c r="D471" s="44" t="n">
        <x:v>71.16835213566809</x:v>
      </x:c>
      <x:c r="E471" s="44" t="n">
        <x:v>1099.3591221484262</x:v>
      </x:c>
      <x:c r="F471" s="44" t="n">
        <x:v>39.13750716669148</x:v>
      </x:c>
      <x:c r="G471" s="44" t="n">
        <x:v>206.5674270863413</x:v>
      </x:c>
      <x:c r="H471" s="44" t="n">
        <x:v>5652.767591462873</x:v>
      </x:c>
      <x:c r="I471" s="44" t="n">
        <x:v>7069</x:v>
      </x:c>
      <x:c r="J471" s="44" t="n">
        <x:v>1122</x:v>
      </x:c>
      <x:c r="K471" s="44" t="n">
        <x:v>64.49922921284181</x:v>
      </x:c>
      <x:c r="L471" s="44" t="n">
        <x:v>25.361722046150337</x:v>
      </x:c>
    </x:row>
    <x:row r="472" ht="15" hidden="0" customHeight="1">
      <x:c r="A472" s="27" t="str">
        <x:v>08055</x:v>
      </x:c>
      <x:c r="B472" s="27" t="str">
        <x:v>SCA-12</x:v>
      </x:c>
      <x:c r="C472" s="43" t="n">
        <x:v>7011</x:v>
      </x:c>
      <x:c r="D472" s="43" t="n">
        <x:v>98.2424637109244</x:v>
      </x:c>
      <x:c r="E472" s="43" t="n">
        <x:v>1754.1319316688569</x:v>
      </x:c>
      <x:c r="F472" s="43" t="n">
        <x:v>38.816390259679444</x:v>
      </x:c>
      <x:c r="G472" s="43" t="n">
        <x:v>87.98598335523434</x:v>
      </x:c>
      <x:c r="H472" s="43" t="n">
        <x:v>5031.823231005305</x:v>
      </x:c>
      <x:c r="I472" s="43" t="n">
        <x:v>7011</x:v>
      </x:c>
      <x:c r="J472" s="43" t="n">
        <x:v>1785</x:v>
      </x:c>
      <x:c r="K472" s="43" t="n">
        <x:v>63.97002348440147</x:v>
      </x:c>
      <x:c r="L472" s="43" t="n">
        <x:v>25.15363322472203</x:v>
      </x:c>
    </x:row>
    <x:row r="473" ht="15" hidden="0" customHeight="1">
      <x:c r="A473" s="29" t="str">
        <x:v>56045</x:v>
      </x:c>
      <x:c r="B473" s="29" t="str">
        <x:v>SCA-12</x:v>
      </x:c>
      <x:c r="C473" s="44" t="n">
        <x:v>6840</x:v>
      </x:c>
      <x:c r="D473" s="44" t="n">
        <x:v>71.04628329141451</x:v>
      </x:c>
      <x:c r="E473" s="44" t="n">
        <x:v>944.9085314685315</x:v>
      </x:c>
      <x:c r="F473" s="44" t="n">
        <x:v>45.33402472883618</x:v>
      </x:c>
      <x:c r="G473" s="44" t="n">
        <x:v>86.46604506604507</x:v>
      </x:c>
      <x:c r="H473" s="44" t="n">
        <x:v>5692.245115445173</x:v>
      </x:c>
      <x:c r="I473" s="44" t="n">
        <x:v>6840</x:v>
      </x:c>
      <x:c r="J473" s="44" t="n">
        <x:v>926</x:v>
      </x:c>
      <x:c r="K473" s="44" t="n">
        <x:v>77.00911920906186</x:v>
      </x:c>
      <x:c r="L473" s="44" t="n">
        <x:v>31.675094480225688</x:v>
      </x:c>
    </x:row>
    <x:row r="474" ht="15" hidden="0" customHeight="1">
      <x:c r="A474" s="27" t="str">
        <x:v>08109</x:v>
      </x:c>
      <x:c r="B474" s="27" t="str">
        <x:v>SCA-12</x:v>
      </x:c>
      <x:c r="C474" s="43" t="n">
        <x:v>6732</x:v>
      </x:c>
      <x:c r="D474" s="43" t="n">
        <x:v>88.2865168343057</x:v>
      </x:c>
      <x:c r="E474" s="43" t="n">
        <x:v>1539.212702290076</x:v>
      </x:c>
      <x:c r="F474" s="43" t="n">
        <x:v>37.27170720698359</x:v>
      </x:c>
      <x:c r="G474" s="43" t="n">
        <x:v>134.8442748091603</x:v>
      </x:c>
      <x:c r="H474" s="43" t="n">
        <x:v>4932.384798859474</x:v>
      </x:c>
      <x:c r="I474" s="43" t="n">
        <x:v>6732</x:v>
      </x:c>
      <x:c r="J474" s="43" t="n">
        <x:v>1560</x:v>
      </x:c>
      <x:c r="K474" s="43" t="n">
        <x:v>61.424361445869444</x:v>
      </x:c>
      <x:c r="L474" s="43" t="n">
        <x:v>24.152654238885848</x:v>
      </x:c>
    </x:row>
    <x:row r="475" ht="15" hidden="0" customHeight="1">
      <x:c r="A475" s="29" t="str">
        <x:v>08047</x:v>
      </x:c>
      <x:c r="B475" s="29" t="str">
        <x:v>SCA-12</x:v>
      </x:c>
      <x:c r="C475" s="44" t="n">
        <x:v>6073</x:v>
      </x:c>
      <x:c r="D475" s="44" t="n">
        <x:v>54.09483086254706</x:v>
      </x:c>
      <x:c r="E475" s="44" t="n">
        <x:v>775.3559079283889</x:v>
      </x:c>
      <x:c r="F475" s="44" t="n">
        <x:v>33.623154763519224</x:v>
      </x:c>
      <x:c r="G475" s="44" t="n">
        <x:v>186.4066496163683</x:v>
      </x:c>
      <x:c r="H475" s="44" t="n">
        <x:v>5023.519456829177</x:v>
      </x:c>
      <x:c r="I475" s="44" t="n">
        <x:v>6073</x:v>
      </x:c>
      <x:c r="J475" s="44" t="n">
        <x:v>780</x:v>
      </x:c>
      <x:c r="K475" s="44" t="n">
        <x:v>55.411489462383415</x:v>
      </x:c>
      <x:c r="L475" s="44" t="n">
        <x:v>21.788334698864194</x:v>
      </x:c>
    </x:row>
    <x:row r="476" ht="15" hidden="0" customHeight="1">
      <x:c r="A476" s="27" t="str">
        <x:v>20181</x:v>
      </x:c>
      <x:c r="B476" s="27" t="str">
        <x:v>SCA-12</x:v>
      </x:c>
      <x:c r="C476" s="43" t="n">
        <x:v>5763</x:v>
      </x:c>
      <x:c r="D476" s="43" t="n">
        <x:v>82.96749925037619</x:v>
      </x:c>
      <x:c r="E476" s="43" t="n">
        <x:v>1034.5985522233711</x:v>
      </x:c>
      <x:c r="F476" s="43" t="n">
        <x:v>40.32852639304397</x:v>
      </x:c>
      <x:c r="G476" s="43" t="n">
        <x:v>123.16882109617374</x:v>
      </x:c>
      <x:c r="H476" s="43" t="n">
        <x:v>4481.936601037035</x:v>
      </x:c>
      <x:c r="I476" s="43" t="n">
        <x:v>5763</x:v>
      </x:c>
      <x:c r="J476" s="43" t="n">
        <x:v>1085</x:v>
      </x:c>
      <x:c r="K476" s="43" t="n">
        <x:v>80.18775263411302</x:v>
      </x:c>
      <x:c r="L476" s="43" t="n">
        <x:v>39.85922624106905</x:v>
      </x:c>
    </x:row>
    <x:row r="477" ht="15" hidden="0" customHeight="1">
      <x:c r="A477" s="29" t="str">
        <x:v>08011</x:v>
      </x:c>
      <x:c r="B477" s="29" t="str">
        <x:v>SCA-12</x:v>
      </x:c>
      <x:c r="C477" s="44" t="n">
        <x:v>5716</x:v>
      </x:c>
      <x:c r="D477" s="44" t="n">
        <x:v>62.96697431818935</x:v>
      </x:c>
      <x:c r="E477" s="44" t="n">
        <x:v>1019.0270926223858</x:v>
      </x:c>
      <x:c r="F477" s="44" t="n">
        <x:v>31.646624835876146</x:v>
      </x:c>
      <x:c r="G477" s="44" t="n">
        <x:v>71.2508618708343</x:v>
      </x:c>
      <x:c r="H477" s="44" t="n">
        <x:v>4531.108446352714</x:v>
      </x:c>
      <x:c r="I477" s="44" t="n">
        <x:v>5716</x:v>
      </x:c>
      <x:c r="J477" s="44" t="n">
        <x:v>808</x:v>
      </x:c>
      <x:c r="K477" s="44" t="n">
        <x:v>52.154136961466094</x:v>
      </x:c>
      <x:c r="L477" s="44" t="n">
        <x:v>20.507512125589948</x:v>
      </x:c>
    </x:row>
    <x:row r="478" ht="15" hidden="0" customHeight="1">
      <x:c r="A478" s="27" t="str">
        <x:v>08025</x:v>
      </x:c>
      <x:c r="B478" s="27" t="str">
        <x:v>SCA-12</x:v>
      </x:c>
      <x:c r="C478" s="43" t="n">
        <x:v>5677</x:v>
      </x:c>
      <x:c r="D478" s="43" t="n">
        <x:v>68.79504552900353</x:v>
      </x:c>
      <x:c r="E478" s="43" t="n">
        <x:v>1162.2589247311828</x:v>
      </x:c>
      <x:c r="F478" s="43" t="n">
        <x:v>31.430701398402537</x:v>
      </x:c>
      <x:c r="G478" s="43" t="n">
        <x:v>61.36559139784947</x:v>
      </x:c>
      <x:c r="H478" s="43" t="n">
        <x:v>4353.149736943562</x:v>
      </x:c>
      <x:c r="I478" s="43" t="n">
        <x:v>5677</x:v>
      </x:c>
      <x:c r="J478" s="43" t="n">
        <x:v>833</x:v>
      </x:c>
      <x:c r="K478" s="43" t="n">
        <x:v>51.79829173027345</x:v>
      </x:c>
      <x:c r="L478" s="43" t="n">
        <x:v>20.36759033187091</x:v>
      </x:c>
    </x:row>
    <x:row r="479" ht="15" hidden="0" customHeight="1">
      <x:c r="A479" s="29" t="str">
        <x:v>08073</x:v>
      </x:c>
      <x:c r="B479" s="29" t="str">
        <x:v>SCA-12</x:v>
      </x:c>
      <x:c r="C479" s="44" t="n">
        <x:v>5645</x:v>
      </x:c>
      <x:c r="D479" s="44" t="n">
        <x:v>59.50918494089216</x:v>
      </x:c>
      <x:c r="E479" s="44" t="n">
        <x:v>942.1536536312849</x:v>
      </x:c>
      <x:c r="F479" s="44" t="n">
        <x:v>31.25353344970624</x:v>
      </x:c>
      <x:c r="G479" s="44" t="n">
        <x:v>84.2668156424581</x:v>
      </x:c>
      <x:c r="H479" s="44" t="n">
        <x:v>4527.816812335658</x:v>
      </x:c>
      <x:c r="I479" s="44" t="n">
        <x:v>5645</x:v>
      </x:c>
      <x:c r="J479" s="44" t="n">
        <x:v>778</x:v>
      </x:c>
      <x:c r="K479" s="44" t="n">
        <x:v>51.50631615596153</x:v>
      </x:c>
      <x:c r="L479" s="44" t="n">
        <x:v>20.252782706255292</x:v>
      </x:c>
    </x:row>
    <x:row r="480" ht="15" hidden="0" customHeight="1">
      <x:c r="A480" s="27" t="str">
        <x:v>08027</x:v>
      </x:c>
      <x:c r="B480" s="27" t="str">
        <x:v>SCA-12</x:v>
      </x:c>
      <x:c r="C480" s="43" t="n">
        <x:v>5590</x:v>
      </x:c>
      <x:c r="D480" s="43" t="n">
        <x:v>57.36481181526873</x:v>
      </x:c>
      <x:c r="E480" s="43" t="n">
        <x:v>895.4245131729667</x:v>
      </x:c>
      <x:c r="F480" s="43" t="n">
        <x:v>30.949026037884476</x:v>
      </x:c>
      <x:c r="G480" s="43" t="n">
        <x:v>143.3004963726613</x:v>
      </x:c>
      <x:c r="H480" s="43" t="n">
        <x:v>4462.961152601219</x:v>
      </x:c>
      <x:c r="I480" s="43" t="n">
        <x:v>5590</x:v>
      </x:c>
      <x:c r="J480" s="43" t="n">
        <x:v>874</x:v>
      </x:c>
      <x:c r="K480" s="43" t="n">
        <x:v>51.00448313761292</x:v>
      </x:c>
      <x:c r="L480" s="43" t="n">
        <x:v>20.055457099728446</x:v>
      </x:c>
    </x:row>
    <x:row r="481" ht="15" hidden="0" customHeight="1">
      <x:c r="A481" s="29" t="str">
        <x:v>31031</x:v>
      </x:c>
      <x:c r="B481" s="29" t="str">
        <x:v>SCA-12</x:v>
      </x:c>
      <x:c r="C481" s="44" t="n">
        <x:v>5561</x:v>
      </x:c>
      <x:c r="D481" s="44" t="n">
        <x:v>63.83353450986188</x:v>
      </x:c>
      <x:c r="E481" s="44" t="n">
        <x:v>724.1548898678415</x:v>
      </x:c>
      <x:c r="F481" s="44" t="n">
        <x:v>26.465735957875523</x:v>
      </x:c>
      <x:c r="G481" s="44" t="n">
        <x:v>167.6846549192364</x:v>
      </x:c>
      <x:c r="H481" s="44" t="n">
        <x:v>4578.861184745185</x:v>
      </x:c>
      <x:c r="I481" s="44" t="n">
        <x:v>5561</x:v>
      </x:c>
      <x:c r="J481" s="44" t="n">
        <x:v>739</x:v>
      </x:c>
      <x:c r="K481" s="44" t="n">
        <x:v>60.12615005657735</x:v>
      </x:c>
      <x:c r="L481" s="44" t="n">
        <x:v>33.66041409870183</x:v>
      </x:c>
    </x:row>
    <x:row r="482" ht="15" hidden="0" customHeight="1">
      <x:c r="A482" s="27" t="str">
        <x:v>08091</x:v>
      </x:c>
      <x:c r="B482" s="27" t="str">
        <x:v>SCA-12</x:v>
      </x:c>
      <x:c r="C482" s="43" t="n">
        <x:v>5265</x:v>
      </x:c>
      <x:c r="D482" s="43" t="n">
        <x:v>46.50300613870241</x:v>
      </x:c>
      <x:c r="E482" s="43" t="n">
        <x:v>662.7255356791823</x:v>
      </x:c>
      <x:c r="F482" s="43" t="n">
        <x:v>29.149664058937706</x:v>
      </x:c>
      <x:c r="G482" s="43" t="n">
        <x:v>32.148614114409284</x:v>
      </x:c>
      <x:c r="H482" s="43" t="n">
        <x:v>4494.473180008768</x:v>
      </x:c>
      <x:c r="I482" s="43" t="n">
        <x:v>5265</x:v>
      </x:c>
      <x:c r="J482" s="43" t="n">
        <x:v>667</x:v>
      </x:c>
      <x:c r="K482" s="43" t="n">
        <x:v>48.03910621100752</x:v>
      </x:c>
      <x:c r="L482" s="43" t="n">
        <x:v>18.889442152069815</x:v>
      </x:c>
    </x:row>
    <x:row r="483" ht="15" hidden="0" customHeight="1">
      <x:c r="A483" s="29" t="str">
        <x:v>48205</x:v>
      </x:c>
      <x:c r="B483" s="29" t="str">
        <x:v>SCA-12</x:v>
      </x:c>
      <x:c r="C483" s="44" t="n">
        <x:v>4904</x:v>
      </x:c>
      <x:c r="D483" s="44" t="n">
        <x:v>38.333441154690135</x:v>
      </x:c>
      <x:c r="E483" s="44" t="n">
        <x:v>506.92225307833377</x:v>
      </x:c>
      <x:c r="F483" s="44" t="n">
        <x:v>42.30087320888299</x:v>
      </x:c>
      <x:c r="G483" s="44" t="n">
        <x:v>58.00104794341105</x:v>
      </x:c>
      <x:c r="H483" s="44" t="n">
        <x:v>4258.442384614682</x:v>
      </x:c>
      <x:c r="I483" s="44" t="n">
        <x:v>4904</x:v>
      </x:c>
      <x:c r="J483" s="44" t="n">
        <x:v>411</x:v>
      </x:c>
      <x:c r="K483" s="44" t="n">
        <x:v>59.51255381864254</x:v>
      </x:c>
      <x:c r="L483" s="44" t="n">
        <x:v>17.211680609759554</x:v>
      </x:c>
    </x:row>
    <x:row r="484" ht="15" hidden="0" customHeight="1">
      <x:c r="A484" s="27" t="str">
        <x:v>31161</x:v>
      </x:c>
      <x:c r="B484" s="27" t="str">
        <x:v>SCA-12</x:v>
      </x:c>
      <x:c r="C484" s="43" t="n">
        <x:v>4809</x:v>
      </x:c>
      <x:c r="D484" s="43" t="n">
        <x:v>60.8076390939536</x:v>
      </x:c>
      <x:c r="E484" s="43" t="n">
        <x:v>760.7769089048106</x:v>
      </x:c>
      <x:c r="F484" s="43" t="n">
        <x:v>22.886841255425892</x:v>
      </x:c>
      <x:c r="G484" s="43" t="n">
        <x:v>82.68577277379732</x:v>
      </x:c>
      <x:c r="H484" s="43" t="n">
        <x:v>3881.8428379720126</x:v>
      </x:c>
      <x:c r="I484" s="43" t="n">
        <x:v>4809</x:v>
      </x:c>
      <x:c r="J484" s="43" t="n">
        <x:v>805</x:v>
      </x:c>
      <x:c r="K484" s="43" t="n">
        <x:v>51.99544247834571</x:v>
      </x:c>
      <x:c r="L484" s="43" t="n">
        <x:v>29.108601222919816</x:v>
      </x:c>
    </x:row>
    <x:row r="485" ht="15" hidden="0" customHeight="1">
      <x:c r="A485" s="29" t="str">
        <x:v>08121</x:v>
      </x:c>
      <x:c r="B485" s="29" t="str">
        <x:v>SCA-12</x:v>
      </x:c>
      <x:c r="C485" s="44" t="n">
        <x:v>4732</x:v>
      </x:c>
      <x:c r="D485" s="44" t="n">
        <x:v>40.68300074959461</x:v>
      </x:c>
      <x:c r="E485" s="44" t="n">
        <x:v>568.9397546804389</x:v>
      </x:c>
      <x:c r="F485" s="44" t="n">
        <x:v>26.198710413465</x:v>
      </x:c>
      <x:c r="G485" s="44" t="n">
        <x:v>122.46610716591348</x:v>
      </x:c>
      <x:c r="H485" s="44" t="n">
        <x:v>3973.712426990588</x:v>
      </x:c>
      <x:c r="I485" s="44" t="n">
        <x:v>4732</x:v>
      </x:c>
      <x:c r="J485" s="44" t="n">
        <x:v>582</x:v>
      </x:c>
      <x:c r="K485" s="44" t="n">
        <x:v>43.17588805137466</x:v>
      </x:c>
      <x:c r="L485" s="44" t="n">
        <x:v>16.977177637909662</x:v>
      </x:c>
    </x:row>
    <x:row r="486" ht="15" hidden="0" customHeight="1">
      <x:c r="A486" s="27" t="str">
        <x:v>08095</x:v>
      </x:c>
      <x:c r="B486" s="27" t="str">
        <x:v>SCA-12</x:v>
      </x:c>
      <x:c r="C486" s="43" t="n">
        <x:v>4420</x:v>
      </x:c>
      <x:c r="D486" s="43" t="n">
        <x:v>37.3086844449581</x:v>
      </x:c>
      <x:c r="E486" s="43" t="n">
        <x:v>514.8211477632173</x:v>
      </x:c>
      <x:c r="F486" s="43" t="n">
        <x:v>24.471322913676097</x:v>
      </x:c>
      <x:c r="G486" s="43" t="n">
        <x:v>199.01909173068233</x:v>
      </x:c>
      <x:c r="H486" s="43" t="n">
        <x:v>3644.379753147466</x:v>
      </x:c>
      <x:c r="I486" s="43" t="n">
        <x:v>4420</x:v>
      </x:c>
      <x:c r="J486" s="43" t="n">
        <x:v>537</x:v>
      </x:c>
      <x:c r="K486" s="43" t="n">
        <x:v>40.329126201833475</x:v>
      </x:c>
      <x:c r="L486" s="43" t="n">
        <x:v>15.857803288157376</x:v>
      </x:c>
    </x:row>
    <x:row r="487" ht="15" hidden="0" customHeight="1">
      <x:c r="A487" s="29" t="str">
        <x:v>31123</x:v>
      </x:c>
      <x:c r="B487" s="29" t="str">
        <x:v>SCA-12</x:v>
      </x:c>
      <x:c r="C487" s="44" t="n">
        <x:v>4404</x:v>
      </x:c>
      <x:c r="D487" s="44" t="n">
        <x:v>53.23610396768491</x:v>
      </x:c>
      <x:c r="E487" s="44" t="n">
        <x:v>637.8946684709066</x:v>
      </x:c>
      <x:c r="F487" s="44" t="n">
        <x:v>20.959378018069376</x:v>
      </x:c>
      <x:c r="G487" s="44" t="n">
        <x:v>111.23477672530446</x:v>
      </x:c>
      <x:c r="H487" s="44" t="n">
        <x:v>3580.6750728180346</x:v>
      </x:c>
      <x:c r="I487" s="44" t="n">
        <x:v>4404</x:v>
      </x:c>
      <x:c r="J487" s="44" t="n">
        <x:v>669</x:v>
      </x:c>
      <x:c r="K487" s="44" t="n">
        <x:v>47.61653746613319</x:v>
      </x:c>
      <x:c r="L487" s="44" t="n">
        <x:v>26.657159448063812</x:v>
      </x:c>
    </x:row>
    <x:row r="488" ht="15" hidden="0" customHeight="1">
      <x:c r="A488" s="27" t="str">
        <x:v>35033</x:v>
      </x:c>
      <x:c r="B488" s="27" t="str">
        <x:v>SCA-12</x:v>
      </x:c>
      <x:c r="C488" s="43" t="n">
        <x:v>4051</x:v>
      </x:c>
      <x:c r="D488" s="43" t="n">
        <x:v>61.47037347833165</x:v>
      </x:c>
      <x:c r="E488" s="43" t="n">
        <x:v>1194.1516124367317</x:v>
      </x:c>
      <x:c r="F488" s="43" t="n">
        <x:v>30.571948255060974</x:v>
      </x:c>
      <x:c r="G488" s="43" t="n">
        <x:v>118.4924078091106</x:v>
      </x:c>
      <x:c r="H488" s="43" t="n">
        <x:v>2646.3136580207647</x:v>
      </x:c>
      <x:c r="I488" s="43" t="n">
        <x:v>4051</x:v>
      </x:c>
      <x:c r="J488" s="43" t="n">
        <x:v>1274</x:v>
      </x:c>
      <x:c r="K488" s="43" t="n">
        <x:v>42.28600454852881</x:v>
      </x:c>
      <x:c r="L488" s="43" t="n">
        <x:v>11.714056293467834</x:v>
      </x:c>
    </x:row>
    <x:row r="489" ht="15" hidden="0" customHeight="1">
      <x:c r="A489" s="29" t="str">
        <x:v>20093</x:v>
      </x:c>
      <x:c r="B489" s="29" t="str">
        <x:v>SCA-12</x:v>
      </x:c>
      <x:c r="C489" s="44" t="n">
        <x:v>3888</x:v>
      </x:c>
      <x:c r="D489" s="44" t="n">
        <x:v>50.167746701696565</x:v>
      </x:c>
      <x:c r="E489" s="44" t="n">
        <x:v>558.6425928853755</x:v>
      </x:c>
      <x:c r="F489" s="44" t="n">
        <x:v>27.207584698274324</x:v>
      </x:c>
      <x:c r="G489" s="44" t="n">
        <x:v>23.80922266139658</x:v>
      </x:c>
      <x:c r="H489" s="44" t="n">
        <x:v>3228.172853053257</x:v>
      </x:c>
      <x:c r="I489" s="44" t="n">
        <x:v>3888</x:v>
      </x:c>
      <x:c r="J489" s="44" t="n">
        <x:v>568</x:v>
      </x:c>
      <x:c r="K489" s="44" t="n">
        <x:v>54.098556696413574</x:v>
      </x:c>
      <x:c r="L489" s="44" t="n">
        <x:v>26.89097199813925</x:v>
      </x:c>
    </x:row>
    <x:row r="490" ht="15" hidden="0" customHeight="1">
      <x:c r="A490" s="27" t="str">
        <x:v>35059</x:v>
      </x:c>
      <x:c r="B490" s="27" t="str">
        <x:v>SCA-12</x:v>
      </x:c>
      <x:c r="C490" s="43" t="n">
        <x:v>3844</x:v>
      </x:c>
      <x:c r="D490" s="43" t="n">
        <x:v>52.517416223225574</x:v>
      </x:c>
      <x:c r="E490" s="43" t="n">
        <x:v>993.6463336155799</x:v>
      </x:c>
      <x:c r="F490" s="43" t="n">
        <x:v>29.009767734498737</x:v>
      </x:c>
      <x:c r="G490" s="43" t="n">
        <x:v>54.80524978831499</x:v>
      </x:c>
      <x:c r="H490" s="43" t="n">
        <x:v>2714.0212326383808</x:v>
      </x:c>
      <x:c r="I490" s="43" t="n">
        <x:v>3844</x:v>
      </x:c>
      <x:c r="J490" s="43" t="n">
        <x:v>954</x:v>
      </x:c>
      <x:c r="K490" s="43" t="n">
        <x:v>40.125253390408474</x:v>
      </x:c>
      <x:c r="L490" s="43" t="n">
        <x:v>11.115485655909739</x:v>
      </x:c>
    </x:row>
    <x:row r="491" ht="15" hidden="0" customHeight="1">
      <x:c r="A491" s="29" t="str">
        <x:v>31029</x:v>
      </x:c>
      <x:c r="B491" s="29" t="str">
        <x:v>SCA-12</x:v>
      </x:c>
      <x:c r="C491" s="44" t="n">
        <x:v>3718</x:v>
      </x:c>
      <x:c r="D491" s="44" t="n">
        <x:v>39.23584078744352</x:v>
      </x:c>
      <x:c r="E491" s="44" t="n">
        <x:v>401.544</x:v>
      </x:c>
      <x:c r="F491" s="44" t="n">
        <x:v>17.69458843578155</x:v>
      </x:c>
      <x:c r="G491" s="44" t="n">
        <x:v>26.624999999999996</x:v>
      </x:c>
      <x:c r="H491" s="44" t="n">
        <x:v>3232.9005707767747</x:v>
      </x:c>
      <x:c r="I491" s="44" t="n">
        <x:v>3718</x:v>
      </x:c>
      <x:c r="J491" s="44" t="n">
        <x:v>405</x:v>
      </x:c>
      <x:c r="K491" s="44" t="n">
        <x:v>40.19942922322507</x:v>
      </x:c>
      <x:c r="L491" s="44" t="n">
        <x:v>22.504840787443516</x:v>
      </x:c>
    </x:row>
    <x:row r="492" ht="15" hidden="0" customHeight="1">
      <x:c r="A492" s="27" t="str">
        <x:v>08023</x:v>
      </x:c>
      <x:c r="B492" s="27" t="str">
        <x:v>SCA-12</x:v>
      </x:c>
      <x:c r="C492" s="43" t="n">
        <x:v>3679</x:v>
      </x:c>
      <x:c r="D492" s="43" t="n">
        <x:v>46.448828956449674</x:v>
      </x:c>
      <x:c r="E492" s="43" t="n">
        <x:v>797.9889539748954</x:v>
      </x:c>
      <x:c r="F492" s="43" t="n">
        <x:v>20.368777601677465</x:v>
      </x:c>
      <x:c r="G492" s="43" t="n">
        <x:v>93.66108786610879</x:v>
      </x:c>
      <x:c r="H492" s="43" t="n">
        <x:v>2720.532351600869</x:v>
      </x:c>
      <x:c r="I492" s="43" t="n">
        <x:v>3679</x:v>
      </x:c>
      <x:c r="J492" s="43" t="n">
        <x:v>810</x:v>
      </x:c>
      <x:c r="K492" s="43" t="n">
        <x:v>33.56806680917316</x:v>
      </x:c>
      <x:c r="L492" s="43" t="n">
        <x:v>13.199289207495697</x:v>
      </x:c>
    </x:row>
    <x:row r="493" ht="15" hidden="0" customHeight="1">
      <x:c r="A493" s="29" t="str">
        <x:v>31105</x:v>
      </x:c>
      <x:c r="B493" s="29" t="str">
        <x:v>SCA-12</x:v>
      </x:c>
      <x:c r="C493" s="44" t="n">
        <x:v>3391</x:v>
      </x:c>
      <x:c r="D493" s="44" t="n">
        <x:v>51.44002083761631</x:v>
      </x:c>
      <x:c r="E493" s="44" t="n">
        <x:v>741.9478151524677</x:v>
      </x:c>
      <x:c r="F493" s="44" t="n">
        <x:v>16.138340340434436</x:v>
      </x:c>
      <x:c r="G493" s="44" t="n">
        <x:v>56.362150267211575</x:v>
      </x:c>
      <x:c r="H493" s="44" t="n">
        <x:v>2525.11167340227</x:v>
      </x:c>
      <x:c r="I493" s="44" t="n">
        <x:v>3391</x:v>
      </x:c>
      <x:c r="J493" s="44" t="n">
        <x:v>725</x:v>
      </x:c>
      <x:c r="K493" s="44" t="n">
        <x:v>36.66386888003125</x:v>
      </x:c>
      <x:c r="L493" s="44" t="n">
        <x:v>20.525528539596817</x:v>
      </x:c>
    </x:row>
    <x:row r="494" ht="15" hidden="0" customHeight="1">
      <x:c r="A494" s="27" t="str">
        <x:v>08009</x:v>
      </x:c>
      <x:c r="B494" s="27" t="str">
        <x:v>SCA-12</x:v>
      </x:c>
      <x:c r="C494" s="43" t="n">
        <x:v>3347</x:v>
      </x:c>
      <x:c r="D494" s="43" t="n">
        <x:v>35.10056235971336</x:v>
      </x:c>
      <x:c r="E494" s="43" t="n">
        <x:v>554.217654431513</x:v>
      </x:c>
      <x:c r="F494" s="43" t="n">
        <x:v>18.530660133953372</x:v>
      </x:c>
      <x:c r="G494" s="43" t="n">
        <x:v>103.85302894658311</x:v>
      </x:c>
      <x:c r="H494" s="43" t="n">
        <x:v>2635.298094128237</x:v>
      </x:c>
      <x:c r="I494" s="43" t="n">
        <x:v>3347</x:v>
      </x:c>
      <x:c r="J494" s="43" t="n">
        <x:v>578</x:v>
      </x:c>
      <x:c r="K494" s="43" t="n">
        <x:v>30.538820225687022</x:v>
      </x:c>
      <x:c r="L494" s="43" t="n">
        <x:v>12.00816009173365</x:v>
      </x:c>
    </x:row>
    <x:row r="495" ht="15" hidden="0" customHeight="1">
      <x:c r="A495" s="29" t="str">
        <x:v>46007</x:v>
      </x:c>
      <x:c r="B495" s="29" t="str">
        <x:v>SCA-12</x:v>
      </x:c>
      <x:c r="C495" s="44" t="n">
        <x:v>3307</x:v>
      </x:c>
      <x:c r="D495" s="44" t="n">
        <x:v>41.36281179535423</x:v>
      </x:c>
      <x:c r="E495" s="44" t="n">
        <x:v>283.54296094459585</x:v>
      </x:c>
      <x:c r="F495" s="44" t="n">
        <x:v>27.653451293105345</x:v>
      </x:c>
      <x:c r="G495" s="44" t="n">
        <x:v>31.874053890402667</x:v>
      </x:c>
      <x:c r="H495" s="44" t="n">
        <x:v>2922.5667220765417</x:v>
      </x:c>
      <x:c r="I495" s="44" t="n">
        <x:v>3307</x:v>
      </x:c>
      <x:c r="J495" s="44" t="n">
        <x:v>295</x:v>
      </x:c>
      <x:c r="K495" s="44" t="n">
        <x:v>57.20197304910142</x:v>
      </x:c>
      <x:c r="L495" s="44" t="n">
        <x:v>29.54852175599607</x:v>
      </x:c>
    </x:row>
    <x:row r="496" ht="15" hidden="0" customHeight="1">
      <x:c r="A496" s="27" t="str">
        <x:v>30025</x:v>
      </x:c>
      <x:c r="B496" s="27" t="str">
        <x:v>SCA-12</x:v>
      </x:c>
      <x:c r="C496" s="43" t="n">
        <x:v>2959</x:v>
      </x:c>
      <x:c r="D496" s="43" t="n">
        <x:v>29.54307668687928</x:v>
      </x:c>
      <x:c r="E496" s="43" t="n">
        <x:v>310.6130181012191</x:v>
      </x:c>
      <x:c r="F496" s="43" t="n">
        <x:v>17.909649692221603</x:v>
      </x:c>
      <x:c r="G496" s="43" t="n">
        <x:v>78.37753971185815</x:v>
      </x:c>
      <x:c r="H496" s="43" t="n">
        <x:v>2522.5567158078215</x:v>
      </x:c>
      <x:c r="I496" s="43" t="n">
        <x:v>2959</x:v>
      </x:c>
      <x:c r="J496" s="43" t="n">
        <x:v>296</x:v>
      </x:c>
      <x:c r="K496" s="43" t="n">
        <x:v>34.51051729155009</x:v>
      </x:c>
      <x:c r="L496" s="43" t="n">
        <x:v>16.600867599328485</x:v>
      </x:c>
    </x:row>
    <x:row r="497" ht="15" hidden="0" customHeight="1">
      <x:c r="A497" s="29" t="str">
        <x:v>31135</x:v>
      </x:c>
      <x:c r="B497" s="29" t="str">
        <x:v>SCA-12</x:v>
      </x:c>
      <x:c r="C497" s="44" t="n">
        <x:v>2849</x:v>
      </x:c>
      <x:c r="D497" s="44" t="n">
        <x:v>31.785966237635</x:v>
      </x:c>
      <x:c r="E497" s="44" t="n">
        <x:v>348.9871827956989</x:v>
      </x:c>
      <x:c r="F497" s="44" t="n">
        <x:v>13.558871020317817</x:v>
      </x:c>
      <x:c r="G497" s="44" t="n">
        <x:v>49.72688172043011</x:v>
      </x:c>
      <x:c r="H497" s="44" t="n">
        <x:v>2404.941098225918</x:v>
      </x:c>
      <x:c r="I497" s="44" t="n">
        <x:v>2849</x:v>
      </x:c>
      <x:c r="J497" s="44" t="n">
        <x:v>356</x:v>
      </x:c>
      <x:c r="K497" s="44" t="n">
        <x:v>30.803704641465362</x:v>
      </x:c>
      <x:c r="L497" s="44" t="n">
        <x:v>17.244833621147546</x:v>
      </x:c>
    </x:row>
    <x:row r="498" ht="15" hidden="0" customHeight="1">
      <x:c r="A498" s="27" t="str">
        <x:v>48421</x:v>
      </x:c>
      <x:c r="B498" s="27" t="str">
        <x:v>SCA-12</x:v>
      </x:c>
      <x:c r="C498" s="43" t="n">
        <x:v>2781</x:v>
      </x:c>
      <x:c r="D498" s="43" t="n">
        <x:v>28.472889703592703</x:v>
      </x:c>
      <x:c r="E498" s="43" t="n">
        <x:v>449.09641434262943</x:v>
      </x:c>
      <x:c r="F498" s="43" t="n">
        <x:v>23.98832145063286</x:v>
      </x:c>
      <x:c r="G498" s="43" t="n">
        <x:v>0</x:v>
      </x:c>
      <x:c r="H498" s="43" t="n">
        <x:v>2279.442374503145</x:v>
      </x:c>
      <x:c r="I498" s="43" t="n">
        <x:v>2781</x:v>
      </x:c>
      <x:c r="J498" s="43" t="n">
        <x:v>380</x:v>
      </x:c>
      <x:c r="K498" s="43" t="n">
        <x:v>33.748860556616</x:v>
      </x:c>
      <x:c r="L498" s="43" t="n">
        <x:v>9.760539105983142</x:v>
      </x:c>
    </x:row>
    <x:row r="499" ht="15" hidden="0" customHeight="1">
      <x:c r="A499" s="29" t="str">
        <x:v>20039</x:v>
      </x:c>
      <x:c r="B499" s="29" t="str">
        <x:v>SCA-12</x:v>
      </x:c>
      <x:c r="C499" s="44" t="n">
        <x:v>2716</x:v>
      </x:c>
      <x:c r="D499" s="44" t="n">
        <x:v>38.341774893330644</x:v>
      </x:c>
      <x:c r="E499" s="44" t="n">
        <x:v>469.36383233532933</x:v>
      </x:c>
      <x:c r="F499" s="44" t="n">
        <x:v>19.006121409596986</x:v>
      </x:c>
      <x:c r="G499" s="44" t="n">
        <x:v>54.11901197604791</x:v>
      </x:c>
      <x:c r="H499" s="44" t="n">
        <x:v>2135.169259385695</x:v>
      </x:c>
      <x:c r="I499" s="44" t="n">
        <x:v>2716</x:v>
      </x:c>
      <x:c r="J499" s="44" t="n">
        <x:v>481</x:v>
      </x:c>
      <x:c r="K499" s="44" t="n">
        <x:v>37.79106995562224</x:v>
      </x:c>
      <x:c r="L499" s="44" t="n">
        <x:v>18.784948546025255</x:v>
      </x:c>
    </x:row>
    <x:row r="500" ht="15" hidden="0" customHeight="1">
      <x:c r="A500" s="27" t="str">
        <x:v>46071</x:v>
      </x:c>
      <x:c r="B500" s="27" t="str">
        <x:v>SCA-12</x:v>
      </x:c>
      <x:c r="C500" s="43" t="n">
        <x:v>2666</x:v>
      </x:c>
      <x:c r="D500" s="43" t="n">
        <x:v>36.66882227631275</x:v>
      </x:c>
      <x:c r="E500" s="43" t="n">
        <x:v>308.34547033285094</x:v>
      </x:c>
      <x:c r="F500" s="43" t="n">
        <x:v>22.29334779178072</x:v>
      </x:c>
      <x:c r="G500" s="43" t="n">
        <x:v>202.2901591895803</x:v>
      </x:c>
      <x:c r="H500" s="43" t="n">
        <x:v>2096.402200409475</x:v>
      </x:c>
      <x:c r="I500" s="43" t="n">
        <x:v>2666</x:v>
      </x:c>
      <x:c r="J500" s="43" t="n">
        <x:v>333</x:v>
      </x:c>
      <x:c r="K500" s="43" t="n">
        <x:v>46.11444213755802</x:v>
      </x:c>
      <x:c r="L500" s="43" t="n">
        <x:v>23.821094345777297</x:v>
      </x:c>
    </x:row>
    <x:row r="501" ht="15" hidden="0" customHeight="1">
      <x:c r="A501" s="29" t="str">
        <x:v>20109</x:v>
      </x:c>
      <x:c r="B501" s="29" t="str">
        <x:v>SCA-12</x:v>
      </x:c>
      <x:c r="C501" s="44" t="n">
        <x:v>2661</x:v>
      </x:c>
      <x:c r="D501" s="44" t="n">
        <x:v>43.69446809258426</x:v>
      </x:c>
      <x:c r="E501" s="44" t="n">
        <x:v>606.9581201044386</x:v>
      </x:c>
      <x:c r="F501" s="44" t="n">
        <x:v>18.621240453217077</x:v>
      </x:c>
      <x:c r="G501" s="44" t="n">
        <x:v>44.98172323759791</x:v>
      </x:c>
      <x:c r="H501" s="44" t="n">
        <x:v>1946.7444481121624</x:v>
      </x:c>
      <x:c r="I501" s="44" t="n">
        <x:v>2661</x:v>
      </x:c>
      <x:c r="J501" s="44" t="n">
        <x:v>637</x:v>
      </x:c>
      <x:c r="K501" s="44" t="n">
        <x:v>37.02578687478306</x:v>
      </x:c>
      <x:c r="L501" s="44" t="n">
        <x:v>18.404546421565982</x:v>
      </x:c>
    </x:row>
    <x:row r="502" ht="15" hidden="0" customHeight="1">
      <x:c r="A502" s="27" t="str">
        <x:v>31063</x:v>
      </x:c>
      <x:c r="B502" s="27" t="str">
        <x:v>SCA-12</x:v>
      </x:c>
      <x:c r="C502" s="43" t="n">
        <x:v>2655</x:v>
      </x:c>
      <x:c r="D502" s="43" t="n">
        <x:v>36.01950392274884</x:v>
      </x:c>
      <x:c r="E502" s="43" t="n">
        <x:v>478.7745882352941</x:v>
      </x:c>
      <x:c r="F502" s="43" t="n">
        <x:v>12.635592333781606</x:v>
      </x:c>
      <x:c r="G502" s="43" t="n">
        <x:v>22.740392156862743</x:v>
      </x:c>
      <x:c r="H502" s="43" t="n">
        <x:v>2104.8299233513126</x:v>
      </x:c>
      <x:c r="I502" s="43" t="n">
        <x:v>2655</x:v>
      </x:c>
      <x:c r="J502" s="43" t="n">
        <x:v>479</x:v>
      </x:c>
      <x:c r="K502" s="43" t="n">
        <x:v>28.706155080059858</x:v>
      </x:c>
      <x:c r="L502" s="43" t="n">
        <x:v>16.070562746278252</x:v>
      </x:c>
    </x:row>
    <x:row r="503" ht="15" hidden="0" customHeight="1">
      <x:c r="A503" s="29" t="str">
        <x:v>20023</x:v>
      </x:c>
      <x:c r="B503" s="29" t="str">
        <x:v>SCA-12</x:v>
      </x:c>
      <x:c r="C503" s="44" t="n">
        <x:v>2604</x:v>
      </x:c>
      <x:c r="D503" s="44" t="n">
        <x:v>32.332814389452295</x:v>
      </x:c>
      <x:c r="E503" s="44" t="n">
        <x:v>343.7400695249131</x:v>
      </x:c>
      <x:c r="F503" s="44" t="n">
        <x:v>18.22236382569608</x:v>
      </x:c>
      <x:c r="G503" s="44" t="n">
        <x:v>30.187331015836232</x:v>
      </x:c>
      <x:c r="H503" s="44" t="n">
        <x:v>2179.5174212441025</x:v>
      </x:c>
      <x:c r="I503" s="44" t="n">
        <x:v>2604</x:v>
      </x:c>
      <x:c r="J503" s="44" t="n">
        <x:v>356</x:v>
      </x:c>
      <x:c r="K503" s="44" t="n">
        <x:v>36.232675318276996</x:v>
      </x:c>
      <x:c r="L503" s="44" t="n">
        <x:v>18.010311492580918</x:v>
      </x:c>
    </x:row>
    <x:row r="504" ht="15" hidden="0" customHeight="1">
      <x:c r="A504" s="27" t="str">
        <x:v>20075</x:v>
      </x:c>
      <x:c r="B504" s="27" t="str">
        <x:v>SCA-12</x:v>
      </x:c>
      <x:c r="C504" s="43" t="n">
        <x:v>2500</x:v>
      </x:c>
      <x:c r="D504" s="43" t="n">
        <x:v>31.681249559678765</x:v>
      </x:c>
      <x:c r="E504" s="43" t="n">
        <x:v>345.36585365853654</x:v>
      </x:c>
      <x:c r="F504" s="43" t="n">
        <x:v>17.49458892635952</x:v>
      </x:c>
      <x:c r="G504" s="43" t="n">
        <x:v>11.129268292682926</x:v>
      </x:c>
      <x:c r="H504" s="43" t="n">
        <x:v>2094.3290395627423</x:v>
      </x:c>
      <x:c r="I504" s="43" t="n">
        <x:v>2500</x:v>
      </x:c>
      <x:c r="J504" s="43" t="n">
        <x:v>354</x:v>
      </x:c>
      <x:c r="K504" s="43" t="n">
        <x:v>34.78559458359926</x:v>
      </x:c>
      <x:c r="L504" s="43" t="n">
        <x:v>17.291005657239744</x:v>
      </x:c>
    </x:row>
    <x:row r="505" ht="15" hidden="0" customHeight="1">
      <x:c r="A505" s="29" t="str">
        <x:v>20129</x:v>
      </x:c>
      <x:c r="B505" s="29" t="str">
        <x:v>SCA-12</x:v>
      </x:c>
      <x:c r="C505" s="44" t="n">
        <x:v>2470</x:v>
      </x:c>
      <x:c r="D505" s="44" t="n">
        <x:v>38.08579256774186</x:v>
      </x:c>
      <x:c r="E505" s="44" t="n">
        <x:v>504.0546954813359</x:v>
      </x:c>
      <x:c r="F505" s="44" t="n">
        <x:v>17.28465385924321</x:v>
      </x:c>
      <x:c r="G505" s="44" t="n">
        <x:v>19.68565815324165</x:v>
      </x:c>
      <x:c r="H505" s="44" t="n">
        <x:v>1890.8891999384373</x:v>
      </x:c>
      <x:c r="I505" s="44" t="n">
        <x:v>2470</x:v>
      </x:c>
      <x:c r="J505" s="44" t="n">
        <x:v>541</x:v>
      </x:c>
      <x:c r="K505" s="44" t="n">
        <x:v>34.368167448596076</x:v>
      </x:c>
      <x:c r="L505" s="44" t="n">
        <x:v>17.083513589352865</x:v>
      </x:c>
    </x:row>
    <x:row r="506" ht="15" hidden="0" customHeight="1">
      <x:c r="A506" s="27" t="str">
        <x:v>31087</x:v>
      </x:c>
      <x:c r="B506" s="27" t="str">
        <x:v>SCA-12</x:v>
      </x:c>
      <x:c r="C506" s="43" t="n">
        <x:v>2467</x:v>
      </x:c>
      <x:c r="D506" s="43" t="n">
        <x:v>33.728800003523226</x:v>
      </x:c>
      <x:c r="E506" s="43" t="n">
        <x:v>451.10857142857134</x:v>
      </x:c>
      <x:c r="F506" s="43" t="n">
        <x:v>11.740868658169198</x:v>
      </x:c>
      <x:c r="G506" s="43" t="n">
        <x:v>36.42857142857143</x:v>
      </x:c>
      <x:c r="H506" s="43" t="n">
        <x:v>1933.993188481165</x:v>
      </x:c>
      <x:c r="I506" s="43" t="n">
        <x:v>2467</x:v>
      </x:c>
      <x:c r="J506" s="43" t="n">
        <x:v>484</x:v>
      </x:c>
      <x:c r="K506" s="43" t="n">
        <x:v>26.673478185501946</x:v>
      </x:c>
      <x:c r="L506" s="43" t="n">
        <x:v>14.932609527332747</x:v>
      </x:c>
    </x:row>
    <x:row r="507" ht="15" hidden="0" customHeight="1">
      <x:c r="A507" s="29" t="str">
        <x:v>08033</x:v>
      </x:c>
      <x:c r="B507" s="29" t="str">
        <x:v>SCA-12</x:v>
      </x:c>
      <x:c r="C507" s="44" t="n">
        <x:v>2466</x:v>
      </x:c>
      <x:c r="D507" s="44" t="n">
        <x:v>22.191342912161538</x:v>
      </x:c>
      <x:c r="E507" s="44" t="n">
        <x:v>320.2555263157894</x:v>
      </x:c>
      <x:c r="F507" s="44" t="n">
        <x:v>13.65300504640843</x:v>
      </x:c>
      <x:c r="G507" s="44" t="n">
        <x:v>111.54893092105263</x:v>
      </x:c>
      <x:c r="H507" s="44" t="n">
        <x:v>1998.3511948045877</x:v>
      </x:c>
      <x:c r="I507" s="44" t="n">
        <x:v>2466</x:v>
      </x:c>
      <x:c r="J507" s="44" t="n">
        <x:v>329</x:v>
      </x:c>
      <x:c r="K507" s="44" t="n">
        <x:v>22.50036769541207</x:v>
      </x:c>
      <x:c r="L507" s="44" t="n">
        <x:v>8.84736264900364</x:v>
      </x:c>
    </x:row>
    <x:row r="508" ht="15" hidden="0" customHeight="1">
      <x:c r="A508" s="27" t="str">
        <x:v>20153</x:v>
      </x:c>
      <x:c r="B508" s="27" t="str">
        <x:v>SCA-12</x:v>
      </x:c>
      <x:c r="C508" s="43" t="n">
        <x:v>2431</x:v>
      </x:c>
      <x:c r="D508" s="43" t="n">
        <x:v>35.869677126906375</x:v>
      </x:c>
      <x:c r="E508" s="43" t="n">
        <x:v>457.34167741935477</x:v>
      </x:c>
      <x:c r="F508" s="43" t="n">
        <x:v>17.011738271991998</x:v>
      </x:c>
      <x:c r="G508" s="43" t="n">
        <x:v>36.98548387096775</x:v>
      </x:c>
      <x:c r="H508" s="43" t="n">
        <x:v>1883.791423310779</x:v>
      </x:c>
      <x:c r="I508" s="43" t="n">
        <x:v>2431</x:v>
      </x:c>
      <x:c r="J508" s="43" t="n">
        <x:v>486</x:v>
      </x:c>
      <x:c r="K508" s="43" t="n">
        <x:v>33.82551217309192</x:v>
      </x:c>
      <x:c r="L508" s="43" t="n">
        <x:v>16.813773901099925</x:v>
      </x:c>
    </x:row>
    <x:row r="509" ht="15" hidden="0" customHeight="1">
      <x:c r="A509" s="29" t="str">
        <x:v>20179</x:v>
      </x:c>
      <x:c r="B509" s="29" t="str">
        <x:v>SCA-12</x:v>
      </x:c>
      <x:c r="C509" s="44" t="n">
        <x:v>2427</x:v>
      </x:c>
      <x:c r="D509" s="44" t="n">
        <x:v>31.97384296038376</x:v>
      </x:c>
      <x:c r="E509" s="44" t="n">
        <x:v>364.50563204005005</x:v>
      </x:c>
      <x:c r="F509" s="44" t="n">
        <x:v>16.98374692970982</x:v>
      </x:c>
      <x:c r="G509" s="44" t="n">
        <x:v>22.77596996245307</x:v>
      </x:c>
      <x:c r="H509" s="44" t="n">
        <x:v>1990.7608081074034</x:v>
      </x:c>
      <x:c r="I509" s="44" t="n">
        <x:v>2427</x:v>
      </x:c>
      <x:c r="J509" s="44" t="n">
        <x:v>375</x:v>
      </x:c>
      <x:c r="K509" s="44" t="n">
        <x:v>33.769855221758164</x:v>
      </x:c>
      <x:c r="L509" s="44" t="n">
        <x:v>16.786108292048343</x:v>
      </x:c>
    </x:row>
    <x:row r="510" ht="15" hidden="0" customHeight="1">
      <x:c r="A510" s="27" t="str">
        <x:v>56027</x:v>
      </x:c>
      <x:c r="B510" s="27" t="str">
        <x:v>SCA-12</x:v>
      </x:c>
      <x:c r="C510" s="43" t="n">
        <x:v>2341</x:v>
      </x:c>
      <x:c r="D510" s="43" t="n">
        <x:v>28.273363643314273</x:v>
      </x:c>
      <x:c r="E510" s="43" t="n">
        <x:v>418.3803899721448</x:v>
      </x:c>
      <x:c r="F510" s="43" t="n">
        <x:v>15.515636241258111</x:v>
      </x:c>
      <x:c r="G510" s="43" t="n">
        <x:v>9.766016713091924</x:v>
      </x:c>
      <x:c r="H510" s="43" t="n">
        <x:v>1869.0645934301908</x:v>
      </x:c>
      <x:c r="I510" s="43" t="n">
        <x:v>2341</x:v>
      </x:c>
      <x:c r="J510" s="43" t="n">
        <x:v>401</x:v>
      </x:c>
      <x:c r="K510" s="43" t="n">
        <x:v>26.356483635733014</x:v>
      </x:c>
      <x:c r="L510" s="43" t="n">
        <x:v>10.840847394474903</x:v>
      </x:c>
    </x:row>
    <x:row r="511" ht="15" hidden="0" customHeight="1">
      <x:c r="A511" s="29" t="str">
        <x:v>08115</x:v>
      </x:c>
      <x:c r="B511" s="29" t="str">
        <x:v>SCA-12</x:v>
      </x:c>
      <x:c r="C511" s="44" t="n">
        <x:v>2247</x:v>
      </x:c>
      <x:c r="D511" s="44" t="n">
        <x:v>23.23927329101205</x:v>
      </x:c>
      <x:c r="E511" s="44" t="n">
        <x:v>364.2630079155673</x:v>
      </x:c>
      <x:c r="F511" s="44" t="n">
        <x:v>12.440511897518142</x:v>
      </x:c>
      <x:c r="G511" s="44" t="n">
        <x:v>64.82849604221637</x:v>
      </x:c>
      <x:c r="H511" s="44" t="n">
        <x:v>1782.2287108536862</x:v>
      </x:c>
      <x:c r="I511" s="44" t="n">
        <x:v>2247</x:v>
      </x:c>
      <x:c r="J511" s="44" t="n">
        <x:v>384</x:v>
      </x:c>
      <x:c r="K511" s="44" t="n">
        <x:v>20.50215985871489</x:v>
      </x:c>
      <x:c r="L511" s="44" t="n">
        <x:v>8.061647961196748</x:v>
      </x:c>
    </x:row>
    <x:row r="512" ht="15" hidden="0" customHeight="1">
      <x:c r="A512" s="27" t="str">
        <x:v>40025</x:v>
      </x:c>
      <x:c r="B512" s="27" t="str">
        <x:v>SCA-12</x:v>
      </x:c>
      <x:c r="C512" s="43" t="n">
        <x:v>2059</x:v>
      </x:c>
      <x:c r="D512" s="43" t="n">
        <x:v>36.51694070731511</x:v>
      </x:c>
      <x:c r="E512" s="43" t="n">
        <x:v>584.7410526315789</x:v>
      </x:c>
      <x:c r="F512" s="43" t="n">
        <x:v>20.865815559318616</x:v>
      </x:c>
      <x:c r="G512" s="43" t="n">
        <x:v>30.98366606170599</x:v>
      </x:c>
      <x:c r="H512" s="43" t="n">
        <x:v>1385.8925250400814</x:v>
      </x:c>
      <x:c r="I512" s="43" t="n">
        <x:v>2059</x:v>
      </x:c>
      <x:c r="J512" s="43" t="n">
        <x:v>652</x:v>
      </x:c>
      <x:c r="K512" s="43" t="n">
        <x:v>33.01854574031793</x:v>
      </x:c>
      <x:c r="L512" s="43" t="n">
        <x:v>12.152730180999317</x:v>
      </x:c>
    </x:row>
    <x:row r="513" ht="15" hidden="0" customHeight="1">
      <x:c r="A513" s="29" t="str">
        <x:v>20203</x:v>
      </x:c>
      <x:c r="B513" s="29" t="str">
        <x:v>SCA-12</x:v>
      </x:c>
      <x:c r="C513" s="44" t="n">
        <x:v>2031</x:v>
      </x:c>
      <x:c r="D513" s="44" t="n">
        <x:v>29.282167080040168</x:v>
      </x:c>
      <x:c r="E513" s="44" t="n">
        <x:v>365.6388980183664</x:v>
      </x:c>
      <x:c r="F513" s="44" t="n">
        <x:v>14.212604043774476</x:v>
      </x:c>
      <x:c r="G513" s="44" t="n">
        <x:v>29.248912518124698</x:v>
      </x:c>
      <x:c r="H513" s="44" t="n">
        <x:v>1592.6174183396943</x:v>
      </x:c>
      <x:c r="I513" s="44" t="n">
        <x:v>2031</x:v>
      </x:c>
      <x:c r="J513" s="44" t="n">
        <x:v>388</x:v>
      </x:c>
      <x:c r="K513" s="44" t="n">
        <x:v>28.259817039716044</x:v>
      </x:c>
      <x:c r="L513" s="44" t="n">
        <x:v>14.047212995941567</x:v>
      </x:c>
    </x:row>
    <x:row r="514" ht="15" hidden="0" customHeight="1">
      <x:c r="A514" s="27" t="str">
        <x:v>20187</x:v>
      </x:c>
      <x:c r="B514" s="27" t="str">
        <x:v>SCA-12</x:v>
      </x:c>
      <x:c r="C514" s="43" t="n">
        <x:v>1986</x:v>
      </x:c>
      <x:c r="D514" s="43" t="n">
        <x:v>22.756054575386152</x:v>
      </x:c>
      <x:c r="E514" s="43" t="n">
        <x:v>216.48191235059758</x:v>
      </x:c>
      <x:c r="F514" s="43" t="n">
        <x:v>13.897701443100004</x:v>
      </x:c>
      <x:c r="G514" s="43" t="n">
        <x:v>135.18426294820716</x:v>
      </x:c>
      <x:c r="H514" s="43" t="n">
        <x:v>1597.6800686827091</x:v>
      </x:c>
      <x:c r="I514" s="43" t="n">
        <x:v>1986</x:v>
      </x:c>
      <x:c r="J514" s="43" t="n">
        <x:v>228</x:v>
      </x:c>
      <x:c r="K514" s="43" t="n">
        <x:v>27.633676337211256</x:v>
      </x:c>
      <x:c r="L514" s="43" t="n">
        <x:v>13.735974894111251</x:v>
      </x:c>
    </x:row>
    <x:row r="515" ht="15" hidden="0" customHeight="1">
      <x:c r="A515" s="29" t="str">
        <x:v>31049</x:v>
      </x:c>
      <x:c r="B515" s="29" t="str">
        <x:v>SCA-12</x:v>
      </x:c>
      <x:c r="C515" s="44" t="n">
        <x:v>1862</x:v>
      </x:c>
      <x:c r="D515" s="44" t="n">
        <x:v>24.068665137942492</x:v>
      </x:c>
      <x:c r="E515" s="44" t="n">
        <x:v>307.1540619902121</x:v>
      </x:c>
      <x:c r="F515" s="44" t="n">
        <x:v>8.861571723352675</x:v>
      </x:c>
      <x:c r="G515" s="44" t="n">
        <x:v>30.642196846112018</x:v>
      </x:c>
      <x:c r="H515" s="44" t="n">
        <x:v>1491.2735043023806</x:v>
      </x:c>
      <x:c r="I515" s="44" t="n">
        <x:v>1862</x:v>
      </x:c>
      <x:c r="J515" s="44" t="n">
        <x:v>316</x:v>
      </x:c>
      <x:c r="K515" s="44" t="n">
        <x:v>20.13215094503633</x:v>
      </x:c>
      <x:c r="L515" s="44" t="n">
        <x:v>11.270579221683654</x:v>
      </x:c>
    </x:row>
    <x:row r="516" ht="15" hidden="0" customHeight="1">
      <x:c r="A516" s="27" t="str">
        <x:v>31069</x:v>
      </x:c>
      <x:c r="B516" s="27" t="str">
        <x:v>SCA-12</x:v>
      </x:c>
      <x:c r="C516" s="43" t="n">
        <x:v>1804</x:v>
      </x:c>
      <x:c r="D516" s="43" t="n">
        <x:v>24.56128376389199</x:v>
      </x:c>
      <x:c r="E516" s="43" t="n">
        <x:v>327.40260518731986</x:v>
      </x:c>
      <x:c r="F516" s="43" t="n">
        <x:v>8.585539951089272</x:v>
      </x:c>
      <x:c r="G516" s="43" t="n">
        <x:v>17.029971181556196</x:v>
      </x:c>
      <x:c r="H516" s="43" t="n">
        <x:v>1426.4205999161427</x:v>
      </x:c>
      <x:c r="I516" s="43" t="n">
        <x:v>1804</x:v>
      </x:c>
      <x:c r="J516" s="43" t="n">
        <x:v>328</x:v>
      </x:c>
      <x:c r="K516" s="43" t="n">
        <x:v>19.505048498842932</x:v>
      </x:c>
      <x:c r="L516" s="43" t="n">
        <x:v>10.91950854775366</x:v>
      </x:c>
    </x:row>
    <x:row r="517" ht="15" hidden="0" customHeight="1">
      <x:c r="A517" s="29" t="str">
        <x:v>48359</x:v>
      </x:c>
      <x:c r="B517" s="29" t="str">
        <x:v>SCA-12</x:v>
      </x:c>
      <x:c r="C517" s="44" t="n">
        <x:v>1783</x:v>
      </x:c>
      <x:c r="D517" s="44" t="n">
        <x:v>13.321220018995694</x:v>
      </x:c>
      <x:c r="E517" s="44" t="n">
        <x:v>169.52122241086587</x:v>
      </x:c>
      <x:c r="F517" s="44" t="n">
        <x:v>15.37978322419216</x:v>
      </x:c>
      <x:c r="G517" s="44" t="n">
        <x:v>7.207696661007357</x:v>
      </x:c>
      <x:c r="H517" s="44" t="n">
        <x:v>1577.570077684939</x:v>
      </x:c>
      <x:c r="I517" s="44" t="n">
        <x:v>1783</x:v>
      </x:c>
      <x:c r="J517" s="44" t="n">
        <x:v>175</x:v>
      </x:c>
      <x:c r="K517" s="44" t="n">
        <x:v>21.637618976068442</x:v>
      </x:c>
      <x:c r="L517" s="44" t="n">
        <x:v>6.257835751876282</x:v>
      </x:c>
    </x:row>
    <x:row r="518" ht="15" hidden="0" customHeight="1">
      <x:c r="A518" s="27" t="str">
        <x:v>30075</x:v>
      </x:c>
      <x:c r="B518" s="27" t="str">
        <x:v>SCA-12</x:v>
      </x:c>
      <x:c r="C518" s="43" t="n">
        <x:v>1781</x:v>
      </x:c>
      <x:c r="D518" s="43" t="n">
        <x:v>19.74142146863571</x:v>
      </x:c>
      <x:c r="E518" s="43" t="n">
        <x:v>233.98759795570697</x:v>
      </x:c>
      <x:c r="F518" s="43" t="n">
        <x:v>10.779684387241188</x:v>
      </x:c>
      <x:c r="G518" s="43" t="n">
        <x:v>36.25212947189097</x:v>
      </x:c>
      <x:c r="H518" s="43" t="n">
        <x:v>1480.2391667165252</x:v>
      </x:c>
      <x:c r="I518" s="43" t="n">
        <x:v>1781</x:v>
      </x:c>
      <x:c r="J518" s="43" t="n">
        <x:v>241</x:v>
      </x:c>
      <x:c r="K518" s="43" t="n">
        <x:v>20.771622607722442</x:v>
      </x:c>
      <x:c r="L518" s="43" t="n">
        <x:v>9.991938220481254</x:v>
      </x:c>
    </x:row>
    <x:row r="519" ht="15" hidden="0" customHeight="1">
      <x:c r="A519" s="29" t="str">
        <x:v>08017</x:v>
      </x:c>
      <x:c r="B519" s="29" t="str">
        <x:v>SCA-12</x:v>
      </x:c>
      <x:c r="C519" s="44" t="n">
        <x:v>1713</x:v>
      </x:c>
      <x:c r="D519" s="44" t="n">
        <x:v>13.070261043636222</x:v>
      </x:c>
      <x:c r="E519" s="44" t="n">
        <x:v>166.18716803760282</x:v>
      </x:c>
      <x:c r="F519" s="44" t="n">
        <x:v>9.48402175364868</x:v>
      </x:c>
      <x:c r="G519" s="44" t="n">
        <x:v>1.7978848413631023</x:v>
      </x:c>
      <x:c r="H519" s="44" t="n">
        <x:v>1522.4606643237491</x:v>
      </x:c>
      <x:c r="I519" s="44" t="n">
        <x:v>1713</x:v>
      </x:c>
      <x:c r="J519" s="44" t="n">
        <x:v>172</x:v>
      </x:c>
      <x:c r="K519" s="44" t="n">
        <x:v>15.629817462384784</x:v>
      </x:c>
      <x:c r="L519" s="44" t="n">
        <x:v>6.145795708736105</x:v>
      </x:c>
    </x:row>
    <x:row r="520" ht="15" hidden="0" customHeight="1">
      <x:c r="A520" s="27" t="str">
        <x:v>31057</x:v>
      </x:c>
      <x:c r="B520" s="27" t="str">
        <x:v>SCA-12</x:v>
      </x:c>
      <x:c r="C520" s="43" t="n">
        <x:v>1568</x:v>
      </x:c>
      <x:c r="D520" s="43" t="n">
        <x:v>18.965112442073554</x:v>
      </x:c>
      <x:c r="E520" s="43" t="n">
        <x:v>227.3783606557377</x:v>
      </x:c>
      <x:c r="F520" s="43" t="n">
        <x:v>7.462376188086461</x:v>
      </x:c>
      <x:c r="G520" s="43" t="n">
        <x:v>37.77810304449649</x:v>
      </x:c>
      <x:c r="H520" s="43" t="n">
        <x:v>1276.4160476696056</x:v>
      </x:c>
      <x:c r="I520" s="43" t="n">
        <x:v>1568</x:v>
      </x:c>
      <x:c r="J520" s="43" t="n">
        <x:v>258</x:v>
      </x:c>
      <x:c r="K520" s="43" t="n">
        <x:v>16.953390269504276</x:v>
      </x:c>
      <x:c r="L520" s="43" t="n">
        <x:v>9.491014081417815</x:v>
      </x:c>
    </x:row>
    <x:row r="521" ht="15" hidden="0" customHeight="1">
      <x:c r="A521" s="29" t="str">
        <x:v>20199</x:v>
      </x:c>
      <x:c r="B521" s="29" t="str">
        <x:v>SCA-12</x:v>
      </x:c>
      <x:c r="C521" s="44" t="n">
        <x:v>1441</x:v>
      </x:c>
      <x:c r="D521" s="44" t="n">
        <x:v>21.304876147242144</x:v>
      </x:c>
      <x:c r="E521" s="44" t="n">
        <x:v>272.1201716738197</x:v>
      </x:c>
      <x:c r="F521" s="44" t="n">
        <x:v>10.083881057153626</x:v>
      </x:c>
      <x:c r="G521" s="44" t="n">
        <x:v>10.44277539341917</x:v>
      </x:c>
      <x:c r="H521" s="44" t="n">
        <x:v>1127.0482957283652</x:v>
      </x:c>
      <x:c r="I521" s="44" t="n">
        <x:v>1441</x:v>
      </x:c>
      <x:c r="J521" s="44" t="n">
        <x:v>275</x:v>
      </x:c>
      <x:c r="K521" s="44" t="n">
        <x:v>20.050416717986614</x:v>
      </x:c>
      <x:c r="L521" s="44" t="n">
        <x:v>9.966535660832989</x:v>
      </x:c>
    </x:row>
    <x:row r="522" ht="15" hidden="0" customHeight="1">
      <x:c r="A522" s="27" t="str">
        <x:v>08061</x:v>
      </x:c>
      <x:c r="B522" s="27" t="str">
        <x:v>SCA-12</x:v>
      </x:c>
      <x:c r="C522" s="43" t="n">
        <x:v>1412</x:v>
      </x:c>
      <x:c r="D522" s="43" t="n">
        <x:v>11.989512037495727</x:v>
      </x:c>
      <x:c r="E522" s="43" t="n">
        <x:v>166.1670133729569</x:v>
      </x:c>
      <x:c r="F522" s="43" t="n">
        <x:v>7.81753573622413</x:v>
      </x:c>
      <x:c r="G522" s="43" t="n">
        <x:v>16.670876671619613</x:v>
      </x:c>
      <x:c r="H522" s="43" t="n">
        <x:v>1209.3550621817035</x:v>
      </x:c>
      <x:c r="I522" s="43" t="n">
        <x:v>1412</x:v>
      </x:c>
      <x:c r="J522" s="43" t="n">
        <x:v>165</x:v>
      </x:c>
      <x:c r="K522" s="43" t="n">
        <x:v>12.883422216513319</x:v>
      </x:c>
      <x:c r="L522" s="43" t="n">
        <x:v>5.065886480289189</x:v>
      </x:c>
    </x:row>
    <x:row r="523" ht="15" hidden="0" customHeight="1">
      <x:c r="A523" s="29" t="str">
        <x:v>30011</x:v>
      </x:c>
      <x:c r="B523" s="29" t="str">
        <x:v>SCA-12</x:v>
      </x:c>
      <x:c r="C523" s="44" t="n">
        <x:v>1383</x:v>
      </x:c>
      <x:c r="D523" s="44" t="n">
        <x:v>17.394872216396106</x:v>
      </x:c>
      <x:c r="E523" s="44" t="n">
        <x:v>231.25996889580094</x:v>
      </x:c>
      <x:c r="F523" s="44" t="n">
        <x:v>8.37074874090655</x:v>
      </x:c>
      <x:c r="G523" s="44" t="n">
        <x:v>33.85847589424572</x:v>
      </x:c>
      <x:c r="H523" s="44" t="n">
        <x:v>1092.1159342526505</x:v>
      </x:c>
      <x:c r="I523" s="44" t="n">
        <x:v>1383</x:v>
      </x:c>
      <x:c r="J523" s="44" t="n">
        <x:v>224</x:v>
      </x:c>
      <x:c r="K523" s="44" t="n">
        <x:v>16.129788919977617</x:v>
      </x:c>
      <x:c r="L523" s="44" t="n">
        <x:v>7.759040179071069</x:v>
      </x:c>
    </x:row>
    <x:row r="524" ht="15" hidden="0" customHeight="1">
      <x:c r="A524" s="27" t="str">
        <x:v>46063</x:v>
      </x:c>
      <x:c r="B524" s="27" t="str">
        <x:v>SCA-12</x:v>
      </x:c>
      <x:c r="C524" s="43" t="n">
        <x:v>1331</x:v>
      </x:c>
      <x:c r="D524" s="43" t="n">
        <x:v>15.401464230778673</x:v>
      </x:c>
      <x:c r="E524" s="43" t="n">
        <x:v>84.21089630931456</x:v>
      </x:c>
      <x:c r="F524" s="43" t="n">
        <x:v>11.129949703998555</x:v>
      </x:c>
      <x:c r="G524" s="43" t="n">
        <x:v>9.340949033391915</x:v>
      </x:c>
      <x:c r="H524" s="43" t="n">
        <x:v>1210.9167407225164</x:v>
      </x:c>
      <x:c r="I524" s="43" t="n">
        <x:v>1331</x:v>
      </x:c>
      <x:c r="J524" s="43" t="n">
        <x:v>75</x:v>
      </x:c>
      <x:c r="K524" s="43" t="n">
        <x:v>23.022626588555788</x:v>
      </x:c>
      <x:c r="L524" s="43" t="n">
        <x:v>11.892676884557233</x:v>
      </x:c>
    </x:row>
    <x:row r="525" ht="15" hidden="0" customHeight="1">
      <x:c r="A525" s="29" t="str">
        <x:v>08057</x:v>
      </x:c>
      <x:c r="B525" s="29" t="str">
        <x:v>SCA-12</x:v>
      </x:c>
      <x:c r="C525" s="44" t="n">
        <x:v>1211</x:v>
      </x:c>
      <x:c r="D525" s="44" t="n">
        <x:v>10.231310379109237</x:v>
      </x:c>
      <x:c r="E525" s="44" t="n">
        <x:v>141.27742313323571</x:v>
      </x:c>
      <x:c r="F525" s="44" t="n">
        <x:v>6.70469955847551</x:v>
      </x:c>
      <x:c r="G525" s="44" t="n">
        <x:v>18.448023426061493</x:v>
      </x:c>
      <x:c r="H525" s="44" t="n">
        <x:v>1034.338543503118</x:v>
      </x:c>
      <x:c r="I525" s="44" t="n">
        <x:v>1211</x:v>
      </x:c>
      <x:c r="J525" s="44" t="n">
        <x:v>166</x:v>
      </x:c>
      <x:c r="K525" s="44" t="n">
        <x:v>11.049450640366592</x:v>
      </x:c>
      <x:c r="L525" s="44" t="n">
        <x:v>4.344751081891082</x:v>
      </x:c>
    </x:row>
    <x:row r="526" ht="15" hidden="0" customHeight="1">
      <x:c r="A526" s="27" t="str">
        <x:v>31165</x:v>
      </x:c>
      <x:c r="B526" s="27" t="str">
        <x:v>SCA-12</x:v>
      </x:c>
      <x:c r="C526" s="43" t="n">
        <x:v>1188</x:v>
      </x:c>
      <x:c r="D526" s="43" t="n">
        <x:v>15.022971022355867</x:v>
      </x:c>
      <x:c r="E526" s="43" t="n">
        <x:v>187.96980358667804</x:v>
      </x:c>
      <x:c r="F526" s="43" t="n">
        <x:v>5.653892162912448</x:v>
      </x:c>
      <x:c r="G526" s="43" t="n">
        <x:v>25.055508112724166</x:v>
      </x:c>
      <x:c r="H526" s="43" t="n">
        <x:v>954.2978251153295</x:v>
      </x:c>
      <x:c r="I526" s="43" t="n">
        <x:v>1188</x:v>
      </x:c>
      <x:c r="J526" s="43" t="n">
        <x:v>193</x:v>
      </x:c>
      <x:c r="K526" s="43" t="n">
        <x:v>12.844788035823393</x:v>
      </x:c>
      <x:c r="L526" s="43" t="n">
        <x:v>7.1908958729109465</x:v>
      </x:c>
    </x:row>
    <x:row r="527" ht="15" hidden="0" customHeight="1">
      <x:c r="A527" s="29" t="str">
        <x:v>20071</x:v>
      </x:c>
      <x:c r="B527" s="29" t="str">
        <x:v>SCA-12</x:v>
      </x:c>
      <x:c r="C527" s="44" t="n">
        <x:v>1182</x:v>
      </x:c>
      <x:c r="D527" s="44" t="n">
        <x:v>14.011312474742951</x:v>
      </x:c>
      <x:c r="E527" s="44" t="n">
        <x:v>140.067</x:v>
      </x:c>
      <x:c r="F527" s="44" t="n">
        <x:v>8.271441644382781</x:v>
      </x:c>
      <x:c r="G527" s="44" t="n">
        <x:v>28.9265625</x:v>
      </x:c>
      <x:c r="H527" s="44" t="n">
        <x:v>990.7236833808743</x:v>
      </x:c>
      <x:c r="I527" s="44" t="n">
        <x:v>1182</x:v>
      </x:c>
      <x:c r="J527" s="44" t="n">
        <x:v>158</x:v>
      </x:c>
      <x:c r="K527" s="44" t="n">
        <x:v>16.44662911912573</x:v>
      </x:c>
      <x:c r="L527" s="44" t="n">
        <x:v>8.17518747474295</x:v>
      </x:c>
    </x:row>
    <x:row r="528" ht="15" hidden="0" customHeight="1">
      <x:c r="A528" s="27" t="str">
        <x:v>30079</x:v>
      </x:c>
      <x:c r="B528" s="27" t="str">
        <x:v>SCA-12</x:v>
      </x:c>
      <x:c r="C528" s="43" t="n">
        <x:v>1112</x:v>
      </x:c>
      <x:c r="D528" s="43" t="n">
        <x:v>12.582578084499616</x:v>
      </x:c>
      <x:c r="E528" s="43" t="n">
        <x:v>152.25427872860635</x:v>
      </x:c>
      <x:c r="F528" s="43" t="n">
        <x:v>6.730493564633464</x:v>
      </x:c>
      <x:c r="G528" s="43" t="n">
        <x:v>50.58516707416463</x:v>
      </x:c>
      <x:c r="H528" s="43" t="n">
        <x:v>889.847482548096</x:v>
      </x:c>
      <x:c r="I528" s="43" t="n">
        <x:v>1112</x:v>
      </x:c>
      <x:c r="J528" s="43" t="n">
        <x:v>175</x:v>
      </x:c>
      <x:c r="K528" s="43" t="n">
        <x:v>12.969143368774482</x:v>
      </x:c>
      <x:c r="L528" s="43" t="n">
        <x:v>6.238649804141018</x:v>
      </x:c>
    </x:row>
    <x:row r="529" ht="15" hidden="0" customHeight="1">
      <x:c r="A529" s="29" t="str">
        <x:v>08079</x:v>
      </x:c>
      <x:c r="B529" s="29" t="str">
        <x:v>SCA-12</x:v>
      </x:c>
      <x:c r="C529" s="44" t="n">
        <x:v>910</x:v>
      </x:c>
      <x:c r="D529" s="44" t="n">
        <x:v>9.523438827309365</x:v>
      </x:c>
      <x:c r="E529" s="44" t="n">
        <x:v>150.20632737276478</x:v>
      </x:c>
      <x:c r="F529" s="44" t="n">
        <x:v>5.038213541050961</x:v>
      </x:c>
      <x:c r="G529" s="44" t="n">
        <x:v>16.56121045392022</x:v>
      </x:c>
      <x:c r="H529" s="44" t="n">
        <x:v>728.6708098049546</x:v>
      </x:c>
      <x:c r="I529" s="44" t="n">
        <x:v>910</x:v>
      </x:c>
      <x:c r="J529" s="44" t="n">
        <x:v>125</x:v>
      </x:c>
      <x:c r="K529" s="44" t="n">
        <x:v>8.303055394495127</x:v>
      </x:c>
      <x:c r="L529" s="44" t="n">
        <x:v>3.2648418534441657</x:v>
      </x:c>
    </x:row>
    <x:row r="530" ht="15" hidden="0" customHeight="1">
      <x:c r="A530" s="27" t="str">
        <x:v>30109</x:v>
      </x:c>
      <x:c r="B530" s="27" t="str">
        <x:v>SCA-12</x:v>
      </x:c>
      <x:c r="C530" s="43" t="n">
        <x:v>885</x:v>
      </x:c>
      <x:c r="D530" s="43" t="n">
        <x:v>10.591401138808923</x:v>
      </x:c>
      <x:c r="E530" s="43" t="n">
        <x:v>135.03092783505153</x:v>
      </x:c>
      <x:c r="F530" s="43" t="n">
        <x:v>5.3565528819250146</x:v>
      </x:c>
      <x:c r="G530" s="43" t="n">
        <x:v>23.549828178694156</x:v>
      </x:c>
      <x:c r="H530" s="43" t="n">
        <x:v>710.4712899655203</x:v>
      </x:c>
      <x:c r="I530" s="43" t="n">
        <x:v>885</x:v>
      </x:c>
      <x:c r="J530" s="43" t="n">
        <x:v>185</x:v>
      </x:c>
      <x:c r="K530" s="43" t="n">
        <x:v>10.321665360940123</x:v>
      </x:c>
      <x:c r="L530" s="43" t="n">
        <x:v>4.965112479015109</x:v>
      </x:c>
    </x:row>
    <x:row r="531" ht="15" hidden="0" customHeight="1">
      <x:c r="A531" s="29" t="str">
        <x:v>31085</x:v>
      </x:c>
      <x:c r="B531" s="29" t="str">
        <x:v>SCA-12</x:v>
      </x:c>
      <x:c r="C531" s="44" t="n">
        <x:v>821</x:v>
      </x:c>
      <x:c r="D531" s="44" t="n">
        <x:v>10.150628433733624</x:v>
      </x:c>
      <x:c r="E531" s="44" t="n">
        <x:v>124.34790035587189</x:v>
      </x:c>
      <x:c r="F531" s="44" t="n">
        <x:v>3.9072773280733326</x:v>
      </x:c>
      <x:c r="G531" s="44" t="n">
        <x:v>15.16014234875445</x:v>
      </x:c>
      <x:c r="H531" s="44" t="n">
        <x:v>667.4340515335667</x:v>
      </x:c>
      <x:c r="I531" s="44" t="n">
        <x:v>821</x:v>
      </x:c>
      <x:c r="J531" s="44" t="n">
        <x:v>133</x:v>
      </x:c>
      <x:c r="K531" s="44" t="n">
        <x:v>8.876743246978961</x:v>
      </x:c>
      <x:c r="L531" s="44" t="n">
        <x:v>4.9694659189056285</x:v>
      </x:c>
    </x:row>
    <x:row r="532" ht="15" hidden="0" customHeight="1">
      <x:c r="A532" s="27" t="str">
        <x:v>08111</x:v>
      </x:c>
      <x:c r="B532" s="27" t="str">
        <x:v>SCA-12</x:v>
      </x:c>
      <x:c r="C532" s="43" t="n">
        <x:v>813</x:v>
      </x:c>
      <x:c r="D532" s="43" t="n">
        <x:v>3.500753890230523</x:v>
      </x:c>
      <x:c r="E532" s="43" t="n">
        <x:v>14.014143646408838</x:v>
      </x:c>
      <x:c r="F532" s="43" t="n">
        <x:v>4.5011731965653095</x:v>
      </x:c>
      <x:c r="G532" s="43" t="n">
        <x:v>9.820441988950277</x:v>
      </x:c>
      <x:c r="H532" s="43" t="n">
        <x:v>781.1634872778451</x:v>
      </x:c>
      <x:c r="I532" s="43" t="n">
        <x:v>813</x:v>
      </x:c>
      <x:c r="J532" s="43" t="n">
        <x:v>13</x:v>
      </x:c>
      <x:c r="K532" s="43" t="n">
        <x:v>7.41800443486213</x:v>
      </x:c>
      <x:c r="L532" s="43" t="n">
        <x:v>2.9168312382968207</x:v>
      </x:c>
    </x:row>
    <x:row r="533" ht="15" hidden="0" customHeight="1">
      <x:c r="A533" s="29" t="str">
        <x:v>08053</x:v>
      </x:c>
      <x:c r="B533" s="29" t="str">
        <x:v>SCA-12</x:v>
      </x:c>
      <x:c r="C533" s="44" t="n">
        <x:v>753</x:v>
      </x:c>
      <x:c r="D533" s="44" t="n">
        <x:v>4.949328134297385</x:v>
      </x:c>
      <x:c r="E533" s="44" t="n">
        <x:v>53.94626865671641</x:v>
      </x:c>
      <x:c r="F533" s="44" t="n">
        <x:v>4.168983292759752</x:v>
      </x:c>
      <x:c r="G533" s="44" t="n">
        <x:v>14.805970149253731</x:v>
      </x:c>
      <x:c r="H533" s="44" t="n">
        <x:v>675.1294497669727</x:v>
      </x:c>
      <x:c r="I533" s="44" t="n">
        <x:v>753</x:v>
      </x:c>
      <x:c r="J533" s="44" t="n">
        <x:v>75</x:v>
      </x:c>
      <x:c r="K533" s="44" t="n">
        <x:v>6.870550233027287</x:v>
      </x:c>
      <x:c r="L533" s="44" t="n">
        <x:v>2.7015669402675346</x:v>
      </x:c>
    </x:row>
    <x:row r="534" ht="15" hidden="0" customHeight="1">
      <x:c r="A534" s="27" t="str">
        <x:v>31007</x:v>
      </x:c>
      <x:c r="B534" s="27" t="str">
        <x:v>SCA-12</x:v>
      </x:c>
      <x:c r="C534" s="43" t="n">
        <x:v>686</x:v>
      </x:c>
      <x:c r="D534" s="43" t="n">
        <x:v>7.036846962507087</x:v>
      </x:c>
      <x:c r="E534" s="43" t="n">
        <x:v>69.22867924528302</x:v>
      </x:c>
      <x:c r="F534" s="43" t="n">
        <x:v>3.2647895822878272</x:v>
      </x:c>
      <x:c r="G534" s="43" t="n">
        <x:v>5.369272237196766</x:v>
      </x:c>
      <x:c r="H534" s="43" t="n">
        <x:v>601.1004119727253</x:v>
      </x:c>
      <x:c r="I534" s="43" t="n">
        <x:v>686</x:v>
      </x:c>
      <x:c r="J534" s="43" t="n">
        <x:v>78</x:v>
      </x:c>
      <x:c r="K534" s="43" t="n">
        <x:v>7.417108242908121</x:v>
      </x:c>
      <x:c r="L534" s="43" t="n">
        <x:v>4.152318660620294</x:v>
      </x:c>
    </x:row>
    <x:row r="535" ht="15" hidden="0" customHeight="1">
      <x:c r="A535" s="29" t="str">
        <x:v>31091</x:v>
      </x:c>
      <x:c r="B535" s="29" t="str">
        <x:v>SCA-12</x:v>
      </x:c>
      <x:c r="C535" s="44" t="n">
        <x:v>686</x:v>
      </x:c>
      <x:c r="D535" s="44" t="n">
        <x:v>7.631869222418047</x:v>
      </x:c>
      <x:c r="E535" s="44" t="n">
        <x:v>83.50921348314607</x:v>
      </x:c>
      <x:c r="F535" s="44" t="n">
        <x:v>3.2647895822878272</x:v>
      </x:c>
      <x:c r="G535" s="44" t="n">
        <x:v>17.463884430176563</x:v>
      </x:c>
      <x:c r="H535" s="44" t="n">
        <x:v>574.1302432819715</x:v>
      </x:c>
      <x:c r="I535" s="44" t="n">
        <x:v>686</x:v>
      </x:c>
      <x:c r="J535" s="44" t="n">
        <x:v>79</x:v>
      </x:c>
      <x:c r="K535" s="44" t="n">
        <x:v>7.417108242908121</x:v>
      </x:c>
      <x:c r="L535" s="44" t="n">
        <x:v>4.152318660620294</x:v>
      </x:c>
    </x:row>
    <x:row r="536" ht="15" hidden="0" customHeight="1">
      <x:c r="A536" s="27" t="str">
        <x:v>31113</x:v>
      </x:c>
      <x:c r="B536" s="27" t="str">
        <x:v>SCA-12</x:v>
      </x:c>
      <x:c r="C536" s="43" t="n">
        <x:v>669</x:v>
      </x:c>
      <x:c r="D536" s="43" t="n">
        <x:v>6.6111780145455725</x:v>
      </x:c>
      <x:c r="E536" s="43" t="n">
        <x:v>61.48222509702458</x:v>
      </x:c>
      <x:c r="F536" s="43" t="n">
        <x:v>3.183883718003727</x:v>
      </x:c>
      <x:c r="G536" s="43" t="n">
        <x:v>0</x:v>
      </x:c>
      <x:c r="H536" s="43" t="n">
        <x:v>597.7227131704261</x:v>
      </x:c>
      <x:c r="I536" s="43" t="n">
        <x:v>669</x:v>
      </x:c>
      <x:c r="J536" s="43" t="n">
        <x:v>74</x:v>
      </x:c>
      <x:c r="K536" s="43" t="n">
        <x:v>7.233302353506608</x:v>
      </x:c>
      <x:c r="L536" s="43" t="n">
        <x:v>4.049418635502882</x:v>
      </x:c>
    </x:row>
    <x:row r="537" ht="15" hidden="0" customHeight="1">
      <x:c r="A537" s="29" t="str">
        <x:v>31171</x:v>
      </x:c>
      <x:c r="B537" s="29" t="str">
        <x:v>SCA-12</x:v>
      </x:c>
      <x:c r="C537" s="44" t="n">
        <x:v>639</x:v>
      </x:c>
      <x:c r="D537" s="44" t="n">
        <x:v>7.1308090792881735</x:v>
      </x:c>
      <x:c r="E537" s="44" t="n">
        <x:v>78.31148936170212</x:v>
      </x:c>
      <x:c r="F537" s="44" t="n">
        <x:v>3.0411086633847257</x:v>
      </x:c>
      <x:c r="G537" s="44" t="n">
        <x:v>17.4468085106383</x:v>
      </x:c>
      <x:c r="H537" s="44" t="n">
        <x:v>533.0697843849866</x:v>
      </x:c>
      <x:c r="I537" s="44" t="n">
        <x:v>639</x:v>
      </x:c>
      <x:c r="J537" s="44" t="n">
        <x:v>72</x:v>
      </x:c>
      <x:c r="K537" s="44" t="n">
        <x:v>6.908939019268644</x:v>
      </x:c>
      <x:c r="L537" s="44" t="n">
        <x:v>3.867830355883918</x:v>
      </x:c>
    </x:row>
    <x:row r="538" ht="15" hidden="0" customHeight="1">
      <x:c r="A538" s="27" t="str">
        <x:v>35021</x:v>
      </x:c>
      <x:c r="B538" s="27" t="str">
        <x:v>SCA-12</x:v>
      </x:c>
      <x:c r="C538" s="43" t="n">
        <x:v>617</x:v>
      </x:c>
      <x:c r="D538" s="43" t="n">
        <x:v>6.934172430577015</x:v>
      </x:c>
      <x:c r="E538" s="43" t="n">
        <x:v>123.60065040650406</x:v>
      </x:c>
      <x:c r="F538" s="43" t="n">
        <x:v>4.65635449848744</x:v>
      </x:c>
      <x:c r="G538" s="43" t="n">
        <x:v>18.200542005420054</x:v>
      </x:c>
      <x:c r="H538" s="43" t="n">
        <x:v>463.6082806590114</x:v>
      </x:c>
      <x:c r="I538" s="43" t="n">
        <x:v>617</x:v>
      </x:c>
      <x:c r="J538" s="43" t="n">
        <x:v>154</x:v>
      </x:c>
      <x:c r="K538" s="43" t="n">
        <x:v>6.440499828793452</x:v>
      </x:c>
      <x:c r="L538" s="43" t="n">
        <x:v>1.7841453303060117</x:v>
      </x:c>
    </x:row>
    <x:row r="539" ht="15" hidden="0" customHeight="1">
      <x:c r="A539" s="29" t="str">
        <x:v>31075</x:v>
      </x:c>
      <x:c r="B539" s="29" t="str">
        <x:v>SCA-12</x:v>
      </x:c>
      <x:c r="C539" s="44" t="n">
        <x:v>561</x:v>
      </x:c>
      <x:c r="D539" s="44" t="n">
        <x:v>5.725732777756402</x:v>
      </x:c>
      <x:c r="E539" s="44" t="n">
        <x:v>55.92076677316294</x:v>
      </x:c>
      <x:c r="F539" s="44" t="n">
        <x:v>2.669893521375322</x:v>
      </x:c>
      <x:c r="G539" s="44" t="n">
        <x:v>9.857827476038338</x:v>
      </x:c>
      <x:c r="H539" s="44" t="n">
        <x:v>486.825779451667</x:v>
      </x:c>
      <x:c r="I539" s="44" t="n">
        <x:v>561</x:v>
      </x:c>
      <x:c r="J539" s="44" t="n">
        <x:v>65</x:v>
      </x:c>
      <x:c r="K539" s="44" t="n">
        <x:v>6.065594350249936</x:v>
      </x:c>
      <x:c r="L539" s="44" t="n">
        <x:v>3.3957008288746136</x:v>
      </x:c>
    </x:row>
    <x:row r="540" ht="15" hidden="0" customHeight="1">
      <x:c r="A540" s="27" t="str">
        <x:v>31005</x:v>
      </x:c>
      <x:c r="B540" s="27" t="str">
        <x:v>SCA-12</x:v>
      </x:c>
      <x:c r="C540" s="43" t="n">
        <x:v>396</x:v>
      </x:c>
      <x:c r="D540" s="43" t="n">
        <x:v>4.720601654606679</x:v>
      </x:c>
      <x:c r="E540" s="43" t="n">
        <x:v>55.76727272727273</x:v>
      </x:c>
      <x:c r="F540" s="43" t="n">
        <x:v>1.8846307209708157</x:v>
      </x:c>
      <x:c r="G540" s="43" t="n">
        <x:v>8.533057851239668</x:v>
      </x:c>
      <x:c r="H540" s="43" t="n">
        <x:v>325.0944370459101</x:v>
      </x:c>
      <x:c r="I540" s="43" t="n">
        <x:v>396</x:v>
      </x:c>
      <x:c r="J540" s="43" t="n">
        <x:v>71</x:v>
      </x:c>
      <x:c r="K540" s="43" t="n">
        <x:v>4.281596011941131</x:v>
      </x:c>
      <x:c r="L540" s="43" t="n">
        <x:v>2.396965290970315</x:v>
      </x:c>
    </x:row>
    <x:row r="541" ht="15" hidden="0" customHeight="1">
      <x:c r="A541" s="29" t="str">
        <x:v>31117</x:v>
      </x:c>
      <x:c r="B541" s="29" t="str">
        <x:v>SCA-12</x:v>
      </x:c>
      <x:c r="C541" s="44" t="n">
        <x:v>369</x:v>
      </x:c>
      <x:c r="D541" s="44" t="n">
        <x:v>3.8493674182606163</x:v>
      </x:c>
      <x:c r="E541" s="44" t="n">
        <x:v>38.779957894736846</x:v>
      </x:c>
      <x:c r="F541" s="44" t="n">
        <x:v>1.7561331718137145</x:v>
      </x:c>
      <x:c r="G541" s="44" t="n">
        <x:v>26.71578947368421</x:v>
      </x:c>
      <x:c r="H541" s="44" t="n">
        <x:v>297.8987520415046</x:v>
      </x:c>
      <x:c r="I541" s="44" t="n">
        <x:v>369</x:v>
      </x:c>
      <x:c r="J541" s="44" t="n">
        <x:v>52</x:v>
      </x:c>
      <x:c r="K541" s="44" t="n">
        <x:v>3.989669011126963</x:v>
      </x:c>
      <x:c r="L541" s="44" t="n">
        <x:v>2.2335358393132485</x:v>
      </x:c>
    </x:row>
    <x:row r="542" ht="15" hidden="0" customHeight="1">
      <x:c r="A542" s="27" t="str">
        <x:v>48029</x:v>
      </x:c>
      <x:c r="B542" s="27" t="str">
        <x:v>SCA-13</x:v>
      </x:c>
      <x:c r="C542" s="43" t="n">
        <x:v>2160088</x:v>
      </x:c>
      <x:c r="D542" s="43" t="n">
        <x:v>20624.67859165955</x:v>
      </x:c>
      <x:c r="E542" s="43" t="n">
        <x:v>313040.8437285031</x:v>
      </x:c>
      <x:c r="F542" s="43" t="n">
        <x:v>18632.465050577</x:v>
      </x:c>
      <x:c r="G542" s="43" t="n">
        <x:v>71964.73525730013</x:v>
      </x:c>
      <x:c r="H542" s="43" t="n">
        <x:v>1735825.2773719602</x:v>
      </x:c>
      <x:c r="I542" s="43" t="n">
        <x:v>2160088</x:v>
      </x:c>
      <x:c r="J542" s="43" t="n">
        <x:v>305464</x:v>
      </x:c>
      <x:c r="K542" s="43" t="n">
        <x:v>26213.775153548922</x:v>
      </x:c>
      <x:c r="L542" s="43" t="n">
        <x:v>7581.310102971921</x:v>
      </x:c>
    </x:row>
    <x:row r="543" ht="15" hidden="0" customHeight="1">
      <x:c r="A543" s="29" t="str">
        <x:v>48453</x:v>
      </x:c>
      <x:c r="B543" s="29" t="str">
        <x:v>SCA-13</x:v>
      </x:c>
      <x:c r="C543" s="44" t="n">
        <x:v>1389670</x:v>
      </x:c>
      <x:c r="D543" s="44" t="n">
        <x:v>10233.410675700188</x:v>
      </x:c>
      <x:c r="E543" s="44" t="n">
        <x:v>128545.30062317698</x:v>
      </x:c>
      <x:c r="F543" s="44" t="n">
        <x:v>11987.001319777406</x:v>
      </x:c>
      <x:c r="G543" s="44" t="n">
        <x:v>47987.627291503624</x:v>
      </x:c>
      <x:c r="H543" s="44" t="n">
        <x:v>1190916.6600898418</x:v>
      </x:c>
      <x:c r="I543" s="44" t="n">
        <x:v>1389670</x:v>
      </x:c>
      <x:c r="J543" s="44" t="n">
        <x:v>127313</x:v>
      </x:c>
      <x:c r="K543" s="44" t="n">
        <x:v>16864.35780284522</x:v>
      </x:c>
      <x:c r="L543" s="44" t="n">
        <x:v>4877.356483067814</x:v>
      </x:c>
    </x:row>
    <x:row r="544" ht="15" hidden="0" customHeight="1">
      <x:c r="A544" s="27" t="str">
        <x:v>48491</x:v>
      </x:c>
      <x:c r="B544" s="27" t="str">
        <x:v>SCA-13</x:v>
      </x:c>
      <x:c r="C544" s="43" t="n">
        <x:v>752827</x:v>
      </x:c>
      <x:c r="D544" s="43" t="n">
        <x:v>5836.462323575211</x:v>
      </x:c>
      <x:c r="E544" s="43" t="n">
        <x:v>76661.9576985777</x:v>
      </x:c>
      <x:c r="F544" s="43" t="n">
        <x:v>6493.727462321319</x:v>
      </x:c>
      <x:c r="G544" s="43" t="n">
        <x:v>11077.96421413936</x:v>
      </x:c>
      <x:c r="H544" s="43" t="n">
        <x:v>652756.8883013864</x:v>
      </x:c>
      <x:c r="I544" s="43" t="n">
        <x:v>752827</x:v>
      </x:c>
      <x:c r="J544" s="43" t="n">
        <x:v>70925</x:v>
      </x:c>
      <x:c r="K544" s="43" t="n">
        <x:v>9135.941548455792</x:v>
      </x:c>
      <x:c r="L544" s="43" t="n">
        <x:v>2642.2140861344733</x:v>
      </x:c>
    </x:row>
    <x:row r="545" ht="15" hidden="0" customHeight="1">
      <x:c r="A545" s="29" t="str">
        <x:v>48027</x:v>
      </x:c>
      <x:c r="B545" s="29" t="str">
        <x:v>SCA-13</x:v>
      </x:c>
      <x:c r="C545" s="44" t="n">
        <x:v>402248</x:v>
      </x:c>
      <x:c r="D545" s="44" t="n">
        <x:v>3853.626837493091</x:v>
      </x:c>
      <x:c r="E545" s="44" t="n">
        <x:v>58604.34865816422</x:v>
      </x:c>
      <x:c r="F545" s="44" t="n">
        <x:v>3469.7066979051306</x:v>
      </x:c>
      <x:c r="G545" s="44" t="n">
        <x:v>10572.007014792933</x:v>
      </x:c>
      <x:c r="H545" s="44" t="n">
        <x:v>325748.3107916446</x:v>
      </x:c>
      <x:c r="I545" s="44" t="n">
        <x:v>402248</x:v>
      </x:c>
      <x:c r="J545" s="44" t="n">
        <x:v>55071</x:v>
      </x:c>
      <x:c r="K545" s="44" t="n">
        <x:v>4881.485674641379</x:v>
      </x:c>
      <x:c r="L545" s="44" t="n">
        <x:v>1411.7789767362483</x:v>
      </x:c>
    </x:row>
    <x:row r="546" ht="15" hidden="0" customHeight="1">
      <x:c r="A546" s="27" t="str">
        <x:v>48209</x:v>
      </x:c>
      <x:c r="B546" s="27" t="str">
        <x:v>SCA-13</x:v>
      </x:c>
      <x:c r="C546" s="43" t="n">
        <x:v>304390</x:v>
      </x:c>
      <x:c r="D546" s="43" t="n">
        <x:v>2495.958345080539</x:v>
      </x:c>
      <x:c r="E546" s="43" t="n">
        <x:v>34263.211729870716</x:v>
      </x:c>
      <x:c r="F546" s="43" t="n">
        <x:v>2625.6041590644145</x:v>
      </x:c>
      <x:c r="G546" s="43" t="n">
        <x:v>5600.584071078753</x:v>
      </x:c>
      <x:c r="H546" s="43" t="n">
        <x:v>259404.6416949056</x:v>
      </x:c>
      <x:c r="I546" s="43" t="n">
        <x:v>304390</x:v>
      </x:c>
      <x:c r="J546" s="43" t="n">
        <x:v>31244</x:v>
      </x:c>
      <x:c r="K546" s="43" t="n">
        <x:v>3693.928682067007</x:v>
      </x:c>
      <x:c r="L546" s="43" t="n">
        <x:v>1068.324523002592</x:v>
      </x:c>
    </x:row>
    <x:row r="547" ht="15" hidden="0" customHeight="1">
      <x:c r="A547" s="29" t="str">
        <x:v>48091</x:v>
      </x:c>
      <x:c r="B547" s="29" t="str">
        <x:v>SCA-13</x:v>
      </x:c>
      <x:c r="C547" s="44" t="n">
        <x:v>209166</x:v>
      </x:c>
      <x:c r="D547" s="44" t="n">
        <x:v>1922.3181363416304</x:v>
      </x:c>
      <x:c r="E547" s="44" t="n">
        <x:v>28516.88297323844</x:v>
      </x:c>
      <x:c r="F547" s="44" t="n">
        <x:v>1804.2219505728424</x:v>
      </x:c>
      <x:c r="G547" s="44" t="n">
        <x:v>2264.6466508266617</x:v>
      </x:c>
      <x:c r="H547" s="44" t="n">
        <x:v>174657.93028902044</x:v>
      </x:c>
      <x:c r="I547" s="44" t="n">
        <x:v>209166</x:v>
      </x:c>
      <x:c r="J547" s="44" t="n">
        <x:v>25881</x:v>
      </x:c>
      <x:c r="K547" s="44" t="n">
        <x:v>2538.336629696204</x:v>
      </x:c>
      <x:c r="L547" s="44" t="n">
        <x:v>734.114679123362</x:v>
      </x:c>
    </x:row>
    <x:row r="548" ht="15" hidden="0" customHeight="1">
      <x:c r="A548" s="27" t="str">
        <x:v>48187</x:v>
      </x:c>
      <x:c r="B548" s="27" t="str">
        <x:v>SCA-13</x:v>
      </x:c>
      <x:c r="C548" s="43" t="n">
        <x:v>201111</x:v>
      </x:c>
      <x:c r="D548" s="43" t="n">
        <x:v>1813.5358413706226</x:v>
      </x:c>
      <x:c r="E548" s="43" t="n">
        <x:v>26584.60750557347</x:v>
      </x:c>
      <x:c r="F548" s="43" t="n">
        <x:v>1734.7412136850867</x:v>
      </x:c>
      <x:c r="G548" s="43" t="n">
        <x:v>3452.662842222309</x:v>
      </x:c>
      <x:c r="H548" s="43" t="n">
        <x:v>167525.4525971485</x:v>
      </x:c>
      <x:c r="I548" s="43" t="n">
        <x:v>201111</x:v>
      </x:c>
      <x:c r="J548" s="43" t="n">
        <x:v>24891</x:v>
      </x:c>
      <x:c r="K548" s="43" t="n">
        <x:v>2440.5850756568148</x:v>
      </x:c>
      <x:c r="L548" s="43" t="n">
        <x:v>705.843861971728</x:v>
      </x:c>
    </x:row>
    <x:row r="549" ht="15" hidden="0" customHeight="1">
      <x:c r="A549" s="29" t="str">
        <x:v>48451</x:v>
      </x:c>
      <x:c r="B549" s="29" t="str">
        <x:v>SCA-13</x:v>
      </x:c>
      <x:c r="C549" s="44" t="n">
        <x:v>120602</x:v>
      </x:c>
      <x:c r="D549" s="44" t="n">
        <x:v>1169.8334842875922</x:v>
      </x:c>
      <x:c r="E549" s="44" t="n">
        <x:v>17917.293484737995</x:v>
      </x:c>
      <x:c r="F549" s="44" t="n">
        <x:v>1040.287502189581</x:v>
      </x:c>
      <x:c r="G549" s="44" t="n">
        <x:v>2894.1164704656735</x:v>
      </x:c>
      <x:c r="H549" s="44" t="n">
        <x:v>97580.46905831916</x:v>
      </x:c>
      <x:c r="I549" s="44" t="n">
        <x:v>120602</x:v>
      </x:c>
      <x:c r="J549" s="44" t="n">
        <x:v>17826</x:v>
      </x:c>
      <x:c r="K549" s="44" t="n">
        <x:v>1463.5670912797566</x:v>
      </x:c>
      <x:c r="L549" s="44" t="n">
        <x:v>423.27958909017576</x:v>
      </x:c>
    </x:row>
    <x:row r="550" ht="15" hidden="0" customHeight="1">
      <x:c r="A550" s="27" t="str">
        <x:v>48021</x:v>
      </x:c>
      <x:c r="B550" s="27" t="str">
        <x:v>SCA-13</x:v>
      </x:c>
      <x:c r="C550" s="43" t="n">
        <x:v>118908</x:v>
      </x:c>
      <x:c r="D550" s="43" t="n">
        <x:v>987.7218629674617</x:v>
      </x:c>
      <x:c r="E550" s="43" t="n">
        <x:v>13689.305863199723</x:v>
      </x:c>
      <x:c r="F550" s="43" t="n">
        <x:v>1025.6754142581274</x:v>
      </x:c>
      <x:c r="G550" s="43" t="n">
        <x:v>2496.7810848346903</x:v>
      </x:c>
      <x:c r="H550" s="43" t="n">
        <x:v>100708.51577474001</x:v>
      </x:c>
      <x:c r="I550" s="43" t="n">
        <x:v>118908</x:v>
      </x:c>
      <x:c r="J550" s="43" t="n">
        <x:v>12434</x:v>
      </x:c>
      <x:c r="K550" s="43" t="n">
        <x:v>1443.0095329256008</x:v>
      </x:c>
      <x:c r="L550" s="43" t="n">
        <x:v>417.3341186674733</x:v>
      </x:c>
    </x:row>
    <x:row r="551" ht="15" hidden="0" customHeight="1">
      <x:c r="A551" s="29" t="str">
        <x:v>48469</x:v>
      </x:c>
      <x:c r="B551" s="29" t="str">
        <x:v>SCA-13</x:v>
      </x:c>
      <x:c r="C551" s="44" t="n">
        <x:v>92656</x:v>
      </x:c>
      <x:c r="D551" s="44" t="n">
        <x:v>921.9824107718654</x:v>
      </x:c>
      <x:c r="E551" s="44" t="n">
        <x:v>14322.852841014745</x:v>
      </x:c>
      <x:c r="F551" s="44" t="n">
        <x:v>799.2311802696292</x:v>
      </x:c>
      <x:c r="G551" s="44" t="n">
        <x:v>3051.7831053260725</x:v>
      </x:c>
      <x:c r="H551" s="44" t="n">
        <x:v>73560.15046261769</x:v>
      </x:c>
      <x:c r="I551" s="44" t="n">
        <x:v>92656</x:v>
      </x:c>
      <x:c r="J551" s="44" t="n">
        <x:v>14548</x:v>
      </x:c>
      <x:c r="K551" s="44" t="n">
        <x:v>1124.4280559992135</x:v>
      </x:c>
      <x:c r="L551" s="44" t="n">
        <x:v>325.1968757295843</x:v>
      </x:c>
    </x:row>
    <x:row r="552" ht="15" hidden="0" customHeight="1">
      <x:c r="A552" s="27" t="str">
        <x:v>48409</x:v>
      </x:c>
      <x:c r="B552" s="27" t="str">
        <x:v>SCA-13</x:v>
      </x:c>
      <x:c r="C552" s="43" t="n">
        <x:v>72053</x:v>
      </x:c>
      <x:c r="D552" s="43" t="n">
        <x:v>790.1995137680228</x:v>
      </x:c>
      <x:c r="E552" s="43" t="n">
        <x:v>12895.522965138882</x:v>
      </x:c>
      <x:c r="F552" s="43" t="n">
        <x:v>621.5140328955231</x:v>
      </x:c>
      <x:c r="G552" s="43" t="n">
        <x:v>2311.759327256757</x:v>
      </x:c>
      <x:c r="H552" s="43" t="n">
        <x:v>55434.004160940814</x:v>
      </x:c>
      <x:c r="I552" s="43" t="n">
        <x:v>72053</x:v>
      </x:c>
      <x:c r="J552" s="43" t="n">
        <x:v>12947</x:v>
      </x:c>
      <x:c r="K552" s="43" t="n">
        <x:v>874.4000897827591</x:v>
      </x:c>
      <x:c r="L552" s="43" t="n">
        <x:v>252.88605688723598</x:v>
      </x:c>
    </x:row>
    <x:row r="553" ht="15" hidden="0" customHeight="1">
      <x:c r="A553" s="29" t="str">
        <x:v>48323</x:v>
      </x:c>
      <x:c r="B553" s="29" t="str">
        <x:v>SCA-13</x:v>
      </x:c>
      <x:c r="C553" s="44" t="n">
        <x:v>58823</x:v>
      </x:c>
      <x:c r="D553" s="44" t="n">
        <x:v>504.22581216933276</x:v>
      </x:c>
      <x:c r="E553" s="44" t="n">
        <x:v>7146.56131013306</x:v>
      </x:c>
      <x:c r="F553" s="44" t="n">
        <x:v>507.39483376144443</x:v>
      </x:c>
      <x:c r="G553" s="44" t="n">
        <x:v>1628.1017990042153</x:v>
      </x:c>
      <x:c r="H553" s="44" t="n">
        <x:v>49036.716244931944</x:v>
      </x:c>
      <x:c r="I553" s="44" t="n">
        <x:v>58823</x:v>
      </x:c>
      <x:c r="J553" s="44" t="n">
        <x:v>7295</x:v>
      </x:c>
      <x:c r="K553" s="44" t="n">
        <x:v>713.8472580085664</x:v>
      </x:c>
      <x:c r="L553" s="44" t="n">
        <x:v>206.452424247122</x:v>
      </x:c>
    </x:row>
    <x:row r="554" ht="15" hidden="0" customHeight="1">
      <x:c r="A554" s="27" t="str">
        <x:v>48053</x:v>
      </x:c>
      <x:c r="B554" s="27" t="str">
        <x:v>SCA-13</x:v>
      </x:c>
      <x:c r="C554" s="43" t="n">
        <x:v>57015</x:v>
      </x:c>
      <x:c r="D554" s="43" t="n">
        <x:v>570.5670276549553</x:v>
      </x:c>
      <x:c r="E554" s="43" t="n">
        <x:v>8891.044373512854</x:v>
      </x:c>
      <x:c r="F554" s="43" t="n">
        <x:v>491.7994057921009</x:v>
      </x:c>
      <x:c r="G554" s="43" t="n">
        <x:v>1158.764552260461</x:v>
      </x:c>
      <x:c r="H554" s="43" t="n">
        <x:v>45902.82464077963</x:v>
      </x:c>
      <x:c r="I554" s="43" t="n">
        <x:v>57015</x:v>
      </x:c>
      <x:c r="J554" s="43" t="n">
        <x:v>8397</x:v>
      </x:c>
      <x:c r="K554" s="43" t="n">
        <x:v>691.906251217354</x:v>
      </x:c>
      <x:c r="L554" s="43" t="n">
        <x:v>200.10684542525308</x:v>
      </x:c>
    </x:row>
    <x:row r="555" ht="15" hidden="0" customHeight="1">
      <x:c r="A555" s="29" t="str">
        <x:v>48325</x:v>
      </x:c>
      <x:c r="B555" s="29" t="str">
        <x:v>SCA-13</x:v>
      </x:c>
      <x:c r="C555" s="44" t="n">
        <x:v>56881</x:v>
      </x:c>
      <x:c r="D555" s="44" t="n">
        <x:v>606.8696236046089</x:v>
      </x:c>
      <x:c r="E555" s="44" t="n">
        <x:v>9773.593944828395</x:v>
      </x:c>
      <x:c r="F555" s="44" t="n">
        <x:v>490.64354995808986</x:v>
      </x:c>
      <x:c r="G555" s="44" t="n">
        <x:v>692.9369383479844</x:v>
      </x:c>
      <x:c r="H555" s="44" t="n">
        <x:v>45316.955943260924</x:v>
      </x:c>
      <x:c r="I555" s="44" t="n">
        <x:v>56881</x:v>
      </x:c>
      <x:c r="J555" s="44" t="n">
        <x:v>9142</x:v>
      </x:c>
      <x:c r="K555" s="44" t="n">
        <x:v>690.2800925281823</x:v>
      </x:c>
      <x:c r="L555" s="44" t="n">
        <x:v>199.63654257009244</x:v>
      </x:c>
    </x:row>
    <x:row r="556" ht="15" hidden="0" customHeight="1">
      <x:c r="A556" s="27" t="str">
        <x:v>48493</x:v>
      </x:c>
      <x:c r="B556" s="27" t="str">
        <x:v>SCA-13</x:v>
      </x:c>
      <x:c r="C556" s="43" t="n">
        <x:v>56139</x:v>
      </x:c>
      <x:c r="D556" s="43" t="n">
        <x:v>540.0417905110719</x:v>
      </x:c>
      <x:c r="E556" s="43" t="n">
        <x:v>8232.227094200674</x:v>
      </x:c>
      <x:c r="F556" s="43" t="n">
        <x:v>484.2432139219987</x:v>
      </x:c>
      <x:c r="G556" s="43" t="n">
        <x:v>831.9994246701442</x:v>
      </x:c>
      <x:c r="H556" s="43" t="n">
        <x:v>46050.48847669611</x:v>
      </x:c>
      <x:c r="I556" s="43" t="n">
        <x:v>56139</x:v>
      </x:c>
      <x:c r="J556" s="43" t="n">
        <x:v>7965</x:v>
      </x:c>
      <x:c r="K556" s="43" t="n">
        <x:v>681.275542174709</x:v>
      </x:c>
      <x:c r="L556" s="43" t="n">
        <x:v>197.03232825271039</x:v>
      </x:c>
    </x:row>
    <x:row r="557" ht="15" hidden="0" customHeight="1">
      <x:c r="A557" s="29" t="str">
        <x:v>48055</x:v>
      </x:c>
      <x:c r="B557" s="29" t="str">
        <x:v>SCA-13</x:v>
      </x:c>
      <x:c r="C557" s="44" t="n">
        <x:v>55150</x:v>
      </x:c>
      <x:c r="D557" s="44" t="n">
        <x:v>519.2101818514591</x:v>
      </x:c>
      <x:c r="E557" s="44" t="n">
        <x:v>7815.575266743797</x:v>
      </x:c>
      <x:c r="F557" s="44" t="n">
        <x:v>475.71230780381234</x:v>
      </x:c>
      <x:c r="G557" s="44" t="n">
        <x:v>1049.7063889960148</x:v>
      </x:c>
      <x:c r="H557" s="44" t="n">
        <x:v>45289.79585460491</x:v>
      </x:c>
      <x:c r="I557" s="44" t="n">
        <x:v>55150</x:v>
      </x:c>
      <x:c r="J557" s="44" t="n">
        <x:v>6890</x:v>
      </x:c>
      <x:c r="K557" s="44" t="n">
        <x:v>669.2735202076133</x:v>
      </x:c>
      <x:c r="L557" s="44" t="n">
        <x:v>193.56121240380088</x:v>
      </x:c>
    </x:row>
    <x:row r="558" ht="15" hidden="0" customHeight="1">
      <x:c r="A558" s="27" t="str">
        <x:v>48265</x:v>
      </x:c>
      <x:c r="B558" s="27" t="str">
        <x:v>SCA-13</x:v>
      </x:c>
      <x:c r="C558" s="43" t="n">
        <x:v>54037</x:v>
      </x:c>
      <x:c r="D558" s="43" t="n">
        <x:v>544.7784589885061</x:v>
      </x:c>
      <x:c r="E558" s="43" t="n">
        <x:v>8522.965633458682</x:v>
      </x:c>
      <x:c r="F558" s="43" t="n">
        <x:v>466.1118037496757</x:v>
      </x:c>
      <x:c r="G558" s="43" t="n">
        <x:v>1639.2324431633801</x:v>
      </x:c>
      <x:c r="H558" s="43" t="n">
        <x:v>42863.91166063976</x:v>
      </x:c>
      <x:c r="I558" s="43" t="n">
        <x:v>54037</x:v>
      </x:c>
      <x:c r="J558" s="43" t="n">
        <x:v>8607</x:v>
      </x:c>
      <x:c r="K558" s="43" t="n">
        <x:v>655.7666946774035</x:v>
      </x:c>
      <x:c r="L558" s="43" t="n">
        <x:v>189.6548909277278</x:v>
      </x:c>
    </x:row>
    <x:row r="559" ht="15" hidden="0" customHeight="1">
      <x:c r="A559" s="29" t="str">
        <x:v>48013</x:v>
      </x:c>
      <x:c r="B559" s="29" t="str">
        <x:v>SCA-13</x:v>
      </x:c>
      <x:c r="C559" s="44" t="n">
        <x:v>53590</x:v>
      </x:c>
      <x:c r="D559" s="44" t="n">
        <x:v>491.73294636764047</x:v>
      </x:c>
      <x:c r="E559" s="44" t="n">
        <x:v>7287.525636753154</x:v>
      </x:c>
      <x:c r="F559" s="44" t="n">
        <x:v>462.25607570637004</x:v>
      </x:c>
      <x:c r="G559" s="44" t="n">
        <x:v>1272.4997520431643</x:v>
      </x:c>
      <x:c r="H559" s="44" t="n">
        <x:v>44075.985589129676</x:v>
      </x:c>
      <x:c r="I559" s="44" t="n">
        <x:v>53590</x:v>
      </x:c>
      <x:c r="J559" s="44" t="n">
        <x:v>7141</x:v>
      </x:c>
      <x:c r="K559" s="44" t="n">
        <x:v>650.3421205426291</x:v>
      </x:c>
      <x:c r="L559" s="44" t="n">
        <x:v>188.08604483625908</x:v>
      </x:c>
    </x:row>
    <x:row r="560" ht="15" hidden="0" customHeight="1">
      <x:c r="A560" s="27" t="str">
        <x:v>48259</x:v>
      </x:c>
      <x:c r="B560" s="27" t="str">
        <x:v>SCA-13</x:v>
      </x:c>
      <x:c r="C560" s="43" t="n">
        <x:v>53289</x:v>
      </x:c>
      <x:c r="D560" s="43" t="n">
        <x:v>448.1796815898154</x:v>
      </x:c>
      <x:c r="E560" s="43" t="n">
        <x:v>6267.60151959043</x:v>
      </x:c>
      <x:c r="F560" s="43" t="n">
        <x:v>459.6597129747483</x:v>
      </x:c>
      <x:c r="G560" s="43" t="n">
        <x:v>745.8614564831262</x:v>
      </x:c>
      <x:c r="H560" s="43" t="n">
        <x:v>45367.69762936188</x:v>
      </x:c>
      <x:c r="I560" s="43" t="n">
        <x:v>53289</x:v>
      </x:c>
      <x:c r="J560" s="43" t="n">
        <x:v>5863</x:v>
      </x:c>
      <x:c r="K560" s="43" t="n">
        <x:v>646.6893312482957</x:v>
      </x:c>
      <x:c r="L560" s="43" t="n">
        <x:v>187.0296182735475</x:v>
      </x:c>
    </x:row>
    <x:row r="561" ht="15" hidden="0" customHeight="1">
      <x:c r="A561" s="29" t="str">
        <x:v>48465</x:v>
      </x:c>
      <x:c r="B561" s="29" t="str">
        <x:v>SCA-13</x:v>
      </x:c>
      <x:c r="C561" s="44" t="n">
        <x:v>47835</x:v>
      </x:c>
      <x:c r="D561" s="44" t="n">
        <x:v>473.1101634873807</x:v>
      </x:c>
      <x:c r="E561" s="44" t="n">
        <x:v>7325.341760722348</x:v>
      </x:c>
      <x:c r="F561" s="44" t="n">
        <x:v>412.61465537253616</x:v>
      </x:c>
      <x:c r="G561" s="44" t="n">
        <x:v>1475.8856282919487</x:v>
      </x:c>
      <x:c r="H561" s="44" t="n">
        <x:v>38148.047792125784</x:v>
      </x:c>
      <x:c r="I561" s="44" t="n">
        <x:v>47835</x:v>
      </x:c>
      <x:c r="J561" s="44" t="n">
        <x:v>7208</x:v>
      </x:c>
      <x:c r="K561" s="44" t="n">
        <x:v>580.5022454964857</x:v>
      </x:c>
      <x:c r="L561" s="44" t="n">
        <x:v>167.8875901239495</x:v>
      </x:c>
    </x:row>
    <x:row r="562" ht="15" hidden="0" customHeight="1">
      <x:c r="A562" s="27" t="str">
        <x:v>48025</x:v>
      </x:c>
      <x:c r="B562" s="27" t="str">
        <x:v>SCA-13</x:v>
      </x:c>
      <x:c r="C562" s="43" t="n">
        <x:v>32515</x:v>
      </x:c>
      <x:c r="D562" s="43" t="n">
        <x:v>325.2085473488274</x:v>
      </x:c>
      <x:c r="E562" s="43" t="n">
        <x:v>5066.157852393071</x:v>
      </x:c>
      <x:c r="F562" s="43" t="n">
        <x:v>280.46755554380707</x:v>
      </x:c>
      <x:c r="G562" s="43" t="n">
        <x:v>585.9697890156802</x:v>
      </x:c>
      <x:c r="H562" s="43" t="n">
        <x:v>26257.196255698615</x:v>
      </x:c>
      <x:c r="I562" s="43" t="n">
        <x:v>32515</x:v>
      </x:c>
      <x:c r="J562" s="43" t="n">
        <x:v>3954</x:v>
      </x:c>
      <x:c r="K562" s="43" t="n">
        <x:v>394.5861923762565</x:v>
      </x:c>
      <x:c r="L562" s="43" t="n">
        <x:v>114.11863683244943</x:v>
      </x:c>
    </x:row>
    <x:row r="563" ht="15" hidden="0" customHeight="1">
      <x:c r="A563" s="29" t="str">
        <x:v>48227</x:v>
      </x:c>
      <x:c r="B563" s="29" t="str">
        <x:v>SCA-13</x:v>
      </x:c>
      <x:c r="C563" s="44" t="n">
        <x:v>30504</x:v>
      </x:c>
      <x:c r="D563" s="44" t="n">
        <x:v>324.3845961177671</x:v>
      </x:c>
      <x:c r="E563" s="44" t="n">
        <x:v>5215.7762840526475</x:v>
      </x:c>
      <x:c r="F563" s="44" t="n">
        <x:v>263.12109224383494</x:v>
      </x:c>
      <x:c r="G563" s="44" t="n">
        <x:v>1183.930993436044</x:v>
      </x:c>
      <x:c r="H563" s="44" t="n">
        <x:v>23516.787034149707</x:v>
      </x:c>
      <x:c r="I563" s="44" t="n">
        <x:v>30504</x:v>
      </x:c>
      <x:c r="J563" s="44" t="n">
        <x:v>5237</x:v>
      </x:c>
      <x:c r="K563" s="44" t="n">
        <x:v>370.181676526075</x:v>
      </x:c>
      <x:c r="L563" s="44" t="n">
        <x:v>107.0605842822401</x:v>
      </x:c>
    </x:row>
    <x:row r="564" ht="15" hidden="0" customHeight="1">
      <x:c r="A564" s="27" t="str">
        <x:v>48171</x:v>
      </x:c>
      <x:c r="B564" s="27" t="str">
        <x:v>SCA-13</x:v>
      </x:c>
      <x:c r="C564" s="43" t="n">
        <x:v>28527</x:v>
      </x:c>
      <x:c r="D564" s="43" t="n">
        <x:v>258.8490430780089</x:v>
      </x:c>
      <x:c r="E564" s="43" t="n">
        <x:v>3809.4523384989134</x:v>
      </x:c>
      <x:c r="F564" s="43" t="n">
        <x:v>246.0679057972685</x:v>
      </x:c>
      <x:c r="G564" s="43" t="n">
        <x:v>1160.4897117826774</x:v>
      </x:c>
      <x:c r="H564" s="43" t="n">
        <x:v>23052.14100084313</x:v>
      </x:c>
      <x:c r="I564" s="43" t="n">
        <x:v>28527</x:v>
      </x:c>
      <x:c r="J564" s="43" t="n">
        <x:v>3779</x:v>
      </x:c>
      <x:c r="K564" s="43" t="n">
        <x:v>346.1897681044893</x:v>
      </x:c>
      <x:c r="L564" s="43" t="n">
        <x:v>100.12186230722081</x:v>
      </x:c>
    </x:row>
    <x:row r="565" ht="15" hidden="0" customHeight="1">
      <x:c r="A565" s="29" t="str">
        <x:v>48007</x:v>
      </x:c>
      <x:c r="B565" s="29" t="str">
        <x:v>SCA-13</x:v>
      </x:c>
      <x:c r="C565" s="44" t="n">
        <x:v>26146</x:v>
      </x:c>
      <x:c r="D565" s="44" t="n">
        <x:v>332.5258982021855</x:v>
      </x:c>
      <x:c r="E565" s="44" t="n">
        <x:v>5778.256461145567</x:v>
      </x:c>
      <x:c r="F565" s="44" t="n">
        <x:v>225.52990026905675</x:v>
      </x:c>
      <x:c r="G565" s="44" t="n">
        <x:v>897.9624224735499</x:v>
      </x:c>
      <x:c r="H565" s="44" t="n">
        <x:v>18911.72531790964</x:v>
      </x:c>
      <x:c r="I565" s="44" t="n">
        <x:v>26146</x:v>
      </x:c>
      <x:c r="J565" s="44" t="n">
        <x:v>5679</x:v>
      </x:c>
      <x:c r="K565" s="44" t="n">
        <x:v>317.2951125901769</x:v>
      </x:c>
      <x:c r="L565" s="44" t="n">
        <x:v>91.76521232112017</x:v>
      </x:c>
    </x:row>
    <x:row r="566" ht="15" hidden="0" customHeight="1">
      <x:c r="A566" s="27" t="str">
        <x:v>48463</x:v>
      </x:c>
      <x:c r="B566" s="27" t="str">
        <x:v>SCA-13</x:v>
      </x:c>
      <x:c r="C566" s="43" t="n">
        <x:v>24963</x:v>
      </x:c>
      <x:c r="D566" s="43" t="n">
        <x:v>273.7870174978321</x:v>
      </x:c>
      <x:c r="E566" s="43" t="n">
        <x:v>4468.171373970346</x:v>
      </x:c>
      <x:c r="F566" s="43" t="n">
        <x:v>215.3255909284963</x:v>
      </x:c>
      <x:c r="G566" s="43" t="n">
        <x:v>578.8410008237232</x:v>
      </x:c>
      <x:c r="H566" s="43" t="n">
        <x:v>19426.875016779602</x:v>
      </x:c>
      <x:c r="I566" s="43" t="n">
        <x:v>24963</x:v>
      </x:c>
      <x:c r="J566" s="43" t="n">
        <x:v>4527</x:v>
      </x:c>
      <x:c r="K566" s="43" t="n">
        <x:v>302.93880117756396</x:v>
      </x:c>
      <x:c r="L566" s="43" t="n">
        <x:v>87.61321024906766</x:v>
      </x:c>
    </x:row>
    <x:row r="567" ht="15" hidden="0" customHeight="1">
      <x:c r="A567" s="29" t="str">
        <x:v>48281</x:v>
      </x:c>
      <x:c r="B567" s="29" t="str">
        <x:v>SCA-13</x:v>
      </x:c>
      <x:c r="C567" s="44" t="n">
        <x:v>23657</x:v>
      </x:c>
      <x:c r="D567" s="44" t="n">
        <x:v>293.9082203873061</x:v>
      </x:c>
      <x:c r="E567" s="44" t="n">
        <x:v>5061.088994751715</x:v>
      </x:c>
      <x:c r="F567" s="44" t="n">
        <x:v>204.0603094417913</x:v>
      </x:c>
      <x:c r="G567" s="44" t="n">
        <x:v>408.0036334275333</x:v>
      </x:c>
      <x:c r="H567" s="44" t="n">
        <x:v>17689.938841991654</x:v>
      </x:c>
      <x:c r="I567" s="44" t="n">
        <x:v>23657</x:v>
      </x:c>
      <x:c r="J567" s="44" t="n">
        <x:v>4968</x:v>
      </x:c>
      <x:c r="K567" s="44" t="n">
        <x:v>287.08982171444256</x:v>
      </x:c>
      <x:c r="L567" s="44" t="n">
        <x:v>83.02951227265126</x:v>
      </x:c>
    </x:row>
    <x:row r="568" ht="15" hidden="0" customHeight="1">
      <x:c r="A568" s="27" t="str">
        <x:v>48299</x:v>
      </x:c>
      <x:c r="B568" s="27" t="str">
        <x:v>SCA-13</x:v>
      </x:c>
      <x:c r="C568" s="43" t="n">
        <x:v>23353</x:v>
      </x:c>
      <x:c r="D568" s="43" t="n">
        <x:v>268.0889502791688</x:v>
      </x:c>
      <x:c r="E568" s="43" t="n">
        <x:v>4467.033449703077</x:v>
      </x:c>
      <x:c r="F568" s="43" t="n">
        <x:v>201.43806934075127</x:v>
      </x:c>
      <x:c r="G568" s="43" t="n">
        <x:v>560.5227640813388</x:v>
      </x:c>
      <x:c r="H568" s="43" t="n">
        <x:v>17855.916766595663</x:v>
      </x:c>
      <x:c r="I568" s="43" t="n">
        <x:v>23353</x:v>
      </x:c>
      <x:c r="J568" s="43" t="n">
        <x:v>4429</x:v>
      </x:c>
      <x:c r="K568" s="43" t="n">
        <x:v>283.4006258822918</x:v>
      </x:c>
      <x:c r="L568" s="43" t="n">
        <x:v>81.96255654154056</x:v>
      </x:c>
    </x:row>
    <x:row r="569" ht="15" hidden="0" customHeight="1">
      <x:c r="A569" s="29" t="str">
        <x:v>48019</x:v>
      </x:c>
      <x:c r="B569" s="29" t="str">
        <x:v>SCA-13</x:v>
      </x:c>
      <x:c r="C569" s="44" t="n">
        <x:v>22876</x:v>
      </x:c>
      <x:c r="D569" s="44" t="n">
        <x:v>276.2161062232431</x:v>
      </x:c>
      <x:c r="E569" s="44" t="n">
        <x:v>4702.264498971898</x:v>
      </x:c>
      <x:c r="F569" s="44" t="n">
        <x:v>197.32356760326408</x:v>
      </x:c>
      <x:c r="G569" s="44" t="n">
        <x:v>219.26072652501713</x:v>
      </x:c>
      <x:c r="H569" s="44" t="n">
        <x:v>17480.93510067658</x:v>
      </x:c>
      <x:c r="I569" s="44" t="n">
        <x:v>22876</x:v>
      </x:c>
      <x:c r="J569" s="44" t="n">
        <x:v>4686</x:v>
      </x:c>
      <x:c r="K569" s="44" t="n">
        <x:v>277.6119863693447</x:v>
      </x:c>
      <x:c r="L569" s="44" t="n">
        <x:v>80.28841876608067</x:v>
      </x:c>
    </x:row>
    <x:row r="570" ht="15" hidden="0" customHeight="1">
      <x:c r="A570" s="27" t="str">
        <x:v>48285</x:v>
      </x:c>
      <x:c r="B570" s="27" t="str">
        <x:v>SCA-13</x:v>
      </x:c>
      <x:c r="C570" s="43" t="n">
        <x:v>20651</x:v>
      </x:c>
      <x:c r="D570" s="43" t="n">
        <x:v>190.02781779720212</x:v>
      </x:c>
      <x:c r="E570" s="43" t="n">
        <x:v>2821.164774251229</x:v>
      </x:c>
      <x:c r="F570" s="43" t="n">
        <x:v>178.13118528479657</x:v>
      </x:c>
      <x:c r="G570" s="43" t="n">
        <x:v>326.78229772016095</x:v>
      </x:c>
      <x:c r="H570" s="43" t="n">
        <x:v>17134.89392494661</x:v>
      </x:c>
      <x:c r="I570" s="43" t="n">
        <x:v>20651</x:v>
      </x:c>
      <x:c r="J570" s="43" t="n">
        <x:v>2865</x:v>
      </x:c>
      <x:c r="K570" s="43" t="n">
        <x:v>250.61047082153078</x:v>
      </x:c>
      <x:c r="L570" s="43" t="n">
        <x:v>72.47928553673421</x:v>
      </x:c>
    </x:row>
    <x:row r="571" ht="15" hidden="0" customHeight="1">
      <x:c r="A571" s="29" t="str">
        <x:v>48123</x:v>
      </x:c>
      <x:c r="B571" s="29" t="str">
        <x:v>SCA-13</x:v>
      </x:c>
      <x:c r="C571" s="44" t="n">
        <x:v>20309</x:v>
      </x:c>
      <x:c r="D571" s="44" t="n">
        <x:v>194.80506021315892</x:v>
      </x:c>
      <x:c r="E571" s="44" t="n">
        <x:v>2964.626396974182</x:v>
      </x:c>
      <x:c r="F571" s="44" t="n">
        <x:v>175.1811651711265</x:v>
      </x:c>
      <x:c r="G571" s="44" t="n">
        <x:v>702.0957079427726</x:v>
      </x:c>
      <x:c r="H571" s="44" t="n">
        <x:v>16272.29166969876</x:v>
      </x:c>
      <x:c r="I571" s="44" t="n">
        <x:v>20309</x:v>
      </x:c>
      <x:c r="J571" s="44" t="n">
        <x:v>2774</x:v>
      </x:c>
      <x:c r="K571" s="44" t="n">
        <x:v>246.46012551036117</x:v>
      </x:c>
      <x:c r="L571" s="44" t="n">
        <x:v>71.27896033923467</x:v>
      </x:c>
    </x:row>
    <x:row r="572" ht="15" hidden="0" customHeight="1">
      <x:c r="A572" s="27" t="str">
        <x:v>48177</x:v>
      </x:c>
      <x:c r="B572" s="27" t="str">
        <x:v>SCA-13</x:v>
      </x:c>
      <x:c r="C572" s="43" t="n">
        <x:v>20159</x:v>
      </x:c>
      <x:c r="D572" s="43" t="n">
        <x:v>211.26524928446855</x:v>
      </x:c>
      <x:c r="E572" s="43" t="n">
        <x:v>3372.3059367645556</x:v>
      </x:c>
      <x:c r="F572" s="43" t="n">
        <x:v>173.8872967002186</x:v>
      </x:c>
      <x:c r="G572" s="43" t="n">
        <x:v>861.6642791363962</x:v>
      </x:c>
      <x:c r="H572" s="43" t="n">
        <x:v>15539.877238114363</x:v>
      </x:c>
      <x:c r="I572" s="43" t="n">
        <x:v>20159</x:v>
      </x:c>
      <x:c r="J572" s="43" t="n">
        <x:v>3406</x:v>
      </x:c>
      <x:c r="K572" s="43" t="n">
        <x:v>244.63979861949733</x:v>
      </x:c>
      <x:c r="L572" s="43" t="n">
        <x:v>70.75250191927873</x:v>
      </x:c>
    </x:row>
    <x:row r="573" ht="15" hidden="0" customHeight="1">
      <x:c r="A573" s="29" t="str">
        <x:v>48163</x:v>
      </x:c>
      <x:c r="B573" s="29" t="str">
        <x:v>SCA-13</x:v>
      </x:c>
      <x:c r="C573" s="44" t="n">
        <x:v>18823</x:v>
      </x:c>
      <x:c r="D573" s="44" t="n">
        <x:v>225.34034090337244</x:v>
      </x:c>
      <x:c r="E573" s="44" t="n">
        <x:v>3822.643887468031</x:v>
      </x:c>
      <x:c r="F573" s="44" t="n">
        <x:v>162.36324151933206</x:v>
      </x:c>
      <x:c r="G573" s="44" t="n">
        <x:v>578.7256119839241</x:v>
      </x:c>
      <x:c r="H573" s="44" t="n">
        <x:v>14033.92691812534</x:v>
      </x:c>
      <x:c r="I573" s="44" t="n">
        <x:v>18823</x:v>
      </x:c>
      <x:c r="J573" s="44" t="n">
        <x:v>3474</x:v>
      </x:c>
      <x:c r="K573" s="44" t="n">
        <x:v>228.4267537782032</x:v>
      </x:c>
      <x:c r="L573" s="44" t="n">
        <x:v>66.06351225887114</x:v>
      </x:c>
    </x:row>
    <x:row r="574" ht="15" hidden="0" customHeight="1">
      <x:c r="A574" s="27" t="str">
        <x:v>48255</x:v>
      </x:c>
      <x:c r="B574" s="27" t="str">
        <x:v>SCA-13</x:v>
      </x:c>
      <x:c r="C574" s="43" t="n">
        <x:v>15018</x:v>
      </x:c>
      <x:c r="D574" s="43" t="n">
        <x:v>176.18431537850233</x:v>
      </x:c>
      <x:c r="E574" s="43" t="n">
        <x:v>2963.4071609403254</x:v>
      </x:c>
      <x:c r="F574" s="43" t="n">
        <x:v>129.5421113073011</x:v>
      </x:c>
      <x:c r="G574" s="43" t="n">
        <x:v>675.2863170584691</x:v>
      </x:c>
      <x:c r="H574" s="43" t="n">
        <x:v>11073.580095315401</x:v>
      </x:c>
      <x:c r="I574" s="43" t="n">
        <x:v>15018</x:v>
      </x:c>
      <x:c r="J574" s="43" t="n">
        <x:v>2387</x:v>
      </x:c>
      <x:c r="K574" s="43" t="n">
        <x:v>182.25112831328988</x:v>
      </x:c>
      <x:c r="L574" s="43" t="n">
        <x:v>52.709017005988784</x:v>
      </x:c>
    </x:row>
    <x:row r="575" ht="15" hidden="0" customHeight="1">
      <x:c r="A575" s="29" t="str">
        <x:v>48031</x:v>
      </x:c>
      <x:c r="B575" s="29" t="str">
        <x:v>SCA-13</x:v>
      </x:c>
      <x:c r="C575" s="44" t="n">
        <x:v>13581</x:v>
      </x:c>
      <x:c r="D575" s="44" t="n">
        <x:v>129.67401868101396</x:v>
      </x:c>
      <x:c r="E575" s="44" t="n">
        <x:v>1968.2033601168735</x:v>
      </x:c>
      <x:c r="F575" s="44" t="n">
        <x:v>117.14685135600321</x:v>
      </x:c>
      <x:c r="G575" s="44" t="n">
        <x:v>275.93742391039683</x:v>
      </x:c>
      <x:c r="H575" s="44" t="n">
        <x:v>11090.038345935713</x:v>
      </x:c>
      <x:c r="I575" s="44" t="n">
        <x:v>13581</x:v>
      </x:c>
      <x:c r="J575" s="44" t="n">
        <x:v>1860</x:v>
      </x:c>
      <x:c r="K575" s="44" t="n">
        <x:v>164.81239669881407</x:v>
      </x:c>
      <x:c r="L575" s="44" t="n">
        <x:v>47.66554534281087</x:v>
      </x:c>
    </x:row>
    <x:row r="576" ht="15" hidden="0" customHeight="1">
      <x:c r="A576" s="27" t="str">
        <x:v>48297</x:v>
      </x:c>
      <x:c r="B576" s="27" t="str">
        <x:v>SCA-13</x:v>
      </x:c>
      <x:c r="C576" s="43" t="n">
        <x:v>11929</x:v>
      </x:c>
      <x:c r="D576" s="43" t="n">
        <x:v>132.67155760940634</x:v>
      </x:c>
      <x:c r="E576" s="43" t="n">
        <x:v>2179.2977839610453</x:v>
      </x:c>
      <x:c r="F576" s="43" t="n">
        <x:v>102.89704659640397</x:v>
      </x:c>
      <x:c r="G576" s="43" t="n">
        <x:v>442.5004471827487</x:v>
      </x:c>
      <x:c r="H576" s="43" t="n">
        <x:v>9071.633164650397</x:v>
      </x:c>
      <x:c r="I576" s="43" t="n">
        <x:v>11929</x:v>
      </x:c>
      <x:c r="J576" s="43" t="n">
        <x:v>1915</x:v>
      </x:c>
      <x:c r="K576" s="43" t="n">
        <x:v>144.76452987410008</x:v>
      </x:c>
      <x:c r="L576" s="43" t="n">
        <x:v>41.86748327769611</x:v>
      </x:c>
    </x:row>
    <x:row r="577" ht="15" hidden="0" customHeight="1">
      <x:c r="A577" s="29" t="str">
        <x:v>48399</x:v>
      </x:c>
      <x:c r="B577" s="29" t="str">
        <x:v>SCA-13</x:v>
      </x:c>
      <x:c r="C577" s="44" t="n">
        <x:v>9693</x:v>
      </x:c>
      <x:c r="D577" s="44" t="n">
        <x:v>95.33584328384971</x:v>
      </x:c>
      <x:c r="E577" s="44" t="n">
        <x:v>1471.5864044711238</x:v>
      </x:c>
      <x:c r="F577" s="44" t="n">
        <x:v>83.60978059006989</x:v>
      </x:c>
      <x:c r="G577" s="44" t="n">
        <x:v>172.5802111364107</x:v>
      </x:c>
      <x:c r="H577" s="44" t="n">
        <x:v>7869.887760518546</x:v>
      </x:c>
      <x:c r="I577" s="44" t="n">
        <x:v>9693</x:v>
      </x:c>
      <x:c r="J577" s="44" t="n">
        <x:v>1528</x:v>
      </x:c>
      <x:c r="K577" s="44" t="n">
        <x:v>117.62952368762278</x:v>
      </x:c>
      <x:c r="L577" s="44" t="n">
        <x:v>34.01974309755289</x:v>
      </x:c>
    </x:row>
    <x:row r="578" ht="15" hidden="0" customHeight="1">
      <x:c r="A578" s="27" t="str">
        <x:v>48507</x:v>
      </x:c>
      <x:c r="B578" s="27" t="str">
        <x:v>SCA-13</x:v>
      </x:c>
      <x:c r="C578" s="43" t="n">
        <x:v>9037</x:v>
      </x:c>
      <x:c r="D578" s="43" t="n">
        <x:v>100.41562319920384</x:v>
      </x:c>
      <x:c r="E578" s="43" t="n">
        <x:v>1648.7581981981982</x:v>
      </x:c>
      <x:c r="F578" s="43" t="n">
        <x:v>77.95126247729924</x:v>
      </x:c>
      <x:c r="G578" s="43" t="n">
        <x:v>350.70956670956673</x:v>
      </x:c>
      <x:c r="H578" s="43" t="n">
        <x:v>6859.165349415733</x:v>
      </x:c>
      <x:c r="I578" s="43" t="n">
        <x:v>9037</x:v>
      </x:c>
      <x:c r="J578" s="43" t="n">
        <x:v>1772</x:v>
      </x:c>
      <x:c r="K578" s="43" t="n">
        <x:v>109.66862741824481</x:v>
      </x:c>
      <x:c r="L578" s="43" t="n">
        <x:v>31.717364940945576</x:v>
      </x:c>
    </x:row>
    <x:row r="579" ht="15" hidden="0" customHeight="1">
      <x:c r="A579" s="29" t="str">
        <x:v>48127</x:v>
      </x:c>
      <x:c r="B579" s="29" t="str">
        <x:v>SCA-13</x:v>
      </x:c>
      <x:c r="C579" s="44" t="n">
        <x:v>8024</x:v>
      </x:c>
      <x:c r="D579" s="44" t="n">
        <x:v>103.35235404968124</x:v>
      </x:c>
      <x:c r="E579" s="44" t="n">
        <x:v>1804.568119316115</x:v>
      </x:c>
      <x:c r="F579" s="44" t="n">
        <x:v>69.21333740376775</x:v>
      </x:c>
      <x:c r="G579" s="44" t="n">
        <x:v>697.1998908694071</x:v>
      </x:c>
      <x:c r="H579" s="44" t="n">
        <x:v>5349.6662983610295</x:v>
      </x:c>
      <x:c r="I579" s="44" t="n">
        <x:v>8024</x:v>
      </x:c>
      <x:c r="J579" s="44" t="n">
        <x:v>1932</x:v>
      </x:c>
      <x:c r="K579" s="44" t="n">
        <x:v>97.37535314861087</x:v>
      </x:c>
      <x:c r="L579" s="44" t="n">
        <x:v>28.162015744843124</x:v>
      </x:c>
    </x:row>
    <x:row r="580" ht="15" hidden="0" customHeight="1">
      <x:c r="A580" s="27" t="str">
        <x:v>48083</x:v>
      </x:c>
      <x:c r="B580" s="27" t="str">
        <x:v>SCA-13</x:v>
      </x:c>
      <x:c r="C580" s="43" t="n">
        <x:v>7915</x:v>
      </x:c>
      <x:c r="D580" s="43" t="n">
        <x:v>110.52441361941341</x:v>
      </x:c>
      <x:c r="E580" s="43" t="n">
        <x:v>1985.8789838337182</x:v>
      </x:c>
      <x:c r="F580" s="43" t="n">
        <x:v>68.27312631490798</x:v>
      </x:c>
      <x:c r="G580" s="43" t="n">
        <x:v>351.59507313317937</x:v>
      </x:c>
      <x:c r="H580" s="43" t="n">
        <x:v>5398.728403098781</x:v>
      </x:c>
      <x:c r="I580" s="43" t="n">
        <x:v>7915</x:v>
      </x:c>
      <x:c r="J580" s="43" t="n">
        <x:v>2037</x:v>
      </x:c>
      <x:c r="K580" s="43" t="n">
        <x:v>96.05258227458313</x:v>
      </x:c>
      <x:c r="L580" s="43" t="n">
        <x:v>27.77945595967514</x:v>
      </x:c>
    </x:row>
    <x:row r="581" ht="15" hidden="0" customHeight="1">
      <x:c r="A581" s="29" t="str">
        <x:v>48307</x:v>
      </x:c>
      <x:c r="B581" s="29" t="str">
        <x:v>SCA-13</x:v>
      </x:c>
      <x:c r="C581" s="44" t="n">
        <x:v>7472</x:v>
      </x:c>
      <x:c r="D581" s="44" t="n">
        <x:v>86.96048467898427</x:v>
      </x:c>
      <x:c r="E581" s="44" t="n">
        <x:v>1457.660062069896</x:v>
      </x:c>
      <x:c r="F581" s="44" t="n">
        <x:v>64.45190143082658</x:v>
      </x:c>
      <x:c r="G581" s="44" t="n">
        <x:v>128.28295776548373</x:v>
      </x:c>
      <x:c r="H581" s="44" t="n">
        <x:v>5734.64459405481</x:v>
      </x:c>
      <x:c r="I581" s="44" t="n">
        <x:v>7472</x:v>
      </x:c>
      <x:c r="J581" s="44" t="n">
        <x:v>1506</x:v>
      </x:c>
      <x:c r="K581" s="44" t="n">
        <x:v>90.67655019023185</x:v>
      </x:c>
      <x:c r="L581" s="44" t="n">
        <x:v>26.224648759405262</x:v>
      </x:c>
    </x:row>
    <x:row r="582" ht="15" hidden="0" customHeight="1">
      <x:c r="A582" s="27" t="str">
        <x:v>48175</x:v>
      </x:c>
      <x:c r="B582" s="27" t="str">
        <x:v>SCA-13</x:v>
      </x:c>
      <x:c r="C582" s="43" t="n">
        <x:v>7208</x:v>
      </x:c>
      <x:c r="D582" s="43" t="n">
        <x:v>73.06514009631118</x:v>
      </x:c>
      <x:c r="E582" s="43" t="n">
        <x:v>1146.4093957446808</x:v>
      </x:c>
      <x:c r="F582" s="43" t="n">
        <x:v>62.174692922028655</x:v>
      </x:c>
      <x:c r="G582" s="43" t="n">
        <x:v>282.4194326241135</x:v>
      </x:c>
      <x:c r="H582" s="43" t="n">
        <x:v>5643.931338612866</x:v>
      </x:c>
      <x:c r="I582" s="43" t="n">
        <x:v>7208</x:v>
      </x:c>
      <x:c r="J582" s="43" t="n">
        <x:v>1168</x:v>
      </x:c>
      <x:c r="K582" s="43" t="n">
        <x:v>87.47277486231145</x:v>
      </x:c>
      <x:c r="L582" s="43" t="n">
        <x:v>25.298081940282806</x:v>
      </x:c>
    </x:row>
    <x:row r="583" ht="15" hidden="0" customHeight="1">
      <x:c r="A583" s="29" t="str">
        <x:v>48391</x:v>
      </x:c>
      <x:c r="B583" s="29" t="str">
        <x:v>SCA-13</x:v>
      </x:c>
      <x:c r="C583" s="44" t="n">
        <x:v>6657</x:v>
      </x:c>
      <x:c r="D583" s="44" t="n">
        <x:v>77.87856004349831</x:v>
      </x:c>
      <x:c r="E583" s="44" t="n">
        <x:v>1308.3440487804876</x:v>
      </x:c>
      <x:c r="F583" s="44" t="n">
        <x:v>57.42188273889355</x:v>
      </x:c>
      <x:c r="G583" s="44" t="n">
        <x:v>367.41676829268295</x:v>
      </x:c>
      <x:c r="H583" s="44" t="n">
        <x:v>4845.938740144437</x:v>
      </x:c>
      <x:c r="I583" s="44" t="n">
        <x:v>6657</x:v>
      </x:c>
      <x:c r="J583" s="44" t="n">
        <x:v>1343</x:v>
      </x:c>
      <x:c r="K583" s="44" t="n">
        <x:v>80.7861074165382</x:v>
      </x:c>
      <x:c r="L583" s="44" t="n">
        <x:v>23.36422467764465</x:v>
      </x:c>
    </x:row>
    <x:row r="584" ht="15" hidden="0" customHeight="1">
      <x:c r="A584" s="27" t="str">
        <x:v>48283</x:v>
      </x:c>
      <x:c r="B584" s="27" t="str">
        <x:v>SCA-13</x:v>
      </x:c>
      <x:c r="C584" s="43" t="n">
        <x:v>6517</x:v>
      </x:c>
      <x:c r="D584" s="43" t="n">
        <x:v>60.11286348568578</x:v>
      </x:c>
      <x:c r="E584" s="43" t="n">
        <x:v>893.7599999999999</x:v>
      </x:c>
      <x:c r="F584" s="43" t="n">
        <x:v>56.21427216604616</x:v>
      </x:c>
      <x:c r="G584" s="43" t="n">
        <x:v>182.5714285714286</x:v>
      </x:c>
      <x:c r="H584" s="43" t="n">
        <x:v>5324.34143577684</x:v>
      </x:c>
      <x:c r="I584" s="43" t="n">
        <x:v>6517</x:v>
      </x:c>
      <x:c r="J584" s="43" t="n">
        <x:v>814</x:v>
      </x:c>
      <x:c r="K584" s="43" t="n">
        <x:v>79.08713565173193</x:v>
      </x:c>
      <x:c r="L584" s="43" t="n">
        <x:v>22.872863485685773</x:v>
      </x:c>
    </x:row>
    <x:row r="585" ht="15" hidden="0" customHeight="1">
      <x:c r="A585" s="29" t="str">
        <x:v>48411</x:v>
      </x:c>
      <x:c r="B585" s="29" t="str">
        <x:v>SCA-13</x:v>
      </x:c>
      <x:c r="C585" s="44" t="n">
        <x:v>5787</x:v>
      </x:c>
      <x:c r="D585" s="44" t="n">
        <x:v>56.61868103624648</x:v>
      </x:c>
      <x:c r="E585" s="44" t="n">
        <x:v>871.3899646643109</x:v>
      </x:c>
      <x:c r="F585" s="44" t="n">
        <x:v>49.917445607627606</x:v>
      </x:c>
      <x:c r="G585" s="44" t="n">
        <x:v>37.94169611307421</x:v>
      </x:c>
      <x:c r="H585" s="44" t="n">
        <x:v>4771.132212578741</x:v>
      </x:c>
      <x:c r="I585" s="44" t="n">
        <x:v>5787</x:v>
      </x:c>
      <x:c r="J585" s="44" t="n">
        <x:v>799</x:v>
      </x:c>
      <x:c r="K585" s="44" t="n">
        <x:v>70.2282114495278</x:v>
      </x:c>
      <x:c r="L585" s="44" t="n">
        <x:v>20.310765841900192</x:v>
      </x:c>
    </x:row>
    <x:row r="586" ht="15" hidden="0" customHeight="1">
      <x:c r="A586" s="27" t="str">
        <x:v>48267</x:v>
      </x:c>
      <x:c r="B586" s="27" t="str">
        <x:v>SCA-13</x:v>
      </x:c>
      <x:c r="C586" s="43" t="n">
        <x:v>4438</x:v>
      </x:c>
      <x:c r="D586" s="43" t="n">
        <x:v>55.08853424129326</x:v>
      </x:c>
      <x:c r="E586" s="43" t="n">
        <x:v>948.2972269487237</x:v>
      </x:c>
      <x:c r="F586" s="43" t="n">
        <x:v>38.28125515926237</x:v>
      </x:c>
      <x:c r="G586" s="43" t="n">
        <x:v>81.62911014026213</x:v>
      </x:c>
      <x:c r="H586" s="43" t="n">
        <x:v>3314.703873510459</x:v>
      </x:c>
      <x:c r="I586" s="43" t="n">
        <x:v>4438</x:v>
      </x:c>
      <x:c r="J586" s="43" t="n">
        <x:v>968</x:v>
      </x:c>
      <x:c r="K586" s="43" t="n">
        <x:v>53.857404944358805</x:v>
      </x:c>
      <x:c r="L586" s="43" t="n">
        <x:v>15.576149785096433</x:v>
      </x:c>
    </x:row>
    <x:row r="587" ht="15" hidden="0" customHeight="1">
      <x:c r="A587" s="29" t="str">
        <x:v>48319</x:v>
      </x:c>
      <x:c r="B587" s="29" t="str">
        <x:v>SCA-13</x:v>
      </x:c>
      <x:c r="C587" s="44" t="n">
        <x:v>3990</x:v>
      </x:c>
      <x:c r="D587" s="44" t="n">
        <x:v>53.71172404430155</x:v>
      </x:c>
      <x:c r="E587" s="44" t="n">
        <x:v>952.9903217633645</x:v>
      </x:c>
      <x:c r="F587" s="44" t="n">
        <x:v>34.41690132615071</x:v>
      </x:c>
      <x:c r="G587" s="44" t="n">
        <x:v>56.34025842411958</x:v>
      </x:c>
      <x:c r="H587" s="44" t="n">
        <x:v>2892.540794442064</x:v>
      </x:c>
      <x:c r="I587" s="44" t="n">
        <x:v>3990</x:v>
      </x:c>
      <x:c r="J587" s="44" t="n">
        <x:v>982</x:v>
      </x:c>
      <x:c r="K587" s="44" t="n">
        <x:v>48.420695296978735</x:v>
      </x:c>
      <x:c r="L587" s="44" t="n">
        <x:v>14.003793970828024</x:v>
      </x:c>
    </x:row>
    <x:row r="588" ht="15" hidden="0" customHeight="1">
      <x:c r="A588" s="27" t="str">
        <x:v>48095</x:v>
      </x:c>
      <x:c r="B588" s="27" t="str">
        <x:v>SCA-13</x:v>
      </x:c>
      <x:c r="C588" s="43" t="n">
        <x:v>3607</x:v>
      </x:c>
      <x:c r="D588" s="43" t="n">
        <x:v>40.80177614016258</x:v>
      </x:c>
      <x:c r="E588" s="43" t="n">
        <x:v>675.4129440389295</x:v>
      </x:c>
      <x:c r="F588" s="43" t="n">
        <x:v>31.113223830432485</x:v>
      </x:c>
      <x:c r="G588" s="43" t="n">
        <x:v>57.5537307380373</x:v>
      </x:c>
      <x:c r="H588" s="43" t="n">
        <x:v>2802.118325252438</x:v>
      </x:c>
      <x:c r="I588" s="43" t="n">
        <x:v>3607</x:v>
      </x:c>
      <x:c r="J588" s="43" t="n">
        <x:v>481</x:v>
      </x:c>
      <x:c r="K588" s="43" t="n">
        <x:v>43.772793968973005</x:v>
      </x:c>
      <x:c r="L588" s="43" t="n">
        <x:v>12.659570138540522</x:v>
      </x:c>
    </x:row>
    <x:row r="589" ht="15" hidden="0" customHeight="1">
      <x:c r="A589" s="29" t="str">
        <x:v>48081</x:v>
      </x:c>
      <x:c r="B589" s="29" t="str">
        <x:v>SCA-13</x:v>
      </x:c>
      <x:c r="C589" s="44" t="n">
        <x:v>3412</x:v>
      </x:c>
      <x:c r="D589" s="44" t="n">
        <x:v>40.40850752593113</x:v>
      </x:c>
      <x:c r="E589" s="44" t="n">
        <x:v>682.4000000000001</x:v>
      </x:c>
      <x:c r="F589" s="44" t="n">
        <x:v>29.431194818252187</x:v>
      </x:c>
      <x:c r="G589" s="44" t="n">
        <x:v>61.74999999999999</x:v>
      </x:c>
      <x:c r="H589" s="44" t="n">
        <x:v>2598.010297655817</x:v>
      </x:c>
      <x:c r="I589" s="44" t="n">
        <x:v>3412</x:v>
      </x:c>
      <x:c r="J589" s="44" t="n">
        <x:v>670</x:v>
      </x:c>
      <x:c r="K589" s="44" t="n">
        <x:v>41.406369010849986</x:v>
      </x:c>
      <x:c r="L589" s="44" t="n">
        <x:v>11.975174192597798</x:v>
      </x:c>
    </x:row>
    <x:row r="590" ht="15" hidden="0" customHeight="1">
      <x:c r="A590" s="27" t="str">
        <x:v>48435</x:v>
      </x:c>
      <x:c r="B590" s="27" t="str">
        <x:v>SCA-13</x:v>
      </x:c>
      <x:c r="C590" s="43" t="n">
        <x:v>3203</x:v>
      </x:c>
      <x:c r="D590" s="43" t="n">
        <x:v>26.92258691273526</x:v>
      </x:c>
      <x:c r="E590" s="43" t="n">
        <x:v>376.34267484662575</x:v>
      </x:c>
      <x:c r="F590" s="43" t="n">
        <x:v>27.628404748787148</x:v>
      </x:c>
      <x:c r="G590" s="43" t="n">
        <x:v>42.12515337423313</x:v>
      </x:c>
      <x:c r="H590" s="43" t="n">
        <x:v>2729.981180117619</x:v>
      </x:c>
      <x:c r="I590" s="43" t="n">
        <x:v>3203</x:v>
      </x:c>
      <x:c r="J590" s="43" t="n">
        <x:v>399</x:v>
      </x:c>
      <x:c r="K590" s="43" t="n">
        <x:v>38.870046876246334</x:v>
      </x:c>
      <x:c r="L590" s="43" t="n">
        <x:v>11.241642127459187</x:v>
      </x:c>
    </x:row>
    <x:row r="591" ht="15" hidden="0" customHeight="1">
      <x:c r="A591" s="29" t="str">
        <x:v>48383</x:v>
      </x:c>
      <x:c r="B591" s="29" t="str">
        <x:v>SCA-13</x:v>
      </x:c>
      <x:c r="C591" s="44" t="n">
        <x:v>3166</x:v>
      </x:c>
      <x:c r="D591" s="44" t="n">
        <x:v>24.97776253275343</x:v>
      </x:c>
      <x:c r="E591" s="44" t="n">
        <x:v>332.783523573201</x:v>
      </x:c>
      <x:c r="F591" s="44" t="n">
        <x:v>27.309250525963193</x:v>
      </x:c>
      <x:c r="G591" s="44" t="n">
        <x:v>19.591191066997514</x:v>
      </x:c>
      <x:c r="H591" s="44" t="n">
        <x:v>2761.338272301085</x:v>
      </x:c>
      <x:c r="I591" s="44" t="n">
        <x:v>3166</x:v>
      </x:c>
      <x:c r="J591" s="44" t="n">
        <x:v>353</x:v>
      </x:c>
      <x:c r="K591" s="44" t="n">
        <x:v>38.42103290983325</x:v>
      </x:c>
      <x:c r="L591" s="44" t="n">
        <x:v>11.111782383870056</x:v>
      </x:c>
    </x:row>
    <x:row r="592" ht="15" hidden="0" customHeight="1">
      <x:c r="A592" s="27" t="str">
        <x:v>48271</x:v>
      </x:c>
      <x:c r="B592" s="27" t="str">
        <x:v>SCA-13</x:v>
      </x:c>
      <x:c r="C592" s="43" t="n">
        <x:v>3128</x:v>
      </x:c>
      <x:c r="D592" s="43" t="n">
        <x:v>42.90313217831988</x:v>
      </x:c>
      <x:c r="E592" s="43" t="n">
        <x:v>766.1932622601279</x:v>
      </x:c>
      <x:c r="F592" s="43" t="n">
        <x:v>26.981470513333193</x:v>
      </x:c>
      <x:c r="G592" s="43" t="n">
        <x:v>43.94598436389481</x:v>
      </x:c>
      <x:c r="H592" s="43" t="n">
        <x:v>2247.9761506843242</x:v>
      </x:c>
      <x:c r="I592" s="43" t="n">
        <x:v>3128</x:v>
      </x:c>
      <x:c r="J592" s="43" t="n">
        <x:v>718</x:v>
      </x:c>
      <x:c r="K592" s="43" t="n">
        <x:v>37.95988343081441</x:v>
      </x:c>
      <x:c r="L592" s="43" t="n">
        <x:v>10.978412917481217</x:v>
      </x:c>
    </x:row>
    <x:row r="593" ht="15" hidden="0" customHeight="1">
      <x:c r="A593" s="29" t="str">
        <x:v>48105</x:v>
      </x:c>
      <x:c r="B593" s="29" t="str">
        <x:v>SCA-13</x:v>
      </x:c>
      <x:c r="C593" s="44" t="n">
        <x:v>2769</x:v>
      </x:c>
      <x:c r="D593" s="44" t="n">
        <x:v>29.372618312401123</x:v>
      </x:c>
      <x:c r="E593" s="44" t="n">
        <x:v>471.70070112034693</x:v>
      </x:c>
      <x:c r="F593" s="44" t="n">
        <x:v>23.88481197296023</x:v>
      </x:c>
      <x:c r="G593" s="44" t="n">
        <x:v>0</x:v>
      </x:c>
      <x:c r="H593" s="44" t="n">
        <x:v>2244.041868594292</x:v>
      </x:c>
      <x:c r="I593" s="44" t="n">
        <x:v>2769</x:v>
      </x:c>
      <x:c r="J593" s="44" t="n">
        <x:v>491</x:v>
      </x:c>
      <x:c r="K593" s="44" t="n">
        <x:v>33.603234405346896</x:v>
      </x:c>
      <x:c r="L593" s="44" t="n">
        <x:v>9.718422432386665</x:v>
      </x:c>
    </x:row>
    <x:row r="594" ht="15" hidden="0" customHeight="1">
      <x:c r="A594" s="27" t="str">
        <x:v>48385</x:v>
      </x:c>
      <x:c r="B594" s="27" t="str">
        <x:v>SCA-13</x:v>
      </x:c>
      <x:c r="C594" s="43" t="n">
        <x:v>2745</x:v>
      </x:c>
      <x:c r="D594" s="43" t="n">
        <x:v>48.03175186215088</x:v>
      </x:c>
      <x:c r="E594" s="43" t="n">
        <x:v>921.5415066469719</x:v>
      </x:c>
      <x:c r="F594" s="43" t="n">
        <x:v>23.677793017614956</x:v>
      </x:c>
      <x:c r="G594" s="43" t="n">
        <x:v>58.52658788774004</x:v>
      </x:c>
      <x:c r="H594" s="43" t="n">
        <x:v>1693.222360585522</x:v>
      </x:c>
      <x:c r="I594" s="43" t="n">
        <x:v>2745</x:v>
      </x:c>
      <x:c r="J594" s="43" t="n">
        <x:v>947</x:v>
      </x:c>
      <x:c r="K594" s="43" t="n">
        <x:v>33.31198210280868</x:v>
      </x:c>
      <x:c r="L594" s="43" t="n">
        <x:v>9.634189085193716</x:v>
      </x:c>
    </x:row>
    <x:row r="595" ht="15" hidden="0" customHeight="1">
      <x:c r="A595" s="29" t="str">
        <x:v>48413</x:v>
      </x:c>
      <x:c r="B595" s="29" t="str">
        <x:v>SCA-13</x:v>
      </x:c>
      <x:c r="C595" s="44" t="n">
        <x:v>2245</x:v>
      </x:c>
      <x:c r="D595" s="44" t="n">
        <x:v>16.87847480687576</x:v>
      </x:c>
      <x:c r="E595" s="44" t="n">
        <x:v>215.97953091684434</x:v>
      </x:c>
      <x:c r="F595" s="44" t="n">
        <x:v>19.36489811458856</x:v>
      </x:c>
      <x:c r="G595" s="44" t="n">
        <x:v>44.08955223880598</x:v>
      </x:c>
      <x:c r="H595" s="44" t="n">
        <x:v>1948.6875439228854</x:v>
      </x:c>
      <x:c r="I595" s="44" t="n">
        <x:v>2245</x:v>
      </x:c>
      <x:c r="J595" s="44" t="n">
        <x:v>235</x:v>
      </x:c>
      <x:c r="K595" s="44" t="n">
        <x:v>27.244225799929136</x:v>
      </x:c>
      <x:c r="L595" s="44" t="n">
        <x:v>7.87932768534058</x:v>
      </x:c>
    </x:row>
    <x:row r="596" ht="15" hidden="0" customHeight="1">
      <x:c r="A596" s="27" t="str">
        <x:v>48327</x:v>
      </x:c>
      <x:c r="B596" s="27" t="str">
        <x:v>SCA-13</x:v>
      </x:c>
      <x:c r="C596" s="43" t="n">
        <x:v>1956</x:v>
      </x:c>
      <x:c r="D596" s="43" t="n">
        <x:v>28.34105760764506</x:v>
      </x:c>
      <x:c r="E596" s="43" t="n">
        <x:v>515.4249554740702</x:v>
      </x:c>
      <x:c r="F596" s="43" t="n">
        <x:v>16.872044860639296</x:v>
      </x:c>
      <x:c r="G596" s="43" t="n">
        <x:v>7.255107386066004</x:v>
      </x:c>
      <x:c r="H596" s="43" t="n">
        <x:v>1388.1068346715795</x:v>
      </x:c>
      <x:c r="I596" s="43" t="n">
        <x:v>1956</x:v>
      </x:c>
      <x:c r="J596" s="43" t="n">
        <x:v>524</x:v>
      </x:c>
      <x:c r="K596" s="43" t="n">
        <x:v>23.73706265686476</x:v>
      </x:c>
      <x:c r="L596" s="43" t="n">
        <x:v>6.865017796225467</x:v>
      </x:c>
    </x:row>
    <x:row r="597" ht="15" hidden="0" customHeight="1">
      <x:c r="A597" s="29" t="str">
        <x:v>48235</x:v>
      </x:c>
      <x:c r="B597" s="29" t="str">
        <x:v>SCA-13</x:v>
      </x:c>
      <x:c r="C597" s="44" t="n">
        <x:v>1463</x:v>
      </x:c>
      <x:c r="D597" s="44" t="n">
        <x:v>12.195334817929112</x:v>
      </x:c>
      <x:c r="E597" s="44" t="n">
        <x:v>169.45464868701205</x:v>
      </x:c>
      <x:c r="F597" s="44" t="n">
        <x:v>12.619530486255261</x:v>
      </x:c>
      <x:c r="G597" s="44" t="n">
        <x:v>6.155429382540809</x:v>
      </x:c>
      <x:c r="H597" s="44" t="n">
        <x:v>1262.5750566262627</x:v>
      </x:c>
      <x:c r="I597" s="44" t="n">
        <x:v>1463</x:v>
      </x:c>
      <x:c r="J597" s="44" t="n">
        <x:v>170</x:v>
      </x:c>
      <x:c r="K597" s="44" t="n">
        <x:v>17.754254942225536</x:v>
      </x:c>
      <x:c r="L597" s="44" t="n">
        <x:v>5.134724455970275</x:v>
      </x:c>
    </x:row>
    <x:row r="598" ht="15" hidden="0" customHeight="1">
      <x:c r="A598" s="27" t="str">
        <x:v>48137</x:v>
      </x:c>
      <x:c r="B598" s="27" t="str">
        <x:v>SCA-13</x:v>
      </x:c>
      <x:c r="C598" s="43" t="n">
        <x:v>1370</x:v>
      </x:c>
      <x:c r="D598" s="43" t="n">
        <x:v>10.64370854624611</x:v>
      </x:c>
      <x:c r="E598" s="43" t="n">
        <x:v>140.04931945556444</x:v>
      </x:c>
      <x:c r="F598" s="43" t="n">
        <x:v>11.817332034292349</x:v>
      </x:c>
      <x:c r="G598" s="43" t="n">
        <x:v>28.592473979183346</x:v>
      </x:c>
      <x:c r="H598" s="43" t="n">
        <x:v>1178.8971659847139</x:v>
      </x:c>
      <x:c r="I598" s="43" t="n">
        <x:v>1370</x:v>
      </x:c>
      <x:c r="J598" s="43" t="n">
        <x:v>133</x:v>
      </x:c>
      <x:c r="K598" s="43" t="n">
        <x:v>16.62565226988994</x:v>
      </x:c>
      <x:c r="L598" s="43" t="n">
        <x:v>4.808320235597592</x:v>
      </x:c>
    </x:row>
    <x:row r="599" ht="15" hidden="0" customHeight="1">
      <x:c r="A599" s="29" t="str">
        <x:v>48431</x:v>
      </x:c>
      <x:c r="B599" s="29" t="str">
        <x:v>SCA-13</x:v>
      </x:c>
      <x:c r="C599" s="44" t="n">
        <x:v>1349</x:v>
      </x:c>
      <x:c r="D599" s="44" t="n">
        <x:v>11.65835385317754</x:v>
      </x:c>
      <x:c r="E599" s="44" t="n">
        <x:v>166.1697071129707</x:v>
      </x:c>
      <x:c r="F599" s="44" t="n">
        <x:v>11.636190448365241</x:v>
      </x:c>
      <x:c r="G599" s="44" t="n">
        <x:v>0</x:v>
      </x:c>
      <x:c r="H599" s="44" t="n">
        <x:v>1159.5357485854865</x:v>
      </x:c>
      <x:c r="I599" s="44" t="n">
        <x:v>1349</x:v>
      </x:c>
      <x:c r="J599" s="44" t="n">
        <x:v>184</x:v>
      </x:c>
      <x:c r="K599" s="44" t="n">
        <x:v>16.370806505169</x:v>
      </x:c>
      <x:c r="L599" s="44" t="n">
        <x:v>4.73461605680376</x:v>
      </x:c>
    </x:row>
    <x:row r="600" ht="15" hidden="0" customHeight="1">
      <x:c r="A600" s="27" t="str">
        <x:v>48173</x:v>
      </x:c>
      <x:c r="B600" s="27" t="str">
        <x:v>SCA-13</x:v>
      </x:c>
      <x:c r="C600" s="43" t="n">
        <x:v>1128</x:v>
      </x:c>
      <x:c r="D600" s="43" t="n">
        <x:v>12.028180801214742</x:v>
      </x:c>
      <x:c r="E600" s="43" t="n">
        <x:v>193.66112359550561</x:v>
      </x:c>
      <x:c r="F600" s="43" t="n">
        <x:v>9.72989090122757</x:v>
      </x:c>
      <x:c r="G600" s="43" t="n">
        <x:v>57.481273408239694</x:v>
      </x:c>
      <x:c r="H600" s="43" t="n">
        <x:v>855.0995312938123</x:v>
      </x:c>
      <x:c r="I600" s="43" t="n">
        <x:v>1128</x:v>
      </x:c>
      <x:c r="J600" s="43" t="n">
        <x:v>191</x:v>
      </x:c>
      <x:c r="K600" s="43" t="n">
        <x:v>13.688858219296243</x:v>
      </x:c>
      <x:c r="L600" s="43" t="n">
        <x:v>3.9589673180686744</x:v>
      </x:c>
    </x:row>
    <x:row r="601" ht="15" hidden="0" customHeight="1">
      <x:c r="A601" s="29" t="str">
        <x:v>48443</x:v>
      </x:c>
      <x:c r="B601" s="29" t="str">
        <x:v>SCA-13</x:v>
      </x:c>
      <x:c r="C601" s="44" t="n">
        <x:v>702</x:v>
      </x:c>
      <x:c r="D601" s="44" t="n">
        <x:v>9.559490076052485</x:v>
      </x:c>
      <x:c r="E601" s="44" t="n">
        <x:v>170.2959520958084</x:v>
      </x:c>
      <x:c r="F601" s="44" t="n">
        <x:v>6.055304443849073</x:v>
      </x:c>
      <x:c r="G601" s="44" t="n">
        <x:v>17.935329341317367</x:v>
      </x:c>
      <x:c r="H601" s="44" t="n">
        <x:v>498.1539240429727</x:v>
      </x:c>
      <x:c r="I601" s="44" t="n">
        <x:v>702</x:v>
      </x:c>
      <x:c r="J601" s="44" t="n">
        <x:v>211</x:v>
      </x:c>
      <x:c r="K601" s="44" t="n">
        <x:v>8.519129849242875</x:v>
      </x:c>
      <x:c r="L601" s="44" t="n">
        <x:v>2.4638254053938025</x:v>
      </x:c>
    </x:row>
    <x:row r="602" ht="15" hidden="0" customHeight="1">
      <x:c r="A602" s="27" t="str">
        <x:v>48311</x:v>
      </x:c>
      <x:c r="B602" s="27" t="str">
        <x:v>SCA-13</x:v>
      </x:c>
      <x:c r="C602" s="43" t="n">
        <x:v>544</x:v>
      </x:c>
      <x:c r="D602" s="43" t="n">
        <x:v>5.173289203040212</x:v>
      </x:c>
      <x:c r="E602" s="43" t="n">
        <x:v>78.336</x:v>
      </x:c>
      <x:c r="F602" s="43" t="n">
        <x:v>4.692429654492728</x:v>
      </x:c>
      <x:c r="G602" s="43" t="n">
        <x:v>5.949999999999999</x:v>
      </x:c>
      <x:c r="H602" s="43" t="n">
        <x:v>449.8482811424671</x:v>
      </x:c>
      <x:c r="I602" s="43" t="n">
        <x:v>544</x:v>
      </x:c>
      <x:c r="J602" s="43" t="n">
        <x:v>105</x:v>
      </x:c>
      <x:c r="K602" s="43" t="n">
        <x:v>6.60171885753294</x:v>
      </x:c>
      <x:c r="L602" s="43" t="n">
        <x:v>1.9092892030402118</x:v>
      </x:c>
    </x:row>
    <x:row r="603" ht="15" hidden="0" customHeight="1">
      <x:c r="A603" s="29" t="str">
        <x:v>48215</x:v>
      </x:c>
      <x:c r="B603" s="29" t="str">
        <x:v>SCA-14</x:v>
      </x:c>
      <x:c r="C603" s="44" t="n">
        <x:v>921549</x:v>
      </x:c>
      <x:c r="D603" s="44" t="n">
        <x:v>8085.411438607203</x:v>
      </x:c>
      <x:c r="E603" s="44" t="n">
        <x:v>116424.71765425653</x:v>
      </x:c>
      <x:c r="F603" s="44" t="n">
        <x:v>7949.087969978163</x:v>
      </x:c>
      <x:c r="G603" s="44" t="n">
        <x:v>23359.962943619586</x:v>
      </x:c>
      <x:c r="H603" s="44" t="n">
        <x:v>765729.8199935384</x:v>
      </x:c>
      <x:c r="I603" s="44" t="n">
        <x:v>921549</x:v>
      </x:c>
      <x:c r="J603" s="44" t="n">
        <x:v>116413</x:v>
      </x:c>
      <x:c r="K603" s="44" t="n">
        <x:v>11183.469506324676</x:v>
      </x:c>
      <x:c r="L603" s="44" t="n">
        <x:v>3234.3815363465146</x:v>
      </x:c>
    </x:row>
    <x:row r="604" ht="15" hidden="0" customHeight="1">
      <x:c r="A604" s="27" t="str">
        <x:v>48061</x:v>
      </x:c>
      <x:c r="B604" s="27" t="str">
        <x:v>SCA-14</x:v>
      </x:c>
      <x:c r="C604" s="43" t="n">
        <x:v>433946</x:v>
      </x:c>
      <x:c r="D604" s="43" t="n">
        <x:v>3660.560793483676</x:v>
      </x:c>
      <x:c r="E604" s="43" t="n">
        <x:v>51300.734962616116</x:v>
      </x:c>
      <x:c r="F604" s="43" t="n">
        <x:v>3743.1269831773925</x:v>
      </x:c>
      <x:c r="G604" s="43" t="n">
        <x:v>13375.985110169171</x:v>
      </x:c>
      <x:c r="H604" s="43" t="n">
        <x:v>361865.59215055365</x:v>
      </x:c>
      <x:c r="I604" s="43" t="n">
        <x:v>433946</x:v>
      </x:c>
      <x:c r="J604" s="43" t="n">
        <x:v>52178</x:v>
      </x:c>
      <x:c r="K604" s="43" t="n">
        <x:v>5266.15715321873</x:v>
      </x:c>
      <x:c r="L604" s="43" t="n">
        <x:v>1523.0301700413377</x:v>
      </x:c>
    </x:row>
    <x:row r="605" ht="15" hidden="0" customHeight="1">
      <x:c r="A605" s="29" t="str">
        <x:v>48355</x:v>
      </x:c>
      <x:c r="B605" s="29" t="str">
        <x:v>SCA-14</x:v>
      </x:c>
      <x:c r="C605" s="44" t="n">
        <x:v>352992</x:v>
      </x:c>
      <x:c r="D605" s="44" t="n">
        <x:v>3250.3341325827623</x:v>
      </x:c>
      <x:c r="E605" s="44" t="n">
        <x:v>48274.321489652306</x:v>
      </x:c>
      <x:c r="F605" s="44" t="n">
        <x:v>3044.834795218194</x:v>
      </x:c>
      <x:c r="G605" s="44" t="n">
        <x:v>13514.468096785906</x:v>
      </x:c>
      <x:c r="H605" s="44" t="n">
        <x:v>284908.0414857608</x:v>
      </x:c>
      <x:c r="I605" s="44" t="n">
        <x:v>352992</x:v>
      </x:c>
      <x:c r="J605" s="44" t="n">
        <x:v>49437</x:v>
      </x:c>
      <x:c r="K605" s="44" t="n">
        <x:v>4283.73886573211</x:v>
      </x:c>
      <x:c r="L605" s="44" t="n">
        <x:v>1238.9040705139162</x:v>
      </x:c>
    </x:row>
    <x:row r="606" ht="15" hidden="0" customHeight="1">
      <x:c r="A606" s="27" t="str">
        <x:v>48479</x:v>
      </x:c>
      <x:c r="B606" s="27" t="str">
        <x:v>SCA-14</x:v>
      </x:c>
      <x:c r="C606" s="43" t="n">
        <x:v>281224</x:v>
      </x:c>
      <x:c r="D606" s="43" t="n">
        <x:v>2508.8644556697063</x:v>
      </x:c>
      <x:c r="E606" s="43" t="n">
        <x:v>36524.30810508262</x:v>
      </x:c>
      <x:c r="F606" s="43" t="n">
        <x:v>2425.779112417395</x:v>
      </x:c>
      <x:c r="G606" s="43" t="n">
        <x:v>9134.38815074149</x:v>
      </x:c>
      <x:c r="H606" s="43" t="n">
        <x:v>230630.6601760888</x:v>
      </x:c>
      <x:c r="I606" s="43" t="n">
        <x:v>281224</x:v>
      </x:c>
      <x:c r="J606" s="43" t="n">
        <x:v>36208</x:v>
      </x:c>
      <x:c r="K606" s="43" t="n">
        <x:v>3412.7973970419916</x:v>
      </x:c>
      <x:c r="L606" s="43" t="n">
        <x:v>987.0182846245965</x:v>
      </x:c>
    </x:row>
    <x:row r="607" ht="15" hidden="0" customHeight="1">
      <x:c r="A607" s="29" t="str">
        <x:v>48427</x:v>
      </x:c>
      <x:c r="B607" s="29" t="str">
        <x:v>SCA-14</x:v>
      </x:c>
      <x:c r="C607" s="44" t="n">
        <x:v>66319</x:v>
      </x:c>
      <x:c r="D607" s="44" t="n">
        <x:v>678.1851614115964</x:v>
      </x:c>
      <x:c r="E607" s="44" t="n">
        <x:v>10690.172521389028</x:v>
      </x:c>
      <x:c r="F607" s="44" t="n">
        <x:v>572.0537541476162</x:v>
      </x:c>
      <x:c r="G607" s="44" t="n">
        <x:v>3156.118909273917</x:v>
      </x:c>
      <x:c r="H607" s="44" t="n">
        <x:v>51222.46965377784</x:v>
      </x:c>
      <x:c r="I607" s="44" t="n">
        <x:v>66319</x:v>
      </x:c>
      <x:c r="J607" s="44" t="n">
        <x:v>11010</x:v>
      </x:c>
      <x:c r="K607" s="44" t="n">
        <x:v>804.8150605013365</x:v>
      </x:c>
      <x:c r="L607" s="44" t="n">
        <x:v>232.76130635372022</x:v>
      </x:c>
    </x:row>
    <x:row r="608" ht="15" hidden="0" customHeight="1">
      <x:c r="A608" s="27" t="str">
        <x:v>48249</x:v>
      </x:c>
      <x:c r="B608" s="27" t="str">
        <x:v>SCA-14</x:v>
      </x:c>
      <x:c r="C608" s="43" t="n">
        <x:v>38804</x:v>
      </x:c>
      <x:c r="D608" s="43" t="n">
        <x:v>388.7588360980854</x:v>
      </x:c>
      <x:c r="E608" s="43" t="n">
        <x:v>6061.621261878797</x:v>
      </x:c>
      <x:c r="F608" s="43" t="n">
        <x:v>334.7151476340732</x:v>
      </x:c>
      <x:c r="G608" s="43" t="n">
        <x:v>1671.6294204704784</x:v>
      </x:c>
      <x:c r="H608" s="43" t="n">
        <x:v>30347.275333918566</x:v>
      </x:c>
      <x:c r="I608" s="43" t="n">
        <x:v>38804</x:v>
      </x:c>
      <x:c r="J608" s="43" t="n">
        <x:v>6267</x:v>
      </x:c>
      <x:c r="K608" s="43" t="n">
        <x:v>470.90643115387536</x:v>
      </x:c>
      <x:c r="L608" s="43" t="n">
        <x:v>136.19128351980217</x:v>
      </x:c>
    </x:row>
    <x:row r="609" ht="15" hidden="0" customHeight="1">
      <x:c r="A609" s="29" t="str">
        <x:v>48273</x:v>
      </x:c>
      <x:c r="B609" s="29" t="str">
        <x:v>SCA-14</x:v>
      </x:c>
      <x:c r="C609" s="44" t="n">
        <x:v>30315</x:v>
      </x:c>
      <x:c r="D609" s="44" t="n">
        <x:v>265.8272643816726</x:v>
      </x:c>
      <x:c r="E609" s="44" t="n">
        <x:v>3826.3204250058475</x:v>
      </x:c>
      <x:c r="F609" s="44" t="n">
        <x:v>261.49081797049087</x:v>
      </x:c>
      <x:c r="G609" s="44" t="n">
        <x:v>1531.2045841825654</x:v>
      </x:c>
      <x:c r="H609" s="44" t="n">
        <x:v>24430.156908459423</x:v>
      </x:c>
      <x:c r="I609" s="44" t="n">
        <x:v>30315</x:v>
      </x:c>
      <x:c r="J609" s="44" t="n">
        <x:v>3935</x:v>
      </x:c>
      <x:c r="K609" s="44" t="n">
        <x:v>367.8880646435865</x:v>
      </x:c>
      <x:c r="L609" s="44" t="n">
        <x:v>106.39724667309562</x:v>
      </x:c>
    </x:row>
    <x:row r="610" ht="15" hidden="0" customHeight="1">
      <x:c r="A610" s="27" t="str">
        <x:v>48489</x:v>
      </x:c>
      <x:c r="B610" s="27" t="str">
        <x:v>SCA-14</x:v>
      </x:c>
      <x:c r="C610" s="43" t="n">
        <x:v>19971</x:v>
      </x:c>
      <x:c r="D610" s="43" t="n">
        <x:v>172.93501985861704</x:v>
      </x:c>
      <x:c r="E610" s="43" t="n">
        <x:v>2468.2162998163944</x:v>
      </x:c>
      <x:c r="F610" s="43" t="n">
        <x:v>172.2656482166807</x:v>
      </x:c>
      <x:c r="G610" s="43" t="n">
        <x:v>518.835565395831</x:v>
      </x:c>
      <x:c r="H610" s="43" t="n">
        <x:v>16638.747466712477</x:v>
      </x:c>
      <x:c r="I610" s="43" t="n">
        <x:v>19971</x:v>
      </x:c>
      <x:c r="J610" s="43" t="n">
        <x:v>2384</x:v>
      </x:c>
      <x:c r="K610" s="43" t="n">
        <x:v>242.35832224961462</x:v>
      </x:c>
      <x:c r="L610" s="43" t="n">
        <x:v>70.09267403293394</x:v>
      </x:c>
    </x:row>
    <x:row r="611" ht="15" hidden="0" customHeight="1">
      <x:c r="A611" s="29" t="str">
        <x:v>48505</x:v>
      </x:c>
      <x:c r="B611" s="29" t="str">
        <x:v>SCA-14</x:v>
      </x:c>
      <x:c r="C611" s="44" t="n">
        <x:v>13753</x:v>
      </x:c>
      <x:c r="D611" s="44" t="n">
        <x:v>132.67895065443025</x:v>
      </x:c>
      <x:c r="E611" s="44" t="n">
        <x:v>2025.8335917616773</x:v>
      </x:c>
      <x:c r="F611" s="44" t="n">
        <x:v>118.63048720264426</x:v>
      </x:c>
      <x:c r="G611" s="44" t="n">
        <x:v>462.2224347186465</x:v>
      </x:c>
      <x:c r="H611" s="44" t="n">
        <x:v>11013.634535662603</x:v>
      </x:c>
      <x:c r="I611" s="44" t="n">
        <x:v>13753</x:v>
      </x:c>
      <x:c r="J611" s="44" t="n">
        <x:v>2086</x:v>
      </x:c>
      <x:c r="K611" s="44" t="n">
        <x:v>166.89970486700463</x:v>
      </x:c>
      <x:c r="L611" s="44" t="n">
        <x:v>48.269217664360355</x:v>
      </x:c>
    </x:row>
    <x:row r="612" ht="15" hidden="0" customHeight="1">
      <x:c r="A612" s="27" t="str">
        <x:v>48131</x:v>
      </x:c>
      <x:c r="B612" s="27" t="str">
        <x:v>SCA-14</x:v>
      </x:c>
      <x:c r="C612" s="43" t="n">
        <x:v>9402</x:v>
      </x:c>
      <x:c r="D612" s="43" t="n">
        <x:v>116.4984773244822</x:v>
      </x:c>
      <x:c r="E612" s="43" t="n">
        <x:v>2004.001525479452</x:v>
      </x:c>
      <x:c r="F612" s="43" t="n">
        <x:v>81.09967575650852</x:v>
      </x:c>
      <x:c r="G612" s="43" t="n">
        <x:v>404.9347397260274</x:v>
      </x:c>
      <x:c r="H612" s="43" t="n">
        <x:v>6795.46558171353</x:v>
      </x:c>
      <x:c r="I612" s="43" t="n">
        <x:v>9402</x:v>
      </x:c>
      <x:c r="J612" s="43" t="n">
        <x:v>2026</x:v>
      </x:c>
      <x:c r="K612" s="43" t="n">
        <x:v>114.09808951934689</x:v>
      </x:c>
      <x:c r="L612" s="43" t="n">
        <x:v>32.99841376283837</x:v>
      </x:c>
    </x:row>
    <x:row r="613" ht="15" hidden="0" customHeight="1">
      <x:c r="A613" s="29" t="str">
        <x:v>48047</x:v>
      </x:c>
      <x:c r="B613" s="29" t="str">
        <x:v>SCA-14</x:v>
      </x:c>
      <x:c r="C613" s="44" t="n">
        <x:v>6579</x:v>
      </x:c>
      <x:c r="D613" s="44" t="n">
        <x:v>82.04720542970234</x:v>
      </x:c>
      <x:c r="E613" s="44" t="n">
        <x:v>1414.9617391304346</x:v>
      </x:c>
      <x:c r="F613" s="44" t="n">
        <x:v>56.749071134021435</x:v>
      </x:c>
      <x:c r="G613" s="44" t="n">
        <x:v>1674.5350241545893</x:v>
      </x:c>
      <x:c r="H613" s="44" t="n">
        <x:v>3350.706960151252</x:v>
      </x:c>
      <x:c r="I613" s="44" t="n">
        <x:v>6579</x:v>
      </x:c>
      <x:c r="J613" s="44" t="n">
        <x:v>1484</x:v>
      </x:c>
      <x:c r="K613" s="44" t="n">
        <x:v>79.839537433289</x:v>
      </x:c>
      <x:c r="L613" s="44" t="n">
        <x:v>23.09046629926756</x:v>
      </x:c>
    </x:row>
    <x:row r="614" ht="15" hidden="0" customHeight="1">
      <x:c r="A614" s="27" t="str">
        <x:v>48247</x:v>
      </x:c>
      <x:c r="B614" s="27" t="str">
        <x:v>SCA-14</x:v>
      </x:c>
      <x:c r="C614" s="43" t="n">
        <x:v>4555</x:v>
      </x:c>
      <x:c r="D614" s="43" t="n">
        <x:v>39.23137498152805</x:v>
      </x:c>
      <x:c r="E614" s="43" t="n">
        <x:v>557.8701030927834</x:v>
      </x:c>
      <x:c r="F614" s="43" t="n">
        <x:v>39.29047256657054</x:v>
      </x:c>
      <x:c r="G614" s="43" t="n">
        <x:v>83.75257731958763</x:v>
      </x:c>
      <x:c r="H614" s="43" t="n">
        <x:v>3834.8554720395305</x:v>
      </x:c>
      <x:c r="I614" s="43" t="n">
        <x:v>4555</x:v>
      </x:c>
      <x:c r="J614" s="43" t="n">
        <x:v>594</x:v>
      </x:c>
      <x:c r="K614" s="43" t="n">
        <x:v>55.27725991923261</x:v>
      </x:c>
      <x:c r="L614" s="43" t="n">
        <x:v>15.986787352662066</x:v>
      </x:c>
    </x:row>
    <x:row r="615" ht="15" hidden="0" customHeight="1">
      <x:c r="A615" s="29" t="str">
        <x:v>48261</x:v>
      </x:c>
      <x:c r="B615" s="29" t="str">
        <x:v>SCA-14</x:v>
      </x:c>
      <x:c r="C615" s="44" t="n">
        <x:v>319</x:v>
      </x:c>
      <x:c r="D615" s="44" t="n">
        <x:v>5.255601573106301</x:v>
      </x:c>
      <x:c r="E615" s="44" t="n">
        <x:v>99.26399999999998</x:v>
      </x:c>
      <x:c r="F615" s="44" t="n">
        <x:v>2.7516269481308457</x:v>
      </x:c>
      <x:c r="G615" s="44" t="n">
        <x:v>6.082758620689656</x:v>
      </x:c>
      <x:c r="H615" s="44" t="n">
        <x:v>205.6460128580732</x:v>
      </x:c>
      <x:c r="I615" s="44" t="n">
        <x:v>319</x:v>
      </x:c>
      <x:c r="J615" s="44" t="n">
        <x:v>47</x:v>
      </x:c>
      <x:c r="K615" s="44" t="n">
        <x:v>3.8712285212371467</x:v>
      </x:c>
      <x:c r="L615" s="44" t="n">
        <x:v>1.1196015731063007</x:v>
      </x:c>
    </x:row>
    <x:row r="616" ht="15" hidden="0" customHeight="1">
      <x:c r="A616" s="27" t="str">
        <x:v>48113</x:v>
      </x:c>
      <x:c r="B616" s="27" t="str">
        <x:v>SCA-15</x:v>
      </x:c>
      <x:c r="C616" s="43" t="n">
        <x:v>2661397</x:v>
      </x:c>
      <x:c r="D616" s="43" t="n">
        <x:v>20965.030964363163</x:v>
      </x:c>
      <x:c r="E616" s="43" t="n">
        <x:v>278982.3656254389</x:v>
      </x:c>
      <x:c r="F616" s="43" t="n">
        <x:v>22956.65111245953</x:v>
      </x:c>
      <x:c r="G616" s="43" t="n">
        <x:v>103178.13535554617</x:v>
      </x:c>
      <x:c r="H616" s="43" t="n">
        <x:v>2235314.816942192</x:v>
      </x:c>
      <x:c r="I616" s="43" t="n">
        <x:v>2661397</x:v>
      </x:c>
      <x:c r="J616" s="43" t="n">
        <x:v>284076</x:v>
      </x:c>
      <x:c r="K616" s="43" t="n">
        <x:v>32297.4168424294</x:v>
      </x:c>
      <x:c r="L616" s="43" t="n">
        <x:v>9340.765729969871</x:v>
      </x:c>
    </x:row>
    <x:row r="617" ht="15" hidden="0" customHeight="1">
      <x:c r="A617" s="29" t="str">
        <x:v>48439</x:v>
      </x:c>
      <x:c r="B617" s="29" t="str">
        <x:v>SCA-15</x:v>
      </x:c>
      <x:c r="C617" s="44" t="n">
        <x:v>2248466</x:v>
      </x:c>
      <x:c r="D617" s="44" t="n">
        <x:v>17318.660895167814</x:v>
      </x:c>
      <x:c r="E617" s="44" t="n">
        <x:v>226252.0442544828</x:v>
      </x:c>
      <x:c r="F617" s="44" t="n">
        <x:v>19394.795102056338</x:v>
      </x:c>
      <x:c r="G617" s="44" t="n">
        <x:v>56409.460051526</x:v>
      </x:c>
      <x:c r="H617" s="44" t="n">
        <x:v>1929091.039696767</x:v>
      </x:c>
      <x:c r="I617" s="44" t="n">
        <x:v>2248466</x:v>
      </x:c>
      <x:c r="J617" s="44" t="n">
        <x:v>225275</x:v>
      </x:c>
      <x:c r="K617" s="44" t="n">
        <x:v>27286.2874866207</x:v>
      </x:c>
      <x:c r="L617" s="44" t="n">
        <x:v>7891.492384564362</x:v>
      </x:c>
    </x:row>
    <x:row r="618" ht="15" hidden="0" customHeight="1">
      <x:c r="A618" s="27" t="str">
        <x:v>48085</x:v>
      </x:c>
      <x:c r="B618" s="27" t="str">
        <x:v>SCA-15</x:v>
      </x:c>
      <x:c r="C618" s="43" t="n">
        <x:v>1297179</x:v>
      </x:c>
      <x:c r="D618" s="43" t="n">
        <x:v>8771.940018602732</x:v>
      </x:c>
      <x:c r="E618" s="43" t="n">
        <x:v>101260.83136806123</x:v>
      </x:c>
      <x:c r="F618" s="43" t="n">
        <x:v>11189.193394825776</x:v>
      </x:c>
      <x:c r="G618" s="43" t="n">
        <x:v>23208.7406684273</x:v>
      </x:c>
      <x:c r="H618" s="43" t="n">
        <x:v>1152748.2945500829</x:v>
      </x:c>
      <x:c r="I618" s="43" t="n">
        <x:v>1297179</x:v>
      </x:c>
      <x:c r="J618" s="43" t="n">
        <x:v>94248</x:v>
      </x:c>
      <x:c r="K618" s="43" t="n">
        <x:v>15741.932106425958</x:v>
      </x:c>
      <x:c r="L618" s="43" t="n">
        <x:v>4552.738711600182</x:v>
      </x:c>
    </x:row>
    <x:row r="619" ht="15" hidden="0" customHeight="1">
      <x:c r="A619" s="29" t="str">
        <x:v>48121</x:v>
      </x:c>
      <x:c r="B619" s="29" t="str">
        <x:v>SCA-15</x:v>
      </x:c>
      <x:c r="C619" s="44" t="n">
        <x:v>1069346</x:v>
      </x:c>
      <x:c r="D619" s="44" t="n">
        <x:v>7732.354317838379</x:v>
      </x:c>
      <x:c r="E619" s="44" t="n">
        <x:v>95501.91074072821</x:v>
      </x:c>
      <x:c r="F619" s="44" t="n">
        <x:v>9223.953825943347</x:v>
      </x:c>
      <x:c r="G619" s="44" t="n">
        <x:v>20470.768524354287</x:v>
      </x:c>
      <x:c r="H619" s="44" t="n">
        <x:v>936417.0125911358</x:v>
      </x:c>
      <x:c r="I619" s="44" t="n">
        <x:v>1069346</x:v>
      </x:c>
      <x:c r="J619" s="44" t="n">
        <x:v>90777</x:v>
      </x:c>
      <x:c r="K619" s="44" t="n">
        <x:v>12977.06186291805</x:v>
      </x:c>
      <x:c r="L619" s="44" t="n">
        <x:v>3753.108036974703</x:v>
      </x:c>
    </x:row>
    <x:row r="620" ht="15" hidden="0" customHeight="1">
      <x:c r="A620" s="27" t="str">
        <x:v>40027</x:v>
      </x:c>
      <x:c r="B620" s="27" t="str">
        <x:v>SCA-15</x:v>
      </x:c>
      <x:c r="C620" s="43" t="n">
        <x:v>303973</x:v>
      </x:c>
      <x:c r="D620" s="43" t="n">
        <x:v>3624.6861383079267</x:v>
      </x:c>
      <x:c r="E620" s="43" t="n">
        <x:v>43933.48507975267</x:v>
      </x:c>
      <x:c r="F620" s="43" t="n">
        <x:v>3080.4490301179003</x:v>
      </x:c>
      <x:c r="G620" s="43" t="n">
        <x:v>7105.624158052513</x:v>
      </x:c>
      <x:c r="H620" s="43" t="n">
        <x:v>246228.755593769</x:v>
      </x:c>
      <x:c r="I620" s="43" t="n">
        <x:v>303973</x:v>
      </x:c>
      <x:c r="J620" s="43" t="n">
        <x:v>44145</x:v>
      </x:c>
      <x:c r="K620" s="43" t="n">
        <x:v>4874.573290102799</x:v>
      </x:c>
      <x:c r="L620" s="43" t="n">
        <x:v>1794.1242599848981</x:v>
      </x:c>
    </x:row>
    <x:row r="621" ht="15" hidden="0" customHeight="1">
      <x:c r="A621" s="29" t="str">
        <x:v>48309</x:v>
      </x:c>
      <x:c r="B621" s="29" t="str">
        <x:v>SCA-15</x:v>
      </x:c>
      <x:c r="C621" s="44" t="n">
        <x:v>272020</x:v>
      </x:c>
      <x:c r="D621" s="44" t="n">
        <x:v>2420.610374961988</x:v>
      </x:c>
      <x:c r="E621" s="44" t="n">
        <x:v>35181.49389566132</x:v>
      </x:c>
      <x:c r="F621" s="44" t="n">
        <x:v>2346.387343042485</x:v>
      </x:c>
      <x:c r="G621" s="44" t="n">
        <x:v>6852.5600656405095</x:v>
      </x:c>
      <x:c r="H621" s="44" t="n">
        <x:v>225218.94832069371</x:v>
      </x:c>
      <x:c r="I621" s="44" t="n">
        <x:v>272020</x:v>
      </x:c>
      <x:c r="J621" s="44" t="n">
        <x:v>35343</x:v>
      </x:c>
      <x:c r="K621" s="44" t="n">
        <x:v>3301.102139018585</x:v>
      </x:c>
      <x:c r="L621" s="44" t="n">
        <x:v>954.7147959760999</x:v>
      </x:c>
    </x:row>
    <x:row r="622" ht="15" hidden="0" customHeight="1">
      <x:c r="A622" s="27" t="str">
        <x:v>48423</x:v>
      </x:c>
      <x:c r="B622" s="27" t="str">
        <x:v>SCA-15</x:v>
      </x:c>
      <x:c r="C622" s="43" t="n">
        <x:v>252549</x:v>
      </x:c>
      <x:c r="D622" s="43" t="n">
        <x:v>2249.064297489994</x:v>
      </x:c>
      <x:c r="E622" s="43" t="n">
        <x:v>32704.495539527386</x:v>
      </x:c>
      <x:c r="F622" s="43" t="n">
        <x:v>2178.434589728831</x:v>
      </x:c>
      <x:c r="G622" s="43" t="n">
        <x:v>5720.08511208322</x:v>
      </x:c>
      <x:c r="H622" s="43" t="n">
        <x:v>209696.92046117055</x:v>
      </x:c>
      <x:c r="I622" s="43" t="n">
        <x:v>252549</x:v>
      </x:c>
      <x:c r="J622" s="43" t="n">
        <x:v>32224</x:v>
      </x:c>
      <x:c r="K622" s="43" t="n">
        <x:v>3064.81157307185</x:v>
      </x:c>
      <x:c r="L622" s="43" t="n">
        <x:v>886.3769833430192</x:v>
      </x:c>
    </x:row>
    <x:row r="623" ht="15" hidden="0" customHeight="1">
      <x:c r="A623" s="29" t="str">
        <x:v>48139</x:v>
      </x:c>
      <x:c r="B623" s="29" t="str">
        <x:v>SCA-15</x:v>
      </x:c>
      <x:c r="C623" s="44" t="n">
        <x:v>240867</x:v>
      </x:c>
      <x:c r="D623" s="44" t="n">
        <x:v>1975.2053671140916</x:v>
      </x:c>
      <x:c r="E623" s="44" t="n">
        <x:v>27115.89517241379</x:v>
      </x:c>
      <x:c r="F623" s="44" t="n">
        <x:v>2077.6681132145222</x:v>
      </x:c>
      <x:c r="G623" s="44" t="n">
        <x:v>4908.87882137846</x:v>
      </x:c>
      <x:c r="H623" s="44" t="n">
        <x:v>204789.35252587916</x:v>
      </x:c>
      <x:c r="I623" s="44" t="n">
        <x:v>240867</x:v>
      </x:c>
      <x:c r="J623" s="44" t="n">
        <x:v>24822</x:v>
      </x:c>
      <x:c r="K623" s="44" t="n">
        <x:v>2923.0445148113727</x:v>
      </x:c>
      <x:c r="L623" s="44" t="n">
        <x:v>845.3764015968505</x:v>
      </x:c>
    </x:row>
    <x:row r="624" ht="15" hidden="0" customHeight="1">
      <x:c r="A624" s="27" t="str">
        <x:v>22017</x:v>
      </x:c>
      <x:c r="B624" s="27" t="str">
        <x:v>SCA-15</x:v>
      </x:c>
      <x:c r="C624" s="43" t="n">
        <x:v>224226</x:v>
      </x:c>
      <x:c r="D624" s="43" t="n">
        <x:v>2864.993044102008</x:v>
      </x:c>
      <x:c r="E624" s="43" t="n">
        <x:v>40567.79386644287</x:v>
      </x:c>
      <x:c r="F624" s="43" t="n">
        <x:v>2598.6515714248235</x:v>
      </x:c>
      <x:c r="G624" s="43" t="n">
        <x:v>12236.367395329631</x:v>
      </x:c>
      <x:c r="H624" s="43" t="n">
        <x:v>165958.1941227007</x:v>
      </x:c>
      <x:c r="I624" s="43" t="n">
        <x:v>224226</x:v>
      </x:c>
      <x:c r="J624" s="43" t="n">
        <x:v>42443</x:v>
      </x:c>
      <x:c r="K624" s="43" t="n">
        <x:v>3773.3198710917113</x:v>
      </x:c>
      <x:c r="L624" s="43" t="n">
        <x:v>1174.668299666888</x:v>
      </x:c>
    </x:row>
    <x:row r="625" ht="15" hidden="0" customHeight="1">
      <x:c r="A625" s="29" t="str">
        <x:v>48251</x:v>
      </x:c>
      <x:c r="B625" s="29" t="str">
        <x:v>SCA-15</x:v>
      </x:c>
      <x:c r="C625" s="44" t="n">
        <x:v>218048</x:v>
      </x:c>
      <x:c r="D625" s="44" t="n">
        <x:v>1842.7261649088643</x:v>
      </x:c>
      <x:c r="E625" s="44" t="n">
        <x:v>25858.51506908427</x:v>
      </x:c>
      <x:c r="F625" s="44" t="n">
        <x:v>1880.836215630203</x:v>
      </x:c>
      <x:c r="G625" s="44" t="n">
        <x:v>2536.497759429069</x:v>
      </x:c>
      <x:c r="H625" s="44" t="n">
        <x:v>185929.4247909476</x:v>
      </x:c>
      <x:c r="I625" s="44" t="n">
        <x:v>218048</x:v>
      </x:c>
      <x:c r="J625" s="44" t="n">
        <x:v>23818</x:v>
      </x:c>
      <x:c r="K625" s="44" t="n">
        <x:v>2646.124252660556</x:v>
      </x:c>
      <x:c r="L625" s="44" t="n">
        <x:v>765.288037030353</x:v>
      </x:c>
    </x:row>
    <x:row r="626" ht="15" hidden="0" customHeight="1">
      <x:c r="A626" s="27" t="str">
        <x:v>48257</x:v>
      </x:c>
      <x:c r="B626" s="27" t="str">
        <x:v>SCA-15</x:v>
      </x:c>
      <x:c r="C626" s="43" t="n">
        <x:v>209235</x:v>
      </x:c>
      <x:c r="D626" s="43" t="n">
        <x:v>1661.2184455611755</x:v>
      </x:c>
      <x:c r="E626" s="43" t="n">
        <x:v>22244.678293551213</x:v>
      </x:c>
      <x:c r="F626" s="43" t="n">
        <x:v>1804.8171300694592</x:v>
      </x:c>
      <x:c r="G626" s="43" t="n">
        <x:v>3003.4618325065658</x:v>
      </x:c>
      <x:c r="H626" s="43" t="n">
        <x:v>180520.8242983116</x:v>
      </x:c>
      <x:c r="I626" s="43" t="n">
        <x:v>209235</x:v>
      </x:c>
      <x:c r="J626" s="43" t="n">
        <x:v>18976</x:v>
      </x:c>
      <x:c r="K626" s="43" t="n">
        <x:v>2539.173980066001</x:v>
      </x:c>
      <x:c r="L626" s="43" t="n">
        <x:v>734.3568499965418</x:v>
      </x:c>
    </x:row>
    <x:row r="627" ht="15" hidden="0" customHeight="1">
      <x:c r="A627" s="29" t="str">
        <x:v>48367</x:v>
      </x:c>
      <x:c r="B627" s="29" t="str">
        <x:v>SCA-15</x:v>
      </x:c>
      <x:c r="C627" s="44" t="n">
        <x:v>184767</x:v>
      </x:c>
      <x:c r="D627" s="44" t="n">
        <x:v>1661.6774541863174</x:v>
      </x:c>
      <x:c r="E627" s="44" t="n">
        <x:v>24316.71603967172</x:v>
      </x:c>
      <x:c r="F627" s="44" t="n">
        <x:v>1593.7613050949592</x:v>
      </x:c>
      <x:c r="G627" s="44" t="n">
        <x:v>2733.6953734654094</x:v>
      </x:c>
      <x:c r="H627" s="44" t="n">
        <x:v>154461.1498275816</x:v>
      </x:c>
      <x:c r="I627" s="44" t="n">
        <x:v>184767</x:v>
      </x:c>
      <x:c r="J627" s="44" t="n">
        <x:v>22434</x:v>
      </x:c>
      <x:c r="K627" s="44" t="n">
        <x:v>2242.242257628288</x:v>
      </x:c>
      <x:c r="L627" s="44" t="n">
        <x:v>648.4809525333287</x:v>
      </x:c>
    </x:row>
    <x:row r="628" ht="15" hidden="0" customHeight="1">
      <x:c r="A628" s="27" t="str">
        <x:v>48181</x:v>
      </x:c>
      <x:c r="B628" s="27" t="str">
        <x:v>SCA-15</x:v>
      </x:c>
      <x:c r="C628" s="43" t="n">
        <x:v>153613</x:v>
      </x:c>
      <x:c r="D628" s="43" t="n">
        <x:v>1377.639704203611</x:v>
      </x:c>
      <x:c r="E628" s="43" t="n">
        <x:v>20124.015738535956</x:v>
      </x:c>
      <x:c r="F628" s="43" t="n">
        <x:v>1325.0334494771903</x:v>
      </x:c>
      <x:c r="G628" s="43" t="n">
        <x:v>2790.0875090649224</x:v>
      </x:c>
      <x:c r="H628" s="43" t="n">
        <x:v>127996.22359871832</x:v>
      </x:c>
      <x:c r="I628" s="43" t="n">
        <x:v>153613</x:v>
      </x:c>
      <x:c r="J628" s="43" t="n">
        <x:v>19382</x:v>
      </x:c>
      <x:c r="K628" s="43" t="n">
        <x:v>1864.1724979084697</x:v>
      </x:c>
      <x:c r="L628" s="43" t="n">
        <x:v>539.1390484312794</x:v>
      </x:c>
    </x:row>
    <x:row r="629" ht="15" hidden="0" customHeight="1">
      <x:c r="A629" s="29" t="str">
        <x:v>48441</x:v>
      </x:c>
      <x:c r="B629" s="29" t="str">
        <x:v>SCA-15</x:v>
      </x:c>
      <x:c r="C629" s="44" t="n">
        <x:v>150077</x:v>
      </x:c>
      <x:c r="D629" s="44" t="n">
        <x:v>1414.6316983137772</x:v>
      </x:c>
      <x:c r="E629" s="44" t="n">
        <x:v>21309.67271285422</x:v>
      </x:c>
      <x:c r="F629" s="44" t="n">
        <x:v>1294.5326567229877</x:v>
      </x:c>
      <x:c r="G629" s="44" t="n">
        <x:v>2813.608073842617</x:v>
      </x:c>
      <x:c r="H629" s="44" t="n">
        <x:v>123244.55485826639</x:v>
      </x:c>
      <x:c r="I629" s="44" t="n">
        <x:v>150077</x:v>
      </x:c>
      <x:c r="J629" s="44" t="n">
        <x:v>20591</x:v>
      </x:c>
      <x:c r="K629" s="44" t="n">
        <x:v>1821.2613253345057</x:v>
      </x:c>
      <x:c r="L629" s="44" t="n">
        <x:v>526.7286686115181</x:v>
      </x:c>
    </x:row>
    <x:row r="630" ht="15" hidden="0" customHeight="1">
      <x:c r="A630" s="27" t="str">
        <x:v>48397</x:v>
      </x:c>
      <x:c r="B630" s="27" t="str">
        <x:v>SCA-15</x:v>
      </x:c>
      <x:c r="C630" s="43" t="n">
        <x:v>140738</x:v>
      </x:c>
      <x:c r="D630" s="43" t="n">
        <x:v>1003.4753284906527</x:v>
      </x:c>
      <x:c r="E630" s="43" t="n">
        <x:v>12228.575066534195</x:v>
      </x:c>
      <x:c r="F630" s="43" t="n">
        <x:v>1213.9764057242603</x:v>
      </x:c>
      <x:c r="G630" s="43" t="n">
        <x:v>1606.1605615909573</x:v>
      </x:c>
      <x:c r="H630" s="43" t="n">
        <x:v>124685.81263765992</x:v>
      </x:c>
      <x:c r="I630" s="43" t="n">
        <x:v>140738</x:v>
      </x:c>
      <x:c r="J630" s="43" t="n">
        <x:v>11114</x:v>
      </x:c>
      <x:c r="K630" s="43" t="n">
        <x:v>1707.9277731093216</x:v>
      </x:c>
      <x:c r="L630" s="43" t="n">
        <x:v>493.95136738506125</x:v>
      </x:c>
    </x:row>
    <x:row r="631" ht="15" hidden="0" customHeight="1">
      <x:c r="A631" s="29" t="str">
        <x:v>22015</x:v>
      </x:c>
      <x:c r="B631" s="29" t="str">
        <x:v>SCA-15</x:v>
      </x:c>
      <x:c r="C631" s="44" t="n">
        <x:v>131867</x:v>
      </x:c>
      <x:c r="D631" s="44" t="n">
        <x:v>1506.530291033673</x:v>
      </x:c>
      <x:c r="E631" s="44" t="n">
        <x:v>19577.02778787218</x:v>
      </x:c>
      <x:c r="F631" s="44" t="n">
        <x:v>1528.263389477925</x:v>
      </x:c>
      <x:c r="G631" s="44" t="n">
        <x:v>4873.464358682399</x:v>
      </x:c>
      <x:c r="H631" s="44" t="n">
        <x:v>104381.71417293382</x:v>
      </x:c>
      <x:c r="I631" s="44" t="n">
        <x:v>131867</x:v>
      </x:c>
      <x:c r="J631" s="44" t="n">
        <x:v>19150</x:v>
      </x:c>
      <x:c r="K631" s="44" t="n">
        <x:v>2219.084189350257</x:v>
      </x:c>
      <x:c r="L631" s="44" t="n">
        <x:v>690.820799872332</x:v>
      </x:c>
    </x:row>
    <x:row r="632" ht="15" hidden="0" customHeight="1">
      <x:c r="A632" s="27" t="str">
        <x:v>05131</x:v>
      </x:c>
      <x:c r="B632" s="27" t="str">
        <x:v>SCA-15</x:v>
      </x:c>
      <x:c r="C632" s="43" t="n">
        <x:v>130641</x:v>
      </x:c>
      <x:c r="D632" s="43" t="n">
        <x:v>1947.8650834694279</x:v>
      </x:c>
      <x:c r="E632" s="43" t="n">
        <x:v>28051.972166869433</x:v>
      </x:c>
      <x:c r="F632" s="43" t="n">
        <x:v>1249.9056942845307</x:v>
      </x:c>
      <x:c r="G632" s="43" t="n">
        <x:v>3675.910521565088</x:v>
      </x:c>
      <x:c r="H632" s="43" t="n">
        <x:v>95715.34653381152</x:v>
      </x:c>
      <x:c r="I632" s="43" t="n">
        <x:v>130641</x:v>
      </x:c>
      <x:c r="J632" s="43" t="n">
        <x:v>28497</x:v>
      </x:c>
      <x:c r="K632" s="43" t="n">
        <x:v>2028.9386041343992</x:v>
      </x:c>
      <x:c r="L632" s="43" t="n">
        <x:v>779.0329098498685</x:v>
      </x:c>
    </x:row>
    <x:row r="633" ht="15" hidden="0" customHeight="1">
      <x:c r="A633" s="29" t="str">
        <x:v>48485</x:v>
      </x:c>
      <x:c r="B633" s="29" t="str">
        <x:v>SCA-15</x:v>
      </x:c>
      <x:c r="C633" s="44" t="n">
        <x:v>129555</x:v>
      </x:c>
      <x:c r="D633" s="44" t="n">
        <x:v>1285.5333649133736</x:v>
      </x:c>
      <x:c r="E633" s="44" t="n">
        <x:v>19939.949462338256</x:v>
      </x:c>
      <x:c r="F633" s="44" t="n">
        <x:v>1117.5141983231717</x:v>
      </x:c>
      <x:c r="G633" s="44" t="n">
        <x:v>4399.902043029887</x:v>
      </x:c>
      <x:c r="H633" s="44" t="n">
        <x:v>102812.10093139531</x:v>
      </x:c>
      <x:c r="I633" s="44" t="n">
        <x:v>129555</x:v>
      </x:c>
      <x:c r="J633" s="44" t="n">
        <x:v>18920</x:v>
      </x:c>
      <x:c r="K633" s="44" t="n">
        <x:v>1572.2163356391177</x:v>
      </x:c>
      <x:c r="L633" s="44" t="n">
        <x:v>454.702137315946</x:v>
      </x:c>
    </x:row>
    <x:row r="634" ht="15" hidden="0" customHeight="1">
      <x:c r="A634" s="27" t="str">
        <x:v>48183</x:v>
      </x:c>
      <x:c r="B634" s="27" t="str">
        <x:v>SCA-15</x:v>
      </x:c>
      <x:c r="C634" s="43" t="n">
        <x:v>126095</x:v>
      </x:c>
      <x:c r="D634" s="43" t="n">
        <x:v>1149.6932172222287</x:v>
      </x:c>
      <x:c r="E634" s="43" t="n">
        <x:v>16971.233299038395</x:v>
      </x:c>
      <x:c r="F634" s="43" t="n">
        <x:v>1087.668965594229</x:v>
      </x:c>
      <x:c r="G634" s="43" t="n">
        <x:v>2755.2329369162094</x:v>
      </x:c>
      <x:c r="H634" s="43" t="n">
        <x:v>104131.17158122893</x:v>
      </x:c>
      <x:c r="I634" s="43" t="n">
        <x:v>126095</x:v>
      </x:c>
      <x:c r="J634" s="43" t="n">
        <x:v>17306</x:v>
      </x:c>
      <x:c r="K634" s="43" t="n">
        <x:v>1530.2274620231913</x:v>
      </x:c>
      <x:c r="L634" s="43" t="n">
        <x:v>442.5584964289623</x:v>
      </x:c>
    </x:row>
    <x:row r="635" ht="15" hidden="0" customHeight="1">
      <x:c r="A635" s="29" t="str">
        <x:v>48231</x:v>
      </x:c>
      <x:c r="B635" s="29" t="str">
        <x:v>SCA-15</x:v>
      </x:c>
      <x:c r="C635" s="44" t="n">
        <x:v>123336</x:v>
      </x:c>
      <x:c r="D635" s="44" t="n">
        <x:v>1198.699902490866</x:v>
      </x:c>
      <x:c r="E635" s="44" t="n">
        <x:v>18379.793550391038</x:v>
      </x:c>
      <x:c r="F635" s="44" t="n">
        <x:v>1063.8704115193295</x:v>
      </x:c>
      <x:c r="G635" s="44" t="n">
        <x:v>1929.8738976094069</x:v>
      </x:c>
      <x:c r="H635" s="44" t="n">
        <x:v>100763.76223798936</x:v>
      </x:c>
      <x:c r="I635" s="44" t="n">
        <x:v>123336</x:v>
      </x:c>
      <x:c r="J635" s="44" t="n">
        <x:v>16792</x:v>
      </x:c>
      <x:c r="K635" s="44" t="n">
        <x:v>1496.745582743902</x:v>
      </x:c>
      <x:c r="L635" s="44" t="n">
        <x:v>432.8751712245727</x:v>
      </x:c>
    </x:row>
    <x:row r="636" ht="15" hidden="0" customHeight="1">
      <x:c r="A636" s="27" t="str">
        <x:v>40031</x:v>
      </x:c>
      <x:c r="B636" s="27" t="str">
        <x:v>SCA-15</x:v>
      </x:c>
      <x:c r="C636" s="43" t="n">
        <x:v>122158</x:v>
      </x:c>
      <x:c r="D636" s="43" t="n">
        <x:v>1804.9120101658461</x:v>
      </x:c>
      <x:c r="E636" s="43" t="n">
        <x:v>26013.722569957798</x:v>
      </x:c>
      <x:c r="F636" s="43" t="n">
        <x:v>1237.9438062628672</x:v>
      </x:c>
      <x:c r="G636" s="43" t="n">
        <x:v>4955.811171914854</x:v>
      </x:c>
      <x:c r="H636" s="43" t="n">
        <x:v>88145.61044169863</x:v>
      </x:c>
      <x:c r="I636" s="43" t="n">
        <x:v>122158</x:v>
      </x:c>
      <x:c r="J636" s="43" t="n">
        <x:v>23916</x:v>
      </x:c>
      <x:c r="K636" s="43" t="n">
        <x:v>1958.9507093471384</x:v>
      </x:c>
      <x:c r="L636" s="43" t="n">
        <x:v>721.0069030842712</x:v>
      </x:c>
    </x:row>
    <x:row r="637" ht="15" hidden="0" customHeight="1">
      <x:c r="A637" s="29" t="str">
        <x:v>48037</x:v>
      </x:c>
      <x:c r="B637" s="29" t="str">
        <x:v>SCA-15</x:v>
      </x:c>
      <x:c r="C637" s="44" t="n">
        <x:v>92696</x:v>
      </x:c>
      <x:c r="D637" s="44" t="n">
        <x:v>872.0584461834478</x:v>
      </x:c>
      <x:c r="E637" s="44" t="n">
        <x:v>13121.308357005004</x:v>
      </x:c>
      <x:c r="F637" s="44" t="n">
        <x:v>799.5762118618711</x:v>
      </x:c>
      <x:c r="G637" s="44" t="n">
        <x:v>3709.4448463556405</x:v>
      </x:c>
      <x:c r="H637" s="44" t="n">
        <x:v>74193.61213859404</x:v>
      </x:c>
      <x:c r="I637" s="44" t="n">
        <x:v>92696</x:v>
      </x:c>
      <x:c r="J637" s="44" t="n">
        <x:v>12759</x:v>
      </x:c>
      <x:c r="K637" s="44" t="n">
        <x:v>1124.9134765034437</x:v>
      </x:c>
      <x:c r="L637" s="44" t="n">
        <x:v>325.3372646415726</x:v>
      </x:c>
    </x:row>
    <x:row r="638" ht="15" hidden="0" customHeight="1">
      <x:c r="A638" s="27" t="str">
        <x:v>48213</x:v>
      </x:c>
      <x:c r="B638" s="27" t="str">
        <x:v>SCA-15</x:v>
      </x:c>
      <x:c r="C638" s="43" t="n">
        <x:v>88595</x:v>
      </x:c>
      <x:c r="D638" s="43" t="n">
        <x:v>981.0330459130718</x:v>
      </x:c>
      <x:c r="E638" s="43" t="n">
        <x:v>16082.139707354272</x:v>
      </x:c>
      <x:c r="F638" s="43" t="n">
        <x:v>764.2018478672487</x:v>
      </x:c>
      <x:c r="G638" s="43" t="n">
        <x:v>2279.879801963681</x:v>
      </x:c>
      <x:c r="H638" s="43" t="n">
        <x:v>68487.74559690173</x:v>
      </x:c>
      <x:c r="I638" s="43" t="n">
        <x:v>88595</x:v>
      </x:c>
      <x:c r="J638" s="43" t="n">
        <x:v>15869</x:v>
      </x:c>
      <x:c r="K638" s="43" t="n">
        <x:v>1075.1457393072258</x:v>
      </x:c>
      <x:c r="L638" s="43" t="n">
        <x:v>310.9438914399771</x:v>
      </x:c>
    </x:row>
    <x:row r="639" ht="15" hidden="0" customHeight="1">
      <x:c r="A639" s="29" t="str">
        <x:v>48099</x:v>
      </x:c>
      <x:c r="B639" s="29" t="str">
        <x:v>SCA-15</x:v>
      </x:c>
      <x:c r="C639" s="44" t="n">
        <x:v>85592</x:v>
      </x:c>
      <x:c r="D639" s="44" t="n">
        <x:v>964.9759518264523</x:v>
      </x:c>
      <x:c r="E639" s="44" t="n">
        <x:v>15949.722190895835</x:v>
      </x:c>
      <x:c r="F639" s="44" t="n">
        <x:v>738.2986010796719</x:v>
      </x:c>
      <x:c r="G639" s="44" t="n">
        <x:v>2254.8792122057926</x:v>
      </x:c>
      <x:c r="H639" s="44" t="n">
        <x:v>65684.12404399225</x:v>
      </x:c>
      <x:c r="I639" s="44" t="n">
        <x:v>85592</x:v>
      </x:c>
      <x:c r="J639" s="44" t="n">
        <x:v>12379</x:v>
      </x:c>
      <x:c r="K639" s="44" t="n">
        <x:v>1038.7027949521312</x:v>
      </x:c>
      <x:c r="L639" s="44" t="n">
        <x:v>300.4041938724592</x:v>
      </x:c>
    </x:row>
    <x:row r="640" ht="15" hidden="0" customHeight="1">
      <x:c r="A640" s="27" t="str">
        <x:v>48497</x:v>
      </x:c>
      <x:c r="B640" s="27" t="str">
        <x:v>SCA-15</x:v>
      </x:c>
      <x:c r="C640" s="43" t="n">
        <x:v>83778</x:v>
      </x:c>
      <x:c r="D640" s="43" t="n">
        <x:v>807.6059599022723</x:v>
      </x:c>
      <x:c r="E640" s="43" t="n">
        <x:v>12325.641676523528</x:v>
      </x:c>
      <x:c r="F640" s="43" t="n">
        <x:v>722.6514183714922</x:v>
      </x:c>
      <x:c r="G640" s="43" t="n">
        <x:v>1011.0161995371561</x:v>
      </x:c>
      <x:c r="H640" s="43" t="n">
        <x:v>68911.08474566556</x:v>
      </x:c>
      <x:c r="I640" s="43" t="n">
        <x:v>83778</x:v>
      </x:c>
      <x:c r="J640" s="43" t="n">
        <x:v>11324</x:v>
      </x:c>
      <x:c r="K640" s="43" t="n">
        <x:v>1016.6889750852843</x:v>
      </x:c>
      <x:c r="L640" s="43" t="n">
        <x:v>294.037556713792</x:v>
      </x:c>
    </x:row>
    <x:row r="641" ht="15" hidden="0" customHeight="1">
      <x:c r="A641" s="29" t="str">
        <x:v>40125</x:v>
      </x:c>
      <x:c r="B641" s="29" t="str">
        <x:v>SCA-15</x:v>
      </x:c>
      <x:c r="C641" s="44" t="n">
        <x:v>75102</x:v>
      </x:c>
      <x:c r="D641" s="44" t="n">
        <x:v>1046.6151952998346</x:v>
      </x:c>
      <x:c r="E641" s="44" t="n">
        <x:v>14480.268228098479</x:v>
      </x:c>
      <x:c r="F641" s="44" t="n">
        <x:v>761.0803691772446</x:v>
      </x:c>
      <x:c r="G641" s="44" t="n">
        <x:v>1484.8361366346355</x:v>
      </x:c>
      <x:c r="H641" s="44" t="n">
        <x:v>57329.200070789804</x:v>
      </x:c>
      <x:c r="I641" s="44" t="n">
        <x:v>75102</x:v>
      </x:c>
      <x:c r="J641" s="44" t="n">
        <x:v>14317</x:v>
      </x:c>
      <x:c r="K641" s="44" t="n">
        <x:v>1204.3510549729758</x:v>
      </x:c>
      <x:c r="L641" s="44" t="n">
        <x:v>443.27068579573125</x:v>
      </x:c>
    </x:row>
    <x:row r="642" ht="15" hidden="0" customHeight="1">
      <x:c r="A642" s="27" t="str">
        <x:v>48203</x:v>
      </x:c>
      <x:c r="B642" s="27" t="str">
        <x:v>SCA-15</x:v>
      </x:c>
      <x:c r="C642" s="43" t="n">
        <x:v>71956</x:v>
      </x:c>
      <x:c r="D642" s="43" t="n">
        <x:v>735.4815132031838</x:v>
      </x:c>
      <x:c r="E642" s="43" t="n">
        <x:v>11590.461586260464</x:v>
      </x:c>
      <x:c r="F642" s="43" t="n">
        <x:v>620.677331284336</x:v>
      </x:c>
      <x:c r="G642" s="43" t="n">
        <x:v>2932.712925404908</x:v>
      </x:c>
      <x:c r="H642" s="43" t="n">
        <x:v>56076.66664384711</x:v>
      </x:c>
      <x:c r="I642" s="43" t="n">
        <x:v>71956</x:v>
      </x:c>
      <x:c r="J642" s="43" t="n">
        <x:v>11665</x:v>
      </x:c>
      <x:c r="K642" s="43" t="n">
        <x:v>873.2229450600005</x:v>
      </x:c>
      <x:c r="L642" s="43" t="n">
        <x:v>252.54561377566446</x:v>
      </x:c>
    </x:row>
    <x:row r="643" ht="15" hidden="0" customHeight="1">
      <x:c r="A643" s="29" t="str">
        <x:v>48221</x:v>
      </x:c>
      <x:c r="B643" s="29" t="str">
        <x:v>SCA-15</x:v>
      </x:c>
      <x:c r="C643" s="44" t="n">
        <x:v>70501</x:v>
      </x:c>
      <x:c r="D643" s="44" t="n">
        <x:v>651.2861681347623</x:v>
      </x:c>
      <x:c r="E643" s="44" t="n">
        <x:v>9692.332824784091</x:v>
      </x:c>
      <x:c r="F643" s="44" t="n">
        <x:v>608.1268071165291</x:v>
      </x:c>
      <x:c r="G643" s="44" t="n">
        <x:v>844.3702938193442</x:v>
      </x:c>
      <x:c r="H643" s="44" t="n">
        <x:v>58704.883906145275</x:v>
      </x:c>
      <x:c r="I643" s="44" t="n">
        <x:v>70501</x:v>
      </x:c>
      <x:c r="J643" s="44" t="n">
        <x:v>9319</x:v>
      </x:c>
      <x:c r="K643" s="44" t="n">
        <x:v>855.565774218621</x:v>
      </x:c>
      <x:c r="L643" s="44" t="n">
        <x:v>247.43896710209185</x:v>
      </x:c>
    </x:row>
    <x:row r="644" ht="15" hidden="0" customHeight="1">
      <x:c r="A644" s="27" t="str">
        <x:v>48467</x:v>
      </x:c>
      <x:c r="B644" s="27" t="str">
        <x:v>SCA-15</x:v>
      </x:c>
      <x:c r="C644" s="43" t="n">
        <x:v>66130</x:v>
      </x:c>
      <x:c r="D644" s="43" t="n">
        <x:v>619.7235079302361</x:v>
      </x:c>
      <x:c r="E644" s="43" t="n">
        <x:v>9303.01294045585</x:v>
      </x:c>
      <x:c r="F644" s="43" t="n">
        <x:v>570.4234798742723</x:v>
      </x:c>
      <x:c r="G644" s="43" t="n">
        <x:v>1250.7467761694445</x:v>
      </x:c>
      <x:c r="H644" s="43" t="n">
        <x:v>54386.0932955702</x:v>
      </x:c>
      <x:c r="I644" s="43" t="n">
        <x:v>66130</x:v>
      </x:c>
      <x:c r="J644" s="43" t="n">
        <x:v>9091</x:v>
      </x:c>
      <x:c r="K644" s="43" t="n">
        <x:v>802.521448618848</x:v>
      </x:c>
      <x:c r="L644" s="43" t="n">
        <x:v>232.09796874457572</x:v>
      </x:c>
    </x:row>
    <x:row r="645" ht="15" hidden="0" customHeight="1">
      <x:c r="A645" s="29" t="str">
        <x:v>48001</x:v>
      </x:c>
      <x:c r="B645" s="29" t="str">
        <x:v>SCA-15</x:v>
      </x:c>
      <x:c r="C645" s="44" t="n">
        <x:v>59805</x:v>
      </x:c>
      <x:c r="D645" s="44" t="n">
        <x:v>674.1965184307542</x:v>
      </x:c>
      <x:c r="E645" s="44" t="n">
        <x:v>11143.141113463695</x:v>
      </x:c>
      <x:c r="F645" s="44" t="n">
        <x:v>515.8653593509882</x:v>
      </x:c>
      <x:c r="G645" s="44" t="n">
        <x:v>1292.6826919084983</x:v>
      </x:c>
      <x:c r="H645" s="44" t="n">
        <x:v>46179.11431684606</x:v>
      </x:c>
      <x:c r="I645" s="44" t="n">
        <x:v>59805</x:v>
      </x:c>
      <x:c r="J645" s="44" t="n">
        <x:v>9350</x:v>
      </x:c>
      <x:c r="K645" s="44" t="n">
        <x:v>725.7643313874219</x:v>
      </x:c>
      <x:c r="L645" s="44" t="n">
        <x:v>209.89897203643358</x:v>
      </x:c>
    </x:row>
    <x:row r="646" ht="15" hidden="0" customHeight="1">
      <x:c r="A646" s="27" t="str">
        <x:v>40051</x:v>
      </x:c>
      <x:c r="B646" s="27" t="str">
        <x:v>SCA-15</x:v>
      </x:c>
      <x:c r="C646" s="43" t="n">
        <x:v>59128</x:v>
      </x:c>
      <x:c r="D646" s="43" t="n">
        <x:v>812.6413474373882</x:v>
      </x:c>
      <x:c r="E646" s="43" t="n">
        <x:v>11127.676397064062</x:v>
      </x:c>
      <x:c r="F646" s="43" t="n">
        <x:v>599.2005548282618</x:v>
      </x:c>
      <x:c r="G646" s="43" t="n">
        <x:v>1135.194470177439</x:v>
      </x:c>
      <x:c r="H646" s="43" t="n">
        <x:v>45453.287230492846</x:v>
      </x:c>
      <x:c r="I646" s="43" t="n">
        <x:v>59128</x:v>
      </x:c>
      <x:c r="J646" s="43" t="n">
        <x:v>11004</x:v>
      </x:c>
      <x:c r="K646" s="43" t="n">
        <x:v>948.1887190546472</x:v>
      </x:c>
      <x:c r="L646" s="43" t="n">
        <x:v>348.98816422638544</x:v>
      </x:c>
    </x:row>
    <x:row r="647" ht="15" hidden="0" customHeight="1">
      <x:c r="A647" s="29" t="str">
        <x:v>48349</x:v>
      </x:c>
      <x:c r="B647" s="29" t="str">
        <x:v>SCA-15</x:v>
      </x:c>
      <x:c r="C647" s="44" t="n">
        <x:v>57181</x:v>
      </x:c>
      <x:c r="D647" s="44" t="n">
        <x:v>580.4334524404591</x:v>
      </x:c>
      <x:c r="E647" s="44" t="n">
        <x:v>9113.855832730913</x:v>
      </x:c>
      <x:c r="F647" s="44" t="n">
        <x:v>493.2312868999057</x:v>
      </x:c>
      <x:c r="G647" s="44" t="n">
        <x:v>1004.5202691430796</x:v>
      </x:c>
      <x:c r="H647" s="44" t="n">
        <x:v>45988.95915878564</x:v>
      </x:c>
      <x:c r="I647" s="44" t="n">
        <x:v>57181</x:v>
      </x:c>
      <x:c r="J647" s="44" t="n">
        <x:v>8957</x:v>
      </x:c>
      <x:c r="K647" s="44" t="n">
        <x:v>693.92074630991</x:v>
      </x:c>
      <x:c r="L647" s="44" t="n">
        <x:v>200.6894594100043</x:v>
      </x:c>
    </x:row>
    <x:row r="648" ht="15" hidden="0" customHeight="1">
      <x:c r="A648" s="27" t="str">
        <x:v>48401</x:v>
      </x:c>
      <x:c r="B648" s="27" t="str">
        <x:v>SCA-15</x:v>
      </x:c>
      <x:c r="C648" s="43" t="n">
        <x:v>54854</x:v>
      </x:c>
      <x:c r="D648" s="43" t="n">
        <x:v>534.2436492517613</x:v>
      </x:c>
      <x:c r="E648" s="43" t="n">
        <x:v>8201.311555120163</x:v>
      </x:c>
      <x:c r="F648" s="43" t="n">
        <x:v>473.1590740212208</x:v>
      </x:c>
      <x:c r="G648" s="43" t="n">
        <x:v>1184.9170956916857</x:v>
      </x:c>
      <x:c r="H648" s="43" t="n">
        <x:v>44460.368625915165</x:v>
      </x:c>
      <x:c r="I648" s="43" t="n">
        <x:v>54854</x:v>
      </x:c>
      <x:c r="J648" s="43" t="n">
        <x:v>7472</x:v>
      </x:c>
      <x:c r="K648" s="43" t="n">
        <x:v>665.6814084763087</x:v>
      </x:c>
      <x:c r="L648" s="43" t="n">
        <x:v>192.52233445508782</x:v>
      </x:c>
    </x:row>
    <x:row r="649" ht="15" hidden="0" customHeight="1">
      <x:c r="A649" s="29" t="str">
        <x:v>48073</x:v>
      </x:c>
      <x:c r="B649" s="29" t="str">
        <x:v>SCA-15</x:v>
      </x:c>
      <x:c r="C649" s="44" t="n">
        <x:v>53337</x:v>
      </x:c>
      <x:c r="D649" s="44" t="n">
        <x:v>471.54560876770825</x:v>
      </x:c>
      <x:c r="E649" s="44" t="n">
        <x:v>6824.340571194595</x:v>
      </x:c>
      <x:c r="F649" s="44" t="n">
        <x:v>460.0737508854387</x:v>
      </x:c>
      <x:c r="G649" s="44" t="n">
        <x:v>1694.0067048827927</x:v>
      </x:c>
      <x:c r="H649" s="44" t="n">
        <x:v>43887.03336426946</x:v>
      </x:c>
      <x:c r="I649" s="44" t="n">
        <x:v>53337</x:v>
      </x:c>
      <x:c r="J649" s="44" t="n">
        <x:v>6510</x:v>
      </x:c>
      <x:c r="K649" s="44" t="n">
        <x:v>647.2718358533721</x:v>
      </x:c>
      <x:c r="L649" s="44" t="n">
        <x:v>187.1980849679334</x:v>
      </x:c>
    </x:row>
    <x:row r="650" ht="15" hidden="0" customHeight="1">
      <x:c r="A650" s="27" t="str">
        <x:v>48277</x:v>
      </x:c>
      <x:c r="B650" s="27" t="str">
        <x:v>SCA-15</x:v>
      </x:c>
      <x:c r="C650" s="43" t="n">
        <x:v>51503</x:v>
      </x:c>
      <x:c r="D650" s="43" t="n">
        <x:v>548.2128012501189</x:v>
      </x:c>
      <x:c r="E650" s="43" t="n">
        <x:v>8818.837149524323</x:v>
      </x:c>
      <x:c r="F650" s="43" t="n">
        <x:v>444.25405238113785</x:v>
      </x:c>
      <x:c r="G650" s="43" t="n">
        <x:v>2109.139232932448</x:v>
      </x:c>
      <x:c r="H650" s="43" t="n">
        <x:v>39582.556763911976</x:v>
      </x:c>
      <x:c r="I650" s="43" t="n">
        <x:v>51503</x:v>
      </x:c>
      <x:c r="J650" s="43" t="n">
        <x:v>8943</x:v>
      </x:c>
      <x:c r="K650" s="43" t="n">
        <x:v>625.0153057344099</x:v>
      </x:c>
      <x:c r="L650" s="43" t="n">
        <x:v>180.7612533532721</x:v>
      </x:c>
    </x:row>
    <x:row r="651" ht="15" hidden="0" customHeight="1">
      <x:c r="A651" s="29" t="str">
        <x:v>40013</x:v>
      </x:c>
      <x:c r="B651" s="29" t="str">
        <x:v>SCA-15</x:v>
      </x:c>
      <x:c r="C651" s="44" t="n">
        <x:v>51367</x:v>
      </x:c>
      <x:c r="D651" s="44" t="n">
        <x:v>685.4398402155762</x:v>
      </x:c>
      <x:c r="E651" s="44" t="n">
        <x:v>9174.216685340216</x:v>
      </x:c>
      <x:c r="F651" s="44" t="n">
        <x:v>520.5509217268184</x:v>
      </x:c>
      <x:c r="G651" s="44" t="n">
        <x:v>1281.5751452969932</x:v>
      </x:c>
      <x:c r="H651" s="44" t="n">
        <x:v>39705.217407420394</x:v>
      </x:c>
      <x:c r="I651" s="44" t="n">
        <x:v>51367</x:v>
      </x:c>
      <x:c r="J651" s="44" t="n">
        <x:v>8867</x:v>
      </x:c>
      <x:c r="K651" s="44" t="n">
        <x:v>823.7317333865523</x:v>
      </x:c>
      <x:c r="L651" s="44" t="n">
        <x:v>303.1808116597338</x:v>
      </x:c>
    </x:row>
    <x:row r="652" ht="15" hidden="0" customHeight="1">
      <x:c r="A652" s="27" t="str">
        <x:v>40079</x:v>
      </x:c>
      <x:c r="B652" s="27" t="str">
        <x:v>SCA-15</x:v>
      </x:c>
      <x:c r="C652" s="43" t="n">
        <x:v>50196</x:v>
      </x:c>
      <x:c r="D652" s="43" t="n">
        <x:v>724.1205334366123</x:v>
      </x:c>
      <x:c r="E652" s="43" t="n">
        <x:v>10268.430121579908</x:v>
      </x:c>
      <x:c r="F652" s="43" t="n">
        <x:v>508.68405916248526</x:v>
      </x:c>
      <x:c r="G652" s="43" t="n">
        <x:v>1475.062207336791</x:v>
      </x:c>
      <x:c r="H652" s="43" t="n">
        <x:v>37219.7030784842</x:v>
      </x:c>
      <x:c r="I652" s="43" t="n">
        <x:v>50196</x:v>
      </x:c>
      <x:c r="J652" s="43" t="n">
        <x:v>10148</x:v>
      </x:c>
      <x:c r="K652" s="43" t="n">
        <x:v>804.953337533268</x:v>
      </x:c>
      <x:c r="L652" s="43" t="n">
        <x:v>296.2692783707828</x:v>
      </x:c>
    </x:row>
    <x:row r="653" ht="15" hidden="0" customHeight="1">
      <x:c r="A653" s="29" t="str">
        <x:v>48499</x:v>
      </x:c>
      <x:c r="B653" s="29" t="str">
        <x:v>SCA-15</x:v>
      </x:c>
      <x:c r="C653" s="44" t="n">
        <x:v>49688</x:v>
      </x:c>
      <x:c r="D653" s="44" t="n">
        <x:v>611.8280072151371</x:v>
      </x:c>
      <x:c r="E653" s="44" t="n">
        <x:v>10498.485617839964</x:v>
      </x:c>
      <x:c r="F653" s="44" t="n">
        <x:v>428.598243883152</x:v>
      </x:c>
      <x:c r="G653" s="44" t="n">
        <x:v>1333.2530279842588</x:v>
      </x:c>
      <x:c r="H653" s="44" t="n">
        <x:v>36815.835103077494</x:v>
      </x:c>
      <x:c r="I653" s="44" t="n">
        <x:v>49688</x:v>
      </x:c>
      <x:c r="J653" s="44" t="n">
        <x:v>10067</x:v>
      </x:c>
      <x:c r="K653" s="44" t="n">
        <x:v>602.9893503549572</x:v>
      </x:c>
      <x:c r="L653" s="44" t="n">
        <x:v>174.39110647180522</x:v>
      </x:c>
    </x:row>
    <x:row r="654" ht="15" hidden="0" customHeight="1">
      <x:c r="A654" s="27" t="str">
        <x:v>40087</x:v>
      </x:c>
      <x:c r="B654" s="27" t="str">
        <x:v>SCA-15</x:v>
      </x:c>
      <x:c r="C654" s="43" t="n">
        <x:v>49647</x:v>
      </x:c>
      <x:c r="D654" s="43" t="n">
        <x:v>589.0459042121746</x:v>
      </x:c>
      <x:c r="E654" s="43" t="n">
        <x:v>7104.407049753792</x:v>
      </x:c>
      <x:c r="F654" s="43" t="n">
        <x:v>503.120517277072</x:v>
      </x:c>
      <x:c r="G654" s="43" t="n">
        <x:v>505.88332479222834</x:v>
      </x:c>
      <x:c r="H654" s="43" t="n">
        <x:v>40944.543203964735</x:v>
      </x:c>
      <x:c r="I654" s="43" t="n">
        <x:v>49647</x:v>
      </x:c>
      <x:c r="J654" s="43" t="n">
        <x:v>6690</x:v>
      </x:c>
      <x:c r="K654" s="43" t="n">
        <x:v>796.1494610828385</x:v>
      </x:c>
      <x:c r="L654" s="43" t="n">
        <x:v>293.02894380576646</x:v>
      </x:c>
    </x:row>
    <x:row r="655" ht="15" hidden="0" customHeight="1">
      <x:c r="A655" s="29" t="str">
        <x:v>40019</x:v>
      </x:c>
      <x:c r="B655" s="29" t="str">
        <x:v>SCA-15</x:v>
      </x:c>
      <x:c r="C655" s="44" t="n">
        <x:v>48910</x:v>
      </x:c>
      <x:c r="D655" s="44" t="n">
        <x:v>720.9430540734089</x:v>
      </x:c>
      <x:c r="E655" s="44" t="n">
        <x:v>10374.33762235422</x:v>
      </x:c>
      <x:c r="F655" s="44" t="n">
        <x:v>495.65179164947716</x:v>
      </x:c>
      <x:c r="G655" s="44" t="n">
        <x:v>1199.7389776625114</x:v>
      </x:c>
      <x:c r="H655" s="44" t="n">
        <x:v>36119.328554260384</x:v>
      </x:c>
      <x:c r="I655" s="44" t="n">
        <x:v>48910</x:v>
      </x:c>
      <x:c r="J655" s="44" t="n">
        <x:v>10564</x:v>
      </x:c>
      <x:c r="K655" s="44" t="n">
        <x:v>784.3307781247936</x:v>
      </x:c>
      <x:c r="L655" s="44" t="n">
        <x:v>288.67898647531644</x:v>
      </x:c>
    </x:row>
    <x:row r="656" ht="15" hidden="0" customHeight="1">
      <x:c r="A656" s="27" t="str">
        <x:v>22061</x:v>
      </x:c>
      <x:c r="B656" s="27" t="str">
        <x:v>SCA-15</x:v>
      </x:c>
      <x:c r="C656" s="43" t="n">
        <x:v>48360</x:v>
      </x:c>
      <x:c r="D656" s="43" t="n">
        <x:v>483.73143585417927</x:v>
      </x:c>
      <x:c r="E656" s="43" t="n">
        <x:v>5529.229184549356</x:v>
      </x:c>
      <x:c r="F656" s="43" t="n">
        <x:v>560.4648434798125</x:v>
      </x:c>
      <x:c r="G656" s="43" t="n">
        <x:v>2296.9501072961375</x:v>
      </x:c>
      <x:c r="H656" s="43" t="n">
        <x:v>39489.62442882051</x:v>
      </x:c>
      <x:c r="I656" s="43" t="n">
        <x:v>48360</x:v>
      </x:c>
      <x:c r="J656" s="43" t="n">
        <x:v>5661</x:v>
      </x:c>
      <x:c r="K656" s="43" t="n">
        <x:v>813.8117299777687</x:v>
      </x:c>
      <x:c r="L656" s="43" t="n">
        <x:v>253.3468864979561</x:v>
      </x:c>
    </x:row>
    <x:row r="657" ht="15" hidden="0" customHeight="1">
      <x:c r="A657" s="29" t="str">
        <x:v>48097</x:v>
      </x:c>
      <x:c r="B657" s="29" t="str">
        <x:v>SCA-15</x:v>
      </x:c>
      <x:c r="C657" s="44" t="n">
        <x:v>44461</x:v>
      </x:c>
      <x:c r="D657" s="44" t="n">
        <x:v>421.59127096698</x:v>
      </x:c>
      <x:c r="E657" s="44" t="n">
        <x:v>6373.091653661747</x:v>
      </x:c>
      <x:c r="F657" s="44" t="n">
        <x:v>383.51124056691395</x:v>
      </x:c>
      <x:c r="G657" s="44" t="n">
        <x:v>713.7257920466296</x:v>
      </x:c>
      <x:c r="H657" s="44" t="n">
        <x:v>36569.08004275773</x:v>
      </x:c>
      <x:c r="I657" s="44" t="n">
        <x:v>44461</x:v>
      </x:c>
      <x:c r="J657" s="44" t="n">
        <x:v>6353</x:v>
      </x:c>
      <x:c r="K657" s="44" t="n">
        <x:v>539.5570259646545</x:v>
      </x:c>
      <x:c r="L657" s="44" t="n">
        <x:v>156.04578539774053</x:v>
      </x:c>
    </x:row>
    <x:row r="658" ht="15" hidden="0" customHeight="1">
      <x:c r="A658" s="27" t="str">
        <x:v>48459</x:v>
      </x:c>
      <x:c r="B658" s="27" t="str">
        <x:v>SCA-15</x:v>
      </x:c>
      <x:c r="C658" s="43" t="n">
        <x:v>44410</x:v>
      </x:c>
      <x:c r="D658" s="43" t="n">
        <x:v>510.7161573455839</x:v>
      </x:c>
      <x:c r="E658" s="43" t="n">
        <x:v>8516.38482745508</x:v>
      </x:c>
      <x:c r="F658" s="43" t="n">
        <x:v>383.0713252868053</x:v>
      </x:c>
      <x:c r="G658" s="43" t="n">
        <x:v>775.8350247171785</x:v>
      </x:c>
      <x:c r="H658" s="43" t="n">
        <x:v>34223.99266519535</x:v>
      </x:c>
      <x:c r="I658" s="43" t="n">
        <x:v>44410</x:v>
      </x:c>
      <x:c r="J658" s="43" t="n">
        <x:v>8405</x:v>
      </x:c>
      <x:c r="K658" s="43" t="n">
        <x:v>538.9381148217608</x:v>
      </x:c>
      <x:c r="L658" s="43" t="n">
        <x:v>155.86678953495553</x:v>
      </x:c>
    </x:row>
    <x:row r="659" ht="15" hidden="0" customHeight="1">
      <x:c r="A659" s="29" t="str">
        <x:v>40137</x:v>
      </x:c>
      <x:c r="B659" s="29" t="str">
        <x:v>SCA-15</x:v>
      </x:c>
      <x:c r="C659" s="44" t="n">
        <x:v>44310</x:v>
      </x:c>
      <x:c r="D659" s="44" t="n">
        <x:v>621.6144722873723</x:v>
      </x:c>
      <x:c r="E659" s="44" t="n">
        <x:v>8642.05992174399</x:v>
      </x:c>
      <x:c r="F659" s="44" t="n">
        <x:v>449.0355937024807</x:v>
      </x:c>
      <x:c r="G659" s="44" t="n">
        <x:v>1249.4406558598846</x:v>
      </x:c>
      <x:c r="H659" s="44" t="n">
        <x:v>33347.849356406274</x:v>
      </x:c>
      <x:c r="I659" s="44" t="n">
        <x:v>44310</x:v>
      </x:c>
      <x:c r="J659" s="44" t="n">
        <x:v>8723</x:v>
      </x:c>
      <x:c r="K659" s="44" t="n">
        <x:v>710.5642359171868</x:v>
      </x:c>
      <x:c r="L659" s="44" t="n">
        <x:v>261.52864221470605</x:v>
      </x:c>
    </x:row>
    <x:row r="660" ht="15" hidden="0" customHeight="1">
      <x:c r="A660" s="27" t="str">
        <x:v>48143</x:v>
      </x:c>
      <x:c r="B660" s="27" t="str">
        <x:v>SCA-15</x:v>
      </x:c>
      <x:c r="C660" s="43" t="n">
        <x:v>43911</x:v>
      </x:c>
      <x:c r="D660" s="43" t="n">
        <x:v>399.29152093163</x:v>
      </x:c>
      <x:c r="E660" s="43" t="n">
        <x:v>5884.225993769469</x:v>
      </x:c>
      <x:c r="F660" s="43" t="n">
        <x:v>378.76705617358493</x:v>
      </x:c>
      <x:c r="G660" s="43" t="n">
        <x:v>1073.7955001730704</x:v>
      </x:c>
      <x:c r="H660" s="43" t="n">
        <x:v>36174.91992895225</x:v>
      </x:c>
      <x:c r="I660" s="43" t="n">
        <x:v>43911</x:v>
      </x:c>
      <x:c r="J660" s="43" t="n">
        <x:v>6049</x:v>
      </x:c>
      <x:c r="K660" s="43" t="n">
        <x:v>532.882494031487</x:v>
      </x:c>
      <x:c r="L660" s="43" t="n">
        <x:v>154.1154378579021</x:v>
      </x:c>
    </x:row>
    <x:row r="661" ht="15" hidden="0" customHeight="1">
      <x:c r="A661" s="29" t="str">
        <x:v>40121</x:v>
      </x:c>
      <x:c r="B661" s="29" t="str">
        <x:v>SCA-15</x:v>
      </x:c>
      <x:c r="C661" s="44" t="n">
        <x:v>43320</x:v>
      </x:c>
      <x:c r="D661" s="44" t="n">
        <x:v>646.1214827081047</x:v>
      </x:c>
      <x:c r="E661" s="44" t="n">
        <x:v>9370.465602196373</x:v>
      </x:c>
      <x:c r="F661" s="44" t="n">
        <x:v>439.00297718780115</x:v>
      </x:c>
      <x:c r="G661" s="44" t="n">
        <x:v>1503.6521205115234</x:v>
      </x:c>
      <x:c r="H661" s="44" t="n">
        <x:v>31360.7578173962</x:v>
      </x:c>
      <x:c r="I661" s="44" t="n">
        <x:v>43320</x:v>
      </x:c>
      <x:c r="J661" s="44" t="n">
        <x:v>9356</x:v>
      </x:c>
      <x:c r="K661" s="44" t="n">
        <x:v>694.6883931377236</x:v>
      </x:c>
      <x:c r="L661" s="44" t="n">
        <x:v>255.6854159499225</x:v>
      </x:c>
    </x:row>
    <x:row r="662" ht="15" hidden="0" customHeight="1">
      <x:c r="A662" s="27" t="str">
        <x:v>05091</x:v>
      </x:c>
      <x:c r="B662" s="27" t="str">
        <x:v>SCA-15</x:v>
      </x:c>
      <x:c r="C662" s="43" t="n">
        <x:v>42357</x:v>
      </x:c>
      <x:c r="D662" s="43" t="n">
        <x:v>596.2258309591842</x:v>
      </x:c>
      <x:c r="E662" s="43" t="n">
        <x:v>8247.464453547276</x:v>
      </x:c>
      <x:c r="F662" s="43" t="n">
        <x:v>405.2499253129559</x:v>
      </x:c>
      <x:c r="G662" s="43" t="n">
        <x:v>1895.2807402380204</x:v>
      </x:c>
      <x:c r="H662" s="43" t="n">
        <x:v>31212.77904994256</x:v>
      </x:c>
      <x:c r="I662" s="43" t="n">
        <x:v>42357</x:v>
      </x:c>
      <x:c r="J662" s="43" t="n">
        <x:v>8368</x:v>
      </x:c>
      <x:c r="K662" s="43" t="n">
        <x:v>657.8314040410036</x:v>
      </x:c>
      <x:c r="L662" s="43" t="n">
        <x:v>252.58147872804767</x:v>
      </x:c>
    </x:row>
    <x:row r="663" ht="15" hidden="0" customHeight="1">
      <x:c r="A663" s="29" t="str">
        <x:v>48217</x:v>
      </x:c>
      <x:c r="B663" s="29" t="str">
        <x:v>SCA-15</x:v>
      </x:c>
      <x:c r="C663" s="44" t="n">
        <x:v>39503</x:v>
      </x:c>
      <x:c r="D663" s="44" t="n">
        <x:v>429.35055255331474</x:v>
      </x:c>
      <x:c r="E663" s="44" t="n">
        <x:v>6976.94334711643</x:v>
      </x:c>
      <x:c r="F663" s="44" t="n">
        <x:v>340.74457470850416</x:v>
      </x:c>
      <x:c r="G663" s="44" t="n">
        <x:v>981.6754896626768</x:v>
      </x:c>
      <x:c r="H663" s="44" t="n">
        <x:v>30774.286035959074</x:v>
      </x:c>
      <x:c r="I663" s="44" t="n">
        <x:v>39503</x:v>
      </x:c>
      <x:c r="J663" s="44" t="n">
        <x:v>6763</x:v>
      </x:c>
      <x:c r="K663" s="44" t="n">
        <x:v>479.389154465301</x:v>
      </x:c>
      <x:c r="L663" s="44" t="n">
        <x:v>138.64457975679684</x:v>
      </x:c>
    </x:row>
    <x:row r="664" ht="15" hidden="0" customHeight="1">
      <x:c r="A664" s="27" t="str">
        <x:v>48147</x:v>
      </x:c>
      <x:c r="B664" s="27" t="str">
        <x:v>SCA-15</x:v>
      </x:c>
      <x:c r="C664" s="43" t="n">
        <x:v>39265</x:v>
      </x:c>
      <x:c r="D664" s="43" t="n">
        <x:v>358.12751619515086</x:v>
      </x:c>
      <x:c r="E664" s="43" t="n">
        <x:v>5287.638011152417</x:v>
      </x:c>
      <x:c r="F664" s="43" t="n">
        <x:v>338.6916367346636</x:v>
      </x:c>
      <x:c r="G664" s="43" t="n">
        <x:v>672.3037871747213</x:v>
      </x:c>
      <x:c r="H664" s="43" t="n">
        <x:v>32608.23904874305</x:v>
      </x:c>
      <x:c r="I664" s="43" t="n">
        <x:v>39265</x:v>
      </x:c>
      <x:c r="J664" s="43" t="n">
        <x:v>4830</x:v>
      </x:c>
      <x:c r="K664" s="43" t="n">
        <x:v>476.5009024651303</x:v>
      </x:c>
      <x:c r="L664" s="43" t="n">
        <x:v>137.80926573046676</x:v>
      </x:c>
    </x:row>
    <x:row r="665" ht="15" hidden="0" customHeight="1">
      <x:c r="A665" s="29" t="str">
        <x:v>48223</x:v>
      </x:c>
      <x:c r="B665" s="29" t="str">
        <x:v>SCA-15</x:v>
      </x:c>
      <x:c r="C665" s="44" t="n">
        <x:v>39063</x:v>
      </x:c>
      <x:c r="D665" s="44" t="n">
        <x:v>365.42599206552995</x:v>
      </x:c>
      <x:c r="E665" s="44" t="n">
        <x:v>5479.816568174492</x:v>
      </x:c>
      <x:c r="F665" s="44" t="n">
        <x:v>336.9492271938409</x:v>
      </x:c>
      <x:c r="G665" s="44" t="n">
        <x:v>762.9359084560008</x:v>
      </x:c>
      <x:c r="H665" s="44" t="n">
        <x:v>32117.872304110137</x:v>
      </x:c>
      <x:c r="I665" s="44" t="n">
        <x:v>39063</x:v>
      </x:c>
      <x:c r="J665" s="44" t="n">
        <x:v>5440</x:v>
      </x:c>
      <x:c r="K665" s="44" t="n">
        <x:v>474.049528918767</x:v>
      </x:c>
      <x:c r="L665" s="44" t="n">
        <x:v>137.10030172492608</x:v>
      </x:c>
    </x:row>
    <x:row r="666" ht="15" hidden="0" customHeight="1">
      <x:c r="A666" s="27" t="str">
        <x:v>48049</x:v>
      </x:c>
      <x:c r="B666" s="27" t="str">
        <x:v>SCA-15</x:v>
      </x:c>
      <x:c r="C666" s="43" t="n">
        <x:v>38711</x:v>
      </x:c>
      <x:c r="D666" s="43" t="n">
        <x:v>489.21830564769886</x:v>
      </x:c>
      <x:c r="E666" s="43" t="n">
        <x:v>8480.482232358465</x:v>
      </x:c>
      <x:c r="F666" s="43" t="n">
        <x:v>333.9129491821103</x:v>
      </x:c>
      <x:c r="G666" s="43" t="n">
        <x:v>1059.6819157499328</x:v>
      </x:c>
      <x:c r="H666" s="43" t="n">
        <x:v>28347.70459706179</x:v>
      </x:c>
      <x:c r="I666" s="43" t="n">
        <x:v>38711</x:v>
      </x:c>
      <x:c r="J666" s="43" t="n">
        <x:v>8505</x:v>
      </x:c>
      <x:c r="K666" s="43" t="n">
        <x:v>469.7778284815398</x:v>
      </x:c>
      <x:c r="L666" s="43" t="n">
        <x:v>135.86487929942948</x:v>
      </x:c>
    </x:row>
    <x:row r="667" ht="15" hidden="0" customHeight="1">
      <x:c r="A667" s="29" t="str">
        <x:v>40123</x:v>
      </x:c>
      <x:c r="B667" s="29" t="str">
        <x:v>SCA-15</x:v>
      </x:c>
      <x:c r="C667" s="44" t="n">
        <x:v>38528</x:v>
      </x:c>
      <x:c r="D667" s="44" t="n">
        <x:v>462.8427476154403</x:v>
      </x:c>
      <x:c r="E667" s="44" t="n">
        <x:v>5650.5817844777075</x:v>
      </x:c>
      <x:c r="F667" s="44" t="n">
        <x:v>390.4410596743213</x:v>
      </x:c>
      <x:c r="G667" s="44" t="n">
        <x:v>1363.61250199755</x:v>
      </x:c>
      <x:c r="H667" s="44" t="n">
        <x:v>30660.521906234982</x:v>
      </x:c>
      <x:c r="I667" s="44" t="n">
        <x:v>38528</x:v>
      </x:c>
      <x:c r="J667" s="44" t="n">
        <x:v>5736</x:v>
      </x:c>
      <x:c r="K667" s="44" t="n">
        <x:v>617.8428996031905</x:v>
      </x:c>
      <x:c r="L667" s="44" t="n">
        <x:v>227.4018399288692</x:v>
      </x:c>
    </x:row>
    <x:row r="668" ht="15" hidden="0" customHeight="1">
      <x:c r="A668" s="27" t="str">
        <x:v>22119</x:v>
      </x:c>
      <x:c r="B668" s="27" t="str">
        <x:v>SCA-15</x:v>
      </x:c>
      <x:c r="C668" s="43" t="n">
        <x:v>34948</x:v>
      </x:c>
      <x:c r="D668" s="43" t="n">
        <x:v>425.6510906297043</x:v>
      </x:c>
      <x:c r="E668" s="43" t="n">
        <x:v>5821.597892566716</x:v>
      </x:c>
      <x:c r="F668" s="43" t="n">
        <x:v>405.0274059125825</x:v>
      </x:c>
      <x:c r="G668" s="43" t="n">
        <x:v>2011.6531897835303</x:v>
      </x:c>
      <x:c r="H668" s="43" t="n">
        <x:v>26284.070421107466</x:v>
      </x:c>
      <x:c r="I668" s="43" t="n">
        <x:v>34948</x:v>
      </x:c>
      <x:c r="J668" s="43" t="n">
        <x:v>6060</x:v>
      </x:c>
      <x:c r="K668" s="43" t="n">
        <x:v>588.1119176853404</x:v>
      </x:c>
      <x:c r="L668" s="43" t="n">
        <x:v>183.08451177275785</x:v>
      </x:c>
    </x:row>
    <x:row r="669" ht="15" hidden="0" customHeight="1">
      <x:c r="A669" s="29" t="str">
        <x:v>48449</x:v>
      </x:c>
      <x:c r="B669" s="29" t="str">
        <x:v>SCA-15</x:v>
      </x:c>
      <x:c r="C669" s="44" t="n">
        <x:v>31563</x:v>
      </x:c>
      <x:c r="D669" s="44" t="n">
        <x:v>301.6050383471708</x:v>
      </x:c>
      <x:c r="E669" s="44" t="n">
        <x:v>4579.863782881002</x:v>
      </x:c>
      <x:c r="F669" s="44" t="n">
        <x:v>272.25580364844484</x:v>
      </x:c>
      <x:c r="G669" s="44" t="n">
        <x:v>798.3450939457202</x:v>
      </x:c>
      <x:c r="H669" s="44" t="n">
        <x:v>25610.93028117766</x:v>
      </x:c>
      <x:c r="I669" s="44" t="n">
        <x:v>31563</x:v>
      </x:c>
      <x:c r="J669" s="44" t="n">
        <x:v>4706</x:v>
      </x:c>
      <x:c r="K669" s="44" t="n">
        <x:v>383.03318437557385</x:v>
      </x:c>
      <x:c r="L669" s="44" t="n">
        <x:v>110.77738072712904</x:v>
      </x:c>
    </x:row>
    <x:row r="670" ht="15" hidden="0" customHeight="1">
      <x:c r="A670" s="27" t="str">
        <x:v>48363</x:v>
      </x:c>
      <x:c r="B670" s="27" t="str">
        <x:v>SCA-15</x:v>
      </x:c>
      <x:c r="C670" s="43" t="n">
        <x:v>30791</x:v>
      </x:c>
      <x:c r="D670" s="43" t="n">
        <x:v>322.33071316423565</x:v>
      </x:c>
      <x:c r="E670" s="43" t="n">
        <x:v>5142.3081225235155</x:v>
      </x:c>
      <x:c r="F670" s="43" t="n">
        <x:v>265.59669391817204</x:v>
      </x:c>
      <x:c r="G670" s="43" t="n">
        <x:v>517.0976122385694</x:v>
      </x:c>
      <x:c r="H670" s="43" t="n">
        <x:v>24543.66685815551</x:v>
      </x:c>
      <x:c r="I670" s="43" t="n">
        <x:v>30791</x:v>
      </x:c>
      <x:c r="J670" s="43" t="n">
        <x:v>5049</x:v>
      </x:c>
      <x:c r="K670" s="43" t="n">
        <x:v>373.66456864392785</x:v>
      </x:c>
      <x:c r="L670" s="43" t="n">
        <x:v>108.0678747257558</x:v>
      </x:c>
    </x:row>
    <x:row r="671" ht="15" hidden="0" customHeight="1">
      <x:c r="A671" s="29" t="str">
        <x:v>40089</x:v>
      </x:c>
      <x:c r="B671" s="29" t="str">
        <x:v>SCA-15</x:v>
      </x:c>
      <x:c r="C671" s="44" t="n">
        <x:v>30744</x:v>
      </x:c>
      <x:c r="D671" s="44" t="n">
        <x:v>480.0004002908148</x:v>
      </x:c>
      <x:c r="E671" s="44" t="n">
        <x:v>7164.999951597605</x:v>
      </x:c>
      <x:c r="F671" s="44" t="n">
        <x:v>311.558345583143</x:v>
      </x:c>
      <x:c r="G671" s="44" t="n">
        <x:v>973.4266605618601</x:v>
      </x:c>
      <x:c r="H671" s="44" t="n">
        <x:v>21814.014641966576</x:v>
      </x:c>
      <x:c r="I671" s="44" t="n">
        <x:v>30744</x:v>
      </x:c>
      <x:c r="J671" s="44" t="n">
        <x:v>7423</x:v>
      </x:c>
      <x:c r="K671" s="44" t="n">
        <x:v>493.01708122405756</x:v>
      </x:c>
      <x:c r="L671" s="44" t="n">
        <x:v>181.4587356409145</x:v>
      </x:c>
    </x:row>
    <x:row r="672" ht="15" hidden="0" customHeight="1">
      <x:c r="A672" s="27" t="str">
        <x:v>48067</x:v>
      </x:c>
      <x:c r="B672" s="27" t="str">
        <x:v>SCA-15</x:v>
      </x:c>
      <x:c r="C672" s="43" t="n">
        <x:v>28651</x:v>
      </x:c>
      <x:c r="D672" s="43" t="n">
        <x:v>324.12115083961027</x:v>
      </x:c>
      <x:c r="E672" s="43" t="n">
        <x:v>5365.53798972542</x:v>
      </x:c>
      <x:c r="F672" s="43" t="n">
        <x:v>247.13750373321903</x:v>
      </x:c>
      <x:c r="G672" s="43" t="n">
        <x:v>967.5195039858282</x:v>
      </x:c>
      <x:c r="H672" s="43" t="n">
        <x:v>21746.68385171592</x:v>
      </x:c>
      <x:c r="I672" s="43" t="n">
        <x:v>28651</x:v>
      </x:c>
      <x:c r="J672" s="43" t="n">
        <x:v>5506</x:v>
      </x:c>
      <x:c r="K672" s="43" t="n">
        <x:v>347.69457166760344</x:v>
      </x:c>
      <x:c r="L672" s="43" t="n">
        <x:v>100.55706793438439</x:v>
      </x:c>
    </x:row>
    <x:row r="673" ht="15" hidden="0" customHeight="1">
      <x:c r="A673" s="29" t="str">
        <x:v>22031</x:v>
      </x:c>
      <x:c r="B673" s="29" t="str">
        <x:v>SCA-15</x:v>
      </x:c>
      <x:c r="C673" s="44" t="n">
        <x:v>27381</x:v>
      </x:c>
      <x:c r="D673" s="44" t="n">
        <x:v>360.3162863065262</x:v>
      </x:c>
      <x:c r="E673" s="44" t="n">
        <x:v>5204.965015673981</x:v>
      </x:c>
      <x:c r="F673" s="44" t="n">
        <x:v>317.33018774443235</x:v>
      </x:c>
      <x:c r="G673" s="44" t="n">
        <x:v>1081.878265412748</x:v>
      </x:c>
      <x:c r="H673" s="44" t="n">
        <x:v>20416.510244862315</x:v>
      </x:c>
      <x:c r="I673" s="44" t="n">
        <x:v>27381</x:v>
      </x:c>
      <x:c r="J673" s="44" t="n">
        <x:v>5306</x:v>
      </x:c>
      <x:c r="K673" s="44" t="n">
        <x:v>460.7729317312094</x:v>
      </x:c>
      <x:c r="L673" s="44" t="n">
        <x:v>143.442743986777</x:v>
      </x:c>
    </x:row>
    <x:row r="674" ht="15" hidden="0" customHeight="1">
      <x:c r="A674" s="27" t="str">
        <x:v>40049</x:v>
      </x:c>
      <x:c r="B674" s="27" t="str">
        <x:v>SCA-15</x:v>
      </x:c>
      <x:c r="C674" s="43" t="n">
        <x:v>26377</x:v>
      </x:c>
      <x:c r="D674" s="43" t="n">
        <x:v>337.27887788152805</x:v>
      </x:c>
      <x:c r="E674" s="43" t="n">
        <x:v>4358.286301006476</x:v>
      </x:c>
      <x:c r="F674" s="43" t="n">
        <x:v>267.30335940172273</x:v>
      </x:c>
      <x:c r="G674" s="43" t="n">
        <x:v>713.6367324646953</x:v>
      </x:c>
      <x:c r="H674" s="43" t="n">
        <x:v>20700.494729245576</x:v>
      </x:c>
      <x:c r="I674" s="43" t="n">
        <x:v>26377</x:v>
      </x:c>
      <x:c r="J674" s="43" t="n">
        <x:v>4412</x:v>
      </x:c>
      <x:c r="K674" s="43" t="n">
        <x:v>422.98697474131427</x:v>
      </x:c>
      <x:c r="L674" s="43" t="n">
        <x:v>155.68361533959154</x:v>
      </x:c>
    </x:row>
    <x:row r="675" ht="15" hidden="0" customHeight="1">
      <x:c r="A675" s="29" t="str">
        <x:v>40065</x:v>
      </x:c>
      <x:c r="B675" s="29" t="str">
        <x:v>SCA-15</x:v>
      </x:c>
      <x:c r="C675" s="44" t="n">
        <x:v>24764</x:v>
      </x:c>
      <x:c r="D675" s="44" t="n">
        <x:v>321.3071425472361</x:v>
      </x:c>
      <x:c r="E675" s="44" t="n">
        <x:v>4203.452506682763</x:v>
      </x:c>
      <x:c r="F675" s="44" t="n">
        <x:v>250.95728825204765</x:v>
      </x:c>
      <x:c r="G675" s="44" t="n">
        <x:v>754.4509140294903</x:v>
      </x:c>
      <x:c r="H675" s="44" t="n">
        <x:v>19233.832148488465</x:v>
      </x:c>
      <x:c r="I675" s="44" t="n">
        <x:v>24764</x:v>
      </x:c>
      <x:c r="J675" s="44" t="n">
        <x:v>4101</x:v>
      </x:c>
      <x:c r="K675" s="44" t="n">
        <x:v>397.12057635416863</x:v>
      </x:c>
      <x:c r="L675" s="44" t="n">
        <x:v>146.163288102121</x:v>
      </x:c>
    </x:row>
    <x:row r="676" ht="15" hidden="0" customHeight="1">
      <x:c r="A676" s="27" t="str">
        <x:v>40133</x:v>
      </x:c>
      <x:c r="B676" s="27" t="str">
        <x:v>SCA-15</x:v>
      </x:c>
      <x:c r="C676" s="43" t="n">
        <x:v>23441</x:v>
      </x:c>
      <x:c r="D676" s="43" t="n">
        <x:v>364.5229210156677</x:v>
      </x:c>
      <x:c r="E676" s="43" t="n">
        <x:v>5428.03939230836</x:v>
      </x:c>
      <x:c r="F676" s="43" t="n">
        <x:v>237.5500643642485</x:v>
      </x:c>
      <x:c r="G676" s="43" t="n">
        <x:v>700.3630089417484</x:v>
      </x:c>
      <x:c r="H676" s="43" t="n">
        <x:v>16710.524613369977</x:v>
      </x:c>
      <x:c r="I676" s="43" t="n">
        <x:v>23441</x:v>
      </x:c>
      <x:c r="J676" s="43" t="n">
        <x:v>5557</x:v>
      </x:c>
      <x:c r="K676" s="43" t="n">
        <x:v>375.9046773670678</x:v>
      </x:c>
      <x:c r="L676" s="43" t="n">
        <x:v>138.35461300281932</x:v>
      </x:c>
    </x:row>
    <x:row r="677" ht="15" hidden="0" customHeight="1">
      <x:c r="A677" s="29" t="str">
        <x:v>48365</x:v>
      </x:c>
      <x:c r="B677" s="29" t="str">
        <x:v>SCA-15</x:v>
      </x:c>
      <x:c r="C677" s="44" t="n">
        <x:v>23018</x:v>
      </x:c>
      <x:c r="D677" s="44" t="n">
        <x:v>235.41497353343507</x:v>
      </x:c>
      <x:c r="E677" s="44" t="n">
        <x:v>3711.0761791151076</x:v>
      </x:c>
      <x:c r="F677" s="44" t="n">
        <x:v>198.54842975572356</x:v>
      </x:c>
      <x:c r="G677" s="44" t="n">
        <x:v>491.74588266714153</x:v>
      </x:c>
      <x:c r="H677" s="44" t="n">
        <x:v>18381.214534928593</x:v>
      </x:c>
      <x:c r="I677" s="44" t="n">
        <x:v>23018</x:v>
      </x:c>
      <x:c r="J677" s="44" t="n">
        <x:v>3773</x:v>
      </x:c>
      <x:c r="K677" s="44" t="n">
        <x:v>279.33522915936254</x:v>
      </x:c>
      <x:c r="L677" s="44" t="n">
        <x:v>80.78679940363895</x:v>
      </x:c>
    </x:row>
    <x:row r="678" ht="15" hidden="0" customHeight="1">
      <x:c r="A678" s="27" t="str">
        <x:v>48293</x:v>
      </x:c>
      <x:c r="B678" s="27" t="str">
        <x:v>SCA-15</x:v>
      </x:c>
      <x:c r="C678" s="43" t="n">
        <x:v>22849</x:v>
      </x:c>
      <x:c r="D678" s="43" t="n">
        <x:v>250.88664702539634</x:v>
      </x:c>
      <x:c r="E678" s="43" t="n">
        <x:v>4096.631778597786</x:v>
      </x:c>
      <x:c r="F678" s="43" t="n">
        <x:v>197.09067127850065</x:v>
      </x:c>
      <x:c r="G678" s="43" t="n">
        <x:v>357.4181042435425</x:v>
      </x:c>
      <x:c r="H678" s="43" t="n">
        <x:v>17946.972798854775</x:v>
      </x:c>
      <x:c r="I678" s="43" t="n">
        <x:v>22849</x:v>
      </x:c>
      <x:c r="J678" s="43" t="n">
        <x:v>4049</x:v>
      </x:c>
      <x:c r="K678" s="43" t="n">
        <x:v>277.28432752898925</x:v>
      </x:c>
      <x:c r="L678" s="43" t="n">
        <x:v>80.1936562504886</x:v>
      </x:c>
    </x:row>
    <x:row r="679" ht="15" hidden="0" customHeight="1">
      <x:c r="A679" s="29" t="str">
        <x:v>48337</x:v>
      </x:c>
      <x:c r="B679" s="29" t="str">
        <x:v>SCA-15</x:v>
      </x:c>
      <x:c r="C679" s="44" t="n">
        <x:v>21966</x:v>
      </x:c>
      <x:c r="D679" s="44" t="n">
        <x:v>240.32737286699037</x:v>
      </x:c>
      <x:c r="E679" s="44" t="n">
        <x:v>3917.5872443674175</x:v>
      </x:c>
      <x:c r="F679" s="44" t="n">
        <x:v>189.474098879756</x:v>
      </x:c>
      <x:c r="G679" s="44" t="n">
        <x:v>624.5075582514924</x:v>
      </x:c>
      <x:c r="H679" s="44" t="n">
        <x:v>16994.103725634344</x:v>
      </x:c>
      <x:c r="I679" s="44" t="n">
        <x:v>21966</x:v>
      </x:c>
      <x:c r="J679" s="44" t="n">
        <x:v>3859</x:v>
      </x:c>
      <x:c r="K679" s="44" t="n">
        <x:v>266.56866989810396</x:v>
      </x:c>
      <x:c r="L679" s="44" t="n">
        <x:v>77.09457101834796</x:v>
      </x:c>
    </x:row>
    <x:row r="680" ht="15" hidden="0" customHeight="1">
      <x:c r="A680" s="27" t="str">
        <x:v>05027</x:v>
      </x:c>
      <x:c r="B680" s="27" t="str">
        <x:v>SCA-15</x:v>
      </x:c>
      <x:c r="C680" s="43" t="n">
        <x:v>21894</x:v>
      </x:c>
      <x:c r="D680" s="43" t="n">
        <x:v>307.5650725408057</x:v>
      </x:c>
      <x:c r="E680" s="43" t="n">
        <x:v>4248.184648963259</x:v>
      </x:c>
      <x:c r="F680" s="43" t="n">
        <x:v>209.4704975518062</x:v>
      </x:c>
      <x:c r="G680" s="43" t="n">
        <x:v>339.4983857766461</x:v>
      </x:c>
      <x:c r="H680" s="43" t="n">
        <x:v>16789.281395167483</x:v>
      </x:c>
      <x:c r="I680" s="43" t="n">
        <x:v>21894</x:v>
      </x:c>
      <x:c r="J680" s="43" t="n">
        <x:v>4445</x:v>
      </x:c>
      <x:c r="K680" s="43" t="n">
        <x:v>340.02787638580946</x:v>
      </x:c>
      <x:c r="L680" s="43" t="n">
        <x:v>130.55737883400326</x:v>
      </x:c>
    </x:row>
    <x:row r="681" ht="15" hidden="0" customHeight="1">
      <x:c r="A681" s="29" t="str">
        <x:v>48253</x:v>
      </x:c>
      <x:c r="B681" s="29" t="str">
        <x:v>SCA-15</x:v>
      </x:c>
      <x:c r="C681" s="44" t="n">
        <x:v>20861</x:v>
      </x:c>
      <x:c r="D681" s="44" t="n">
        <x:v>224.46074043126734</x:v>
      </x:c>
      <x:c r="E681" s="44" t="n">
        <x:v>3629.8659145582747</x:v>
      </x:c>
      <x:c r="F681" s="44" t="n">
        <x:v>179.94260114406765</x:v>
      </x:c>
      <x:c r="G681" s="44" t="n">
        <x:v>337.32393197843226</x:v>
      </x:c>
      <x:c r="H681" s="44" t="n">
        <x:v>16489.40681188796</x:v>
      </x:c>
      <x:c r="I681" s="44" t="n">
        <x:v>20861</x:v>
      </x:c>
      <x:c r="J681" s="44" t="n">
        <x:v>2622</x:v>
      </x:c>
      <x:c r="K681" s="44" t="n">
        <x:v>253.15892846874019</x:v>
      </x:c>
      <x:c r="L681" s="44" t="n">
        <x:v>73.21632732467253</x:v>
      </x:c>
    </x:row>
    <x:row r="682" ht="15" hidden="0" customHeight="1">
      <x:c r="A682" s="27" t="str">
        <x:v>48161</x:v>
      </x:c>
      <x:c r="B682" s="27" t="str">
        <x:v>SCA-15</x:v>
      </x:c>
      <x:c r="C682" s="43" t="n">
        <x:v>20811</x:v>
      </x:c>
      <x:c r="D682" s="43" t="n">
        <x:v>229.48724815767764</x:v>
      </x:c>
      <x:c r="E682" s="43" t="n">
        <x:v>3754.7137673517695</x:v>
      </x:c>
      <x:c r="F682" s="43" t="n">
        <x:v>179.51131165376503</x:v>
      </x:c>
      <x:c r="G682" s="43" t="n">
        <x:v>288.6883406865382</x:v>
      </x:c>
      <x:c r="H682" s="43" t="n">
        <x:v>16358.59933215025</x:v>
      </x:c>
      <x:c r="I682" s="43" t="n">
        <x:v>20811</x:v>
      </x:c>
      <x:c r="J682" s="43" t="n">
        <x:v>3493</x:v>
      </x:c>
      <x:c r="K682" s="43" t="n">
        <x:v>252.55215283845223</x:v>
      </x:c>
      <x:c r="L682" s="43" t="n">
        <x:v>73.04084118468721</x:v>
      </x:c>
    </x:row>
    <x:row r="683" ht="15" hidden="0" customHeight="1">
      <x:c r="A683" s="29" t="str">
        <x:v>40091</x:v>
      </x:c>
      <x:c r="B683" s="29" t="str">
        <x:v>SCA-15</x:v>
      </x:c>
      <x:c r="C683" s="44" t="n">
        <x:v>19758</x:v>
      </x:c>
      <x:c r="D683" s="44" t="n">
        <x:v>315.714967405134</x:v>
      </x:c>
      <x:c r="E683" s="44" t="n">
        <x:v>4778.360077369439</x:v>
      </x:c>
      <x:c r="F683" s="44" t="n">
        <x:v>200.22670413842508</x:v>
      </x:c>
      <x:c r="G683" s="44" t="n">
        <x:v>521.0369073135031</x:v>
      </x:c>
      <x:c r="H683" s="44" t="n">
        <x:v>13942.661343773498</x:v>
      </x:c>
      <x:c r="I683" s="44" t="n">
        <x:v>19758</x:v>
      </x:c>
      <x:c r="J683" s="44" t="n">
        <x:v>4819</x:v>
      </x:c>
      <x:c r="K683" s="44" t="n">
        <x:v>316.84333498649914</x:v>
      </x:c>
      <x:c r="L683" s="44" t="n">
        <x:v>116.61663084807407</x:v>
      </x:c>
    </x:row>
    <x:row r="684" ht="15" hidden="0" customHeight="1">
      <x:c r="A684" s="27" t="str">
        <x:v>05113</x:v>
      </x:c>
      <x:c r="B684" s="27" t="str">
        <x:v>SCA-15</x:v>
      </x:c>
      <x:c r="C684" s="43" t="n">
        <x:v>19486</x:v>
      </x:c>
      <x:c r="D684" s="43" t="n">
        <x:v>285.0294241518225</x:v>
      </x:c>
      <x:c r="E684" s="43" t="n">
        <x:v>4051.9519083810515</x:v>
      </x:c>
      <x:c r="F684" s="43" t="n">
        <x:v>186.4319957657119</x:v>
      </x:c>
      <x:c r="G684" s="43" t="n">
        <x:v>535.0581467985425</x:v>
      </x:c>
      <x:c r="H684" s="43" t="n">
        <x:v>14427.528524902873</x:v>
      </x:c>
      <x:c r="I684" s="43" t="n">
        <x:v>19486</x:v>
      </x:c>
      <x:c r="J684" s="43" t="n">
        <x:v>4161</x:v>
      </x:c>
      <x:c r="K684" s="43" t="n">
        <x:v>302.63009040165724</x:v>
      </x:c>
      <x:c r="L684" s="43" t="n">
        <x:v>116.19809463594535</x:v>
      </x:c>
    </x:row>
    <x:row r="685" ht="15" hidden="0" customHeight="1">
      <x:c r="A685" s="29" t="str">
        <x:v>05057</x:v>
      </x:c>
      <x:c r="B685" s="29" t="str">
        <x:v>SCA-15</x:v>
      </x:c>
      <x:c r="C685" s="44" t="n">
        <x:v>19080</x:v>
      </x:c>
      <x:c r="D685" s="44" t="n">
        <x:v>297.140977795452</x:v>
      </x:c>
      <x:c r="E685" s="44" t="n">
        <x:v>4400.734206304021</x:v>
      </x:c>
      <x:c r="F685" s="44" t="n">
        <x:v>182.54759720875415</x:v>
      </x:c>
      <x:c r="G685" s="44" t="n">
        <x:v>941.7018011490089</x:v>
      </x:c>
      <x:c r="H685" s="44" t="n">
        <x:v>13257.875417542762</x:v>
      </x:c>
      <x:c r="I685" s="44" t="n">
        <x:v>19080</x:v>
      </x:c>
      <x:c r="J685" s="44" t="n">
        <x:v>4642</x:v>
      </x:c>
      <x:c r="K685" s="44" t="n">
        <x:v>296.32464974153856</x:v>
      </x:c>
      <x:c r="L685" s="44" t="n">
        <x:v>113.77705253278442</x:v>
      </x:c>
    </x:row>
    <x:row r="686" ht="15" hidden="0" customHeight="1">
      <x:c r="A686" s="27" t="str">
        <x:v>48035</x:v>
      </x:c>
      <x:c r="B686" s="27" t="str">
        <x:v>SCA-15</x:v>
      </x:c>
      <x:c r="C686" s="43" t="n">
        <x:v>18918</x:v>
      </x:c>
      <x:c r="D686" s="43" t="n">
        <x:v>194.5321597891613</x:v>
      </x:c>
      <x:c r="E686" s="43" t="n">
        <x:v>3075.2453727436327</x:v>
      </x:c>
      <x:c r="F686" s="43" t="n">
        <x:v>163.18269155090707</x:v>
      </x:c>
      <x:c r="G686" s="43" t="n">
        <x:v>276.6131864536183</x:v>
      </x:c>
      <x:c r="H686" s="43" t="n">
        <x:v>15208.42658946268</x:v>
      </x:c>
      <x:c r="I686" s="43" t="n">
        <x:v>18918</x:v>
      </x:c>
      <x:c r="J686" s="43" t="n">
        <x:v>3105</x:v>
      </x:c>
      <x:c r="K686" s="43" t="n">
        <x:v>229.5796274757503</x:v>
      </x:c>
      <x:c r="L686" s="43" t="n">
        <x:v>66.39693592484325</x:v>
      </x:c>
    </x:row>
    <x:row r="687" ht="15" hidden="0" customHeight="1">
      <x:c r="A687" s="29" t="str">
        <x:v>48503</x:v>
      </x:c>
      <x:c r="B687" s="29" t="str">
        <x:v>SCA-15</x:v>
      </x:c>
      <x:c r="C687" s="44" t="n">
        <x:v>18154</x:v>
      </x:c>
      <x:c r="D687" s="44" t="n">
        <x:v>194.31894283325082</x:v>
      </x:c>
      <x:c r="E687" s="44" t="n">
        <x:v>3134.4824430571957</x:v>
      </x:c>
      <x:c r="F687" s="44" t="n">
        <x:v>156.59258813908275</x:v>
      </x:c>
      <x:c r="G687" s="44" t="n">
        <x:v>721.3176143074069</x:v>
      </x:c>
      <x:c r="H687" s="44" t="n">
        <x:v>13947.288411663063</x:v>
      </x:c>
      <x:c r="I687" s="44" t="n">
        <x:v>18154</x:v>
      </x:c>
      <x:c r="J687" s="44" t="n">
        <x:v>3198</x:v>
      </x:c>
      <x:c r="K687" s="44" t="n">
        <x:v>220.30809584495037</x:v>
      </x:c>
      <x:c r="L687" s="44" t="n">
        <x:v>63.71550770586765</x:v>
      </x:c>
    </x:row>
    <x:row r="688" ht="15" hidden="0" customHeight="1">
      <x:c r="A688" s="27" t="str">
        <x:v>48133</x:v>
      </x:c>
      <x:c r="B688" s="27" t="str">
        <x:v>SCA-15</x:v>
      </x:c>
      <x:c r="C688" s="43" t="n">
        <x:v>18143</x:v>
      </x:c>
      <x:c r="D688" s="43" t="n">
        <x:v>190.66463459836913</x:v>
      </x:c>
      <x:c r="E688" s="43" t="n">
        <x:v>3047.705612239158</x:v>
      </x:c>
      <x:c r="F688" s="43" t="n">
        <x:v>156.49770445121612</x:v>
      </x:c>
      <x:c r="G688" s="43" t="n">
        <x:v>422.40935935654426</x:v>
      </x:c>
      <x:c r="H688" s="43" t="n">
        <x:v>14325.722689354712</x:v>
      </x:c>
      <x:c r="I688" s="43" t="n">
        <x:v>18143</x:v>
      </x:c>
      <x:c r="J688" s="43" t="n">
        <x:v>3111</x:v>
      </x:c>
      <x:c r="K688" s="43" t="n">
        <x:v>220.174605206287</x:v>
      </x:c>
      <x:c r="L688" s="43" t="n">
        <x:v>63.67690075507088</x:v>
      </x:c>
    </x:row>
    <x:row r="689" ht="15" hidden="0" customHeight="1">
      <x:c r="A689" s="29" t="str">
        <x:v>48145</x:v>
      </x:c>
      <x:c r="B689" s="29" t="str">
        <x:v>SCA-15</x:v>
      </x:c>
      <x:c r="C689" s="44" t="n">
        <x:v>17869</x:v>
      </x:c>
      <x:c r="D689" s="44" t="n">
        <x:v>183.59582042130643</x:v>
      </x:c>
      <x:c r="E689" s="44" t="n">
        <x:v>2901.1340091205207</x:v>
      </x:c>
      <x:c r="F689" s="44" t="n">
        <x:v>154.13423804435766</x:v>
      </x:c>
      <x:c r="G689" s="44" t="n">
        <x:v>474.4321824104235</x:v>
      </x:c>
      <x:c r="H689" s="44" t="n">
        <x:v>14155.703750003391</x:v>
      </x:c>
      <x:c r="I689" s="44" t="n">
        <x:v>17869</x:v>
      </x:c>
      <x:c r="J689" s="44" t="n">
        <x:v>2596</x:v>
      </x:c>
      <x:c r="K689" s="44" t="n">
        <x:v>216.84947475230902</x:v>
      </x:c>
      <x:c r="L689" s="44" t="n">
        <x:v>62.71523670795137</x:v>
      </x:c>
    </x:row>
    <x:row r="690" ht="15" hidden="0" customHeight="1">
      <x:c r="A690" s="27" t="str">
        <x:v>40095</x:v>
      </x:c>
      <x:c r="B690" s="27" t="str">
        <x:v>SCA-15</x:v>
      </x:c>
      <x:c r="C690" s="43" t="n">
        <x:v>16255</x:v>
      </x:c>
      <x:c r="D690" s="43" t="n">
        <x:v>242.34205078366534</x:v>
      </x:c>
      <x:c r="E690" s="43" t="n">
        <x:v>3513.6239355581124</x:v>
      </x:c>
      <x:c r="F690" s="43" t="n">
        <x:v>164.72745600617972</x:v>
      </x:c>
      <x:c r="G690" s="43" t="n">
        <x:v>243.29881089374763</x:v>
      </x:c>
      <x:c r="H690" s="43" t="n">
        <x:v>12091.007746758296</x:v>
      </x:c>
      <x:c r="I690" s="43" t="n">
        <x:v>16255</x:v>
      </x:c>
      <x:c r="J690" s="43" t="n">
        <x:v>3522</x:v>
      </x:c>
      <x:c r="K690" s="43" t="n">
        <x:v>260.6685094749237</x:v>
      </x:c>
      <x:c r="L690" s="43" t="n">
        <x:v>95.941053468744</x:v>
      </x:c>
    </x:row>
    <x:row r="691" ht="15" hidden="0" customHeight="1">
      <x:c r="A691" s="29" t="str">
        <x:v>48415</x:v>
      </x:c>
      <x:c r="B691" s="29" t="str">
        <x:v>SCA-15</x:v>
      </x:c>
      <x:c r="C691" s="44" t="n">
        <x:v>16162</x:v>
      </x:c>
      <x:c r="D691" s="44" t="n">
        <x:v>144.5901451318453</x:v>
      </x:c>
      <x:c r="E691" s="44" t="n">
        <x:v>2108.784125831821</x:v>
      </x:c>
      <x:c r="F691" s="44" t="n">
        <x:v>139.4100148454255</x:v>
      </x:c>
      <x:c r="G691" s="44" t="n">
        <x:v>502.0336761443839</x:v>
      </x:c>
      <x:c r="H691" s="44" t="n">
        <x:v>13267.182038046525</x:v>
      </x:c>
      <x:c r="I691" s="44" t="n">
        <x:v>16162</x:v>
      </x:c>
      <x:c r="J691" s="44" t="n">
        <x:v>2022</x:v>
      </x:c>
      <x:c r="K691" s="44" t="n">
        <x:v>196.13415473427827</x:v>
      </x:c>
      <x:c r="L691" s="44" t="n">
        <x:v>56.72413988885276</x:v>
      </x:c>
    </x:row>
    <x:row r="692" ht="15" hidden="0" customHeight="1">
      <x:c r="A692" s="27" t="str">
        <x:v>05133</x:v>
      </x:c>
      <x:c r="B692" s="27" t="str">
        <x:v>SCA-15</x:v>
      </x:c>
      <x:c r="C692" s="43" t="n">
        <x:v>15758</x:v>
      </x:c>
      <x:c r="D692" s="43" t="n">
        <x:v>206.59236866855403</x:v>
      </x:c>
      <x:c r="E692" s="43" t="n">
        <x:v>2702.9982394772246</x:v>
      </x:c>
      <x:c r="F692" s="43" t="n">
        <x:v>150.7644149274396</x:v>
      </x:c>
      <x:c r="G692" s="43" t="n">
        <x:v>398.34070087769874</x:v>
      </x:c>
      <x:c r="H692" s="43" t="n">
        <x:v>12299.304276049084</x:v>
      </x:c>
      <x:c r="I692" s="43" t="n">
        <x:v>15758</x:v>
      </x:c>
      <x:c r="J692" s="43" t="n">
        <x:v>2789</x:v>
      </x:c>
      <x:c r="K692" s="43" t="n">
        <x:v>244.73185695110925</x:v>
      </x:c>
      <x:c r="L692" s="43" t="n">
        <x:v>93.96744202366965</x:v>
      </x:c>
    </x:row>
    <x:row r="693" ht="15" hidden="0" customHeight="1">
      <x:c r="A693" s="29" t="str">
        <x:v>40005</x:v>
      </x:c>
      <x:c r="B693" s="29" t="str">
        <x:v>SCA-15</x:v>
      </x:c>
      <x:c r="C693" s="44" t="n">
        <x:v>14609</x:v>
      </x:c>
      <x:c r="D693" s="44" t="n">
        <x:v>210.88579222103547</x:v>
      </x:c>
      <x:c r="E693" s="44" t="n">
        <x:v>2991.8361647661154</x:v>
      </x:c>
      <x:c r="F693" s="44" t="n">
        <x:v>148.04696430601535</x:v>
      </x:c>
      <x:c r="G693" s="44" t="n">
        <x:v>550.6710107827166</x:v>
      </x:c>
      <x:c r="H693" s="44" t="n">
        <x:v>10707.560067924116</x:v>
      </x:c>
      <x:c r="I693" s="44" t="n">
        <x:v>14609</x:v>
      </x:c>
      <x:c r="J693" s="44" t="n">
        <x:v>2750</x:v>
      </x:c>
      <x:c r="K693" s="44" t="n">
        <x:v>234.27291632846268</x:v>
      </x:c>
      <x:c r="L693" s="44" t="n">
        <x:v>86.22595202244732</x:v>
      </x:c>
    </x:row>
    <x:row r="694" ht="15" hidden="0" customHeight="1">
      <x:c r="A694" s="27" t="str">
        <x:v>48059</x:v>
      </x:c>
      <x:c r="B694" s="27" t="str">
        <x:v>SCA-15</x:v>
      </x:c>
      <x:c r="C694" s="43" t="n">
        <x:v>14491</x:v>
      </x:c>
      <x:c r="D694" s="43" t="n">
        <x:v>157.03168553869986</x:v>
      </x:c>
      <x:c r="E694" s="43" t="n">
        <x:v>2548.1350187557505</x:v>
      </x:c>
      <x:c r="F694" s="43" t="n">
        <x:v>124.99632007951126</x:v>
      </x:c>
      <x:c r="G694" s="43" t="n">
        <x:v>160.91563451058107</x:v>
      </x:c>
      <x:c r="H694" s="43" t="n">
        <x:v>11499.921341115456</x:v>
      </x:c>
      <x:c r="I694" s="43" t="n">
        <x:v>14491</x:v>
      </x:c>
      <x:c r="J694" s="43" t="n">
        <x:v>2588</x:v>
      </x:c>
      <x:c r="K694" s="43" t="n">
        <x:v>175.85571317005486</x:v>
      </x:c>
      <x:c r="L694" s="43" t="n">
        <x:v>50.859393090543584</x:v>
      </x:c>
    </x:row>
    <x:row r="695" ht="15" hidden="0" customHeight="1">
      <x:c r="A695" s="29" t="str">
        <x:v>48093</x:v>
      </x:c>
      <x:c r="B695" s="29" t="str">
        <x:v>SCA-15</x:v>
      </x:c>
      <x:c r="C695" s="44" t="n">
        <x:v>14432</x:v>
      </x:c>
      <x:c r="D695" s="44" t="n">
        <x:v>152.13876282654113</x:v>
      </x:c>
      <x:c r="E695" s="44" t="n">
        <x:v>2435.6746411483255</x:v>
      </x:c>
      <x:c r="F695" s="44" t="n">
        <x:v>124.48739848095414</x:v>
      </x:c>
      <x:c r="G695" s="44" t="n">
        <x:v>399.32438016528926</x:v>
      </x:c>
      <x:c r="H695" s="44" t="n">
        <x:v>11320.374817378892</x:v>
      </x:c>
      <x:c r="I695" s="44" t="n">
        <x:v>14432</x:v>
      </x:c>
      <x:c r="J695" s="44" t="n">
        <x:v>2425</x:v>
      </x:c>
      <x:c r="K695" s="44" t="n">
        <x:v>175.13971792631506</x:v>
      </x:c>
      <x:c r="L695" s="44" t="n">
        <x:v>50.65231944536091</x:v>
      </x:c>
    </x:row>
    <x:row r="696" ht="15" hidden="0" customHeight="1">
      <x:c r="A696" s="27" t="str">
        <x:v>48353</x:v>
      </x:c>
      <x:c r="B696" s="27" t="str">
        <x:v>SCA-15</x:v>
      </x:c>
      <x:c r="C696" s="43" t="n">
        <x:v>14117</x:v>
      </x:c>
      <x:c r="D696" s="43" t="n">
        <x:v>160.68584977529895</x:v>
      </x:c>
      <x:c r="E696" s="43" t="n">
        <x:v>2667.338232284292</x:v>
      </x:c>
      <x:c r="F696" s="43" t="n">
        <x:v>121.77027469204751</x:v>
      </x:c>
      <x:c r="G696" s="43" t="n">
        <x:v>569.456157566412</x:v>
      </x:c>
      <x:c r="H696" s="43" t="n">
        <x:v>10597.749485681948</x:v>
      </x:c>
      <x:c r="I696" s="43" t="n">
        <x:v>14117</x:v>
      </x:c>
      <x:c r="J696" s="43" t="n">
        <x:v>2808</x:v>
      </x:c>
      <x:c r="K696" s="43" t="n">
        <x:v>171.31703145550094</x:v>
      </x:c>
      <x:c r="L696" s="43" t="n">
        <x:v>49.54675676345344</x:v>
      </x:c>
    </x:row>
    <x:row r="697" ht="15" hidden="0" customHeight="1">
      <x:c r="A697" s="29" t="str">
        <x:v>40023</x:v>
      </x:c>
      <x:c r="B697" s="29" t="str">
        <x:v>SCA-15</x:v>
      </x:c>
      <x:c r="C697" s="44" t="n">
        <x:v>14059</x:v>
      </x:c>
      <x:c r="D697" s="44" t="n">
        <x:v>232.1992040582362</x:v>
      </x:c>
      <x:c r="E697" s="44" t="n">
        <x:v>3581.2677323893804</x:v>
      </x:c>
      <x:c r="F697" s="44" t="n">
        <x:v>142.47328846452666</x:v>
      </x:c>
      <x:c r="G697" s="44" t="n">
        <x:v>589.5605309734513</x:v>
      </x:c>
      <x:c r="H697" s="44" t="n">
        <x:v>9513.499244114406</x:v>
      </x:c>
      <x:c r="I697" s="44" t="n">
        <x:v>14059</x:v>
      </x:c>
      <x:c r="J697" s="44" t="n">
        <x:v>3748</x:v>
      </x:c>
      <x:c r="K697" s="44" t="n">
        <x:v>225.45300367320533</x:v>
      </x:c>
      <x:c r="L697" s="44" t="n">
        <x:v>82.97971520867868</x:v>
      </x:c>
    </x:row>
    <x:row r="698" ht="15" hidden="0" customHeight="1">
      <x:c r="A698" s="27" t="str">
        <x:v>40099</x:v>
      </x:c>
      <x:c r="B698" s="27" t="str">
        <x:v>SCA-15</x:v>
      </x:c>
      <x:c r="C698" s="43" t="n">
        <x:v>13805</x:v>
      </x:c>
      <x:c r="D698" s="43" t="n">
        <x:v>199.8505905931157</x:v>
      </x:c>
      <x:c r="E698" s="43" t="n">
        <x:v>2840.8811176205495</x:v>
      </x:c>
      <x:c r="F698" s="43" t="n">
        <x:v>139.89926362136643</x:v>
      </x:c>
      <x:c r="G698" s="43" t="n">
        <x:v>261.61784587652096</x:v>
      </x:c>
      <x:c r="H698" s="43" t="n">
        <x:v>10362.751182288448</x:v>
      </x:c>
      <x:c r="I698" s="43" t="n">
        <x:v>13805</x:v>
      </x:c>
      <x:c r="J698" s="43" t="n">
        <x:v>2854</x:v>
      </x:c>
      <x:c r="K698" s="43" t="n">
        <x:v>221.37980764695922</x:v>
      </x:c>
      <x:c r="L698" s="43" t="n">
        <x:v>81.48054402559279</x:v>
      </x:c>
    </x:row>
    <x:row r="699" ht="15" hidden="0" customHeight="1">
      <x:c r="A699" s="29" t="str">
        <x:v>48379</x:v>
      </x:c>
      <x:c r="B699" s="29" t="str">
        <x:v>SCA-15</x:v>
      </x:c>
      <x:c r="C699" s="44" t="n">
        <x:v>13542</x:v>
      </x:c>
      <x:c r="D699" s="44" t="n">
        <x:v>149.3440493164862</x:v>
      </x:c>
      <x:c r="E699" s="44" t="n">
        <x:v>2443.569195908733</x:v>
      </x:c>
      <x:c r="F699" s="44" t="n">
        <x:v>116.81044555356715</x:v>
      </x:c>
      <x:c r="G699" s="44" t="n">
        <x:v>108.00102281667978</x:v>
      </x:c>
      <x:c r="H699" s="44" t="n">
        <x:v>10724.275286404534</x:v>
      </x:c>
      <x:c r="I699" s="44" t="n">
        <x:v>13542</x:v>
      </x:c>
      <x:c r="J699" s="44" t="n">
        <x:v>2389</x:v>
      </x:c>
      <x:c r="K699" s="44" t="n">
        <x:v>164.3391117071895</x:v>
      </x:c>
      <x:c r="L699" s="44" t="n">
        <x:v>47.52866615362233</x:v>
      </x:c>
    </x:row>
    <x:row r="700" ht="15" hidden="0" customHeight="1">
      <x:c r="A700" s="27" t="str">
        <x:v>40063</x:v>
      </x:c>
      <x:c r="B700" s="27" t="str">
        <x:v>SCA-15</x:v>
      </x:c>
      <x:c r="C700" s="43" t="n">
        <x:v>13455</x:v>
      </x:c>
      <x:c r="D700" s="43" t="n">
        <x:v>192.82151348847557</x:v>
      </x:c>
      <x:c r="E700" s="43" t="n">
        <x:v>2721.762156628562</x:v>
      </x:c>
      <x:c r="F700" s="43" t="n">
        <x:v>136.35237899496454</x:v>
      </x:c>
      <x:c r="G700" s="43" t="n">
        <x:v>181.5355741341068</x:v>
      </x:c>
      <x:c r="H700" s="43" t="n">
        <x:v>10222.528376753893</x:v>
      </x:c>
      <x:c r="I700" s="43" t="n">
        <x:v>13455</x:v>
      </x:c>
      <x:c r="J700" s="43" t="n">
        <x:v>2470</x:v>
      </x:c>
      <x:c r="K700" s="43" t="n">
        <x:v>215.76713595725002</x:v>
      </x:c>
      <x:c r="L700" s="43" t="n">
        <x:v>79.41475696228548</x:v>
      </x:c>
    </x:row>
    <x:row r="701" ht="15" hidden="0" customHeight="1">
      <x:c r="A701" s="29" t="str">
        <x:v>48063</x:v>
      </x:c>
      <x:c r="B701" s="29" t="str">
        <x:v>SCA-15</x:v>
      </x:c>
      <x:c r="C701" s="44" t="n">
        <x:v>13380</x:v>
      </x:c>
      <x:c r="D701" s="44" t="n">
        <x:v>144.7317575957814</x:v>
      </x:c>
      <x:c r="E701" s="44" t="n">
        <x:v>2346.5199968570755</x:v>
      </x:c>
      <x:c r="F701" s="44" t="n">
        <x:v>115.4130676049866</x:v>
      </x:c>
      <x:c r="G701" s="44" t="n">
        <x:v>360.8456824074802</x:v>
      </x:c>
      <x:c r="H701" s="44" t="n">
        <x:v>10412.489495534677</x:v>
      </x:c>
      <x:c r="I701" s="44" t="n">
        <x:v>13380</x:v>
      </x:c>
      <x:c r="J701" s="44" t="n">
        <x:v>2325</x:v>
      </x:c>
      <x:c r="K701" s="44" t="n">
        <x:v>162.3731586650565</x:v>
      </x:c>
      <x:c r="L701" s="44" t="n">
        <x:v>46.960091060069914</x:v>
      </x:c>
    </x:row>
    <x:row r="702" ht="15" hidden="0" customHeight="1">
      <x:c r="A702" s="27" t="str">
        <x:v>22027</x:v>
      </x:c>
      <x:c r="B702" s="27" t="str">
        <x:v>SCA-15</x:v>
      </x:c>
      <x:c r="C702" s="43" t="n">
        <x:v>13354</x:v>
      </x:c>
      <x:c r="D702" s="43" t="n">
        <x:v>157.03134902043217</x:v>
      </x:c>
      <x:c r="E702" s="43" t="n">
        <x:v>2089.747750041883</x:v>
      </x:c>
      <x:c r="F702" s="43" t="n">
        <x:v>154.76525061682005</x:v>
      </x:c>
      <x:c r="G702" s="43" t="n">
        <x:v>988.9050092142738</x:v>
      </x:c>
      <x:c r="H702" s="43" t="n">
        <x:v>9963.55064110659</x:v>
      </x:c>
      <x:c r="I702" s="43" t="n">
        <x:v>13354</x:v>
      </x:c>
      <x:c r="J702" s="43" t="n">
        <x:v>1946</x:v>
      </x:c>
      <x:c r="K702" s="43" t="n">
        <x:v>224.72377671884044</x:v>
      </x:c>
      <x:c r="L702" s="43" t="n">
        <x:v>69.95852610202039</x:v>
      </x:c>
    </x:row>
    <x:row r="703" ht="15" hidden="0" customHeight="1">
      <x:c r="A703" s="29" t="str">
        <x:v>48487</x:v>
      </x:c>
      <x:c r="B703" s="29" t="str">
        <x:v>SCA-15</x:v>
      </x:c>
      <x:c r="C703" s="44" t="n">
        <x:v>12481</x:v>
      </x:c>
      <x:c r="D703" s="44" t="n">
        <x:v>158.13617144764422</x:v>
      </x:c>
      <x:c r="E703" s="44" t="n">
        <x:v>2743.9517084282456</x:v>
      </x:c>
      <x:c r="F703" s="44" t="n">
        <x:v>107.65848256934511</x:v>
      </x:c>
      <x:c r="G703" s="44" t="n">
        <x:v>244.01810120403513</x:v>
      </x:c>
      <x:c r="H703" s="44" t="n">
        <x:v>9227.23553635073</x:v>
      </x:c>
      <x:c r="I703" s="44" t="n">
        <x:v>12481</x:v>
      </x:c>
      <x:c r="J703" s="44" t="n">
        <x:v>2815</x:v>
      </x:c>
      <x:c r="K703" s="44" t="n">
        <x:v>151.4633328324791</x:v>
      </x:c>
      <x:c r="L703" s="44" t="n">
        <x:v>43.80485026313397</x:v>
      </x:c>
    </x:row>
    <x:row r="704" ht="15" hidden="0" customHeight="1">
      <x:c r="A704" s="27" t="str">
        <x:v>05061</x:v>
      </x:c>
      <x:c r="B704" s="27" t="str">
        <x:v>SCA-15</x:v>
      </x:c>
      <x:c r="C704" s="43" t="n">
        <x:v>12306</x:v>
      </x:c>
      <x:c r="D704" s="43" t="n">
        <x:v>173.17280491921233</x:v>
      </x:c>
      <x:c r="E704" s="43" t="n">
        <x:v>2394.964414327202</x:v>
      </x:c>
      <x:c r="F704" s="43" t="n">
        <x:v>117.73745970916814</x:v>
      </x:c>
      <x:c r="G704" s="43" t="n">
        <x:v>336.44933849628916</x:v>
      </x:c>
      <x:c r="H704" s="43" t="n">
        <x:v>9283.675982548128</x:v>
      </x:c>
      <x:c r="I704" s="43" t="n">
        <x:v>12306</x:v>
      </x:c>
      <x:c r="J704" s="43" t="n">
        <x:v>2513</x:v>
      </x:c>
      <x:c r="K704" s="43" t="n">
        <x:v>191.12008069808036</x:v>
      </x:c>
      <x:c r="L704" s="43" t="n">
        <x:v>73.38262098891222</x:v>
      </x:c>
    </x:row>
    <x:row r="705" ht="15" hidden="0" customHeight="1">
      <x:c r="A705" s="29" t="str">
        <x:v>22013</x:v>
      </x:c>
      <x:c r="B705" s="29" t="str">
        <x:v>SCA-15</x:v>
      </x:c>
      <x:c r="C705" s="44" t="n">
        <x:v>12269</x:v>
      </x:c>
      <x:c r="D705" s="44" t="n">
        <x:v>150.63736611437028</x:v>
      </x:c>
      <x:c r="E705" s="44" t="n">
        <x:v>2072.7097145645275</x:v>
      </x:c>
      <x:c r="F705" s="44" t="n">
        <x:v>142.19071887208065</x:v>
      </x:c>
      <x:c r="G705" s="44" t="n">
        <x:v>590.8238594779214</x:v>
      </x:c>
      <x:c r="H705" s="44" t="n">
        <x:v>9312.6383409711</x:v>
      </x:c>
      <x:c r="I705" s="44" t="n">
        <x:v>12269</x:v>
      </x:c>
      <x:c r="J705" s="44" t="n">
        <x:v>2164</x:v>
      </x:c>
      <x:c r="K705" s="44" t="n">
        <x:v>206.46518021292894</x:v>
      </x:c>
      <x:c r="L705" s="44" t="n">
        <x:v>64.27446134084829</x:v>
      </x:c>
    </x:row>
    <x:row r="706" ht="15" hidden="0" customHeight="1">
      <x:c r="A706" s="27" t="str">
        <x:v>48343</x:v>
      </x:c>
      <x:c r="B706" s="27" t="str">
        <x:v>SCA-15</x:v>
      </x:c>
      <x:c r="C706" s="43" t="n">
        <x:v>12133</x:v>
      </x:c>
      <x:c r="D706" s="43" t="n">
        <x:v>148.69649348468903</x:v>
      </x:c>
      <x:c r="E706" s="43" t="n">
        <x:v>2546.7126421404682</x:v>
      </x:c>
      <x:c r="F706" s="43" t="n">
        <x:v>104.65670771683877</x:v>
      </x:c>
      <x:c r="G706" s="43" t="n">
        <x:v>368.4086538461539</x:v>
      </x:c>
      <x:c r="H706" s="43" t="n">
        <x:v>8964.52550281185</x:v>
      </x:c>
      <x:c r="I706" s="43" t="n">
        <x:v>12133</x:v>
      </x:c>
      <x:c r="J706" s="43" t="n">
        <x:v>2615</x:v>
      </x:c>
      <x:c r="K706" s="43" t="n">
        <x:v>147.24017444567494</x:v>
      </x:c>
      <x:c r="L706" s="43" t="n">
        <x:v>42.58346672883619</x:v>
      </x:c>
    </x:row>
    <x:row r="707" ht="15" hidden="0" customHeight="1">
      <x:c r="A707" s="29" t="str">
        <x:v>48387</x:v>
      </x:c>
      <x:c r="B707" s="29" t="str">
        <x:v>SCA-15</x:v>
      </x:c>
      <x:c r="C707" s="44" t="n">
        <x:v>11816</x:v>
      </x:c>
      <x:c r="D707" s="44" t="n">
        <x:v>131.63147263073077</x:v>
      </x:c>
      <x:c r="E707" s="44" t="n">
        <x:v>2163.854112705635</x:v>
      </x:c>
      <x:c r="F707" s="44" t="n">
        <x:v>101.92233234832001</x:v>
      </x:c>
      <x:c r="G707" s="44" t="n">
        <x:v>167.1081554077704</x:v>
      </x:c>
      <x:c r="H707" s="44" t="n">
        <x:v>9251.483926907544</x:v>
      </x:c>
      <x:c r="I707" s="44" t="n">
        <x:v>11816</x:v>
      </x:c>
      <x:c r="J707" s="44" t="n">
        <x:v>2180</x:v>
      </x:c>
      <x:c r="K707" s="44" t="n">
        <x:v>143.39321694964931</x:v>
      </x:c>
      <x:c r="L707" s="44" t="n">
        <x:v>41.4708846013293</x:v>
      </x:c>
    </x:row>
    <x:row r="708" ht="15" hidden="0" customHeight="1">
      <x:c r="A708" s="27" t="str">
        <x:v>40061</x:v>
      </x:c>
      <x:c r="B708" s="27" t="str">
        <x:v>SCA-15</x:v>
      </x:c>
      <x:c r="C708" s="43" t="n">
        <x:v>11787</x:v>
      </x:c>
      <x:c r="D708" s="43" t="n">
        <x:v>164.190544743395</x:v>
      </x:c>
      <x:c r="E708" s="43" t="n">
        <x:v>2270.897728798967</x:v>
      </x:c>
      <x:c r="F708" s="43" t="n">
        <x:v>119.4489402611406</x:v>
      </x:c>
      <x:c r="G708" s="43" t="n">
        <x:v>304.1379250968575</x:v>
      </x:c>
      <x:c r="H708" s="43" t="n">
        <x:v>8928.324861099642</x:v>
      </x:c>
      <x:c r="I708" s="43" t="n">
        <x:v>11787</x:v>
      </x:c>
      <x:c r="J708" s="43" t="n">
        <x:v>2331</x:v>
      </x:c>
      <x:c r="K708" s="43" t="n">
        <x:v>189.01874630457866</x:v>
      </x:c>
      <x:c r="L708" s="43" t="n">
        <x:v>69.56980604343805</x:v>
      </x:c>
    </x:row>
    <x:row r="709" ht="15" hidden="0" customHeight="1">
      <x:c r="A709" s="29" t="str">
        <x:v>05081</x:v>
      </x:c>
      <x:c r="B709" s="29" t="str">
        <x:v>SCA-15</x:v>
      </x:c>
      <x:c r="C709" s="44" t="n">
        <x:v>11763</x:v>
      </x:c>
      <x:c r="D709" s="44" t="n">
        <x:v>152.94518142965896</x:v>
      </x:c>
      <x:c r="E709" s="44" t="n">
        <x:v>1987.213324194654</x:v>
      </x:c>
      <x:c r="F709" s="44" t="n">
        <x:v>112.54231582634041</x:v>
      </x:c>
      <x:c r="G709" s="44" t="n">
        <x:v>355.15404386566144</x:v>
      </x:c>
      <x:c r="H709" s="44" t="n">
        <x:v>9155.145134683684</x:v>
      </x:c>
      <x:c r="I709" s="44" t="n">
        <x:v>11763</x:v>
      </x:c>
      <x:c r="J709" s="44" t="n">
        <x:v>2054</x:v>
      </x:c>
      <x:c r="K709" s="44" t="n">
        <x:v>182.68694208122213</x:v>
      </x:c>
      <x:c r="L709" s="44" t="n">
        <x:v>70.14462625488171</x:v>
      </x:c>
    </x:row>
    <x:row r="710" ht="15" hidden="0" customHeight="1">
      <x:c r="A710" s="27" t="str">
        <x:v>48159</x:v>
      </x:c>
      <x:c r="B710" s="27" t="str">
        <x:v>SCA-15</x:v>
      </x:c>
      <x:c r="C710" s="43" t="n">
        <x:v>10994</x:v>
      </x:c>
      <x:c r="D710" s="43" t="n">
        <x:v>102.09471889369655</x:v>
      </x:c>
      <x:c r="E710" s="43" t="n">
        <x:v>1524.211834409419</x:v>
      </x:c>
      <x:c r="F710" s="43" t="n">
        <x:v>94.83193312774456</x:v>
      </x:c>
      <x:c r="G710" s="43" t="n">
        <x:v>88.98063045955185</x:v>
      </x:c>
      <x:c r="H710" s="43" t="n">
        <x:v>9183.880883109588</x:v>
      </x:c>
      <x:c r="I710" s="43" t="n">
        <x:v>10994</x:v>
      </x:c>
      <x:c r="J710" s="43" t="n">
        <x:v>1521</x:v>
      </x:c>
      <x:c r="K710" s="43" t="n">
        <x:v>133.41782558771533</x:v>
      </x:c>
      <x:c r="L710" s="43" t="n">
        <x:v>38.58589245997075</x:v>
      </x:c>
    </x:row>
    <x:row r="711" ht="15" hidden="0" customHeight="1">
      <x:c r="A711" s="29" t="str">
        <x:v>40127</x:v>
      </x:c>
      <x:c r="B711" s="29" t="str">
        <x:v>SCA-15</x:v>
      </x:c>
      <x:c r="C711" s="44" t="n">
        <x:v>10807</x:v>
      </x:c>
      <x:c r="D711" s="44" t="n">
        <x:v>186.65180412167382</x:v>
      </x:c>
      <x:c r="E711" s="44" t="n">
        <x:v>2948.788844531909</x:v>
      </x:c>
      <x:c r="F711" s="44" t="n">
        <x:v>109.51766330721529</x:v>
      </x:c>
      <x:c r="G711" s="44" t="n">
        <x:v>322.45515884172056</x:v>
      </x:c>
      <x:c r="H711" s="44" t="n">
        <x:v>7239.586529197482</x:v>
      </x:c>
      <x:c r="I711" s="44" t="n">
        <x:v>10807</x:v>
      </x:c>
      <x:c r="J711" s="44" t="n">
        <x:v>3033</x:v>
      </x:c>
      <x:c r="K711" s="44" t="n">
        <x:v>173.30326557339285</x:v>
      </x:c>
      <x:c r="L711" s="44" t="n">
        <x:v>63.78560226617757</x:v>
      </x:c>
    </x:row>
    <x:row r="712" ht="15" hidden="0" customHeight="1">
      <x:c r="A712" s="27" t="str">
        <x:v>40085</x:v>
      </x:c>
      <x:c r="B712" s="27" t="str">
        <x:v>SCA-15</x:v>
      </x:c>
      <x:c r="C712" s="43" t="n">
        <x:v>10780</x:v>
      </x:c>
      <x:c r="D712" s="43" t="n">
        <x:v>152.18949000134498</x:v>
      </x:c>
      <x:c r="E712" s="43" t="n">
        <x:v>2125.5179628355127</x:v>
      </x:c>
      <x:c r="F712" s="43" t="n">
        <x:v>109.24404649317856</x:v>
      </x:c>
      <x:c r="G712" s="43" t="n">
        <x:v>146.20863238619606</x:v>
      </x:c>
      <x:c r="H712" s="43" t="n">
        <x:v>8246.839868283767</x:v>
      </x:c>
      <x:c r="I712" s="43" t="n">
        <x:v>10780</x:v>
      </x:c>
      <x:c r="J712" s="43" t="n">
        <x:v>2089</x:v>
      </x:c>
      <x:c r="K712" s="43" t="n">
        <x:v>172.87028804304384</x:v>
      </x:c>
      <x:c r="L712" s="43" t="n">
        <x:v>63.62624154986529</x:v>
      </x:c>
    </x:row>
    <x:row r="713" ht="15" hidden="0" customHeight="1">
      <x:c r="A713" s="29" t="str">
        <x:v>48077</x:v>
      </x:c>
      <x:c r="B713" s="29" t="str">
        <x:v>SCA-15</x:v>
      </x:c>
      <x:c r="C713" s="44" t="n">
        <x:v>10764</x:v>
      </x:c>
      <x:c r="D713" s="44" t="n">
        <x:v>124.89215102572687</x:v>
      </x:c>
      <x:c r="E713" s="44" t="n">
        <x:v>2090.723875432526</x:v>
      </x:c>
      <x:c r="F713" s="44" t="n">
        <x:v>92.84800147235242</x:v>
      </x:c>
      <x:c r="G713" s="44" t="n">
        <x:v>92.53018069973088</x:v>
      </x:c>
      <x:c r="H713" s="44" t="n">
        <x:v>8363.005791369664</x:v>
      </x:c>
      <x:c r="I713" s="44" t="n">
        <x:v>10764</x:v>
      </x:c>
      <x:c r="J713" s="44" t="n">
        <x:v>2105</x:v>
      </x:c>
      <x:c r="K713" s="44" t="n">
        <x:v>130.62665768839074</x:v>
      </x:c>
      <x:c r="L713" s="44" t="n">
        <x:v>37.77865621603831</x:v>
      </x:c>
    </x:row>
    <x:row r="714" ht="15" hidden="0" customHeight="1">
      <x:c r="A714" s="27" t="str">
        <x:v>40069</x:v>
      </x:c>
      <x:c r="B714" s="27" t="str">
        <x:v>SCA-15</x:v>
      </x:c>
      <x:c r="C714" s="43" t="n">
        <x:v>10448</x:v>
      </x:c>
      <x:c r="D714" s="43" t="n">
        <x:v>163.30523145402321</x:v>
      </x:c>
      <x:c r="E714" s="43" t="n">
        <x:v>2439.3248757581687</x:v>
      </x:c>
      <x:c r="F714" s="43" t="n">
        <x:v>105.87957307613448</x:v>
      </x:c>
      <x:c r="G714" s="43" t="n">
        <x:v>358.34435531207197</x:v>
      </x:c>
      <x:c r="H714" s="43" t="n">
        <x:v>7381.145964399602</x:v>
      </x:c>
      <x:c r="I714" s="43" t="n">
        <x:v>10448</x:v>
      </x:c>
      <x:c r="J714" s="43" t="n">
        <x:v>2486</x:v>
      </x:c>
      <x:c r="K714" s="43" t="n">
        <x:v>167.54626804023397</x:v>
      </x:c>
      <x:c r="L714" s="43" t="n">
        <x:v>61.6666949640995</x:v>
      </x:c>
    </x:row>
    <x:row r="715" ht="15" hidden="0" customHeight="1">
      <x:c r="A715" s="29" t="str">
        <x:v>48425</x:v>
      </x:c>
      <x:c r="B715" s="29" t="str">
        <x:v>SCA-15</x:v>
      </x:c>
      <x:c r="C715" s="44" t="n">
        <x:v>10261</x:v>
      </x:c>
      <x:c r="D715" s="44" t="n">
        <x:v>87.17829397937052</x:v>
      </x:c>
      <x:c r="E715" s="44" t="n">
        <x:v>1227.9606799580272</x:v>
      </x:c>
      <x:c r="F715" s="44" t="n">
        <x:v>88.50922919990788</x:v>
      </x:c>
      <x:c r="G715" s="44" t="n">
        <x:v>143.55592864637987</x:v>
      </x:c>
      <x:c r="H715" s="44" t="n">
        <x:v>8713.795868216313</x:v>
      </x:c>
      <x:c r="I715" s="44" t="n">
        <x:v>10261</x:v>
      </x:c>
      <x:c r="J715" s="44" t="n">
        <x:v>1188</x:v>
      </x:c>
      <x:c r="K715" s="44" t="n">
        <x:v>124.52249484769393</x:v>
      </x:c>
      <x:c r="L715" s="44" t="n">
        <x:v>36.01326564778605</x:v>
      </x:c>
    </x:row>
    <x:row r="716" ht="15" hidden="0" customHeight="1">
      <x:c r="A716" s="27" t="str">
        <x:v>05127</x:v>
      </x:c>
      <x:c r="B716" s="27" t="str">
        <x:v>SCA-15</x:v>
      </x:c>
      <x:c r="C716" s="43" t="n">
        <x:v>9965</x:v>
      </x:c>
      <x:c r="D716" s="43" t="n">
        <x:v>137.80709945498108</x:v>
      </x:c>
      <x:c r="E716" s="43" t="n">
        <x:v>1881.2215460526318</x:v>
      </x:c>
      <x:c r="F716" s="43" t="n">
        <x:v>95.33997935981314</x:v>
      </x:c>
      <x:c r="G716" s="43" t="n">
        <x:v>388.0186060855263</x:v>
      </x:c>
      <x:c r="H716" s="43" t="n">
        <x:v>7462.612769047048</x:v>
      </x:c>
      <x:c r="I716" s="43" t="n">
        <x:v>9965</x:v>
      </x:c>
      <x:c r="J716" s="43" t="n">
        <x:v>1913</x:v>
      </x:c>
      <x:c r="K716" s="43" t="n">
        <x:v>154.76284772926792</x:v>
      </x:c>
      <x:c r="L716" s="43" t="n">
        <x:v>59.422868369454754</x:v>
      </x:c>
    </x:row>
    <x:row r="717" ht="15" hidden="0" customHeight="1">
      <x:c r="A717" s="29" t="str">
        <x:v>05109</x:v>
      </x:c>
      <x:c r="B717" s="29" t="str">
        <x:v>SCA-15</x:v>
      </x:c>
      <x:c r="C717" s="44" t="n">
        <x:v>9964</x:v>
      </x:c>
      <x:c r="D717" s="44" t="n">
        <x:v>136.50086151981253</x:v>
      </x:c>
      <x:c r="E717" s="44" t="n">
        <x:v>1850.0149513979359</x:v>
      </x:c>
      <x:c r="F717" s="44" t="n">
        <x:v>95.33041187568273</x:v>
      </x:c>
      <x:c r="G717" s="44" t="n">
        <x:v>131.8780939973945</x:v>
      </x:c>
      <x:c r="H717" s="44" t="n">
        <x:v>7750.275681209174</x:v>
      </x:c>
      <x:c r="I717" s="44" t="n">
        <x:v>9964</x:v>
      </x:c>
      <x:c r="J717" s="44" t="n">
        <x:v>1930</x:v>
      </x:c>
      <x:c r="K717" s="44" t="n">
        <x:v>154.74731708724792</x:v>
      </x:c>
      <x:c r="L717" s="44" t="n">
        <x:v>59.4169052115652</x:v>
      </x:c>
    </x:row>
    <x:row r="718" ht="15" hidden="0" customHeight="1">
      <x:c r="A718" s="27" t="str">
        <x:v>48315</x:v>
      </x:c>
      <x:c r="B718" s="27" t="str">
        <x:v>SCA-15</x:v>
      </x:c>
      <x:c r="C718" s="43" t="n">
        <x:v>9896</x:v>
      </x:c>
      <x:c r="D718" s="43" t="n">
        <x:v>121.7824600185767</x:v>
      </x:c>
      <x:c r="E718" s="43" t="n">
        <x:v>2089.2058366244023</x:v>
      </x:c>
      <x:c r="F718" s="43" t="n">
        <x:v>85.36081592069863</x:v>
      </x:c>
      <x:c r="G718" s="43" t="n">
        <x:v>379.12242776969447</x:v>
      </x:c>
      <x:c r="H718" s="43" t="n">
        <x:v>7220.528459666628</x:v>
      </x:c>
      <x:c r="I718" s="43" t="n">
        <x:v>9896</x:v>
      </x:c>
      <x:c r="J718" s="43" t="n">
        <x:v>2116</x:v>
      </x:c>
      <x:c r="K718" s="43" t="n">
        <x:v>120.09303274659187</x:v>
      </x:c>
      <x:c r="L718" s="43" t="n">
        <x:v>34.73221682589326</x:v>
      </x:c>
    </x:row>
    <x:row r="719" ht="15" hidden="0" customHeight="1">
      <x:c r="A719" s="29" t="str">
        <x:v>40077</x:v>
      </x:c>
      <x:c r="B719" s="29" t="str">
        <x:v>SCA-15</x:v>
      </x:c>
      <x:c r="C719" s="44" t="n">
        <x:v>9645</x:v>
      </x:c>
      <x:c r="D719" s="44" t="n">
        <x:v>147.5627176451653</x:v>
      </x:c>
      <x:c r="E719" s="44" t="n">
        <x:v>2175.252682300032</x:v>
      </x:c>
      <x:c r="F719" s="44" t="n">
        <x:v>97.74200634756095</x:v>
      </x:c>
      <x:c r="G719" s="44" t="n">
        <x:v>173.28862833279797</x:v>
      </x:c>
      <x:c r="H719" s="44" t="n">
        <x:v>7051.153965374443</x:v>
      </x:c>
      <x:c r="I719" s="44" t="n">
        <x:v>9645</x:v>
      </x:c>
      <x:c r="J719" s="44" t="n">
        <x:v>2194</x:v>
      </x:c>
      <x:c r="K719" s="44" t="n">
        <x:v>154.66919556355825</x:v>
      </x:c>
      <x:c r="L719" s="44" t="n">
        <x:v>56.92718921599729</x:v>
      </x:c>
    </x:row>
    <x:row r="720" ht="15" hidden="0" customHeight="1">
      <x:c r="A720" s="27" t="str">
        <x:v>48237</x:v>
      </x:c>
      <x:c r="B720" s="27" t="str">
        <x:v>SCA-15</x:v>
      </x:c>
      <x:c r="C720" s="43" t="n">
        <x:v>9563</x:v>
      </x:c>
      <x:c r="D720" s="43" t="n">
        <x:v>75.60833693528208</x:v>
      </x:c>
      <x:c r="E720" s="43" t="n">
        <x:v>1009.0765872405842</x:v>
      </x:c>
      <x:c r="F720" s="43" t="n">
        <x:v>82.48842791528301</x:v>
      </x:c>
      <x:c r="G720" s="43" t="n">
        <x:v>518.9192928516526</x:v>
      </x:c>
      <x:c r="H720" s="43" t="n">
        <x:v>7876.907355057198</x:v>
      </x:c>
      <x:c r="I720" s="43" t="n">
        <x:v>9563</x:v>
      </x:c>
      <x:c r="J720" s="43" t="n">
        <x:v>858</x:v>
      </x:c>
      <x:c r="K720" s="43" t="n">
        <x:v>116.0519070488741</x:v>
      </x:c>
      <x:c r="L720" s="43" t="n">
        <x:v>33.56347913359107</x:v>
      </x:c>
    </x:row>
    <x:row r="721" ht="15" hidden="0" customHeight="1">
      <x:c r="A721" s="29" t="str">
        <x:v>48429</x:v>
      </x:c>
      <x:c r="B721" s="29" t="str">
        <x:v>SCA-15</x:v>
      </x:c>
      <x:c r="C721" s="44" t="n">
        <x:v>9380</x:v>
      </x:c>
      <x:c r="D721" s="44" t="n">
        <x:v>103.6005836401302</x:v>
      </x:c>
      <x:c r="E721" s="44" t="n">
        <x:v>1696.3052106932487</x:v>
      </x:c>
      <x:c r="F721" s="44" t="n">
        <x:v>80.90990838077535</x:v>
      </x:c>
      <x:c r="G721" s="44" t="n">
        <x:v>389.9844245582238</x:v>
      </x:c>
      <x:c r="H721" s="44" t="n">
        <x:v>7109.199872727621</x:v>
      </x:c>
      <x:c r="I721" s="44" t="n">
        <x:v>9380</x:v>
      </x:c>
      <x:c r="J721" s="44" t="n">
        <x:v>1663</x:v>
      </x:c>
      <x:c r="K721" s="44" t="n">
        <x:v>113.83110824202018</x:v>
      </x:c>
      <x:c r="L721" s="44" t="n">
        <x:v>32.92119986124483</x:v>
      </x:c>
    </x:row>
    <x:row r="722" ht="15" hidden="0" customHeight="1">
      <x:c r="A722" s="27" t="str">
        <x:v>48009</x:v>
      </x:c>
      <x:c r="B722" s="27" t="str">
        <x:v>SCA-15</x:v>
      </x:c>
      <x:c r="C722" s="43" t="n">
        <x:v>9129</x:v>
      </x:c>
      <x:c r="D722" s="43" t="n">
        <x:v>99.0892947754121</x:v>
      </x:c>
      <x:c r="E722" s="43" t="n">
        <x:v>1609.1768480854448</x:v>
      </x:c>
      <x:c r="F722" s="43" t="n">
        <x:v>78.74483513945609</x:v>
      </x:c>
      <x:c r="G722" s="43" t="n">
        <x:v>81.23025792523576</x:v>
      </x:c>
      <x:c r="H722" s="43" t="n">
        <x:v>7260.7587640744505</x:v>
      </x:c>
      <x:c r="I722" s="43" t="n">
        <x:v>9129</x:v>
      </x:c>
      <x:c r="J722" s="43" t="n">
        <x:v>1616</x:v>
      </x:c>
      <x:c r="K722" s="43" t="n">
        <x:v>110.78509457797465</x:v>
      </x:c>
      <x:c r="L722" s="43" t="n">
        <x:v>32.040259438518554</x:v>
      </x:c>
    </x:row>
    <x:row r="723" ht="15" hidden="0" customHeight="1">
      <x:c r="A723" s="29" t="str">
        <x:v>48335</x:v>
      </x:c>
      <x:c r="B723" s="29" t="str">
        <x:v>SCA-15</x:v>
      </x:c>
      <x:c r="C723" s="44" t="n">
        <x:v>8947</x:v>
      </x:c>
      <x:c r="D723" s="44" t="n">
        <x:v>89.1074095950859</x:v>
      </x:c>
      <x:c r="E723" s="44" t="n">
        <x:v>1384.942072946733</x:v>
      </x:c>
      <x:c r="F723" s="44" t="n">
        <x:v>77.17494139475448</x:v>
      </x:c>
      <x:c r="G723" s="44" t="n">
        <x:v>154.7505247966413</x:v>
      </x:c>
      <x:c r="H723" s="44" t="n">
        <x:v>7241.025051266785</x:v>
      </x:c>
      <x:c r="I723" s="44" t="n">
        <x:v>8947</x:v>
      </x:c>
      <x:c r="J723" s="44" t="n">
        <x:v>1229</x:v>
      </x:c>
      <x:c r="K723" s="44" t="n">
        <x:v>108.57643128372649</x:v>
      </x:c>
      <x:c r="L723" s="44" t="n">
        <x:v>31.401489888972012</x:v>
      </x:c>
    </x:row>
    <x:row r="724" ht="15" hidden="0" customHeight="1">
      <x:c r="A724" s="27" t="str">
        <x:v>48193</x:v>
      </x:c>
      <x:c r="B724" s="27" t="str">
        <x:v>SCA-15</x:v>
      </x:c>
      <x:c r="C724" s="43" t="n">
        <x:v>8680</x:v>
      </x:c>
      <x:c r="D724" s="43" t="n">
        <x:v>102.57581342908618</x:v>
      </x:c>
      <x:c r="E724" s="43" t="n">
        <x:v>1730.6740686632577</x:v>
      </x:c>
      <x:c r="F724" s="43" t="n">
        <x:v>74.87185551653839</x:v>
      </x:c>
      <x:c r="G724" s="43" t="n">
        <x:v>145.38811784757732</x:v>
      </x:c>
      <x:c r="H724" s="43" t="n">
        <x:v>6626.490144543541</x:v>
      </x:c>
      <x:c r="I724" s="43" t="n">
        <x:v>8680</x:v>
      </x:c>
      <x:c r="J724" s="43" t="n">
        <x:v>1706</x:v>
      </x:c>
      <x:c r="K724" s="43" t="n">
        <x:v>105.33624941798882</x:v>
      </x:c>
      <x:c r="L724" s="43" t="n">
        <x:v>30.464393901450435</x:v>
      </x:c>
    </x:row>
    <x:row r="725" ht="15" hidden="0" customHeight="1">
      <x:c r="A725" s="29" t="str">
        <x:v>40075</x:v>
      </x:c>
      <x:c r="B725" s="29" t="str">
        <x:v>SCA-15</x:v>
      </x:c>
      <x:c r="C725" s="44" t="n">
        <x:v>8181</x:v>
      </x:c>
      <x:c r="D725" s="44" t="n">
        <x:v>121.91828535383434</x:v>
      </x:c>
      <x:c r="E725" s="44" t="n">
        <x:v>1767.1677194691342</x:v>
      </x:c>
      <x:c r="F725" s="44" t="n">
        <x:v>82.9058946531256</x:v>
      </x:c>
      <x:c r="G725" s="44" t="n">
        <x:v>216.22245220991113</x:v>
      </x:c>
      <x:c r="H725" s="44" t="n">
        <x:v>5992.785648313995</x:v>
      </x:c>
      <x:c r="I725" s="44" t="n">
        <x:v>8181</x:v>
      </x:c>
      <x:c r="J725" s="44" t="n">
        <x:v>1848</x:v>
      </x:c>
      <x:c r="K725" s="44" t="n">
        <x:v>131.192191695746</x:v>
      </x:c>
      <x:c r="L725" s="44" t="n">
        <x:v>48.286297042620404</x:v>
      </x:c>
    </x:row>
    <x:row r="726" ht="15" hidden="0" customHeight="1">
      <x:c r="A726" s="27" t="str">
        <x:v>05099</x:v>
      </x:c>
      <x:c r="B726" s="27" t="str">
        <x:v>SCA-15</x:v>
      </x:c>
      <x:c r="C726" s="43" t="n">
        <x:v>7942</x:v>
      </x:c>
      <x:c r="D726" s="43" t="n">
        <x:v>126.44178055402583</x:v>
      </x:c>
      <x:c r="E726" s="43" t="n">
        <x:v>1897.9771342835709</x:v>
      </x:c>
      <x:c r="F726" s="43" t="n">
        <x:v>75.98495896393739</x:v>
      </x:c>
      <x:c r="G726" s="43" t="n">
        <x:v>61.58714678669667</x:v>
      </x:c>
      <x:c r="H726" s="43" t="n">
        <x:v>5780.008979411768</x:v>
      </x:c>
      <x:c r="I726" s="43" t="n">
        <x:v>7942</x:v>
      </x:c>
      <x:c r="J726" s="43" t="n">
        <x:v>1991</x:v>
      </x:c>
      <x:c r="K726" s="43" t="n">
        <x:v>123.34435892281442</x:v>
      </x:c>
      <x:c r="L726" s="43" t="n">
        <x:v>47.359399958877034</x:v>
      </x:c>
    </x:row>
    <x:row r="727" ht="15" hidden="0" customHeight="1">
      <x:c r="A727" s="29" t="str">
        <x:v>22081</x:v>
      </x:c>
      <x:c r="B727" s="29" t="str">
        <x:v>SCA-15</x:v>
      </x:c>
      <x:c r="C727" s="44" t="n">
        <x:v>7165</x:v>
      </x:c>
      <x:c r="D727" s="44" t="n">
        <x:v>93.6148503445499</x:v>
      </x:c>
      <x:c r="E727" s="44" t="n">
        <x:v>1345.8976282404856</x:v>
      </x:c>
      <x:c r="F727" s="44" t="n">
        <x:v>83.03826723599789</x:v>
      </x:c>
      <x:c r="G727" s="44" t="n">
        <x:v>274.2764754550469</x:v>
      </x:c>
      <x:c r="H727" s="44" t="n">
        <x:v>5368.17277872392</x:v>
      </x:c>
      <x:c r="I727" s="44" t="n">
        <x:v>7165</x:v>
      </x:c>
      <x:c r="J727" s="44" t="n">
        <x:v>1419</x:v>
      </x:c>
      <x:c r="K727" s="44" t="n">
        <x:v>120.57404973719423</x:v>
      </x:c>
      <x:c r="L727" s="44" t="n">
        <x:v>37.535782501196344</x:v>
      </x:c>
    </x:row>
    <x:row r="728" ht="15" hidden="0" customHeight="1">
      <x:c r="A728" s="27" t="str">
        <x:v>40141</x:v>
      </x:c>
      <x:c r="B728" s="27" t="str">
        <x:v>SCA-15</x:v>
      </x:c>
      <x:c r="C728" s="43" t="n">
        <x:v>6780</x:v>
      </x:c>
      <x:c r="D728" s="43" t="n">
        <x:v>106.6708211475804</x:v>
      </x:c>
      <x:c r="E728" s="43" t="n">
        <x:v>1599.6857905665972</x:v>
      </x:c>
      <x:c r="F728" s="43" t="n">
        <x:v>68.70822219144254</x:v>
      </x:c>
      <x:c r="G728" s="43" t="n">
        <x:v>360.1435034114506</x:v>
      </x:c>
      <x:c r="H728" s="43" t="n">
        <x:v>4644.791662682929</x:v>
      </x:c>
      <x:c r="I728" s="43" t="n">
        <x:v>6780</x:v>
      </x:c>
      <x:c r="J728" s="43" t="n">
        <x:v>1657</x:v>
      </x:c>
      <x:c r="K728" s="43" t="n">
        <x:v>108.72546873208138</x:v>
      </x:c>
      <x:c r="L728" s="43" t="n">
        <x:v>40.01724654063884</x:v>
      </x:c>
    </x:row>
    <x:row r="729" ht="15" hidden="0" customHeight="1">
      <x:c r="A729" s="29" t="str">
        <x:v>48437</x:v>
      </x:c>
      <x:c r="B729" s="29" t="str">
        <x:v>SCA-15</x:v>
      </x:c>
      <x:c r="C729" s="44" t="n">
        <x:v>6703</x:v>
      </x:c>
      <x:c r="D729" s="44" t="n">
        <x:v>63.59933880420188</x:v>
      </x:c>
      <x:c r="E729" s="44" t="n">
        <x:v>961.7680050664977</x:v>
      </x:c>
      <x:c r="F729" s="44" t="n">
        <x:v>57.81866906997198</x:v>
      </x:c>
      <x:c r="G729" s="44" t="n">
        <x:v>266.6437618746042</x:v>
      </x:c>
      <x:c r="H729" s="44" t="n">
        <x:v>5353.170225184725</x:v>
      </x:c>
      <x:c r="I729" s="44" t="n">
        <x:v>6703</x:v>
      </x:c>
      <x:c r="J729" s="44" t="n">
        <x:v>944</x:v>
      </x:c>
      <x:c r="K729" s="44" t="n">
        <x:v>81.34434099640312</x:v>
      </x:c>
      <x:c r="L729" s="44" t="n">
        <x:v>23.525671926431137</x:v>
      </x:c>
    </x:row>
    <x:row r="730" ht="15" hidden="0" customHeight="1">
      <x:c r="A730" s="27" t="str">
        <x:v>48075</x:v>
      </x:c>
      <x:c r="B730" s="27" t="str">
        <x:v>SCA-15</x:v>
      </x:c>
      <x:c r="C730" s="43" t="n">
        <x:v>6643</x:v>
      </x:c>
      <x:c r="D730" s="43" t="n">
        <x:v>61.28938341817386</x:v>
      </x:c>
      <x:c r="E730" s="43" t="n">
        <x:v>911.3830766334024</x:v>
      </x:c>
      <x:c r="F730" s="43" t="n">
        <x:v>57.301121681608805</x:v>
      </x:c>
      <x:c r="G730" s="43" t="n">
        <x:v>95.13688570890604</x:v>
      </x:c>
      <x:c r="H730" s="43" t="n">
        <x:v>5517.889532557909</x:v>
      </x:c>
      <x:c r="I730" s="43" t="n">
        <x:v>6643</x:v>
      </x:c>
      <x:c r="J730" s="43" t="n">
        <x:v>759</x:v>
      </x:c>
      <x:c r="K730" s="43" t="n">
        <x:v>80.61621024005757</x:v>
      </x:c>
      <x:c r="L730" s="43" t="n">
        <x:v>23.31508855844876</x:v>
      </x:c>
    </x:row>
    <x:row r="731" ht="15" hidden="0" customHeight="1">
      <x:c r="A731" s="29" t="str">
        <x:v>05073</x:v>
      </x:c>
      <x:c r="B731" s="29" t="str">
        <x:v>SCA-15</x:v>
      </x:c>
      <x:c r="C731" s="44" t="n">
        <x:v>5888</x:v>
      </x:c>
      <x:c r="D731" s="44" t="n">
        <x:v>92.17384968937243</x:v>
      </x:c>
      <x:c r="E731" s="44" t="n">
        <x:v>1369.5066248555866</x:v>
      </x:c>
      <x:c r="F731" s="44" t="n">
        <x:v>56.33334656001804</x:v>
      </x:c>
      <x:c r="G731" s="44" t="n">
        <x:v>168.59176431754418</x:v>
      </x:c>
      <x:c r="H731" s="44" t="n">
        <x:v>4201.3944145774785</x:v>
      </x:c>
      <x:c r="I731" s="44" t="n">
        <x:v>5888</x:v>
      </x:c>
      <x:c r="J731" s="44" t="n">
        <x:v>1468</x:v>
      </x:c>
      <x:c r="K731" s="44" t="n">
        <x:v>91.44442021374104</x:v>
      </x:c>
      <x:c r="L731" s="44" t="n">
        <x:v>35.11107365372299</x:v>
      </x:c>
    </x:row>
    <x:row r="732" ht="15" hidden="0" customHeight="1">
      <x:c r="A732" s="27" t="str">
        <x:v>48119</x:v>
      </x:c>
      <x:c r="B732" s="27" t="str">
        <x:v>SCA-15</x:v>
      </x:c>
      <x:c r="C732" s="43" t="n">
        <x:v>5549</x:v>
      </x:c>
      <x:c r="D732" s="43" t="n">
        <x:v>76.10925682949768</x:v>
      </x:c>
      <x:c r="E732" s="43" t="n">
        <x:v>1359.2113203342617</x:v>
      </x:c>
      <x:c r="F732" s="43" t="n">
        <x:v>47.86450763378704</x:v>
      </x:c>
      <x:c r="G732" s="43" t="n">
        <x:v>105.39582172701951</x:v>
      </x:c>
      <x:c r="H732" s="43" t="n">
        <x:v>3960.4190934754347</x:v>
      </x:c>
      <x:c r="I732" s="43" t="n">
        <x:v>5549</x:v>
      </x:c>
      <x:c r="J732" s="43" t="n">
        <x:v>1374</x:v>
      </x:c>
      <x:c r="K732" s="43" t="n">
        <x:v>67.33995944935714</x:v>
      </x:c>
      <x:c r="L732" s="43" t="n">
        <x:v>19.4754518155701</x:v>
      </x:c>
    </x:row>
    <x:row r="733" ht="15" hidden="0" customHeight="1">
      <x:c r="A733" s="29" t="str">
        <x:v>48207</x:v>
      </x:c>
      <x:c r="B733" s="29" t="str">
        <x:v>SCA-15</x:v>
      </x:c>
      <x:c r="C733" s="44" t="n">
        <x:v>5499</x:v>
      </x:c>
      <x:c r="D733" s="44" t="n">
        <x:v>61.64205522782359</x:v>
      </x:c>
      <x:c r="E733" s="44" t="n">
        <x:v>1016.2101492537312</x:v>
      </x:c>
      <x:c r="F733" s="44" t="n">
        <x:v>47.4332181434844</x:v>
      </x:c>
      <x:c r="G733" s="44" t="n">
        <x:v>80.75009567546881</x:v>
      </x:c>
      <x:c r="H733" s="44" t="n">
        <x:v>4292.964481699492</x:v>
      </x:c>
      <x:c r="I733" s="44" t="n">
        <x:v>5499</x:v>
      </x:c>
      <x:c r="J733" s="44" t="n">
        <x:v>1006</x:v>
      </x:c>
      <x:c r="K733" s="44" t="n">
        <x:v>66.73318381906918</x:v>
      </x:c>
      <x:c r="L733" s="44" t="n">
        <x:v>19.299965675584787</x:v>
      </x:c>
    </x:row>
    <x:row r="734" ht="15" hidden="0" customHeight="1">
      <x:c r="A734" s="27" t="str">
        <x:v>40029</x:v>
      </x:c>
      <x:c r="B734" s="27" t="str">
        <x:v>SCA-15</x:v>
      </x:c>
      <x:c r="C734" s="43" t="n">
        <x:v>5436</x:v>
      </x:c>
      <x:c r="D734" s="43" t="n">
        <x:v>81.12410828430659</x:v>
      </x:c>
      <x:c r="E734" s="43" t="n">
        <x:v>1176.947617602428</x:v>
      </x:c>
      <x:c r="F734" s="43" t="n">
        <x:v>55.088185226059245</x:v>
      </x:c>
      <x:c r="G734" s="43" t="n">
        <x:v>203.29808421851288</x:v>
      </x:c>
      <x:c r="H734" s="43" t="n">
        <x:v>3919.542004668693</x:v>
      </x:c>
      <x:c r="I734" s="43" t="n">
        <x:v>5436</x:v>
      </x:c>
      <x:c r="J734" s="43" t="n">
        <x:v>1189</x:v>
      </x:c>
      <x:c r="K734" s="43" t="n">
        <x:v>87.172809443598</x:v>
      </x:c>
      <x:c r="L734" s="43" t="n">
        <x:v>32.08462421753875</x:v>
      </x:c>
    </x:row>
    <x:row r="735" ht="15" hidden="0" customHeight="1">
      <x:c r="A735" s="29" t="str">
        <x:v>40033</x:v>
      </x:c>
      <x:c r="B735" s="29" t="str">
        <x:v>SCA-15</x:v>
      </x:c>
      <x:c r="C735" s="44" t="n">
        <x:v>5432</x:v>
      </x:c>
      <x:c r="D735" s="44" t="n">
        <x:v>86.28023600175031</x:v>
      </x:c>
      <x:c r="E735" s="44" t="n">
        <x:v>1301.2612987012988</x:v>
      </x:c>
      <x:c r="F735" s="44" t="n">
        <x:v>55.0476494017575</x:v>
      </x:c>
      <x:c r="G735" s="44" t="n">
        <x:v>150.84322820037107</x:v>
      </x:c>
      <x:c r="H735" s="44" t="n">
        <x:v>3838.567587694823</x:v>
      </x:c>
      <x:c r="I735" s="44" t="n">
        <x:v>5432</x:v>
      </x:c>
      <x:c r="J735" s="44" t="n">
        <x:v>1345</x:v>
      </x:c>
      <x:c r="K735" s="44" t="n">
        <x:v>87.10866462428703</x:v>
      </x:c>
      <x:c r="L735" s="44" t="n">
        <x:v>32.06101522252953</x:v>
      </x:c>
    </x:row>
    <x:row r="736" ht="15" hidden="0" customHeight="1">
      <x:c r="A736" s="27" t="str">
        <x:v>40067</x:v>
      </x:c>
      <x:c r="B736" s="27" t="str">
        <x:v>SCA-15</x:v>
      </x:c>
      <x:c r="C736" s="43" t="n">
        <x:v>5431</x:v>
      </x:c>
      <x:c r="D736" s="43" t="n">
        <x:v>95.03941146987471</x:v>
      </x:c>
      <x:c r="E736" s="43" t="n">
        <x:v>1511.6231639063394</x:v>
      </x:c>
      <x:c r="F736" s="43" t="n">
        <x:v>55.03751544568207</x:v>
      </x:c>
      <x:c r="G736" s="43" t="n">
        <x:v>240.71387778412333</x:v>
      </x:c>
      <x:c r="H736" s="43" t="n">
        <x:v>3528.586031393981</x:v>
      </x:c>
      <x:c r="I736" s="43" t="n">
        <x:v>5431</x:v>
      </x:c>
      <x:c r="J736" s="43" t="n">
        <x:v>1523</x:v>
      </x:c>
      <x:c r="K736" s="43" t="n">
        <x:v>87.09262841945929</x:v>
      </x:c>
      <x:c r="L736" s="43" t="n">
        <x:v>32.05511297377722</x:v>
      </x:c>
    </x:row>
    <x:row r="737" ht="15" hidden="0" customHeight="1">
      <x:c r="A737" s="29" t="str">
        <x:v>40055</x:v>
      </x:c>
      <x:c r="B737" s="29" t="str">
        <x:v>SCA-15</x:v>
      </x:c>
      <x:c r="C737" s="44" t="n">
        <x:v>5373</x:v>
      </x:c>
      <x:c r="D737" s="44" t="n">
        <x:v>83.71811587947677</x:v>
      </x:c>
      <x:c r="E737" s="44" t="n">
        <x:v>1248.128</x:v>
      </x:c>
      <x:c r="F737" s="44" t="n">
        <x:v>54.449745993306905</x:v>
      </x:c>
      <x:c r="G737" s="44" t="n">
        <x:v>94.75308641975309</x:v>
      </x:c>
      <x:c r="H737" s="44" t="n">
        <x:v>3891.951051707463</x:v>
      </x:c>
      <x:c r="I737" s="44" t="n">
        <x:v>5373</x:v>
      </x:c>
      <x:c r="J737" s="44" t="n">
        <x:v>1078</x:v>
      </x:c>
      <x:c r="K737" s="44" t="n">
        <x:v>86.16252853945034</x:v>
      </x:c>
      <x:c r="L737" s="44" t="n">
        <x:v>31.712782546143433</x:v>
      </x:c>
    </x:row>
    <x:row r="738" ht="15" hidden="0" customHeight="1">
      <x:c r="A738" s="27" t="str">
        <x:v>48153</x:v>
      </x:c>
      <x:c r="B738" s="27" t="str">
        <x:v>SCA-15</x:v>
      </x:c>
      <x:c r="C738" s="43" t="n">
        <x:v>4881</x:v>
      </x:c>
      <x:c r="D738" s="43" t="n">
        <x:v>51.624859987675784</x:v>
      </x:c>
      <x:c r="E738" s="43" t="n">
        <x:v>827.8536720554273</x:v>
      </x:c>
      <x:c r="F738" s="43" t="n">
        <x:v>42.10248004334376</x:v>
      </x:c>
      <x:c r="G738" s="43" t="n">
        <x:v>235.47113163972287</x:v>
      </x:c>
      <x:c r="H738" s="43" t="n">
        <x:v>3723.94785627383</x:v>
      </x:c>
      <x:c r="I738" s="43" t="n">
        <x:v>4881</x:v>
      </x:c>
      <x:c r="J738" s="43" t="n">
        <x:v>918</x:v>
      </x:c>
      <x:c r="K738" s="43" t="n">
        <x:v>59.23343702871008</x:v>
      </x:c>
      <x:c r="L738" s="43" t="n">
        <x:v>17.13095698536631</x:v>
      </x:c>
    </x:row>
    <x:row r="739" ht="15" hidden="0" customHeight="1">
      <x:c r="A739" s="29" t="str">
        <x:v>48107</x:v>
      </x:c>
      <x:c r="B739" s="29" t="str">
        <x:v>SCA-15</x:v>
      </x:c>
      <x:c r="C739" s="44" t="n">
        <x:v>4852</x:v>
      </x:c>
      <x:c r="D739" s="44" t="n">
        <x:v>58.25352425618777</x:v>
      </x:c>
      <x:c r="E739" s="44" t="n">
        <x:v>989.3843815683105</x:v>
      </x:c>
      <x:c r="F739" s="44" t="n">
        <x:v>41.852332138968244</x:v>
      </x:c>
      <x:c r="G739" s="44" t="n">
        <x:v>62.21968472109942</x:v>
      </x:c>
      <x:c r="H739" s="44" t="n">
        <x:v>3700.2900773154342</x:v>
      </x:c>
      <x:c r="I739" s="44" t="n">
        <x:v>4852</x:v>
      </x:c>
      <x:c r="J739" s="44" t="n">
        <x:v>1051</x:v>
      </x:c>
      <x:c r="K739" s="44" t="n">
        <x:v>58.88150716314306</x:v>
      </x:c>
      <x:c r="L739" s="44" t="n">
        <x:v>17.02917502417483</x:v>
      </x:c>
    </x:row>
    <x:row r="740" ht="15" hidden="0" customHeight="1">
      <x:c r="A740" s="27" t="str">
        <x:v>48333</x:v>
      </x:c>
      <x:c r="B740" s="27" t="str">
        <x:v>SCA-15</x:v>
      </x:c>
      <x:c r="C740" s="43" t="n">
        <x:v>4580</x:v>
      </x:c>
      <x:c r="D740" s="43" t="n">
        <x:v>45.63376843045826</x:v>
      </x:c>
      <x:c r="E740" s="43" t="n">
        <x:v>709.4217121872848</x:v>
      </x:c>
      <x:c r="F740" s="43" t="n">
        <x:v>39.506117311721866</x:v>
      </x:c>
      <x:c r="G740" s="43" t="n">
        <x:v>43.6098232728942</x:v>
      </x:c>
      <x:c r="H740" s="43" t="n">
        <x:v>3741.828578797641</x:v>
      </x:c>
      <x:c r="I740" s="43" t="n">
        <x:v>4580</x:v>
      </x:c>
      <x:c r="J740" s="43" t="n">
        <x:v>703</x:v>
      </x:c>
      <x:c r="K740" s="43" t="n">
        <x:v>55.58064773437659</x:v>
      </x:c>
      <x:c r="L740" s="43" t="n">
        <x:v>16.074530422654725</x:v>
      </x:c>
    </x:row>
    <x:row r="741" ht="15" hidden="0" customHeight="1">
      <x:c r="A741" s="29" t="str">
        <x:v>48169</x:v>
      </x:c>
      <x:c r="B741" s="29" t="str">
        <x:v>SCA-15</x:v>
      </x:c>
      <x:c r="C741" s="44" t="n">
        <x:v>4510</x:v>
      </x:c>
      <x:c r="D741" s="44" t="n">
        <x:v>42.969512635723156</x:v>
      </x:c>
      <x:c r="E741" s="44" t="n">
        <x:v>651.3759074171488</x:v>
      </x:c>
      <x:c r="F741" s="44" t="n">
        <x:v>38.90231202529817</x:v>
      </x:c>
      <x:c r="G741" s="44" t="n">
        <x:v>170.76012624934248</x:v>
      </x:c>
      <x:c r="H741" s="44" t="n">
        <x:v>3605.9921416724874</x:v>
      </x:c>
      <x:c r="I741" s="44" t="n">
        <x:v>4510</x:v>
      </x:c>
      <x:c r="J741" s="44" t="n">
        <x:v>572</x:v>
      </x:c>
      <x:c r="K741" s="44" t="n">
        <x:v>54.731161851973454</x:v>
      </x:c>
      <x:c r="L741" s="44" t="n">
        <x:v>15.828849826675285</x:v>
      </x:c>
    </x:row>
    <x:row r="742" ht="15" hidden="0" customHeight="1">
      <x:c r="A742" s="27" t="str">
        <x:v>48151</x:v>
      </x:c>
      <x:c r="B742" s="27" t="str">
        <x:v>SCA-15</x:v>
      </x:c>
      <x:c r="C742" s="43" t="n">
        <x:v>3692</x:v>
      </x:c>
      <x:c r="D742" s="43" t="n">
        <x:v>39.043010933087615</x:v>
      </x:c>
      <x:c r="E742" s="43" t="n">
        <x:v>626.0427445577294</x:v>
      </x:c>
      <x:c r="F742" s="43" t="n">
        <x:v>31.846415963946974</x:v>
      </x:c>
      <x:c r="G742" s="43" t="n">
        <x:v>74.10305869385506</x:v>
      </x:c>
      <x:c r="H742" s="43" t="n">
        <x:v>2920.9647698513813</x:v>
      </x:c>
      <x:c r="I742" s="43" t="n">
        <x:v>3692</x:v>
      </x:c>
      <x:c r="J742" s="43" t="n">
        <x:v>641</x:v>
      </x:c>
      <x:c r="K742" s="43" t="n">
        <x:v>44.804312540462526</x:v>
      </x:c>
      <x:c r="L742" s="43" t="n">
        <x:v>12.957896576515555</x:v>
      </x:c>
    </x:row>
    <x:row r="743" ht="15" hidden="0" customHeight="1">
      <x:c r="A743" s="29" t="str">
        <x:v>48023</x:v>
      </x:c>
      <x:c r="B743" s="29" t="str">
        <x:v>SCA-15</x:v>
      </x:c>
      <x:c r="C743" s="44" t="n">
        <x:v>3472</x:v>
      </x:c>
      <x:c r="D743" s="44" t="n">
        <x:v>44.84187469088764</x:v>
      </x:c>
      <x:c r="E743" s="44" t="n">
        <x:v>783.7468111273793</x:v>
      </x:c>
      <x:c r="F743" s="44" t="n">
        <x:v>29.948742206615353</x:v>
      </x:c>
      <x:c r="G743" s="44" t="n">
        <x:v>145.32357247437776</x:v>
      </x:c>
      <x:c r="H743" s="44" t="n">
        <x:v>2468.1389995007403</x:v>
      </x:c>
      <x:c r="I743" s="44" t="n">
        <x:v>3472</x:v>
      </x:c>
      <x:c r="J743" s="44" t="n">
        <x:v>803</x:v>
      </x:c>
      <x:c r="K743" s="44" t="n">
        <x:v>42.13449976719553</x:v>
      </x:c>
      <x:c r="L743" s="44" t="n">
        <x:v>12.185757560580175</x:v>
      </x:c>
    </x:row>
    <x:row r="744" ht="15" hidden="0" customHeight="1">
      <x:c r="A744" s="27" t="str">
        <x:v>48197</x:v>
      </x:c>
      <x:c r="B744" s="27" t="str">
        <x:v>SCA-15</x:v>
      </x:c>
      <x:c r="C744" s="43" t="n">
        <x:v>3292</x:v>
      </x:c>
      <x:c r="D744" s="43" t="n">
        <x:v>46.68877985857979</x:v>
      </x:c>
      <x:c r="E744" s="43" t="n">
        <x:v>843.234537646722</x:v>
      </x:c>
      <x:c r="F744" s="43" t="n">
        <x:v>28.396100041525848</x:v>
      </x:c>
      <x:c r="G744" s="43" t="n">
        <x:v>54.25536787861437</x:v>
      </x:c>
      <x:c r="H744" s="43" t="n">
        <x:v>2319.425214574558</x:v>
      </x:c>
      <x:c r="I744" s="43" t="n">
        <x:v>3292</x:v>
      </x:c>
      <x:c r="J744" s="43" t="n">
        <x:v>932</x:v>
      </x:c>
      <x:c r="K744" s="43" t="n">
        <x:v>39.95010749815889</x:v>
      </x:c>
      <x:c r="L744" s="43" t="n">
        <x:v>11.554007456633046</x:v>
      </x:c>
    </x:row>
    <x:row r="745" ht="15" hidden="0" customHeight="1">
      <x:c r="A745" s="29" t="str">
        <x:v>48417</x:v>
      </x:c>
      <x:c r="B745" s="29" t="str">
        <x:v>SCA-15</x:v>
      </x:c>
      <x:c r="C745" s="44" t="n">
        <x:v>3197</x:v>
      </x:c>
      <x:c r="D745" s="44" t="n">
        <x:v>31.90945003269917</x:v>
      </x:c>
      <x:c r="E745" s="44" t="n">
        <x:v>496.53278980891713</x:v>
      </x:c>
      <x:c r="F745" s="44" t="n">
        <x:v>27.57665000995084</x:v>
      </x:c>
      <x:c r="G745" s="44" t="n">
        <x:v>33.52866242038217</x:v>
      </x:c>
      <x:c r="H745" s="44" t="n">
        <x:v>2607.4524477280506</x:v>
      </x:c>
      <x:c r="I745" s="44" t="n">
        <x:v>3197</x:v>
      </x:c>
      <x:c r="J745" s="44" t="n">
        <x:v>508</x:v>
      </x:c>
      <x:c r="K745" s="44" t="n">
        <x:v>38.797233800611785</x:v>
      </x:c>
      <x:c r="L745" s="44" t="n">
        <x:v>11.22058379066095</x:v>
      </x:c>
    </x:row>
    <x:row r="746" ht="15" hidden="0" customHeight="1">
      <x:c r="A746" s="27" t="str">
        <x:v>48275</x:v>
      </x:c>
      <x:c r="B746" s="27" t="str">
        <x:v>SCA-15</x:v>
      </x:c>
      <x:c r="C746" s="43" t="n">
        <x:v>3192</x:v>
      </x:c>
      <x:c r="D746" s="43" t="n">
        <x:v>33.5039947251102</x:v>
      </x:c>
      <x:c r="E746" s="43" t="n">
        <x:v>535.2230291627469</x:v>
      </x:c>
      <x:c r="F746" s="43" t="n">
        <x:v>27.533521060920567</x:v>
      </x:c>
      <x:c r="G746" s="43" t="n">
        <x:v>121.32455315145813</x:v>
      </x:c>
      <x:c r="H746" s="43" t="n">
        <x:v>2474.414901899764</x:v>
      </x:c>
      <x:c r="I746" s="43" t="n">
        <x:v>3192</x:v>
      </x:c>
      <x:c r="J746" s="43" t="n">
        <x:v>557</x:v>
      </x:c>
      <x:c r="K746" s="43" t="n">
        <x:v>38.73655623758299</x:v>
      </x:c>
      <x:c r="L746" s="43" t="n">
        <x:v>11.203035176662418</x:v>
      </x:c>
    </x:row>
    <x:row r="747" ht="15" hidden="0" customHeight="1">
      <x:c r="A747" s="29" t="str">
        <x:v>48191</x:v>
      </x:c>
      <x:c r="B747" s="29" t="str">
        <x:v>SCA-15</x:v>
      </x:c>
      <x:c r="C747" s="44" t="n">
        <x:v>2737</x:v>
      </x:c>
      <x:c r="D747" s="44" t="n">
        <x:v>31.502111302796067</x:v>
      </x:c>
      <x:c r="E747" s="44" t="n">
        <x:v>525.504</x:v>
      </x:c>
      <x:c r="F747" s="44" t="n">
        <x:v>23.608786699166536</x:v>
      </x:c>
      <x:c r="G747" s="44" t="n">
        <x:v>48.800000000000004</x:v>
      </x:c>
      <x:c r="H747" s="44" t="n">
        <x:v>2107.5851019980373</x:v>
      </x:c>
      <x:c r="I747" s="44" t="n">
        <x:v>2737</x:v>
      </x:c>
      <x:c r="J747" s="44" t="n">
        <x:v>555</x:v>
      </x:c>
      <x:c r="K747" s="44" t="n">
        <x:v>33.2148980019626</x:v>
      </x:c>
      <x:c r="L747" s="44" t="n">
        <x:v>9.606111302796066</x:v>
      </x:c>
    </x:row>
    <x:row r="748" ht="15" hidden="0" customHeight="1">
      <x:c r="A748" s="27" t="str">
        <x:v>40057</x:v>
      </x:c>
      <x:c r="B748" s="27" t="str">
        <x:v>SCA-15</x:v>
      </x:c>
      <x:c r="C748" s="43" t="n">
        <x:v>2327</x:v>
      </x:c>
      <x:c r="D748" s="43" t="n">
        <x:v>32.59831987967889</x:v>
      </x:c>
      <x:c r="E748" s="43" t="n">
        <x:v>452.7308887934736</x:v>
      </x:c>
      <x:c r="F748" s="43" t="n">
        <x:v>23.58171578753492</x:v>
      </x:c>
      <x:c r="G748" s="43" t="n">
        <x:v>159.46758265349933</x:v>
      </x:c>
      <x:c r="H748" s="43" t="n">
        <x:v>1658.6214928858133</x:v>
      </x:c>
      <x:c r="I748" s="43" t="n">
        <x:v>2327</x:v>
      </x:c>
      <x:c r="J748" s="43" t="n">
        <x:v>472</x:v>
      </x:c>
      <x:c r="K748" s="43" t="n">
        <x:v>37.316248634152416</x:v>
      </x:c>
      <x:c r="L748" s="43" t="n">
        <x:v>13.734532846617489</x:v>
      </x:c>
    </x:row>
    <x:row r="749" ht="15" hidden="0" customHeight="1">
      <x:c r="A749" s="29" t="str">
        <x:v>48125</x:v>
      </x:c>
      <x:c r="B749" s="29" t="str">
        <x:v>SCA-15</x:v>
      </x:c>
      <x:c r="C749" s="44" t="n">
        <x:v>1692</x:v>
      </x:c>
      <x:c r="D749" s="44" t="n">
        <x:v>24.76701906593995</x:v>
      </x:c>
      <x:c r="E749" s="44" t="n">
        <x:v>451.8856341320866</x:v>
      </x:c>
      <x:c r="F749" s="44" t="n">
        <x:v>14.594836351841353</x:v>
      </x:c>
      <x:c r="G749" s="44" t="n">
        <x:v>46.91700759789596</x:v>
      </x:c>
      <x:c r="H749" s="44" t="n">
        <x:v>1153.835502852236</x:v>
      </x:c>
      <x:c r="I749" s="44" t="n">
        <x:v>1692</x:v>
      </x:c>
      <x:c r="J749" s="44" t="n">
        <x:v>476</x:v>
      </x:c>
      <x:c r="K749" s="44" t="n">
        <x:v>20.533287328944365</x:v>
      </x:c>
      <x:c r="L749" s="44" t="n">
        <x:v>5.938450977103011</x:v>
      </x:c>
    </x:row>
    <x:row r="750" ht="15" hidden="0" customHeight="1">
      <x:c r="A750" s="27" t="str">
        <x:v>48447</x:v>
      </x:c>
      <x:c r="B750" s="27" t="str">
        <x:v>SCA-15</x:v>
      </x:c>
      <x:c r="C750" s="43" t="n">
        <x:v>1554</x:v>
      </x:c>
      <x:c r="D750" s="43" t="n">
        <x:v>16.187043947033967</x:v>
      </x:c>
      <x:c r="E750" s="43" t="n">
        <x:v>257.5904331909701</x:v>
      </x:c>
      <x:c r="F750" s="43" t="n">
        <x:v>13.40447735860607</x:v>
      </x:c>
      <x:c r="G750" s="43" t="n">
        <x:v>15.719341061622941</x:v>
      </x:c>
      <x:c r="H750" s="43" t="n">
        <x:v>1251.098704441767</x:v>
      </x:c>
      <x:c r="I750" s="43" t="n">
        <x:v>1554</x:v>
      </x:c>
      <x:c r="J750" s="43" t="n">
        <x:v>283</x:v>
      </x:c>
      <x:c r="K750" s="43" t="n">
        <x:v>18.858586589349613</x:v>
      </x:c>
      <x:c r="L750" s="43" t="n">
        <x:v>5.454109230743546</x:v>
      </x:c>
    </x:row>
    <x:row r="751" ht="15" hidden="0" customHeight="1">
      <x:c r="A751" s="29" t="str">
        <x:v>48045</x:v>
      </x:c>
      <x:c r="B751" s="29" t="str">
        <x:v>SCA-15</x:v>
      </x:c>
      <x:c r="C751" s="44" t="n">
        <x:v>1474</x:v>
      </x:c>
      <x:c r="D751" s="44" t="n">
        <x:v>17.13754355127127</x:v>
      </x:c>
      <x:c r="E751" s="44" t="n">
        <x:v>287.1410914681015</x:v>
      </x:c>
      <x:c r="F751" s="44" t="n">
        <x:v>12.714414174121842</x:v>
      </x:c>
      <x:c r="G751" s="44" t="n">
        <x:v>6.37663335895465</x:v>
      </x:c>
      <x:c r="H751" s="44" t="n">
        <x:v>1150.6303174475509</x:v>
      </x:c>
      <x:c r="I751" s="44" t="n">
        <x:v>1474</x:v>
      </x:c>
      <x:c r="J751" s="44" t="n">
        <x:v>264</x:v>
      </x:c>
      <x:c r="K751" s="44" t="n">
        <x:v>17.887745580888886</x:v>
      </x:c>
      <x:c r="L751" s="44" t="n">
        <x:v>5.173331406767044</x:v>
      </x:c>
    </x:row>
    <x:row r="752" ht="15" hidden="0" customHeight="1">
      <x:c r="A752" s="27" t="str">
        <x:v>48101</x:v>
      </x:c>
      <x:c r="B752" s="27" t="str">
        <x:v>SCA-15</x:v>
      </x:c>
      <x:c r="C752" s="43" t="n">
        <x:v>1224</x:v>
      </x:c>
      <x:c r="D752" s="43" t="n">
        <x:v>16.652643186664395</x:v>
      </x:c>
      <x:c r="E752" s="43" t="n">
        <x:v>296.561819515774</x:v>
      </x:c>
      <x:c r="F752" s="43" t="n">
        <x:v>10.557966722608638</x:v>
      </x:c>
      <x:c r="G752" s="43" t="n">
        <x:v>11.961848862802643</x:v>
      </x:c>
      <x:c r="H752" s="43" t="n">
        <x:v>888.2657217121503</x:v>
      </x:c>
      <x:c r="I752" s="43" t="n">
        <x:v>1224</x:v>
      </x:c>
      <x:c r="J752" s="43" t="n">
        <x:v>344</x:v>
      </x:c>
      <x:c r="K752" s="43" t="n">
        <x:v>14.853867429449116</x:v>
      </x:c>
      <x:c r="L752" s="43" t="n">
        <x:v>4.295900706840476</x:v>
      </x:c>
    </x:row>
    <x:row r="753" ht="15" hidden="0" customHeight="1">
      <x:c r="A753" s="29" t="str">
        <x:v>48433</x:v>
      </x:c>
      <x:c r="B753" s="29" t="str">
        <x:v>SCA-15</x:v>
      </x:c>
      <x:c r="C753" s="44" t="n">
        <x:v>1186</x:v>
      </x:c>
      <x:c r="D753" s="44" t="n">
        <x:v>11.393013882280597</x:v>
      </x:c>
      <x:c r="E753" s="44" t="n">
        <x:v>173.53158340389498</x:v>
      </x:c>
      <x:c r="F753" s="44" t="n">
        <x:v>10.230186709978632</x:v>
      </x:c>
      <x:c r="G753" s="44" t="n">
        <x:v>30.513124470787467</x:v>
      </x:c>
      <x:c r="H753" s="44" t="n">
        <x:v>960.3320915330584</x:v>
      </x:c>
      <x:c r="I753" s="44" t="n">
        <x:v>1186</x:v>
      </x:c>
      <x:c r="J753" s="44" t="n">
        <x:v>180</x:v>
      </x:c>
      <x:c r="K753" s="44" t="n">
        <x:v>14.39271795043027</x:v>
      </x:c>
      <x:c r="L753" s="44" t="n">
        <x:v>4.162531240451638</x:v>
      </x:c>
    </x:row>
    <x:row r="754" ht="15" hidden="0" customHeight="1">
      <x:c r="A754" s="27" t="str">
        <x:v>48155</x:v>
      </x:c>
      <x:c r="B754" s="27" t="str">
        <x:v>SCA-15</x:v>
      </x:c>
      <x:c r="C754" s="43" t="n">
        <x:v>1044</x:v>
      </x:c>
      <x:c r="D754" s="43" t="n">
        <x:v>13.100940465617741</x:v>
      </x:c>
      <x:c r="E754" s="43" t="n">
        <x:v>226.48295670538545</x:v>
      </x:c>
      <x:c r="F754" s="43" t="n">
        <x:v>9.005324557519133</x:v>
      </x:c>
      <x:c r="G754" s="43" t="n">
        <x:v>30.18690601900739</x:v>
      </x:c>
      <x:c r="H754" s="43" t="n">
        <x:v>765.2238722524703</x:v>
      </x:c>
      <x:c r="I754" s="43" t="n">
        <x:v>1044</x:v>
      </x:c>
      <x:c r="J754" s="43" t="n">
        <x:v>214</x:v>
      </x:c>
      <x:c r="K754" s="43" t="n">
        <x:v>12.66947516041248</x:v>
      </x:c>
      <x:c r="L754" s="43" t="n">
        <x:v>3.6641506028933475</x:v>
      </x:c>
    </x:row>
    <x:row r="755" ht="15" hidden="0" customHeight="1">
      <x:c r="A755" s="29" t="str">
        <x:v>48345</x:v>
      </x:c>
      <x:c r="B755" s="29" t="str">
        <x:v>SCA-15</x:v>
      </x:c>
      <x:c r="C755" s="44" t="n">
        <x:v>1043</x:v>
      </x:c>
      <x:c r="D755" s="44" t="n">
        <x:v>12.970936738081807</x:v>
      </x:c>
      <x:c r="E755" s="44" t="n">
        <x:v>223.44710059171598</x:v>
      </x:c>
      <x:c r="F755" s="44" t="n">
        <x:v>8.996698767713081</x:v>
      </x:c>
      <x:c r="G755" s="44" t="n">
        <x:v>9.322062552831785</x:v>
      </x:c>
      <x:c r="H755" s="44" t="n">
        <x:v>788.2632013496573</x:v>
      </x:c>
      <x:c r="I755" s="44" t="n">
        <x:v>1043</x:v>
      </x:c>
      <x:c r="J755" s="44" t="n">
        <x:v>264</x:v>
      </x:c>
      <x:c r="K755" s="44" t="n">
        <x:v>12.657339647806722</x:v>
      </x:c>
      <x:c r="L755" s="44" t="n">
        <x:v>3.6606408800936414</x:v>
      </x:c>
    </x:row>
    <x:row r="756" ht="15" hidden="0" customHeight="1">
      <x:c r="A756" s="27" t="str">
        <x:v>48263</x:v>
      </x:c>
      <x:c r="B756" s="27" t="str">
        <x:v>SCA-15</x:v>
      </x:c>
      <x:c r="C756" s="43" t="n">
        <x:v>674</x:v>
      </x:c>
      <x:c r="D756" s="43" t="n">
        <x:v>9.739906108178499</x:v>
      </x:c>
      <x:c r="E756" s="43" t="n">
        <x:v>176.98447058823533</x:v>
      </x:c>
      <x:c r="F756" s="43" t="n">
        <x:v>5.813782329279594</x:v>
      </x:c>
      <x:c r="G756" s="43" t="n">
        <x:v>23.973529411764705</x:v>
      </x:c>
      <x:c r="H756" s="43" t="n">
        <x:v>457.48831156254187</x:v>
      </x:c>
      <x:c r="I756" s="43" t="n">
        <x:v>674</x:v>
      </x:c>
      <x:c r="J756" s="43" t="n">
        <x:v>186</x:v>
      </x:c>
      <x:c r="K756" s="43" t="n">
        <x:v>8.17933549628162</x:v>
      </x:c>
      <x:c r="L756" s="43" t="n">
        <x:v>2.365553167002027</x:v>
      </x:c>
    </x:row>
    <x:row r="757" ht="15" hidden="0" customHeight="1">
      <x:c r="A757" s="29" t="str">
        <x:v>48033</x:v>
      </x:c>
      <x:c r="B757" s="29" t="str">
        <x:v>SCA-15</x:v>
      </x:c>
      <x:c r="C757" s="44" t="n">
        <x:v>567</x:v>
      </x:c>
      <x:c r="D757" s="44" t="n">
        <x:v>4.598371873716767</x:v>
      </x:c>
      <x:c r="E757" s="44" t="n">
        <x:v>62.60061711079944</x:v>
      </x:c>
      <x:c r="F757" s="44" t="n">
        <x:v>4.890822820031943</x:v>
      </x:c>
      <x:c r="G757" s="44" t="n">
        <x:v>7.9649368863955115</x:v>
      </x:c>
      <x:c r="H757" s="44" t="n">
        <x:v>486.94525130905635</x:v>
      </x:c>
      <x:c r="I757" s="44" t="n">
        <x:v>567</x:v>
      </x:c>
      <x:c r="J757" s="44" t="n">
        <x:v>82</x:v>
      </x:c>
      <x:c r="K757" s="44" t="n">
        <x:v>6.880835647465399</x:v>
      </x:c>
      <x:c r="L757" s="44" t="n">
        <x:v>1.9900128274334559</x:v>
      </x:c>
    </x:row>
    <x:row r="758" ht="15" hidden="0" customHeight="1">
      <x:c r="A758" s="27" t="str">
        <x:v>48269</x:v>
      </x:c>
      <x:c r="B758" s="27" t="str">
        <x:v>SCA-15</x:v>
      </x:c>
      <x:c r="C758" s="43" t="n">
        <x:v>192</x:v>
      </x:c>
      <x:c r="D758" s="43" t="n">
        <x:v>2.0569947396289123</x:v>
      </x:c>
      <x:c r="E758" s="43" t="n">
        <x:v>33.19507109004739</x:v>
      </x:c>
      <x:c r="F758" s="43" t="n">
        <x:v>1.6561516427621394</x:v>
      </x:c>
      <x:c r="G758" s="43" t="n">
        <x:v>5.739336492890995</x:v>
      </x:c>
      <x:c r="H758" s="43" t="n">
        <x:v>149.35244603467055</x:v>
      </x:c>
      <x:c r="I758" s="43" t="n">
        <x:v>192</x:v>
      </x:c>
      <x:c r="J758" s="43" t="n">
        <x:v>38</x:v>
      </x:c>
      <x:c r="K758" s="43" t="n">
        <x:v>2.3300184203057435</x:v>
      </x:c>
      <x:c r="L758" s="43" t="n">
        <x:v>0.6738667775436041</x:v>
      </x:c>
    </x:row>
    <x:row r="759" ht="15" hidden="0" customHeight="1">
      <x:c r="A759" s="29" t="str">
        <x:v>40109</x:v>
      </x:c>
      <x:c r="B759" s="29" t="str">
        <x:v>SCA-16</x:v>
      </x:c>
      <x:c r="C759" s="44" t="n">
        <x:v>822125</x:v>
      </x:c>
      <x:c r="D759" s="44" t="n">
        <x:v>9696.784722223096</x:v>
      </x:c>
      <x:c r="E759" s="44" t="n">
        <x:v>116265.5632015925</x:v>
      </x:c>
      <x:c r="F759" s="44" t="n">
        <x:v>8331.37863851618</x:v>
      </x:c>
      <x:c r="G759" s="44" t="n">
        <x:v>29910.969769946958</x:v>
      </x:c>
      <x:c r="H759" s="44" t="n">
        <x:v>657920.3036677212</x:v>
      </x:c>
      <x:c r="I759" s="44" t="n">
        <x:v>822125</x:v>
      </x:c>
      <x:c r="J759" s="44" t="n">
        <x:v>116927</x:v>
      </x:c>
      <x:c r="K759" s="44" t="n">
        <x:v>13183.764894006255</x:v>
      </x:c>
      <x:c r="L759" s="44" t="n">
        <x:v>4852.386255490074</x:v>
      </x:c>
    </x:row>
    <x:row r="760" ht="15" hidden="0" customHeight="1">
      <x:c r="A760" s="27" t="str">
        <x:v>29095</x:v>
      </x:c>
      <x:c r="B760" s="27" t="str">
        <x:v>SCA-16</x:v>
      </x:c>
      <x:c r="C760" s="43" t="n">
        <x:v>732994</x:v>
      </x:c>
      <x:c r="D760" s="43" t="n">
        <x:v>9216.253400757272</x:v>
      </x:c>
      <x:c r="E760" s="43" t="n">
        <x:v>97006.3716578947</x:v>
      </x:c>
      <x:c r="F760" s="43" t="n">
        <x:v>4401.765928692302</x:v>
      </x:c>
      <x:c r="G760" s="43" t="n">
        <x:v>32990.766650743106</x:v>
      </x:c>
      <x:c r="H760" s="43" t="n">
        <x:v>589378.8423619126</x:v>
      </x:c>
      <x:c r="I760" s="43" t="n">
        <x:v>732994</x:v>
      </x:c>
      <x:c r="J760" s="43" t="n">
        <x:v>98406</x:v>
      </x:c>
      <x:c r="K760" s="43" t="n">
        <x:v>9576.087177037294</x:v>
      </x:c>
      <x:c r="L760" s="43" t="n">
        <x:v>5174.3212483449925</x:v>
      </x:c>
    </x:row>
    <x:row r="761" ht="15" hidden="0" customHeight="1">
      <x:c r="A761" s="29" t="str">
        <x:v>40143</x:v>
      </x:c>
      <x:c r="B761" s="29" t="str">
        <x:v>SCA-16</x:v>
      </x:c>
      <x:c r="C761" s="44" t="n">
        <x:v>698782</x:v>
      </x:c>
      <x:c r="D761" s="44" t="n">
        <x:v>8129.646096903169</x:v>
      </x:c>
      <x:c r="E761" s="44" t="n">
        <x:v>96126.26182245235</x:v>
      </x:c>
      <x:c r="F761" s="44" t="n">
        <x:v>7081.426094303924</x:v>
      </x:c>
      <x:c r="G761" s="44" t="n">
        <x:v>23180.74108080215</x:v>
      </x:c>
      <x:c r="H761" s="44" t="n">
        <x:v>564263.9249055384</x:v>
      </x:c>
      <x:c r="I761" s="44" t="n">
        <x:v>698782</x:v>
      </x:c>
      <x:c r="J761" s="44" t="n">
        <x:v>96636</x:v>
      </x:c>
      <x:c r="K761" s="44" t="n">
        <x:v>11205.811281938244</x:v>
      </x:c>
      <x:c r="L761" s="44" t="n">
        <x:v>4124.38518763432</x:v>
      </x:c>
    </x:row>
    <x:row r="762" ht="15" hidden="0" customHeight="1">
      <x:c r="A762" s="27" t="str">
        <x:v>20091</x:v>
      </x:c>
      <x:c r="B762" s="27" t="str">
        <x:v>SCA-16</x:v>
      </x:c>
      <x:c r="C762" s="43" t="n">
        <x:v>636906</x:v>
      </x:c>
      <x:c r="D762" s="43" t="n">
        <x:v>6695.711242495199</x:v>
      </x:c>
      <x:c r="E762" s="43" t="n">
        <x:v>54974.715428237374</x:v>
      </x:c>
      <x:c r="F762" s="43" t="n">
        <x:v>4456.963461892775</x:v>
      </x:c>
      <x:c r="G762" s="43" t="n">
        <x:v>12571.504138418195</x:v>
      </x:c>
      <x:c r="H762" s="43" t="n">
        <x:v>558207.1057289565</x:v>
      </x:c>
      <x:c r="I762" s="43" t="n">
        <x:v>636906</x:v>
      </x:c>
      <x:c r="J762" s="43" t="n">
        <x:v>55369</x:v>
      </x:c>
      <x:c r="K762" s="43" t="n">
        <x:v>8862.06156154475</x:v>
      </x:c>
      <x:c r="L762" s="43" t="n">
        <x:v>4405.098099651975</x:v>
      </x:c>
    </x:row>
    <x:row r="763" ht="15" hidden="0" customHeight="1">
      <x:c r="A763" s="29" t="str">
        <x:v>31055</x:v>
      </x:c>
      <x:c r="B763" s="29" t="str">
        <x:v>SCA-16</x:v>
      </x:c>
      <x:c r="C763" s="44" t="n">
        <x:v>606460</x:v>
      </x:c>
      <x:c r="D763" s="44" t="n">
        <x:v>6353.019451418479</x:v>
      </x:c>
      <x:c r="E763" s="44" t="n">
        <x:v>64371.64438787032</x:v>
      </x:c>
      <x:c r="F763" s="44" t="n">
        <x:v>2886.245320807983</x:v>
      </x:c>
      <x:c r="G763" s="44" t="n">
        <x:v>21331.742716652636</x:v>
      </x:c>
      <x:c r="H763" s="44" t="n">
        <x:v>511517.3481232506</x:v>
      </x:c>
      <x:c r="I763" s="44" t="n">
        <x:v>606460</x:v>
      </x:c>
      <x:c r="J763" s="44" t="n">
        <x:v>64624</x:v>
      </x:c>
      <x:c r="K763" s="44" t="n">
        <x:v>6557.112922731865</x:v>
      </x:c>
      <x:c r="L763" s="44" t="n">
        <x:v>3670.8676019238824</x:v>
      </x:c>
    </x:row>
    <x:row r="764" ht="15" hidden="0" customHeight="1">
      <x:c r="A764" s="27" t="str">
        <x:v>20173</x:v>
      </x:c>
      <x:c r="B764" s="27" t="str">
        <x:v>SCA-16</x:v>
      </x:c>
      <x:c r="C764" s="43" t="n">
        <x:v>538433</x:v>
      </x:c>
      <x:c r="D764" s="43" t="n">
        <x:v>6852.069108862199</x:v>
      </x:c>
      <x:c r="E764" s="43" t="n">
        <x:v>75073.19734186493</x:v>
      </x:c>
      <x:c r="F764" s="43" t="n">
        <x:v>3767.865599754614</x:v>
      </x:c>
      <x:c r="G764" s="43" t="n">
        <x:v>16351.158481356999</x:v>
      </x:c>
      <x:c r="H764" s="43" t="n">
        <x:v>436388.7094681612</x:v>
      </x:c>
      <x:c r="I764" s="43" t="n">
        <x:v>538433</x:v>
      </x:c>
      <x:c r="J764" s="43" t="n">
        <x:v>75494</x:v>
      </x:c>
      <x:c r="K764" s="43" t="n">
        <x:v>7491.884819372441</x:v>
      </x:c>
      <x:c r="L764" s="43" t="n">
        <x:v>3724.019219617827</x:v>
      </x:c>
    </x:row>
    <x:row r="765" ht="15" hidden="0" customHeight="1">
      <x:c r="A765" s="29" t="str">
        <x:v>31109</x:v>
      </x:c>
      <x:c r="B765" s="29" t="str">
        <x:v>SCA-16</x:v>
      </x:c>
      <x:c r="C765" s="44" t="n">
        <x:v>334049</x:v>
      </x:c>
      <x:c r="D765" s="44" t="n">
        <x:v>3673.2304662045394</x:v>
      </x:c>
      <x:c r="E765" s="44" t="n">
        <x:v>39630.024614160895</x:v>
      </x:c>
      <x:c r="F765" s="44" t="n">
        <x:v>1589.795474014091</x:v>
      </x:c>
      <x:c r="G765" s="44" t="n">
        <x:v>10189.276313990627</x:v>
      </x:c>
      <x:c r="H765" s="44" t="n">
        <x:v>278966.6731316299</x:v>
      </x:c>
      <x:c r="I765" s="44" t="n">
        <x:v>334049</x:v>
      </x:c>
      <x:c r="J765" s="44" t="n">
        <x:v>39773</x:v>
      </x:c>
      <x:c r="K765" s="44" t="n">
        <x:v>3611.7749146285933</x:v>
      </x:c>
      <x:c r="L765" s="44" t="n">
        <x:v>2021.9794406145022</x:v>
      </x:c>
    </x:row>
    <x:row r="766" ht="15" hidden="0" customHeight="1">
      <x:c r="A766" s="27" t="str">
        <x:v>05007</x:v>
      </x:c>
      <x:c r="B766" s="27" t="str">
        <x:v>SCA-16</x:v>
      </x:c>
      <x:c r="C766" s="43" t="n">
        <x:v>332554</x:v>
      </x:c>
      <x:c r="D766" s="43" t="n">
        <x:v>3324.2864073368455</x:v>
      </x:c>
      <x:c r="E766" s="43" t="n">
        <x:v>32189.145564779155</x:v>
      </x:c>
      <x:c r="F766" s="43" t="n">
        <x:v>3181.7051175136285</x:v>
      </x:c>
      <x:c r="G766" s="43" t="n">
        <x:v>5218.351590878236</x:v>
      </x:c>
      <x:c r="H766" s="43" t="n">
        <x:v>288640.5113194921</x:v>
      </x:c>
      <x:c r="I766" s="43" t="n">
        <x:v>332554</x:v>
      </x:c>
      <x:c r="J766" s="43" t="n">
        <x:v>30450</x:v>
      </x:c>
      <x:c r="K766" s="43" t="n">
        <x:v>5164.777126318009</x:v>
      </x:c>
      <x:c r="L766" s="43" t="n">
        <x:v>1983.072008804381</x:v>
      </x:c>
    </x:row>
    <x:row r="767" ht="15" hidden="0" customHeight="1">
      <x:c r="A767" s="29" t="str">
        <x:v>05143</x:v>
      </x:c>
      <x:c r="B767" s="29" t="str">
        <x:v>SCA-16</x:v>
      </x:c>
      <x:c r="C767" s="44" t="n">
        <x:v>271213</x:v>
      </x:c>
      <x:c r="D767" s="44" t="n">
        <x:v>2813.89657732447</x:v>
      </x:c>
      <x:c r="E767" s="44" t="n">
        <x:v>28718.65527896456</x:v>
      </x:c>
      <x:c r="F767" s="44" t="n">
        <x:v>2594.82607346844</x:v>
      </x:c>
      <x:c r="G767" s="44" t="n">
        <x:v>6221.659929473486</x:v>
      </x:c>
      <x:c r="H767" s="44" t="n">
        <x:v>230863.96214076906</x:v>
      </x:c>
      <x:c r="I767" s="44" t="n">
        <x:v>271213</x:v>
      </x:c>
      <x:c r="J767" s="44" t="n">
        <x:v>28089</x:v>
      </x:c>
      <x:c r="K767" s="44" t="n">
        <x:v>4212.112014169386</x:v>
      </x:c>
      <x:c r="L767" s="44" t="n">
        <x:v>1617.2859407009466</x:v>
      </x:c>
    </x:row>
    <x:row r="768" ht="15" hidden="0" customHeight="1">
      <x:c r="A768" s="27" t="str">
        <x:v>29047</x:v>
      </x:c>
      <x:c r="B768" s="27" t="str">
        <x:v>SCA-16</x:v>
      </x:c>
      <x:c r="C768" s="43" t="n">
        <x:v>265032</x:v>
      </x:c>
      <x:c r="D768" s="43" t="n">
        <x:v>3278.737693782108</x:v>
      </x:c>
      <x:c r="E768" s="43" t="n">
        <x:v>33788.031488107765</x:v>
      </x:c>
      <x:c r="F768" s="43" t="n">
        <x:v>1591.5666807820776</x:v>
      </x:c>
      <x:c r="G768" s="43" t="n">
        <x:v>6756.366472555485</x:v>
      </x:c>
      <x:c r="H768" s="43" t="n">
        <x:v>219617.29766477254</x:v>
      </x:c>
      <x:c r="I768" s="43" t="n">
        <x:v>265032</x:v>
      </x:c>
      <x:c r="J768" s="43" t="n">
        <x:v>34070</x:v>
      </x:c>
      <x:c r="K768" s="43" t="n">
        <x:v>3462.4697292263622</x:v>
      </x:c>
      <x:c r="L768" s="43" t="n">
        <x:v>1870.9030484442847</x:v>
      </x:c>
    </x:row>
    <x:row r="769" ht="15" hidden="0" customHeight="1">
      <x:c r="A769" s="29" t="str">
        <x:v>31153</x:v>
      </x:c>
      <x:c r="B769" s="29" t="str">
        <x:v>SCA-16</x:v>
      </x:c>
      <x:c r="C769" s="44" t="n">
        <x:v>208303</x:v>
      </x:c>
      <x:c r="D769" s="44" t="n">
        <x:v>2097.3901146033254</x:v>
      </x:c>
      <x:c r="E769" s="44" t="n">
        <x:v>20077.056022904682</x:v>
      </x:c>
      <x:c r="F769" s="44" t="n">
        <x:v>991.3490734100601</x:v>
      </x:c>
      <x:c r="G769" s="44" t="n">
        <x:v>3302.8817732457114</x:v>
      </x:c>
      <x:c r="H769" s="44" t="n">
        <x:v>181834.3230158362</x:v>
      </x:c>
      <x:c r="I769" s="44" t="n">
        <x:v>208303</x:v>
      </x:c>
      <x:c r="J769" s="44" t="n">
        <x:v>19357</x:v>
      </x:c>
      <x:c r="K769" s="44" t="n">
        <x:v>2252.1951870590237</x:v>
      </x:c>
      <x:c r="L769" s="44" t="n">
        <x:v>1260.8461136489636</x:v>
      </x:c>
    </x:row>
    <x:row r="770" ht="15" hidden="0" customHeight="1">
      <x:c r="A770" s="27" t="str">
        <x:v>40017</x:v>
      </x:c>
      <x:c r="B770" s="27" t="str">
        <x:v>SCA-16</x:v>
      </x:c>
      <x:c r="C770" s="43" t="n">
        <x:v>187189</x:v>
      </x:c>
      <x:c r="D770" s="43" t="n">
        <x:v>2206.586975926211</x:v>
      </x:c>
      <x:c r="E770" s="43" t="n">
        <x:v>26442.02242153652</x:v>
      </x:c>
      <x:c r="F770" s="43" t="n">
        <x:v>1896.9651038044155</x:v>
      </x:c>
      <x:c r="G770" s="43" t="n">
        <x:v>3199.915007661569</x:v>
      </x:c>
      <x:c r="H770" s="43" t="n">
        <x:v>153443.5104910713</x:v>
      </x:c>
      <x:c r="I770" s="43" t="n">
        <x:v>187189</x:v>
      </x:c>
      <x:c r="J770" s="43" t="n">
        <x:v>24487</x:v>
      </x:c>
      <x:c r="K770" s="43" t="n">
        <x:v>3001.8011454999382</x:v>
      </x:c>
      <x:c r="L770" s="43" t="n">
        <x:v>1104.8360416955227</x:v>
      </x:c>
    </x:row>
    <x:row r="771" ht="15" hidden="0" customHeight="1">
      <x:c r="A771" s="29" t="str">
        <x:v>20177</x:v>
      </x:c>
      <x:c r="B771" s="29" t="str">
        <x:v>SCA-16</x:v>
      </x:c>
      <x:c r="C771" s="44" t="n">
        <x:v>178607</x:v>
      </x:c>
      <x:c r="D771" s="44" t="n">
        <x:v>2354.861664733552</x:v>
      </x:c>
      <x:c r="E771" s="44" t="n">
        <x:v>26869.0513383481</x:v>
      </x:c>
      <x:c r="F771" s="44" t="n">
        <x:v>1249.8624177481177</x:v>
      </x:c>
      <x:c r="G771" s="44" t="n">
        <x:v>6566.738809860728</x:v>
      </x:c>
      <x:c r="H771" s="44" t="n">
        <x:v>141566.4857693095</x:v>
      </x:c>
      <x:c r="I771" s="44" t="n">
        <x:v>178607</x:v>
      </x:c>
      <x:c r="J771" s="44" t="n">
        <x:v>27353</x:v>
      </x:c>
      <x:c r="K771" s="44" t="n">
        <x:v>2485.1802767171653</x:v>
      </x:c>
      <x:c r="L771" s="44" t="n">
        <x:v>1235.3178589690476</x:v>
      </x:c>
    </x:row>
    <x:row r="772" ht="15" hidden="0" customHeight="1">
      <x:c r="A772" s="27" t="str">
        <x:v>20209</x:v>
      </x:c>
      <x:c r="B772" s="27" t="str">
        <x:v>SCA-16</x:v>
      </x:c>
      <x:c r="C772" s="43" t="n">
        <x:v>170597</x:v>
      </x:c>
      <x:c r="D772" s="43" t="n">
        <x:v>2106.5634825730826</x:v>
      </x:c>
      <x:c r="E772" s="43" t="n">
        <x:v>22239.50413751595</x:v>
      </x:c>
      <x:c r="F772" s="43" t="n">
        <x:v>1193.809754828062</x:v>
      </x:c>
      <x:c r="G772" s="43" t="n">
        <x:v>6011.844915376652</x:v>
      </x:c>
      <x:c r="H772" s="43" t="n">
        <x:v>139045.27770970625</x:v>
      </x:c>
      <x:c r="I772" s="43" t="n">
        <x:v>170597</x:v>
      </x:c>
      <x:c r="J772" s="43" t="n">
        <x:v>22562</x:v>
      </x:c>
      <x:c r="K772" s="43" t="n">
        <x:v>2373.7272316713133</x:v>
      </x:c>
      <x:c r="L772" s="43" t="n">
        <x:v>1179.9174768432513</x:v>
      </x:c>
    </x:row>
    <x:row r="773" ht="15" hidden="0" customHeight="1">
      <x:c r="A773" s="29" t="str">
        <x:v>29097</x:v>
      </x:c>
      <x:c r="B773" s="29" t="str">
        <x:v>SCA-16</x:v>
      </x:c>
      <x:c r="C773" s="44" t="n">
        <x:v>127428</x:v>
      </x:c>
      <x:c r="D773" s="44" t="n">
        <x:v>1773.9317154807254</x:v>
      </x:c>
      <x:c r="E773" s="44" t="n">
        <x:v>20985.532623393035</x:v>
      </x:c>
      <x:c r="F773" s="44" t="n">
        <x:v>765.2289497068226</x:v>
      </x:c>
      <x:c r="G773" s="44" t="n">
        <x:v>4259.075311672215</x:v>
      </x:c>
      <x:c r="H773" s="44" t="n">
        <x:v>99644.2313997472</x:v>
      </x:c>
      <x:c r="I773" s="44" t="n">
        <x:v>127428</x:v>
      </x:c>
      <x:c r="J773" s="44" t="n">
        <x:v>21177</x:v>
      </x:c>
      <x:c r="K773" s="44" t="n">
        <x:v>1664.7634725461714</x:v>
      </x:c>
      <x:c r="L773" s="44" t="n">
        <x:v>899.5345228393488</x:v>
      </x:c>
    </x:row>
    <x:row r="774" ht="15" hidden="0" customHeight="1">
      <x:c r="A774" s="27" t="str">
        <x:v>20045</x:v>
      </x:c>
      <x:c r="B774" s="27" t="str">
        <x:v>SCA-16</x:v>
      </x:c>
      <x:c r="C774" s="43" t="n">
        <x:v>120920</x:v>
      </x:c>
      <x:c r="D774" s="43" t="n">
        <x:v>1377.3458883374258</x:v>
      </x:c>
      <x:c r="E774" s="43" t="n">
        <x:v>12984.34864099329</x:v>
      </x:c>
      <x:c r="F774" s="43" t="n">
        <x:v>846.1782771901574</x:v>
      </x:c>
      <x:c r="G774" s="43" t="n">
        <x:v>4494.907848232415</x:v>
      </x:c>
      <x:c r="H774" s="43" t="n">
        <x:v>101217.2193452467</x:v>
      </x:c>
      <x:c r="I774" s="43" t="n">
        <x:v>120920</x:v>
      </x:c>
      <x:c r="J774" s="43" t="n">
        <x:v>13387</x:v>
      </x:c>
      <x:c r="K774" s="43" t="n">
        <x:v>1682.5096388195293</x:v>
      </x:c>
      <x:c r="L774" s="43" t="n">
        <x:v>836.3313616293719</x:v>
      </x:c>
    </x:row>
    <x:row r="775" ht="15" hidden="0" customHeight="1">
      <x:c r="A775" s="29" t="str">
        <x:v>29037</x:v>
      </x:c>
      <x:c r="B775" s="29" t="str">
        <x:v>SCA-16</x:v>
      </x:c>
      <x:c r="C775" s="44" t="n">
        <x:v>115859</x:v>
      </x:c>
      <x:c r="D775" s="44" t="n">
        <x:v>1468.742818581763</x:v>
      </x:c>
      <x:c r="E775" s="44" t="n">
        <x:v>15621.016970447838</x:v>
      </x:c>
      <x:c r="F775" s="44" t="n">
        <x:v>695.75494305869</x:v>
      </x:c>
      <x:c r="G775" s="44" t="n">
        <x:v>2139.4307746966438</x:v>
      </x:c>
      <x:c r="H775" s="44" t="n">
        <x:v>95934.05449321507</x:v>
      </x:c>
      <x:c r="I775" s="44" t="n">
        <x:v>115859</x:v>
      </x:c>
      <x:c r="J775" s="44" t="n">
        <x:v>15417</x:v>
      </x:c>
      <x:c r="K775" s="44" t="n">
        <x:v>1513.62205453846</x:v>
      </x:c>
      <x:c r="L775" s="44" t="n">
        <x:v>817.86711147977</x:v>
      </x:c>
    </x:row>
    <x:row r="776" ht="15" hidden="0" customHeight="1">
      <x:c r="A776" s="27" t="str">
        <x:v>29165</x:v>
      </x:c>
      <x:c r="B776" s="27" t="str">
        <x:v>SCA-16</x:v>
      </x:c>
      <x:c r="C776" s="43" t="n">
        <x:v>114400</x:v>
      </x:c>
      <x:c r="D776" s="43" t="n">
        <x:v>1382.603407592857</x:v>
      </x:c>
      <x:c r="E776" s="43" t="n">
        <x:v>13800.85462094756</x:v>
      </x:c>
      <x:c r="F776" s="43" t="n">
        <x:v>686.9933754470013</x:v>
      </x:c>
      <x:c r="G776" s="43" t="n">
        <x:v>2261.0345093078895</x:v>
      </x:c>
      <x:c r="H776" s="43" t="n">
        <x:v>96268.51408670469</x:v>
      </x:c>
      <x:c r="I776" s="43" t="n">
        <x:v>114400</x:v>
      </x:c>
      <x:c r="J776" s="43" t="n">
        <x:v>13710</x:v>
      </x:c>
      <x:c r="K776" s="43" t="n">
        <x:v>1494.56117383371</x:v>
      </x:c>
      <x:c r="L776" s="43" t="n">
        <x:v>807.5677983867087</x:v>
      </x:c>
    </x:row>
    <x:row r="777" ht="15" hidden="0" customHeight="1">
      <x:c r="A777" s="29" t="str">
        <x:v>40131</x:v>
      </x:c>
      <x:c r="B777" s="29" t="str">
        <x:v>SCA-16</x:v>
      </x:c>
      <x:c r="C777" s="44" t="n">
        <x:v>102197</x:v>
      </x:c>
      <x:c r="D777" s="44" t="n">
        <x:v>1289.7476112460652</x:v>
      </x:c>
      <x:c r="E777" s="44" t="n">
        <x:v>16477.33189215807</x:v>
      </x:c>
      <x:c r="F777" s="44" t="n">
        <x:v>1035.6599090411291</x:v>
      </x:c>
      <x:c r="G777" s="44" t="n">
        <x:v>1409.494337067586</x:v>
      </x:c>
      <x:c r="H777" s="44" t="n">
        <x:v>81984.76625048714</x:v>
      </x:c>
      <x:c r="I777" s="44" t="n">
        <x:v>102197</x:v>
      </x:c>
      <x:c r="J777" s="44" t="n">
        <x:v>16371</x:v>
      </x:c>
      <x:c r="K777" s="44" t="n">
        <x:v>1638.852024780608</x:v>
      </x:c>
      <x:c r="L777" s="44" t="n">
        <x:v>603.1921157394789</x:v>
      </x:c>
    </x:row>
    <x:row r="778" ht="15" hidden="0" customHeight="1">
      <x:c r="A778" s="27" t="str">
        <x:v>40145</x:v>
      </x:c>
      <x:c r="B778" s="27" t="str">
        <x:v>SCA-16</x:v>
      </x:c>
      <x:c r="C778" s="43" t="n">
        <x:v>93263</x:v>
      </x:c>
      <x:c r="D778" s="43" t="n">
        <x:v>1213.2117001651125</x:v>
      </x:c>
      <x:c r="E778" s="43" t="n">
        <x:v>15906.006594689774</x:v>
      </x:c>
      <x:c r="F778" s="43" t="n">
        <x:v>945.1231454632015</x:v>
      </x:c>
      <x:c r="G778" s="43" t="n">
        <x:v>1254.0741856262453</x:v>
      </x:c>
      <x:c r="H778" s="43" t="n">
        <x:v>73944.58437405566</x:v>
      </x:c>
      <x:c r="I778" s="43" t="n">
        <x:v>93263</x:v>
      </x:c>
      <x:c r="J778" s="43" t="n">
        <x:v>15336</x:v>
      </x:c>
      <x:c r="K778" s="43" t="n">
        <x:v>1495.5845708495733</x:v>
      </x:c>
      <x:c r="L778" s="43" t="n">
        <x:v>550.4614253863717</x:v>
      </x:c>
    </x:row>
    <x:row r="779" ht="15" hidden="0" customHeight="1">
      <x:c r="A779" s="29" t="str">
        <x:v>20103</x:v>
      </x:c>
      <x:c r="B779" s="29" t="str">
        <x:v>SCA-16</x:v>
      </x:c>
      <x:c r="C779" s="44" t="n">
        <x:v>84590</x:v>
      </x:c>
      <x:c r="D779" s="44" t="n">
        <x:v>1072.4264780936826</x:v>
      </x:c>
      <x:c r="E779" s="44" t="n">
        <x:v>11696.832256207643</x:v>
      </x:c>
      <x:c r="F779" s="44" t="n">
        <x:v>591.9469109123006</x:v>
      </x:c>
      <x:c r="G779" s="44" t="n">
        <x:v>1972.5637248488972</x:v>
      </x:c>
      <x:c r="H779" s="44" t="n">
        <x:v>69256.23062993748</x:v>
      </x:c>
      <x:c r="I779" s="44" t="n">
        <x:v>84590</x:v>
      </x:c>
      <x:c r="J779" s="44" t="n">
        <x:v>11010</x:v>
      </x:c>
      <x:c r="K779" s="44" t="n">
        <x:v>1177.0053783306646</x:v>
      </x:c>
      <x:c r="L779" s="44" t="n">
        <x:v>585.058467418364</x:v>
      </x:c>
    </x:row>
    <x:row r="780" ht="15" hidden="0" customHeight="1">
      <x:c r="A780" s="27" t="str">
        <x:v>40119</x:v>
      </x:c>
      <x:c r="B780" s="27" t="str">
        <x:v>SCA-16</x:v>
      </x:c>
      <x:c r="C780" s="43" t="n">
        <x:v>83889</x:v>
      </x:c>
      <x:c r="D780" s="43" t="n">
        <x:v>966.4521170374095</x:v>
      </x:c>
      <x:c r="E780" s="43" t="n">
        <x:v>11311.640914923839</x:v>
      </x:c>
      <x:c r="F780" s="43" t="n">
        <x:v>850.1274412120831</x:v>
      </x:c>
      <x:c r="G780" s="43" t="n">
        <x:v>2532.2079884410055</x:v>
      </x:c>
      <x:c r="H780" s="43" t="n">
        <x:v>68228.57153838566</x:v>
      </x:c>
      <x:c r="I780" s="43" t="n">
        <x:v>83889</x:v>
      </x:c>
      <x:c r="J780" s="43" t="n">
        <x:v>11471</x:v>
      </x:c>
      <x:c r="K780" s="43" t="n">
        <x:v>1345.2611867943326</x:v>
      </x:c>
      <x:c r="L780" s="43" t="n">
        <x:v>495.1337455822495</x:v>
      </x:c>
    </x:row>
    <x:row r="781" ht="15" hidden="0" customHeight="1">
      <x:c r="A781" s="29" t="str">
        <x:v>29021</x:v>
      </x:c>
      <x:c r="B781" s="29" t="str">
        <x:v>SCA-16</x:v>
      </x:c>
      <x:c r="C781" s="44" t="n">
        <x:v>83540</x:v>
      </x:c>
      <x:c r="D781" s="44" t="n">
        <x:v>1201.977801879458</x:v>
      </x:c>
      <x:c r="E781" s="44" t="n">
        <x:v>14694.135662472243</x:v>
      </x:c>
      <x:c r="F781" s="44" t="n">
        <x:v>501.6733093080639</x:v>
      </x:c>
      <x:c r="G781" s="44" t="n">
        <x:v>3322.2432765852454</x:v>
      </x:c>
      <x:c r="H781" s="44" t="n">
        <x:v>63819.96994975499</x:v>
      </x:c>
      <x:c r="I781" s="44" t="n">
        <x:v>83540</x:v>
      </x:c>
      <x:c r="J781" s="44" t="n">
        <x:v>14852</x:v>
      </x:c>
      <x:c r="K781" s="44" t="n">
        <x:v>1091.3954585845117</x:v>
      </x:c>
      <x:c r="L781" s="44" t="n">
        <x:v>589.7221492764479</x:v>
      </x:c>
    </x:row>
    <x:row r="782" ht="15" hidden="0" customHeight="1">
      <x:c r="A782" s="27" t="str">
        <x:v>40037</x:v>
      </x:c>
      <x:c r="B782" s="27" t="str">
        <x:v>SCA-16</x:v>
      </x:c>
      <x:c r="C782" s="43" t="n">
        <x:v>74967</x:v>
      </x:c>
      <x:c r="D782" s="43" t="n">
        <x:v>884.3232596093379</x:v>
      </x:c>
      <x:c r="E782" s="43" t="n">
        <x:v>10604.385057484033</x:v>
      </x:c>
      <x:c r="F782" s="43" t="n">
        <x:v>759.712285107061</x:v>
      </x:c>
      <x:c r="G782" s="43" t="n">
        <x:v>2071.091807831158</x:v>
      </x:c>
      <x:c r="H782" s="43" t="n">
        <x:v>60647.48758996842</x:v>
      </x:c>
      <x:c r="I782" s="43" t="n">
        <x:v>74967</x:v>
      </x:c>
      <x:c r="J782" s="43" t="n">
        <x:v>10612</x:v>
      </x:c>
      <x:c r="K782" s="43" t="n">
        <x:v>1202.1861673212309</x:v>
      </x:c>
      <x:c r="L782" s="43" t="n">
        <x:v>442.47388221416986</x:v>
      </x:c>
    </x:row>
    <x:row r="783" ht="15" hidden="0" customHeight="1">
      <x:c r="A783" s="29" t="str">
        <x:v>20161</x:v>
      </x:c>
      <x:c r="B783" s="29" t="str">
        <x:v>SCA-16</x:v>
      </x:c>
      <x:c r="C783" s="44" t="n">
        <x:v>72598</x:v>
      </x:c>
      <x:c r="D783" s="44" t="n">
        <x:v>859.9402333625601</x:v>
      </x:c>
      <x:c r="E783" s="44" t="n">
        <x:v>8587.758285140251</x:v>
      </x:c>
      <x:c r="F783" s="44" t="n">
        <x:v>508.0288667503395</x:v>
      </x:c>
      <x:c r="G783" s="44" t="n">
        <x:v>1490.5246889730315</x:v>
      </x:c>
      <x:c r="H783" s="44" t="n">
        <x:v>61151.747925773816</x:v>
      </x:c>
      <x:c r="I783" s="44" t="n">
        <x:v>72598</x:v>
      </x:c>
      <x:c r="J783" s="44" t="n">
        <x:v>7973</x:v>
      </x:c>
      <x:c r="K783" s="44" t="n">
        <x:v>1010.1458382320558</x:v>
      </x:c>
      <x:c r="L783" s="44" t="n">
        <x:v>502.11697148171635</x:v>
      </x:c>
    </x:row>
    <x:row r="784" ht="15" hidden="0" customHeight="1">
      <x:c r="A784" s="27" t="str">
        <x:v>20015</x:v>
      </x:c>
      <x:c r="B784" s="27" t="str">
        <x:v>SCA-16</x:v>
      </x:c>
      <x:c r="C784" s="43" t="n">
        <x:v>69484</x:v>
      </x:c>
      <x:c r="D784" s="43" t="n">
        <x:v>903.290944555172</x:v>
      </x:c>
      <x:c r="E784" s="43" t="n">
        <x:v>10145.079593282724</x:v>
      </x:c>
      <x:c r="F784" s="43" t="n">
        <x:v>486.23760678366597</x:v>
      </x:c>
      <x:c r="G784" s="43" t="n">
        <x:v>1418.5541599570586</x:v>
      </x:c>
      <x:c r="H784" s="43" t="n">
        <x:v>56530.83769542138</x:v>
      </x:c>
      <x:c r="I784" s="43" t="n">
        <x:v>69484</x:v>
      </x:c>
      <x:c r="J784" s="43" t="n">
        <x:v>9917</x:v>
      </x:c>
      <x:c r="K784" s="43" t="n">
        <x:v>966.8169016187245</x:v>
      </x:c>
      <x:c r="L784" s="43" t="n">
        <x:v>480.57929483505853</x:v>
      </x:c>
    </x:row>
    <x:row r="785" ht="15" hidden="0" customHeight="1">
      <x:c r="A785" s="29" t="str">
        <x:v>40101</x:v>
      </x:c>
      <x:c r="B785" s="29" t="str">
        <x:v>SCA-16</x:v>
      </x:c>
      <x:c r="C785" s="44" t="n">
        <x:v>66708</x:v>
      </x:c>
      <x:c r="D785" s="44" t="n">
        <x:v>1021.3343351062435</x:v>
      </x:c>
      <x:c r="E785" s="44" t="n">
        <x:v>15062.571008096975</x:v>
      </x:c>
      <x:c r="F785" s="44" t="n">
        <x:v>676.0159418800516</x:v>
      </x:c>
      <x:c r="G785" s="44" t="n">
        <x:v>2377.3595261770606</x:v>
      </x:c>
      <x:c r="H785" s="44" t="n">
        <x:v>47570.71918873967</x:v>
      </x:c>
      <x:c r="I785" s="44" t="n">
        <x:v>66708</x:v>
      </x:c>
      <x:c r="J785" s="44" t="n">
        <x:v>14902</x:v>
      </x:c>
      <x:c r="K785" s="44" t="n">
        <x:v>1069.7431516489212</x:v>
      </x:c>
      <x:c r="L785" s="44" t="n">
        <x:v>393.72720976886956</x:v>
      </x:c>
    </x:row>
    <x:row r="786" ht="15" hidden="0" customHeight="1">
      <x:c r="A786" s="27" t="str">
        <x:v>31079</x:v>
      </x:c>
      <x:c r="B786" s="27" t="str">
        <x:v>SCA-16</x:v>
      </x:c>
      <x:c r="C786" s="43" t="n">
        <x:v>63633</x:v>
      </x:c>
      <x:c r="D786" s="43" t="n">
        <x:v>707.6613050195348</x:v>
      </x:c>
      <x:c r="E786" s="43" t="n">
        <x:v>7739.865722874042</x:v>
      </x:c>
      <x:c r="F786" s="43" t="n">
        <x:v>302.8401683523635</x:v>
      </x:c>
      <x:c r="G786" s="43" t="n">
        <x:v>2112.94710559488</x:v>
      </x:c>
      <x:c r="H786" s="43" t="n">
        <x:v>52769.68569815918</x:v>
      </x:c>
      <x:c r="I786" s="43" t="n">
        <x:v>63633</x:v>
      </x:c>
      <x:c r="J786" s="43" t="n">
        <x:v>7840</x:v>
      </x:c>
      <x:c r="K786" s="43" t="n">
        <x:v>688.0070682521465</x:v>
      </x:c>
      <x:c r="L786" s="43" t="n">
        <x:v>385.166899899783</x:v>
      </x:c>
    </x:row>
    <x:row r="787" ht="15" hidden="0" customHeight="1">
      <x:c r="A787" s="29" t="str">
        <x:v>05033</x:v>
      </x:c>
      <x:c r="B787" s="29" t="str">
        <x:v>SCA-16</x:v>
      </x:c>
      <x:c r="C787" s="44" t="n">
        <x:v>62657</x:v>
      </x:c>
      <x:c r="D787" s="44" t="n">
        <x:v>863.8186141018261</x:v>
      </x:c>
      <x:c r="E787" s="44" t="n">
        <x:v>11764.44072517757</x:v>
      </x:c>
      <x:c r="F787" s="44" t="n">
        <x:v>599.4698531608442</x:v>
      </x:c>
      <x:c r="G787" s="44" t="n">
        <x:v>1357.454179704962</x:v>
      </x:c>
      <x:c r="H787" s="44" t="n">
        <x:v>48071.816627854794</x:v>
      </x:c>
      <x:c r="I787" s="44" t="n">
        <x:v>62657</x:v>
      </x:c>
      <x:c r="J787" s="44" t="n">
        <x:v>11813</x:v>
      </x:c>
      <x:c r="K787" s="44" t="n">
        <x:v>973.1034370469382</x:v>
      </x:c>
      <x:c r="L787" s="44" t="n">
        <x:v>373.633583886094</x:v>
      </x:c>
    </x:row>
    <x:row r="788" ht="15" hidden="0" customHeight="1">
      <x:c r="A788" s="27" t="str">
        <x:v>29145</x:v>
      </x:c>
      <x:c r="B788" s="27" t="str">
        <x:v>SCA-16</x:v>
      </x:c>
      <x:c r="C788" s="43" t="n">
        <x:v>62263</x:v>
      </x:c>
      <x:c r="D788" s="43" t="n">
        <x:v>813.7825484793218</x:v>
      </x:c>
      <x:c r="E788" s="43" t="n">
        <x:v>8982.195045122258</x:v>
      </x:c>
      <x:c r="F788" s="43" t="n">
        <x:v>373.9009487365092</x:v>
      </x:c>
      <x:c r="G788" s="43" t="n">
        <x:v>1373.5835560036971</x:v>
      </x:c>
      <x:c r="H788" s="43" t="n">
        <x:v>50719.537901658216</x:v>
      </x:c>
      <x:c r="I788" s="43" t="n">
        <x:v>62263</x:v>
      </x:c>
      <x:c r="J788" s="43" t="n">
        <x:v>8942</x:v>
      </x:c>
      <x:c r="K788" s="43" t="n">
        <x:v>813.4253703357368</x:v>
      </x:c>
      <x:c r="L788" s="43" t="n">
        <x:v>439.52442159922765</x:v>
      </x:c>
    </x:row>
    <x:row r="789" ht="15" hidden="0" customHeight="1">
      <x:c r="A789" s="29" t="str">
        <x:v>40047</x:v>
      </x:c>
      <x:c r="B789" s="29" t="str">
        <x:v>SCA-16</x:v>
      </x:c>
      <x:c r="C789" s="44" t="n">
        <x:v>61779</x:v>
      </x:c>
      <x:c r="D789" s="44" t="n">
        <x:v>862.359685441208</x:v>
      </x:c>
      <x:c r="E789" s="44" t="n">
        <x:v>11945.391834538983</x:v>
      </x:c>
      <x:c r="F789" s="44" t="n">
        <x:v>626.0656723842374</x:v>
      </x:c>
      <x:c r="G789" s="44" t="n">
        <x:v>1675.8340461433086</x:v>
      </x:c>
      <x:c r="H789" s="44" t="n">
        <x:v>46669.34876149226</x:v>
      </x:c>
      <x:c r="I789" s="44" t="n">
        <x:v>61779</x:v>
      </x:c>
      <x:c r="J789" s="44" t="n">
        <x:v>12056</x:v>
      </x:c>
      <x:c r="K789" s="44" t="n">
        <x:v>990.7006980529876</x:v>
      </x:c>
      <x:c r="L789" s="44" t="n">
        <x:v>364.63502566875025</x:v>
      </x:c>
    </x:row>
    <x:row r="790" ht="15" hidden="0" customHeight="1">
      <x:c r="A790" s="27" t="str">
        <x:v>20155</x:v>
      </x:c>
      <x:c r="B790" s="27" t="str">
        <x:v>SCA-16</x:v>
      </x:c>
      <x:c r="C790" s="43" t="n">
        <x:v>61539</x:v>
      </x:c>
      <x:c r="D790" s="43" t="n">
        <x:v>810.5786217207911</x:v>
      </x:c>
      <x:c r="E790" s="43" t="n">
        <x:v>9238.803428746573</x:v>
      </x:c>
      <x:c r="F790" s="43" t="n">
        <x:v>430.6398031756954</x:v>
      </x:c>
      <x:c r="G790" s="43" t="n">
        <x:v>1457.3455565583122</x:v>
      </x:c>
      <x:c r="H790" s="43" t="n">
        <x:v>49601.63258979863</x:v>
      </x:c>
      <x:c r="I790" s="43" t="n">
        <x:v>61539</x:v>
      </x:c>
      <x:c r="J790" s="43" t="n">
        <x:v>9184</x:v>
      </x:c>
      <x:c r="K790" s="43" t="n">
        <x:v>856.268282032046</x:v>
      </x:c>
      <x:c r="L790" s="43" t="n">
        <x:v>425.6284788563506</x:v>
      </x:c>
    </x:row>
    <x:row r="791" ht="15" hidden="0" customHeight="1">
      <x:c r="A791" s="29" t="str">
        <x:v>40083</x:v>
      </x:c>
      <x:c r="B791" s="29" t="str">
        <x:v>SCA-16</x:v>
      </x:c>
      <x:c r="C791" s="44" t="n">
        <x:v>55473</x:v>
      </x:c>
      <x:c r="D791" s="44" t="n">
        <x:v>680.5067410920198</x:v>
      </x:c>
      <x:c r="E791" s="44" t="n">
        <x:v>8474.191105327558</x:v>
      </x:c>
      <x:c r="F791" s="44" t="n">
        <x:v>562.1609453725505</x:v>
      </x:c>
      <x:c r="G791" s="44" t="n">
        <x:v>873.2460426903879</x:v>
      </x:c>
      <x:c r="H791" s="44" t="n">
        <x:v>44882.89516551748</x:v>
      </x:c>
      <x:c r="I791" s="44" t="n">
        <x:v>55473</x:v>
      </x:c>
      <x:c r="J791" s="44" t="n">
        <x:v>8193</x:v>
      </x:c>
      <x:c r="K791" s="44" t="n">
        <x:v>889.5763904092553</x:v>
      </x:c>
      <x:c r="L791" s="44" t="n">
        <x:v>327.41544503670474</x:v>
      </x:c>
    </x:row>
    <x:row r="792" ht="15" hidden="0" customHeight="1">
      <x:c r="A792" s="27" t="str">
        <x:v>40147</x:v>
      </x:c>
      <x:c r="B792" s="27" t="str">
        <x:v>SCA-16</x:v>
      </x:c>
      <x:c r="C792" s="43" t="n">
        <x:v>54037</x:v>
      </x:c>
      <x:c r="D792" s="43" t="n">
        <x:v>729.373870097691</x:v>
      </x:c>
      <x:c r="E792" s="43" t="n">
        <x:v>9850.417302463167</x:v>
      </x:c>
      <x:c r="F792" s="43" t="n">
        <x:v>547.6085844482272</x:v>
      </x:c>
      <x:c r="G792" s="43" t="n">
        <x:v>1484.5345298367367</x:v>
      </x:c>
      <x:c r="H792" s="43" t="n">
        <x:v>41425.06571315418</x:v>
      </x:c>
      <x:c r="I792" s="43" t="n">
        <x:v>54037</x:v>
      </x:c>
      <x:c r="J792" s="43" t="n">
        <x:v>10014</x:v>
      </x:c>
      <x:c r="K792" s="43" t="n">
        <x:v>866.5484002766198</x:v>
      </x:c>
      <x:c r="L792" s="43" t="n">
        <x:v>318.93981582839245</x:v>
      </x:c>
    </x:row>
    <x:row r="793" ht="15" hidden="0" customHeight="1">
      <x:c r="A793" s="29" t="str">
        <x:v>20169</x:v>
      </x:c>
      <x:c r="B793" s="29" t="str">
        <x:v>SCA-16</x:v>
      </x:c>
      <x:c r="C793" s="44" t="n">
        <x:v>53377</x:v>
      </x:c>
      <x:c r="D793" s="44" t="n">
        <x:v>672.3218732749796</x:v>
      </x:c>
      <x:c r="E793" s="44" t="n">
        <x:v>7275.481672521246</x:v>
      </x:c>
      <x:c r="F793" s="44" t="n">
        <x:v>373.5234692489169</x:v>
      </x:c>
      <x:c r="G793" s="44" t="n">
        <x:v>2477.0950708215296</x:v>
      </x:c>
      <x:c r="H793" s="44" t="n">
        <x:v>42578.577914133326</x:v>
      </x:c>
      <x:c r="I793" s="44" t="n">
        <x:v>53377</x:v>
      </x:c>
      <x:c r="J793" s="44" t="n">
        <x:v>7518</x:v>
      </x:c>
      <x:c r="K793" s="44" t="n">
        <x:v>742.7002728355112</x:v>
      </x:c>
      <x:c r="L793" s="44" t="n">
        <x:v>369.1768035865943</x:v>
      </x:c>
    </x:row>
    <x:row r="794" ht="15" hidden="0" customHeight="1">
      <x:c r="A794" s="27" t="str">
        <x:v>31019</x:v>
      </x:c>
      <x:c r="B794" s="27" t="str">
        <x:v>SCA-16</x:v>
      </x:c>
      <x:c r="C794" s="43" t="n">
        <x:v>51172</x:v>
      </x:c>
      <x:c r="D794" s="43" t="n">
        <x:v>563.4750918094614</x:v>
      </x:c>
      <x:c r="E794" s="43" t="n">
        <x:v>6089.613847697804</x:v>
      </x:c>
      <x:c r="F794" s="43" t="n">
        <x:v>243.53616983211765</x:v>
      </x:c>
      <x:c r="G794" s="43" t="n">
        <x:v>1271.570169804504</x:v>
      </x:c>
      <x:c r="H794" s="43" t="n">
        <x:v>43003.80472085611</x:v>
      </x:c>
      <x:c r="I794" s="43" t="n">
        <x:v>51172</x:v>
      </x:c>
      <x:c r="J794" s="43" t="n">
        <x:v>6176</x:v>
      </x:c>
      <x:c r="K794" s="43" t="n">
        <x:v>553.2773513208373</x:v>
      </x:c>
      <x:c r="L794" s="43" t="n">
        <x:v>309.74118148871963</x:v>
      </x:c>
    </x:row>
    <x:row r="795" ht="15" hidden="0" customHeight="1">
      <x:c r="A795" s="29" t="str">
        <x:v>40021</x:v>
      </x:c>
      <x:c r="B795" s="29" t="str">
        <x:v>SCA-16</x:v>
      </x:c>
      <x:c r="C795" s="44" t="n">
        <x:v>49196</x:v>
      </x:c>
      <x:c r="D795" s="44" t="n">
        <x:v>705.7175241343813</x:v>
      </x:c>
      <x:c r="E795" s="44" t="n">
        <x:v>9968.411868381718</x:v>
      </x:c>
      <x:c r="F795" s="44" t="n">
        <x:v>498.5501030870512</x:v>
      </x:c>
      <x:c r="G795" s="44" t="n">
        <x:v>1735.6476705753562</x:v>
      </x:c>
      <x:c r="H795" s="44" t="n">
        <x:v>36287.672833821496</x:v>
      </x:c>
      <x:c r="I795" s="44" t="n">
        <x:v>49196</x:v>
      </x:c>
      <x:c r="J795" s="44" t="n">
        <x:v>10026</x:v>
      </x:c>
      <x:c r="K795" s="44" t="n">
        <x:v>788.9171327055274</x:v>
      </x:c>
      <x:c r="L795" s="44" t="n">
        <x:v>290.3670296184762</x:v>
      </x:c>
    </x:row>
    <x:row r="796" ht="15" hidden="0" customHeight="1">
      <x:c r="A796" s="27" t="str">
        <x:v>40113</x:v>
      </x:c>
      <x:c r="B796" s="27" t="str">
        <x:v>SCA-16</x:v>
      </x:c>
      <x:c r="C796" s="43" t="n">
        <x:v>46794</x:v>
      </x:c>
      <x:c r="D796" s="43" t="n">
        <x:v>688.230253820058</x:v>
      </x:c>
      <x:c r="E796" s="43" t="n">
        <x:v>9888.970216910935</x:v>
      </x:c>
      <x:c r="F796" s="43" t="n">
        <x:v>474.20834059385885</x:v>
      </x:c>
      <x:c r="G796" s="43" t="n">
        <x:v>1247.7835400225479</x:v>
      </x:c>
      <x:c r="H796" s="43" t="n">
        <x:v>34494.8076486526</x:v>
      </x:c>
      <x:c r="I796" s="43" t="n">
        <x:v>46794</x:v>
      </x:c>
      <x:c r="J796" s="43" t="n">
        <x:v>9763</x:v>
      </x:c>
      <x:c r="K796" s="43" t="n">
        <x:v>750.3981687092945</x:v>
      </x:c>
      <x:c r="L796" s="43" t="n">
        <x:v>276.18982811543566</x:v>
      </x:c>
    </x:row>
    <x:row r="797" ht="15" hidden="0" customHeight="1">
      <x:c r="A797" s="29" t="str">
        <x:v>40071</x:v>
      </x:c>
      <x:c r="B797" s="29" t="str">
        <x:v>SCA-16</x:v>
      </x:c>
      <x:c r="C797" s="44" t="n">
        <x:v>43490</x:v>
      </x:c>
      <x:c r="D797" s="44" t="n">
        <x:v>596.5642638362405</x:v>
      </x:c>
      <x:c r="E797" s="44" t="n">
        <x:v>8157.011174362217</x:v>
      </x:c>
      <x:c r="F797" s="44" t="n">
        <x:v>440.72574972062483</x:v>
      </x:c>
      <x:c r="G797" s="44" t="n">
        <x:v>1310.7330803289058</x:v>
      </x:c>
      <x:c r="H797" s="44" t="n">
        <x:v>32984.96573175201</x:v>
      </x:c>
      <x:c r="I797" s="44" t="n">
        <x:v>43490</x:v>
      </x:c>
      <x:c r="J797" s="44" t="n">
        <x:v>8340</x:v>
      </x:c>
      <x:c r="K797" s="44" t="n">
        <x:v>697.4145479584395</x:v>
      </x:c>
      <x:c r="L797" s="44" t="n">
        <x:v>256.68879823781464</x:v>
      </x:c>
    </x:row>
    <x:row r="798" ht="15" hidden="0" customHeight="1">
      <x:c r="A798" s="27" t="str">
        <x:v>40041</x:v>
      </x:c>
      <x:c r="B798" s="27" t="str">
        <x:v>SCA-16</x:v>
      </x:c>
      <x:c r="C798" s="43" t="n">
        <x:v>41910</x:v>
      </x:c>
      <x:c r="D798" s="43" t="n">
        <x:v>615.8807961097184</x:v>
      </x:c>
      <x:c r="E798" s="43" t="n">
        <x:v>8844.421221613155</x:v>
      </x:c>
      <x:c r="F798" s="43" t="n">
        <x:v>424.7140991214392</x:v>
      </x:c>
      <x:c r="G798" s="43" t="n">
        <x:v>904.2208055990601</x:v>
      </x:c>
      <x:c r="H798" s="43" t="n">
        <x:v>31120.76307755663</x:v>
      </x:c>
      <x:c r="I798" s="43" t="n">
        <x:v>41910</x:v>
      </x:c>
      <x:c r="J798" s="43" t="n">
        <x:v>8983</x:v>
      </x:c>
      <x:c r="K798" s="43" t="n">
        <x:v>672.0773443306093</x:v>
      </x:c>
      <x:c r="L798" s="43" t="n">
        <x:v>247.36324520917017</x:v>
      </x:c>
    </x:row>
    <x:row r="799" ht="15" hidden="0" customHeight="1">
      <x:c r="A799" s="29" t="str">
        <x:v>40135</x:v>
      </x:c>
      <x:c r="B799" s="29" t="str">
        <x:v>SCA-16</x:v>
      </x:c>
      <x:c r="C799" s="44" t="n">
        <x:v>40842</x:v>
      </x:c>
      <x:c r="D799" s="44" t="n">
        <x:v>641.9395500908827</x:v>
      </x:c>
      <x:c r="E799" s="44" t="n">
        <x:v>9621.117757180222</x:v>
      </x:c>
      <x:c r="F799" s="44" t="n">
        <x:v>413.8910340328756</x:v>
      </x:c>
      <x:c r="G799" s="44" t="n">
        <x:v>1040.2373346199752</x:v>
      </x:c>
      <x:c r="H799" s="44" t="n">
        <x:v>29124.814324076044</x:v>
      </x:c>
      <x:c r="I799" s="44" t="n">
        <x:v>40842</x:v>
      </x:c>
      <x:c r="J799" s="44" t="n">
        <x:v>9663</x:v>
      </x:c>
      <x:c r="K799" s="44" t="n">
        <x:v>654.9506775745823</x:v>
      </x:c>
      <x:c r="L799" s="44" t="n">
        <x:v>241.0596435417067</x:v>
      </x:c>
    </x:row>
    <x:row r="800" ht="15" hidden="0" customHeight="1">
      <x:c r="A800" s="27" t="str">
        <x:v>40097</x:v>
      </x:c>
      <x:c r="B800" s="27" t="str">
        <x:v>SCA-16</x:v>
      </x:c>
      <x:c r="C800" s="43" t="n">
        <x:v>40416</x:v>
      </x:c>
      <x:c r="D800" s="43" t="n">
        <x:v>609.9583421251588</x:v>
      </x:c>
      <x:c r="E800" s="43" t="n">
        <x:v>8913.913357246432</x:v>
      </x:c>
      <x:c r="F800" s="43" t="n">
        <x:v>409.5739687447407</x:v>
      </x:c>
      <x:c r="G800" s="43" t="n">
        <x:v>933.1653565341271</x:v>
      </x:c>
      <x:c r="H800" s="43" t="n">
        <x:v>29549.388975349542</x:v>
      </x:c>
      <x:c r="I800" s="43" t="n">
        <x:v>40416</x:v>
      </x:c>
      <x:c r="J800" s="43" t="n">
        <x:v>9031</x:v>
      </x:c>
      <x:c r="K800" s="43" t="n">
        <x:v>648.1192543179648</x:v>
      </x:c>
      <x:c r="L800" s="43" t="n">
        <x:v>238.54528557322408</x:v>
      </x:c>
    </x:row>
    <x:row r="801" ht="15" hidden="0" customHeight="1">
      <x:c r="A801" s="29" t="str">
        <x:v>29109</x:v>
      </x:c>
      <x:c r="B801" s="29" t="str">
        <x:v>SCA-16</x:v>
      </x:c>
      <x:c r="C801" s="44" t="n">
        <x:v>39401</x:v>
      </x:c>
      <x:c r="D801" s="44" t="n">
        <x:v>522.5489916696577</x:v>
      </x:c>
      <x:c r="E801" s="44" t="n">
        <x:v>5865.865557225342</x:v>
      </x:c>
      <x:c r="F801" s="44" t="n">
        <x:v>236.61036701037858</x:v>
      </x:c>
      <x:c r="G801" s="44" t="n">
        <x:v>1387.7823696907383</x:v>
      </x:c>
      <x:c r="H801" s="44" t="n">
        <x:v>31388.192714403882</x:v>
      </x:c>
      <x:c r="I801" s="44" t="n">
        <x:v>39401</x:v>
      </x:c>
      <x:c r="J801" s="44" t="n">
        <x:v>5882</x:v>
      </x:c>
      <x:c r="K801" s="44" t="n">
        <x:v>514.748293795647</x:v>
      </x:c>
      <x:c r="L801" s="44" t="n">
        <x:v>278.1379267852684</x:v>
      </x:c>
    </x:row>
    <x:row r="802" ht="15" hidden="0" customHeight="1">
      <x:c r="A802" s="27" t="str">
        <x:v>20037</x:v>
      </x:c>
      <x:c r="B802" s="27" t="str">
        <x:v>SCA-16</x:v>
      </x:c>
      <x:c r="C802" s="43" t="n">
        <x:v>39008</x:v>
      </x:c>
      <x:c r="D802" s="43" t="n">
        <x:v>527.9777570129164</x:v>
      </x:c>
      <x:c r="E802" s="43" t="n">
        <x:v>6196.38570100496</x:v>
      </x:c>
      <x:c r="F802" s="43" t="n">
        <x:v>272.9715699357729</x:v>
      </x:c>
      <x:c r="G802" s="43" t="n">
        <x:v>1675.3233659663974</x:v>
      </x:c>
      <x:c r="H802" s="43" t="n">
        <x:v>30335.34160607995</x:v>
      </x:c>
      <x:c r="I802" s="43" t="n">
        <x:v>39008</x:v>
      </x:c>
      <x:c r="J802" s="43" t="n">
        <x:v>6372</x:v>
      </x:c>
      <x:c r="K802" s="43" t="n">
        <x:v>542.766589406816</x:v>
      </x:c>
      <x:c r="L802" s="43" t="n">
        <x:v>269.79501947104313</x:v>
      </x:c>
    </x:row>
    <x:row r="803" ht="15" hidden="0" customHeight="1">
      <x:c r="A803" s="29" t="str">
        <x:v>31053</x:v>
      </x:c>
      <x:c r="B803" s="29" t="str">
        <x:v>SCA-16</x:v>
      </x:c>
      <x:c r="C803" s="44" t="n">
        <x:v>38057</x:v>
      </x:c>
      <x:c r="D803" s="44" t="n">
        <x:v>441.7307494099884</x:v>
      </x:c>
      <x:c r="E803" s="44" t="n">
        <x:v>5072.973859872612</x:v>
      </x:c>
      <x:c r="F803" s="44" t="n">
        <x:v>181.1196751211776</x:v>
      </x:c>
      <x:c r="G803" s="44" t="n">
        <x:v>653.6101910828025</x:v>
      </x:c>
      <x:c r="H803" s="44" t="n">
        <x:v>31707.565524513422</x:v>
      </x:c>
      <x:c r="I803" s="44" t="n">
        <x:v>38057</x:v>
      </x:c>
      <x:c r="J803" s="44" t="n">
        <x:v>5123</x:v>
      </x:c>
      <x:c r="K803" s="44" t="n">
        <x:v>411.4765137031405</x:v>
      </x:c>
      <x:c r="L803" s="44" t="n">
        <x:v>230.35683858196288</x:v>
      </x:c>
    </x:row>
    <x:row r="804" ht="15" hidden="0" customHeight="1">
      <x:c r="A804" s="27" t="str">
        <x:v>20055</x:v>
      </x:c>
      <x:c r="B804" s="27" t="str">
        <x:v>SCA-16</x:v>
      </x:c>
      <x:c r="C804" s="43" t="n">
        <x:v>37505</x:v>
      </x:c>
      <x:c r="D804" s="43" t="n">
        <x:v>462.5686809544177</x:v>
      </x:c>
      <x:c r="E804" s="43" t="n">
        <x:v>4876.056338028168</x:v>
      </x:c>
      <x:c r="F804" s="43" t="n">
        <x:v>262.4538230732456</x:v>
      </x:c>
      <x:c r="G804" s="43" t="n">
        <x:v>899.1549295774647</x:v>
      </x:c>
      <x:c r="H804" s="43" t="n">
        <x:v>31004.766228366705</x:v>
      </x:c>
      <x:c r="I804" s="43" t="n">
        <x:v>37505</x:v>
      </x:c>
      <x:c r="J804" s="43" t="n">
        <x:v>5125</x:v>
      </x:c>
      <x:c r="K804" s="43" t="n">
        <x:v>521.8534899431562</x:v>
      </x:c>
      <x:c r="L804" s="43" t="n">
        <x:v>259.3996668699106</x:v>
      </x:c>
    </x:row>
    <x:row r="805" ht="15" hidden="0" customHeight="1">
      <x:c r="A805" s="29" t="str">
        <x:v>40111</x:v>
      </x:c>
      <x:c r="B805" s="29" t="str">
        <x:v>SCA-16</x:v>
      </x:c>
      <x:c r="C805" s="44" t="n">
        <x:v>37241</x:v>
      </x:c>
      <x:c r="D805" s="44" t="n">
        <x:v>529.6300477935914</x:v>
      </x:c>
      <x:c r="E805" s="44" t="n">
        <x:v>7435.785648214581</x:v>
      </x:c>
      <x:c r="F805" s="44" t="n">
        <x:v>377.39865820523784</x:v>
      </x:c>
      <x:c r="G805" s="44" t="n">
        <x:v>1071.1988106407637</x:v>
      </x:c>
      <x:c r="H805" s="44" t="n">
        <x:v>27826.986835145824</x:v>
      </x:c>
      <x:c r="I805" s="44" t="n">
        <x:v>37241</x:v>
      </x:c>
      <x:c r="J805" s="44" t="n">
        <x:v>7537</x:v>
      </x:c>
      <x:c r="K805" s="44" t="n">
        <x:v>597.2043039898883</x:v>
      </x:c>
      <x:c r="L805" s="44" t="n">
        <x:v>219.80564578465058</x:v>
      </x:c>
    </x:row>
    <x:row r="806" ht="15" hidden="0" customHeight="1">
      <x:c r="A806" s="27" t="str">
        <x:v>20061</x:v>
      </x:c>
      <x:c r="B806" s="27" t="str">
        <x:v>SCA-16</x:v>
      </x:c>
      <x:c r="C806" s="43" t="n">
        <x:v>36338</x:v>
      </x:c>
      <x:c r="D806" s="43" t="n">
        <x:v>472.506733243915</x:v>
      </x:c>
      <x:c r="E806" s="43" t="n">
        <x:v>5308.284187555293</x:v>
      </x:c>
      <x:c r="F806" s="43" t="n">
        <x:v>254.28734896242088</x:v>
      </x:c>
      <x:c r="G806" s="43" t="n">
        <x:v>1135.2477145384844</x:v>
      </x:c>
      <x:c r="H806" s="43" t="n">
        <x:v>29167.67401569989</x:v>
      </x:c>
      <x:c r="I806" s="43" t="n">
        <x:v>36338</x:v>
      </x:c>
      <x:c r="J806" s="43" t="n">
        <x:v>4644</x:v>
      </x:c>
      <x:c r="K806" s="43" t="n">
        <x:v>505.615574391532</x:v>
      </x:c>
      <x:c r="L806" s="43" t="n">
        <x:v>251.32822542911111</x:v>
      </x:c>
    </x:row>
    <x:row r="807" ht="15" hidden="0" customHeight="1">
      <x:c r="A807" s="29" t="str">
        <x:v>20121</x:v>
      </x:c>
      <x:c r="B807" s="29" t="str">
        <x:v>SCA-16</x:v>
      </x:c>
      <x:c r="C807" s="44" t="n">
        <x:v>36240</x:v>
      </x:c>
      <x:c r="D807" s="44" t="n">
        <x:v>436.71810029598555</x:v>
      </x:c>
      <x:c r="E807" s="44" t="n">
        <x:v>4465.624374927317</x:v>
      </x:c>
      <x:c r="F807" s="44" t="n">
        <x:v>253.60156107650758</x:v>
      </x:c>
      <x:c r="G807" s="44" t="n">
        <x:v>560.0300180253518</x:v>
      </x:c>
      <x:c r="H807" s="44" t="n">
        <x:v>30524.02594567484</x:v>
      </x:c>
      <x:c r="I807" s="44" t="n">
        <x:v>36240</x:v>
      </x:c>
      <x:c r="J807" s="44" t="n">
        <x:v>4415</x:v>
      </x:c>
      <x:c r="K807" s="44" t="n">
        <x:v>504.2519790838549</x:v>
      </x:c>
      <x:c r="L807" s="44" t="n">
        <x:v>250.65041800734733</x:v>
      </x:c>
    </x:row>
    <x:row r="808" ht="15" hidden="0" customHeight="1">
      <x:c r="A808" s="27" t="str">
        <x:v>29009</x:v>
      </x:c>
      <x:c r="B808" s="27" t="str">
        <x:v>SCA-16</x:v>
      </x:c>
      <x:c r="C808" s="43" t="n">
        <x:v>36200</x:v>
      </x:c>
      <x:c r="D808" s="43" t="n">
        <x:v>487.30978782192363</x:v>
      </x:c>
      <x:c r="E808" s="43" t="n">
        <x:v>5562.4375017963375</x:v>
      </x:c>
      <x:c r="F808" s="43" t="n">
        <x:v>217.38776390892878</x:v>
      </x:c>
      <x:c r="G808" s="43" t="n">
        <x:v>768.9642169401891</x:v>
      </x:c>
      <x:c r="H808" s="43" t="n">
        <x:v>29163.900729532623</x:v>
      </x:c>
      <x:c r="I808" s="43" t="n">
        <x:v>36200</x:v>
      </x:c>
      <x:c r="J808" s="43" t="n">
        <x:v>5569</x:v>
      </x:c>
      <x:c r="K808" s="43" t="n">
        <x:v>472.92932248933835</x:v>
      </x:c>
      <x:c r="L808" s="43" t="n">
        <x:v>255.54155858040957</x:v>
      </x:c>
    </x:row>
    <x:row r="809" ht="15" hidden="0" customHeight="1">
      <x:c r="A809" s="29" t="str">
        <x:v>31119</x:v>
      </x:c>
      <x:c r="B809" s="29" t="str">
        <x:v>SCA-16</x:v>
      </x:c>
      <x:c r="C809" s="44" t="n">
        <x:v>36106</x:v>
      </x:c>
      <x:c r="D809" s="44" t="n">
        <x:v>409.76389724345853</x:v>
      </x:c>
      <x:c r="E809" s="44" t="n">
        <x:v>4589.192394705174</x:v>
      </x:c>
      <x:c r="F809" s="44" t="n">
        <x:v>171.83453740245523</x:v>
      </x:c>
      <x:c r="G809" s="44" t="n">
        <x:v>1181.2383674288008</x:v>
      </x:c>
      <x:c r="H809" s="44" t="n">
        <x:v>29753.970803220112</x:v>
      </x:c>
      <x:c r="I809" s="44" t="n">
        <x:v>36106</x:v>
      </x:c>
      <x:c r="J809" s="44" t="n">
        <x:v>4621</x:v>
      </x:c>
      <x:c r="K809" s="44" t="n">
        <x:v>390.3820848665315</x:v>
      </x:c>
      <x:c r="L809" s="44" t="n">
        <x:v>218.54754746407627</x:v>
      </x:c>
    </x:row>
    <x:row r="810" ht="15" hidden="0" customHeight="1">
      <x:c r="A810" s="27" t="str">
        <x:v>31141</x:v>
      </x:c>
      <x:c r="B810" s="27" t="str">
        <x:v>SCA-16</x:v>
      </x:c>
      <x:c r="C810" s="43" t="n">
        <x:v>35649</x:v>
      </x:c>
      <x:c r="D810" s="43" t="n">
        <x:v>381.34333642048864</x:v>
      </x:c>
      <x:c r="E810" s="43" t="n">
        <x:v>3973.4876099825888</x:v>
      </x:c>
      <x:c r="F810" s="43" t="n">
        <x:v>169.65959740375914</x:v>
      </x:c>
      <x:c r="G810" s="43" t="n">
        <x:v>937.3699796865931</x:v>
      </x:c>
      <x:c r="H810" s="43" t="n">
        <x:v>30187.13947650657</x:v>
      </x:c>
      <x:c r="I810" s="43" t="n">
        <x:v>35649</x:v>
      </x:c>
      <x:c r="J810" s="43" t="n">
        <x:v>4001</x:v>
      </x:c>
      <x:c r="K810" s="43" t="n">
        <x:v>385.4409500749732</x:v>
      </x:c>
      <x:c r="L810" s="43" t="n">
        <x:v>215.78135267121408</x:v>
      </x:c>
    </x:row>
    <x:row r="811" ht="15" hidden="0" customHeight="1">
      <x:c r="A811" s="29" t="str">
        <x:v>40081</x:v>
      </x:c>
      <x:c r="B811" s="29" t="str">
        <x:v>SCA-16</x:v>
      </x:c>
      <x:c r="C811" s="44" t="n">
        <x:v>35278</x:v>
      </x:c>
      <x:c r="D811" s="44" t="n">
        <x:v>500.8736941066683</x:v>
      </x:c>
      <x:c r="E811" s="44" t="n">
        <x:v>7023.699902947094</x:v>
      </x:c>
      <x:c r="F811" s="44" t="n">
        <x:v>357.5057024291608</x:v>
      </x:c>
      <x:c r="G811" s="44" t="n">
        <x:v>618.2347023316369</x:v>
      </x:c>
      <x:c r="H811" s="44" t="n">
        <x:v>26777.685998185443</x:v>
      </x:c>
      <x:c r="I811" s="44" t="n">
        <x:v>35278</x:v>
      </x:c>
      <x:c r="J811" s="44" t="n">
        <x:v>7009</x:v>
      </x:c>
      <x:c r="K811" s="44" t="n">
        <x:v>565.7252339130335</x:v>
      </x:c>
      <x:c r="L811" s="44" t="n">
        <x:v>208.21953148387271</x:v>
      </x:c>
    </x:row>
    <x:row r="812" ht="15" hidden="0" customHeight="1">
      <x:c r="A812" s="27" t="str">
        <x:v>20035</x:v>
      </x:c>
      <x:c r="B812" s="27" t="str">
        <x:v>SCA-16</x:v>
      </x:c>
      <x:c r="C812" s="43" t="n">
        <x:v>34382</x:v>
      </x:c>
      <x:c r="D812" s="43" t="n">
        <x:v>495.79152370520154</x:v>
      </x:c>
      <x:c r="E812" s="43" t="n">
        <x:v>6191.802746455555</x:v>
      </x:c>
      <x:c r="F812" s="43" t="n">
        <x:v>240.59958258643724</x:v>
      </x:c>
      <x:c r="G812" s="43" t="n">
        <x:v>1281.1671232052015</x:v>
      </x:c>
      <x:c r="H812" s="43" t="n">
        <x:v>26172.639024047603</x:v>
      </x:c>
      <x:c r="I812" s="43" t="n">
        <x:v>34382</x:v>
      </x:c>
      <x:c r="J812" s="43" t="n">
        <x:v>6232</x:v>
      </x:c>
      <x:c r="K812" s="43" t="n">
        <x:v>478.399325189324</x:v>
      </x:c>
      <x:c r="L812" s="43" t="n">
        <x:v>237.79974260288674</x:v>
      </x:c>
    </x:row>
    <x:row r="813" ht="15" hidden="0" customHeight="1">
      <x:c r="A813" s="29" t="str">
        <x:v>20057</x:v>
      </x:c>
      <x:c r="B813" s="29" t="str">
        <x:v>SCA-16</x:v>
      </x:c>
      <x:c r="C813" s="44" t="n">
        <x:v>33993</x:v>
      </x:c>
      <x:c r="D813" s="44" t="n">
        <x:v>394.6624654055987</x:v>
      </x:c>
      <x:c r="E813" s="44" t="n">
        <x:v>3829.276878791483</x:v>
      </x:c>
      <x:c r="F813" s="44" t="n">
        <x:v>237.8774245494957</x:v>
      </x:c>
      <x:c r="G813" s="44" t="n">
        <x:v>1043.7422683478053</x:v>
      </x:c>
      <x:c r="H813" s="44" t="n">
        <x:v>28487.440962905617</x:v>
      </x:c>
      <x:c r="I813" s="44" t="n">
        <x:v>33993</x:v>
      </x:c>
      <x:c r="J813" s="44" t="n">
        <x:v>3946</x:v>
      </x:c>
      <x:c r="K813" s="44" t="n">
        <x:v>472.9866866721159</x:v>
      </x:c>
      <x:c r="L813" s="44" t="n">
        <x:v>235.10926212262024</x:v>
      </x:c>
    </x:row>
    <x:row r="814" ht="15" hidden="0" customHeight="1">
      <x:c r="A814" s="27" t="str">
        <x:v>20079</x:v>
      </x:c>
      <x:c r="B814" s="27" t="str">
        <x:v>SCA-16</x:v>
      </x:c>
      <x:c r="C814" s="43" t="n">
        <x:v>33580</x:v>
      </x:c>
      <x:c r="D814" s="43" t="n">
        <x:v>407.89826564877796</x:v>
      </x:c>
      <x:c r="E814" s="43" t="n">
        <x:v>4215.491463857609</x:v>
      </x:c>
      <x:c r="F814" s="43" t="n">
        <x:v>234.9873184588611</x:v>
      </x:c>
      <x:c r="G814" s="43" t="n">
        <x:v>840.114239011987</x:v>
      </x:c>
      <x:c r="H814" s="43" t="n">
        <x:v>27881.508713022762</x:v>
      </x:c>
      <x:c r="I814" s="43" t="n">
        <x:v>33580</x:v>
      </x:c>
      <x:c r="J814" s="43" t="n">
        <x:v>4320</x:v>
      </x:c>
      <x:c r="K814" s="43" t="n">
        <x:v>467.2401064469053</x:v>
      </x:c>
      <x:c r="L814" s="43" t="n">
        <x:v>232.25278798804422</x:v>
      </x:c>
    </x:row>
    <x:row r="815" ht="15" hidden="0" customHeight="1">
      <x:c r="A815" s="29" t="str">
        <x:v>20111</x:v>
      </x:c>
      <x:c r="B815" s="29" t="str">
        <x:v>SCA-16</x:v>
      </x:c>
      <x:c r="C815" s="44" t="n">
        <x:v>32266</x:v>
      </x:c>
      <x:c r="D815" s="44" t="n">
        <x:v>398.45227399762297</x:v>
      </x:c>
      <x:c r="E815" s="44" t="n">
        <x:v>4206.9033259925745</x:v>
      </x:c>
      <x:c r="F815" s="44" t="n">
        <x:v>225.7921625191665</x:v>
      </x:c>
      <x:c r="G815" s="44" t="n">
        <x:v>1254.7973321588122</x:v>
      </x:c>
      <x:c r="H815" s="44" t="n">
        <x:v>26180.054905331825</x:v>
      </x:c>
      <x:c r="I815" s="44" t="n">
        <x:v>32266</x:v>
      </x:c>
      <x:c r="J815" s="44" t="n">
        <x:v>4317</x:v>
      </x:c>
      <x:c r="K815" s="44" t="n">
        <x:v>448.95679793376553</x:v>
      </x:c>
      <x:c r="L815" s="44" t="n">
        <x:v>223.16463541459902</x:v>
      </x:c>
    </x:row>
    <x:row r="816" ht="15" hidden="0" customHeight="1">
      <x:c r="A816" s="27" t="str">
        <x:v>31001</x:v>
      </x:c>
      <x:c r="B816" s="27" t="str">
        <x:v>SCA-16</x:v>
      </x:c>
      <x:c r="C816" s="43" t="n">
        <x:v>31071</x:v>
      </x:c>
      <x:c r="D816" s="43" t="n">
        <x:v>364.2208978869375</x:v>
      </x:c>
      <x:c r="E816" s="43" t="n">
        <x:v>4227.598000453853</x:v>
      </x:c>
      <x:c r="F816" s="43" t="n">
        <x:v>147.87212406889955</x:v>
      </x:c>
      <x:c r="G816" s="43" t="n">
        <x:v>647.1342432003112</x:v>
      </x:c>
      <x:c r="H816" s="43" t="n">
        <x:v>25684.17473439</x:v>
      </x:c>
      <x:c r="I816" s="43" t="n">
        <x:v>31071</x:v>
      </x:c>
      <x:c r="J816" s="43" t="n">
        <x:v>4372</x:v>
      </x:c>
      <x:c r="K816" s="43" t="n">
        <x:v>335.9431052702598</x:v>
      </x:c>
      <x:c r="L816" s="43" t="n">
        <x:v>188.07098120136027</x:v>
      </x:c>
    </x:row>
    <x:row r="817" ht="15" hidden="0" customHeight="1">
      <x:c r="A817" s="29" t="str">
        <x:v>40115</x:v>
      </x:c>
      <x:c r="B817" s="29" t="str">
        <x:v>SCA-16</x:v>
      </x:c>
      <x:c r="C817" s="44" t="n">
        <x:v>30438</x:v>
      </x:c>
      <x:c r="D817" s="44" t="n">
        <x:v>442.3522036419224</x:v>
      </x:c>
      <x:c r="E817" s="44" t="n">
        <x:v>6304.789346861129</x:v>
      </x:c>
      <x:c r="F817" s="44" t="n">
        <x:v>308.45735502406023</x:v>
      </x:c>
      <x:c r="G817" s="44" t="n">
        <x:v>964.9997997530289</x:v>
      </x:c>
      <x:c r="H817" s="44" t="n">
        <x:v>22417.40129471986</x:v>
      </x:c>
      <x:c r="I817" s="44" t="n">
        <x:v>30438</x:v>
      </x:c>
      <x:c r="J817" s="44" t="n">
        <x:v>6465</x:v>
      </x:c>
      <x:c r="K817" s="44" t="n">
        <x:v>488.1100025467689</x:v>
      </x:c>
      <x:c r="L817" s="44" t="n">
        <x:v>179.6526475227087</x:v>
      </x:c>
    </x:row>
    <x:row r="818" ht="15" hidden="0" customHeight="1">
      <x:c r="A818" s="27" t="str">
        <x:v>20125</x:v>
      </x:c>
      <x:c r="B818" s="27" t="str">
        <x:v>SCA-16</x:v>
      </x:c>
      <x:c r="C818" s="43" t="n">
        <x:v>30177</x:v>
      </x:c>
      <x:c r="D818" s="43" t="n">
        <x:v>462.04380276406204</x:v>
      </x:c>
      <x:c r="E818" s="43" t="n">
        <x:v>6079.860760239661</x:v>
      </x:c>
      <x:c r="F818" s="43" t="n">
        <x:v>211.1736840123005</x:v>
      </x:c>
      <x:c r="G818" s="43" t="n">
        <x:v>975.4178862587171</x:v>
      </x:c>
      <x:c r="H818" s="43" t="n">
        <x:v>22448.50386672526</x:v>
      </x:c>
      <x:c r="I818" s="43" t="n">
        <x:v>30177</x:v>
      </x:c>
      <x:c r="J818" s="43" t="n">
        <x:v>6410</x:v>
      </x:c>
      <x:c r="K818" s="43" t="n">
        <x:v>419.88995509971</x:v>
      </x:c>
      <x:c r="L818" s="43" t="n">
        <x:v>208.7162710874095</x:v>
      </x:c>
    </x:row>
    <x:row r="819" ht="15" hidden="0" customHeight="1">
      <x:c r="A819" s="29" t="str">
        <x:v>20113</x:v>
      </x:c>
      <x:c r="B819" s="29" t="str">
        <x:v>SCA-16</x:v>
      </x:c>
      <x:c r="C819" s="44" t="n">
        <x:v>30064</x:v>
      </x:c>
      <x:c r="D819" s="44" t="n">
        <x:v>349.2206475727552</x:v>
      </x:c>
      <x:c r="E819" s="44" t="n">
        <x:v>3390.86231858527</x:v>
      </x:c>
      <x:c r="F819" s="44" t="n">
        <x:v>210.38292859282905</x:v>
      </x:c>
      <x:c r="G819" s="44" t="n">
        <x:v>435.5198522935158</x:v>
      </x:c>
      <x:c r="H819" s="44" t="n">
        <x:v>25678.01425295563</x:v>
      </x:c>
      <x:c r="I819" s="44" t="n">
        <x:v>30064</x:v>
      </x:c>
      <x:c r="J819" s="44" t="n">
        <x:v>3468</x:v>
      </x:c>
      <x:c r="K819" s="44" t="n">
        <x:v>418.3176462245313</x:v>
      </x:c>
      <x:c r="L819" s="44" t="n">
        <x:v>207.93471763170226</x:v>
      </x:c>
    </x:row>
    <x:row r="820" ht="15" hidden="0" customHeight="1">
      <x:c r="A820" s="27" t="str">
        <x:v>20051</x:v>
      </x:c>
      <x:c r="B820" s="27" t="str">
        <x:v>SCA-16</x:v>
      </x:c>
      <x:c r="C820" s="43" t="n">
        <x:v>29075</x:v>
      </x:c>
      <x:c r="D820" s="43" t="n">
        <x:v>329.0935954874941</x:v>
      </x:c>
      <x:c r="E820" s="43" t="n">
        <x:v>3071.980792651101</x:v>
      </x:c>
      <x:c r="F820" s="43" t="n">
        <x:v>203.46206921356122</x:v>
      </x:c>
      <x:c r="G820" s="43" t="n">
        <x:v>479.6779289467274</x:v>
      </x:c>
      <x:c r="H820" s="43" t="n">
        <x:v>24990.785613701115</x:v>
      </x:c>
      <x:c r="I820" s="43" t="n">
        <x:v>29075</x:v>
      </x:c>
      <x:c r="J820" s="43" t="n">
        <x:v>3163</x:v>
      </x:c>
      <x:c r="K820" s="43" t="n">
        <x:v>404.5564650072594</x:v>
      </x:c>
      <x:c r="L820" s="43" t="n">
        <x:v>201.0943957936982</x:v>
      </x:c>
    </x:row>
    <x:row r="821" ht="15" hidden="0" customHeight="1">
      <x:c r="A821" s="29" t="str">
        <x:v>40039</x:v>
      </x:c>
      <x:c r="B821" s="29" t="str">
        <x:v>SCA-16</x:v>
      </x:c>
      <x:c r="C821" s="44" t="n">
        <x:v>28175</x:v>
      </x:c>
      <x:c r="D821" s="44" t="n">
        <x:v>311.89479852556747</x:v>
      </x:c>
      <x:c r="E821" s="44" t="n">
        <x:v>3494.3745583038867</x:v>
      </x:c>
      <x:c r="F821" s="44" t="n">
        <x:v>285.5242124253531</x:v>
      </x:c>
      <x:c r="G821" s="44" t="n">
        <x:v>812.8996358260619</x:v>
      </x:c>
      <x:c r="H821" s="44" t="n">
        <x:v>23270.30679491913</x:v>
      </x:c>
      <x:c r="I821" s="44" t="n">
        <x:v>28175</x:v>
      </x:c>
      <x:c r="J821" s="44" t="n">
        <x:v>3583</x:v>
      </x:c>
      <x:c r="K821" s="44" t="n">
        <x:v>451.8200710215919</x:v>
      </x:c>
      <x:c r="L821" s="44" t="n">
        <x:v>166.29585859623884</x:v>
      </x:c>
    </x:row>
    <x:row r="822" ht="15" hidden="0" customHeight="1">
      <x:c r="A822" s="27" t="str">
        <x:v>31025</x:v>
      </x:c>
      <x:c r="B822" s="27" t="str">
        <x:v>SCA-16</x:v>
      </x:c>
      <x:c r="C822" s="43" t="n">
        <x:v>27657</x:v>
      </x:c>
      <x:c r="D822" s="43" t="n">
        <x:v>314.4322356511882</x:v>
      </x:c>
      <x:c r="E822" s="43" t="n">
        <x:v>3528.6240160911834</x:v>
      </x:c>
      <x:c r="F822" s="43" t="n">
        <x:v>131.6243228532572</x:v>
      </x:c>
      <x:c r="G822" s="43" t="n">
        <x:v>590.0606957946884</x:v>
      </x:c>
      <x:c r="H822" s="43" t="n">
        <x:v>23092.258729609683</x:v>
      </x:c>
      <x:c r="I822" s="43" t="n">
        <x:v>27657</x:v>
      </x:c>
      <x:c r="J822" s="43" t="n">
        <x:v>3568</x:v>
      </x:c>
      <x:c r="K822" s="43" t="n">
        <x:v>299.03055783397946</x:v>
      </x:c>
      <x:c r="L822" s="43" t="n">
        <x:v>167.40623498072225</x:v>
      </x:c>
    </x:row>
    <x:row r="823" ht="15" hidden="0" customHeight="1">
      <x:c r="A823" s="29" t="str">
        <x:v>20149</x:v>
      </x:c>
      <x:c r="B823" s="29" t="str">
        <x:v>SCA-16</x:v>
      </x:c>
      <x:c r="C823" s="44" t="n">
        <x:v>27186</x:v>
      </x:c>
      <x:c r="D823" s="44" t="n">
        <x:v>310.2769188823374</x:v>
      </x:c>
      <x:c r="E823" s="44" t="n">
        <x:v>2933.9425671179883</x:v>
      </x:c>
      <x:c r="F823" s="44" t="n">
        <x:v>190.243157820804</x:v>
      </x:c>
      <x:c r="G823" s="44" t="n">
        <x:v>246.30406189555126</x:v>
      </x:c>
      <x:c r="H823" s="44" t="n">
        <x:v>23505.23329428332</x:v>
      </x:c>
      <x:c r="I823" s="44" t="n">
        <x:v>27186</x:v>
      </x:c>
      <x:c r="J823" s="44" t="n">
        <x:v>2906</x:v>
      </x:c>
      <x:c r="K823" s="44" t="n">
        <x:v>378.27246973989185</x:v>
      </x:c>
      <x:c r="L823" s="44" t="n">
        <x:v>188.02931191908786</x:v>
      </x:c>
    </x:row>
    <x:row r="824" ht="15" hidden="0" customHeight="1">
      <x:c r="A824" s="27" t="str">
        <x:v>20059</x:v>
      </x:c>
      <x:c r="B824" s="27" t="str">
        <x:v>SCA-16</x:v>
      </x:c>
      <x:c r="C824" s="43" t="n">
        <x:v>26299</x:v>
      </x:c>
      <x:c r="D824" s="43" t="n">
        <x:v>346.5692103213542</x:v>
      </x:c>
      <x:c r="E824" s="43" t="n">
        <x:v>3952.19393302692</x:v>
      </x:c>
      <x:c r="F824" s="43" t="n">
        <x:v>184.03607766973164</x:v>
      </x:c>
      <x:c r="G824" s="43" t="n">
        <x:v>375.3393070951296</x:v>
      </x:c>
      <x:c r="H824" s="43" t="n">
        <x:v>21440.861471886863</x:v>
      </x:c>
      <x:c r="I824" s="43" t="n">
        <x:v>26299</x:v>
      </x:c>
      <x:c r="J824" s="43" t="n">
        <x:v>4053</x:v>
      </x:c>
      <x:c r="K824" s="43" t="n">
        <x:v>365.93054078163084</x:v>
      </x:c>
      <x:c r="L824" s="43" t="n">
        <x:v>181.8944631118992</x:v>
      </x:c>
    </x:row>
    <x:row r="825" ht="15" hidden="0" customHeight="1">
      <x:c r="A825" s="29" t="str">
        <x:v>40015</x:v>
      </x:c>
      <x:c r="B825" s="29" t="str">
        <x:v>SCA-16</x:v>
      </x:c>
      <x:c r="C825" s="44" t="n">
        <x:v>26130</x:v>
      </x:c>
      <x:c r="D825" s="44" t="n">
        <x:v>347.5725176587691</x:v>
      </x:c>
      <x:c r="E825" s="44" t="n">
        <x:v>4640.322186263934</x:v>
      </x:c>
      <x:c r="F825" s="44" t="n">
        <x:v>264.8002722510905</x:v>
      </x:c>
      <x:c r="G825" s="44" t="n">
        <x:v>921.3739861760358</x:v>
      </x:c>
      <x:c r="H825" s="44" t="n">
        <x:v>19955.93103765017</x:v>
      </x:c>
      <x:c r="I825" s="44" t="n">
        <x:v>26130</x:v>
      </x:c>
      <x:c r="J825" s="44" t="n">
        <x:v>4630</x:v>
      </x:c>
      <x:c r="K825" s="44" t="n">
        <x:v>419.0260321488623</x:v>
      </x:c>
      <x:c r="L825" s="44" t="n">
        <x:v>154.2257598977718</x:v>
      </x:c>
    </x:row>
    <x:row r="826" ht="15" hidden="0" customHeight="1">
      <x:c r="A826" s="27" t="str">
        <x:v>20009</x:v>
      </x:c>
      <x:c r="B826" s="27" t="str">
        <x:v>SCA-16</x:v>
      </x:c>
      <x:c r="C826" s="43" t="n">
        <x:v>24790</x:v>
      </x:c>
      <x:c r="D826" s="43" t="n">
        <x:v>338.7270255727104</x:v>
      </x:c>
      <x:c r="E826" s="43" t="n">
        <x:v>4014.4659234125065</x:v>
      </x:c>
      <x:c r="F826" s="43" t="n">
        <x:v>173.476343793781</x:v>
      </x:c>
      <x:c r="G826" s="43" t="n">
        <x:v>505.85433834222005</x:v>
      </x:c>
      <x:c r="H826" s="43" t="n">
        <x:v>19757.476368878783</x:v>
      </x:c>
      <x:c r="I826" s="43" t="n">
        <x:v>24790</x:v>
      </x:c>
      <x:c r="J826" s="43" t="n">
        <x:v>4176</x:v>
      </x:c>
      <x:c r="K826" s="43" t="n">
        <x:v>344.9339558909703</x:v>
      </x:c>
      <x:c r="L826" s="43" t="n">
        <x:v>171.4576120971893</x:v>
      </x:c>
    </x:row>
    <x:row r="827" ht="15" hidden="0" customHeight="1">
      <x:c r="A827" s="29" t="str">
        <x:v>31047</x:v>
      </x:c>
      <x:c r="B827" s="29" t="str">
        <x:v>SCA-16</x:v>
      </x:c>
      <x:c r="C827" s="44" t="n">
        <x:v>24452</x:v>
      </x:c>
      <x:c r="D827" s="44" t="n">
        <x:v>273.812093774763</x:v>
      </x:c>
      <x:c r="E827" s="44" t="n">
        <x:v>3019.3329599999993</x:v>
      </x:c>
      <x:c r="F827" s="44" t="n">
        <x:v>116.3711878514606</x:v>
      </x:c>
      <x:c r="G827" s="44" t="n">
        <x:v>510.19006250000007</x:v>
      </x:c>
      <x:c r="H827" s="44" t="n">
        <x:v>20532.293695873777</x:v>
      </x:c>
      <x:c r="I827" s="44" t="n">
        <x:v>24452</x:v>
      </x:c>
      <x:c r="J827" s="44" t="n">
        <x:v>3087</x:v>
      </x:c>
      <x:c r="K827" s="44" t="n">
        <x:v>264.3777416262236</x:v>
      </x:c>
      <x:c r="L827" s="44" t="n">
        <x:v>148.006553774763</x:v>
      </x:c>
    </x:row>
    <x:row r="828" ht="15" hidden="0" customHeight="1">
      <x:c r="A828" s="27" t="str">
        <x:v>29119</x:v>
      </x:c>
      <x:c r="B828" s="27" t="str">
        <x:v>SCA-16</x:v>
      </x:c>
      <x:c r="C828" s="43" t="n">
        <x:v>23992</x:v>
      </x:c>
      <x:c r="D828" s="43" t="n">
        <x:v>316.0416387957266</x:v>
      </x:c>
      <x:c r="E828" s="43" t="n">
        <x:v>3520.279061399414</x:v>
      </x:c>
      <x:c r="F828" s="43" t="n">
        <x:v>144.0764428647243</x:v>
      </x:c>
      <x:c r="G828" s="43" t="n">
        <x:v>858.1722323588068</x:v>
      </x:c>
      <x:c r="H828" s="43" t="n">
        <x:v>19153.43062458133</x:v>
      </x:c>
      <x:c r="I828" s="43" t="n">
        <x:v>23992</x:v>
      </x:c>
      <x:c r="J828" s="43" t="n">
        <x:v>3602</x:v>
      </x:c>
      <x:c r="K828" s="43" t="n">
        <x:v>313.4397874354753</x:v>
      </x:c>
      <x:c r="L828" s="43" t="n">
        <x:v>169.363344570751</x:v>
      </x:c>
    </x:row>
    <x:row r="829" ht="15" hidden="0" customHeight="1">
      <x:c r="A829" s="29" t="str">
        <x:v>31155</x:v>
      </x:c>
      <x:c r="B829" s="29" t="str">
        <x:v>SCA-16</x:v>
      </x:c>
      <x:c r="C829" s="44" t="n">
        <x:v>23702</x:v>
      </x:c>
      <x:c r="D829" s="44" t="n">
        <x:v>243.06733909198124</x:v>
      </x:c>
      <x:c r="E829" s="44" t="n">
        <x:v>2390.4118153846152</x:v>
      </x:c>
      <x:c r="F829" s="44" t="n">
        <x:v>112.8018114859856</x:v>
      </x:c>
      <x:c r="G829" s="44" t="n">
        <x:v>758.4659340659341</x:v>
      </x:c>
      <x:c r="H829" s="44" t="n">
        <x:v>20197.253099971484</x:v>
      </x:c>
      <x:c r="I829" s="44" t="n">
        <x:v>23702</x:v>
      </x:c>
      <x:c r="J829" s="44" t="n">
        <x:v>2390</x:v>
      </x:c>
      <x:c r="K829" s="44" t="n">
        <x:v>256.2686582702745</x:v>
      </x:c>
      <x:c r="L829" s="44" t="n">
        <x:v>143.46684678428892</x:v>
      </x:c>
    </x:row>
    <x:row r="830" ht="15" hidden="0" customHeight="1">
      <x:c r="A830" s="27" t="str">
        <x:v>20191</x:v>
      </x:c>
      <x:c r="B830" s="27" t="str">
        <x:v>SCA-16</x:v>
      </x:c>
      <x:c r="C830" s="43" t="n">
        <x:v>22312</x:v>
      </x:c>
      <x:c r="D830" s="43" t="n">
        <x:v>312.2596976493145</x:v>
      </x:c>
      <x:c r="E830" s="43" t="n">
        <x:v>3790.58232862995</x:v>
      </x:c>
      <x:c r="F830" s="43" t="n">
        <x:v>156.13570724997348</x:v>
      </x:c>
      <x:c r="G830" s="43" t="n">
        <x:v>874.4708693673191</x:v>
      </x:c>
      <x:c r="H830" s="43" t="n">
        <x:v>17178.551397103445</x:v>
      </x:c>
      <x:c r="I830" s="43" t="n">
        <x:v>22312</x:v>
      </x:c>
      <x:c r="J830" s="43" t="n">
        <x:v>3888</x:v>
      </x:c>
      <x:c r="K830" s="43" t="n">
        <x:v>310.4544745397067</x:v>
      </x:c>
      <x:c r="L830" s="43" t="n">
        <x:v>154.31876728973324</x:v>
      </x:c>
    </x:row>
    <x:row r="831" ht="15" hidden="0" customHeight="1">
      <x:c r="A831" s="29" t="str">
        <x:v>40009</x:v>
      </x:c>
      <x:c r="B831" s="29" t="str">
        <x:v>SCA-16</x:v>
      </x:c>
      <x:c r="C831" s="44" t="n">
        <x:v>22159</x:v>
      </x:c>
      <x:c r="D831" s="44" t="n">
        <x:v>271.97271232643465</x:v>
      </x:c>
      <x:c r="E831" s="44" t="n">
        <x:v>3388.434773377738</x:v>
      </x:c>
      <x:c r="F831" s="44" t="n">
        <x:v>224.55833267554206</x:v>
      </x:c>
      <x:c r="G831" s="44" t="n">
        <x:v>520.4019357860228</x:v>
      </x:c>
      <x:c r="H831" s="44" t="n">
        <x:v>17753.632245834262</x:v>
      </x:c>
      <x:c r="I831" s="44" t="n">
        <x:v>22159</x:v>
      </x:c>
      <x:c r="J831" s="44" t="n">
        <x:v>3061</x:v>
      </x:c>
      <x:c r="K831" s="44" t="n">
        <x:v>355.3462627779043</x:v>
      </x:c>
      <x:c r="L831" s="44" t="n">
        <x:v>130.78793010236225</x:v>
      </x:c>
    </x:row>
    <x:row r="832" ht="15" hidden="0" customHeight="1">
      <x:c r="A832" s="27" t="str">
        <x:v>31067</x:v>
      </x:c>
      <x:c r="B832" s="27" t="str">
        <x:v>SCA-16</x:v>
      </x:c>
      <x:c r="C832" s="43" t="n">
        <x:v>21711</x:v>
      </x:c>
      <x:c r="D832" s="43" t="n">
        <x:v>282.77699844298303</x:v>
      </x:c>
      <x:c r="E832" s="43" t="n">
        <x:v>3632.6774515857423</x:v>
      </x:c>
      <x:c r="F832" s="43" t="n">
        <x:v>103.32630702777115</x:v>
      </x:c>
      <x:c r="G832" s="43" t="n">
        <x:v>882.6825708672467</x:v>
      </x:c>
      <x:c r="H832" s="43" t="n">
        <x:v>16809.536672076258</x:v>
      </x:c>
      <x:c r="I832" s="43" t="n">
        <x:v>21711</x:v>
      </x:c>
      <x:c r="J832" s="43" t="n">
        <x:v>3726</x:v>
      </x:c>
      <x:c r="K832" s="43" t="n">
        <x:v>234.7417449880149</x:v>
      </x:c>
      <x:c r="L832" s="43" t="n">
        <x:v>131.41543796024374</x:v>
      </x:c>
    </x:row>
    <x:row r="833" ht="15" hidden="0" customHeight="1">
      <x:c r="A833" s="29" t="str">
        <x:v>29049</x:v>
      </x:c>
      <x:c r="B833" s="29" t="str">
        <x:v>SCA-16</x:v>
      </x:c>
      <x:c r="C833" s="44" t="n">
        <x:v>21661</x:v>
      </x:c>
      <x:c r="D833" s="44" t="n">
        <x:v>285.103799085933</x:v>
      </x:c>
      <x:c r="E833" s="44" t="n">
        <x:v>3172.688503757253</x:v>
      </x:c>
      <x:c r="F833" s="44" t="n">
        <x:v>130.07835232130677</x:v>
      </x:c>
      <x:c r="G833" s="44" t="n">
        <x:v>564.8100922667173</x:v>
      </x:c>
      <x:c r="H833" s="44" t="n">
        <x:v>17508.31925256879</x:v>
      </x:c>
      <x:c r="I833" s="44" t="n">
        <x:v>21661</x:v>
      </x:c>
      <x:c r="J833" s="44" t="n">
        <x:v>3208</x:v>
      </x:c>
      <x:c r="K833" s="44" t="n">
        <x:v>282.9867970840209</x:v>
      </x:c>
      <x:c r="L833" s="44" t="n">
        <x:v>152.90844476271414</x:v>
      </x:c>
    </x:row>
    <x:row r="834" ht="15" hidden="0" customHeight="1">
      <x:c r="A834" s="27" t="str">
        <x:v>31177</x:v>
      </x:c>
      <x:c r="B834" s="27" t="str">
        <x:v>SCA-16</x:v>
      </x:c>
      <x:c r="C834" s="43" t="n">
        <x:v>21302</x:v>
      </x:c>
      <x:c r="D834" s="43" t="n">
        <x:v>219.73652980152016</x:v>
      </x:c>
      <x:c r="E834" s="43" t="n">
        <x:v>2179.121889281958</x:v>
      </x:c>
      <x:c r="F834" s="43" t="n">
        <x:v>101.37980711646543</x:v>
      </x:c>
      <x:c r="G834" s="43" t="n">
        <x:v>296.17570991490584</x:v>
      </x:c>
      <x:c r="H834" s="43" t="n">
        <x:v>18505.58606388515</x:v>
      </x:c>
      <x:c r="I834" s="43" t="n">
        <x:v>21302</x:v>
      </x:c>
      <x:c r="J834" s="43" t="n">
        <x:v>2229</x:v>
      </x:c>
      <x:c r="K834" s="43" t="n">
        <x:v>230.3195915312373</x:v>
      </x:c>
      <x:c r="L834" s="43" t="n">
        <x:v>128.93978441477188</x:v>
      </x:c>
    </x:row>
    <x:row r="835" ht="15" hidden="0" customHeight="1">
      <x:c r="A835" s="29" t="str">
        <x:v>20175</x:v>
      </x:c>
      <x:c r="B835" s="29" t="str">
        <x:v>SCA-16</x:v>
      </x:c>
      <x:c r="C835" s="44" t="n">
        <x:v>21073</x:v>
      </x:c>
      <x:c r="D835" s="44" t="n">
        <x:v>240.00873160768566</x:v>
      </x:c>
      <x:c r="E835" s="44" t="n">
        <x:v>2262.22528132033</x:v>
      </x:c>
      <x:c r="F835" s="44" t="n">
        <x:v>147.46538897806965</x:v>
      </x:c>
      <x:c r="G835" s="44" t="n">
        <x:v>983.6539994373594</x:v>
      </x:c>
      <x:c r="H835" s="44" t="n">
        <x:v>17439.646598656556</x:v>
      </x:c>
      <x:c r="I835" s="44" t="n">
        <x:v>21073</x:v>
      </x:c>
      <x:c r="J835" s="44" t="n">
        <x:v>2385</x:v>
      </x:c>
      <x:c r="K835" s="44" t="n">
        <x:v>293.2147338640749</x:v>
      </x:c>
      <x:c r="L835" s="44" t="n">
        <x:v>145.74934488600525</x:v>
      </x:c>
    </x:row>
    <x:row r="836" ht="15" hidden="0" customHeight="1">
      <x:c r="A836" s="27" t="str">
        <x:v>48179</x:v>
      </x:c>
      <x:c r="B836" s="27" t="str">
        <x:v>SCA-16</x:v>
      </x:c>
      <x:c r="C836" s="43" t="n">
        <x:v>20919</x:v>
      </x:c>
      <x:c r="D836" s="43" t="n">
        <x:v>186.7932266450115</x:v>
      </x:c>
      <x:c r="E836" s="43" t="n">
        <x:v>2720.960049550944</x:v>
      </x:c>
      <x:c r="F836" s="43" t="n">
        <x:v>180.44289695281873</x:v>
      </x:c>
      <x:c r="G836" s="43" t="n">
        <x:v>567.9825023227006</x:v>
      </x:c>
      <x:c r="H836" s="43" t="n">
        <x:v>17262.821324528526</x:v>
      </x:c>
      <x:c r="I836" s="43" t="n">
        <x:v>20919</x:v>
      </x:c>
      <x:c r="J836" s="43" t="n">
        <x:v>2625</x:v>
      </x:c>
      <x:c r="K836" s="43" t="n">
        <x:v>253.86278819987422</x:v>
      </x:c>
      <x:c r="L836" s="43" t="n">
        <x:v>73.41989124705549</x:v>
      </x:c>
    </x:row>
    <x:row r="837" ht="15" hidden="0" customHeight="1">
      <x:c r="A837" s="29" t="str">
        <x:v>40139</x:v>
      </x:c>
      <x:c r="B837" s="29" t="str">
        <x:v>SCA-16</x:v>
      </x:c>
      <x:c r="C837" s="44" t="n">
        <x:v>20322</x:v>
      </x:c>
      <x:c r="D837" s="44" t="n">
        <x:v>221.3092793130287</x:v>
      </x:c>
      <x:c r="E837" s="44" t="n">
        <x:v>2432.730724047688</x:v>
      </x:c>
      <x:c r="F837" s="44" t="n">
        <x:v>205.94225536496978</x:v>
      </x:c>
      <x:c r="G837" s="44" t="n">
        <x:v>510.3015896093826</x:v>
      </x:c>
      <x:c r="H837" s="44" t="n">
        <x:v>16951.716151664932</x:v>
      </x:c>
      <x:c r="I837" s="44" t="n">
        <x:v>20322</x:v>
      </x:c>
      <x:c r="J837" s="44" t="n">
        <x:v>2573</x:v>
      </x:c>
      <x:c r="K837" s="44" t="n">
        <x:v>325.8877545093448</x:v>
      </x:c>
      <x:c r="L837" s="44" t="n">
        <x:v>119.94549914437499</x:v>
      </x:c>
    </x:row>
    <x:row r="838" ht="15" hidden="0" customHeight="1">
      <x:c r="A838" s="27" t="str">
        <x:v>29147</x:v>
      </x:c>
      <x:c r="B838" s="27" t="str">
        <x:v>SCA-16</x:v>
      </x:c>
      <x:c r="C838" s="43" t="n">
        <x:v>20174</x:v>
      </x:c>
      <x:c r="D838" s="43" t="n">
        <x:v>248.88676556712534</x:v>
      </x:c>
      <x:c r="E838" s="43" t="n">
        <x:v>2555.4069684389538</x:v>
      </x:c>
      <x:c r="F838" s="43" t="n">
        <x:v>121.14863947786546</x:v>
      </x:c>
      <x:c r="G838" s="43" t="n">
        <x:v>751.7346071124895</x:v>
      </x:c>
      <x:c r="H838" s="43" t="n">
        <x:v>16496.823019403568</x:v>
      </x:c>
      <x:c r="I838" s="43" t="n">
        <x:v>20174</x:v>
      </x:c>
      <x:c r="J838" s="43" t="n">
        <x:v>2638</x:v>
      </x:c>
      <x:c r="K838" s="43" t="n">
        <x:v>263.5601146933677</x:v>
      </x:c>
      <x:c r="L838" s="43" t="n">
        <x:v>142.41147521550226</x:v>
      </x:c>
    </x:row>
    <x:row r="839" ht="15" hidden="0" customHeight="1">
      <x:c r="A839" s="29" t="str">
        <x:v>29217</x:v>
      </x:c>
      <x:c r="B839" s="29" t="str">
        <x:v>SCA-16</x:v>
      </x:c>
      <x:c r="C839" s="44" t="n">
        <x:v>19946</x:v>
      </x:c>
      <x:c r="D839" s="44" t="n">
        <x:v>295.0491227651056</x:v>
      </x:c>
      <x:c r="E839" s="44" t="n">
        <x:v>3701.9312596587665</x:v>
      </x:c>
      <x:c r="F839" s="44" t="n">
        <x:v>119.77945687645008</x:v>
      </x:c>
      <x:c r="G839" s="44" t="n">
        <x:v>1281.79717886221</x:v>
      </x:c>
      <x:c r="H839" s="44" t="n">
        <x:v>14547.442981837468</x:v>
      </x:c>
      <x:c r="I839" s="44" t="n">
        <x:v>19946</x:v>
      </x:c>
      <x:c r="J839" s="44" t="n">
        <x:v>3728</x:v>
      </x:c>
      <x:c r="K839" s="44" t="n">
        <x:v>260.5814438224404</x:v>
      </x:c>
      <x:c r="L839" s="44" t="n">
        <x:v>140.8019869459903</x:v>
      </x:c>
    </x:row>
    <x:row r="840" ht="15" hidden="0" customHeight="1">
      <x:c r="A840" s="27" t="str">
        <x:v>40001</x:v>
      </x:c>
      <x:c r="B840" s="27" t="str">
        <x:v>SCA-16</x:v>
      </x:c>
      <x:c r="C840" s="43" t="n">
        <x:v>19828</x:v>
      </x:c>
      <x:c r="D840" s="43" t="n">
        <x:v>296.10150961044786</x:v>
      </x:c>
      <x:c r="E840" s="43" t="n">
        <x:v>4297.721312393096</x:v>
      </x:c>
      <x:c r="F840" s="43" t="n">
        <x:v>200.93608106370544</x:v>
      </x:c>
      <x:c r="G840" s="43" t="n">
        <x:v>866.7377546260302</x:v>
      </x:c>
      <x:c r="H840" s="43" t="n">
        <x:v>14166.50334230672</x:v>
      </x:c>
      <x:c r="I840" s="43" t="n">
        <x:v>19828</x:v>
      </x:c>
      <x:c r="J840" s="43" t="n">
        <x:v>4356</x:v>
      </x:c>
      <x:c r="K840" s="43" t="n">
        <x:v>317.965869324441</x:v>
      </x:c>
      <x:c r="L840" s="43" t="n">
        <x:v>117.02978826073553</x:v>
      </x:c>
    </x:row>
    <x:row r="841" ht="15" hidden="0" customHeight="1">
      <x:c r="A841" s="29" t="str">
        <x:v>40153</x:v>
      </x:c>
      <x:c r="B841" s="29" t="str">
        <x:v>SCA-16</x:v>
      </x:c>
      <x:c r="C841" s="44" t="n">
        <x:v>19827</x:v>
      </x:c>
      <x:c r="D841" s="44" t="n">
        <x:v>271.8279432371788</x:v>
      </x:c>
      <x:c r="E841" s="44" t="n">
        <x:v>3715.2973734046927</x:v>
      </x:c>
      <x:c r="F841" s="44" t="n">
        <x:v>200.92594710763</x:v>
      </x:c>
      <x:c r="G841" s="44" t="n">
        <x:v>468.3973857554549</x:v>
      </x:c>
      <x:c r="H841" s="44" t="n">
        <x:v>15170.551350495045</x:v>
      </x:c>
      <x:c r="I841" s="44" t="n">
        <x:v>19827</x:v>
      </x:c>
      <x:c r="J841" s="44" t="n">
        <x:v>3793</x:v>
      </x:c>
      <x:c r="K841" s="44" t="n">
        <x:v>317.94983311961323</x:v>
      </x:c>
      <x:c r="L841" s="44" t="n">
        <x:v>117.02388601198322</x:v>
      </x:c>
    </x:row>
    <x:row r="842" ht="15" hidden="0" customHeight="1">
      <x:c r="A842" s="27" t="str">
        <x:v>20099</x:v>
      </x:c>
      <x:c r="B842" s="27" t="str">
        <x:v>SCA-16</x:v>
      </x:c>
      <x:c r="C842" s="43" t="n">
        <x:v>19685</x:v>
      </x:c>
      <x:c r="D842" s="43" t="n">
        <x:v>313.24248004209636</x:v>
      </x:c>
      <x:c r="E842" s="43" t="n">
        <x:v>4250.234435927774</x:v>
      </x:c>
      <x:c r="F842" s="43" t="n">
        <x:v>137.75239320615484</x:v>
      </x:c>
      <x:c r="G842" s="43" t="n">
        <x:v>775.866402592726</x:v>
      </x:c>
      <x:c r="H842" s="43" t="n">
        <x:v>14207.904288231248</x:v>
      </x:c>
      <x:c r="I842" s="43" t="n">
        <x:v>19685</x:v>
      </x:c>
      <x:c r="J842" s="43" t="n">
        <x:v>4372</x:v>
      </x:c>
      <x:c r="K842" s="43" t="n">
        <x:v>273.9017717512606</x:v>
      </x:c>
      <x:c r="L842" s="43" t="n">
        <x:v>136.14937854510575</x:v>
      </x:c>
    </x:row>
    <x:row r="843" ht="15" hidden="0" customHeight="1">
      <x:c r="A843" s="29" t="str">
        <x:v>48233</x:v>
      </x:c>
      <x:c r="B843" s="29" t="str">
        <x:v>SCA-16</x:v>
      </x:c>
      <x:c r="C843" s="44" t="n">
        <x:v>19633</x:v>
      </x:c>
      <x:c r="D843" s="44" t="n">
        <x:v>195.87194394792343</x:v>
      </x:c>
      <x:c r="E843" s="44" t="n">
        <x:v>3047.173349310964</x:v>
      </x:c>
      <x:c r="F843" s="44" t="n">
        <x:v>169.3501312622348</x:v>
      </x:c>
      <x:c r="G843" s="44" t="n">
        <x:v>339.10300579189135</x:v>
      </x:c>
      <x:c r="H843" s="44" t="n">
        <x:v>15881.501569686987</x:v>
      </x:c>
      <x:c r="I843" s="44" t="n">
        <x:v>19633</x:v>
      </x:c>
      <x:c r="J843" s="44" t="n">
        <x:v>3238</x:v>
      </x:c>
      <x:c r="K843" s="44" t="n">
        <x:v>238.25651898886804</x:v>
      </x:c>
      <x:c r="L843" s="44" t="n">
        <x:v>68.90638772663323</x:v>
      </x:c>
    </x:row>
    <x:row r="844" ht="15" hidden="0" customHeight="1">
      <x:c r="A844" s="27" t="str">
        <x:v>20021</x:v>
      </x:c>
      <x:c r="B844" s="27" t="str">
        <x:v>SCA-16</x:v>
      </x:c>
      <x:c r="C844" s="43" t="n">
        <x:v>19105</x:v>
      </x:c>
      <x:c r="D844" s="43" t="n">
        <x:v>274.2621456754306</x:v>
      </x:c>
      <x:c r="E844" s="43" t="n">
        <x:v>3410.9827306273064</x:v>
      </x:c>
      <x:c r="F844" s="43" t="n">
        <x:v>133.69364857523945</x:v>
      </x:c>
      <x:c r="G844" s="43" t="n">
        <x:v>515.2760147601475</x:v>
      </x:c>
      <x:c r="H844" s="43" t="n">
        <x:v>14770.785460361874</x:v>
      </x:c>
      <x:c r="I844" s="43" t="n">
        <x:v>19105</x:v>
      </x:c>
      <x:c r="J844" s="43" t="n">
        <x:v>3528</x:v>
      </x:c>
      <x:c r="K844" s="43" t="n">
        <x:v>265.8315138078656</x:v>
      </x:c>
      <x:c r="L844" s="43" t="n">
        <x:v>132.13786523262613</x:v>
      </x:c>
    </x:row>
    <x:row r="845" ht="15" hidden="0" customHeight="1">
      <x:c r="A845" s="29" t="str">
        <x:v>20041</x:v>
      </x:c>
      <x:c r="B845" s="29" t="str">
        <x:v>SCA-16</x:v>
      </x:c>
      <x:c r="C845" s="44" t="n">
        <x:v>18637</x:v>
      </x:c>
      <x:c r="D845" s="44" t="n">
        <x:v>239.04464867045994</x:v>
      </x:c>
      <x:c r="E845" s="44" t="n">
        <x:v>2643.4478327248585</x:v>
      </x:c>
      <x:c r="F845" s="44" t="n">
        <x:v>130.41866152822493</x:v>
      </x:c>
      <x:c r="G845" s="44" t="n">
        <x:v>455.1022236973117</x:v>
      </x:c>
      <x:c r="H845" s="44" t="n">
        <x:v>15168.986633379145</x:v>
      </x:c>
      <x:c r="I845" s="44" t="n">
        <x:v>18637</x:v>
      </x:c>
      <x:c r="J845" s="44" t="n">
        <x:v>2671</x:v>
      </x:c>
      <x:c r="K845" s="44" t="n">
        <x:v>259.3196505018158</x:v>
      </x:c>
      <x:c r="L845" s="44" t="n">
        <x:v>128.90098897359084</x:v>
      </x:c>
    </x:row>
    <x:row r="846" ht="15" hidden="0" customHeight="1">
      <x:c r="A846" s="27" t="str">
        <x:v>20087</x:v>
      </x:c>
      <x:c r="B846" s="27" t="str">
        <x:v>SCA-16</x:v>
      </x:c>
      <x:c r="C846" s="43" t="n">
        <x:v>18296</x:v>
      </x:c>
      <x:c r="D846" s="43" t="n">
        <x:v>223.7444108598584</x:v>
      </x:c>
      <x:c r="E846" s="43" t="n">
        <x:v>2332.8459613899613</x:v>
      </x:c>
      <x:c r="F846" s="43" t="n">
        <x:v>128.03239959866954</x:v>
      </x:c>
      <x:c r="G846" s="43" t="n">
        <x:v>430.55559845559844</x:v>
      </x:c>
      <x:c r="H846" s="43" t="n">
        <x:v>15180.821629695913</x:v>
      </x:c>
      <x:c r="I846" s="43" t="n">
        <x:v>18296</x:v>
      </x:c>
      <x:c r="J846" s="43" t="n">
        <x:v>2408</x:v>
      </x:c>
      <x:c r="K846" s="43" t="n">
        <x:v>254.57489540061286</x:v>
      </x:c>
      <x:c r="L846" s="43" t="n">
        <x:v>126.54249580194333</x:v>
      </x:c>
    </x:row>
    <x:row r="847" ht="15" hidden="0" customHeight="1">
      <x:c r="A847" s="29" t="str">
        <x:v>29003</x:v>
      </x:c>
      <x:c r="B847" s="29" t="str">
        <x:v>SCA-16</x:v>
      </x:c>
      <x:c r="C847" s="44" t="n">
        <x:v>18241</x:v>
      </x:c>
      <x:c r="D847" s="44" t="n">
        <x:v>210.32473373565782</x:v>
      </x:c>
      <x:c r="E847" s="44" t="n">
        <x:v>1957.4067123749578</x:v>
      </x:c>
      <x:c r="F847" s="44" t="n">
        <x:v>109.5406133000765</x:v>
      </x:c>
      <x:c r="G847" s="44" t="n">
        <x:v>215.83764190176464</x:v>
      </x:c>
      <x:c r="H847" s="44" t="n">
        <x:v>15747.890298687544</x:v>
      </x:c>
      <x:c r="I847" s="44" t="n">
        <x:v>18241</x:v>
      </x:c>
      <x:c r="J847" s="44" t="n">
        <x:v>1989</x:v>
      </x:c>
      <x:c r="K847" s="44" t="n">
        <x:v>238.30673402011107</x:v>
      </x:c>
      <x:c r="L847" s="44" t="n">
        <x:v>128.76612072003456</x:v>
      </x:c>
    </x:row>
    <x:row r="848" ht="15" hidden="0" customHeight="1">
      <x:c r="A848" s="27" t="str">
        <x:v>31159</x:v>
      </x:c>
      <x:c r="B848" s="27" t="str">
        <x:v>SCA-16</x:v>
      </x:c>
      <x:c r="C848" s="43" t="n">
        <x:v>18032</x:v>
      </x:c>
      <x:c r="D848" s="43" t="n">
        <x:v>188.13708447151615</x:v>
      </x:c>
      <x:c r="E848" s="43" t="n">
        <x:v>1895.7701408450703</x:v>
      </x:c>
      <x:c r="F848" s="43" t="n">
        <x:v>85.81732616299433</x:v>
      </x:c>
      <x:c r="G848" s="43" t="n">
        <x:v>430.9951135383731</x:v>
      </x:c>
      <x:c r="H848" s="43" t="n">
        <x:v>15431.280334982046</x:v>
      </x:c>
      <x:c r="I848" s="43" t="n">
        <x:v>18032</x:v>
      </x:c>
      <x:c r="J848" s="43" t="n">
        <x:v>1905</x:v>
      </x:c>
      <x:c r="K848" s="43" t="n">
        <x:v>194.9639880992992</x:v>
      </x:c>
      <x:c r="L848" s="43" t="n">
        <x:v>109.14666193630487</x:v>
      </x:c>
    </x:row>
    <x:row r="849" ht="15" hidden="0" customHeight="1">
      <x:c r="A849" s="29" t="str">
        <x:v>31131</x:v>
      </x:c>
      <x:c r="B849" s="29" t="str">
        <x:v>SCA-16</x:v>
      </x:c>
      <x:c r="C849" s="44" t="n">
        <x:v>16531</x:v>
      </x:c>
      <x:c r="D849" s="44" t="n">
        <x:v>189.6517388362871</x:v>
      </x:c>
      <x:c r="E849" s="44" t="n">
        <x:v>2150.173051766025</x:v>
      </x:c>
      <x:c r="F849" s="44" t="n">
        <x:v>78.67381426355695</x:v>
      </x:c>
      <x:c r="G849" s="44" t="n">
        <x:v>278.8048962810689</x:v>
      </x:c>
      <x:c r="H849" s="44" t="n">
        <x:v>13833.696498853062</x:v>
      </x:c>
      <x:c r="I849" s="44" t="n">
        <x:v>16531</x:v>
      </x:c>
      <x:c r="J849" s="44" t="n">
        <x:v>2175</x:v>
      </x:c>
      <x:c r="K849" s="44" t="n">
        <x:v>178.7350092762597</x:v>
      </x:c>
      <x:c r="L849" s="44" t="n">
        <x:v>100.06119501270274</x:v>
      </x:c>
    </x:row>
    <x:row r="850" ht="15" hidden="0" customHeight="1">
      <x:c r="A850" s="27" t="str">
        <x:v>29013</x:v>
      </x:c>
      <x:c r="B850" s="27" t="str">
        <x:v>SCA-16</x:v>
      </x:c>
      <x:c r="C850" s="43" t="n">
        <x:v>16512</x:v>
      </x:c>
      <x:c r="D850" s="43" t="n">
        <x:v>235.5504867185955</x:v>
      </x:c>
      <x:c r="E850" s="43" t="n">
        <x:v>2855.7516490166417</x:v>
      </x:c>
      <x:c r="F850" s="43" t="n">
        <x:v>99.15764523934342</x:v>
      </x:c>
      <x:c r="G850" s="43" t="n">
        <x:v>626.7704866364095</x:v>
      </x:c>
      <x:c r="H850" s="43" t="n">
        <x:v>12694.76973238901</x:v>
      </x:c>
      <x:c r="I850" s="43" t="n">
        <x:v>16512</x:v>
      </x:c>
      <x:c r="J850" s="43" t="n">
        <x:v>2858</x:v>
      </x:c>
      <x:c r="K850" s="43" t="n">
        <x:v>215.71847991557885</x:v>
      </x:c>
      <x:c r="L850" s="43" t="n">
        <x:v>116.56083467623543</x:v>
      </x:c>
    </x:row>
    <x:row r="851" ht="15" hidden="0" customHeight="1">
      <x:c r="A851" s="29" t="str">
        <x:v>20005</x:v>
      </x:c>
      <x:c r="B851" s="29" t="str">
        <x:v>SCA-16</x:v>
      </x:c>
      <x:c r="C851" s="44" t="n">
        <x:v>16172</x:v>
      </x:c>
      <x:c r="D851" s="44" t="n">
        <x:v>212.35669659655122</x:v>
      </x:c>
      <x:c r="E851" s="44" t="n">
        <x:v>2412.1113408239703</x:v>
      </x:c>
      <x:c r="F851" s="44" t="n">
        <x:v>113.16899684683447</x:v>
      </x:c>
      <x:c r="G851" s="44" t="n">
        <x:v>553.6560861423221</x:v>
      </x:c>
      <x:c r="H851" s="44" t="n">
        <x:v>12880.706879590321</x:v>
      </x:c>
      <x:c r="I851" s="44" t="n">
        <x:v>16172</x:v>
      </x:c>
      <x:c r="J851" s="44" t="n">
        <x:v>2489</x:v>
      </x:c>
      <x:c r="K851" s="44" t="n">
        <x:v>225.02105424238692</x:v>
      </x:c>
      <x:c r="L851" s="44" t="n">
        <x:v>111.85205739555245</x:v>
      </x:c>
    </x:row>
    <x:row r="852" ht="15" hidden="0" customHeight="1">
      <x:c r="A852" s="27" t="str">
        <x:v>40117</x:v>
      </x:c>
      <x:c r="B852" s="27" t="str">
        <x:v>SCA-16</x:v>
      </x:c>
      <x:c r="C852" s="43" t="n">
        <x:v>16029</x:v>
      </x:c>
      <x:c r="D852" s="43" t="n">
        <x:v>233.55733818707293</x:v>
      </x:c>
      <x:c r="E852" s="43" t="n">
        <x:v>3334.8046304724053</x:v>
      </x:c>
      <x:c r="F852" s="43" t="n">
        <x:v>162.43718193313165</x:v>
      </x:c>
      <x:c r="G852" s="43" t="n">
        <x:v>296.4726620088456</x:v>
      </x:c>
      <x:c r="H852" s="43" t="n">
        <x:v>12001.728187398543</x:v>
      </x:c>
      <x:c r="I852" s="43" t="n">
        <x:v>16029</x:v>
      </x:c>
      <x:c r="J852" s="43" t="n">
        <x:v>3381</x:v>
      </x:c>
      <x:c r="K852" s="43" t="n">
        <x:v>257.04432718385436</x:v>
      </x:c>
      <x:c r="L852" s="43" t="n">
        <x:v>94.60714525072271</x:v>
      </x:c>
    </x:row>
    <x:row r="853" ht="15" hidden="0" customHeight="1">
      <x:c r="A853" s="29" t="str">
        <x:v>40073</x:v>
      </x:c>
      <x:c r="B853" s="29" t="str">
        <x:v>SCA-16</x:v>
      </x:c>
      <x:c r="C853" s="44" t="n">
        <x:v>15795</x:v>
      </x:c>
      <x:c r="D853" s="44" t="n">
        <x:v>175.0304710974775</x:v>
      </x:c>
      <x:c r="E853" s="44" t="n">
        <x:v>1963.3068493150683</x:v>
      </x:c>
      <x:c r="F853" s="44" t="n">
        <x:v>160.06583621148008</x:v>
      </x:c>
      <x:c r="G853" s="44" t="n">
        <x:v>470.952186512118</x:v>
      </x:c>
      <x:c r="H853" s="44" t="n">
        <x:v>13025.644656863857</x:v>
      </x:c>
      <x:c r="I853" s="44" t="n">
        <x:v>15795</x:v>
      </x:c>
      <x:c r="J853" s="44" t="n">
        <x:v>1966</x:v>
      </x:c>
      <x:c r="K853" s="44" t="n">
        <x:v>253.29185525416304</x:v>
      </x:c>
      <x:c r="L853" s="44" t="n">
        <x:v>93.22601904268296</x:v>
      </x:c>
    </x:row>
    <x:row r="854" ht="15" hidden="0" customHeight="1">
      <x:c r="A854" s="27" t="str">
        <x:v>20139</x:v>
      </x:c>
      <x:c r="B854" s="27" t="str">
        <x:v>SCA-16</x:v>
      </x:c>
      <x:c r="C854" s="43" t="n">
        <x:v>15693</x:v>
      </x:c>
      <x:c r="D854" s="43" t="n">
        <x:v>208.1107023543358</x:v>
      </x:c>
      <x:c r="E854" s="43" t="n">
        <x:v>2389.718439425051</x:v>
      </x:c>
      <x:c r="F854" s="43" t="n">
        <x:v>109.817033608544</x:v>
      </x:c>
      <x:c r="G854" s="43" t="n">
        <x:v>275.55056468172484</x:v>
      </x:c>
      <x:c r="H854" s="43" t="n">
        <x:v>12709.803259930344</x:v>
      </x:c>
      <x:c r="I854" s="43" t="n">
        <x:v>15693</x:v>
      </x:c>
      <x:c r="J854" s="43" t="n">
        <x:v>2472</x:v>
      </x:c>
      <x:c r="K854" s="43" t="n">
        <x:v>218.3561343201693</x:v>
      </x:c>
      <x:c r="L854" s="43" t="n">
        <x:v>108.53910071162531</x:v>
      </x:c>
    </x:row>
    <x:row r="855" ht="15" hidden="0" customHeight="1">
      <x:c r="A855" s="29" t="str">
        <x:v>20133</x:v>
      </x:c>
      <x:c r="B855" s="29" t="str">
        <x:v>SCA-16</x:v>
      </x:c>
      <x:c r="C855" s="44" t="n">
        <x:v>15637</x:v>
      </x:c>
      <x:c r="D855" s="44" t="n">
        <x:v>222.2650844864289</x:v>
      </x:c>
      <x:c r="E855" s="44" t="n">
        <x:v>2738.7192552366173</x:v>
      </x:c>
      <x:c r="F855" s="44" t="n">
        <x:v>109.42515481659353</x:v>
      </x:c>
      <x:c r="G855" s="44" t="n">
        <x:v>446.38712179984486</x:v>
      </x:c>
      <x:c r="H855" s="44" t="n">
        <x:v>12120.203383660515</x:v>
      </x:c>
      <x:c r="I855" s="44" t="n">
        <x:v>15637</x:v>
      </x:c>
      <x:c r="J855" s="44" t="n">
        <x:v>2822</x:v>
      </x:c>
      <x:c r="K855" s="44" t="n">
        <x:v>217.57693700149667</x:v>
      </x:c>
      <x:c r="L855" s="44" t="n">
        <x:v>108.15178218490314</x:v>
      </x:c>
    </x:row>
    <x:row r="856" ht="15" hidden="0" customHeight="1">
      <x:c r="A856" s="27" t="str">
        <x:v>31151</x:v>
      </x:c>
      <x:c r="B856" s="27" t="str">
        <x:v>SCA-16</x:v>
      </x:c>
      <x:c r="C856" s="43" t="n">
        <x:v>14996</x:v>
      </x:c>
      <x:c r="D856" s="43" t="n">
        <x:v>165.00445491086745</x:v>
      </x:c>
      <x:c r="E856" s="43" t="n">
        <x:v>1781.62864492804</x:v>
      </x:c>
      <x:c r="F856" s="43" t="n">
        <x:v>71.3684906355514</x:v>
      </x:c>
      <x:c r="G856" s="43" t="n">
        <x:v>266.3778071334214</x:v>
      </x:c>
      <x:c r="H856" s="43" t="n">
        <x:v>12711.62060239212</x:v>
      </x:c>
      <x:c r="I856" s="43" t="n">
        <x:v>14996</x:v>
      </x:c>
      <x:c r="J856" s="43" t="n">
        <x:v>1780</x:v>
      </x:c>
      <x:c r="K856" s="43" t="n">
        <x:v>162.13841867441718</x:v>
      </x:c>
      <x:c r="L856" s="43" t="n">
        <x:v>90.76992803886579</x:v>
      </x:c>
    </x:row>
    <x:row r="857" ht="15" hidden="0" customHeight="1">
      <x:c r="A857" s="29" t="str">
        <x:v>29039</x:v>
      </x:c>
      <x:c r="B857" s="29" t="str">
        <x:v>SCA-16</x:v>
      </x:c>
      <x:c r="C857" s="44" t="n">
        <x:v>14888</x:v>
      </x:c>
      <x:c r="D857" s="44" t="n">
        <x:v>218.18273479413511</x:v>
      </x:c>
      <x:c r="E857" s="44" t="n">
        <x:v>2714.063387007218</x:v>
      </x:c>
      <x:c r="F857" s="44" t="n">
        <x:v>89.40522179768318</x:v>
      </x:c>
      <x:c r="G857" s="44" t="n">
        <x:v>459.3298167684619</x:v>
      </x:c>
      <x:c r="H857" s="44" t="n">
        <x:v>11407.018839632501</x:v>
      </x:c>
      <x:c r="I857" s="44" t="n">
        <x:v>14888</x:v>
      </x:c>
      <x:c r="J857" s="44" t="n">
        <x:v>2736</x:v>
      </x:c>
      <x:c r="K857" s="44" t="n">
        <x:v>194.5019821331842</x:v>
      </x:c>
      <x:c r="L857" s="44" t="n">
        <x:v>105.09676033550103</x:v>
      </x:c>
    </x:row>
    <x:row r="858" ht="15" hidden="0" customHeight="1">
      <x:c r="A858" s="27" t="str">
        <x:v>19145</x:v>
      </x:c>
      <x:c r="B858" s="27" t="str">
        <x:v>SCA-16</x:v>
      </x:c>
      <x:c r="C858" s="43" t="n">
        <x:v>14856</x:v>
      </x:c>
      <x:c r="D858" s="43" t="n">
        <x:v>234.37543630905583</x:v>
      </x:c>
      <x:c r="E858" s="43" t="n">
        <x:v>2492.5830809771383</x:v>
      </x:c>
      <x:c r="F858" s="43" t="n">
        <x:v>69.5946901844475</x:v>
      </x:c>
      <x:c r="G858" s="43" t="n">
        <x:v>591.2745174845097</x:v>
      </x:c>
      <x:c r="H858" s="43" t="n">
        <x:v>11468.17227504485</x:v>
      </x:c>
      <x:c r="I858" s="43" t="n">
        <x:v>14856</x:v>
      </x:c>
      <x:c r="J858" s="43" t="n">
        <x:v>2454</x:v>
      </x:c>
      <x:c r="K858" s="43" t="n">
        <x:v>200.1124981194559</x:v>
      </x:c>
      <x:c r="L858" s="43" t="n">
        <x:v>130.5178079350084</x:v>
      </x:c>
    </x:row>
    <x:row r="859" ht="15" hidden="0" customHeight="1">
      <x:c r="A859" s="29" t="str">
        <x:v>19129</x:v>
      </x:c>
      <x:c r="B859" s="29" t="str">
        <x:v>SCA-16</x:v>
      </x:c>
      <x:c r="C859" s="44" t="n">
        <x:v>14793</x:v>
      </x:c>
      <x:c r="D859" s="44" t="n">
        <x:v>210.29017508767507</x:v>
      </x:c>
      <x:c r="E859" s="44" t="n">
        <x:v>1927.8205304037504</x:v>
      </x:c>
      <x:c r="F859" s="44" t="n">
        <x:v>69.2995592284957</x:v>
      </x:c>
      <x:c r="G859" s="44" t="n">
        <x:v>261.00356867958857</x:v>
      </x:c>
      <x:c r="H859" s="44" t="n">
        <x:v>12324.586166600491</x:v>
      </x:c>
      <x:c r="I859" s="44" t="n">
        <x:v>14793</x:v>
      </x:c>
      <x:c r="J859" s="44" t="n">
        <x:v>1940</x:v>
      </x:c>
      <x:c r="K859" s="44" t="n">
        <x:v>199.26387888268115</x:v>
      </x:c>
      <x:c r="L859" s="44" t="n">
        <x:v>129.96431965418546</x:v>
      </x:c>
    </x:row>
    <x:row r="860" ht="15" hidden="0" customHeight="1">
      <x:c r="A860" s="27" t="str">
        <x:v>31185</x:v>
      </x:c>
      <x:c r="B860" s="27" t="str">
        <x:v>SCA-16</x:v>
      </x:c>
      <x:c r="C860" s="43" t="n">
        <x:v>14564</x:v>
      </x:c>
      <x:c r="D860" s="43" t="n">
        <x:v>176.0027442219041</x:v>
      </x:c>
      <x:c r="E860" s="43" t="n">
        <x:v>2108.3444978292328</x:v>
      </x:c>
      <x:c r="F860" s="43" t="n">
        <x:v>69.31252984903779</x:v>
      </x:c>
      <x:c r="G860" s="43" t="n">
        <x:v>339.68162083936323</x:v>
      </x:c>
      <x:c r="H860" s="43" t="n">
        <x:v>11870.658607260462</x:v>
      </x:c>
      <x:c r="I860" s="43" t="n">
        <x:v>14564</x:v>
      </x:c>
      <x:c r="J860" s="43" t="n">
        <x:v>2084</x:v>
      </x:c>
      <x:c r="K860" s="43" t="n">
        <x:v>157.4675866613905</x:v>
      </x:c>
      <x:c r="L860" s="43" t="n">
        <x:v>88.15505681235271</x:v>
      </x:c>
    </x:row>
    <x:row r="861" ht="15" hidden="0" customHeight="1">
      <x:c r="A861" s="29" t="str">
        <x:v>40035</x:v>
      </x:c>
      <x:c r="B861" s="29" t="str">
        <x:v>SCA-16</x:v>
      </x:c>
      <x:c r="C861" s="44" t="n">
        <x:v>14518</x:v>
      </x:c>
      <x:c r="D861" s="44" t="n">
        <x:v>211.76678510018797</x:v>
      </x:c>
      <x:c r="E861" s="44" t="n">
        <x:v>3025.8705051408137</x:v>
      </x:c>
      <x:c r="F861" s="44" t="n">
        <x:v>147.12477430315084</x:v>
      </x:c>
      <x:c r="G861" s="44" t="n">
        <x:v>334.295634033676</x:v>
      </x:c>
      <x:c r="H861" s="44" t="n">
        <x:v>10798.942301422172</x:v>
      </x:c>
      <x:c r="I861" s="44" t="n">
        <x:v>14518</x:v>
      </x:c>
      <x:c r="J861" s="44" t="n">
        <x:v>2914</x:v>
      </x:c>
      <x:c r="K861" s="44" t="n">
        <x:v>232.81362168913827</x:v>
      </x:c>
      <x:c r="L861" s="44" t="n">
        <x:v>85.68884738598742</x:v>
      </x:c>
    </x:row>
    <x:row r="862" ht="15" hidden="0" customHeight="1">
      <x:c r="A862" s="27" t="str">
        <x:v>20011</x:v>
      </x:c>
      <x:c r="B862" s="27" t="str">
        <x:v>SCA-16</x:v>
      </x:c>
      <x:c r="C862" s="43" t="n">
        <x:v>14319</x:v>
      </x:c>
      <x:c r="D862" s="43" t="n">
        <x:v>188.93283900240635</x:v>
      </x:c>
      <x:c r="E862" s="43" t="n">
        <x:v>2157.5249999999996</x:v>
      </x:c>
      <x:c r="F862" s="43" t="n">
        <x:v>100.20200753461681</x:v>
      </x:c>
      <x:c r="G862" s="43" t="n">
        <x:v>468.7336711711712</x:v>
      </x:c>
      <x:c r="H862" s="43" t="n">
        <x:v>11403.606482291805</x:v>
      </x:c>
      <x:c r="I862" s="43" t="n">
        <x:v>14319</x:v>
      </x:c>
      <x:c r="J862" s="43" t="n">
        <x:v>2230</x:v>
      </x:c>
      <x:c r="K862" s="43" t="n">
        <x:v>199.23797153702316</x:v>
      </x:c>
      <x:c r="L862" s="43" t="n">
        <x:v>99.03596400240635</x:v>
      </x:c>
    </x:row>
    <x:row r="863" ht="15" hidden="0" customHeight="1">
      <x:c r="A863" s="29" t="str">
        <x:v>20085</x:v>
      </x:c>
      <x:c r="B863" s="29" t="str">
        <x:v>SCA-16</x:v>
      </x:c>
      <x:c r="C863" s="44" t="n">
        <x:v>13438</x:v>
      </x:c>
      <x:c r="D863" s="44" t="n">
        <x:v>173.49916203264618</x:v>
      </x:c>
      <x:c r="E863" s="44" t="n">
        <x:v>1933.3571621724268</x:v>
      </x:c>
      <x:c r="F863" s="44" t="n">
        <x:v>94.0369143969677</x:v>
      </x:c>
      <x:c r="G863" s="44" t="n">
        <x:v>306.0478541587542</x:v>
      </x:c>
      <x:c r="H863" s="44" t="n">
        <x:v>10931.058907239205</x:v>
      </x:c>
      <x:c r="I863" s="44" t="n">
        <x:v>13438</x:v>
      </x:c>
      <x:c r="J863" s="44" t="n">
        <x:v>1973</x:v>
      </x:c>
      <x:c r="K863" s="44" t="n">
        <x:v>186.97952800576277</x:v>
      </x:c>
      <x:c r="L863" s="44" t="n">
        <x:v>92.94261360879507</x:v>
      </x:c>
    </x:row>
    <x:row r="864" ht="15" hidden="0" customHeight="1">
      <x:c r="A864" s="27" t="str">
        <x:v>20001</x:v>
      </x:c>
      <x:c r="B864" s="27" t="str">
        <x:v>SCA-16</x:v>
      </x:c>
      <x:c r="C864" s="43" t="n">
        <x:v>12302</x:v>
      </x:c>
      <x:c r="D864" s="43" t="n">
        <x:v>170.2502045032556</x:v>
      </x:c>
      <x:c r="E864" s="43" t="n">
        <x:v>2043.9509727626457</x:v>
      </x:c>
      <x:c r="F864" s="43" t="n">
        <x:v>86.08737318882993</x:v>
      </x:c>
      <x:c r="G864" s="43" t="n">
        <x:v>563.5523265239948</x:v>
      </x:c>
      <x:c r="H864" s="43" t="n">
        <x:v>9438.159123021273</x:v>
      </x:c>
      <x:c r="I864" s="43" t="n">
        <x:v>12302</x:v>
      </x:c>
      <x:c r="J864" s="43" t="n">
        <x:v>2135</x:v>
      </x:c>
      <x:c r="K864" s="43" t="n">
        <x:v>171.17295382697526</x:v>
      </x:c>
      <x:c r="L864" s="43" t="n">
        <x:v>85.08558063814533</x:v>
      </x:c>
    </x:row>
    <x:row r="865" ht="15" hidden="0" customHeight="1">
      <x:c r="A865" s="29" t="str">
        <x:v>29011</x:v>
      </x:c>
      <x:c r="B865" s="29" t="str">
        <x:v>SCA-16</x:v>
      </x:c>
      <x:c r="C865" s="44" t="n">
        <x:v>11795</x:v>
      </x:c>
      <x:c r="D865" s="44" t="n">
        <x:v>180.30369392393774</x:v>
      </x:c>
      <x:c r="E865" s="44" t="n">
        <x:v>2328.98190271201</x:v>
      </x:c>
      <x:c r="F865" s="44" t="n">
        <x:v>70.83117887585125</x:v>
      </x:c>
      <x:c r="G865" s="44" t="n">
        <x:v>587.7950925527335</x:v>
      </x:c>
      <x:c r="H865" s="44" t="n">
        <x:v>8627.088131935468</x:v>
      </x:c>
      <x:c r="I865" s="44" t="n">
        <x:v>11795</x:v>
      </x:c>
      <x:c r="J865" s="44" t="n">
        <x:v>2389</x:v>
      </x:c>
      <x:c r="K865" s="44" t="n">
        <x:v>154.09396018678856</x:v>
      </x:c>
      <x:c r="L865" s="44" t="n">
        <x:v>83.26278131093731</x:v>
      </x:c>
    </x:row>
    <x:row r="866" ht="15" hidden="0" customHeight="1">
      <x:c r="A866" s="27" t="str">
        <x:v>20115</x:v>
      </x:c>
      <x:c r="B866" s="27" t="str">
        <x:v>SCA-16</x:v>
      </x:c>
      <x:c r="C866" s="43" t="n">
        <x:v>11634</x:v>
      </x:c>
      <x:c r="D866" s="43" t="n">
        <x:v>144.06908023366069</x:v>
      </x:c>
      <x:c r="E866" s="43" t="n">
        <x:v>1526.487751371115</x:v>
      </x:c>
      <x:c r="F866" s="43" t="n">
        <x:v>81.41281902770665</x:v>
      </x:c>
      <x:c r="G866" s="43" t="n">
        <x:v>214.9676155654218</x:v>
      </x:c>
      <x:c r="H866" s="43" t="n">
        <x:v>9667.062733802097</x:v>
      </x:c>
      <x:c r="I866" s="43" t="n">
        <x:v>11634</x:v>
      </x:c>
      <x:c r="J866" s="43" t="n">
        <x:v>1570</x:v>
      </x:c>
      <x:c r="K866" s="43" t="n">
        <x:v>161.87824295423752</x:v>
      </x:c>
      <x:c r="L866" s="43" t="n">
        <x:v>80.46542392653087</x:v>
      </x:c>
    </x:row>
    <x:row r="867" ht="15" hidden="0" customHeight="1">
      <x:c r="A867" s="29" t="str">
        <x:v>40107</x:v>
      </x:c>
      <x:c r="B867" s="29" t="str">
        <x:v>SCA-16</x:v>
      </x:c>
      <x:c r="C867" s="44" t="n">
        <x:v>11451</x:v>
      </x:c>
      <x:c r="D867" s="44" t="n">
        <x:v>160.79612600774257</x:v>
      </x:c>
      <x:c r="E867" s="44" t="n">
        <x:v>2237.027413081909</x:v>
      </x:c>
      <x:c r="F867" s="44" t="n">
        <x:v>116.04393101979478</x:v>
      </x:c>
      <x:c r="G867" s="44" t="n">
        <x:v>547.5962482812807</x:v>
      </x:c>
      <x:c r="H867" s="44" t="n">
        <x:v>8389.536281609273</x:v>
      </x:c>
      <x:c r="I867" s="44" t="n">
        <x:v>11451</x:v>
      </x:c>
      <x:c r="J867" s="44" t="n">
        <x:v>2072</x:v>
      </x:c>
      <x:c r="K867" s="44" t="n">
        <x:v>183.6305814824578</x:v>
      </x:c>
      <x:c r="L867" s="44" t="n">
        <x:v>67.58665046266303</x:v>
      </x:c>
    </x:row>
    <x:row r="868" ht="15" hidden="0" customHeight="1">
      <x:c r="A868" s="27" t="str">
        <x:v>31037</x:v>
      </x:c>
      <x:c r="B868" s="27" t="str">
        <x:v>SCA-16</x:v>
      </x:c>
      <x:c r="C868" s="43" t="n">
        <x:v>10934</x:v>
      </x:c>
      <x:c r="D868" s="43" t="n">
        <x:v>98.18785181499027</x:v>
      </x:c>
      <x:c r="E868" s="43" t="n">
        <x:v>768.1194440767703</x:v>
      </x:c>
      <x:c r="F868" s="43" t="n">
        <x:v>52.036748240138635</x:v>
      </x:c>
      <x:c r="G868" s="43" t="n">
        <x:v>22.243736409189747</x:v>
      </x:c>
      <x:c r="H868" s="43" t="n">
        <x:v>9993.41221945891</x:v>
      </x:c>
      <x:c r="I868" s="43" t="n">
        <x:v>10934</x:v>
      </x:c>
      <x:c r="J868" s="43" t="n">
        <x:v>774</x:v>
      </x:c>
      <x:c r="K868" s="43" t="n">
        <x:v>118.2196232185968</x:v>
      </x:c>
      <x:c r="L868" s="43" t="n">
        <x:v>66.18287497845816</x:v>
      </x:c>
    </x:row>
    <x:row r="869" ht="15" hidden="0" customHeight="1">
      <x:c r="A869" s="29" t="str">
        <x:v>40103</x:v>
      </x:c>
      <x:c r="B869" s="29" t="str">
        <x:v>SCA-16</x:v>
      </x:c>
      <x:c r="C869" s="44" t="n">
        <x:v>10899</x:v>
      </x:c>
      <x:c r="D869" s="44" t="n">
        <x:v>148.4403453737167</x:v>
      </x:c>
      <x:c r="E869" s="44" t="n">
        <x:v>2018.6816693358455</x:v>
      </x:c>
      <x:c r="F869" s="44" t="n">
        <x:v>110.4499872661552</x:v>
      </x:c>
      <x:c r="G869" s="44" t="n">
        <x:v>112.18210080075363</x:v>
      </x:c>
      <x:c r="H869" s="44" t="n">
        <x:v>8509.245897223529</x:v>
      </x:c>
      <x:c r="I869" s="44" t="n">
        <x:v>10899</x:v>
      </x:c>
      <x:c r="J869" s="44" t="n">
        <x:v>2048</x:v>
      </x:c>
      <x:c r="K869" s="44" t="n">
        <x:v>174.778596417545</x:v>
      </x:c>
      <x:c r="L869" s="44" t="n">
        <x:v>64.32860915138978</x:v>
      </x:c>
    </x:row>
    <x:row r="870" ht="15" hidden="0" customHeight="1">
      <x:c r="A870" s="27" t="str">
        <x:v>40149</x:v>
      </x:c>
      <x:c r="B870" s="27" t="str">
        <x:v>SCA-16</x:v>
      </x:c>
      <x:c r="C870" s="43" t="n">
        <x:v>10884</x:v>
      </x:c>
      <x:c r="D870" s="43" t="n">
        <x:v>161.82571779921727</x:v>
      </x:c>
      <x:c r="E870" s="43" t="n">
        <x:v>2342.0554170986898</x:v>
      </x:c>
      <x:c r="F870" s="43" t="n">
        <x:v>110.29797792502369</x:v>
      </x:c>
      <x:c r="G870" s="43" t="n">
        <x:v>173.01470449618247</x:v>
      </x:c>
      <x:c r="H870" s="43" t="n">
        <x:v>8096.806182680886</x:v>
      </x:c>
      <x:c r="I870" s="43" t="n">
        <x:v>10884</x:v>
      </x:c>
      <x:c r="J870" s="43" t="n">
        <x:v>2378</x:v>
      </x:c>
      <x:c r="K870" s="43" t="n">
        <x:v>174.53805334512887</x:v>
      </x:c>
      <x:c r="L870" s="43" t="n">
        <x:v>64.24007542010519</x:v>
      </x:c>
    </x:row>
    <x:row r="871" ht="15" hidden="0" customHeight="1">
      <x:c r="A871" s="29" t="str">
        <x:v>31041</x:v>
      </x:c>
      <x:c r="B871" s="29" t="str">
        <x:v>SCA-16</x:v>
      </x:c>
      <x:c r="C871" s="44" t="n">
        <x:v>10500</x:v>
      </x:c>
      <x:c r="D871" s="44" t="n">
        <x:v>122.8519163317266</x:v>
      </x:c>
      <x:c r="E871" s="44" t="n">
        <x:v>1423.1044431621467</x:v>
      </x:c>
      <x:c r="F871" s="44" t="n">
        <x:v>49.97126911665042</x:v>
      </x:c>
      <x:c r="G871" s="44" t="n">
        <x:v>174.34025774187342</x:v>
      </x:c>
      <x:c r="H871" s="44" t="n">
        <x:v>8729.732113647602</x:v>
      </x:c>
      <x:c r="I871" s="44" t="n">
        <x:v>10500</x:v>
      </x:c>
      <x:c r="J871" s="44" t="n">
        <x:v>1468</x:v>
      </x:c>
      <x:c r="K871" s="44" t="n">
        <x:v>113.52716698328757</x:v>
      </x:c>
      <x:c r="L871" s="44" t="n">
        <x:v>63.55589786663715</x:v>
      </x:c>
    </x:row>
    <x:row r="872" ht="15" hidden="0" customHeight="1">
      <x:c r="A872" s="27" t="str">
        <x:v>20131</x:v>
      </x:c>
      <x:c r="B872" s="27" t="str">
        <x:v>SCA-16</x:v>
      </x:c>
      <x:c r="C872" s="43" t="n">
        <x:v>10054</x:v>
      </x:c>
      <x:c r="D872" s="43" t="n">
        <x:v>123.70252045769288</x:v>
      </x:c>
      <x:c r="E872" s="43" t="n">
        <x:v>1299.9602905569006</x:v>
      </x:c>
      <x:c r="F872" s="43" t="n">
        <x:v>70.35623882624743</x:v>
      </x:c>
      <x:c r="G872" s="43" t="n">
        <x:v>204.2142857142857</x:v>
      </x:c>
      <x:c r="H872" s="43" t="n">
        <x:v>8355.766664444873</x:v>
      </x:c>
      <x:c r="I872" s="43" t="n">
        <x:v>10054</x:v>
      </x:c>
      <x:c r="J872" s="43" t="n">
        <x:v>1335</x:v>
      </x:c>
      <x:c r="K872" s="43" t="n">
        <x:v>139.8937471774028</x:v>
      </x:c>
      <x:c r="L872" s="43" t="n">
        <x:v>69.53750835115535</x:v>
      </x:c>
    </x:row>
    <x:row r="873" ht="15" hidden="0" customHeight="1">
      <x:c r="A873" s="29" t="str">
        <x:v>19137</x:v>
      </x:c>
      <x:c r="B873" s="29" t="str">
        <x:v>SCA-16</x:v>
      </x:c>
      <x:c r="C873" s="44" t="n">
        <x:v>10002</x:v>
      </x:c>
      <x:c r="D873" s="44" t="n">
        <x:v>160.37164299581505</x:v>
      </x:c>
      <x:c r="E873" s="44" t="n">
        <x:v>1739.9709424553703</x:v>
      </x:c>
      <x:c r="F873" s="44" t="n">
        <x:v>46.855552721112275</x:v>
      </x:c>
      <x:c r="G873" s="44" t="n">
        <x:v>234.17373092649842</x:v>
      </x:c>
      <x:c r="H873" s="44" t="n">
        <x:v>7820.628130901204</x:v>
      </x:c>
      <x:c r="I873" s="44" t="n">
        <x:v>10002</x:v>
      </x:c>
      <x:c r="J873" s="44" t="n">
        <x:v>1817</x:v>
      </x:c>
      <x:c r="K873" s="44" t="n">
        <x:v>134.72840644795355</x:v>
      </x:c>
      <x:c r="L873" s="44" t="n">
        <x:v>87.87285372684127</x:v>
      </x:c>
    </x:row>
    <x:row r="874" ht="15" hidden="0" customHeight="1">
      <x:c r="A874" s="27" t="str">
        <x:v>20107</x:v>
      </x:c>
      <x:c r="B874" s="27" t="str">
        <x:v>SCA-16</x:v>
      </x:c>
      <x:c r="C874" s="43" t="n">
        <x:v>9950</x:v>
      </x:c>
      <x:c r="D874" s="43" t="n">
        <x:v>141.02174233882303</x:v>
      </x:c>
      <x:c r="E874" s="43" t="n">
        <x:v>1732.8849557522124</x:v>
      </x:c>
      <x:c r="F874" s="43" t="n">
        <x:v>69.6284639269109</x:v>
      </x:c>
      <x:c r="G874" s="43" t="n">
        <x:v>271.3606194690266</x:v>
      </x:c>
      <x:c r="H874" s="43" t="n">
        <x:v>7735.104218513026</x:v>
      </x:c>
      <x:c r="I874" s="43" t="n">
        <x:v>9950</x:v>
      </x:c>
      <x:c r="J874" s="43" t="n">
        <x:v>1763</x:v>
      </x:c>
      <x:c r="K874" s="43" t="n">
        <x:v>138.44666644272507</x:v>
      </x:c>
      <x:c r="L874" s="43" t="n">
        <x:v>68.81820251581418</x:v>
      </x:c>
    </x:row>
    <x:row r="875" ht="15" hidden="0" customHeight="1">
      <x:c r="A875" s="29" t="str">
        <x:v>20117</x:v>
      </x:c>
      <x:c r="B875" s="29" t="str">
        <x:v>SCA-16</x:v>
      </x:c>
      <x:c r="C875" s="44" t="n">
        <x:v>9852</x:v>
      </x:c>
      <x:c r="D875" s="44" t="n">
        <x:v>127.88113930854728</x:v>
      </x:c>
      <x:c r="E875" s="44" t="n">
        <x:v>1433.7778611479255</x:v>
      </x:c>
      <x:c r="F875" s="44" t="n">
        <x:v>68.94267604099761</x:v>
      </x:c>
      <x:c r="G875" s="44" t="n">
        <x:v>360.5719237435009</x:v>
      </x:c>
      <x:c r="H875" s="44" t="n">
        <x:v>7860.826399759028</x:v>
      </x:c>
      <x:c r="I875" s="44" t="n">
        <x:v>9852</x:v>
      </x:c>
      <x:c r="J875" s="44" t="n">
        <x:v>1487</x:v>
      </x:c>
      <x:c r="K875" s="44" t="n">
        <x:v>137.083071135048</x:v>
      </x:c>
      <x:c r="L875" s="44" t="n">
        <x:v>68.14039509405038</x:v>
      </x:c>
    </x:row>
    <x:row r="876" ht="15" hidden="0" customHeight="1">
      <x:c r="A876" s="27" t="str">
        <x:v>31081</x:v>
      </x:c>
      <x:c r="B876" s="27" t="str">
        <x:v>SCA-16</x:v>
      </x:c>
      <x:c r="C876" s="43" t="n">
        <x:v>9678</x:v>
      </x:c>
      <x:c r="D876" s="43" t="n">
        <x:v>96.3197992326919</x:v>
      </x:c>
      <x:c r="E876" s="43" t="n">
        <x:v>905.7460854627443</x:v>
      </x:c>
      <x:c r="F876" s="43" t="n">
        <x:v>46.05923262008979</x:v>
      </x:c>
      <x:c r="G876" s="43" t="n">
        <x:v>65.88340133132918</x:v>
      </x:c>
      <x:c r="H876" s="43" t="n">
        <x:v>8563.991481353145</x:v>
      </x:c>
      <x:c r="I876" s="43" t="n">
        <x:v>9678</x:v>
      </x:c>
      <x:c r="J876" s="43" t="n">
        <x:v>908</x:v>
      </x:c>
      <x:c r="K876" s="43" t="n">
        <x:v>104.63961162516735</x:v>
      </x:c>
      <x:c r="L876" s="43" t="n">
        <x:v>58.58037900507756</x:v>
      </x:c>
    </x:row>
    <x:row r="877" ht="15" hidden="0" customHeight="1">
      <x:c r="A877" s="29" t="str">
        <x:v>40105</x:v>
      </x:c>
      <x:c r="B877" s="29" t="str">
        <x:v>SCA-16</x:v>
      </x:c>
      <x:c r="C877" s="44" t="n">
        <x:v>9522</x:v>
      </x:c>
      <x:c r="D877" s="44" t="n">
        <x:v>134.35866926686242</x:v>
      </x:c>
      <x:c r="E877" s="44" t="n">
        <x:v>1875.7789595375723</x:v>
      </x:c>
      <x:c r="F877" s="44" t="n">
        <x:v>96.49552975028257</x:v>
      </x:c>
      <x:c r="G877" s="44" t="n">
        <x:v>165.31791907514452</x:v>
      </x:c>
      <x:c r="H877" s="44" t="n">
        <x:v>7250.048922370138</x:v>
      </x:c>
      <x:c r="I877" s="44" t="n">
        <x:v>9522</x:v>
      </x:c>
      <x:c r="J877" s="44" t="n">
        <x:v>1917</x:v>
      </x:c>
      <x:c r="K877" s="44" t="n">
        <x:v>152.69674236974615</x:v>
      </x:c>
      <x:c r="L877" s="44" t="n">
        <x:v>56.201212619463575</x:v>
      </x:c>
    </x:row>
    <x:row r="878" ht="15" hidden="0" customHeight="1">
      <x:c r="A878" s="27" t="str">
        <x:v>48357</x:v>
      </x:c>
      <x:c r="B878" s="27" t="str">
        <x:v>SCA-16</x:v>
      </x:c>
      <x:c r="C878" s="43" t="n">
        <x:v>9284</x:v>
      </x:c>
      <x:c r="D878" s="43" t="n">
        <x:v>92.22206758427042</x:v>
      </x:c>
      <x:c r="E878" s="43" t="n">
        <x:v>1431.3072266831375</x:v>
      </x:c>
      <x:c r="F878" s="43" t="n">
        <x:v>80.08183255939429</x:v>
      </x:c>
      <x:c r="G878" s="43" t="n">
        <x:v>197.260654725139</x:v>
      </x:c>
      <x:c r="H878" s="43" t="n">
        <x:v>7483.128218448059</x:v>
      </x:c>
      <x:c r="I878" s="43" t="n">
        <x:v>9284</x:v>
      </x:c>
      <x:c r="J878" s="43" t="n">
        <x:v>1560</x:v>
      </x:c>
      <x:c r="K878" s="43" t="n">
        <x:v>112.6660990318673</x:v>
      </x:c>
      <x:c r="L878" s="43" t="n">
        <x:v>32.584266472473026</x:v>
      </x:c>
    </x:row>
    <x:row r="879" ht="15" hidden="0" customHeight="1">
      <x:c r="A879" s="29" t="str">
        <x:v>20159</x:v>
      </x:c>
      <x:c r="B879" s="29" t="str">
        <x:v>SCA-16</x:v>
      </x:c>
      <x:c r="C879" s="44" t="n">
        <x:v>9266</x:v>
      </x:c>
      <x:c r="D879" s="44" t="n">
        <x:v>122.29570855003881</x:v>
      </x:c>
      <x:c r="E879" s="44" t="n">
        <x:v>1396.9998043690903</x:v>
      </x:c>
      <x:c r="F879" s="44" t="n">
        <x:v>64.84194439665892</x:v>
      </x:c>
      <x:c r="G879" s="44" t="n">
        <x:v>139.08705575480926</x:v>
      </x:c>
      <x:c r="H879" s="44" t="n">
        <x:v>7542.775486929403</x:v>
      </x:c>
      <x:c r="I879" s="44" t="n">
        <x:v>9266</x:v>
      </x:c>
      <x:c r="J879" s="44" t="n">
        <x:v>1445</x:v>
      </x:c>
      <x:c r="K879" s="44" t="n">
        <x:v>128.9293277646523</x:v>
      </x:c>
      <x:c r="L879" s="44" t="n">
        <x:v>64.08738336799338</x:v>
      </x:c>
    </x:row>
    <x:row r="880" ht="15" hidden="0" customHeight="1">
      <x:c r="A880" s="27" t="str">
        <x:v>20151</x:v>
      </x:c>
      <x:c r="B880" s="27" t="str">
        <x:v>SCA-16</x:v>
      </x:c>
      <x:c r="C880" s="43" t="n">
        <x:v>9117</x:v>
      </x:c>
      <x:c r="D880" s="43" t="n">
        <x:v>115.10736292075478</x:v>
      </x:c>
      <x:c r="E880" s="43" t="n">
        <x:v>1249.212563758389</x:v>
      </x:c>
      <x:c r="F880" s="43" t="n">
        <x:v>63.79926689664789</x:v>
      </x:c>
      <x:c r="G880" s="43" t="n">
        <x:v>213.0317673378076</x:v>
      </x:c>
      <x:c r="H880" s="43" t="n">
        <x:v>7475.849039086401</x:v>
      </x:c>
      <x:c r="I880" s="43" t="n">
        <x:v>9117</x:v>
      </x:c>
      <x:c r="J880" s="43" t="n">
        <x:v>1276</x:v>
      </x:c>
      <x:c r="K880" s="43" t="n">
        <x:v>126.85610632746979</x:v>
      </x:c>
      <x:c r="L880" s="43" t="n">
        <x:v>63.056839430821896</x:v>
      </x:c>
    </x:row>
    <x:row r="881" ht="15" hidden="0" customHeight="1">
      <x:c r="A881" s="29" t="str">
        <x:v>20013</x:v>
      </x:c>
      <x:c r="B881" s="29" t="str">
        <x:v>SCA-16</x:v>
      </x:c>
      <x:c r="C881" s="44" t="n">
        <x:v>9104</x:v>
      </x:c>
      <x:c r="D881" s="44" t="n">
        <x:v>123.27292511973849</x:v>
      </x:c>
      <x:c r="E881" s="44" t="n">
        <x:v>1447.3439740400215</x:v>
      </x:c>
      <x:c r="F881" s="44" t="n">
        <x:v>63.70829503423083</x:v>
      </x:c>
      <x:c r="G881" s="44" t="n">
        <x:v>272.8478096268253</x:v>
      </x:c>
      <x:c r="H881" s="44" t="n">
        <x:v>7196.826996179184</x:v>
      </x:c>
      <x:c r="I881" s="44" t="n">
        <x:v>9104</x:v>
      </x:c>
      <x:c r="J881" s="44" t="n">
        <x:v>1531</x:v>
      </x:c>
      <x:c r="K881" s="44" t="n">
        <x:v>126.67522123563508</x:v>
      </x:c>
      <x:c r="L881" s="44" t="n">
        <x:v>62.96692620140425</x:v>
      </x:c>
    </x:row>
    <x:row r="882" ht="15" hidden="0" customHeight="1">
      <x:c r="A882" s="27" t="str">
        <x:v>31137</x:v>
      </x:c>
      <x:c r="B882" s="27" t="str">
        <x:v>SCA-16</x:v>
      </x:c>
      <x:c r="C882" s="43" t="n">
        <x:v>8994</x:v>
      </x:c>
      <x:c r="D882" s="43" t="n">
        <x:v>101.65662399543278</x:v>
      </x:c>
      <x:c r="E882" s="43" t="n">
        <x:v>1133.194986376022</x:v>
      </x:c>
      <x:c r="F882" s="43" t="n">
        <x:v>42.80396137477656</x:v>
      </x:c>
      <x:c r="G882" s="43" t="n">
        <x:v>268.0111262488647</x:v>
      </x:c>
      <x:c r="H882" s="43" t="n">
        <x:v>7448.333302004904</x:v>
      </x:c>
      <x:c r="I882" s="43" t="n">
        <x:v>8994</x:v>
      </x:c>
      <x:c r="J882" s="43" t="n">
        <x:v>1156</x:v>
      </x:c>
      <x:c r="K882" s="43" t="n">
        <x:v>97.24412760454176</x:v>
      </x:c>
      <x:c r="L882" s="43" t="n">
        <x:v>54.4401662297652</x:v>
      </x:c>
    </x:row>
    <x:row r="883" ht="15" hidden="0" customHeight="1">
      <x:c r="A883" s="29" t="str">
        <x:v>20029</x:v>
      </x:c>
      <x:c r="B883" s="29" t="str">
        <x:v>SCA-16</x:v>
      </x:c>
      <x:c r="C883" s="44" t="n">
        <x:v>8833</x:v>
      </x:c>
      <x:c r="D883" s="44" t="n">
        <x:v>105.11999551837752</x:v>
      </x:c>
      <x:c r="E883" s="44" t="n">
        <x:v>1056.6579439252337</x:v>
      </x:c>
      <x:c r="F883" s="44" t="n">
        <x:v>61.81188159461347</x:v>
      </x:c>
      <x:c r="G883" s="44" t="n">
        <x:v>472.7102803738318</x:v>
      </x:c>
      <x:c r="H883" s="44" t="n">
        <x:v>7136.699898587944</x:v>
      </x:c>
      <x:c r="I883" s="44" t="n">
        <x:v>8833</x:v>
      </x:c>
      <x:c r="J883" s="44" t="n">
        <x:v>1080</x:v>
      </x:c>
      <x:c r="K883" s="44" t="n">
        <x:v>122.90446278277292</x:v>
      </x:c>
      <x:c r="L883" s="44" t="n">
        <x:v>61.09258118815946</x:v>
      </x:c>
    </x:row>
    <x:row r="884" ht="15" hidden="0" customHeight="1">
      <x:c r="A884" s="27" t="str">
        <x:v>40011</x:v>
      </x:c>
      <x:c r="B884" s="27" t="str">
        <x:v>SCA-16</x:v>
      </x:c>
      <x:c r="C884" s="43" t="n">
        <x:v>8515</x:v>
      </x:c>
      <x:c r="D884" s="43" t="n">
        <x:v>104.7962231258908</x:v>
      </x:c>
      <x:c r="E884" s="43" t="n">
        <x:v>1308.9258</x:v>
      </x:c>
      <x:c r="F884" s="43" t="n">
        <x:v>86.29063598232057</x:v>
      </x:c>
      <x:c r="G884" s="43" t="n">
        <x:v>155.376875</x:v>
      </x:c>
      <x:c r="H884" s="43" t="n">
        <x:v>6859.610465891789</x:v>
      </x:c>
      <x:c r="I884" s="43" t="n">
        <x:v>8515</x:v>
      </x:c>
      <x:c r="J884" s="43" t="n">
        <x:v>1281</x:v>
      </x:c>
      <x:c r="K884" s="43" t="n">
        <x:v>136.54828410821136</x:v>
      </x:c>
      <x:c r="L884" s="43" t="n">
        <x:v>50.25764812589081</x:v>
      </x:c>
    </x:row>
    <x:row r="885" ht="15" hidden="0" customHeight="1">
      <x:c r="A885" s="29" t="str">
        <x:v>31023</x:v>
      </x:c>
      <x:c r="B885" s="29" t="str">
        <x:v>SCA-16</x:v>
      </x:c>
      <x:c r="C885" s="44" t="n">
        <x:v>8507</x:v>
      </x:c>
      <x:c r="D885" s="44" t="n">
        <x:v>97.96125598965398</x:v>
      </x:c>
      <x:c r="E885" s="44" t="n">
        <x:v>1115.2529479768784</x:v>
      </x:c>
      <x:c r="F885" s="44" t="n">
        <x:v>40.486246321461444</x:v>
      </x:c>
      <x:c r="G885" s="44" t="n">
        <x:v>154.5556358381503</x:v>
      </x:c>
      <x:c r="H885" s="44" t="n">
        <x:v>7098.7439138738555</x:v>
      </x:c>
      <x:c r="I885" s="44" t="n">
        <x:v>8507</x:v>
      </x:c>
      <x:c r="J885" s="44" t="n">
        <x:v>1134</x:v>
      </x:c>
      <x:c r="K885" s="44" t="n">
        <x:v>91.97862947874546</x:v>
      </x:c>
      <x:c r="L885" s="44" t="n">
        <x:v>51.492383157284024</x:v>
      </x:c>
    </x:row>
    <x:row r="886" ht="15" hidden="0" customHeight="1">
      <x:c r="A886" s="27" t="str">
        <x:v>20031</x:v>
      </x:c>
      <x:c r="B886" s="27" t="str">
        <x:v>SCA-16</x:v>
      </x:c>
      <x:c r="C886" s="43" t="n">
        <x:v>8467</x:v>
      </x:c>
      <x:c r="D886" s="43" t="n">
        <x:v>119.59392078217535</x:v>
      </x:c>
      <x:c r="E886" s="43" t="n">
        <x:v>1464.7858277336588</x:v>
      </x:c>
      <x:c r="F886" s="43" t="n">
        <x:v>59.25067377579442</x:v>
      </x:c>
      <x:c r="G886" s="43" t="n">
        <x:v>263.9731215638363</x:v>
      </x:c>
      <x:c r="H886" s="43" t="n">
        <x:v>6559.3964561445355</x:v>
      </x:c>
      <x:c r="I886" s="43" t="n">
        <x:v>8467</x:v>
      </x:c>
      <x:c r="J886" s="43" t="n">
        <x:v>1475</x:v>
      </x:c>
      <x:c r="K886" s="43" t="n">
        <x:v>117.81185173573398</x:v>
      </x:c>
      <x:c r="L886" s="43" t="n">
        <x:v>58.56117795993956</x:v>
      </x:c>
    </x:row>
    <x:row r="887" ht="15" hidden="0" customHeight="1">
      <x:c r="A887" s="29" t="str">
        <x:v>40151</x:v>
      </x:c>
      <x:c r="B887" s="29" t="str">
        <x:v>SCA-16</x:v>
      </x:c>
      <x:c r="C887" s="44" t="n">
        <x:v>8443</x:v>
      </x:c>
      <x:c r="D887" s="44" t="n">
        <x:v>102.61973600517234</x:v>
      </x:c>
      <x:c r="E887" s="44" t="n">
        <x:v>1266.8891949467425</x:v>
      </x:c>
      <x:c r="F887" s="44" t="n">
        <x:v>85.56099114488929</x:v>
      </x:c>
      <x:c r="G887" s="44" t="n">
        <x:v>257.74907109239535</x:v>
      </x:c>
      <x:c r="H887" s="44" t="n">
        <x:v>6730.181006810801</x:v>
      </x:c>
      <x:c r="I887" s="44" t="n">
        <x:v>8443</x:v>
      </x:c>
      <x:c r="J887" s="44" t="n">
        <x:v>1262</x:v>
      </x:c>
      <x:c r="K887" s="44" t="n">
        <x:v>135.39367736061402</x:v>
      </x:c>
      <x:c r="L887" s="44" t="n">
        <x:v>49.832686215724735</x:v>
      </x:c>
    </x:row>
    <x:row r="888" ht="15" hidden="0" customHeight="1">
      <x:c r="A888" s="27" t="str">
        <x:v>20205</x:v>
      </x:c>
      <x:c r="B888" s="27" t="str">
        <x:v>SCA-16</x:v>
      </x:c>
      <x:c r="C888" s="43" t="n">
        <x:v>8299</x:v>
      </x:c>
      <x:c r="D888" s="43" t="n">
        <x:v>120.2977404563749</x:v>
      </x:c>
      <x:c r="E888" s="43" t="n">
        <x:v>1509.564433838444</x:v>
      </x:c>
      <x:c r="F888" s="43" t="n">
        <x:v>58.07503739994307</x:v>
      </x:c>
      <x:c r="G888" s="43" t="n">
        <x:v>233.43085550650278</x:v>
      </x:c>
      <x:c r="H888" s="43" t="n">
        <x:v>6377.631932798735</x:v>
      </x:c>
      <x:c r="I888" s="43" t="n">
        <x:v>8299</x:v>
      </x:c>
      <x:c r="J888" s="43" t="n">
        <x:v>1588</x:v>
      </x:c>
      <x:c r="K888" s="43" t="n">
        <x:v>115.47425977971612</x:v>
      </x:c>
      <x:c r="L888" s="43" t="n">
        <x:v>57.39922237977305</x:v>
      </x:c>
    </x:row>
    <x:row r="889" ht="15" hidden="0" customHeight="1">
      <x:c r="A889" s="29" t="str">
        <x:v>20003</x:v>
      </x:c>
      <x:c r="B889" s="29" t="str">
        <x:v>SCA-16</x:v>
      </x:c>
      <x:c r="C889" s="44" t="n">
        <x:v>8018</x:v>
      </x:c>
      <x:c r="D889" s="44" t="n">
        <x:v>108.04500081318677</x:v>
      </x:c>
      <x:c r="E889" s="44" t="n">
        <x:v>1262.1428992628992</x:v>
      </x:c>
      <x:c r="F889" s="44" t="n">
        <x:v>56.10864560462025</x:v>
      </x:c>
      <x:c r="G889" s="44" t="n">
        <x:v>310.16617095564465</x:v>
      </x:c>
      <x:c r="H889" s="44" t="n">
        <x:v>6281.537283363648</x:v>
      </x:c>
      <x:c r="I889" s="44" t="n">
        <x:v>8018</x:v>
      </x:c>
      <x:c r="J889" s="44" t="n">
        <x:v>1268</x:v>
      </x:c>
      <x:c r="K889" s="44" t="n">
        <x:v>111.56435894851955</x:v>
      </x:c>
      <x:c r="L889" s="44" t="n">
        <x:v>55.455713343899305</x:v>
      </x:c>
    </x:row>
    <x:row r="890" ht="15" hidden="0" customHeight="1">
      <x:c r="A890" s="27" t="str">
        <x:v>20027</x:v>
      </x:c>
      <x:c r="B890" s="27" t="str">
        <x:v>SCA-16</x:v>
      </x:c>
      <x:c r="C890" s="43" t="n">
        <x:v>7990</x:v>
      </x:c>
      <x:c r="D890" s="43" t="n">
        <x:v>108.90581775668703</x:v>
      </x:c>
      <x:c r="E890" s="43" t="n">
        <x:v>1287.450328227571</x:v>
      </x:c>
      <x:c r="F890" s="43" t="n">
        <x:v>55.912706208645034</x:v>
      </x:c>
      <x:c r="G890" s="43" t="n">
        <x:v>343.26328999871276</x:v>
      </x:c>
      <x:c r="H890" s="43" t="n">
        <x:v>6194.467857808385</x:v>
      </x:c>
      <x:c r="I890" s="43" t="n">
        <x:v>7990</x:v>
      </x:c>
      <x:c r="J890" s="43" t="n">
        <x:v>1304</x:v>
      </x:c>
      <x:c r="K890" s="43" t="n">
        <x:v>111.17476028918325</x:v>
      </x:c>
      <x:c r="L890" s="43" t="n">
        <x:v>55.26205408053822</x:v>
      </x:c>
    </x:row>
    <x:row r="891" ht="15" hidden="0" customHeight="1">
      <x:c r="A891" s="29" t="str">
        <x:v>31121</x:v>
      </x:c>
      <x:c r="B891" s="29" t="str">
        <x:v>SCA-16</x:v>
      </x:c>
      <x:c r="C891" s="44" t="n">
        <x:v>7905</x:v>
      </x:c>
      <x:c r="D891" s="44" t="n">
        <x:v>96.88044247000187</x:v>
      </x:c>
      <x:c r="E891" s="44" t="n">
        <x:v>1176.766338969721</x:v>
      </x:c>
      <x:c r="F891" s="44" t="n">
        <x:v>37.62122689210682</x:v>
      </x:c>
      <x:c r="G891" s="44" t="n">
        <x:v>60.835233975619346</x:v>
      </x:c>
      <x:c r="H891" s="44" t="n">
        <x:v>6532.896757692552</x:v>
      </x:c>
      <x:c r="I891" s="44" t="n">
        <x:v>7905</x:v>
      </x:c>
      <x:c r="J891" s="44" t="n">
        <x:v>1183</x:v>
      </x:c>
      <x:c r="K891" s="44" t="n">
        <x:v>85.46973857170364</x:v>
      </x:c>
      <x:c r="L891" s="44" t="n">
        <x:v>47.848511679596825</x:v>
      </x:c>
    </x:row>
    <x:row r="892" ht="15" hidden="0" customHeight="1">
      <x:c r="A892" s="27" t="str">
        <x:v>29057</x:v>
      </x:c>
      <x:c r="B892" s="27" t="str">
        <x:v>SCA-16</x:v>
      </x:c>
      <x:c r="C892" s="43" t="n">
        <x:v>7804</x:v>
      </x:c>
      <x:c r="D892" s="43" t="n">
        <x:v>113.19214670317224</x:v>
      </x:c>
      <x:c r="E892" s="43" t="n">
        <x:v>1394.45926242651</x:v>
      </x:c>
      <x:c r="F892" s="43" t="n">
        <x:v>46.86447816423426</x:v>
      </x:c>
      <x:c r="G892" s="43" t="n">
        <x:v>245.38168091929447</x:v>
      </x:c>
      <x:c r="H892" s="43" t="n">
        <x:v>6004.102431786789</x:v>
      </x:c>
      <x:c r="I892" s="43" t="n">
        <x:v>7804</x:v>
      </x:c>
      <x:c r="J892" s="43" t="n">
        <x:v>1393</x:v>
      </x:c>
      <x:c r="K892" s="43" t="n">
        <x:v>101.95415559963526</x:v>
      </x:c>
      <x:c r="L892" s="43" t="n">
        <x:v>55.089677435401</x:v>
      </x:c>
    </x:row>
    <x:row r="893" ht="15" hidden="0" customHeight="1">
      <x:c r="A893" s="29" t="str">
        <x:v>20043</x:v>
      </x:c>
      <x:c r="B893" s="29" t="str">
        <x:v>SCA-16</x:v>
      </x:c>
      <x:c r="C893" s="44" t="n">
        <x:v>7594</x:v>
      </x:c>
      <x:c r="D893" s="44" t="n">
        <x:v>96.80268323728204</x:v>
      </x:c>
      <x:c r="E893" s="44" t="n">
        <x:v>1062.708586868414</x:v>
      </x:c>
      <x:c r="F893" s="44" t="n">
        <x:v>53.141563322709686</x:v>
      </x:c>
      <x:c r="G893" s="44" t="n">
        <x:v>87.98554444744664</x:v>
      </x:c>
      <x:c r="H893" s="44" t="n">
        <x:v>6293.361622124147</x:v>
      </x:c>
      <x:c r="I893" s="44" t="n">
        <x:v>7594</x:v>
      </x:c>
      <x:c r="J893" s="44" t="n">
        <x:v>1079</x:v>
      </x:c>
      <x:c r="K893" s="44" t="n">
        <x:v>105.66472210714113</x:v>
      </x:c>
      <x:c r="L893" s="44" t="n">
        <x:v>52.523158784431445</x:v>
      </x:c>
    </x:row>
    <x:row r="894" ht="15" hidden="0" customHeight="1">
      <x:c r="A894" s="27" t="str">
        <x:v>40093</x:v>
      </x:c>
      <x:c r="B894" s="27" t="str">
        <x:v>SCA-16</x:v>
      </x:c>
      <x:c r="C894" s="43" t="n">
        <x:v>7536</x:v>
      </x:c>
      <x:c r="D894" s="43" t="n">
        <x:v>100.34900140354303</x:v>
      </x:c>
      <x:c r="E894" s="43" t="n">
        <x:v>1340.871715347849</x:v>
      </x:c>
      <x:c r="F894" s="43" t="n">
        <x:v>76.36949298447067</x:v>
      </x:c>
      <x:c r="G894" s="43" t="n">
        <x:v>127.0865639936272</x:v>
      </x:c>
      <x:c r="H894" s="43" t="n">
        <x:v>5891.3232262705105</x:v>
      </x:c>
      <x:c r="I894" s="43" t="n">
        <x:v>7536</x:v>
      </x:c>
      <x:c r="J894" s="43" t="n">
        <x:v>1396</x:v>
      </x:c>
      <x:c r="K894" s="43" t="n">
        <x:v>120.8488395818533</x:v>
      </x:c>
      <x:c r="L894" s="43" t="n">
        <x:v>44.47934659738264</x:v>
      </x:c>
    </x:row>
    <x:row r="895" ht="15" hidden="0" customHeight="1">
      <x:c r="A895" s="29" t="str">
        <x:v>31147</x:v>
      </x:c>
      <x:c r="B895" s="29" t="str">
        <x:v>SCA-16</x:v>
      </x:c>
      <x:c r="C895" s="44" t="n">
        <x:v>7530</x:v>
      </x:c>
      <x:c r="D895" s="44" t="n">
        <x:v>97.1101182683934</x:v>
      </x:c>
      <x:c r="E895" s="44" t="n">
        <x:v>1236.7550420168068</x:v>
      </x:c>
      <x:c r="F895" s="44" t="n">
        <x:v>35.8365387093693</x:v>
      </x:c>
      <x:c r="G895" s="44" t="n">
        <x:v>446.36955094537814</x:v>
      </x:c>
      <x:c r="H895" s="44" t="n">
        <x:v>5713.928750060052</x:v>
      </x:c>
      <x:c r="I895" s="44" t="n">
        <x:v>7530</x:v>
      </x:c>
      <x:c r="J895" s="44" t="n">
        <x:v>1303</x:v>
      </x:c>
      <x:c r="K895" s="44" t="n">
        <x:v>81.41519689372909</x:v>
      </x:c>
      <x:c r="L895" s="44" t="n">
        <x:v>45.57865818435979</x:v>
      </x:c>
    </x:row>
    <x:row r="896" ht="15" hidden="0" customHeight="1">
      <x:c r="A896" s="27" t="str">
        <x:v>31127</x:v>
      </x:c>
      <x:c r="B896" s="27" t="str">
        <x:v>SCA-16</x:v>
      </x:c>
      <x:c r="C896" s="43" t="n">
        <x:v>7102</x:v>
      </x:c>
      <x:c r="D896" s="43" t="n">
        <x:v>91.63379099968799</x:v>
      </x:c>
      <x:c r="E896" s="43" t="n">
        <x:v>1167.4990145094096</x:v>
      </x:c>
      <x:c r="F896" s="43" t="n">
        <x:v>33.79961459680488</x:v>
      </x:c>
      <x:c r="G896" s="43" t="n">
        <x:v>121.41337451515587</x:v>
      </x:c>
      <x:c r="H896" s="43" t="n">
        <x:v>5687.654205378941</x:v>
      </x:c>
      <x:c r="I896" s="43" t="n">
        <x:v>7102</x:v>
      </x:c>
      <x:c r="J896" s="43" t="n">
        <x:v>1192</x:v>
      </x:c>
      <x:c r="K896" s="43" t="n">
        <x:v>76.78761332526746</x:v>
      </x:c>
      <x:c r="L896" s="43" t="n">
        <x:v>42.98799872846258</x:v>
      </x:c>
    </x:row>
    <x:row r="897" ht="15" hidden="0" customHeight="1">
      <x:c r="A897" s="29" t="str">
        <x:v>31095</x:v>
      </x:c>
      <x:c r="B897" s="29" t="str">
        <x:v>SCA-16</x:v>
      </x:c>
      <x:c r="C897" s="44" t="n">
        <x:v>7070</x:v>
      </x:c>
      <x:c r="D897" s="44" t="n">
        <x:v>101.71764733973966</x:v>
      </x:c>
      <x:c r="E897" s="44" t="n">
        <x:v>1414.1602266288953</x:v>
      </x:c>
      <x:c r="F897" s="44" t="n">
        <x:v>33.64732120521128</x:v>
      </x:c>
      <x:c r="G897" s="44" t="n">
        <x:v>265.59624645892353</x:v>
      </x:c>
      <x:c r="H897" s="44" t="n">
        <x:v>5254.87855836723</x:v>
      </x:c>
      <x:c r="I897" s="44" t="n">
        <x:v>7070</x:v>
      </x:c>
      <x:c r="J897" s="44" t="n">
        <x:v>1471</x:v>
      </x:c>
      <x:c r="K897" s="44" t="n">
        <x:v>76.44162576874696</x:v>
      </x:c>
      <x:c r="L897" s="44" t="n">
        <x:v>42.79430456353568</x:v>
      </x:c>
    </x:row>
    <x:row r="898" ht="15" hidden="0" customHeight="1">
      <x:c r="A898" s="27" t="str">
        <x:v>20095</x:v>
      </x:c>
      <x:c r="B898" s="27" t="str">
        <x:v>SCA-16</x:v>
      </x:c>
      <x:c r="C898" s="43" t="n">
        <x:v>7029</x:v>
      </x:c>
      <x:c r="D898" s="43" t="n">
        <x:v>95.88090434459579</x:v>
      </x:c>
      <x:c r="E898" s="43" t="n">
        <x:v>1134.3723081288126</x:v>
      </x:c>
      <x:c r="F898" s="43" t="n">
        <x:v>49.187786225352426</x:v>
      </x:c>
      <x:c r="G898" s="43" t="n">
        <x:v>183.84792169102</x:v>
      </x:c>
      <x:c r="H898" s="43" t="n">
        <x:v>5565.71107961022</x:v>
      </x:c>
      <x:c r="I898" s="43" t="n">
        <x:v>7029</x:v>
      </x:c>
      <x:c r="J898" s="43" t="n">
        <x:v>1185</x:v>
      </x:c>
      <x:c r="K898" s="43" t="n">
        <x:v>97.80317773124769</x:v>
      </x:c>
      <x:c r="L898" s="43" t="n">
        <x:v>48.61539150589526</x:v>
      </x:c>
    </x:row>
    <x:row r="899" ht="15" hidden="0" customHeight="1">
      <x:c r="A899" s="29" t="str">
        <x:v>20067</x:v>
      </x:c>
      <x:c r="B899" s="29" t="str">
        <x:v>SCA-16</x:v>
      </x:c>
      <x:c r="C899" s="44" t="n">
        <x:v>7028</x:v>
      </x:c>
      <x:c r="D899" s="44" t="n">
        <x:v>71.1341161292734</x:v>
      </x:c>
      <x:c r="E899" s="44" t="n">
        <x:v>540.6153846153846</x:v>
      </x:c>
      <x:c r="F899" s="44" t="n">
        <x:v>49.18078838978189</x:v>
      </x:c>
      <x:c r="G899" s="44" t="n">
        <x:v>206.05128205128204</x:v>
      </x:c>
      <x:c r="H899" s="44" t="n">
        <x:v>6161.018428814278</x:v>
      </x:c>
      <x:c r="I899" s="44" t="n">
        <x:v>7028</x:v>
      </x:c>
      <x:c r="J899" s="44" t="n">
        <x:v>575</x:v>
      </x:c>
      <x:c r="K899" s="44" t="n">
        <x:v>97.78926349341425</x:v>
      </x:c>
      <x:c r="L899" s="44" t="n">
        <x:v>48.608475103632365</x:v>
      </x:c>
    </x:row>
    <x:row r="900" ht="15" hidden="0" customHeight="1">
      <x:c r="A900" s="27" t="str">
        <x:v>20197</x:v>
      </x:c>
      <x:c r="B900" s="27" t="str">
        <x:v>SCA-16</x:v>
      </x:c>
      <x:c r="C900" s="43" t="n">
        <x:v>7018</x:v>
      </x:c>
      <x:c r="D900" s="43" t="n">
        <x:v>95.09556832318185</x:v>
      </x:c>
      <x:c r="E900" s="43" t="n">
        <x:v>1117.3501738122827</x:v>
      </x:c>
      <x:c r="F900" s="43" t="n">
        <x:v>49.11081003407645</x:v>
      </x:c>
      <x:c r="G900" s="43" t="n">
        <x:v>84.66664252607184</x:v>
      </x:c>
      <x:c r="H900" s="43" t="n">
        <x:v>5671.7768053043865</x:v>
      </x:c>
      <x:c r="I900" s="43" t="n">
        <x:v>7018</x:v>
      </x:c>
      <x:c r="J900" s="43" t="n">
        <x:v>1145</x:v>
      </x:c>
      <x:c r="K900" s="43" t="n">
        <x:v>97.65012111507986</x:v>
      </x:c>
      <x:c r="L900" s="43" t="n">
        <x:v>48.539311081003405</x:v>
      </x:c>
    </x:row>
    <x:row r="901" ht="15" hidden="0" customHeight="1">
      <x:c r="A901" s="29" t="str">
        <x:v>31099</x:v>
      </x:c>
      <x:c r="B901" s="29" t="str">
        <x:v>SCA-16</x:v>
      </x:c>
      <x:c r="C901" s="44" t="n">
        <x:v>6790</x:v>
      </x:c>
      <x:c r="D901" s="44" t="n">
        <x:v>66.98948212395867</x:v>
      </x:c>
      <x:c r="E901" s="44" t="n">
        <x:v>621.3600360847993</x:v>
      </x:c>
      <x:c r="F901" s="44" t="n">
        <x:v>32.314754028767275</x:v>
      </x:c>
      <x:c r="G901" s="44" t="n">
        <x:v>29.85430762291385</x:v>
      </x:c>
      <x:c r="H901" s="44" t="n">
        <x:v>6039.481420139561</x:v>
      </x:c>
      <x:c r="I901" s="44" t="n">
        <x:v>6790</x:v>
      </x:c>
      <x:c r="J901" s="44" t="n">
        <x:v>634</x:v>
      </x:c>
      <x:c r="K901" s="44" t="n">
        <x:v>73.41423464919264</x:v>
      </x:c>
      <x:c r="L901" s="44" t="n">
        <x:v>41.09948062042536</x:v>
      </x:c>
    </x:row>
    <x:row r="902" ht="15" hidden="0" customHeight="1">
      <x:c r="A902" s="27" t="str">
        <x:v>20167</x:v>
      </x:c>
      <x:c r="B902" s="27" t="str">
        <x:v>SCA-16</x:v>
      </x:c>
      <x:c r="C902" s="43" t="n">
        <x:v>6581</x:v>
      </x:c>
      <x:c r="D902" s="43" t="n">
        <x:v>86.24589886454426</x:v>
      </x:c>
      <x:c r="E902" s="43" t="n">
        <x:v>977.4973337382327</x:v>
      </x:c>
      <x:c r="F902" s="43" t="n">
        <x:v>46.05275588974881</x:v>
      </x:c>
      <x:c r="G902" s="43" t="n">
        <x:v>82.83723048891588</x:v>
      </x:c>
      <x:c r="H902" s="43" t="n">
        <x:v>5388.366781018558</x:v>
      </x:c>
      <x:c r="I902" s="43" t="n">
        <x:v>6581</x:v>
      </x:c>
      <x:c r="J902" s="43" t="n">
        <x:v>1019</x:v>
      </x:c>
      <x:c r="K902" s="43" t="n">
        <x:v>91.5695991818667</x:v>
      </x:c>
      <x:c r="L902" s="43" t="n">
        <x:v>45.5168432921179</x:v>
      </x:c>
    </x:row>
    <x:row r="903" ht="15" hidden="0" customHeight="1">
      <x:c r="A903" s="29" t="str">
        <x:v>31093</x:v>
      </x:c>
      <x:c r="B903" s="29" t="str">
        <x:v>SCA-16</x:v>
      </x:c>
      <x:c r="C903" s="44" t="n">
        <x:v>6538</x:v>
      </x:c>
      <x:c r="D903" s="44" t="n">
        <x:v>76.51222075479438</x:v>
      </x:c>
      <x:c r="E903" s="44" t="n">
        <x:v>886.5139603960395</x:v>
      </x:c>
      <x:c r="F903" s="44" t="n">
        <x:v>31.115443569967667</x:v>
      </x:c>
      <x:c r="G903" s="44" t="n">
        <x:v>105.62701113861387</x:v>
      </x:c>
      <x:c r="H903" s="44" t="n">
        <x:v>5438.231364140584</x:v>
      </x:c>
      <x:c r="I903" s="44" t="n">
        <x:v>6538</x:v>
      </x:c>
      <x:c r="J903" s="44" t="n">
        <x:v>913</x:v>
      </x:c>
      <x:c r="K903" s="44" t="n">
        <x:v>70.68958264159373</x:v>
      </x:c>
      <x:c r="L903" s="44" t="n">
        <x:v>39.574139071626064</x:v>
      </x:c>
    </x:row>
    <x:row r="904" ht="15" hidden="0" customHeight="1">
      <x:c r="A904" s="27" t="str">
        <x:v>19071</x:v>
      </x:c>
      <x:c r="B904" s="27" t="str">
        <x:v>SCA-16</x:v>
      </x:c>
      <x:c r="C904" s="43" t="n">
        <x:v>6522</x:v>
      </x:c>
      <x:c r="D904" s="43" t="n">
        <x:v>96.67269511910558</x:v>
      </x:c>
      <x:c r="E904" s="43" t="n">
        <x:v>944.9635142767493</x:v>
      </x:c>
      <x:c r="F904" s="43" t="n">
        <x:v>30.553080868535726</x:v>
      </x:c>
      <x:c r="G904" s="43" t="n">
        <x:v>67.07687480389082</x:v>
      </x:c>
      <x:c r="H904" s="43" t="n">
        <x:v>5382.733834931719</x:v>
      </x:c>
      <x:c r="I904" s="43" t="n">
        <x:v>6522</x:v>
      </x:c>
      <x:c r="J904" s="43" t="n">
        <x:v>962</x:v>
      </x:c>
      <x:c r="K904" s="43" t="n">
        <x:v>87.85229622611008</x:v>
      </x:c>
      <x:c r="L904" s="43" t="n">
        <x:v>57.29921535757436</x:v>
      </x:c>
    </x:row>
    <x:row r="905" ht="15" hidden="0" customHeight="1">
      <x:c r="A905" s="29" t="str">
        <x:v>20053</x:v>
      </x:c>
      <x:c r="B905" s="29" t="str">
        <x:v>SCA-16</x:v>
      </x:c>
      <x:c r="C905" s="44" t="n">
        <x:v>6257</x:v>
      </x:c>
      <x:c r="D905" s="44" t="n">
        <x:v>83.98525577353158</x:v>
      </x:c>
      <x:c r="E905" s="44" t="n">
        <x:v>977.0238435502068</x:v>
      </x:c>
      <x:c r="F905" s="44" t="n">
        <x:v>43.785457164892605</x:v>
      </x:c>
      <x:c r="G905" s="44" t="n">
        <x:v>68.6622790522753</x:v>
      </x:c>
      <x:c r="H905" s="44" t="n">
        <x:v>5083.5431644590935</x:v>
      </x:c>
      <x:c r="I905" s="44" t="n">
        <x:v>6257</x:v>
      </x:c>
      <x:c r="J905" s="44" t="n">
        <x:v>865</x:v>
      </x:c>
      <x:c r="K905" s="44" t="n">
        <x:v>87.06138612383224</x:v>
      </x:c>
      <x:c r="L905" s="44" t="n">
        <x:v>43.27592895893963</x:v>
      </x:c>
    </x:row>
    <x:row r="906" ht="15" hidden="0" customHeight="1">
      <x:c r="A906" s="27" t="str">
        <x:v>31035</x:v>
      </x:c>
      <x:c r="B906" s="27" t="str">
        <x:v>SCA-16</x:v>
      </x:c>
      <x:c r="C906" s="43" t="n">
        <x:v>6170</x:v>
      </x:c>
      <x:c r="D906" s="43" t="n">
        <x:v>68.47977815060503</x:v>
      </x:c>
      <x:c r="E906" s="43" t="n">
        <x:v>747.1949274153178</x:v>
      </x:c>
      <x:c r="F906" s="43" t="n">
        <x:v>29.36406956664125</x:v>
      </x:c>
      <x:c r="G906" s="43" t="n">
        <x:v>150.30268646754547</x:v>
      </x:c>
      <x:c r="H906" s="43" t="n">
        <x:v>5174.65853839989</x:v>
      </x:c>
      <x:c r="I906" s="43" t="n">
        <x:v>6170</x:v>
      </x:c>
      <x:c r="J906" s="43" t="n">
        <x:v>756</x:v>
      </x:c>
      <x:c r="K906" s="43" t="n">
        <x:v>66.71072574160803</x:v>
      </x:c>
      <x:c r="L906" s="43" t="n">
        <x:v>37.34665617496678</x:v>
      </x:c>
    </x:row>
    <x:row r="907" ht="15" hidden="0" customHeight="1">
      <x:c r="A907" s="29" t="str">
        <x:v>20145</x:v>
      </x:c>
      <x:c r="B907" s="29" t="str">
        <x:v>SCA-16</x:v>
      </x:c>
      <x:c r="C907" s="44" t="n">
        <x:v>5991</x:v>
      </x:c>
      <x:c r="D907" s="44" t="n">
        <x:v>98.66230442424369</x:v>
      </x:c>
      <x:c r="E907" s="44" t="n">
        <x:v>1373.4273232136245</x:v>
      </x:c>
      <x:c r="F907" s="44" t="n">
        <x:v>41.92403290312795</x:v>
      </x:c>
      <x:c r="G907" s="44" t="n">
        <x:v>145.76971492039988</x:v>
      </x:c>
      <x:c r="H907" s="44" t="n">
        <x:v>4331.216624538604</x:v>
      </x:c>
      <x:c r="I907" s="44" t="n">
        <x:v>5991</x:v>
      </x:c>
      <x:c r="J907" s="44" t="n">
        <x:v>1290</x:v>
      </x:c>
      <x:c r="K907" s="44" t="n">
        <x:v>83.36019886013727</x:v>
      </x:c>
      <x:c r="L907" s="44" t="n">
        <x:v>41.43616595700932</x:v>
      </x:c>
    </x:row>
    <x:row r="908" ht="15" hidden="0" customHeight="1">
      <x:c r="A908" s="27" t="str">
        <x:v>19173</x:v>
      </x:c>
      <x:c r="B908" s="27" t="str">
        <x:v>SCA-16</x:v>
      </x:c>
      <x:c r="C908" s="43" t="n">
        <x:v>5835</x:v>
      </x:c>
      <x:c r="D908" s="43" t="n">
        <x:v>85.8083754623877</x:v>
      </x:c>
      <x:c r="E908" s="43" t="n">
        <x:v>829.0756325823223</x:v>
      </x:c>
      <x:c r="F908" s="43" t="n">
        <x:v>27.334748063156376</x:v>
      </x:c>
      <x:c r="G908" s="43" t="n">
        <x:v>143.134835355286</x:v>
      </x:c>
      <x:c r="H908" s="43" t="n">
        <x:v>4749.646408536848</x:v>
      </x:c>
      <x:c r="I908" s="43" t="n">
        <x:v>5835</x:v>
      </x:c>
      <x:c r="J908" s="43" t="n">
        <x:v>854</x:v>
      </x:c>
      <x:c r="K908" s="43" t="n">
        <x:v>78.59830550128063</x:v>
      </x:c>
      <x:c r="L908" s="43" t="n">
        <x:v>51.26355743812426</x:v>
      </x:c>
    </x:row>
    <x:row r="909" ht="15" hidden="0" customHeight="1">
      <x:c r="A909" s="29" t="str">
        <x:v>20073</x:v>
      </x:c>
      <x:c r="B909" s="29" t="str">
        <x:v>SCA-16</x:v>
      </x:c>
      <x:c r="C909" s="44" t="n">
        <x:v>5826</x:v>
      </x:c>
      <x:c r="D909" s="44" t="n">
        <x:v>78.53742112209304</x:v>
      </x:c>
      <x:c r="E909" s="44" t="n">
        <x:v>917.819076923077</x:v>
      </x:c>
      <x:c r="F909" s="44" t="n">
        <x:v>40.76939003398823</x:v>
      </x:c>
      <x:c r="G909" s="44" t="n">
        <x:v>219.42307692307693</x:v>
      </x:c>
      <x:c r="H909" s="44" t="n">
        <x:v>4569.4510349977645</x:v>
      </x:c>
      <x:c r="I909" s="44" t="n">
        <x:v>5826</x:v>
      </x:c>
      <x:c r="J909" s="44" t="n">
        <x:v>960</x:v>
      </x:c>
      <x:c r="K909" s="44" t="n">
        <x:v>81.06434961761973</x:v>
      </x:c>
      <x:c r="L909" s="44" t="n">
        <x:v>40.294959583631496</x:v>
      </x:c>
    </x:row>
    <x:row r="910" ht="15" hidden="0" customHeight="1">
      <x:c r="A910" s="27" t="str">
        <x:v>48065</x:v>
      </x:c>
      <x:c r="B910" s="27" t="str">
        <x:v>SCA-16</x:v>
      </x:c>
      <x:c r="C910" s="43" t="n">
        <x:v>5805</x:v>
      </x:c>
      <x:c r="D910" s="43" t="n">
        <x:v>46.07978026835331</x:v>
      </x:c>
      <x:c r="E910" s="43" t="n">
        <x:v>616.9401459854015</x:v>
      </x:c>
      <x:c r="F910" s="43" t="n">
        <x:v>50.07270982413655</x:v>
      </x:c>
      <x:c r="G910" s="43" t="n">
        <x:v>105.38138686131386</x:v>
      </x:c>
      <x:c r="H910" s="43" t="n">
        <x:v>4986.5259770607945</x:v>
      </x:c>
      <x:c r="I910" s="43" t="n">
        <x:v>5805</x:v>
      </x:c>
      <x:c r="J910" s="43" t="n">
        <x:v>637</x:v>
      </x:c>
      <x:c r="K910" s="43" t="n">
        <x:v>70.44665067643146</x:v>
      </x:c>
      <x:c r="L910" s="43" t="n">
        <x:v>20.373940852294908</x:v>
      </x:c>
    </x:row>
    <x:row r="911" ht="15" hidden="0" customHeight="1">
      <x:c r="A911" s="29" t="str">
        <x:v>20143</x:v>
      </x:c>
      <x:c r="B911" s="29" t="str">
        <x:v>SCA-16</x:v>
      </x:c>
      <x:c r="C911" s="44" t="n">
        <x:v>5744</x:v>
      </x:c>
      <x:c r="D911" s="44" t="n">
        <x:v>68.81492368579947</x:v>
      </x:c>
      <x:c r="E911" s="44" t="n">
        <x:v>698.0906181054105</x:v>
      </x:c>
      <x:c r="F911" s="44" t="n">
        <x:v>40.19556751720364</x:v>
      </x:c>
      <x:c r="G911" s="44" t="n">
        <x:v>96.9476448958151</x:v>
      </x:c>
      <x:c r="H911" s="44" t="n">
        <x:v>4839.951245795772</x:v>
      </x:c>
      <x:c r="I911" s="44" t="n">
        <x:v>5744</x:v>
      </x:c>
      <x:c r="J911" s="44" t="n">
        <x:v>723</x:v>
      </x:c>
      <x:c r="K911" s="44" t="n">
        <x:v>79.92338211527768</x:v>
      </x:c>
      <x:c r="L911" s="44" t="n">
        <x:v>39.72781459807403</x:v>
      </x:c>
    </x:row>
    <x:row r="912" ht="15" hidden="0" customHeight="1">
      <x:c r="A912" s="27" t="str">
        <x:v>31167</x:v>
      </x:c>
      <x:c r="B912" s="27" t="str">
        <x:v>SCA-16</x:v>
      </x:c>
      <x:c r="C912" s="43" t="n">
        <x:v>5744</x:v>
      </x:c>
      <x:c r="D912" s="43" t="n">
        <x:v>60.016454252729154</x:v>
      </x:c>
      <x:c r="E912" s="43" t="n">
        <x:v>605.9604395604396</x:v>
      </x:c>
      <x:c r="F912" s="43" t="n">
        <x:v>27.33666379105143</x:v>
      </x:c>
      <x:c r="G912" s="43" t="n">
        <x:v>40.94505494505495</x:v>
      </x:c>
      <x:c r="H912" s="43" t="n">
        <x:v>5009.741387450725</x:v>
      </x:c>
      <x:c r="I912" s="43" t="n">
        <x:v>5744</x:v>
      </x:c>
      <x:c r="J912" s="43" t="n">
        <x:v>630</x:v>
      </x:c>
      <x:c r="K912" s="43" t="n">
        <x:v>62.10476639542893</x:v>
      </x:c>
      <x:c r="L912" s="43" t="n">
        <x:v>34.7681026043775</x:v>
      </x:c>
    </x:row>
    <x:row r="913" ht="15" hidden="0" customHeight="1">
      <x:c r="A913" s="29" t="str">
        <x:v>20069</x:v>
      </x:c>
      <x:c r="B913" s="29" t="str">
        <x:v>SCA-16</x:v>
      </x:c>
      <x:c r="C913" s="44" t="n">
        <x:v>5652</x:v>
      </x:c>
      <x:c r="D913" s="44" t="n">
        <x:v>59.300223538605564</x:v>
      </x:c>
      <x:c r="E913" s="44" t="n">
        <x:v>485.0092307692308</x:v>
      </x:c>
      <x:c r="F913" s="44" t="n">
        <x:v>39.5517666447136</x:v>
      </x:c>
      <x:c r="G913" s="44" t="n">
        <x:v>106.54166666666666</x:v>
      </x:c>
      <x:c r="H913" s="44" t="n">
        <x:v>4961.597112380784</x:v>
      </x:c>
      <x:c r="I913" s="44" t="n">
        <x:v>5652</x:v>
      </x:c>
      <x:c r="J913" s="44" t="n">
        <x:v>502</x:v>
      </x:c>
      <x:c r="K913" s="44" t="n">
        <x:v>78.64327223460121</x:v>
      </x:c>
      <x:c r="L913" s="44" t="n">
        <x:v>39.09150558988761</x:v>
      </x:c>
    </x:row>
    <x:row r="914" ht="15" hidden="0" customHeight="1">
      <x:c r="A914" s="27" t="str">
        <x:v>40003</x:v>
      </x:c>
      <x:c r="B914" s="27" t="str">
        <x:v>SCA-16</x:v>
      </x:c>
      <x:c r="C914" s="43" t="n">
        <x:v>5649</x:v>
      </x:c>
      <x:c r="D914" s="43" t="n">
        <x:v>73.83497185212813</x:v>
      </x:c>
      <x:c r="E914" s="43" t="n">
        <x:v>971.836047608354</x:v>
      </x:c>
      <x:c r="F914" s="43" t="n">
        <x:v>57.2467178701267</x:v>
      </x:c>
      <x:c r="G914" s="43" t="n">
        <x:v>33.65259375701774</x:v>
      </x:c>
      <x:c r="H914" s="43" t="n">
        <x:v>4512.429668912374</x:v>
      </x:c>
      <x:c r="I914" s="43" t="n">
        <x:v>5649</x:v>
      </x:c>
      <x:c r="J914" s="43" t="n">
        <x:v>798</x:v>
      </x:c>
      <x:c r="K914" s="43" t="n">
        <x:v>90.58852107190675</x:v>
      </x:c>
      <x:c r="L914" s="43" t="n">
        <x:v>33.34180320178006</x:v>
      </x:c>
    </x:row>
    <x:row r="915" ht="15" hidden="0" customHeight="1">
      <x:c r="A915" s="29" t="str">
        <x:v>20123</x:v>
      </x:c>
      <x:c r="B915" s="29" t="str">
        <x:v>SCA-16</x:v>
      </x:c>
      <x:c r="C915" s="44" t="n">
        <x:v>5590</x:v>
      </x:c>
      <x:c r="D915" s="44" t="n">
        <x:v>72.34285817104312</x:v>
      </x:c>
      <x:c r="E915" s="44" t="n">
        <x:v>808.3240685149215</x:v>
      </x:c>
      <x:c r="F915" s="44" t="n">
        <x:v>39.117900839339896</x:v>
      </x:c>
      <x:c r="G915" s="44" t="n">
        <x:v>195.3558184707752</x:v>
      </x:c>
      <x:c r="H915" s="44" t="n">
        <x:v>4474.85935400392</x:v>
      </x:c>
      <x:c r="I915" s="44" t="n">
        <x:v>5590</x:v>
      </x:c>
      <x:c r="J915" s="44" t="n">
        <x:v>853</x:v>
      </x:c>
      <x:c r="K915" s="44" t="n">
        <x:v>77.78058948892796</x:v>
      </x:c>
      <x:c r="L915" s="44" t="n">
        <x:v>38.66268864958806</x:v>
      </x:c>
    </x:row>
    <x:row r="916" ht="15" hidden="0" customHeight="1">
      <x:c r="A916" s="27" t="str">
        <x:v>20201</x:v>
      </x:c>
      <x:c r="B916" s="27" t="str">
        <x:v>SCA-16</x:v>
      </x:c>
      <x:c r="C916" s="43" t="n">
        <x:v>5533</x:v>
      </x:c>
      <x:c r="D916" s="43" t="n">
        <x:v>70.14699129179536</x:v>
      </x:c>
      <x:c r="E916" s="43" t="n">
        <x:v>765.0849017086166</x:v>
      </x:c>
      <x:c r="F916" s="43" t="n">
        <x:v>38.7190242118189</x:v>
      </x:c>
      <x:c r="G916" s="43" t="n">
        <x:v>92.44387286422929</x:v>
      </x:c>
      <x:c r="H916" s="43" t="n">
        <x:v>4566.605209923539</x:v>
      </x:c>
      <x:c r="I916" s="43" t="n">
        <x:v>5533</x:v>
      </x:c>
      <x:c r="J916" s="43" t="n">
        <x:v>784</x:v>
      </x:c>
      <x:c r="K916" s="43" t="n">
        <x:v>76.9874779324219</x:v>
      </x:c>
      <x:c r="L916" s="43" t="n">
        <x:v>38.268453720603</x:v>
      </x:c>
    </x:row>
    <x:row r="917" ht="15" hidden="0" customHeight="1">
      <x:c r="A917" s="29" t="str">
        <x:v>31059</x:v>
      </x:c>
      <x:c r="B917" s="29" t="str">
        <x:v>SCA-16</x:v>
      </x:c>
      <x:c r="C917" s="44" t="n">
        <x:v>5458</x:v>
      </x:c>
      <x:c r="D917" s="44" t="n">
        <x:v>68.98458305843415</x:v>
      </x:c>
      <x:c r="E917" s="44" t="n">
        <x:v>862.7429292741786</x:v>
      </x:c>
      <x:c r="F917" s="44" t="n">
        <x:v>25.975541603683617</x:v>
      </x:c>
      <x:c r="G917" s="44" t="n">
        <x:v>69.33358084276963</x:v>
      </x:c>
      <x:c r="H917" s="44" t="n">
        <x:v>4430.963365220934</x:v>
      </x:c>
      <x:c r="I917" s="44" t="n">
        <x:v>5458</x:v>
      </x:c>
      <x:c r="J917" s="44" t="n">
        <x:v>887</x:v>
      </x:c>
      <x:c r="K917" s="44" t="n">
        <x:v>59.012502609027</x:v>
      </x:c>
      <x:c r="L917" s="44" t="n">
        <x:v>33.036961005343386</x:v>
      </x:c>
    </x:row>
    <x:row r="918" ht="15" hidden="0" customHeight="1">
      <x:c r="A918" s="27" t="str">
        <x:v>20077</x:v>
      </x:c>
      <x:c r="B918" s="27" t="str">
        <x:v>SCA-16</x:v>
      </x:c>
      <x:c r="C918" s="43" t="n">
        <x:v>5370</x:v>
      </x:c>
      <x:c r="D918" s="43" t="n">
        <x:v>78.89758213925806</x:v>
      </x:c>
      <x:c r="E918" s="43" t="n">
        <x:v>1002.1560477001702</x:v>
      </x:c>
      <x:c r="F918" s="43" t="n">
        <x:v>37.578377013820244</x:v>
      </x:c>
      <x:c r="G918" s="43" t="n">
        <x:v>125.6740488358887</x:v>
      </x:c>
      <x:c r="H918" s="43" t="n">
        <x:v>4125.693944310862</x:v>
      </x:c>
      <x:c r="I918" s="43" t="n">
        <x:v>5370</x:v>
      </x:c>
      <x:c r="J918" s="43" t="n">
        <x:v>1027</x:v>
      </x:c>
      <x:c r="K918" s="43" t="n">
        <x:v>74.71945716557121</x:v>
      </x:c>
      <x:c r="L918" s="43" t="n">
        <x:v>37.14108015175097</x:v>
      </x:c>
    </x:row>
    <x:row r="919" ht="15" hidden="0" customHeight="1">
      <x:c r="A919" s="29" t="str">
        <x:v>31011</x:v>
      </x:c>
      <x:c r="B919" s="29" t="str">
        <x:v>SCA-16</x:v>
      </x:c>
      <x:c r="C919" s="44" t="n">
        <x:v>5355</x:v>
      </x:c>
      <x:c r="D919" s="44" t="n">
        <x:v>59.77808649968426</x:v>
      </x:c>
      <x:c r="E919" s="44" t="n">
        <x:v>656.7498861047835</x:v>
      </x:c>
      <x:c r="F919" s="44" t="n">
        <x:v>25.485347249491717</x:v>
      </x:c>
      <x:c r="G919" s="44" t="n">
        <x:v>104.2335801063022</x:v>
      </x:c>
      <x:c r="H919" s="44" t="n">
        <x:v>4508.7531000397385</x:v>
      </x:c>
      <x:c r="I919" s="44" t="n">
        <x:v>5355</x:v>
      </x:c>
      <x:c r="J919" s="44" t="n">
        <x:v>673</x:v>
      </x:c>
      <x:c r="K919" s="44" t="n">
        <x:v>57.89885516147666</x:v>
      </x:c>
      <x:c r="L919" s="44" t="n">
        <x:v>32.413507911984944</x:v>
      </x:c>
    </x:row>
    <x:row r="920" ht="15" hidden="0" customHeight="1">
      <x:c r="A920" s="27" t="str">
        <x:v>20127</x:v>
      </x:c>
      <x:c r="B920" s="27" t="str">
        <x:v>SCA-16</x:v>
      </x:c>
      <x:c r="C920" s="43" t="n">
        <x:v>5348</x:v>
      </x:c>
      <x:c r="D920" s="43" t="n">
        <x:v>73.71110375871731</x:v>
      </x:c>
      <x:c r="E920" s="43" t="n">
        <x:v>881.3324269620011</x:v>
      </x:c>
      <x:c r="F920" s="43" t="n">
        <x:v>37.424424631268295</x:v>
      </x:c>
      <x:c r="G920" s="43" t="n">
        <x:v>212.05422952071797</x:v>
      </x:c>
      <x:c r="H920" s="43" t="n">
        <x:v>4143.477815127295</x:v>
      </x:c>
      <x:c r="I920" s="43" t="n">
        <x:v>5348</x:v>
      </x:c>
      <x:c r="J920" s="43" t="n">
        <x:v>899</x:v>
      </x:c>
      <x:c r="K920" s="43" t="n">
        <x:v>74.41334393323555</x:v>
      </x:c>
      <x:c r="L920" s="43" t="n">
        <x:v>36.98891930196726</x:v>
      </x:c>
    </x:row>
    <x:row r="921" ht="15" hidden="0" customHeight="1">
      <x:c r="A921" s="29" t="str">
        <x:v>20137</x:v>
      </x:c>
      <x:c r="B921" s="29" t="str">
        <x:v>SCA-16</x:v>
      </x:c>
      <x:c r="C921" s="44" t="n">
        <x:v>5288</x:v>
      </x:c>
      <x:c r="D921" s="44" t="n">
        <x:v>76.7082497936084</x:v>
      </x:c>
      <x:c r="E921" s="44" t="n">
        <x:v>963.2235510579576</x:v>
      </x:c>
      <x:c r="F921" s="44" t="n">
        <x:v>37.004554497035656</x:v>
      </x:c>
      <x:c r="G921" s="44" t="n">
        <x:v>42.538523459061636</x:v>
      </x:c>
      <x:c r="H921" s="44" t="n">
        <x:v>4168.525121192337</x:v>
      </x:c>
      <x:c r="I921" s="44" t="n">
        <x:v>5288</x:v>
      </x:c>
      <x:c r="J921" s="44" t="n">
        <x:v>825</x:v>
      </x:c>
      <x:c r="K921" s="44" t="n">
        <x:v>73.57848966322916</x:v>
      </x:c>
      <x:c r="L921" s="44" t="n">
        <x:v>36.57393516619351</x:v>
      </x:c>
    </x:row>
    <x:row r="922" ht="15" hidden="0" customHeight="1">
      <x:c r="A922" s="27" t="str">
        <x:v>31143</x:v>
      </x:c>
      <x:c r="B922" s="27" t="str">
        <x:v>SCA-16</x:v>
      </x:c>
      <x:c r="C922" s="43" t="n">
        <x:v>5270</x:v>
      </x:c>
      <x:c r="D922" s="43" t="n">
        <x:v>56.52306998270498</x:v>
      </x:c>
      <x:c r="E922" s="43" t="n">
        <x:v>590.9774927113702</x:v>
      </x:c>
      <x:c r="F922" s="43" t="n">
        <x:v>25.080817928071212</x:v>
      </x:c>
      <x:c r="G922" s="43" t="n">
        <x:v>54.75762876579203</x:v>
      </x:c>
      <x:c r="H922" s="43" t="n">
        <x:v>4542.660990612062</x:v>
      </x:c>
      <x:c r="I922" s="43" t="n">
        <x:v>5270</x:v>
      </x:c>
      <x:c r="J922" s="43" t="n">
        <x:v>601</x:v>
      </x:c>
      <x:c r="K922" s="43" t="n">
        <x:v>56.979825714469094</x:v>
      </x:c>
      <x:c r="L922" s="43" t="n">
        <x:v>31.899007786397885</x:v>
      </x:c>
    </x:row>
    <x:row r="923" ht="15" hidden="0" customHeight="1">
      <x:c r="A923" s="29" t="str">
        <x:v>31097</x:v>
      </x:c>
      <x:c r="B923" s="29" t="str">
        <x:v>SCA-16</x:v>
      </x:c>
      <x:c r="C923" s="44" t="n">
        <x:v>5218</x:v>
      </x:c>
      <x:c r="D923" s="44" t="n">
        <x:v>69.21909498299398</x:v>
      </x:c>
      <x:c r="E923" s="44" t="n">
        <x:v>903.236165150455</x:v>
      </x:c>
      <x:c r="F923" s="44" t="n">
        <x:v>24.833341166731607</x:v>
      </x:c>
      <x:c r="G923" s="44" t="n">
        <x:v>125.41217634709585</x:v>
      </x:c>
      <x:c r="H923" s="44" t="n">
        <x:v>4095.299222352724</x:v>
      </x:c>
      <x:c r="I923" s="44" t="n">
        <x:v>5218</x:v>
      </x:c>
      <x:c r="J923" s="44" t="n">
        <x:v>773</x:v>
      </x:c>
      <x:c r="K923" s="44" t="n">
        <x:v>56.41759593512329</x:v>
      </x:c>
      <x:c r="L923" s="44" t="n">
        <x:v>31.58425476839168</x:v>
      </x:c>
    </x:row>
    <x:row r="924" ht="15" hidden="0" customHeight="1">
      <x:c r="A924" s="27" t="str">
        <x:v>29005</x:v>
      </x:c>
      <x:c r="B924" s="27" t="str">
        <x:v>SCA-16</x:v>
      </x:c>
      <x:c r="C924" s="43" t="n">
        <x:v>5175</x:v>
      </x:c>
      <x:c r="D924" s="43" t="n">
        <x:v>73.59670595241697</x:v>
      </x:c>
      <x:c r="E924" s="43" t="n">
        <x:v>889.573385518591</x:v>
      </x:c>
      <x:c r="F924" s="43" t="n">
        <x:v>31.076841940019506</x:v>
      </x:c>
      <x:c r="G924" s="43" t="n">
        <x:v>79.2206457925636</x:v>
      </x:c>
      <x:c r="H924" s="43" t="n">
        <x:v>4101.5324207964095</x:v>
      </x:c>
      <x:c r="I924" s="43" t="n">
        <x:v>5175</x:v>
      </x:c>
      <x:c r="J924" s="43" t="n">
        <x:v>915</x:v>
      </x:c>
      <x:c r="K924" s="43" t="n">
        <x:v>67.60799016249518</x:v>
      </x:c>
      <x:c r="L924" s="43" t="n">
        <x:v>36.53114822247568</x:v>
      </x:c>
    </x:row>
    <x:row r="925" ht="15" hidden="0" customHeight="1">
      <x:c r="A925" s="29" t="str">
        <x:v>20189</x:v>
      </x:c>
      <x:c r="B925" s="29" t="str">
        <x:v>SCA-16</x:v>
      </x:c>
      <x:c r="C925" s="44" t="n">
        <x:v>4984</x:v>
      </x:c>
      <x:c r="D925" s="44" t="n">
        <x:v>60.58270407384803</x:v>
      </x:c>
      <x:c r="E925" s="44" t="n">
        <x:v>626.6725246937968</x:v>
      </x:c>
      <x:c r="F925" s="44" t="n">
        <x:v>34.877212483590334</x:v>
      </x:c>
      <x:c r="G925" s="44" t="n">
        <x:v>59.09363887791387</x:v>
      </x:c>
      <x:c r="H925" s="44" t="n">
        <x:v>4202.7739198708505</x:v>
      </x:c>
      <x:c r="I925" s="44" t="n">
        <x:v>4984</x:v>
      </x:c>
      <x:c r="J925" s="44" t="n">
        <x:v>663</x:v>
      </x:c>
      <x:c r="K925" s="44" t="n">
        <x:v>69.34856136186349</x:v>
      </x:c>
      <x:c r="L925" s="44" t="n">
        <x:v>34.471348878273155</x:v>
      </x:c>
    </x:row>
    <x:row r="926" ht="15" hidden="0" customHeight="1">
      <x:c r="A926" s="27" t="str">
        <x:v>48195</x:v>
      </x:c>
      <x:c r="B926" s="27" t="str">
        <x:v>SCA-16</x:v>
      </x:c>
      <x:c r="C926" s="43" t="n">
        <x:v>4944</x:v>
      </x:c>
      <x:c r="D926" s="43" t="n">
        <x:v>40.191625781652725</x:v>
      </x:c>
      <x:c r="E926" s="43" t="n">
        <x:v>548.149350237718</x:v>
      </x:c>
      <x:c r="F926" s="43" t="n">
        <x:v>42.64590480112509</x:v>
      </x:c>
      <x:c r="G926" s="43" t="n">
        <x:v>128.25376386687796</x:v>
      </x:c>
      <x:c r="H926" s="43" t="n">
        <x:v>4184.759355312626</x:v>
      </x:c>
      <x:c r="I926" s="43" t="n">
        <x:v>4944</x:v>
      </x:c>
      <x:c r="J926" s="43" t="n">
        <x:v>583</x:v>
      </x:c>
      <x:c r="K926" s="43" t="n">
        <x:v>59.9979743228729</x:v>
      </x:c>
      <x:c r="L926" s="43" t="n">
        <x:v>17.352069521747808</x:v>
      </x:c>
    </x:row>
    <x:row r="927" ht="15" hidden="0" customHeight="1">
      <x:c r="A927" s="29" t="str">
        <x:v>40007</x:v>
      </x:c>
      <x:c r="B927" s="29" t="str">
        <x:v>SCA-16</x:v>
      </x:c>
      <x:c r="C927" s="44" t="n">
        <x:v>4882</x:v>
      </x:c>
      <x:c r="D927" s="44" t="n">
        <x:v>58.004082615880634</x:v>
      </x:c>
      <x:c r="E927" s="44" t="n">
        <x:v>700.5433009708738</x:v>
      </x:c>
      <x:c r="F927" s="44" t="n">
        <x:v>49.473973560268796</x:v>
      </x:c>
      <x:c r="G927" s="44" t="n">
        <x:v>29.768406148867317</x:v>
      </x:c>
      <x:c r="H927" s="44" t="n">
        <x:v>4044.21023670411</x:v>
      </x:c>
      <x:c r="I927" s="44" t="n">
        <x:v>4882</x:v>
      </x:c>
      <x:c r="J927" s="44" t="n">
        <x:v>739</x:v>
      </x:c>
      <x:c r="K927" s="44" t="n">
        <x:v>78.28875196902969</x:v>
      </x:c>
      <x:c r="L927" s="44" t="n">
        <x:v>28.814778408760887</x:v>
      </x:c>
    </x:row>
    <x:row r="928" ht="15" hidden="0" customHeight="1">
      <x:c r="A928" s="27" t="str">
        <x:v>31169</x:v>
      </x:c>
      <x:c r="B928" s="27" t="str">
        <x:v>SCA-16</x:v>
      </x:c>
      <x:c r="C928" s="43" t="n">
        <x:v>4842</x:v>
      </x:c>
      <x:c r="D928" s="43" t="n">
        <x:v>55.882389554735525</x:v>
      </x:c>
      <x:c r="E928" s="43" t="n">
        <x:v>637.7769893816364</x:v>
      </x:c>
      <x:c r="F928" s="43" t="n">
        <x:v>23.043893815506795</x:v>
      </x:c>
      <x:c r="G928" s="43" t="n">
        <x:v>110.43764313970435</x:v>
      </x:c>
      <x:c r="H928" s="43" t="n">
        <x:v>4014.859084108417</x:v>
      </x:c>
      <x:c r="I928" s="43" t="n">
        <x:v>4842</x:v>
      </x:c>
      <x:c r="J928" s="43" t="n">
        <x:v>659</x:v>
      </x:c>
      <x:c r="K928" s="43" t="n">
        <x:v>52.35224214600747</x:v>
      </x:c>
      <x:c r="L928" s="43" t="n">
        <x:v>29.308348330500674</x:v>
      </x:c>
    </x:row>
    <x:row r="929" ht="15" hidden="0" customHeight="1">
      <x:c r="A929" s="29" t="str">
        <x:v>20171</x:v>
      </x:c>
      <x:c r="B929" s="29" t="str">
        <x:v>SCA-16</x:v>
      </x:c>
      <x:c r="C929" s="44" t="n">
        <x:v>4815</x:v>
      </x:c>
      <x:c r="D929" s="44" t="n">
        <x:v>63.45229463581945</x:v>
      </x:c>
      <x:c r="E929" s="44" t="n">
        <x:v>723.5956257594167</x:v>
      </x:c>
      <x:c r="F929" s="44" t="n">
        <x:v>33.694578272168435</x:v>
      </x:c>
      <x:c r="G929" s="44" t="n">
        <x:v>217.6123936816525</x:v>
      </x:c>
      <x:c r="H929" s="44" t="n">
        <x:v>3776.6451076509425</x:v>
      </x:c>
      <x:c r="I929" s="44" t="n">
        <x:v>4815</x:v>
      </x:c>
      <x:c r="J929" s="44" t="n">
        <x:v>773</x:v>
      </x:c>
      <x:c r="K929" s="44" t="n">
        <x:v>66.99705516801218</x:v>
      </x:c>
      <x:c r="L929" s="44" t="n">
        <x:v>33.302476895843746</x:v>
      </x:c>
    </x:row>
    <x:row r="930" ht="15" hidden="0" customHeight="1">
      <x:c r="A930" s="27" t="str">
        <x:v>48483</x:v>
      </x:c>
      <x:c r="B930" s="27" t="str">
        <x:v>SCA-16</x:v>
      </x:c>
      <x:c r="C930" s="43" t="n">
        <x:v>4773</x:v>
      </x:c>
      <x:c r="D930" s="43" t="n">
        <x:v>49.19190692299804</x:v>
      </x:c>
      <x:c r="E930" s="43" t="n">
        <x:v>778.56</x:v>
      </x:c>
      <x:c r="F930" s="43" t="n">
        <x:v>41.17089474429005</x:v>
      </x:c>
      <x:c r="G930" s="43" t="n">
        <x:v>282.64424890006285</x:v>
      </x:c>
      <x:c r="H930" s="43" t="n">
        <x:v>3621.432949432649</x:v>
      </x:c>
      <x:c r="I930" s="43" t="n">
        <x:v>4773</x:v>
      </x:c>
      <x:c r="J930" s="43" t="n">
        <x:v>811</x:v>
      </x:c>
      <x:c r="K930" s="43" t="n">
        <x:v>57.92280166728809</x:v>
      </x:c>
      <x:c r="L930" s="43" t="n">
        <x:v>16.751906922998035</x:v>
      </x:c>
    </x:row>
    <x:row r="931" ht="15" hidden="0" customHeight="1">
      <x:c r="A931" s="29" t="str">
        <x:v>20147</x:v>
      </x:c>
      <x:c r="B931" s="29" t="str">
        <x:v>SCA-16</x:v>
      </x:c>
      <x:c r="C931" s="44" t="n">
        <x:v>4728</x:v>
      </x:c>
      <x:c r="D931" s="44" t="n">
        <x:v>69.81515124804432</x:v>
      </x:c>
      <x:c r="E931" s="44" t="n">
        <x:v>890.7456323777402</x:v>
      </x:c>
      <x:c r="F931" s="44" t="n">
        <x:v>33.085766577531125</x:v>
      </x:c>
      <x:c r="G931" s="44" t="n">
        <x:v>103.68402192242831</x:v>
      </x:c>
      <x:c r="H931" s="44" t="n">
        <x:v>3630.669427874256</x:v>
      </x:c>
      <x:c r="I931" s="44" t="n">
        <x:v>4728</x:v>
      </x:c>
      <x:c r="J931" s="44" t="n">
        <x:v>931</x:v>
      </x:c>
      <x:c r="K931" s="44" t="n">
        <x:v>65.78651647650292</x:v>
      </x:c>
      <x:c r="L931" s="44" t="n">
        <x:v>32.7007498989718</x:v>
      </x:c>
    </x:row>
    <x:row r="932" ht="15" hidden="0" customHeight="1">
      <x:c r="A932" s="27" t="str">
        <x:v>20163</x:v>
      </x:c>
      <x:c r="B932" s="27" t="str">
        <x:v>SCA-16</x:v>
      </x:c>
      <x:c r="C932" s="43" t="n">
        <x:v>4646</x:v>
      </x:c>
      <x:c r="D932" s="43" t="n">
        <x:v>63.12716903272633</x:v>
      </x:c>
      <x:c r="E932" s="43" t="n">
        <x:v>743.8455388634878</x:v>
      </x:c>
      <x:c r="F932" s="43" t="n">
        <x:v>32.511944060746536</x:v>
      </x:c>
      <x:c r="G932" s="43" t="n">
        <x:v>120.81754844328326</x:v>
      </x:c>
      <x:c r="H932" s="43" t="n">
        <x:v>3685.697799599756</x:v>
      </x:c>
      <x:c r="I932" s="43" t="n">
        <x:v>4646</x:v>
      </x:c>
      <x:c r="J932" s="43" t="n">
        <x:v>766</x:v>
      </x:c>
      <x:c r="K932" s="43" t="n">
        <x:v>64.64554897416087</x:v>
      </x:c>
      <x:c r="L932" s="43" t="n">
        <x:v>32.13360491341434</x:v>
      </x:c>
    </x:row>
    <x:row r="933" ht="15" hidden="0" customHeight="1">
      <x:c r="A933" s="29" t="str">
        <x:v>20157</x:v>
      </x:c>
      <x:c r="B933" s="29" t="str">
        <x:v>SCA-16</x:v>
      </x:c>
      <x:c r="C933" s="44" t="n">
        <x:v>4640</x:v>
      </x:c>
      <x:c r="D933" s="44" t="n">
        <x:v>66.09918228057512</x:v>
      </x:c>
      <x:c r="E933" s="44" t="n">
        <x:v>816.1698187377157</x:v>
      </x:c>
      <x:c r="F933" s="44" t="n">
        <x:v>32.46995704732327</x:v>
      </x:c>
      <x:c r="G933" s="44" t="n">
        <x:v>120.88228870932518</x:v>
      </x:c>
      <x:c r="H933" s="44" t="n">
        <x:v>3604.3787532250603</x:v>
      </x:c>
      <x:c r="I933" s="44" t="n">
        <x:v>4640</x:v>
      </x:c>
      <x:c r="J933" s="44" t="n">
        <x:v>839</x:v>
      </x:c>
      <x:c r="K933" s="44" t="n">
        <x:v>64.56206354716024</x:v>
      </x:c>
      <x:c r="L933" s="44" t="n">
        <x:v>32.092106499836966</x:v>
      </x:c>
    </x:row>
    <x:row r="934" ht="15" hidden="0" customHeight="1">
      <x:c r="A934" s="27" t="str">
        <x:v>31065</x:v>
      </x:c>
      <x:c r="B934" s="27" t="str">
        <x:v>SCA-16</x:v>
      </x:c>
      <x:c r="C934" s="43" t="n">
        <x:v>4524</x:v>
      </x:c>
      <x:c r="D934" s="43" t="n">
        <x:v>60.62599753647955</x:v>
      </x:c>
      <x:c r="E934" s="43" t="n">
        <x:v>797.8196392785571</x:v>
      </x:c>
      <x:c r="F934" s="43" t="n">
        <x:v>21.530478236545378</x:v>
      </x:c>
      <x:c r="G934" s="43" t="n">
        <x:v>104.89445557782231</x:v>
      </x:c>
      <x:c r="H934" s="43" t="n">
        <x:v>3539.1294293705955</x:v>
      </x:c>
      <x:c r="I934" s="43" t="n">
        <x:v>4524</x:v>
      </x:c>
      <x:c r="J934" s="43" t="n">
        <x:v>825</x:v>
      </x:c>
      <x:c r="K934" s="43" t="n">
        <x:v>48.91399080308504</x:v>
      </x:c>
      <x:c r="L934" s="43" t="n">
        <x:v>27.383512566539665</x:v>
      </x:c>
    </x:row>
    <x:row r="935" ht="15" hidden="0" customHeight="1">
      <x:c r="A935" s="29" t="str">
        <x:v>40043</x:v>
      </x:c>
      <x:c r="B935" s="29" t="str">
        <x:v>SCA-16</x:v>
      </x:c>
      <x:c r="C935" s="44" t="n">
        <x:v>4207</x:v>
      </x:c>
      <x:c r="D935" s="44" t="n">
        <x:v>57.016963209968395</x:v>
      </x:c>
      <x:c r="E935" s="44" t="n">
        <x:v>772.4688650163475</x:v>
      </x:c>
      <x:c r="F935" s="44" t="n">
        <x:v>42.63355320935086</x:v>
      </x:c>
      <x:c r="G935" s="44" t="n">
        <x:v>50.54588977113498</x:v>
      </x:c>
      <x:c r="H935" s="44" t="n">
        <x:v>3284.3347287931983</x:v>
      </x:c>
      <x:c r="I935" s="44" t="n">
        <x:v>4207</x:v>
      </x:c>
      <x:c r="J935" s="44" t="n">
        <x:v>819</x:v>
      </x:c>
      <x:c r="K935" s="44" t="n">
        <x:v>67.46431371030478</x:v>
      </x:c>
      <x:c r="L935" s="44" t="n">
        <x:v>24.83076050095392</x:v>
      </x:c>
    </x:row>
    <x:row r="936" ht="15" hidden="0" customHeight="1">
      <x:c r="A936" s="27" t="str">
        <x:v>29087</x:v>
      </x:c>
      <x:c r="B936" s="27" t="str">
        <x:v>SCA-16</x:v>
      </x:c>
      <x:c r="C936" s="43" t="n">
        <x:v>4200</x:v>
      </x:c>
      <x:c r="D936" s="43" t="n">
        <x:v>61.902837054627796</x:v>
      </x:c>
      <x:c r="E936" s="43" t="n">
        <x:v>774.104854368932</x:v>
      </x:c>
      <x:c r="F936" s="43" t="n">
        <x:v>25.221784762914385</x:v>
      </x:c>
      <x:c r="G936" s="43" t="n">
        <x:v>73.93288834951457</x:v>
      </x:c>
      <x:c r="H936" s="43" t="n">
        <x:v>3264.837635464011</x:v>
      </x:c>
      <x:c r="I936" s="43" t="n">
        <x:v>4200</x:v>
      </x:c>
      <x:c r="J936" s="43" t="n">
        <x:v>791</x:v>
      </x:c>
      <x:c r="K936" s="43" t="n">
        <x:v>54.87025288550334</x:v>
      </x:c>
      <x:c r="L936" s="43" t="n">
        <x:v>29.648468122588955</x:v>
      </x:c>
    </x:row>
    <x:row r="937" ht="15" hidden="0" customHeight="1">
      <x:c r="A937" s="29" t="str">
        <x:v>31129</x:v>
      </x:c>
      <x:c r="B937" s="29" t="str">
        <x:v>SCA-16</x:v>
      </x:c>
      <x:c r="C937" s="44" t="n">
        <x:v>4100</x:v>
      </x:c>
      <x:c r="D937" s="44" t="n">
        <x:v>47.079140680118854</x:v>
      </x:c>
      <x:c r="E937" s="44" t="n">
        <x:v>534.2898191726529</x:v>
      </x:c>
      <x:c r="F937" s="44" t="n">
        <x:v>19.512590797930162</x:v>
      </x:c>
      <x:c r="G937" s="44" t="n">
        <x:v>47.53405994550409</x:v>
      </x:c>
      <x:c r="H937" s="44" t="n">
        <x:v>3451.584389403794</x:v>
      </x:c>
      <x:c r="I937" s="44" t="n">
        <x:v>4100</x:v>
      </x:c>
      <x:c r="J937" s="44" t="n">
        <x:v>548</x:v>
      </x:c>
      <x:c r="K937" s="44" t="n">
        <x:v>44.32965567918848</x:v>
      </x:c>
      <x:c r="L937" s="44" t="n">
        <x:v>24.817064881258315</x:v>
      </x:c>
    </x:row>
    <x:row r="938" ht="15" hidden="0" customHeight="1">
      <x:c r="A938" s="27" t="str">
        <x:v>31175</x:v>
      </x:c>
      <x:c r="B938" s="27" t="str">
        <x:v>SCA-16</x:v>
      </x:c>
      <x:c r="C938" s="43" t="n">
        <x:v>4094</x:v>
      </x:c>
      <x:c r="D938" s="43" t="n">
        <x:v>56.904939408555826</x:v>
      </x:c>
      <x:c r="E938" s="43" t="n">
        <x:v>770.9806123973113</x:v>
      </x:c>
      <x:c r="F938" s="43" t="n">
        <x:v>19.484035787006363</x:v>
      </x:c>
      <x:c r="G938" s="43" t="n">
        <x:v>85.20637291511078</x:v>
      </x:c>
      <x:c r="H938" s="43" t="n">
        <x:v>3161.4240394920157</x:v>
      </x:c>
      <x:c r="I938" s="43" t="n">
        <x:v>4094</x:v>
      </x:c>
      <x:c r="J938" s="43" t="n">
        <x:v>788</x:v>
      </x:c>
      <x:c r="K938" s="43" t="n">
        <x:v>44.264783012340885</x:v>
      </x:c>
      <x:c r="L938" s="43" t="n">
        <x:v>24.780747225334522</x:v>
      </x:c>
    </x:row>
    <x:row r="939" ht="15" hidden="0" customHeight="1">
      <x:c r="A939" s="29" t="str">
        <x:v>20007</x:v>
      </x:c>
      <x:c r="B939" s="29" t="str">
        <x:v>SCA-16</x:v>
      </x:c>
      <x:c r="C939" s="44" t="n">
        <x:v>4083</x:v>
      </x:c>
      <x:c r="D939" s="44" t="n">
        <x:v>54.10171064789241</x:v>
      </x:c>
      <x:c r="E939" s="44" t="n">
        <x:v>620.6889650037231</x:v>
      </x:c>
      <x:c r="F939" s="44" t="n">
        <x:v>28.57216263453037</x:v>
      </x:c>
      <x:c r="G939" s="44" t="n">
        <x:v>64.80689997517996</x:v>
      </x:c>
      <x:c r="H939" s="44" t="n">
        <x:v>3314.8302617386744</x:v>
      </x:c>
      <x:c r="I939" s="44" t="n">
        <x:v>4083</x:v>
      </x:c>
      <x:c r="J939" s="44" t="n">
        <x:v>638</x:v>
      </x:c>
      <x:c r="K939" s="44" t="n">
        <x:v>56.81183307393432</x:v>
      </x:c>
      <x:c r="L939" s="44" t="n">
        <x:v>28.239670439403948</x:v>
      </x:c>
    </x:row>
    <x:row r="940" ht="15" hidden="0" customHeight="1">
      <x:c r="A940" s="27" t="str">
        <x:v>40053</x:v>
      </x:c>
      <x:c r="B940" s="27" t="str">
        <x:v>SCA-16</x:v>
      </x:c>
      <x:c r="C940" s="43" t="n">
        <x:v>4067</x:v>
      </x:c>
      <x:c r="D940" s="43" t="n">
        <x:v>59.45674806420524</x:v>
      </x:c>
      <x:c r="E940" s="43" t="n">
        <x:v>850.8552573257818</x:v>
      </x:c>
      <x:c r="F940" s="43" t="n">
        <x:v>41.214799358790096</x:v>
      </x:c>
      <x:c r="G940" s="43" t="n">
        <x:v>120.43930066486088</x:v>
      </x:c>
      <x:c r="H940" s="43" t="n">
        <x:v>2995.033894586362</x:v>
      </x:c>
      <x:c r="I940" s="43" t="n">
        <x:v>4067</x:v>
      </x:c>
      <x:c r="J940" s="43" t="n">
        <x:v>885</x:v>
      </x:c>
      <x:c r="K940" s="43" t="n">
        <x:v>65.21924503442109</x:v>
      </x:c>
      <x:c r="L940" s="43" t="n">
        <x:v>24.004445675630997</x:v>
      </x:c>
    </x:row>
    <x:row r="941" ht="15" hidden="0" customHeight="1">
      <x:c r="A941" s="29" t="str">
        <x:v>20185</x:v>
      </x:c>
      <x:c r="B941" s="29" t="str">
        <x:v>SCA-16</x:v>
      </x:c>
      <x:c r="C941" s="44" t="n">
        <x:v>4005</x:v>
      </x:c>
      <x:c r="D941" s="44" t="n">
        <x:v>53.69085394657102</x:v>
      </x:c>
      <x:c r="E941" s="44" t="n">
        <x:v>623.7759092081507</x:v>
      </x:c>
      <x:c r="F941" s="44" t="n">
        <x:v>28.02633146002795</x:v>
      </x:c>
      <x:c r="G941" s="44" t="n">
        <x:v>47.75238586535981</x:v>
      </x:c>
      <x:c r="H941" s="44" t="n">
        <x:v>3251.7545195198904</x:v>
      </x:c>
      <x:c r="I941" s="44" t="n">
        <x:v>4005</x:v>
      </x:c>
      <x:c r="J941" s="44" t="n">
        <x:v>629</x:v>
      </x:c>
      <x:c r="K941" s="44" t="n">
        <x:v>55.72652252292602</x:v>
      </x:c>
      <x:c r="L941" s="44" t="n">
        <x:v>27.700191062898067</x:v>
      </x:c>
    </x:row>
    <x:row r="942" ht="15" hidden="0" customHeight="1">
      <x:c r="A942" s="27" t="str">
        <x:v>20119</x:v>
      </x:c>
      <x:c r="B942" s="27" t="str">
        <x:v>SCA-16</x:v>
      </x:c>
      <x:c r="C942" s="43" t="n">
        <x:v>3852</x:v>
      </x:c>
      <x:c r="D942" s="43" t="n">
        <x:v>45.75080412264046</x:v>
      </x:c>
      <x:c r="E942" s="43" t="n">
        <x:v>458.6117425431711</x:v>
      </x:c>
      <x:c r="F942" s="43" t="n">
        <x:v>26.955662617734752</x:v>
      </x:c>
      <x:c r="G942" s="43" t="n">
        <x:v>82.34222919937206</x:v>
      </x:c>
      <x:c r="H942" s="43" t="n">
        <x:v>3238.3395615170816</x:v>
      </x:c>
      <x:c r="I942" s="43" t="n">
        <x:v>3852</x:v>
      </x:c>
      <x:c r="J942" s="43" t="n">
        <x:v>474</x:v>
      </x:c>
      <x:c r="K942" s="43" t="n">
        <x:v>53.59764413440975</x:v>
      </x:c>
      <x:c r="L942" s="43" t="n">
        <x:v>26.641981516674996</x:v>
      </x:c>
    </x:row>
    <x:row r="943" ht="15" hidden="0" customHeight="1">
      <x:c r="A943" s="29" t="str">
        <x:v>40045</x:v>
      </x:c>
      <x:c r="B943" s="29" t="str">
        <x:v>SCA-16</x:v>
      </x:c>
      <x:c r="C943" s="44" t="n">
        <x:v>3613</x:v>
      </x:c>
      <x:c r="D943" s="44" t="n">
        <x:v>51.299935361552826</x:v>
      </x:c>
      <x:c r="E943" s="44" t="n">
        <x:v>719.4026548672566</x:v>
      </x:c>
      <x:c r="F943" s="44" t="n">
        <x:v>36.613983300543055</x:v>
      </x:c>
      <x:c r="G943" s="44" t="n">
        <x:v>103.43279867256638</x:v>
      </x:c>
      <x:c r="H943" s="44" t="n">
        <x:v>2702.250627798081</x:v>
      </x:c>
      <x:c r="I943" s="44" t="n">
        <x:v>3613</x:v>
      </x:c>
      <x:c r="J943" s="44" t="n">
        <x:v>750</x:v>
      </x:c>
      <x:c r="K943" s="44" t="n">
        <x:v>57.93880804262685</x:v>
      </x:c>
      <x:c r="L943" s="44" t="n">
        <x:v>21.324824742083795</x:v>
      </x:c>
    </x:row>
    <x:row r="944" ht="15" hidden="0" customHeight="1">
      <x:c r="A944" s="27" t="str">
        <x:v>20081</x:v>
      </x:c>
      <x:c r="B944" s="27" t="str">
        <x:v>SCA-16</x:v>
      </x:c>
      <x:c r="C944" s="43" t="n">
        <x:v>3599</x:v>
      </x:c>
      <x:c r="D944" s="43" t="n">
        <x:v>42.45116265477219</x:v>
      </x:c>
      <x:c r="E944" s="43" t="n">
        <x:v>421.4167418546366</x:v>
      </x:c>
      <x:c r="F944" s="43" t="n">
        <x:v>25.18521021838717</x:v>
      </x:c>
      <x:c r="G944" s="43" t="n">
        <x:v>47.41353383458647</x:v>
      </x:c>
      <x:c r="H944" s="43" t="n">
        <x:v>3062.5333514376175</x:v>
      </x:c>
      <x:c r="I944" s="43" t="n">
        <x:v>3599</x:v>
      </x:c>
      <x:c r="J944" s="43" t="n">
        <x:v>438</x:v>
      </x:c>
      <x:c r="K944" s="43" t="n">
        <x:v>50.077341962549504</x:v>
      </x:c>
      <x:c r="L944" s="43" t="n">
        <x:v>24.892131744162334</x:v>
      </x:c>
    </x:row>
    <x:row r="945" ht="15" hidden="0" customHeight="1">
      <x:c r="A945" s="29" t="str">
        <x:v>20183</x:v>
      </x:c>
      <x:c r="B945" s="29" t="str">
        <x:v>SCA-16</x:v>
      </x:c>
      <x:c r="C945" s="44" t="n">
        <x:v>3566</x:v>
      </x:c>
      <x:c r="D945" s="44" t="n">
        <x:v>48.287620446603476</x:v>
      </x:c>
      <x:c r="E945" s="44" t="n">
        <x:v>566.9695194508009</x:v>
      </x:c>
      <x:c r="F945" s="44" t="n">
        <x:v>24.95428164455922</x:v>
      </x:c>
      <x:c r="G945" s="44" t="n">
        <x:v>81.35225972540046</x:v>
      </x:c>
      <x:c r="H945" s="44" t="n">
        <x:v>2844.4363187326358</x:v>
      </x:c>
      <x:c r="I945" s="44" t="n">
        <x:v>3566</x:v>
      </x:c>
      <x:c r="J945" s="44" t="n">
        <x:v>579</x:v>
      </x:c>
      <x:c r="K945" s="44" t="n">
        <x:v>49.61817211404599</x:v>
      </x:c>
      <x:c r="L945" s="44" t="n">
        <x:v>24.66389046948677</x:v>
      </x:c>
    </x:row>
    <x:row r="946" ht="15" hidden="0" customHeight="1">
      <x:c r="A946" s="27" t="str">
        <x:v>31181</x:v>
      </x:c>
      <x:c r="B946" s="27" t="str">
        <x:v>SCA-16</x:v>
      </x:c>
      <x:c r="C946" s="43" t="n">
        <x:v>3336</x:v>
      </x:c>
      <x:c r="D946" s="43" t="n">
        <x:v>38.76206858157025</x:v>
      </x:c>
      <x:c r="E946" s="43" t="n">
        <x:v>445.6668453105968</x:v>
      </x:c>
      <x:c r="F946" s="43" t="n">
        <x:v>15.876586073632934</x:v>
      </x:c>
      <x:c r="G946" s="43" t="n">
        <x:v>78.76690012180268</x:v>
      </x:c>
      <x:c r="H946" s="43" t="n">
        <x:v>2756.9275999123975</x:v>
      </x:c>
      <x:c r="I946" s="43" t="n">
        <x:v>3336</x:v>
      </x:c>
      <x:c r="J946" s="43" t="n">
        <x:v>457</x:v>
      </x:c>
      <x:c r="K946" s="43" t="n">
        <x:v>36.06920276726165</x:v>
      </x:c>
      <x:c r="L946" s="43" t="n">
        <x:v>20.192616693628718</x:v>
      </x:c>
    </x:row>
    <x:row r="947" ht="15" hidden="0" customHeight="1">
      <x:c r="A947" s="29" t="str">
        <x:v>20019</x:v>
      </x:c>
      <x:c r="B947" s="29" t="str">
        <x:v>SCA-16</x:v>
      </x:c>
      <x:c r="C947" s="44" t="n">
        <x:v>3321</x:v>
      </x:c>
      <x:c r="D947" s="44" t="n">
        <x:v>52.60044957913507</x:v>
      </x:c>
      <x:c r="E947" s="44" t="n">
        <x:v>711.145863937387</x:v>
      </x:c>
      <x:c r="F947" s="44" t="n">
        <x:v>23.23981192977599</x:v>
      </x:c>
      <x:c r="G947" s="44" t="n">
        <x:v>57.882149307645996</x:v>
      </x:c>
      <x:c r="H947" s="44" t="n">
        <x:v>2476.131725246056</x:v>
      </x:c>
      <x:c r="I947" s="44" t="n">
        <x:v>3321</x:v>
      </x:c>
      <x:c r="J947" s="44" t="n">
        <x:v>741</x:v>
      </x:c>
      <x:c r="K947" s="44" t="n">
        <x:v>46.209183844853264</x:v>
      </x:c>
      <x:c r="L947" s="44" t="n">
        <x:v>22.969371915077275</x:v>
      </x:c>
    </x:row>
    <x:row r="948" ht="15" hidden="0" customHeight="1">
      <x:c r="A948" s="27" t="str">
        <x:v>31125</x:v>
      </x:c>
      <x:c r="B948" s="27" t="str">
        <x:v>SCA-16</x:v>
      </x:c>
      <x:c r="C948" s="43" t="n">
        <x:v>3290</x:v>
      </x:c>
      <x:c r="D948" s="43" t="n">
        <x:v>41.193492736403364</x:v>
      </x:c>
      <x:c r="E948" s="43" t="n">
        <x:v>510.7034737165693</x:v>
      </x:c>
      <x:c r="F948" s="43" t="n">
        <x:v>15.657664323217128</x:v>
      </x:c>
      <x:c r="G948" s="43" t="n">
        <x:v>34.370427297878884</x:v>
      </x:c>
      <x:c r="H948" s="43" t="n">
        <x:v>2688.074941925931</x:v>
      </x:c>
      <x:c r="I948" s="43" t="n">
        <x:v>3290</x:v>
      </x:c>
      <x:c r="J948" s="43" t="n">
        <x:v>526</x:v>
      </x:c>
      <x:c r="K948" s="43" t="n">
        <x:v>35.571845654763436</x:v>
      </x:c>
      <x:c r="L948" s="43" t="n">
        <x:v>19.914181331546306</x:v>
      </x:c>
    </x:row>
    <x:row r="949" ht="15" hidden="0" customHeight="1">
      <x:c r="A949" s="29" t="str">
        <x:v>20141</x:v>
      </x:c>
      <x:c r="B949" s="29" t="str">
        <x:v>SCA-16</x:v>
      </x:c>
      <x:c r="C949" s="44" t="n">
        <x:v>3285</x:v>
      </x:c>
      <x:c r="D949" s="44" t="n">
        <x:v>42.15222400964164</x:v>
      </x:c>
      <x:c r="E949" s="44" t="n">
        <x:v>466.364221824687</x:v>
      </x:c>
      <x:c r="F949" s="44" t="n">
        <x:v>22.98788984923641</x:v>
      </x:c>
      <x:c r="G949" s="44" t="n">
        <x:v>50.27489564698866</x:v>
      </x:c>
      <x:c r="H949" s="44" t="n">
        <x:v>2703.2207686694464</x:v>
      </x:c>
      <x:c r="I949" s="44" t="n">
        <x:v>3285</x:v>
      </x:c>
      <x:c r="J949" s="44" t="n">
        <x:v>496</x:v>
      </x:c>
      <x:c r="K949" s="44" t="n">
        <x:v>45.70827128284943</x:v>
      </x:c>
      <x:c r="L949" s="44" t="n">
        <x:v>22.72038143361302</x:v>
      </x:c>
    </x:row>
    <x:row r="950" ht="15" hidden="0" customHeight="1">
      <x:c r="A950" s="27" t="str">
        <x:v>40129</x:v>
      </x:c>
      <x:c r="B950" s="27" t="str">
        <x:v>SCA-16</x:v>
      </x:c>
      <x:c r="C950" s="43" t="n">
        <x:v>3259</x:v>
      </x:c>
      <x:c r="D950" s="43" t="n">
        <x:v>45.627091363193095</x:v>
      </x:c>
      <x:c r="E950" s="43" t="n">
        <x:v>633.3999043062202</x:v>
      </x:c>
      <x:c r="F950" s="43" t="n">
        <x:v>33.02656284983942</x:v>
      </x:c>
      <x:c r="G950" s="43" t="n">
        <x:v>33.49700956937799</x:v>
      </x:c>
      <x:c r="H950" s="43" t="n">
        <x:v>2513.449431911369</x:v>
      </x:c>
      <x:c r="I950" s="43" t="n">
        <x:v>3259</x:v>
      </x:c>
      <x:c r="J950" s="43" t="n">
        <x:v>677</x:v>
      </x:c>
      <x:c r="K950" s="43" t="n">
        <x:v>52.261991533606675</x:v>
      </x:c>
      <x:c r="L950" s="43" t="n">
        <x:v>19.235428683767253</x:v>
      </x:c>
    </x:row>
    <x:row r="951" ht="15" hidden="0" customHeight="1">
      <x:c r="A951" s="29" t="str">
        <x:v>48129</x:v>
      </x:c>
      <x:c r="B951" s="29" t="str">
        <x:v>SCA-16</x:v>
      </x:c>
      <x:c r="C951" s="44" t="n">
        <x:v>3213</x:v>
      </x:c>
      <x:c r="D951" s="44" t="n">
        <x:v>21.607533613829453</x:v>
      </x:c>
      <x:c r="E951" s="44" t="n">
        <x:v>247.93906220095695</x:v>
      </x:c>
      <x:c r="F951" s="44" t="n">
        <x:v>27.714662646847678</x:v>
      </x:c>
      <x:c r="G951" s="44" t="n">
        <x:v>45.061244019138755</x:v>
      </x:c>
      <x:c r="H951" s="44" t="n">
        <x:v>2870.677497519227</x:v>
      </x:c>
      <x:c r="I951" s="44" t="n">
        <x:v>3213</x:v>
      </x:c>
      <x:c r="J951" s="44" t="n">
        <x:v>252</x:v>
      </x:c>
      <x:c r="K951" s="44" t="n">
        <x:v>38.99140200230393</x:v>
      </x:c>
      <x:c r="L951" s="44" t="n">
        <x:v>11.27673935545625</x:v>
      </x:c>
    </x:row>
    <x:row r="952" ht="15" hidden="0" customHeight="1">
      <x:c r="A952" s="27" t="str">
        <x:v>40059</x:v>
      </x:c>
      <x:c r="B952" s="27" t="str">
        <x:v>SCA-16</x:v>
      </x:c>
      <x:c r="C952" s="43" t="n">
        <x:v>3172</x:v>
      </x:c>
      <x:c r="D952" s="43" t="n">
        <x:v>37.227786235834216</x:v>
      </x:c>
      <x:c r="E952" s="43" t="n">
        <x:v>444.14047664442325</x:v>
      </x:c>
      <x:c r="F952" s="43" t="n">
        <x:v>32.14490867127666</x:v>
      </x:c>
      <x:c r="G952" s="43" t="n">
        <x:v>67.05052430886559</x:v>
      </x:c>
      <x:c r="H952" s="43" t="n">
        <x:v>2591.4363041396</x:v>
      </x:c>
      <x:c r="I952" s="43" t="n">
        <x:v>3172</x:v>
      </x:c>
      <x:c r="J952" s="43" t="n">
        <x:v>459</x:v>
      </x:c>
      <x:c r="K952" s="43" t="n">
        <x:v>50.86684171359324</x:v>
      </x:c>
      <x:c r="L952" s="43" t="n">
        <x:v>18.72193304231658</x:v>
      </x:c>
    </x:row>
    <x:row r="953" ht="15" hidden="0" customHeight="1">
      <x:c r="A953" s="29" t="str">
        <x:v>20207</x:v>
      </x:c>
      <x:c r="B953" s="29" t="str">
        <x:v>SCA-16</x:v>
      </x:c>
      <x:c r="C953" s="44" t="n">
        <x:v>3118</x:v>
      </x:c>
      <x:c r="D953" s="44" t="n">
        <x:v>47.99768656611045</x:v>
      </x:c>
      <x:c r="E953" s="44" t="n">
        <x:v>634.3762634496251</x:v>
      </x:c>
      <x:c r="F953" s="44" t="n">
        <x:v>21.819251308955597</x:v>
      </x:c>
      <x:c r="G953" s="44" t="n">
        <x:v>82.7469840234757</x:v>
      </x:c>
      <x:c r="H953" s="44" t="n">
        <x:v>2331.059814651833</x:v>
      </x:c>
      <x:c r="I953" s="44" t="n">
        <x:v>3118</x:v>
      </x:c>
      <x:c r="J953" s="44" t="n">
        <x:v>650</x:v>
      </x:c>
      <x:c r="K953" s="44" t="n">
        <x:v>43.384593564665</x:v>
      </x:c>
      <x:c r="L953" s="44" t="n">
        <x:v>21.565342255709407</x:v>
      </x:c>
    </x:row>
    <x:row r="954" ht="15" hidden="0" customHeight="1">
      <x:c r="A954" s="27" t="str">
        <x:v>48211</x:v>
      </x:c>
      <x:c r="B954" s="27" t="str">
        <x:v>SCA-16</x:v>
      </x:c>
      <x:c r="C954" s="43" t="n">
        <x:v>3083</x:v>
      </x:c>
      <x:c r="D954" s="43" t="n">
        <x:v>33.312559377705654</x:v>
      </x:c>
      <x:c r="E954" s="43" t="n">
        <x:v>539.8100156690692</x:v>
      </x:c>
      <x:c r="F954" s="43" t="n">
        <x:v>26.59330997206082</x:v>
      </x:c>
      <x:c r="G954" s="43" t="n">
        <x:v>101.7926982137261</x:v>
      </x:c>
      <x:c r="H954" s="43" t="n">
        <x:v>2381.4914167674383</x:v>
      </x:c>
      <x:c r="I954" s="43" t="n">
        <x:v>3083</x:v>
      </x:c>
      <x:c r="J954" s="43" t="n">
        <x:v>582</x:v>
      </x:c>
      <x:c r="K954" s="43" t="n">
        <x:v>37.41378536355525</x:v>
      </x:c>
      <x:c r="L954" s="43" t="n">
        <x:v>10.820475391494435</x:v>
      </x:c>
    </x:row>
    <x:row r="955" ht="15" hidden="0" customHeight="1">
      <x:c r="A955" s="29" t="str">
        <x:v>31083</x:v>
      </x:c>
      <x:c r="B955" s="29" t="str">
        <x:v>SCA-16</x:v>
      </x:c>
      <x:c r="C955" s="44" t="n">
        <x:v>3000</x:v>
      </x:c>
      <x:c r="D955" s="44" t="n">
        <x:v>37.074662484007604</x:v>
      </x:c>
      <x:c r="E955" s="44" t="n">
        <x:v>453.9800285306705</x:v>
      </x:c>
      <x:c r="F955" s="44" t="n">
        <x:v>14.27750546190012</x:v>
      </x:c>
      <x:c r="G955" s="44" t="n">
        <x:v>11.793152639087019</x:v>
      </x:c>
      <x:c r="H955" s="44" t="n">
        <x:v>2482.8746508843346</x:v>
      </x:c>
      <x:c r="I955" s="44" t="n">
        <x:v>3000</x:v>
      </x:c>
      <x:c r="J955" s="44" t="n">
        <x:v>442</x:v>
      </x:c>
      <x:c r="K955" s="44" t="n">
        <x:v>32.43633342379645</x:v>
      </x:c>
      <x:c r="L955" s="44" t="n">
        <x:v>18.15882796189633</x:v>
      </x:c>
    </x:row>
    <x:row r="956" ht="15" hidden="0" customHeight="1">
      <x:c r="A956" s="27" t="str">
        <x:v>48295</x:v>
      </x:c>
      <x:c r="B956" s="27" t="str">
        <x:v>SCA-16</x:v>
      </x:c>
      <x:c r="C956" s="43" t="n">
        <x:v>2955</x:v>
      </x:c>
      <x:c r="D956" s="43" t="n">
        <x:v>24.72349884242722</x:v>
      </x:c>
      <x:c r="E956" s="43" t="n">
        <x:v>344.4544312630844</x:v>
      </x:c>
      <x:c r="F956" s="43" t="n">
        <x:v>25.489208876886053</x:v>
      </x:c>
      <x:c r="G956" s="43" t="n">
        <x:v>30.750174459176552</x:v>
      </x:c>
      <x:c r="H956" s="43" t="n">
        <x:v>2529.582686558426</x:v>
      </x:c>
      <x:c r="I956" s="43" t="n">
        <x:v>2955</x:v>
      </x:c>
      <x:c r="J956" s="43" t="n">
        <x:v>348</x:v>
      </x:c>
      <x:c r="K956" s="43" t="n">
        <x:v>35.86043975001809</x:v>
      </x:c>
      <x:c r="L956" s="43" t="n">
        <x:v>10.371230873132033</x:v>
      </x:c>
    </x:row>
    <x:row r="957" ht="15" hidden="0" customHeight="1">
      <x:c r="A957" s="29" t="str">
        <x:v>31163</x:v>
      </x:c>
      <x:c r="B957" s="29" t="str">
        <x:v>SCA-16</x:v>
      </x:c>
      <x:c r="C957" s="44" t="n">
        <x:v>2924</x:v>
      </x:c>
      <x:c r="D957" s="44" t="n">
        <x:v>33.06083449852143</x:v>
      </x:c>
      <x:c r="E957" s="44" t="n">
        <x:v>368.68872427983536</x:v>
      </x:c>
      <x:c r="F957" s="44" t="n">
        <x:v>13.915808656865316</x:v>
      </x:c>
      <x:c r="G957" s="44" t="n">
        <x:v>111.18792866941016</x:v>
      </x:c>
      <x:c r="H957" s="44" t="n">
        <x:v>2397.146703895368</x:v>
      </x:c>
      <x:c r="I957" s="44" t="n">
        <x:v>2924</x:v>
      </x:c>
      <x:c r="J957" s="44" t="n">
        <x:v>383</x:v>
      </x:c>
      <x:c r="K957" s="44" t="n">
        <x:v>31.614612977060272</x:v>
      </x:c>
      <x:c r="L957" s="44" t="n">
        <x:v>17.698804320194956</x:v>
      </x:c>
    </x:row>
    <x:row r="958" ht="15" hidden="0" customHeight="1">
      <x:c r="A958" s="27" t="str">
        <x:v>20105</x:v>
      </x:c>
      <x:c r="B958" s="27" t="str">
        <x:v>SCA-16</x:v>
      </x:c>
      <x:c r="C958" s="43" t="n">
        <x:v>2861</x:v>
      </x:c>
      <x:c r="D958" s="43" t="n">
        <x:v>37.568389960693644</x:v>
      </x:c>
      <x:c r="E958" s="43" t="n">
        <x:v>426.7335140771637</x:v>
      </x:c>
      <x:c r="F958" s="43" t="n">
        <x:v>20.02080756732584</x:v>
      </x:c>
      <x:c r="G958" s="43" t="n">
        <x:v>43.076120959332634</x:v>
      </x:c>
      <x:c r="H958" s="43" t="n">
        <x:v>2333.601167435484</x:v>
      </x:c>
      <x:c r="I958" s="43" t="n">
        <x:v>2861</x:v>
      </x:c>
      <x:c r="J958" s="43" t="n">
        <x:v>447</x:v>
      </x:c>
      <x:c r="K958" s="43" t="n">
        <x:v>39.808634441471</x:v>
      </x:c>
      <x:c r="L958" s="43" t="n">
        <x:v>19.78782687414516</x:v>
      </x:c>
    </x:row>
    <x:row r="959" ht="15" hidden="0" customHeight="1">
      <x:c r="A959" s="29" t="str">
        <x:v>20165</x:v>
      </x:c>
      <x:c r="B959" s="29" t="str">
        <x:v>SCA-16</x:v>
      </x:c>
      <x:c r="C959" s="44" t="n">
        <x:v>2845</x:v>
      </x:c>
      <x:c r="D959" s="44" t="n">
        <x:v>36.392653473789856</x:v>
      </x:c>
      <x:c r="E959" s="44" t="n">
        <x:v>401.17173686042463</x:v>
      </x:c>
      <x:c r="F959" s="44" t="n">
        <x:v>19.908842198197135</x:v>
      </x:c>
      <x:c r="G959" s="44" t="n">
        <x:v>42.6557605290637</x:v>
      </x:c>
      <x:c r="H959" s="44" t="n">
        <x:v>2344.8710069385247</x:v>
      </x:c>
      <x:c r="I959" s="44" t="n">
        <x:v>2845</x:v>
      </x:c>
      <x:c r="J959" s="44" t="n">
        <x:v>422</x:v>
      </x:c>
      <x:c r="K959" s="44" t="n">
        <x:v>39.58600663613596</x:v>
      </x:c>
      <x:c r="L959" s="44" t="n">
        <x:v>19.677164437938828</x:v>
      </x:c>
    </x:row>
    <x:row r="960" ht="15" hidden="0" customHeight="1">
      <x:c r="A960" s="27" t="str">
        <x:v>20089</x:v>
      </x:c>
      <x:c r="B960" s="27" t="str">
        <x:v>SCA-16</x:v>
      </x:c>
      <x:c r="C960" s="43" t="n">
        <x:v>2830</x:v>
      </x:c>
      <x:c r="D960" s="43" t="n">
        <x:v>45.98283342649452</x:v>
      </x:c>
      <x:c r="E960" s="43" t="n">
        <x:v>633.8259605399792</x:v>
      </x:c>
      <x:c r="F960" s="43" t="n">
        <x:v>19.803874664638975</x:v>
      </x:c>
      <x:c r="G960" s="43" t="n">
        <x:v>26.067843544479057</x:v>
      </x:c>
      <x:c r="H960" s="43" t="n">
        <x:v>2104.3194878244085</x:v>
      </x:c>
      <x:c r="I960" s="43" t="n">
        <x:v>2830</x:v>
      </x:c>
      <x:c r="J960" s="43" t="n">
        <x:v>674</x:v>
      </x:c>
      <x:c r="K960" s="43" t="n">
        <x:v>39.377293068634366</x:v>
      </x:c>
      <x:c r="L960" s="43" t="n">
        <x:v>19.57341840399539</x:v>
      </x:c>
    </x:row>
    <x:row r="961" ht="15" hidden="0" customHeight="1">
      <x:c r="A961" s="29" t="str">
        <x:v>31017</x:v>
      </x:c>
      <x:c r="B961" s="29" t="str">
        <x:v>SCA-16</x:v>
      </x:c>
      <x:c r="C961" s="44" t="n">
        <x:v>2826</x:v>
      </x:c>
      <x:c r="D961" s="44" t="n">
        <x:v>34.04372357288862</x:v>
      </x:c>
      <x:c r="E961" s="44" t="n">
        <x:v>406.51458318677453</x:v>
      </x:c>
      <x:c r="F961" s="44" t="n">
        <x:v>13.449410145109914</x:v>
      </x:c>
      <x:c r="G961" s="44" t="n">
        <x:v>56.96060499472389</x:v>
      </x:c>
      <x:c r="H961" s="44" t="n">
        <x:v>2315.031678100503</x:v>
      </x:c>
      <x:c r="I961" s="44" t="n">
        <x:v>2826</x:v>
      </x:c>
      <x:c r="J961" s="44" t="n">
        <x:v>426</x:v>
      </x:c>
      <x:c r="K961" s="44" t="n">
        <x:v>30.555026085216255</x:v>
      </x:c>
      <x:c r="L961" s="44" t="n">
        <x:v>17.105615940106343</x:v>
      </x:c>
    </x:row>
    <x:row r="962" ht="15" hidden="0" customHeight="1">
      <x:c r="A962" s="27" t="str">
        <x:v>31061</x:v>
      </x:c>
      <x:c r="B962" s="27" t="str">
        <x:v>SCA-16</x:v>
      </x:c>
      <x:c r="C962" s="43" t="n">
        <x:v>2795</x:v>
      </x:c>
      <x:c r="D962" s="43" t="n">
        <x:v>37.95044968206803</x:v>
      </x:c>
      <x:c r="E962" s="43" t="n">
        <x:v>504.77939914163096</x:v>
      </x:c>
      <x:c r="F962" s="43" t="n">
        <x:v>13.301875922003608</x:v>
      </x:c>
      <x:c r="G962" s="43" t="n">
        <x:v>23.544349070100147</x:v>
      </x:c>
      <x:c r="H962" s="43" t="n">
        <x:v>2215.4239261841976</x:v>
      </x:c>
      <x:c r="I962" s="43" t="n">
        <x:v>2795</x:v>
      </x:c>
      <x:c r="J962" s="43" t="n">
        <x:v>526</x:v>
      </x:c>
      <x:c r="K962" s="43" t="n">
        <x:v>30.219850639837023</x:v>
      </x:c>
      <x:c r="L962" s="43" t="n">
        <x:v>16.917974717833413</x:v>
      </x:c>
    </x:row>
    <x:row r="963" ht="15" hidden="0" customHeight="1">
      <x:c r="A963" s="29" t="str">
        <x:v>20195</x:v>
      </x:c>
      <x:c r="B963" s="29" t="str">
        <x:v>SCA-16</x:v>
      </x:c>
      <x:c r="C963" s="44" t="n">
        <x:v>2740</x:v>
      </x:c>
      <x:c r="D963" s="44" t="n">
        <x:v>31.646543373355282</x:v>
      </x:c>
      <x:c r="E963" s="44" t="n">
        <x:v>304.69442815249266</x:v>
      </x:c>
      <x:c r="F963" s="44" t="n">
        <x:v>19.17406946329004</x:v>
      </x:c>
      <x:c r="G963" s="44" t="n">
        <x:v>41.55571847507331</x:v>
      </x:c>
      <x:c r="H963" s="44" t="n">
        <x:v>2342.9292405357887</x:v>
      </x:c>
      <x:c r="I963" s="44" t="n">
        <x:v>2740</x:v>
      </x:c>
      <x:c r="J963" s="44" t="n">
        <x:v>316</x:v>
      </x:c>
      <x:c r="K963" s="44" t="n">
        <x:v>38.1250116636248</x:v>
      </x:c>
      <x:c r="L963" s="44" t="n">
        <x:v>18.950942200334758</x:v>
      </x:c>
    </x:row>
    <x:row r="964" ht="15" hidden="0" customHeight="1">
      <x:c r="A964" s="27" t="str">
        <x:v>20047</x:v>
      </x:c>
      <x:c r="B964" s="27" t="str">
        <x:v>SCA-16</x:v>
      </x:c>
      <x:c r="C964" s="43" t="n">
        <x:v>2640</x:v>
      </x:c>
      <x:c r="D964" s="43" t="n">
        <x:v>37.12474584785295</x:v>
      </x:c>
      <x:c r="E964" s="43" t="n">
        <x:v>452.7706529713866</x:v>
      </x:c>
      <x:c r="F964" s="43" t="n">
        <x:v>18.474285906235654</x:v>
      </x:c>
      <x:c r="G964" s="43" t="n">
        <x:v>78.84959647835656</x:v>
      </x:c>
      <x:c r="H964" s="43" t="n">
        <x:v>2052.780718796168</x:v>
      </x:c>
      <x:c r="I964" s="43" t="n">
        <x:v>2640</x:v>
      </x:c>
      <x:c r="J964" s="43" t="n">
        <x:v>487</x:v>
      </x:c>
      <x:c r="K964" s="43" t="n">
        <x:v>36.73358788028082</x:v>
      </x:c>
      <x:c r="L964" s="43" t="n">
        <x:v>18.25930197404517</x:v>
      </x:c>
    </x:row>
    <x:row r="965" ht="15" hidden="0" customHeight="1">
      <x:c r="A965" s="29" t="str">
        <x:v>20063</x:v>
      </x:c>
      <x:c r="B965" s="29" t="str">
        <x:v>SCA-16</x:v>
      </x:c>
      <x:c r="C965" s="44" t="n">
        <x:v>2631</x:v>
      </x:c>
      <x:c r="D965" s="44" t="n">
        <x:v>31.214081478453068</x:v>
      </x:c>
      <x:c r="E965" s="44" t="n">
        <x:v>312.408650994575</x:v>
      </x:c>
      <x:c r="F965" s="44" t="n">
        <x:v>18.411305386100757</x:v>
      </x:c>
      <x:c r="G965" s="44" t="n">
        <x:v>17.52622061482821</x:v>
      </x:c>
      <x:c r="H965" s="44" t="n">
        <x:v>2251.439741526043</x:v>
      </x:c>
      <x:c r="I965" s="44" t="n">
        <x:v>2631</x:v>
      </x:c>
      <x:c r="J965" s="44" t="n">
        <x:v>342</x:v>
      </x:c>
      <x:c r="K965" s="44" t="n">
        <x:v>36.608359739779864</x:v>
      </x:c>
      <x:c r="L965" s="44" t="n">
        <x:v>18.197054353679107</x:v>
      </x:c>
    </x:row>
    <x:row r="966" ht="15" hidden="0" customHeight="1">
      <x:c r="A966" s="27" t="str">
        <x:v>20135</x:v>
      </x:c>
      <x:c r="B966" s="27" t="str">
        <x:v>SCA-16</x:v>
      </x:c>
      <x:c r="C966" s="43" t="n">
        <x:v>2617</x:v>
      </x:c>
      <x:c r="D966" s="43" t="n">
        <x:v>32.3435026501006</x:v>
      </x:c>
      <x:c r="E966" s="43" t="n">
        <x:v>341.83867027444916</x:v>
      </x:c>
      <x:c r="F966" s="43" t="n">
        <x:v>18.313335688113145</x:v>
      </x:c>
      <x:c r="G966" s="43" t="n">
        <x:v>41.90085040587553</x:v>
      </x:c>
      <x:c r="H966" s="43" t="n">
        <x:v>2182.6036409814615</x:v>
      </x:c>
      <x:c r="I966" s="43" t="n">
        <x:v>2617</x:v>
      </x:c>
      <x:c r="J966" s="43" t="n">
        <x:v>352</x:v>
      </x:c>
      <x:c r="K966" s="43" t="n">
        <x:v>36.41356041011171</x:v>
      </x:c>
      <x:c r="L966" s="43" t="n">
        <x:v>18.10022472199856</x:v>
      </x:c>
    </x:row>
    <x:row r="967" ht="15" hidden="0" customHeight="1">
      <x:c r="A967" s="29" t="str">
        <x:v>20017</x:v>
      </x:c>
      <x:c r="B967" s="29" t="str">
        <x:v>SCA-16</x:v>
      </x:c>
      <x:c r="C967" s="44" t="n">
        <x:v>2572</x:v>
      </x:c>
      <x:c r="D967" s="44" t="n">
        <x:v>32.978465528356836</x:v>
      </x:c>
      <x:c r="E967" s="44" t="n">
        <x:v>364.54749379652606</x:v>
      </x:c>
      <x:c r="F967" s="44" t="n">
        <x:v>17.998433087438674</x:v>
      </x:c>
      <x:c r="G967" s="44" t="n">
        <x:v>47.73200992555831</x:v>
      </x:c>
      <x:c r="H967" s="44" t="n">
        <x:v>2108.74359766212</x:v>
      </x:c>
      <x:c r="I967" s="44" t="n">
        <x:v>2572</x:v>
      </x:c>
      <x:c r="J967" s="44" t="n">
        <x:v>357</x:v>
      </x:c>
      <x:c r="K967" s="44" t="n">
        <x:v>35.78741970760692</x:v>
      </x:c>
      <x:c r="L967" s="44" t="n">
        <x:v>17.78898662016825</x:v>
      </x:c>
    </x:row>
    <x:row r="968" ht="15" hidden="0" customHeight="1">
      <x:c r="A968" s="27" t="str">
        <x:v>31133</x:v>
      </x:c>
      <x:c r="B968" s="27" t="str">
        <x:v>SCA-16</x:v>
      </x:c>
      <x:c r="C968" s="43" t="n">
        <x:v>2510</x:v>
      </x:c>
      <x:c r="D968" s="43" t="n">
        <x:v>32.06040811438029</x:v>
      </x:c>
      <x:c r="E968" s="43" t="n">
        <x:v>404.8205292702486</x:v>
      </x:c>
      <x:c r="F968" s="43" t="n">
        <x:v>11.945512903123099</x:v>
      </x:c>
      <x:c r="G968" s="43" t="n">
        <x:v>185.119286287089</x:v>
      </x:c>
      <x:c r="H968" s="43" t="n">
        <x:v>1876.054263425159</x:v>
      </x:c>
      <x:c r="I968" s="43" t="n">
        <x:v>2510</x:v>
      </x:c>
      <x:c r="J968" s="43" t="n">
        <x:v>419</x:v>
      </x:c>
      <x:c r="K968" s="43" t="n">
        <x:v>27.13839896457636</x:v>
      </x:c>
      <x:c r="L968" s="43" t="n">
        <x:v>15.192886061453262</x:v>
      </x:c>
    </x:row>
    <x:row r="969" ht="15" hidden="0" customHeight="1">
      <x:c r="A969" s="29" t="str">
        <x:v>48087</x:v>
      </x:c>
      <x:c r="B969" s="29" t="str">
        <x:v>SCA-16</x:v>
      </x:c>
      <x:c r="C969" s="44" t="n">
        <x:v>2487</x:v>
      </x:c>
      <x:c r="D969" s="44" t="n">
        <x:v>23.37772916189042</x:v>
      </x:c>
      <x:c r="E969" s="44" t="n">
        <x:v>351.57716541650217</x:v>
      </x:c>
      <x:c r="F969" s="44" t="n">
        <x:v>21.452339247653335</x:v>
      </x:c>
      <x:c r="G969" s="44" t="n">
        <x:v>23.024082116067905</x:v>
      </x:c>
      <x:c r="H969" s="44" t="n">
        <x:v>2067.568684057886</x:v>
      </x:c>
      <x:c r="I969" s="44" t="n">
        <x:v>2487</x:v>
      </x:c>
      <x:c r="J969" s="44" t="n">
        <x:v>373</x:v>
      </x:c>
      <x:c r="K969" s="44" t="n">
        <x:v>30.181019850522834</x:v>
      </x:c>
      <x:c r="L969" s="44" t="n">
        <x:v>8.728680602869497</x:v>
      </x:c>
    </x:row>
    <x:row r="970" ht="15" hidden="0" customHeight="1">
      <x:c r="A970" s="27" t="str">
        <x:v>20049</x:v>
      </x:c>
      <x:c r="B970" s="27" t="str">
        <x:v>SCA-16</x:v>
      </x:c>
      <x:c r="C970" s="43" t="n">
        <x:v>2458</x:v>
      </x:c>
      <x:c r="D970" s="43" t="n">
        <x:v>41.25868370164165</x:v>
      </x:c>
      <x:c r="E970" s="43" t="n">
        <x:v>582.1960065466449</x:v>
      </x:c>
      <x:c r="F970" s="43" t="n">
        <x:v>17.200679832396684</x:v>
      </x:c>
      <x:c r="G970" s="43" t="n">
        <x:v>100.93862520458265</x:v>
      </x:c>
      <x:c r="H970" s="43" t="n">
        <x:v>1716.4060047147343</x:v>
      </x:c>
      <x:c r="I970" s="43" t="n">
        <x:v>2458</x:v>
      </x:c>
      <x:c r="J970" s="43" t="n">
        <x:v>603</x:v>
      </x:c>
      <x:c r="K970" s="43" t="n">
        <x:v>34.2011965945948</x:v>
      </x:c>
      <x:c r="L970" s="43" t="n">
        <x:v>17.000516762198114</x:v>
      </x:c>
    </x:row>
    <x:row r="971" ht="15" hidden="0" customHeight="1">
      <x:c r="A971" s="29" t="str">
        <x:v>20097</x:v>
      </x:c>
      <x:c r="B971" s="29" t="str">
        <x:v>SCA-16</x:v>
      </x:c>
      <x:c r="C971" s="44" t="n">
        <x:v>2432</x:v>
      </x:c>
      <x:c r="D971" s="44" t="n">
        <x:v>32.59246902676708</x:v>
      </x:c>
      <x:c r="E971" s="44" t="n">
        <x:v>378.52268936170213</x:v>
      </x:c>
      <x:c r="F971" s="44" t="n">
        <x:v>17.01873610756254</x:v>
      </x:c>
      <x:c r="G971" s="44" t="n">
        <x:v>26.811914893617022</x:v>
      </x:c>
      <x:c r="H971" s="44" t="n">
        <x:v>1977.0541906103513</x:v>
      </x:c>
      <x:c r="I971" s="44" t="n">
        <x:v>2432</x:v>
      </x:c>
      <x:c r="J971" s="44" t="n">
        <x:v>381</x:v>
      </x:c>
      <x:c r="K971" s="44" t="n">
        <x:v>33.83942641092536</x:v>
      </x:c>
      <x:c r="L971" s="44" t="n">
        <x:v>16.820690303362824</x:v>
      </x:c>
    </x:row>
    <x:row r="972" ht="15" hidden="0" customHeight="1">
      <x:c r="A972" s="27" t="str">
        <x:v>20065</x:v>
      </x:c>
      <x:c r="B972" s="27" t="str">
        <x:v>SCA-16</x:v>
      </x:c>
      <x:c r="C972" s="43" t="n">
        <x:v>2371</x:v>
      </x:c>
      <x:c r="D972" s="43" t="n">
        <x:v>31.110476973145975</x:v>
      </x:c>
      <x:c r="E972" s="43" t="n">
        <x:v>353.0804929876753</x:v>
      </x:c>
      <x:c r="F972" s="43" t="n">
        <x:v>16.59186813775937</x:v>
      </x:c>
      <x:c r="G972" s="43" t="n">
        <x:v>38.864428389290275</x:v>
      </x:c>
      <x:c r="H972" s="43" t="n">
        <x:v>1931.3527335121291</x:v>
      </x:c>
      <x:c r="I972" s="43" t="n">
        <x:v>2371</x:v>
      </x:c>
      <x:c r="J972" s="43" t="n">
        <x:v>365</x:v>
      </x:c>
      <x:c r="K972" s="43" t="n">
        <x:v>32.99065790308554</x:v>
      </x:c>
      <x:c r="L972" s="43" t="n">
        <x:v>16.39878976532617</x:v>
      </x:c>
    </x:row>
    <x:row r="973" ht="15" hidden="0" customHeight="1">
      <x:c r="A973" s="29" t="str">
        <x:v>31077</x:v>
      </x:c>
      <x:c r="B973" s="29" t="str">
        <x:v>SCA-16</x:v>
      </x:c>
      <x:c r="C973" s="44" t="n">
        <x:v>2154</x:v>
      </x:c>
      <x:c r="D973" s="44" t="n">
        <x:v>28.112071625812835</x:v>
      </x:c>
      <x:c r="E973" s="44" t="n">
        <x:v>361.7767955801105</x:v>
      </x:c>
      <x:c r="F973" s="44" t="n">
        <x:v>10.251248921644287</x:v>
      </x:c>
      <x:c r="G973" s="44" t="n">
        <x:v>19.80110497237569</x:v>
      </x:c>
      <x:c r="H973" s="44" t="n">
        <x:v>1734.0587789000567</x:v>
      </x:c>
      <x:c r="I973" s="44" t="n">
        <x:v>2154</x:v>
      </x:c>
      <x:c r="J973" s="44" t="n">
        <x:v>380</x:v>
      </x:c>
      <x:c r="K973" s="44" t="n">
        <x:v>23.28928739828585</x:v>
      </x:c>
      <x:c r="L973" s="44" t="n">
        <x:v>13.038038476641564</x:v>
      </x:c>
    </x:row>
    <x:row r="974" ht="15" hidden="0" customHeight="1">
      <x:c r="A974" s="27" t="str">
        <x:v>20025</x:v>
      </x:c>
      <x:c r="B974" s="27" t="str">
        <x:v>SCA-16</x:v>
      </x:c>
      <x:c r="C974" s="43" t="n">
        <x:v>1900</x:v>
      </x:c>
      <x:c r="D974" s="43" t="n">
        <x:v>26.99860231603113</x:v>
      </x:c>
      <x:c r="E974" s="43" t="n">
        <x:v>332.5785123966942</x:v>
      </x:c>
      <x:c r="F974" s="43" t="n">
        <x:v>13.295887584033235</x:v>
      </x:c>
      <x:c r="G974" s="43" t="n">
        <x:v>25.34762396694215</x:v>
      </x:c>
      <x:c r="H974" s="43" t="n">
        <x:v>1501.7793737362995</x:v>
      </x:c>
      <x:c r="I974" s="43" t="n">
        <x:v>1900</x:v>
      </x:c>
      <x:c r="J974" s="43" t="n">
        <x:v>353</x:v>
      </x:c>
      <x:c r="K974" s="43" t="n">
        <x:v>26.43705188353544</x:v>
      </x:c>
      <x:c r="L974" s="43" t="n">
        <x:v>13.141164299502204</x:v>
      </x:c>
    </x:row>
    <x:row r="975" ht="15" hidden="0" customHeight="1">
      <x:c r="A975" s="29" t="str">
        <x:v>48011</x:v>
      </x:c>
      <x:c r="B975" s="29" t="str">
        <x:v>SCA-16</x:v>
      </x:c>
      <x:c r="C975" s="44" t="n">
        <x:v>1843</x:v>
      </x:c>
      <x:c r="D975" s="44" t="n">
        <x:v>14.835285297159619</x:v>
      </x:c>
      <x:c r="E975" s="44" t="n">
        <x:v>200.80478825522303</x:v>
      </x:c>
      <x:c r="F975" s="44" t="n">
        <x:v>15.897330612555328</x:v>
      </x:c>
      <x:c r="G975" s="44" t="n">
        <x:v>7.092038396386222</x:v>
      </x:c>
      <x:c r="H975" s="44" t="n">
        <x:v>1604.3705574386759</x:v>
      </x:c>
      <x:c r="I975" s="44" t="n">
        <x:v>1843</x:v>
      </x:c>
      <x:c r="J975" s="44" t="n">
        <x:v>201</x:v>
      </x:c>
      <x:c r="K975" s="44" t="n">
        <x:v>22.36574973241399</x:v>
      </x:c>
      <x:c r="L975" s="44" t="n">
        <x:v>6.468419119858658</x:v>
      </x:c>
    </x:row>
    <x:row r="976" ht="15" hidden="0" customHeight="1">
      <x:c r="A976" s="27" t="str">
        <x:v>31073</x:v>
      </x:c>
      <x:c r="B976" s="27" t="str">
        <x:v>SCA-16</x:v>
      </x:c>
      <x:c r="C976" s="43" t="n">
        <x:v>1803</x:v>
      </x:c>
      <x:c r="D976" s="43" t="n">
        <x:v>19.233614729913217</x:v>
      </x:c>
      <x:c r="E976" s="43" t="n">
        <x:v>199.6838189955246</x:v>
      </x:c>
      <x:c r="F976" s="43" t="n">
        <x:v>8.580780782601972</x:v>
      </x:c>
      <x:c r="G976" s="43" t="n">
        <x:v>10.173296867230235</x:v>
      </x:c>
      <x:c r="H976" s="43" t="n">
        <x:v>1565.32848862473</x:v>
      </x:c>
      <x:c r="I976" s="43" t="n">
        <x:v>1803</x:v>
      </x:c>
      <x:c r="J976" s="43" t="n">
        <x:v>232</x:v>
      </x:c>
      <x:c r="K976" s="43" t="n">
        <x:v>19.494236387701665</x:v>
      </x:c>
      <x:c r="L976" s="43" t="n">
        <x:v>10.913455605099694</x:v>
      </x:c>
    </x:row>
    <x:row r="977" ht="15" hidden="0" customHeight="1">
      <x:c r="A977" s="29" t="str">
        <x:v>31071</x:v>
      </x:c>
      <x:c r="B977" s="29" t="str">
        <x:v>SCA-16</x:v>
      </x:c>
      <x:c r="C977" s="44" t="n">
        <x:v>1710</x:v>
      </x:c>
      <x:c r="D977" s="44" t="n">
        <x:v>19.809227590454825</x:v>
      </x:c>
      <x:c r="E977" s="44" t="n">
        <x:v>227.00869565217394</x:v>
      </x:c>
      <x:c r="F977" s="44" t="n">
        <x:v>8.13817811328307</x:v>
      </x:c>
      <x:c r="G977" s="44" t="n">
        <x:v>57.7349033816425</x:v>
      </x:c>
      <x:c r="H977" s="44" t="n">
        <x:v>1397.3089952624457</x:v>
      </x:c>
      <x:c r="I977" s="44" t="n">
        <x:v>1710</x:v>
      </x:c>
      <x:c r="J977" s="44" t="n">
        <x:v>229</x:v>
      </x:c>
      <x:c r="K977" s="44" t="n">
        <x:v>18.488710051563977</x:v>
      </x:c>
      <x:c r="L977" s="44" t="n">
        <x:v>10.350531938280907</x:v>
      </x:c>
    </x:row>
    <x:row r="978" ht="15" hidden="0" customHeight="1">
      <x:c r="A978" s="27" t="str">
        <x:v>20033</x:v>
      </x:c>
      <x:c r="B978" s="27" t="str">
        <x:v>SCA-16</x:v>
      </x:c>
      <x:c r="C978" s="43" t="n">
        <x:v>1673</x:v>
      </x:c>
      <x:c r="D978" s="43" t="n">
        <x:v>26.08246715069939</x:v>
      </x:c>
      <x:c r="E978" s="43" t="n">
        <x:v>348.2718279569892</x:v>
      </x:c>
      <x:c r="F978" s="43" t="n">
        <x:v>11.70737890951979</x:v>
      </x:c>
      <x:c r="G978" s="43" t="n">
        <x:v>21.92831541218638</x:v>
      </x:c>
      <x:c r="H978" s="43" t="n">
        <x:v>1265.0100105706053</x:v>
      </x:c>
      <x:c r="I978" s="43" t="n">
        <x:v>1673</x:v>
      </x:c>
      <x:c r="J978" s="43" t="n">
        <x:v>363</x:v>
      </x:c>
      <x:c r="K978" s="43" t="n">
        <x:v>23.278519895344626</x:v>
      </x:c>
      <x:c r="L978" s="43" t="n">
        <x:v>11.571140985824837</x:v>
      </x:c>
    </x:row>
    <x:row r="979" ht="15" hidden="0" customHeight="1">
      <x:c r="A979" s="29" t="str">
        <x:v>20083</x:v>
      </x:c>
      <x:c r="B979" s="29" t="str">
        <x:v>SCA-16</x:v>
      </x:c>
      <x:c r="C979" s="44" t="n">
        <x:v>1619</x:v>
      </x:c>
      <x:c r="D979" s="44" t="n">
        <x:v>19.496146986497866</x:v>
      </x:c>
      <x:c r="E979" s="44" t="n">
        <x:v>199.16380134886575</x:v>
      </x:c>
      <x:c r="F979" s="44" t="n">
        <x:v>11.329495788710426</x:v>
      </x:c>
      <x:c r="G979" s="44" t="n">
        <x:v>58.85039852851012</x:v>
      </x:c>
      <x:c r="H979" s="44" t="n">
        <x:v>1330.1601573474159</x:v>
      </x:c>
      <x:c r="I979" s="44" t="n">
        <x:v>1619</x:v>
      </x:c>
      <x:c r="J979" s="44" t="n">
        <x:v>209</x:v>
      </x:c>
      <x:c r="K979" s="44" t="n">
        <x:v>22.527151052338883</x:v>
      </x:c>
      <x:c r="L979" s="44" t="n">
        <x:v>11.197655263628457</x:v>
      </x:c>
    </x:row>
    <x:row r="980" ht="15" hidden="0" customHeight="1">
      <x:c r="A980" s="27" t="str">
        <x:v>20101</x:v>
      </x:c>
      <x:c r="B980" s="27" t="str">
        <x:v>SCA-16</x:v>
      </x:c>
      <x:c r="C980" s="43" t="n">
        <x:v>1508</x:v>
      </x:c>
      <x:c r="D980" s="43" t="n">
        <x:v>21.265116993727123</x:v>
      </x:c>
      <x:c r="E980" s="43" t="n">
        <x:v>260.0443771507226</x:v>
      </x:c>
      <x:c r="F980" s="43" t="n">
        <x:v>10.552736040380061</x:v>
      </x:c>
      <x:c r="G980" s="43" t="n">
        <x:v>9.02408809359945</x:v>
      </x:c>
      <x:c r="H980" s="43" t="n">
        <x:v>1207.1136817215706</x:v>
      </x:c>
      <x:c r="I980" s="43" t="n">
        <x:v>1508</x:v>
      </x:c>
      <x:c r="J980" s="43" t="n">
        <x:v>261</x:v>
      </x:c>
      <x:c r="K980" s="43" t="n">
        <x:v>20.982670652827075</x:v>
      </x:c>
      <x:c r="L980" s="43" t="n">
        <x:v>10.429934612447013</x:v>
      </x:c>
    </x:row>
    <x:row r="981" ht="15" hidden="0" customHeight="1">
      <x:c r="A981" s="29" t="str">
        <x:v>48393</x:v>
      </x:c>
      <x:c r="B981" s="29" t="str">
        <x:v>SCA-16</x:v>
      </x:c>
      <x:c r="C981" s="44" t="n">
        <x:v>867</x:v>
      </x:c>
      <x:c r="D981" s="44" t="n">
        <x:v>7.002785436576106</x:v>
      </x:c>
      <x:c r="E981" s="44" t="n">
        <x:v>95.03653846153846</x:v>
      </x:c>
      <x:c r="F981" s="44" t="n">
        <x:v>7.4785597618477855</x:v>
      </x:c>
      <x:c r="G981" s="44" t="n">
        <x:v>19.48798076923077</x:v>
      </x:c>
      <x:c r="H981" s="44" t="n">
        <x:v>737.9941355708069</x:v>
      </x:c>
      <x:c r="I981" s="44" t="n">
        <x:v>867</x:v>
      </x:c>
      <x:c r="J981" s="44" t="n">
        <x:v>95</x:v>
      </x:c>
      <x:c r="K981" s="44" t="n">
        <x:v>10.521489429193123</x:v>
      </x:c>
      <x:c r="L981" s="44" t="n">
        <x:v>3.042929667345337</x:v>
      </x:c>
    </x:row>
    <x:row r="982" ht="15" hidden="0" customHeight="1">
      <x:c r="A982" s="27" t="str">
        <x:v>31183</x:v>
      </x:c>
      <x:c r="B982" s="27" t="str">
        <x:v>SCA-16</x:v>
      </x:c>
      <x:c r="C982" s="43" t="n">
        <x:v>789</x:v>
      </x:c>
      <x:c r="D982" s="43" t="n">
        <x:v>9.060777657166456</x:v>
      </x:c>
      <x:c r="E982" s="43" t="n">
        <x:v>102.8401416765053</x:v>
      </x:c>
      <x:c r="F982" s="43" t="n">
        <x:v>3.754983936479732</x:v>
      </x:c>
      <x:c r="G982" s="43" t="n">
        <x:v>12.963400236127509</x:v>
      </x:c>
      <x:c r="H982" s="43" t="n">
        <x:v>660.380696493721</x:v>
      </x:c>
      <x:c r="I982" s="43" t="n">
        <x:v>789</x:v>
      </x:c>
      <x:c r="J982" s="43" t="n">
        <x:v>115</x:v>
      </x:c>
      <x:c r="K982" s="43" t="n">
        <x:v>8.530755690458466</x:v>
      </x:c>
      <x:c r="L982" s="43" t="n">
        <x:v>4.775771753978734</x:v>
      </x:c>
    </x:row>
    <x:row r="983" ht="15" hidden="0" customHeight="1">
      <x:c r="A983" s="29" t="str">
        <x:v>31115</x:v>
      </x:c>
      <x:c r="B983" s="29" t="str">
        <x:v>SCA-16</x:v>
      </x:c>
      <x:c r="C983" s="44" t="n">
        <x:v>570</x:v>
      </x:c>
      <x:c r="D983" s="44" t="n">
        <x:v>6.05363752037276</x:v>
      </x:c>
      <x:c r="E983" s="44" t="n">
        <x:v>62.483044982698964</x:v>
      </x:c>
      <x:c r="F983" s="44" t="n">
        <x:v>2.7127260377610223</x:v>
      </x:c>
      <x:c r="G983" s="44" t="n">
        <x:v>7.086505190311419</x:v>
      </x:c>
      <x:c r="H983" s="44" t="n">
        <x:v>491.6640862688559</x:v>
      </x:c>
      <x:c r="I983" s="44" t="n">
        <x:v>570</x:v>
      </x:c>
      <x:c r="J983" s="44" t="n">
        <x:v>66</x:v>
      </x:c>
      <x:c r="K983" s="44" t="n">
        <x:v>6.162903350521325</x:v>
      </x:c>
      <x:c r="L983" s="44" t="n">
        <x:v>3.4501773127603026</x:v>
      </x:c>
    </x:row>
    <x:row r="984" ht="15" hidden="0" customHeight="1">
      <x:c r="A984" s="27" t="str">
        <x:v>31009</x:v>
      </x:c>
      <x:c r="B984" s="27" t="str">
        <x:v>SCA-16</x:v>
      </x:c>
      <x:c r="C984" s="43" t="n">
        <x:v>458</x:v>
      </x:c>
      <x:c r="D984" s="43" t="n">
        <x:v>6.3754704843313394</x:v>
      </x:c>
      <x:c r="E984" s="43" t="n">
        <x:v>86.47734597156398</x:v>
      </x:c>
      <x:c r="F984" s="43" t="n">
        <x:v>2.179699167183418</x:v>
      </x:c>
      <x:c r="G984" s="43" t="n">
        <x:v>5.6232227488151665</x:v>
      </x:c>
      <x:c r="H984" s="43" t="n">
        <x:v>357.34426162810615</x:v>
      </x:c>
      <x:c r="I984" s="43" t="n">
        <x:v>458</x:v>
      </x:c>
      <x:c r="J984" s="43" t="n">
        <x:v>83</x:v>
      </x:c>
      <x:c r="K984" s="43" t="n">
        <x:v>4.951946902699591</x:v>
      </x:c>
      <x:c r="L984" s="43" t="n">
        <x:v>2.772247735516173</x:v>
      </x:c>
    </x:row>
    <x:row r="985" ht="15" hidden="0" customHeight="1">
      <x:c r="A985" s="29" t="str">
        <x:v>48201</x:v>
      </x:c>
      <x:c r="B985" s="29" t="str">
        <x:v>SCA-17</x:v>
      </x:c>
      <x:c r="C985" s="44" t="n">
        <x:v>5045026</x:v>
      </x:c>
      <x:c r="D985" s="44" t="n">
        <x:v>39836.80718781479</x:v>
      </x:c>
      <x:c r="E985" s="44" t="n">
        <x:v>531123.9458520926</x:v>
      </x:c>
      <x:c r="F985" s="44" t="n">
        <x:v>43517.333842071384</x:v>
      </x:c>
      <x:c r="G985" s="44" t="n">
        <x:v>207029.10663864738</x:v>
      </x:c>
      <x:c r="H985" s="44" t="n">
        <x:v>4223518.806479374</x:v>
      </x:c>
      <x:c r="I985" s="44" t="n">
        <x:v>5045026</x:v>
      </x:c>
      <x:c r="J985" s="44" t="n">
        <x:v>527535</x:v>
      </x:c>
      <x:c r="K985" s="44" t="n">
        <x:v>61223.976619382316</x:v>
      </x:c>
      <x:c r="L985" s="44" t="n">
        <x:v>17706.64277731093</x:v>
      </x:c>
    </x:row>
    <x:row r="986" ht="15" hidden="0" customHeight="1">
      <x:c r="A986" s="27" t="str">
        <x:v>48157</x:v>
      </x:c>
      <x:c r="B986" s="27" t="str">
        <x:v>SCA-17</x:v>
      </x:c>
      <x:c r="C986" s="43" t="n">
        <x:v>975191</x:v>
      </x:c>
      <x:c r="D986" s="43" t="n">
        <x:v>6625.823709362884</x:v>
      </x:c>
      <x:c r="E986" s="43" t="n">
        <x:v>76876.1669422686</x:v>
      </x:c>
      <x:c r="F986" s="43" t="n">
        <x:v>8411.792586754445</x:v>
      </x:c>
      <x:c r="G986" s="43" t="n">
        <x:v>19847.39339469495</x:v>
      </x:c>
      <x:c r="H986" s="43" t="n">
        <x:v>863429.8233669192</x:v>
      </x:c>
      <x:c r="I986" s="43" t="n">
        <x:v>975191</x:v>
      </x:c>
      <x:c r="J986" s="43" t="n">
        <x:v>72943</x:v>
      </x:c>
      <x:c r="K986" s="43" t="n">
        <x:v>11834.442673522804</x:v>
      </x:c>
      <x:c r="L986" s="43" t="n">
        <x:v>3422.6500867683585</x:v>
      </x:c>
    </x:row>
    <x:row r="987" ht="15" hidden="0" customHeight="1">
      <x:c r="A987" s="29" t="str">
        <x:v>48339</x:v>
      </x:c>
      <x:c r="B987" s="29" t="str">
        <x:v>SCA-17</x:v>
      </x:c>
      <x:c r="C987" s="44" t="n">
        <x:v>781194</x:v>
      </x:c>
      <x:c r="D987" s="44" t="n">
        <x:v>6017.213240916246</x:v>
      </x:c>
      <x:c r="E987" s="44" t="n">
        <x:v>78610.5323549401</x:v>
      </x:c>
      <x:c r="F987" s="44" t="n">
        <x:v>6738.415241749619</x:v>
      </x:c>
      <x:c r="G987" s="44" t="n">
        <x:v>13954.489162616532</x:v>
      </x:c>
      <x:c r="H987" s="44" t="n">
        <x:v>675873.3499997775</x:v>
      </x:c>
      <x:c r="I987" s="44" t="n">
        <x:v>781194</x:v>
      </x:c>
      <x:c r="J987" s="44" t="n">
        <x:v>71410</x:v>
      </x:c>
      <x:c r="K987" s="44" t="n">
        <x:v>9480.18963454336</x:v>
      </x:c>
      <x:c r="L987" s="44" t="n">
        <x:v>2741.7743927937413</x:v>
      </x:c>
    </x:row>
    <x:row r="988" ht="15" hidden="0" customHeight="1">
      <x:c r="A988" s="27" t="str">
        <x:v>22033</x:v>
      </x:c>
      <x:c r="B988" s="27" t="str">
        <x:v>SCA-17</x:v>
      </x:c>
      <x:c r="C988" s="43" t="n">
        <x:v>456180</x:v>
      </x:c>
      <x:c r="D988" s="43" t="n">
        <x:v>5010.536439598193</x:v>
      </x:c>
      <x:c r="E988" s="43" t="n">
        <x:v>62897.1511346556</x:v>
      </x:c>
      <x:c r="F988" s="43" t="n">
        <x:v>5286.866259276694</x:v>
      </x:c>
      <x:c r="G988" s="43" t="n">
        <x:v>21219.741534340286</x:v>
      </x:c>
      <x:c r="H988" s="43" t="n">
        <x:v>361765.70463212923</x:v>
      </x:c>
      <x:c r="I988" s="43" t="n">
        <x:v>456180</x:v>
      </x:c>
      <x:c r="J988" s="43" t="n">
        <x:v>64498</x:v>
      </x:c>
      <x:c r="K988" s="43" t="n">
        <x:v>7676.688068264238</x:v>
      </x:c>
      <x:c r="L988" s="43" t="n">
        <x:v>2389.8218089875436</x:v>
      </x:c>
    </x:row>
    <x:row r="989" ht="15" hidden="0" customHeight="1">
      <x:c r="A989" s="29" t="str">
        <x:v>22051</x:v>
      </x:c>
      <x:c r="B989" s="29" t="str">
        <x:v>SCA-17</x:v>
      </x:c>
      <x:c r="C989" s="44" t="n">
        <x:v>431398</x:v>
      </x:c>
      <x:c r="D989" s="44" t="n">
        <x:v>5097.195669318878</x:v>
      </x:c>
      <x:c r="E989" s="44" t="n">
        <x:v>68092.82502571496</x:v>
      </x:c>
      <x:c r="F989" s="44" t="n">
        <x:v>4999.657000568739</x:v>
      </x:c>
      <x:c r="G989" s="44" t="n">
        <x:v>17533.413995875304</x:v>
      </x:c>
      <x:c r="H989" s="44" t="n">
        <x:v>335674.90830852214</x:v>
      </x:c>
      <x:c r="I989" s="44" t="n">
        <x:v>431398</x:v>
      </x:c>
      <x:c r="J989" s="44" t="n">
        <x:v>70237</x:v>
      </x:c>
      <x:c r="K989" s="44" t="n">
        <x:v>7259.651627149493</x:v>
      </x:c>
      <x:c r="L989" s="44" t="n">
        <x:v>2259.994626580754</x:v>
      </x:c>
    </x:row>
    <x:row r="990" ht="15" hidden="0" customHeight="1">
      <x:c r="A990" s="27" t="str">
        <x:v>48039</x:v>
      </x:c>
      <x:c r="B990" s="27" t="str">
        <x:v>SCA-17</x:v>
      </x:c>
      <x:c r="C990" s="43" t="n">
        <x:v>419080</x:v>
      </x:c>
      <x:c r="D990" s="43" t="n">
        <x:v>3427.607191627616</x:v>
      </x:c>
      <x:c r="E990" s="43" t="n">
        <x:v>46962.06145744107</x:v>
      </x:c>
      <x:c r="F990" s="43" t="n">
        <x:v>3614.8959919206113</x:v>
      </x:c>
      <x:c r="G990" s="43" t="n">
        <x:v>7361.180022841916</x:v>
      </x:c>
      <x:c r="H990" s="43" t="n">
        <x:v>357714.2553361688</x:v>
      </x:c>
      <x:c r="I990" s="43" t="n">
        <x:v>419080</x:v>
      </x:c>
      <x:c r="J990" s="43" t="n">
        <x:v>44153</x:v>
      </x:c>
      <x:c r="K990" s="43" t="n">
        <x:v>5085.750622821516</x:v>
      </x:c>
      <x:c r="L990" s="43" t="n">
        <x:v>1470.8546309009043</x:v>
      </x:c>
    </x:row>
    <x:row r="991" ht="15" hidden="0" customHeight="1">
      <x:c r="A991" s="29" t="str">
        <x:v>48167</x:v>
      </x:c>
      <x:c r="B991" s="29" t="str">
        <x:v>SCA-17</x:v>
      </x:c>
      <x:c r="C991" s="44" t="n">
        <x:v>372207</x:v>
      </x:c>
      <x:c r="D991" s="44" t="n">
        <x:v>3334.4305072077777</x:v>
      </x:c>
      <x:c r="E991" s="44" t="n">
        <x:v>48674.09071434013</x:v>
      </x:c>
      <x:c r="F991" s="44" t="n">
        <x:v>3210.579346341498</x:v>
      </x:c>
      <x:c r="G991" s="44" t="n">
        <x:v>10515.653131533727</x:v>
      </x:c>
      <x:c r="H991" s="44" t="n">
        <x:v>306472.24630057684</x:v>
      </x:c>
      <x:c r="I991" s="44" t="n">
        <x:v>372207</x:v>
      </x:c>
      <x:c r="J991" s="44" t="n">
        <x:v>48278</x:v>
      </x:c>
      <x:c r="K991" s="44" t="n">
        <x:v>4516.922740451771</x:v>
      </x:c>
      <x:c r="L991" s="44" t="n">
        <x:v>1306.3433941102721</x:v>
      </x:c>
    </x:row>
    <x:row r="992" ht="15" hidden="0" customHeight="1">
      <x:c r="A992" s="27" t="str">
        <x:v>22071</x:v>
      </x:c>
      <x:c r="B992" s="27" t="str">
        <x:v>SCA-17</x:v>
      </x:c>
      <x:c r="C992" s="43" t="n">
        <x:v>362154</x:v>
      </x:c>
      <x:c r="D992" s="43" t="n">
        <x:v>3990.2476521910276</x:v>
      </x:c>
      <x:c r="E992" s="43" t="n">
        <x:v>50232.15291671329</x:v>
      </x:c>
      <x:c r="F992" s="43" t="n">
        <x:v>4197.1584972205965</x:v>
      </x:c>
      <x:c r="G992" s="43" t="n">
        <x:v>34701.045749957004</x:v>
      </x:c>
      <x:c r="H992" s="43" t="n">
        <x:v>269033.39518391807</x:v>
      </x:c>
      <x:c r="I992" s="43" t="n">
        <x:v>362154</x:v>
      </x:c>
      <x:c r="J992" s="43" t="n">
        <x:v>52933</x:v>
      </x:c>
      <x:c r="K992" s="43" t="n">
        <x:v>6094.399777881903</x:v>
      </x:c>
      <x:c r="L992" s="43" t="n">
        <x:v>1897.2412806613065</x:v>
      </x:c>
    </x:row>
    <x:row r="993" ht="15" hidden="0" customHeight="1">
      <x:c r="A993" s="29" t="str">
        <x:v>22055</x:v>
      </x:c>
      <x:c r="B993" s="29" t="str">
        <x:v>SCA-17</x:v>
      </x:c>
      <x:c r="C993" s="44" t="n">
        <x:v>257949</x:v>
      </x:c>
      <x:c r="D993" s="44" t="n">
        <x:v>2637.3557948440657</x:v>
      </x:c>
      <x:c r="E993" s="44" t="n">
        <x:v>30864.49142104107</x:v>
      </x:c>
      <x:c r="F993" s="44" t="n">
        <x:v>2989.4819253675396</x:v>
      </x:c>
      <x:c r="G993" s="44" t="n">
        <x:v>8882.725492349366</x:v>
      </x:c>
      <x:c r="H993" s="44" t="n">
        <x:v>212574.94536639797</x:v>
      </x:c>
      <x:c r="I993" s="44" t="n">
        <x:v>257949</x:v>
      </x:c>
      <x:c r="J993" s="44" t="n">
        <x:v>30644</x:v>
      </x:c>
      <x:c r="K993" s="44" t="n">
        <x:v>4340.817244334894</x:v>
      </x:c>
      <x:c r="L993" s="44" t="n">
        <x:v>1351.3353189673546</x:v>
      </x:c>
    </x:row>
    <x:row r="994" ht="15" hidden="0" customHeight="1">
      <x:c r="A994" s="27" t="str">
        <x:v>48245</x:v>
      </x:c>
      <x:c r="B994" s="27" t="str">
        <x:v>SCA-17</x:v>
      </x:c>
      <x:c r="C994" s="43" t="n">
        <x:v>254321</x:v>
      </x:c>
      <x:c r="D994" s="43" t="n">
        <x:v>2421.111909331312</x:v>
      </x:c>
      <x:c r="E994" s="43" t="n">
        <x:v>36684.37673249311</x:v>
      </x:c>
      <x:c r="F994" s="43" t="n">
        <x:v>2193.719489265157</x:v>
      </x:c>
      <x:c r="G994" s="43" t="n">
        <x:v>11194.121425590518</x:v>
      </x:c>
      <x:c r="H994" s="43" t="n">
        <x:v>201827.6704433199</x:v>
      </x:c>
      <x:c r="I994" s="43" t="n">
        <x:v>254321</x:v>
      </x:c>
      <x:c r="J994" s="43" t="n">
        <x:v>36004</x:v>
      </x:c>
      <x:c r="K994" s="43" t="n">
        <x:v>3086.3157014092553</x:v>
      </x:c>
      <x:c r="L994" s="43" t="n">
        <x:v>892.5962121440987</x:v>
      </x:c>
    </x:row>
    <x:row r="995" ht="15" hidden="0" customHeight="1">
      <x:c r="A995" s="29" t="str">
        <x:v>48041</x:v>
      </x:c>
      <x:c r="B995" s="29" t="str">
        <x:v>SCA-17</x:v>
      </x:c>
      <x:c r="C995" s="44" t="n">
        <x:v>249088</x:v>
      </x:c>
      <x:c r="D995" s="44" t="n">
        <x:v>1898.2078139969894</x:v>
      </x:c>
      <x:c r="E995" s="44" t="n">
        <x:v>24575.471550330087</x:v>
      </x:c>
      <x:c r="F995" s="44" t="n">
        <x:v>2148.5807312100824</x:v>
      </x:c>
      <x:c r="G995" s="44" t="n">
        <x:v>8199.760176045269</x:v>
      </x:c>
      <x:c r="H995" s="44" t="n">
        <x:v>212265.97972841756</x:v>
      </x:c>
      <x:c r="I995" s="44" t="n">
        <x:v>249088</x:v>
      </x:c>
      <x:c r="J995" s="44" t="n">
        <x:v>24519</x:v>
      </x:c>
      <x:c r="K995" s="44" t="n">
        <x:v>3022.810563943318</x:v>
      </x:c>
      <x:c r="L995" s="44" t="n">
        <x:v>874.2298327332358</x:v>
      </x:c>
    </x:row>
    <x:row r="996" ht="15" hidden="0" customHeight="1">
      <x:c r="A996" s="27" t="str">
        <x:v>22019</x:v>
      </x:c>
      <x:c r="B996" s="27" t="str">
        <x:v>SCA-17</x:v>
      </x:c>
      <x:c r="C996" s="43" t="n">
        <x:v>208466</x:v>
      </x:c>
      <x:c r="D996" s="43" t="n">
        <x:v>2303.2220183171376</x:v>
      </x:c>
      <x:c r="E996" s="43" t="n">
        <x:v>29066.801372274866</x:v>
      </x:c>
      <x:c r="F996" s="43" t="n">
        <x:v>2416.0021517961663</x:v>
      </x:c>
      <x:c r="G996" s="43" t="n">
        <x:v>8639.47136628261</x:v>
      </x:c>
      <x:c r="H996" s="43" t="n">
        <x:v>166040.5030913292</x:v>
      </x:c>
      <x:c r="I996" s="43" t="n">
        <x:v>208466</x:v>
      </x:c>
      <x:c r="J996" s="43" t="n">
        <x:v>29813</x:v>
      </x:c>
      <x:c r="K996" s="43" t="n">
        <x:v>3508.107446268518</x:v>
      </x:c>
      <x:c r="L996" s="43" t="n">
        <x:v>1092.1052944723515</x:v>
      </x:c>
    </x:row>
    <x:row r="997" ht="15" hidden="0" customHeight="1">
      <x:c r="A997" s="29" t="str">
        <x:v>22063</x:v>
      </x:c>
      <x:c r="B997" s="29" t="str">
        <x:v>SCA-17</x:v>
      </x:c>
      <x:c r="C997" s="44" t="n">
        <x:v>155036</x:v>
      </x:c>
      <x:c r="D997" s="44" t="n">
        <x:v>1721.5926373613086</x:v>
      </x:c>
      <x:c r="E997" s="44" t="n">
        <x:v>21825.474961635613</x:v>
      </x:c>
      <x:c r="F997" s="44" t="n">
        <x:v>1796.7788973063737</x:v>
      </x:c>
      <x:c r="G997" s="44" t="n">
        <x:v>3047.766239336606</x:v>
      </x:c>
      <x:c r="H997" s="44" t="n">
        <x:v>126644.3872643601</x:v>
      </x:c>
      <x:c r="I997" s="44" t="n">
        <x:v>155036</x:v>
      </x:c>
      <x:c r="J997" s="44" t="n">
        <x:v>21539</x:v>
      </x:c>
      <x:c r="K997" s="44" t="n">
        <x:v>2608.9767445995317</x:v>
      </x:c>
      <x:c r="L997" s="44" t="n">
        <x:v>812.197847293158</x:v>
      </x:c>
    </x:row>
    <x:row r="998" ht="15" hidden="0" customHeight="1">
      <x:c r="A998" s="27" t="str">
        <x:v>22105</x:v>
      </x:c>
      <x:c r="B998" s="27" t="str">
        <x:v>SCA-17</x:v>
      </x:c>
      <x:c r="C998" s="43" t="n">
        <x:v>141346</x:v>
      </x:c>
      <x:c r="D998" s="43" t="n">
        <x:v>1938.9672418983769</x:v>
      </x:c>
      <x:c r="E998" s="43" t="n">
        <x:v>28763.715533134196</x:v>
      </x:c>
      <x:c r="F998" s="43" t="n">
        <x:v>1638.1195981492472</x:v>
      </x:c>
      <x:c r="G998" s="43" t="n">
        <x:v>4351.458996201645</x:v>
      </x:c>
      <x:c r="H998" s="43" t="n">
        <x:v>104653.73863061653</x:v>
      </x:c>
      <x:c r="I998" s="43" t="n">
        <x:v>141346</x:v>
      </x:c>
      <x:c r="J998" s="43" t="n">
        <x:v>28741</x:v>
      </x:c>
      <x:c r="K998" s="43" t="n">
        <x:v>2378.5986928336993</x:v>
      </x:c>
      <x:c r="L998" s="43" t="n">
        <x:v>740.4790946844521</x:v>
      </x:c>
    </x:row>
    <x:row r="999" ht="15" hidden="0" customHeight="1">
      <x:c r="A999" s="29" t="str">
        <x:v>22005</x:v>
      </x:c>
      <x:c r="B999" s="29" t="str">
        <x:v>SCA-17</x:v>
      </x:c>
      <x:c r="C999" s="44" t="n">
        <x:v>135105</x:v>
      </x:c>
      <x:c r="D999" s="44" t="n">
        <x:v>1364.0234397033717</x:v>
      </x:c>
      <x:c r="E999" s="44" t="n">
        <x:v>15749.748111041536</x:v>
      </x:c>
      <x:c r="F999" s="44" t="n">
        <x:v>1565.789964399092</x:v>
      </x:c>
      <x:c r="G999" s="44" t="n">
        <x:v>4150.358125188432</x:v>
      </x:c>
      <x:c r="H999" s="44" t="n">
        <x:v>112275.08035966758</x:v>
      </x:c>
      <x:c r="I999" s="44" t="n">
        <x:v>135105</x:v>
      </x:c>
      <x:c r="J999" s="44" t="n">
        <x:v>15708</x:v>
      </x:c>
      <x:c r="K999" s="44" t="n">
        <x:v>2273.573899475733</x:v>
      </x:c>
      <x:c r="L999" s="44" t="n">
        <x:v>707.783935076641</x:v>
      </x:c>
    </x:row>
    <x:row r="1000" ht="15" hidden="0" customHeight="1">
      <x:c r="A1000" s="27" t="str">
        <x:v>22079</x:v>
      </x:c>
      <x:c r="B1000" s="27" t="str">
        <x:v>SCA-17</x:v>
      </x:c>
      <x:c r="C1000" s="43" t="n">
        <x:v>125877</x:v>
      </x:c>
      <x:c r="D1000" s="43" t="n">
        <x:v>1593.14580657517</x:v>
      </x:c>
      <x:c r="E1000" s="43" t="n">
        <x:v>22408.9256448</x:v>
      </x:c>
      <x:c r="F1000" s="43" t="n">
        <x:v>1458.8427027028201</x:v>
      </x:c>
      <x:c r="G1000" s="43" t="n">
        <x:v>6017.969279999999</x:v>
      </x:c>
      <x:c r="H1000" s="43" t="n">
        <x:v>94398.11656592201</x:v>
      </x:c>
      <x:c r="I1000" s="43" t="n">
        <x:v>125877</x:v>
      </x:c>
      <x:c r="J1000" s="43" t="n">
        <x:v>23180</x:v>
      </x:c>
      <x:c r="K1000" s="43" t="n">
        <x:v>2118.28327407799</x:v>
      </x:c>
      <x:c r="L1000" s="43" t="n">
        <x:v>659.44057137517</x:v>
      </x:c>
    </x:row>
    <x:row r="1001" ht="15" hidden="0" customHeight="1">
      <x:c r="A1001" s="29" t="str">
        <x:v>48291</x:v>
      </x:c>
      <x:c r="B1001" s="29" t="str">
        <x:v>SCA-17</x:v>
      </x:c>
      <x:c r="C1001" s="44" t="n">
        <x:v>121364</x:v>
      </x:c>
      <x:c r="D1001" s="44" t="n">
        <x:v>1110.9769092198776</x:v>
      </x:c>
      <x:c r="E1001" s="44" t="n">
        <x:v>16440.549872551812</x:v>
      </x:c>
      <x:c r="F1001" s="44" t="n">
        <x:v>1046.8603540217932</x:v>
      </x:c>
      <x:c r="G1001" s="44" t="n">
        <x:v>2157.963221222363</x:v>
      </x:c>
      <x:c r="H1001" s="44" t="n">
        <x:v>100607.64964298415</x:v>
      </x:c>
      <x:c r="I1001" s="44" t="n">
        <x:v>121364</x:v>
      </x:c>
      <x:c r="J1001" s="44" t="n">
        <x:v>13862</x:v>
      </x:c>
      <x:c r="K1001" s="44" t="n">
        <x:v>1472.814351885345</x:v>
      </x:c>
      <x:c r="L1001" s="44" t="n">
        <x:v>425.95399786355193</x:v>
      </x:c>
    </x:row>
    <x:row r="1002" ht="15" hidden="0" customHeight="1">
      <x:c r="A1002" s="27" t="str">
        <x:v>22109</x:v>
      </x:c>
      <x:c r="B1002" s="27" t="str">
        <x:v>SCA-17</x:v>
      </x:c>
      <x:c r="C1002" s="43" t="n">
        <x:v>104163</x:v>
      </x:c>
      <x:c r="D1002" s="43" t="n">
        <x:v>1248.385907476348</x:v>
      </x:c>
      <x:c r="E1002" s="43" t="n">
        <x:v>16864.799378297557</x:v>
      </x:c>
      <x:c r="F1002" s="43" t="n">
        <x:v>1207.1898157855194</x:v>
      </x:c>
      <x:c r="G1002" s="43" t="n">
        <x:v>4158.808713167368</x:v>
      </x:c>
      <x:c r="H1002" s="43" t="n">
        <x:v>80683.8161852732</x:v>
      </x:c>
      <x:c r="I1002" s="43" t="n">
        <x:v>104163</x:v>
      </x:c>
      <x:c r="J1002" s="43" t="n">
        <x:v>17709</x:v>
      </x:c>
      <x:c r="K1002" s="43" t="n">
        <x:v>1752.8757491661356</x:v>
      </x:c>
      <x:c r="L1002" s="43" t="n">
        <x:v>545.6859333806162</x:v>
      </x:c>
    </x:row>
    <x:row r="1003" ht="15" hidden="0" customHeight="1">
      <x:c r="A1003" s="29" t="str">
        <x:v>22057</x:v>
      </x:c>
      <x:c r="B1003" s="29" t="str">
        <x:v>SCA-17</x:v>
      </x:c>
      <x:c r="C1003" s="44" t="n">
        <x:v>95505</x:v>
      </x:c>
      <x:c r="D1003" s="44" t="n">
        <x:v>1107.098640602535</x:v>
      </x:c>
      <x:c r="E1003" s="44" t="n">
        <x:v>14562.479337246295</x:v>
      </x:c>
      <x:c r="F1003" s="44" t="n">
        <x:v>1106.848529291553</x:v>
      </x:c>
      <x:c r="G1003" s="44" t="n">
        <x:v>3381.0748117892877</x:v>
      </x:c>
      <x:c r="H1003" s="44" t="n">
        <x:v>75347.49868107033</x:v>
      </x:c>
      <x:c r="I1003" s="44" t="n">
        <x:v>95505</x:v>
      </x:c>
      <x:c r="J1003" s="44" t="n">
        <x:v>15127</x:v>
      </x:c>
      <x:c r="K1003" s="44" t="n">
        <x:v>1607.1771975088254</x:v>
      </x:c>
      <x:c r="L1003" s="44" t="n">
        <x:v>500.3286682172725</x:v>
      </x:c>
    </x:row>
    <x:row r="1004" ht="15" hidden="0" customHeight="1">
      <x:c r="A1004" s="27" t="str">
        <x:v>48005</x:v>
      </x:c>
      <x:c r="B1004" s="27" t="str">
        <x:v>SCA-17</x:v>
      </x:c>
      <x:c r="C1004" s="43" t="n">
        <x:v>88154</x:v>
      </x:c>
      <x:c r="D1004" s="43" t="n">
        <x:v>1012.1872819571432</x:v>
      </x:c>
      <x:c r="E1004" s="43" t="n">
        <x:v>16866.98827852408</x:v>
      </x:c>
      <x:c r="F1004" s="43" t="n">
        <x:v>760.3978745627792</x:v>
      </x:c>
      <x:c r="G1004" s="43" t="n">
        <x:v>2381.2586144189595</x:v>
      </x:c>
      <x:c r="H1004" s="43" t="n">
        <x:v>67133.16795053704</x:v>
      </x:c>
      <x:c r="I1004" s="43" t="n">
        <x:v>88154</x:v>
      </x:c>
      <x:c r="J1004" s="43" t="n">
        <x:v>16988</x:v>
      </x:c>
      <x:c r="K1004" s="43" t="n">
        <x:v>1069.793978248086</x:v>
      </x:c>
      <x:c r="L1004" s="43" t="n">
        <x:v>309.3961036853067</x:v>
      </x:c>
    </x:row>
    <x:row r="1005" ht="15" hidden="0" customHeight="1">
      <x:c r="A1005" s="29" t="str">
        <x:v>48361</x:v>
      </x:c>
      <x:c r="B1005" s="29" t="str">
        <x:v>SCA-17</x:v>
      </x:c>
      <x:c r="C1005" s="44" t="n">
        <x:v>86266</x:v>
      </x:c>
      <x:c r="D1005" s="44" t="n">
        <x:v>868.7470895382212</x:v>
      </x:c>
      <x:c r="E1005" s="44" t="n">
        <x:v>13583.456219970238</x:v>
      </x:c>
      <x:c r="F1005" s="44" t="n">
        <x:v>744.1123834089517</x:v>
      </x:c>
      <x:c r="G1005" s="44" t="n">
        <x:v>2183.577209269364</x:v>
      </x:c>
      <x:c r="H1005" s="44" t="n">
        <x:v>68886.10709781323</x:v>
      </x:c>
      <x:c r="I1005" s="44" t="n">
        <x:v>86266</x:v>
      </x:c>
      <x:c r="J1005" s="44" t="n">
        <x:v>13887</x:v>
      </x:c>
      <x:c r="K1005" s="44" t="n">
        <x:v>1046.882130448413</x:v>
      </x:c>
      <x:c r="L1005" s="44" t="n">
        <x:v>302.7697470394612</x:v>
      </x:c>
    </x:row>
    <x:row r="1006" ht="15" hidden="0" customHeight="1">
      <x:c r="A1006" s="27" t="str">
        <x:v>48471</x:v>
      </x:c>
      <x:c r="B1006" s="27" t="str">
        <x:v>SCA-17</x:v>
      </x:c>
      <x:c r="C1006" s="43" t="n">
        <x:v>83842</x:v>
      </x:c>
      <x:c r="D1006" s="43" t="n">
        <x:v>777.2599585799595</x:v>
      </x:c>
      <x:c r="E1006" s="43" t="n">
        <x:v>11591.946710567669</x:v>
      </x:c>
      <x:c r="F1006" s="43" t="n">
        <x:v>723.2034689190796</x:v>
      </x:c>
      <x:c r="G1006" s="43" t="n">
        <x:v>3377.268165287277</x:v>
      </x:c>
      <x:c r="H1006" s="43" t="n">
        <x:v>67372.32169664602</x:v>
      </x:c>
      <x:c r="I1006" s="43" t="n">
        <x:v>83842</x:v>
      </x:c>
      <x:c r="J1006" s="43" t="n">
        <x:v>9623</x:v>
      </x:c>
      <x:c r="K1006" s="43" t="n">
        <x:v>1017.4656478920529</x:v>
      </x:c>
      <x:c r="L1006" s="43" t="n">
        <x:v>294.26217897297323</x:v>
      </x:c>
    </x:row>
    <x:row r="1007" ht="15" hidden="0" customHeight="1">
      <x:c r="A1007" s="29" t="str">
        <x:v>22097</x:v>
      </x:c>
      <x:c r="B1007" s="29" t="str">
        <x:v>SCA-17</x:v>
      </x:c>
      <x:c r="C1007" s="44" t="n">
        <x:v>80765</x:v>
      </x:c>
      <x:c r="D1007" s="44" t="n">
        <x:v>946.4033400137542</x:v>
      </x:c>
      <x:c r="E1007" s="44" t="n">
        <x:v>12559.059173725922</x:v>
      </x:c>
      <x:c r="F1007" s="44" t="n">
        <x:v>936.0203284459692</x:v>
      </x:c>
      <x:c r="G1007" s="44" t="n">
        <x:v>4477.957315787515</x:v>
      </x:c>
      <x:c r="H1007" s="44" t="n">
        <x:v>61845.55984202684</x:v>
      </x:c>
      <x:c r="I1007" s="44" t="n">
        <x:v>80765</x:v>
      </x:c>
      <x:c r="J1007" s="44" t="n">
        <x:v>13060</x:v>
      </x:c>
      <x:c r="K1007" s="44" t="n">
        <x:v>1359.1295362211433</x:v>
      </x:c>
      <x:c r="L1007" s="44" t="n">
        <x:v>423.1092077751742</x:v>
      </x:c>
    </x:row>
    <x:row r="1008" ht="15" hidden="0" customHeight="1">
      <x:c r="A1008" s="27" t="str">
        <x:v>48473</x:v>
      </x:c>
      <x:c r="B1008" s="27" t="str">
        <x:v>SCA-17</x:v>
      </x:c>
      <x:c r="C1008" s="43" t="n">
        <x:v>69858</x:v>
      </x:c>
      <x:c r="D1008" s="43" t="n">
        <x:v>544.7786597283548</x:v>
      </x:c>
      <x:c r="E1008" s="43" t="n">
        <x:v>7190.314665275377</x:v>
      </x:c>
      <x:c r="F1008" s="43" t="n">
        <x:v>602.5804242712373</x:v>
      </x:c>
      <x:c r="G1008" s="43" t="n">
        <x:v>973.1343137574592</x:v>
      </x:c>
      <x:c r="H1008" s="43" t="n">
        <x:v>60547.191936967574</x:v>
      </x:c>
      <x:c r="I1008" s="43" t="n">
        <x:v>69858</x:v>
      </x:c>
      <x:c r="J1008" s="43" t="n">
        <x:v>6576</x:v>
      </x:c>
      <x:c r="K1008" s="43" t="n">
        <x:v>847.7626396131179</x:v>
      </x:c>
      <x:c r="L1008" s="43" t="n">
        <x:v>245.18221534188072</x:v>
      </x:c>
    </x:row>
    <x:row r="1009" ht="15" hidden="0" customHeight="1">
      <x:c r="A1009" s="29" t="str">
        <x:v>22045</x:v>
      </x:c>
      <x:c r="B1009" s="29" t="str">
        <x:v>SCA-17</x:v>
      </x:c>
      <x:c r="C1009" s="44" t="n">
        <x:v>66846</x:v>
      </x:c>
      <x:c r="D1009" s="44" t="n">
        <x:v>821.9313383574435</x:v>
      </x:c>
      <x:c r="E1009" s="44" t="n">
        <x:v>11321.77347301419</x:v>
      </x:c>
      <x:c r="F1009" s="44" t="n">
        <x:v>774.7070497777411</x:v>
      </x:c>
      <x:c r="G1009" s="44" t="n">
        <x:v>4226.570893928008</x:v>
      </x:c>
      <x:c r="H1009" s="44" t="n">
        <x:v>49701.017244922616</x:v>
      </x:c>
      <x:c r="I1009" s="44" t="n">
        <x:v>66846</x:v>
      </x:c>
      <x:c r="J1009" s="44" t="n">
        <x:v>11974</x:v>
      </x:c>
      <x:c r="K1009" s="44" t="n">
        <x:v>1124.8978267595933</x:v>
      </x:c>
      <x:c r="L1009" s="44" t="n">
        <x:v>350.1907769818522</x:v>
      </x:c>
    </x:row>
    <x:row r="1010" ht="15" hidden="0" customHeight="1">
      <x:c r="A1010" s="27" t="str">
        <x:v>48347</x:v>
      </x:c>
      <x:c r="B1010" s="27" t="str">
        <x:v>SCA-17</x:v>
      </x:c>
      <x:c r="C1010" s="43" t="n">
        <x:v>66035</x:v>
      </x:c>
      <x:c r="D1010" s="43" t="n">
        <x:v>642.8167287153062</x:v>
      </x:c>
      <x:c r="E1010" s="43" t="n">
        <x:v>9865.252407280861</x:v>
      </x:c>
      <x:c r="F1010" s="43" t="n">
        <x:v>569.6040298426973</x:v>
      </x:c>
      <x:c r="G1010" s="43" t="n">
        <x:v>2211.01149282475</x:v>
      </x:c>
      <x:c r="H1010" s="43" t="n">
        <x:v>52746.31534133638</x:v>
      </x:c>
      <x:c r="I1010" s="43" t="n">
        <x:v>66035</x:v>
      </x:c>
      <x:c r="J1010" s="43" t="n">
        <x:v>10020</x:v>
      </x:c>
      <x:c r="K1010" s="43" t="n">
        <x:v>801.3685749213009</x:v>
      </x:c>
      <x:c r="L1010" s="43" t="n">
        <x:v>231.76454507860365</x:v>
      </x:c>
    </x:row>
    <x:row r="1011" ht="15" hidden="0" customHeight="1">
      <x:c r="A1011" s="29" t="str">
        <x:v>48199</x:v>
      </x:c>
      <x:c r="B1011" s="29" t="str">
        <x:v>SCA-17</x:v>
      </x:c>
      <x:c r="C1011" s="44" t="n">
        <x:v>58723</x:v>
      </x:c>
      <x:c r="D1011" s="44" t="n">
        <x:v>582.6716013671024</x:v>
      </x:c>
      <x:c r="E1011" s="44" t="n">
        <x:v>9037.683585598825</x:v>
      </x:c>
      <x:c r="F1011" s="44" t="n">
        <x:v>506.53225478083925</x:v>
      </x:c>
      <x:c r="G1011" s="44" t="n">
        <x:v>1102.9245477764948</x:v>
      </x:c>
      <x:c r="H1011" s="44" t="n">
        <x:v>47493.18801047674</x:v>
      </x:c>
      <x:c r="I1011" s="44" t="n">
        <x:v>58723</x:v>
      </x:c>
      <x:c r="J1011" s="44" t="n">
        <x:v>9164</x:v>
      </x:c>
      <x:c r="K1011" s="44" t="n">
        <x:v>712.6337067479906</x:v>
      </x:c>
      <x:c r="L1011" s="44" t="n">
        <x:v>206.10145196715138</x:v>
      </x:c>
    </x:row>
    <x:row r="1012" ht="15" hidden="0" customHeight="1">
      <x:c r="A1012" s="27" t="str">
        <x:v>22113</x:v>
      </x:c>
      <x:c r="B1012" s="27" t="str">
        <x:v>SCA-17</x:v>
      </x:c>
      <x:c r="C1012" s="43" t="n">
        <x:v>57671</x:v>
      </x:c>
      <x:c r="D1012" s="43" t="n">
        <x:v>714.3675103501064</x:v>
      </x:c>
      <x:c r="E1012" s="43" t="n">
        <x:v>9893.818615040953</x:v>
      </x:c>
      <x:c r="F1012" s="43" t="n">
        <x:v>668.3740278809817</x:v>
      </x:c>
      <x:c r="G1012" s="43" t="n">
        <x:v>3517.19843633656</x:v>
      </x:c>
      <x:c r="H1012" s="43" t="n">
        <x:v>42877.2414103914</x:v>
      </x:c>
      <x:c r="I1012" s="43" t="n">
        <x:v>57671</x:v>
      </x:c>
      <x:c r="J1012" s="43" t="n">
        <x:v>10080</x:v>
      </x:c>
      <x:c r="K1012" s="43" t="n">
        <x:v>970.499095937715</x:v>
      </x:c>
      <x:c r="L1012" s="43" t="n">
        <x:v>302.12506805673337</x:v>
      </x:c>
    </x:row>
    <x:row r="1013" ht="15" hidden="0" customHeight="1">
      <x:c r="A1013" s="29" t="str">
        <x:v>48071</x:v>
      </x:c>
      <x:c r="B1013" s="29" t="str">
        <x:v>SCA-17</x:v>
      </x:c>
      <x:c r="C1013" s="44" t="n">
        <x:v>57594</x:v>
      </x:c>
      <x:c r="D1013" s="44" t="n">
        <x:v>461.41399400987893</x:v>
      </x:c>
      <x:c r="E1013" s="44" t="n">
        <x:v>6222.600458006303</x:v>
      </x:c>
      <x:c r="F1013" s="44" t="n">
        <x:v>496.7937380898055</x:v>
      </x:c>
      <x:c r="G1013" s="44" t="n">
        <x:v>1160.3483490242902</x:v>
      </x:c>
      <x:c r="H1013" s="44" t="n">
        <x:v>49252.84346086973</x:v>
      </x:c>
      <x:c r="I1013" s="44" t="n">
        <x:v>57594</x:v>
      </x:c>
      <x:c r="J1013" s="44" t="n">
        <x:v>5750</x:v>
      </x:c>
      <x:c r="K1013" s="44" t="n">
        <x:v>698.9327130160885</x:v>
      </x:c>
      <x:c r="L1013" s="44" t="n">
        <x:v>202.138974926283</x:v>
      </x:c>
    </x:row>
    <x:row r="1014" ht="15" hidden="0" customHeight="1">
      <x:c r="A1014" s="27" t="str">
        <x:v>22001</x:v>
      </x:c>
      <x:c r="B1014" s="27" t="str">
        <x:v>SCA-17</x:v>
      </x:c>
      <x:c r="C1014" s="43" t="n">
        <x:v>57032</x:v>
      </x:c>
      <x:c r="D1014" s="43" t="n">
        <x:v>735.4364976107353</x:v>
      </x:c>
      <x:c r="E1014" s="43" t="n">
        <x:v>10479.816076279762</x:v>
      </x:c>
      <x:c r="F1014" s="43" t="n">
        <x:v>660.9683819962918</x:v>
      </x:c>
      <x:c r="G1014" s="43" t="n">
        <x:v>3042.3211971093237</x:v>
      </x:c>
      <x:c r="H1014" s="43" t="n">
        <x:v>42113.45784700388</x:v>
      </x:c>
      <x:c r="I1014" s="43" t="n">
        <x:v>57032</x:v>
      </x:c>
      <x:c r="J1014" s="43" t="n">
        <x:v>10780</x:v>
      </x:c>
      <x:c r="K1014" s="43" t="n">
        <x:v>959.7458764287036</x:v>
      </x:c>
      <x:c r="L1014" s="43" t="n">
        <x:v>298.77749443241174</x:v>
      </x:c>
    </x:row>
    <x:row r="1015" ht="15" hidden="0" customHeight="1">
      <x:c r="A1015" s="29" t="str">
        <x:v>48373</x:v>
      </x:c>
      <x:c r="B1015" s="29" t="str">
        <x:v>SCA-17</x:v>
      </x:c>
      <x:c r="C1015" s="44" t="n">
        <x:v>53434</x:v>
      </x:c>
      <x:c r="D1015" s="44" t="n">
        <x:v>671.9986469350607</x:v>
      </x:c>
      <x:c r="E1015" s="44" t="n">
        <x:v>11627.042852533337</x:v>
      </x:c>
      <x:c r="F1015" s="44" t="n">
        <x:v>460.9104524966259</x:v>
      </x:c>
      <x:c r="G1015" s="44" t="n">
        <x:v>1154.205689546021</x:v>
      </x:c>
      <x:c r="H1015" s="44" t="n">
        <x:v>39519.84235848895</x:v>
      </x:c>
      <x:c r="I1015" s="44" t="n">
        <x:v>53434</x:v>
      </x:c>
      <x:c r="J1015" s="44" t="n">
        <x:v>11099</x:v>
      </x:c>
      <x:c r="K1015" s="44" t="n">
        <x:v>648.4489805761308</x:v>
      </x:c>
      <x:c r="L1015" s="44" t="n">
        <x:v>187.5385280795049</x:v>
      </x:c>
    </x:row>
    <x:row r="1016" ht="15" hidden="0" customHeight="1">
      <x:c r="A1016" s="27" t="str">
        <x:v>22099</x:v>
      </x:c>
      <x:c r="B1016" s="27" t="str">
        <x:v>SCA-17</x:v>
      </x:c>
      <x:c r="C1016" s="43" t="n">
        <x:v>51106</x:v>
      </x:c>
      <x:c r="D1016" s="43" t="n">
        <x:v>596.139189223644</x:v>
      </x:c>
      <x:c r="E1016" s="43" t="n">
        <x:v>7881.759409176619</x:v>
      </x:c>
      <x:c r="F1016" s="43" t="n">
        <x:v>592.2894187526738</x:v>
      </x:c>
      <x:c r="G1016" s="43" t="n">
        <x:v>2332.9740238057825</x:v>
      </x:c>
      <x:c r="H1016" s="43" t="n">
        <x:v>39702.83795904128</x:v>
      </x:c>
      <x:c r="I1016" s="43" t="n">
        <x:v>51106</x:v>
      </x:c>
      <x:c r="J1016" s="43" t="n">
        <x:v>8179</x:v>
      </x:c>
      <x:c r="K1016" s="43" t="n">
        <x:v>860.0219659272922</x:v>
      </x:c>
      <x:c r="L1016" s="43" t="n">
        <x:v>267.73254717461833</x:v>
      </x:c>
    </x:row>
    <x:row r="1017" ht="15" hidden="0" customHeight="1">
      <x:c r="A1017" s="29" t="str">
        <x:v>22089</x:v>
      </x:c>
      <x:c r="B1017" s="29" t="str">
        <x:v>SCA-17</x:v>
      </x:c>
      <x:c r="C1017" s="44" t="n">
        <x:v>50586</x:v>
      </x:c>
      <x:c r="D1017" s="44" t="n">
        <x:v>596.0358273027132</x:v>
      </x:c>
      <x:c r="E1017" s="44" t="n">
        <x:v>7944.658564751168</x:v>
      </x:c>
      <x:c r="F1017" s="44" t="n">
        <x:v>586.2629150593425</x:v>
      </x:c>
      <x:c r="G1017" s="44" t="n">
        <x:v>604.3016222161122</x:v>
      </x:c>
      <x:c r="H1017" s="44" t="n">
        <x:v>40854.741070670665</x:v>
      </x:c>
      <x:c r="I1017" s="44" t="n">
        <x:v>50586</x:v>
      </x:c>
      <x:c r="J1017" s="44" t="n">
        <x:v>8330</x:v>
      </x:c>
      <x:c r="K1017" s="44" t="n">
        <x:v>851.2713021640903</x:v>
      </x:c>
      <x:c r="L1017" s="44" t="n">
        <x:v>265.00838710474784</x:v>
      </x:c>
    </x:row>
    <x:row r="1018" ht="15" hidden="0" customHeight="1">
      <x:c r="A1018" s="27" t="str">
        <x:v>22101</x:v>
      </x:c>
      <x:c r="B1018" s="27" t="str">
        <x:v>SCA-17</x:v>
      </x:c>
      <x:c r="C1018" s="43" t="n">
        <x:v>46552</x:v>
      </x:c>
      <x:c r="D1018" s="43" t="n">
        <x:v>554.419380216273</x:v>
      </x:c>
      <x:c r="E1018" s="43" t="n">
        <x:v>7453.060529531567</x:v>
      </x:c>
      <x:c r="F1018" s="43" t="n">
        <x:v>539.5111537153068</x:v>
      </x:c>
      <x:c r="G1018" s="43" t="n">
        <x:v>3096.689101748133</x:v>
      </x:c>
      <x:c r="H1018" s="43" t="n">
        <x:v>34908.319834788716</x:v>
      </x:c>
      <x:c r="I1018" s="43" t="n">
        <x:v>46552</x:v>
      </x:c>
      <x:c r="J1018" s="43" t="n">
        <x:v>7861</x:v>
      </x:c>
      <x:c r="K1018" s="43" t="n">
        <x:v>783.3863452010978</x:v>
      </x:c>
      <x:c r="L1018" s="43" t="n">
        <x:v>243.875191485791</x:v>
      </x:c>
    </x:row>
    <x:row r="1019" ht="15" hidden="0" customHeight="1">
      <x:c r="A1019" s="29" t="str">
        <x:v>22115</x:v>
      </x:c>
      <x:c r="B1019" s="29" t="str">
        <x:v>SCA-17</x:v>
      </x:c>
      <x:c r="C1019" s="44" t="n">
        <x:v>45091</x:v>
      </x:c>
      <x:c r="D1019" s="44" t="n">
        <x:v>652.2659455315589</x:v>
      </x:c>
      <x:c r="E1019" s="44" t="n">
        <x:v>9985.070306117545</x:v>
      </x:c>
      <x:c r="F1019" s="44" t="n">
        <x:v>522.5789962230817</x:v>
      </x:c>
      <x:c r="G1019" s="44" t="n">
        <x:v>1734.4557883608056</x:v>
      </x:c>
      <x:c r="H1019" s="44" t="n">
        <x:v>32196.62896376701</x:v>
      </x:c>
      <x:c r="I1019" s="44" t="n">
        <x:v>45091</x:v>
      </x:c>
      <x:c r="J1019" s="44" t="n">
        <x:v>9600</x:v>
      </x:c>
      <x:c r="K1019" s="44" t="n">
        <x:v>758.8003456664096</x:v>
      </x:c>
      <x:c r="L1019" s="44" t="n">
        <x:v>236.2213494433279</x:v>
      </x:c>
    </x:row>
    <x:row r="1020" ht="15" hidden="0" customHeight="1">
      <x:c r="A1020" s="27" t="str">
        <x:v>48481</x:v>
      </x:c>
      <x:c r="B1020" s="27" t="str">
        <x:v>SCA-17</x:v>
      </x:c>
      <x:c r="C1020" s="43" t="n">
        <x:v>42060</x:v>
      </x:c>
      <x:c r="D1020" s="43" t="n">
        <x:v>390.01342744997504</x:v>
      </x:c>
      <x:c r="E1020" s="43" t="n">
        <x:v>5817.467675863903</x:v>
      </x:c>
      <x:c r="F1020" s="43" t="n">
        <x:v>362.8007192425812</x:v>
      </x:c>
      <x:c r="G1020" s="43" t="n">
        <x:v>1282.601201847508</x:v>
      </x:c>
      <x:c r="H1020" s="43" t="n">
        <x:v>34207.116975596036</x:v>
      </x:c>
      <x:c r="I1020" s="43" t="n">
        <x:v>42060</x:v>
      </x:c>
      <x:c r="J1020" s="43" t="n">
        <x:v>5958</x:v>
      </x:c>
      <x:c r="K1020" s="43" t="n">
        <x:v>510.41966019822695</x:v>
      </x:c>
      <x:c r="L1020" s="43" t="n">
        <x:v>147.61894095564577</x:v>
      </x:c>
    </x:row>
    <x:row r="1021" ht="15" hidden="0" customHeight="1">
      <x:c r="A1021" s="29" t="str">
        <x:v>22095</x:v>
      </x:c>
      <x:c r="B1021" s="29" t="str">
        <x:v>SCA-17</x:v>
      </x:c>
      <x:c r="C1021" s="44" t="n">
        <x:v>39875</x:v>
      </x:c>
      <x:c r="D1021" s="44" t="n">
        <x:v>467.88195974050694</x:v>
      </x:c>
      <x:c r="E1021" s="44" t="n">
        <x:v>6215.664751337428</x:v>
      </x:c>
      <x:c r="F1021" s="44" t="n">
        <x:v>462.12852840689675</x:v>
      </x:c>
      <x:c r="G1021" s="44" t="n">
        <x:v>1212.8829007331087</x:v>
      </x:c>
      <x:c r="H1021" s="44" t="n">
        <x:v>31516.44185978206</x:v>
      </x:c>
      <x:c r="I1021" s="44" t="n">
        <x:v>39875</x:v>
      </x:c>
      <x:c r="J1021" s="44" t="n">
        <x:v>6556</x:v>
      </x:c>
      <x:c r="K1021" s="44" t="n">
        <x:v>671.0244568416775</x:v>
      </x:c>
      <x:c r="L1021" s="44" t="n">
        <x:v>208.89592843478079</x:v>
      </x:c>
    </x:row>
    <x:row r="1022" ht="15" hidden="0" customHeight="1">
      <x:c r="A1022" s="27" t="str">
        <x:v>48477</x:v>
      </x:c>
      <x:c r="B1022" s="27" t="str">
        <x:v>SCA-17</x:v>
      </x:c>
      <x:c r="C1022" s="43" t="n">
        <x:v>38288</x:v>
      </x:c>
      <x:c r="D1022" s="43" t="n">
        <x:v>357.01678596014193</x:v>
      </x:c>
      <x:c r="E1022" s="43" t="n">
        <x:v>5343.276465719718</x:v>
      </x:c>
      <x:c r="F1022" s="43" t="n">
        <x:v>330.26424009414995</x:v>
      </x:c>
      <x:c r="G1022" s="43" t="n">
        <x:v>1419.1137037244155</x:v>
      </x:c>
      <x:c r="H1022" s="43" t="n">
        <x:v>30838.328804501576</x:v>
      </x:c>
      <x:c r="I1022" s="43" t="n">
        <x:v>38288</x:v>
      </x:c>
      <x:c r="J1022" s="43" t="n">
        <x:v>5199</x:v>
      </x:c>
      <x:c r="K1022" s="43" t="n">
        <x:v>464.6445066493037</x:v>
      </x:c>
      <x:c r="L1022" s="43" t="n">
        <x:v>134.38026655515372</x:v>
      </x:c>
    </x:row>
    <x:row r="1023" ht="15" hidden="0" customHeight="1">
      <x:c r="A1023" s="29" t="str">
        <x:v>22009</x:v>
      </x:c>
      <x:c r="B1023" s="29" t="str">
        <x:v>SCA-17</x:v>
      </x:c>
      <x:c r="C1023" s="44" t="n">
        <x:v>37941</x:v>
      </x:c>
      <x:c r="D1023" s="44" t="n">
        <x:v>571.5449818618733</x:v>
      </x:c>
      <x:c r="E1023" s="44" t="n">
        <x:v>8946.740001102353</x:v>
      </x:c>
      <x:c r="F1023" s="44" t="n">
        <x:v>439.71457043977614</x:v>
      </x:c>
      <x:c r="G1023" s="44" t="n">
        <x:v>1959.8482610373144</x:v>
      </x:c>
      <x:c r="H1023" s="44" t="n">
        <x:v>26023.152185558683</x:v>
      </x:c>
      <x:c r="I1023" s="44" t="n">
        <x:v>37941</x:v>
      </x:c>
      <x:c r="J1023" s="44" t="n">
        <x:v>8913</x:v>
      </x:c>
      <x:c r="K1023" s="44" t="n">
        <x:v>638.4787189223847</x:v>
      </x:c>
      <x:c r="L1023" s="44" t="n">
        <x:v>198.7641484826086</x:v>
      </x:c>
    </x:row>
    <x:row r="1024" ht="15" hidden="0" customHeight="1">
      <x:c r="A1024" s="27" t="str">
        <x:v>22011</x:v>
      </x:c>
      <x:c r="B1024" s="27" t="str">
        <x:v>SCA-17</x:v>
      </x:c>
      <x:c r="C1024" s="43" t="n">
        <x:v>36673</x:v>
      </x:c>
      <x:c r="D1024" s="43" t="n">
        <x:v>453.73055903566666</x:v>
      </x:c>
      <x:c r="E1024" s="43" t="n">
        <x:v>6278.620082593199</x:v>
      </x:c>
      <x:c r="F1024" s="43" t="n">
        <x:v>425.0191729721912</x:v>
      </x:c>
      <x:c r="G1024" s="43" t="n">
        <x:v>1218.523137410194</x:v>
      </x:c>
      <x:c r="H1024" s="43" t="n">
        <x:v>28297.10704798875</x:v>
      </x:c>
      <x:c r="I1024" s="43" t="n">
        <x:v>36673</x:v>
      </x:c>
      <x:c r="J1024" s="43" t="n">
        <x:v>6305</x:v>
      </x:c>
      <x:c r="K1024" s="43" t="n">
        <x:v>617.140561899808</x:v>
      </x:c>
      <x:c r="L1024" s="43" t="n">
        <x:v>192.1213889276167</x:v>
      </x:c>
    </x:row>
    <x:row r="1025" ht="15" hidden="0" customHeight="1">
      <x:c r="A1025" s="29" t="str">
        <x:v>48321</x:v>
      </x:c>
      <x:c r="B1025" s="29" t="str">
        <x:v>SCA-17</x:v>
      </x:c>
      <x:c r="C1025" s="44" t="n">
        <x:v>36463</x:v>
      </x:c>
      <x:c r="D1025" s="44" t="n">
        <x:v>383.0245225429471</x:v>
      </x:c>
      <x:c r="E1025" s="44" t="n">
        <x:v>6121.1880023341755</x:v>
      </x:c>
      <x:c r="F1025" s="44" t="n">
        <x:v>314.5221736981036</x:v>
      </x:c>
      <x:c r="G1025" s="44" t="n">
        <x:v>1394.4718926278933</x:v>
      </x:c>
      <x:c r="H1025" s="44" t="n">
        <x:v>28249.793408796882</x:v>
      </x:c>
      <x:c r="I1025" s="44" t="n">
        <x:v>36463</x:v>
      </x:c>
      <x:c r="J1025" s="44" t="n">
        <x:v>6293</x:v>
      </x:c>
      <x:c r="K1025" s="44" t="n">
        <x:v>442.49719614379336</x:v>
      </x:c>
      <x:c r="L1025" s="44" t="n">
        <x:v>127.97502244568977</x:v>
      </x:c>
    </x:row>
    <x:row r="1026" ht="15" hidden="0" customHeight="1">
      <x:c r="A1026" s="27" t="str">
        <x:v>22069</x:v>
      </x:c>
      <x:c r="B1026" s="27" t="str">
        <x:v>SCA-17</x:v>
      </x:c>
      <x:c r="C1026" s="43" t="n">
        <x:v>36089</x:v>
      </x:c>
      <x:c r="D1026" s="43" t="n">
        <x:v>433.3850480926003</x:v>
      </x:c>
      <x:c r="E1026" s="43" t="n">
        <x:v>5863.7544113813465</x:v>
      </x:c>
      <x:c r="F1026" s="43" t="n">
        <x:v>418.25094574737295</x:v>
      </x:c>
      <x:c r="G1026" s="43" t="n">
        <x:v>1871.2634848442833</x:v>
      </x:c>
      <x:c r="H1026" s="43" t="n">
        <x:v>27502.346109934395</x:v>
      </x:c>
      <x:c r="I1026" s="43" t="n">
        <x:v>36089</x:v>
      </x:c>
      <x:c r="J1026" s="43" t="n">
        <x:v>6103</x:v>
      </x:c>
      <x:c r="K1026" s="43" t="n">
        <x:v>607.3128933657505</x:v>
      </x:c>
      <x:c r="L1026" s="43" t="n">
        <x:v>189.06194761837753</x:v>
      </x:c>
    </x:row>
    <x:row r="1027" ht="15" hidden="0" customHeight="1">
      <x:c r="A1027" s="29" t="str">
        <x:v>48185</x:v>
      </x:c>
      <x:c r="B1027" s="29" t="str">
        <x:v>SCA-17</x:v>
      </x:c>
      <x:c r="C1027" s="44" t="n">
        <x:v>34252</x:v>
      </x:c>
      <x:c r="D1027" s="44" t="n">
        <x:v>331.6221745656443</x:v>
      </x:c>
      <x:c r="E1027" s="44" t="n">
        <x:v>5073.771581522521</x:v>
      </x:c>
      <x:c r="F1027" s="44" t="n">
        <x:v>295.4505524369208</x:v>
      </x:c>
      <x:c r="G1027" s="44" t="n">
        <x:v>790.3040545402216</x:v>
      </x:c>
      <x:c r="H1027" s="44" t="n">
        <x:v>27760.85163693469</x:v>
      </x:c>
      <x:c r="I1027" s="44" t="n">
        <x:v>34252</x:v>
      </x:c>
      <x:c r="J1027" s="44" t="n">
        <x:v>4289</x:v>
      </x:c>
      <x:c r="K1027" s="44" t="n">
        <x:v>415.66557777246004</x:v>
      </x:c>
      <x:c r="L1027" s="44" t="n">
        <x:v>120.21502533553921</x:v>
      </x:c>
    </x:row>
    <x:row r="1028" ht="15" hidden="0" customHeight="1">
      <x:c r="A1028" s="27" t="str">
        <x:v>48015</x:v>
      </x:c>
      <x:c r="B1028" s="27" t="str">
        <x:v>SCA-17</x:v>
      </x:c>
      <x:c r="C1028" s="43" t="n">
        <x:v>33625</x:v>
      </x:c>
      <x:c r="D1028" s="43" t="n">
        <x:v>290.6542740262116</x:v>
      </x:c>
      <x:c r="E1028" s="43" t="n">
        <x:v>4143.356277266117</x:v>
      </x:c>
      <x:c r="F1028" s="43" t="n">
        <x:v>290.0421822285257</x:v>
      </x:c>
      <x:c r="G1028" s="43" t="n">
        <x:v>409.672321861367</x:v>
      </x:c>
      <x:c r="H1028" s="43" t="n">
        <x:v>28491.27494461778</x:v>
      </x:c>
      <x:c r="I1028" s="43" t="n">
        <x:v>33625</x:v>
      </x:c>
      <x:c r="J1028" s="43" t="n">
        <x:v>3972</x:v>
      </x:c>
      <x:c r="K1028" s="43" t="n">
        <x:v>408.0566113686491</x:v>
      </x:c>
      <x:c r="L1028" s="43" t="n">
        <x:v>118.01442914012338</x:v>
      </x:c>
    </x:row>
    <x:row r="1029" ht="15" hidden="0" customHeight="1">
      <x:c r="A1029" s="29" t="str">
        <x:v>48241</x:v>
      </x:c>
      <x:c r="B1029" s="29" t="str">
        <x:v>SCA-17</x:v>
      </x:c>
      <x:c r="C1029" s="44" t="n">
        <x:v>33075</x:v>
      </x:c>
      <x:c r="D1029" s="44" t="n">
        <x:v>307.1373852851642</x:v>
      </x:c>
      <x:c r="E1029" s="44" t="n">
        <x:v>4585.279288437104</x:v>
      </x:c>
      <x:c r="F1029" s="44" t="n">
        <x:v>285.29799783519667</x:v>
      </x:c>
      <x:c r="G1029" s="44" t="n">
        <x:v>962.111912325286</x:v>
      </x:c>
      <x:c r="H1029" s="44" t="n">
        <x:v>26935.17341611725</x:v>
      </x:c>
      <x:c r="I1029" s="44" t="n">
        <x:v>33075</x:v>
      </x:c>
      <x:c r="J1029" s="44" t="n">
        <x:v>4546</x:v>
      </x:c>
      <x:c r="K1029" s="44" t="n">
        <x:v>401.3820794354816</x:v>
      </x:c>
      <x:c r="L1029" s="44" t="n">
        <x:v>116.08408160028493</x:v>
      </x:c>
    </x:row>
    <x:row r="1030" ht="15" hidden="0" customHeight="1">
      <x:c r="A1030" s="27" t="str">
        <x:v>22039</x:v>
      </x:c>
      <x:c r="B1030" s="27" t="str">
        <x:v>SCA-17</x:v>
      </x:c>
      <x:c r="C1030" s="43" t="n">
        <x:v>31980</x:v>
      </x:c>
      <x:c r="D1030" s="43" t="n">
        <x:v>439.87897557742446</x:v>
      </x:c>
      <x:c r="E1030" s="43" t="n">
        <x:v>6536.235150729335</x:v>
      </x:c>
      <x:c r="F1030" s="43" t="n">
        <x:v>370.629977139876</x:v>
      </x:c>
      <x:c r="G1030" s="43" t="n">
        <x:v>1793.011215559157</x:v>
      </x:c>
      <x:c r="H1030" s="43" t="n">
        <x:v>22840.24468099421</x:v>
      </x:c>
      <x:c r="I1030" s="43" t="n">
        <x:v>31980</x:v>
      </x:c>
      <x:c r="J1030" s="43" t="n">
        <x:v>6568</x:v>
      </x:c>
      <x:c r="K1030" s="43" t="n">
        <x:v>538.1658214369115</x:v>
      </x:c>
      <x:c r="L1030" s="43" t="n">
        <x:v>167.53584429703548</x:v>
      </x:c>
    </x:row>
    <x:row r="1031" ht="15" hidden="0" customHeight="1">
      <x:c r="A1031" s="29" t="str">
        <x:v>22053</x:v>
      </x:c>
      <x:c r="B1031" s="29" t="str">
        <x:v>SCA-17</x:v>
      </x:c>
      <x:c r="C1031" s="44" t="n">
        <x:v>31471</x:v>
      </x:c>
      <x:c r="D1031" s="44" t="n">
        <x:v>385.98875495800115</x:v>
      </x:c>
      <x:c r="E1031" s="44" t="n">
        <x:v>5306.866662427671</x:v>
      </x:c>
      <x:c r="F1031" s="44" t="n">
        <x:v>364.73095717851913</x:v>
      </x:c>
      <x:c r="G1031" s="44" t="n">
        <x:v>1098.8541044064348</x:v>
      </x:c>
      <x:c r="H1031" s="44" t="n">
        <x:v>24314.559521029372</x:v>
      </x:c>
      <x:c r="I1031" s="44" t="n">
        <x:v>31471</x:v>
      </x:c>
      <x:c r="J1031" s="44" t="n">
        <x:v>5525</x:v>
      </x:c>
      <x:c r="K1031" s="44" t="n">
        <x:v>529.6002678687006</x:v>
      </x:c>
      <x:c r="L1031" s="44" t="n">
        <x:v>164.86931069018146</x:v>
      </x:c>
    </x:row>
    <x:row r="1032" ht="15" hidden="0" customHeight="1">
      <x:c r="A1032" s="27" t="str">
        <x:v>28001</x:v>
      </x:c>
      <x:c r="B1032" s="27" t="str">
        <x:v>SCA-17</x:v>
      </x:c>
      <x:c r="C1032" s="43" t="n">
        <x:v>30061</x:v>
      </x:c>
      <x:c r="D1032" s="43" t="n">
        <x:v>376.4691498461726</x:v>
      </x:c>
      <x:c r="E1032" s="43" t="n">
        <x:v>4231.42288374843</x:v>
      </x:c>
      <x:c r="F1032" s="43" t="n">
        <x:v>306.28406948739627</x:v>
      </x:c>
      <x:c r="G1032" s="43" t="n">
        <x:v>1081.6512083364128</x:v>
      </x:c>
      <x:c r="H1032" s="43" t="n">
        <x:v>24065.172688581588</x:v>
      </x:c>
      <x:c r="I1032" s="43" t="n">
        <x:v>30061</x:v>
      </x:c>
      <x:c r="J1032" s="43" t="n">
        <x:v>3968</x:v>
      </x:c>
      <x:c r="K1032" s="43" t="n">
        <x:v>506.4439325107177</x:v>
      </x:c>
      <x:c r="L1032" s="43" t="n">
        <x:v>200.1598630233214</x:v>
      </x:c>
    </x:row>
    <x:row r="1033" ht="15" hidden="0" customHeight="1">
      <x:c r="A1033" s="29" t="str">
        <x:v>22047</x:v>
      </x:c>
      <x:c r="B1033" s="29" t="str">
        <x:v>SCA-17</x:v>
      </x:c>
      <x:c r="C1033" s="44" t="n">
        <x:v>29579</x:v>
      </x:c>
      <x:c r="D1033" s="44" t="n">
        <x:v>367.82971770324536</x:v>
      </x:c>
      <x:c r="E1033" s="44" t="n">
        <x:v>5108.931807645608</x:v>
      </x:c>
      <x:c r="F1033" s="44" t="n">
        <x:v>342.8037552789367</x:v>
      </x:c>
      <x:c r="G1033" s="44" t="n">
        <x:v>1153.8549247580852</x:v>
      </x:c>
      <x:c r="H1033" s="44" t="n">
        <x:v>22605.579794614125</x:v>
      </x:c>
      <x:c r="I1033" s="44" t="n">
        <x:v>29579</x:v>
      </x:c>
      <x:c r="J1033" s="44" t="n">
        <x:v>4890</x:v>
      </x:c>
      <x:c r="K1033" s="44" t="n">
        <x:v>497.76131433028166</x:v>
      </x:c>
      <x:c r="L1033" s="44" t="n">
        <x:v>154.957559051345</x:v>
      </x:c>
    </x:row>
    <x:row r="1034" ht="15" hidden="0" customHeight="1">
      <x:c r="A1034" s="27" t="str">
        <x:v>48407</x:v>
      </x:c>
      <x:c r="B1034" s="27" t="str">
        <x:v>SCA-17</x:v>
      </x:c>
      <x:c r="C1034" s="43" t="n">
        <x:v>29488</x:v>
      </x:c>
      <x:c r="D1034" s="43" t="n">
        <x:v>381.5199474679066</x:v>
      </x:c>
      <x:c r="E1034" s="43" t="n">
        <x:v>6672.6057972040335</x:v>
      </x:c>
      <x:c r="F1034" s="43" t="n">
        <x:v>254.35728980088524</x:v>
      </x:c>
      <x:c r="G1034" s="43" t="n">
        <x:v>630.9209874358521</x:v>
      </x:c>
      <x:c r="H1034" s="43" t="n">
        <x:v>21548.59597809132</x:v>
      </x:c>
      <x:c r="I1034" s="43" t="n">
        <x:v>29488</x:v>
      </x:c>
      <x:c r="J1034" s="43" t="n">
        <x:v>6660</x:v>
      </x:c>
      <x:c r="K1034" s="43" t="n">
        <x:v>357.8519957186238</x:v>
      </x:c>
      <x:c r="L1034" s="43" t="n">
        <x:v>103.49470591773853</x:v>
      </x:c>
    </x:row>
    <x:row r="1035" ht="15" hidden="0" customHeight="1">
      <x:c r="A1035" s="29" t="str">
        <x:v>22121</x:v>
      </x:c>
      <x:c r="B1035" s="29" t="str">
        <x:v>SCA-17</x:v>
      </x:c>
      <x:c r="C1035" s="44" t="n">
        <x:v>28756</x:v>
      </x:c>
      <x:c r="D1035" s="44" t="n">
        <x:v>312.562603057064</x:v>
      </x:c>
      <x:c r="E1035" s="44" t="n">
        <x:v>3885.997228637413</x:v>
      </x:c>
      <x:c r="F1035" s="44" t="n">
        <x:v>333.2656542412219</x:v>
      </x:c>
      <x:c r="G1035" s="44" t="n">
        <x:v>1047.4042670185856</x:v>
      </x:c>
      <x:c r="H1035" s="44" t="n">
        <x:v>23176.770247045715</x:v>
      </x:c>
      <x:c r="I1035" s="44" t="n">
        <x:v>28756</x:v>
      </x:c>
      <x:c r="J1035" s="44" t="n">
        <x:v>3840</x:v>
      </x:c>
      <x:c r="K1035" s="44" t="n">
        <x:v>483.9117061050603</x:v>
      </x:c>
      <x:c r="L1035" s="44" t="n">
        <x:v>150.6460518638384</x:v>
      </x:c>
    </x:row>
    <x:row r="1036" ht="15" hidden="0" customHeight="1">
      <x:c r="A1036" s="27" t="str">
        <x:v>48331</x:v>
      </x:c>
      <x:c r="B1036" s="27" t="str">
        <x:v>SCA-17</x:v>
      </x:c>
      <x:c r="C1036" s="43" t="n">
        <x:v>26258</x:v>
      </x:c>
      <x:c r="D1036" s="43" t="n">
        <x:v>259.5568524507585</x:v>
      </x:c>
      <x:c r="E1036" s="43" t="n">
        <x:v>4017.5652282257097</x:v>
      </x:c>
      <x:c r="F1036" s="43" t="n">
        <x:v>226.49598872733466</x:v>
      </x:c>
      <x:c r="G1036" s="43" t="n">
        <x:v>1054.979833073759</x:v>
      </x:c>
      <x:c r="H1036" s="43" t="n">
        <x:v>20699.402097522438</x:v>
      </x:c>
      <x:c r="I1036" s="43" t="n">
        <x:v>26258</x:v>
      </x:c>
      <x:c r="J1036" s="43" t="n">
        <x:v>3991</x:v>
      </x:c>
      <x:c r="K1036" s="43" t="n">
        <x:v>318.654290002022</x:v>
      </x:c>
      <x:c r="L1036" s="43" t="n">
        <x:v>92.15830127468728</x:v>
      </x:c>
    </x:row>
    <x:row r="1037" ht="15" hidden="0" customHeight="1">
      <x:c r="A1037" s="29" t="str">
        <x:v>48149</x:v>
      </x:c>
      <x:c r="B1037" s="29" t="str">
        <x:v>SCA-17</x:v>
      </x:c>
      <x:c r="C1037" s="44" t="n">
        <x:v>25459</x:v>
      </x:c>
      <x:c r="D1037" s="44" t="n">
        <x:v>241.6595889897119</x:v>
      </x:c>
      <x:c r="E1037" s="44" t="n">
        <x:v>3655.333349567758</x:v>
      </x:c>
      <x:c r="F1037" s="44" t="n">
        <x:v>219.60398267229849</x:v>
      </x:c>
      <x:c r="G1037" s="44" t="n">
        <x:v>964.8245870368116</x:v>
      </x:c>
      <x:c r="H1037" s="44" t="n">
        <x:v>20377.57849173342</x:v>
      </x:c>
      <x:c r="I1037" s="44" t="n">
        <x:v>25459</x:v>
      </x:c>
      <x:c r="J1037" s="44" t="n">
        <x:v>3685</x:v>
      </x:c>
      <x:c r="K1037" s="44" t="n">
        <x:v>308.95801543002045</x:v>
      </x:c>
      <x:c r="L1037" s="44" t="n">
        <x:v>89.35403275772197</x:v>
      </x:c>
    </x:row>
    <x:row r="1038" ht="15" hidden="0" customHeight="1">
      <x:c r="A1038" s="27" t="str">
        <x:v>48419</x:v>
      </x:c>
      <x:c r="B1038" s="27" t="str">
        <x:v>SCA-17</x:v>
      </x:c>
      <x:c r="C1038" s="43" t="n">
        <x:v>24286</x:v>
      </x:c>
      <x:c r="D1038" s="43" t="n">
        <x:v>244.41400814346545</x:v>
      </x:c>
      <x:c r="E1038" s="43" t="n">
        <x:v>3820.245125515174</x:v>
      </x:c>
      <x:c r="F1038" s="43" t="n">
        <x:v>209.48593122979852</x:v>
      </x:c>
      <x:c r="G1038" s="43" t="n">
        <x:v>1432.731672286749</x:v>
      </x:c>
      <x:c r="H1038" s="43" t="n">
        <x:v>18579.123262824814</x:v>
      </x:c>
      <x:c r="I1038" s="43" t="n">
        <x:v>24286</x:v>
      </x:c>
      <x:c r="J1038" s="43" t="n">
        <x:v>3936</x:v>
      </x:c>
      <x:c r="K1038" s="43" t="n">
        <x:v>294.72305914346504</x:v>
      </x:c>
      <x:c r="L1038" s="43" t="n">
        <x:v>85.23712791366651</x:v>
      </x:c>
    </x:row>
    <x:row r="1039" ht="15" hidden="0" customHeight="1">
      <x:c r="A1039" s="29" t="str">
        <x:v>22003</x:v>
      </x:c>
      <x:c r="B1039" s="29" t="str">
        <x:v>SCA-17</x:v>
      </x:c>
      <x:c r="C1039" s="44" t="n">
        <x:v>22672</x:v>
      </x:c>
      <x:c r="D1039" s="44" t="n">
        <x:v>279.9322183834164</x:v>
      </x:c>
      <x:c r="E1039" s="44" t="n">
        <x:v>3867.812144089507</x:v>
      </x:c>
      <x:c r="F1039" s="44" t="n">
        <x:v>262.7555610292455</x:v>
      </x:c>
      <x:c r="G1039" s="44" t="n">
        <x:v>779.9449992157682</x:v>
      </x:c>
      <x:c r="H1039" s="44" t="n">
        <x:v>17481.55507728206</x:v>
      </x:c>
      <x:c r="I1039" s="44" t="n">
        <x:v>22672</x:v>
      </x:c>
      <x:c r="J1039" s="44" t="n">
        <x:v>3399</x:v>
      </x:c>
      <x:c r="K1039" s="44" t="n">
        <x:v>381.5289400755991</x:v>
      </x:c>
      <x:c r="L1039" s="44" t="n">
        <x:v>118.77337904635361</x:v>
      </x:c>
    </x:row>
    <x:row r="1040" ht="15" hidden="0" customHeight="1">
      <x:c r="A1040" s="27" t="str">
        <x:v>48225</x:v>
      </x:c>
      <x:c r="B1040" s="27" t="str">
        <x:v>SCA-17</x:v>
      </x:c>
      <x:c r="C1040" s="43" t="n">
        <x:v>22316</x:v>
      </x:c>
      <x:c r="D1040" s="43" t="n">
        <x:v>294.78026824273866</x:v>
      </x:c>
      <x:c r="E1040" s="43" t="n">
        <x:v>5194.975061867844</x:v>
      </x:c>
      <x:c r="F1040" s="43" t="n">
        <x:v>192.4931253118745</x:v>
      </x:c>
      <x:c r="G1040" s="43" t="n">
        <x:v>781.3703855829954</x:v>
      </x:c>
      <x:c r="H1040" s="43" t="n">
        <x:v>15852.381158994549</x:v>
      </x:c>
      <x:c r="I1040" s="43" t="n">
        <x:v>22316</x:v>
      </x:c>
      <x:c r="J1040" s="43" t="n">
        <x:v>4723</x:v>
      </x:c>
      <x:c r="K1040" s="43" t="n">
        <x:v>270.8160993101197</x:v>
      </x:c>
      <x:c r="L1040" s="43" t="n">
        <x:v>78.32297399824516</x:v>
      </x:c>
    </x:row>
    <x:row r="1041" ht="15" hidden="0" customHeight="1">
      <x:c r="A1041" s="29" t="str">
        <x:v>22075</x:v>
      </x:c>
      <x:c r="B1041" s="29" t="str">
        <x:v>SCA-17</x:v>
      </x:c>
      <x:c r="C1041" s="44" t="n">
        <x:v>22256</x:v>
      </x:c>
      <x:c r="D1041" s="44" t="n">
        <x:v>249.3852352374758</x:v>
      </x:c>
      <x:c r="E1041" s="44" t="n">
        <x:v>3186.9884219284454</x:v>
      </x:c>
      <x:c r="F1041" s="44" t="n">
        <x:v>257.9343580745804</x:v>
      </x:c>
      <x:c r="G1041" s="44" t="n">
        <x:v>195.26701026162522</x:v>
      </x:c>
      <x:c r="H1041" s="44" t="n">
        <x:v>18366.424974497873</x:v>
      </x:c>
      <x:c r="I1041" s="44" t="n">
        <x:v>22256</x:v>
      </x:c>
      <x:c r="J1041" s="44" t="n">
        <x:v>3227</x:v>
      </x:c>
      <x:c r="K1041" s="44" t="n">
        <x:v>374.52840906503764</x:v>
      </x:c>
      <x:c r="L1041" s="44" t="n">
        <x:v>116.5940509904572</x:v>
      </x:c>
    </x:row>
    <x:row r="1042" ht="15" hidden="0" customHeight="1">
      <x:c r="A1042" s="27" t="str">
        <x:v>22043</x:v>
      </x:c>
      <x:c r="B1042" s="27" t="str">
        <x:v>SCA-17</x:v>
      </x:c>
      <x:c r="C1042" s="43" t="n">
        <x:v>22075</x:v>
      </x:c>
      <x:c r="D1042" s="43" t="n">
        <x:v>296.62704249757405</x:v>
      </x:c>
      <x:c r="E1042" s="43" t="n">
        <x:v>4343.549010292953</x:v>
      </x:c>
      <x:c r="F1042" s="43" t="n">
        <x:v>255.83667121209393</x:v>
      </x:c>
      <x:c r="G1042" s="43" t="n">
        <x:v>698.8386381631037</x:v>
      </x:c>
      <x:c r="H1042" s="43" t="n">
        <x:v>16480.148637834274</x:v>
      </x:c>
      <x:c r="I1042" s="43" t="n">
        <x:v>22075</x:v>
      </x:c>
      <x:c r="J1042" s="43" t="n">
        <x:v>3883</x:v>
      </x:c>
      <x:c r="K1042" s="43" t="n">
        <x:v>371.4825049474616</x:v>
      </x:c>
      <x:c r="L1042" s="43" t="n">
        <x:v>115.64583373536767</x:v>
      </x:c>
    </x:row>
    <x:row r="1043" ht="15" hidden="0" customHeight="1">
      <x:c r="A1043" s="29" t="str">
        <x:v>22085</x:v>
      </x:c>
      <x:c r="B1043" s="29" t="str">
        <x:v>SCA-17</x:v>
      </x:c>
      <x:c r="C1043" s="44" t="n">
        <x:v>21834</x:v>
      </x:c>
      <x:c r="D1043" s="44" t="n">
        <x:v>310.3299619173712</x:v>
      </x:c>
      <x:c r="E1043" s="44" t="n">
        <x:v>4702.720118376029</x:v>
      </x:c>
      <x:c r="F1043" s="44" t="n">
        <x:v>253.04361853883844</x:v>
      </x:c>
      <x:c r="G1043" s="44" t="n">
        <x:v>1284.4605567372607</x:v>
      </x:c>
      <x:c r="H1043" s="44" t="n">
        <x:v>15283.4457444305</x:v>
      </x:c>
      <x:c r="I1043" s="44" t="n">
        <x:v>21834</x:v>
      </x:c>
      <x:c r="J1043" s="44" t="n">
        <x:v>4852</x:v>
      </x:c>
      <x:c r="K1043" s="44" t="n">
        <x:v>367.42690885720845</x:v>
      </x:c>
      <x:c r="L1043" s="44" t="n">
        <x:v>114.38329031837</x:v>
      </x:c>
    </x:row>
    <x:row r="1044" ht="15" hidden="0" customHeight="1">
      <x:c r="A1044" s="27" t="str">
        <x:v>48089</x:v>
      </x:c>
      <x:c r="B1044" s="27" t="str">
        <x:v>SCA-17</x:v>
      </x:c>
      <x:c r="C1044" s="43" t="n">
        <x:v>21439</x:v>
      </x:c>
      <x:c r="D1044" s="43" t="n">
        <x:v>241.30882101172915</x:v>
      </x:c>
      <x:c r="E1044" s="43" t="n">
        <x:v>3985.532973811833</x:v>
      </x:c>
      <x:c r="F1044" s="43" t="n">
        <x:v>184.92830765196618</x:v>
      </x:c>
      <x:c r="G1044" s="43" t="n">
        <x:v>381.80817167798256</x:v>
      </x:c>
      <x:c r="H1044" s="43" t="n">
        <x:v>16645.42172584649</x:v>
      </x:c>
      <x:c r="I1044" s="43" t="n">
        <x:v>21439</x:v>
      </x:c>
      <x:c r="J1044" s="43" t="n">
        <x:v>3993</x:v>
      </x:c>
      <x:c r="K1044" s="43" t="n">
        <x:v>260.17325475486894</x:v>
      </x:c>
      <x:c r="L1044" s="43" t="n">
        <x:v>75.24494710290276</x:v>
      </x:c>
    </x:row>
    <x:row r="1045" ht="15" hidden="0" customHeight="1">
      <x:c r="A1045" s="29" t="str">
        <x:v>48051</x:v>
      </x:c>
      <x:c r="B1045" s="29" t="str">
        <x:v>SCA-17</x:v>
      </x:c>
      <x:c r="C1045" s="44" t="n">
        <x:v>20549</x:v>
      </x:c>
      <x:c r="D1045" s="44" t="n">
        <x:v>195.2897465685467</x:v>
      </x:c>
      <x:c r="E1045" s="44" t="n">
        <x:v>2956.04286617718</x:v>
      </x:c>
      <x:c r="F1045" s="44" t="n">
        <x:v>177.2513547245792</x:v>
      </x:c>
      <x:c r="G1045" s="44" t="n">
        <x:v>379.1681226217911</x:v>
      </x:c>
      <x:c r="H1045" s="44" t="n">
        <x:v>16841.247909907903</x:v>
      </x:c>
      <x:c r="I1045" s="44" t="n">
        <x:v>20549</x:v>
      </x:c>
      <x:c r="J1045" s="44" t="n">
        <x:v>2796</x:v>
      </x:c>
      <x:c r="K1045" s="44" t="n">
        <x:v>249.37264853574337</x:v>
      </x:c>
      <x:c r="L1045" s="44" t="n">
        <x:v>72.12129381116418</x:v>
      </x:c>
    </x:row>
    <x:row r="1046" ht="15" hidden="0" customHeight="1">
      <x:c r="A1046" s="27" t="str">
        <x:v>48457</x:v>
      </x:c>
      <x:c r="B1046" s="27" t="str">
        <x:v>SCA-17</x:v>
      </x:c>
      <x:c r="C1046" s="43" t="n">
        <x:v>20443</x:v>
      </x:c>
      <x:c r="D1046" s="43" t="n">
        <x:v>284.0819029116474</x:v>
      </x:c>
      <x:c r="E1046" s="43" t="n">
        <x:v>5095.983353214049</x:v>
      </x:c>
      <x:c r="F1046" s="43" t="n">
        <x:v>176.33702100513756</x:v>
      </x:c>
      <x:c r="G1046" s="43" t="n">
        <x:v>384.9745968632648</x:v>
      </x:c>
      <x:c r="H1046" s="43" t="n">
        <x:v>14501.623126005901</x:v>
      </x:c>
      <x:c r="I1046" s="43" t="n">
        <x:v>20443</x:v>
      </x:c>
      <x:c r="J1046" s="43" t="n">
        <x:v>4702</x:v>
      </x:c>
      <x:c r="K1046" s="43" t="n">
        <x:v>248.08628419953288</x:v>
      </x:c>
      <x:c r="L1046" s="43" t="n">
        <x:v>71.74926319439531</x:v>
      </x:c>
    </x:row>
    <x:row r="1047" ht="15" hidden="0" customHeight="1">
      <x:c r="A1047" s="29" t="str">
        <x:v>22007</x:v>
      </x:c>
      <x:c r="B1047" s="29" t="str">
        <x:v>SCA-17</x:v>
      </x:c>
      <x:c r="C1047" s="44" t="n">
        <x:v>19720</x:v>
      </x:c>
      <x:c r="D1047" s="44" t="n">
        <x:v>240.24300055202926</x:v>
      </x:c>
      <x:c r="E1047" s="44" t="n">
        <x:v>3286.4272481173402</x:v>
      </x:c>
      <x:c r="F1047" s="44" t="n">
        <x:v>228.54356313941076</x:v>
      </x:c>
      <x:c r="G1047" s="44" t="n">
        <x:v>889.6212531377663</x:v>
      </x:c>
      <x:c r="H1047" s="44" t="n">
        <x:v>15075.164935053454</x:v>
      </x:c>
      <x:c r="I1047" s="44" t="n">
        <x:v>19720</x:v>
      </x:c>
      <x:c r="J1047" s="44" t="n">
        <x:v>3527</x:v>
      </x:c>
      <x:c r="K1047" s="44" t="n">
        <x:v>331.8520950198842</x:v>
      </x:c>
      <x:c r="L1047" s="44" t="n">
        <x:v>103.30853188047341</x:v>
      </x:c>
    </x:row>
    <x:row r="1048" ht="15" hidden="0" customHeight="1">
      <x:c r="A1048" s="27" t="str">
        <x:v>48057</x:v>
      </x:c>
      <x:c r="B1048" s="27" t="str">
        <x:v>SCA-17</x:v>
      </x:c>
      <x:c r="C1048" s="43" t="n">
        <x:v>19599</x:v>
      </x:c>
      <x:c r="D1048" s="43" t="n">
        <x:v>226.83384071755597</x:v>
      </x:c>
      <x:c r="E1048" s="43" t="n">
        <x:v>3793.122805586706</x:v>
      </x:c>
      <x:c r="F1048" s="43" t="n">
        <x:v>169.05685440882897</x:v>
      </x:c>
      <x:c r="G1048" s="43" t="n">
        <x:v>592.0131766744826</x:v>
      </x:c>
      <x:c r="H1048" s="43" t="n">
        <x:v>14817.973322612428</x:v>
      </x:c>
      <x:c r="I1048" s="43" t="n">
        <x:v>19599</x:v>
      </x:c>
      <x:c r="J1048" s="43" t="n">
        <x:v>3955</x:v>
      </x:c>
      <x:c r="K1048" s="43" t="n">
        <x:v>237.84391156027223</x:v>
      </x:c>
      <x:c r="L1048" s="43" t="n">
        <x:v>68.78705715144322</x:v>
      </x:c>
    </x:row>
    <x:row r="1049" ht="15" hidden="0" customHeight="1">
      <x:c r="A1049" s="29" t="str">
        <x:v>22077</x:v>
      </x:c>
      <x:c r="B1049" s="29" t="str">
        <x:v>SCA-17</x:v>
      </x:c>
      <x:c r="C1049" s="44" t="n">
        <x:v>19520</x:v>
      </x:c>
      <x:c r="D1049" s="44" t="n">
        <x:v>259.1605037616223</x:v>
      </x:c>
      <x:c r="E1049" s="44" t="n">
        <x:v>3765.593418100224</x:v>
      </x:c>
      <x:c r="F1049" s="44" t="n">
        <x:v>226.2256771035141</x:v>
      </x:c>
      <x:c r="G1049" s="44" t="n">
        <x:v>624.8591373722264</x:v>
      </x:c>
      <x:c r="H1049" s="44" t="n">
        <x:v>14644.161263662412</x:v>
      </x:c>
      <x:c r="I1049" s="44" t="n">
        <x:v>19520</x:v>
      </x:c>
      <x:c r="J1049" s="44" t="n">
        <x:v>4030</x:v>
      </x:c>
      <x:c r="K1049" s="44" t="n">
        <x:v>328.4864551109604</x:v>
      </x:c>
      <x:c r="L1049" s="44" t="n">
        <x:v>102.26077800744629</x:v>
      </x:c>
    </x:row>
    <x:row r="1050" ht="15" hidden="0" customHeight="1">
      <x:c r="A1050" s="27" t="str">
        <x:v>22093</x:v>
      </x:c>
      <x:c r="B1050" s="27" t="str">
        <x:v>SCA-17</x:v>
      </x:c>
      <x:c r="C1050" s="43" t="n">
        <x:v>18938</x:v>
      </x:c>
      <x:c r="D1050" s="43" t="n">
        <x:v>189.3760095502439</x:v>
      </x:c>
      <x:c r="E1050" s="43" t="n">
        <x:v>2163.940687519356</x:v>
      </x:c>
      <x:c r="F1050" s="43" t="n">
        <x:v>219.4806287390548</x:v>
      </x:c>
      <x:c r="G1050" s="43" t="n">
        <x:v>578.3597605037679</x:v>
      </x:c>
      <x:c r="H1050" s="43" t="n">
        <x:v>15786.842913687578</x:v>
      </x:c>
      <x:c r="I1050" s="43" t="n">
        <x:v>18938</x:v>
      </x:c>
      <x:c r="J1050" s="43" t="n">
        <x:v>2306</x:v>
      </x:c>
      <x:c r="K1050" s="43" t="n">
        <x:v>318.6924429759922</x:v>
      </x:c>
      <x:c r="L1050" s="43" t="n">
        <x:v>99.2118142369374</x:v>
      </x:c>
    </x:row>
    <x:row r="1051" ht="15" hidden="0" customHeight="1">
      <x:c r="A1051" s="29" t="str">
        <x:v>22037</x:v>
      </x:c>
      <x:c r="B1051" s="29" t="str">
        <x:v>SCA-17</x:v>
      </x:c>
      <x:c r="C1051" s="44" t="n">
        <x:v>18911</x:v>
      </x:c>
      <x:c r="D1051" s="44" t="n">
        <x:v>235.4426491542196</x:v>
      </x:c>
      <x:c r="E1051" s="44" t="n">
        <x:v>3272.93476056338</x:v>
      </x:c>
      <x:c r="F1051" s="44" t="n">
        <x:v>219.16771412420877</x:v>
      </x:c>
      <x:c r="G1051" s="44" t="n">
        <x:v>461.9112676056338</x:v>
      </x:c>
      <x:c r="H1051" s="44" t="n">
        <x:v>14721.543608552558</x:v>
      </x:c>
      <x:c r="I1051" s="44" t="n">
        <x:v>18911</x:v>
      </x:c>
      <x:c r="J1051" s="44" t="n">
        <x:v>3008</x:v>
      </x:c>
      <x:c r="K1051" s="44" t="n">
        <x:v>318.2380815882875</x:v>
      </x:c>
      <x:c r="L1051" s="44" t="n">
        <x:v>99.07036746407873</x:v>
      </x:c>
    </x:row>
    <x:row r="1052" ht="15" hidden="0" customHeight="1">
      <x:c r="A1052" s="27" t="str">
        <x:v>48287</x:v>
      </x:c>
      <x:c r="B1052" s="27" t="str">
        <x:v>SCA-17</x:v>
      </x:c>
      <x:c r="C1052" s="43" t="n">
        <x:v>18729</x:v>
      </x:c>
      <x:c r="D1052" s="43" t="n">
        <x:v>178.1246985211313</x:v>
      </x:c>
      <x:c r="E1052" s="43" t="n">
        <x:v>2697.386404930381</x:v>
      </x:c>
      <x:c r="F1052" s="43" t="n">
        <x:v>161.55241727756305</x:v>
      </x:c>
      <x:c r="G1052" s="43" t="n">
        <x:v>297.06702236932205</x:v>
      </x:c>
      <x:c r="H1052" s="43" t="n">
        <x:v>15394.869456901602</x:v>
      </x:c>
      <x:c r="I1052" s="43" t="n">
        <x:v>18729</x:v>
      </x:c>
      <x:c r="J1052" s="43" t="n">
        <x:v>2629</x:v>
      </x:c>
      <x:c r="K1052" s="43" t="n">
        <x:v>227.28601559326182</x:v>
      </x:c>
      <x:c r="L1052" s="43" t="n">
        <x:v>65.73359831569876</x:v>
      </x:c>
    </x:row>
    <x:row r="1053" ht="15" hidden="0" customHeight="1">
      <x:c r="A1053" s="29" t="str">
        <x:v>48395</x:v>
      </x:c>
      <x:c r="B1053" s="29" t="str">
        <x:v>SCA-17</x:v>
      </x:c>
      <x:c r="C1053" s="44" t="n">
        <x:v>17839</x:v>
      </x:c>
      <x:c r="D1053" s="44" t="n">
        <x:v>204.29548210685135</x:v>
      </x:c>
      <x:c r="E1053" s="44" t="n">
        <x:v>3400.452889989388</x:v>
      </x:c>
      <x:c r="F1053" s="44" t="n">
        <x:v>153.87546435017606</x:v>
      </x:c>
      <x:c r="G1053" s="44" t="n">
        <x:v>848.3226624218842</x:v>
      </x:c>
      <x:c r="H1053" s="44" t="n">
        <x:v>13232.0535011317</x:v>
      </x:c>
      <x:c r="I1053" s="44" t="n">
        <x:v>17839</x:v>
      </x:c>
      <x:c r="J1053" s="44" t="n">
        <x:v>3368</x:v>
      </x:c>
      <x:c r="K1053" s="44" t="n">
        <x:v>216.48540937413625</x:v>
      </x:c>
      <x:c r="L1053" s="44" t="n">
        <x:v>62.60994502396018</x:v>
      </x:c>
    </x:row>
    <x:row r="1054" ht="15" hidden="0" customHeight="1">
      <x:c r="A1054" s="27" t="str">
        <x:v>22029</x:v>
      </x:c>
      <x:c r="B1054" s="27" t="str">
        <x:v>SCA-17</x:v>
      </x:c>
      <x:c r="C1054" s="43" t="n">
        <x:v>17836</x:v>
      </x:c>
      <x:c r="D1054" s="43" t="n">
        <x:v>253.64290694739606</x:v>
      </x:c>
      <x:c r="E1054" s="43" t="n">
        <x:v>3844.9011972201133</x:v>
      </x:c>
      <x:c r="F1054" s="43" t="n">
        <x:v>206.7090766812642</x:v>
      </x:c>
      <x:c r="G1054" s="43" t="n">
        <x:v>962.7189744787712</x:v>
      </x:c>
      <x:c r="H1054" s="43" t="n">
        <x:v>12568.027844672455</x:v>
      </x:c>
      <x:c r="I1054" s="43" t="n">
        <x:v>17836</x:v>
      </x:c>
      <x:c r="J1054" s="43" t="n">
        <x:v>3845</x:v>
      </x:c>
      <x:c r="K1054" s="43" t="n">
        <x:v>300.1477670778222</x:v>
      </x:c>
      <x:c r="L1054" s="43" t="n">
        <x:v>93.438690396558</x:v>
      </x:c>
    </x:row>
    <x:row r="1055" ht="15" hidden="0" customHeight="1">
      <x:c r="A1055" s="29" t="str">
        <x:v>48289</x:v>
      </x:c>
      <x:c r="B1055" s="29" t="str">
        <x:v>SCA-17</x:v>
      </x:c>
      <x:c r="C1055" s="44" t="n">
        <x:v>16894</x:v>
      </x:c>
      <x:c r="D1055" s="44" t="n">
        <x:v>197.36389122116825</x:v>
      </x:c>
      <x:c r="E1055" s="44" t="n">
        <x:v>3313.6952218303322</x:v>
      </x:c>
      <x:c r="F1055" s="44" t="n">
        <x:v>145.72409298345616</x:v>
      </x:c>
      <x:c r="G1055" s="44" t="n">
        <x:v>321.0572674958233</x:v>
      </x:c>
      <x:c r="H1055" s="44" t="n">
        <x:v>12916.15952646922</x:v>
      </x:c>
      <x:c r="I1055" s="44" t="n">
        <x:v>16894</x:v>
      </x:c>
      <x:c r="J1055" s="44" t="n">
        <x:v>3302</x:v>
      </x:c>
      <x:c r="K1055" s="44" t="n">
        <x:v>205.01734996169392</x:v>
      </x:c>
      <x:c r="L1055" s="44" t="n">
        <x:v>59.29325697823775</x:v>
      </x:c>
    </x:row>
    <x:row r="1056" ht="15" hidden="0" customHeight="1">
      <x:c r="A1056" s="27" t="str">
        <x:v>22049</x:v>
      </x:c>
      <x:c r="B1056" s="27" t="str">
        <x:v>SCA-17</x:v>
      </x:c>
      <x:c r="C1056" s="43" t="n">
        <x:v>15834</x:v>
      </x:c>
      <x:c r="D1056" s="43" t="n">
        <x:v>197.99651516267673</x:v>
      </x:c>
      <x:c r="E1056" s="43" t="n">
        <x:v>2761.100184842883</x:v>
      </x:c>
      <x:c r="F1056" s="43" t="n">
        <x:v>183.5070374619386</x:v>
      </x:c>
      <x:c r="G1056" s="43" t="n">
        <x:v>921.060038390445</x:v>
      </x:c>
      <x:c r="H1056" s="43" t="n">
        <x:v>11770.336224142056</x:v>
      </x:c>
      <x:c r="I1056" s="43" t="n">
        <x:v>15834</x:v>
      </x:c>
      <x:c r="J1056" s="43" t="n">
        <x:v>2555</x:v>
      </x:c>
      <x:c r="K1056" s="43" t="n">
        <x:v>266.4577115894952</x:v>
      </x:c>
      <x:c r="L1056" s="43" t="n">
        <x:v>82.9506741275566</x:v>
      </x:c>
    </x:row>
    <x:row r="1057" ht="15" hidden="0" customHeight="1">
      <x:c r="A1057" s="29" t="str">
        <x:v>48239</x:v>
      </x:c>
      <x:c r="B1057" s="29" t="str">
        <x:v>SCA-17</x:v>
      </x:c>
      <x:c r="C1057" s="44" t="n">
        <x:v>15393</x:v>
      </x:c>
      <x:c r="D1057" s="44" t="n">
        <x:v>153.12217168868332</x:v>
      </x:c>
      <x:c r="E1057" s="44" t="n">
        <x:v>2378.3282071873114</x:v>
      </x:c>
      <x:c r="F1057" s="44" t="n">
        <x:v>132.7767824845709</x:v>
      </x:c>
      <x:c r="G1057" s="44" t="n">
        <x:v>571.3965067255572</x:v>
      </x:c>
      <x:c r="H1057" s="44" t="n">
        <x:v>12157.376331913878</x:v>
      </x:c>
      <x:c r="I1057" s="44" t="n">
        <x:v>15393</x:v>
      </x:c>
      <x:c r="J1057" s="44" t="n">
        <x:v>2405</x:v>
      </x:c>
      <x:c r="K1057" s="44" t="n">
        <x:v>186.80194554044954</x:v>
      </x:c>
      <x:c r="L1057" s="44" t="n">
        <x:v>54.025163055878636</x:v>
      </x:c>
    </x:row>
    <x:row r="1058" ht="15" hidden="0" customHeight="1">
      <x:c r="A1058" s="27" t="str">
        <x:v>22059</x:v>
      </x:c>
      <x:c r="B1058" s="27" t="str">
        <x:v>SCA-17</x:v>
      </x:c>
      <x:c r="C1058" s="43" t="n">
        <x:v>15154</x:v>
      </x:c>
      <x:c r="D1058" s="43" t="n">
        <x:v>182.58601678182868</x:v>
      </x:c>
      <x:c r="E1058" s="43" t="n">
        <x:v>2476.744939741542</x:v>
      </x:c>
      <x:c r="F1058" s="43" t="n">
        <x:v>175.62622493989</x:v>
      </x:c>
      <x:c r="G1058" s="43" t="n">
        <x:v>373.38826775083487</x:v>
      </x:c>
      <x:c r="H1058" s="43" t="n">
        <x:v>11945.654550785905</x:v>
      </x:c>
      <x:c r="I1058" s="43" t="n">
        <x:v>15154</x:v>
      </x:c>
      <x:c r="J1058" s="43" t="n">
        <x:v>2345</x:v>
      </x:c>
      <x:c r="K1058" s="43" t="n">
        <x:v>255.0145358991544</x:v>
      </x:c>
      <x:c r="L1058" s="43" t="n">
        <x:v>79.3883109592644</x:v>
      </x:c>
    </x:row>
    <x:row r="1059" ht="15" hidden="0" customHeight="1">
      <x:c r="A1059" s="29" t="str">
        <x:v>22125</x:v>
      </x:c>
      <x:c r="B1059" s="29" t="str">
        <x:v>SCA-17</x:v>
      </x:c>
      <x:c r="C1059" s="44" t="n">
        <x:v>15134</x:v>
      </x:c>
      <x:c r="D1059" s="44" t="n">
        <x:v>156.3283488651234</x:v>
      </x:c>
      <x:c r="E1059" s="44" t="n">
        <x:v>1849.0755190358807</x:v>
      </x:c>
      <x:c r="F1059" s="44" t="n">
        <x:v>175.39443633630032</x:v>
      </x:c>
      <x:c r="G1059" s="44" t="n">
        <x:v>279.27325846799965</x:v>
      </x:c>
      <x:c r="H1059" s="44" t="n">
        <x:v>12673.928437294697</x:v>
      </x:c>
      <x:c r="I1059" s="44" t="n">
        <x:v>15134</x:v>
      </x:c>
      <x:c r="J1059" s="44" t="n">
        <x:v>1394</x:v>
      </x:c>
      <x:c r="K1059" s="44" t="n">
        <x:v>254.677971908262</x:v>
      </x:c>
      <x:c r="L1059" s="44" t="n">
        <x:v>79.28353557196169</x:v>
      </x:c>
    </x:row>
    <x:row r="1060" ht="15" hidden="0" customHeight="1">
      <x:c r="A1060" s="27" t="str">
        <x:v>22127</x:v>
      </x:c>
      <x:c r="B1060" s="27" t="str">
        <x:v>SCA-17</x:v>
      </x:c>
      <x:c r="C1060" s="43" t="n">
        <x:v>14961</x:v>
      </x:c>
      <x:c r="D1060" s="43" t="n">
        <x:v>200.6632464358651</x:v>
      </x:c>
      <x:c r="E1060" s="43" t="n">
        <x:v>2934.8644311377243</x:v>
      </x:c>
      <x:c r="F1060" s="43" t="n">
        <x:v>173.3894649152497</x:v>
      </x:c>
      <x:c r="G1060" s="43" t="n">
        <x:v>504.8454341317364</x:v>
      </x:c>
      <x:c r="H1060" s="43" t="n">
        <x:v>11147.237423379425</x:v>
      </x:c>
      <x:c r="I1060" s="43" t="n">
        <x:v>14961</x:v>
      </x:c>
      <x:c r="J1060" s="43" t="n">
        <x:v>2457</x:v>
      </x:c>
      <x:c r="K1060" s="43" t="n">
        <x:v>251.76669338704295</x:v>
      </x:c>
      <x:c r="L1060" s="43" t="n">
        <x:v>78.37722847179325</x:v>
      </x:c>
    </x:row>
    <x:row r="1061" ht="15" hidden="0" customHeight="1">
      <x:c r="A1061" s="29" t="str">
        <x:v>48455</x:v>
      </x:c>
      <x:c r="B1061" s="29" t="str">
        <x:v>SCA-17</x:v>
      </x:c>
      <x:c r="C1061" s="44" t="n">
        <x:v>14384</x:v>
      </x:c>
      <x:c r="D1061" s="44" t="n">
        <x:v>190.90943755891632</x:v>
      </x:c>
      <x:c r="E1061" s="44" t="n">
        <x:v>3370.214035390591</x:v>
      </x:c>
      <x:c r="F1061" s="44" t="n">
        <x:v>124.07336057026362</x:v>
      </x:c>
      <x:c r="G1061" s="44" t="n">
        <x:v>845.1346568839015</x:v>
      </x:c>
      <x:c r="H1061" s="44" t="n">
        <x:v>9853.668509596326</x:v>
      </x:c>
      <x:c r="I1061" s="44" t="n">
        <x:v>14384</x:v>
      </x:c>
      <x:c r="J1061" s="44" t="n">
        <x:v>3393</x:v>
      </x:c>
      <x:c r="K1061" s="44" t="n">
        <x:v>174.55721332123863</x:v>
      </x:c>
      <x:c r="L1061" s="44" t="n">
        <x:v>50.48385275097501</x:v>
      </x:c>
    </x:row>
    <x:row r="1062" ht="15" hidden="0" customHeight="1">
      <x:c r="A1062" s="27" t="str">
        <x:v>48313</x:v>
      </x:c>
      <x:c r="B1062" s="27" t="str">
        <x:v>SCA-17</x:v>
      </x:c>
      <x:c r="C1062" s="43" t="n">
        <x:v>14226</x:v>
      </x:c>
      <x:c r="D1062" s="43" t="n">
        <x:v>129.21073347102387</x:v>
      </x:c>
      <x:c r="E1062" s="43" t="n">
        <x:v>1902.754006137659</x:v>
      </x:c>
      <x:c r="F1062" s="43" t="n">
        <x:v>122.71048578090726</x:v>
      </x:c>
      <x:c r="G1062" s="43" t="n">
        <x:v>331.3599298553266</x:v>
      </x:c>
      <x:c r="H1062" s="43" t="n">
        <x:v>11739.964844755083</x:v>
      </x:c>
      <x:c r="I1062" s="43" t="n">
        <x:v>14226</x:v>
      </x:c>
      <x:c r="J1062" s="43" t="n">
        <x:v>1589</x:v>
      </x:c>
      <x:c r="K1062" s="43" t="n">
        <x:v>172.6398023295287</x:v>
      </x:c>
      <x:c r="L1062" s="43" t="n">
        <x:v>49.92931654862142</x:v>
      </x:c>
    </x:row>
    <x:row r="1063" ht="15" hidden="0" customHeight="1">
      <x:c r="A1063" s="29" t="str">
        <x:v>48351</x:v>
      </x:c>
      <x:c r="B1063" s="29" t="str">
        <x:v>SCA-17</x:v>
      </x:c>
      <x:c r="C1063" s="44" t="n">
        <x:v>11954</x:v>
      </x:c>
      <x:c r="D1063" s="44" t="n">
        <x:v>124.2227543811616</x:v>
      </x:c>
      <x:c r="E1063" s="44" t="n">
        <x:v>1974.420672803347</x:v>
      </x:c>
      <x:c r="F1063" s="44" t="n">
        <x:v>103.11269134155529</x:v>
      </x:c>
      <x:c r="G1063" s="44" t="n">
        <x:v>545.2049372384937</x:v>
      </x:c>
      <x:c r="H1063" s="44" t="n">
        <x:v>9207.03894423544</x:v>
      </x:c>
      <x:c r="I1063" s="44" t="n">
        <x:v>11954</x:v>
      </x:c>
      <x:c r="J1063" s="44" t="n">
        <x:v>2056</x:v>
      </x:c>
      <x:c r="K1063" s="44" t="n">
        <x:v>145.06791768924407</x:v>
      </x:c>
      <x:c r="L1063" s="44" t="n">
        <x:v>41.95522634768877</x:v>
      </x:c>
    </x:row>
    <x:row r="1064" ht="15" hidden="0" customHeight="1">
      <x:c r="A1064" s="27" t="str">
        <x:v>22091</x:v>
      </x:c>
      <x:c r="B1064" s="27" t="str">
        <x:v>SCA-17</x:v>
      </x:c>
      <x:c r="C1064" s="43" t="n">
        <x:v>10758</x:v>
      </x:c>
      <x:c r="D1064" s="43" t="n">
        <x:v>199.94549761620829</x:v>
      </x:c>
      <x:c r="E1064" s="43" t="n">
        <x:v>3446.083602865916</x:v>
      </x:c>
      <x:c r="F1064" s="43" t="n">
        <x:v>124.67908987088138</x:v>
      </x:c>
      <x:c r="G1064" s="43" t="n">
        <x:v>347.15557830092115</x:v>
      </x:c>
      <x:c r="H1064" s="43" t="n">
        <x:v>6640.136231346073</x:v>
      </x:c>
      <x:c r="I1064" s="43" t="n">
        <x:v>10758</x:v>
      </x:c>
      <x:c r="J1064" s="43" t="n">
        <x:v>3586</x:v>
      </x:c>
      <x:c r="K1064" s="43" t="n">
        <x:v>181.03777070100983</x:v>
      </x:c>
      <x:c r="L1064" s="43" t="n">
        <x:v>56.35868083012844</x:v>
      </x:c>
    </x:row>
    <x:row r="1065" ht="15" hidden="0" customHeight="1">
      <x:c r="A1065" s="29" t="str">
        <x:v>48403</x:v>
      </x:c>
      <x:c r="B1065" s="29" t="str">
        <x:v>SCA-17</x:v>
      </x:c>
      <x:c r="C1065" s="44" t="n">
        <x:v>10012</x:v>
      </x:c>
      <x:c r="D1065" s="44" t="n">
        <x:v>140.0115563450684</x:v>
      </x:c>
      <x:c r="E1065" s="44" t="n">
        <x:v>2516.933080185821</x:v>
      </x:c>
      <x:c r="F1065" s="44" t="n">
        <x:v>86.36140753820072</x:v>
      </x:c>
      <x:c r="G1065" s="44" t="n">
        <x:v>111.45819026459301</x:v>
      </x:c>
      <x:c r="H1065" s="44" t="n">
        <x:v>7157.235765666317</x:v>
      </x:c>
      <x:c r="I1065" s="44" t="n">
        <x:v>10012</x:v>
      </x:c>
      <x:c r="J1065" s="44" t="n">
        <x:v>2593</x:v>
      </x:c>
      <x:c r="K1065" s="44" t="n">
        <x:v>121.50075220885992</x:v>
      </x:c>
      <x:c r="L1065" s="44" t="n">
        <x:v>35.13934467065919</x:v>
      </x:c>
    </x:row>
    <x:row r="1066" ht="15" hidden="0" customHeight="1">
      <x:c r="A1066" s="27" t="str">
        <x:v>22025</x:v>
      </x:c>
      <x:c r="B1066" s="27" t="str">
        <x:v>SCA-17</x:v>
      </x:c>
      <x:c r="C1066" s="43" t="n">
        <x:v>8223</x:v>
      </x:c>
      <x:c r="D1066" s="43" t="n">
        <x:v>106.16669130246419</x:v>
      </x:c>
      <x:c r="E1066" s="43" t="n">
        <x:v>1514.1189795109055</x:v>
      </x:c>
      <x:c r="F1066" s="43" t="n">
        <x:v>95.2998843658912</x:v>
      </x:c>
      <x:c r="G1066" s="43" t="n">
        <x:v>469.9657633840053</x:v>
      </x:c>
      <x:c r="H1066" s="43" t="n">
        <x:v>6037.448681436734</x:v>
      </x:c>
      <x:c r="I1066" s="43" t="n">
        <x:v>8223</x:v>
      </x:c>
      <x:c r="J1066" s="43" t="n">
        <x:v>1451</x:v>
      </x:c>
      <x:c r="K1066" s="43" t="n">
        <x:v>138.37828485540098</x:v>
      </x:c>
      <x:c r="L1066" s="43" t="n">
        <x:v>43.078400489509775</x:v>
      </x:c>
    </x:row>
    <x:row r="1067" ht="15" hidden="0" customHeight="1">
      <x:c r="A1067" s="29" t="str">
        <x:v>48405</x:v>
      </x:c>
      <x:c r="B1067" s="29" t="str">
        <x:v>SCA-17</x:v>
      </x:c>
      <x:c r="C1067" s="44" t="n">
        <x:v>7722</x:v>
      </x:c>
      <x:c r="D1067" s="44" t="n">
        <x:v>96.2753884172843</x:v>
      </x:c>
      <x:c r="E1067" s="44" t="n">
        <x:v>1660.1594149908592</x:v>
      </x:c>
      <x:c r="F1067" s="44" t="n">
        <x:v>66.6083488823398</x:v>
      </x:c>
      <x:c r="G1067" s="44" t="n">
        <x:v>245.23217550274222</x:v>
      </x:c>
      <x:c r="H1067" s="44" t="n">
        <x:v>5653.724672206775</x:v>
      </x:c>
      <x:c r="I1067" s="44" t="n">
        <x:v>7722</x:v>
      </x:c>
      <x:c r="J1067" s="44" t="n">
        <x:v>1715</x:v>
      </x:c>
      <x:c r="K1067" s="44" t="n">
        <x:v>93.71042834167163</x:v>
      </x:c>
      <x:c r="L1067" s="44" t="n">
        <x:v>27.10207945933183</x:v>
      </x:c>
    </x:row>
    <x:row r="1068" ht="15" hidden="0" customHeight="1">
      <x:c r="A1068" s="27" t="str">
        <x:v>28157</x:v>
      </x:c>
      <x:c r="B1068" s="27" t="str">
        <x:v>SCA-17</x:v>
      </x:c>
      <x:c r="C1068" s="43" t="n">
        <x:v>7582</x:v>
      </x:c>
      <x:c r="D1068" s="43" t="n">
        <x:v>110.63594860319768</x:v>
      </x:c>
      <x:c r="E1068" s="43" t="n">
        <x:v>1443.6367409078093</x:v>
      </x:c>
      <x:c r="F1068" s="43" t="n">
        <x:v>77.25111655811313</x:v>
      </x:c>
      <x:c r="G1068" s="43" t="n">
        <x:v>360.7485198759515</x:v>
      </x:c>
      <x:c r="H1068" s="43" t="n">
        <x:v>5589.727674054929</x:v>
      </x:c>
      <x:c r="I1068" s="43" t="n">
        <x:v>7582</x:v>
      </x:c>
      <x:c r="J1068" s="43" t="n">
        <x:v>1407</x:v>
      </x:c>
      <x:c r="K1068" s="43" t="n">
        <x:v>127.73553429015207</x:v>
      </x:c>
      <x:c r="L1068" s="43" t="n">
        <x:v>50.48441773203895</x:v>
      </x:c>
    </x:row>
    <x:row r="1069" ht="15" hidden="0" customHeight="1">
      <x:c r="A1069" s="29" t="str">
        <x:v>22023</x:v>
      </x:c>
      <x:c r="B1069" s="29" t="str">
        <x:v>SCA-17</x:v>
      </x:c>
      <x:c r="C1069" s="44" t="n">
        <x:v>4718</x:v>
      </x:c>
      <x:c r="D1069" s="44" t="n">
        <x:v>55.079599418706806</x:v>
      </x:c>
      <x:c r="E1069" s="44" t="n">
        <x:v>728.7140532959327</x:v>
      </x:c>
      <x:c r="F1069" s="44" t="n">
        <x:v>54.678931586802236</x:v>
      </x:c>
      <x:c r="G1069" s="44" t="n">
        <x:v>113.2799038268884</x:v>
      </x:c>
      <x:c r="H1069" s="44" t="n">
        <x:v>3766.2475118716698</x:v>
      </x:c>
      <x:c r="I1069" s="44" t="n">
        <x:v>4718</x:v>
      </x:c>
      <x:c r="J1069" s="44" t="n">
        <x:v>803</x:v>
      </x:c>
      <x:c r="K1069" s="44" t="n">
        <x:v>79.39544545151185</x:v>
      </x:c>
      <x:c r="L1069" s="44" t="n">
        <x:v>24.71651386470961</x:v>
      </x:c>
    </x:row>
    <x:row r="1070" ht="15" hidden="0" customHeight="1">
      <x:c r="A1070" s="27" t="str">
        <x:v>27053</x:v>
      </x:c>
      <x:c r="B1070" s="27" t="str">
        <x:v>SCA-18</x:v>
      </x:c>
      <x:c r="C1070" s="43" t="n">
        <x:v>1284784</x:v>
      </x:c>
      <x:c r="D1070" s="43" t="n">
        <x:v>13876.9537910284</x:v>
      </x:c>
      <x:c r="E1070" s="43" t="n">
        <x:v>129135.98299967607</x:v>
      </x:c>
      <x:c r="F1070" s="43" t="n">
        <x:v>4207.514849258072</x:v>
      </x:c>
      <x:c r="G1070" s="43" t="n">
        <x:v>67121.55006208832</x:v>
      </x:c>
      <x:c r="H1070" s="43" t="n">
        <x:v>1070441.998297949</x:v>
      </x:c>
      <x:c r="I1070" s="43" t="n">
        <x:v>1284784</x:v>
      </x:c>
      <x:c r="J1070" s="43" t="n">
        <x:v>131869</x:v>
      </x:c>
      <x:c r="K1070" s="43" t="n">
        <x:v>12703.802681966636</x:v>
      </x:c>
      <x:c r="L1070" s="43" t="n">
        <x:v>8496.287832708564</x:v>
      </x:c>
    </x:row>
    <x:row r="1071" ht="15" hidden="0" customHeight="1">
      <x:c r="A1071" s="29" t="str">
        <x:v>27123</x:v>
      </x:c>
      <x:c r="B1071" s="29" t="str">
        <x:v>SCA-18</x:v>
      </x:c>
      <x:c r="C1071" s="44" t="n">
        <x:v>541623</x:v>
      </x:c>
      <x:c r="D1071" s="44" t="n">
        <x:v>6238.19049711095</x:v>
      </x:c>
      <x:c r="E1071" s="44" t="n">
        <x:v>63754.388625482585</x:v>
      </x:c>
      <x:c r="F1071" s="44" t="n">
        <x:v>1773.7509302728745</x:v>
      </x:c>
      <x:c r="G1071" s="44" t="n">
        <x:v>30530.384004724154</x:v>
      </x:c>
      <x:c r="H1071" s="44" t="n">
        <x:v>439326.2859424094</x:v>
      </x:c>
      <x:c r="I1071" s="44" t="n">
        <x:v>541623</x:v>
      </x:c>
      <x:c r="J1071" s="44" t="n">
        <x:v>66029</x:v>
      </x:c>
      <x:c r="K1071" s="44" t="n">
        <x:v>5355.508567988716</x:v>
      </x:c>
      <x:c r="L1071" s="44" t="n">
        <x:v>3581.7576377158416</x:v>
      </x:c>
    </x:row>
    <x:row r="1072" ht="15" hidden="0" customHeight="1">
      <x:c r="A1072" s="27" t="str">
        <x:v>19153</x:v>
      </x:c>
      <x:c r="B1072" s="27" t="str">
        <x:v>SCA-18</x:v>
      </x:c>
      <x:c r="C1072" s="43" t="n">
        <x:v>516546</x:v>
      </x:c>
      <x:c r="D1072" s="43" t="n">
        <x:v>6889.672218900102</x:v>
      </x:c>
      <x:c r="E1072" s="43" t="n">
        <x:v>56437.02563228281</x:v>
      </x:c>
      <x:c r="F1072" s="43" t="n">
        <x:v>2419.820869414083</x:v>
      </x:c>
      <x:c r="G1072" s="43" t="n">
        <x:v>15959.822484338685</x:v>
      </x:c>
      <x:c r="H1072" s="43" t="n">
        <x:v>434839.6587950644</x:v>
      </x:c>
      <x:c r="I1072" s="43" t="n">
        <x:v>516546</x:v>
      </x:c>
      <x:c r="J1072" s="43" t="n">
        <x:v>56610</x:v>
      </x:c>
      <x:c r="K1072" s="43" t="n">
        <x:v>6957.950353635734</x:v>
      </x:c>
      <x:c r="L1072" s="43" t="n">
        <x:v>4538.129484221651</x:v>
      </x:c>
    </x:row>
    <x:row r="1073" ht="15" hidden="0" customHeight="1">
      <x:c r="A1073" s="29" t="str">
        <x:v>27037</x:v>
      </x:c>
      <x:c r="B1073" s="29" t="str">
        <x:v>SCA-18</x:v>
      </x:c>
      <x:c r="C1073" s="44" t="n">
        <x:v>457710</x:v>
      </x:c>
      <x:c r="D1073" s="44" t="n">
        <x:v>4997.4335604132875</x:v>
      </x:c>
      <x:c r="E1073" s="44" t="n">
        <x:v>47294.2398206638</x:v>
      </x:c>
      <x:c r="F1073" s="44" t="n">
        <x:v>1498.9458318705028</x:v>
      </x:c>
      <x:c r="G1073" s="44" t="n">
        <x:v>12275.3964633423</x:v>
      </x:c>
      <x:c r="H1073" s="44" t="n">
        <x:v>391643.98432371014</x:v>
      </x:c>
      <x:c r="I1073" s="44" t="n">
        <x:v>457710</x:v>
      </x:c>
      <x:c r="J1073" s="44" t="n">
        <x:v>47726</x:v>
      </x:c>
      <x:c r="K1073" s="44" t="n">
        <x:v>4525.786066422798</x:v>
      </x:c>
      <x:c r="L1073" s="44" t="n">
        <x:v>3026.8402345522954</x:v>
      </x:c>
    </x:row>
    <x:row r="1074" ht="15" hidden="0" customHeight="1">
      <x:c r="A1074" s="27" t="str">
        <x:v>27003</x:v>
      </x:c>
      <x:c r="B1074" s="27" t="str">
        <x:v>SCA-18</x:v>
      </x:c>
      <x:c r="C1074" s="43" t="n">
        <x:v>381605</x:v>
      </x:c>
      <x:c r="D1074" s="43" t="n">
        <x:v>4089.170459695312</x:v>
      </x:c>
      <x:c r="E1074" s="43" t="n">
        <x:v>37574.71814384545</x:v>
      </x:c>
      <x:c r="F1074" s="43" t="n">
        <x:v>1249.7110051581644</x:v>
      </x:c>
      <x:c r="G1074" s="43" t="n">
        <x:v>8767.465258288736</x:v>
      </x:c>
      <x:c r="H1074" s="43" t="n">
        <x:v>329923.93513301236</x:v>
      </x:c>
      <x:c r="I1074" s="43" t="n">
        <x:v>381605</x:v>
      </x:c>
      <x:c r="J1074" s="43" t="n">
        <x:v>37717</x:v>
      </x:c>
      <x:c r="K1074" s="43" t="n">
        <x:v>3773.268208859916</x:v>
      </x:c>
      <x:c r="L1074" s="43" t="n">
        <x:v>2523.5572037017514</x:v>
      </x:c>
    </x:row>
    <x:row r="1075" ht="15" hidden="0" customHeight="1">
      <x:c r="A1075" s="29" t="str">
        <x:v>27163</x:v>
      </x:c>
      <x:c r="B1075" s="29" t="str">
        <x:v>SCA-18</x:v>
      </x:c>
      <x:c r="C1075" s="44" t="n">
        <x:v>286895</x:v>
      </x:c>
      <x:c r="D1075" s="44" t="n">
        <x:v>3032.425982542234</x:v>
      </x:c>
      <x:c r="E1075" s="44" t="n">
        <x:v>27244.484099234465</x:v>
      </x:c>
      <x:c r="F1075" s="44" t="n">
        <x:v>939.5470154344192</x:v>
      </x:c>
      <x:c r="G1075" s="44" t="n">
        <x:v>5826.382884760212</x:v>
      </x:c>
      <x:c r="H1075" s="44" t="n">
        <x:v>249852.16001802866</x:v>
      </x:c>
      <x:c r="I1075" s="44" t="n">
        <x:v>286895</x:v>
      </x:c>
      <x:c r="J1075" s="44" t="n">
        <x:v>27058</x:v>
      </x:c>
      <x:c r="K1075" s="44" t="n">
        <x:v>2836.786160508551</x:v>
      </x:c>
      <x:c r="L1075" s="44" t="n">
        <x:v>1897.2391450741318</x:v>
      </x:c>
    </x:row>
    <x:row r="1076" ht="15" hidden="0" customHeight="1">
      <x:c r="A1076" s="27" t="str">
        <x:v>46099</x:v>
      </x:c>
      <x:c r="B1076" s="27" t="str">
        <x:v>SCA-18</x:v>
      </x:c>
      <x:c r="C1076" s="43" t="n">
        <x:v>212691</x:v>
      </x:c>
      <x:c r="D1076" s="43" t="n">
        <x:v>2826.607854309326</x:v>
      </x:c>
      <x:c r="E1076" s="43" t="n">
        <x:v>22228.39455745785</x:v>
      </x:c>
      <x:c r="F1076" s="43" t="n">
        <x:v>1778.5425488303204</x:v>
      </x:c>
      <x:c r="G1076" s="43" t="n">
        <x:v>6091.7997615732165</x:v>
      </x:c>
      <x:c r="H1076" s="43" t="n">
        <x:v>179765.6552778293</x:v>
      </x:c>
      <x:c r="I1076" s="43" t="n">
        <x:v>212691</x:v>
      </x:c>
      <x:c r="J1076" s="43" t="n">
        <x:v>21734</x:v>
      </x:c>
      <x:c r="K1076" s="43" t="n">
        <x:v>3678.9672965789023</x:v>
      </x:c>
      <x:c r="L1076" s="43" t="n">
        <x:v>1900.424747748582</x:v>
      </x:c>
    </x:row>
    <x:row r="1077" ht="15" hidden="0" customHeight="1">
      <x:c r="A1077" s="29" t="str">
        <x:v>38017</x:v>
      </x:c>
      <x:c r="B1077" s="29" t="str">
        <x:v>SCA-18</x:v>
      </x:c>
      <x:c r="C1077" s="44" t="n">
        <x:v>201794</x:v>
      </x:c>
      <x:c r="D1077" s="44" t="n">
        <x:v>2826.534585807585</x:v>
      </x:c>
      <x:c r="E1077" s="44" t="n">
        <x:v>21648.78157567641</x:v>
      </x:c>
      <x:c r="F1077" s="44" t="n">
        <x:v>766.2012050848516</x:v>
      </x:c>
      <x:c r="G1077" s="44" t="n">
        <x:v>7060.686067923581</x:v>
      </x:c>
      <x:c r="H1077" s="44" t="n">
        <x:v>169491.79656550757</x:v>
      </x:c>
      <x:c r="I1077" s="44" t="n">
        <x:v>201794</x:v>
      </x:c>
      <x:c r="J1077" s="44" t="n">
        <x:v>21362</x:v>
      </x:c>
      <x:c r="K1077" s="44" t="n">
        <x:v>2690.7032252392523</x:v>
      </x:c>
      <x:c r="L1077" s="44" t="n">
        <x:v>1924.5020201544007</x:v>
      </x:c>
    </x:row>
    <x:row r="1078" ht="15" hidden="0" customHeight="1">
      <x:c r="A1078" s="27" t="str">
        <x:v>27137</x:v>
      </x:c>
      <x:c r="B1078" s="27" t="str">
        <x:v>SCA-18</x:v>
      </x:c>
      <x:c r="C1078" s="43" t="n">
        <x:v>200518</x:v>
      </x:c>
      <x:c r="D1078" s="43" t="n">
        <x:v>2580.637087771295</x:v>
      </x:c>
      <x:c r="E1078" s="43" t="n">
        <x:v>30110.63518604403</x:v>
      </x:c>
      <x:c r="F1078" s="43" t="n">
        <x:v>656.672609982324</x:v>
      </x:c>
      <x:c r="G1078" s="43" t="n">
        <x:v>8341.730009082743</x:v>
      </x:c>
      <x:c r="H1078" s="43" t="n">
        <x:v>158828.3251071196</x:v>
      </x:c>
      <x:c r="I1078" s="43" t="n">
        <x:v>200518</x:v>
      </x:c>
      <x:c r="J1078" s="43" t="n">
        <x:v>30827</x:v>
      </x:c>
      <x:c r="K1078" s="43" t="n">
        <x:v>1982.6998983351177</x:v>
      </x:c>
      <x:c r="L1078" s="43" t="n">
        <x:v>1326.0272883527937</x:v>
      </x:c>
    </x:row>
    <x:row r="1079" ht="15" hidden="0" customHeight="1">
      <x:c r="A1079" s="29" t="str">
        <x:v>27109</x:v>
      </x:c>
      <x:c r="B1079" s="29" t="str">
        <x:v>SCA-18</x:v>
      </x:c>
      <x:c r="C1079" s="44" t="n">
        <x:v>166731</x:v>
      </x:c>
      <x:c r="D1079" s="44" t="n">
        <x:v>1805.2880412946686</x:v>
      </x:c>
      <x:c r="E1079" s="44" t="n">
        <x:v>16864.667509148272</x:v>
      </x:c>
      <x:c r="F1079" s="44" t="n">
        <x:v>546.0242019916559</x:v>
      </x:c>
      <x:c r="G1079" s="44" t="n">
        <x:v>5765.932232055548</x:v>
      </x:c>
      <x:c r="H1079" s="44" t="n">
        <x:v>141749.08801550986</x:v>
      </x:c>
      <x:c r="I1079" s="44" t="n">
        <x:v>166731</x:v>
      </x:c>
      <x:c r="J1079" s="44" t="n">
        <x:v>17132</x:v>
      </x:c>
      <x:c r="K1079" s="44" t="n">
        <x:v>1648.6177637384799</x:v>
      </x:c>
      <x:c r="L1079" s="44" t="n">
        <x:v>1102.593561746824</x:v>
      </x:c>
    </x:row>
    <x:row r="1080" ht="15" hidden="0" customHeight="1">
      <x:c r="A1080" s="27" t="str">
        <x:v>27145</x:v>
      </x:c>
      <x:c r="B1080" s="27" t="str">
        <x:v>SCA-18</x:v>
      </x:c>
      <x:c r="C1080" s="43" t="n">
        <x:v>164110</x:v>
      </x:c>
      <x:c r="D1080" s="43" t="n">
        <x:v>1851.7656176951223</x:v>
      </x:c>
      <x:c r="E1080" s="43" t="n">
        <x:v>18396.114045112783</x:v>
      </x:c>
      <x:c r="F1080" s="43" t="n">
        <x:v>537.4407386080013</x:v>
      </x:c>
      <x:c r="G1080" s="43" t="n">
        <x:v>4889.136729323308</x:v>
      </x:c>
      <x:c r="H1080" s="43" t="n">
        <x:v>138435.5428692608</x:v>
      </x:c>
      <x:c r="I1080" s="43" t="n">
        <x:v>164110</x:v>
      </x:c>
      <x:c r="J1080" s="43" t="n">
        <x:v>18636</x:v>
      </x:c>
      <x:c r="K1080" s="43" t="n">
        <x:v>1622.7016044234242</x:v>
      </x:c>
      <x:c r="L1080" s="43" t="n">
        <x:v>1085.260865815423</x:v>
      </x:c>
    </x:row>
    <x:row r="1081" ht="15" hidden="0" customHeight="1">
      <x:c r="A1081" s="29" t="str">
        <x:v>27139</x:v>
      </x:c>
      <x:c r="B1081" s="29" t="str">
        <x:v>SCA-18</x:v>
      </x:c>
      <x:c r="C1081" s="44" t="n">
        <x:v>159017</x:v>
      </x:c>
      <x:c r="D1081" s="44" t="n">
        <x:v>1586.0690611026596</x:v>
      </x:c>
      <x:c r="E1081" s="44" t="n">
        <x:v>12827.717972314136</x:v>
      </x:c>
      <x:c r="F1081" s="44" t="n">
        <x:v>520.7617691257603</x:v>
      </x:c>
      <x:c r="G1081" s="44" t="n">
        <x:v>2750.6577643764813</x:v>
      </x:c>
      <x:c r="H1081" s="44" t="n">
        <x:v>141331.79343308095</x:v>
      </x:c>
      <x:c r="I1081" s="44" t="n">
        <x:v>159017</x:v>
      </x:c>
      <x:c r="J1081" s="44" t="n">
        <x:v>12875</x:v>
      </x:c>
      <x:c r="K1081" s="44" t="n">
        <x:v>1572.3425813819977</x:v>
      </x:c>
      <x:c r="L1081" s="44" t="n">
        <x:v>1051.5808122562373</x:v>
      </x:c>
    </x:row>
    <x:row r="1082" ht="15" hidden="0" customHeight="1">
      <x:c r="A1082" s="27" t="str">
        <x:v>27171</x:v>
      </x:c>
      <x:c r="B1082" s="27" t="str">
        <x:v>SCA-18</x:v>
      </x:c>
      <x:c r="C1082" s="43" t="n">
        <x:v>157559</x:v>
      </x:c>
      <x:c r="D1082" s="43" t="n">
        <x:v>1614.8886308047277</x:v>
      </x:c>
      <x:c r="E1082" s="43" t="n">
        <x:v>13750.790047312408</x:v>
      </x:c>
      <x:c r="F1082" s="43" t="n">
        <x:v>515.9869924705263</x:v>
      </x:c>
      <x:c r="G1082" s="43" t="n">
        <x:v>2840.450694773944</x:v>
      </x:c>
      <x:c r="H1082" s="43" t="n">
        <x:v>138836.8836346384</x:v>
      </x:c>
      <x:c r="I1082" s="43" t="n">
        <x:v>157559</x:v>
      </x:c>
      <x:c r="J1082" s="43" t="n">
        <x:v>13412</x:v>
      </x:c>
      <x:c r="K1082" s="43" t="n">
        <x:v>1557.9260379705702</x:v>
      </x:c>
      <x:c r="L1082" s="43" t="n">
        <x:v>1041.939045500044</x:v>
      </x:c>
    </x:row>
    <x:row r="1083" ht="15" hidden="0" customHeight="1">
      <x:c r="A1083" s="29" t="str">
        <x:v>55073</x:v>
      </x:c>
      <x:c r="B1083" s="29" t="str">
        <x:v>SCA-18</x:v>
      </x:c>
      <x:c r="C1083" s="44" t="n">
        <x:v>139432</x:v>
      </x:c>
      <x:c r="D1083" s="44" t="n">
        <x:v>1383.4864411673443</x:v>
      </x:c>
      <x:c r="E1083" s="44" t="n">
        <x:v>17110.209821914817</x:v>
      </x:c>
      <x:c r="F1083" s="44" t="n">
        <x:v>737.2965406521055</x:v>
      </x:c>
      <x:c r="G1083" s="44" t="n">
        <x:v>3272.8302329814346</x:v>
      </x:c>
      <x:c r="H1083" s="44" t="n">
        <x:v>116928.17696328429</x:v>
      </x:c>
      <x:c r="I1083" s="44" t="n">
        <x:v>139432</x:v>
      </x:c>
      <x:c r="J1083" s="44" t="n">
        <x:v>17557</x:v>
      </x:c>
      <x:c r="K1083" s="44" t="n">
        <x:v>1407.857572572999</x:v>
      </x:c>
      <x:c r="L1083" s="44" t="n">
        <x:v>670.5610319208936</x:v>
      </x:c>
    </x:row>
    <x:row r="1084" ht="15" hidden="0" customHeight="1">
      <x:c r="A1084" s="27" t="str">
        <x:v>19013</x:v>
      </x:c>
      <x:c r="B1084" s="27" t="str">
        <x:v>SCA-18</x:v>
      </x:c>
      <x:c r="C1084" s="43" t="n">
        <x:v>131532</x:v>
      </x:c>
      <x:c r="D1084" s="43" t="n">
        <x:v>1853.7971326951633</x:v>
      </x:c>
      <x:c r="E1084" s="43" t="n">
        <x:v>16757.256688225887</x:v>
      </x:c>
      <x:c r="F1084" s="43" t="n">
        <x:v>616.1772206072126</x:v>
      </x:c>
      <x:c r="G1084" s="43" t="n">
        <x:v>4848.1568800179275</x:v>
      </x:c>
      <x:c r="H1084" s="43" t="n">
        <x:v>107456.61207845382</x:v>
      </x:c>
      <x:c r="I1084" s="43" t="n">
        <x:v>131532</x:v>
      </x:c>
      <x:c r="J1084" s="43" t="n">
        <x:v>17174</x:v>
      </x:c>
      <x:c r="K1084" s="43" t="n">
        <x:v>1771.7553246262974</x:v>
      </x:c>
      <x:c r="L1084" s="43" t="n">
        <x:v>1155.5781040190848</x:v>
      </x:c>
    </x:row>
    <x:row r="1085" ht="15" hidden="0" customHeight="1">
      <x:c r="A1085" s="29" t="str">
        <x:v>55063</x:v>
      </x:c>
      <x:c r="B1085" s="29" t="str">
        <x:v>SCA-18</x:v>
      </x:c>
      <x:c r="C1085" s="44" t="n">
        <x:v>121339</x:v>
      </x:c>
      <x:c r="D1085" s="44" t="n">
        <x:v>1207.940614715786</x:v>
      </x:c>
      <x:c r="E1085" s="44" t="n">
        <x:v>14985.433026358744</x:v>
      </x:c>
      <x:c r="F1085" s="44" t="n">
        <x:v>641.6233357205364</x:v>
      </x:c>
      <x:c r="G1085" s="44" t="n">
        <x:v>4636.036805142843</x:v>
      </x:c>
      <x:c r="H1085" s="44" t="n">
        <x:v>99867.9662180621</x:v>
      </x:c>
      <x:c r="I1085" s="44" t="n">
        <x:v>121339</x:v>
      </x:c>
      <x:c r="J1085" s="44" t="n">
        <x:v>15369</x:v>
      </x:c>
      <x:c r="K1085" s="44" t="n">
        <x:v>1225.1709076713748</x:v>
      </x:c>
      <x:c r="L1085" s="44" t="n">
        <x:v>583.5475719508385</x:v>
      </x:c>
    </x:row>
    <x:row r="1086" ht="15" hidden="0" customHeight="1">
      <x:c r="A1086" s="27" t="str">
        <x:v>19049</x:v>
      </x:c>
      <x:c r="B1086" s="27" t="str">
        <x:v>SCA-18</x:v>
      </x:c>
      <x:c r="C1086" s="43" t="n">
        <x:v>118457</x:v>
      </x:c>
      <x:c r="D1086" s="43" t="n">
        <x:v>1403.8290826504262</x:v>
      </x:c>
      <x:c r="E1086" s="43" t="n">
        <x:v>8714.922257346434</x:v>
      </x:c>
      <x:c r="F1086" s="43" t="n">
        <x:v>554.9258357013396</x:v>
      </x:c>
      <x:c r="G1086" s="43" t="n">
        <x:v>1778.3994970427982</x:v>
      </x:c>
      <x:c r="H1086" s="43" t="n">
        <x:v>106004.92332725899</x:v>
      </x:c>
      <x:c r="I1086" s="43" t="n">
        <x:v>118457</x:v>
      </x:c>
      <x:c r="J1086" s="43" t="n">
        <x:v>8228</x:v>
      </x:c>
      <x:c r="K1086" s="43" t="n">
        <x:v>1595.6331576289977</x:v>
      </x:c>
      <x:c r="L1086" s="43" t="n">
        <x:v>1040.707321927658</x:v>
      </x:c>
    </x:row>
    <x:row r="1087" ht="15" hidden="0" customHeight="1">
      <x:c r="A1087" s="29" t="str">
        <x:v>27019</x:v>
      </x:c>
      <x:c r="B1087" s="29" t="str">
        <x:v>SCA-18</x:v>
      </x:c>
      <x:c r="C1087" s="44" t="n">
        <x:v>114379</x:v>
      </x:c>
      <x:c r="D1087" s="44" t="n">
        <x:v>1164.4381644609007</x:v>
      </x:c>
      <x:c r="E1087" s="44" t="n">
        <x:v>9793.172081931796</x:v>
      </x:c>
      <x:c r="F1087" s="44" t="n">
        <x:v>374.57762623389533</x:v>
      </x:c>
      <x:c r="G1087" s="44" t="n">
        <x:v>2225.569406842235</x:v>
      </x:c>
      <x:c r="H1087" s="44" t="n">
        <x:v>100821.24272053117</x:v>
      </x:c>
      <x:c r="I1087" s="44" t="n">
        <x:v>114379</x:v>
      </x:c>
      <x:c r="J1087" s="44" t="n">
        <x:v>9784</x:v>
      </x:c>
      <x:c r="K1087" s="44" t="n">
        <x:v>1130.9669539476376</x:v>
      </x:c>
      <x:c r="L1087" s="44" t="n">
        <x:v>756.3893277137423</x:v>
      </x:c>
    </x:row>
    <x:row r="1088" ht="15" hidden="0" customHeight="1">
      <x:c r="A1088" s="27" t="str">
        <x:v>55035</x:v>
      </x:c>
      <x:c r="B1088" s="27" t="str">
        <x:v>SCA-18</x:v>
      </x:c>
      <x:c r="C1088" s="43" t="n">
        <x:v>109033</x:v>
      </x:c>
      <x:c r="D1088" s="43" t="n">
        <x:v>1093.0619688859779</x:v>
      </x:c>
      <x:c r="E1088" s="43" t="n">
        <x:v>13648.723756775293</x:v>
      </x:c>
      <x:c r="F1088" s="43" t="n">
        <x:v>576.5509618804938</x:v>
      </x:c>
      <x:c r="G1088" s="43" t="n">
        <x:v>4140.186673931218</x:v>
      </x:c>
      <x:c r="H1088" s="43" t="n">
        <x:v>89574.47663852702</x:v>
      </x:c>
      <x:c r="I1088" s="43" t="n">
        <x:v>109033</x:v>
      </x:c>
      <x:c r="J1088" s="43" t="n">
        <x:v>13881</x:v>
      </x:c>
      <x:c r="K1088" s="43" t="n">
        <x:v>1100.916107567501</x:v>
      </x:c>
      <x:c r="L1088" s="43" t="n">
        <x:v>524.3651456870073</x:v>
      </x:c>
    </x:row>
    <x:row r="1089" ht="15" hidden="0" customHeight="1">
      <x:c r="A1089" s="29" t="str">
        <x:v>19193</x:v>
      </x:c>
      <x:c r="B1089" s="29" t="str">
        <x:v>SCA-18</x:v>
      </x:c>
      <x:c r="C1089" s="44" t="n">
        <x:v>106649</x:v>
      </x:c>
      <x:c r="D1089" s="44" t="n">
        <x:v>1514.5847490762196</x:v>
      </x:c>
      <x:c r="E1089" s="44" t="n">
        <x:v>13862.806678215842</x:v>
      </x:c>
      <x:c r="F1089" s="44" t="n">
        <x:v>499.6098622429418</x:v>
      </x:c>
      <x:c r="G1089" s="44" t="n">
        <x:v>3233.166474709208</x:v>
      </x:c>
      <x:c r="H1089" s="44" t="n">
        <x:v>87538.83223575578</x:v>
      </x:c>
      <x:c r="I1089" s="44" t="n">
        <x:v>106649</x:v>
      </x:c>
      <x:c r="J1089" s="44" t="n">
        <x:v>14225</x:v>
      </x:c>
      <x:c r="K1089" s="44" t="n">
        <x:v>1436.5776663935012</x:v>
      </x:c>
      <x:c r="L1089" s="44" t="n">
        <x:v>936.9678041505593</x:v>
      </x:c>
    </x:row>
    <x:row r="1090" ht="15" hidden="0" customHeight="1">
      <x:c r="A1090" s="27" t="str">
        <x:v>27141</x:v>
      </x:c>
      <x:c r="B1090" s="27" t="str">
        <x:v>SCA-18</x:v>
      </x:c>
      <x:c r="C1090" s="43" t="n">
        <x:v>104194</x:v>
      </x:c>
      <x:c r="D1090" s="43" t="n">
        <x:v>1117.3408484992462</x:v>
      </x:c>
      <x:c r="E1090" s="43" t="n">
        <x:v>10279.320357483026</x:v>
      </x:c>
      <x:c r="F1090" s="43" t="n">
        <x:v>341.22296215052154</x:v>
      </x:c>
      <x:c r="G1090" s="43" t="n">
        <x:v>2439.578599655487</x:v>
      </x:c>
      <x:c r="H1090" s="43" t="n">
        <x:v>90016.53723221172</x:v>
      </x:c>
      <x:c r="I1090" s="43" t="n">
        <x:v>104194</x:v>
      </x:c>
      <x:c r="J1090" s="43" t="n">
        <x:v>10142</x:v>
      </x:c>
      <x:c r="K1090" s="43" t="n">
        <x:v>1030.2587957546418</x:v>
      </x:c>
      <x:c r="L1090" s="43" t="n">
        <x:v>689.0358336041203</x:v>
      </x:c>
    </x:row>
    <x:row r="1091" ht="15" hidden="0" customHeight="1">
      <x:c r="A1091" s="29" t="str">
        <x:v>38015</x:v>
      </x:c>
      <x:c r="B1091" s="29" t="str">
        <x:v>SCA-18</x:v>
      </x:c>
      <x:c r="C1091" s="44" t="n">
        <x:v>103251</x:v>
      </x:c>
      <x:c r="D1091" s="44" t="n">
        <x:v>1480.2167747420665</x:v>
      </x:c>
      <x:c r="E1091" s="44" t="n">
        <x:v>11892.378059923112</x:v>
      </x:c>
      <x:c r="F1091" s="44" t="n">
        <x:v>392.038616738932</x:v>
      </x:c>
      <x:c r="G1091" s="44" t="n">
        <x:v>2904.5111618493584</x:v>
      </x:c>
      <x:c r="H1091" s="44" t="n">
        <x:v>86581.85538674654</x:v>
      </x:c>
      <x:c r="I1091" s="44" t="n">
        <x:v>103251</x:v>
      </x:c>
      <x:c r="J1091" s="44" t="n">
        <x:v>11797</x:v>
      </x:c>
      <x:c r="K1091" s="44" t="n">
        <x:v>1376.739638984202</x:v>
      </x:c>
      <x:c r="L1091" s="44" t="n">
        <x:v>984.70102224527</x:v>
      </x:c>
    </x:row>
    <x:row r="1092" ht="15" hidden="0" customHeight="1">
      <x:c r="A1092" s="27" t="str">
        <x:v>19169</x:v>
      </x:c>
      <x:c r="B1092" s="27" t="str">
        <x:v>SCA-18</x:v>
      </x:c>
      <x:c r="C1092" s="43" t="n">
        <x:v>101291</x:v>
      </x:c>
      <x:c r="D1092" s="43" t="n">
        <x:v>1278.510625839417</x:v>
      </x:c>
      <x:c r="E1092" s="43" t="n">
        <x:v>9326.776371446595</x:v>
      </x:c>
      <x:c r="F1092" s="43" t="n">
        <x:v>474.50967713199185</x:v>
      </x:c>
      <x:c r="G1092" s="43" t="n">
        <x:v>3438.2327849482826</x:v>
      </x:c>
      <x:c r="H1092" s="43" t="n">
        <x:v>86772.97054063372</x:v>
      </x:c>
      <x:c r="I1092" s="43" t="n">
        <x:v>101291</x:v>
      </x:c>
      <x:c r="J1092" s="43" t="n">
        <x:v>9579</x:v>
      </x:c>
      <x:c r="K1092" s="43" t="n">
        <x:v>1364.4046208278007</x:v>
      </x:c>
      <x:c r="L1092" s="43" t="n">
        <x:v>889.8949436958088</x:v>
      </x:c>
    </x:row>
    <x:row r="1093" ht="15" hidden="0" customHeight="1">
      <x:c r="A1093" s="29" t="str">
        <x:v>55109</x:v>
      </x:c>
      <x:c r="B1093" s="29" t="str">
        <x:v>SCA-18</x:v>
      </x:c>
      <x:c r="C1093" s="44" t="n">
        <x:v>98276</x:v>
      </x:c>
      <x:c r="D1093" s="44" t="n">
        <x:v>864.0910558107835</x:v>
      </x:c>
      <x:c r="E1093" s="44" t="n">
        <x:v>9395.012012292977</x:v>
      </x:c>
      <x:c r="F1093" s="44" t="n">
        <x:v>519.6694792380969</x:v>
      </x:c>
      <x:c r="G1093" s="44" t="n">
        <x:v>1709.894744018712</x:v>
      </x:c>
      <x:c r="H1093" s="44" t="n">
        <x:v>85787.33270863943</x:v>
      </x:c>
      <x:c r="I1093" s="44" t="n">
        <x:v>98276</x:v>
      </x:c>
      <x:c r="J1093" s="44" t="n">
        <x:v>9494</x:v>
      </x:c>
      <x:c r="K1093" s="44" t="n">
        <x:v>992.3017012033397</x:v>
      </x:c>
      <x:c r="L1093" s="44" t="n">
        <x:v>472.6322219652428</x:v>
      </x:c>
    </x:row>
    <x:row r="1094" ht="15" hidden="0" customHeight="1">
      <x:c r="A1094" s="27" t="str">
        <x:v>19155</x:v>
      </x:c>
      <x:c r="B1094" s="27" t="str">
        <x:v>SCA-18</x:v>
      </x:c>
      <x:c r="C1094" s="43" t="n">
        <x:v>92996</x:v>
      </x:c>
      <x:c r="D1094" s="43" t="n">
        <x:v>1400.5748815343627</x:v>
      </x:c>
      <x:c r="E1094" s="43" t="n">
        <x:v>14005.341475525767</x:v>
      </x:c>
      <x:c r="F1094" s="43" t="n">
        <x:v>435.6507679316694</x:v>
      </x:c>
      <x:c r="G1094" s="43" t="n">
        <x:v>2741.415697453026</x:v>
      </x:c>
      <x:c r="H1094" s="43" t="n">
        <x:v>74413.01717755517</x:v>
      </x:c>
      <x:c r="I1094" s="43" t="n">
        <x:v>92996</x:v>
      </x:c>
      <x:c r="J1094" s="43" t="n">
        <x:v>14419</x:v>
      </x:c>
      <x:c r="K1094" s="43" t="n">
        <x:v>1252.6697546524583</x:v>
      </x:c>
      <x:c r="L1094" s="43" t="n">
        <x:v>817.0189867207889</x:v>
      </x:c>
    </x:row>
    <x:row r="1095" ht="15" hidden="0" customHeight="1">
      <x:c r="A1095" s="29" t="str">
        <x:v>46083</x:v>
      </x:c>
      <x:c r="B1095" s="29" t="str">
        <x:v>SCA-18</x:v>
      </x:c>
      <x:c r="C1095" s="44" t="n">
        <x:v>77145</x:v>
      </x:c>
      <x:c r="D1095" s="44" t="n">
        <x:v>971.7304032881427</x:v>
      </x:c>
      <x:c r="E1095" s="44" t="n">
        <x:v>6778.288958990536</x:v>
      </x:c>
      <x:c r="F1095" s="44" t="n">
        <x:v>645.0938917467832</x:v>
      </x:c>
      <x:c r="G1095" s="44" t="n">
        <x:v>984.786597322875</x:v>
      </x:c>
      <x:c r="H1095" s="44" t="n">
        <x:v>67765.10014865166</x:v>
      </x:c>
      <x:c r="I1095" s="44" t="n">
        <x:v>77145</x:v>
      </x:c>
      <x:c r="J1095" s="44" t="n">
        <x:v>6441</x:v>
      </x:c>
      <x:c r="K1095" s="44" t="n">
        <x:v>1334.3955884103202</x:v>
      </x:c>
      <x:c r="L1095" s="44" t="n">
        <x:v>689.301696663537</x:v>
      </x:c>
    </x:row>
    <x:row r="1096" ht="15" hidden="0" customHeight="1">
      <x:c r="A1096" s="27" t="str">
        <x:v>38035</x:v>
      </x:c>
      <x:c r="B1096" s="27" t="str">
        <x:v>SCA-18</x:v>
      </x:c>
      <x:c r="C1096" s="43" t="n">
        <x:v>74501</x:v>
      </x:c>
      <x:c r="D1096" s="43" t="n">
        <x:v>1005.1116326995837</x:v>
      </x:c>
      <x:c r="E1096" s="43" t="n">
        <x:v>7070.35949201147</x:v>
      </x:c>
      <x:c r="F1096" s="43" t="n">
        <x:v>282.876378782454</x:v>
      </x:c>
      <x:c r="G1096" s="43" t="n">
        <x:v>2882.3053511138737</x:v>
      </x:c>
      <x:c r="H1096" s="43" t="n">
        <x:v>63260.34714539262</x:v>
      </x:c>
      <x:c r="I1096" s="43" t="n">
        <x:v>74501</x:v>
      </x:c>
      <x:c r="J1096" s="43" t="n">
        <x:v>6998</x:v>
      </x:c>
      <x:c r="K1096" s="43" t="n">
        <x:v>993.389699314893</x:v>
      </x:c>
      <x:c r="L1096" s="43" t="n">
        <x:v>710.513320532439</x:v>
      </x:c>
    </x:row>
    <x:row r="1097" ht="15" hidden="0" customHeight="1">
      <x:c r="A1097" s="29" t="str">
        <x:v>55141</x:v>
      </x:c>
      <x:c r="B1097" s="29" t="str">
        <x:v>SCA-18</x:v>
      </x:c>
      <x:c r="C1097" s="44" t="n">
        <x:v>74060</x:v>
      </x:c>
      <x:c r="D1097" s="44" t="n">
        <x:v>797.6134532126442</x:v>
      </x:c>
      <x:c r="E1097" s="44" t="n">
        <x:v>10594.59905633439</x:v>
      </x:c>
      <x:c r="F1097" s="44" t="n">
        <x:v>391.6187231101535</x:v>
      </x:c>
      <x:c r="G1097" s="44" t="n">
        <x:v>2072.574303468719</x:v>
      </x:c>
      <x:c r="H1097" s="44" t="n">
        <x:v>60203.5944638741</x:v>
      </x:c>
      <x:c r="I1097" s="44" t="n">
        <x:v>74060</x:v>
      </x:c>
      <x:c r="J1097" s="44" t="n">
        <x:v>10959</x:v>
      </x:c>
      <x:c r="K1097" s="44" t="n">
        <x:v>747.7905489755315</x:v>
      </x:c>
      <x:c r="L1097" s="44" t="n">
        <x:v>356.17182586537797</x:v>
      </x:c>
    </x:row>
    <x:row r="1098" ht="15" hidden="0" customHeight="1">
      <x:c r="A1098" s="27" t="str">
        <x:v>55097</x:v>
      </x:c>
      <x:c r="B1098" s="27" t="str">
        <x:v>SCA-18</x:v>
      </x:c>
      <x:c r="C1098" s="43" t="n">
        <x:v>71943</x:v>
      </x:c>
      <x:c r="D1098" s="43" t="n">
        <x:v>696.2318584673479</x:v>
      </x:c>
      <x:c r="E1098" s="43" t="n">
        <x:v>8405.788313213796</x:v>
      </x:c>
      <x:c r="F1098" s="43" t="n">
        <x:v>380.4243288781228</x:v>
      </x:c>
      <x:c r="G1098" s="43" t="n">
        <x:v>1219.5086186156436</x:v>
      </x:c>
      <x:c r="H1098" s="43" t="n">
        <x:v>61241.04688082509</x:v>
      </x:c>
      <x:c r="I1098" s="43" t="n">
        <x:v>71943</x:v>
      </x:c>
      <x:c r="J1098" s="43" t="n">
        <x:v>8600</x:v>
      </x:c>
      <x:c r="K1098" s="43" t="n">
        <x:v>726.4150076282293</x:v>
      </x:c>
      <x:c r="L1098" s="43" t="n">
        <x:v>345.9906787501065</x:v>
      </x:c>
    </x:row>
    <x:row r="1099" ht="15" hidden="0" customHeight="1">
      <x:c r="A1099" s="29" t="str">
        <x:v>27013</x:v>
      </x:c>
      <x:c r="B1099" s="29" t="str">
        <x:v>SCA-18</x:v>
      </x:c>
      <x:c r="C1099" s="44" t="n">
        <x:v>70634</x:v>
      </x:c>
      <x:c r="D1099" s="44" t="n">
        <x:v>796.5836905018296</x:v>
      </x:c>
      <x:c r="E1099" s="44" t="n">
        <x:v>7907.530332423178</x:v>
      </x:c>
      <x:c r="F1099" s="44" t="n">
        <x:v>231.31795217133367</x:v>
      </x:c>
      <x:c r="G1099" s="44" t="n">
        <x:v>2601.567705398807</x:v>
      </x:c>
      <x:c r="H1099" s="44" t="n">
        <x:v>59097.00031950485</x:v>
      </x:c>
      <x:c r="I1099" s="44" t="n">
        <x:v>70634</x:v>
      </x:c>
      <x:c r="J1099" s="44" t="n">
        <x:v>8072</x:v>
      </x:c>
      <x:c r="K1099" s="44" t="n">
        <x:v>698.4212121555307</x:v>
      </x:c>
      <x:c r="L1099" s="44" t="n">
        <x:v>467.10325998419705</x:v>
      </x:c>
    </x:row>
    <x:row r="1100" ht="15" hidden="0" customHeight="1">
      <x:c r="A1100" s="27" t="str">
        <x:v>27131</x:v>
      </x:c>
      <x:c r="B1100" s="27" t="str">
        <x:v>SCA-18</x:v>
      </x:c>
      <x:c r="C1100" s="43" t="n">
        <x:v>69939</x:v>
      </x:c>
      <x:c r="D1100" s="43" t="n">
        <x:v>755.5971437431667</x:v>
      </x:c>
      <x:c r="E1100" s="43" t="n">
        <x:v>7034.158196150321</x:v>
      </x:c>
      <x:c r="F1100" s="43" t="n">
        <x:v>229.04190980138313</x:v>
      </x:c>
      <x:c r="G1100" s="43" t="n">
        <x:v>1875.067048579285</x:v>
      </x:c>
      <x:c r="H1100" s="43" t="n">
        <x:v>60045.13570172585</x:v>
      </x:c>
      <x:c r="I1100" s="43" t="n">
        <x:v>69939</x:v>
      </x:c>
      <x:c r="J1100" s="43" t="n">
        <x:v>6858</x:v>
      </x:c>
      <x:c r="K1100" s="43" t="n">
        <x:v>691.5491287049531</x:v>
      </x:c>
      <x:c r="L1100" s="43" t="n">
        <x:v>462.50721890356994</x:v>
      </x:c>
    </x:row>
    <x:row r="1101" ht="15" hidden="0" customHeight="1">
      <x:c r="A1101" s="29" t="str">
        <x:v>27035</x:v>
      </x:c>
      <x:c r="B1101" s="29" t="str">
        <x:v>SCA-18</x:v>
      </x:c>
      <x:c r="C1101" s="44" t="n">
        <x:v>69132</x:v>
      </x:c>
      <x:c r="D1101" s="44" t="n">
        <x:v>898.1261648221008</x:v>
      </x:c>
      <x:c r="E1101" s="44" t="n">
        <x:v>10582.935455497383</x:v>
      </x:c>
      <x:c r="F1101" s="44" t="n">
        <x:v>226.39908074735445</x:v>
      </x:c>
      <x:c r="G1101" s="44" t="n">
        <x:v>1567.1840688107704</x:v>
      </x:c>
      <x:c r="H1101" s="44" t="n">
        <x:v>55857.35523012239</x:v>
      </x:c>
      <x:c r="I1101" s="44" t="n">
        <x:v>69132</x:v>
      </x:c>
      <x:c r="J1101" s="44" t="n">
        <x:v>10660</x:v>
      </x:c>
      <x:c r="K1101" s="44" t="n">
        <x:v>683.5696015903976</x:v>
      </x:c>
      <x:c r="L1101" s="44" t="n">
        <x:v>457.17052084304316</x:v>
      </x:c>
    </x:row>
    <x:row r="1102" ht="15" hidden="0" customHeight="1">
      <x:c r="A1102" s="27" t="str">
        <x:v>38101</x:v>
      </x:c>
      <x:c r="B1102" s="27" t="str">
        <x:v>SCA-18</x:v>
      </x:c>
      <x:c r="C1102" s="43" t="n">
        <x:v>68233</x:v>
      </x:c>
      <x:c r="D1102" s="43" t="n">
        <x:v>1039.8895318482191</x:v>
      </x:c>
      <x:c r="E1102" s="43" t="n">
        <x:v>9339.69357050271</x:v>
      </x:c>
      <x:c r="F1102" s="43" t="n">
        <x:v>259.0771124342383</x:v>
      </x:c>
      <x:c r="G1102" s="43" t="n">
        <x:v>1900.4653772273673</x:v>
      </x:c>
      <x:c r="H1102" s="43" t="n">
        <x:v>55693.87440798747</x:v>
      </x:c>
      <x:c r="I1102" s="43" t="n">
        <x:v>68233</x:v>
      </x:c>
      <x:c r="J1102" s="43" t="n">
        <x:v>9130</x:v>
      </x:c>
      <x:c r="K1102" s="43" t="n">
        <x:v>909.8127455115113</x:v>
      </x:c>
      <x:c r="L1102" s="43" t="n">
        <x:v>650.735633077273</x:v>
      </x:c>
    </x:row>
    <x:row r="1103" ht="15" hidden="0" customHeight="1">
      <x:c r="A1103" s="29" t="str">
        <x:v>26103</x:v>
      </x:c>
      <x:c r="B1103" s="29" t="str">
        <x:v>SCA-18</x:v>
      </x:c>
      <x:c r="C1103" s="44" t="n">
        <x:v>68064</x:v>
      </x:c>
      <x:c r="D1103" s="44" t="n">
        <x:v>721.1381257996372</x:v>
      </x:c>
      <x:c r="E1103" s="44" t="n">
        <x:v>10097.087633167748</x:v>
      </x:c>
      <x:c r="F1103" s="44" t="n">
        <x:v>380.62847967916684</x:v>
      </x:c>
      <x:c r="G1103" s="44" t="n">
        <x:v>2214.290943828812</x:v>
      </x:c>
      <x:c r="H1103" s="44" t="n">
        <x:v>54650.85481752464</x:v>
      </x:c>
      <x:c r="I1103" s="44" t="n">
        <x:v>68064</x:v>
      </x:c>
      <x:c r="J1103" s="44" t="n">
        <x:v>10110</x:v>
      </x:c>
      <x:c r="K1103" s="44" t="n">
        <x:v>681.0546207634811</x:v>
      </x:c>
      <x:c r="L1103" s="44" t="n">
        <x:v>300.4261410843143</x:v>
      </x:c>
    </x:row>
    <x:row r="1104" ht="15" hidden="0" customHeight="1">
      <x:c r="A1104" s="27" t="str">
        <x:v>27027</x:v>
      </x:c>
      <x:c r="B1104" s="27" t="str">
        <x:v>SCA-18</x:v>
      </x:c>
      <x:c r="C1104" s="43" t="n">
        <x:v>67734</x:v>
      </x:c>
      <x:c r="D1104" s="43" t="n">
        <x:v>793.9359969680257</x:v>
      </x:c>
      <x:c r="E1104" s="43" t="n">
        <x:v>8304.251096549513</x:v>
      </x:c>
      <x:c r="F1104" s="43" t="n">
        <x:v>221.82079695859096</x:v>
      </x:c>
      <x:c r="G1104" s="43" t="n">
        <x:v>2815.318242221509</x:v>
      </x:c>
      <x:c r="H1104" s="43" t="n">
        <x:v>55598.673867302365</x:v>
      </x:c>
      <x:c r="I1104" s="43" t="n">
        <x:v>67734</x:v>
      </x:c>
      <x:c r="J1104" s="43" t="n">
        <x:v>8361</x:v>
      </x:c>
      <x:c r="K1104" s="43" t="n">
        <x:v>669.746331570387</x:v>
      </x:c>
      <x:c r="L1104" s="43" t="n">
        <x:v>447.9255346117961</x:v>
      </x:c>
    </x:row>
    <x:row r="1105" ht="15" hidden="0" customHeight="1">
      <x:c r="A1105" s="29" t="str">
        <x:v>55017</x:v>
      </x:c>
      <x:c r="B1105" s="29" t="str">
        <x:v>SCA-18</x:v>
      </x:c>
      <x:c r="C1105" s="44" t="n">
        <x:v>67614</x:v>
      </x:c>
      <x:c r="D1105" s="44" t="n">
        <x:v>641.7162150930353</x:v>
      </x:c>
      <x:c r="E1105" s="44" t="n">
        <x:v>7597.072985923371</x:v>
      </x:c>
      <x:c r="F1105" s="44" t="n">
        <x:v>357.5331939558455</x:v>
      </x:c>
      <x:c r="G1105" s="44" t="n">
        <x:v>1889.9735014449523</x:v>
      </x:c>
      <x:c r="H1105" s="44" t="n">
        <x:v>57127.70410358279</x:v>
      </x:c>
      <x:c r="I1105" s="44" t="n">
        <x:v>67614</x:v>
      </x:c>
      <x:c r="J1105" s="44" t="n">
        <x:v>7533</x:v>
      </x:c>
      <x:c r="K1105" s="44" t="n">
        <x:v>682.7047013020738</x:v>
      </x:c>
      <x:c r="L1105" s="44" t="n">
        <x:v>325.1715073462283</x:v>
      </x:c>
    </x:row>
    <x:row r="1106" ht="15" hidden="0" customHeight="1">
      <x:c r="A1106" s="27" t="str">
        <x:v>27111</x:v>
      </x:c>
      <x:c r="B1106" s="27" t="str">
        <x:v>SCA-18</x:v>
      </x:c>
      <x:c r="C1106" s="43" t="n">
        <x:v>61041</x:v>
      </x:c>
      <x:c r="D1106" s="43" t="n">
        <x:v>758.3706588809353</x:v>
      </x:c>
      <x:c r="E1106" s="43" t="n">
        <x:v>8512.94380384538</x:v>
      </x:c>
      <x:c r="F1106" s="43" t="n">
        <x:v>199.9020177038023</x:v>
      </x:c>
      <x:c r="G1106" s="43" t="n">
        <x:v>1763.7277919206806</x:v>
      </x:c>
      <x:c r="H1106" s="43" t="n">
        <x:v>49806.0557276492</x:v>
      </x:c>
      <x:c r="I1106" s="43" t="n">
        <x:v>61041</x:v>
      </x:c>
      <x:c r="J1106" s="43" t="n">
        <x:v>8674</x:v>
      </x:c>
      <x:c r="K1106" s="43" t="n">
        <x:v>603.5666847578467</x:v>
      </x:c>
      <x:c r="L1106" s="43" t="n">
        <x:v>403.6646670540444</x:v>
      </x:c>
    </x:row>
    <x:row r="1107" ht="15" hidden="0" customHeight="1">
      <x:c r="A1107" s="29" t="str">
        <x:v>27025</x:v>
      </x:c>
      <x:c r="B1107" s="29" t="str">
        <x:v>SCA-18</x:v>
      </x:c>
      <x:c r="C1107" s="44" t="n">
        <x:v>59142</x:v>
      </x:c>
      <x:c r="D1107" s="44" t="n">
        <x:v>664.3228915232083</x:v>
      </x:c>
      <x:c r="E1107" s="44" t="n">
        <x:v>6557.19187400909</x:v>
      </x:c>
      <x:c r="F1107" s="44" t="n">
        <x:v>193.68301848000976</x:v>
      </x:c>
      <x:c r="G1107" s="44" t="n">
        <x:v>1022.4916323151182</x:v>
      </x:c>
      <x:c r="H1107" s="44" t="n">
        <x:v>50704.31058367258</x:v>
      </x:c>
      <x:c r="I1107" s="44" t="n">
        <x:v>59142</x:v>
      </x:c>
      <x:c r="J1107" s="44" t="n">
        <x:v>6556</x:v>
      </x:c>
      <x:c r="K1107" s="44" t="n">
        <x:v>584.7895819195061</x:v>
      </x:c>
      <x:c r="L1107" s="44" t="n">
        <x:v>391.1065634394963</x:v>
      </x:c>
    </x:row>
    <x:row r="1108" ht="15" hidden="0" customHeight="1">
      <x:c r="A1108" s="27" t="str">
        <x:v>19181</x:v>
      </x:c>
      <x:c r="B1108" s="27" t="str">
        <x:v>SCA-18</x:v>
      </x:c>
      <x:c r="C1108" s="43" t="n">
        <x:v>57331</x:v>
      </x:c>
      <x:c r="D1108" s="43" t="n">
        <x:v>769.8441087865524</x:v>
      </x:c>
      <x:c r="E1108" s="43" t="n">
        <x:v>6387.8637050259385</x:v>
      </x:c>
      <x:c r="F1108" s="43" t="n">
        <x:v>268.57385453450195</x:v>
      </x:c>
      <x:c r="G1108" s="43" t="n">
        <x:v>916.2003960506497</x:v>
      </x:c>
      <x:c r="H1108" s="43" t="n">
        <x:v>48988.51793560236</x:v>
      </x:c>
      <x:c r="I1108" s="43" t="n">
        <x:v>57331</x:v>
      </x:c>
      <x:c r="J1108" s="43" t="n">
        <x:v>6242</x:v>
      </x:c>
      <x:c r="K1108" s="43" t="n">
        <x:v>772.2569756116402</x:v>
      </x:c>
      <x:c r="L1108" s="43" t="n">
        <x:v>503.68312107713825</x:v>
      </x:c>
    </x:row>
    <x:row r="1109" ht="15" hidden="0" customHeight="1">
      <x:c r="A1109" s="29" t="str">
        <x:v>27169</x:v>
      </x:c>
      <x:c r="B1109" s="29" t="str">
        <x:v>SCA-18</x:v>
      </x:c>
      <x:c r="C1109" s="44" t="n">
        <x:v>50523</x:v>
      </x:c>
      <x:c r="D1109" s="44" t="n">
        <x:v>570.2432434295583</x:v>
      </x:c>
      <x:c r="E1109" s="44" t="n">
        <x:v>5667.220857566103</x:v>
      </x:c>
      <x:c r="F1109" s="44" t="n">
        <x:v>165.45681821151697</x:v>
      </x:c>
      <x:c r="G1109" s="44" t="n">
        <x:v>1636.9279713468213</x:v>
      </x:c>
      <x:c r="H1109" s="44" t="n">
        <x:v>42483.151109446</x:v>
      </x:c>
      <x:c r="I1109" s="44" t="n">
        <x:v>50523</x:v>
      </x:c>
      <x:c r="J1109" s="44" t="n">
        <x:v>5758</x:v>
      </x:c>
      <x:c r="K1109" s="44" t="n">
        <x:v>499.5658592424877</x:v>
      </x:c>
      <x:c r="L1109" s="44" t="n">
        <x:v>334.10904103097073</x:v>
      </x:c>
    </x:row>
    <x:row r="1110" ht="15" hidden="0" customHeight="1">
      <x:c r="A1110" s="27" t="str">
        <x:v>27049</x:v>
      </x:c>
      <x:c r="B1110" s="27" t="str">
        <x:v>SCA-18</x:v>
      </x:c>
      <x:c r="C1110" s="43" t="n">
        <x:v>48195</x:v>
      </x:c>
      <x:c r="D1110" s="43" t="n">
        <x:v>539.8557496084284</x:v>
      </x:c>
      <x:c r="E1110" s="43" t="n">
        <x:v>5307.403030688909</x:v>
      </x:c>
      <x:c r="F1110" s="43" t="n">
        <x:v>157.83289499246</x:v>
      </x:c>
      <x:c r="G1110" s="43" t="n">
        <x:v>1622.2902606222676</x:v>
      </x:c>
      <x:c r="H1110" s="43" t="n">
        <x:v>40567.61806408794</x:v>
      </x:c>
      <x:c r="I1110" s="43" t="n">
        <x:v>48195</x:v>
      </x:c>
      <x:c r="J1110" s="43" t="n">
        <x:v>5405</x:v>
      </x:c>
      <x:c r="K1110" s="43" t="n">
        <x:v>476.5468516555172</x:v>
      </x:c>
      <x:c r="L1110" s="43" t="n">
        <x:v>318.71395666305716</x:v>
      </x:c>
    </x:row>
    <x:row r="1111" ht="15" hidden="0" customHeight="1">
      <x:c r="A1111" s="29" t="str">
        <x:v>27007</x:v>
      </x:c>
      <x:c r="B1111" s="29" t="str">
        <x:v>SCA-18</x:v>
      </x:c>
      <x:c r="C1111" s="44" t="n">
        <x:v>47055</x:v>
      </x:c>
      <x:c r="D1111" s="44" t="n">
        <x:v>587.9305808773892</x:v>
      </x:c>
      <x:c r="E1111" s="44" t="n">
        <x:v>6642.130900519447</x:v>
      </x:c>
      <x:c r="F1111" s="44" t="n">
        <x:v>154.09953052951982</x:v>
      </x:c>
      <x:c r="G1111" s="44" t="n">
        <x:v>1467.520635994587</x:v>
      </x:c>
      <x:c r="H1111" s="44" t="n">
        <x:v>38203.318352079055</x:v>
      </x:c>
      <x:c r="I1111" s="44" t="n">
        <x:v>47055</x:v>
      </x:c>
      <x:c r="J1111" s="44" t="n">
        <x:v>6737</x:v>
      </x:c>
      <x:c r="K1111" s="44" t="n">
        <x:v>465.27465721859863</x:v>
      </x:c>
      <x:c r="L1111" s="44" t="n">
        <x:v>311.1751266890788</x:v>
      </x:c>
    </x:row>
    <x:row r="1112" ht="15" hidden="0" customHeight="1">
      <x:c r="A1112" s="27" t="str">
        <x:v>55081</x:v>
      </x:c>
      <x:c r="B1112" s="27" t="str">
        <x:v>SCA-18</x:v>
      </x:c>
      <x:c r="C1112" s="43" t="n">
        <x:v>46572</x:v>
      </x:c>
      <x:c r="D1112" s="43" t="n">
        <x:v>475.61192051614023</x:v>
      </x:c>
      <x:c r="E1112" s="43" t="n">
        <x:v>6039.271258727396</x:v>
      </x:c>
      <x:c r="F1112" s="43" t="n">
        <x:v>246.266097389766</x:v>
      </x:c>
      <x:c r="G1112" s="43" t="n">
        <x:v>2740.069158425655</x:v>
      </x:c>
      <x:c r="H1112" s="43" t="n">
        <x:v>37070.78156494104</x:v>
      </x:c>
      <x:c r="I1112" s="43" t="n">
        <x:v>46572</x:v>
      </x:c>
      <x:c r="J1112" s="43" t="n">
        <x:v>6133</x:v>
      </x:c>
      <x:c r="K1112" s="43" t="n">
        <x:v>470.2417154589313</x:v>
      </x:c>
      <x:c r="L1112" s="43" t="n">
        <x:v>223.9756180691653</x:v>
      </x:c>
    </x:row>
    <x:row r="1113" ht="15" hidden="0" customHeight="1">
      <x:c r="A1113" s="29" t="str">
        <x:v>55005</x:v>
      </x:c>
      <x:c r="B1113" s="29" t="str">
        <x:v>SCA-18</x:v>
      </x:c>
      <x:c r="C1113" s="44" t="n">
        <x:v>46484</x:v>
      </x:c>
      <x:c r="D1113" s="44" t="n">
        <x:v>491.67416364811413</x:v>
      </x:c>
      <x:c r="E1113" s="44" t="n">
        <x:v>6434.922194843025</x:v>
      </x:c>
      <x:c r="F1113" s="44" t="n">
        <x:v>245.8007659337345</x:v>
      </x:c>
      <x:c r="G1113" s="44" t="n">
        <x:v>1125.8034523681088</x:v>
      </x:c>
      <x:c r="H1113" s="44" t="n">
        <x:v>38185.79942320702</x:v>
      </x:c>
      <x:c r="I1113" s="44" t="n">
        <x:v>46484</x:v>
      </x:c>
      <x:c r="J1113" s="44" t="n">
        <x:v>6683</x:v>
      </x:c>
      <x:c r="K1113" s="44" t="n">
        <x:v>469.35317146338923</x:v>
      </x:c>
      <x:c r="L1113" s="44" t="n">
        <x:v>223.55240552965472</x:v>
      </x:c>
    </x:row>
    <x:row r="1114" ht="15" hidden="0" customHeight="1">
      <x:c r="A1114" s="27" t="str">
        <x:v>55033</x:v>
      </x:c>
      <x:c r="B1114" s="27" t="str">
        <x:v>SCA-18</x:v>
      </x:c>
      <x:c r="C1114" s="43" t="n">
        <x:v>46223</x:v>
      </x:c>
      <x:c r="D1114" s="43" t="n">
        <x:v>463.96737586125073</x:v>
      </x:c>
      <x:c r="E1114" s="43" t="n">
        <x:v>5800.084325998009</x:v>
      </x:c>
      <x:c r="F1114" s="43" t="n">
        <x:v>244.42063513800466</x:v>
      </x:c>
      <x:c r="G1114" s="43" t="n">
        <x:v>715.426628331306</x:v>
      </x:c>
      <x:c r="H1114" s="43" t="n">
        <x:v>38999.101034671425</x:v>
      </x:c>
      <x:c r="I1114" s="43" t="n">
        <x:v>46223</x:v>
      </x:c>
      <x:c r="J1114" s="43" t="n">
        <x:v>5910</x:v>
      </x:c>
      <x:c r="K1114" s="43" t="n">
        <x:v>466.71783074933825</x:v>
      </x:c>
      <x:c r="L1114" s="43" t="n">
        <x:v>222.2971956113336</x:v>
      </x:c>
    </x:row>
    <x:row r="1115" ht="15" hidden="0" customHeight="1">
      <x:c r="A1115" s="29" t="str">
        <x:v>55095</x:v>
      </x:c>
      <x:c r="B1115" s="29" t="str">
        <x:v>SCA-18</x:v>
      </x:c>
      <x:c r="C1115" s="44" t="n">
        <x:v>45803</x:v>
      </x:c>
      <x:c r="D1115" s="44" t="n">
        <x:v>466.3605935851273</x:v>
      </x:c>
      <x:c r="E1115" s="44" t="n">
        <x:v>5905.998624078625</x:v>
      </x:c>
      <x:c r="F1115" s="44" t="n">
        <x:v>242.1997350069452</x:v>
      </x:c>
      <x:c r="G1115" s="44" t="n">
        <x:v>1042.7162162162163</x:v>
      </x:c>
      <x:c r="H1115" s="44" t="n">
        <x:v>38145.72483111308</x:v>
      </x:c>
      <x:c r="I1115" s="44" t="n">
        <x:v>45803</x:v>
      </x:c>
      <x:c r="J1115" s="44" t="n">
        <x:v>6068</x:v>
      </x:c>
      <x:c r="K1115" s="44" t="n">
        <x:v>462.4770525887965</x:v>
      </x:c>
      <x:c r="L1115" s="44" t="n">
        <x:v>220.2773175818513</x:v>
      </x:c>
    </x:row>
    <x:row r="1116" ht="15" hidden="0" customHeight="1">
      <x:c r="A1116" s="27" t="str">
        <x:v>27061</x:v>
      </x:c>
      <x:c r="B1116" s="27" t="str">
        <x:v>SCA-18</x:v>
      </x:c>
      <x:c r="C1116" s="43" t="n">
        <x:v>45404</x:v>
      </x:c>
      <x:c r="D1116" s="43" t="n">
        <x:v>618.3143881151133</x:v>
      </x:c>
      <x:c r="E1116" s="43" t="n">
        <x:v>7633.376132899316</x:v>
      </x:c>
      <x:c r="F1116" s="43" t="n">
        <x:v>148.69270182047217</x:v>
      </x:c>
      <x:c r="G1116" s="43" t="n">
        <x:v>971.2888090694803</x:v>
      </x:c>
      <x:c r="H1116" s="43" t="n">
        <x:v>36032.327968095626</x:v>
      </x:c>
      <x:c r="I1116" s="43" t="n">
        <x:v>45404</x:v>
      </x:c>
      <x:c r="J1116" s="43" t="n">
        <x:v>7801</x:v>
      </x:c>
      <x:c r="K1116" s="43" t="n">
        <x:v>448.9497510647806</x:v>
      </x:c>
      <x:c r="L1116" s="43" t="n">
        <x:v>300.25704924430846</x:v>
      </x:c>
    </x:row>
    <x:row r="1117" ht="15" hidden="0" customHeight="1">
      <x:c r="A1117" s="29" t="str">
        <x:v>27067</x:v>
      </x:c>
      <x:c r="B1117" s="29" t="str">
        <x:v>SCA-18</x:v>
      </x:c>
      <x:c r="C1117" s="44" t="n">
        <x:v>44720</x:v>
      </x:c>
      <x:c r="D1117" s="44" t="n">
        <x:v>551.1232142511022</x:v>
      </x:c>
      <x:c r="E1117" s="44" t="n">
        <x:v>6129.347111788336</x:v>
      </x:c>
      <x:c r="F1117" s="44" t="n">
        <x:v>146.45268314270805</x:v>
      </x:c>
      <x:c r="G1117" s="44" t="n">
        <x:v>1153.829708639239</x:v>
      </x:c>
      <x:c r="H1117" s="44" t="n">
        <x:v>36739.247282178614</x:v>
      </x:c>
      <x:c r="I1117" s="44" t="n">
        <x:v>44720</x:v>
      </x:c>
      <x:c r="J1117" s="44" t="n">
        <x:v>6184</x:v>
      </x:c>
      <x:c r="K1117" s="44" t="n">
        <x:v>442.1864344026295</x:v>
      </x:c>
      <x:c r="L1117" s="44" t="n">
        <x:v>295.73375125992146</x:v>
      </x:c>
    </x:row>
    <x:row r="1118" ht="15" hidden="0" customHeight="1">
      <x:c r="A1118" s="27" t="str">
        <x:v>27059</x:v>
      </x:c>
      <x:c r="B1118" s="27" t="str">
        <x:v>SCA-18</x:v>
      </x:c>
      <x:c r="C1118" s="43" t="n">
        <x:v>44386</x:v>
      </x:c>
      <x:c r="D1118" s="43" t="n">
        <x:v>517.1975422364263</x:v>
      </x:c>
      <x:c r="E1118" s="43" t="n">
        <x:v>5368.140861568932</x:v>
      </x:c>
      <x:c r="F1118" s="43" t="n">
        <x:v>145.3588728526887</x:v>
      </x:c>
      <x:c r="G1118" s="43" t="n">
        <x:v>779.1875221051142</x:v>
      </x:c>
      <x:c r="H1118" s="43" t="n">
        <x:v>37576.11520123684</x:v>
      </x:c>
      <x:c r="I1118" s="43" t="n">
        <x:v>44386</x:v>
      </x:c>
      <x:c r="J1118" s="43" t="n">
        <x:v>5343</x:v>
      </x:c>
      <x:c r="K1118" s="43" t="n">
        <x:v>438.8838791904095</x:v>
      </x:c>
      <x:c r="L1118" s="43" t="n">
        <x:v>293.5250063377208</x:v>
      </x:c>
    </x:row>
    <x:row r="1119" ht="15" hidden="0" customHeight="1">
      <x:c r="A1119" s="29" t="str">
        <x:v>55031</x:v>
      </x:c>
      <x:c r="B1119" s="29" t="str">
        <x:v>SCA-18</x:v>
      </x:c>
      <x:c r="C1119" s="44" t="n">
        <x:v>43990</x:v>
      </x:c>
      <x:c r="D1119" s="44" t="n">
        <x:v>465.8559524436403</x:v>
      </x:c>
      <x:c r="E1119" s="44" t="n">
        <x:v>6103.1466005373</x:v>
      </x:c>
      <x:c r="F1119" s="44" t="n">
        <x:v>232.61284944120516</x:v>
      </x:c>
      <x:c r="G1119" s="44" t="n">
        <x:v>1565.9557415443962</x:v>
      </x:c>
      <x:c r="H1119" s="44" t="n">
        <x:v>35622.42885603345</x:v>
      </x:c>
      <x:c r="I1119" s="44" t="n">
        <x:v>43990</x:v>
      </x:c>
      <x:c r="J1119" s="44" t="n">
        <x:v>6294</x:v>
      </x:c>
      <x:c r="K1119" s="44" t="n">
        <x:v>444.1710268624579</x:v>
      </x:c>
      <x:c r="L1119" s="44" t="n">
        <x:v>211.5581774212527</x:v>
      </x:c>
    </x:row>
    <x:row r="1120" ht="15" hidden="0" customHeight="1">
      <x:c r="A1120" s="27" t="str">
        <x:v>55093</x:v>
      </x:c>
      <x:c r="B1120" s="27" t="str">
        <x:v>SCA-18</x:v>
      </x:c>
      <x:c r="C1120" s="43" t="n">
        <x:v>43519</x:v>
      </x:c>
      <x:c r="D1120" s="43" t="n">
        <x:v>389.7592539482406</x:v>
      </x:c>
      <x:c r="E1120" s="43" t="n">
        <x:v>4331.189411041203</x:v>
      </x:c>
      <x:c r="F1120" s="43" t="n">
        <x:v>230.12226857994563</x:v>
      </x:c>
      <x:c r="G1120" s="43" t="n">
        <x:v>527.9378163583897</x:v>
      </x:c>
      <x:c r="H1120" s="43" t="n">
        <x:v>38039.99125007222</x:v>
      </x:c>
      <x:c r="I1120" s="43" t="n">
        <x:v>43519</x:v>
      </x:c>
      <x:c r="J1120" s="43" t="n">
        <x:v>4383</x:v>
      </x:c>
      <x:c r="K1120" s="43" t="n">
        <x:v>439.41529706813606</x:v>
      </x:c>
      <x:c r="L1120" s="43" t="n">
        <x:v>209.29302848819043</x:v>
      </x:c>
    </x:row>
    <x:row r="1121" ht="15" hidden="0" customHeight="1">
      <x:c r="A1121" s="29" t="str">
        <x:v>19033</x:v>
      </x:c>
      <x:c r="B1121" s="29" t="str">
        <x:v>SCA-18</x:v>
      </x:c>
      <x:c r="C1121" s="44" t="n">
        <x:v>42372</x:v>
      </x:c>
      <x:c r="D1121" s="44" t="n">
        <x:v>617.950092456757</x:v>
      </x:c>
      <x:c r="E1121" s="44" t="n">
        <x:v>5896.552529427151</x:v>
      </x:c>
      <x:c r="F1121" s="44" t="n">
        <x:v>198.49664866016488</x:v>
      </x:c>
      <x:c r="G1121" s="44" t="n">
        <x:v>1308.2113047820608</x:v>
      </x:c>
      <x:c r="H1121" s="44" t="n">
        <x:v>34350.789424673865</x:v>
      </x:c>
      <x:c r="I1121" s="44" t="n">
        <x:v>42372</x:v>
      </x:c>
      <x:c r="J1121" s="44" t="n">
        <x:v>6096</x:v>
      </x:c>
      <x:c r="K1121" s="44" t="n">
        <x:v>570.7570523907906</x:v>
      </x:c>
      <x:c r="L1121" s="44" t="n">
        <x:v>372.26040373062574</x:v>
      </x:c>
    </x:row>
    <x:row r="1122" ht="15" hidden="0" customHeight="1">
      <x:c r="A1122" s="27" t="str">
        <x:v>38105</x:v>
      </x:c>
      <x:c r="B1122" s="27" t="str">
        <x:v>SCA-18</x:v>
      </x:c>
      <x:c r="C1122" s="43" t="n">
        <x:v>41767</x:v>
      </x:c>
      <x:c r="D1122" s="43" t="n">
        <x:v>583.4411210815502</x:v>
      </x:c>
      <x:c r="E1122" s="43" t="n">
        <x:v>4442.658359920493</x:v>
      </x:c>
      <x:c r="F1122" s="43" t="n">
        <x:v>158.58710235576376</x:v>
      </x:c>
      <x:c r="G1122" s="43" t="n">
        <x:v>1086.602823505428</x:v>
      </x:c>
      <x:c r="H1122" s="43" t="n">
        <x:v>35495.71059313676</x:v>
      </x:c>
      <x:c r="I1122" s="43" t="n">
        <x:v>41767</x:v>
      </x:c>
      <x:c r="J1122" s="43" t="n">
        <x:v>4348</x:v>
      </x:c>
      <x:c r="K1122" s="43" t="n">
        <x:v>556.9174584406268</x:v>
      </x:c>
      <x:c r="L1122" s="43" t="n">
        <x:v>398.330356084863</x:v>
      </x:c>
    </x:row>
    <x:row r="1123" ht="15" hidden="0" customHeight="1">
      <x:c r="A1123" s="29" t="str">
        <x:v>27009</x:v>
      </x:c>
      <x:c r="B1123" s="29" t="str">
        <x:v>SCA-18</x:v>
      </x:c>
      <x:c r="C1123" s="44" t="n">
        <x:v>41744</x:v>
      </x:c>
      <x:c r="D1123" s="44" t="n">
        <x:v>492.1074749437251</x:v>
      </x:c>
      <x:c r="E1123" s="44" t="n">
        <x:v>5185.296905307276</x:v>
      </x:c>
      <x:c r="F1123" s="44" t="n">
        <x:v>136.70663696576935</x:v>
      </x:c>
      <x:c r="G1123" s="44" t="n">
        <x:v>1214.062478678298</x:v>
      </x:c>
      <x:c r="H1123" s="44" t="n">
        <x:v>34715.82650410493</x:v>
      </x:c>
      <x:c r="I1123" s="44" t="n">
        <x:v>41744</x:v>
      </x:c>
      <x:c r="J1123" s="44" t="n">
        <x:v>5310</x:v>
      </x:c>
      <x:c r="K1123" s="44" t="n">
        <x:v>412.7600741883579</x:v>
      </x:c>
      <x:c r="L1123" s="44" t="n">
        <x:v>276.05343722258857</x:v>
      </x:c>
    </x:row>
    <x:row r="1124" ht="15" hidden="0" customHeight="1">
      <x:c r="A1124" s="27" t="str">
        <x:v>27099</x:v>
      </x:c>
      <x:c r="B1124" s="27" t="str">
        <x:v>SCA-18</x:v>
      </x:c>
      <x:c r="C1124" s="43" t="n">
        <x:v>40971</x:v>
      </x:c>
      <x:c r="D1124" s="43" t="n">
        <x:v>476.8454324785053</x:v>
      </x:c>
      <x:c r="E1124" s="43" t="n">
        <x:v>4941.692424455376</x:v>
      </x:c>
      <x:c r="F1124" s="43" t="n">
        <x:v>134.1751538694072</x:v>
      </x:c>
      <x:c r="G1124" s="43" t="n">
        <x:v>1526.1953870093364</x:v>
      </x:c>
      <x:c r="H1124" s="43" t="n">
        <x:v>33892.09160218738</x:v>
      </x:c>
      <x:c r="I1124" s="43" t="n">
        <x:v>40971</x:v>
      </x:c>
      <x:c r="J1124" s="43" t="n">
        <x:v>5006</x:v>
      </x:c>
      <x:c r="K1124" s="43" t="n">
        <x:v>405.11673532893855</x:v>
      </x:c>
      <x:c r="L1124" s="43" t="n">
        <x:v>270.94158145953133</x:v>
      </x:c>
    </x:row>
    <x:row r="1125" ht="15" hidden="0" customHeight="1">
      <x:c r="A1125" s="29" t="str">
        <x:v>27041</x:v>
      </x:c>
      <x:c r="B1125" s="29" t="str">
        <x:v>SCA-18</x:v>
      </x:c>
      <x:c r="C1125" s="44" t="n">
        <x:v>40120</x:v>
      </x:c>
      <x:c r="D1125" s="44" t="n">
        <x:v>453.3712705876398</x:v>
      </x:c>
      <x:c r="E1125" s="44" t="n">
        <x:v>4513.376629766297</x:v>
      </x:c>
      <x:c r="F1125" s="44" t="n">
        <x:v>131.3882300466334</x:v>
      </x:c>
      <x:c r="G1125" s="44" t="n">
        <x:v>1015.2380586305864</x:v>
      </x:c>
      <x:c r="H1125" s="44" t="n">
        <x:v>34006.62581096884</x:v>
      </x:c>
      <x:c r="I1125" s="44" t="n">
        <x:v>40120</x:v>
      </x:c>
      <x:c r="J1125" s="44" t="n">
        <x:v>4573</x:v>
      </x:c>
      <x:c r="K1125" s="44" t="n">
        <x:v>396.70214106067743</x:v>
      </x:c>
      <x:c r="L1125" s="44" t="n">
        <x:v>265.31391101404404</x:v>
      </x:c>
    </x:row>
    <x:row r="1126" ht="15" hidden="0" customHeight="1">
      <x:c r="A1126" s="27" t="str">
        <x:v>19127</x:v>
      </x:c>
      <x:c r="B1126" s="27" t="str">
        <x:v>SCA-18</x:v>
      </x:c>
      <x:c r="C1126" s="43" t="n">
        <x:v>39890</x:v>
      </x:c>
      <x:c r="D1126" s="43" t="n">
        <x:v>563.897368315204</x:v>
      </x:c>
      <x:c r="E1126" s="43" t="n">
        <x:v>5122.623497840365</x:v>
      </x:c>
      <x:c r="F1126" s="43" t="n">
        <x:v>186.86942591933297</x:v>
      </x:c>
      <x:c r="G1126" s="43" t="n">
        <x:v>1203.6272522810336</x:v>
      </x:c>
      <x:c r="H1126" s="43" t="n">
        <x:v>32812.982455644065</x:v>
      </x:c>
      <x:c r="I1126" s="43" t="n">
        <x:v>39890</x:v>
      </x:c>
      <x:c r="J1126" s="43" t="n">
        <x:v>5234</x:v>
      </x:c>
      <x:c r="K1126" s="43" t="n">
        <x:v>537.3241484911885</x:v>
      </x:c>
      <x:c r="L1126" s="43" t="n">
        <x:v>350.4547225718555</x:v>
      </x:c>
    </x:row>
    <x:row r="1127" ht="15" hidden="0" customHeight="1">
      <x:c r="A1127" s="29" t="str">
        <x:v>19099</x:v>
      </x:c>
      <x:c r="B1127" s="29" t="str">
        <x:v>SCA-18</x:v>
      </x:c>
      <x:c r="C1127" s="44" t="n">
        <x:v>38153</x:v>
      </x:c>
      <x:c r="D1127" s="44" t="n">
        <x:v>549.5241621441338</x:v>
      </x:c>
      <x:c r="E1127" s="44" t="n">
        <x:v>5143.917652130658</x:v>
      </x:c>
      <x:c r="F1127" s="44" t="n">
        <x:v>178.73224384808998</x:v>
      </x:c>
      <x:c r="G1127" s="44" t="n">
        <x:v>727.6166473221688</x:v>
      </x:c>
      <x:c r="H1127" s="44" t="n">
        <x:v>31553.209294554952</x:v>
      </x:c>
      <x:c r="I1127" s="44" t="n">
        <x:v>38153</x:v>
      </x:c>
      <x:c r="J1127" s="44" t="n">
        <x:v>5082</x:v>
      </x:c>
      <x:c r="K1127" s="44" t="n">
        <x:v>513.9265038201131</x:v>
      </x:c>
      <x:c r="L1127" s="44" t="n">
        <x:v>335.19425997202313</x:v>
      </x:c>
    </x:row>
    <x:row r="1128" ht="15" hidden="0" customHeight="1">
      <x:c r="A1128" s="27" t="str">
        <x:v>55085</x:v>
      </x:c>
      <x:c r="B1128" s="27" t="str">
        <x:v>SCA-18</x:v>
      </x:c>
      <x:c r="C1128" s="43" t="n">
        <x:v>38131</x:v>
      </x:c>
      <x:c r="D1128" s="43" t="n">
        <x:v>409.1160752172752</x:v>
      </x:c>
      <x:c r="E1128" s="43" t="n">
        <x:v>5417.644711375212</x:v>
      </x:c>
      <x:c r="F1128" s="43" t="n">
        <x:v>201.63129261292553</x:v>
      </x:c>
      <x:c r="G1128" s="43" t="n">
        <x:v>769.7821917444822</x:v>
      </x:c>
      <x:c r="H1128" s="43" t="n">
        <x:v>31332.825729050102</x:v>
      </x:c>
      <x:c r="I1128" s="43" t="n">
        <x:v>38131</x:v>
      </x:c>
      <x:c r="J1128" s="43" t="n">
        <x:v>5579</x:v>
      </x:c>
      <x:c r="K1128" s="43" t="n">
        <x:v>385.01217152290025</x:v>
      </x:c>
      <x:c r="L1128" s="43" t="n">
        <x:v>183.3808789099747</x:v>
      </x:c>
    </x:row>
    <x:row r="1129" ht="15" hidden="0" customHeight="1">
      <x:c r="A1129" s="29" t="str">
        <x:v>26061</x:v>
      </x:c>
      <x:c r="B1129" s="29" t="str">
        <x:v>SCA-18</x:v>
      </x:c>
      <x:c r="C1129" s="44" t="n">
        <x:v>37842</x:v>
      </x:c>
      <x:c r="D1129" s="44" t="n">
        <x:v>341.96416953228805</x:v>
      </x:c>
      <x:c r="E1129" s="44" t="n">
        <x:v>4198.421440103326</x:v>
      </x:c>
      <x:c r="F1129" s="44" t="n">
        <x:v>211.62057663403615</x:v>
      </x:c>
      <x:c r="G1129" s="44" t="n">
        <x:v>1175.4090248627704</x:v>
      </x:c>
      <x:c r="H1129" s="44" t="n">
        <x:v>31914.584788867578</x:v>
      </x:c>
      <x:c r="I1129" s="44" t="n">
        <x:v>37842</x:v>
      </x:c>
      <x:c r="J1129" s="44" t="n">
        <x:v>4295</x:v>
      </x:c>
      <x:c r="K1129" s="44" t="n">
        <x:v>378.6505194953522</x:v>
      </x:c>
      <x:c r="L1129" s="44" t="n">
        <x:v>167.0299428613161</x:v>
      </x:c>
    </x:row>
    <x:row r="1130" ht="15" hidden="0" customHeight="1">
      <x:c r="A1130" s="27" t="str">
        <x:v>46011</x:v>
      </x:c>
      <x:c r="B1130" s="27" t="str">
        <x:v>SCA-18</x:v>
      </x:c>
      <x:c r="C1130" s="43" t="n">
        <x:v>37635</x:v>
      </x:c>
      <x:c r="D1130" s="43" t="n">
        <x:v>475.3232022286816</x:v>
      </x:c>
      <x:c r="E1130" s="43" t="n">
        <x:v>3337.1772372543437</x:v>
      </x:c>
      <x:c r="F1130" s="43" t="n">
        <x:v>314.70748092410645</x:v>
      </x:c>
      <x:c r="G1130" s="43" t="n">
        <x:v>915.801851324409</x:v>
      </x:c>
      <x:c r="H1130" s="43" t="n">
        <x:v>32591.99022826846</x:v>
      </x:c>
      <x:c r="I1130" s="43" t="n">
        <x:v>37635</x:v>
      </x:c>
      <x:c r="J1130" s="43" t="n">
        <x:v>3243</x:v>
      </x:c>
      <x:c r="K1130" s="43" t="n">
        <x:v>650.9816316005238</x:v>
      </x:c>
      <x:c r="L1130" s="43" t="n">
        <x:v>336.2741506764173</x:v>
      </x:c>
    </x:row>
    <x:row r="1131" ht="15" hidden="0" customHeight="1">
      <x:c r="A1131" s="29" t="str">
        <x:v>46013</x:v>
      </x:c>
      <x:c r="B1131" s="29" t="str">
        <x:v>SCA-18</x:v>
      </x:c>
      <x:c r="C1131" s="44" t="n">
        <x:v>37561</x:v>
      </x:c>
      <x:c r="D1131" s="44" t="n">
        <x:v>539.5959088096531</x:v>
      </x:c>
      <x:c r="E1131" s="44" t="n">
        <x:v>4895.591011235955</x:v>
      </x:c>
      <x:c r="F1131" s="44" t="n">
        <x:v>314.0886858241094</x:v>
      </x:c>
      <x:c r="G1131" s="44" t="n">
        <x:v>1123.933988764045</x:v>
      </x:c>
      <x:c r="H1131" s="44" t="n">
        <x:v>30687.790405366235</x:v>
      </x:c>
      <x:c r="I1131" s="44" t="n">
        <x:v>37561</x:v>
      </x:c>
      <x:c r="J1131" s="44" t="n">
        <x:v>5075</x:v>
      </x:c>
      <x:c r="K1131" s="44" t="n">
        <x:v>649.7016358322644</x:v>
      </x:c>
      <x:c r="L1131" s="44" t="n">
        <x:v>335.61295000815494</x:v>
      </x:c>
    </x:row>
    <x:row r="1132" ht="15" hidden="0" customHeight="1">
      <x:c r="A1132" s="27" t="str">
        <x:v>27147</x:v>
      </x:c>
      <x:c r="B1132" s="27" t="str">
        <x:v>SCA-18</x:v>
      </x:c>
      <x:c r="C1132" s="43" t="n">
        <x:v>37464</x:v>
      </x:c>
      <x:c r="D1132" s="43" t="n">
        <x:v>423.3609958770397</x:v>
      </x:c>
      <x:c r="E1132" s="43" t="n">
        <x:v>4214.6696664147685</x:v>
      </x:c>
      <x:c r="F1132" s="43" t="n">
        <x:v>122.69014582420422</x:v>
      </x:c>
      <x:c r="G1132" s="43" t="n">
        <x:v>1020.5322249811077</x:v>
      </x:c>
      <x:c r="H1132" s="43" t="n">
        <x:v>31682.74696690288</x:v>
      </x:c>
      <x:c r="I1132" s="43" t="n">
        <x:v>37464</x:v>
      </x:c>
      <x:c r="J1132" s="43" t="n">
        <x:v>4342</x:v>
      </x:c>
      <x:c r="K1132" s="43" t="n">
        <x:v>370.4399056006286</x:v>
      </x:c>
      <x:c r="L1132" s="43" t="n">
        <x:v>247.74975977642438</x:v>
      </x:c>
    </x:row>
    <x:row r="1133" ht="15" hidden="0" customHeight="1">
      <x:c r="A1133" s="29" t="str">
        <x:v>19187</x:v>
      </x:c>
      <x:c r="B1133" s="29" t="str">
        <x:v>SCA-18</x:v>
      </x:c>
      <x:c r="C1133" s="44" t="n">
        <x:v>36838</x:v>
      </x:c>
      <x:c r="D1133" s="44" t="n">
        <x:v>530.2386026260475</x:v>
      </x:c>
      <x:c r="E1133" s="44" t="n">
        <x:v>4958.335495804076</x:v>
      </x:c>
      <x:c r="F1133" s="44" t="n">
        <x:v>172.57197071988938</x:v>
      </x:c>
      <x:c r="G1133" s="44" t="n">
        <x:v>1202.420991037278</x:v>
      </x:c>
      <x:c r="H1133" s="44" t="n">
        <x:v>29974.432939812712</x:v>
      </x:c>
      <x:c r="I1133" s="44" t="n">
        <x:v>36838</x:v>
      </x:c>
      <x:c r="J1133" s="44" t="n">
        <x:v>4912</x:v>
      </x:c>
      <x:c r="K1133" s="44" t="n">
        <x:v>496.2132610207671</x:v>
      </x:c>
      <x:c r="L1133" s="44" t="n">
        <x:v>323.6412903008777</x:v>
      </x:c>
    </x:row>
    <x:row r="1134" ht="15" hidden="0" customHeight="1">
      <x:c r="A1134" s="27" t="str">
        <x:v>19167</x:v>
      </x:c>
      <x:c r="B1134" s="27" t="str">
        <x:v>SCA-18</x:v>
      </x:c>
      <x:c r="C1134" s="43" t="n">
        <x:v>36774</x:v>
      </x:c>
      <x:c r="D1134" s="43" t="n">
        <x:v>455.8697406441528</x:v>
      </x:c>
      <x:c r="E1134" s="43" t="n">
        <x:v>3186.97737965676</x:v>
      </x:c>
      <x:c r="F1134" s="43" t="n">
        <x:v>172.27215514558915</x:v>
      </x:c>
      <x:c r="G1134" s="43" t="n">
        <x:v>428.9353983535649</x:v>
      </x:c>
      <x:c r="H1134" s="43" t="n">
        <x:v>32529.945326199933</x:v>
      </x:c>
      <x:c r="I1134" s="43" t="n">
        <x:v>36774</x:v>
      </x:c>
      <x:c r="J1134" s="43" t="n">
        <x:v>3235</x:v>
      </x:c>
      <x:c r="K1134" s="43" t="n">
        <x:v>495.3511716373769</x:v>
      </x:c>
      <x:c r="L1134" s="43" t="n">
        <x:v>323.07901649178774</x:v>
      </x:c>
    </x:row>
    <x:row r="1135" ht="15" hidden="0" customHeight="1">
      <x:c r="A1135" s="29" t="str">
        <x:v>27017</x:v>
      </x:c>
      <x:c r="B1135" s="29" t="str">
        <x:v>SCA-18</x:v>
      </x:c>
      <x:c r="C1135" s="44" t="n">
        <x:v>36711</x:v>
      </x:c>
      <x:c r="D1135" s="44" t="n">
        <x:v>472.0857591556714</x:v>
      </x:c>
      <x:c r="E1135" s="44" t="n">
        <x:v>5503.574279215732</x:v>
      </x:c>
      <x:c r="F1135" s="44" t="n">
        <x:v>120.22416034999901</x:v>
      </x:c>
      <x:c r="G1135" s="44" t="n">
        <x:v>1081.377465234791</x:v>
      </x:c>
      <x:c r="H1135" s="44" t="n">
        <x:v>29533.738336043807</x:v>
      </x:c>
      <x:c r="I1135" s="44" t="n">
        <x:v>36711</x:v>
      </x:c>
      <x:c r="J1135" s="44" t="n">
        <x:v>5424</x:v>
      </x:c>
      <x:c r="K1135" s="44" t="n">
        <x:v>362.9943245383482</x:v>
      </x:c>
      <x:c r="L1135" s="44" t="n">
        <x:v>242.7701641883492</x:v>
      </x:c>
    </x:row>
    <x:row r="1136" ht="15" hidden="0" customHeight="1">
      <x:c r="A1136" s="27" t="str">
        <x:v>27085</x:v>
      </x:c>
      <x:c r="B1136" s="27" t="str">
        <x:v>SCA-18</x:v>
      </x:c>
      <x:c r="C1136" s="43" t="n">
        <x:v>36631</x:v>
      </x:c>
      <x:c r="D1136" s="43" t="n">
        <x:v>431.68147356158283</x:v>
      </x:c>
      <x:c r="E1136" s="43" t="n">
        <x:v>4546.568401755887</x:v>
      </x:c>
      <x:c r="F1136" s="43" t="n">
        <x:v>119.96216986137156</x:v>
      </x:c>
      <x:c r="G1136" s="43" t="n">
        <x:v>703.0986168244941</x:v>
      </x:c>
      <x:c r="H1136" s="43" t="n">
        <x:v>30829.689337996664</x:v>
      </x:c>
      <x:c r="I1136" s="43" t="n">
        <x:v>36631</x:v>
      </x:c>
      <x:c r="J1136" s="43" t="n">
        <x:v>4683</x:v>
      </x:c>
      <x:c r="K1136" s="43" t="n">
        <x:v>362.2032933497925</x:v>
      </x:c>
      <x:c r="L1136" s="43" t="n">
        <x:v>242.24112348842093</x:v>
      </x:c>
    </x:row>
    <x:row r="1137" ht="15" hidden="0" customHeight="1">
      <x:c r="A1137" s="29" t="str">
        <x:v>27005</x:v>
      </x:c>
      <x:c r="B1137" s="29" t="str">
        <x:v>SCA-18</x:v>
      </x:c>
      <x:c r="C1137" s="44" t="n">
        <x:v>35497</x:v>
      </x:c>
      <x:c r="D1137" s="44" t="n">
        <x:v>446.47739249443856</x:v>
      </x:c>
      <x:c r="E1137" s="44" t="n">
        <x:v>5081.650102260032</x:v>
      </x:c>
      <x:c r="F1137" s="44" t="n">
        <x:v>116.24845468507843</x:v>
      </x:c>
      <x:c r="G1137" s="44" t="n">
        <x:v>1043.1763627509954</x:v>
      </x:c>
      <x:c r="H1137" s="44" t="n">
        <x:v>28809.447687809457</x:v>
      </x:c>
      <x:c r="I1137" s="44" t="n">
        <x:v>35497</x:v>
      </x:c>
      <x:c r="J1137" s="44" t="n">
        <x:v>5206</x:v>
      </x:c>
      <x:c r="K1137" s="44" t="n">
        <x:v>350.99042625201565</x:v>
      </x:c>
      <x:c r="L1137" s="44" t="n">
        <x:v>234.74197156693722</x:v>
      </x:c>
    </x:row>
    <x:row r="1138" ht="15" hidden="0" customHeight="1">
      <x:c r="A1138" s="27" t="str">
        <x:v>55019</x:v>
      </x:c>
      <x:c r="B1138" s="27" t="str">
        <x:v>SCA-18</x:v>
      </x:c>
      <x:c r="C1138" s="43" t="n">
        <x:v>35052</x:v>
      </x:c>
      <x:c r="D1138" s="43" t="n">
        <x:v>335.99005170627896</x:v>
      </x:c>
      <x:c r="E1138" s="43" t="n">
        <x:v>4018.0032586985003</x:v>
      </x:c>
      <x:c r="F1138" s="43" t="n">
        <x:v>185.34997950927766</x:v>
      </x:c>
      <x:c r="G1138" s="43" t="n">
        <x:v>3430.35382151696</x:v>
      </x:c>
      <x:c r="H1138" s="43" t="n">
        <x:v>27082.302888568982</x:v>
      </x:c>
      <x:c r="I1138" s="43" t="n">
        <x:v>35052</x:v>
      </x:c>
      <x:c r="J1138" s="43" t="n">
        <x:v>4101</x:v>
      </x:c>
      <x:c r="K1138" s="43" t="n">
        <x:v>353.92322876978574</x:v>
      </x:c>
      <x:c r="L1138" s="43" t="n">
        <x:v>168.57324926050808</x:v>
      </x:c>
    </x:row>
    <x:row r="1139" ht="15" hidden="0" customHeight="1">
      <x:c r="A1139" s="29" t="str">
        <x:v>27097</x:v>
      </x:c>
      <x:c r="B1139" s="29" t="str">
        <x:v>SCA-18</x:v>
      </x:c>
      <x:c r="C1139" s="44" t="n">
        <x:v>34620</x:v>
      </x:c>
      <x:c r="D1139" s="44" t="n">
        <x:v>424.5013457443576</x:v>
      </x:c>
      <x:c r="E1139" s="44" t="n">
        <x:v>4693.415588409225</x:v>
      </x:c>
      <x:c r="F1139" s="44" t="n">
        <x:v>113.37638395350072</x:v>
      </x:c>
      <x:c r="G1139" s="44" t="n">
        <x:v>837.7416321703133</x:v>
      </x:c>
      <x:c r="H1139" s="44" t="n">
        <x:v>28550.965049722603</x:v>
      </x:c>
      <x:c r="I1139" s="44" t="n">
        <x:v>34620</x:v>
      </x:c>
      <x:c r="J1139" s="44" t="n">
        <x:v>4776</x:v>
      </x:c>
      <x:c r="K1139" s="44" t="n">
        <x:v>342.3187468474739</x:v>
      </x:c>
      <x:c r="L1139" s="44" t="n">
        <x:v>228.94236289397318</x:v>
      </x:c>
    </x:row>
    <x:row r="1140" ht="15" hidden="0" customHeight="1">
      <x:c r="A1140" s="27" t="str">
        <x:v>38059</x:v>
      </x:c>
      <x:c r="B1140" s="27" t="str">
        <x:v>SCA-18</x:v>
      </x:c>
      <x:c r="C1140" s="43" t="n">
        <x:v>34601</x:v>
      </x:c>
      <x:c r="D1140" s="43" t="n">
        <x:v>465.18097401312</x:v>
      </x:c>
      <x:c r="E1140" s="43" t="n">
        <x:v>3244.619967369629</x:v>
      </x:c>
      <x:c r="F1140" s="43" t="n">
        <x:v>131.37817723589876</x:v>
      </x:c>
      <x:c r="G1140" s="43" t="n">
        <x:v>456.1229530485226</x:v>
      </x:c>
      <x:c r="H1140" s="43" t="n">
        <x:v>30303.69792833283</x:v>
      </x:c>
      <x:c r="I1140" s="43" t="n">
        <x:v>34601</x:v>
      </x:c>
      <x:c r="J1140" s="43" t="n">
        <x:v>3233</x:v>
      </x:c>
      <x:c r="K1140" s="43" t="n">
        <x:v>461.3666526086175</x:v>
      </x:c>
      <x:c r="L1140" s="43" t="n">
        <x:v>329.98847537271877</x:v>
      </x:c>
    </x:row>
    <x:row r="1141" ht="15" hidden="0" customHeight="1">
      <x:c r="A1141" s="29" t="str">
        <x:v>27103</x:v>
      </x:c>
      <x:c r="B1141" s="29" t="str">
        <x:v>SCA-18</x:v>
      </x:c>
      <x:c r="C1141" s="44" t="n">
        <x:v>34273</x:v>
      </x:c>
      <x:c r="D1141" s="44" t="n">
        <x:v>391.8556114891338</x:v>
      </x:c>
      <x:c r="E1141" s="44" t="n">
        <x:v>3964.9911031463907</x:v>
      </x:c>
      <x:c r="F1141" s="44" t="n">
        <x:v>112.24000020907943</x:v>
      </x:c>
      <x:c r="G1141" s="44" t="n">
        <x:v>541.7665618848966</x:v>
      </x:c>
      <x:c r="H1141" s="44" t="n">
        <x:v>29262.1467232705</x:v>
      </x:c>
      <x:c r="I1141" s="44" t="n">
        <x:v>34273</x:v>
      </x:c>
      <x:c r="J1141" s="44" t="n">
        <x:v>4102</x:v>
      </x:c>
      <x:c r="K1141" s="44" t="n">
        <x:v>338.8876490671136</x:v>
      </x:c>
      <x:c r="L1141" s="44" t="n">
        <x:v>226.6476488580342</x:v>
      </x:c>
    </x:row>
    <x:row r="1142" ht="15" hidden="0" customHeight="1">
      <x:c r="A1142" s="27" t="str">
        <x:v>38089</x:v>
      </x:c>
      <x:c r="B1142" s="27" t="str">
        <x:v>SCA-18</x:v>
      </x:c>
      <x:c r="C1142" s="43" t="n">
        <x:v>34013</x:v>
      </x:c>
      <x:c r="D1142" s="43" t="n">
        <x:v>481.1241973704688</x:v>
      </x:c>
      <x:c r="E1142" s="43" t="n">
        <x:v>3761.842957391964</x:v>
      </x:c>
      <x:c r="F1142" s="43" t="n">
        <x:v>129.14557216047587</x:v>
      </x:c>
      <x:c r="G1142" s="43" t="n">
        <x:v>1562.5418043972709</x:v>
      </x:c>
      <x:c r="H1142" s="43" t="n">
        <x:v>28078.34546867982</x:v>
      </x:c>
      <x:c r="I1142" s="43" t="n">
        <x:v>34013</x:v>
      </x:c>
      <x:c r="J1142" s="43" t="n">
        <x:v>3799</x:v>
      </x:c>
      <x:c r="K1142" s="43" t="n">
        <x:v>453.52631297294613</x:v>
      </x:c>
      <x:c r="L1142" s="43" t="n">
        <x:v>324.38074081247026</x:v>
      </x:c>
    </x:row>
    <x:row r="1143" ht="15" hidden="0" customHeight="1">
      <x:c r="A1143" s="29" t="str">
        <x:v>55123</x:v>
      </x:c>
      <x:c r="B1143" s="29" t="str">
        <x:v>SCA-18</x:v>
      </x:c>
      <x:c r="C1143" s="44" t="n">
        <x:v>31443</x:v>
      </x:c>
      <x:c r="D1143" s="44" t="n">
        <x:v>284.1454862538454</x:v>
      </x:c>
      <x:c r="E1143" s="44" t="n">
        <x:v>3190.290248320187</x:v>
      </x:c>
      <x:c r="F1143" s="44" t="n">
        <x:v>166.26610195453088</x:v>
      </x:c>
      <x:c r="G1143" s="44" t="n">
        <x:v>2616.750284026358</x:v>
      </x:c>
      <x:c r="H1143" s="44" t="n">
        <x:v>25185.54787944508</x:v>
      </x:c>
      <x:c r="I1143" s="44" t="n">
        <x:v>31443</x:v>
      </x:c>
      <x:c r="J1143" s="44" t="n">
        <x:v>3256</x:v>
      </x:c>
      <x:c r="K1143" s="44" t="n">
        <x:v>317.4828278617018</x:v>
      </x:c>
      <x:c r="L1143" s="44" t="n">
        <x:v>151.21672590717094</x:v>
      </x:c>
    </x:row>
    <x:row r="1144" ht="15" hidden="0" customHeight="1">
      <x:c r="A1144" s="27" t="str">
        <x:v>27021</x:v>
      </x:c>
      <x:c r="B1144" s="27" t="str">
        <x:v>SCA-18</x:v>
      </x:c>
      <x:c r="C1144" s="43" t="n">
        <x:v>31430</x:v>
      </x:c>
      <x:c r="D1144" s="43" t="n">
        <x:v>405.0715462229478</x:v>
      </x:c>
      <x:c r="E1144" s="43" t="n">
        <x:v>4733.392349726775</x:v>
      </x:c>
      <x:c r="F1144" s="43" t="n">
        <x:v>102.92951321948374</x:v>
      </x:c>
      <x:c r="G1144" s="43" t="n">
        <x:v>664.3816029143899</x:v>
      </x:c>
      <x:c r="H1144" s="43" t="n">
        <x:v>25524.224987916405</x:v>
      </x:c>
      <x:c r="I1144" s="43" t="n">
        <x:v>31430</x:v>
      </x:c>
      <x:c r="J1144" s="43" t="n">
        <x:v>4823</x:v>
      </x:c>
      <x:c r="K1144" s="43" t="n">
        <x:v>310.77637820381585</x:v>
      </x:c>
      <x:c r="L1144" s="43" t="n">
        <x:v>207.84686498433211</x:v>
      </x:c>
    </x:row>
    <x:row r="1145" ht="15" hidden="0" customHeight="1">
      <x:c r="A1145" s="29" t="str">
        <x:v>55121</x:v>
      </x:c>
      <x:c r="B1145" s="29" t="str">
        <x:v>SCA-18</x:v>
      </x:c>
      <x:c r="C1145" s="44" t="n">
        <x:v>31171</x:v>
      </x:c>
      <x:c r="D1145" s="44" t="n">
        <x:v>291.5606208440607</x:v>
      </x:c>
      <x:c r="E1145" s="44" t="n">
        <x:v>3399.648154143592</x:v>
      </x:c>
      <x:c r="F1145" s="44" t="n">
        <x:v>164.82780472679713</x:v>
      </x:c>
      <x:c r="G1145" s="44" t="n">
        <x:v>965.7232034603664</x:v>
      </x:c>
      <x:c r="H1145" s="44" t="n">
        <x:v>26349.240216825187</x:v>
      </x:c>
      <x:c r="I1145" s="44" t="n">
        <x:v>31171</x:v>
      </x:c>
      <x:c r="J1145" s="44" t="n">
        <x:v>3467</x:v>
      </x:c>
      <x:c r="K1145" s="44" t="n">
        <x:v>314.7364191482081</x:v>
      </x:c>
      <x:c r="L1145" s="44" t="n">
        <x:v>149.90861442141096</x:v>
      </x:c>
    </x:row>
    <x:row r="1146" ht="15" hidden="0" customHeight="1">
      <x:c r="A1146" s="27" t="str">
        <x:v>27119</x:v>
      </x:c>
      <x:c r="B1146" s="27" t="str">
        <x:v>SCA-18</x:v>
      </x:c>
      <x:c r="C1146" s="43" t="n">
        <x:v>30545</x:v>
      </x:c>
      <x:c r="D1146" s="43" t="n">
        <x:v>345.1133346940107</x:v>
      </x:c>
      <x:c r="E1146" s="43" t="n">
        <x:v>3434.8555788632502</x:v>
      </x:c>
      <x:c r="F1146" s="43" t="n">
        <x:v>100.03124343904332</x:v>
      </x:c>
      <x:c r="G1146" s="43" t="n">
        <x:v>1101.812006792528</x:v>
      </x:c>
      <x:c r="H1146" s="43" t="n">
        <x:v>25563.187836211167</x:v>
      </x:c>
      <x:c r="I1146" s="43" t="n">
        <x:v>30545</x:v>
      </x:c>
      <x:c r="J1146" s="43" t="n">
        <x:v>3518</x:v>
      </x:c>
      <x:c r="K1146" s="43" t="n">
        <x:v>302.0255956804186</x:v>
      </x:c>
      <x:c r="L1146" s="43" t="n">
        <x:v>201.99435224137525</x:v>
      </x:c>
    </x:row>
    <x:row r="1147" ht="15" hidden="0" customHeight="1">
      <x:c r="A1147" s="29" t="str">
        <x:v>27115</x:v>
      </x:c>
      <x:c r="B1147" s="29" t="str">
        <x:v>SCA-18</x:v>
      </x:c>
      <x:c r="C1147" s="44" t="n">
        <x:v>30472</x:v>
      </x:c>
      <x:c r="D1147" s="44" t="n">
        <x:v>416.13252622237667</x:v>
      </x:c>
      <x:c r="E1147" s="44" t="n">
        <x:v>5150.902166872464</x:v>
      </x:c>
      <x:c r="F1147" s="44" t="n">
        <x:v>99.7921771181708</x:v>
      </x:c>
      <x:c r="G1147" s="44" t="n">
        <x:v>929.7932263185747</x:v>
      </x:c>
      <x:c r="H1147" s="44" t="n">
        <x:v>23875.379903468413</x:v>
      </x:c>
      <x:c r="I1147" s="44" t="n">
        <x:v>30472</x:v>
      </x:c>
      <x:c r="J1147" s="44" t="n">
        <x:v>4991</x:v>
      </x:c>
      <x:c r="K1147" s="44" t="n">
        <x:v>301.3037797208615</x:v>
      </x:c>
      <x:c r="L1147" s="44" t="n">
        <x:v>201.5116026026907</x:v>
      </x:c>
    </x:row>
    <x:row r="1148" ht="15" hidden="0" customHeight="1">
      <x:c r="A1148" s="27" t="str">
        <x:v>27047</x:v>
      </x:c>
      <x:c r="B1148" s="27" t="str">
        <x:v>SCA-18</x:v>
      </x:c>
      <x:c r="C1148" s="43" t="n">
        <x:v>30440</x:v>
      </x:c>
      <x:c r="D1148" s="43" t="n">
        <x:v>373.2102087803465</x:v>
      </x:c>
      <x:c r="E1148" s="43" t="n">
        <x:v>4125.84533898305</x:v>
      </x:c>
      <x:c r="F1148" s="43" t="n">
        <x:v>99.68738092271985</x:v>
      </x:c>
      <x:c r="G1148" s="43" t="n">
        <x:v>823.6009335275425</x:v>
      </x:c>
      <x:c r="H1148" s="43" t="n">
        <x:v>25017.656137786344</x:v>
      </x:c>
      <x:c r="I1148" s="43" t="n">
        <x:v>30440</x:v>
      </x:c>
      <x:c r="J1148" s="43" t="n">
        <x:v>4265</x:v>
      </x:c>
      <x:c r="K1148" s="43" t="n">
        <x:v>300.9873672454392</x:v>
      </x:c>
      <x:c r="L1148" s="43" t="n">
        <x:v>201.29998632271935</x:v>
      </x:c>
    </x:row>
    <x:row r="1149" ht="15" hidden="0" customHeight="1">
      <x:c r="A1149" s="29" t="str">
        <x:v>46029</x:v>
      </x:c>
      <x:c r="B1149" s="29" t="str">
        <x:v>SCA-18</x:v>
      </x:c>
      <x:c r="C1149" s="44" t="n">
        <x:v>29562</x:v>
      </x:c>
      <x:c r="D1149" s="44" t="n">
        <x:v>389.78495807163864</x:v>
      </x:c>
      <x:c r="E1149" s="44" t="n">
        <x:v>3015.461429879552</x:v>
      </x:c>
      <x:c r="F1149" s="44" t="n">
        <x:v>247.20028035282147</x:v>
      </x:c>
      <x:c r="G1149" s="44" t="n">
        <x:v>808.8393674720012</x:v>
      </x:c>
      <x:c r="H1149" s="44" t="n">
        <x:v>25100.71396422399</x:v>
      </x:c>
      <x:c r="I1149" s="44" t="n">
        <x:v>29562</x:v>
      </x:c>
      <x:c r="J1149" s="44" t="n">
        <x:v>3017</x:v>
      </x:c>
      <x:c r="K1149" s="44" t="n">
        <x:v>511.34101217947875</x:v>
      </x:c>
      <x:c r="L1149" s="44" t="n">
        <x:v>264.1407318266573</x:v>
      </x:c>
    </x:row>
    <x:row r="1150" ht="15" hidden="0" customHeight="1">
      <x:c r="A1150" s="27" t="str">
        <x:v>27079</x:v>
      </x:c>
      <x:c r="B1150" s="27" t="str">
        <x:v>SCA-18</x:v>
      </x:c>
      <x:c r="C1150" s="43" t="n">
        <x:v>29453</x:v>
      </x:c>
      <x:c r="D1150" s="43" t="n">
        <x:v>336.59085887032336</x:v>
      </x:c>
      <x:c r="E1150" s="43" t="n">
        <x:v>3403.629892391267</x:v>
      </x:c>
      <x:c r="F1150" s="43" t="n">
        <x:v>96.45507326927952</x:v>
      </x:c>
      <x:c r="G1150" s="43" t="n">
        <x:v>508.42240752915114</x:v>
      </x:c>
      <x:c r="H1150" s="43" t="n">
        <x:v>25107.90176793998</x:v>
      </x:c>
      <x:c r="I1150" s="43" t="n">
        <x:v>29453</x:v>
      </x:c>
      <x:c r="J1150" s="43" t="n">
        <x:v>3479</x:v>
      </x:c>
      <x:c r="K1150" s="43" t="n">
        <x:v>291.22801995663343</x:v>
      </x:c>
      <x:c r="L1150" s="43" t="n">
        <x:v>194.7729466873539</x:v>
      </x:c>
    </x:row>
    <x:row r="1151" ht="15" hidden="0" customHeight="1">
      <x:c r="A1151" s="29" t="str">
        <x:v>55069</x:v>
      </x:c>
      <x:c r="B1151" s="29" t="str">
        <x:v>SCA-18</x:v>
      </x:c>
      <x:c r="C1151" s="44" t="n">
        <x:v>28403</x:v>
      </x:c>
      <x:c r="D1151" s="44" t="n">
        <x:v>295.838508053541</x:v>
      </x:c>
      <x:c r="E1151" s="44" t="n">
        <x:v>3821.8044406343765</x:v>
      </x:c>
      <x:c r="F1151" s="44" t="n">
        <x:v>150.19101529162427</x:v>
      </x:c>
      <x:c r="G1151" s="44" t="n">
        <x:v>682.7106729532791</x:v>
      </x:c>
      <x:c r="H1151" s="44" t="n">
        <x:v>23452.45536306718</x:v>
      </x:c>
      <x:c r="I1151" s="44" t="n">
        <x:v>28403</x:v>
      </x:c>
      <x:c r="J1151" s="44" t="n">
        <x:v>3924</x:v>
      </x:c>
      <x:c r="K1151" s="44" t="n">
        <x:v>286.7876716520662</x:v>
      </x:c>
      <x:c r="L1151" s="44" t="n">
        <x:v>136.59665636044193</x:v>
      </x:c>
    </x:row>
    <x:row r="1152" ht="15" hidden="0" customHeight="1">
      <x:c r="A1152" s="27" t="str">
        <x:v>27095</x:v>
      </x:c>
      <x:c r="B1152" s="27" t="str">
        <x:v>SCA-18</x:v>
      </x:c>
      <x:c r="C1152" s="43" t="n">
        <x:v>27753</x:v>
      </x:c>
      <x:c r="D1152" s="43" t="n">
        <x:v>357.4135445142474</x:v>
      </x:c>
      <x:c r="E1152" s="43" t="n">
        <x:v>4173.185104808878</x:v>
      </x:c>
      <x:c r="F1152" s="43" t="n">
        <x:v>90.88777538594755</x:v>
      </x:c>
      <x:c r="G1152" s="43" t="n">
        <x:v>743.8486716735791</x:v>
      </x:c>
      <x:c r="H1152" s="43" t="n">
        <x:v>22387.664903617348</x:v>
      </x:c>
      <x:c r="I1152" s="43" t="n">
        <x:v>27753</x:v>
      </x:c>
      <x:c r="J1152" s="43" t="n">
        <x:v>4192</x:v>
      </x:c>
      <x:c r="K1152" s="43" t="n">
        <x:v>274.41860719982503</x:v>
      </x:c>
      <x:c r="L1152" s="43" t="n">
        <x:v>183.53083181387748</x:v>
      </x:c>
    </x:row>
    <x:row r="1153" ht="15" hidden="0" customHeight="1">
      <x:c r="A1153" s="29" t="str">
        <x:v>19015</x:v>
      </x:c>
      <x:c r="B1153" s="29" t="str">
        <x:v>SCA-18</x:v>
      </x:c>
      <x:c r="C1153" s="44" t="n">
        <x:v>26799</x:v>
      </x:c>
      <x:c r="D1153" s="44" t="n">
        <x:v>382.1864187393098</x:v>
      </x:c>
      <x:c r="E1153" s="44" t="n">
        <x:v>3521.8331210676834</x:v>
      </x:c>
      <x:c r="F1153" s="44" t="n">
        <x:v>125.54308711988482</x:v>
      </x:c>
      <x:c r="G1153" s="44" t="n">
        <x:v>624.4584366062916</x:v>
      </x:c>
      <x:c r="H1153" s="44" t="n">
        <x:v>22144.978936466832</x:v>
      </x:c>
      <x:c r="I1153" s="44" t="n">
        <x:v>26799</x:v>
      </x:c>
      <x:c r="J1153" s="44" t="n">
        <x:v>3590</x:v>
      </x:c>
      <x:c r="K1153" s="44" t="n">
        <x:v>360.9864591480411</x:v>
      </x:c>
      <x:c r="L1153" s="44" t="n">
        <x:v>235.4433720281563</x:v>
      </x:c>
    </x:row>
    <x:row r="1154" ht="15" hidden="0" customHeight="1">
      <x:c r="A1154" s="27" t="str">
        <x:v>55057</x:v>
      </x:c>
      <x:c r="B1154" s="27" t="str">
        <x:v>SCA-18</x:v>
      </x:c>
      <x:c r="C1154" s="43" t="n">
        <x:v>26649</x:v>
      </x:c>
      <x:c r="D1154" s="43" t="n">
        <x:v>309.92973610877317</x:v>
      </x:c>
      <x:c r="E1154" s="43" t="n">
        <x:v>4362.443403314916</x:v>
      </x:c>
      <x:c r="F1154" s="43" t="n">
        <x:v>140.91611331572346</x:v>
      </x:c>
      <x:c r="G1154" s="43" t="n">
        <x:v>615.0587411207578</x:v>
      </x:c>
      <x:c r="H1154" s="43" t="n">
        <x:v>21220.65200613983</x:v>
      </x:c>
      <x:c r="I1154" s="43" t="n">
        <x:v>26649</x:v>
      </x:c>
      <x:c r="J1154" s="43" t="n">
        <x:v>4321</x:v>
      </x:c>
      <x:c r="K1154" s="43" t="n">
        <x:v>269.07737428637506</x:v>
      </x:c>
      <x:c r="L1154" s="43" t="n">
        <x:v>128.1612609706516</x:v>
      </x:c>
    </x:row>
    <x:row r="1155" ht="15" hidden="0" customHeight="1">
      <x:c r="A1155" s="29" t="str">
        <x:v>27153</x:v>
      </x:c>
      <x:c r="B1155" s="29" t="str">
        <x:v>SCA-18</x:v>
      </x:c>
      <x:c r="C1155" s="44" t="n">
        <x:v>26060</x:v>
      </x:c>
      <x:c r="D1155" s="44" t="n">
        <x:v>304.991376950551</x:v>
      </x:c>
      <x:c r="E1155" s="44" t="n">
        <x:v>3183.75285477375</x:v>
      </x:c>
      <x:c r="F1155" s="44" t="n">
        <x:v>85.34340167037058</x:v>
      </x:c>
      <x:c r="G1155" s="44" t="n">
        <x:v>1303.000039485114</x:v>
      </x:c>
      <x:c r="H1155" s="44" t="n">
        <x:v>21182.912327120215</x:v>
      </x:c>
      <x:c r="I1155" s="44" t="n">
        <x:v>26060</x:v>
      </x:c>
      <x:c r="J1155" s="44" t="n">
        <x:v>3223</x:v>
      </x:c>
      <x:c r="K1155" s="44" t="n">
        <x:v>257.67840967201533</x:v>
      </x:c>
      <x:c r="L1155" s="44" t="n">
        <x:v>172.33500800164475</x:v>
      </x:c>
    </x:row>
    <x:row r="1156" ht="15" hidden="0" customHeight="1">
      <x:c r="A1156" s="27" t="str">
        <x:v>19011</x:v>
      </x:c>
      <x:c r="B1156" s="27" t="str">
        <x:v>SCA-18</x:v>
      </x:c>
      <x:c r="C1156" s="43" t="n">
        <x:v>26004</x:v>
      </x:c>
      <x:c r="D1156" s="43" t="n">
        <x:v>344.8541338237738</x:v>
      </x:c>
      <x:c r="E1156" s="43" t="n">
        <x:v>2793.486162429767</x:v>
      </x:c>
      <x:c r="F1156" s="43" t="n">
        <x:v>121.81881553287377</x:v>
      </x:c>
      <x:c r="G1156" s="43" t="n">
        <x:v>386.766983615575</x:v>
      </x:c>
      <x:c r="H1156" s="43" t="n">
        <x:v>22357.07390459801</x:v>
      </x:c>
      <x:c r="I1156" s="43" t="n">
        <x:v>26004</x:v>
      </x:c>
      <x:c r="J1156" s="43" t="n">
        <x:v>2848</x:v>
      </x:c>
      <x:c r="K1156" s="43" t="n">
        <x:v>350.27769258874065</x:v>
      </x:c>
      <x:c r="L1156" s="43" t="n">
        <x:v>228.45887705586688</x:v>
      </x:c>
    </x:row>
    <x:row r="1157" ht="15" hidden="0" customHeight="1">
      <x:c r="A1157" s="29" t="str">
        <x:v>19149</x:v>
      </x:c>
      <x:c r="B1157" s="29" t="str">
        <x:v>SCA-18</x:v>
      </x:c>
      <x:c r="C1157" s="44" t="n">
        <x:v>25697</x:v>
      </x:c>
      <x:c r="D1157" s="44" t="n">
        <x:v>344.425501661719</x:v>
      </x:c>
      <x:c r="E1157" s="44" t="n">
        <x:v>2847.930762811934</x:v>
      </x:c>
      <x:c r="F1157" s="44" t="n">
        <x:v>120.38063769990221</x:v>
      </x:c>
      <x:c r="G1157" s="44" t="n">
        <x:v>548.8662717468314</x:v>
      </x:c>
      <x:c r="H1157" s="44" t="n">
        <x:v>21835.396826079614</x:v>
      </x:c>
      <x:c r="I1157" s="44" t="n">
        <x:v>25697</x:v>
      </x:c>
      <x:c r="J1157" s="44" t="n">
        <x:v>2933</x:v>
      </x:c>
      <x:c r="K1157" s="44" t="n">
        <x:v>346.1423575777907</x:v>
      </x:c>
      <x:c r="L1157" s="44" t="n">
        <x:v>225.76171987788845</x:v>
      </x:c>
    </x:row>
    <x:row r="1158" ht="15" hidden="0" customHeight="1">
      <x:c r="A1158" s="27" t="str">
        <x:v>27083</x:v>
      </x:c>
      <x:c r="B1158" s="27" t="str">
        <x:v>SCA-18</x:v>
      </x:c>
      <x:c r="C1158" s="43" t="n">
        <x:v>25684</x:v>
      </x:c>
      <x:c r="D1158" s="43" t="n">
        <x:v>309.82270125538156</x:v>
      </x:c>
      <x:c r="E1158" s="43" t="n">
        <x:v>3359.3804290415956</x:v>
      </x:c>
      <x:c r="F1158" s="43" t="n">
        <x:v>84.11204637382187</x:v>
      </x:c>
      <x:c r="G1158" s="43" t="n">
        <x:v>1179.023553669852</x:v>
      </x:c>
      <x:c r="H1158" s="43" t="n">
        <x:v>20751.661269659347</x:v>
      </x:c>
      <x:c r="I1158" s="43" t="n">
        <x:v>25684</x:v>
      </x:c>
      <x:c r="J1158" s="43" t="n">
        <x:v>3436</x:v>
      </x:c>
      <x:c r="K1158" s="43" t="n">
        <x:v>253.96056308580359</x:v>
      </x:c>
      <x:c r="L1158" s="43" t="n">
        <x:v>169.84851671198172</x:v>
      </x:c>
    </x:row>
    <x:row r="1159" ht="15" hidden="0" customHeight="1">
      <x:c r="A1159" s="29" t="str">
        <x:v>27015</x:v>
      </x:c>
      <x:c r="B1159" s="29" t="str">
        <x:v>SCA-18</x:v>
      </x:c>
      <x:c r="C1159" s="44" t="n">
        <x:v>25517</x:v>
      </x:c>
      <x:c r="D1159" s="44" t="n">
        <x:v>283.8294658423266</x:v>
      </x:c>
      <x:c r="E1159" s="44" t="n">
        <x:v>2762.047718194685</x:v>
      </x:c>
      <x:c r="F1159" s="44" t="n">
        <x:v>83.5651412288122</x:v>
      </x:c>
      <x:c r="G1159" s="44" t="n">
        <x:v>688.5032237773235</x:v>
      </x:c>
      <x:c r="H1159" s="44" t="n">
        <x:v>21699.054450956854</x:v>
      </x:c>
      <x:c r="I1159" s="44" t="n">
        <x:v>25517</x:v>
      </x:c>
      <x:c r="J1159" s="44" t="n">
        <x:v>2868</x:v>
      </x:c>
      <x:c r="K1159" s="44" t="n">
        <x:v>252.30928547969359</x:v>
      </x:c>
      <x:c r="L1159" s="44" t="n">
        <x:v>168.7441442508814</x:v>
      </x:c>
    </x:row>
    <x:row r="1160" ht="15" hidden="0" customHeight="1">
      <x:c r="A1160" s="27" t="str">
        <x:v>19017</x:v>
      </x:c>
      <x:c r="B1160" s="27" t="str">
        <x:v>SCA-18</x:v>
      </x:c>
      <x:c r="C1160" s="43" t="n">
        <x:v>25296</x:v>
      </x:c>
      <x:c r="D1160" s="43" t="n">
        <x:v>338.8251537687291</x:v>
      </x:c>
      <x:c r="E1160" s="43" t="n">
        <x:v>2798.0743374220788</x:v>
      </x:c>
      <x:c r="F1160" s="43" t="n">
        <x:v>118.50210574217719</x:v>
      </x:c>
      <x:c r="G1160" s="43" t="n">
        <x:v>334.0036195455459</x:v>
      </x:c>
      <x:c r="H1160" s="43" t="n">
        <x:v>21706.594783521472</x:v>
      </x:c>
      <x:c r="I1160" s="43" t="n">
        <x:v>25296</x:v>
      </x:c>
      <x:c r="J1160" s="43" t="n">
        <x:v>2865</x:v>
      </x:c>
      <x:c r="K1160" s="43" t="n">
        <x:v>340.7408287849863</x:v>
      </x:c>
      <x:c r="L1160" s="43" t="n">
        <x:v>222.2387230428091</x:v>
      </x:c>
    </x:row>
    <x:row r="1161" ht="15" hidden="0" customHeight="1">
      <x:c r="A1161" s="29" t="str">
        <x:v>55125</x:v>
      </x:c>
      <x:c r="B1161" s="29" t="str">
        <x:v>SCA-18</x:v>
      </x:c>
      <x:c r="C1161" s="44" t="n">
        <x:v>23761</x:v>
      </x:c>
      <x:c r="D1161" s="44" t="n">
        <x:v>264.89743413163535</x:v>
      </x:c>
      <x:c r="E1161" s="44" t="n">
        <x:v>3615.005741529031</x:v>
      </x:c>
      <x:c r="F1161" s="44" t="n">
        <x:v>125.64478098596216</x:v>
      </x:c>
      <x:c r="G1161" s="44" t="n">
        <x:v>632.4026689937</x:v>
      </x:c>
      <x:c r="H1161" s="44" t="n">
        <x:v>19123.04937435967</x:v>
      </x:c>
      <x:c r="I1161" s="44" t="n">
        <x:v>23761</x:v>
      </x:c>
      <x:c r="J1161" s="44" t="n">
        <x:v>3723</x:v>
      </x:c>
      <x:c r="K1161" s="44" t="n">
        <x:v>239.9169758872212</x:v>
      </x:c>
      <x:c r="L1161" s="44" t="n">
        <x:v>114.27219490125906</x:v>
      </x:c>
    </x:row>
    <x:row r="1162" ht="15" hidden="0" customHeight="1">
      <x:c r="A1162" s="27" t="str">
        <x:v>46135</x:v>
      </x:c>
      <x:c r="B1162" s="27" t="str">
        <x:v>SCA-18</x:v>
      </x:c>
      <x:c r="C1162" s="43" t="n">
        <x:v>23635</x:v>
      </x:c>
      <x:c r="D1162" s="43" t="n">
        <x:v>350.7204787635032</x:v>
      </x:c>
      <x:c r="E1162" s="43" t="n">
        <x:v>3348.9203137679197</x:v>
      </x:c>
      <x:c r="F1162" s="43" t="n">
        <x:v>197.6381376814469</x:v>
      </x:c>
      <x:c r="G1162" s="43" t="n">
        <x:v>571.9623117843297</x:v>
      </x:c>
      <x:c r="H1162" s="43" t="n">
        <x:v>19165.7587580028</x:v>
      </x:c>
      <x:c r="I1162" s="43" t="n">
        <x:v>23635</x:v>
      </x:c>
      <x:c r="J1162" s="43" t="n">
        <x:v>3274</x:v>
      </x:c>
      <x:c r="K1162" s="43" t="n">
        <x:v>408.82027003795343</x:v>
      </x:c>
      <x:c r="L1162" s="43" t="n">
        <x:v>211.18213235650654</x:v>
      </x:c>
    </x:row>
    <x:row r="1163" ht="15" hidden="0" customHeight="1">
      <x:c r="A1163" s="29" t="str">
        <x:v>27093</x:v>
      </x:c>
      <x:c r="B1163" s="29" t="str">
        <x:v>SCA-18</x:v>
      </x:c>
      <x:c r="C1163" s="44" t="n">
        <x:v>23603</x:v>
      </x:c>
      <x:c r="D1163" s="44" t="n">
        <x:v>283.5473227023181</x:v>
      </x:c>
      <x:c r="E1163" s="44" t="n">
        <x:v>3059.051452733313</x:v>
      </x:c>
      <x:c r="F1163" s="44" t="n">
        <x:v>77.29701878840203</x:v>
      </x:c>
      <x:c r="G1163" s="44" t="n">
        <x:v>454.5551192993054</x:v>
      </x:c>
      <x:c r="H1163" s="44" t="n">
        <x:v>19728.54908647666</x:v>
      </x:c>
      <x:c r="I1163" s="44" t="n">
        <x:v>23603</x:v>
      </x:c>
      <x:c r="J1163" s="44" t="n">
        <x:v>3129</x:v>
      </x:c>
      <x:c r="K1163" s="44" t="n">
        <x:v>233.38386429349876</x:v>
      </x:c>
      <x:c r="L1163" s="44" t="n">
        <x:v>156.08684550509673</x:v>
      </x:c>
    </x:row>
    <x:row r="1164" ht="15" hidden="0" customHeight="1">
      <x:c r="A1164" s="27" t="str">
        <x:v>27057</x:v>
      </x:c>
      <x:c r="B1164" s="27" t="str">
        <x:v>SCA-18</x:v>
      </x:c>
      <x:c r="C1164" s="43" t="n">
        <x:v>22369</x:v>
      </x:c>
      <x:c r="D1164" s="43" t="n">
        <x:v>284.955753251664</x:v>
      </x:c>
      <x:c r="E1164" s="43" t="n">
        <x:v>3288.704653031072</x:v>
      </x:c>
      <x:c r="F1164" s="43" t="n">
        <x:v>73.25581550132458</x:v>
      </x:c>
      <x:c r="G1164" s="43" t="n">
        <x:v>475.5082413777182</x:v>
      </x:c>
      <x:c r="H1164" s="43" t="n">
        <x:v>18246.57553683822</x:v>
      </x:c>
      <x:c r="I1164" s="43" t="n">
        <x:v>22369</x:v>
      </x:c>
      <x:c r="J1164" s="43" t="n">
        <x:v>3317</x:v>
      </x:c>
      <x:c r="K1164" s="43" t="n">
        <x:v>221.18220821002726</x:v>
      </x:c>
      <x:c r="L1164" s="43" t="n">
        <x:v>147.92639270870268</x:v>
      </x:c>
    </x:row>
    <x:row r="1165" ht="15" hidden="0" customHeight="1">
      <x:c r="A1165" s="29" t="str">
        <x:v>27105</x:v>
      </x:c>
      <x:c r="B1165" s="29" t="str">
        <x:v>SCA-18</x:v>
      </x:c>
      <x:c r="C1165" s="44" t="n">
        <x:v>22338</x:v>
      </x:c>
      <x:c r="D1165" s="44" t="n">
        <x:v>252.38417767331603</x:v>
      </x:c>
      <x:c r="E1165" s="44" t="n">
        <x:v>2511.906917660054</x:v>
      </x:c>
      <x:c r="F1165" s="44" t="n">
        <x:v>73.1542941869815</x:v>
      </x:c>
      <x:c r="G1165" s="44" t="n">
        <x:v>623.3024347585953</x:v>
      </x:c>
      <x:c r="H1165" s="44" t="n">
        <x:v>18877.252175721052</x:v>
      </x:c>
      <x:c r="I1165" s="44" t="n">
        <x:v>22338</x:v>
      </x:c>
      <x:c r="J1165" s="44" t="n">
        <x:v>2545</x:v>
      </x:c>
      <x:c r="K1165" s="44" t="n">
        <x:v>220.87568362446194</x:v>
      </x:c>
      <x:c r="L1165" s="44" t="n">
        <x:v>147.72138943748044</x:v>
      </x:c>
    </x:row>
    <x:row r="1166" ht="15" hidden="0" customHeight="1">
      <x:c r="A1166" s="27" t="str">
        <x:v>31043</x:v>
      </x:c>
      <x:c r="B1166" s="27" t="str">
        <x:v>SCA-18</x:v>
      </x:c>
      <x:c r="C1166" s="43" t="n">
        <x:v>21687</x:v>
      </x:c>
      <x:c r="D1166" s="43" t="n">
        <x:v>239.60261863217934</x:v>
      </x:c>
      <x:c r="E1166" s="43" t="n">
        <x:v>2599.978831095139</x:v>
      </x:c>
      <x:c r="F1166" s="43" t="n">
        <x:v>103.21208698407597</x:v>
      </x:c>
      <x:c r="G1166" s="43" t="n">
        <x:v>646.2748013996595</x:v>
      </x:c>
      <x:c r="H1166" s="43" t="n">
        <x:v>18097.931661888946</x:v>
      </x:c>
      <x:c r="I1166" s="43" t="n">
        <x:v>21687</x:v>
      </x:c>
      <x:c r="J1166" s="43" t="n">
        <x:v>2641</x:v>
      </x:c>
      <x:c r="K1166" s="43" t="n">
        <x:v>234.48225432062452</x:v>
      </x:c>
      <x:c r="L1166" s="43" t="n">
        <x:v>131.27016733654855</x:v>
      </x:c>
    </x:row>
    <x:row r="1167" ht="15" hidden="0" customHeight="1">
      <x:c r="A1167" s="29" t="str">
        <x:v>27045</x:v>
      </x:c>
      <x:c r="B1167" s="29" t="str">
        <x:v>SCA-18</x:v>
      </x:c>
      <x:c r="C1167" s="44" t="n">
        <x:v>21540</x:v>
      </x:c>
      <x:c r="D1167" s="44" t="n">
        <x:v>240.49216428835467</x:v>
      </x:c>
      <x:c r="E1167" s="44" t="n">
        <x:v>2353.150939983818</x:v>
      </x:c>
      <x:c r="F1167" s="44" t="n">
        <x:v>70.54093906292334</x:v>
      </x:c>
      <x:c r="G1167" s="44" t="n">
        <x:v>875.5680357907762</x:v>
      </x:c>
      <x:c r="H1167" s="44" t="n">
        <x:v>18000.247920874128</x:v>
      </x:c>
      <x:c r="I1167" s="44" t="n">
        <x:v>21540</x:v>
      </x:c>
      <x:c r="J1167" s="44" t="n">
        <x:v>2391</x:v>
      </x:c>
      <x:c r="K1167" s="44" t="n">
        <x:v>212.98514751861896</x:v>
      </x:c>
      <x:c r="L1167" s="44" t="n">
        <x:v>142.44420845569562</x:v>
      </x:c>
    </x:row>
    <x:row r="1168" ht="15" hidden="0" customHeight="1">
      <x:c r="A1168" s="27" t="str">
        <x:v>27157</x:v>
      </x:c>
      <x:c r="B1168" s="27" t="str">
        <x:v>SCA-18</x:v>
      </x:c>
      <x:c r="C1168" s="43" t="n">
        <x:v>21537</x:v>
      </x:c>
      <x:c r="D1168" s="43" t="n">
        <x:v>238.11300638881923</x:v>
      </x:c>
      <x:c r="E1168" s="43" t="n">
        <x:v>2296.5272870249014</x:v>
      </x:c>
      <x:c r="F1168" s="43" t="n">
        <x:v>70.53111441959979</x:v>
      </x:c>
      <x:c r="G1168" s="43" t="n">
        <x:v>587.1351572739188</x:v>
      </x:c>
      <x:c r="H1168" s="43" t="n">
        <x:v>18344.69343489276</x:v>
      </x:c>
      <x:c r="I1168" s="43" t="n">
        <x:v>21537</x:v>
      </x:c>
      <x:c r="J1168" s="43" t="n">
        <x:v>2373</x:v>
      </x:c>
      <x:c r="K1168" s="43" t="n">
        <x:v>212.9554838490481</x:v>
      </x:c>
      <x:c r="L1168" s="43" t="n">
        <x:v>142.42436942944832</x:v>
      </x:c>
    </x:row>
    <x:row r="1169" ht="15" hidden="0" customHeight="1">
      <x:c r="A1169" s="29" t="str">
        <x:v>38093</x:v>
      </x:c>
      <x:c r="B1169" s="29" t="str">
        <x:v>SCA-18</x:v>
      </x:c>
      <x:c r="C1169" s="44" t="n">
        <x:v>21414</x:v>
      </x:c>
      <x:c r="D1169" s="44" t="n">
        <x:v>350.4048072733069</x:v>
      </x:c>
      <x:c r="E1169" s="44" t="n">
        <x:v>3508.326481777261</x:v>
      </x:c>
      <x:c r="F1169" s="44" t="n">
        <x:v>81.30783177739187</x:v>
      </x:c>
      <x:c r="G1169" s="44" t="n">
        <x:v>567.6834373941242</x:v>
      </x:c>
      <x:c r="H1169" s="44" t="n">
        <x:v>16906.27744177792</x:v>
      </x:c>
      <x:c r="I1169" s="44" t="n">
        <x:v>21414</x:v>
      </x:c>
      <x:c r="J1169" s="44" t="n">
        <x:v>3526</x:v>
      </x:c>
      <x:c r="K1169" s="44" t="n">
        <x:v>285.53236897664624</x:v>
      </x:c>
      <x:c r="L1169" s="44" t="n">
        <x:v>204.22453719925437</x:v>
      </x:c>
    </x:row>
    <x:row r="1170" ht="15" hidden="0" customHeight="1">
      <x:c r="A1170" s="27" t="str">
        <x:v>27039</x:v>
      </x:c>
      <x:c r="B1170" s="27" t="str">
        <x:v>SCA-18</x:v>
      </x:c>
      <x:c r="C1170" s="43" t="n">
        <x:v>21376</x:v>
      </x:c>
      <x:c r="D1170" s="43" t="n">
        <x:v>237.54452449040204</x:v>
      </x:c>
      <x:c r="E1170" s="43" t="n">
        <x:v>2308.4363872694257</x:v>
      </x:c>
      <x:c r="F1170" s="43" t="n">
        <x:v>70.00385856123717</x:v>
      </x:c>
      <x:c r="G1170" s="43" t="n">
        <x:v>341.69071967886833</x:v>
      </x:c>
      <x:c r="H1170" s="43" t="n">
        <x:v>18418.324510000068</x:v>
      </x:c>
      <x:c r="I1170" s="43" t="n">
        <x:v>21376</x:v>
      </x:c>
      <x:c r="J1170" s="43" t="n">
        <x:v>2354</x:v>
      </x:c>
      <x:c r="K1170" s="43" t="n">
        <x:v>211.36353358207978</x:v>
      </x:c>
      <x:c r="L1170" s="43" t="n">
        <x:v>141.35967502084262</x:v>
      </x:c>
    </x:row>
    <x:row r="1171" ht="15" hidden="0" customHeight="1">
      <x:c r="A1171" s="29" t="str">
        <x:v>55053</x:v>
      </x:c>
      <x:c r="B1171" s="29" t="str">
        <x:v>SCA-18</x:v>
      </x:c>
      <x:c r="C1171" s="44" t="n">
        <x:v>20999</x:v>
      </x:c>
      <x:c r="D1171" s="44" t="n">
        <x:v>215.4944705782427</x:v>
      </x:c>
      <x:c r="E1171" s="44" t="n">
        <x:v>2748.1290801007553</x:v>
      </x:c>
      <x:c r="F1171" s="44" t="n">
        <x:v>111.03971869551869</x:v>
      </x:c>
      <x:c r="G1171" s="44" t="n">
        <x:v>819.198186397985</x:v>
      </x:c>
      <x:c r="H1171" s="44" t="n">
        <x:v>17105.1385442275</x:v>
      </x:c>
      <x:c r="I1171" s="44" t="n">
        <x:v>20999</x:v>
      </x:c>
      <x:c r="J1171" s="44" t="n">
        <x:v>2706</x:v>
      </x:c>
      <x:c r="K1171" s="44" t="n">
        <x:v>212.0288109362299</x:v>
      </x:c>
      <x:c r="L1171" s="44" t="n">
        <x:v>100.9890922407112</x:v>
      </x:c>
    </x:row>
    <x:row r="1172" ht="15" hidden="0" customHeight="1">
      <x:c r="A1172" s="27" t="str">
        <x:v>19019</x:v>
      </x:c>
      <x:c r="B1172" s="27" t="str">
        <x:v>SCA-18</x:v>
      </x:c>
      <x:c r="C1172" s="43" t="n">
        <x:v>20883</x:v>
      </x:c>
      <x:c r="D1172" s="43" t="n">
        <x:v>288.70151007353695</x:v>
      </x:c>
      <x:c r="E1172" s="43" t="n">
        <x:v>2525.5997585552254</x:v>
      </x:c>
      <x:c r="F1172" s="43" t="n">
        <x:v>97.82888497050469</x:v>
      </x:c>
      <x:c r="G1172" s="43" t="n">
        <x:v>1051.8834882928493</x:v>
      </x:c>
      <x:c r="H1172" s="43" t="n">
        <x:v>16918.986358107886</x:v>
      </x:c>
      <x:c r="I1172" s="43" t="n">
        <x:v>20883</x:v>
      </x:c>
      <x:c r="J1172" s="43" t="n">
        <x:v>2588</x:v>
      </x:c>
      <x:c r="K1172" s="43" t="n">
        <x:v>281.2970717709072</x:v>
      </x:c>
      <x:c r="L1172" s="43" t="n">
        <x:v>183.46818680040255</x:v>
      </x:c>
    </x:row>
    <x:row r="1173" ht="15" hidden="0" customHeight="1">
      <x:c r="A1173" s="29" t="str">
        <x:v>19021</x:v>
      </x:c>
      <x:c r="B1173" s="29" t="str">
        <x:v>SCA-18</x:v>
      </x:c>
      <x:c r="C1173" s="44" t="n">
        <x:v>20449</x:v>
      </x:c>
      <x:c r="D1173" s="44" t="n">
        <x:v>263.70870264701506</x:v>
      </x:c>
      <x:c r="E1173" s="44" t="n">
        <x:v>2017.2824427480916</x:v>
      </x:c>
      <x:c r="F1173" s="44" t="n">
        <x:v>95.79576060728103</x:v>
      </x:c>
      <x:c r="G1173" s="44" t="n">
        <x:v>221.16970052847915</x:v>
      </x:c>
      <x:c r="H1173" s="44" t="n">
        <x:v>17851.043393469132</x:v>
      </x:c>
      <x:c r="I1173" s="44" t="n">
        <x:v>20449</x:v>
      </x:c>
      <x:c r="J1173" s="44" t="n">
        <x:v>2100</x:v>
      </x:c>
      <x:c r="K1173" s="44" t="n">
        <x:v>275.45102813979224</x:v>
      </x:c>
      <x:c r="L1173" s="44" t="n">
        <x:v>179.65526753251123</x:v>
      </x:c>
    </x:row>
    <x:row r="1174" ht="15" hidden="0" customHeight="1">
      <x:c r="A1174" s="27" t="str">
        <x:v>19027</x:v>
      </x:c>
      <x:c r="B1174" s="27" t="str">
        <x:v>SCA-18</x:v>
      </x:c>
      <x:c r="C1174" s="43" t="n">
        <x:v>20303</x:v>
      </x:c>
      <x:c r="D1174" s="43" t="n">
        <x:v>283.01998598439417</x:v>
      </x:c>
      <x:c r="E1174" s="43" t="n">
        <x:v>2511.5377338928656</x:v>
      </x:c>
      <x:c r="F1174" s="43" t="n">
        <x:v>95.11180632840859</x:v>
      </x:c>
      <x:c r="G1174" s="43" t="n">
        <x:v>558.4026166378671</x:v>
      </x:c>
      <x:c r="H1174" s="43" t="n">
        <x:v>16854.927857156465</x:v>
      </x:c>
      <x:c r="I1174" s="43" t="n">
        <x:v>20303</x:v>
      </x:c>
      <x:c r="J1174" s="43" t="n">
        <x:v>2610</x:v>
      </x:c>
      <x:c r="K1174" s="43" t="n">
        <x:v>273.4843867339333</x:v>
      </x:c>
      <x:c r="L1174" s="43" t="n">
        <x:v>178.37258040552473</x:v>
      </x:c>
    </x:row>
    <x:row r="1175" ht="15" hidden="0" customHeight="1">
      <x:c r="A1175" s="29" t="str">
        <x:v>55119</x:v>
      </x:c>
      <x:c r="B1175" s="29" t="str">
        <x:v>SCA-18</x:v>
      </x:c>
      <x:c r="C1175" s="44" t="n">
        <x:v>20118</x:v>
      </x:c>
      <x:c r="D1175" s="44" t="n">
        <x:v>196.77042228701708</x:v>
      </x:c>
      <x:c r="E1175" s="44" t="n">
        <x:v>2400.4383521955638</x:v>
      </x:c>
      <x:c r="F1175" s="44" t="n">
        <x:v>106.38111627774872</x:v>
      </x:c>
      <x:c r="G1175" s="44" t="n">
        <x:v>812.6593229716815</x:v>
      </x:c>
      <x:c r="H1175" s="44" t="n">
        <x:v>16601.75078626799</x:v>
      </x:c>
      <x:c r="I1175" s="44" t="n">
        <x:v>20118</x:v>
      </x:c>
      <x:c r="J1175" s="44" t="n">
        <x:v>2471</x:v>
      </x:c>
      <x:c r="K1175" s="44" t="n">
        <x:v>203.13327388995063</x:v>
      </x:c>
      <x:c r="L1175" s="44" t="n">
        <x:v>96.75215761220191</x:v>
      </x:c>
    </x:row>
    <x:row r="1176" ht="15" hidden="0" customHeight="1">
      <x:c r="A1176" s="27" t="str">
        <x:v>46035</x:v>
      </x:c>
      <x:c r="B1176" s="27" t="str">
        <x:v>SCA-18</x:v>
      </x:c>
      <x:c r="C1176" s="43" t="n">
        <x:v>20069</x:v>
      </x:c>
      <x:c r="D1176" s="43" t="n">
        <x:v>291.6436105248198</x:v>
      </x:c>
      <x:c r="E1176" s="43" t="n">
        <x:v>2695.7808543174638</x:v>
      </x:c>
      <x:c r="F1176" s="43" t="n">
        <x:v>167.81890353835234</x:v>
      </x:c>
      <x:c r="G1176" s="43" t="n">
        <x:v>570.2313691507798</x:v>
      </x:c>
      <x:c r="H1176" s="43" t="n">
        <x:v>16343.525262468584</x:v>
      </x:c>
      <x:c r="I1176" s="43" t="n">
        <x:v>20069</x:v>
      </x:c>
      <x:c r="J1176" s="43" t="n">
        <x:v>2745</x:v>
      </x:c>
      <x:c r="K1176" s="43" t="n">
        <x:v>347.13831179994446</x:v>
      </x:c>
      <x:c r="L1176" s="43" t="n">
        <x:v>179.31940826159212</x:v>
      </x:c>
    </x:row>
    <x:row r="1177" ht="15" hidden="0" customHeight="1">
      <x:c r="A1177" s="29" t="str">
        <x:v>19191</x:v>
      </x:c>
      <x:c r="B1177" s="29" t="str">
        <x:v>SCA-18</x:v>
      </x:c>
      <x:c r="C1177" s="44" t="n">
        <x:v>19733</x:v>
      </x:c>
      <x:c r="D1177" s="44" t="n">
        <x:v>258.70323043245475</x:v>
      </x:c>
      <x:c r="E1177" s="44" t="n">
        <x:v>2048.1216273392997</x:v>
      </x:c>
      <x:c r="F1177" s="44" t="n">
        <x:v>92.44157386979688</x:v>
      </x:c>
      <x:c r="G1177" s="44" t="n">
        <x:v>489.19817941415783</x:v>
      </x:c>
      <x:c r="H1177" s="44" t="n">
        <x:v>16844.53538894429</x:v>
      </x:c>
      <x:c r="I1177" s="44" t="n">
        <x:v>19733</x:v>
      </x:c>
      <x:c r="J1177" s="44" t="n">
        <x:v>2126</x:v>
      </x:c>
      <x:c r="K1177" s="44" t="n">
        <x:v>265.8064031631141</x:v>
      </x:c>
      <x:c r="L1177" s="44" t="n">
        <x:v>173.36482929331723</x:v>
      </x:c>
    </x:row>
    <x:row r="1178" ht="15" hidden="0" customHeight="1">
      <x:c r="A1178" s="27" t="str">
        <x:v>46005</x:v>
      </x:c>
      <x:c r="B1178" s="27" t="str">
        <x:v>SCA-18</x:v>
      </x:c>
      <x:c r="C1178" s="43" t="n">
        <x:v>19624</x:v>
      </x:c>
      <x:c r="D1178" s="43" t="n">
        <x:v>287.93659117040494</x:v>
      </x:c>
      <x:c r="E1178" s="43" t="n">
        <x:v>2702.2397295012684</x:v>
      </x:c>
      <x:c r="F1178" s="43" t="n">
        <x:v>164.09777084242498</x:v>
      </x:c>
      <x:c r="G1178" s="43" t="n">
        <x:v>795.7458262890956</x:v>
      </x:c>
      <x:c r="H1178" s="43" t="n">
        <x:v>15673.980082196807</x:v>
      </x:c>
      <x:c r="I1178" s="43" t="n">
        <x:v>19624</x:v>
      </x:c>
      <x:c r="J1178" s="43" t="n">
        <x:v>2715</x:v>
      </x:c>
      <x:c r="K1178" s="43" t="n">
        <x:v>339.44103995027706</x:v>
      </x:c>
      <x:c r="L1178" s="43" t="n">
        <x:v>175.34326910785208</x:v>
      </x:c>
    </x:row>
    <x:row r="1179" ht="15" hidden="0" customHeight="1">
      <x:c r="A1179" s="29" t="str">
        <x:v>55067</x:v>
      </x:c>
      <x:c r="B1179" s="29" t="str">
        <x:v>SCA-18</x:v>
      </x:c>
      <x:c r="C1179" s="44" t="n">
        <x:v>19534</x:v>
      </x:c>
      <x:c r="D1179" s="44" t="n">
        <x:v>225.92264568070334</x:v>
      </x:c>
      <x:c r="E1179" s="44" t="n">
        <x:v>3167.4979290279</x:v>
      </x:c>
      <x:c r="F1179" s="44" t="n">
        <x:v>103.29300752408506</x:v>
      </x:c>
      <x:c r="G1179" s="44" t="n">
        <x:v>570.543669143243</x:v>
      </x:c>
      <x:c r="H1179" s="44" t="n">
        <x:v>15466.742748624067</x:v>
      </x:c>
      <x:c r="I1179" s="44" t="n">
        <x:v>19534</x:v>
      </x:c>
      <x:c r="J1179" s="44" t="n">
        <x:v>3251</x:v>
      </x:c>
      <x:c r="K1179" s="44" t="n">
        <x:v>197.23657282862587</x:v>
      </x:c>
      <x:c r="L1179" s="44" t="n">
        <x:v>93.94356530454081</x:v>
      </x:c>
    </x:row>
    <x:row r="1180" ht="15" hidden="0" customHeight="1">
      <x:c r="A1180" s="27" t="str">
        <x:v>27091</x:v>
      </x:c>
      <x:c r="B1180" s="27" t="str">
        <x:v>SCA-18</x:v>
      </x:c>
      <x:c r="C1180" s="43" t="n">
        <x:v>19440</x:v>
      </x:c>
      <x:c r="D1180" s="43" t="n">
        <x:v>259.3959718352235</x:v>
      </x:c>
      <x:c r="E1180" s="43" t="n">
        <x:v>3140.1379620635</x:v>
      </x:c>
      <x:c r="F1180" s="43" t="n">
        <x:v>63.663688736454475</x:v>
      </x:c>
      <x:c r="G1180" s="43" t="n">
        <x:v>978.9578199294443</x:v>
      </x:c>
      <x:c r="H1180" s="43" t="n">
        <x:v>14997.844557435377</x:v>
      </x:c>
      <x:c r="I1180" s="43" t="n">
        <x:v>19440</x:v>
      </x:c>
      <x:c r="J1180" s="43" t="n">
        <x:v>3291</x:v>
      </x:c>
      <x:c r="K1180" s="43" t="n">
        <x:v>192.22057881903214</x:v>
      </x:c>
      <x:c r="L1180" s="43" t="n">
        <x:v>128.55689008257767</x:v>
      </x:c>
    </x:row>
    <x:row r="1181" ht="15" hidden="0" customHeight="1">
      <x:c r="A1181" s="29" t="str">
        <x:v>19065</x:v>
      </x:c>
      <x:c r="B1181" s="29" t="str">
        <x:v>SCA-18</x:v>
      </x:c>
      <x:c r="C1181" s="44" t="n">
        <x:v>19047</x:v>
      </x:c>
      <x:c r="D1181" s="44" t="n">
        <x:v>287.4776231980185</x:v>
      </x:c>
      <x:c r="E1181" s="44" t="n">
        <x:v>2883.3519911012236</x:v>
      </x:c>
      <x:c r="F1181" s="44" t="n">
        <x:v>89.22792568276597</x:v>
      </x:c>
      <x:c r="G1181" s="44" t="n">
        <x:v>583.7219132369299</x:v>
      </x:c>
      <x:c r="H1181" s="44" t="n">
        <x:v>15203.220546781062</x:v>
      </x:c>
      <x:c r="I1181" s="44" t="n">
        <x:v>19047</x:v>
      </x:c>
      <x:c r="J1181" s="44" t="n">
        <x:v>2977</x:v>
      </x:c>
      <x:c r="K1181" s="44" t="n">
        <x:v>256.5658825849001</x:v>
      </x:c>
      <x:c r="L1181" s="44" t="n">
        <x:v>167.33795690213415</x:v>
      </x:c>
    </x:row>
    <x:row r="1182" ht="15" hidden="0" customHeight="1">
      <x:c r="A1182" s="27" t="str">
        <x:v>55113</x:v>
      </x:c>
      <x:c r="B1182" s="27" t="str">
        <x:v>SCA-18</x:v>
      </x:c>
      <x:c r="C1182" s="43" t="n">
        <x:v>18846</x:v>
      </x:c>
      <x:c r="D1182" s="43" t="n">
        <x:v>210.42365785565602</x:v>
      </x:c>
      <x:c r="E1182" s="43" t="n">
        <x:v>2874.9322831858403</x:v>
      </x:c>
      <x:c r="F1182" s="43" t="n">
        <x:v>99.65496159511143</x:v>
      </x:c>
      <x:c r="G1182" s="43" t="n">
        <x:v>465.12560840707965</x:v>
      </x:c>
      <x:c r="H1182" s="43" t="n">
        <x:v>15195.863488956313</x:v>
      </x:c>
      <x:c r="I1182" s="43" t="n">
        <x:v>18846</x:v>
      </x:c>
      <x:c r="J1182" s="43" t="n">
        <x:v>2873</x:v>
      </x:c>
      <x:c r="K1182" s="43" t="n">
        <x:v>190.28977431802412</x:v>
      </x:c>
      <x:c r="L1182" s="43" t="n">
        <x:v>90.63481272291268</x:v>
      </x:c>
    </x:row>
    <x:row r="1183" ht="15" hidden="0" customHeight="1">
      <x:c r="A1183" s="29" t="str">
        <x:v>27161</x:v>
      </x:c>
      <x:c r="B1183" s="29" t="str">
        <x:v>SCA-18</x:v>
      </x:c>
      <x:c r="C1183" s="44" t="n">
        <x:v>18688</x:v>
      </x:c>
      <x:c r="D1183" s="44" t="n">
        <x:v>211.33914718738018</x:v>
      </x:c>
      <x:c r="E1183" s="44" t="n">
        <x:v>2106.1257524190855</x:v>
      </x:c>
      <x:c r="F1183" s="44" t="n">
        <x:v>61.20097814335705</x:v>
      </x:c>
      <x:c r="G1183" s="44" t="n">
        <x:v>405.5569180291402</x:v>
      </x:c>
      <x:c r="H1183" s="44" t="n">
        <x:v>15903.777204221038</x:v>
      </x:c>
      <x:c r="I1183" s="44" t="n">
        <x:v>18688</x:v>
      </x:c>
      <x:c r="J1183" s="44" t="n">
        <x:v>2111</x:v>
      </x:c>
      <x:c r="K1183" s="44" t="n">
        <x:v>184.78488564660867</x:v>
      </x:c>
      <x:c r="L1183" s="44" t="n">
        <x:v>123.58390750325162</x:v>
      </x:c>
    </x:row>
    <x:row r="1184" ht="15" hidden="0" customHeight="1">
      <x:c r="A1184" s="27" t="str">
        <x:v>27055</x:v>
      </x:c>
      <x:c r="B1184" s="27" t="str">
        <x:v>SCA-18</x:v>
      </x:c>
      <x:c r="C1184" s="43" t="n">
        <x:v>18400</x:v>
      </x:c>
      <x:c r="D1184" s="43" t="n">
        <x:v>202.96570173387516</x:v>
      </x:c>
      <x:c r="E1184" s="43" t="n">
        <x:v>1950.8721780087703</x:v>
      </x:c>
      <x:c r="F1184" s="43" t="n">
        <x:v>60.25781238429849</x:v>
      </x:c>
      <x:c r="G1184" s="43" t="n">
        <x:v>258.4161929511126</x:v>
      </x:c>
      <x:c r="H1184" s="43" t="n">
        <x:v>15927.488114921942</x:v>
      </x:c>
      <x:c r="I1184" s="43" t="n">
        <x:v>18400</x:v>
      </x:c>
      <x:c r="J1184" s="43" t="n">
        <x:v>2040</x:v>
      </x:c>
      <x:c r="K1184" s="43" t="n">
        <x:v>181.9371733678082</x:v>
      </x:c>
      <x:c r="L1184" s="43" t="n">
        <x:v>121.67936098350972</x:v>
      </x:c>
    </x:row>
    <x:row r="1185" ht="15" hidden="0" customHeight="1">
      <x:c r="A1185" s="29" t="str">
        <x:v>19059</x:v>
      </x:c>
      <x:c r="B1185" s="29" t="str">
        <x:v>SCA-18</x:v>
      </x:c>
      <x:c r="C1185" s="44" t="n">
        <x:v>18077</x:v>
      </x:c>
      <x:c r="D1185" s="44" t="n">
        <x:v>265.4445530467435</x:v>
      </x:c>
      <x:c r="E1185" s="44" t="n">
        <x:v>2559.0854055271006</x:v>
      </x:c>
      <x:c r="F1185" s="44" t="n">
        <x:v>84.68384588477772</x:v>
      </x:c>
      <x:c r="G1185" s="44" t="n">
        <x:v>414.7585692576124</x:v>
      </x:c>
      <x:c r="H1185" s="44" t="n">
        <x:v>14753.027626283765</x:v>
      </x:c>
      <x:c r="I1185" s="44" t="n">
        <x:v>18077</x:v>
      </x:c>
      <x:c r="J1185" s="44" t="n">
        <x:v>2620</x:v>
      </x:c>
      <x:c r="K1185" s="44" t="n">
        <x:v>243.49984036789206</x:v>
      </x:c>
      <x:c r="L1185" s="44" t="n">
        <x:v>158.81599448311434</x:v>
      </x:c>
    </x:row>
    <x:row r="1186" ht="15" hidden="0" customHeight="1">
      <x:c r="A1186" s="27" t="str">
        <x:v>46065</x:v>
      </x:c>
      <x:c r="B1186" s="27" t="str">
        <x:v>SCA-18</x:v>
      </x:c>
      <x:c r="C1186" s="43" t="n">
        <x:v>17570</x:v>
      </x:c>
      <x:c r="D1186" s="43" t="n">
        <x:v>248.86876761966576</x:v>
      </x:c>
      <x:c r="E1186" s="43" t="n">
        <x:v>2205.078831076265</x:v>
      </x:c>
      <x:c r="F1186" s="43" t="n">
        <x:v>146.92202576953764</x:v>
      </x:c>
      <x:c r="G1186" s="43" t="n">
        <x:v>1007.481884057971</x:v>
      </x:c>
      <x:c r="H1186" s="43" t="n">
        <x:v>13961.64849147656</x:v>
      </x:c>
      <x:c r="I1186" s="43" t="n">
        <x:v>17570</x:v>
      </x:c>
      <x:c r="J1186" s="43" t="n">
        <x:v>2201</x:v>
      </x:c>
      <x:c r="K1186" s="43" t="n">
        <x:v>303.9125087610257</x:v>
      </x:c>
      <x:c r="L1186" s="43" t="n">
        <x:v>156.99048299148805</x:v>
      </x:c>
    </x:row>
    <x:row r="1187" ht="15" hidden="0" customHeight="1">
      <x:c r="A1187" s="29" t="str">
        <x:v>46127</x:v>
      </x:c>
      <x:c r="B1187" s="29" t="str">
        <x:v>SCA-18</x:v>
      </x:c>
      <x:c r="C1187" s="44" t="n">
        <x:v>17402</x:v>
      </x:c>
      <x:c r="D1187" s="44" t="n">
        <x:v>230.43094670353983</x:v>
      </x:c>
      <x:c r="E1187" s="44" t="n">
        <x:v>1798.5976303653777</x:v>
      </x:c>
      <x:c r="F1187" s="44" t="n">
        <x:v>145.51719365062576</x:v>
      </x:c>
      <x:c r="G1187" s="44" t="n">
        <x:v>283.7633912735012</x:v>
      </x:c>
      <x:c r="H1187" s="44" t="n">
        <x:v>14943.690838006954</x:v>
      </x:c>
      <x:c r="I1187" s="44" t="n">
        <x:v>17402</x:v>
      </x:c>
      <x:c r="J1187" s="44" t="n">
        <x:v>1821</x:v>
      </x:c>
      <x:c r="K1187" s="44" t="n">
        <x:v>301.00657242227487</x:v>
      </x:c>
      <x:c r="L1187" s="44" t="n">
        <x:v>155.48937877164911</x:v>
      </x:c>
    </x:row>
    <x:row r="1188" ht="15" hidden="0" customHeight="1">
      <x:c r="A1188" s="27" t="str">
        <x:v>19121</x:v>
      </x:c>
      <x:c r="B1188" s="27" t="str">
        <x:v>SCA-18</x:v>
      </x:c>
      <x:c r="C1188" s="43" t="n">
        <x:v>17270</x:v>
      </x:c>
      <x:c r="D1188" s="43" t="n">
        <x:v>217.49497742820813</x:v>
      </x:c>
      <x:c r="E1188" s="43" t="n">
        <x:v>1578.4537021581018</x:v>
      </x:c>
      <x:c r="F1188" s="43" t="n">
        <x:v>80.90335887758539</x:v>
      </x:c>
      <x:c r="G1188" s="43" t="n">
        <x:v>596.711070704662</x:v>
      </x:c>
      <x:c r="H1188" s="43" t="n">
        <x:v>14796.436890831443</x:v>
      </x:c>
      <x:c r="I1188" s="43" t="n">
        <x:v>17270</x:v>
      </x:c>
      <x:c r="J1188" s="43" t="n">
        <x:v>1597</x:v>
      </x:c>
      <x:c r="K1188" s="43" t="n">
        <x:v>232.62943204920595</x:v>
      </x:c>
      <x:c r="L1188" s="43" t="n">
        <x:v>151.72607317162056</x:v>
      </x:c>
    </x:row>
    <x:row r="1189" ht="15" hidden="0" customHeight="1">
      <x:c r="A1189" s="29" t="str">
        <x:v>55013</x:v>
      </x:c>
      <x:c r="B1189" s="29" t="str">
        <x:v>SCA-18</x:v>
      </x:c>
      <x:c r="C1189" s="44" t="n">
        <x:v>17223</x:v>
      </x:c>
      <x:c r="D1189" s="44" t="n">
        <x:v>210.34203278959052</x:v>
      </x:c>
      <x:c r="E1189" s="44" t="n">
        <x:v>3060.302541134541</x:v>
      </x:c>
      <x:c r="F1189" s="44" t="n">
        <x:v>91.07276894580305</x:v>
      </x:c>
      <x:c r="G1189" s="44" t="n">
        <x:v>368.33905553905555</x:v>
      </x:c>
      <x:c r="H1189" s="44" t="n">
        <x:v>13492.943601591009</x:v>
      </x:c>
      <x:c r="I1189" s="44" t="n">
        <x:v>17223</x:v>
      </x:c>
      <x:c r="J1189" s="44" t="n">
        <x:v>3116</x:v>
      </x:c>
      <x:c r="K1189" s="44" t="n">
        <x:v>173.90219585478772</x:v>
      </x:c>
      <x:c r="L1189" s="44" t="n">
        <x:v>82.82942690898467</x:v>
      </x:c>
    </x:row>
    <x:row r="1190" ht="15" hidden="0" customHeight="1">
      <x:c r="A1190" s="27" t="str">
        <x:v>55129</x:v>
      </x:c>
      <x:c r="B1190" s="27" t="str">
        <x:v>SCA-18</x:v>
      </x:c>
      <x:c r="C1190" s="43" t="n">
        <x:v>17087</x:v>
      </x:c>
      <x:c r="D1190" s="43" t="n">
        <x:v>193.07627819015636</x:v>
      </x:c>
      <x:c r="E1190" s="43" t="n">
        <x:v>2661.6217685772403</x:v>
      </x:c>
      <x:c r="F1190" s="43" t="n">
        <x:v>90.3536203319362</x:v>
      </x:c>
      <x:c r="G1190" s="43" t="n">
        <x:v>438.13844681105655</x:v>
      </x:c>
      <x:c r="H1190" s="43" t="n">
        <x:v>13703.809886089612</x:v>
      </x:c>
      <x:c r="I1190" s="43" t="n">
        <x:v>17087</x:v>
      </x:c>
      <x:c r="J1190" s="43" t="n">
        <x:v>2712</x:v>
      </x:c>
      <x:c r="K1190" s="43" t="n">
        <x:v>172.52899149804088</x:v>
      </x:c>
      <x:c r="L1190" s="43" t="n">
        <x:v>82.17537116610468</x:v>
      </x:c>
    </x:row>
    <x:row r="1191" ht="15" hidden="0" customHeight="1">
      <x:c r="A1191" s="29" t="str">
        <x:v>19043</x:v>
      </x:c>
      <x:c r="B1191" s="29" t="str">
        <x:v>SCA-18</x:v>
      </x:c>
      <x:c r="C1191" s="44" t="n">
        <x:v>16845</x:v>
      </x:c>
      <x:c r="D1191" s="44" t="n">
        <x:v>247.04507450922168</x:v>
      </x:c>
      <x:c r="E1191" s="44" t="n">
        <x:v>2377.26842042614</x:v>
      </x:c>
      <x:c r="F1191" s="44" t="n">
        <x:v>78.91239607949774</x:v>
      </x:c>
      <x:c r="G1191" s="44" t="n">
        <x:v>725.0446375431497</x:v>
      </x:c>
      <x:c r="H1191" s="44" t="n">
        <x:v>13416.729471441991</x:v>
      </x:c>
      <x:c r="I1191" s="44" t="n">
        <x:v>16845</x:v>
      </x:c>
      <x:c r="J1191" s="44" t="n">
        <x:v>2470</x:v>
      </x:c>
      <x:c r="K1191" s="44" t="n">
        <x:v>226.90461973763024</x:v>
      </x:c>
      <x:c r="L1191" s="44" t="n">
        <x:v>147.9922236581325</x:v>
      </x:c>
    </x:row>
    <x:row r="1192" ht="15" hidden="0" customHeight="1">
      <x:c r="A1192" s="27" t="str">
        <x:v>19171</x:v>
      </x:c>
      <x:c r="B1192" s="27" t="str">
        <x:v>SCA-18</x:v>
      </x:c>
      <x:c r="C1192" s="43" t="n">
        <x:v>16796</x:v>
      </x:c>
      <x:c r="D1192" s="43" t="n">
        <x:v>226.3768611023458</x:v>
      </x:c>
      <x:c r="E1192" s="43" t="n">
        <x:v>1891.5630799031476</x:v>
      </x:c>
      <x:c r="F1192" s="43" t="n">
        <x:v>78.6828497804241</x:v>
      </x:c>
      <x:c r="G1192" s="43" t="n">
        <x:v>204.78353510895883</x:v>
      </x:c>
      <x:c r="H1192" s="43" t="n">
        <x:v>14394.593674105125</x:v>
      </x:c>
      <x:c r="I1192" s="43" t="n">
        <x:v>16796</x:v>
      </x:c>
      <x:c r="J1192" s="43" t="n">
        <x:v>1938</x:v>
      </x:c>
      <x:c r="K1192" s="43" t="n">
        <x:v>226.2445825534721</x:v>
      </x:c>
      <x:c r="L1192" s="43" t="n">
        <x:v>147.561732773048</x:v>
      </x:c>
    </x:row>
    <x:row r="1193" ht="15" hidden="0" customHeight="1">
      <x:c r="A1193" s="29" t="str">
        <x:v>55007</x:v>
      </x:c>
      <x:c r="B1193" s="29" t="str">
        <x:v>SCA-18</x:v>
      </x:c>
      <x:c r="C1193" s="44" t="n">
        <x:v>16787</x:v>
      </x:c>
      <x:c r="D1193" s="44" t="n">
        <x:v>192.15651756875823</x:v>
      </x:c>
      <x:c r="E1193" s="44" t="n">
        <x:v>2674.1739941690957</x:v>
      </x:c>
      <x:c r="F1193" s="44" t="n">
        <x:v>88.76726309546514</x:v>
      </x:c>
      <x:c r="G1193" s="44" t="n">
        <x:v>422.4525024295432</x:v>
      </x:c>
      <x:c r="H1193" s="44" t="n">
        <x:v>13409.449722737138</x:v>
      </x:c>
      <x:c r="I1193" s="44" t="n">
        <x:v>16787</x:v>
      </x:c>
      <x:c r="J1193" s="44" t="n">
        <x:v>2732</x:v>
      </x:c>
      <x:c r="K1193" s="44" t="n">
        <x:v>169.49986424051104</x:v>
      </x:c>
      <x:c r="L1193" s="44" t="n">
        <x:v>80.7326011450459</x:v>
      </x:c>
    </x:row>
    <x:row r="1194" ht="15" hidden="0" customHeight="1">
      <x:c r="A1194" s="27" t="str">
        <x:v>38077</x:v>
      </x:c>
      <x:c r="B1194" s="27" t="str">
        <x:v>SCA-18</x:v>
      </x:c>
      <x:c r="C1194" s="43" t="n">
        <x:v>16731</x:v>
      </x:c>
      <x:c r="D1194" s="43" t="n">
        <x:v>244.26757332627156</x:v>
      </x:c>
      <x:c r="E1194" s="43" t="n">
        <x:v>2032.9112729930564</x:v>
      </x:c>
      <x:c r="F1194" s="43" t="n">
        <x:v>63.526727069559314</x:v>
      </x:c>
      <x:c r="G1194" s="43" t="n">
        <x:v>684.7703739797784</x:v>
      </x:c>
      <x:c r="H1194" s="43" t="n">
        <x:v>13705.524052631336</x:v>
      </x:c>
      <x:c r="I1194" s="43" t="n">
        <x:v>16731</x:v>
      </x:c>
      <x:c r="J1194" s="43" t="n">
        <x:v>2078</x:v>
      </x:c>
      <x:c r="K1194" s="43" t="n">
        <x:v>223.0896640211202</x:v>
      </x:c>
      <x:c r="L1194" s="43" t="n">
        <x:v>159.56293695156089</x:v>
      </x:c>
    </x:row>
    <x:row r="1195" ht="15" hidden="0" customHeight="1">
      <x:c r="A1195" s="29" t="str">
        <x:v>27065</x:v>
      </x:c>
      <x:c r="B1195" s="29" t="str">
        <x:v>SCA-18</x:v>
      </x:c>
      <x:c r="C1195" s="44" t="n">
        <x:v>16628</x:v>
      </x:c>
      <x:c r="D1195" s="44" t="n">
        <x:v>215.50643517184614</x:v>
      </x:c>
      <x:c r="E1195" s="44" t="n">
        <x:v>2533.0878166019597</x:v>
      </x:c>
      <x:c r="F1195" s="44" t="n">
        <x:v>54.4547230612019</x:v>
      </x:c>
      <x:c r="G1195" s="44" t="n">
        <x:v>313.3894127072164</x:v>
      </x:c>
      <x:c r="H1195" s="44" t="n">
        <x:v>13511.561612457775</x:v>
      </x:c>
      <x:c r="I1195" s="44" t="n">
        <x:v>16628</x:v>
      </x:c>
      <x:c r="J1195" s="44" t="n">
        <x:v>2575</x:v>
      </x:c>
      <x:c r="K1195" s="44" t="n">
        <x:v>164.41583254129972</x:v>
      </x:c>
      <x:c r="L1195" s="44" t="n">
        <x:v>109.96110948009782</x:v>
      </x:c>
    </x:row>
    <x:row r="1196" ht="15" hidden="0" customHeight="1">
      <x:c r="A1196" s="27" t="str">
        <x:v>19083</x:v>
      </x:c>
      <x:c r="B1196" s="27" t="str">
        <x:v>SCA-18</x:v>
      </x:c>
      <x:c r="C1196" s="43" t="n">
        <x:v>16455</x:v>
      </x:c>
      <x:c r="D1196" s="43" t="n">
        <x:v>243.73834820633544</x:v>
      </x:c>
      <x:c r="E1196" s="43" t="n">
        <x:v>2380.1395337362774</x:v>
      </x:c>
      <x:c r="F1196" s="43" t="n">
        <x:v>77.08539492360555</x:v>
      </x:c>
      <x:c r="G1196" s="43" t="n">
        <x:v>351.6216849636117</x:v>
      </x:c>
      <x:c r="H1196" s="43" t="n">
        <x:v>13402.415038170171</x:v>
      </x:c>
      <x:c r="I1196" s="43" t="n">
        <x:v>16455</x:v>
      </x:c>
      <x:c r="J1196" s="43" t="n">
        <x:v>2443</x:v>
      </x:c>
      <x:c r="K1196" s="43" t="n">
        <x:v>221.65126255759606</x:v>
      </x:c>
      <x:c r="L1196" s="43" t="n">
        <x:v>144.5658676339905</x:v>
      </x:c>
    </x:row>
    <x:row r="1197" ht="15" hidden="0" customHeight="1">
      <x:c r="A1197" s="29" t="str">
        <x:v>27001</x:v>
      </x:c>
      <x:c r="B1197" s="29" t="str">
        <x:v>SCA-18</x:v>
      </x:c>
      <x:c r="C1197" s="44" t="n">
        <x:v>16252</x:v>
      </x:c>
      <x:c r="D1197" s="44" t="n">
        <x:v>236.121769873703</x:v>
      </x:c>
      <x:c r="E1197" s="44" t="n">
        <x:v>3087.5316403984366</x:v>
      </x:c>
      <x:c r="F1197" s="44" t="n">
        <x:v>53.22336776465319</x:v>
      </x:c>
      <x:c r="G1197" s="44" t="n">
        <x:v>404.6623061404615</x:v>
      </x:c>
      <x:c r="H1197" s="44" t="n">
        <x:v>12470.460915822745</x:v>
      </x:c>
      <x:c r="I1197" s="44" t="n">
        <x:v>16252</x:v>
      </x:c>
      <x:c r="J1197" s="44" t="n">
        <x:v>3139</x:v>
      </x:c>
      <x:c r="K1197" s="44" t="n">
        <x:v>160.69798595508797</x:v>
      </x:c>
      <x:c r="L1197" s="44" t="n">
        <x:v>107.47461819043478</x:v>
      </x:c>
    </x:row>
    <x:row r="1198" ht="15" hidden="0" customHeight="1">
      <x:c r="A1198" s="27" t="str">
        <x:v>19047</x:v>
      </x:c>
      <x:c r="B1198" s="27" t="str">
        <x:v>SCA-18</x:v>
      </x:c>
      <x:c r="C1198" s="43" t="n">
        <x:v>16237</x:v>
      </x:c>
      <x:c r="D1198" s="43" t="n">
        <x:v>254.13063985984215</x:v>
      </x:c>
      <x:c r="E1198" s="43" t="n">
        <x:v>2675.5204173135435</x:v>
      </x:c>
      <x:c r="F1198" s="43" t="n">
        <x:v>76.06414812364528</x:v>
      </x:c>
      <x:c r="G1198" s="43" t="n">
        <x:v>324.3009687635844</x:v>
      </x:c>
      <x:c r="H1198" s="43" t="n">
        <x:v>12906.983825939384</x:v>
      </x:c>
      <x:c r="I1198" s="43" t="n">
        <x:v>16237</x:v>
      </x:c>
      <x:c r="J1198" s="43" t="n">
        <x:v>2764</x:v>
      </x:c>
      <x:c r="K1198" s="43" t="n">
        <x:v>218.7147705954231</x:v>
      </x:c>
      <x:c r="L1198" s="43" t="n">
        <x:v>142.6506224717778</x:v>
      </x:c>
    </x:row>
    <x:row r="1199" ht="15" hidden="0" customHeight="1">
      <x:c r="A1199" s="29" t="str">
        <x:v>55003</x:v>
      </x:c>
      <x:c r="B1199" s="29" t="str">
        <x:v>SCA-18</x:v>
      </x:c>
      <x:c r="C1199" s="44" t="n">
        <x:v>16203</x:v>
      </x:c>
      <x:c r="D1199" s="44" t="n">
        <x:v>181.07210446597247</x:v>
      </x:c>
      <x:c r="E1199" s="44" t="n">
        <x:v>2475.5542950861036</x:v>
      </x:c>
      <x:c r="F1199" s="44" t="n">
        <x:v>85.67915434180148</x:v>
      </x:c>
      <x:c r="G1199" s="44" t="n">
        <x:v>497.78338484829374</x:v>
      </x:c>
      <x:c r="H1199" s="44" t="n">
        <x:v>12962.91106125783</x:v>
      </x:c>
      <x:c r="I1199" s="44" t="n">
        <x:v>16203</x:v>
      </x:c>
      <x:c r="J1199" s="44" t="n">
        <x:v>2523</x:v>
      </x:c>
      <x:c r="K1199" s="44" t="n">
        <x:v>163.60316317918628</x:v>
      </x:c>
      <x:c r="L1199" s="44" t="n">
        <x:v>77.9240088373848</x:v>
      </x:c>
    </x:row>
    <x:row r="1200" ht="15" hidden="0" customHeight="1">
      <x:c r="A1200" s="27" t="str">
        <x:v>19041</x:v>
      </x:c>
      <x:c r="B1200" s="27" t="str">
        <x:v>SCA-18</x:v>
      </x:c>
      <x:c r="C1200" s="43" t="n">
        <x:v>16202</x:v>
      </x:c>
      <x:c r="D1200" s="43" t="n">
        <x:v>238.23373881365018</x:v>
      </x:c>
      <x:c r="E1200" s="43" t="n">
        <x:v>2301.3746359492425</x:v>
      </x:c>
      <x:c r="F1200" s="43" t="n">
        <x:v>75.90018648144982</x:v>
      </x:c>
      <x:c r="G1200" s="43" t="n">
        <x:v>417.4990760133054</x:v>
      </x:c>
      <x:c r="H1200" s="43" t="n">
        <x:v>13168.992362742352</x:v>
      </x:c>
      <x:c r="I1200" s="43" t="n">
        <x:v>16202</x:v>
      </x:c>
      <x:c r="J1200" s="43" t="n">
        <x:v>2402</x:v>
      </x:c>
      <x:c r="K1200" s="43" t="n">
        <x:v>218.24331546388157</x:v>
      </x:c>
      <x:c r="L1200" s="43" t="n">
        <x:v>142.34312898243175</x:v>
      </x:c>
    </x:row>
    <x:row r="1201" ht="15" hidden="0" customHeight="1">
      <x:c r="A1201" s="29" t="str">
        <x:v>55023</x:v>
      </x:c>
      <x:c r="B1201" s="29" t="str">
        <x:v>SCA-18</x:v>
      </x:c>
      <x:c r="C1201" s="44" t="n">
        <x:v>15910</x:v>
      </x:c>
      <x:c r="D1201" s="44" t="n">
        <x:v>155.36018201173613</x:v>
      </x:c>
      <x:c r="E1201" s="44" t="n">
        <x:v>1892.2866854780495</x:v>
      </x:c>
      <x:c r="F1201" s="44" t="n">
        <x:v>84.12981210751475</x:v>
      </x:c>
      <x:c r="G1201" s="44" t="n">
        <x:v>721.0363540914758</x:v>
      </x:c>
      <x:c r="H1201" s="44" t="n">
        <x:v>13057.186966311225</x:v>
      </x:c>
      <x:c r="I1201" s="44" t="n">
        <x:v>15910</x:v>
      </x:c>
      <x:c r="J1201" s="44" t="n">
        <x:v>1888</x:v>
      </x:c>
      <x:c r="K1201" s="44" t="n">
        <x:v>160.64471555766548</x:v>
      </x:c>
      <x:c r="L1201" s="44" t="n">
        <x:v>76.51490345015073</x:v>
      </x:c>
    </x:row>
    <x:row r="1202" ht="15" hidden="0" customHeight="1">
      <x:c r="A1202" s="27" t="str">
        <x:v>27143</x:v>
      </x:c>
      <x:c r="B1202" s="27" t="str">
        <x:v>SCA-18</x:v>
      </x:c>
      <x:c r="C1202" s="43" t="n">
        <x:v>15356</x:v>
      </x:c>
      <x:c r="D1202" s="43" t="n">
        <x:v>188.3432481806535</x:v>
      </x:c>
      <x:c r="E1202" s="43" t="n">
        <x:v>2083.053259905977</x:v>
      </x:c>
      <x:c r="F1202" s="43" t="n">
        <x:v>50.2890742920265</x:v>
      </x:c>
      <x:c r="G1202" s="43" t="n">
        <x:v>249.02216252518468</x:v>
      </x:c>
      <x:c r="H1202" s="43" t="n">
        <x:v>12785.29225509616</x:v>
      </x:c>
      <x:c r="I1202" s="43" t="n">
        <x:v>15356</x:v>
      </x:c>
      <x:c r="J1202" s="43" t="n">
        <x:v>2104</x:v>
      </x:c>
      <x:c r="K1202" s="43" t="n">
        <x:v>151.8384366432643</x:v>
      </x:c>
      <x:c r="L1202" s="43" t="n">
        <x:v>101.54936235123779</x:v>
      </x:c>
    </x:row>
    <x:row r="1203" ht="15" hidden="0" customHeight="1">
      <x:c r="A1203" s="29" t="str">
        <x:v>27127</x:v>
      </x:c>
      <x:c r="B1203" s="29" t="str">
        <x:v>SCA-18</x:v>
      </x:c>
      <x:c r="C1203" s="44" t="n">
        <x:v>15265</x:v>
      </x:c>
      <x:c r="D1203" s="44" t="n">
        <x:v>184.54932643642528</x:v>
      </x:c>
      <x:c r="E1203" s="44" t="n">
        <x:v>2006.4419491525425</x:v>
      </x:c>
      <x:c r="F1203" s="44" t="n">
        <x:v>49.99106011121283</x:v>
      </x:c>
      <x:c r="G1203" s="44" t="n">
        <x:v>461.31766419491527</x:v>
      </x:c>
      <x:c r="H1203" s="44" t="n">
        <x:v>12562.700000104904</x:v>
      </x:c>
      <x:c r="I1203" s="44" t="n">
        <x:v>15265</x:v>
      </x:c>
      <x:c r="J1203" s="44" t="n">
        <x:v>2068</x:v>
      </x:c>
      <x:c r="K1203" s="44" t="n">
        <x:v>150.93863866628217</x:v>
      </x:c>
      <x:c r="L1203" s="44" t="n">
        <x:v>100.94757855506934</x:v>
      </x:c>
    </x:row>
    <x:row r="1204" ht="15" hidden="0" customHeight="1">
      <x:c r="A1204" s="27" t="str">
        <x:v>27135</x:v>
      </x:c>
      <x:c r="B1204" s="27" t="str">
        <x:v>SCA-18</x:v>
      </x:c>
      <x:c r="C1204" s="43" t="n">
        <x:v>15246</x:v>
      </x:c>
      <x:c r="D1204" s="43" t="n">
        <x:v>170.52715165606747</x:v>
      </x:c>
      <x:c r="E1204" s="43" t="n">
        <x:v>1672.9252864135467</x:v>
      </x:c>
      <x:c r="F1204" s="43" t="n">
        <x:v>49.92883737016383</x:v>
      </x:c>
      <x:c r="G1204" s="43" t="n">
        <x:v>705.4593861621908</x:v>
      </x:c>
      <x:c r="H1204" s="43" t="n">
        <x:v>12647.15933839803</x:v>
      </x:c>
      <x:c r="I1204" s="43" t="n">
        <x:v>15246</x:v>
      </x:c>
      <x:c r="J1204" s="43" t="n">
        <x:v>1728</x:v>
      </x:c>
      <x:c r="K1204" s="43" t="n">
        <x:v>150.7507687590002</x:v>
      </x:c>
      <x:c r="L1204" s="43" t="n">
        <x:v>100.82193138883638</x:v>
      </x:c>
    </x:row>
    <x:row r="1205" ht="15" hidden="0" customHeight="1">
      <x:c r="A1205" s="29" t="str">
        <x:v>38053</x:v>
      </x:c>
      <x:c r="B1205" s="29" t="str">
        <x:v>SCA-18</x:v>
      </x:c>
      <x:c r="C1205" s="44" t="n">
        <x:v>15192</x:v>
      </x:c>
      <x:c r="D1205" s="44" t="n">
        <x:v>198.9870184212592</x:v>
      </x:c>
      <x:c r="E1205" s="44" t="n">
        <x:v>1298.4352405063291</x:v>
      </x:c>
      <x:c r="F1205" s="44" t="n">
        <x:v>57.683225009906465</x:v>
      </x:c>
      <x:c r="G1205" s="44" t="n">
        <x:v>443.18713080168783</x:v>
      </x:c>
      <x:c r="H1205" s="44" t="n">
        <x:v>13193.707385260817</x:v>
      </x:c>
      <x:c r="I1205" s="44" t="n">
        <x:v>15192</x:v>
      </x:c>
      <x:c r="J1205" s="44" t="n">
        <x:v>1266</x:v>
      </x:c>
      <x:c r="K1205" s="44" t="n">
        <x:v>202.56877507673528</x:v>
      </x:c>
      <x:c r="L1205" s="44" t="n">
        <x:v>144.8855500668288</x:v>
      </x:c>
    </x:row>
    <x:row r="1206" ht="15" hidden="0" customHeight="1">
      <x:c r="A1206" s="27" t="str">
        <x:v>46027</x:v>
      </x:c>
      <x:c r="B1206" s="27" t="str">
        <x:v>SCA-18</x:v>
      </x:c>
      <x:c r="C1206" s="43" t="n">
        <x:v>15031</x:v>
      </x:c>
      <x:c r="D1206" s="43" t="n">
        <x:v>213.84861115142968</x:v>
      </x:c>
      <x:c r="E1206" s="43" t="n">
        <x:v>1909.0670207201765</x:v>
      </x:c>
      <x:c r="F1206" s="43" t="n">
        <x:v>125.69066416288676</x:v>
      </x:c>
      <x:c r="G1206" s="43" t="n">
        <x:v>452.0713471467847</x:v>
      </x:c>
      <x:c r="H1206" s="43" t="n">
        <x:v>12330.322356818722</x:v>
      </x:c>
      <x:c r="I1206" s="43" t="n">
        <x:v>15031</x:v>
      </x:c>
      <x:c r="J1206" s="43" t="n">
        <x:v>1973</x:v>
      </x:c>
      <x:c r="K1206" s="43" t="n">
        <x:v>259.9948161176424</x:v>
      </x:c>
      <x:c r="L1206" s="43" t="n">
        <x:v>134.30415195475564</x:v>
      </x:c>
    </x:row>
    <x:row r="1207" ht="15" hidden="0" customHeight="1">
      <x:c r="A1207" s="29" t="str">
        <x:v>19079</x:v>
      </x:c>
      <x:c r="B1207" s="29" t="str">
        <x:v>SCA-18</x:v>
      </x:c>
      <x:c r="C1207" s="44" t="n">
        <x:v>14944</x:v>
      </x:c>
      <x:c r="D1207" s="44" t="n">
        <x:v>211.44002805546592</x:v>
      </x:c>
      <x:c r="E1207" s="44" t="n">
        <x:v>1923.5782471910115</x:v>
      </x:c>
      <x:c r="F1207" s="44" t="n">
        <x:v>70.00693659911036</x:v>
      </x:c>
      <x:c r="G1207" s="44" t="n">
        <x:v>303.9370786516854</x:v>
      </x:c>
      <x:c r="H1207" s="44" t="n">
        <x:v>12435.037709502727</x:v>
      </x:c>
      <x:c r="I1207" s="44" t="n">
        <x:v>14944</x:v>
      </x:c>
      <x:c r="J1207" s="44" t="n">
        <x:v>1969</x:v>
      </x:c>
      <x:c r="K1207" s="44" t="n">
        <x:v>201.29787102161745</x:v>
      </x:c>
      <x:c r="L1207" s="44" t="n">
        <x:v>131.2909344225071</x:v>
      </x:c>
    </x:row>
    <x:row r="1208" ht="15" hidden="0" customHeight="1">
      <x:c r="A1208" s="27" t="str">
        <x:v>19067</x:v>
      </x:c>
      <x:c r="B1208" s="27" t="str">
        <x:v>SCA-18</x:v>
      </x:c>
      <x:c r="C1208" s="43" t="n">
        <x:v>14901</x:v>
      </x:c>
      <x:c r="D1208" s="43" t="n">
        <x:v>229.13682936699306</x:v>
      </x:c>
      <x:c r="E1208" s="43" t="n">
        <x:v>2357.3681438392387</x:v>
      </x:c>
      <x:c r="F1208" s="43" t="n">
        <x:v>69.8054980101274</x:v>
      </x:c>
      <x:c r="G1208" s="43" t="n">
        <x:v>493.189284769963</x:v>
      </x:c>
      <x:c r="H1208" s="43" t="n">
        <x:v>11751.500244013678</x:v>
      </x:c>
      <x:c r="I1208" s="43" t="n">
        <x:v>14901</x:v>
      </x:c>
      <x:c r="J1208" s="43" t="n">
        <x:v>2493</x:v>
      </x:c>
      <x:c r="K1208" s="43" t="n">
        <x:v>200.71865471715216</x:v>
      </x:c>
      <x:c r="L1208" s="43" t="n">
        <x:v>130.91315670702477</x:v>
      </x:c>
    </x:row>
    <x:row r="1209" ht="15" hidden="0" customHeight="1">
      <x:c r="A1209" s="29" t="str">
        <x:v>19085</x:v>
      </x:c>
      <x:c r="B1209" s="29" t="str">
        <x:v>SCA-18</x:v>
      </x:c>
      <x:c r="C1209" s="44" t="n">
        <x:v>14623</x:v>
      </x:c>
      <x:c r="D1209" s="44" t="n">
        <x:v>198.0382843670719</x:v>
      </x:c>
      <x:c r="E1209" s="44" t="n">
        <x:v>1669.6201084387599</x:v>
      </x:c>
      <x:c r="F1209" s="44" t="n">
        <x:v>68.50317410926061</x:v>
      </x:c>
      <x:c r="G1209" s="44" t="n">
        <x:v>299.1215417767274</x:v>
      </x:c>
      <x:c r="H1209" s="44" t="n">
        <x:v>12387.71689130818</x:v>
      </x:c>
      <x:c r="I1209" s="44" t="n">
        <x:v>14623</x:v>
      </x:c>
      <x:c r="J1209" s="44" t="n">
        <x:v>1711</x:v>
      </x:c>
      <x:c r="K1209" s="44" t="n">
        <x:v>196.97395395805086</x:v>
      </x:c>
      <x:c r="L1209" s="44" t="n">
        <x:v>128.47077984879024</x:v>
      </x:c>
    </x:row>
    <x:row r="1210" ht="15" hidden="0" customHeight="1">
      <x:c r="A1210" s="27" t="str">
        <x:v>27159</x:v>
      </x:c>
      <x:c r="B1210" s="27" t="str">
        <x:v>SCA-18</x:v>
      </x:c>
      <x:c r="C1210" s="43" t="n">
        <x:v>14388</x:v>
      </x:c>
      <x:c r="D1210" s="43" t="n">
        <x:v>183.46316538869425</x:v>
      </x:c>
      <x:c r="E1210" s="43" t="n">
        <x:v>2119.5646921581338</x:v>
      </x:c>
      <x:c r="F1210" s="43" t="n">
        <x:v>47.118989379635124</x:v>
      </x:c>
      <x:c r="G1210" s="43" t="n">
        <x:v>543.9065312882552</x:v>
      </x:c>
      <x:c r="H1210" s="43" t="n">
        <x:v>11493.946621785282</x:v>
      </x:c>
      <x:c r="I1210" s="43" t="n">
        <x:v>14388</x:v>
      </x:c>
      <x:c r="J1210" s="43" t="n">
        <x:v>2131</x:v>
      </x:c>
      <x:c r="K1210" s="43" t="n">
        <x:v>142.26695926174045</x:v>
      </x:c>
      <x:c r="L1210" s="43" t="n">
        <x:v>95.14796988210533</x:v>
      </x:c>
    </x:row>
    <x:row r="1211" ht="15" hidden="0" customHeight="1">
      <x:c r="A1211" s="29" t="str">
        <x:v>27129</x:v>
      </x:c>
      <x:c r="B1211" s="29" t="str">
        <x:v>SCA-18</x:v>
      </x:c>
      <x:c r="C1211" s="44" t="n">
        <x:v>14356</x:v>
      </x:c>
      <x:c r="D1211" s="44" t="n">
        <x:v>170.07734061512102</x:v>
      </x:c>
      <x:c r="E1211" s="44" t="n">
        <x:v>1803.383688311688</x:v>
      </x:c>
      <x:c r="F1211" s="44" t="n">
        <x:v>47.014193184184165</x:v>
      </x:c>
      <x:c r="G1211" s="44" t="n">
        <x:v>378.51354861354866</x:v>
      </x:c>
      <x:c r="H1211" s="44" t="n">
        <x:v>11957.011229275458</x:v>
      </x:c>
      <x:c r="I1211" s="44" t="n">
        <x:v>14356</x:v>
      </x:c>
      <x:c r="J1211" s="44" t="n">
        <x:v>1864</x:v>
      </x:c>
      <x:c r="K1211" s="44" t="n">
        <x:v>141.95054678631817</x:v>
      </x:c>
      <x:c r="L1211" s="44" t="n">
        <x:v>94.936353602134</x:v>
      </x:c>
    </x:row>
    <x:row r="1212" ht="15" hidden="0" customHeight="1">
      <x:c r="A1212" s="27" t="str">
        <x:v>19109</x:v>
      </x:c>
      <x:c r="B1212" s="27" t="str">
        <x:v>SCA-18</x:v>
      </x:c>
      <x:c r="C1212" s="43" t="n">
        <x:v>14322</x:v>
      </x:c>
      <x:c r="D1212" s="43" t="n">
        <x:v>204.46479910457552</x:v>
      </x:c>
      <x:c r="E1212" s="43" t="n">
        <x:v>1887.3231183398766</x:v>
      </x:c>
      <x:c r="F1212" s="43" t="n">
        <x:v>67.09310398637972</x:v>
      </x:c>
      <x:c r="G1212" s="43" t="n">
        <x:v>430.0715787997757</x:v>
      </x:c>
      <x:c r="H1212" s="43" t="n">
        <x:v>11733.047399769393</x:v>
      </x:c>
      <x:c r="I1212" s="43" t="n">
        <x:v>14322</x:v>
      </x:c>
      <x:c r="J1212" s="43" t="n">
        <x:v>1958</x:v>
      </x:c>
      <x:c r="K1212" s="43" t="n">
        <x:v>192.9194398267937</x:v>
      </x:c>
      <x:c r="L1212" s="43" t="n">
        <x:v>125.82633584041399</x:v>
      </x:c>
    </x:row>
    <x:row r="1213" ht="15" hidden="0" customHeight="1">
      <x:c r="A1213" s="29" t="str">
        <x:v>26053</x:v>
      </x:c>
      <x:c r="B1213" s="29" t="str">
        <x:v>SCA-18</x:v>
      </x:c>
      <x:c r="C1213" s="44" t="n">
        <x:v>14285</x:v>
      </x:c>
      <x:c r="D1213" s="44" t="n">
        <x:v>172.35543531214952</x:v>
      </x:c>
      <x:c r="E1213" s="44" t="n">
        <x:v>2623.276771402227</x:v>
      </x:c>
      <x:c r="F1213" s="44" t="n">
        <x:v>79.88478244324311</x:v>
      </x:c>
      <x:c r="G1213" s="44" t="n">
        <x:v>661.5246471380949</x:v>
      </x:c>
      <x:c r="H1213" s="44" t="n">
        <x:v>10747.958363704285</x:v>
      </x:c>
      <x:c r="I1213" s="44" t="n">
        <x:v>14285</x:v>
      </x:c>
      <x:c r="J1213" s="44" t="n">
        <x:v>2697</x:v>
      </x:c>
      <x:c r="K1213" s="44" t="n">
        <x:v>142.9370189469665</x:v>
      </x:c>
      <x:c r="L1213" s="44" t="n">
        <x:v>63.05223650372339</x:v>
      </x:c>
    </x:row>
    <x:row r="1214" ht="15" hidden="0" customHeight="1">
      <x:c r="A1214" s="27" t="str">
        <x:v>19005</x:v>
      </x:c>
      <x:c r="B1214" s="27" t="str">
        <x:v>SCA-18</x:v>
      </x:c>
      <x:c r="C1214" s="43" t="n">
        <x:v>14238</x:v>
      </x:c>
      <x:c r="D1214" s="43" t="n">
        <x:v>195.6672564649014</x:v>
      </x:c>
      <x:c r="E1214" s="43" t="n">
        <x:v>1693.8937199740315</x:v>
      </x:c>
      <x:c r="F1214" s="43" t="n">
        <x:v>66.69959604511064</x:v>
      </x:c>
      <x:c r="G1214" s="43" t="n">
        <x:v>371.454952030585</x:v>
      </x:c>
      <x:c r="H1214" s="43" t="n">
        <x:v>11910.284475485372</x:v>
      </x:c>
      <x:c r="I1214" s="43" t="n">
        <x:v>14238</x:v>
      </x:c>
      <x:c r="J1214" s="43" t="n">
        <x:v>1718</x:v>
      </x:c>
      <x:c r="K1214" s="43" t="n">
        <x:v>191.78794751109405</x:v>
      </x:c>
      <x:c r="L1214" s="43" t="n">
        <x:v>125.08835146598341</x:v>
      </x:c>
    </x:row>
    <x:row r="1215" ht="15" hidden="0" customHeight="1">
      <x:c r="A1215" s="29" t="str">
        <x:v>19141</x:v>
      </x:c>
      <x:c r="B1215" s="29" t="str">
        <x:v>SCA-18</x:v>
      </x:c>
      <x:c r="C1215" s="44" t="n">
        <x:v>14220</x:v>
      </x:c>
      <x:c r="D1215" s="44" t="n">
        <x:v>208.8845654428581</x:v>
      </x:c>
      <x:c r="E1215" s="44" t="n">
        <x:v>2014.9044836563496</x:v>
      </x:c>
      <x:c r="F1215" s="44" t="n">
        <x:v>66.6152729148387</x:v>
      </x:c>
      <x:c r="G1215" s="44" t="n">
        <x:v>341.38657072606304</x:v>
      </x:c>
      <x:c r="H1215" s="44" t="n">
        <x:v>11588.20910725989</x:v>
      </x:c>
      <x:c r="I1215" s="44" t="n">
        <x:v>14220</x:v>
      </x:c>
      <x:c r="J1215" s="44" t="n">
        <x:v>2041</x:v>
      </x:c>
      <x:c r="K1215" s="44" t="n">
        <x:v>191.54548487201555</x:v>
      </x:c>
      <x:c r="L1215" s="44" t="n">
        <x:v>124.93021195717685</x:v>
      </x:c>
    </x:row>
    <x:row r="1216" ht="15" hidden="0" customHeight="1">
      <x:c r="A1216" s="27" t="str">
        <x:v>55107</x:v>
      </x:c>
      <x:c r="B1216" s="27" t="str">
        <x:v>SCA-18</x:v>
      </x:c>
      <x:c r="C1216" s="43" t="n">
        <x:v>14146</x:v>
      </x:c>
      <x:c r="D1216" s="43" t="n">
        <x:v>165.94896866750156</x:v>
      </x:c>
      <x:c r="E1216" s="43" t="n">
        <x:v>2350.0212705882354</x:v>
      </x:c>
      <x:c r="F1216" s="43" t="n">
        <x:v>74.80203155706496</x:v>
      </x:c>
      <x:c r="G1216" s="43" t="n">
        <x:v>392.80213903743316</x:v>
      </x:c>
      <x:c r="H1216" s="43" t="n">
        <x:v>11162.425590149765</x:v>
      </x:c>
      <x:c r="I1216" s="43" t="n">
        <x:v>14146</x:v>
      </x:c>
      <x:c r="J1216" s="43" t="n">
        <x:v>2427</x:v>
      </x:c>
      <x:c r="K1216" s="43" t="n">
        <x:v>142.83344728339006</x:v>
      </x:c>
      <x:c r="L1216" s="43" t="n">
        <x:v>68.0314157263251</x:v>
      </x:c>
    </x:row>
    <x:row r="1217" ht="15" hidden="0" customHeight="1">
      <x:c r="A1217" s="29" t="str">
        <x:v>19023</x:v>
      </x:c>
      <x:c r="B1217" s="29" t="str">
        <x:v>SCA-18</x:v>
      </x:c>
      <x:c r="C1217" s="44" t="n">
        <x:v>14049</x:v>
      </x:c>
      <x:c r="D1217" s="44" t="n">
        <x:v>192.2890686162605</x:v>
      </x:c>
      <x:c r="E1217" s="44" t="n">
        <x:v>1652.6683678259014</x:v>
      </x:c>
      <x:c r="F1217" s="44" t="n">
        <x:v>65.81420317725517</x:v>
      </x:c>
      <x:c r="G1217" s="44" t="n">
        <x:v>253.58665813242303</x:v>
      </x:c>
      <x:c r="H1217" s="44" t="n">
        <x:v>11884.64170224816</x:v>
      </x:c>
      <x:c r="I1217" s="44" t="n">
        <x:v>14049</x:v>
      </x:c>
      <x:c r="J1217" s="44" t="n">
        <x:v>1723</x:v>
      </x:c>
      <x:c r="K1217" s="44" t="n">
        <x:v>189.24208980076978</x:v>
      </x:c>
      <x:c r="L1217" s="44" t="n">
        <x:v>123.42788662351461</x:v>
      </x:c>
    </x:row>
    <x:row r="1218" ht="15" hidden="0" customHeight="1">
      <x:c r="A1218" s="27" t="str">
        <x:v>55099</x:v>
      </x:c>
      <x:c r="B1218" s="27" t="str">
        <x:v>SCA-18</x:v>
      </x:c>
      <x:c r="C1218" s="43" t="n">
        <x:v>13988</x:v>
      </x:c>
      <x:c r="D1218" s="43" t="n">
        <x:v>161.81349140860183</x:v>
      </x:c>
      <x:c r="E1218" s="43" t="n">
        <x:v>2269.006429440825</x:v>
      </x:c>
      <x:c r="F1218" s="43" t="n">
        <x:v>73.96655007919021</x:v>
      </x:c>
      <x:c r="G1218" s="43" t="n">
        <x:v>419.2547791222166</x:v>
      </x:c>
      <x:c r="H1218" s="43" t="n">
        <x:v>11063.958749949166</x:v>
      </x:c>
      <x:c r="I1218" s="43" t="n">
        <x:v>13988</x:v>
      </x:c>
      <x:c r="J1218" s="43" t="n">
        <x:v>2360</x:v>
      </x:c>
      <x:c r="K1218" s="43" t="n">
        <x:v>141.23810692775768</x:v>
      </x:c>
      <x:c r="L1218" s="43" t="n">
        <x:v>67.27155684856747</x:v>
      </x:c>
    </x:row>
    <x:row r="1219" ht="15" hidden="0" customHeight="1">
      <x:c r="A1219" s="29" t="str">
        <x:v>27043</x:v>
      </x:c>
      <x:c r="B1219" s="29" t="str">
        <x:v>SCA-18</x:v>
      </x:c>
      <x:c r="C1219" s="44" t="n">
        <x:v>13888</x:v>
      </x:c>
      <x:c r="D1219" s="44" t="n">
        <x:v>175.94959891890508</x:v>
      </x:c>
      <x:c r="E1219" s="44" t="n">
        <x:v>2018.59520187244</x:v>
      </x:c>
      <x:c r="F1219" s="44" t="n">
        <x:v>45.48154882571397</x:v>
      </x:c>
      <x:c r="G1219" s="44" t="n">
        <x:v>354.2886922176711</x:v>
      </x:c>
      <x:c r="H1219" s="44" t="n">
        <x:v>11293.684958165271</x:v>
      </x:c>
      <x:c r="I1219" s="44" t="n">
        <x:v>13888</x:v>
      </x:c>
      <x:c r="J1219" s="44" t="n">
        <x:v>2070</x:v>
      </x:c>
      <x:c r="K1219" s="44" t="n">
        <x:v>137.3230143332674</x:v>
      </x:c>
      <x:c r="L1219" s="44" t="n">
        <x:v>91.84146550755342</x:v>
      </x:c>
    </x:row>
    <x:row r="1220" ht="15" hidden="0" customHeight="1">
      <x:c r="A1220" s="27" t="str">
        <x:v>27113</x:v>
      </x:c>
      <x:c r="B1220" s="27" t="str">
        <x:v>SCA-18</x:v>
      </x:c>
      <x:c r="C1220" s="43" t="n">
        <x:v>13686</x:v>
      </x:c>
      <x:c r="D1220" s="43" t="n">
        <x:v>175.03651851596356</x:v>
      </x:c>
      <x:c r="E1220" s="43" t="n">
        <x:v>2028.7411386174979</x:v>
      </x:c>
      <x:c r="F1220" s="43" t="n">
        <x:v>44.82002284192983</x:v>
      </x:c>
      <x:c r="G1220" s="43" t="n">
        <x:v>430.40468669654</x:v>
      </x:c>
      <x:c r="H1220" s="43" t="n">
        <x:v>11006.997633328068</x:v>
      </x:c>
      <x:c r="I1220" s="43" t="n">
        <x:v>13686</x:v>
      </x:c>
      <x:c r="J1220" s="43" t="n">
        <x:v>2102</x:v>
      </x:c>
      <x:c r="K1220" s="43" t="n">
        <x:v>135.3256605821643</x:v>
      </x:c>
      <x:c r="L1220" s="43" t="n">
        <x:v>90.50563774023446</x:v>
      </x:c>
    </x:row>
    <x:row r="1221" ht="15" hidden="0" customHeight="1">
      <x:c r="A1221" s="29" t="str">
        <x:v>55011</x:v>
      </x:c>
      <x:c r="B1221" s="29" t="str">
        <x:v>SCA-18</x:v>
      </x:c>
      <x:c r="C1221" s="44" t="n">
        <x:v>13318</x:v>
      </x:c>
      <x:c r="D1221" s="44" t="n">
        <x:v>146.31347841422988</x:v>
      </x:c>
      <x:c r="E1221" s="44" t="n">
        <x:v>1974.3385907046477</x:v>
      </x:c>
      <x:c r="F1221" s="44" t="n">
        <x:v>70.42368558440486</x:v>
      </x:c>
      <x:c r="G1221" s="44" t="n">
        <x:v>241.83508245877064</x:v>
      </x:c>
      <x:c r="H1221" s="44" t="n">
        <x:v>10885.089162837947</x:v>
      </x:c>
      <x:c r="I1221" s="44" t="n">
        <x:v>13318</x:v>
      </x:c>
      <x:c r="J1221" s="44" t="n">
        <x:v>2060</x:v>
      </x:c>
      <x:c r="K1221" s="44" t="n">
        <x:v>134.47305605260772</x:v>
      </x:c>
      <x:c r="L1221" s="44" t="n">
        <x:v>64.04937046820285</x:v>
      </x:c>
    </x:row>
    <x:row r="1222" ht="15" hidden="0" customHeight="1">
      <x:c r="A1222" s="27" t="str">
        <x:v>19029</x:v>
      </x:c>
      <x:c r="B1222" s="27" t="str">
        <x:v>SCA-18</x:v>
      </x:c>
      <x:c r="C1222" s="43" t="n">
        <x:v>12960</x:v>
      </x:c>
      <x:c r="D1222" s="43" t="n">
        <x:v>191.52186060758146</x:v>
      </x:c>
      <x:c r="E1222" s="43" t="n">
        <x:v>1863.8739424047192</x:v>
      </x:c>
      <x:c r="F1222" s="43" t="n">
        <x:v>60.712653795802375</x:v>
      </x:c>
      <x:c r="G1222" s="43" t="n">
        <x:v>500.3369168671893</x:v>
      </x:c>
      <x:c r="H1222" s="43" t="n">
        <x:v>10343.554626324709</x:v>
      </x:c>
      <x:c r="I1222" s="43" t="n">
        <x:v>12960</x:v>
      </x:c>
      <x:c r="J1222" s="43" t="n">
        <x:v>1930</x:v>
      </x:c>
      <x:c r="K1222" s="43" t="n">
        <x:v>174.5731001365205</x:v>
      </x:c>
      <x:c r="L1222" s="43" t="n">
        <x:v>113.86044634071814</x:v>
      </x:c>
    </x:row>
    <x:row r="1223" ht="15" hidden="0" customHeight="1">
      <x:c r="A1223" s="29" t="str">
        <x:v>19197</x:v>
      </x:c>
      <x:c r="B1223" s="29" t="str">
        <x:v>SCA-18</x:v>
      </x:c>
      <x:c r="C1223" s="44" t="n">
        <x:v>12801</x:v>
      </x:c>
      <x:c r="D1223" s="44" t="n">
        <x:v>183.15261380195645</x:v>
      </x:c>
      <x:c r="E1223" s="44" t="n">
        <x:v>1696.5375949367087</x:v>
      </x:c>
      <x:c r="F1223" s="44" t="n">
        <x:v>59.96779947840015</x:v>
      </x:c>
      <x:c r="G1223" s="44" t="n">
        <x:v>344.3475079113924</x:v>
      </x:c>
      <x:c r="H1223" s="44" t="n">
        <x:v>10516.994483871542</x:v>
      </x:c>
      <x:c r="I1223" s="44" t="n">
        <x:v>12801</x:v>
      </x:c>
      <x:c r="J1223" s="44" t="n">
        <x:v>1745</x:v>
      </x:c>
      <x:c r="K1223" s="44" t="n">
        <x:v>172.4313468246604</x:v>
      </x:c>
      <x:c r="L1223" s="44" t="n">
        <x:v>112.46354734626026</x:v>
      </x:c>
    </x:row>
    <x:row r="1224" ht="15" hidden="0" customHeight="1">
      <x:c r="A1224" s="27" t="str">
        <x:v>27023</x:v>
      </x:c>
      <x:c r="B1224" s="27" t="str">
        <x:v>SCA-18</x:v>
      </x:c>
      <x:c r="C1224" s="43" t="n">
        <x:v>12406</x:v>
      </x:c>
      <x:c r="D1224" s="43" t="n">
        <x:v>147.9657981738998</x:v>
      </x:c>
      <x:c r="E1224" s="43" t="n">
        <x:v>1582.1954791804362</x:v>
      </x:c>
      <x:c r="F1224" s="43" t="n">
        <x:v>40.62817502389167</x:v>
      </x:c>
      <x:c r="G1224" s="43" t="n">
        <x:v>489.5069398545935</x:v>
      </x:c>
      <x:c r="H1224" s="43" t="n">
        <x:v>10145.703607767178</x:v>
      </x:c>
      <x:c r="I1224" s="43" t="n">
        <x:v>12406</x:v>
      </x:c>
      <x:c r="J1224" s="43" t="n">
        <x:v>1608</x:v>
      </x:c>
      <x:c r="K1224" s="43" t="n">
        <x:v>122.66916156527328</x:v>
      </x:c>
      <x:c r="L1224" s="43" t="n">
        <x:v>82.04098654138161</x:v>
      </x:c>
    </x:row>
    <x:row r="1225" ht="15" hidden="0" customHeight="1">
      <x:c r="A1225" s="29" t="str">
        <x:v>19075</x:v>
      </x:c>
      <x:c r="B1225" s="29" t="str">
        <x:v>SCA-18</x:v>
      </x:c>
      <x:c r="C1225" s="44" t="n">
        <x:v>12361</x:v>
      </x:c>
      <x:c r="D1225" s="44" t="n">
        <x:v>167.7661570166059</x:v>
      </x:c>
      <x:c r="E1225" s="44" t="n">
        <x:v>1420.0378105881393</x:v>
      </x:c>
      <x:c r="F1225" s="44" t="n">
        <x:v>57.906567405085866</x:v>
      </x:c>
      <x:c r="G1225" s="44" t="n">
        <x:v>191.9125540419284</x:v>
      </x:c>
      <x:c r="H1225" s="44" t="n">
        <x:v>10523.376910948242</x:v>
      </x:c>
      <x:c r="I1225" s="44" t="n">
        <x:v>12361</x:v>
      </x:c>
      <x:c r="J1225" s="44" t="n">
        <x:v>1467</x:v>
      </x:c>
      <x:c r="K1225" s="44" t="n">
        <x:v>166.5044823138526</x:v>
      </x:c>
      <x:c r="L1225" s="44" t="n">
        <x:v>108.59791490876674</x:v>
      </x:c>
    </x:row>
    <x:row r="1226" ht="15" hidden="0" customHeight="1">
      <x:c r="A1226" s="27" t="str">
        <x:v>19119</x:v>
      </x:c>
      <x:c r="B1226" s="27" t="str">
        <x:v>SCA-18</x:v>
      </x:c>
      <x:c r="C1226" s="43" t="n">
        <x:v>12354</x:v>
      </x:c>
      <x:c r="D1226" s="43" t="n">
        <x:v>167.4199676127667</x:v>
      </x:c>
      <x:c r="E1226" s="43" t="n">
        <x:v>1413.2052336448598</x:v>
      </x:c>
      <x:c r="F1226" s="43" t="n">
        <x:v>57.87377507664678</x:v>
      </x:c>
      <x:c r="G1226" s="43" t="n">
        <x:v>298.1647196261682</x:v>
      </x:c>
      <x:c r="H1226" s="43" t="n">
        <x:v>10417.33630403956</x:v>
      </x:c>
      <x:c r="I1226" s="43" t="n">
        <x:v>12354</x:v>
      </x:c>
      <x:c r="J1226" s="43" t="n">
        <x:v>1428</x:v>
      </x:c>
      <x:c r="K1226" s="43" t="n">
        <x:v>166.4101912875443</x:v>
      </x:c>
      <x:c r="L1226" s="43" t="n">
        <x:v>108.53641621089753</x:v>
      </x:c>
    </x:row>
    <x:row r="1227" ht="15" hidden="0" customHeight="1">
      <x:c r="A1227" s="29" t="str">
        <x:v>26071</x:v>
      </x:c>
      <x:c r="B1227" s="29" t="str">
        <x:v>SCA-18</x:v>
      </x:c>
      <x:c r="C1227" s="44" t="n">
        <x:v>11757</x:v>
      </x:c>
      <x:c r="D1227" s="44" t="n">
        <x:v>159.48295534305836</x:v>
      </x:c>
      <x:c r="E1227" s="44" t="n">
        <x:v>2582.1360126028358</x:v>
      </x:c>
      <x:c r="F1227" s="44" t="n">
        <x:v>65.74766448618895</x:v>
      </x:c>
      <x:c r="G1227" s="44" t="n">
        <x:v>431.1139506388937</x:v>
      </x:c>
      <x:c r="H1227" s="44" t="n">
        <x:v>8518.519416929023</x:v>
      </x:c>
      <x:c r="I1227" s="44" t="n">
        <x:v>11757</x:v>
      </x:c>
      <x:c r="J1227" s="44" t="n">
        <x:v>2614</x:v>
      </x:c>
      <x:c r="K1227" s="44" t="n">
        <x:v>117.64161930412916</x:v>
      </x:c>
      <x:c r="L1227" s="44" t="n">
        <x:v>51.89395481794021</x:v>
      </x:c>
    </x:row>
    <x:row r="1228" ht="15" hidden="0" customHeight="1">
      <x:c r="A1228" s="27" t="str">
        <x:v>19165</x:v>
      </x:c>
      <x:c r="B1228" s="27" t="str">
        <x:v>SCA-18</x:v>
      </x:c>
      <x:c r="C1228" s="43" t="n">
        <x:v>11689</x:v>
      </x:c>
      <x:c r="D1228" s="43" t="n">
        <x:v>150.60854565449452</x:v>
      </x:c>
      <x:c r="E1228" s="43" t="n">
        <x:v>1149.9481377881377</x:v>
      </x:c>
      <x:c r="F1228" s="43" t="n">
        <x:v>54.75850387493314</x:v>
      </x:c>
      <x:c r="G1228" s="43" t="n">
        <x:v>210.020202020202</x:v>
      </x:c>
      <x:c r="H1228" s="43" t="n">
        <x:v>10123.664610662234</x:v>
      </x:c>
      <x:c r="I1228" s="43" t="n">
        <x:v>11689</x:v>
      </x:c>
      <x:c r="J1228" s="43" t="n">
        <x:v>1187</x:v>
      </x:c>
      <x:c r="K1228" s="43" t="n">
        <x:v>157.45254378825524</x:v>
      </x:c>
      <x:c r="L1228" s="43" t="n">
        <x:v>102.6940399133221</x:v>
      </x:c>
    </x:row>
    <x:row r="1229" ht="15" hidden="0" customHeight="1">
      <x:c r="A1229" s="29" t="str">
        <x:v>38079</x:v>
      </x:c>
      <x:c r="B1229" s="29" t="str">
        <x:v>SCA-18</x:v>
      </x:c>
      <x:c r="C1229" s="44" t="n">
        <x:v>11688</x:v>
      </x:c>
      <x:c r="D1229" s="44" t="n">
        <x:v>194.56163347951096</x:v>
      </x:c>
      <x:c r="E1229" s="44" t="n">
        <x:v>1994.246487582362</x:v>
      </x:c>
      <x:c r="F1229" s="44" t="n">
        <x:v>44.37872129514132</x:v>
      </x:c>
      <x:c r="G1229" s="44" t="n">
        <x:v>791.8433857070452</x:v>
      </x:c>
      <x:c r="H1229" s="44" t="n">
        <x:v>8662.96977193594</x:v>
      </x:c>
      <x:c r="I1229" s="44" t="n">
        <x:v>11688</x:v>
      </x:c>
      <x:c r="J1229" s="44" t="n">
        <x:v>2104</x:v>
      </x:c>
      <x:c r="K1229" s="44" t="n">
        <x:v>155.8467511253872</x:v>
      </x:c>
      <x:c r="L1229" s="44" t="n">
        <x:v>111.46802983024587</x:v>
      </x:c>
    </x:row>
    <x:row r="1230" ht="15" hidden="0" customHeight="1">
      <x:c r="A1230" s="27" t="str">
        <x:v>19037</x:v>
      </x:c>
      <x:c r="B1230" s="27" t="str">
        <x:v>SCA-18</x:v>
      </x:c>
      <x:c r="C1230" s="43" t="n">
        <x:v>11663</x:v>
      </x:c>
      <x:c r="D1230" s="43" t="n">
        <x:v>168.45469431408873</x:v>
      </x:c>
      <x:c r="E1230" s="43" t="n">
        <x:v>1583.7378752570255</x:v>
      </x:c>
      <x:c r="F1230" s="43" t="n">
        <x:v>54.636703797873665</x:v>
      </x:c>
      <x:c r="G1230" s="43" t="n">
        <x:v>205.1935400959561</x:v>
      </x:c>
      <x:c r="H1230" s="43" t="n">
        <x:v>9650.977186535056</x:v>
      </x:c>
      <x:c r="I1230" s="43" t="n">
        <x:v>11663</x:v>
      </x:c>
      <x:c r="J1230" s="43" t="n">
        <x:v>1651</x:v>
      </x:c>
      <x:c r="K1230" s="43" t="n">
        <x:v>157.10231997625297</x:v>
      </x:c>
      <x:c r="L1230" s="43" t="n">
        <x:v>102.4656161783793</x:v>
      </x:c>
    </x:row>
    <x:row r="1231" ht="15" hidden="0" customHeight="1">
      <x:c r="A1231" s="29" t="str">
        <x:v>27071</x:v>
      </x:c>
      <x:c r="B1231" s="29" t="str">
        <x:v>SCA-18</x:v>
      </x:c>
      <x:c r="C1231" s="44" t="n">
        <x:v>11587</x:v>
      </x:c>
      <x:c r="D1231" s="44" t="n">
        <x:v>167.20280369276279</x:v>
      </x:c>
      <x:c r="E1231" s="44" t="n">
        <x:v>2173.8689116055325</x:v>
      </x:c>
      <x:c r="F1231" s="44" t="n">
        <x:v>37.94604739656883</x:v>
      </x:c>
      <x:c r="G1231" s="44" t="n">
        <x:v>490.78773301262777</x:v>
      </x:c>
      <x:c r="H1231" s="44" t="n">
        <x:v>8717.194504292509</x:v>
      </x:c>
      <x:c r="I1231" s="44" t="n">
        <x:v>11587</x:v>
      </x:c>
      <x:c r="J1231" s="44" t="n">
        <x:v>2275</x:v>
      </x:c>
      <x:c r="K1231" s="44" t="n">
        <x:v>114.57097977243444</x:v>
      </x:c>
      <x:c r="L1231" s="44" t="n">
        <x:v>76.62493237586561</x:v>
      </x:c>
    </x:row>
    <x:row r="1232" ht="15" hidden="0" customHeight="1">
      <x:c r="A1232" s="27" t="str">
        <x:v>38071</x:v>
      </x:c>
      <x:c r="B1232" s="27" t="str">
        <x:v>SCA-18</x:v>
      </x:c>
      <x:c r="C1232" s="43" t="n">
        <x:v>11530</x:v>
      </x:c>
      <x:c r="D1232" s="43" t="n">
        <x:v>186.9590162639213</x:v>
      </x:c>
      <x:c r="E1232" s="43" t="n">
        <x:v>1847.947840143691</x:v>
      </x:c>
      <x:c r="F1232" s="43" t="n">
        <x:v>43.77880360480657</x:v>
      </x:c>
      <x:c r="G1232" s="43" t="n">
        <x:v>686.4323304894477</x:v>
      </x:c>
      <x:c r="H1232" s="43" t="n">
        <x:v>8764.882009498133</x:v>
      </x:c>
      <x:c r="I1232" s="43" t="n">
        <x:v>11530</x:v>
      </x:c>
      <x:c r="J1232" s="43" t="n">
        <x:v>1859</x:v>
      </x:c>
      <x:c r="K1232" s="43" t="n">
        <x:v>153.7399931960741</x:v>
      </x:c>
      <x:c r="L1232" s="43" t="n">
        <x:v>109.96118959126753</x:v>
      </x:c>
    </x:row>
    <x:row r="1233" ht="15" hidden="0" customHeight="1">
      <x:c r="A1233" s="29" t="str">
        <x:v>27165</x:v>
      </x:c>
      <x:c r="B1233" s="29" t="str">
        <x:v>SCA-18</x:v>
      </x:c>
      <x:c r="C1233" s="44" t="n">
        <x:v>11459</x:v>
      </x:c>
      <x:c r="D1233" s="44" t="n">
        <x:v>128.8190417817256</x:v>
      </x:c>
      <x:c r="E1233" s="44" t="n">
        <x:v>1272.9737886178862</x:v>
      </x:c>
      <x:c r="F1233" s="44" t="n">
        <x:v>37.52686261476502</x:v>
      </x:c>
      <x:c r="G1233" s="44" t="n">
        <x:v>451.86802168021677</x:v>
      </x:c>
      <x:c r="H1233" s="44" t="n">
        <x:v>9567.812285305406</x:v>
      </x:c>
      <x:c r="I1233" s="44" t="n">
        <x:v>11459</x:v>
      </x:c>
      <x:c r="J1233" s="44" t="n">
        <x:v>1281</x:v>
      </x:c>
      <x:c r="K1233" s="44" t="n">
        <x:v>113.30532987074534</x:v>
      </x:c>
      <x:c r="L1233" s="44" t="n">
        <x:v>75.77846725598032</x:v>
      </x:c>
    </x:row>
    <x:row r="1234" ht="15" hidden="0" customHeight="1">
      <x:c r="A1234" s="27" t="str">
        <x:v>27121</x:v>
      </x:c>
      <x:c r="B1234" s="27" t="str">
        <x:v>SCA-18</x:v>
      </x:c>
      <x:c r="C1234" s="43" t="n">
        <x:v>11420</x:v>
      </x:c>
      <x:c r="D1234" s="43" t="n">
        <x:v>136.9909764330992</x:v>
      </x:c>
      <x:c r="E1234" s="43" t="n">
        <x:v>1475.289996440014</x:v>
      </x:c>
      <x:c r="F1234" s="43" t="n">
        <x:v>37.39914225155917</x:v>
      </x:c>
      <x:c r="G1234" s="43" t="n">
        <x:v>350.9328942684229</x:v>
      </x:c>
      <x:c r="H1234" s="43" t="n">
        <x:v>9419.386990606905</x:v>
      </x:c>
      <x:c r="I1234" s="43" t="n">
        <x:v>11420</x:v>
      </x:c>
      <x:c r="J1234" s="43" t="n">
        <x:v>1512</x:v>
      </x:c>
      <x:c r="K1234" s="43" t="n">
        <x:v>112.91970216632444</x:v>
      </x:c>
      <x:c r="L1234" s="43" t="n">
        <x:v>75.52055991476527</x:v>
      </x:c>
    </x:row>
    <x:row r="1235" ht="15" hidden="0" customHeight="1">
      <x:c r="A1235" s="29" t="str">
        <x:v>27033</x:v>
      </x:c>
      <x:c r="B1235" s="29" t="str">
        <x:v>SCA-18</x:v>
      </x:c>
      <x:c r="C1235" s="44" t="n">
        <x:v>11405</x:v>
      </x:c>
      <x:c r="D1235" s="44" t="n">
        <x:v>128.32591429289536</x:v>
      </x:c>
      <x:c r="E1235" s="44" t="n">
        <x:v>1269.7091882247994</x:v>
      </x:c>
      <x:c r="F1235" s="44" t="n">
        <x:v>37.350019034941525</x:v>
      </x:c>
      <x:c r="G1235" s="44" t="n">
        <x:v>347.8666369313113</x:v>
      </x:c>
      <x:c r="H1235" s="44" t="n">
        <x:v>9621.748241516052</x:v>
      </x:c>
      <x:c r="I1235" s="44" t="n">
        <x:v>11405</x:v>
      </x:c>
      <x:c r="J1235" s="44" t="n">
        <x:v>1300</x:v>
      </x:c>
      <x:c r="K1235" s="44" t="n">
        <x:v>112.77138381847024</x:v>
      </x:c>
      <x:c r="L1235" s="44" t="n">
        <x:v>75.42136478352872</x:v>
      </x:c>
    </x:row>
    <x:row r="1236" ht="15" hidden="0" customHeight="1">
      <x:c r="A1236" s="27" t="str">
        <x:v>30083</x:v>
      </x:c>
      <x:c r="B1236" s="27" t="str">
        <x:v>SCA-18</x:v>
      </x:c>
      <x:c r="C1236" s="43" t="n">
        <x:v>11377</x:v>
      </x:c>
      <x:c r="D1236" s="43" t="n">
        <x:v>117.93103615988136</x:v>
      </x:c>
      <x:c r="E1236" s="43" t="n">
        <x:v>1298.4646054980365</x:v>
      </x:c>
      <x:c r="F1236" s="43" t="n">
        <x:v>68.86045439283716</x:v>
      </x:c>
      <x:c r="G1236" s="43" t="n">
        <x:v>349.3616565512317</x:v>
      </x:c>
      <x:c r="H1236" s="43" t="n">
        <x:v>9542.382247398014</x:v>
      </x:c>
      <x:c r="I1236" s="43" t="n">
        <x:v>11377</x:v>
      </x:c>
      <x:c r="J1236" s="43" t="n">
        <x:v>1332</x:v>
      </x:c>
      <x:c r="K1236" s="43" t="n">
        <x:v>132.68879865696698</x:v>
      </x:c>
      <x:c r="L1236" s="43" t="n">
        <x:v>63.828344264129825</x:v>
      </x:c>
    </x:row>
    <x:row r="1237" ht="15" hidden="0" customHeight="1">
      <x:c r="A1237" s="29" t="str">
        <x:v>19035</x:v>
      </x:c>
      <x:c r="B1237" s="29" t="str">
        <x:v>SCA-18</x:v>
      </x:c>
      <x:c r="C1237" s="44" t="n">
        <x:v>11369</x:v>
      </x:c>
      <x:c r="D1237" s="44" t="n">
        <x:v>154.2932492343182</x:v>
      </x:c>
      <x:c r="E1237" s="44" t="n">
        <x:v>1305.853880794702</x:v>
      </x:c>
      <x:c r="F1237" s="44" t="n">
        <x:v>53.25942600343186</x:v>
      </x:c>
      <x:c r="G1237" s="44" t="n">
        <x:v>293.15761589403974</x:v>
      </x:c>
      <x:c r="H1237" s="44" t="n">
        <x:v>9562.435828073509</x:v>
      </x:c>
      <x:c r="I1237" s="44" t="n">
        <x:v>11369</x:v>
      </x:c>
      <x:c r="J1237" s="44" t="n">
        <x:v>1355</x:v>
      </x:c>
      <x:c r="K1237" s="44" t="n">
        <x:v>153.14209687130412</x:v>
      </x:c>
      <x:c r="L1237" s="44" t="n">
        <x:v>99.88267086787226</x:v>
      </x:c>
    </x:row>
    <x:row r="1238" ht="15" hidden="0" customHeight="1">
      <x:c r="A1238" s="27" t="str">
        <x:v>46079</x:v>
      </x:c>
      <x:c r="B1238" s="27" t="str">
        <x:v>SCA-18</x:v>
      </x:c>
      <x:c r="C1238" s="43" t="n">
        <x:v>10993</x:v>
      </x:c>
      <x:c r="D1238" s="43" t="n">
        <x:v>164.58994333867346</x:v>
      </x:c>
      <x:c r="E1238" s="43" t="n">
        <x:v>1592.7816846011133</x:v>
      </x:c>
      <x:c r="F1238" s="43" t="n">
        <x:v>91.92452073332541</x:v>
      </x:c>
      <x:c r="G1238" s="43" t="n">
        <x:v>200.38107606679037</x:v>
      </x:c>
      <x:c r="H1238" s="43" t="n">
        <x:v>8943.322775260096</x:v>
      </x:c>
      <x:c r="I1238" s="43" t="n">
        <x:v>10993</x:v>
      </x:c>
      <x:c r="J1238" s="43" t="n">
        <x:v>1627</x:v>
      </x:c>
      <x:c r="K1238" s="43" t="n">
        <x:v>190.1485605469525</x:v>
      </x:c>
      <x:c r="L1238" s="43" t="n">
        <x:v>98.22403981362709</x:v>
      </x:c>
    </x:row>
    <x:row r="1239" ht="15" hidden="0" customHeight="1">
      <x:c r="A1239" s="29" t="str">
        <x:v>19077</x:v>
      </x:c>
      <x:c r="B1239" s="29" t="str">
        <x:v>SCA-18</x:v>
      </x:c>
      <x:c r="C1239" s="44" t="n">
        <x:v>10782</x:v>
      </x:c>
      <x:c r="D1239" s="44" t="n">
        <x:v>148.10543718208442</x:v>
      </x:c>
      <x:c r="E1239" s="44" t="n">
        <x:v>1281.1169137670197</x:v>
      </x:c>
      <x:c r="F1239" s="44" t="n">
        <x:v>50.509555032896685</x:v>
      </x:c>
      <x:c r="G1239" s="44" t="n">
        <x:v>254.9826966717095</x:v>
      </x:c>
      <x:c r="H1239" s="44" t="n">
        <x:v>9047.28539734629</x:v>
      </x:c>
      <x:c r="I1239" s="44" t="n">
        <x:v>10782</x:v>
      </x:c>
      <x:c r="J1239" s="44" t="n">
        <x:v>1309</x:v>
      </x:c>
      <x:c r="K1239" s="44" t="n">
        <x:v>145.23512080802192</x:v>
      </x:c>
      <x:c r="L1239" s="44" t="n">
        <x:v>94.72556577512523</x:v>
      </x:c>
    </x:row>
    <x:row r="1240" ht="15" hidden="0" customHeight="1">
      <x:c r="A1240" s="27" t="str">
        <x:v>27075</x:v>
      </x:c>
      <x:c r="B1240" s="27" t="str">
        <x:v>SCA-18</x:v>
      </x:c>
      <x:c r="C1240" s="43" t="n">
        <x:v>10746</x:v>
      </x:c>
      <x:c r="D1240" s="43" t="n">
        <x:v>142.27473083611912</x:v>
      </x:c>
      <x:c r="E1240" s="43" t="n">
        <x:v>1709.0721316379957</x:v>
      </x:c>
      <x:c r="F1240" s="43" t="n">
        <x:v>35.19187238487345</x:v>
      </x:c>
      <x:c r="G1240" s="43" t="n">
        <x:v>194.39902767389682</x:v>
      </x:c>
      <x:c r="H1240" s="43" t="n">
        <x:v>8665.062237467117</x:v>
      </x:c>
      <x:c r="I1240" s="43" t="n">
        <x:v>10746</x:v>
      </x:c>
      <x:c r="J1240" s="43" t="n">
        <x:v>1772</x:v>
      </x:c>
      <x:c r="K1240" s="43" t="n">
        <x:v>106.25526440274277</x:v>
      </x:c>
      <x:c r="L1240" s="43" t="n">
        <x:v>71.06339201786932</x:v>
      </x:c>
    </x:row>
    <x:row r="1241" ht="15" hidden="0" customHeight="1">
      <x:c r="A1241" s="29" t="str">
        <x:v>19131</x:v>
      </x:c>
      <x:c r="B1241" s="29" t="str">
        <x:v>SCA-18</x:v>
      </x:c>
      <x:c r="C1241" s="44" t="n">
        <x:v>10650</x:v>
      </x:c>
      <x:c r="D1241" s="44" t="n">
        <x:v>139.46680125590495</x:v>
      </x:c>
      <x:c r="E1241" s="44" t="n">
        <x:v>1101.6222050886663</x:v>
      </x:c>
      <x:c r="F1241" s="44" t="n">
        <x:v>49.89118541090238</x:v>
      </x:c>
      <x:c r="G1241" s="44" t="n">
        <x:v>161.05136854279104</x:v>
      </x:c>
      <x:c r="H1241" s="44" t="n">
        <x:v>9197.968439701735</x:v>
      </x:c>
      <x:c r="I1241" s="44" t="n">
        <x:v>10650</x:v>
      </x:c>
      <x:c r="J1241" s="44" t="n">
        <x:v>1118</x:v>
      </x:c>
      <x:c r="K1241" s="44" t="n">
        <x:v>143.45706145477956</x:v>
      </x:c>
      <x:c r="L1241" s="44" t="n">
        <x:v>93.56587604387718</x:v>
      </x:c>
    </x:row>
    <x:row r="1242" ht="15" hidden="0" customHeight="1">
      <x:c r="A1242" s="27" t="str">
        <x:v>38003</x:v>
      </x:c>
      <x:c r="B1242" s="27" t="str">
        <x:v>SCA-18</x:v>
      </x:c>
      <x:c r="C1242" s="43" t="n">
        <x:v>10573</x:v>
      </x:c>
      <x:c r="D1242" s="43" t="n">
        <x:v>163.22114563478232</x:v>
      </x:c>
      <x:c r="E1242" s="43" t="n">
        <x:v>1497.2839235814085</x:v>
      </x:c>
      <x:c r="F1242" s="43" t="n">
        <x:v>40.145124936133556</x:v>
      </x:c>
      <x:c r="G1242" s="43" t="n">
        <x:v>333.7480752780154</x:v>
      </x:c>
      <x:c r="H1242" s="43" t="n">
        <x:v>8538.60173056966</x:v>
      </x:c>
      <x:c r="I1242" s="43" t="n">
        <x:v>10573</x:v>
      </x:c>
      <x:c r="J1242" s="43" t="n">
        <x:v>1552</x:v>
      </x:c>
      <x:c r="K1242" s="43" t="n">
        <x:v>140.9794404216905</x:v>
      </x:c>
      <x:c r="L1242" s="43" t="n">
        <x:v>100.83431548555694</x:v>
      </x:c>
    </x:row>
    <x:row r="1243" ht="15" hidden="0" customHeight="1">
      <x:c r="A1243" s="29" t="str">
        <x:v>19081</x:v>
      </x:c>
      <x:c r="B1243" s="29" t="str">
        <x:v>SCA-18</x:v>
      </x:c>
      <x:c r="C1243" s="44" t="n">
        <x:v>10528</x:v>
      </x:c>
      <x:c r="D1243" s="44" t="n">
        <x:v>148.64069169565306</x:v>
      </x:c>
      <x:c r="E1243" s="44" t="n">
        <x:v>1347.519602408487</x:v>
      </x:c>
      <x:c r="F1243" s="44" t="n">
        <x:v>49.319661972392524</x:v>
      </x:c>
      <x:c r="G1243" s="44" t="n">
        <x:v>260.00191149765845</x:v>
      </x:c>
      <x:c r="H1243" s="44" t="n">
        <x:v>8722.518132425808</x:v>
      </x:c>
      <x:c r="I1243" s="44" t="n">
        <x:v>10528</x:v>
      </x:c>
      <x:c r="J1243" s="44" t="n">
        <x:v>1395</x:v>
      </x:c>
      <x:c r="K1243" s="44" t="n">
        <x:v>141.81370356769196</x:v>
      </x:c>
      <x:c r="L1243" s="44" t="n">
        <x:v>92.49404159529944</x:v>
      </x:c>
    </x:row>
    <x:row r="1244" ht="15" hidden="0" customHeight="1">
      <x:c r="A1244" s="27" t="str">
        <x:v>46109</x:v>
      </x:c>
      <x:c r="B1244" s="27" t="str">
        <x:v>SCA-18</x:v>
      </x:c>
      <x:c r="C1244" s="43" t="n">
        <x:v>10255</x:v>
      </x:c>
      <x:c r="D1244" s="43" t="n">
        <x:v>134.24808523751648</x:v>
      </x:c>
      <x:c r="E1244" s="43" t="n">
        <x:v>1022.8363636363637</x:v>
      </x:c>
      <x:c r="F1244" s="43" t="n">
        <x:v>85.75329392524807</x:v>
      </x:c>
      <x:c r="G1244" s="43" t="n">
        <x:v>224.02597402597402</x:v>
      </x:c>
      <x:c r="H1244" s="43" t="n">
        <x:v>8788.136283174897</x:v>
      </x:c>
      <x:c r="I1244" s="43" t="n">
        <x:v>10255</x:v>
      </x:c>
      <x:c r="J1244" s="43" t="n">
        <x:v>1040</x:v>
      </x:c>
      <x:c r="K1244" s="43" t="n">
        <x:v>177.38319734458273</x:v>
      </x:c>
      <x:c r="L1244" s="43" t="n">
        <x:v>91.62990341933465</x:v>
      </x:c>
    </x:row>
    <x:row r="1245" ht="15" hidden="0" customHeight="1">
      <x:c r="A1245" s="29" t="str">
        <x:v>19189</x:v>
      </x:c>
      <x:c r="B1245" s="29" t="str">
        <x:v>SCA-18</x:v>
      </x:c>
      <x:c r="C1245" s="44" t="n">
        <x:v>10251</x:v>
      </x:c>
      <x:c r="D1245" s="44" t="n">
        <x:v>141.70911385980196</x:v>
      </x:c>
      <x:c r="E1245" s="44" t="n">
        <x:v>1239.5679262672809</x:v>
      </x:c>
      <x:c r="F1245" s="44" t="n">
        <x:v>48.0220226898742</x:v>
      </x:c>
      <x:c r="G1245" s="44" t="n">
        <x:v>304.1658986175115</x:v>
      </x:c>
      <x:c r="H1245" s="44" t="n">
        <x:v>8517.535038565531</x:v>
      </x:c>
      <x:c r="I1245" s="44" t="n">
        <x:v>10251</x:v>
      </x:c>
      <x:c r="J1245" s="44" t="n">
        <x:v>1312</x:v>
      </x:c>
      <x:c r="K1245" s="44" t="n">
        <x:v>138.08247295520613</x:v>
      </x:c>
      <x:c r="L1245" s="44" t="n">
        <x:v>90.06045026533192</x:v>
      </x:c>
    </x:row>
    <x:row r="1246" ht="15" hidden="0" customHeight="1">
      <x:c r="A1246" s="27" t="str">
        <x:v>30085</x:v>
      </x:c>
      <x:c r="B1246" s="27" t="str">
        <x:v>SCA-18</x:v>
      </x:c>
      <x:c r="C1246" s="43" t="n">
        <x:v>10242</x:v>
      </x:c>
      <x:c r="D1246" s="43" t="n">
        <x:v>109.10733205710494</x:v>
      </x:c>
      <x:c r="E1246" s="43" t="n">
        <x:v>1239.5201860465118</x:v>
      </x:c>
      <x:c r="F1246" s="43" t="n">
        <x:v>61.99075097929491</x:v>
      </x:c>
      <x:c r="G1246" s="43" t="n">
        <x:v>487.6552325581395</x:v>
      </x:c>
      <x:c r="H1246" s="43" t="n">
        <x:v>8343.726498358948</x:v>
      </x:c>
      <x:c r="I1246" s="43" t="n">
        <x:v>10242</x:v>
      </x:c>
      <x:c r="J1246" s="43" t="n">
        <x:v>1301</x:v>
      </x:c>
      <x:c r="K1246" s="43" t="n">
        <x:v>119.4514086177952</x:v>
      </x:c>
      <x:c r="L1246" s="43" t="n">
        <x:v>57.46065763850028</x:v>
      </x:c>
    </x:row>
    <x:row r="1247" ht="15" hidden="0" customHeight="1">
      <x:c r="A1247" s="29" t="str">
        <x:v>38099</x:v>
      </x:c>
      <x:c r="B1247" s="29" t="str">
        <x:v>SCA-18</x:v>
      </x:c>
      <x:c r="C1247" s="44" t="n">
        <x:v>10179</x:v>
      </x:c>
      <x:c r="D1247" s="44" t="n">
        <x:v>154.59452393366786</x:v>
      </x:c>
      <x:c r="E1247" s="44" t="n">
        <x:v>1380.4265299684541</x:v>
      </x:c>
      <x:c r="F1247" s="44" t="n">
        <x:v>38.649127657703914</x:v>
      </x:c>
      <x:c r="G1247" s="44" t="n">
        <x:v>161.44203470031545</x:v>
      </x:c>
      <x:c r="H1247" s="44" t="n">
        <x:v>8443.887783739858</x:v>
      </x:c>
      <x:c r="I1247" s="44" t="n">
        <x:v>10179</x:v>
      </x:c>
      <x:c r="J1247" s="44" t="n">
        <x:v>1433</x:v>
      </x:c>
      <x:c r="K1247" s="44" t="n">
        <x:v>135.72587950935284</x:v>
      </x:c>
      <x:c r="L1247" s="44" t="n">
        <x:v>97.07675185164892</x:v>
      </x:c>
    </x:row>
    <x:row r="1248" ht="15" hidden="0" customHeight="1">
      <x:c r="A1248" s="27" t="str">
        <x:v>31089</x:v>
      </x:c>
      <x:c r="B1248" s="27" t="str">
        <x:v>SCA-18</x:v>
      </x:c>
      <x:c r="C1248" s="43" t="n">
        <x:v>10067</x:v>
      </x:c>
      <x:c r="D1248" s="43" t="n">
        <x:v>115.01789603534043</x:v>
      </x:c>
      <x:c r="E1248" s="43" t="n">
        <x:v>1297.990136108887</x:v>
      </x:c>
      <x:c r="F1248" s="43" t="n">
        <x:v>47.910549161649506</x:v>
      </x:c>
      <x:c r="G1248" s="43" t="n">
        <x:v>161.88450760608484</x:v>
      </x:c>
      <x:c r="H1248" s="43" t="n">
        <x:v>8444.196911088038</x:v>
      </x:c>
      <x:c r="I1248" s="43" t="n">
        <x:v>10067</x:v>
      </x:c>
      <x:c r="J1248" s="43" t="n">
        <x:v>1342</x:v>
      </x:c>
      <x:c r="K1248" s="43" t="n">
        <x:v>108.84552285911961</x:v>
      </x:c>
      <x:c r="L1248" s="43" t="n">
        <x:v>60.93497369747011</x:v>
      </x:c>
    </x:row>
    <x:row r="1249" ht="15" hidden="0" customHeight="1">
      <x:c r="A1249" s="29" t="str">
        <x:v>31179</x:v>
      </x:c>
      <x:c r="B1249" s="29" t="str">
        <x:v>SCA-18</x:v>
      </x:c>
      <x:c r="C1249" s="44" t="n">
        <x:v>10020</x:v>
      </x:c>
      <x:c r="D1249" s="44" t="n">
        <x:v>124.69668947436638</x:v>
      </x:c>
      <x:c r="E1249" s="44" t="n">
        <x:v>1537.1088979591837</x:v>
      </x:c>
      <x:c r="F1249" s="44" t="n">
        <x:v>47.68686824274641</x:v>
      </x:c>
      <x:c r="G1249" s="44" t="n">
        <x:v>241.13857142857142</x:v>
      </x:c>
      <x:c r="H1249" s="44" t="n">
        <x:v>8069.368972895133</x:v>
      </x:c>
      <x:c r="I1249" s="44" t="n">
        <x:v>10020</x:v>
      </x:c>
      <x:c r="J1249" s="44" t="n">
        <x:v>1566</x:v>
      </x:c>
      <x:c r="K1249" s="44" t="n">
        <x:v>108.33735363548014</x:v>
      </x:c>
      <x:c r="L1249" s="44" t="n">
        <x:v>60.650485392733735</x:v>
      </x:c>
    </x:row>
    <x:row r="1250" ht="15" hidden="0" customHeight="1">
      <x:c r="A1250" s="27" t="str">
        <x:v>19069</x:v>
      </x:c>
      <x:c r="B1250" s="27" t="str">
        <x:v>SCA-18</x:v>
      </x:c>
      <x:c r="C1250" s="43" t="n">
        <x:v>9868</x:v>
      </x:c>
      <x:c r="D1250" s="43" t="n">
        <x:v>135.71759600811288</x:v>
      </x:c>
      <x:c r="E1250" s="43" t="n">
        <x:v>1176.5280736572888</x:v>
      </x:c>
      <x:c r="F1250" s="43" t="n">
        <x:v>46.227813862421115</x:v>
      </x:c>
      <x:c r="G1250" s="43" t="n">
        <x:v>347.25693094629156</x:v>
      </x:c>
      <x:c r="H1250" s="43" t="n">
        <x:v>8162.269585525885</x:v>
      </x:c>
      <x:c r="I1250" s="43" t="n">
        <x:v>9868</x:v>
      </x:c>
      <x:c r="J1250" s="43" t="n">
        <x:v>1214</x:v>
      </x:c>
      <x:c r="K1250" s="43" t="n">
        <x:v>132.92340680148027</x:v>
      </x:c>
      <x:c r="L1250" s="43" t="n">
        <x:v>86.69559293905915</x:v>
      </x:c>
    </x:row>
    <x:row r="1251" ht="15" hidden="0" customHeight="1">
      <x:c r="A1251" s="29" t="str">
        <x:v>27063</x:v>
      </x:c>
      <x:c r="B1251" s="29" t="str">
        <x:v>SCA-18</x:v>
      </x:c>
      <x:c r="C1251" s="44" t="n">
        <x:v>9857</x:v>
      </x:c>
      <x:c r="D1251" s="44" t="n">
        <x:v>117.73097154500425</x:v>
      </x:c>
      <x:c r="E1251" s="44" t="n">
        <x:v>1261.1170633221168</x:v>
      </x:c>
      <x:c r="F1251" s="44" t="n">
        <x:v>32.28050308000164</x:v>
      </x:c>
      <x:c r="G1251" s="44" t="n">
        <x:v>276.0528194147038</x:v>
      </x:c>
      <x:c r="H1251" s="44" t="n">
        <x:v>8169.8186426381735</x:v>
      </x:c>
      <x:c r="I1251" s="44" t="n">
        <x:v>9857</x:v>
      </x:c>
      <x:c r="J1251" s="44" t="n">
        <x:v>1307</x:v>
      </x:c>
      <x:c r="K1251" s="44" t="n">
        <x:v>97.46493031991768</x:v>
      </x:c>
      <x:c r="L1251" s="44" t="n">
        <x:v>65.18442723991605</x:v>
      </x:c>
    </x:row>
    <x:row r="1252" ht="15" hidden="0" customHeight="1">
      <x:c r="A1252" s="27" t="str">
        <x:v>27151</x:v>
      </x:c>
      <x:c r="B1252" s="27" t="str">
        <x:v>SCA-18</x:v>
      </x:c>
      <x:c r="C1252" s="43" t="n">
        <x:v>9763</x:v>
      </x:c>
      <x:c r="D1252" s="43" t="n">
        <x:v>138.82120709364497</x:v>
      </x:c>
      <x:c r="E1252" s="43" t="n">
        <x:v>1782.2016642274723</x:v>
      </x:c>
      <x:c r="F1252" s="43" t="n">
        <x:v>31.972664255864444</x:v>
      </x:c>
      <x:c r="G1252" s="43" t="n">
        <x:v>530.4500313610705</x:v>
      </x:c>
      <x:c r="H1252" s="43" t="n">
        <x:v>7279.554433061948</x:v>
      </x:c>
      <x:c r="I1252" s="43" t="n">
        <x:v>9763</x:v>
      </x:c>
      <x:c r="J1252" s="43" t="n">
        <x:v>1819</x:v>
      </x:c>
      <x:c r="K1252" s="43" t="n">
        <x:v>96.53546867336475</x:v>
      </x:c>
      <x:c r="L1252" s="43" t="n">
        <x:v>64.5628044175003</x:v>
      </x:c>
    </x:row>
    <x:row r="1253" ht="15" hidden="0" customHeight="1">
      <x:c r="A1253" s="29" t="str">
        <x:v>27149</x:v>
      </x:c>
      <x:c r="B1253" s="29" t="str">
        <x:v>SCA-18</x:v>
      </x:c>
      <x:c r="C1253" s="44" t="n">
        <x:v>9747</x:v>
      </x:c>
      <x:c r="D1253" s="44" t="n">
        <x:v>112.29874837443914</x:v>
      </x:c>
      <x:c r="E1253" s="44" t="n">
        <x:v>1148.2020503261883</x:v>
      </x:c>
      <x:c r="F1253" s="44" t="n">
        <x:v>31.920266158138986</x:v>
      </x:c>
      <x:c r="G1253" s="44" t="n">
        <x:v>232.0434917676297</x:v>
      </x:c>
      <x:c r="H1253" s="44" t="n">
        <x:v>8222.535443373603</x:v>
      </x:c>
      <x:c r="I1253" s="44" t="n">
        <x:v>9747</x:v>
      </x:c>
      <x:c r="J1253" s="44" t="n">
        <x:v>1185</x:v>
      </x:c>
      <x:c r="K1253" s="44" t="n">
        <x:v>96.37726243565362</x:v>
      </x:c>
      <x:c r="L1253" s="44" t="n">
        <x:v>64.45699627751463</x:v>
      </x:c>
    </x:row>
    <x:row r="1254" ht="15" hidden="0" customHeight="1">
      <x:c r="A1254" s="27" t="str">
        <x:v>38055</x:v>
      </x:c>
      <x:c r="B1254" s="27" t="str">
        <x:v>SCA-18</x:v>
      </x:c>
      <x:c r="C1254" s="43" t="n">
        <x:v>9740</x:v>
      </x:c>
      <x:c r="D1254" s="43" t="n">
        <x:v>140.2988898129707</x:v>
      </x:c>
      <x:c r="E1254" s="43" t="n">
        <x:v>1137.8127589063795</x:v>
      </x:c>
      <x:c r="F1254" s="43" t="n">
        <x:v>36.98226774595108</x:v>
      </x:c>
      <x:c r="G1254" s="43" t="n">
        <x:v>323.6587096106048</x:v>
      </x:c>
      <x:c r="H1254" s="43" t="n">
        <x:v>8101.247373924094</x:v>
      </x:c>
      <x:c r="I1254" s="43" t="n">
        <x:v>9740</x:v>
      </x:c>
      <x:c r="J1254" s="43" t="n">
        <x:v>1175</x:v>
      </x:c>
      <x:c r="K1254" s="43" t="n">
        <x:v>129.8722926044893</x:v>
      </x:c>
      <x:c r="L1254" s="43" t="n">
        <x:v>92.89002485853823</x:v>
      </x:c>
    </x:row>
    <x:row r="1255" ht="15" hidden="0" customHeight="1">
      <x:c r="A1255" s="29" t="str">
        <x:v>55041</x:v>
      </x:c>
      <x:c r="B1255" s="29" t="str">
        <x:v>SCA-18</x:v>
      </x:c>
      <x:c r="C1255" s="44" t="n">
        <x:v>9574</x:v>
      </x:c>
      <x:c r="D1255" s="44" t="n">
        <x:v>114.2214555771652</x:v>
      </x:c>
      <x:c r="E1255" s="44" t="n">
        <x:v>1636.2685193226228</x:v>
      </x:c>
      <x:c r="F1255" s="44" t="n">
        <x:v>50.625947273246155</x:v>
      </x:c>
      <x:c r="G1255" s="44" t="n">
        <x:v>301.6634824142423</x:v>
      </x:c>
      <x:c r="H1255" s="44" t="n">
        <x:v>7471.220595412724</x:v>
      </x:c>
      <x:c r="I1255" s="44" t="n">
        <x:v>9574</x:v>
      </x:c>
      <x:c r="J1255" s="44" t="n">
        <x:v>1640</x:v>
      </x:c>
      <x:c r="K1255" s="44" t="n">
        <x:v>96.66954787863541</x:v>
      </x:c>
      <x:c r="L1255" s="44" t="n">
        <x:v>46.04360060538926</x:v>
      </x:c>
    </x:row>
    <x:row r="1256" ht="15" hidden="0" customHeight="1">
      <x:c r="A1256" s="27" t="str">
        <x:v>19025</x:v>
      </x:c>
      <x:c r="B1256" s="27" t="str">
        <x:v>SCA-18</x:v>
      </x:c>
      <x:c r="C1256" s="43" t="n">
        <x:v>9562</x:v>
      </x:c>
      <x:c r="D1256" s="43" t="n">
        <x:v>146.99557881417587</x:v>
      </x:c>
      <x:c r="E1256" s="43" t="n">
        <x:v>1511.7205805958747</x:v>
      </x:c>
      <x:c r="F1256" s="43" t="n">
        <x:v>44.79432064779799</x:v>
      </x:c>
      <x:c r="G1256" s="43" t="n">
        <x:v>189.61671941503874</x:v>
      </x:c>
      <x:c r="H1256" s="43" t="n">
        <x:v>7668.872800527112</x:v>
      </x:c>
      <x:c r="I1256" s="43" t="n">
        <x:v>9562</x:v>
      </x:c>
      <x:c r="J1256" s="43" t="n">
        <x:v>1509</x:v>
      </x:c>
      <x:c r="K1256" s="43" t="n">
        <x:v>128.80154193714574</x:v>
      </x:c>
      <x:c r="L1256" s="43" t="n">
        <x:v>84.00722128934775</x:v>
      </x:c>
    </x:row>
    <x:row r="1257" ht="15" hidden="0" customHeight="1">
      <x:c r="A1257" s="29" t="str">
        <x:v>19161</x:v>
      </x:c>
      <x:c r="B1257" s="29" t="str">
        <x:v>SCA-18</x:v>
      </x:c>
      <x:c r="C1257" s="44" t="n">
        <x:v>9525</x:v>
      </x:c>
      <x:c r="D1257" s="44" t="n">
        <x:v>135.06281949514548</x:v>
      </x:c>
      <x:c r="E1257" s="44" t="n">
        <x:v>1233.1359060402685</x:v>
      </x:c>
      <x:c r="F1257" s="44" t="n">
        <x:v>44.62098976890566</x:v>
      </x:c>
      <x:c r="G1257" s="44" t="n">
        <x:v>282.90163590604027</x:v>
      </x:c>
      <x:c r="H1257" s="44" t="n">
        <x:v>7829.278648789639</x:v>
      </x:c>
      <x:c r="I1257" s="44" t="n">
        <x:v>9525</x:v>
      </x:c>
      <x:c r="J1257" s="44" t="n">
        <x:v>1286</x:v>
      </x:c>
      <x:c r="K1257" s="44" t="n">
        <x:v>128.30314651237327</x:v>
      </x:c>
      <x:c r="L1257" s="44" t="n">
        <x:v>83.68215674346762</x:v>
      </x:c>
    </x:row>
    <x:row r="1258" ht="15" hidden="0" customHeight="1">
      <x:c r="A1258" s="27" t="str">
        <x:v>27133</x:v>
      </x:c>
      <x:c r="B1258" s="27" t="str">
        <x:v>SCA-18</x:v>
      </x:c>
      <x:c r="C1258" s="43" t="n">
        <x:v>9524</x:v>
      </x:c>
      <x:c r="D1258" s="43" t="n">
        <x:v>102.12368651982761</x:v>
      </x:c>
      <x:c r="E1258" s="43" t="n">
        <x:v>939.3933886407148</x:v>
      </x:c>
      <x:c r="F1258" s="43" t="n">
        <x:v>31.18996767109015</x:v>
      </x:c>
      <x:c r="G1258" s="43" t="n">
        <x:v>252.57753669432037</x:v>
      </x:c>
      <x:c r="H1258" s="43" t="n">
        <x:v>8198.715420474047</x:v>
      </x:c>
      <x:c r="I1258" s="43" t="n">
        <x:v>9524</x:v>
      </x:c>
      <x:c r="J1258" s="43" t="n">
        <x:v>966</x:v>
      </x:c>
      <x:c r="K1258" s="43" t="n">
        <x:v>94.17226299755464</x:v>
      </x:c>
      <x:c r="L1258" s="43" t="n">
        <x:v>62.98229532646449</x:v>
      </x:c>
    </x:row>
    <x:row r="1259" ht="15" hidden="0" customHeight="1">
      <x:c r="A1259" s="29" t="str">
        <x:v>27173</x:v>
      </x:c>
      <x:c r="B1259" s="29" t="str">
        <x:v>SCA-18</x:v>
      </x:c>
      <x:c r="C1259" s="44" t="n">
        <x:v>9477</x:v>
      </x:c>
      <x:c r="D1259" s="44" t="n">
        <x:v>115.3462075011691</x:v>
      </x:c>
      <x:c r="E1259" s="44" t="n">
        <x:v>1264.1933660618997</x:v>
      </x:c>
      <x:c r="F1259" s="44" t="n">
        <x:v>31.036048259021555</x:v>
      </x:c>
      <x:c r="G1259" s="44" t="n">
        <x:v>224.73297758804696</x:v>
      </x:c>
      <x:c r="H1259" s="44" t="n">
        <x:v>7841.691400589863</x:v>
      </x:c>
      <x:c r="I1259" s="44" t="n">
        <x:v>9477</x:v>
      </x:c>
      <x:c r="J1259" s="44" t="n">
        <x:v>1302</x:v>
      </x:c>
      <x:c r="K1259" s="44" t="n">
        <x:v>93.70753217427817</x:v>
      </x:c>
      <x:c r="L1259" s="44" t="n">
        <x:v>62.671483915256616</x:v>
      </x:c>
    </x:row>
    <x:row r="1260" ht="15" hidden="0" customHeight="1">
      <x:c r="A1260" s="27" t="str">
        <x:v>19089</x:v>
      </x:c>
      <x:c r="B1260" s="27" t="str">
        <x:v>SCA-18</x:v>
      </x:c>
      <x:c r="C1260" s="43" t="n">
        <x:v>9415</x:v>
      </x:c>
      <x:c r="D1260" s="43" t="n">
        <x:v>122.08682959877986</x:v>
      </x:c>
      <x:c r="E1260" s="43" t="n">
        <x:v>944.9059431524548</x:v>
      </x:c>
      <x:c r="F1260" s="43" t="n">
        <x:v>44.10568175057709</x:v>
      </x:c>
      <x:c r="G1260" s="43" t="n">
        <x:v>450.8623492678725</x:v>
      </x:c>
      <x:c r="H1260" s="43" t="n">
        <x:v>7853.039196230316</x:v>
      </x:c>
      <x:c r="I1260" s="43" t="n">
        <x:v>9415</x:v>
      </x:c>
      <x:c r="J1260" s="43" t="n">
        <x:v>971</x:v>
      </x:c>
      <x:c r="K1260" s="43" t="n">
        <x:v>126.82143038467133</x:v>
      </x:c>
      <x:c r="L1260" s="43" t="n">
        <x:v>82.71574863409424</x:v>
      </x:c>
    </x:row>
    <x:row r="1261" ht="15" hidden="0" customHeight="1">
      <x:c r="A1261" s="29" t="str">
        <x:v>19091</x:v>
      </x:c>
      <x:c r="B1261" s="29" t="str">
        <x:v>SCA-18</x:v>
      </x:c>
      <x:c r="C1261" s="44" t="n">
        <x:v>9409</x:v>
      </x:c>
      <x:c r="D1261" s="44" t="n">
        <x:v>134.46517183772406</x:v>
      </x:c>
      <x:c r="E1261" s="44" t="n">
        <x:v>1243.251272957568</x:v>
      </x:c>
      <x:c r="F1261" s="44" t="n">
        <x:v>44.07757404048645</x:v>
      </x:c>
      <x:c r="G1261" s="44" t="n">
        <x:v>274.230525649145</x:v>
      </x:c>
      <x:c r="H1261" s="44" t="n">
        <x:v>7712.975455515077</x:v>
      </x:c>
      <x:c r="I1261" s="44" t="n">
        <x:v>9409</x:v>
      </x:c>
      <x:c r="J1261" s="44" t="n">
        <x:v>1304</x:v>
      </x:c>
      <x:c r="K1261" s="44" t="n">
        <x:v>126.7406095049785</x:v>
      </x:c>
      <x:c r="L1261" s="44" t="n">
        <x:v>82.66303546449205</x:v>
      </x:c>
    </x:row>
    <x:row r="1262" ht="15" hidden="0" customHeight="1">
      <x:c r="A1262" s="27" t="str">
        <x:v>38061</x:v>
      </x:c>
      <x:c r="B1262" s="27" t="str">
        <x:v>SCA-18</x:v>
      </x:c>
      <x:c r="C1262" s="43" t="n">
        <x:v>9395</x:v>
      </x:c>
      <x:c r="D1262" s="43" t="n">
        <x:v>133.5275567038299</x:v>
      </x:c>
      <x:c r="E1262" s="43" t="n">
        <x:v>1054.266822380295</x:v>
      </x:c>
      <x:c r="F1262" s="43" t="n">
        <x:v>35.67232089047336</x:v>
      </x:c>
      <x:c r="G1262" s="43" t="n">
        <x:v>235.7899989383162</x:v>
      </x:c>
      <x:c r="H1262" s="43" t="n">
        <x:v>7935.743301087085</x:v>
      </x:c>
      <x:c r="I1262" s="43" t="n">
        <x:v>9395</x:v>
      </x:c>
      <x:c r="J1262" s="43" t="n">
        <x:v>1101</x:v>
      </x:c>
      <x:c r="K1262" s="43" t="n">
        <x:v>125.27209332845761</x:v>
      </x:c>
      <x:c r="L1262" s="43" t="n">
        <x:v>89.59977243798426</x:v>
      </x:c>
    </x:row>
    <x:row r="1263" ht="15" hidden="0" customHeight="1">
      <x:c r="A1263" s="29" t="str">
        <x:v>46125</x:v>
      </x:c>
      <x:c r="B1263" s="29" t="str">
        <x:v>SCA-18</x:v>
      </x:c>
      <x:c r="C1263" s="44" t="n">
        <x:v>9314</x:v>
      </x:c>
      <x:c r="D1263" s="44" t="n">
        <x:v>124.70777824212651</x:v>
      </x:c>
      <x:c r="E1263" s="44" t="n">
        <x:v>995.6602915853517</x:v>
      </x:c>
      <x:c r="F1263" s="44" t="n">
        <x:v>77.88456164015219</x:v>
      </x:c>
      <x:c r="G1263" s="44" t="n">
        <x:v>197.72385489610835</x:v>
      </x:c>
      <x:c r="H1263" s="44" t="n">
        <x:v>7918.023513636261</x:v>
      </x:c>
      <x:c r="I1263" s="44" t="n">
        <x:v>9314</x:v>
      </x:c>
      <x:c r="J1263" s="44" t="n">
        <x:v>970</x:v>
      </x:c>
      <x:c r="K1263" s="44" t="n">
        <x:v>161.1064943995557</x:v>
      </x:c>
      <x:c r="L1263" s="44" t="n">
        <x:v>83.2219327594035</x:v>
      </x:c>
    </x:row>
    <x:row r="1264" ht="15" hidden="0" customHeight="1">
      <x:c r="A1264" s="27" t="str">
        <x:v>46023</x:v>
      </x:c>
      <x:c r="B1264" s="27" t="str">
        <x:v>SCA-18</x:v>
      </x:c>
      <x:c r="C1264" s="43" t="n">
        <x:v>9303</x:v>
      </x:c>
      <x:c r="D1264" s="43" t="n">
        <x:v>125.87243662978308</x:v>
      </x:c>
      <x:c r="E1264" s="43" t="n">
        <x:v>1025.9709709488568</x:v>
      </x:c>
      <x:c r="F1264" s="43" t="n">
        <x:v>77.79257858474723</x:v>
      </x:c>
      <x:c r="G1264" s="43" t="n">
        <x:v>217.73975477742187</x:v>
      </x:c>
      <x:c r="H1264" s="43" t="n">
        <x:v>7855.624259059191</x:v>
      </x:c>
      <x:c r="I1264" s="43" t="n">
        <x:v>9303</x:v>
      </x:c>
      <x:c r="J1264" s="43" t="n">
        <x:v>1040</x:v>
      </x:c>
      <x:c r="K1264" s="43" t="n">
        <x:v>160.91622475832796</x:v>
      </x:c>
      <x:c r="L1264" s="43" t="n">
        <x:v>83.12364617358072</x:v>
      </x:c>
    </x:row>
    <x:row r="1265" ht="15" hidden="0" customHeight="1">
      <x:c r="A1265" s="29" t="str">
        <x:v>27117</x:v>
      </x:c>
      <x:c r="B1265" s="29" t="str">
        <x:v>SCA-18</x:v>
      </x:c>
      <x:c r="C1265" s="44" t="n">
        <x:v>9260</x:v>
      </x:c>
      <x:c r="D1265" s="44" t="n">
        <x:v>114.05200437564731</x:v>
      </x:c>
      <x:c r="E1265" s="44" t="n">
        <x:v>1267.573040614709</x:v>
      </x:c>
      <x:c r="F1265" s="44" t="n">
        <x:v>30.32539905861977</x:v>
      </x:c>
      <x:c r="G1265" s="44" t="n">
        <x:v>310.3822173435785</x:v>
      </x:c>
      <x:c r="H1265" s="44" t="n">
        <x:v>7537.667338607445</x:v>
      </x:c>
      <x:c r="I1265" s="44" t="n">
        <x:v>9260</x:v>
      </x:c>
      <x:c r="J1265" s="44" t="n">
        <x:v>1299</x:v>
      </x:c>
      <x:c r="K1265" s="44" t="n">
        <x:v>91.56186007532087</x:v>
      </x:c>
      <x:c r="L1265" s="44" t="n">
        <x:v>61.23646101670109</x:v>
      </x:c>
    </x:row>
    <x:row r="1266" ht="15" hidden="0" customHeight="1">
      <x:c r="A1266" s="27" t="str">
        <x:v>19063</x:v>
      </x:c>
      <x:c r="B1266" s="27" t="str">
        <x:v>SCA-18</x:v>
      </x:c>
      <x:c r="C1266" s="43" t="n">
        <x:v>9107</x:v>
      </x:c>
      <x:c r="D1266" s="43" t="n">
        <x:v>147.1288592346393</x:v>
      </x:c>
      <x:c r="E1266" s="43" t="n">
        <x:v>1610.8572793629728</x:v>
      </x:c>
      <x:c r="F1266" s="43" t="n">
        <x:v>42.66281929925711</x:v>
      </x:c>
      <x:c r="G1266" s="43" t="n">
        <x:v>438.8728157487282</x:v>
      </x:c>
      <x:c r="H1266" s="43" t="n">
        <x:v>6867.478226354403</x:v>
      </x:c>
      <x:c r="I1266" s="43" t="n">
        <x:v>9107</x:v>
      </x:c>
      <x:c r="J1266" s="43" t="n">
        <x:v>1666</x:v>
      </x:c>
      <x:c r="K1266" s="43" t="n">
        <x:v>122.67262522710588</x:v>
      </x:c>
      <x:c r="L1266" s="43" t="n">
        <x:v>80.00980592784877</x:v>
      </x:c>
    </x:row>
    <x:row r="1267" ht="15" hidden="0" customHeight="1">
      <x:c r="A1267" s="29" t="str">
        <x:v>19147</x:v>
      </x:c>
      <x:c r="B1267" s="29" t="str">
        <x:v>SCA-18</x:v>
      </x:c>
      <x:c r="C1267" s="44" t="n">
        <x:v>8899</x:v>
      </x:c>
      <x:c r="D1267" s="44" t="n">
        <x:v>125.4881115954241</x:v>
      </x:c>
      <x:c r="E1267" s="44" t="n">
        <x:v>1135.3366931308249</x:v>
      </x:c>
      <x:c r="F1267" s="44" t="n">
        <x:v>41.68841868278125</x:v>
      </x:c>
      <x:c r="G1267" s="44" t="n">
        <x:v>121.39454608215397</x:v>
      </x:c>
      <x:c r="H1267" s="44" t="n">
        <x:v>7475.092230508816</x:v>
      </x:c>
      <x:c r="I1267" s="44" t="n">
        <x:v>8899</x:v>
      </x:c>
      <x:c r="J1267" s="44" t="n">
        <x:v>1155</x:v>
      </x:c>
      <x:c r="K1267" s="44" t="n">
        <x:v>119.87083473108764</x:v>
      </x:c>
      <x:c r="L1267" s="44" t="n">
        <x:v>78.1824160483064</x:v>
      </x:c>
    </x:row>
    <x:row r="1268" ht="15" hidden="0" customHeight="1">
      <x:c r="A1268" s="27" t="str">
        <x:v>31039</x:v>
      </x:c>
      <x:c r="B1268" s="27" t="str">
        <x:v>SCA-18</x:v>
      </x:c>
      <x:c r="C1268" s="43" t="n">
        <x:v>8823</x:v>
      </x:c>
      <x:c r="D1268" s="43" t="n">
        <x:v>91.07902529690449</x:v>
      </x:c>
      <x:c r="E1268" s="43" t="n">
        <x:v>904.173894263217</x:v>
      </x:c>
      <x:c r="F1268" s="43" t="n">
        <x:v>41.990143563448264</x:v>
      </x:c>
      <x:c r="G1268" s="43" t="n">
        <x:v>129.07474690663668</x:v>
      </x:c>
      <x:c r="H1268" s="43" t="n">
        <x:v>7656.682189969793</x:v>
      </x:c>
      <x:c r="I1268" s="43" t="n">
        <x:v>8823</x:v>
      </x:c>
      <x:c r="J1268" s="43" t="n">
        <x:v>949</x:v>
      </x:c>
      <x:c r="K1268" s="43" t="n">
        <x:v>95.39525659938536</x:v>
      </x:c>
      <x:c r="L1268" s="43" t="n">
        <x:v>53.405113035937106</x:v>
      </x:c>
    </x:row>
    <x:row r="1269" ht="15" hidden="0" customHeight="1">
      <x:c r="A1269" s="29" t="str">
        <x:v>27089</x:v>
      </x:c>
      <x:c r="B1269" s="29" t="str">
        <x:v>SCA-18</x:v>
      </x:c>
      <x:c r="C1269" s="44" t="n">
        <x:v>8798</x:v>
      </x:c>
      <x:c r="D1269" s="44" t="n">
        <x:v>104.26791461510538</x:v>
      </x:c>
      <x:c r="E1269" s="44" t="n">
        <x:v>1106.079927371766</x:v>
      </x:c>
      <x:c r="F1269" s="44" t="n">
        <x:v>28.812403986796625</x:v>
      </x:c>
      <x:c r="G1269" s="44" t="n">
        <x:v>209.87369496141622</x:v>
      </x:c>
      <x:c r="H1269" s="44" t="n">
        <x:v>7348.9660590649155</x:v>
      </x:c>
      <x:c r="I1269" s="44" t="n">
        <x:v>8798</x:v>
      </x:c>
      <x:c r="J1269" s="44" t="n">
        <x:v>1154</x:v>
      </x:c>
      <x:c r="K1269" s="44" t="n">
        <x:v>86.99365496141176</x:v>
      </x:c>
      <x:c r="L1269" s="44" t="n">
        <x:v>58.18125097461514</x:v>
      </x:c>
    </x:row>
    <x:row r="1270" ht="15" hidden="0" customHeight="1">
      <x:c r="A1270" s="27" t="str">
        <x:v>19073</x:v>
      </x:c>
      <x:c r="B1270" s="27" t="str">
        <x:v>SCA-18</x:v>
      </x:c>
      <x:c r="C1270" s="43" t="n">
        <x:v>8658</x:v>
      </x:c>
      <x:c r="D1270" s="43" t="n">
        <x:v>133.6440775579415</x:v>
      </x:c>
      <x:c r="E1270" s="43" t="n">
        <x:v>1381.8953717277486</x:v>
      </x:c>
      <x:c r="F1270" s="43" t="n">
        <x:v>40.55942566080685</x:v>
      </x:c>
      <x:c r="G1270" s="43" t="n">
        <x:v>170.0830715532286</x:v>
      </x:c>
      <x:c r="H1270" s="43" t="n">
        <x:v>6931.818053500274</x:v>
      </x:c>
      <x:c r="I1270" s="43" t="n">
        <x:v>8658</x:v>
      </x:c>
      <x:c r="J1270" s="43" t="n">
        <x:v>1429</x:v>
      </x:c>
      <x:c r="K1270" s="43" t="n">
        <x:v>116.62452939675883</x:v>
      </x:c>
      <x:c r="L1270" s="43" t="n">
        <x:v>76.06510373595198</x:v>
      </x:c>
    </x:row>
    <x:row r="1271" ht="15" hidden="0" customHeight="1">
      <x:c r="A1271" s="29" t="str">
        <x:v>27029</x:v>
      </x:c>
      <x:c r="B1271" s="29" t="str">
        <x:v>SCA-18</x:v>
      </x:c>
      <x:c r="C1271" s="44" t="n">
        <x:v>8647</x:v>
      </x:c>
      <x:c r="D1271" s="44" t="n">
        <x:v>115.38560498722606</x:v>
      </x:c>
      <x:c r="E1271" s="44" t="n">
        <x:v>1396.870040009414</x:v>
      </x:c>
      <x:c r="F1271" s="44" t="n">
        <x:v>28.317896939512437</x:v>
      </x:c>
      <x:c r="G1271" s="44" t="n">
        <x:v>506.9364556366204</x:v>
      </x:c>
      <x:c r="H1271" s="44" t="n">
        <x:v>6599.490002427227</x:v>
      </x:c>
      <x:c r="I1271" s="44" t="n">
        <x:v>8647</x:v>
      </x:c>
      <x:c r="J1271" s="44" t="n">
        <x:v>1430</x:v>
      </x:c>
      <x:c r="K1271" s="44" t="n">
        <x:v>85.5005835930129</x:v>
      </x:c>
      <x:c r="L1271" s="44" t="n">
        <x:v>57.18268665350047</x:v>
      </x:c>
    </x:row>
    <x:row r="1272" ht="15" hidden="0" customHeight="1">
      <x:c r="A1272" s="27" t="str">
        <x:v>19133</x:v>
      </x:c>
      <x:c r="B1272" s="27" t="str">
        <x:v>SCA-18</x:v>
      </x:c>
      <x:c r="C1272" s="43" t="n">
        <x:v>8539</x:v>
      </x:c>
      <x:c r="D1272" s="43" t="n">
        <x:v>123.56973667879991</x:v>
      </x:c>
      <x:c r="E1272" s="43" t="n">
        <x:v>1165.2026593589896</x:v>
      </x:c>
      <x:c r="F1272" s="43" t="n">
        <x:v>40.001956077342314</x:v>
      </x:c>
      <x:c r="G1272" s="43" t="n">
        <x:v>252.6391040152508</x:v>
      </x:c>
      <x:c r="H1272" s="43" t="n">
        <x:v>6957.586543869617</x:v>
      </x:c>
      <x:c r="I1272" s="43" t="n">
        <x:v>8539</x:v>
      </x:c>
      <x:c r="J1272" s="43" t="n">
        <x:v>1193</x:v>
      </x:c>
      <x:c r="K1272" s="43" t="n">
        <x:v>115.02158194951764</x:v>
      </x:c>
      <x:c r="L1272" s="43" t="n">
        <x:v>75.01962587217533</x:v>
      </x:c>
    </x:row>
    <x:row r="1273" ht="15" hidden="0" customHeight="1">
      <x:c r="A1273" s="29" t="str">
        <x:v>38057</x:v>
      </x:c>
      <x:c r="B1273" s="29" t="str">
        <x:v>SCA-18</x:v>
      </x:c>
      <x:c r="C1273" s="44" t="n">
        <x:v>8441</x:v>
      </x:c>
      <x:c r="D1273" s="44" t="n">
        <x:v>119.54746781654147</x:v>
      </x:c>
      <x:c r="E1273" s="44" t="n">
        <x:v>937.1030062477031</x:v>
      </x:c>
      <x:c r="F1273" s="44" t="n">
        <x:v>32.05003306402189</x:v>
      </x:c>
      <x:c r="G1273" s="44" t="n">
        <x:v>187.04134509371553</x:v>
      </x:c>
      <x:c r="H1273" s="44" t="n">
        <x:v>7165.258147778019</x:v>
      </x:c>
      <x:c r="I1273" s="44" t="n">
        <x:v>8441</x:v>
      </x:c>
      <x:c r="J1273" s="44" t="n">
        <x:v>944</x:v>
      </x:c>
      <x:c r="K1273" s="44" t="n">
        <x:v>112.55154228690907</x:v>
      </x:c>
      <x:c r="L1273" s="44" t="n">
        <x:v>80.50150922288718</x:v>
      </x:c>
    </x:row>
    <x:row r="1274" ht="15" hidden="0" customHeight="1">
      <x:c r="A1274" s="27" t="str">
        <x:v>31027</x:v>
      </x:c>
      <x:c r="B1274" s="27" t="str">
        <x:v>SCA-18</x:v>
      </x:c>
      <x:c r="C1274" s="43" t="n">
        <x:v>8373</x:v>
      </x:c>
      <x:c r="D1274" s="43" t="n">
        <x:v>87.45874125746525</x:v>
      </x:c>
      <x:c r="E1274" s="43" t="n">
        <x:v>882.6588579795023</x:v>
      </x:c>
      <x:c r="F1274" s="43" t="n">
        <x:v>39.84851774416324</x:v>
      </x:c>
      <x:c r="G1274" s="43" t="n">
        <x:v>68.54465592972181</x:v>
      </x:c>
      <x:c r="H1274" s="43" t="n">
        <x:v>7294.489227089147</x:v>
      </x:c>
      <x:c r="I1274" s="43" t="n">
        <x:v>8373</x:v>
      </x:c>
      <x:c r="J1274" s="43" t="n">
        <x:v>900</x:v>
      </x:c>
      <x:c r="K1274" s="43" t="n">
        <x:v>90.52980658581589</x:v>
      </x:c>
      <x:c r="L1274" s="43" t="n">
        <x:v>50.68128884165265</x:v>
      </x:c>
    </x:row>
    <x:row r="1275" ht="15" hidden="0" customHeight="1">
      <x:c r="A1275" s="29" t="str">
        <x:v>31107</x:v>
      </x:c>
      <x:c r="B1275" s="29" t="str">
        <x:v>SCA-18</x:v>
      </x:c>
      <x:c r="C1275" s="44" t="n">
        <x:v>8335</x:v>
      </x:c>
      <x:c r="D1275" s="44" t="n">
        <x:v>105.07109201593342</x:v>
      </x:c>
      <x:c r="E1275" s="44" t="n">
        <x:v>1310.8755598831547</x:v>
      </x:c>
      <x:c r="F1275" s="44" t="n">
        <x:v>39.66766934164583</x:v>
      </x:c>
      <x:c r="G1275" s="44" t="n">
        <x:v>178.10491723466407</x:v>
      </x:c>
      <x:c r="H1275" s="44" t="n">
        <x:v>6701.280761524602</x:v>
      </x:c>
      <x:c r="I1275" s="44" t="n">
        <x:v>8335</x:v>
      </x:c>
      <x:c r="J1275" s="44" t="n">
        <x:v>1346</x:v>
      </x:c>
      <x:c r="K1275" s="44" t="n">
        <x:v>90.1189463624478</x:v>
      </x:c>
      <x:c r="L1275" s="44" t="n">
        <x:v>50.45127702080197</x:v>
      </x:c>
    </x:row>
    <x:row r="1276" ht="15" hidden="0" customHeight="1">
      <x:c r="A1276" s="27" t="str">
        <x:v>26013</x:v>
      </x:c>
      <x:c r="B1276" s="27" t="str">
        <x:v>SCA-18</x:v>
      </x:c>
      <x:c r="C1276" s="43" t="n">
        <x:v>8169</x:v>
      </x:c>
      <x:c r="D1276" s="43" t="n">
        <x:v>108.17170315653432</x:v>
      </x:c>
      <x:c r="E1276" s="43" t="n">
        <x:v>1730.7537578027466</x:v>
      </x:c>
      <x:c r="F1276" s="43" t="n">
        <x:v>45.68279928448393</x:v>
      </x:c>
      <x:c r="G1276" s="43" t="n">
        <x:v>262.62532944929944</x:v>
      </x:c>
      <x:c r="H1276" s="43" t="n">
        <x:v>6021.7664103069355</x:v>
      </x:c>
      <x:c r="I1276" s="43" t="n">
        <x:v>8169</x:v>
      </x:c>
      <x:c r="J1276" s="43" t="n">
        <x:v>1591</x:v>
      </x:c>
      <x:c r="K1276" s="43" t="n">
        <x:v>81.73976253257048</x:v>
      </x:c>
      <x:c r="L1276" s="43" t="n">
        <x:v>36.056963248086554</x:v>
      </x:c>
    </x:row>
    <x:row r="1277" ht="15" hidden="0" customHeight="1">
      <x:c r="A1277" s="29" t="str">
        <x:v>27101</x:v>
      </x:c>
      <x:c r="B1277" s="29" t="str">
        <x:v>SCA-18</x:v>
      </x:c>
      <x:c r="C1277" s="44" t="n">
        <x:v>7942</x:v>
      </x:c>
      <x:c r="D1277" s="44" t="n">
        <x:v>95.13129583940872</x:v>
      </x:c>
      <x:c r="E1277" s="44" t="n">
        <x:v>1022.6587284966341</x:v>
      </x:c>
      <x:c r="F1277" s="44" t="n">
        <x:v>26.009105758483607</x:v>
      </x:c>
      <x:c r="G1277" s="44" t="n">
        <x:v>241.14447768636253</x:v>
      </x:c>
      <x:c r="H1277" s="44" t="n">
        <x:v>6557.056392219111</x:v>
      </x:c>
      <x:c r="I1277" s="44" t="n">
        <x:v>7942</x:v>
      </x:c>
      <x:c r="J1277" s="44" t="n">
        <x:v>1076</x:v>
      </x:c>
      <x:c r="K1277" s="44" t="n">
        <x:v>78.5296212438659</x:v>
      </x:c>
      <x:c r="L1277" s="44" t="n">
        <x:v>52.5205154853823</x:v>
      </x:c>
    </x:row>
    <x:row r="1278" ht="15" hidden="0" customHeight="1">
      <x:c r="A1278" s="27" t="str">
        <x:v>38097</x:v>
      </x:c>
      <x:c r="B1278" s="27" t="str">
        <x:v>SCA-18</x:v>
      </x:c>
      <x:c r="C1278" s="43" t="n">
        <x:v>7920</x:v>
      </x:c>
      <x:c r="D1278" s="43" t="n">
        <x:v>107.28631159119082</x:v>
      </x:c>
      <x:c r="E1278" s="43" t="n">
        <x:v>762.0854489164086</x:v>
      </x:c>
      <x:c r="F1278" s="43" t="n">
        <x:v>30.071823464880154</x:v>
      </x:c>
      <x:c r="G1278" s="43" t="n">
        <x:v>189.4011222910217</x:v>
      </x:c>
      <x:c r="H1278" s="43" t="n">
        <x:v>6831.155293736499</x:v>
      </x:c>
      <x:c r="I1278" s="43" t="n">
        <x:v>7920</x:v>
      </x:c>
      <x:c r="J1278" s="43" t="n">
        <x:v>777</x:v>
      </x:c>
      <x:c r="K1278" s="43" t="n">
        <x:v>105.60457468455394</x:v>
      </x:c>
      <x:c r="L1278" s="43" t="n">
        <x:v>75.53275121967378</x:v>
      </x:c>
    </x:row>
    <x:row r="1279" ht="15" hidden="0" customHeight="1">
      <x:c r="A1279" s="29" t="str">
        <x:v>46051</x:v>
      </x:c>
      <x:c r="B1279" s="29" t="str">
        <x:v>SCA-18</x:v>
      </x:c>
      <x:c r="C1279" s="44" t="n">
        <x:v>7534</x:v>
      </x:c>
      <x:c r="D1279" s="44" t="n">
        <x:v>112.7650634759798</x:v>
      </x:c>
      <x:c r="E1279" s="44" t="n">
        <x:v>1090.7444959568732</x:v>
      </x:c>
      <x:c r="F1279" s="44" t="n">
        <x:v>63.00003085644261</x:v>
      </x:c>
      <x:c r="G1279" s="44" t="n">
        <x:v>140.54117250673855</x:v>
      </x:c>
      <x:c r="H1279" s="44" t="n">
        <x:v>6126.949237203966</x:v>
      </x:c>
      <x:c r="I1279" s="44" t="n">
        <x:v>7534</x:v>
      </x:c>
      <x:c r="J1279" s="44" t="n">
        <x:v>1119</x:v>
      </x:c>
      <x:c r="K1279" s="44" t="n">
        <x:v>130.31740700088602</x:v>
      </x:c>
      <x:c r="L1279" s="44" t="n">
        <x:v>67.31737614444341</x:v>
      </x:c>
    </x:row>
    <x:row r="1280" ht="15" hidden="0" customHeight="1">
      <x:c r="A1280" s="27" t="str">
        <x:v>55091</x:v>
      </x:c>
      <x:c r="B1280" s="27" t="str">
        <x:v>SCA-18</x:v>
      </x:c>
      <x:c r="C1280" s="43" t="n">
        <x:v>7513</x:v>
      </x:c>
      <x:c r="D1280" s="43" t="n">
        <x:v>75.47005053901168</x:v>
      </x:c>
      <x:c r="E1280" s="43" t="n">
        <x:v>944.11871947911</x:v>
      </x:c>
      <x:c r="F1280" s="43" t="n">
        <x:v>39.72767305869002</x:v>
      </x:c>
      <x:c r="G1280" s="43" t="n">
        <x:v>225.09671730873578</x:v>
      </x:c>
      <x:c r="H1280" s="43" t="n">
        <x:v>6228.586839614453</x:v>
      </x:c>
      <x:c r="I1280" s="43" t="n">
        <x:v>7513</x:v>
      </x:c>
      <x:c r="J1280" s="43" t="n">
        <x:v>965</x:v>
      </x:c>
      <x:c r="K1280" s="43" t="n">
        <x:v>75.85944361940545</x:v>
      </x:c>
      <x:c r="L1280" s="43" t="n">
        <x:v>36.13177056071543</x:v>
      </x:c>
    </x:row>
    <x:row r="1281" ht="15" hidden="0" customHeight="1">
      <x:c r="A1281" s="29" t="str">
        <x:v>46067</x:v>
      </x:c>
      <x:c r="B1281" s="29" t="str">
        <x:v>SCA-18</x:v>
      </x:c>
      <x:c r="C1281" s="44" t="n">
        <x:v>7413</x:v>
      </x:c>
      <x:c r="D1281" s="44" t="n">
        <x:v>101.95508702171242</x:v>
      </x:c>
      <x:c r="E1281" s="44" t="n">
        <x:v>857.2527197116717</x:v>
      </x:c>
      <x:c r="F1281" s="44" t="n">
        <x:v>61.988217246988214</x:v>
      </x:c>
      <x:c r="G1281" s="44" t="n">
        <x:v>183.38404491266982</x:v>
      </x:c>
      <x:c r="H1281" s="44" t="n">
        <x:v>6208.419931106958</x:v>
      </x:c>
      <x:c r="I1281" s="44" t="n">
        <x:v>7413</x:v>
      </x:c>
      <x:c r="J1281" s="44" t="n">
        <x:v>869</x:v>
      </x:c>
      <x:c r="K1281" s="44" t="n">
        <x:v>128.22444094738097</x:v>
      </x:c>
      <x:c r="L1281" s="44" t="n">
        <x:v>66.23622370039276</x:v>
      </x:c>
    </x:row>
    <x:row r="1282" ht="15" hidden="0" customHeight="1">
      <x:c r="A1282" s="27" t="str">
        <x:v>19001</x:v>
      </x:c>
      <x:c r="B1282" s="27" t="str">
        <x:v>SCA-18</x:v>
      </x:c>
      <x:c r="C1282" s="43" t="n">
        <x:v>7403</x:v>
      </x:c>
      <x:c r="D1282" s="43" t="n">
        <x:v>105.3694207464271</x:v>
      </x:c>
      <x:c r="E1282" s="43" t="n">
        <x:v>967.9237196543684</x:v>
      </x:c>
      <x:c r="F1282" s="43" t="n">
        <x:v>34.68022963351271</x:v>
      </x:c>
      <x:c r="G1282" s="43" t="n">
        <x:v>148.57440680290767</x:v>
      </x:c>
      <x:c r="H1282" s="43" t="n">
        <x:v>6146.452223162785</x:v>
      </x:c>
      <x:c r="I1282" s="43" t="n">
        <x:v>7403</x:v>
      </x:c>
      <x:c r="J1282" s="43" t="n">
        <x:v>993</x:v>
      </x:c>
      <x:c r="K1282" s="43" t="n">
        <x:v>99.71949539434114</x:v>
      </x:c>
      <x:c r="L1282" s="43" t="n">
        <x:v>65.03926576082843</x:v>
      </x:c>
    </x:row>
    <x:row r="1283" ht="15" hidden="0" customHeight="1">
      <x:c r="A1283" s="29" t="str">
        <x:v>31139</x:v>
      </x:c>
      <x:c r="B1283" s="29" t="str">
        <x:v>SCA-18</x:v>
      </x:c>
      <x:c r="C1283" s="44" t="n">
        <x:v>7378</x:v>
      </x:c>
      <x:c r="D1283" s="44" t="n">
        <x:v>77.44063860178807</x:v>
      </x:c>
      <x:c r="E1283" s="44" t="n">
        <x:v>786.7686648199445</x:v>
      </x:c>
      <x:c r="F1283" s="44" t="n">
        <x:v>35.11314509929969</x:v>
      </x:c>
      <x:c r="G1283" s="44" t="n">
        <x:v>142.22714681440445</x:v>
      </x:c>
      <x:c r="H1283" s="44" t="n">
        <x:v>6336.450404664563</x:v>
      </x:c>
      <x:c r="I1283" s="44" t="n">
        <x:v>7378</x:v>
      </x:c>
      <x:c r="J1283" s="44" t="n">
        <x:v>802</x:v>
      </x:c>
      <x:c r="K1283" s="44" t="n">
        <x:v>79.77175600025673</x:v>
      </x:c>
      <x:c r="L1283" s="44" t="n">
        <x:v>44.65861090095704</x:v>
      </x:c>
    </x:row>
    <x:row r="1284" ht="15" hidden="0" customHeight="1">
      <x:c r="A1284" s="27" t="str">
        <x:v>19195</x:v>
      </x:c>
      <x:c r="B1284" s="27" t="str">
        <x:v>SCA-18</x:v>
      </x:c>
      <x:c r="C1284" s="43" t="n">
        <x:v>7338</x:v>
      </x:c>
      <x:c r="D1284" s="43" t="n">
        <x:v>101.14811843886874</x:v>
      </x:c>
      <x:c r="E1284" s="43" t="n">
        <x:v>880.3178883695352</x:v>
      </x:c>
      <x:c r="F1284" s="43" t="n">
        <x:v>34.37572944086402</x:v>
      </x:c>
      <x:c r="G1284" s="43" t="n">
        <x:v>300.57430574649436</x:v>
      </x:c>
      <x:c r="H1284" s="43" t="n">
        <x:v>6021.5839580042375</x:v>
      </x:c>
      <x:c r="I1284" s="43" t="n">
        <x:v>7338</x:v>
      </x:c>
      <x:c r="J1284" s="43" t="n">
        <x:v>909</x:v>
      </x:c>
      <x:c r="K1284" s="43" t="n">
        <x:v>98.84393586433545</x:v>
      </x:c>
      <x:c r="L1284" s="43" t="n">
        <x:v>64.46820642347143</x:v>
      </x:c>
    </x:row>
    <x:row r="1285" ht="15" hidden="0" customHeight="1">
      <x:c r="A1285" s="29" t="str">
        <x:v>46009</x:v>
      </x:c>
      <x:c r="B1285" s="29" t="str">
        <x:v>SCA-18</x:v>
      </x:c>
      <x:c r="C1285" s="44" t="n">
        <x:v>7244</x:v>
      </x:c>
      <x:c r="D1285" s="44" t="n">
        <x:v>106.76008362742611</x:v>
      </x:c>
      <x:c r="E1285" s="44" t="n">
        <x:v>1008.8135829849118</x:v>
      </x:c>
      <x:c r="F1285" s="44" t="n">
        <x:v>60.57502303213038</x:v>
      </x:c>
      <x:c r="G1285" s="44" t="n">
        <x:v>123.53817487729505</x:v>
      </x:c>
      <x:c r="H1285" s="44" t="n">
        <x:v>5944.313135478237</x:v>
      </x:c>
      <x:c r="I1285" s="44" t="n">
        <x:v>7244</x:v>
      </x:c>
      <x:c r="J1285" s="44" t="n">
        <x:v>798</x:v>
      </x:c>
      <x:c r="K1285" s="44" t="n">
        <x:v>125.3012073685185</x:v>
      </x:c>
      <x:c r="L1285" s="44" t="n">
        <x:v>64.72618433638813</x:v>
      </x:c>
    </x:row>
    <x:row r="1286" ht="15" hidden="0" customHeight="1">
      <x:c r="A1286" s="27" t="str">
        <x:v>46057</x:v>
      </x:c>
      <x:c r="B1286" s="27" t="str">
        <x:v>SCA-18</x:v>
      </x:c>
      <x:c r="C1286" s="43" t="n">
        <x:v>6900</x:v>
      </x:c>
      <x:c r="D1286" s="43" t="n">
        <x:v>82.31131068143912</x:v>
      </x:c>
      <x:c r="E1286" s="43" t="n">
        <x:v>495.81158251330857</x:v>
      </x:c>
      <x:c r="F1286" s="43" t="n">
        <x:v>57.69846202673932</x:v>
      </x:c>
      <x:c r="G1286" s="43" t="n">
        <x:v>47.645184707210845</x:v>
      </x:c>
      <x:c r="H1286" s="43" t="n">
        <x:v>6216.533460071302</x:v>
      </x:c>
      <x:c r="I1286" s="43" t="n">
        <x:v>6900</x:v>
      </x:c>
      <x:c r="J1286" s="43" t="n">
        <x:v>464</x:v>
      </x:c>
      <x:c r="K1286" s="43" t="n">
        <x:v>119.35095677012391</x:v>
      </x:c>
      <x:c r="L1286" s="43" t="n">
        <x:v>61.6524947433846</x:v>
      </x:c>
    </x:row>
    <x:row r="1287" ht="15" hidden="0" customHeight="1">
      <x:c r="A1287" s="29" t="str">
        <x:v>19151</x:v>
      </x:c>
      <x:c r="B1287" s="29" t="str">
        <x:v>SCA-18</x:v>
      </x:c>
      <x:c r="C1287" s="44" t="n">
        <x:v>6819</x:v>
      </x:c>
      <x:c r="D1287" s="44" t="n">
        <x:v>105.54601833748119</x:v>
      </x:c>
      <x:c r="E1287" s="44" t="n">
        <x:v>1095.3000260303686</x:v>
      </x:c>
      <x:c r="F1287" s="44" t="n">
        <x:v>31.944412518022855</x:v>
      </x:c>
      <x:c r="G1287" s="44" t="n">
        <x:v>203.59088937093279</x:v>
      </x:c>
      <x:c r="H1287" s="44" t="n">
        <x:v>5382.618653743194</x:v>
      </x:c>
      <x:c r="I1287" s="44" t="n">
        <x:v>6819</x:v>
      </x:c>
      <x:c r="J1287" s="44" t="n">
        <x:v>1157</x:v>
      </x:c>
      <x:c r="K1287" s="44" t="n">
        <x:v>91.85292977090535</x:v>
      </x:c>
      <x:c r="L1287" s="44" t="n">
        <x:v>59.90851725288249</x:v>
      </x:c>
    </x:row>
    <x:row r="1288" ht="15" hidden="0" customHeight="1">
      <x:c r="A1288" s="27" t="str">
        <x:v>19093</x:v>
      </x:c>
      <x:c r="B1288" s="27" t="str">
        <x:v>SCA-18</x:v>
      </x:c>
      <x:c r="C1288" s="43" t="n">
        <x:v>6777</x:v>
      </x:c>
      <x:c r="D1288" s="43" t="n">
        <x:v>96.6511892602682</x:v>
      </x:c>
      <x:c r="E1288" s="43" t="n">
        <x:v>890.6799406704241</x:v>
      </x:c>
      <x:c r="F1288" s="43" t="n">
        <x:v>31.747658547388305</x:v>
      </x:c>
      <x:c r="G1288" s="43" t="n">
        <x:v>169.59856125778703</x:v>
      </x:c>
      <x:c r="H1288" s="43" t="n">
        <x:v>5588.322650264133</x:v>
      </x:c>
      <x:c r="I1288" s="43" t="n">
        <x:v>6777</x:v>
      </x:c>
      <x:c r="J1288" s="43" t="n">
        <x:v>923</x:v>
      </x:c>
      <x:c r="K1288" s="43" t="n">
        <x:v>91.2871836130555</x:v>
      </x:c>
      <x:c r="L1288" s="43" t="n">
        <x:v>59.5395250656672</x:v>
      </x:c>
    </x:row>
    <x:row r="1289" ht="15" hidden="0" customHeight="1">
      <x:c r="A1289" s="29" t="str">
        <x:v>31173</x:v>
      </x:c>
      <x:c r="B1289" s="29" t="str">
        <x:v>SCA-18</x:v>
      </x:c>
      <x:c r="C1289" s="44" t="n">
        <x:v>6752</x:v>
      </x:c>
      <x:c r="D1289" s="44" t="n">
        <x:v>64.3061630144507</x:v>
      </x:c>
      <x:c r="E1289" s="44" t="n">
        <x:v>562.4806611570248</x:v>
      </x:c>
      <x:c r="F1289" s="44" t="n">
        <x:v>32.13390562624988</x:v>
      </x:c>
      <x:c r="G1289" s="44" t="n">
        <x:v>213.69421487603304</x:v>
      </x:c>
      <x:c r="H1289" s="44" t="n">
        <x:v>5879.385055326242</x:v>
      </x:c>
      <x:c r="I1289" s="44" t="n">
        <x:v>6752</x:v>
      </x:c>
      <x:c r="J1289" s="44" t="n">
        <x:v>567</x:v>
      </x:c>
      <x:c r="K1289" s="44" t="n">
        <x:v>73.00337442582455</x:v>
      </x:c>
      <x:c r="L1289" s="44" t="n">
        <x:v>40.86946879957467</x:v>
      </x:c>
    </x:row>
    <x:row r="1290" ht="15" hidden="0" customHeight="1">
      <x:c r="A1290" s="27" t="str">
        <x:v>27073</x:v>
      </x:c>
      <x:c r="B1290" s="27" t="str">
        <x:v>SCA-18</x:v>
      </x:c>
      <x:c r="C1290" s="43" t="n">
        <x:v>6704</x:v>
      </x:c>
      <x:c r="D1290" s="43" t="n">
        <x:v>85.84774863777642</x:v>
      </x:c>
      <x:c r="E1290" s="43" t="n">
        <x:v>996.3393116108306</x:v>
      </x:c>
      <x:c r="F1290" s="43" t="n">
        <x:v>21.95480294697483</x:v>
      </x:c>
      <x:c r="G1290" s="43" t="n">
        <x:v>104.38083218601805</x:v>
      </x:c>
      <x:c r="H1290" s="43" t="n">
        <x:v>5495.4773046184</x:v>
      </x:c>
      <x:c r="I1290" s="43" t="n">
        <x:v>6704</x:v>
      </x:c>
      <x:c r="J1290" s="43" t="n">
        <x:v>1012</x:v>
      </x:c>
      <x:c r="K1290" s="43" t="n">
        <x:v>66.28841360096663</x:v>
      </x:c>
      <x:c r="L1290" s="43" t="n">
        <x:v>44.333610653991805</x:v>
      </x:c>
    </x:row>
    <x:row r="1291" ht="15" hidden="0" customHeight="1">
      <x:c r="A1291" s="29" t="str">
        <x:v>31021</x:v>
      </x:c>
      <x:c r="B1291" s="29" t="str">
        <x:v>SCA-18</x:v>
      </x:c>
      <x:c r="C1291" s="44" t="n">
        <x:v>6678</x:v>
      </x:c>
      <x:c r="D1291" s="44" t="n">
        <x:v>84.66719060428147</x:v>
      </x:c>
      <x:c r="E1291" s="44" t="n">
        <x:v>1061.895349466406</x:v>
      </x:c>
      <x:c r="F1291" s="44" t="n">
        <x:v>31.781727158189668</x:v>
      </x:c>
      <x:c r="G1291" s="44" t="n">
        <x:v>174.3813317300466</x:v>
      </x:c>
      <x:c r="H1291" s="44" t="n">
        <x:v>5325.274401041076</x:v>
      </x:c>
      <x:c r="I1291" s="44" t="n">
        <x:v>6678</x:v>
      </x:c>
      <x:c r="J1291" s="44" t="n">
        <x:v>1102</x:v>
      </x:c>
      <x:c r="K1291" s="44" t="n">
        <x:v>72.20327820137089</x:v>
      </x:c>
      <x:c r="L1291" s="44" t="n">
        <x:v>40.421551043181225</x:v>
      </x:c>
    </x:row>
    <x:row r="1292" ht="15" hidden="0" customHeight="1">
      <x:c r="A1292" s="27" t="str">
        <x:v>46101</x:v>
      </x:c>
      <x:c r="B1292" s="27" t="str">
        <x:v>SCA-18</x:v>
      </x:c>
      <x:c r="C1292" s="43" t="n">
        <x:v>6632</x:v>
      </x:c>
      <x:c r="D1292" s="43" t="n">
        <x:v>93.42939499428324</x:v>
      </x:c>
      <x:c r="E1292" s="43" t="n">
        <x:v>820.1164532954007</x:v>
      </x:c>
      <x:c r="F1292" s="43" t="n">
        <x:v>55.457420313236966</x:v>
      </x:c>
      <x:c r="G1292" s="43" t="n">
        <x:v>144.18144460249724</x:v>
      </x:c>
      <x:c r="H1292" s="43" t="n">
        <x:v>5518.815286794582</x:v>
      </x:c>
      <x:c r="I1292" s="43" t="n">
        <x:v>6632</x:v>
      </x:c>
      <x:c r="J1292" s="43" t="n">
        <x:v>815</x:v>
      </x:c>
      <x:c r="K1292" s="43" t="n">
        <x:v>114.71529642021186</x:v>
      </x:c>
      <x:c r="L1292" s="43" t="n">
        <x:v>59.257876106974884</x:v>
      </x:c>
    </x:row>
    <x:row r="1293" ht="15" hidden="0" customHeight="1">
      <x:c r="A1293" s="29" t="str">
        <x:v>38067</x:v>
      </x:c>
      <x:c r="B1293" s="29" t="str">
        <x:v>SCA-18</x:v>
      </x:c>
      <x:c r="C1293" s="44" t="n">
        <x:v>6568</x:v>
      </x:c>
      <x:c r="D1293" s="44" t="n">
        <x:v>96.93799777167082</x:v>
      </x:c>
      <x:c r="E1293" s="44" t="n">
        <x:v>823.181310123683</x:v>
      </x:c>
      <x:c r="F1293" s="44" t="n">
        <x:v>24.938350570370304</x:v>
      </x:c>
      <x:c r="G1293" s="44" t="n">
        <x:v>108.68071461291801</x:v>
      </x:c>
      <x:c r="H1293" s="44" t="n">
        <x:v>5514.261626921358</x:v>
      </x:c>
      <x:c r="I1293" s="44" t="n">
        <x:v>6568</x:v>
      </x:c>
      <x:c r="J1293" s="44" t="n">
        <x:v>855</x:v>
      </x:c>
      <x:c r="K1293" s="44" t="n">
        <x:v>87.57712708688766</x:v>
      </x:c>
      <x:c r="L1293" s="44" t="n">
        <x:v>62.63877651651735</x:v>
      </x:c>
    </x:row>
    <x:row r="1294" ht="15" hidden="0" customHeight="1">
      <x:c r="A1294" s="27" t="str">
        <x:v>31003</x:v>
      </x:c>
      <x:c r="B1294" s="27" t="str">
        <x:v>SCA-18</x:v>
      </x:c>
      <x:c r="C1294" s="43" t="n">
        <x:v>6352</x:v>
      </x:c>
      <x:c r="D1294" s="43" t="n">
        <x:v>73.97315495987299</x:v>
      </x:c>
      <x:c r="E1294" s="43" t="n">
        <x:v>852.5967173252279</x:v>
      </x:c>
      <x:c r="F1294" s="43" t="n">
        <x:v>30.230238231329853</x:v>
      </x:c>
      <x:c r="G1294" s="43" t="n">
        <x:v>153.54255319148936</x:v>
      </x:c>
      <x:c r="H1294" s="43" t="n">
        <x:v>5241.65733629208</x:v>
      </x:c>
      <x:c r="I1294" s="43" t="n">
        <x:v>6352</x:v>
      </x:c>
      <x:c r="J1294" s="43" t="n">
        <x:v>874</x:v>
      </x:c>
      <x:c r="K1294" s="43" t="n">
        <x:v>68.67852996931835</x:v>
      </x:c>
      <x:c r="L1294" s="43" t="n">
        <x:v>38.44829173798849</x:v>
      </x:c>
    </x:row>
    <x:row r="1295" ht="15" hidden="0" customHeight="1">
      <x:c r="A1295" s="29" t="str">
        <x:v>27107</x:v>
      </x:c>
      <x:c r="B1295" s="29" t="str">
        <x:v>SCA-18</x:v>
      </x:c>
      <x:c r="C1295" s="44" t="n">
        <x:v>6336</x:v>
      </x:c>
      <x:c r="D1295" s="44" t="n">
        <x:v>75.80273719490975</x:v>
      </x:c>
      <x:c r="E1295" s="44" t="n">
        <x:v>813.6651302541153</x:v>
      </x:c>
      <x:c r="F1295" s="44" t="n">
        <x:v>20.749646699288867</x:v>
      </x:c>
      <x:c r="G1295" s="44" t="n">
        <x:v>172.81284960843857</x:v>
      </x:c>
      <x:c r="H1295" s="44" t="n">
        <x:v>5252.969636243248</x:v>
      </x:c>
      <x:c r="I1295" s="44" t="n">
        <x:v>6336</x:v>
      </x:c>
      <x:c r="J1295" s="44" t="n">
        <x:v>837</x:v>
      </x:c>
      <x:c r="K1295" s="44" t="n">
        <x:v>62.64967013361048</x:v>
      </x:c>
      <x:c r="L1295" s="44" t="n">
        <x:v>41.90002343432161</x:v>
      </x:c>
    </x:row>
    <x:row r="1296" ht="15" hidden="0" customHeight="1">
      <x:c r="A1296" s="27" t="str">
        <x:v>27167</x:v>
      </x:c>
      <x:c r="B1296" s="27" t="str">
        <x:v>SCA-18</x:v>
      </x:c>
      <x:c r="C1296" s="43" t="n">
        <x:v>6288</x:v>
      </x:c>
      <x:c r="D1296" s="43" t="n">
        <x:v>75.23385221129557</x:v>
      </x:c>
      <x:c r="E1296" s="43" t="n">
        <x:v>807.6300767263426</x:v>
      </x:c>
      <x:c r="F1296" s="43" t="n">
        <x:v>20.592452406112436</x:v>
      </x:c>
      <x:c r="G1296" s="43" t="n">
        <x:v>218.71763107416885</x:v>
      </x:c>
      <x:c r="H1296" s="43" t="n">
        <x:v>5165.825987582081</x:v>
      </x:c>
      <x:c r="I1296" s="43" t="n">
        <x:v>6288</x:v>
      </x:c>
      <x:c r="J1296" s="43" t="n">
        <x:v>837</x:v>
      </x:c>
      <x:c r="K1296" s="43" t="n">
        <x:v>62.17505142047706</x:v>
      </x:c>
      <x:c r="L1296" s="43" t="n">
        <x:v>41.582599014364625</x:v>
      </x:c>
    </x:row>
    <x:row r="1297" ht="15" hidden="0" customHeight="1">
      <x:c r="A1297" s="29" t="str">
        <x:v>38009</x:v>
      </x:c>
      <x:c r="B1297" s="29" t="str">
        <x:v>SCA-18</x:v>
      </x:c>
      <x:c r="C1297" s="44" t="n">
        <x:v>6284</x:v>
      </x:c>
      <x:c r="D1297" s="44" t="n">
        <x:v>89.75538055311655</x:v>
      </x:c>
      <x:c r="E1297" s="44" t="n">
        <x:v>715.8024403522818</x:v>
      </x:c>
      <x:c r="F1297" s="44" t="n">
        <x:v>23.860017506730657</x:v>
      </x:c>
      <x:c r="G1297" s="44" t="n">
        <x:v>61.694155324259405</x:v>
      </x:c>
      <x:c r="H1297" s="44" t="n">
        <x:v>5392.888006263612</x:v>
      </x:c>
      <x:c r="I1297" s="44" t="n">
        <x:v>6284</x:v>
      </x:c>
      <x:c r="J1297" s="44" t="n">
        <x:v>741</x:v>
      </x:c>
      <x:c r="K1297" s="44" t="n">
        <x:v>83.79029637850213</x:v>
      </x:c>
      <x:c r="L1297" s="44" t="n">
        <x:v>59.93027887177148</x:v>
      </x:c>
    </x:row>
    <x:row r="1298" ht="15" hidden="0" customHeight="1">
      <x:c r="A1298" s="27" t="str">
        <x:v>46115</x:v>
      </x:c>
      <x:c r="B1298" s="27" t="str">
        <x:v>SCA-18</x:v>
      </x:c>
      <x:c r="C1298" s="43" t="n">
        <x:v>6155</x:v>
      </x:c>
      <x:c r="D1298" s="43" t="n">
        <x:v>83.98420154680056</x:v>
      </x:c>
      <x:c r="E1298" s="43" t="n">
        <x:v>695.7213409648405</x:v>
      </x:c>
      <x:c r="F1298" s="43" t="n">
        <x:v>51.468700547040655</x:v>
      </x:c>
      <x:c r="G1298" s="43" t="n">
        <x:v>152.63041700735897</x:v>
      </x:c>
      <x:c r="H1298" s="43" t="n">
        <x:v>5171.195339933959</x:v>
      </x:c>
      <x:c r="I1298" s="43" t="n">
        <x:v>6155</x:v>
      </x:c>
      <x:c r="J1298" s="43" t="n">
        <x:v>720</x:v>
      </x:c>
      <x:c r="K1298" s="43" t="n">
        <x:v>106.46451288697286</x:v>
      </x:c>
      <x:c r="L1298" s="43" t="n">
        <x:v>54.99581233993221</x:v>
      </x:c>
    </x:row>
    <x:row r="1299" ht="15" hidden="0" customHeight="1">
      <x:c r="A1299" s="29" t="str">
        <x:v>55051</x:v>
      </x:c>
      <x:c r="B1299" s="29" t="str">
        <x:v>SCA-18</x:v>
      </x:c>
      <x:c r="C1299" s="44" t="n">
        <x:v>6127</x:v>
      </x:c>
      <x:c r="D1299" s="44" t="n">
        <x:v>62.47236517600772</x:v>
      </x:c>
      <x:c r="E1299" s="44" t="n">
        <x:v>792.1486107020127</x:v>
      </x:c>
      <x:c r="F1299" s="44" t="n">
        <x:v>32.39870262619377</x:v>
      </x:c>
      <x:c r="G1299" s="44" t="n">
        <x:v>157.05645557191949</x:v>
      </x:c>
      <x:c r="H1299" s="44" t="n">
        <x:v>5082.923865923866</x:v>
      </x:c>
      <x:c r="I1299" s="44" t="n">
        <x:v>6127</x:v>
      </x:c>
      <x:c r="J1299" s="44" t="n">
        <x:v>823</x:v>
      </x:c>
      <x:c r="K1299" s="44" t="n">
        <x:v>61.86487568961763</x:v>
      </x:c>
      <x:c r="L1299" s="44" t="n">
        <x:v>29.466173063423856</x:v>
      </x:c>
    </x:row>
    <x:row r="1300" ht="15" hidden="0" customHeight="1">
      <x:c r="A1300" s="27" t="str">
        <x:v>27051</x:v>
      </x:c>
      <x:c r="B1300" s="27" t="str">
        <x:v>SCA-18</x:v>
      </x:c>
      <x:c r="C1300" s="43" t="n">
        <x:v>6085</x:v>
      </x:c>
      <x:c r="D1300" s="43" t="n">
        <x:v>75.69685063442071</x:v>
      </x:c>
      <x:c r="E1300" s="43" t="n">
        <x:v>850.9606175069797</x:v>
      </x:c>
      <x:c r="F1300" s="43" t="n">
        <x:v>19.92765154122045</x:v>
      </x:c>
      <x:c r="G1300" s="43" t="n">
        <x:v>146.51716209558222</x:v>
      </x:c>
      <x:c r="H1300" s="43" t="n">
        <x:v>4991.897718221797</x:v>
      </x:c>
      <x:c r="I1300" s="43" t="n">
        <x:v>6085</x:v>
      </x:c>
      <x:c r="J1300" s="43" t="n">
        <x:v>887</x:v>
      </x:c>
      <x:c r="K1300" s="43" t="n">
        <x:v>60.16780977951701</x:v>
      </x:c>
      <x:c r="L1300" s="43" t="n">
        <x:v>40.24015823829656</x:v>
      </x:c>
    </x:row>
    <x:row r="1301" ht="15" hidden="0" customHeight="1">
      <x:c r="A1301" s="29" t="str">
        <x:v>19143</x:v>
      </x:c>
      <x:c r="B1301" s="29" t="str">
        <x:v>SCA-18</x:v>
      </x:c>
      <x:c r="C1301" s="44" t="n">
        <x:v>5980</x:v>
      </x:c>
      <x:c r="D1301" s="44" t="n">
        <x:v>81.74327163079728</x:v>
      </x:c>
      <x:c r="E1301" s="44" t="n">
        <x:v>700.9395022548856</x:v>
      </x:c>
      <x:c r="F1301" s="44" t="n">
        <x:v>28.01401772368041</x:v>
      </x:c>
      <x:c r="G1301" s="44" t="n">
        <x:v>50.04042091197594</x:v>
      </x:c>
      <x:c r="H1301" s="44" t="n">
        <x:v>5119.26278747866</x:v>
      </x:c>
      <x:c r="I1301" s="44" t="n">
        <x:v>5980</x:v>
      </x:c>
      <x:c r="J1301" s="44" t="n">
        <x:v>731</x:v>
      </x:c>
      <x:c r="K1301" s="44" t="n">
        <x:v>80.55147676052412</x:v>
      </x:c>
      <x:c r="L1301" s="44" t="n">
        <x:v>52.537459036843714</x:v>
      </x:c>
    </x:row>
    <x:row r="1302" ht="15" hidden="0" customHeight="1">
      <x:c r="A1302" s="27" t="str">
        <x:v>46087</x:v>
      </x:c>
      <x:c r="B1302" s="27" t="str">
        <x:v>SCA-18</x:v>
      </x:c>
      <x:c r="C1302" s="43" t="n">
        <x:v>5964</x:v>
      </x:c>
      <x:c r="D1302" s="43" t="n">
        <x:v>78.35836054396904</x:v>
      </x:c>
      <x:c r="E1302" s="43" t="n">
        <x:v>601.6598577524893</x:v>
      </x:c>
      <x:c r="F1302" s="43" t="n">
        <x:v>49.87154022137293</x:v>
      </x:c>
      <x:c r="G1302" s="43" t="n">
        <x:v>62.64402560455192</x:v>
      </x:c>
      <x:c r="H1302" s="43" t="n">
        <x:v>5171.466215877616</x:v>
      </x:c>
      <x:c r="I1302" s="43" t="n">
        <x:v>5964</x:v>
      </x:c>
      <x:c r="J1302" s="43" t="n">
        <x:v>591</x:v>
      </x:c>
      <x:c r="K1302" s="43" t="n">
        <x:v>103.16074002565493</x:v>
      </x:c>
      <x:c r="L1302" s="43" t="n">
        <x:v>53.289199804282</x:v>
      </x:c>
    </x:row>
    <x:row r="1303" ht="15" hidden="0" customHeight="1">
      <x:c r="A1303" s="29" t="str">
        <x:v>26131</x:v>
      </x:c>
      <x:c r="B1303" s="29" t="str">
        <x:v>SCA-18</x:v>
      </x:c>
      <x:c r="C1303" s="44" t="n">
        <x:v>5823</x:v>
      </x:c>
      <x:c r="D1303" s="44" t="n">
        <x:v>77.04307834270456</x:v>
      </x:c>
      <x:c r="E1303" s="44" t="n">
        <x:v>1232.185706905459</x:v>
      </x:c>
      <x:c r="F1303" s="44" t="n">
        <x:v>32.56346434490757</x:v>
      </x:c>
      <x:c r="G1303" s="44" t="n">
        <x:v>140.32374720165316</x:v>
      </x:c>
      <x:c r="H1303" s="44" t="n">
        <x:v>4340.884003205275</x:v>
      </x:c>
      <x:c r="I1303" s="44" t="n">
        <x:v>5823</x:v>
      </x:c>
      <x:c r="J1303" s="44" t="n">
        <x:v>1280</x:v>
      </x:c>
      <x:c r="K1303" s="44" t="n">
        <x:v>58.26547156655135</x:v>
      </x:c>
      <x:c r="L1303" s="44" t="n">
        <x:v>25.702007221643775</x:v>
      </x:c>
    </x:row>
    <x:row r="1304" ht="15" hidden="0" customHeight="1">
      <x:c r="A1304" s="27" t="str">
        <x:v>38005</x:v>
      </x:c>
      <x:c r="B1304" s="27" t="str">
        <x:v>SCA-18</x:v>
      </x:c>
      <x:c r="C1304" s="43" t="n">
        <x:v>5759</x:v>
      </x:c>
      <x:c r="D1304" s="43" t="n">
        <x:v>85.05686532475752</x:v>
      </x:c>
      <x:c r="E1304" s="43" t="n">
        <x:v>723.2038154484189</x:v>
      </x:c>
      <x:c r="F1304" s="43" t="n">
        <x:v>21.866620117960196</x:v>
      </x:c>
      <x:c r="G1304" s="43" t="n">
        <x:v>378.5320546051495</x:v>
      </x:c>
      <x:c r="H1304" s="43" t="n">
        <x:v>4550.3406445037135</x:v>
      </x:c>
      <x:c r="I1304" s="43" t="n">
        <x:v>5759</x:v>
      </x:c>
      <x:c r="J1304" s="43" t="n">
        <x:v>757</x:v>
      </x:c>
      <x:c r="K1304" s="43" t="n">
        <x:v>76.78999313236693</x:v>
      </x:c>
      <x:c r="L1304" s="43" t="n">
        <x:v>54.923373014406735</x:v>
      </x:c>
    </x:row>
    <x:row r="1305" ht="15" hidden="0" customHeight="1">
      <x:c r="A1305" s="29" t="str">
        <x:v>46123</x:v>
      </x:c>
      <x:c r="B1305" s="29" t="str">
        <x:v>SCA-18</x:v>
      </x:c>
      <x:c r="C1305" s="44" t="n">
        <x:v>5708</x:v>
      </x:c>
      <x:c r="D1305" s="44" t="n">
        <x:v>75.34582798548298</x:v>
      </x:c>
      <x:c r="E1305" s="44" t="n">
        <x:v>584.256602102933</x:v>
      </x:c>
      <x:c r="F1305" s="44" t="n">
        <x:v>47.730843659221456</x:v>
      </x:c>
      <x:c r="G1305" s="44" t="n">
        <x:v>158.1278361925844</x:v>
      </x:c>
      <x:c r="H1305" s="44" t="n">
        <x:v>4842.538890059778</x:v>
      </x:c>
      <x:c r="I1305" s="44" t="n">
        <x:v>5708</x:v>
      </x:c>
      <x:c r="J1305" s="44" t="n">
        <x:v>578</x:v>
      </x:c>
      <x:c r="K1305" s="44" t="n">
        <x:v>98.73264655708222</x:v>
      </x:c>
      <x:c r="L1305" s="44" t="n">
        <x:v>51.00180289786077</x:v>
      </x:c>
    </x:row>
    <x:row r="1306" ht="15" hidden="0" customHeight="1">
      <x:c r="A1306" s="27" t="str">
        <x:v>38073</x:v>
      </x:c>
      <x:c r="B1306" s="27" t="str">
        <x:v>SCA-18</x:v>
      </x:c>
      <x:c r="C1306" s="43" t="n">
        <x:v>5617</x:v>
      </x:c>
      <x:c r="D1306" s="43" t="n">
        <x:v>78.28931618021913</x:v>
      </x:c>
      <x:c r="E1306" s="43" t="n">
        <x:v>593.2846077164481</x:v>
      </x:c>
      <x:c r="F1306" s="43" t="n">
        <x:v>21.32745358614038</x:v>
      </x:c>
      <x:c r="G1306" s="43" t="n">
        <x:v>100.56728816688204</x:v>
      </x:c>
      <x:c r="H1306" s="43" t="n">
        <x:v>4823.53133435031</x:v>
      </x:c>
      <x:c r="I1306" s="43" t="n">
        <x:v>5617</x:v>
      </x:c>
      <x:c r="J1306" s="43" t="n">
        <x:v>596</x:v>
      </x:c>
      <x:c r="K1306" s="43" t="n">
        <x:v>74.89657777817418</x:v>
      </x:c>
      <x:c r="L1306" s="43" t="n">
        <x:v>53.5691241920338</x:v>
      </x:c>
    </x:row>
    <x:row r="1307" ht="15" hidden="0" customHeight="1">
      <x:c r="A1307" s="29" t="str">
        <x:v>31051</x:v>
      </x:c>
      <x:c r="B1307" s="29" t="str">
        <x:v>SCA-18</x:v>
      </x:c>
      <x:c r="C1307" s="44" t="n">
        <x:v>5602</x:v>
      </x:c>
      <x:c r="D1307" s="44" t="n">
        <x:v>63.99663017708027</x:v>
      </x:c>
      <x:c r="E1307" s="44" t="n">
        <x:v>722.1130903095805</x:v>
      </x:c>
      <x:c r="F1307" s="44" t="n">
        <x:v>26.66086186585483</x:v>
      </x:c>
      <x:c r="G1307" s="44" t="n">
        <x:v>35.49477926360139</x:v>
      </x:c>
      <x:c r="H1307" s="44" t="n">
        <x:v>4753.734638383883</x:v>
      </x:c>
      <x:c r="I1307" s="44" t="n">
        <x:v>5602</x:v>
      </x:c>
      <x:c r="J1307" s="44" t="n">
        <x:v>733</x:v>
      </x:c>
      <x:c r="K1307" s="44" t="n">
        <x:v>60.56944661336924</x:v>
      </x:c>
      <x:c r="L1307" s="44" t="n">
        <x:v>33.90858474751441</x:v>
      </x:c>
    </x:row>
    <x:row r="1308" ht="15" hidden="0" customHeight="1">
      <x:c r="A1308" s="27" t="str">
        <x:v>27081</x:v>
      </x:c>
      <x:c r="B1308" s="27" t="str">
        <x:v>SCA-18</x:v>
      </x:c>
      <x:c r="C1308" s="43" t="n">
        <x:v>5583</x:v>
      </x:c>
      <x:c r="D1308" s="43" t="n">
        <x:v>68.80567531634766</x:v>
      </x:c>
      <x:c r="E1308" s="43" t="n">
        <x:v>765.2459392824287</x:v>
      </x:c>
      <x:c r="F1308" s="43" t="n">
        <x:v>18.283661225083613</x:v>
      </x:c>
      <x:c r="G1308" s="43" t="n">
        <x:v>111.43882244710211</x:v>
      </x:c>
      <x:c r="H1308" s="43" t="n">
        <x:v>4619.225901729038</x:v>
      </x:c>
      <x:c r="I1308" s="43" t="n">
        <x:v>5583</x:v>
      </x:c>
      <x:c r="J1308" s="43" t="n">
        <x:v>776</x:v>
      </x:c>
      <x:c r="K1308" s="43" t="n">
        <x:v>55.20408907133007</x:v>
      </x:c>
      <x:c r="L1308" s="43" t="n">
        <x:v>36.920427846246454</x:v>
      </x:c>
    </x:row>
    <x:row r="1309" ht="15" hidden="0" customHeight="1">
      <x:c r="A1309" s="29" t="str">
        <x:v>27031</x:v>
      </x:c>
      <x:c r="B1309" s="29" t="str">
        <x:v>SCA-18</x:v>
      </x:c>
      <x:c r="C1309" s="44" t="n">
        <x:v>5522</x:v>
      </x:c>
      <x:c r="D1309" s="44" t="n">
        <x:v>63.76127348190308</x:v>
      </x:c>
      <x:c r="E1309" s="44" t="n">
        <x:v>653.8617400644468</x:v>
      </x:c>
      <x:c r="F1309" s="44" t="n">
        <x:v>18.083893477505228</x:v>
      </x:c>
      <x:c r="G1309" s="44" t="n">
        <x:v>106.51369495166489</x:v>
      </x:c>
      <x:c r="H1309" s="44" t="n">
        <x:v>4679.7793980244805</x:v>
      </x:c>
      <x:c r="I1309" s="44" t="n">
        <x:v>5522</x:v>
      </x:c>
      <x:c r="J1309" s="44" t="n">
        <x:v>689</x:v>
      </x:c>
      <x:c r="K1309" s="44" t="n">
        <x:v>54.60092779005635</x:v>
      </x:c>
      <x:c r="L1309" s="44" t="n">
        <x:v>36.517034312551125</x:v>
      </x:c>
    </x:row>
    <x:row r="1310" ht="15" hidden="0" customHeight="1">
      <x:c r="A1310" s="27" t="str">
        <x:v>19009</x:v>
      </x:c>
      <x:c r="B1310" s="27" t="str">
        <x:v>SCA-18</x:v>
      </x:c>
      <x:c r="C1310" s="43" t="n">
        <x:v>5509</x:v>
      </x:c>
      <x:c r="D1310" s="43" t="n">
        <x:v>79.10438859166608</x:v>
      </x:c>
      <x:c r="E1310" s="43" t="n">
        <x:v>736.9179208462521</x:v>
      </x:c>
      <x:c r="F1310" s="43" t="n">
        <x:v>25.807562481564446</x:v>
      </x:c>
      <x:c r="G1310" s="43" t="n">
        <x:v>205.69779317891664</x:v>
      </x:c>
      <x:c r="H1310" s="43" t="n">
        <x:v>4461.472334901601</x:v>
      </x:c>
      <x:c r="I1310" s="43" t="n">
        <x:v>5509</x:v>
      </x:c>
      <x:c r="J1310" s="43" t="n">
        <x:v>764</x:v>
      </x:c>
      <x:c r="K1310" s="43" t="n">
        <x:v>74.20703770463669</x:v>
      </x:c>
      <x:c r="L1310" s="43" t="n">
        <x:v>48.399475223072244</x:v>
      </x:c>
    </x:row>
    <x:row r="1311" ht="15" hidden="0" customHeight="1">
      <x:c r="A1311" s="29" t="str">
        <x:v>46037</x:v>
      </x:c>
      <x:c r="B1311" s="29" t="str">
        <x:v>SCA-18</x:v>
      </x:c>
      <x:c r="C1311" s="44" t="n">
        <x:v>5484</x:v>
      </x:c>
      <x:c r="D1311" s="44" t="n">
        <x:v>77.9047215821858</x:v>
      </x:c>
      <x:c r="E1311" s="44" t="n">
        <x:v>693.7053834586467</x:v>
      </x:c>
      <x:c r="F1311" s="44" t="n">
        <x:v>45.857734167338904</x:v>
      </x:c>
      <x:c r="G1311" s="44" t="n">
        <x:v>144.5608082706767</x:v>
      </x:c>
      <x:c r="H1311" s="44" t="n">
        <x:v>4521.971352521152</x:v>
      </x:c>
      <x:c r="I1311" s="44" t="n">
        <x:v>5484</x:v>
      </x:c>
      <x:c r="J1311" s="44" t="n">
        <x:v>701</x:v>
      </x:c>
      <x:c r="K1311" s="44" t="n">
        <x:v>94.8580647720811</x:v>
      </x:c>
      <x:c r="L1311" s="44" t="n">
        <x:v>49.000330604742196</x:v>
      </x:c>
    </x:row>
    <x:row r="1312" ht="15" hidden="0" customHeight="1">
      <x:c r="A1312" s="27" t="str">
        <x:v>46041</x:v>
      </x:c>
      <x:c r="B1312" s="27" t="str">
        <x:v>SCA-18</x:v>
      </x:c>
      <x:c r="C1312" s="43" t="n">
        <x:v>5419</x:v>
      </x:c>
      <x:c r="D1312" s="43" t="n">
        <x:v>71.29435569263838</x:v>
      </x:c>
      <x:c r="E1312" s="43" t="n">
        <x:v>548.9954270080125</x:v>
      </x:c>
      <x:c r="F1312" s="43" t="n">
        <x:v>45.31419793085512</x:v>
      </x:c>
      <x:c r="G1312" s="43" t="n">
        <x:v>437.3955442642173</x:v>
      </x:c>
      <x:c r="H1312" s="43" t="n">
        <x:v>4316.000475104277</x:v>
      </x:c>
      <x:c r="I1312" s="43" t="n">
        <x:v>5419</x:v>
      </x:c>
      <x:c r="J1312" s="43" t="n">
        <x:v>540</x:v>
      </x:c>
      <x:c r="K1312" s="43" t="n">
        <x:v>93.7337441648263</x:v>
      </x:c>
      <x:c r="L1312" s="43" t="n">
        <x:v>48.41954623397118</x:v>
      </x:c>
    </x:row>
    <x:row r="1313" ht="15" hidden="0" customHeight="1">
      <x:c r="A1313" s="29" t="str">
        <x:v>46077</x:v>
      </x:c>
      <x:c r="B1313" s="29" t="str">
        <x:v>SCA-18</x:v>
      </x:c>
      <x:c r="C1313" s="44" t="n">
        <x:v>5284</x:v>
      </x:c>
      <x:c r="D1313" s="44" t="n">
        <x:v>70.0308080933279</x:v>
      </x:c>
      <x:c r="E1313" s="44" t="n">
        <x:v>547.6201517214549</x:v>
      </x:c>
      <x:c r="F1313" s="44" t="n">
        <x:v>44.185314978158054</x:v>
      </x:c>
      <x:c r="G1313" s="44" t="n">
        <x:v>97.67885625364717</x:v>
      </x:c>
      <x:c r="H1313" s="44" t="n">
        <x:v>4524.484868953412</x:v>
      </x:c>
      <x:c r="I1313" s="44" t="n">
        <x:v>5284</x:v>
      </x:c>
      <x:c r="J1313" s="44" t="n">
        <x:v>555</x:v>
      </x:c>
      <x:c r="K1313" s="44" t="n">
        <x:v>91.39861674975866</x:v>
      </x:c>
      <x:c r="L1313" s="44" t="n">
        <x:v>47.21330177160061</x:v>
      </x:c>
    </x:row>
    <x:row r="1314" ht="15" hidden="0" customHeight="1">
      <x:c r="A1314" s="27" t="str">
        <x:v>46015</x:v>
      </x:c>
      <x:c r="B1314" s="27" t="str">
        <x:v>SCA-18</x:v>
      </x:c>
      <x:c r="C1314" s="43" t="n">
        <x:v>5278</x:v>
      </x:c>
      <x:c r="D1314" s="43" t="n">
        <x:v>83.15540407885891</x:v>
      </x:c>
      <x:c r="E1314" s="43" t="n">
        <x:v>863.8971161340608</x:v>
      </x:c>
      <x:c r="F1314" s="43" t="n">
        <x:v>44.13514240248263</x:v>
      </x:c>
      <x:c r="G1314" s="43" t="n">
        <x:v>155.1167186282151</x:v>
      </x:c>
      <x:c r="H1314" s="43" t="n">
        <x:v>4131.695618756383</x:v>
      </x:c>
      <x:c r="I1314" s="43" t="n">
        <x:v>5278</x:v>
      </x:c>
      <x:c r="J1314" s="43" t="n">
        <x:v>875</x:v>
      </x:c>
      <x:c r="K1314" s="43" t="n">
        <x:v>91.29483330908899</x:v>
      </x:c>
      <x:c r="L1314" s="43" t="n">
        <x:v>47.159690906606365</x:v>
      </x:c>
    </x:row>
    <x:row r="1315" ht="15" hidden="0" customHeight="1">
      <x:c r="A1315" s="29" t="str">
        <x:v>46129</x:v>
      </x:c>
      <x:c r="B1315" s="29" t="str">
        <x:v>SCA-18</x:v>
      </x:c>
      <x:c r="C1315" s="44" t="n">
        <x:v>5217</x:v>
      </x:c>
      <x:c r="D1315" s="44" t="n">
        <x:v>77.29453835351586</x:v>
      </x:c>
      <x:c r="E1315" s="44" t="n">
        <x:v>736.3173897844241</x:v>
      </x:c>
      <x:c r="F1315" s="44" t="n">
        <x:v>43.62505454978247</x:v>
      </x:c>
      <x:c r="G1315" s="44" t="n">
        <x:v>59.70868129733929</x:v>
      </x:c>
      <x:c r="H1315" s="44" t="n">
        <x:v>4300.054336014938</x:v>
      </x:c>
      <x:c r="I1315" s="44" t="n">
        <x:v>5217</x:v>
      </x:c>
      <x:c r="J1315" s="44" t="n">
        <x:v>757</x:v>
      </x:c>
      <x:c r="K1315" s="44" t="n">
        <x:v>90.23970166228065</x:v>
      </x:c>
      <x:c r="L1315" s="44" t="n">
        <x:v>46.61464711249818</x:v>
      </x:c>
    </x:row>
    <x:row r="1316" ht="15" hidden="0" customHeight="1">
      <x:c r="A1316" s="27" t="str">
        <x:v>27087</x:v>
      </x:c>
      <x:c r="B1316" s="27" t="str">
        <x:v>SCA-18</x:v>
      </x:c>
      <x:c r="C1316" s="43" t="n">
        <x:v>5153</x:v>
      </x:c>
      <x:c r="D1316" s="43" t="n">
        <x:v>68.15265598907264</x:v>
      </x:c>
      <x:c r="E1316" s="43" t="n">
        <x:v>817.8197257185797</x:v>
      </x:c>
      <x:c r="F1316" s="43" t="n">
        <x:v>16.875462348711416</x:v>
      </x:c>
      <x:c r="G1316" s="43" t="n">
        <x:v>292.13789216607177</x:v>
      </x:c>
      <x:c r="H1316" s="43" t="n">
        <x:v>3958.014263777565</x:v>
      </x:c>
      <x:c r="I1316" s="43" t="n">
        <x:v>5153</x:v>
      </x:c>
      <x:c r="J1316" s="43" t="n">
        <x:v>880</x:v>
      </x:c>
      <x:c r="K1316" s="43" t="n">
        <x:v>50.95229643284324</x:v>
      </x:c>
      <x:c r="L1316" s="43" t="n">
        <x:v>34.076834084131825</x:v>
      </x:c>
    </x:row>
    <x:row r="1317" ht="15" hidden="0" customHeight="1">
      <x:c r="A1317" s="29" t="str">
        <x:v>38049</x:v>
      </x:c>
      <x:c r="B1317" s="29" t="str">
        <x:v>SCA-18</x:v>
      </x:c>
      <x:c r="C1317" s="44" t="n">
        <x:v>5130</x:v>
      </x:c>
      <x:c r="D1317" s="44" t="n">
        <x:v>74.03078906464862</x:v>
      </x:c>
      <x:c r="E1317" s="44" t="n">
        <x:v>602.5479867730013</x:v>
      </x:c>
      <x:c r="F1317" s="44" t="n">
        <x:v>19.478340198842815</x:v>
      </x:c>
      <x:c r="G1317" s="44" t="n">
        <x:v>99.17447967321533</x:v>
      </x:c>
      <x:c r="H1317" s="44" t="n">
        <x:v>4334.768404290292</x:v>
      </x:c>
      <x:c r="I1317" s="44" t="n">
        <x:v>5130</x:v>
      </x:c>
      <x:c r="J1317" s="44" t="n">
        <x:v>629</x:v>
      </x:c>
      <x:c r="K1317" s="44" t="n">
        <x:v>68.4029631479497</x:v>
      </x:c>
      <x:c r="L1317" s="44" t="n">
        <x:v>48.92462294910689</x:v>
      </x:c>
    </x:row>
    <x:row r="1318" ht="15" hidden="0" customHeight="1">
      <x:c r="A1318" s="27" t="str">
        <x:v>27011</x:v>
      </x:c>
      <x:c r="B1318" s="27" t="str">
        <x:v>SCA-18</x:v>
      </x:c>
      <x:c r="C1318" s="43" t="n">
        <x:v>5054</x:v>
      </x:c>
      <x:c r="D1318" s="43" t="n">
        <x:v>64.38395132979163</x:v>
      </x:c>
      <x:c r="E1318" s="43" t="n">
        <x:v>743.083322683706</x:v>
      </x:c>
      <x:c r="F1318" s="43" t="n">
        <x:v>16.551249119035027</x:v>
      </x:c>
      <x:c r="G1318" s="43" t="n">
        <x:v>152.00868610223642</x:v>
      </x:c>
      <x:c r="H1318" s="43" t="n">
        <x:v>4077.972790765231</x:v>
      </x:c>
      <x:c r="I1318" s="43" t="n">
        <x:v>5054</x:v>
      </x:c>
      <x:c r="J1318" s="43" t="n">
        <x:v>767</x:v>
      </x:c>
      <x:c r="K1318" s="43" t="n">
        <x:v>49.97339533700558</x:v>
      </x:c>
      <x:c r="L1318" s="43" t="n">
        <x:v>33.42214621797055</x:v>
      </x:c>
    </x:row>
    <x:row r="1319" ht="15" hidden="0" customHeight="1">
      <x:c r="A1319" s="29" t="str">
        <x:v>38021</x:v>
      </x:c>
      <x:c r="B1319" s="29" t="str">
        <x:v>SCA-18</x:v>
      </x:c>
      <x:c r="C1319" s="44" t="n">
        <x:v>4895</x:v>
      </x:c>
      <x:c r="D1319" s="44" t="n">
        <x:v>71.77767127507715</x:v>
      </x:c>
      <x:c r="E1319" s="44" t="n">
        <x:v>602.2616341766902</x:v>
      </x:c>
      <x:c r="F1319" s="44" t="n">
        <x:v>18.58605755815509</x:v>
      </x:c>
      <x:c r="G1319" s="44" t="n">
        <x:v>29.642472003318126</x:v>
      </x:c>
      <x:c r="H1319" s="44" t="n">
        <x:v>4172.732164986759</x:v>
      </x:c>
      <x:c r="I1319" s="44" t="n">
        <x:v>4895</x:v>
      </x:c>
      <x:c r="J1319" s="44" t="n">
        <x:v>618</x:v>
      </x:c>
      <x:c r="K1319" s="44" t="n">
        <x:v>65.26949407587014</x:v>
      </x:c>
      <x:c r="L1319" s="44" t="n">
        <x:v>46.68343651771505</x:v>
      </x:c>
    </x:row>
    <x:row r="1320" ht="15" hidden="0" customHeight="1">
      <x:c r="A1320" s="27" t="str">
        <x:v>55037</x:v>
      </x:c>
      <x:c r="B1320" s="27" t="str">
        <x:v>SCA-18</x:v>
      </x:c>
      <x:c r="C1320" s="43" t="n">
        <x:v>4748</x:v>
      </x:c>
      <x:c r="D1320" s="43" t="n">
        <x:v>56.541731489155595</x:v>
      </x:c>
      <x:c r="E1320" s="43" t="n">
        <x:v>808.9797909407665</x:v>
      </x:c>
      <x:c r="F1320" s="43" t="n">
        <x:v>25.106747195881837</x:v>
      </x:c>
      <x:c r="G1320" s="43" t="n">
        <x:v>52.6411149825784</x:v>
      </x:c>
      <x:c r="H1320" s="43" t="n">
        <x:v>3804.7306153916174</x:v>
      </x:c>
      <x:c r="I1320" s="43" t="n">
        <x:v>4748</x:v>
      </x:c>
      <x:c r="J1320" s="43" t="n">
        <x:v>815</x:v>
      </x:c>
      <x:c r="K1320" s="43" t="n">
        <x:v>47.940987395838825</x:v>
      </x:c>
      <x:c r="L1320" s="43" t="n">
        <x:v>22.834240199956987</x:v>
      </x:c>
    </x:row>
    <x:row r="1321" ht="15" hidden="0" customHeight="1">
      <x:c r="A1321" s="29" t="str">
        <x:v>46091</x:v>
      </x:c>
      <x:c r="B1321" s="29" t="str">
        <x:v>SCA-18</x:v>
      </x:c>
      <x:c r="C1321" s="44" t="n">
        <x:v>4426</x:v>
      </x:c>
      <x:c r="D1321" s="44" t="n">
        <x:v>58.40645390492905</x:v>
      </x:c>
      <x:c r="E1321" s="44" t="n">
        <x:v>452.62813986013987</x:v>
      </x:c>
      <x:c r="F1321" s="44" t="n">
        <x:v>37.0106366565722</x:v>
      </x:c>
      <x:c r="G1321" s="44" t="n">
        <x:v>37.525874125874125</x:v>
      </x:c>
      <x:c r="H1321" s="44" t="n">
        <x:v>3840.4288954524845</x:v>
      </x:c>
      <x:c r="I1321" s="44" t="n">
        <x:v>4426</x:v>
      </x:c>
      <x:c r="J1321" s="44" t="n">
        <x:v>457</x:v>
      </x:c>
      <x:c r="K1321" s="44" t="n">
        <x:v>76.55758473399543</x:v>
      </x:c>
      <x:c r="L1321" s="44" t="n">
        <x:v>39.546948077423224</x:v>
      </x:c>
    </x:row>
    <x:row r="1322" ht="15" hidden="0" customHeight="1">
      <x:c r="A1322" s="27" t="str">
        <x:v>46039</x:v>
      </x:c>
      <x:c r="B1322" s="27" t="str">
        <x:v>SCA-18</x:v>
      </x:c>
      <x:c r="C1322" s="43" t="n">
        <x:v>4408</x:v>
      </x:c>
      <x:c r="D1322" s="43" t="n">
        <x:v>60.87152088784588</x:v>
      </x:c>
      <x:c r="E1322" s="43" t="n">
        <x:v>515.6497297297296</x:v>
      </x:c>
      <x:c r="F1322" s="43" t="n">
        <x:v>36.860118929545926</x:v>
      </x:c>
      <x:c r="G1322" s="43" t="n">
        <x:v>67.17812208760485</x:v>
      </x:c>
      <x:c r="H1322" s="43" t="n">
        <x:v>3727.4405083652737</x:v>
      </x:c>
      <x:c r="I1322" s="43" t="n">
        <x:v>4408</x:v>
      </x:c>
      <x:c r="J1322" s="43" t="n">
        <x:v>523</x:v>
      </x:c>
      <x:c r="K1322" s="43" t="n">
        <x:v>76.2462344119864</x:v>
      </x:c>
      <x:c r="L1322" s="43" t="n">
        <x:v>39.38611548244048</x:v>
      </x:c>
    </x:row>
    <x:row r="1323" ht="15" hidden="0" customHeight="1">
      <x:c r="A1323" s="29" t="str">
        <x:v>38045</x:v>
      </x:c>
      <x:c r="B1323" s="29" t="str">
        <x:v>SCA-18</x:v>
      </x:c>
      <x:c r="C1323" s="44" t="n">
        <x:v>4135</x:v>
      </x:c>
      <x:c r="D1323" s="44" t="n">
        <x:v>58.783715403687005</x:v>
      </x:c>
      <x:c r="E1323" s="44" t="n">
        <x:v>464.3609081934847</x:v>
      </x:c>
      <x:c r="F1323" s="44" t="n">
        <x:v>15.70037752869689</x:v>
      </x:c>
      <x:c r="G1323" s="44" t="n">
        <x:v>67.10957551826259</x:v>
      </x:c>
      <x:c r="H1323" s="44" t="n">
        <x:v>3529.0454233558685</x:v>
      </x:c>
      <x:c r="I1323" s="44" t="n">
        <x:v>4135</x:v>
      </x:c>
      <x:c r="J1323" s="44" t="n">
        <x:v>474</x:v>
      </x:c>
      <x:c r="K1323" s="44" t="n">
        <x:v>55.13572175765537</x:v>
      </x:c>
      <x:c r="L1323" s="44" t="n">
        <x:v>39.43534422895848</x:v>
      </x:c>
    </x:row>
    <x:row r="1324" ht="15" hidden="0" customHeight="1">
      <x:c r="A1324" s="27" t="str">
        <x:v>38025</x:v>
      </x:c>
      <x:c r="B1324" s="27" t="str">
        <x:v>SCA-18</x:v>
      </x:c>
      <x:c r="C1324" s="43" t="n">
        <x:v>4058</x:v>
      </x:c>
      <x:c r="D1324" s="43" t="n">
        <x:v>58.5110634618092</x:v>
      </x:c>
      <x:c r="E1324" s="43" t="n">
        <x:v>475.4415702063412</x:v>
      </x:c>
      <x:c r="F1324" s="43" t="n">
        <x:v>15.408012578343893</x:v>
      </x:c>
      <x:c r="G1324" s="43" t="n">
        <x:v>53.116381479617516</x:v>
      </x:c>
      <x:c r="H1324" s="43" t="n">
        <x:v>3455.522972273888</x:v>
      </x:c>
      <x:c r="I1324" s="43" t="n">
        <x:v>4058</x:v>
      </x:c>
      <x:c r="J1324" s="43" t="n">
        <x:v>485</x:v>
      </x:c>
      <x:c r="K1324" s="43" t="n">
        <x:v>54.109010614888874</x:v>
      </x:c>
      <x:c r="L1324" s="43" t="n">
        <x:v>38.70099803654498</x:v>
      </x:c>
    </x:row>
    <x:row r="1325" ht="15" hidden="0" customHeight="1">
      <x:c r="A1325" s="29" t="str">
        <x:v>46053</x:v>
      </x:c>
      <x:c r="B1325" s="29" t="str">
        <x:v>SCA-18</x:v>
      </x:c>
      <x:c r="C1325" s="44" t="n">
        <x:v>4037</x:v>
      </x:c>
      <x:c r="D1325" s="44" t="n">
        <x:v>58.359850103216026</x:v>
      </x:c>
      <x:c r="E1325" s="44" t="n">
        <x:v>534.9281545500762</x:v>
      </x:c>
      <x:c r="F1325" s="44" t="n">
        <x:v>33.757781333615455</x:v>
      </x:c>
      <x:c r="G1325" s="44" t="n">
        <x:v>74.56062531774276</x:v>
      </x:c>
      <x:c r="H1325" s="44" t="n">
        <x:v>3335.3935886953495</x:v>
      </x:c>
      <x:c r="I1325" s="44" t="n">
        <x:v>4037</x:v>
      </x:c>
      <x:c r="J1325" s="44" t="n">
        <x:v>543</x:v>
      </x:c>
      <x:c r="K1325" s="44" t="n">
        <x:v>69.8289583305783</x:v>
      </x:c>
      <x:c r="L1325" s="44" t="n">
        <x:v>36.07117699696285</x:v>
      </x:c>
    </x:row>
    <x:row r="1326" ht="15" hidden="0" customHeight="1">
      <x:c r="A1326" s="27" t="str">
        <x:v>27069</x:v>
      </x:c>
      <x:c r="B1326" s="27" t="str">
        <x:v>SCA-18</x:v>
      </x:c>
      <x:c r="C1326" s="43" t="n">
        <x:v>4031</x:v>
      </x:c>
      <x:c r="D1326" s="43" t="n">
        <x:v>43.144246569333156</x:v>
      </x:c>
      <x:c r="E1326" s="43" t="n">
        <x:v>395.69299924069855</x:v>
      </x:c>
      <x:c r="F1326" s="43" t="n">
        <x:v>13.201045745712342</x:v>
      </x:c>
      <x:c r="G1326" s="43" t="n">
        <x:v>57.45583396608453</x:v>
      </x:c>
      <x:c r="H1326" s="43" t="n">
        <x:v>3521.5058744781713</x:v>
      </x:c>
      <x:c r="I1326" s="43" t="n">
        <x:v>4031</x:v>
      </x:c>
      <x:c r="J1326" s="43" t="n">
        <x:v>404</x:v>
      </x:c>
      <x:c r="K1326" s="43" t="n">
        <x:v>39.85808401334972</x:v>
      </x:c>
      <x:c r="L1326" s="43" t="n">
        <x:v>26.657038267637375</x:v>
      </x:c>
    </x:row>
    <x:row r="1327" ht="15" hidden="0" customHeight="1">
      <x:c r="A1327" s="29" t="str">
        <x:v>46025</x:v>
      </x:c>
      <x:c r="B1327" s="29" t="str">
        <x:v>SCA-18</x:v>
      </x:c>
      <x:c r="C1327" s="44" t="n">
        <x:v>4031</x:v>
      </x:c>
      <x:c r="D1327" s="44" t="n">
        <x:v>54.01683923684919</x:v>
      </x:c>
      <x:c r="E1327" s="44" t="n">
        <x:v>431.98255451713396</x:v>
      </x:c>
      <x:c r="F1327" s="44" t="n">
        <x:v>33.70760875794003</x:v>
      </x:c>
      <x:c r="G1327" s="44" t="n">
        <x:v>95.05555555555556</x:v>
      </x:c>
      <x:c r="H1327" s="44" t="n">
        <x:v>3416.237441932521</x:v>
      </x:c>
      <x:c r="I1327" s="44" t="n">
        <x:v>4031</x:v>
      </x:c>
      <x:c r="J1327" s="44" t="n">
        <x:v>430</x:v>
      </x:c>
      <x:c r="K1327" s="44" t="n">
        <x:v>69.72517488990863</x:v>
      </x:c>
      <x:c r="L1327" s="44" t="n">
        <x:v>36.0175661319686</x:v>
      </x:c>
    </x:row>
    <x:row r="1328" ht="15" hidden="0" customHeight="1">
      <x:c r="A1328" s="27" t="str">
        <x:v>46045</x:v>
      </x:c>
      <x:c r="B1328" s="27" t="str">
        <x:v>SCA-18</x:v>
      </x:c>
      <x:c r="C1328" s="43" t="n">
        <x:v>4022</x:v>
      </x:c>
      <x:c r="D1328" s="43" t="n">
        <x:v>53.622539905399215</x:v>
      </x:c>
      <x:c r="E1328" s="43" t="n">
        <x:v>424.44936170212765</x:v>
      </x:c>
      <x:c r="F1328" s="43" t="n">
        <x:v>33.632349894426895</x:v>
      </x:c>
      <x:c r="G1328" s="43" t="n">
        <x:v>57.409574468085104</x:v>
      </x:c>
      <x:c r="H1328" s="43" t="n">
        <x:v>3452.886174029961</x:v>
      </x:c>
      <x:c r="I1328" s="43" t="n">
        <x:v>4022</x:v>
      </x:c>
      <x:c r="J1328" s="43" t="n">
        <x:v>434</x:v>
      </x:c>
      <x:c r="K1328" s="43" t="n">
        <x:v>69.56949972890412</x:v>
      </x:c>
      <x:c r="L1328" s="43" t="n">
        <x:v>35.937149834477225</x:v>
      </x:c>
    </x:row>
    <x:row r="1329" ht="15" hidden="0" customHeight="1">
      <x:c r="A1329" s="29" t="str">
        <x:v>27125</x:v>
      </x:c>
      <x:c r="B1329" s="29" t="str">
        <x:v>SCA-18</x:v>
      </x:c>
      <x:c r="C1329" s="44" t="n">
        <x:v>3940</x:v>
      </x:c>
      <x:c r="D1329" s="44" t="n">
        <x:v>45.377859835453606</x:v>
      </x:c>
      <x:c r="E1329" s="44" t="n">
        <x:v>463.74252873563216</x:v>
      </x:c>
      <x:c r="F1329" s="44" t="n">
        <x:v>12.903031564898694</x:v>
      </x:c>
      <x:c r="G1329" s="44" t="n">
        <x:v>75.89463601532566</x:v>
      </x:c>
      <x:c r="H1329" s="44" t="n">
        <x:v>3342.0819438486897</x:v>
      </x:c>
      <x:c r="I1329" s="44" t="n">
        <x:v>3940</x:v>
      </x:c>
      <x:c r="J1329" s="44" t="n">
        <x:v>480</x:v>
      </x:c>
      <x:c r="K1329" s="44" t="n">
        <x:v>38.958286036367625</x:v>
      </x:c>
      <x:c r="L1329" s="44" t="n">
        <x:v>26.05525447146893</x:v>
      </x:c>
    </x:row>
    <x:row r="1330" ht="15" hidden="0" customHeight="1">
      <x:c r="A1330" s="27" t="str">
        <x:v>38069</x:v>
      </x:c>
      <x:c r="B1330" s="27" t="str">
        <x:v>SCA-18</x:v>
      </x:c>
      <x:c r="C1330" s="43" t="n">
        <x:v>3838</x:v>
      </x:c>
      <x:c r="D1330" s="43" t="n">
        <x:v>50.35153467368709</x:v>
      </x:c>
      <x:c r="E1330" s="43" t="n">
        <x:v>329.9680467711932</x:v>
      </x:c>
      <x:c r="F1330" s="43" t="n">
        <x:v>14.57268414876389</x:v>
      </x:c>
      <x:c r="G1330" s="43" t="n">
        <x:v>56.447515280361415</x:v>
      </x:c>
      <x:c r="H1330" s="43" t="n">
        <x:v>3386.660219125994</x:v>
      </x:c>
      <x:c r="I1330" s="43" t="n">
        <x:v>3838</x:v>
      </x:c>
      <x:c r="J1330" s="43" t="n">
        <x:v>337</x:v>
      </x:c>
      <x:c r="K1330" s="43" t="n">
        <x:v>51.175550206984596</x:v>
      </x:c>
      <x:c r="L1330" s="43" t="n">
        <x:v>36.602866058220705</x:v>
      </x:c>
    </x:row>
    <x:row r="1331" ht="15" hidden="0" customHeight="1">
      <x:c r="A1331" s="29" t="str">
        <x:v>46031</x:v>
      </x:c>
      <x:c r="B1331" s="29" t="str">
        <x:v>SCA-18</x:v>
      </x:c>
      <x:c r="C1331" s="44" t="n">
        <x:v>3781</x:v>
      </x:c>
      <x:c r="D1331" s="44" t="n">
        <x:v>61.480648193536894</x:v>
      </x:c>
      <x:c r="E1331" s="44" t="n">
        <x:v>664.7248344718864</x:v>
      </x:c>
      <x:c r="F1331" s="44" t="n">
        <x:v>31.617084771463972</x:v>
      </x:c>
      <x:c r="G1331" s="44" t="n">
        <x:v>304.6918024172359</x:v>
      </x:c>
      <x:c r="H1331" s="44" t="n">
        <x:v>2718.485630145877</x:v>
      </x:c>
      <x:c r="I1331" s="44" t="n">
        <x:v>3781</x:v>
      </x:c>
      <x:c r="J1331" s="44" t="n">
        <x:v>697</x:v>
      </x:c>
      <x:c r="K1331" s="44" t="n">
        <x:v>65.40086486200559</x:v>
      </x:c>
      <x:c r="L1331" s="44" t="n">
        <x:v>33.78378009054162</x:v>
      </x:c>
    </x:row>
    <x:row r="1332" ht="15" hidden="0" customHeight="1">
      <x:c r="A1332" s="27" t="str">
        <x:v>27077</x:v>
      </x:c>
      <x:c r="B1332" s="27" t="str">
        <x:v>SCA-18</x:v>
      </x:c>
      <x:c r="C1332" s="43" t="n">
        <x:v>3770</x:v>
      </x:c>
      <x:c r="D1332" s="43" t="n">
        <x:v>45.16809962784812</x:v>
      </x:c>
      <x:c r="E1332" s="43" t="n">
        <x:v>485.6893594494441</x:v>
      </x:c>
      <x:c r="F1332" s="43" t="n">
        <x:v>12.3463017765655</x:v>
      </x:c>
      <x:c r="G1332" s="43" t="n">
        <x:v>51.082318687136045</x:v>
      </x:c>
      <x:c r="H1332" s="43" t="n">
        <x:v>3175.713920459006</x:v>
      </x:c>
      <x:c r="I1332" s="43" t="n">
        <x:v>3770</x:v>
      </x:c>
      <x:c r="J1332" s="43" t="n">
        <x:v>507</x:v>
      </x:c>
      <x:c r="K1332" s="43" t="n">
        <x:v>37.27734476068679</x:v>
      </x:c>
      <x:c r="L1332" s="43" t="n">
        <x:v>24.931042984121287</x:v>
      </x:c>
    </x:row>
    <x:row r="1333" ht="15" hidden="0" customHeight="1">
      <x:c r="A1333" s="29" t="str">
        <x:v>38103</x:v>
      </x:c>
      <x:c r="B1333" s="29" t="str">
        <x:v>SCA-18</x:v>
      </x:c>
      <x:c r="C1333" s="44" t="n">
        <x:v>3729</x:v>
      </x:c>
      <x:c r="D1333" s="44" t="n">
        <x:v>53.326081512091676</x:v>
      </x:c>
      <x:c r="E1333" s="44" t="n">
        <x:v>426.30586750788643</x:v>
      </x:c>
      <x:c r="F1333" s="44" t="n">
        <x:v>14.158816881381071</x:v>
      </x:c>
      <x:c r="G1333" s="44" t="n">
        <x:v>86.77011041009463</x:v>
      </x:c>
      <x:c r="H1333" s="44" t="n">
        <x:v>3148.4391236885463</x:v>
      </x:c>
      <x:c r="I1333" s="44" t="n">
        <x:v>3729</x:v>
      </x:c>
      <x:c r="J1333" s="44" t="n">
        <x:v>453</x:v>
      </x:c>
      <x:c r="K1333" s="44" t="n">
        <x:v>49.72215391397748</x:v>
      </x:c>
      <x:c r="L1333" s="44" t="n">
        <x:v>35.56333703259641</x:v>
      </x:c>
    </x:row>
    <x:row r="1334" ht="15" hidden="0" customHeight="1">
      <x:c r="A1334" s="27" t="str">
        <x:v>38081</x:v>
      </x:c>
      <x:c r="B1334" s="27" t="str">
        <x:v>SCA-18</x:v>
      </x:c>
      <x:c r="C1334" s="43" t="n">
        <x:v>3711</x:v>
      </x:c>
      <x:c r="D1334" s="43" t="n">
        <x:v>53.94667168891534</x:v>
      </x:c>
      <x:c r="E1334" s="43" t="n">
        <x:v>445.32</x:v>
      </x:c>
      <x:c r="F1334" s="43" t="n">
        <x:v>14.090471828051797</x:v>
      </x:c>
      <x:c r="G1334" s="43" t="n">
        <x:v>85.31249999999999</x:v>
      </x:c>
      <x:c r="H1334" s="43" t="n">
        <x:v>3112.330356483033</x:v>
      </x:c>
      <x:c r="I1334" s="43" t="n">
        <x:v>3711</x:v>
      </x:c>
      <x:c r="J1334" s="43" t="n">
        <x:v>468</x:v>
      </x:c>
      <x:c r="K1334" s="43" t="n">
        <x:v>49.48214351696713</x:v>
      </x:c>
      <x:c r="L1334" s="43" t="n">
        <x:v>35.39167168891533</x:v>
      </x:c>
    </x:row>
    <x:row r="1335" ht="15" hidden="0" customHeight="1">
      <x:c r="A1335" s="29" t="str">
        <x:v>46085</x:v>
      </x:c>
      <x:c r="B1335" s="29" t="str">
        <x:v>SCA-18</x:v>
      </x:c>
      <x:c r="C1335" s="44" t="n">
        <x:v>3694</x:v>
      </x:c>
      <x:c r="D1335" s="44" t="n">
        <x:v>52.236011292713776</x:v>
      </x:c>
      <x:c r="E1335" s="44" t="n">
        <x:v>461.51012987012984</x:v>
      </x:c>
      <x:c r="F1335" s="44" t="n">
        <x:v>30.889582424170303</x:v>
      </x:c>
      <x:c r="G1335" s="44" t="n">
        <x:v>175.27665043290042</x:v>
      </x:c>
      <x:c r="H1335" s="44" t="n">
        <x:v>2974.0876259800857</x:v>
      </x:c>
      <x:c r="I1335" s="44" t="n">
        <x:v>3694</x:v>
      </x:c>
      <x:c r="J1335" s="44" t="n">
        <x:v>481</x:v>
      </x:c>
      <x:c r="K1335" s="44" t="n">
        <x:v>63.89600497229533</x:v>
      </x:c>
      <x:c r="L1335" s="44" t="n">
        <x:v>33.00642254812503</x:v>
      </x:c>
    </x:row>
    <x:row r="1336" ht="15" hidden="0" customHeight="1">
      <x:c r="A1336" s="27" t="str">
        <x:v>38085</x:v>
      </x:c>
      <x:c r="B1336" s="27" t="str">
        <x:v>SCA-18</x:v>
      </x:c>
      <x:c r="C1336" s="43" t="n">
        <x:v>3667</x:v>
      </x:c>
      <x:c r="D1336" s="43" t="n">
        <x:v>55.259680774512276</x:v>
      </x:c>
      <x:c r="E1336" s="43" t="n">
        <x:v>486.9032515502831</x:v>
      </x:c>
      <x:c r="F1336" s="43" t="n">
        <x:v>13.923406142135796</x:v>
      </x:c>
      <x:c r="G1336" s="43" t="n">
        <x:v>311.93097870045835</x:v>
      </x:c>
      <x:c r="H1336" s="43" t="n">
        <x:v>2798.982682832611</x:v>
      </x:c>
      <x:c r="I1336" s="43" t="n">
        <x:v>3667</x:v>
      </x:c>
      <x:c r="J1336" s="43" t="n">
        <x:v>513</x:v>
      </x:c>
      <x:c r="K1336" s="43" t="n">
        <x:v>48.89545143538628</x:v>
      </x:c>
      <x:c r="L1336" s="43" t="n">
        <x:v>34.97204529325048</x:v>
      </x:c>
    </x:row>
    <x:row r="1337" ht="15" hidden="0" customHeight="1">
      <x:c r="A1337" s="29" t="str">
        <x:v>19003</x:v>
      </x:c>
      <x:c r="B1337" s="29" t="str">
        <x:v>SCA-18</x:v>
      </x:c>
      <x:c r="C1337" s="44" t="n">
        <x:v>3617</x:v>
      </x:c>
      <x:c r="D1337" s="44" t="n">
        <x:v>51.62256289472529</x:v>
      </x:c>
      <x:c r="E1337" s="44" t="n">
        <x:v>476.28737166900413</x:v>
      </x:c>
      <x:c r="F1337" s="44" t="n">
        <x:v>16.944264566313045</x:v>
      </x:c>
      <x:c r="G1337" s="44" t="n">
        <x:v>94.04880785413744</x:v>
      </x:c>
      <x:c r="H1337" s="44" t="n">
        <x:v>2978.0969930158203</x:v>
      </x:c>
      <x:c r="I1337" s="44" t="n">
        <x:v>3617</x:v>
      </x:c>
      <x:c r="J1337" s="44" t="n">
        <x:v>489</x:v>
      </x:c>
      <x:c r="K1337" s="44" t="n">
        <x:v>48.721520308163164</x:v>
      </x:c>
      <x:c r="L1337" s="44" t="n">
        <x:v>31.77725574185012</x:v>
      </x:c>
    </x:row>
    <x:row r="1338" ht="15" hidden="0" customHeight="1">
      <x:c r="A1338" s="27" t="str">
        <x:v>38019</x:v>
      </x:c>
      <x:c r="B1338" s="27" t="str">
        <x:v>SCA-18</x:v>
      </x:c>
      <x:c r="C1338" s="43" t="n">
        <x:v>3497</x:v>
      </x:c>
      <x:c r="D1338" s="43" t="n">
        <x:v>52.13240194125628</x:v>
      </x:c>
      <x:c r="E1338" s="43" t="n">
        <x:v>450.75937078651685</x:v>
      </x:c>
      <x:c r="F1338" s="43" t="n">
        <x:v>13.27792508291489</x:v>
      </x:c>
      <x:c r="G1338" s="43" t="n">
        <x:v>51.07808988764045</x:v>
      </x:c>
      <x:c r="H1338" s="43" t="n">
        <x:v>2929.7522123016715</x:v>
      </x:c>
      <x:c r="I1338" s="43" t="n">
        <x:v>3497</x:v>
      </x:c>
      <x:c r="J1338" s="43" t="n">
        <x:v>478</x:v>
      </x:c>
      <x:c r="K1338" s="43" t="n">
        <x:v>46.628686574732974</x:v>
      </x:c>
      <x:c r="L1338" s="43" t="n">
        <x:v>33.35076149181808</x:v>
      </x:c>
    </x:row>
    <x:row r="1339" ht="15" hidden="0" customHeight="1">
      <x:c r="A1339" s="29" t="str">
        <x:v>46061</x:v>
      </x:c>
      <x:c r="B1339" s="29" t="str">
        <x:v>SCA-18</x:v>
      </x:c>
      <x:c r="C1339" s="44" t="n">
        <x:v>3456</x:v>
      </x:c>
      <x:c r="D1339" s="44" t="n">
        <x:v>41.48304162769001</x:v>
      </x:c>
      <x:c r="E1339" s="44" t="n">
        <x:v>254.47640138408303</x:v>
      </x:c>
      <x:c r="F1339" s="44" t="n">
        <x:v>28.899403589045086</x:v>
      </x:c>
      <x:c r="G1339" s="44" t="n">
        <x:v>19.389273356401382</x:v>
      </x:c>
      <x:c r="H1339" s="44" t="n">
        <x:v>3111.7518800427806</x:v>
      </x:c>
      <x:c r="I1339" s="44" t="n">
        <x:v>3456</x:v>
      </x:c>
      <x:c r="J1339" s="44" t="n">
        <x:v>266</x:v>
      </x:c>
      <x:c r="K1339" s="44" t="n">
        <x:v>59.77926182573163</x:v>
      </x:c>
      <x:c r="L1339" s="44" t="n">
        <x:v>30.879858236686548</x:v>
      </x:c>
    </x:row>
    <x:row r="1340" ht="15" hidden="0" customHeight="1">
      <x:c r="A1340" s="27" t="str">
        <x:v>30091</x:v>
      </x:c>
      <x:c r="B1340" s="27" t="str">
        <x:v>SCA-18</x:v>
      </x:c>
      <x:c r="C1340" s="43" t="n">
        <x:v>3436</x:v>
      </x:c>
      <x:c r="D1340" s="43" t="n">
        <x:v>40.342477962421384</x:v>
      </x:c>
      <x:c r="E1340" s="43" t="n">
        <x:v>505.57197339246113</x:v>
      </x:c>
      <x:c r="F1340" s="43" t="n">
        <x:v>20.796740906547285</x:v>
      </x:c>
      <x:c r="G1340" s="43" t="n">
        <x:v>103.72436252771618</x:v>
      </x:c>
      <x:c r="H1340" s="43" t="n">
        <x:v>2765.564445210854</x:v>
      </x:c>
      <x:c r="I1340" s="43" t="n">
        <x:v>3436</x:v>
      </x:c>
      <x:c r="J1340" s="43" t="n">
        <x:v>553</x:v>
      </x:c>
      <x:c r="K1340" s="43" t="n">
        <x:v>40.073719977616115</x:v>
      </x:c>
      <x:c r="L1340" s="43" t="n">
        <x:v>19.27697907106883</x:v>
      </x:c>
    </x:row>
    <x:row r="1341" ht="15" hidden="0" customHeight="1">
      <x:c r="A1341" s="29" t="str">
        <x:v>38029</x:v>
      </x:c>
      <x:c r="B1341" s="29" t="str">
        <x:v>SCA-18</x:v>
      </x:c>
      <x:c r="C1341" s="44" t="n">
        <x:v>3215</x:v>
      </x:c>
      <x:c r="D1341" s="44" t="n">
        <x:v>47.02492832532898</x:v>
      </x:c>
      <x:c r="E1341" s="44" t="n">
        <x:v>392.7261732283464</x:v>
      </x:c>
      <x:c r="F1341" s="44" t="n">
        <x:v>12.207185914089603</x:v>
      </x:c>
      <x:c r="G1341" s="44" t="n">
        <x:v>94.25763779527558</x:v>
      </x:c>
      <x:c r="H1341" s="44" t="n">
        <x:v>2668.784074736959</x:v>
      </x:c>
      <x:c r="I1341" s="44" t="n">
        <x:v>3215</x:v>
      </x:c>
      <x:c r="J1341" s="44" t="n">
        <x:v>404</x:v>
      </x:c>
      <x:c r="K1341" s="44" t="n">
        <x:v>42.86852368823749</x:v>
      </x:c>
      <x:c r="L1341" s="44" t="n">
        <x:v>30.661337774147885</x:v>
      </x:c>
    </x:row>
    <x:row r="1342" ht="15" hidden="0" customHeight="1">
      <x:c r="A1342" s="27" t="str">
        <x:v>38031</x:v>
      </x:c>
      <x:c r="B1342" s="27" t="str">
        <x:v>SCA-18</x:v>
      </x:c>
      <x:c r="C1342" s="43" t="n">
        <x:v>3212</x:v>
      </x:c>
      <x:c r="D1342" s="43" t="n">
        <x:v>44.63375252456001</x:v>
      </x:c>
      <x:c r="E1342" s="43" t="n">
        <x:v>336.02461538461534</x:v>
      </x:c>
      <x:c r="F1342" s="43" t="n">
        <x:v>12.195795071868059</x:v>
      </x:c>
      <x:c r="G1342" s="43" t="n">
        <x:v>200.48076923076923</x:v>
      </x:c>
      <x:c r="H1342" s="43" t="n">
        <x:v>2618.6650677881876</x:v>
      </x:c>
      <x:c r="I1342" s="43" t="n">
        <x:v>3212</x:v>
      </x:c>
      <x:c r="J1342" s="43" t="n">
        <x:v>357</x:v>
      </x:c>
      <x:c r="K1342" s="43" t="n">
        <x:v>42.82852195540243</x:v>
      </x:c>
      <x:c r="L1342" s="43" t="n">
        <x:v>30.63272688353437</x:v>
      </x:c>
    </x:row>
    <x:row r="1343" ht="15" hidden="0" customHeight="1">
      <x:c r="A1343" s="29" t="str">
        <x:v>27155</x:v>
      </x:c>
      <x:c r="B1343" s="29" t="str">
        <x:v>SCA-18</x:v>
      </x:c>
      <x:c r="C1343" s="44" t="n">
        <x:v>3130</x:v>
      </x:c>
      <x:c r="D1343" s="44" t="n">
        <x:v>42.276672147358134</x:v>
      </x:c>
      <x:c r="E1343" s="44" t="n">
        <x:v>517.8709143039184</x:v>
      </x:c>
      <x:c r="F1343" s="44" t="n">
        <x:v>10.250377867546423</x:v>
      </x:c>
      <x:c r="G1343" s="44" t="n">
        <x:v>81.93755973239885</x:v>
      </x:c>
      <x:c r="H1343" s="44" t="n">
        <x:v>2477.664475948778</x:v>
      </x:c>
      <x:c r="I1343" s="44" t="n">
        <x:v>3130</x:v>
      </x:c>
      <x:c r="J1343" s="44" t="n">
        <x:v>541</x:v>
      </x:c>
      <x:c r="K1343" s="44" t="n">
        <x:v>30.949095252241285</x:v>
      </x:c>
      <x:c r="L1343" s="44" t="n">
        <x:v>20.698717384694863</x:v>
      </x:c>
    </x:row>
    <x:row r="1344" ht="15" hidden="0" customHeight="1">
      <x:c r="A1344" s="27" t="str">
        <x:v>46059</x:v>
      </x:c>
      <x:c r="B1344" s="27" t="str">
        <x:v>SCA-18</x:v>
      </x:c>
      <x:c r="C1344" s="43" t="n">
        <x:v>3121</x:v>
      </x:c>
      <x:c r="D1344" s="43" t="n">
        <x:v>45.08496419563145</x:v>
      </x:c>
      <x:c r="E1344" s="43" t="n">
        <x:v>412.76110210696925</x:v>
      </x:c>
      <x:c r="F1344" s="43" t="n">
        <x:v>26.09810144716716</x:v>
      </x:c>
      <x:c r="G1344" s="43" t="n">
        <x:v>171.5850891410049</x:v>
      </x:c>
      <x:c r="H1344" s="43" t="n">
        <x:v>2465.4707431092274</x:v>
      </x:c>
      <x:c r="I1344" s="43" t="n">
        <x:v>3121</x:v>
      </x:c>
      <x:c r="J1344" s="43" t="n">
        <x:v>425</x:v>
      </x:c>
      <x:c r="K1344" s="43" t="n">
        <x:v>53.98468638834156</x:v>
      </x:c>
      <x:c r="L1344" s="43" t="n">
        <x:v>27.886584941174398</x:v>
      </x:c>
    </x:row>
    <x:row r="1345" ht="15" hidden="0" customHeight="1">
      <x:c r="A1345" s="29" t="str">
        <x:v>46117</x:v>
      </x:c>
      <x:c r="B1345" s="29" t="str">
        <x:v>SCA-18</x:v>
      </x:c>
      <x:c r="C1345" s="44" t="n">
        <x:v>3018</x:v>
      </x:c>
      <x:c r="D1345" s="44" t="n">
        <x:v>48.42759842543982</x:v>
      </x:c>
      <x:c r="E1345" s="44" t="n">
        <x:v>515.072</x:v>
      </x:c>
      <x:c r="F1345" s="44" t="n">
        <x:v>25.236805564739022</x:v>
      </x:c>
      <x:c r="G1345" s="44" t="n">
        <x:v>56.733333333333334</x:v>
      </x:c>
      <x:c r="H1345" s="44" t="n">
        <x:v>2372.530262676488</x:v>
      </x:c>
      <x:c r="I1345" s="44" t="n">
        <x:v>3018</x:v>
      </x:c>
      <x:c r="J1345" s="44" t="n">
        <x:v>536</x:v>
      </x:c>
      <x:c r="K1345" s="44" t="n">
        <x:v>52.203070656845505</x:v>
      </x:c>
      <x:c r="L1345" s="44" t="n">
        <x:v>26.966265092106482</x:v>
      </x:c>
    </x:row>
    <x:row r="1346" ht="15" hidden="0" customHeight="1">
      <x:c r="A1346" s="27" t="str">
        <x:v>38063</x:v>
      </x:c>
      <x:c r="B1346" s="27" t="str">
        <x:v>SCA-18</x:v>
      </x:c>
      <x:c r="C1346" s="43" t="n">
        <x:v>2963</x:v>
      </x:c>
      <x:c r="D1346" s="43" t="n">
        <x:v>48.903969840846685</x:v>
      </x:c>
      <x:c r="E1346" s="43" t="n">
        <x:v>495.5027250776129</x:v>
      </x:c>
      <x:c r="F1346" s="43" t="n">
        <x:v>11.250355167479785</x:v>
      </x:c>
      <x:c r="G1346" s="43" t="n">
        <x:v>45.83201103828906</x:v>
      </x:c>
      <x:c r="H1346" s="43" t="n">
        <x:v>2361.5109388757714</x:v>
      </x:c>
      <x:c r="I1346" s="43" t="n">
        <x:v>2963</x:v>
      </x:c>
      <x:c r="J1346" s="43" t="n">
        <x:v>505</x:v>
      </x:c>
      <x:c r="K1346" s="43" t="n">
        <x:v>39.508378130092595</x:v>
      </x:c>
      <x:c r="L1346" s="43" t="n">
        <x:v>28.25802296261281</x:v>
      </x:c>
    </x:row>
    <x:row r="1347" ht="15" hidden="0" customHeight="1">
      <x:c r="A1347" s="29" t="str">
        <x:v>46043</x:v>
      </x:c>
      <x:c r="B1347" s="29" t="str">
        <x:v>SCA-18</x:v>
      </x:c>
      <x:c r="C1347" s="44" t="n">
        <x:v>2888</x:v>
      </x:c>
      <x:c r="D1347" s="44" t="n">
        <x:v>38.01620279623665</x:v>
      </x:c>
      <x:c r="E1347" s="44" t="n">
        <x:v>293.07615469613256</x:v>
      </x:c>
      <x:c r="F1347" s="44" t="n">
        <x:v>24.149733091771466</x:v>
      </x:c>
      <x:c r="G1347" s="44" t="n">
        <x:v>20.56869244935543</x:v>
      </x:c>
      <x:c r="H1347" s="44" t="n">
        <x:v>2512.189216966504</x:v>
      </x:c>
      <x:c r="I1347" s="44" t="n">
        <x:v>2888</x:v>
      </x:c>
      <x:c r="J1347" s="44" t="n">
        <x:v>287</x:v>
      </x:c>
      <x:c r="K1347" s="44" t="n">
        <x:v>49.95442944233592</x:v>
      </x:c>
      <x:c r="L1347" s="44" t="n">
        <x:v>25.804696350564456</x:v>
      </x:c>
    </x:row>
    <x:row r="1348" ht="15" hidden="0" customHeight="1">
      <x:c r="A1348" s="27" t="str">
        <x:v>46105</x:v>
      </x:c>
      <x:c r="B1348" s="27" t="str">
        <x:v>SCA-18</x:v>
      </x:c>
      <x:c r="C1348" s="43" t="n">
        <x:v>2853</x:v>
      </x:c>
      <x:c r="D1348" s="43" t="n">
        <x:v>42.021559249133745</x:v>
      </x:c>
      <x:c r="E1348" s="43" t="n">
        <x:v>396.71023066485753</x:v>
      </x:c>
      <x:c r="F1348" s="43" t="n">
        <x:v>23.857059733664823</x:v>
      </x:c>
      <x:c r="G1348" s="43" t="n">
        <x:v>57.72303256445048</x:v>
      </x:c>
      <x:c r="H1348" s="43" t="n">
        <x:v>2332.6881177878936</x:v>
      </x:c>
      <x:c r="I1348" s="43" t="n">
        <x:v>2853</x:v>
      </x:c>
      <x:c r="J1348" s="43" t="n">
        <x:v>427</x:v>
      </x:c>
      <x:c r="K1348" s="43" t="n">
        <x:v>49.3490260384295</x:v>
      </x:c>
      <x:c r="L1348" s="43" t="n">
        <x:v>25.491966304764677</x:v>
      </x:c>
    </x:row>
    <x:row r="1349" ht="15" hidden="0" customHeight="1">
      <x:c r="A1349" s="29" t="str">
        <x:v>46003</x:v>
      </x:c>
      <x:c r="B1349" s="29" t="str">
        <x:v>SCA-18</x:v>
      </x:c>
      <x:c r="C1349" s="44" t="n">
        <x:v>2801</x:v>
      </x:c>
      <x:c r="D1349" s="44" t="n">
        <x:v>39.568886892588836</x:v>
      </x:c>
      <x:c r="E1349" s="44" t="n">
        <x:v>348.9971540265833</x:v>
      </x:c>
      <x:c r="F1349" s="44" t="n">
        <x:v>23.4222307444778</x:v>
      </x:c>
      <x:c r="G1349" s="44" t="n">
        <x:v>27.846755277560593</x:v>
      </x:c>
      <x:c r="H1349" s="44" t="n">
        <x:v>2361.1649730587897</x:v>
      </x:c>
      <x:c r="I1349" s="44" t="n">
        <x:v>2801</x:v>
      </x:c>
      <x:c r="J1349" s="44" t="n">
        <x:v>332</x:v>
      </x:c>
      <x:c r="K1349" s="44" t="n">
        <x:v>48.44956955262567</x:v>
      </x:c>
      <x:c r="L1349" s="44" t="n">
        <x:v>25.027338808147867</x:v>
      </x:c>
    </x:row>
    <x:row r="1350" ht="15" hidden="0" customHeight="1">
      <x:c r="A1350" s="27" t="str">
        <x:v>38011</x:v>
      </x:c>
      <x:c r="B1350" s="27" t="str">
        <x:v>SCA-18</x:v>
      </x:c>
      <x:c r="C1350" s="43" t="n">
        <x:v>2762</x:v>
      </x:c>
      <x:c r="D1350" s="43" t="n">
        <x:v>38.590805572209206</x:v>
      </x:c>
      <x:c r="E1350" s="43" t="n">
        <x:v>293.9930947368421</x:v>
      </x:c>
      <x:c r="F1350" s="43" t="n">
        <x:v>10.487168738636232</x:v>
      </x:c>
      <x:c r="G1350" s="43" t="n">
        <x:v>45.345263157894735</x:v>
      </x:c>
      <x:c r="H1350" s="43" t="n">
        <x:v>2373.5836677944176</x:v>
      </x:c>
      <x:c r="I1350" s="43" t="n">
        <x:v>2762</x:v>
      </x:c>
      <x:c r="J1350" s="43" t="n">
        <x:v>316</x:v>
      </x:c>
      <x:c r="K1350" s="43" t="n">
        <x:v>36.828262030143684</x:v>
      </x:c>
      <x:c r="L1350" s="43" t="n">
        <x:v>26.341093291507452</x:v>
      </x:c>
    </x:row>
    <x:row r="1351" ht="15" hidden="0" customHeight="1">
      <x:c r="A1351" s="29" t="str">
        <x:v>38041</x:v>
      </x:c>
      <x:c r="B1351" s="29" t="str">
        <x:v>SCA-18</x:v>
      </x:c>
      <x:c r="C1351" s="44" t="n">
        <x:v>2492</x:v>
      </x:c>
      <x:c r="D1351" s="44" t="n">
        <x:v>41.50724455491619</x:v>
      </x:c>
      <x:c r="E1351" s="44" t="n">
        <x:v>425.7871540469974</x:v>
      </x:c>
      <x:c r="F1351" s="44" t="n">
        <x:v>9.46199293869714</x:v>
      </x:c>
      <x:c r="G1351" s="44" t="n">
        <x:v>90.01109660574413</x:v>
      </x:c>
      <x:c r="H1351" s="44" t="n">
        <x:v>1925.232511853645</x:v>
      </x:c>
      <x:c r="I1351" s="44" t="n">
        <x:v>2492</x:v>
      </x:c>
      <x:c r="J1351" s="44" t="n">
        <x:v>409</x:v>
      </x:c>
      <x:c r="K1351" s="44" t="n">
        <x:v>33.22810607498844</x:v>
      </x:c>
      <x:c r="L1351" s="44" t="n">
        <x:v>23.7661131362913</x:v>
      </x:c>
    </x:row>
    <x:row r="1352" ht="15" hidden="0" customHeight="1">
      <x:c r="A1352" s="27" t="str">
        <x:v>38051</x:v>
      </x:c>
      <x:c r="B1352" s="27" t="str">
        <x:v>SCA-18</x:v>
      </x:c>
      <x:c r="C1352" s="43" t="n">
        <x:v>2451</x:v>
      </x:c>
      <x:c r="D1352" s="43" t="n">
        <x:v>36.600434874641714</x:v>
      </x:c>
      <x:c r="E1352" s="43" t="n">
        <x:v>317.4080938416422</x:v>
      </x:c>
      <x:c r="F1352" s="43" t="n">
        <x:v>9.306318095002684</x:v>
      </x:c>
      <x:c r="G1352" s="43" t="n">
        <x:v>63.152492668621704</x:v>
      </x:c>
      <x:c r="H1352" s="43" t="n">
        <x:v>2024.5326605200917</x:v>
      </x:c>
      <x:c r="I1352" s="43" t="n">
        <x:v>2451</x:v>
      </x:c>
      <x:c r="J1352" s="43" t="n">
        <x:v>322</x:v>
      </x:c>
      <x:c r="K1352" s="43" t="n">
        <x:v>32.68141572624264</x:v>
      </x:c>
      <x:c r="L1352" s="43" t="n">
        <x:v>23.375097631239957</x:v>
      </x:c>
    </x:row>
    <x:row r="1353" ht="15" hidden="0" customHeight="1">
      <x:c r="A1353" s="29" t="str">
        <x:v>38043</x:v>
      </x:c>
      <x:c r="B1353" s="29" t="str">
        <x:v>SCA-18</x:v>
      </x:c>
      <x:c r="C1353" s="44" t="n">
        <x:v>2393</x:v>
      </x:c>
      <x:c r="D1353" s="44" t="n">
        <x:v>37.35915189497259</x:v>
      </x:c>
      <x:c r="E1353" s="44" t="n">
        <x:v>348.8927555742533</x:v>
      </x:c>
      <x:c r="F1353" s="44" t="n">
        <x:v>9.086095145386135</x:v>
      </x:c>
      <x:c r="G1353" s="44" t="n">
        <x:v>22.89945309213294</x:v>
      </x:c>
      <x:c r="H1353" s="44" t="n">
        <x:v>1974.762544293255</x:v>
      </x:c>
      <x:c r="I1353" s="44" t="n">
        <x:v>2393</x:v>
      </x:c>
      <x:c r="J1353" s="44" t="n">
        <x:v>361</x:v>
      </x:c>
      <x:c r="K1353" s="44" t="n">
        <x:v>31.908048891431513</x:v>
      </x:c>
      <x:c r="L1353" s="44" t="n">
        <x:v>22.821953746045377</x:v>
      </x:c>
    </x:row>
    <x:row r="1354" ht="15" hidden="0" customHeight="1">
      <x:c r="A1354" s="27" t="str">
        <x:v>46137</x:v>
      </x:c>
      <x:c r="B1354" s="27" t="str">
        <x:v>SCA-18</x:v>
      </x:c>
      <x:c r="C1354" s="43" t="n">
        <x:v>2389</x:v>
      </x:c>
      <x:c r="D1354" s="43" t="n">
        <x:v>30.91411999243994</x:v>
      </x:c>
      <x:c r="E1354" s="43" t="n">
        <x:v>229.63345393352964</x:v>
      </x:c>
      <x:c r="F1354" s="43" t="n">
        <x:v>19.97704721476525</x:v>
      </x:c>
      <x:c r="G1354" s="43" t="n">
        <x:v>235.31699621371476</x:v>
      </x:c>
      <x:c r="H1354" s="43" t="n">
        <x:v>1873.1583826455503</x:v>
      </x:c>
      <x:c r="I1354" s="43" t="n">
        <x:v>2389</x:v>
      </x:c>
      <x:c r="J1354" s="43" t="n">
        <x:v>238</x:v>
      </x:c>
      <x:c r="K1354" s="43" t="n">
        <x:v>41.323106626641454</x:v>
      </x:c>
      <x:c r="L1354" s="43" t="n">
        <x:v>21.346059411876205</x:v>
      </x:c>
    </x:row>
    <x:row r="1355" ht="15" hidden="0" customHeight="1">
      <x:c r="A1355" s="29" t="str">
        <x:v>46111</x:v>
      </x:c>
      <x:c r="B1355" s="29" t="str">
        <x:v>SCA-18</x:v>
      </x:c>
      <x:c r="C1355" s="44" t="n">
        <x:v>2388</x:v>
      </x:c>
      <x:c r="D1355" s="44" t="n">
        <x:v>32.72715440115862</x:v>
      </x:c>
      <x:c r="E1355" s="44" t="n">
        <x:v>273.360723202755</x:v>
      </x:c>
      <x:c r="F1355" s="44" t="n">
        <x:v>19.968685118819348</x:v>
      </x:c>
      <x:c r="G1355" s="44" t="n">
        <x:v>87.6353852776582</x:v>
      </x:c>
      <x:c r="H1355" s="44" t="n">
        <x:v>1974.3080519996088</x:v>
      </x:c>
      <x:c r="I1355" s="44" t="n">
        <x:v>2388</x:v>
      </x:c>
      <x:c r="J1355" s="44" t="n">
        <x:v>277</x:v>
      </x:c>
      <x:c r="K1355" s="44" t="n">
        <x:v>41.305809386529845</x:v>
      </x:c>
      <x:c r="L1355" s="44" t="n">
        <x:v>21.337124267710497</x:v>
      </x:c>
    </x:row>
    <x:row r="1356" ht="15" hidden="0" customHeight="1">
      <x:c r="A1356" s="27" t="str">
        <x:v>46107</x:v>
      </x:c>
      <x:c r="B1356" s="27" t="str">
        <x:v>SCA-18</x:v>
      </x:c>
      <x:c r="C1356" s="43" t="n">
        <x:v>2377</x:v>
      </x:c>
      <x:c r="D1356" s="43" t="n">
        <x:v>32.8479176474939</x:v>
      </x:c>
      <x:c r="E1356" s="43" t="n">
        <x:v>278.6179191745486</x:v>
      </x:c>
      <x:c r="F1356" s="43" t="n">
        <x:v>19.8767020634144</x:v>
      </x:c>
      <x:c r="G1356" s="43" t="n">
        <x:v>24.581255374032676</x:v>
      </x:c>
      <x:c r="H1356" s="43" t="n">
        <x:v>2021.0762057405104</x:v>
      </x:c>
      <x:c r="I1356" s="43" t="n">
        <x:v>2377</x:v>
      </x:c>
      <x:c r="J1356" s="43" t="n">
        <x:v>284</x:v>
      </x:c>
      <x:c r="K1356" s="43" t="n">
        <x:v>41.11553974530211</x:v>
      </x:c>
      <x:c r="L1356" s="43" t="n">
        <x:v>21.23883768188771</x:v>
      </x:c>
    </x:row>
    <x:row r="1357" ht="15" hidden="0" customHeight="1">
      <x:c r="A1357" s="29" t="str">
        <x:v>46089</x:v>
      </x:c>
      <x:c r="B1357" s="29" t="str">
        <x:v>SCA-18</x:v>
      </x:c>
      <x:c r="C1357" s="44" t="n">
        <x:v>2347</x:v>
      </x:c>
      <x:c r="D1357" s="44" t="n">
        <x:v>35.28679508712175</x:v>
      </x:c>
      <x:c r="E1357" s="44" t="n">
        <x:v>343.58428152492667</x:v>
      </x:c>
      <x:c r="F1357" s="44" t="n">
        <x:v>19.625839185037268</x:v>
      </x:c>
      <x:c r="G1357" s="44" t="n">
        <x:v>16.95014662756598</x:v>
      </x:c>
      <x:c r="H1357" s="44" t="n">
        <x:v>1931.5529375753483</x:v>
      </x:c>
      <x:c r="I1357" s="44" t="n">
        <x:v>2347</x:v>
      </x:c>
      <x:c r="J1357" s="44" t="n">
        <x:v>312</x:v>
      </x:c>
      <x:c r="K1357" s="44" t="n">
        <x:v>40.59662254195374</x:v>
      </x:c>
      <x:c r="L1357" s="44" t="n">
        <x:v>20.970783356916474</x:v>
      </x:c>
    </x:row>
    <x:row r="1358" ht="15" hidden="0" customHeight="1">
      <x:c r="A1358" s="27" t="str">
        <x:v>38075</x:v>
      </x:c>
      <x:c r="B1358" s="27" t="str">
        <x:v>SCA-18</x:v>
      </x:c>
      <x:c r="C1358" s="43" t="n">
        <x:v>2331</x:v>
      </x:c>
      <x:c r="D1358" s="43" t="n">
        <x:v>32.26795014229267</x:v>
      </x:c>
      <x:c r="E1358" s="43" t="n">
        <x:v>240.89491525423728</x:v>
      </x:c>
      <x:c r="F1358" s="43" t="n">
        <x:v>8.85068440614086</x:v>
      </x:c>
      <x:c r="G1358" s="43" t="n">
        <x:v>28.555199267063678</x:v>
      </x:c>
      <x:c r="H1358" s="43" t="n">
        <x:v>2020.4312509302654</x:v>
      </x:c>
      <x:c r="I1358" s="43" t="n">
        <x:v>2331</x:v>
      </x:c>
      <x:c r="J1358" s="43" t="n">
        <x:v>235</x:v>
      </x:c>
      <x:c r="K1358" s="43" t="n">
        <x:v>31.081346412840308</x:v>
      </x:c>
      <x:c r="L1358" s="43" t="n">
        <x:v>22.230662006699447</x:v>
      </x:c>
    </x:row>
    <x:row r="1359" ht="15" hidden="0" customHeight="1">
      <x:c r="A1359" s="29" t="str">
        <x:v>38027</x:v>
      </x:c>
      <x:c r="B1359" s="29" t="str">
        <x:v>SCA-18</x:v>
      </x:c>
      <x:c r="C1359" s="44" t="n">
        <x:v>2329</x:v>
      </x:c>
      <x:c r="D1359" s="44" t="n">
        <x:v>38.036711012122645</x:v>
      </x:c>
      <x:c r="E1359" s="44" t="n">
        <x:v>379.80295037997314</x:v>
      </x:c>
      <x:c r="F1359" s="44" t="n">
        <x:v>8.843090511326498</x:v>
      </x:c>
      <x:c r="G1359" s="44" t="n">
        <x:v>45.657130084935176</x:v>
      </x:c>
      <x:c r="H1359" s="44" t="n">
        <x:v>1856.6601180116425</x:v>
      </x:c>
      <x:c r="I1359" s="44" t="n">
        <x:v>2329</x:v>
      </x:c>
      <x:c r="J1359" s="44" t="n">
        <x:v>380</x:v>
      </x:c>
      <x:c r="K1359" s="44" t="n">
        <x:v>31.054678590950267</x:v>
      </x:c>
      <x:c r="L1359" s="44" t="n">
        <x:v>22.21158807962377</x:v>
      </x:c>
    </x:row>
    <x:row r="1360" ht="15" hidden="0" customHeight="1">
      <x:c r="A1360" s="27" t="str">
        <x:v>46097</x:v>
      </x:c>
      <x:c r="B1360" s="27" t="str">
        <x:v>SCA-18</x:v>
      </x:c>
      <x:c r="C1360" s="43" t="n">
        <x:v>2281</x:v>
      </x:c>
      <x:c r="D1360" s="43" t="n">
        <x:v>34.920652024611805</x:v>
      </x:c>
      <x:c r="E1360" s="43" t="n">
        <x:v>348.9501163831692</x:v>
      </x:c>
      <x:c r="F1360" s="43" t="n">
        <x:v>19.073940852607596</x:v>
      </x:c>
      <x:c r="G1360" s="43" t="n">
        <x:v>51.27931960608773</x:v>
      </x:c>
      <x:c r="H1360" s="43" t="n">
        <x:v>1826.7759711335239</x:v>
      </x:c>
      <x:c r="I1360" s="43" t="n">
        <x:v>2281</x:v>
      </x:c>
      <x:c r="J1360" s="43" t="n">
        <x:v>356</x:v>
      </x:c>
      <x:c r="K1360" s="43" t="n">
        <x:v>39.455004694587345</x:v>
      </x:c>
      <x:c r="L1360" s="43" t="n">
        <x:v>20.38106384197975</x:v>
      </x:c>
    </x:row>
    <x:row r="1361" ht="15" hidden="0" customHeight="1">
      <x:c r="A1361" s="29" t="str">
        <x:v>38001</x:v>
      </x:c>
      <x:c r="B1361" s="29" t="str">
        <x:v>SCA-18</x:v>
      </x:c>
      <x:c r="C1361" s="44" t="n">
        <x:v>2275</x:v>
      </x:c>
      <x:c r="D1361" s="44" t="n">
        <x:v>35.5453678527092</x:v>
      </x:c>
      <x:c r="E1361" s="44" t="n">
        <x:v>332.3706192990879</x:v>
      </x:c>
      <x:c r="F1361" s="44" t="n">
        <x:v>8.638055351338679</x:v>
      </x:c>
      <x:c r="G1361" s="44" t="n">
        <x:v>117.8463754200672</x:v>
      </x:c>
      <x:c r="H1361" s="44" t="n">
        <x:v>1780.599582076797</x:v>
      </x:c>
      <x:c r="I1361" s="44" t="n">
        <x:v>2275</x:v>
      </x:c>
      <x:c r="J1361" s="44" t="n">
        <x:v>317</x:v>
      </x:c>
      <x:c r="K1361" s="44" t="n">
        <x:v>30.33464739991922</x:v>
      </x:c>
      <x:c r="L1361" s="44" t="n">
        <x:v>21.69659204858054</x:v>
      </x:c>
    </x:row>
    <x:row r="1362" ht="15" hidden="0" customHeight="1">
      <x:c r="A1362" s="27" t="str">
        <x:v>38039</x:v>
      </x:c>
      <x:c r="B1362" s="27" t="str">
        <x:v>SCA-18</x:v>
      </x:c>
      <x:c r="C1362" s="43" t="n">
        <x:v>2239</x:v>
      </x:c>
      <x:c r="D1362" s="43" t="n">
        <x:v>34.96936117637551</x:v>
      </x:c>
      <x:c r="E1362" s="43" t="n">
        <x:v>326.7863955637708</x:v>
      </x:c>
      <x:c r="F1362" s="43" t="n">
        <x:v>8.501365244680134</x:v>
      </x:c>
      <x:c r="G1362" s="43" t="n">
        <x:v>76.3170055452865</x:v>
      </x:c>
      <x:c r="H1362" s="43" t="n">
        <x:v>1792.425872469887</x:v>
      </x:c>
      <x:c r="I1362" s="43" t="n">
        <x:v>2239</x:v>
      </x:c>
      <x:c r="J1362" s="43" t="n">
        <x:v>329</x:v>
      </x:c>
      <x:c r="K1362" s="43" t="n">
        <x:v>29.85462660589852</x:v>
      </x:c>
      <x:c r="L1362" s="43" t="n">
        <x:v>21.353261361218387</x:v>
      </x:c>
    </x:row>
    <x:row r="1363" ht="15" hidden="0" customHeight="1">
      <x:c r="A1363" s="29" t="str">
        <x:v>38037</x:v>
      </x:c>
      <x:c r="B1363" s="29" t="str">
        <x:v>SCA-18</x:v>
      </x:c>
      <x:c r="C1363" s="44" t="n">
        <x:v>2206</x:v>
      </x:c>
      <x:c r="D1363" s="44" t="n">
        <x:v>33.61026291278435</x:v>
      </x:c>
      <x:c r="E1363" s="44" t="n">
        <x:v>301.72131235955055</x:v>
      </x:c>
      <x:c r="F1363" s="44" t="n">
        <x:v>8.376065980243133</x:v>
      </x:c>
      <x:c r="G1363" s="44" t="n">
        <x:v>42.018876404494385</x:v>
      </x:c>
      <x:c r="H1363" s="44" t="n">
        <x:v>1820.2734823429275</x:v>
      </x:c>
      <x:c r="I1363" s="44" t="n">
        <x:v>2206</x:v>
      </x:c>
      <x:c r="J1363" s="44" t="n">
        <x:v>317</x:v>
      </x:c>
      <x:c r="K1363" s="44" t="n">
        <x:v>29.41460754471288</x:v>
      </x:c>
      <x:c r="L1363" s="44" t="n">
        <x:v>21.038541564469746</x:v>
      </x:c>
    </x:row>
    <x:row r="1364" ht="15" hidden="0" customHeight="1">
      <x:c r="A1364" s="27" t="str">
        <x:v>26083</x:v>
      </x:c>
      <x:c r="B1364" s="27" t="str">
        <x:v>SCA-18</x:v>
      </x:c>
      <x:c r="C1364" s="43" t="n">
        <x:v>2186</x:v>
      </x:c>
      <x:c r="D1364" s="43" t="n">
        <x:v>25.405169265832264</x:v>
      </x:c>
      <x:c r="E1364" s="43" t="n">
        <x:v>378.1544063819803</x:v>
      </x:c>
      <x:c r="F1364" s="43" t="n">
        <x:v>12.224580638496985</x:v>
      </x:c>
      <x:c r="G1364" s="43" t="n">
        <x:v>37.7109338338808</x:v>
      </x:c>
      <x:c r="H1364" s="43" t="n">
        <x:v>1732.5049098798097</x:v>
      </x:c>
      <x:c r="I1364" s="43" t="n">
        <x:v>2186</x:v>
      </x:c>
      <x:c r="J1364" s="43" t="n">
        <x:v>384</x:v>
      </x:c>
      <x:c r="K1364" s="43" t="n">
        <x:v>21.873316305080067</x:v>
      </x:c>
      <x:c r="L1364" s="43" t="n">
        <x:v>9.648735666583082</x:v>
      </x:c>
    </x:row>
    <x:row r="1365" ht="15" hidden="0" customHeight="1">
      <x:c r="A1365" s="29" t="str">
        <x:v>46049</x:v>
      </x:c>
      <x:c r="B1365" s="29" t="str">
        <x:v>SCA-18</x:v>
      </x:c>
      <x:c r="C1365" s="44" t="n">
        <x:v>2178</x:v>
      </x:c>
      <x:c r="D1365" s="44" t="n">
        <x:v>30.3718896239798</x:v>
      </x:c>
      <x:c r="E1365" s="44" t="n">
        <x:v>261.8674951456311</x:v>
      </x:c>
      <x:c r="F1365" s="44" t="n">
        <x:v>18.212644970179454</x:v>
      </x:c>
      <x:c r="G1365" s="44" t="n">
        <x:v>83.97669902912621</x:v>
      </x:c>
      <x:c r="H1365" s="44" t="n">
        <x:v>1783.5712712310835</x:v>
      </x:c>
      <x:c r="I1365" s="44" t="n">
        <x:v>2178</x:v>
      </x:c>
      <x:c r="J1365" s="44" t="n">
        <x:v>258</x:v>
      </x:c>
      <x:c r="K1365" s="44" t="n">
        <x:v>37.67338896309129</x:v>
      </x:c>
      <x:c r="L1365" s="44" t="n">
        <x:v>19.460743992911837</x:v>
      </x:c>
    </x:row>
    <x:row r="1366" ht="15" hidden="0" customHeight="1">
      <x:c r="A1366" s="27" t="str">
        <x:v>46095</x:v>
      </x:c>
      <x:c r="B1366" s="27" t="str">
        <x:v>SCA-18</x:v>
      </x:c>
      <x:c r="C1366" s="43" t="n">
        <x:v>2137</x:v>
      </x:c>
      <x:c r="D1366" s="43" t="n">
        <x:v>32.657650314590136</x:v>
      </x:c>
      <x:c r="E1366" s="43" t="n">
        <x:v>325.51793357933576</x:v>
      </x:c>
      <x:c r="F1366" s="43" t="n">
        <x:v>17.869799036397378</x:v>
      </x:c>
      <x:c r="G1366" s="43" t="n">
        <x:v>81.6088560885609</x:v>
      </x:c>
      <x:c r="H1366" s="43" t="n">
        <x:v>1679.345760981116</x:v>
      </x:c>
      <x:c r="I1366" s="43" t="n">
        <x:v>2137</x:v>
      </x:c>
      <x:c r="J1366" s="43" t="n">
        <x:v>301</x:v>
      </x:c>
      <x:c r="K1366" s="43" t="n">
        <x:v>36.96420211851519</x:v>
      </x:c>
      <x:c r="L1366" s="43" t="n">
        <x:v>19.09440308211781</x:v>
      </x:c>
    </x:row>
    <x:row r="1367" ht="15" hidden="0" customHeight="1">
      <x:c r="A1367" s="29" t="str">
        <x:v>38013</x:v>
      </x:c>
      <x:c r="B1367" s="29" t="str">
        <x:v>SCA-18</x:v>
      </x:c>
      <x:c r="C1367" s="44" t="n">
        <x:v>2132</x:v>
      </x:c>
      <x:c r="D1367" s="44" t="n">
        <x:v>33.35839586341257</x:v>
      </x:c>
      <x:c r="E1367" s="44" t="n">
        <x:v>312.6141504178273</x:v>
      </x:c>
      <x:c r="F1367" s="44" t="n">
        <x:v>8.095091872111677</x:v>
      </x:c>
      <x:c r="G1367" s="44" t="n">
        <x:v>38.974001857010215</x:v>
      </x:c>
      <x:c r="H1367" s="44" t="n">
        <x:v>1738.9583599896384</x:v>
      </x:c>
      <x:c r="I1367" s="44" t="n">
        <x:v>2132</x:v>
      </x:c>
      <x:c r="J1367" s="44" t="n">
        <x:v>329</x:v>
      </x:c>
      <x:c r="K1367" s="44" t="n">
        <x:v>28.42789813478144</x:v>
      </x:c>
      <x:c r="L1367" s="44" t="n">
        <x:v>20.332806262669763</x:v>
      </x:c>
    </x:row>
    <x:row r="1368" ht="15" hidden="0" customHeight="1">
      <x:c r="A1368" s="27" t="str">
        <x:v>38023</x:v>
      </x:c>
      <x:c r="B1368" s="27" t="str">
        <x:v>SCA-18</x:v>
      </x:c>
      <x:c r="C1368" s="43" t="n">
        <x:v>2110</x:v>
      </x:c>
      <x:c r="D1368" s="43" t="n">
        <x:v>31.352177614193558</x:v>
      </x:c>
      <x:c r="E1368" s="43" t="n">
        <x:v>269.5004291845494</x:v>
      </x:c>
      <x:c r="F1368" s="43" t="n">
        <x:v>8.011559029153677</x:v>
      </x:c>
      <x:c r="G1368" s="43" t="n">
        <x:v>49.84978540772532</x:v>
      </x:c>
      <x:c r="H1368" s="43" t="n">
        <x:v>1751.2860487643782</x:v>
      </x:c>
      <x:c r="I1368" s="43" t="n">
        <x:v>2110</x:v>
      </x:c>
      <x:c r="J1368" s="43" t="n">
        <x:v>279</x:v>
      </x:c>
      <x:c r="K1368" s="43" t="n">
        <x:v>28.13455209399101</x:v>
      </x:c>
      <x:c r="L1368" s="43" t="n">
        <x:v>20.122993064837335</x:v>
      </x:c>
    </x:row>
    <x:row r="1369" ht="15" hidden="0" customHeight="1">
      <x:c r="A1369" s="29" t="str">
        <x:v>38095</x:v>
      </x:c>
      <x:c r="B1369" s="29" t="str">
        <x:v>SCA-18</x:v>
      </x:c>
      <x:c r="C1369" s="44" t="n">
        <x:v>2040</x:v>
      </x:c>
      <x:c r="D1369" s="44" t="n">
        <x:v>31.93259174322681</x:v>
      </x:c>
      <x:c r="E1369" s="44" t="n">
        <x:v>299.4524670249145</x:v>
      </x:c>
      <x:c r="F1369" s="44" t="n">
        <x:v>7.74577271065095</x:v>
      </x:c>
      <x:c r="G1369" s="44" t="n">
        <x:v>22.024425989252567</x:v>
      </x:c>
      <x:c r="H1369" s="44" t="n">
        <x:v>1678.844742531955</x:v>
      </x:c>
      <x:c r="I1369" s="44" t="n">
        <x:v>2040</x:v>
      </x:c>
      <x:c r="J1369" s="44" t="n">
        <x:v>313</x:v>
      </x:c>
      <x:c r="K1369" s="44" t="n">
        <x:v>27.201178327839653</x:v>
      </x:c>
      <x:c r="L1369" s="44" t="n">
        <x:v>19.455405617188703</x:v>
      </x:c>
    </x:row>
    <x:row r="1370" ht="15" hidden="0" customHeight="1">
      <x:c r="A1370" s="27" t="str">
        <x:v>38065</x:v>
      </x:c>
      <x:c r="B1370" s="27" t="str">
        <x:v>SCA-18</x:v>
      </x:c>
      <x:c r="C1370" s="43" t="n">
        <x:v>1898</x:v>
      </x:c>
      <x:c r="D1370" s="43" t="n">
        <x:v>25.30011047328988</x:v>
      </x:c>
      <x:c r="E1370" s="43" t="n">
        <x:v>172.77488828337874</x:v>
      </x:c>
      <x:c r="F1370" s="43" t="n">
        <x:v>7.206606178831127</x:v>
      </x:c>
      <x:c r="G1370" s="43" t="n">
        <x:v>40.73297002724795</x:v>
      </x:c>
      <x:c r="H1370" s="43" t="n">
        <x:v>1651.9854250372523</x:v>
      </x:c>
      <x:c r="I1370" s="43" t="n">
        <x:v>1898</x:v>
      </x:c>
      <x:c r="J1370" s="43" t="n">
        <x:v>174</x:v>
      </x:c>
      <x:c r="K1370" s="43" t="n">
        <x:v>25.30776297364689</x:v>
      </x:c>
      <x:c r="L1370" s="43" t="n">
        <x:v>18.101156794815765</x:v>
      </x:c>
    </x:row>
    <x:row r="1371" ht="15" hidden="0" customHeight="1">
      <x:c r="A1371" s="29" t="str">
        <x:v>38047</x:v>
      </x:c>
      <x:c r="B1371" s="29" t="str">
        <x:v>SCA-18</x:v>
      </x:c>
      <x:c r="C1371" s="44" t="n">
        <x:v>1859</x:v>
      </x:c>
      <x:c r="D1371" s="44" t="n">
        <x:v>26.716854897569856</x:v>
      </x:c>
      <x:c r="E1371" s="44" t="n">
        <x:v>215.70335233751422</x:v>
      </x:c>
      <x:c r="F1371" s="44" t="n">
        <x:v>7.058525229951034</x:v>
      </x:c>
      <x:c r="G1371" s="44" t="n">
        <x:v>21.09920182440137</x:v>
      </x:c>
      <x:c r="H1371" s="44" t="n">
        <x:v>1588.4220657105636</x:v>
      </x:c>
      <x:c r="I1371" s="44" t="n">
        <x:v>1859</x:v>
      </x:c>
      <x:c r="J1371" s="44" t="n">
        <x:v>212</x:v>
      </x:c>
      <x:c r="K1371" s="44" t="n">
        <x:v>24.787740446791133</x:v>
      </x:c>
      <x:c r="L1371" s="44" t="n">
        <x:v>17.7292152168401</x:v>
      </x:c>
    </x:row>
    <x:row r="1372" ht="15" hidden="0" customHeight="1">
      <x:c r="A1372" s="27" t="str">
        <x:v>38033</x:v>
      </x:c>
      <x:c r="B1372" s="27" t="str">
        <x:v>SCA-18</x:v>
      </x:c>
      <x:c r="C1372" s="43" t="n">
        <x:v>1808</x:v>
      </x:c>
      <x:c r="D1372" s="43" t="n">
        <x:v>31.398147149581114</x:v>
      </x:c>
      <x:c r="E1372" s="43" t="n">
        <x:v>339.72760975609754</x:v>
      </x:c>
      <x:c r="F1372" s="43" t="n">
        <x:v>6.864880912184759</x:v>
      </x:c>
      <x:c r="G1372" s="43" t="n">
        <x:v>32.572865853658534</x:v>
      </x:c>
      <x:c r="H1372" s="43" t="n">
        <x:v>1397.436496328478</x:v>
      </x:c>
      <x:c r="I1372" s="43" t="n">
        <x:v>1808</x:v>
      </x:c>
      <x:c r="J1372" s="43" t="n">
        <x:v>321</x:v>
      </x:c>
      <x:c r="K1372" s="43" t="n">
        <x:v>24.10771098859514</x:v>
      </x:c>
      <x:c r="L1372" s="43" t="n">
        <x:v>17.24283007641038</x:v>
      </x:c>
    </x:row>
    <x:row r="1373" ht="15" hidden="0" customHeight="1">
      <x:c r="A1373" s="29" t="str">
        <x:v>46017</x:v>
      </x:c>
      <x:c r="B1373" s="29" t="str">
        <x:v>SCA-18</x:v>
      </x:c>
      <x:c r="C1373" s="44" t="n">
        <x:v>1802</x:v>
      </x:c>
      <x:c r="D1373" s="44" t="n">
        <x:v>25.908474919349022</x:v>
      </x:c>
      <x:c r="E1373" s="44" t="n">
        <x:v>235.3762831858407</x:v>
      </x:c>
      <x:c r="F1373" s="44" t="n">
        <x:v>15.068496894519457</x:v>
      </x:c>
      <x:c r="G1373" s="44" t="n">
        <x:v>89.41758849557522</x:v>
      </x:c>
      <x:c r="H1373" s="44" t="n">
        <x:v>1436.2291565047158</x:v>
      </x:c>
      <x:c r="I1373" s="44" t="n">
        <x:v>1802</x:v>
      </x:c>
      <x:c r="J1373" s="44" t="n">
        <x:v>246</x:v>
      </x:c>
      <x:c r="K1373" s="44" t="n">
        <x:v>31.169626681125116</x:v>
      </x:c>
      <x:c r="L1373" s="44" t="n">
        <x:v>16.10112978660566</x:v>
      </x:c>
    </x:row>
    <x:row r="1374" ht="15" hidden="0" customHeight="1">
      <x:c r="A1374" s="27" t="str">
        <x:v>46055</x:v>
      </x:c>
      <x:c r="B1374" s="27" t="str">
        <x:v>SCA-18</x:v>
      </x:c>
      <x:c r="C1374" s="43" t="n">
        <x:v>1802</x:v>
      </x:c>
      <x:c r="D1374" s="43" t="n">
        <x:v>24.666786352262225</x:v>
      </x:c>
      <x:c r="E1374" s="43" t="n">
        <x:v>205.57575757575756</x:v>
      </x:c>
      <x:c r="F1374" s="43" t="n">
        <x:v>15.068496894519457</x:v>
      </x:c>
      <x:c r="G1374" s="43" t="n">
        <x:v>24.67260843731432</x:v>
      </x:c>
      <x:c r="H1374" s="43" t="n">
        <x:v>1532.0163507401464</x:v>
      </x:c>
      <x:c r="I1374" s="43" t="n">
        <x:v>1802</x:v>
      </x:c>
      <x:c r="J1374" s="43" t="n">
        <x:v>200</x:v>
      </x:c>
      <x:c r="K1374" s="43" t="n">
        <x:v>31.169626681125116</x:v>
      </x:c>
      <x:c r="L1374" s="43" t="n">
        <x:v>16.10112978660566</x:v>
      </x:c>
    </x:row>
    <x:row r="1375" ht="15" hidden="0" customHeight="1">
      <x:c r="A1375" s="29" t="str">
        <x:v>38091</x:v>
      </x:c>
      <x:c r="B1375" s="29" t="str">
        <x:v>SCA-18</x:v>
      </x:c>
      <x:c r="C1375" s="44" t="n">
        <x:v>1797</x:v>
      </x:c>
      <x:c r="D1375" s="44" t="n">
        <x:v>25.186570927605032</x:v>
      </x:c>
      <x:c r="E1375" s="44" t="n">
        <x:v>193.16753880266074</x:v>
      </x:c>
      <x:c r="F1375" s="44" t="n">
        <x:v>6.823114490705763</x:v>
      </x:c>
      <x:c r="G1375" s="44" t="n">
        <x:v>8.880266075388025</x:v>
      </x:c>
      <x:c r="H1375" s="44" t="n">
        <x:v>1562.9425097036406</x:v>
      </x:c>
      <x:c r="I1375" s="44" t="n">
        <x:v>1797</x:v>
      </x:c>
      <x:c r="J1375" s="44" t="n">
        <x:v>202</x:v>
      </x:c>
      <x:c r="K1375" s="44" t="n">
        <x:v>23.96103796819993</x:v>
      </x:c>
      <x:c r="L1375" s="44" t="n">
        <x:v>17.137923477494166</x:v>
      </x:c>
    </x:row>
    <x:row r="1376" ht="15" hidden="0" customHeight="1">
      <x:c r="A1376" s="27" t="str">
        <x:v>31015</x:v>
      </x:c>
      <x:c r="B1376" s="27" t="str">
        <x:v>SCA-18</x:v>
      </x:c>
      <x:c r="C1376" s="43" t="n">
        <x:v>1674</x:v>
      </x:c>
      <x:c r="D1376" s="43" t="n">
        <x:v>22.18623226402653</x:v>
      </x:c>
      <x:c r="E1376" s="43" t="n">
        <x:v>289.28655027092117</x:v>
      </x:c>
      <x:c r="F1376" s="43" t="n">
        <x:v>7.966848047740266</x:v>
      </x:c>
      <x:c r="G1376" s="43" t="n">
        <x:v>4.91992775436484</x:v>
      </x:c>
      <x:c r="H1376" s="43" t="n">
        <x:v>1349.6404416629473</x:v>
      </x:c>
      <x:c r="I1376" s="43" t="n">
        <x:v>1674</x:v>
      </x:c>
      <x:c r="J1376" s="43" t="n">
        <x:v>299</x:v>
      </x:c>
      <x:c r="K1376" s="43" t="n">
        <x:v>18.099474050478417</x:v>
      </x:c>
      <x:c r="L1376" s="43" t="n">
        <x:v>10.132626002738151</x:v>
      </x:c>
    </x:row>
    <x:row r="1377" ht="15" hidden="0" customHeight="1">
      <x:c r="A1377" s="29" t="str">
        <x:v>46073</x:v>
      </x:c>
      <x:c r="B1377" s="29" t="str">
        <x:v>SCA-18</x:v>
      </x:c>
      <x:c r="C1377" s="44" t="n">
        <x:v>1654</x:v>
      </x:c>
      <x:c r="D1377" s="44" t="n">
        <x:v>23.258820828833777</x:v>
      </x:c>
      <x:c r="E1377" s="44" t="n">
        <x:v>203.5222170900693</x:v>
      </x:c>
      <x:c r="F1377" s="44" t="n">
        <x:v>13.830906694525627</x:v>
      </x:c>
      <x:c r="G1377" s="44" t="n">
        <x:v>48.822170900692846</x:v>
      </x:c>
      <x:c r="H1377" s="44" t="n">
        <x:v>1364.5658844858783</x:v>
      </x:c>
      <x:c r="I1377" s="44" t="n">
        <x:v>1654</x:v>
      </x:c>
      <x:c r="J1377" s="44" t="n">
        <x:v>222</x:v>
      </x:c>
      <x:c r="K1377" s="44" t="n">
        <x:v>28.609635144606518</x:v>
      </x:c>
      <x:c r="L1377" s="44" t="n">
        <x:v>14.778728450080889</x:v>
      </x:c>
    </x:row>
    <x:row r="1378" ht="15" hidden="0" customHeight="1">
      <x:c r="A1378" s="27" t="str">
        <x:v>46119</x:v>
      </x:c>
      <x:c r="B1378" s="27" t="str">
        <x:v>SCA-18</x:v>
      </x:c>
      <x:c r="C1378" s="43" t="n">
        <x:v>1479</x:v>
      </x:c>
      <x:c r="D1378" s="43" t="n">
        <x:v>19.185353450439802</x:v>
      </x:c>
      <x:c r="E1378" s="43" t="n">
        <x:v>143.28660550458716</x:v>
      </x:c>
      <x:c r="F1378" s="43" t="n">
        <x:v>12.367539903992382</x:v>
      </x:c>
      <x:c r="G1378" s="43" t="n">
        <x:v>22.477064220183482</x:v>
      </x:c>
      <x:c r="H1378" s="43" t="n">
        <x:v>1281.6834369207972</x:v>
      </x:c>
      <x:c r="I1378" s="43" t="n">
        <x:v>1479</x:v>
      </x:c>
      <x:c r="J1378" s="43" t="n">
        <x:v>154</x:v>
      </x:c>
      <x:c r="K1378" s="43" t="n">
        <x:v>25.582618125074386</x:v>
      </x:c>
      <x:c r="L1378" s="43" t="n">
        <x:v>13.215078221082004</x:v>
      </x:c>
    </x:row>
    <x:row r="1379" ht="15" hidden="0" customHeight="1">
      <x:c r="A1379" s="29" t="str">
        <x:v>46021</x:v>
      </x:c>
      <x:c r="B1379" s="29" t="str">
        <x:v>SCA-18</x:v>
      </x:c>
      <x:c r="C1379" s="44" t="n">
        <x:v>1377</x:v>
      </x:c>
      <x:c r="D1379" s="44" t="n">
        <x:v>20.429117244993357</x:v>
      </x:c>
      <x:c r="E1379" s="44" t="n">
        <x:v>195.01016949152543</x:v>
      </x:c>
      <x:c r="F1379" s="44" t="n">
        <x:v>11.514606117510152</x:v>
      </x:c>
      <x:c r="G1379" s="44" t="n">
        <x:v>18.754551161330824</x:v>
      </x:c>
      <x:c r="H1379" s="44" t="n">
        <x:v>1131.2915559846404</x:v>
      </x:c>
      <x:c r="I1379" s="44" t="n">
        <x:v>1377</x:v>
      </x:c>
      <x:c r="J1379" s="44" t="n">
        <x:v>235</x:v>
      </x:c>
      <x:c r="K1379" s="44" t="n">
        <x:v>23.818299633689946</x:v>
      </x:c>
      <x:c r="L1379" s="44" t="n">
        <x:v>12.303693516179797</x:v>
      </x:c>
    </x:row>
    <x:row r="1380" ht="15" hidden="0" customHeight="1">
      <x:c r="A1380" s="27" t="str">
        <x:v>38083</x:v>
      </x:c>
      <x:c r="B1380" s="27" t="str">
        <x:v>SCA-18</x:v>
      </x:c>
      <x:c r="C1380" s="43" t="n">
        <x:v>1296</x:v>
      </x:c>
      <x:c r="D1380" s="43" t="n">
        <x:v>17.85687068930998</x:v>
      </x:c>
      <x:c r="E1380" s="43" t="n">
        <x:v>131.92718266253868</x:v>
      </x:c>
      <x:c r="F1380" s="43" t="n">
        <x:v>4.920843839707661</x:v>
      </x:c>
      <x:c r="G1380" s="43" t="n">
        <x:v>18.773219814241486</x:v>
      </x:c>
      <x:c r="H1380" s="43" t="n">
        <x:v>1122.521882994202</x:v>
      </x:c>
      <x:c r="I1380" s="43" t="n">
        <x:v>1296</x:v>
      </x:c>
      <x:c r="J1380" s="43" t="n">
        <x:v>137</x:v>
      </x:c>
      <x:c r="K1380" s="43" t="n">
        <x:v>17.28074858474519</x:v>
      </x:c>
      <x:c r="L1380" s="43" t="n">
        <x:v>12.359904745037529</x:v>
      </x:c>
    </x:row>
    <x:row r="1381" ht="15" hidden="0" customHeight="1">
      <x:c r="A1381" s="29" t="str">
        <x:v>31149</x:v>
      </x:c>
      <x:c r="B1381" s="29" t="str">
        <x:v>SCA-18</x:v>
      </x:c>
      <x:c r="C1381" s="44" t="n">
        <x:v>1259</x:v>
      </x:c>
      <x:c r="D1381" s="44" t="n">
        <x:v>13.419449237200297</x:v>
      </x:c>
      <x:c r="E1381" s="44" t="n">
        <x:v>139.17106646058733</x:v>
      </x:c>
      <x:c r="F1381" s="44" t="n">
        <x:v>5.991793125510749</x:v>
      </x:c>
      <x:c r="G1381" s="44" t="n">
        <x:v>50.43663060278207</x:v>
      </x:c>
      <x:c r="H1381" s="44" t="n">
        <x:v>1049.9810605739196</x:v>
      </x:c>
      <x:c r="I1381" s="44" t="n">
        <x:v>1259</x:v>
      </x:c>
      <x:c r="J1381" s="44" t="n">
        <x:v>149</x:v>
      </x:c>
      <x:c r="K1381" s="44" t="n">
        <x:v>13.612447926853243</x:v>
      </x:c>
      <x:c r="L1381" s="44" t="n">
        <x:v>7.620654801342493</x:v>
      </x:c>
    </x:row>
    <x:row r="1382" ht="15" hidden="0" customHeight="1">
      <x:c r="A1382" s="27" t="str">
        <x:v>46069</x:v>
      </x:c>
      <x:c r="B1382" s="27" t="str">
        <x:v>SCA-18</x:v>
      </x:c>
      <x:c r="C1382" s="43" t="n">
        <x:v>1191</x:v>
      </x:c>
      <x:c r="D1382" s="43" t="n">
        <x:v>17.311356701358125</x:v>
      </x:c>
      <x:c r="E1382" s="43" t="n">
        <x:v>160.07040000000003</x:v>
      </x:c>
      <x:c r="F1382" s="43" t="n">
        <x:v>9.959256271571961</x:v>
      </x:c>
      <x:c r="G1382" s="43" t="n">
        <x:v>17.2</x:v>
      </x:c>
      <x:c r="H1382" s="43" t="n">
        <x:v>986.4589870270698</x:v>
      </x:c>
      <x:c r="I1382" s="43" t="n">
        <x:v>1191</x:v>
      </x:c>
      <x:c r="J1382" s="43" t="n">
        <x:v>161</x:v>
      </x:c>
      <x:c r="K1382" s="43" t="n">
        <x:v>20.601012972930086</x:v>
      </x:c>
      <x:c r="L1382" s="43" t="n">
        <x:v>10.641756701358124</x:v>
      </x:c>
    </x:row>
    <x:row r="1383" ht="15" hidden="0" customHeight="1">
      <x:c r="A1383" s="29" t="str">
        <x:v>38007</x:v>
      </x:c>
      <x:c r="B1383" s="29" t="str">
        <x:v>SCA-18</x:v>
      </x:c>
      <x:c r="C1383" s="44" t="n">
        <x:v>1071</x:v>
      </x:c>
      <x:c r="D1383" s="44" t="n">
        <x:v>13.77014263652407</x:v>
      </x:c>
      <x:c r="E1383" s="44" t="n">
        <x:v>85.34531249999999</x:v>
      </x:c>
      <x:c r="F1383" s="44" t="n">
        <x:v>4.066530673091748</x:v>
      </x:c>
      <x:c r="G1383" s="44" t="n">
        <x:v>10.54541015625</x:v>
      </x:c>
      <x:c r="H1383" s="44" t="n">
        <x:v>957.2726040341342</x:v>
      </x:c>
      <x:c r="I1383" s="44" t="n">
        <x:v>1071</x:v>
      </x:c>
      <x:c r="J1383" s="44" t="n">
        <x:v>85</x:v>
      </x:c>
      <x:c r="K1383" s="44" t="n">
        <x:v>14.280618622115817</x:v>
      </x:c>
      <x:c r="L1383" s="44" t="n">
        <x:v>10.21408794902407</x:v>
      </x:c>
    </x:row>
    <x:row r="1384" ht="15" hidden="0" customHeight="1">
      <x:c r="A1384" s="27" t="str">
        <x:v>46075</x:v>
      </x:c>
      <x:c r="B1384" s="27" t="str">
        <x:v>SCA-18</x:v>
      </x:c>
      <x:c r="C1384" s="43" t="n">
        <x:v>913</x:v>
      </x:c>
      <x:c r="D1384" s="43" t="n">
        <x:v>10.885874272693714</x:v>
      </x:c>
      <x:c r="E1384" s="43" t="n">
        <x:v>65.47410358565737</x:v>
      </x:c>
      <x:c r="F1384" s="43" t="n">
        <x:v>7.634593598610581</x:v>
      </x:c>
      <x:c r="G1384" s="43" t="n">
        <x:v>23.132470119521912</x:v>
      </x:c>
      <x:c r="H1384" s="43" t="n">
        <x:v>805.8729584235165</x:v>
      </x:c>
      <x:c r="I1384" s="43" t="n">
        <x:v>913</x:v>
      </x:c>
      <x:c r="J1384" s="43" t="n">
        <x:v>75</x:v>
      </x:c>
      <x:c r="K1384" s="43" t="n">
        <x:v>15.792380221901904</x:v>
      </x:c>
      <x:c r="L1384" s="43" t="n">
        <x:v>8.157786623291324</x:v>
      </x:c>
    </x:row>
    <x:row r="1385" ht="15" hidden="0" customHeight="1">
      <x:c r="A1385" s="29" t="str">
        <x:v>31103</x:v>
      </x:c>
      <x:c r="B1385" s="29" t="str">
        <x:v>SCA-18</x:v>
      </x:c>
      <x:c r="C1385" s="44" t="n">
        <x:v>792</x:v>
      </x:c>
      <x:c r="D1385" s="44" t="n">
        <x:v>8.647945180480777</x:v>
      </x:c>
      <x:c r="E1385" s="44" t="n">
        <x:v>92.4963503649635</x:v>
      </x:c>
      <x:c r="F1385" s="44" t="n">
        <x:v>3.7692614419416315</x:v>
      </x:c>
      <x:c r="G1385" s="44" t="n">
        <x:v>3.51338199513382</x:v>
      </x:c>
      <x:c r="H1385" s="44" t="n">
        <x:v>683.5730610174803</x:v>
      </x:c>
      <x:c r="I1385" s="44" t="n">
        <x:v>792</x:v>
      </x:c>
      <x:c r="J1385" s="44" t="n">
        <x:v>100</x:v>
      </x:c>
      <x:c r="K1385" s="44" t="n">
        <x:v>8.563192023882262</x:v>
      </x:c>
      <x:c r="L1385" s="44" t="n">
        <x:v>4.79393058194063</x:v>
      </x:c>
    </x:row>
    <x:row r="1386" ht="15" hidden="0" customHeight="1">
      <x:c r="A1386" s="27" t="str">
        <x:v>38087</x:v>
      </x:c>
      <x:c r="B1386" s="27" t="str">
        <x:v>SCA-18</x:v>
      </x:c>
      <x:c r="C1386" s="43" t="n">
        <x:v>628</x:v>
      </x:c>
      <x:c r="D1386" s="43" t="n">
        <x:v>9.826079942493084</x:v>
      </x:c>
      <x:c r="E1386" s="43" t="n">
        <x:v>92.0848041775457</x:v>
      </x:c>
      <x:c r="F1386" s="43" t="n">
        <x:v>2.3844829717101943</x:v>
      </x:c>
      <x:c r="G1386" s="43" t="n">
        <x:v>5.08355091383812</x:v>
      </x:c>
      <x:c r="H1386" s="43" t="n">
        <x:v>518.6210819944129</x:v>
      </x:c>
      <x:c r="I1386" s="43" t="n">
        <x:v>628</x:v>
      </x:c>
      <x:c r="J1386" s="43" t="n">
        <x:v>117</x:v>
      </x:c>
      <x:c r="K1386" s="43" t="n">
        <x:v>8.373696073472207</x:v>
      </x:c>
      <x:c r="L1386" s="43" t="n">
        <x:v>5.9892131017620125</x:v>
      </x:c>
    </x:row>
    <x:row r="1387" ht="15" hidden="0" customHeight="1">
      <x:c r="A1387" s="29" t="str">
        <x:v>29189</x:v>
      </x:c>
      <x:c r="B1387" s="29" t="str">
        <x:v>SCA-19</x:v>
      </x:c>
      <x:c r="C1387" s="44" t="n">
        <x:v>990911</x:v>
      </x:c>
      <x:c r="D1387" s="44" t="n">
        <x:v>11788.957247550765</x:v>
      </x:c>
      <x:c r="E1387" s="44" t="n">
        <x:v>115055.01282223126</x:v>
      </x:c>
      <x:c r="F1387" s="44" t="n">
        <x:v>5950.605705048633</x:v>
      </x:c>
      <x:c r="G1387" s="44" t="n">
        <x:v>39691.38321531925</x:v>
      </x:c>
      <x:c r="H1387" s="44" t="n">
        <x:v>818425.0410098501</x:v>
      </x:c>
      <x:c r="I1387" s="44" t="n">
        <x:v>990911</x:v>
      </x:c>
      <x:c r="J1387" s="44" t="n">
        <x:v>119072</x:v>
      </x:c>
      <x:c r="K1387" s="44" t="n">
        <x:v>12945.60408500643</x:v>
      </x:c>
      <x:c r="L1387" s="44" t="n">
        <x:v>6994.998379957796</x:v>
      </x:c>
    </x:row>
    <x:row r="1388" ht="15" hidden="0" customHeight="1">
      <x:c r="A1388" s="27" t="str">
        <x:v>29183</x:v>
      </x:c>
      <x:c r="B1388" s="27" t="str">
        <x:v>SCA-19</x:v>
      </x:c>
      <x:c r="C1388" s="43" t="n">
        <x:v>426499</x:v>
      </x:c>
      <x:c r="D1388" s="43" t="n">
        <x:v>5011.458974019607</x:v>
      </x:c>
      <x:c r="E1388" s="43" t="n">
        <x:v>48017.63248609303</x:v>
      </x:c>
      <x:c r="F1388" s="43" t="n">
        <x:v>2561.206185618624</x:v>
      </x:c>
      <x:c r="G1388" s="43" t="n">
        <x:v>9332.592785829074</x:v>
      </x:c>
      <x:c r="H1388" s="43" t="n">
        <x:v>361576.10956843966</x:v>
      </x:c>
      <x:c r="I1388" s="43" t="n">
        <x:v>426499</x:v>
      </x:c>
      <x:c r="J1388" s="43" t="n">
        <x:v>48384</x:v>
      </x:c>
      <x:c r="K1388" s="43" t="n">
        <x:v>5571.930472717688</x:v>
      </x:c>
      <x:c r="L1388" s="43" t="n">
        <x:v>3010.7242870990635</x:v>
      </x:c>
    </x:row>
    <x:row r="1389" ht="15" hidden="0" customHeight="1">
      <x:c r="A1389" s="29" t="str">
        <x:v>29077</x:v>
      </x:c>
      <x:c r="B1389" s="29" t="str">
        <x:v>SCA-19</x:v>
      </x:c>
      <x:c r="C1389" s="44" t="n">
        <x:v>309286</x:v>
      </x:c>
      <x:c r="D1389" s="44" t="n">
        <x:v>4061.1349663493593</x:v>
      </x:c>
      <x:c r="E1389" s="44" t="n">
        <x:v>45068.0614108815</x:v>
      </x:c>
      <x:c r="F1389" s="44" t="n">
        <x:v>1857.3202195673189</x:v>
      </x:c>
      <x:c r="G1389" s="44" t="n">
        <x:v>10435.55247725785</x:v>
      </x:c>
      <x:c r="H1389" s="44" t="n">
        <x:v>247863.930925944</x:v>
      </x:c>
      <x:c r="I1389" s="44" t="n">
        <x:v>309286</x:v>
      </x:c>
      <x:c r="J1389" s="44" t="n">
        <x:v>45452</x:v>
      </x:c>
      <x:c r="K1389" s="44" t="n">
        <x:v>4040.6192937966157</x:v>
      </x:c>
      <x:c r="L1389" s="44" t="n">
        <x:v>2183.299074229297</x:v>
      </x:c>
    </x:row>
    <x:row r="1390" ht="15" hidden="0" customHeight="1">
      <x:c r="A1390" s="27" t="str">
        <x:v>29510</x:v>
      </x:c>
      <x:c r="B1390" s="27" t="str">
        <x:v>SCA-19</x:v>
      </x:c>
      <x:c r="C1390" s="43" t="n">
        <x:v>278144</x:v>
      </x:c>
      <x:c r="D1390" s="43" t="n">
        <x:v>3831.195577666428</x:v>
      </x:c>
      <x:c r="E1390" s="43" t="n">
        <x:v>44825.58804976923</x:v>
      </x:c>
      <x:c r="F1390" s="43" t="n">
        <x:v>1670.3066907371572</x:v>
      </x:c>
      <x:c r="G1390" s="43" t="n">
        <x:v>34820.70220065634</x:v>
      </x:c>
      <x:c r="H1390" s="43" t="n">
        <x:v>192996.20748117086</x:v>
      </x:c>
      <x:c r="I1390" s="43" t="n">
        <x:v>278144</x:v>
      </x:c>
      <x:c r="J1390" s="43" t="n">
        <x:v>47830</x:v>
      </x:c>
      <x:c r="K1390" s="43" t="n">
        <x:v>3633.769432996534</x:v>
      </x:c>
      <x:c r="L1390" s="43" t="n">
        <x:v>1963.4627422593767</x:v>
      </x:c>
    </x:row>
    <x:row r="1391" ht="15" hidden="0" customHeight="1">
      <x:c r="A1391" s="29" t="str">
        <x:v>17119</x:v>
      </x:c>
      <x:c r="B1391" s="29" t="str">
        <x:v>SCA-19</x:v>
      </x:c>
      <x:c r="C1391" s="44" t="n">
        <x:v>263110</x:v>
      </x:c>
      <x:c r="D1391" s="44" t="n">
        <x:v>3399.3438888038295</x:v>
      </x:c>
      <x:c r="E1391" s="44" t="n">
        <x:v>39833.845505976366</x:v>
      </x:c>
      <x:c r="F1391" s="44" t="n">
        <x:v>1342.2450534463017</x:v>
      </x:c>
      <x:c r="G1391" s="44" t="n">
        <x:v>7846.826362493841</x:v>
      </x:c>
      <x:c r="H1391" s="44" t="n">
        <x:v>210687.73918927967</x:v>
      </x:c>
      <x:c r="I1391" s="44" t="n">
        <x:v>263110</x:v>
      </x:c>
      <x:c r="J1391" s="44" t="n">
        <x:v>41284</x:v>
      </x:c>
      <x:c r="K1391" s="44" t="n">
        <x:v>3081.8453795011155</x:v>
      </x:c>
      <x:c r="L1391" s="44" t="n">
        <x:v>1739.6003260548139</x:v>
      </x:c>
    </x:row>
    <x:row r="1392" ht="15" hidden="0" customHeight="1">
      <x:c r="A1392" s="27" t="str">
        <x:v>17163</x:v>
      </x:c>
      <x:c r="B1392" s="27" t="str">
        <x:v>SCA-19</x:v>
      </x:c>
      <x:c r="C1392" s="43" t="n">
        <x:v>250708</x:v>
      </x:c>
      <x:c r="D1392" s="43" t="n">
        <x:v>3181.523344822318</x:v>
      </x:c>
      <x:c r="E1392" s="43" t="n">
        <x:v>36574.10713800158</x:v>
      </x:c>
      <x:c r="F1392" s="43" t="n">
        <x:v>1278.976750634394</x:v>
      </x:c>
      <x:c r="G1392" s="43" t="n">
        <x:v>10168.82656727906</x:v>
      </x:c>
      <x:c r="H1392" s="43" t="n">
        <x:v>199504.56619926266</x:v>
      </x:c>
      <x:c r="I1392" s="43" t="n">
        <x:v>250708</x:v>
      </x:c>
      <x:c r="J1392" s="43" t="n">
        <x:v>37511</x:v>
      </x:c>
      <x:c r="K1392" s="43" t="n">
        <x:v>2936.5789647066463</x:v>
      </x:c>
      <x:c r="L1392" s="43" t="n">
        <x:v>1657.6022140722523</x:v>
      </x:c>
    </x:row>
    <x:row r="1393" ht="15" hidden="0" customHeight="1">
      <x:c r="A1393" s="29" t="str">
        <x:v>29099</x:v>
      </x:c>
      <x:c r="B1393" s="29" t="str">
        <x:v>SCA-19</x:v>
      </x:c>
      <x:c r="C1393" s="44" t="n">
        <x:v>233132</x:v>
      </x:c>
      <x:c r="D1393" s="44" t="n">
        <x:v>2886.604026874548</x:v>
      </x:c>
      <x:c r="E1393" s="44" t="n">
        <x:v>29781.315671529675</x:v>
      </x:c>
      <x:c r="F1393" s="44" t="n">
        <x:v>1400.0012203208944</x:v>
      </x:c>
      <x:c r="G1393" s="44" t="n">
        <x:v>4618.584918093279</x:v>
      </x:c>
      <x:c r="H1393" s="44" t="n">
        <x:v>194445.4941631816</x:v>
      </x:c>
      <x:c r="I1393" s="44" t="n">
        <x:v>233132</x:v>
      </x:c>
      <x:c r="J1393" s="44" t="n">
        <x:v>30291</x:v>
      </x:c>
      <x:c r="K1393" s="44" t="n">
        <x:v>3045.717094215039</x:v>
      </x:c>
      <x:c r="L1393" s="44" t="n">
        <x:v>1645.7158738941448</x:v>
      </x:c>
    </x:row>
    <x:row r="1394" ht="15" hidden="0" customHeight="1">
      <x:c r="A1394" s="27" t="str">
        <x:v>17167</x:v>
      </x:c>
      <x:c r="B1394" s="27" t="str">
        <x:v>SCA-19</x:v>
      </x:c>
      <x:c r="C1394" s="43" t="n">
        <x:v>194170</x:v>
      </x:c>
      <x:c r="D1394" s="43" t="n">
        <x:v>2336.2888385783326</x:v>
      </x:c>
      <x:c r="E1394" s="43" t="n">
        <x:v>25259.95311542231</x:v>
      </x:c>
      <x:c r="F1394" s="43" t="n">
        <x:v>990.5504238822864</x:v>
      </x:c>
      <x:c r="G1394" s="43" t="n">
        <x:v>7515.422572096811</x:v>
      </x:c>
      <x:c r="H1394" s="43" t="n">
        <x:v>158067.78505002026</x:v>
      </x:c>
      <x:c r="I1394" s="43" t="n">
        <x:v>194170</x:v>
      </x:c>
      <x:c r="J1394" s="43" t="n">
        <x:v>26131</x:v>
      </x:c>
      <x:c r="K1394" s="43" t="n">
        <x:v>2274.3412159846894</x:v>
      </x:c>
      <x:c r="L1394" s="43" t="n">
        <x:v>1283.790792102403</x:v>
      </x:c>
    </x:row>
    <x:row r="1395" ht="15" hidden="0" customHeight="1">
      <x:c r="A1395" s="29" t="str">
        <x:v>29019</x:v>
      </x:c>
      <x:c r="B1395" s="29" t="str">
        <x:v>SCA-19</x:v>
      </x:c>
      <x:c r="C1395" s="44" t="n">
        <x:v>191746</x:v>
      </x:c>
      <x:c r="D1395" s="44" t="n">
        <x:v>2316.528410593204</x:v>
      </x:c>
      <x:c r="E1395" s="44" t="n">
        <x:v>23111.10946204295</x:v>
      </x:c>
      <x:c r="F1395" s="44" t="n">
        <x:v>1151.4705574166148</x:v>
      </x:c>
      <x:c r="G1395" s="44" t="n">
        <x:v>6046.371468987097</x:v>
      </x:c>
      <x:c r="H1395" s="44" t="n">
        <x:v>159120.52010096013</x:v>
      </x:c>
      <x:c r="I1395" s="44" t="n">
        <x:v>191746</x:v>
      </x:c>
      <x:c r="J1395" s="44" t="n">
        <x:v>23432</x:v>
      </x:c>
      <x:c r="K1395" s="44" t="n">
        <x:v>2505.0360737580295</x:v>
      </x:c>
      <x:c r="L1395" s="44" t="n">
        <x:v>1353.5655163414147</x:v>
      </x:c>
    </x:row>
    <x:row r="1396" ht="15" hidden="0" customHeight="1">
      <x:c r="A1396" s="27" t="str">
        <x:v>29071</x:v>
      </x:c>
      <x:c r="B1396" s="27" t="str">
        <x:v>SCA-19</x:v>
      </x:c>
      <x:c r="C1396" s="43" t="n">
        <x:v>108090</x:v>
      </x:c>
      <x:c r="D1396" s="43" t="n">
        <x:v>1384.358738400063</x:v>
      </x:c>
      <x:c r="E1396" s="43" t="n">
        <x:v>14912.021610912136</x:v>
      </x:c>
      <x:c r="F1396" s="43" t="n">
        <x:v>649.1006464341467</x:v>
      </x:c>
      <x:c r="G1396" s="43" t="n">
        <x:v>2286.3006743884785</x:v>
      </x:c>
      <x:c r="H1396" s="43" t="n">
        <x:v>88858.21832986518</x:v>
      </x:c>
      <x:c r="I1396" s="43" t="n">
        <x:v>108090</x:v>
      </x:c>
      <x:c r="J1396" s="43" t="n">
        <x:v>15087</x:v>
      </x:c>
      <x:c r="K1396" s="43" t="n">
        <x:v>1412.1251510462039</x:v>
      </x:c>
      <x:c r="L1396" s="43" t="n">
        <x:v>763.0245046120572</x:v>
      </x:c>
    </x:row>
    <x:row r="1397" ht="15" hidden="0" customHeight="1">
      <x:c r="A1397" s="29" t="str">
        <x:v>17115</x:v>
      </x:c>
      <x:c r="B1397" s="29" t="str">
        <x:v>SCA-19</x:v>
      </x:c>
      <x:c r="C1397" s="44" t="n">
        <x:v>99300</x:v>
      </x:c>
      <x:c r="D1397" s="44" t="n">
        <x:v>1249.61456992277</x:v>
      </x:c>
      <x:c r="E1397" s="44" t="n">
        <x:v>14233.78302141039</x:v>
      </x:c>
      <x:c r="F1397" s="44" t="n">
        <x:v>506.5749451074371</x:v>
      </x:c>
      <x:c r="G1397" s="44" t="n">
        <x:v>5391.649328741828</x:v>
      </x:c>
      <x:c r="H1397" s="44" t="n">
        <x:v>77918.37813481757</x:v>
      </x:c>
      <x:c r="I1397" s="44" t="n">
        <x:v>99300</x:v>
      </x:c>
      <x:c r="J1397" s="44" t="n">
        <x:v>14959</x:v>
      </x:c>
      <x:c r="K1397" s="44" t="n">
        <x:v>1163.1152224714408</x:v>
      </x:c>
      <x:c r="L1397" s="44" t="n">
        <x:v>656.5402773640037</x:v>
      </x:c>
    </x:row>
    <x:row r="1398" ht="15" hidden="0" customHeight="1">
      <x:c r="A1398" s="27" t="str">
        <x:v>29043</x:v>
      </x:c>
      <x:c r="B1398" s="27" t="str">
        <x:v>SCA-19</x:v>
      </x:c>
      <x:c r="C1398" s="43" t="n">
        <x:v>96725</x:v>
      </x:c>
      <x:c r="D1398" s="43" t="n">
        <x:v>1171.1155158329052</x:v>
      </x:c>
      <x:c r="E1398" s="43" t="n">
        <x:v>11719.6404990902</x:v>
      </x:c>
      <x:c r="F1398" s="43" t="n">
        <x:v>580.85169790307</x:v>
      </x:c>
      <x:c r="G1398" s="43" t="n">
        <x:v>1627.428163720648</x:v>
      </x:c>
      <x:c r="H1398" s="43" t="n">
        <x:v>81625.96412345317</x:v>
      </x:c>
      <x:c r="I1398" s="43" t="n">
        <x:v>96725</x:v>
      </x:c>
      <x:c r="J1398" s="43" t="n">
        <x:v>11653</x:v>
      </x:c>
      <x:c r="K1398" s="43" t="n">
        <x:v>1263.6488596072168</x:v>
      </x:c>
      <x:c r="L1398" s="43" t="n">
        <x:v>682.7971617041468</x:v>
      </x:c>
    </x:row>
    <x:row r="1399" ht="15" hidden="0" customHeight="1">
      <x:c r="A1399" s="29" t="str">
        <x:v>29031</x:v>
      </x:c>
      <x:c r="B1399" s="29" t="str">
        <x:v>SCA-19</x:v>
      </x:c>
      <x:c r="C1399" s="44" t="n">
        <x:v>83999</x:v>
      </x:c>
      <x:c r="D1399" s="44" t="n">
        <x:v>1084.333342424043</x:v>
      </x:c>
      <x:c r="E1399" s="44" t="n">
        <x:v>11792.904939152175</x:v>
      </x:c>
      <x:c r="F1399" s="44" t="n">
        <x:v>504.4296900714394</x:v>
      </x:c>
      <x:c r="G1399" s="44" t="n">
        <x:v>2567.6738115371886</x:v>
      </x:c>
      <x:c r="H1399" s="44" t="n">
        <x:v>68049.65821681515</x:v>
      </x:c>
      <x:c r="I1399" s="44" t="n">
        <x:v>83999</x:v>
      </x:c>
      <x:c r="J1399" s="44" t="n">
        <x:v>11933</x:v>
      </x:c>
      <x:c r="K1399" s="44" t="n">
        <x:v>1097.3919933641416</x:v>
      </x:c>
      <x:c r="L1399" s="44" t="n">
        <x:v>592.9623032927022</x:v>
      </x:c>
    </x:row>
    <x:row r="1400" ht="15" hidden="0" customHeight="1">
      <x:c r="A1400" s="27" t="str">
        <x:v>29051</x:v>
      </x:c>
      <x:c r="B1400" s="27" t="str">
        <x:v>SCA-19</x:v>
      </x:c>
      <x:c r="C1400" s="43" t="n">
        <x:v>77908</x:v>
      </x:c>
      <x:c r="D1400" s="43" t="n">
        <x:v>957.8279254839828</x:v>
      </x:c>
      <x:c r="E1400" s="43" t="n">
        <x:v>9788.711043074669</x:v>
      </x:c>
      <x:c r="F1400" s="43" t="n">
        <x:v>467.85209697836524</x:v>
      </x:c>
      <x:c r="G1400" s="43" t="n">
        <x:v>2170.628002605651</x:v>
      </x:c>
      <x:c r="H1400" s="43" t="n">
        <x:v>64522.98093185734</x:v>
      </x:c>
      <x:c r="I1400" s="43" t="n">
        <x:v>77908</x:v>
      </x:c>
      <x:c r="J1400" s="43" t="n">
        <x:v>9644</x:v>
      </x:c>
      <x:c r="K1400" s="43" t="n">
        <x:v>1017.8170623342368</x:v>
      </x:c>
      <x:c r="L1400" s="43" t="n">
        <x:v>549.9649653558715</x:v>
      </x:c>
    </x:row>
    <x:row r="1401" ht="15" hidden="0" customHeight="1">
      <x:c r="A1401" s="29" t="str">
        <x:v>29187</x:v>
      </x:c>
      <x:c r="B1401" s="29" t="str">
        <x:v>SCA-19</x:v>
      </x:c>
      <x:c r="C1401" s="44" t="n">
        <x:v>67809</x:v>
      </x:c>
      <x:c r="D1401" s="44" t="n">
        <x:v>1057.9961468480626</x:v>
      </x:c>
      <x:c r="E1401" s="44" t="n">
        <x:v>13903.719096212732</x:v>
      </x:c>
      <x:c r="F1401" s="44" t="n">
        <x:v>407.2057149972528</x:v>
      </x:c>
      <x:c r="G1401" s="44" t="n">
        <x:v>1947.5547219983885</x:v>
      </x:c>
      <x:c r="H1401" s="44" t="n">
        <x:v>50492.524319943564</x:v>
      </x:c>
      <x:c r="I1401" s="44" t="n">
        <x:v>67809</x:v>
      </x:c>
      <x:c r="J1401" s="44" t="n">
        <x:v>13253</x:v>
      </x:c>
      <x:c r="K1401" s="44" t="n">
        <x:v>885.8802328364515</x:v>
      </x:c>
      <x:c r="L1401" s="44" t="n">
        <x:v>478.67451783919864</x:v>
      </x:c>
    </x:row>
    <x:row r="1402" ht="15" hidden="0" customHeight="1">
      <x:c r="A1402" s="27" t="str">
        <x:v>17199</x:v>
      </x:c>
      <x:c r="B1402" s="27" t="str">
        <x:v>SCA-19</x:v>
      </x:c>
      <x:c r="C1402" s="43" t="n">
        <x:v>67225</x:v>
      </x:c>
      <x:c r="D1402" s="43" t="n">
        <x:v>957.1058898726052</x:v>
      </x:c>
      <x:c r="E1402" s="43" t="n">
        <x:v>12303.249478804724</x:v>
      </x:c>
      <x:c r="F1402" s="43" t="n">
        <x:v>342.9456262320992</x:v>
      </x:c>
      <x:c r="G1402" s="43" t="n">
        <x:v>2107.56914523975</x:v>
      </x:c>
      <x:c r="H1402" s="43" t="n">
        <x:v>51514.12985985082</x:v>
      </x:c>
      <x:c r="I1402" s="43" t="n">
        <x:v>67225</x:v>
      </x:c>
      <x:c r="J1402" s="43" t="n">
        <x:v>12345</x:v>
      </x:c>
      <x:c r="K1402" s="43" t="n">
        <x:v>787.4161211545076</x:v>
      </x:c>
      <x:c r="L1402" s="43" t="n">
        <x:v>444.47049492240836</x:v>
      </x:c>
    </x:row>
    <x:row r="1403" ht="15" hidden="0" customHeight="1">
      <x:c r="A1403" s="29" t="str">
        <x:v>29113</x:v>
      </x:c>
      <x:c r="B1403" s="29" t="str">
        <x:v>SCA-19</x:v>
      </x:c>
      <x:c r="C1403" s="44" t="n">
        <x:v>66676</x:v>
      </x:c>
      <x:c r="D1403" s="44" t="n">
        <x:v>852.2673173264459</x:v>
      </x:c>
      <x:c r="E1403" s="44" t="n">
        <x:v>9158.179841310468</x:v>
      </x:c>
      <x:c r="F1403" s="44" t="n">
        <x:v>400.40183829811417</x:v>
      </x:c>
      <x:c r="G1403" s="44" t="n">
        <x:v>1444.344509854108</x:v>
      </x:c>
      <x:c r="H1403" s="44" t="n">
        <x:v>54820.80649321086</x:v>
      </x:c>
      <x:c r="I1403" s="44" t="n">
        <x:v>66676</x:v>
      </x:c>
      <x:c r="J1403" s="44" t="n">
        <x:v>8944</x:v>
      </x:c>
      <x:c r="K1403" s="44" t="n">
        <x:v>871.0783289032906</x:v>
      </x:c>
      <x:c r="L1403" s="44" t="n">
        <x:v>470.67649060517647</x:v>
      </x:c>
    </x:row>
    <x:row r="1404" ht="15" hidden="0" customHeight="1">
      <x:c r="A1404" s="27" t="str">
        <x:v>17001</x:v>
      </x:c>
      <x:c r="B1404" s="27" t="str">
        <x:v>SCA-19</x:v>
      </x:c>
      <x:c r="C1404" s="43" t="n">
        <x:v>64267</x:v>
      </x:c>
      <x:c r="D1404" s="43" t="n">
        <x:v>891.1132638703441</x:v>
      </x:c>
      <x:c r="E1404" s="43" t="n">
        <x:v>11188.803165431478</x:v>
      </x:c>
      <x:c r="F1404" s="43" t="n">
        <x:v>327.85550853191995</x:v>
      </x:c>
      <x:c r="G1404" s="43" t="n">
        <x:v>2161.228488883306</x:v>
      </x:c>
      <x:c r="H1404" s="43" t="n">
        <x:v>49697.99957328295</x:v>
      </x:c>
      <x:c r="I1404" s="43" t="n">
        <x:v>64267</x:v>
      </x:c>
      <x:c r="J1404" s="43" t="n">
        <x:v>11550</x:v>
      </x:c>
      <x:c r="K1404" s="43" t="n">
        <x:v>752.7686405092858</x:v>
      </x:c>
      <x:c r="L1404" s="43" t="n">
        <x:v>424.9131319773658</x:v>
      </x:c>
    </x:row>
    <x:row r="1405" ht="15" hidden="0" customHeight="1">
      <x:c r="A1405" s="29" t="str">
        <x:v>29213</x:v>
      </x:c>
      <x:c r="B1405" s="29" t="str">
        <x:v>SCA-19</x:v>
      </x:c>
      <x:c r="C1405" s="44" t="n">
        <x:v>57001</x:v>
      </x:c>
      <x:c r="D1405" s="44" t="n">
        <x:v>776.2394935324511</x:v>
      </x:c>
      <x:c r="E1405" s="44" t="n">
        <x:v>8972.648807889153</x:v>
      </x:c>
      <x:c r="F1405" s="44" t="n">
        <x:v>342.3016555406864</x:v>
      </x:c>
      <x:c r="G1405" s="44" t="n">
        <x:v>1397.8405406851293</x:v>
      </x:c>
      <x:c r="H1405" s="44" t="n">
        <x:v>45511.969502352586</x:v>
      </x:c>
      <x:c r="I1405" s="44" t="n">
        <x:v>57001</x:v>
      </x:c>
      <x:c r="J1405" s="44" t="n">
        <x:v>9195</x:v>
      </x:c>
      <x:c r="K1405" s="44" t="n">
        <x:v>744.6807820777561</x:v>
      </x:c>
      <x:c r="L1405" s="44" t="n">
        <x:v>402.37912653706974</x:v>
      </x:c>
    </x:row>
    <x:row r="1406" ht="15" hidden="0" customHeight="1">
      <x:c r="A1406" s="27" t="str">
        <x:v>29101</x:v>
      </x:c>
      <x:c r="B1406" s="27" t="str">
        <x:v>SCA-19</x:v>
      </x:c>
      <x:c r="C1406" s="43" t="n">
        <x:v>56670</x:v>
      </x:c>
      <x:c r="D1406" s="43" t="n">
        <x:v>715.773489200202</x:v>
      </x:c>
      <x:c r="E1406" s="43" t="n">
        <x:v>7577.542663621328</x:v>
      </x:c>
      <x:c r="F1406" s="43" t="n">
        <x:v>340.3139386938949</x:v>
      </x:c>
      <x:c r="G1406" s="43" t="n">
        <x:v>1294.9459124202567</x:v>
      </x:c>
      <x:c r="H1406" s="43" t="n">
        <x:v>46741.42399606432</x:v>
      </x:c>
      <x:c r="I1406" s="43" t="n">
        <x:v>56670</x:v>
      </x:c>
      <x:c r="J1406" s="43" t="n">
        <x:v>7074</x:v>
      </x:c>
      <x:c r="K1406" s="43" t="n">
        <x:v>740.3564835765416</x:v>
      </x:c>
      <x:c r="L1406" s="43" t="n">
        <x:v>400.04254488264667</x:v>
      </x:c>
    </x:row>
    <x:row r="1407" ht="15" hidden="0" customHeight="1">
      <x:c r="A1407" s="29" t="str">
        <x:v>29169</x:v>
      </x:c>
      <x:c r="B1407" s="29" t="str">
        <x:v>SCA-19</x:v>
      </x:c>
      <x:c r="C1407" s="44" t="n">
        <x:v>54442</x:v>
      </x:c>
      <x:c r="D1407" s="44" t="n">
        <x:v>770.3079242914487</x:v>
      </x:c>
      <x:c r="E1407" s="44" t="n">
        <x:v>9263.836459966265</x:v>
      </x:c>
      <x:c r="F1407" s="44" t="n">
        <x:v>326.93438239585356</x:v>
      </x:c>
      <x:c r="G1407" s="44" t="n">
        <x:v>786.9606359757912</x:v>
      </x:c>
      <x:c r="H1407" s="44" t="n">
        <x:v>43293.96059737064</x:v>
      </x:c>
      <x:c r="I1407" s="44" t="n">
        <x:v>54442</x:v>
      </x:c>
      <x:c r="J1407" s="44" t="n">
        <x:v>7146</x:v>
      </x:c>
      <x:c r="K1407" s="44" t="n">
        <x:v>711.2491208553745</x:v>
      </x:c>
      <x:c r="L1407" s="44" t="n">
        <x:v>384.3147384595209</x:v>
      </x:c>
    </x:row>
    <x:row r="1408" ht="15" hidden="0" customHeight="1">
      <x:c r="A1408" s="27" t="str">
        <x:v>17077</x:v>
      </x:c>
      <x:c r="B1408" s="27" t="str">
        <x:v>SCA-19</x:v>
      </x:c>
      <x:c r="C1408" s="43" t="n">
        <x:v>52501</x:v>
      </x:c>
      <x:c r="D1408" s="43" t="n">
        <x:v>707.626651210804</x:v>
      </x:c>
      <x:c r="E1408" s="43" t="n">
        <x:v>8652.15839597469</x:v>
      </x:c>
      <x:c r="F1408" s="43" t="n">
        <x:v>267.83173406934094</x:v>
      </x:c>
      <x:c r="G1408" s="43" t="n">
        <x:v>3247.895498208432</x:v>
      </x:c>
      <x:c r="H1408" s="43" t="n">
        <x:v>39625.48772053673</x:v>
      </x:c>
      <x:c r="I1408" s="43" t="n">
        <x:v>52501</x:v>
      </x:c>
      <x:c r="J1408" s="43" t="n">
        <x:v>9007</x:v>
      </x:c>
      <x:c r="K1408" s="43" t="n">
        <x:v>614.9517854478662</x:v>
      </x:c>
      <x:c r="L1408" s="43" t="n">
        <x:v>347.12005137852526</x:v>
      </x:c>
    </x:row>
    <x:row r="1409" ht="15" hidden="0" customHeight="1">
      <x:c r="A1409" s="29" t="str">
        <x:v>17029</x:v>
      </x:c>
      <x:c r="B1409" s="29" t="str">
        <x:v>SCA-19</x:v>
      </x:c>
      <x:c r="C1409" s="44" t="n">
        <x:v>46607</x:v>
      </x:c>
      <x:c r="D1409" s="44" t="n">
        <x:v>635.4671184267461</x:v>
      </x:c>
      <x:c r="E1409" s="44" t="n">
        <x:v>7855.592061068701</x:v>
      </x:c>
      <x:c r="F1409" s="44" t="n">
        <x:v>237.76373078169502</x:v>
      </x:c>
      <x:c r="G1409" s="44" t="n">
        <x:v>2275.8320610687024</x:v>
      </x:c>
      <x:c r="H1409" s="44" t="n">
        <x:v>35602.345028654156</x:v>
      </x:c>
      <x:c r="I1409" s="44" t="n">
        <x:v>46607</x:v>
      </x:c>
      <x:c r="J1409" s="44" t="n">
        <x:v>8073</x:v>
      </x:c>
      <x:c r="K1409" s="44" t="n">
        <x:v>545.9145133305784</x:v>
      </x:c>
      <x:c r="L1409" s="44" t="n">
        <x:v>308.1507825488834</x:v>
      </x:c>
    </x:row>
    <x:row r="1410" ht="15" hidden="0" customHeight="1">
      <x:c r="A1410" s="27" t="str">
        <x:v>29027</x:v>
      </x:c>
      <x:c r="B1410" s="27" t="str">
        <x:v>SCA-19</x:v>
      </x:c>
      <x:c r="C1410" s="43" t="n">
        <x:v>45765</x:v>
      </x:c>
      <x:c r="D1410" s="43" t="n">
        <x:v>610.4845304666575</x:v>
      </x:c>
      <x:c r="E1410" s="43" t="n">
        <x:v>6898.130767598161</x:v>
      </x:c>
      <x:c r="F1410" s="43" t="n">
        <x:v>274.8273761130421</x:v>
      </x:c>
      <x:c r="G1410" s="43" t="n">
        <x:v>1068.4900955076052</x:v>
      </x:c>
      <x:c r="H1410" s="43" t="n">
        <x:v>36913.06723031453</x:v>
      </x:c>
      <x:c r="I1410" s="43" t="n">
        <x:v>45765</x:v>
      </x:c>
      <x:c r="J1410" s="43" t="n">
        <x:v>6658</x:v>
      </x:c>
      <x:c r="K1410" s="43" t="n">
        <x:v>597.8897912631096</x:v>
      </x:c>
      <x:c r="L1410" s="43" t="n">
        <x:v>323.0624151500675</x:v>
      </x:c>
    </x:row>
    <x:row r="1411" ht="15" hidden="0" customHeight="1">
      <x:c r="A1411" s="29" t="str">
        <x:v>29161</x:v>
      </x:c>
      <x:c r="B1411" s="29" t="str">
        <x:v>SCA-19</x:v>
      </x:c>
      <x:c r="C1411" s="44" t="n">
        <x:v>45247</x:v>
      </x:c>
      <x:c r="D1411" s="44" t="n">
        <x:v>615.0368853606882</x:v>
      </x:c>
      <x:c r="E1411" s="44" t="n">
        <x:v>7095.146750697757</x:v>
      </x:c>
      <x:c r="F1411" s="44" t="n">
        <x:v>271.71668932561596</x:v>
      </x:c>
      <x:c r="G1411" s="44" t="n">
        <x:v>1443.233433870532</x:v>
      </x:c>
      <x:c r="H1411" s="44" t="n">
        <x:v>35821.8662407454</x:v>
      </x:c>
      <x:c r="I1411" s="44" t="n">
        <x:v>45247</x:v>
      </x:c>
      <x:c r="J1411" s="44" t="n">
        <x:v>7257</x:v>
      </x:c>
      <x:c r="K1411" s="44" t="n">
        <x:v>591.1224600738975</x:v>
      </x:c>
      <x:c r="L1411" s="44" t="n">
        <x:v>319.40577074828155</x:v>
      </x:c>
    </x:row>
    <x:row r="1412" ht="15" hidden="0" customHeight="1">
      <x:c r="A1412" s="27" t="str">
        <x:v>29159</x:v>
      </x:c>
      <x:c r="B1412" s="27" t="str">
        <x:v>SCA-19</x:v>
      </x:c>
      <x:c r="C1412" s="43" t="n">
        <x:v>44254</x:v>
      </x:c>
      <x:c r="D1412" s="43" t="n">
        <x:v>620.1759667105127</x:v>
      </x:c>
      <x:c r="E1412" s="43" t="n">
        <x:v>7386.718582212012</x:v>
      </x:c>
      <x:c r="F1412" s="43" t="n">
        <x:v>265.7535387852413</x:v>
      </x:c>
      <x:c r="G1412" s="43" t="n">
        <x:v>1798.8953420225985</x:v>
      </x:c>
      <x:c r="H1412" s="43" t="n">
        <x:v>34182.456570269635</x:v>
      </x:c>
      <x:c r="I1412" s="43" t="n">
        <x:v>44254</x:v>
      </x:c>
      <x:c r="J1412" s="43" t="n">
        <x:v>7417</x:v>
      </x:c>
      <x:c r="K1412" s="43" t="n">
        <x:v>578.1495645702536</x:v>
      </x:c>
      <x:c r="L1412" s="43" t="n">
        <x:v>312.3960257850123</x:v>
      </x:c>
    </x:row>
    <x:row r="1413" ht="15" hidden="0" customHeight="1">
      <x:c r="A1413" s="29" t="str">
        <x:v>29029</x:v>
      </x:c>
      <x:c r="B1413" s="29" t="str">
        <x:v>SCA-19</x:v>
      </x:c>
      <x:c r="C1413" s="44" t="n">
        <x:v>44047</x:v>
      </x:c>
      <x:c r="D1413" s="44" t="n">
        <x:v>628.9616047545248</x:v>
      </x:c>
      <x:c r="E1413" s="44" t="n">
        <x:v>7632.6437975618755</x:v>
      </x:c>
      <x:c r="F1413" s="44" t="n">
        <x:v>264.5104651076405</x:v>
      </x:c>
      <x:c r="G1413" s="44" t="n">
        <x:v>645.7626523827115</x:v>
      </x:c>
      <x:c r="H1413" s="44" t="n">
        <x:v>34875.121480193244</x:v>
      </x:c>
      <x:c r="I1413" s="44" t="n">
        <x:v>44047</x:v>
      </x:c>
      <x:c r="J1413" s="44" t="n">
        <x:v>7818</x:v>
      </x:c>
      <x:c r="K1413" s="44" t="n">
        <x:v>575.4452449637538</x:v>
      </x:c>
      <x:c r="L1413" s="44" t="n">
        <x:v>310.93477985611327</x:v>
      </x:c>
    </x:row>
    <x:row r="1414" ht="15" hidden="0" customHeight="1">
      <x:c r="A1414" s="27" t="str">
        <x:v>17117</x:v>
      </x:c>
      <x:c r="B1414" s="27" t="str">
        <x:v>SCA-19</x:v>
      </x:c>
      <x:c r="C1414" s="43" t="n">
        <x:v>43748</x:v>
      </x:c>
      <x:c r="D1414" s="43" t="n">
        <x:v>582.9794096452241</x:v>
      </x:c>
      <x:c r="E1414" s="43" t="n">
        <x:v>7049.554398465333</x:v>
      </x:c>
      <x:c r="F1414" s="43" t="n">
        <x:v>223.17865758872261</x:v>
      </x:c>
      <x:c r="G1414" s="43" t="n">
        <x:v>884.987051246917</x:v>
      </x:c>
      <x:c r="H1414" s="43" t="n">
        <x:v>35007.300483053805</x:v>
      </x:c>
      <x:c r="I1414" s="43" t="n">
        <x:v>43748</x:v>
      </x:c>
      <x:c r="J1414" s="43" t="n">
        <x:v>7350</x:v>
      </x:c>
      <x:c r="K1414" s="43" t="n">
        <x:v>512.4266339645578</x:v>
      </x:c>
      <x:c r="L1414" s="43" t="n">
        <x:v>289.2479763758352</x:v>
      </x:c>
    </x:row>
    <x:row r="1415" ht="15" hidden="0" customHeight="1">
      <x:c r="A1415" s="29" t="str">
        <x:v>29225</x:v>
      </x:c>
      <x:c r="B1415" s="29" t="str">
        <x:v>SCA-19</x:v>
      </x:c>
      <x:c r="C1415" s="44" t="n">
        <x:v>43054</x:v>
      </x:c>
      <x:c r="D1415" s="44" t="n">
        <x:v>534.9172157937996</x:v>
      </x:c>
      <x:c r="E1415" s="44" t="n">
        <x:v>5543.812341622936</x:v>
      </x:c>
      <x:c r="F1415" s="44" t="n">
        <x:v>258.54731456726574</x:v>
      </x:c>
      <x:c r="G1415" s="44" t="n">
        <x:v>2301.917154663219</x:v>
      </x:c>
      <x:c r="H1415" s="44" t="n">
        <x:v>34414.80597335278</x:v>
      </x:c>
      <x:c r="I1415" s="44" t="n">
        <x:v>43054</x:v>
      </x:c>
      <x:c r="J1415" s="44" t="n">
        <x:v>5291</x:v>
      </x:c>
      <x:c r="K1415" s="44" t="n">
        <x:v>562.4723494601097</x:v>
      </x:c>
      <x:c r="L1415" s="44" t="n">
        <x:v>303.925034892844</x:v>
      </x:c>
    </x:row>
    <x:row r="1416" ht="15" hidden="0" customHeight="1">
      <x:c r="A1416" s="27" t="str">
        <x:v>29091</x:v>
      </x:c>
      <x:c r="B1416" s="27" t="str">
        <x:v>SCA-19</x:v>
      </x:c>
      <x:c r="C1416" s="43" t="n">
        <x:v>40798</x:v>
      </x:c>
      <x:c r="D1416" s="43" t="n">
        <x:v>608.2335724170129</x:v>
      </x:c>
      <x:c r="E1416" s="43" t="n">
        <x:v>7685.616009634685</x:v>
      </x:c>
      <x:c r="F1416" s="43" t="n">
        <x:v>244.9996130374717</x:v>
      </x:c>
      <x:c r="G1416" s="43" t="n">
        <x:v>1210.0735773785627</x:v>
      </x:c>
      <x:c r="H1416" s="43" t="n">
        <x:v>31049.07722753227</x:v>
      </x:c>
      <x:c r="I1416" s="43" t="n">
        <x:v>40798</x:v>
      </x:c>
      <x:c r="J1416" s="43" t="n">
        <x:v>7821</x:v>
      </x:c>
      <x:c r="K1416" s="43" t="n">
        <x:v>532.9991850530394</x:v>
      </x:c>
      <x:c r="L1416" s="43" t="n">
        <x:v>287.99957201556765</x:v>
      </x:c>
    </x:row>
    <x:row r="1417" ht="15" hidden="0" customHeight="1">
      <x:c r="A1417" s="29" t="str">
        <x:v>29219</x:v>
      </x:c>
      <x:c r="B1417" s="29" t="str">
        <x:v>SCA-19</x:v>
      </x:c>
      <x:c r="C1417" s="44" t="n">
        <x:v>39016</x:v>
      </x:c>
      <x:c r="D1417" s="44" t="n">
        <x:v>501.9680644739069</x:v>
      </x:c>
      <x:c r="E1417" s="44" t="n">
        <x:v>5437.149934397019</x:v>
      </x:c>
      <x:c r="F1417" s="44" t="n">
        <x:v>234.29837007377807</x:v>
      </x:c>
      <x:c r="G1417" s="44" t="n">
        <x:v>750.119057260873</x:v>
      </x:c>
      <x:c r="H1417" s="44" t="n">
        <x:v>32092.464573794423</x:v>
      </x:c>
      <x:c r="I1417" s="44" t="n">
        <x:v>39016</x:v>
      </x:c>
      <x:c r="J1417" s="44" t="n">
        <x:v>5377</x:v>
      </x:c>
      <x:c r="K1417" s="44" t="n">
        <x:v>509.71852061447584</x:v>
      </x:c>
      <x:c r="L1417" s="44" t="n">
        <x:v>275.42015054069776</x:v>
      </x:c>
    </x:row>
    <x:row r="1418" ht="15" hidden="0" customHeight="1">
      <x:c r="A1418" s="27" t="str">
        <x:v>19057</x:v>
      </x:c>
      <x:c r="B1418" s="27" t="str">
        <x:v>SCA-19</x:v>
      </x:c>
      <x:c r="C1418" s="43" t="n">
        <x:v>38077</x:v>
      </x:c>
      <x:c r="D1418" s="43" t="n">
        <x:v>585.1361525458385</x:v>
      </x:c>
      <x:c r="E1418" s="43" t="n">
        <x:v>6014.630225330634</x:v>
      </x:c>
      <x:c r="F1418" s="43" t="n">
        <x:v>178.37621285360848</x:v>
      </x:c>
      <x:c r="G1418" s="43" t="n">
        <x:v>1594.4728919622435</x:v>
      </x:c>
      <x:c r="H1418" s="43" t="n">
        <x:v>29704.384517307677</x:v>
      </x:c>
      <x:c r="I1418" s="43" t="n">
        <x:v>38077</x:v>
      </x:c>
      <x:c r="J1418" s="43" t="n">
        <x:v>6258</x:v>
      </x:c>
      <x:c r="K1418" s="43" t="n">
        <x:v>512.9027726773372</x:v>
      </x:c>
      <x:c r="L1418" s="43" t="n">
        <x:v>334.52655982372875</x:v>
      </x:c>
    </x:row>
    <x:row r="1419" ht="15" hidden="0" customHeight="1">
      <x:c r="A1419" s="29" t="str">
        <x:v>29201</x:v>
      </x:c>
      <x:c r="B1419" s="29" t="str">
        <x:v>SCA-19</x:v>
      </x:c>
      <x:c r="C1419" s="44" t="n">
        <x:v>37975</x:v>
      </x:c>
      <x:c r="D1419" s="44" t="n">
        <x:v>520.3602603876683</x:v>
      </x:c>
      <x:c r="E1419" s="44" t="n">
        <x:v>6054.928666702235</x:v>
      </x:c>
      <x:c r="F1419" s="44" t="n">
        <x:v>228.04697056468422</x:v>
      </x:c>
      <x:c r="G1419" s="44" t="n">
        <x:v>923.9737502000747</x:v>
      </x:c>
      <x:c r="H1419" s="44" t="n">
        <x:v>30247.69035214534</x:v>
      </x:c>
      <x:c r="I1419" s="44" t="n">
        <x:v>37975</x:v>
      </x:c>
      <x:c r="J1419" s="44" t="n">
        <x:v>6226</x:v>
      </x:c>
      <x:c r="K1419" s="44" t="n">
        <x:v>496.11853650642604</x:v>
      </x:c>
      <x:c r="L1419" s="44" t="n">
        <x:v>268.0715659417418</x:v>
      </x:c>
    </x:row>
    <x:row r="1420" ht="15" hidden="0" customHeight="1">
      <x:c r="A1420" s="27" t="str">
        <x:v>17027</x:v>
      </x:c>
      <x:c r="B1420" s="27" t="str">
        <x:v>SCA-19</x:v>
      </x:c>
      <x:c r="C1420" s="43" t="n">
        <x:v>37128</x:v>
      </x:c>
      <x:c r="D1420" s="43" t="n">
        <x:v>452.94769236999457</x:v>
      </x:c>
      <x:c r="E1420" s="43" t="n">
        <x:v>4979.25762764223</x:v>
      </x:c>
      <x:c r="F1420" s="43" t="n">
        <x:v>189.4069945815601</x:v>
      </x:c>
      <x:c r="G1420" s="43" t="n">
        <x:v>482.1989788621607</x:v>
      </x:c>
      <x:c r="H1420" s="43" t="n">
        <x:v>31024.188706544057</x:v>
      </x:c>
      <x:c r="I1420" s="43" t="n">
        <x:v>37128</x:v>
      </x:c>
      <x:c r="J1420" s="43" t="n">
        <x:v>4884</x:v>
      </x:c>
      <x:c r="K1420" s="43" t="n">
        <x:v>434.8856191331284</x:v>
      </x:c>
      <x:c r="L1420" s="43" t="n">
        <x:v>245.4786245515683</x:v>
      </x:c>
    </x:row>
    <x:row r="1421" ht="15" hidden="0" customHeight="1">
      <x:c r="A1421" s="29" t="str">
        <x:v>29105</x:v>
      </x:c>
      <x:c r="B1421" s="29" t="str">
        <x:v>SCA-19</x:v>
      </x:c>
      <x:c r="C1421" s="44" t="n">
        <x:v>36943</x:v>
      </x:c>
      <x:c r="D1421" s="44" t="n">
        <x:v>548.8524306882592</x:v>
      </x:c>
      <x:c r="E1421" s="44" t="n">
        <x:v>6913.582005930772</x:v>
      </x:c>
      <x:c r="F1421" s="44" t="n">
        <x:v>221.8496177372253</x:v>
      </x:c>
      <x:c r="G1421" s="44" t="n">
        <x:v>1288.9019482858962</x:v>
      </x:c>
      <x:c r="H1421" s="44" t="n">
        <x:v>27969.813997357847</x:v>
      </x:c>
      <x:c r="I1421" s="44" t="n">
        <x:v>36943</x:v>
      </x:c>
      <x:c r="J1421" s="44" t="n">
        <x:v>7034</x:v>
      </x:c>
      <x:c r="K1421" s="44" t="n">
        <x:v>482.6361315117024</x:v>
      </x:c>
      <x:c r="L1421" s="44" t="n">
        <x:v>260.7865137744771</x:v>
      </x:c>
    </x:row>
    <x:row r="1422" ht="15" hidden="0" customHeight="1">
      <x:c r="A1422" s="27" t="str">
        <x:v>17055</x:v>
      </x:c>
      <x:c r="B1422" s="27" t="str">
        <x:v>SCA-19</x:v>
      </x:c>
      <x:c r="C1422" s="43" t="n">
        <x:v>36916</x:v>
      </x:c>
      <x:c r="D1422" s="43" t="n">
        <x:v>558.9743441077846</x:v>
      </x:c>
      <x:c r="E1422" s="43" t="n">
        <x:v>7557.537520418962</x:v>
      </x:c>
      <x:c r="F1422" s="43" t="n">
        <x:v>188.32548513178392</x:v>
      </x:c>
      <x:c r="G1422" s="43" t="n">
        <x:v>1256.0421403956257</x:v>
      </x:c>
      <x:c r="H1422" s="43" t="n">
        <x:v>27355.120509945842</x:v>
      </x:c>
      <x:c r="I1422" s="43" t="n">
        <x:v>36916</x:v>
      </x:c>
      <x:c r="J1422" s="43" t="n">
        <x:v>7859</x:v>
      </x:c>
      <x:c r="K1422" s="43" t="n">
        <x:v>432.40243255544516</x:v>
      </x:c>
      <x:c r="L1422" s="43" t="n">
        <x:v>244.07694742366124</x:v>
      </x:c>
    </x:row>
    <x:row r="1423" ht="15" hidden="0" customHeight="1">
      <x:c r="A1423" s="29" t="str">
        <x:v>17121</x:v>
      </x:c>
      <x:c r="B1423" s="29" t="str">
        <x:v>SCA-19</x:v>
      </x:c>
      <x:c r="C1423" s="44" t="n">
        <x:v>36382</x:v>
      </x:c>
      <x:c r="D1423" s="44" t="n">
        <x:v>518.3185915035965</x:v>
      </x:c>
      <x:c r="E1423" s="44" t="n">
        <x:v>6666.5348073111645</x:v>
      </x:c>
      <x:c r="F1423" s="44" t="n">
        <x:v>185.60130566866837</x:v>
      </x:c>
      <x:c r="G1423" s="44" t="n">
        <x:v>1360.5486401673643</x:v>
      </x:c>
      <x:c r="H1423" s="44" t="n">
        <x:v>27650.99665534921</x:v>
      </x:c>
      <x:c r="I1423" s="44" t="n">
        <x:v>36382</x:v>
      </x:c>
      <x:c r="J1423" s="44" t="n">
        <x:v>6934</x:v>
      </x:c>
      <x:c r="K1423" s="44" t="n">
        <x:v>426.14761353429964</x:v>
      </x:c>
      <x:c r="L1423" s="44" t="n">
        <x:v>240.54630786563126</x:v>
      </x:c>
    </x:row>
    <x:row r="1424" ht="15" hidden="0" customHeight="1">
      <x:c r="A1424" s="27" t="str">
        <x:v>17081</x:v>
      </x:c>
      <x:c r="B1424" s="27" t="str">
        <x:v>SCA-19</x:v>
      </x:c>
      <x:c r="C1424" s="43" t="n">
        <x:v>36147</x:v>
      </x:c>
      <x:c r="D1424" s="43" t="n">
        <x:v>503.9732434101548</x:v>
      </x:c>
      <x:c r="E1424" s="43" t="n">
        <x:v>6359.536354018543</x:v>
      </x:c>
      <x:c r="F1424" s="43" t="n">
        <x:v>184.40246264651083</x:v>
      </x:c>
      <x:c r="G1424" s="43" t="n">
        <x:v>1269.204595870542</x:v>
      </x:c>
      <x:c r="H1424" s="43" t="n">
        <x:v>27829.88334405425</x:v>
      </x:c>
      <x:c r="I1424" s="43" t="n">
        <x:v>36147</x:v>
      </x:c>
      <x:c r="J1424" s="43" t="n">
        <x:v>6444</x:v>
      </x:c>
      <x:c r="K1424" s="43" t="n">
        <x:v>423.3950246392263</x:v>
      </x:c>
      <x:c r="L1424" s="43" t="n">
        <x:v>238.99256199271545</x:v>
      </x:c>
    </x:row>
    <x:row r="1425" ht="15" hidden="0" customHeight="1">
      <x:c r="A1425" s="29" t="str">
        <x:v>19179</x:v>
      </x:c>
      <x:c r="B1425" s="29" t="str">
        <x:v>SCA-19</x:v>
      </x:c>
      <x:c r="C1425" s="44" t="n">
        <x:v>35210</x:v>
      </x:c>
      <x:c r="D1425" s="44" t="n">
        <x:v>536.5831599447636</x:v>
      </x:c>
      <x:c r="E1425" s="44" t="n">
        <x:v>5453.8730319026845</x:v>
      </x:c>
      <x:c r="F1425" s="44" t="n">
        <x:v>164.94541204862657</x:v>
      </x:c>
      <x:c r="G1425" s="44" t="n">
        <x:v>1200.108790452146</x:v>
      </x:c>
      <x:c r="H1425" s="44" t="n">
        <x:v>27854.48960565178</x:v>
      </x:c>
      <x:c r="I1425" s="44" t="n">
        <x:v>35210</x:v>
      </x:c>
      <x:c r="J1425" s="44" t="n">
        <x:v>5624</x:v>
      </x:c>
      <x:c r="K1425" s="44" t="n">
        <x:v>474.2838623307783</x:v>
      </x:c>
      <x:c r="L1425" s="44" t="n">
        <x:v>309.3384502821517</x:v>
      </x:c>
    </x:row>
    <x:row r="1426" ht="15" hidden="0" customHeight="1">
      <x:c r="A1426" s="27" t="str">
        <x:v>17133</x:v>
      </x:c>
      <x:c r="B1426" s="27" t="str">
        <x:v>SCA-19</x:v>
      </x:c>
      <x:c r="C1426" s="43" t="n">
        <x:v>34840</x:v>
      </x:c>
      <x:c r="D1426" s="43" t="n">
        <x:v>378.18389583862484</x:v>
      </x:c>
      <x:c r="E1426" s="43" t="n">
        <x:v>3547.987333755542</x:v>
      </x:c>
      <x:c r="F1426" s="43" t="n">
        <x:v>177.73485485944718</x:v>
      </x:c>
      <x:c r="G1426" s="43" t="n">
        <x:v>716.4770424319189</x:v>
      </x:c>
      <x:c r="H1426" s="43" t="n">
        <x:v>30019.616873114468</x:v>
      </x:c>
      <x:c r="I1426" s="43" t="n">
        <x:v>34840</x:v>
      </x:c>
      <x:c r="J1426" s="43" t="n">
        <x:v>3685</x:v>
      </x:c>
      <x:c r="K1426" s="43" t="n">
        <x:v>408.0859451249244</x:v>
      </x:c>
      <x:c r="L1426" s="43" t="n">
        <x:v>230.35109026547724</x:v>
      </x:c>
    </x:row>
    <x:row r="1427" ht="15" hidden="0" customHeight="1">
      <x:c r="A1427" s="29" t="str">
        <x:v>17049</x:v>
      </x:c>
      <x:c r="B1427" s="29" t="str">
        <x:v>SCA-19</x:v>
      </x:c>
      <x:c r="C1427" s="44" t="n">
        <x:v>34519</x:v>
      </x:c>
      <x:c r="D1427" s="44" t="n">
        <x:v>425.91900502736996</x:v>
      </x:c>
      <x:c r="E1427" s="44" t="n">
        <x:v>4744.5663721788005</x:v>
      </x:c>
      <x:c r="F1427" s="44" t="n">
        <x:v>176.0972863057766</x:v>
      </x:c>
      <x:c r="G1427" s="44" t="n">
        <x:v>1080.884780890489</x:v>
      </x:c>
      <x:c r="H1427" s="44" t="n">
        <x:v>28091.532555597565</x:v>
      </x:c>
      <x:c r="I1427" s="44" t="n">
        <x:v>34519</x:v>
      </x:c>
      <x:c r="J1427" s="44" t="n">
        <x:v>4891</x:v>
      </x:c>
      <x:c r="K1427" s="44" t="n">
        <x:v>404.3260258256965</x:v>
      </x:c>
      <x:c r="L1427" s="44" t="n">
        <x:v>228.22873951991988</x:v>
      </x:c>
    </x:row>
    <x:row r="1428" ht="15" hidden="0" customHeight="1">
      <x:c r="A1428" s="27" t="str">
        <x:v>19125</x:v>
      </x:c>
      <x:c r="B1428" s="27" t="str">
        <x:v>SCA-19</x:v>
      </x:c>
      <x:c r="C1428" s="43" t="n">
        <x:v>34192</x:v>
      </x:c>
      <x:c r="D1428" s="43" t="n">
        <x:v>486.24992050162444</x:v>
      </x:c>
      <x:c r="E1428" s="43" t="n">
        <x:v>4460.523311887439</x:v>
      </x:c>
      <x:c r="F1428" s="43" t="n">
        <x:v>160.17647056991314</x:v>
      </x:c>
      <x:c r="G1428" s="43" t="n">
        <x:v>510.68853346160785</x:v>
      </x:c>
      <x:c r="H1428" s="43" t="n">
        <x:v>28574.361763579414</x:v>
      </x:c>
      <x:c r="I1428" s="43" t="n">
        <x:v>34192</x:v>
      </x:c>
      <x:c r="J1428" s="43" t="n">
        <x:v>4520</x:v>
      </x:c>
      <x:c r="K1428" s="43" t="n">
        <x:v>460.57125307622755</x:v>
      </x:c>
      <x:c r="L1428" s="43" t="n">
        <x:v>300.3947825063144</x:v>
      </x:c>
    </x:row>
    <x:row r="1429" ht="15" hidden="0" customHeight="1">
      <x:c r="A1429" s="29" t="str">
        <x:v>29167</x:v>
      </x:c>
      <x:c r="B1429" s="29" t="str">
        <x:v>SCA-19</x:v>
      </x:c>
      <x:c r="C1429" s="44" t="n">
        <x:v>33604</x:v>
      </x:c>
      <x:c r="D1429" s="44" t="n">
        <x:v>456.6535171916866</x:v>
      </x:c>
      <x:c r="E1429" s="44" t="n">
        <x:v>5266.500853792025</x:v>
      </x:c>
      <x:c r="F1429" s="44" t="n">
        <x:v>201.79829885070833</x:v>
      </x:c>
      <x:c r="G1429" s="44" t="n">
        <x:v>766.4606724003128</x:v>
      </x:c>
      <x:c r="H1429" s="44" t="n">
        <x:v>26912.586657765267</x:v>
      </x:c>
      <x:c r="I1429" s="44" t="n">
        <x:v>33604</x:v>
      </x:c>
      <x:c r="J1429" s="44" t="n">
        <x:v>5220</x:v>
      </x:c>
      <x:c r="K1429" s="44" t="n">
        <x:v>439.0142804677272</x:v>
      </x:c>
      <x:c r="L1429" s="44" t="n">
        <x:v>237.21598161701885</x:v>
      </x:c>
    </x:row>
    <x:row r="1430" ht="15" hidden="0" customHeight="1">
      <x:c r="A1430" s="27" t="str">
        <x:v>29107</x:v>
      </x:c>
      <x:c r="B1430" s="27" t="str">
        <x:v>SCA-19</x:v>
      </x:c>
      <x:c r="C1430" s="43" t="n">
        <x:v>33531</x:v>
      </x:c>
      <x:c r="D1430" s="43" t="n">
        <x:v>468.8139203463427</x:v>
      </x:c>
      <x:c r="E1430" s="43" t="n">
        <x:v>5570.718176206337</x:v>
      </x:c>
      <x:c r="F1430" s="43" t="n">
        <x:v>201.3599202107815</x:v>
      </x:c>
      <x:c r="G1430" s="43" t="n">
        <x:v>419.25923662255906</x:v>
      </x:c>
      <x:c r="H1430" s="43" t="n">
        <x:v>26870.848746613978</x:v>
      </x:c>
      <x:c r="I1430" s="43" t="n">
        <x:v>33531</x:v>
      </x:c>
      <x:c r="J1430" s="43" t="n">
        <x:v>5663</x:v>
      </x:c>
      <x:c r="K1430" s="43" t="n">
        <x:v>438.06058321519345</x:v>
      </x:c>
      <x:c r="L1430" s="43" t="n">
        <x:v>236.70066300441195</x:v>
      </x:c>
    </x:row>
    <x:row r="1431" ht="15" hidden="0" customHeight="1">
      <x:c r="A1431" s="29" t="str">
        <x:v>17021</x:v>
      </x:c>
      <x:c r="B1431" s="29" t="str">
        <x:v>SCA-19</x:v>
      </x:c>
      <x:c r="C1431" s="44" t="n">
        <x:v>33443</x:v>
      </x:c>
      <x:c r="D1431" s="44" t="n">
        <x:v>425.42776918864166</x:v>
      </x:c>
      <x:c r="E1431" s="44" t="n">
        <x:v>4903.516854271356</x:v>
      </x:c>
      <x:c r="F1431" s="44" t="n">
        <x:v>170.60811570219553</x:v>
      </x:c>
      <x:c r="G1431" s="44" t="n">
        <x:v>827.3567996231155</x:v>
      </x:c>
      <x:c r="H1431" s="44" t="n">
        <x:v>27116.090461214688</x:v>
      </x:c>
      <x:c r="I1431" s="44" t="n">
        <x:v>33443</x:v>
      </x:c>
      <x:c r="J1431" s="44" t="n">
        <x:v>4863</x:v>
      </x:c>
      <x:c r="K1431" s="44" t="n">
        <x:v>391.72268262953065</x:v>
      </x:c>
      <x:c r="L1431" s="44" t="n">
        <x:v>221.11456692733512</x:v>
      </x:c>
    </x:row>
    <x:row r="1432" ht="15" hidden="0" customHeight="1">
      <x:c r="A1432" s="27" t="str">
        <x:v>17057</x:v>
      </x:c>
      <x:c r="B1432" s="27" t="str">
        <x:v>SCA-19</x:v>
      </x:c>
      <x:c r="C1432" s="43" t="n">
        <x:v>32901</x:v>
      </x:c>
      <x:c r="D1432" s="43" t="n">
        <x:v>427.12763947459734</x:v>
      </x:c>
      <x:c r="E1432" s="43" t="n">
        <x:v>5030.318533963608</x:v>
      </x:c>
      <x:c r="F1432" s="43" t="n">
        <x:v>167.84312456172995</x:v>
      </x:c>
      <x:c r="G1432" s="43" t="n">
        <x:v>873.1052742342808</x:v>
      </x:c>
      <x:c r="H1432" s="43" t="n">
        <x:v>26402.605427765782</x:v>
      </x:c>
      <x:c r="I1432" s="43" t="n">
        <x:v>32901</x:v>
      </x:c>
      <x:c r="J1432" s="43" t="n">
        <x:v>4919</x:v>
      </x:c>
      <x:c r="K1432" s="43" t="n">
        <x:v>385.3741584545103</x:v>
      </x:c>
      <x:c r="L1432" s="43" t="n">
        <x:v>217.53103389278033</x:v>
      </x:c>
    </x:row>
    <x:row r="1433" ht="15" hidden="0" customHeight="1">
      <x:c r="A1433" s="29" t="str">
        <x:v>17137</x:v>
      </x:c>
      <x:c r="B1433" s="29" t="str">
        <x:v>SCA-19</x:v>
      </x:c>
      <x:c r="C1433" s="44" t="n">
        <x:v>32515</x:v>
      </x:c>
      <x:c r="D1433" s="44" t="n">
        <x:v>453.5920981733959</x:v>
      </x:c>
      <x:c r="E1433" s="44" t="n">
        <x:v>5726.716188550486</x:v>
      </x:c>
      <x:c r="F1433" s="44" t="n">
        <x:v>165.87396112959027</x:v>
      </x:c>
      <x:c r="G1433" s="44" t="n">
        <x:v>911.6625331732592</x:v>
      </x:c>
      <x:c r="H1433" s="44" t="n">
        <x:v>25257.15521897327</x:v>
      </x:c>
      <x:c r="I1433" s="44" t="n">
        <x:v>32515</x:v>
      </x:c>
      <x:c r="J1433" s="44" t="n">
        <x:v>5807</x:v>
      </x:c>
      <x:c r="K1433" s="44" t="n">
        <x:v>380.8528847800493</x:v>
      </x:c>
      <x:c r="L1433" s="44" t="n">
        <x:v>214.97892365045902</x:v>
      </x:c>
    </x:row>
    <x:row r="1434" ht="15" hidden="0" customHeight="1">
      <x:c r="A1434" s="27" t="str">
        <x:v>29209</x:v>
      </x:c>
      <x:c r="B1434" s="27" t="str">
        <x:v>SCA-19</x:v>
      </x:c>
      <x:c r="C1434" s="43" t="n">
        <x:v>32503</x:v>
      </x:c>
      <x:c r="D1434" s="43" t="n">
        <x:v>484.96112469027685</x:v>
      </x:c>
      <x:c r="E1434" s="43" t="n">
        <x:v>6132.414653203737</x:v>
      </x:c>
      <x:c r="F1434" s="43" t="n">
        <x:v>195.1865881307158</x:v>
      </x:c>
      <x:c r="G1434" s="43" t="n">
        <x:v>757.2670724418861</x:v>
      </x:c>
      <x:c r="H1434" s="43" t="n">
        <x:v>24933.170561533385</x:v>
      </x:c>
      <x:c r="I1434" s="43" t="n">
        <x:v>32503</x:v>
      </x:c>
      <x:c r="J1434" s="43" t="n">
        <x:v>6248</x:v>
      </x:c>
      <x:c r="K1434" s="43" t="n">
        <x:v>424.63043560417026</x:v>
      </x:c>
      <x:c r="L1434" s="43" t="n">
        <x:v>229.44384747345447</x:v>
      </x:c>
    </x:row>
    <x:row r="1435" ht="15" hidden="0" customHeight="1">
      <x:c r="A1435" s="29" t="str">
        <x:v>19111</x:v>
      </x:c>
      <x:c r="B1435" s="29" t="str">
        <x:v>SCA-19</x:v>
      </x:c>
      <x:c r="C1435" s="44" t="n">
        <x:v>32306</x:v>
      </x:c>
      <x:c r="D1435" s="44" t="n">
        <x:v>501.6757252257328</x:v>
      </x:c>
      <x:c r="E1435" s="44" t="n">
        <x:v>5228.4107767449195</x:v>
      </x:c>
      <x:c r="F1435" s="44" t="n">
        <x:v>151.34128036475238</x:v>
      </x:c>
      <x:c r="G1435" s="44" t="n">
        <x:v>754.5103986135181</x:v>
      </x:c>
      <x:c r="H1435" s="44" t="n">
        <x:v>25670.06181905108</x:v>
      </x:c>
      <x:c r="I1435" s="44" t="n">
        <x:v>32306</x:v>
      </x:c>
      <x:c r="J1435" s="44" t="n">
        <x:v>5350</x:v>
      </x:c>
      <x:c r="K1435" s="44" t="n">
        <x:v>435.16655655944686</x:v>
      </x:c>
      <x:c r="L1435" s="44" t="n">
        <x:v>283.8252761946945</x:v>
      </x:c>
    </x:row>
    <x:row r="1436" ht="15" hidden="0" customHeight="1">
      <x:c r="A1436" s="27" t="str">
        <x:v>17157</x:v>
      </x:c>
      <x:c r="B1436" s="27" t="str">
        <x:v>SCA-19</x:v>
      </x:c>
      <x:c r="C1436" s="43" t="n">
        <x:v>29921</x:v>
      </x:c>
      <x:c r="D1436" s="43" t="n">
        <x:v>463.24814734980333</x:v>
      </x:c>
      <x:c r="E1436" s="43" t="n">
        <x:v>6370.078403100208</x:v>
      </x:c>
      <x:c r="F1436" s="43" t="n">
        <x:v>152.64077474883806</x:v>
      </x:c>
      <x:c r="G1436" s="43" t="n">
        <x:v>995.7487844112163</x:v>
      </x:c>
      <x:c r="H1436" s="43" t="n">
        <x:v>21939.283890389936</x:v>
      </x:c>
      <x:c r="I1436" s="43" t="n">
        <x:v>29921</x:v>
      </x:c>
      <x:c r="J1436" s="43" t="n">
        <x:v>6066</x:v>
      </x:c>
      <x:c r="K1436" s="43" t="n">
        <x:v>350.4689886361327</x:v>
      </x:c>
      <x:c r="L1436" s="43" t="n">
        <x:v>197.82821388729462</x:v>
      </x:c>
    </x:row>
    <x:row r="1437" ht="15" hidden="0" customHeight="1">
      <x:c r="A1437" s="29" t="str">
        <x:v>29127</x:v>
      </x:c>
      <x:c r="B1437" s="29" t="str">
        <x:v>SCA-19</x:v>
      </x:c>
      <x:c r="C1437" s="44" t="n">
        <x:v>28525</x:v>
      </x:c>
      <x:c r="D1437" s="44" t="n">
        <x:v>385.2962101809124</x:v>
      </x:c>
      <x:c r="E1437" s="44" t="n">
        <x:v>4414.408740359897</x:v>
      </x:c>
      <x:c r="F1437" s="44" t="n">
        <x:v>171.2979548481269</x:v>
      </x:c>
      <x:c r="G1437" s="44" t="n">
        <x:v>973.8422236503856</x:v>
      </x:c>
      <x:c r="H1437" s="44" t="n">
        <x:v>22580.15487096068</x:v>
      </x:c>
      <x:c r="I1437" s="44" t="n">
        <x:v>28525</x:v>
      </x:c>
      <x:c r="J1437" s="44" t="n">
        <x:v>4515</x:v>
      </x:c>
      <x:c r="K1437" s="44" t="n">
        <x:v>372.66046751404355</x:v>
      </x:c>
      <x:c r="L1437" s="44" t="n">
        <x:v>201.36251266591665</x:v>
      </x:c>
    </x:row>
    <x:row r="1438" ht="15" hidden="0" customHeight="1">
      <x:c r="A1438" s="27" t="str">
        <x:v>17135</x:v>
      </x:c>
      <x:c r="B1438" s="27" t="str">
        <x:v>SCA-19</x:v>
      </x:c>
      <x:c r="C1438" s="43" t="n">
        <x:v>28076</x:v>
      </x:c>
      <x:c r="D1438" s="43" t="n">
        <x:v>371.68977170438603</x:v>
      </x:c>
      <x:c r="E1438" s="43" t="n">
        <x:v>4465.442780174927</x:v>
      </x:c>
      <x:c r="F1438" s="43" t="n">
        <x:v>143.22858165998386</x:v>
      </x:c>
      <x:c r="G1438" s="43" t="n">
        <x:v>812.6321477162294</x:v>
      </x:c>
      <x:c r="H1438" s="43" t="n">
        <x:v>22283.006718744473</x:v>
      </x:c>
      <x:c r="I1438" s="43" t="n">
        <x:v>28076</x:v>
      </x:c>
      <x:c r="J1438" s="43" t="n">
        <x:v>4262</x:v>
      </x:c>
      <x:c r="K1438" s="43" t="n">
        <x:v>328.8582375237479</x:v>
      </x:c>
      <x:c r="L1438" s="43" t="n">
        <x:v>185.62965586376404</x:v>
      </x:c>
    </x:row>
    <x:row r="1439" ht="15" hidden="0" customHeight="1">
      <x:c r="A1439" s="29" t="str">
        <x:v>17107</x:v>
      </x:c>
      <x:c r="B1439" s="29" t="str">
        <x:v>SCA-19</x:v>
      </x:c>
      <x:c r="C1439" s="44" t="n">
        <x:v>27182</x:v>
      </x:c>
      <x:c r="D1439" s="44" t="n">
        <x:v>340.0328977322234</x:v>
      </x:c>
      <x:c r="E1439" s="44" t="n">
        <x:v>3847.538108882521</x:v>
      </x:c>
      <x:c r="F1439" s="44" t="n">
        <x:v>138.66787671611635</x:v>
      </x:c>
      <x:c r="G1439" s="44" t="n">
        <x:v>1032.4440066857687</x:v>
      </x:c>
      <x:c r="H1439" s="44" t="n">
        <x:v>21823.31710998337</x:v>
      </x:c>
      <x:c r="I1439" s="44" t="n">
        <x:v>27182</x:v>
      </x:c>
      <x:c r="J1439" s="44" t="n">
        <x:v>3705</x:v>
      </x:c>
      <x:c r="K1439" s="44" t="n">
        <x:v>318.3866865782347</x:v>
      </x:c>
      <x:c r="L1439" s="44" t="n">
        <x:v>179.71880986211832</x:v>
      </x:c>
    </x:row>
    <x:row r="1440" ht="15" hidden="0" customHeight="1">
      <x:c r="A1440" s="27" t="str">
        <x:v>29215</x:v>
      </x:c>
      <x:c r="B1440" s="27" t="str">
        <x:v>SCA-19</x:v>
      </x:c>
      <x:c r="C1440" s="43" t="n">
        <x:v>25994</x:v>
      </x:c>
      <x:c r="D1440" s="43" t="n">
        <x:v>443.2268525768472</x:v>
      </x:c>
      <x:c r="E1440" s="43" t="n">
        <x:v>6233.545716823893</x:v>
      </x:c>
      <x:c r="F1440" s="43" t="n">
        <x:v>156.09882693504682</x:v>
      </x:c>
      <x:c r="G1440" s="43" t="n">
        <x:v>1157.9351495410128</x:v>
      </x:c>
      <x:c r="H1440" s="43" t="n">
        <x:v>18003.193454123197</x:v>
      </x:c>
      <x:c r="I1440" s="43" t="n">
        <x:v>25994</x:v>
      </x:c>
      <x:c r="J1440" s="43" t="n">
        <x:v>5905</x:v>
      </x:c>
      <x:c r="K1440" s="43" t="n">
        <x:v>339.5946079775652</x:v>
      </x:c>
      <x:c r="L1440" s="43" t="n">
        <x:v>183.4957810425184</x:v>
      </x:c>
    </x:row>
    <x:row r="1441" ht="15" hidden="0" customHeight="1">
      <x:c r="A1441" s="29" t="str">
        <x:v>17109</x:v>
      </x:c>
      <x:c r="B1441" s="29" t="str">
        <x:v>SCA-19</x:v>
      </x:c>
      <x:c r="C1441" s="44" t="n">
        <x:v>25916</x:v>
      </x:c>
      <x:c r="D1441" s="44" t="n">
        <x:v>330.73835918082034</x:v>
      </x:c>
      <x:c r="E1441" s="44" t="n">
        <x:v>3825.3586074900154</x:v>
      </x:c>
      <x:c r="F1441" s="44" t="n">
        <x:v>132.20942877547168</x:v>
      </x:c>
      <x:c r="G1441" s="44" t="n">
        <x:v>1307.023378042348</x:v>
      </x:c>
      <x:c r="H1441" s="44" t="n">
        <x:v>20320.670226511345</x:v>
      </x:c>
      <x:c r="I1441" s="44" t="n">
        <x:v>25916</x:v>
      </x:c>
      <x:c r="J1441" s="44" t="n">
        <x:v>4081</x:v>
      </x:c>
      <x:c r="K1441" s="44" t="n">
        <x:v>303.5578459775414</x:v>
      </x:c>
      <x:c r="L1441" s="44" t="n">
        <x:v>171.3484172020697</x:v>
      </x:c>
    </x:row>
    <x:row r="1442" ht="15" hidden="0" customHeight="1">
      <x:c r="A1442" s="27" t="str">
        <x:v>29131</x:v>
      </x:c>
      <x:c r="B1442" s="27" t="str">
        <x:v>SCA-19</x:v>
      </x:c>
      <x:c r="C1442" s="43" t="n">
        <x:v>25817</x:v>
      </x:c>
      <x:c r="D1442" s="43" t="n">
        <x:v>369.3392380272323</x:v>
      </x:c>
      <x:c r="E1442" s="43" t="n">
        <x:v>4490.230275391408</x:v>
      </x:c>
      <x:c r="F1442" s="43" t="n">
        <x:v>155.0359088628954</x:v>
      </x:c>
      <x:c r="G1442" s="43" t="n">
        <x:v>677.17057406664</x:v>
      </x:c>
      <x:c r="H1442" s="43" t="n">
        <x:v>20125.224003651823</x:v>
      </x:c>
      <x:c r="I1442" s="43" t="n">
        <x:v>25817</x:v>
      </x:c>
      <x:c r="J1442" s="43" t="n">
        <x:v>4513</x:v>
      </x:c>
      <x:c r="K1442" s="43" t="n">
        <x:v>337.282218748819</x:v>
      </x:c>
      <x:c r="L1442" s="43" t="n">
        <x:v>182.24630988592358</x:v>
      </x:c>
    </x:row>
    <x:row r="1443" ht="15" hidden="0" customHeight="1">
      <x:c r="A1443" s="29" t="str">
        <x:v>29001</x:v>
      </x:c>
      <x:c r="B1443" s="29" t="str">
        <x:v>SCA-19</x:v>
      </x:c>
      <x:c r="C1443" s="44" t="n">
        <x:v>25684</x:v>
      </x:c>
      <x:c r="D1443" s="44" t="n">
        <x:v>308.57179467925374</x:v>
      </x:c>
      <x:c r="E1443" s="44" t="n">
        <x:v>3054.344470813092</x:v>
      </x:c>
      <x:c r="F1443" s="44" t="n">
        <x:v>154.2372190120698</x:v>
      </x:c>
      <x:c r="G1443" s="44" t="n">
        <x:v>959.7947957314644</x:v>
      </x:c>
      <x:c r="H1443" s="44" t="n">
        <x:v>21207.05171976412</x:v>
      </x:c>
      <x:c r="I1443" s="44" t="n">
        <x:v>25684</x:v>
      </x:c>
      <x:c r="J1443" s="44" t="n">
        <x:v>3111</x:v>
      </x:c>
      <x:c r="K1443" s="44" t="n">
        <x:v>335.54466074077806</x:v>
      </x:c>
      <x:c r="L1443" s="44" t="n">
        <x:v>181.30744172870826</x:v>
      </x:c>
    </x:row>
    <x:row r="1444" ht="15" hidden="0" customHeight="1">
      <x:c r="A1444" s="27" t="str">
        <x:v>29007</x:v>
      </x:c>
      <x:c r="B1444" s="27" t="str">
        <x:v>SCA-19</x:v>
      </x:c>
      <x:c r="C1444" s="43" t="n">
        <x:v>24528</x:v>
      </x:c>
      <x:c r="D1444" s="43" t="n">
        <x:v>364.12074506518945</x:v>
      </x:c>
      <x:c r="E1444" s="43" t="n">
        <x:v>4583.368589502479</x:v>
      </x:c>
      <x:c r="F1444" s="43" t="n">
        <x:v>147.29522301542</x:v>
      </x:c>
      <x:c r="G1444" s="43" t="n">
        <x:v>1062.2584202427765</x:v>
      </x:c>
      <x:c r="H1444" s="43" t="n">
        <x:v>18370.957022174134</x:v>
      </x:c>
      <x:c r="I1444" s="43" t="n">
        <x:v>24528</x:v>
      </x:c>
      <x:c r="J1444" s="43" t="n">
        <x:v>4554</x:v>
      </x:c>
      <x:c r="K1444" s="43" t="n">
        <x:v>320.4422768513395</x:v>
      </x:c>
      <x:c r="L1444" s="43" t="n">
        <x:v>173.1470538359195</x:v>
      </x:c>
    </x:row>
    <x:row r="1445" ht="15" hidden="0" customHeight="1">
      <x:c r="A1445" s="29" t="str">
        <x:v>29175</x:v>
      </x:c>
      <x:c r="B1445" s="29" t="str">
        <x:v>SCA-19</x:v>
      </x:c>
      <x:c r="C1445" s="44" t="n">
        <x:v>24513</x:v>
      </x:c>
      <x:c r="D1445" s="44" t="n">
        <x:v>357.3240612911248</x:v>
      </x:c>
      <x:c r="E1445" s="44" t="n">
        <x:v>4422.789476192577</x:v>
      </x:c>
      <x:c r="F1445" s="44" t="n">
        <x:v>147.20514521269536</x:v>
      </x:c>
      <x:c r="G1445" s="44" t="n">
        <x:v>736.12872335731</x:v>
      </x:c>
      <x:c r="H1445" s="44" t="n">
        <x:v>18849.552593946293</x:v>
      </x:c>
      <x:c r="I1445" s="44" t="n">
        <x:v>24513</x:v>
      </x:c>
      <x:c r="J1445" s="44" t="n">
        <x:v>4259</x:v>
      </x:c>
      <x:c r="K1445" s="44" t="n">
        <x:v>320.24631166246274</x:v>
      </x:c>
      <x:c r="L1445" s="44" t="n">
        <x:v>173.0411664497674</x:v>
      </x:c>
    </x:row>
    <x:row r="1446" ht="15" hidden="0" customHeight="1">
      <x:c r="A1446" s="27" t="str">
        <x:v>29221</x:v>
      </x:c>
      <x:c r="B1446" s="27" t="str">
        <x:v>SCA-19</x:v>
      </x:c>
      <x:c r="C1446" s="43" t="n">
        <x:v>23810</x:v>
      </x:c>
      <x:c r="D1446" s="43" t="n">
        <x:v>390.8582434559567</x:v>
      </x:c>
      <x:c r="E1446" s="43" t="n">
        <x:v>5346.711980092427</x:v>
      </x:c>
      <x:c r="F1446" s="43" t="n">
        <x:v>142.9834988583313</x:v>
      </x:c>
      <x:c r="G1446" s="43" t="n">
        <x:v>1028.8535371489513</x:v>
      </x:c>
      <x:c r="H1446" s="43" t="n">
        <x:v>16900.592740444332</x:v>
      </x:c>
      <x:c r="I1446" s="43" t="n">
        <x:v>23810</x:v>
      </x:c>
      <x:c r="J1446" s="43" t="n">
        <x:v>5264</x:v>
      </x:c>
      <x:c r="K1446" s="43" t="n">
        <x:v>311.06207647710346</x:v>
      </x:c>
      <x:c r="L1446" s="43" t="n">
        <x:v>168.07857761877216</x:v>
      </x:c>
    </x:row>
    <x:row r="1447" ht="15" hidden="0" customHeight="1">
      <x:c r="A1447" s="29" t="str">
        <x:v>29177</x:v>
      </x:c>
      <x:c r="B1447" s="29" t="str">
        <x:v>SCA-19</x:v>
      </x:c>
      <x:c r="C1447" s="44" t="n">
        <x:v>23398</x:v>
      </x:c>
      <x:c r="D1447" s="44" t="n">
        <x:v>306.9762646851883</x:v>
      </x:c>
      <x:c r="E1447" s="44" t="n">
        <x:v>3403.3454545454542</x:v>
      </x:c>
      <x:c r="F1447" s="44" t="n">
        <x:v>140.5093618768264</x:v>
      </x:c>
      <x:c r="G1447" s="44" t="n">
        <x:v>746.2424242424244</x:v>
      </x:c>
      <x:c r="H1447" s="44" t="n">
        <x:v>18800.92649465011</x:v>
      </x:c>
      <x:c r="I1447" s="44" t="n">
        <x:v>23398</x:v>
      </x:c>
      <x:c r="J1447" s="44" t="n">
        <x:v>3475</x:v>
      </x:c>
      <x:c r="K1447" s="44" t="n">
        <x:v>305.6795659559541</x:v>
      </x:c>
      <x:c r="L1447" s="44" t="n">
        <x:v>165.1702040791277</x:v>
      </x:c>
    </x:row>
    <x:row r="1448" ht="15" hidden="0" customHeight="1">
      <x:c r="A1448" s="27" t="str">
        <x:v>29195</x:v>
      </x:c>
      <x:c r="B1448" s="27" t="str">
        <x:v>SCA-19</x:v>
      </x:c>
      <x:c r="C1448" s="43" t="n">
        <x:v>23265</x:v>
      </x:c>
      <x:c r="D1448" s="43" t="n">
        <x:v>316.6852729297864</x:v>
      </x:c>
      <x:c r="E1448" s="43" t="n">
        <x:v>3658.894488188976</x:v>
      </x:c>
      <x:c r="F1448" s="43" t="n">
        <x:v>139.7106720260008</x:v>
      </x:c>
      <x:c r="G1448" s="43" t="n">
        <x:v>727.8918416447943</x:v>
      </x:c>
      <x:c r="H1448" s="43" t="n">
        <x:v>18421.817725210443</x:v>
      </x:c>
      <x:c r="I1448" s="43" t="n">
        <x:v>23265</x:v>
      </x:c>
      <x:c r="J1448" s="43" t="n">
        <x:v>3745</x:v>
      </x:c>
      <x:c r="K1448" s="43" t="n">
        <x:v>303.94200794791317</x:v>
      </x:c>
      <x:c r="L1448" s="43" t="n">
        <x:v>164.23133592191238</x:v>
      </x:c>
    </x:row>
    <x:row r="1449" ht="15" hidden="0" customHeight="1">
      <x:c r="A1449" s="29" t="str">
        <x:v>29055</x:v>
      </x:c>
      <x:c r="B1449" s="29" t="str">
        <x:v>SCA-19</x:v>
      </x:c>
      <x:c r="C1449" s="44" t="n">
        <x:v>22929</x:v>
      </x:c>
      <x:c r="D1449" s="44" t="n">
        <x:v>346.05041989934205</x:v>
      </x:c>
      <x:c r="E1449" s="44" t="n">
        <x:v>4420.583074253681</x:v>
      </x:c>
      <x:c r="F1449" s="44" t="n">
        <x:v>137.6929292449676</x:v>
      </x:c>
      <x:c r="G1449" s="44" t="n">
        <x:v>474.70845753436845</x:v>
      </x:c>
      <x:c r="H1449" s="44" t="n">
        <x:v>17549.96511906764</x:v>
      </x:c>
      <x:c r="I1449" s="44" t="n">
        <x:v>22929</x:v>
      </x:c>
      <x:c r="J1449" s="44" t="n">
        <x:v>4514</x:v>
      </x:c>
      <x:c r="K1449" s="44" t="n">
        <x:v>299.55238771707286</x:v>
      </x:c>
      <x:c r="L1449" s="44" t="n">
        <x:v>161.85945847210527</x:v>
      </x:c>
    </x:row>
    <x:row r="1450" ht="15" hidden="0" customHeight="1">
      <x:c r="A1450" s="27" t="str">
        <x:v>17165</x:v>
      </x:c>
      <x:c r="B1450" s="27" t="str">
        <x:v>SCA-19</x:v>
      </x:c>
      <x:c r="C1450" s="43" t="n">
        <x:v>22772</x:v>
      </x:c>
      <x:c r="D1450" s="43" t="n">
        <x:v>368.2309905005203</x:v>
      </x:c>
      <x:c r="E1450" s="43" t="n">
        <x:v>5224.073029744669</x:v>
      </x:c>
      <x:c r="F1450" s="43" t="n">
        <x:v>116.17043957690387</x:v>
      </x:c>
      <x:c r="G1450" s="43" t="n">
        <x:v>957.3802755110994</x:v>
      </x:c>
      <x:c r="H1450" s="43" t="n">
        <x:v>16106.145264666808</x:v>
      </x:c>
      <x:c r="I1450" s="43" t="n">
        <x:v>22772</x:v>
      </x:c>
      <x:c r="J1450" s="43" t="n">
        <x:v>5447</x:v>
      </x:c>
      <x:c r="K1450" s="43" t="n">
        <x:v>266.7317205047296</x:v>
      </x:c>
      <x:c r="L1450" s="43" t="n">
        <x:v>150.56128092782572</x:v>
      </x:c>
    </x:row>
    <x:row r="1451" ht="15" hidden="0" customHeight="1">
      <x:c r="A1451" s="29" t="str">
        <x:v>29083</x:v>
      </x:c>
      <x:c r="B1451" s="29" t="str">
        <x:v>SCA-19</x:v>
      </x:c>
      <x:c r="C1451" s="44" t="n">
        <x:v>22671</x:v>
      </x:c>
      <x:c r="D1451" s="44" t="n">
        <x:v>328.16113825388226</x:v>
      </x:c>
      <x:c r="E1451" s="44" t="n">
        <x:v>4034.9506277662354</x:v>
      </x:c>
      <x:c r="F1451" s="44" t="n">
        <x:v>136.1435910381029</x:v>
      </x:c>
      <x:c r="G1451" s="44" t="n">
        <x:v>520.9403622075693</x:v>
      </x:c>
      <x:c r="H1451" s="44" t="n">
        <x:v>17650.80428073421</x:v>
      </x:c>
      <x:c r="I1451" s="44" t="n">
        <x:v>22671</x:v>
      </x:c>
      <x:c r="J1451" s="44" t="n">
        <x:v>4105</x:v>
      </x:c>
      <x:c r="K1451" s="44" t="n">
        <x:v>296.181786468392</x:v>
      </x:c>
      <x:c r="L1451" s="44" t="n">
        <x:v>160.03819543028908</x:v>
      </x:c>
    </x:row>
    <x:row r="1452" ht="15" hidden="0" customHeight="1">
      <x:c r="A1452" s="27" t="str">
        <x:v>19183</x:v>
      </x:c>
      <x:c r="B1452" s="27" t="str">
        <x:v>SCA-19</x:v>
      </x:c>
      <x:c r="C1452" s="43" t="n">
        <x:v>22667</x:v>
      </x:c>
      <x:c r="D1452" s="43" t="n">
        <x:v>326.1485983969524</x:v>
      </x:c>
      <x:c r="E1452" s="43" t="n">
        <x:v>3048.16870003601</x:v>
      </x:c>
      <x:c r="F1452" s="43" t="n">
        <x:v>106.18624410412437</x:v>
      </x:c>
      <x:c r="G1452" s="43" t="n">
        <x:v>741.2517104789341</x:v>
      </x:c>
      <x:c r="H1452" s="43" t="n">
        <x:v>18445.24474698398</x:v>
      </x:c>
      <x:c r="I1452" s="43" t="n">
        <x:v>22667</x:v>
      </x:c>
      <x:c r="J1452" s="43" t="n">
        <x:v>3112</x:v>
      </x:c>
      <x:c r="K1452" s="43" t="n">
        <x:v>305.3278133329097</x:v>
      </x:c>
      <x:c r="L1452" s="43" t="n">
        <x:v>199.14156922878536</x:v>
      </x:c>
    </x:row>
    <x:row r="1453" ht="15" hidden="0" customHeight="1">
      <x:c r="A1453" s="29" t="str">
        <x:v>29141</x:v>
      </x:c>
      <x:c r="B1453" s="29" t="str">
        <x:v>SCA-19</x:v>
      </x:c>
      <x:c r="C1453" s="44" t="n">
        <x:v>22418</x:v>
      </x:c>
      <x:c r="D1453" s="44" t="n">
        <x:v>343.4307343070691</x:v>
      </x:c>
      <x:c r="E1453" s="44" t="n">
        <x:v>4444.28414695709</x:v>
      </x:c>
      <x:c r="F1453" s="44" t="n">
        <x:v>134.62427876547972</x:v>
      </x:c>
      <x:c r="G1453" s="44" t="n">
        <x:v>1602.0633822567074</x:v>
      </x:c>
      <x:c r="H1453" s="44" t="n">
        <x:v>15893.597457713653</x:v>
      </x:c>
      <x:c r="I1453" s="44" t="n">
        <x:v>22418</x:v>
      </x:c>
      <x:c r="J1453" s="44" t="n">
        <x:v>4418</x:v>
      </x:c>
      <x:c r="K1453" s="44" t="n">
        <x:v>292.87650694933666</x:v>
      </x:c>
      <x:c r="L1453" s="44" t="n">
        <x:v>158.25222818385694</x:v>
      </x:c>
    </x:row>
    <x:row r="1454" ht="15" hidden="0" customHeight="1">
      <x:c r="A1454" s="27" t="str">
        <x:v>19123</x:v>
      </x:c>
      <x:c r="B1454" s="27" t="str">
        <x:v>SCA-19</x:v>
      </x:c>
      <x:c r="C1454" s="43" t="n">
        <x:v>21880</x:v>
      </x:c>
      <x:c r="D1454" s="43" t="n">
        <x:v>326.972758583982</x:v>
      </x:c>
      <x:c r="E1454" s="43" t="n">
        <x:v>3233.889602432395</x:v>
      </x:c>
      <x:c r="F1454" s="43" t="n">
        <x:v>102.4994494639009</x:v>
      </x:c>
      <x:c r="G1454" s="43" t="n">
        <x:v>550.349311282075</x:v>
      </x:c>
      <x:c r="H1454" s="43" t="n">
        <x:v>17666.288878237647</x:v>
      </x:c>
      <x:c r="I1454" s="43" t="n">
        <x:v>21880</x:v>
      </x:c>
      <x:c r="J1454" s="43" t="n">
        <x:v>3342</x:v>
      </x:c>
      <x:c r="K1454" s="43" t="n">
        <x:v>294.7268079465331</x:v>
      </x:c>
      <x:c r="L1454" s="43" t="n">
        <x:v>192.22735848263218</x:v>
      </x:c>
    </x:row>
    <x:row r="1455" ht="15" hidden="0" customHeight="1">
      <x:c r="A1455" s="29" t="str">
        <x:v>17083</x:v>
      </x:c>
      <x:c r="B1455" s="29" t="str">
        <x:v>SCA-19</x:v>
      </x:c>
      <x:c r="C1455" s="44" t="n">
        <x:v>21160</x:v>
      </x:c>
      <x:c r="D1455" s="44" t="n">
        <x:v>251.74765904292224</x:v>
      </x:c>
      <x:c r="E1455" s="44" t="n">
        <x:v>2684.26592723622</x:v>
      </x:c>
      <x:c r="F1455" s="44" t="n">
        <x:v>107.94688659086975</x:v>
      </x:c>
      <x:c r="G1455" s="44" t="n">
        <x:v>494.2455179997131</x:v>
      </x:c>
      <x:c r="H1455" s="44" t="n">
        <x:v>17621.794009130277</x:v>
      </x:c>
      <x:c r="I1455" s="44" t="n">
        <x:v>21160</x:v>
      </x:c>
      <x:c r="J1455" s="44" t="n">
        <x:v>2764</x:v>
      </x:c>
      <x:c r="K1455" s="44" t="n">
        <x:v>247.8501319989495</x:v>
      </x:c>
      <x:c r="L1455" s="44" t="n">
        <x:v>139.90324540807975</x:v>
      </x:c>
    </x:row>
    <x:row r="1456" ht="15" hidden="0" customHeight="1">
      <x:c r="A1456" s="27" t="str">
        <x:v>17051</x:v>
      </x:c>
      <x:c r="B1456" s="27" t="str">
        <x:v>SCA-19</x:v>
      </x:c>
      <x:c r="C1456" s="43" t="n">
        <x:v>20790</x:v>
      </x:c>
      <x:c r="D1456" s="43" t="n">
        <x:v>287.97847959232706</x:v>
      </x:c>
      <x:c r="E1456" s="43" t="n">
        <x:v>3612.5173793644567</x:v>
      </x:c>
      <x:c r="F1456" s="43" t="n">
        <x:v>106.05934651343017</x:v>
      </x:c>
      <x:c r="G1456" s="43" t="n">
        <x:v>683.0440368772068</x:v>
      </x:c>
      <x:c r="H1456" s="43" t="n">
        <x:v>16100.400757652578</x:v>
      </x:c>
      <x:c r="I1456" s="43" t="n">
        <x:v>20790</x:v>
      </x:c>
      <x:c r="J1456" s="43" t="n">
        <x:v>3691</x:v>
      </x:c>
      <x:c r="K1456" s="43" t="n">
        <x:v>243.5162686322382</x:v>
      </x:c>
      <x:c r="L1456" s="43" t="n">
        <x:v>137.45692211880802</x:v>
      </x:c>
    </x:row>
    <x:row r="1457" ht="15" hidden="0" customHeight="1">
      <x:c r="A1457" s="29" t="str">
        <x:v>17173</x:v>
      </x:c>
      <x:c r="B1457" s="29" t="str">
        <x:v>SCA-19</x:v>
      </x:c>
      <x:c r="C1457" s="44" t="n">
        <x:v>20576</x:v>
      </x:c>
      <x:c r="D1457" s="44" t="n">
        <x:v>253.64206056826703</x:v>
      </x:c>
      <x:c r="E1457" s="44" t="n">
        <x:v>2822.4009347159335</x:v>
      </x:c>
      <x:c r="F1457" s="44" t="n">
        <x:v>104.96763414431643</x:v>
      </x:c>
      <x:c r="G1457" s="44" t="n">
        <x:v>521.5545007545884</x:v>
      </x:c>
      <x:c r="H1457" s="44" t="n">
        <x:v>16873.434869816894</x:v>
      </x:c>
      <x:c r="I1457" s="44" t="n">
        <x:v>20576</x:v>
      </x:c>
      <x:c r="J1457" s="44" t="n">
        <x:v>2935</x:v>
      </x:c>
      <x:c r="K1457" s="44" t="n">
        <x:v>241.00965576608624</x:v>
      </x:c>
      <x:c r="L1457" s="44" t="n">
        <x:v>136.0420216217698</x:v>
      </x:c>
    </x:row>
    <x:row r="1458" ht="15" hidden="0" customHeight="1">
      <x:c r="A1458" s="27" t="str">
        <x:v>29015</x:v>
      </x:c>
      <x:c r="B1458" s="27" t="str">
        <x:v>SCA-19</x:v>
      </x:c>
      <x:c r="C1458" s="43" t="n">
        <x:v>20536</x:v>
      </x:c>
      <x:c r="D1458" s="43" t="n">
        <x:v>349.06853218754446</x:v>
      </x:c>
      <x:c r="E1458" s="43" t="n">
        <x:v>4898.439393269714</x:v>
      </x:c>
      <x:c r="F1458" s="43" t="n">
        <x:v>123.32251711695471</x:v>
      </x:c>
      <x:c r="G1458" s="43" t="n">
        <x:v>382.15396785534904</x:v>
      </x:c>
      <x:c r="H1458" s="43" t="n">
        <x:v>14783.015589570437</x:v>
      </x:c>
      <x:c r="I1458" s="43" t="n">
        <x:v>20536</x:v>
      </x:c>
      <x:c r="J1458" s="43" t="n">
        <x:v>4947</x:v>
      </x:c>
      <x:c r="K1458" s="43" t="n">
        <x:v>268.2894079182611</x:v>
      </x:c>
      <x:c r="L1458" s="43" t="n">
        <x:v>144.96689080130636</x:v>
      </x:c>
    </x:row>
    <x:row r="1459" ht="15" hidden="0" customHeight="1">
      <x:c r="A1459" s="29" t="str">
        <x:v>17145</x:v>
      </x:c>
      <x:c r="B1459" s="29" t="str">
        <x:v>SCA-19</x:v>
      </x:c>
      <x:c r="C1459" s="44" t="n">
        <x:v>20160</x:v>
      </x:c>
      <x:c r="D1459" s="44" t="n">
        <x:v>303.23793621487374</x:v>
      </x:c>
      <x:c r="E1459" s="44" t="n">
        <x:v>4078.7130089374377</x:v>
      </x:c>
      <x:c r="F1459" s="44" t="n">
        <x:v>102.84542692211409</x:v>
      </x:c>
      <x:c r="G1459" s="44" t="n">
        <x:v>808.5897053955644</x:v>
      </x:c>
      <x:c r="H1459" s="44" t="n">
        <x:v>14866.61392253001</x:v>
      </x:c>
      <x:c r="I1459" s="44" t="n">
        <x:v>20160</x:v>
      </x:c>
      <x:c r="J1459" s="44" t="n">
        <x:v>3820</x:v>
      </x:c>
      <x:c r="K1459" s="44" t="n">
        <x:v>236.1369877645946</x:v>
      </x:c>
      <x:c r="L1459" s="44" t="n">
        <x:v>133.29156084248052</x:v>
      </x:c>
    </x:row>
    <x:row r="1460" ht="15" hidden="0" customHeight="1">
      <x:c r="A1460" s="27" t="str">
        <x:v>17041</x:v>
      </x:c>
      <x:c r="B1460" s="27" t="str">
        <x:v>SCA-19</x:v>
      </x:c>
      <x:c r="C1460" s="43" t="n">
        <x:v>19880</x:v>
      </x:c>
      <x:c r="D1460" s="43" t="n">
        <x:v>231.15636260754283</x:v>
      </x:c>
      <x:c r="E1460" s="43" t="n">
        <x:v>2393.185762642322</x:v>
      </x:c>
      <x:c r="F1460" s="43" t="n">
        <x:v>101.41701821486251</x:v>
      </x:c>
      <x:c r="G1460" s="43" t="n">
        <x:v>2026.4540465688788</x:v>
      </x:c>
      <x:c r="H1460" s="43" t="n">
        <x:v>15127.786809966394</x:v>
      </x:c>
      <x:c r="I1460" s="43" t="n">
        <x:v>19880</x:v>
      </x:c>
      <x:c r="J1460" s="43" t="n">
        <x:v>2445</x:v>
      </x:c>
      <x:c r="K1460" s="43" t="n">
        <x:v>232.85730737897524</x:v>
      </x:c>
      <x:c r="L1460" s="43" t="n">
        <x:v>131.44028916411273</x:v>
      </x:c>
    </x:row>
    <x:row r="1461" ht="15" hidden="0" customHeight="1">
      <x:c r="A1461" s="29" t="str">
        <x:v>29229</x:v>
      </x:c>
      <x:c r="B1461" s="29" t="str">
        <x:v>SCA-19</x:v>
      </x:c>
      <x:c r="C1461" s="44" t="n">
        <x:v>19671</x:v>
      </x:c>
      <x:c r="D1461" s="44" t="n">
        <x:v>279.23180199875105</x:v>
      </x:c>
      <x:c r="E1461" s="44" t="n">
        <x:v>3368.906011173184</x:v>
      </x:c>
      <x:c r="F1461" s="44" t="n">
        <x:v>118.12803049316403</x:v>
      </x:c>
      <x:c r="G1461" s="44" t="n">
        <x:v>860.2167597765364</x:v>
      </x:c>
      <x:c r="H1461" s="44" t="n">
        <x:v>15044.517396558364</x:v>
      </x:c>
      <x:c r="I1461" s="44" t="n">
        <x:v>19671</x:v>
      </x:c>
      <x:c r="J1461" s="44" t="n">
        <x:v>3353</x:v>
      </x:c>
      <x:c r="K1461" s="44" t="n">
        <x:v>256.98874869303245</x:v>
      </x:c>
      <x:c r="L1461" s="44" t="n">
        <x:v>138.86071819986842</x:v>
      </x:c>
    </x:row>
    <x:row r="1462" ht="15" hidden="0" customHeight="1">
      <x:c r="A1462" s="27" t="str">
        <x:v>19087</x:v>
      </x:c>
      <x:c r="B1462" s="27" t="str">
        <x:v>SCA-19</x:v>
      </x:c>
      <x:c r="C1462" s="43" t="n">
        <x:v>19349</x:v>
      </x:c>
      <x:c r="D1462" s="43" t="n">
        <x:v>294.5975518653568</x:v>
      </x:c>
      <x:c r="E1462" s="43" t="n">
        <x:v>2990.552770237905</x:v>
      </x:c>
      <x:c r="F1462" s="43" t="n">
        <x:v>90.64268042399536</x:v>
      </x:c>
      <x:c r="G1462" s="43" t="n">
        <x:v>442.9928149449146</x:v>
      </x:c>
      <x:c r="H1462" s="43" t="n">
        <x:v>15530.21418252783</x:v>
      </x:c>
      <x:c r="I1462" s="43" t="n">
        <x:v>19349</x:v>
      </x:c>
      <x:c r="J1462" s="43" t="n">
        <x:v>3025</x:v>
      </x:c>
      <x:c r="K1462" s="43" t="n">
        <x:v>260.6338668627728</x:v>
      </x:c>
      <x:c r="L1462" s="43" t="n">
        <x:v>169.99118643877742</x:v>
      </x:c>
    </x:row>
    <x:row r="1463" ht="15" hidden="0" customHeight="1">
      <x:c r="A1463" s="29" t="str">
        <x:v>29157</x:v>
      </x:c>
      <x:c r="B1463" s="29" t="str">
        <x:v>SCA-19</x:v>
      </x:c>
      <x:c r="C1463" s="44" t="n">
        <x:v>19093</x:v>
      </x:c>
      <x:c r="D1463" s="44" t="n">
        <x:v>252.30732138747038</x:v>
      </x:c>
      <x:c r="E1463" s="44" t="n">
        <x:v>2820.643131215912</x:v>
      </x:c>
      <x:c r="F1463" s="44" t="n">
        <x:v>114.65703249483914</x:v>
      </x:c>
      <x:c r="G1463" s="44" t="n">
        <x:v>415.44134317185325</x:v>
      </x:c>
      <x:c r="H1463" s="44" t="n">
        <x:v>15489.951171729925</x:v>
      </x:c>
      <x:c r="I1463" s="44" t="n">
        <x:v>19093</x:v>
      </x:c>
      <x:c r="J1463" s="44" t="n">
        <x:v>2878</x:v>
      </x:c>
      <x:c r="K1463" s="44" t="n">
        <x:v>249.43755674831317</x:v>
      </x:c>
      <x:c r="L1463" s="44" t="n">
        <x:v>134.78052425347403</x:v>
      </x:c>
    </x:row>
    <x:row r="1464" ht="15" hidden="0" customHeight="1">
      <x:c r="A1464" s="27" t="str">
        <x:v>29186</x:v>
      </x:c>
      <x:c r="B1464" s="27" t="str">
        <x:v>SCA-19</x:v>
      </x:c>
      <x:c r="C1464" s="43" t="n">
        <x:v>18689</x:v>
      </x:c>
      <x:c r="D1464" s="43" t="n">
        <x:v>253.97250463285076</x:v>
      </x:c>
      <x:c r="E1464" s="43" t="n">
        <x:v>2929.053135513761</x:v>
      </x:c>
      <x:c r="F1464" s="43" t="n">
        <x:v>112.23093700812069</x:v>
      </x:c>
      <x:c r="G1464" s="43" t="n">
        <x:v>426.7392863052231</x:v>
      </x:c>
      <x:c r="H1464" s="43" t="n">
        <x:v>14967.004136540045</x:v>
      </x:c>
      <x:c r="I1464" s="43" t="n">
        <x:v>18689</x:v>
      </x:c>
      <x:c r="J1464" s="43" t="n">
        <x:v>2960</x:v>
      </x:c>
      <x:c r="K1464" s="43" t="n">
        <x:v>244.15956099456474</x:v>
      </x:c>
      <x:c r="L1464" s="43" t="n">
        <x:v>131.92862398644405</x:v>
      </x:c>
    </x:row>
    <x:row r="1465" ht="15" hidden="0" customHeight="1">
      <x:c r="A1465" s="29" t="str">
        <x:v>19157</x:v>
      </x:c>
      <x:c r="B1465" s="29" t="str">
        <x:v>SCA-19</x:v>
      </x:c>
      <x:c r="C1465" s="44" t="n">
        <x:v>18368</x:v>
      </x:c>
      <x:c r="D1465" s="44" t="n">
        <x:v>266.62560707569133</x:v>
      </x:c>
      <x:c r="E1465" s="44" t="n">
        <x:v>2526.072572804905</x:v>
      </x:c>
      <x:c r="F1465" s="44" t="n">
        <x:v>86.04706982417419</x:v>
      </x:c>
      <x:c r="G1465" s="44" t="n">
        <x:v>627.1366323626012</x:v>
      </x:c>
      <x:c r="H1465" s="44" t="n">
        <x:v>14862.118117932629</x:v>
      </x:c>
      <x:c r="I1465" s="44" t="n">
        <x:v>18368</x:v>
      </x:c>
      <x:c r="J1465" s="44" t="n">
        <x:v>2617</x:v>
      </x:c>
      <x:c r="K1465" s="44" t="n">
        <x:v>247.4196530329945</x:v>
      </x:c>
      <x:c r="L1465" s="44" t="n">
        <x:v>161.3725832088203</x:v>
      </x:c>
    </x:row>
    <x:row r="1466" ht="15" hidden="0" customHeight="1">
      <x:c r="A1466" s="27" t="str">
        <x:v>29059</x:v>
      </x:c>
      <x:c r="B1466" s="27" t="str">
        <x:v>SCA-19</x:v>
      </x:c>
      <x:c r="C1466" s="43" t="n">
        <x:v>18025</x:v>
      </x:c>
      <x:c r="D1466" s="43" t="n">
        <x:v>285.75494623308964</x:v>
      </x:c>
      <x:c r="E1466" s="43" t="n">
        <x:v>3804.326492967489</x:v>
      </x:c>
      <x:c r="F1466" s="43" t="n">
        <x:v>108.24349294084091</x:v>
      </x:c>
      <x:c r="G1466" s="43" t="n">
        <x:v>420.1094650680194</x:v>
      </x:c>
      <x:c r="H1466" s="43" t="n">
        <x:v>13406.56560279056</x:v>
      </x:c>
      <x:c r="I1466" s="43" t="n">
        <x:v>18025</x:v>
      </x:c>
      <x:c r="J1466" s="43" t="n">
        <x:v>3814</x:v>
      </x:c>
      <x:c r="K1466" s="43" t="n">
        <x:v>235.48483530028517</x:v>
      </x:c>
      <x:c r="L1466" s="43" t="n">
        <x:v>127.24134235944426</x:v>
      </x:c>
    </x:row>
    <x:row r="1467" ht="15" hidden="0" customHeight="1">
      <x:c r="A1467" s="29" t="str">
        <x:v>29163</x:v>
      </x:c>
      <x:c r="B1467" s="29" t="str">
        <x:v>SCA-19</x:v>
      </x:c>
      <x:c r="C1467" s="44" t="n">
        <x:v>17955</x:v>
      </x:c>
      <x:c r="D1467" s="44" t="n">
        <x:v>249.45541577770618</x:v>
      </x:c>
      <x:c r="E1467" s="44" t="n">
        <x:v>2944.997149287322</x:v>
      </x:c>
      <x:c r="F1467" s="44" t="n">
        <x:v>107.82312986145901</x:v>
      </x:c>
      <x:c r="G1467" s="44" t="n">
        <x:v>568.7933233308327</x:v>
      </x:c>
      <x:c r="H1467" s="44" t="n">
        <x:v>14083.93098174268</x:v>
      </x:c>
      <x:c r="I1467" s="44" t="n">
        <x:v>17955</x:v>
      </x:c>
      <x:c r="J1467" s="44" t="n">
        <x:v>2733</x:v>
      </x:c>
      <x:c r="K1467" s="44" t="n">
        <x:v>234.5703310855268</x:v>
      </x:c>
      <x:c r="L1467" s="44" t="n">
        <x:v>126.74720122406778</x:v>
      </x:c>
    </x:row>
    <x:row r="1468" ht="15" hidden="0" customHeight="1">
      <x:c r="A1468" s="27" t="str">
        <x:v>29053</x:v>
      </x:c>
      <x:c r="B1468" s="27" t="str">
        <x:v>SCA-19</x:v>
      </x:c>
      <x:c r="C1468" s="43" t="n">
        <x:v>17136</x:v>
      </x:c>
      <x:c r="D1468" s="43" t="n">
        <x:v>224.32714624406438</x:v>
      </x:c>
      <x:c r="E1468" s="43" t="n">
        <x:v>2480.6735112936344</x:v>
      </x:c>
      <x:c r="F1468" s="43" t="n">
        <x:v>102.9048818326907</x:v>
      </x:c>
      <x:c r="G1468" s="43" t="n">
        <x:v>398.2768223819302</x:v>
      </x:c>
      <x:c r="H1468" s="43" t="n">
        <x:v>13929.817638247681</x:v>
      </x:c>
      <x:c r="I1468" s="43" t="n">
        <x:v>17136</x:v>
      </x:c>
      <x:c r="J1468" s="43" t="n">
        <x:v>2350</x:v>
      </x:c>
      <x:c r="K1468" s="43" t="n">
        <x:v>223.87063177285364</x:v>
      </x:c>
      <x:c r="L1468" s="43" t="n">
        <x:v>120.96574994016294</x:v>
      </x:c>
    </x:row>
    <x:row r="1469" ht="15" hidden="0" customHeight="1">
      <x:c r="A1469" s="29" t="str">
        <x:v>17005</x:v>
      </x:c>
      <x:c r="B1469" s="29" t="str">
        <x:v>SCA-19</x:v>
      </x:c>
      <x:c r="C1469" s="44" t="n">
        <x:v>16959</x:v>
      </x:c>
      <x:c r="D1469" s="44" t="n">
        <x:v>244.82785717326868</x:v>
      </x:c>
      <x:c r="E1469" s="44" t="n">
        <x:v>3184.8071670065115</x:v>
      </x:c>
      <x:c r="F1469" s="44" t="n">
        <x:v>86.51565452242721</x:v>
      </x:c>
      <x:c r="G1469" s="44" t="n">
        <x:v>545.370124317569</x:v>
      </x:c>
      <x:c r="H1469" s="44" t="n">
        <x:v>12897.479196980225</x:v>
      </x:c>
      <x:c r="I1469" s="44" t="n">
        <x:v>16959</x:v>
      </x:c>
      <x:c r="J1469" s="44" t="n">
        <x:v>2974</x:v>
      </x:c>
      <x:c r="K1469" s="44" t="n">
        <x:v>198.6432130704246</x:v>
      </x:c>
      <x:c r="L1469" s="44" t="n">
        <x:v>112.12755854799738</x:v>
      </x:c>
    </x:row>
    <x:row r="1470" ht="15" hidden="0" customHeight="1">
      <x:c r="A1470" s="27" t="str">
        <x:v>17067</x:v>
      </x:c>
      <x:c r="B1470" s="27" t="str">
        <x:v>SCA-19</x:v>
      </x:c>
      <x:c r="C1470" s="43" t="n">
        <x:v>16803</x:v>
      </x:c>
      <x:c r="D1470" s="43" t="n">
        <x:v>262.8308239341153</x:v>
      </x:c>
      <x:c r="E1470" s="43" t="n">
        <x:v>3641.632516280434</x:v>
      </x:c>
      <x:c r="F1470" s="43" t="n">
        <x:v>85.71982681410134</x:v>
      </x:c>
      <x:c r="G1470" s="43" t="n">
        <x:v>435.12549134643587</x:v>
      </x:c>
      <x:c r="H1470" s="43" t="n">
        <x:v>12377.691341624914</x:v>
      </x:c>
      <x:c r="I1470" s="43" t="n">
        <x:v>16803</x:v>
      </x:c>
      <x:c r="J1470" s="43" t="n">
        <x:v>3848</x:v>
      </x:c>
      <x:c r="K1470" s="43" t="n">
        <x:v>196.81596256986523</x:v>
      </x:c>
      <x:c r="L1470" s="43" t="n">
        <x:v>111.0961357557639</x:v>
      </x:c>
    </x:row>
    <x:row r="1471" ht="15" hidden="0" customHeight="1">
      <x:c r="A1471" s="29" t="str">
        <x:v>17147</x:v>
      </x:c>
      <x:c r="B1471" s="29" t="str">
        <x:v>SCA-19</x:v>
      </x:c>
      <x:c r="C1471" s="44" t="n">
        <x:v>16791</x:v>
      </x:c>
      <x:c r="D1471" s="44" t="n">
        <x:v>198.51121375345562</x:v>
      </x:c>
      <x:c r="E1471" s="44" t="n">
        <x:v>2099.866037099494</x:v>
      </x:c>
      <x:c r="F1471" s="44" t="n">
        <x:v>85.65860929807629</x:v>
      </x:c>
      <x:c r="G1471" s="44" t="n">
        <x:v>161.76981450252953</x:v>
      </x:c>
      <x:c r="H1471" s="44" t="n">
        <x:v>14245.194325346445</x:v>
      </x:c>
      <x:c r="I1471" s="44" t="n">
        <x:v>16791</x:v>
      </x:c>
      <x:c r="J1471" s="44" t="n">
        <x:v>2163</x:v>
      </x:c>
      <x:c r="K1471" s="44" t="n">
        <x:v>196.675404839053</x:v>
      </x:c>
      <x:c r="L1471" s="44" t="n">
        <x:v>111.0167955409767</x:v>
      </x:c>
    </x:row>
    <x:row r="1472" ht="15" hidden="0" customHeight="1">
      <x:c r="A1472" s="27" t="str">
        <x:v>17181</x:v>
      </x:c>
      <x:c r="B1472" s="27" t="str">
        <x:v>SCA-19</x:v>
      </x:c>
      <x:c r="C1472" s="43" t="n">
        <x:v>16656</x:v>
      </x:c>
      <x:c r="D1472" s="43" t="n">
        <x:v>250.96391940142158</x:v>
      </x:c>
      <x:c r="E1472" s="43" t="n">
        <x:v>3380.1528306432187</x:v>
      </x:c>
      <x:c r="F1472" s="43" t="n">
        <x:v>84.96991224279425</x:v>
      </x:c>
      <x:c r="G1472" s="43" t="n">
        <x:v>591.8481691158756</x:v>
      </x:c>
      <x:c r="H1472" s="43" t="n">
        <x:v>12348.065168596691</x:v>
      </x:c>
      <x:c r="I1472" s="43" t="n">
        <x:v>16656</x:v>
      </x:c>
      <x:c r="J1472" s="43" t="n">
        <x:v>3510</x:v>
      </x:c>
      <x:c r="K1472" s="43" t="n">
        <x:v>195.09413036741506</x:v>
      </x:c>
      <x:c r="L1472" s="43" t="n">
        <x:v>110.12421812462081</x:v>
      </x:c>
    </x:row>
    <x:row r="1473" ht="15" hidden="0" customHeight="1">
      <x:c r="A1473" s="29" t="str">
        <x:v>17187</x:v>
      </x:c>
      <x:c r="B1473" s="29" t="str">
        <x:v>SCA-19</x:v>
      </x:c>
      <x:c r="C1473" s="44" t="n">
        <x:v>16222</x:v>
      </x:c>
      <x:c r="D1473" s="44" t="n">
        <x:v>196.96000811414908</x:v>
      </x:c>
      <x:c r="E1473" s="44" t="n">
        <x:v>2152.92626618396</x:v>
      </x:c>
      <x:c r="F1473" s="44" t="n">
        <x:v>82.75587874655432</x:v>
      </x:c>
      <x:c r="G1473" s="44" t="n">
        <x:v>606.6746026876112</x:v>
      </x:c>
      <x:c r="H1473" s="44" t="n">
        <x:v>13182.683244267726</x:v>
      </x:c>
      <x:c r="I1473" s="44" t="n">
        <x:v>16222</x:v>
      </x:c>
      <x:c r="J1473" s="44" t="n">
        <x:v>2253</x:v>
      </x:c>
      <x:c r="K1473" s="44" t="n">
        <x:v>190.01062576970506</x:v>
      </x:c>
      <x:c r="L1473" s="44" t="n">
        <x:v>107.25474702315074</x:v>
      </x:c>
    </x:row>
    <x:row r="1474" ht="15" hidden="0" customHeight="1">
      <x:c r="A1474" s="27" t="str">
        <x:v>17191</x:v>
      </x:c>
      <x:c r="B1474" s="27" t="str">
        <x:v>SCA-19</x:v>
      </x:c>
      <x:c r="C1474" s="43" t="n">
        <x:v>15882</x:v>
      </x:c>
      <x:c r="D1474" s="43" t="n">
        <x:v>213.23907082821376</x:v>
      </x:c>
      <x:c r="E1474" s="43" t="n">
        <x:v>2597.5751173768017</x:v>
      </x:c>
      <x:c r="F1474" s="43" t="n">
        <x:v>81.02138245917739</x:v>
      </x:c>
      <x:c r="G1474" s="43" t="n">
        <x:v>764.0897476241425</x:v>
      </x:c>
      <x:c r="H1474" s="43" t="n">
        <x:v>12226.074681711663</x:v>
      </x:c>
      <x:c r="I1474" s="43" t="n">
        <x:v>15882</x:v>
      </x:c>
      <x:c r="J1474" s="43" t="n">
        <x:v>2707</x:v>
      </x:c>
      <x:c r="K1474" s="43" t="n">
        <x:v>186.0281567300244</x:v>
      </x:c>
      <x:c r="L1474" s="43" t="n">
        <x:v>105.006774270847</x:v>
      </x:c>
    </x:row>
    <x:row r="1475" ht="15" hidden="0" customHeight="1">
      <x:c r="A1475" s="29" t="str">
        <x:v>29135</x:v>
      </x:c>
      <x:c r="B1475" s="29" t="str">
        <x:v>SCA-19</x:v>
      </x:c>
      <x:c r="C1475" s="44" t="n">
        <x:v>15428</x:v>
      </x:c>
      <x:c r="D1475" s="44" t="n">
        <x:v>201.18915298948443</x:v>
      </x:c>
      <x:c r="E1475" s="44" t="n">
        <x:v>2214.7307220601833</x:v>
      </x:c>
      <x:c r="F1475" s="44" t="n">
        <x:v>92.64802269577218</x:v>
      </x:c>
      <x:c r="G1475" s="44" t="n">
        <x:v>862.7977164402076</x:v>
      </x:c>
      <x:c r="H1475" s="44" t="n">
        <x:v>12056.634385814352</x:v>
      </x:c>
      <x:c r="I1475" s="44" t="n">
        <x:v>15428</x:v>
      </x:c>
      <x:c r="J1475" s="44" t="n">
        <x:v>2102</x:v>
      </x:c>
      <x:c r="K1475" s="44" t="n">
        <x:v>201.55672893274894</x:v>
      </x:c>
      <x:c r="L1475" s="44" t="n">
        <x:v>108.90870623697676</x:v>
      </x:c>
    </x:row>
    <x:row r="1476" ht="15" hidden="0" customHeight="1">
      <x:c r="A1476" s="27" t="str">
        <x:v>19101</x:v>
      </x:c>
      <x:c r="B1476" s="27" t="str">
        <x:v>SCA-19</x:v>
      </x:c>
      <x:c r="C1476" s="43" t="n">
        <x:v>15291</x:v>
      </x:c>
      <x:c r="D1476" s="43" t="n">
        <x:v>216.53479154636315</x:v>
      </x:c>
      <x:c r="E1476" s="43" t="n">
        <x:v>1972.6866915647136</x:v>
      </x:c>
      <x:c r="F1476" s="43" t="n">
        <x:v>71.63249916601958</x:v>
      </x:c>
      <x:c r="G1476" s="43" t="n">
        <x:v>772.1285254346427</x:v>
      </x:c>
      <x:c r="H1476" s="43" t="n">
        <x:v>12258.01749228826</x:v>
      </x:c>
      <x:c r="I1476" s="43" t="n">
        <x:v>15291</x:v>
      </x:c>
      <x:c r="J1476" s="43" t="n">
        <x:v>2087</x:v>
      </x:c>
      <x:c r="K1476" s="43" t="n">
        <x:v>205.97201189718635</x:v>
      </x:c>
      <x:c r="L1476" s="43" t="n">
        <x:v>134.33951273116676</x:v>
      </x:c>
    </x:row>
    <x:row r="1477" ht="15" hidden="0" customHeight="1">
      <x:c r="A1477" s="29" t="str">
        <x:v>17159</x:v>
      </x:c>
      <x:c r="B1477" s="29" t="str">
        <x:v>SCA-19</x:v>
      </x:c>
      <x:c r="C1477" s="44" t="n">
        <x:v>15219</x:v>
      </x:c>
      <x:c r="D1477" s="44" t="n">
        <x:v>207.66273598419795</x:v>
      </x:c>
      <x:c r="E1477" s="44" t="n">
        <x:v>2568.9482059282373</x:v>
      </x:c>
      <x:c r="F1477" s="44" t="n">
        <x:v>77.63911469879238</x:v>
      </x:c>
      <x:c r="G1477" s="44" t="n">
        <x:v>647.3839378575143</x:v>
      </x:c>
      <x:c r="H1477" s="44" t="n">
        <x:v>11717.366005531258</x:v>
      </x:c>
      <x:c r="I1477" s="44" t="n">
        <x:v>15219</x:v>
      </x:c>
      <x:c r="J1477" s="44" t="n">
        <x:v>2705</x:v>
      </x:c>
      <x:c r="K1477" s="44" t="n">
        <x:v>178.2623421026471</x:v>
      </x:c>
      <x:c r="L1477" s="44" t="n">
        <x:v>100.62322740385471</x:v>
      </x:c>
    </x:row>
    <x:row r="1478" ht="15" hidden="0" customHeight="1">
      <x:c r="A1478" s="27" t="str">
        <x:v>29121</x:v>
      </x:c>
      <x:c r="B1478" s="27" t="str">
        <x:v>SCA-19</x:v>
      </x:c>
      <x:c r="C1478" s="43" t="n">
        <x:v>15190</x:v>
      </x:c>
      <x:c r="D1478" s="43" t="n">
        <x:v>204.4121235348378</x:v>
      </x:c>
      <x:c r="E1478" s="43" t="n">
        <x:v>2332.4039317953857</x:v>
      </x:c>
      <x:c r="F1478" s="43" t="n">
        <x:v>91.21878822587371</x:v>
      </x:c>
      <x:c r="G1478" s="43" t="n">
        <x:v>554.4353059177533</x:v>
      </x:c>
      <x:c r="H1478" s="43" t="n">
        <x:v>12007.529850526149</x:v>
      </x:c>
      <x:c r="I1478" s="43" t="n">
        <x:v>15190</x:v>
      </x:c>
      <x:c r="J1478" s="43" t="n">
        <x:v>2392</x:v>
      </x:c>
      <x:c r="K1478" s="43" t="n">
        <x:v>198.44741460257043</x:v>
      </x:c>
      <x:c r="L1478" s="43" t="n">
        <x:v>107.22862637669672</x:v>
      </x:c>
    </x:row>
    <x:row r="1479" ht="15" hidden="0" customHeight="1">
      <x:c r="A1479" s="29" t="str">
        <x:v>29073</x:v>
      </x:c>
      <x:c r="B1479" s="29" t="str">
        <x:v>SCA-19</x:v>
      </x:c>
      <x:c r="C1479" s="44" t="n">
        <x:v>14784</x:v>
      </x:c>
      <x:c r="D1479" s="44" t="n">
        <x:v>201.3896029738944</x:v>
      </x:c>
      <x:c r="E1479" s="44" t="n">
        <x:v>2328.6478843771506</x:v>
      </x:c>
      <x:c r="F1479" s="44" t="n">
        <x:v>88.78068236545866</x:v>
      </x:c>
      <x:c r="G1479" s="44" t="n">
        <x:v>503.64521679284246</x:v>
      </x:c>
      <x:c r="H1479" s="44" t="n">
        <x:v>11661.536613490653</x:v>
      </x:c>
      <x:c r="I1479" s="44" t="n">
        <x:v>14784</x:v>
      </x:c>
      <x:c r="J1479" s="44" t="n">
        <x:v>2384</x:v>
      </x:c>
      <x:c r="K1479" s="44" t="n">
        <x:v>193.14329015697177</x:v>
      </x:c>
      <x:c r="L1479" s="44" t="n">
        <x:v>104.36260779151311</x:v>
      </x:c>
    </x:row>
    <x:row r="1480" ht="15" hidden="0" customHeight="1">
      <x:c r="A1480" s="27" t="str">
        <x:v>29117</x:v>
      </x:c>
      <x:c r="B1480" s="27" t="str">
        <x:v>SCA-19</x:v>
      </x:c>
      <x:c r="C1480" s="43" t="n">
        <x:v>14708</x:v>
      </x:c>
      <x:c r="D1480" s="43" t="n">
        <x:v>200.0558921894807</x:v>
      </x:c>
      <x:c r="E1480" s="43" t="n">
        <x:v>2309.514731707317</x:v>
      </x:c>
      <x:c r="F1480" s="43" t="n">
        <x:v>88.32428816498687</x:v>
      </x:c>
      <x:c r="G1480" s="43" t="n">
        <x:v>414.0342987804878</x:v>
      </x:c>
      <x:c r="H1480" s="43" t="n">
        <x:v>11696.070789157728</x:v>
      </x:c>
      <x:c r="I1480" s="43" t="n">
        <x:v>14708</x:v>
      </x:c>
      <x:c r="J1480" s="43" t="n">
        <x:v>2146</x:v>
      </x:c>
      <x:c r="K1480" s="43" t="n">
        <x:v>192.15039986666267</x:v>
      </x:c>
      <x:c r="L1480" s="43" t="n">
        <x:v>103.8261117016758</x:v>
      </x:c>
    </x:row>
    <x:row r="1481" ht="15" hidden="0" customHeight="1">
      <x:c r="A1481" s="29" t="str">
        <x:v>29065</x:v>
      </x:c>
      <x:c r="B1481" s="29" t="str">
        <x:v>SCA-19</x:v>
      </x:c>
      <x:c r="C1481" s="44" t="n">
        <x:v>14584</x:v>
      </x:c>
      <x:c r="D1481" s="44" t="n">
        <x:v>222.6986446461573</x:v>
      </x:c>
      <x:c r="E1481" s="44" t="n">
        <x:v>2873.9488480801333</x:v>
      </x:c>
      <x:c r="F1481" s="44" t="n">
        <x:v>87.57964499579604</x:v>
      </x:c>
      <x:c r="G1481" s="44" t="n">
        <x:v>448.22621035058427</x:v>
      </x:c>
      <x:c r="H1481" s="44" t="n">
        <x:v>10951.546651927329</x:v>
      </x:c>
      <x:c r="I1481" s="44" t="n">
        <x:v>14584</x:v>
      </x:c>
      <x:c r="J1481" s="44" t="n">
        <x:v>2951</x:v>
      </x:c>
      <x:c r="K1481" s="44" t="n">
        <x:v>190.5304209719478</x:v>
      </x:c>
      <x:c r="L1481" s="44" t="n">
        <x:v>102.95077597615175</x:v>
      </x:c>
    </x:row>
    <x:row r="1482" ht="15" hidden="0" customHeight="1">
      <x:c r="A1482" s="27" t="str">
        <x:v>17139</x:v>
      </x:c>
      <x:c r="B1482" s="27" t="str">
        <x:v>SCA-19</x:v>
      </x:c>
      <x:c r="C1482" s="43" t="n">
        <x:v>14371</x:v>
      </x:c>
      <x:c r="D1482" s="43" t="n">
        <x:v>170.33673668320378</x:v>
      </x:c>
      <x:c r="E1482" s="43" t="n">
        <x:v>1807.6852269834533</x:v>
      </x:c>
      <x:c r="F1482" s="43" t="n">
        <x:v>73.31307689968757</x:v>
      </x:c>
      <x:c r="G1482" s="43" t="n">
        <x:v>1529.3904681091783</x:v>
      </x:c>
      <x:c r="H1482" s="43" t="n">
        <x:v>10790.274491324477</x:v>
      </x:c>
      <x:c r="I1482" s="43" t="n">
        <x:v>14371</x:v>
      </x:c>
      <x:c r="J1482" s="43" t="n">
        <x:v>1853</x:v>
      </x:c>
      <x:c r="K1482" s="43" t="n">
        <x:v>168.32959579191413</x:v>
      </x:c>
      <x:c r="L1482" s="43" t="n">
        <x:v>95.01651889222656</x:v>
      </x:c>
    </x:row>
    <x:row r="1483" ht="15" hidden="0" customHeight="1">
      <x:c r="A1483" s="29" t="str">
        <x:v>17149</x:v>
      </x:c>
      <x:c r="B1483" s="29" t="str">
        <x:v>SCA-19</x:v>
      </x:c>
      <x:c r="C1483" s="44" t="n">
        <x:v>14231</x:v>
      </x:c>
      <x:c r="D1483" s="44" t="n">
        <x:v>191.37244142113997</x:v>
      </x:c>
      <x:c r="E1483" s="44" t="n">
        <x:v>2334.757400834335</x:v>
      </x:c>
      <x:c r="F1483" s="44" t="n">
        <x:v>72.5988725460618</x:v>
      </x:c>
      <x:c r="G1483" s="44" t="n">
        <x:v>254.94909142331898</x:v>
      </x:c>
      <x:c r="H1483" s="44" t="n">
        <x:v>11377.322193775144</x:v>
      </x:c>
      <x:c r="I1483" s="44" t="n">
        <x:v>14231</x:v>
      </x:c>
      <x:c r="J1483" s="44" t="n">
        <x:v>2417</x:v>
      </x:c>
      <x:c r="K1483" s="44" t="n">
        <x:v>166.68975559910447</x:v>
      </x:c>
      <x:c r="L1483" s="44" t="n">
        <x:v>94.09088305304267</x:v>
      </x:c>
    </x:row>
    <x:row r="1484" ht="15" hidden="0" customHeight="1">
      <x:c r="A1484" s="27" t="str">
        <x:v>29151</x:v>
      </x:c>
      <x:c r="B1484" s="27" t="str">
        <x:v>SCA-19</x:v>
      </x:c>
      <x:c r="C1484" s="43" t="n">
        <x:v>13611</x:v>
      </x:c>
      <x:c r="D1484" s="43" t="n">
        <x:v>170.35561910469718</x:v>
      </x:c>
      <x:c r="E1484" s="43" t="n">
        <x:v>1782.5617178466853</x:v>
      </x:c>
      <x:c r="F1484" s="43" t="n">
        <x:v>81.73659819238756</x:v>
      </x:c>
      <x:c r="G1484" s="43" t="n">
        <x:v>362.7029056235453</x:v>
      </x:c>
      <x:c r="H1484" s="43" t="n">
        <x:v>11213.643159232684</x:v>
      </x:c>
      <x:c r="I1484" s="43" t="n">
        <x:v>13611</x:v>
      </x:c>
      <x:c r="J1484" s="43" t="n">
        <x:v>1817</x:v>
      </x:c>
      <x:c r="K1484" s="43" t="n">
        <x:v>177.8188123868062</x:v>
      </x:c>
      <x:c r="L1484" s="43" t="n">
        <x:v>96.08221419441864</x:v>
      </x:c>
    </x:row>
    <x:row r="1485" ht="15" hidden="0" customHeight="1">
      <x:c r="A1485" s="29" t="str">
        <x:v>17189</x:v>
      </x:c>
      <x:c r="B1485" s="29" t="str">
        <x:v>SCA-19</x:v>
      </x:c>
      <x:c r="C1485" s="44" t="n">
        <x:v>13564</x:v>
      </x:c>
      <x:c r="D1485" s="44" t="n">
        <x:v>164.02796499672732</x:v>
      </x:c>
      <x:c r="E1485" s="44" t="n">
        <x:v>1784.329813174544</x:v>
      </x:c>
      <x:c r="F1485" s="44" t="n">
        <x:v>69.19619894700178</x:v>
      </x:c>
      <x:c r="G1485" s="44" t="n">
        <x:v>289.95787123185704</x:v>
      </x:c>
      <x:c r="H1485" s="44" t="n">
        <x:v>11256.48815164987</x:v>
      </x:c>
      <x:c r="I1485" s="44" t="n">
        <x:v>13564</x:v>
      </x:c>
      <x:c r="J1485" s="44" t="n">
        <x:v>1841</x:v>
      </x:c>
      <x:c r="K1485" s="44" t="n">
        <x:v>158.87708839478975</x:v>
      </x:c>
      <x:c r="L1485" s="44" t="n">
        <x:v>89.68088944778798</x:v>
      </x:c>
    </x:row>
    <x:row r="1486" ht="15" hidden="0" customHeight="1">
      <x:c r="A1486" s="27" t="str">
        <x:v>17127</x:v>
      </x:c>
      <x:c r="B1486" s="27" t="str">
        <x:v>SCA-19</x:v>
      </x:c>
      <x:c r="C1486" s="43" t="n">
        <x:v>13502</x:v>
      </x:c>
      <x:c r="D1486" s="43" t="n">
        <x:v>184.55366032007566</x:v>
      </x:c>
      <x:c r="E1486" s="43" t="n">
        <x:v>2286.784687568516</x:v>
      </x:c>
      <x:c r="F1486" s="43" t="n">
        <x:v>68.8799084475389</x:v>
      </x:c>
      <x:c r="G1486" s="43" t="n">
        <x:v>367.31520865307317</x:v>
      </x:c>
      <x:c r="H1486" s="43" t="n">
        <x:v>10594.466535010797</x:v>
      </x:c>
      <x:c r="I1486" s="43" t="n">
        <x:v>13502</x:v>
      </x:c>
      <x:c r="J1486" s="43" t="n">
        <x:v>2414</x:v>
      </x:c>
      <x:c r="K1486" s="43" t="n">
        <x:v>158.15087345225973</x:v>
      </x:c>
      <x:c r="L1486" s="43" t="n">
        <x:v>89.27096500472084</x:v>
      </x:c>
    </x:row>
    <x:row r="1487" ht="15" hidden="0" customHeight="1">
      <x:c r="A1487" s="29" t="str">
        <x:v>17087</x:v>
      </x:c>
      <x:c r="B1487" s="29" t="str">
        <x:v>SCA-19</x:v>
      </x:c>
      <x:c r="C1487" s="44" t="n">
        <x:v>13363</x:v>
      </x:c>
      <x:c r="D1487" s="44" t="n">
        <x:v>187.7030412128595</x:v>
      </x:c>
      <x:c r="E1487" s="44" t="n">
        <x:v>2384.426408706167</x:v>
      </x:c>
      <x:c r="F1487" s="44" t="n">
        <x:v>68.17080555358187</x:v>
      </x:c>
      <x:c r="G1487" s="44" t="n">
        <x:v>201.90430126101228</x:v>
      </x:c>
      <x:c r="H1487" s="44" t="n">
        <x:v>10520.79544326638</x:v>
      </x:c>
      <x:c r="I1487" s="44" t="n">
        <x:v>13363</x:v>
      </x:c>
      <x:c r="J1487" s="44" t="n">
        <x:v>2152</x:v>
      </x:c>
      <x:c r="K1487" s="44" t="n">
        <x:v>156.5227464036844</x:v>
      </x:c>
      <x:c r="L1487" s="44" t="n">
        <x:v>88.35194085010254</x:v>
      </x:c>
    </x:row>
    <x:row r="1488" ht="15" hidden="0" customHeight="1">
      <x:c r="A1488" s="27" t="str">
        <x:v>17193</x:v>
      </x:c>
      <x:c r="B1488" s="27" t="str">
        <x:v>SCA-19</x:v>
      </x:c>
      <x:c r="C1488" s="43" t="n">
        <x:v>13250</x:v>
      </x:c>
      <x:c r="D1488" s="43" t="n">
        <x:v>202.28434616215742</x:v>
      </x:c>
      <x:c r="E1488" s="43" t="n">
        <x:v>2752.308616031222</x:v>
      </x:c>
      <x:c r="F1488" s="43" t="n">
        <x:v>67.59434061101248</x:v>
      </x:c>
      <x:c r="G1488" s="43" t="n">
        <x:v>596.7293230261182</x:v>
      </x:c>
      <x:c r="H1488" s="43" t="n">
        <x:v>9631.08337416949</x:v>
      </x:c>
      <x:c r="I1488" s="43" t="n">
        <x:v>13250</x:v>
      </x:c>
      <x:c r="J1488" s="43" t="n">
        <x:v>2883</x:v>
      </x:c>
      <x:c r="K1488" s="43" t="n">
        <x:v>155.1991611052023</x:v>
      </x:c>
      <x:c r="L1488" s="43" t="n">
        <x:v>87.60482049418982</x:v>
      </x:c>
    </x:row>
    <x:row r="1489" ht="15" hidden="0" customHeight="1">
      <x:c r="A1489" s="29" t="str">
        <x:v>29123</x:v>
      </x:c>
      <x:c r="B1489" s="29" t="str">
        <x:v>SCA-19</x:v>
      </x:c>
      <x:c r="C1489" s="44" t="n">
        <x:v>12858</x:v>
      </x:c>
      <x:c r="D1489" s="44" t="n">
        <x:v>196.91513731995437</x:v>
      </x:c>
      <x:c r="E1489" s="44" t="n">
        <x:v>2547.5632778489116</x:v>
      </x:c>
      <x:c r="F1489" s="44" t="n">
        <x:v>77.2146924956079</x:v>
      </x:c>
      <x:c r="G1489" s="44" t="n">
        <x:v>640.0496558898847</x:v>
      </x:c>
      <x:c r="H1489" s="44" t="n">
        <x:v>9396.257236445641</x:v>
      </x:c>
      <x:c r="I1489" s="44" t="n">
        <x:v>12858</x:v>
      </x:c>
      <x:c r="J1489" s="44" t="n">
        <x:v>2579</x:v>
      </x:c>
      <x:c r="K1489" s="44" t="n">
        <x:v>167.98135990519094</x:v>
      </x:c>
      <x:c r="L1489" s="44" t="n">
        <x:v>90.76666740958304</x:v>
      </x:c>
    </x:row>
    <x:row r="1490" ht="15" hidden="0" customHeight="1">
      <x:c r="A1490" s="27" t="str">
        <x:v>17025</x:v>
      </x:c>
      <x:c r="B1490" s="27" t="str">
        <x:v>SCA-19</x:v>
      </x:c>
      <x:c r="C1490" s="43" t="n">
        <x:v>12793</x:v>
      </x:c>
      <x:c r="D1490" s="43" t="n">
        <x:v>176.84957426704727</x:v>
      </x:c>
      <x:c r="E1490" s="43" t="n">
        <x:v>2214.3910468640706</x:v>
      </x:c>
      <x:c r="F1490" s="43" t="n">
        <x:v>65.26297354239114</x:v>
      </x:c>
      <x:c r="G1490" s="43" t="n">
        <x:v>271.3186445946996</x:v>
      </x:c>
      <x:c r="H1490" s="43" t="n">
        <x:v>10065.177760731793</x:v>
      </x:c>
      <x:c r="I1490" s="43" t="n">
        <x:v>12793</x:v>
      </x:c>
      <x:c r="J1490" s="43" t="n">
        <x:v>2320</x:v>
      </x:c>
      <x:c r="K1490" s="43" t="n">
        <x:v>149.84625419010212</x:v>
      </x:c>
      <x:c r="L1490" s="43" t="n">
        <x:v>84.58328064771098</x:v>
      </x:c>
    </x:row>
    <x:row r="1491" ht="15" hidden="0" customHeight="1">
      <x:c r="A1491" s="29" t="str">
        <x:v>17017</x:v>
      </x:c>
      <x:c r="B1491" s="29" t="str">
        <x:v>SCA-19</x:v>
      </x:c>
      <x:c r="C1491" s="44" t="n">
        <x:v>12463</x:v>
      </x:c>
      <x:c r="D1491" s="44" t="n">
        <x:v>164.9313419661322</x:v>
      </x:c>
      <x:c r="E1491" s="44" t="n">
        <x:v>1980.7180134016553</x:v>
      </x:c>
      <x:c r="F1491" s="44" t="n">
        <x:v>63.579491851701775</x:v>
      </x:c>
      <x:c r="G1491" s="44" t="n">
        <x:v>362.15135987386674</x:v>
      </x:c>
      <x:c r="H1491" s="44" t="n">
        <x:v>9891.619792906644</x:v>
      </x:c>
      <x:c r="I1491" s="44" t="n">
        <x:v>12463</x:v>
      </x:c>
      <x:c r="J1491" s="44" t="n">
        <x:v>2100</x:v>
      </x:c>
      <x:c r="K1491" s="44" t="n">
        <x:v>145.980916592765</x:v>
      </x:c>
      <x:c r="L1491" s="44" t="n">
        <x:v>82.40142474106322</x:v>
      </x:c>
    </x:row>
    <x:row r="1492" ht="15" hidden="0" customHeight="1">
      <x:c r="A1492" s="27" t="str">
        <x:v>17125</x:v>
      </x:c>
      <x:c r="B1492" s="27" t="str">
        <x:v>SCA-19</x:v>
      </x:c>
      <x:c r="C1492" s="43" t="n">
        <x:v>12411</x:v>
      </x:c>
      <x:c r="D1492" s="43" t="n">
        <x:v>171.13688761195408</x:v>
      </x:c>
      <x:c r="E1492" s="43" t="n">
        <x:v>2137.9024912392483</x:v>
      </x:c>
      <x:c r="F1492" s="43" t="n">
        <x:v>63.31421594892649</x:v>
      </x:c>
      <x:c r="G1492" s="43" t="n">
        <x:v>569.061046511628</x:v>
      </x:c>
      <x:c r="H1492" s="43" t="n">
        <x:v>9469.585358688242</x:v>
      </x:c>
      <x:c r="I1492" s="43" t="n">
        <x:v>12411</x:v>
      </x:c>
      <x:c r="J1492" s="43" t="n">
        <x:v>2253</x:v>
      </x:c>
      <x:c r="K1492" s="43" t="n">
        <x:v>145.37183309257856</x:v>
      </x:c>
      <x:c r="L1492" s="43" t="n">
        <x:v>82.05761714365207</x:v>
      </x:c>
    </x:row>
    <x:row r="1493" ht="15" hidden="0" customHeight="1">
      <x:c r="A1493" s="29" t="str">
        <x:v>29067</x:v>
      </x:c>
      <x:c r="B1493" s="29" t="str">
        <x:v>SCA-19</x:v>
      </x:c>
      <x:c r="C1493" s="44" t="n">
        <x:v>12342</x:v>
      </x:c>
      <x:c r="D1493" s="44" t="n">
        <x:v>181.50720126020002</x:v>
      </x:c>
      <x:c r="E1493" s="44" t="n">
        <x:v>2265.1934384219844</x:v>
      </x:c>
      <x:c r="F1493" s="44" t="n">
        <x:v>74.11601608187843</x:v>
      </x:c>
      <x:c r="G1493" s="44" t="n">
        <x:v>242.6451993593526</x:v>
      </x:c>
      <x:c r="H1493" s="44" t="n">
        <x:v>9578.538144876586</x:v>
      </x:c>
      <x:c r="I1493" s="44" t="n">
        <x:v>12342</x:v>
      </x:c>
      <x:c r="J1493" s="44" t="n">
        <x:v>2268</x:v>
      </x:c>
      <x:c r="K1493" s="44" t="n">
        <x:v>161.24015740782912</x:v>
      </x:c>
      <x:c r="L1493" s="44" t="n">
        <x:v>87.12414132595069</x:v>
      </x:c>
    </x:row>
    <x:row r="1494" ht="15" hidden="0" customHeight="1">
      <x:c r="A1494" s="27" t="str">
        <x:v>19007</x:v>
      </x:c>
      <x:c r="B1494" s="27" t="str">
        <x:v>SCA-19</x:v>
      </x:c>
      <x:c r="C1494" s="43" t="n">
        <x:v>12077</x:v>
      </x:c>
      <x:c r="D1494" s="43" t="n">
        <x:v>193.23927710970068</x:v>
      </x:c>
      <x:c r="E1494" s="43" t="n">
        <x:v>2091.2748534904954</x:v>
      </x:c>
      <x:c r="F1494" s="43" t="n">
        <x:v>56.57613579412846</x:v>
      </x:c>
      <x:c r="G1494" s="43" t="n">
        <x:v>553.2456213165103</x:v>
      </x:c>
      <x:c r="H1494" s="43" t="n">
        <x:v>9182.664112289165</x:v>
      </x:c>
      <x:c r="I1494" s="43" t="n">
        <x:v>12077</x:v>
      </x:c>
      <x:c r="J1494" s="43" t="n">
        <x:v>2173</x:v>
      </x:c>
      <x:c r="K1494" s="43" t="n">
        <x:v>162.67896067505848</x:v>
      </x:c>
      <x:c r="L1494" s="43" t="n">
        <x:v>106.10282488093002</x:v>
      </x:c>
    </x:row>
    <x:row r="1495" ht="15" hidden="0" customHeight="1">
      <x:c r="A1495" s="29" t="str">
        <x:v>17129</x:v>
      </x:c>
      <x:c r="B1495" s="29" t="str">
        <x:v>SCA-19</x:v>
      </x:c>
      <x:c r="C1495" s="44" t="n">
        <x:v>11863</x:v>
      </x:c>
      <x:c r="D1495" s="44" t="n">
        <x:v>154.61100807763194</x:v>
      </x:c>
      <x:c r="E1495" s="44" t="n">
        <x:v>1828.2382578222775</x:v>
      </x:c>
      <x:c r="F1495" s="44" t="n">
        <x:v>60.5186160504484</x:v>
      </x:c>
      <x:c r="G1495" s="44" t="n">
        <x:v>271.9869837296621</x:v>
      </x:c>
      <x:c r="H1495" s="44" t="n">
        <x:v>9547.64513431998</x:v>
      </x:c>
      <x:c r="I1495" s="44" t="n">
        <x:v>11863</x:v>
      </x:c>
      <x:c r="J1495" s="44" t="n">
        <x:v>1924</x:v>
      </x:c>
      <x:c r="K1495" s="44" t="n">
        <x:v>138.9530300521521</x:v>
      </x:c>
      <x:c r="L1495" s="44" t="n">
        <x:v>78.43441400170369</x:v>
      </x:c>
    </x:row>
    <x:row r="1496" ht="15" hidden="0" customHeight="1">
      <x:c r="A1496" s="27" t="str">
        <x:v>19175</x:v>
      </x:c>
      <x:c r="B1496" s="27" t="str">
        <x:v>SCA-19</x:v>
      </x:c>
      <x:c r="C1496" s="43" t="n">
        <x:v>11829</x:v>
      </x:c>
      <x:c r="D1496" s="43" t="n">
        <x:v>176.92675526165846</x:v>
      </x:c>
      <x:c r="E1496" s="43" t="n">
        <x:v>1752.0657933828493</x:v>
      </x:c>
      <x:c r="F1496" s="43" t="n">
        <x:v>55.414350443714966</x:v>
      </x:c>
      <x:c r="G1496" s="43" t="n">
        <x:v>391.5648210668467</x:v>
      </x:c>
      <x:c r="H1496" s="43" t="n">
        <x:v>9453.028279844932</x:v>
      </x:c>
      <x:c r="I1496" s="43" t="n">
        <x:v>11829</x:v>
      </x:c>
      <x:c r="J1496" s="43" t="n">
        <x:v>1828</x:v>
      </x:c>
      <x:c r="K1496" s="43" t="n">
        <x:v>159.33836431442137</x:v>
      </x:c>
      <x:c r="L1496" s="43" t="n">
        <x:v>103.9240138707064</x:v>
      </x:c>
    </x:row>
    <x:row r="1497" ht="15" hidden="0" customHeight="1">
      <x:c r="A1497" s="29" t="str">
        <x:v>29115</x:v>
      </x:c>
      <x:c r="B1497" s="29" t="str">
        <x:v>SCA-19</x:v>
      </x:c>
      <x:c r="C1497" s="44" t="n">
        <x:v>11815</x:v>
      </x:c>
      <x:c r="D1497" s="44" t="n">
        <x:v>153.76022732614902</x:v>
      </x:c>
      <x:c r="E1497" s="44" t="n">
        <x:v>1688.5503080082137</x:v>
      </x:c>
      <x:c r="F1497" s="44" t="n">
        <x:v>70.9512826128175</x:v>
      </x:c>
      <x:c r="G1497" s="44" t="n">
        <x:v>535.3603696098562</x:v>
      </x:c>
      <x:c r="H1497" s="44" t="n">
        <x:v>9366.377812442963</x:v>
      </x:c>
      <x:c r="I1497" s="44" t="n">
        <x:v>11815</x:v>
      </x:c>
      <x:c r="J1497" s="44" t="n">
        <x:v>1740</x:v>
      </x:c>
      <x:c r="K1497" s="44" t="n">
        <x:v>154.35524710529094</x:v>
      </x:c>
      <x:c r="L1497" s="44" t="n">
        <x:v>83.40396449247345</x:v>
      </x:c>
    </x:row>
    <x:row r="1498" ht="15" hidden="0" customHeight="1">
      <x:c r="A1498" s="27" t="str">
        <x:v>29139</x:v>
      </x:c>
      <x:c r="B1498" s="27" t="str">
        <x:v>SCA-19</x:v>
      </x:c>
      <x:c r="C1498" s="43" t="n">
        <x:v>11590</x:v>
      </x:c>
      <x:c r="D1498" s="43" t="n">
        <x:v>166.01234510679123</x:v>
      </x:c>
      <x:c r="E1498" s="43" t="n">
        <x:v>2020.7205937583833</x:v>
      </x:c>
      <x:c r="F1498" s="43" t="n">
        <x:v>69.60011557194709</x:v>
      </x:c>
      <x:c r="G1498" s="43" t="n">
        <x:v>178.40794062416165</x:v>
      </x:c>
      <x:c r="H1498" s="43" t="n">
        <x:v>9155.259004938716</x:v>
      </x:c>
      <x:c r="I1498" s="43" t="n">
        <x:v>11590</x:v>
      </x:c>
      <x:c r="J1498" s="43" t="n">
        <x:v>2031</x:v>
      </x:c>
      <x:c r="K1498" s="43" t="n">
        <x:v>151.415769272139</x:v>
      </x:c>
      <x:c r="L1498" s="43" t="n">
        <x:v>81.8156537001919</x:v>
      </x:c>
    </x:row>
    <x:row r="1499" ht="15" hidden="0" customHeight="1">
      <x:c r="A1499" s="29" t="str">
        <x:v>17061</x:v>
      </x:c>
      <x:c r="B1499" s="29" t="str">
        <x:v>SCA-19</x:v>
      </x:c>
      <x:c r="C1499" s="44" t="n">
        <x:v>11313</x:v>
      </x:c>
      <x:c r="D1499" s="44" t="n">
        <x:v>150.59922855738375</x:v>
      </x:c>
      <x:c r="E1499" s="44" t="n">
        <x:v>1819.229785602231</x:v>
      </x:c>
      <x:c r="F1499" s="44" t="n">
        <x:v>57.71281323263278</x:v>
      </x:c>
      <x:c r="G1499" s="44" t="n">
        <x:v>244.3360641450235</x:v>
      </x:c>
      <x:c r="H1499" s="44" t="n">
        <x:v>9041.122108462729</x:v>
      </x:c>
      <x:c r="I1499" s="44" t="n">
        <x:v>11313</x:v>
      </x:c>
      <x:c r="J1499" s="44" t="n">
        <x:v>1922</x:v>
      </x:c>
      <x:c r="K1499" s="44" t="n">
        <x:v>132.5108007232569</x:v>
      </x:c>
      <x:c r="L1499" s="44" t="n">
        <x:v>74.79798749062411</x:v>
      </x:c>
    </x:row>
    <x:row r="1500" ht="15" hidden="0" customHeight="1">
      <x:c r="A1500" s="27" t="str">
        <x:v>29223</x:v>
      </x:c>
      <x:c r="B1500" s="27" t="str">
        <x:v>SCA-19</x:v>
      </x:c>
      <x:c r="C1500" s="43" t="n">
        <x:v>10782</x:v>
      </x:c>
      <x:c r="D1500" s="43" t="n">
        <x:v>204.83830345141862</x:v>
      </x:c>
      <x:c r="E1500" s="43" t="n">
        <x:v>3089.43480684688</x:v>
      </x:c>
      <x:c r="F1500" s="43" t="n">
        <x:v>64.74792459851022</x:v>
      </x:c>
      <x:c r="G1500" s="43" t="n">
        <x:v>277.10223552520813</x:v>
      </x:c>
      <x:c r="H1500" s="43" t="n">
        <x:v>7145.876729577983</x:v>
      </x:c>
      <x:c r="I1500" s="43" t="n">
        <x:v>10782</x:v>
      </x:c>
      <x:c r="J1500" s="43" t="n">
        <x:v>3191</x:v>
      </x:c>
      <x:c r="K1500" s="43" t="n">
        <x:v>140.85977776464216</x:v>
      </x:c>
      <x:c r="L1500" s="43" t="n">
        <x:v>76.11185316613194</x:v>
      </x:c>
    </x:row>
    <x:row r="1501" ht="15" hidden="0" customHeight="1">
      <x:c r="A1501" s="29" t="str">
        <x:v>29017</x:v>
      </x:c>
      <x:c r="B1501" s="29" t="str">
        <x:v>SCA-19</x:v>
      </x:c>
      <x:c r="C1501" s="44" t="n">
        <x:v>10646</x:v>
      </x:c>
      <x:c r="D1501" s="44" t="n">
        <x:v>157.765909850138</x:v>
      </x:c>
      <x:c r="E1501" s="44" t="n">
        <x:v>1982.7384556428433</x:v>
      </x:c>
      <x:c r="F1501" s="44" t="n">
        <x:v>63.931219187139675</x:v>
      </x:c>
      <x:c r="G1501" s="44" t="n">
        <x:v>165.6324487449703</x:v>
      </x:c>
      <x:c r="H1501" s="44" t="n">
        <x:v>8275.931966574908</x:v>
      </x:c>
      <x:c r="I1501" s="44" t="n">
        <x:v>10646</x:v>
      </x:c>
      <x:c r="J1501" s="44" t="n">
        <x:v>2025</x:v>
      </x:c>
      <x:c r="K1501" s="44" t="n">
        <x:v>139.08302671882586</x:v>
      </x:c>
      <x:c r="L1501" s="44" t="n">
        <x:v>75.15180753168619</x:v>
      </x:c>
    </x:row>
    <x:row r="1502" ht="15" hidden="0" customHeight="1">
      <x:c r="A1502" s="27" t="str">
        <x:v>29173</x:v>
      </x:c>
      <x:c r="B1502" s="27" t="str">
        <x:v>SCA-19</x:v>
      </x:c>
      <x:c r="C1502" s="43" t="n">
        <x:v>10444</x:v>
      </x:c>
      <x:c r="D1502" s="43" t="n">
        <x:v>150.88427098497039</x:v>
      </x:c>
      <x:c r="E1502" s="43" t="n">
        <x:v>1851.8019260831804</x:v>
      </x:c>
      <x:c r="F1502" s="43" t="n">
        <x:v>62.718171443780456</x:v>
      </x:c>
      <x:c r="G1502" s="43" t="n">
        <x:v>176.92106532857278</x:v>
      </x:c>
      <x:c r="H1502" s="43" t="n">
        <x:v>8201.674566159496</x:v>
      </x:c>
      <x:c r="I1502" s="43" t="n">
        <x:v>10444</x:v>
      </x:c>
      <x:c r="J1502" s="43" t="n">
        <x:v>1914</x:v>
      </x:c>
      <x:c r="K1502" s="43" t="n">
        <x:v>136.44402884195165</x:v>
      </x:c>
      <x:c r="L1502" s="43" t="n">
        <x:v>73.7258573981712</x:v>
      </x:c>
    </x:row>
    <x:row r="1503" ht="15" hidden="0" customHeight="1">
      <x:c r="A1503" s="29" t="str">
        <x:v>17035</x:v>
      </x:c>
      <x:c r="B1503" s="29" t="str">
        <x:v>SCA-19</x:v>
      </x:c>
      <x:c r="C1503" s="44" t="n">
        <x:v>10208</x:v>
      </x:c>
      <x:c r="D1503" s="44" t="n">
        <x:v>125.62332812917457</x:v>
      </x:c>
      <x:c r="E1503" s="44" t="n">
        <x:v>1395.1500500049026</x:v>
      </x:c>
      <x:c r="F1503" s="44" t="n">
        <x:v>52.075700298657765</x:v>
      </x:c>
      <x:c r="G1503" s="44" t="n">
        <x:v>208.83366016276105</x:v>
      </x:c>
      <x:c r="H1503" s="44" t="n">
        <x:v>8426.317261404503</x:v>
      </x:c>
      <x:c r="I1503" s="44" t="n">
        <x:v>10208</x:v>
      </x:c>
      <x:c r="J1503" s="44" t="n">
        <x:v>1452</x:v>
      </x:c>
      <x:c r="K1503" s="44" t="n">
        <x:v>119.56777634429473</x:v>
      </x:c>
      <x:c r="L1503" s="44" t="n">
        <x:v>67.49207604563696</x:v>
      </x:c>
    </x:row>
    <x:row r="1504" ht="15" hidden="0" customHeight="1">
      <x:c r="A1504" s="27" t="str">
        <x:v>29089</x:v>
      </x:c>
      <x:c r="B1504" s="27" t="str">
        <x:v>SCA-19</x:v>
      </x:c>
      <x:c r="C1504" s="43" t="n">
        <x:v>10180</x:v>
      </x:c>
      <x:c r="D1504" s="43" t="n">
        <x:v>137.34204412442082</x:v>
      </x:c>
      <x:c r="E1504" s="43" t="n">
        <x:v>1571.5153133406393</x:v>
      </x:c>
      <x:c r="F1504" s="43" t="n">
        <x:v>61.132802115825825</x:v>
      </x:c>
      <x:c r="G1504" s="43" t="n">
        <x:v>200.56759988044234</x:v>
      </x:c>
      <x:c r="H1504" s="43" t="n">
        <x:v>8209.442240538672</x:v>
      </x:c>
      <x:c r="I1504" s="43" t="n">
        <x:v>10180</x:v>
      </x:c>
      <x:c r="J1504" s="43" t="n">
        <x:v>1614</x:v>
      </x:c>
      <x:c r="K1504" s="43" t="n">
        <x:v>132.99504151772</x:v>
      </x:c>
      <x:c r="L1504" s="43" t="n">
        <x:v>71.86223940189419</x:v>
      </x:c>
    </x:row>
    <x:row r="1505" ht="15" hidden="0" customHeight="1">
      <x:c r="A1505" s="29" t="str">
        <x:v>29185</x:v>
      </x:c>
      <x:c r="B1505" s="29" t="str">
        <x:v>SCA-19</x:v>
      </x:c>
      <x:c r="C1505" s="44" t="n">
        <x:v>9976</x:v>
      </x:c>
      <x:c r="D1505" s="44" t="n">
        <x:v>153.67420291612862</x:v>
      </x:c>
      <x:c r="E1505" s="44" t="n">
        <x:v>1998.0487671816727</x:v>
      </x:c>
      <x:c r="F1505" s="44" t="n">
        <x:v>59.90774399876998</x:v>
      </x:c>
      <x:c r="G1505" s="44" t="n">
        <x:v>356.5118273841236</x:v>
      </x:c>
      <x:c r="H1505" s="44" t="n">
        <x:v>7407.8574585193055</x:v>
      </x:c>
      <x:c r="I1505" s="44" t="n">
        <x:v>9976</x:v>
      </x:c>
      <x:c r="J1505" s="44" t="n">
        <x:v>1958</x:v>
      </x:c>
      <x:c r="K1505" s="44" t="n">
        <x:v>130.32991494899557</x:v>
      </x:c>
      <x:c r="L1505" s="44" t="n">
        <x:v>70.42217095022558</x:v>
      </x:c>
    </x:row>
    <x:row r="1506" ht="15" hidden="0" customHeight="1">
      <x:c r="A1506" s="27" t="str">
        <x:v>29111</x:v>
      </x:c>
      <x:c r="B1506" s="27" t="str">
        <x:v>SCA-19</x:v>
      </x:c>
      <x:c r="C1506" s="43" t="n">
        <x:v>9879</x:v>
      </x:c>
      <x:c r="D1506" s="43" t="n">
        <x:v>114.46335419293504</x:v>
      </x:c>
      <x:c r="E1506" s="43" t="n">
        <x:v>1073.4221201558335</x:v>
      </x:c>
      <x:c r="F1506" s="43" t="n">
        <x:v>59.32524087448361</x:v>
      </x:c>
      <x:c r="G1506" s="43" t="n">
        <x:v>189.7785523887636</x:v>
      </x:c>
      <x:c r="H1506" s="43" t="n">
        <x:v>8442.010732387984</x:v>
      </x:c>
      <x:c r="I1506" s="43" t="n">
        <x:v>9879</x:v>
      </x:c>
      <x:c r="J1506" s="43" t="n">
        <x:v>1104</x:v>
      </x:c>
      <x:c r="K1506" s="43" t="n">
        <x:v>129.06267339425892</x:v>
      </x:c>
      <x:c r="L1506" s="43" t="n">
        <x:v>69.73743251977531</x:v>
      </x:c>
    </x:row>
    <x:row r="1507" ht="15" hidden="0" customHeight="1">
      <x:c r="A1507" s="29" t="str">
        <x:v>19107</x:v>
      </x:c>
      <x:c r="B1507" s="29" t="str">
        <x:v>SCA-19</x:v>
      </x:c>
      <x:c r="C1507" s="44" t="n">
        <x:v>9797</x:v>
      </x:c>
      <x:c r="D1507" s="44" t="n">
        <x:v>148.92275990632047</x:v>
      </x:c>
      <x:c r="E1507" s="44" t="n">
        <x:v>1508.422547381292</x:v>
      </x:c>
      <x:c r="F1507" s="44" t="n">
        <x:v>45.89520595968176</x:v>
      </x:c>
      <x:c r="G1507" s="44" t="n">
        <x:v>280.8518443040554</x:v>
      </x:c>
      <x:c r="H1507" s="44" t="n">
        <x:v>7812.90764244865</x:v>
      </x:c>
      <x:c r="I1507" s="44" t="n">
        <x:v>9797</x:v>
      </x:c>
      <x:c r="J1507" s="44" t="n">
        <x:v>1574</x:v>
      </x:c>
      <x:c r="K1507" s="44" t="n">
        <x:v>131.96702639178173</x:v>
      </x:c>
      <x:c r="L1507" s="44" t="n">
        <x:v>86.07182043209997</x:v>
      </x:c>
    </x:row>
    <x:row r="1508" ht="15" hidden="0" customHeight="1">
      <x:c r="A1508" s="27" t="str">
        <x:v>29063</x:v>
      </x:c>
      <x:c r="B1508" s="27" t="str">
        <x:v>SCA-19</x:v>
      </x:c>
      <x:c r="C1508" s="43" t="n">
        <x:v>9795</x:v>
      </x:c>
      <x:c r="D1508" s="43" t="n">
        <x:v>131.29265176505956</x:v>
      </x:c>
      <x:c r="E1508" s="43" t="n">
        <x:v>1491.5565265856649</x:v>
      </x:c>
      <x:c r="F1508" s="43" t="n">
        <x:v>58.82080517922533</x:v>
      </x:c>
      <x:c r="G1508" s="43" t="n">
        <x:v>258.7236651432393</x:v>
      </x:c>
      <x:c r="H1508" s="43" t="n">
        <x:v>7854.606351326812</x:v>
      </x:c>
      <x:c r="I1508" s="43" t="n">
        <x:v>9795</x:v>
      </x:c>
      <x:c r="J1508" s="43" t="n">
        <x:v>1423</x:v>
      </x:c>
      <x:c r="K1508" s="43" t="n">
        <x:v>127.96526833654886</x:v>
      </x:c>
      <x:c r="L1508" s="43" t="n">
        <x:v>69.14446315732353</x:v>
      </x:c>
    </x:row>
    <x:row r="1509" ht="15" hidden="0" customHeight="1">
      <x:c r="A1509" s="29" t="str">
        <x:v>29079</x:v>
      </x:c>
      <x:c r="B1509" s="29" t="str">
        <x:v>SCA-19</x:v>
      </x:c>
      <x:c r="C1509" s="44" t="n">
        <x:v>9744</x:v>
      </x:c>
      <x:c r="D1509" s="44" t="n">
        <x:v>121.97235214769276</x:v>
      </x:c>
      <x:c r="E1509" s="44" t="n">
        <x:v>1276.509746478873</x:v>
      </x:c>
      <x:c r="F1509" s="44" t="n">
        <x:v>58.51454064996138</x:v>
      </x:c>
      <x:c r="G1509" s="44" t="n">
        <x:v>645.0619718309858</x:v>
      </x:c>
      <x:c r="H1509" s="44" t="n">
        <x:v>7641.941388892487</x:v>
      </x:c>
      <x:c r="I1509" s="44" t="n">
        <x:v>9744</x:v>
      </x:c>
      <x:c r="J1509" s="44" t="n">
        <x:v>1308</x:v>
      </x:c>
      <x:c r="K1509" s="44" t="n">
        <x:v>127.29898669436776</x:v>
      </x:c>
      <x:c r="L1509" s="44" t="n">
        <x:v>68.78444604440638</x:v>
      </x:c>
    </x:row>
    <x:row r="1510" ht="15" hidden="0" customHeight="1">
      <x:c r="A1510" s="27" t="str">
        <x:v>19039</x:v>
      </x:c>
      <x:c r="B1510" s="27" t="str">
        <x:v>SCA-19</x:v>
      </x:c>
      <x:c r="C1510" s="43" t="n">
        <x:v>9574</x:v>
      </x:c>
      <x:c r="D1510" s="43" t="n">
        <x:v>150.05995713489315</x:v>
      </x:c>
      <x:c r="E1510" s="43" t="n">
        <x:v>1582.735428152185</x:v>
      </x:c>
      <x:c r="F1510" s="43" t="n">
        <x:v>44.85053606797929</x:v>
      </x:c>
      <x:c r="G1510" s="43" t="n">
        <x:v>655.2003982811026</x:v>
      </x:c>
      <x:c r="H1510" s="43" t="n">
        <x:v>7141.15368036384</x:v>
      </x:c>
      <x:c r="I1510" s="43" t="n">
        <x:v>9574</x:v>
      </x:c>
      <x:c r="J1510" s="43" t="n">
        <x:v>1643</x:v>
      </x:c>
      <x:c r="K1510" s="43" t="n">
        <x:v>128.96318369653142</x:v>
      </x:c>
      <x:c r="L1510" s="43" t="n">
        <x:v>84.11264762855212</x:v>
      </x:c>
    </x:row>
    <x:row r="1511" ht="15" hidden="0" customHeight="1">
      <x:c r="A1511" s="29" t="str">
        <x:v>29093</x:v>
      </x:c>
      <x:c r="B1511" s="29" t="str">
        <x:v>SCA-19</x:v>
      </x:c>
      <x:c r="C1511" s="44" t="n">
        <x:v>9318</x:v>
      </x:c>
      <x:c r="D1511" s="44" t="n">
        <x:v>150.8971132160877</x:v>
      </x:c>
      <x:c r="E1511" s="44" t="n">
        <x:v>2042.876854521625</x:v>
      </x:c>
      <x:c r="F1511" s="44" t="n">
        <x:v>55.95633105258007</x:v>
      </x:c>
      <x:c r="G1511" s="44" t="n">
        <x:v>276.24180865006554</x:v>
      </x:c>
      <x:c r="H1511" s="44" t="n">
        <x:v>6792.027892559642</x:v>
      </x:c>
      <x:c r="I1511" s="44" t="n">
        <x:v>9318</x:v>
      </x:c>
      <x:c r="J1511" s="44" t="n">
        <x:v>2091</x:v>
      </x:c>
      <x:c r="K1511" s="44" t="n">
        <x:v>121.7335753302667</x:v>
      </x:c>
      <x:c r="L1511" s="44" t="n">
        <x:v>65.77724427768663</x:v>
      </x:c>
    </x:row>
    <x:row r="1512" ht="15" hidden="0" customHeight="1">
      <x:c r="A1512" s="27" t="str">
        <x:v>19051</x:v>
      </x:c>
      <x:c r="B1512" s="27" t="str">
        <x:v>SCA-19</x:v>
      </x:c>
      <x:c r="C1512" s="43" t="n">
        <x:v>9230</x:v>
      </x:c>
      <x:c r="D1512" s="43" t="n">
        <x:v>125.10588014909139</x:v>
      </x:c>
      <x:c r="E1512" s="43" t="n">
        <x:v>1056.3709018655481</x:v>
      </x:c>
      <x:c r="F1512" s="43" t="n">
        <x:v>43.2390273561154</x:v>
      </x:c>
      <x:c r="G1512" s="43" t="n">
        <x:v>1431.270007727122</x:v>
      </x:c>
      <x:c r="H1512" s="43" t="n">
        <x:v>6574.014182902123</x:v>
      </x:c>
      <x:c r="I1512" s="43" t="n">
        <x:v>9230</x:v>
      </x:c>
      <x:c r="J1512" s="43" t="n">
        <x:v>1080</x:v>
      </x:c>
      <x:c r="K1512" s="43" t="n">
        <x:v>124.32945326080896</x:v>
      </x:c>
      <x:c r="L1512" s="43" t="n">
        <x:v>81.09042590469356</x:v>
      </x:c>
    </x:row>
    <x:row r="1513" ht="15" hidden="0" customHeight="1">
      <x:c r="A1513" s="29" t="str">
        <x:v>29085</x:v>
      </x:c>
      <x:c r="B1513" s="29" t="str">
        <x:v>SCA-19</x:v>
      </x:c>
      <x:c r="C1513" s="44" t="n">
        <x:v>9044</x:v>
      </x:c>
      <x:c r="D1513" s="44" t="n">
        <x:v>154.21860343915733</x:v>
      </x:c>
      <x:c r="E1513" s="44" t="n">
        <x:v>2169.013649964379</x:v>
      </x:c>
      <x:c r="F1513" s="44" t="n">
        <x:v>54.31090985614232</x:v>
      </x:c>
      <x:c r="G1513" s="44" t="n">
        <x:v>265.1879601044883</x:v>
      </x:c>
      <x:c r="H1513" s="44" t="n">
        <x:v>6401.268876635832</x:v>
      </x:c>
      <x:c r="I1513" s="44" t="n">
        <x:v>9044</x:v>
      </x:c>
      <x:c r="J1513" s="44" t="n">
        <x:v>2104</x:v>
      </x:c>
      <x:c r="K1513" s="44" t="n">
        <x:v>118.15394454678386</x:v>
      </x:c>
      <x:c r="L1513" s="44" t="n">
        <x:v>63.843034690641545</x:v>
      </x:c>
    </x:row>
    <x:row r="1514" ht="15" hidden="0" customHeight="1">
      <x:c r="A1514" s="27" t="str">
        <x:v>17079</x:v>
      </x:c>
      <x:c r="B1514" s="27" t="str">
        <x:v>SCA-19</x:v>
      </x:c>
      <x:c r="C1514" s="43" t="n">
        <x:v>9032</x:v>
      </x:c>
      <x:c r="D1514" s="43" t="n">
        <x:v>112.64310442324387</x:v>
      </x:c>
      <x:c r="E1514" s="43" t="n">
        <x:v>1270.232866242038</x:v>
      </x:c>
      <x:c r="F1514" s="43" t="n">
        <x:v>46.07638372820112</x:v>
      </x:c>
      <x:c r="G1514" s="43" t="n">
        <x:v>186.0636942675159</x:v>
      </x:c>
      <x:c r="H1514" s="43" t="n">
        <x:v>7416.983951339001</x:v>
      </x:c>
      <x:c r="I1514" s="43" t="n">
        <x:v>9032</x:v>
      </x:c>
      <x:c r="J1514" s="43" t="n">
        <x:v>1334</x:v>
      </x:c>
      <x:c r="K1514" s="43" t="n">
        <x:v>105.79311872469339</x:v>
      </x:c>
      <x:c r="L1514" s="43" t="n">
        <x:v>59.716734996492264</x:v>
      </x:c>
    </x:row>
    <x:row r="1515" ht="15" hidden="0" customHeight="1">
      <x:c r="A1515" s="29" t="str">
        <x:v>29025</x:v>
      </x:c>
      <x:c r="B1515" s="29" t="str">
        <x:v>SCA-19</x:v>
      </x:c>
      <x:c r="C1515" s="44" t="n">
        <x:v>9012</x:v>
      </x:c>
      <x:c r="D1515" s="44" t="n">
        <x:v>116.94650232553666</x:v>
      </x:c>
      <x:c r="E1515" s="44" t="n">
        <x:v>1279.90465740847</x:v>
      </x:c>
      <x:c r="F1515" s="44" t="n">
        <x:v>54.118743876996305</x:v>
      </x:c>
      <x:c r="G1515" s="44" t="n">
        <x:v>247.52347067600138</x:v>
      </x:c>
      <x:c r="H1515" s="44" t="n">
        <x:v>7313.506625712996</x:v>
      </x:c>
      <x:c r="I1515" s="44" t="n">
        <x:v>9012</x:v>
      </x:c>
      <x:c r="J1515" s="44" t="n">
        <x:v>1289</x:v>
      </x:c>
      <x:c r="K1515" s="44" t="n">
        <x:v>117.73588547718003</x:v>
      </x:c>
      <x:c r="L1515" s="44" t="n">
        <x:v>63.61714160018373</x:v>
      </x:c>
    </x:row>
    <x:row r="1516" ht="15" hidden="0" customHeight="1">
      <x:c r="A1516" s="27" t="str">
        <x:v>29137</x:v>
      </x:c>
      <x:c r="B1516" s="27" t="str">
        <x:v>SCA-19</x:v>
      </x:c>
      <x:c r="C1516" s="43" t="n">
        <x:v>8959</x:v>
      </x:c>
      <x:c r="D1516" s="43" t="n">
        <x:v>127.00158842398062</x:v>
      </x:c>
      <x:c r="E1516" s="43" t="n">
        <x:v>1530.2059741168239</x:v>
      </x:c>
      <x:c r="F1516" s="43" t="n">
        <x:v>53.800468974035724</x:v>
      </x:c>
      <x:c r="G1516" s="43" t="n">
        <x:v>328.4218841086627</x:v>
      </x:c>
      <x:c r="H1516" s="43" t="n">
        <x:v>6919.570084376498</x:v>
      </x:c>
      <x:c r="I1516" s="43" t="n">
        <x:v>8959</x:v>
      </x:c>
      <x:c r="J1516" s="43" t="n">
        <x:v>1526</x:v>
      </x:c>
      <x:c r="K1516" s="43" t="n">
        <x:v>117.04347514314868</x:v>
      </x:c>
      <x:c r="L1516" s="43" t="n">
        <x:v>63.24300616911296</x:v>
      </x:c>
    </x:row>
    <x:row r="1517" ht="15" hidden="0" customHeight="1">
      <x:c r="A1517" s="29" t="str">
        <x:v>21139</x:v>
      </x:c>
      <x:c r="B1517" s="29" t="str">
        <x:v>SCA-19</x:v>
      </x:c>
      <x:c r="C1517" s="44" t="n">
        <x:v>8863</x:v>
      </x:c>
      <x:c r="D1517" s="44" t="n">
        <x:v>141.3138834625227</x:v>
      </x:c>
      <x:c r="E1517" s="44" t="n">
        <x:v>2229.0064527790328</x:v>
      </x:c>
      <x:c r="F1517" s="44" t="n">
        <x:v>80.55186816511512</x:v>
      </x:c>
      <x:c r="G1517" s="44" t="n">
        <x:v>155.3543267058292</x:v>
      </x:c>
      <x:c r="H1517" s="44" t="n">
        <x:v>6256.7734688875</x:v>
      </x:c>
      <x:c r="I1517" s="44" t="n">
        <x:v>8863</x:v>
      </x:c>
      <x:c r="J1517" s="44" t="n">
        <x:v>2319</x:v>
      </x:c>
      <x:c r="K1517" s="44" t="n">
        <x:v>128.9904827618448</x:v>
      </x:c>
      <x:c r="L1517" s="44" t="n">
        <x:v>48.438614596729664</x:v>
      </x:c>
    </x:row>
    <x:row r="1518" ht="15" hidden="0" customHeight="1">
      <x:c r="A1518" s="27" t="str">
        <x:v>19117</x:v>
      </x:c>
      <x:c r="B1518" s="27" t="str">
        <x:v>SCA-19</x:v>
      </x:c>
      <x:c r="C1518" s="43" t="n">
        <x:v>8847</x:v>
      </x:c>
      <x:c r="D1518" s="43" t="n">
        <x:v>140.4135852508765</x:v>
      </x:c>
      <x:c r="E1518" s="43" t="n">
        <x:v>1504.512400138937</x:v>
      </x:c>
      <x:c r="F1518" s="43" t="n">
        <x:v>41.444818528662296</x:v>
      </x:c>
      <x:c r="G1518" s="43" t="n">
        <x:v>360.41055922195204</x:v>
      </x:c>
      <x:c r="H1518" s="43" t="n">
        <x:v>6800.218636859572</x:v>
      </x:c>
      <x:c r="I1518" s="43" t="n">
        <x:v>8847</x:v>
      </x:c>
      <x:c r="J1518" s="43" t="n">
        <x:v>1530</x:v>
      </x:c>
      <x:c r="K1518" s="43" t="n">
        <x:v>119.17038710708309</x:v>
      </x:c>
      <x:c r="L1518" s="43" t="n">
        <x:v>77.72556857842079</x:v>
      </x:c>
    </x:row>
    <x:row r="1519" ht="15" hidden="0" customHeight="1">
      <x:c r="A1519" s="29" t="str">
        <x:v>29061</x:v>
      </x:c>
      <x:c r="B1519" s="29" t="str">
        <x:v>SCA-19</x:v>
      </x:c>
      <x:c r="C1519" s="44" t="n">
        <x:v>8558</x:v>
      </x:c>
      <x:c r="D1519" s="44" t="n">
        <x:v>114.26037326695385</x:v>
      </x:c>
      <x:c r="E1519" s="44" t="n">
        <x:v>1292.3541573033706</x:v>
      </x:c>
      <x:c r="F1519" s="44" t="n">
        <x:v>51.39238904786222</x:v>
      </x:c>
      <x:c r="G1519" s="44" t="n">
        <x:v>653.0898876404495</x:v>
      </x:c>
      <x:c r="H1519" s="44" t="n">
        <x:v>6446.9031927413635</x:v>
      </x:c>
      <x:c r="I1519" s="44" t="n">
        <x:v>8558</x:v>
      </x:c>
      <x:c r="J1519" s="44" t="n">
        <x:v>1316</x:v>
      </x:c>
      <x:c r="K1519" s="44" t="n">
        <x:v>111.80467242717562</x:v>
      </x:c>
      <x:c r="L1519" s="44" t="n">
        <x:v>60.4122833793134</x:v>
      </x:c>
    </x:row>
    <x:row r="1520" ht="15" hidden="0" customHeight="1">
      <x:c r="A1520" s="27" t="str">
        <x:v>29033</x:v>
      </x:c>
      <x:c r="B1520" s="27" t="str">
        <x:v>SCA-19</x:v>
      </x:c>
      <x:c r="C1520" s="43" t="n">
        <x:v>8417</x:v>
      </x:c>
      <x:c r="D1520" s="43" t="n">
        <x:v>109.84407021009187</x:v>
      </x:c>
      <x:c r="E1520" s="43" t="n">
        <x:v>1210.2510782545978</x:v>
      </x:c>
      <x:c r="F1520" s="43" t="n">
        <x:v>50.5456577022501</x:v>
      </x:c>
      <x:c r="G1520" s="43" t="n">
        <x:v>186.62381295828826</x:v>
      </x:c>
      <x:c r="H1520" s="43" t="n">
        <x:v>6859.735380874773</x:v>
      </x:c>
      <x:c r="I1520" s="43" t="n">
        <x:v>8417</x:v>
      </x:c>
      <x:c r="J1520" s="43" t="n">
        <x:v>1246</x:v>
      </x:c>
      <x:c r="K1520" s="43" t="n">
        <x:v>109.96259965173373</x:v>
      </x:c>
      <x:c r="L1520" s="43" t="n">
        <x:v>59.41694194948363</x:v>
      </x:c>
    </x:row>
    <x:row r="1521" ht="15" hidden="0" customHeight="1">
      <x:c r="A1521" s="29" t="str">
        <x:v>29125</x:v>
      </x:c>
      <x:c r="B1521" s="29" t="str">
        <x:v>SCA-19</x:v>
      </x:c>
      <x:c r="C1521" s="44" t="n">
        <x:v>8397</x:v>
      </x:c>
      <x:c r="D1521" s="44" t="n">
        <x:v>134.51223777558107</x:v>
      </x:c>
      <x:c r="E1521" s="44" t="n">
        <x:v>1805.675496183206</x:v>
      </x:c>
      <x:c r="F1521" s="44" t="n">
        <x:v>50.42555396528383</x:v>
      </x:c>
      <x:c r="G1521" s="44" t="n">
        <x:v>180.03244274809163</x:v>
      </x:c>
      <x:c r="H1521" s="44" t="n">
        <x:v>6226.354269327838</x:v>
      </x:c>
      <x:c r="I1521" s="44" t="n">
        <x:v>8397</x:v>
      </x:c>
      <x:c r="J1521" s="44" t="n">
        <x:v>1878</x:v>
      </x:c>
      <x:c r="K1521" s="44" t="n">
        <x:v>109.70131273323132</x:v>
      </x:c>
      <x:c r="L1521" s="44" t="n">
        <x:v>59.27575876794749</x:v>
      </x:c>
    </x:row>
    <x:row r="1522" ht="15" hidden="0" customHeight="1">
      <x:c r="A1522" s="27" t="str">
        <x:v>29081</x:v>
      </x:c>
      <x:c r="B1522" s="27" t="str">
        <x:v>SCA-19</x:v>
      </x:c>
      <x:c r="C1522" s="43" t="n">
        <x:v>8281</x:v>
      </x:c>
      <x:c r="D1522" s="43" t="n">
        <x:v>125.97810648242786</x:v>
      </x:c>
      <x:c r="E1522" s="43" t="n">
        <x:v>1620.509044017359</x:v>
      </x:c>
      <x:c r="F1522" s="43" t="n">
        <x:v>49.72895229087954</x:v>
      </x:c>
      <x:c r="G1522" s="43" t="n">
        <x:v>264.721946683199</x:v>
      </x:c>
      <x:c r="H1522" s="43" t="n">
        <x:v>6220.061950526135</x:v>
      </x:c>
      <x:c r="I1522" s="43" t="n">
        <x:v>8281</x:v>
      </x:c>
      <x:c r="J1522" s="43" t="n">
        <x:v>1644</x:v>
      </x:c>
      <x:c r="K1522" s="43" t="n">
        <x:v>108.18584860591743</x:v>
      </x:c>
      <x:c r="L1522" s="43" t="n">
        <x:v>58.45689631503789</x:v>
      </x:c>
    </x:row>
    <x:row r="1523" ht="15" hidden="0" customHeight="1">
      <x:c r="A1523" s="29" t="str">
        <x:v>17065</x:v>
      </x:c>
      <x:c r="B1523" s="29" t="str">
        <x:v>SCA-19</x:v>
      </x:c>
      <x:c r="C1523" s="44" t="n">
        <x:v>7859</x:v>
      </x:c>
      <x:c r="D1523" s="44" t="n">
        <x:v>112.4135343406646</x:v>
      </x:c>
      <x:c r="E1523" s="44" t="n">
        <x:v>1450.8553281508857</x:v>
      </x:c>
      <x:c r="F1523" s="44" t="n">
        <x:v>40.092371536750726</x:v>
      </x:c>
      <x:c r="G1523" s="44" t="n">
        <x:v>157.90480438384097</x:v>
      </x:c>
      <x:c r="H1523" s="44" t="n">
        <x:v>6097.733961587858</x:v>
      </x:c>
      <x:c r="I1523" s="44" t="n">
        <x:v>7859</x:v>
      </x:c>
      <x:c r="J1523" s="44" t="n">
        <x:v>1509</x:v>
      </x:c>
      <x:c r="K1523" s="44" t="n">
        <x:v>92.05360053779509</x:v>
      </x:c>
      <x:c r="L1523" s="44" t="n">
        <x:v>51.961229001044366</x:v>
      </x:c>
    </x:row>
    <x:row r="1524" ht="15" hidden="0" customHeight="1">
      <x:c r="A1524" s="27" t="str">
        <x:v>19053</x:v>
      </x:c>
      <x:c r="B1524" s="27" t="str">
        <x:v>SCA-19</x:v>
      </x:c>
      <x:c r="C1524" s="43" t="n">
        <x:v>7655</x:v>
      </x:c>
      <x:c r="D1524" s="43" t="n">
        <x:v>115.25796650378888</x:v>
      </x:c>
      <x:c r="E1524" s="43" t="n">
        <x:v>1152.113942872049</x:v>
      </x:c>
      <x:c r="F1524" s="43" t="n">
        <x:v>35.86075345731999</x:v>
      </x:c>
      <x:c r="G1524" s="43" t="n">
        <x:v>366.8025303247685</x:v>
      </x:c>
      <x:c r="H1524" s="43" t="n">
        <x:v>5984.964806842074</x:v>
      </x:c>
      <x:c r="I1524" s="43" t="n">
        <x:v>7655</x:v>
      </x:c>
      <x:c r="J1524" s="43" t="n">
        <x:v>1202</x:v>
      </x:c>
      <x:c r="K1524" s="43" t="n">
        <x:v>103.11397234144016</x:v>
      </x:c>
      <x:c r="L1524" s="43" t="n">
        <x:v>67.25321888412017</x:v>
      </x:c>
    </x:row>
    <x:row r="1525" ht="15" hidden="0" customHeight="1">
      <x:c r="A1525" s="29" t="str">
        <x:v>21007</x:v>
      </x:c>
      <x:c r="B1525" s="29" t="str">
        <x:v>SCA-19</x:v>
      </x:c>
      <x:c r="C1525" s="44" t="n">
        <x:v>7594</x:v>
      </x:c>
      <x:c r="D1525" s="44" t="n">
        <x:v>94.43443569963814</x:v>
      </x:c>
      <x:c r="E1525" s="44" t="n">
        <x:v>1270.349717319177</x:v>
      </x:c>
      <x:c r="F1525" s="44" t="n">
        <x:v>69.01849112556519</x:v>
      </x:c>
      <x:c r="G1525" s="44" t="n">
        <x:v>180.42561380225615</x:v>
      </x:c>
      <x:c r="H1525" s="44" t="n">
        <x:v>5979.771742053364</x:v>
      </x:c>
      <x:c r="I1525" s="44" t="n">
        <x:v>7594</x:v>
      </x:c>
      <x:c r="J1525" s="44" t="n">
        <x:v>1313</x:v>
      </x:c>
      <x:c r="K1525" s="44" t="n">
        <x:v>110.52168860357095</x:v>
      </x:c>
      <x:c r="L1525" s="44" t="n">
        <x:v>41.50319747800576</x:v>
      </x:c>
    </x:row>
    <x:row r="1526" ht="15" hidden="0" customHeight="1">
      <x:c r="A1526" s="27" t="str">
        <x:v>19135</x:v>
      </x:c>
      <x:c r="B1526" s="27" t="str">
        <x:v>SCA-19</x:v>
      </x:c>
      <x:c r="C1526" s="43" t="n">
        <x:v>7406</x:v>
      </x:c>
      <x:c r="D1526" s="43" t="n">
        <x:v>111.82971356507511</x:v>
      </x:c>
      <x:c r="E1526" s="43" t="n">
        <x:v>1122.3381892666941</x:v>
      </x:c>
      <x:c r="F1526" s="43" t="n">
        <x:v>34.69428348855804</x:v>
      </x:c>
      <x:c r="G1526" s="43" t="n">
        <x:v>292.64406663935546</x:v>
      </x:c>
      <x:c r="H1526" s="43" t="n">
        <x:v>5844.493747040317</x:v>
      </x:c>
      <x:c r="I1526" s="43" t="n">
        <x:v>7406</x:v>
      </x:c>
      <x:c r="J1526" s="43" t="n">
        <x:v>1156</x:v>
      </x:c>
      <x:c r="K1526" s="43" t="n">
        <x:v>99.75990583418756</x:v>
      </x:c>
      <x:c r="L1526" s="43" t="n">
        <x:v>65.06562234562952</x:v>
      </x:c>
    </x:row>
    <x:row r="1527" ht="15" hidden="0" customHeight="1">
      <x:c r="A1527" s="29" t="str">
        <x:v>29041</x:v>
      </x:c>
      <x:c r="B1527" s="29" t="str">
        <x:v>SCA-19</x:v>
      </x:c>
      <x:c r="C1527" s="44" t="n">
        <x:v>7377</x:v>
      </x:c>
      <x:c r="D1527" s="44" t="n">
        <x:v>95.48531162916815</x:v>
      </x:c>
      <x:c r="E1527" s="44" t="n">
        <x:v>1041.8374828695285</x:v>
      </x:c>
      <x:c r="F1527" s="44" t="n">
        <x:v>44.30026338000463</x:v>
      </x:c>
      <x:c r="G1527" s="44" t="n">
        <x:v>194.88484128093972</x:v>
      </x:c>
      <x:c r="H1527" s="44" t="n">
        <x:v>6000.492100840359</x:v>
      </x:c>
      <x:c r="I1527" s="44" t="n">
        <x:v>7377</x:v>
      </x:c>
      <x:c r="J1527" s="44" t="n">
        <x:v>1052</x:v>
      </x:c>
      <x:c r="K1527" s="44" t="n">
        <x:v>96.37567988960909</x:v>
      </x:c>
      <x:c r="L1527" s="44" t="n">
        <x:v>52.07541650960446</x:v>
      </x:c>
    </x:row>
    <x:row r="1528" ht="15" hidden="0" customHeight="1">
      <x:c r="A1528" s="27" t="str">
        <x:v>29203</x:v>
      </x:c>
      <x:c r="B1528" s="27" t="str">
        <x:v>SCA-19</x:v>
      </x:c>
      <x:c r="C1528" s="43" t="n">
        <x:v>7285</x:v>
      </x:c>
      <x:c r="D1528" s="43" t="n">
        <x:v>112.97148714514627</x:v>
      </x:c>
      <x:c r="E1528" s="43" t="n">
        <x:v>1477.0923184945932</x:v>
      </x:c>
      <x:c r="F1528" s="43" t="n">
        <x:v>43.74778618995983</x:v>
      </x:c>
      <x:c r="G1528" s="43" t="n">
        <x:v>219.28465103215842</x:v>
      </x:c>
      <x:c r="H1528" s="43" t="n">
        <x:v>5431.903757138142</x:v>
      </x:c>
      <x:c r="I1528" s="43" t="n">
        <x:v>7285</x:v>
      </x:c>
      <x:c r="J1528" s="43" t="n">
        <x:v>1504</x:v>
      </x:c>
      <x:c r="K1528" s="43" t="n">
        <x:v>95.17376006449805</x:v>
      </x:c>
      <x:c r="L1528" s="43" t="n">
        <x:v>51.42597387453822</x:v>
      </x:c>
    </x:row>
    <x:row r="1529" ht="15" hidden="0" customHeight="1">
      <x:c r="A1529" s="29" t="str">
        <x:v>19177</x:v>
      </x:c>
      <x:c r="B1529" s="29" t="str">
        <x:v>SCA-19</x:v>
      </x:c>
      <x:c r="C1529" s="44" t="n">
        <x:v>7131</x:v>
      </x:c>
      <x:c r="D1529" s="44" t="n">
        <x:v>111.6273971941473</x:v>
      </x:c>
      <x:c r="E1529" s="44" t="n">
        <x:v>1175.4670829268293</x:v>
      </x:c>
      <x:c r="F1529" s="44" t="n">
        <x:v>33.40601344273661</x:v>
      </x:c>
      <x:c r="G1529" s="44" t="n">
        <x:v>744.6351219512194</x:v>
      </x:c>
      <x:c r="H1529" s="44" t="n">
        <x:v>5065.864384485068</x:v>
      </x:c>
      <x:c r="I1529" s="44" t="n">
        <x:v>7131</x:v>
      </x:c>
      <x:c r="J1529" s="44" t="n">
        <x:v>1232</x:v>
      </x:c>
      <x:c r="K1529" s="44" t="n">
        <x:v>96.05561551493268</x:v>
      </x:c>
      <x:c r="L1529" s="44" t="n">
        <x:v>62.649602072196075</x:v>
      </x:c>
    </x:row>
    <x:row r="1530" ht="15" hidden="0" customHeight="1">
      <x:c r="A1530" s="27" t="str">
        <x:v>19185</x:v>
      </x:c>
      <x:c r="B1530" s="27" t="str">
        <x:v>SCA-19</x:v>
      </x:c>
      <x:c r="C1530" s="43" t="n">
        <x:v>6738</x:v>
      </x:c>
      <x:c r="D1530" s="43" t="n">
        <x:v>100.7454413162583</x:v>
      </x:c>
      <x:c r="E1530" s="43" t="n">
        <x:v>997.1652444721271</x:v>
      </x:c>
      <x:c r="F1530" s="43" t="n">
        <x:v>31.564958431799084</x:v>
      </x:c>
      <x:c r="G1530" s="43" t="n">
        <x:v>436.03176580504515</x:v>
      </x:c>
      <x:c r="H1530" s="43" t="n">
        <x:v>5172.49258997477</x:v>
      </x:c>
      <x:c r="I1530" s="43" t="n">
        <x:v>6738</x:v>
      </x:c>
      <x:c r="J1530" s="43" t="n">
        <x:v>990</x:v>
      </x:c>
      <x:c r="K1530" s="43" t="n">
        <x:v>90.76184789505209</x:v>
      </x:c>
      <x:c r="L1530" s="43" t="n">
        <x:v>59.196889463253</x:v>
      </x:c>
    </x:row>
    <x:row r="1531" ht="15" hidden="0" customHeight="1">
      <x:c r="A1531" s="29" t="str">
        <x:v>17169</x:v>
      </x:c>
      <x:c r="B1531" s="29" t="str">
        <x:v>SCA-19</x:v>
      </x:c>
      <x:c r="C1531" s="44" t="n">
        <x:v>6657</x:v>
      </x:c>
      <x:c r="D1531" s="44" t="n">
        <x:v>92.55875402767107</x:v>
      </x:c>
      <x:c r="E1531" s="44" t="n">
        <x:v>1165.0744769874477</x:v>
      </x:c>
      <x:c r="F1531" s="44" t="n">
        <x:v>33.960417014906426</x:v>
      </x:c>
      <x:c r="G1531" s="44" t="n">
        <x:v>153.72624028690976</x:v>
      </x:c>
      <x:c r="H1531" s="44" t="n">
        <x:v>5211.680111683065</x:v>
      </x:c>
      <x:c r="I1531" s="44" t="n">
        <x:v>6657</x:v>
      </x:c>
      <x:c r="J1531" s="44" t="n">
        <x:v>1220</x:v>
      </x:c>
      <x:c r="K1531" s="44" t="n">
        <x:v>77.97440116810051</x:v>
      </x:c>
      <x:c r="L1531" s="44" t="n">
        <x:v>44.01398415319409</x:v>
      </x:c>
    </x:row>
    <x:row r="1532" ht="15" hidden="0" customHeight="1">
      <x:c r="A1532" s="27" t="str">
        <x:v>29045</x:v>
      </x:c>
      <x:c r="B1532" s="27" t="str">
        <x:v>SCA-19</x:v>
      </x:c>
      <x:c r="C1532" s="43" t="n">
        <x:v>6475</x:v>
      </x:c>
      <x:c r="D1532" s="43" t="n">
        <x:v>80.30472321734221</x:v>
      </x:c>
      <x:c r="E1532" s="43" t="n">
        <x:v>830.3200366804218</x:v>
      </x:c>
      <x:c r="F1532" s="43" t="n">
        <x:v>38.883584842826345</x:v>
      </x:c>
      <x:c r="G1532" s="43" t="n">
        <x:v>124.76478679504814</x:v>
      </x:c>
      <x:c r="H1532" s="43" t="n">
        <x:v>5400.726868464361</x:v>
      </x:c>
      <x:c r="I1532" s="43" t="n">
        <x:v>6475</x:v>
      </x:c>
      <x:c r="J1532" s="43" t="n">
        <x:v>874</x:v>
      </x:c>
      <x:c r="K1532" s="43" t="n">
        <x:v>84.59163986515098</x:v>
      </x:c>
      <x:c r="L1532" s="43" t="n">
        <x:v>45.708055022324636</x:v>
      </x:c>
    </x:row>
    <x:row r="1533" ht="15" hidden="0" customHeight="1">
      <x:c r="A1533" s="29" t="str">
        <x:v>17009</x:v>
      </x:c>
      <x:c r="B1533" s="29" t="str">
        <x:v>SCA-19</x:v>
      </x:c>
      <x:c r="C1533" s="44" t="n">
        <x:v>6401</x:v>
      </x:c>
      <x:c r="D1533" s="44" t="n">
        <x:v>94.70645435182901</x:v>
      </x:c>
      <x:c r="E1533" s="44" t="n">
        <x:v>1257.2414747382795</x:v>
      </x:c>
      <x:c r="F1533" s="44" t="n">
        <x:v>32.65444333970498</x:v>
      </x:c>
      <x:c r="G1533" s="44" t="n">
        <x:v>154.30814747382794</x:v>
      </x:c>
      <x:c r="H1533" s="44" t="n">
        <x:v>4862.089480096359</x:v>
      </x:c>
      <x:c r="I1533" s="44" t="n">
        <x:v>6401</x:v>
      </x:c>
      <x:c r="J1533" s="44" t="n">
        <x:v>899</x:v>
      </x:c>
      <x:c r="K1533" s="44" t="n">
        <x:v>74.97583624410566</x:v>
      </x:c>
      <x:c r="L1533" s="44" t="n">
        <x:v>42.32139290440068</x:v>
      </x:c>
    </x:row>
    <x:row r="1534" ht="15" hidden="0" customHeight="1">
      <x:c r="A1534" s="27" t="str">
        <x:v>29075</x:v>
      </x:c>
      <x:c r="B1534" s="27" t="str">
        <x:v>SCA-19</x:v>
      </x:c>
      <x:c r="C1534" s="43" t="n">
        <x:v>6384</x:v>
      </x:c>
      <x:c r="D1534" s="43" t="n">
        <x:v>87.3465895791221</x:v>
      </x:c>
      <x:c r="E1534" s="43" t="n">
        <x:v>1014.7420327868853</x:v>
      </x:c>
      <x:c r="F1534" s="43" t="n">
        <x:v>38.33711283962987</x:v>
      </x:c>
      <x:c r="G1534" s="43" t="n">
        <x:v>269.1024590163935</x:v>
      </x:c>
      <x:c r="H1534" s="43" t="n">
        <x:v>4974.47180577797</x:v>
      </x:c>
      <x:c r="I1534" s="43" t="n">
        <x:v>6384</x:v>
      </x:c>
      <x:c r="J1534" s="43" t="n">
        <x:v>1010</x:v>
      </x:c>
      <x:c r="K1534" s="43" t="n">
        <x:v>83.40278438596508</x:v>
      </x:c>
      <x:c r="L1534" s="43" t="n">
        <x:v>45.06567154633521</x:v>
      </x:c>
    </x:row>
    <x:row r="1535" ht="15" hidden="0" customHeight="1">
      <x:c r="A1535" s="29" t="str">
        <x:v>29179</x:v>
      </x:c>
      <x:c r="B1535" s="29" t="str">
        <x:v>SCA-19</x:v>
      </x:c>
      <x:c r="C1535" s="44" t="n">
        <x:v>5992</x:v>
      </x:c>
      <x:c r="D1535" s="44" t="n">
        <x:v>111.63316403999644</x:v>
      </x:c>
      <x:c r="E1535" s="44" t="n">
        <x:v>1664.0323884424688</x:v>
      </x:c>
      <x:c r="F1535" s="44" t="n">
        <x:v>35.98307959509119</x:v>
      </x:c>
      <x:c r="G1535" s="44" t="n">
        <x:v>238.80184646948197</x:v>
      </x:c>
      <x:c r="H1535" s="44" t="n">
        <x:v>3941.5495214529615</x:v>
      </x:c>
      <x:c r="I1535" s="44" t="n">
        <x:v>5992</x:v>
      </x:c>
      <x:c r="J1535" s="44" t="n">
        <x:v>1692</x:v>
      </x:c>
      <x:c r="K1535" s="44" t="n">
        <x:v>78.2815607833181</x:v>
      </x:c>
      <x:c r="L1535" s="44" t="n">
        <x:v>42.29848118822691</x:v>
      </x:c>
    </x:row>
    <x:row r="1536" ht="15" hidden="0" customHeight="1">
      <x:c r="A1536" s="27" t="str">
        <x:v>17071</x:v>
      </x:c>
      <x:c r="B1536" s="27" t="str">
        <x:v>SCA-19</x:v>
      </x:c>
      <x:c r="C1536" s="43" t="n">
        <x:v>5984</x:v>
      </x:c>
      <x:c r="D1536" s="43" t="n">
        <x:v>96.22611255524113</x:v>
      </x:c>
      <x:c r="E1536" s="43" t="n">
        <x:v>1359.883010752688</x:v>
      </x:c>
      <x:c r="F1536" s="43" t="n">
        <x:v>30.527134657833862</x:v>
      </x:c>
      <x:c r="G1536" s="43" t="n">
        <x:v>135.48183447376996</x:v>
      </x:c>
      <x:c r="H1536" s="43" t="n">
        <x:v>4361.881907560467</x:v>
      </x:c>
      <x:c r="I1536" s="43" t="n">
        <x:v>5984</x:v>
      </x:c>
      <x:c r="J1536" s="43" t="n">
        <x:v>1453</x:v>
      </x:c>
      <x:c r="K1536" s="43" t="n">
        <x:v>70.09145509837967</x:v>
      </x:c>
      <x:c r="L1536" s="43" t="n">
        <x:v>39.564320440545806</x:v>
      </x:c>
    </x:row>
    <x:row r="1537" ht="15" hidden="0" customHeight="1">
      <x:c r="A1537" s="29" t="str">
        <x:v>29205</x:v>
      </x:c>
      <x:c r="B1537" s="29" t="str">
        <x:v>SCA-19</x:v>
      </x:c>
      <x:c r="C1537" s="44" t="n">
        <x:v>5870</x:v>
      </x:c>
      <x:c r="D1537" s="44" t="n">
        <x:v>77.49828422407928</x:v>
      </x:c>
      <x:c r="E1537" s="44" t="n">
        <x:v>865.4644906373475</x:v>
      </x:c>
      <x:c r="F1537" s="44" t="n">
        <x:v>35.250446799597015</x:v>
      </x:c>
      <x:c r="G1537" s="44" t="n">
        <x:v>118.49853976979901</x:v>
      </x:c>
      <x:c r="H1537" s="44" t="n">
        <x:v>4773.288238569177</x:v>
      </x:c>
      <x:c r="I1537" s="44" t="n">
        <x:v>5870</x:v>
      </x:c>
      <x:c r="J1537" s="44" t="n">
        <x:v>894</x:v>
      </x:c>
      <x:c r="K1537" s="44" t="n">
        <x:v>76.68771058045348</x:v>
      </x:c>
      <x:c r="L1537" s="44" t="n">
        <x:v>41.43726378085647</x:v>
      </x:c>
    </x:row>
    <x:row r="1538" ht="15" hidden="0" customHeight="1">
      <x:c r="A1538" s="27" t="str">
        <x:v>29211</x:v>
      </x:c>
      <x:c r="B1538" s="27" t="str">
        <x:v>SCA-19</x:v>
      </x:c>
      <x:c r="C1538" s="43" t="n">
        <x:v>5738</x:v>
      </x:c>
      <x:c r="D1538" s="43" t="n">
        <x:v>72.47102563856596</x:v>
      </x:c>
      <x:c r="E1538" s="43" t="n">
        <x:v>767.1737005403521</x:v>
      </x:c>
      <x:c r="F1538" s="43" t="n">
        <x:v>34.45776213561971</x:v>
      </x:c>
      <x:c r="G1538" s="43" t="n">
        <x:v>141.5898553250828</x:v>
      </x:c>
      <x:c r="H1538" s="43" t="n">
        <x:v>4722.30765636038</x:v>
      </x:c>
      <x:c r="I1538" s="43" t="n">
        <x:v>5738</x:v>
      </x:c>
      <x:c r="J1538" s="43" t="n">
        <x:v>799</x:v>
      </x:c>
      <x:c r="K1538" s="43" t="n">
        <x:v>74.96321691833766</x:v>
      </x:c>
      <x:c r="L1538" s="43" t="n">
        <x:v>40.505454782717955</x:v>
      </x:c>
    </x:row>
    <x:row r="1539" ht="15" hidden="0" customHeight="1">
      <x:c r="A1539" s="29" t="str">
        <x:v>29035</x:v>
      </x:c>
      <x:c r="B1539" s="29" t="str">
        <x:v>SCA-19</x:v>
      </x:c>
      <x:c r="C1539" s="44" t="n">
        <x:v>5418</x:v>
      </x:c>
      <x:c r="D1539" s="44" t="n">
        <x:v>100.12529884485082</x:v>
      </x:c>
      <x:c r="E1539" s="44" t="n">
        <x:v>1485.0905992010653</x:v>
      </x:c>
      <x:c r="F1539" s="44" t="n">
        <x:v>32.53610234415956</x:v>
      </x:c>
      <x:c r="G1539" s="44" t="n">
        <x:v>256.8540992961765</x:v>
      </x:c>
      <x:c r="H1539" s="44" t="n">
        <x:v>3543.3939003137475</x:v>
      </x:c>
      <x:c r="I1539" s="44" t="n">
        <x:v>5418</x:v>
      </x:c>
      <x:c r="J1539" s="44" t="n">
        <x:v>1501</x:v>
      </x:c>
      <x:c r="K1539" s="44" t="n">
        <x:v>70.78262622229931</x:v>
      </x:c>
      <x:c r="L1539" s="44" t="n">
        <x:v>38.246523878139755</x:v>
      </x:c>
    </x:row>
    <x:row r="1540" ht="15" hidden="0" customHeight="1">
      <x:c r="A1540" s="27" t="str">
        <x:v>17171</x:v>
      </x:c>
      <x:c r="B1540" s="27" t="str">
        <x:v>SCA-19</x:v>
      </x:c>
      <x:c r="C1540" s="43" t="n">
        <x:v>4866</x:v>
      </x:c>
      <x:c r="D1540" s="43" t="n">
        <x:v>62.591170068626695</x:v>
      </x:c>
      <x:c r="E1540" s="43" t="n">
        <x:v>730.0491113381</x:v>
      </x:c>
      <x:c r="F1540" s="43" t="n">
        <x:v>24.82370274816504</x:v>
      </x:c>
      <x:c r="G1540" s="43" t="n">
        <x:v>101.24616956077631</x:v>
      </x:c>
      <x:c r="H1540" s="43" t="n">
        <x:v>3947.289846284332</x:v>
      </x:c>
      <x:c r="I1540" s="43" t="n">
        <x:v>4866</x:v>
      </x:c>
      <x:c r="J1540" s="43" t="n">
        <x:v>765</x:v>
      </x:c>
      <x:c r="K1540" s="43" t="n">
        <x:v>56.9961598443709</x:v>
      </x:c>
      <x:c r="L1540" s="43" t="n">
        <x:v>32.17245709620586</x:v>
      </x:c>
    </x:row>
    <x:row r="1541" ht="15" hidden="0" customHeight="1">
      <x:c r="A1541" s="29" t="str">
        <x:v>17153</x:v>
      </x:c>
      <x:c r="B1541" s="29" t="str">
        <x:v>SCA-19</x:v>
      </x:c>
      <x:c r="C1541" s="44" t="n">
        <x:v>4820</x:v>
      </x:c>
      <x:c r="D1541" s="44" t="n">
        <x:v>81.67829898763159</x:v>
      </x:c>
      <x:c r="E1541" s="44" t="n">
        <x:v>1195.4395051546392</x:v>
      </x:c>
      <x:c r="F1541" s="44" t="n">
        <x:v>24.589035603402277</x:v>
      </x:c>
      <x:c r="G1541" s="44" t="n">
        <x:v>135.35103092783504</x:v>
      </x:c>
      <x:c r="H1541" s="44" t="n">
        <x:v>3382.9421293264922</x:v>
      </x:c>
      <x:c r="I1541" s="44" t="n">
        <x:v>4820</x:v>
      </x:c>
      <x:c r="J1541" s="44" t="n">
        <x:v>1253</x:v>
      </x:c>
      <x:c r="K1541" s="44" t="n">
        <x:v>56.457355209590574</x:v>
      </x:c>
      <x:c r="L1541" s="44" t="n">
        <x:v>31.868319606188297</x:v>
      </x:c>
    </x:row>
    <x:row r="1542" ht="15" hidden="0" customHeight="1">
      <x:c r="A1542" s="27" t="str">
        <x:v>29199</x:v>
      </x:c>
      <x:c r="B1542" s="27" t="str">
        <x:v>SCA-19</x:v>
      </x:c>
      <x:c r="C1542" s="43" t="n">
        <x:v>4796</x:v>
      </x:c>
      <x:c r="D1542" s="43" t="n">
        <x:v>52.73063992914353</x:v>
      </x:c>
      <x:c r="E1542" s="43" t="n">
        <x:v>452.9979119226638</x:v>
      </x:c>
      <x:c r="F1542" s="43" t="n">
        <x:v>28.80087612450891</x:v>
      </x:c>
      <x:c r="G1542" s="43" t="n">
        <x:v>82.04661654135339</x:v>
      </x:c>
      <x:c r="H1542" s="43" t="n">
        <x:v>4179.423955482331</x:v>
      </x:c>
      <x:c r="I1542" s="43" t="n">
        <x:v>4796</x:v>
      </x:c>
      <x:c r="J1542" s="43" t="n">
        <x:v>458</x:v>
      </x:c>
      <x:c r="K1542" s="43" t="n">
        <x:v>62.65660305687477</x:v>
      </x:c>
      <x:c r="L1542" s="43" t="n">
        <x:v>33.85572693236586</x:v>
      </x:c>
    </x:row>
    <x:row r="1543" ht="15" hidden="0" customHeight="1">
      <x:c r="A1543" s="29" t="str">
        <x:v>19159</x:v>
      </x:c>
      <x:c r="B1543" s="29" t="str">
        <x:v>SCA-19</x:v>
      </x:c>
      <x:c r="C1543" s="44" t="n">
        <x:v>4642</x:v>
      </x:c>
      <x:c r="D1543" s="44" t="n">
        <x:v>71.67357916622926</x:v>
      </x:c>
      <x:c r="E1543" s="44" t="n">
        <x:v>741.3877668161434</x:v>
      </x:c>
      <x:c r="F1543" s="44" t="n">
        <x:v>21.745998373465625</x:v>
      </x:c>
      <x:c r="G1543" s="44" t="n">
        <x:v>164.2255605381166</x:v>
      </x:c>
      <x:c r="H1543" s="44" t="n">
        <x:v>3642.9670951060452</x:v>
      </x:c>
      <x:c r="I1543" s="44" t="n">
        <x:v>4642</x:v>
      </x:c>
      <x:c r="J1543" s="44" t="n">
        <x:v>742</x:v>
      </x:c>
      <x:c r="K1543" s="44" t="n">
        <x:v>62.52842058902223</x:v>
      </x:c>
      <x:c r="L1543" s="44" t="n">
        <x:v>40.78242221555661</x:v>
      </x:c>
    </x:row>
    <x:row r="1544" ht="15" hidden="0" customHeight="1">
      <x:c r="A1544" s="27" t="str">
        <x:v>17059</x:v>
      </x:c>
      <x:c r="B1544" s="27" t="str">
        <x:v>SCA-19</x:v>
      </x:c>
      <x:c r="C1544" s="43" t="n">
        <x:v>4616</x:v>
      </x:c>
      <x:c r="D1544" s="43" t="n">
        <x:v>77.62314880420114</x:v>
      </x:c>
      <x:c r="E1544" s="43" t="n">
        <x:v>1130.4867083854817</x:v>
      </x:c>
      <x:c r="F1544" s="43" t="n">
        <x:v>23.54833783097612</x:v>
      </x:c>
      <x:c r="G1544" s="43" t="n">
        <x:v>185.84991656236966</x:v>
      </x:c>
      <x:c r="H1544" s="43" t="n">
        <x:v>3198.4918884169715</x:v>
      </x:c>
      <x:c r="I1544" s="43" t="n">
        <x:v>4616</x:v>
      </x:c>
      <x:c r="J1544" s="43" t="n">
        <x:v>1223</x:v>
      </x:c>
      <x:c r="K1544" s="43" t="n">
        <x:v>54.067873785782176</x:v>
      </x:c>
      <x:c r="L1544" s="43" t="n">
        <x:v>30.519535954806056</x:v>
      </x:c>
    </x:row>
    <x:row r="1545" ht="15" hidden="0" customHeight="1">
      <x:c r="A1545" s="29" t="str">
        <x:v>17003</x:v>
      </x:c>
      <x:c r="B1545" s="29" t="str">
        <x:v>SCA-19</x:v>
      </x:c>
      <x:c r="C1545" s="44" t="n">
        <x:v>4570</x:v>
      </x:c>
      <x:c r="D1545" s="44" t="n">
        <x:v>73.81205118445376</x:v>
      </x:c>
      <x:c r="E1545" s="44" t="n">
        <x:v>1046.3196652719664</x:v>
      </x:c>
      <x:c r="F1545" s="44" t="n">
        <x:v>23.313670686213367</x:v>
      </x:c>
      <x:c r="G1545" s="44" t="n">
        <x:v>192.28033472803347</x:v>
      </x:c>
      <x:c r="H1545" s="44" t="n">
        <x:v>3234.2742781293327</x:v>
      </x:c>
      <x:c r="I1545" s="44" t="n">
        <x:v>4570</x:v>
      </x:c>
      <x:c r="J1545" s="44" t="n">
        <x:v>1140</x:v>
      </x:c>
      <x:c r="K1545" s="44" t="n">
        <x:v>53.529069151001856</x:v>
      </x:c>
      <x:c r="L1545" s="44" t="n">
        <x:v>30.21539846478849</x:v>
      </x:c>
    </x:row>
    <x:row r="1546" ht="15" hidden="0" customHeight="1">
      <x:c r="A1546" s="27" t="str">
        <x:v>29171</x:v>
      </x:c>
      <x:c r="B1546" s="27" t="str">
        <x:v>SCA-19</x:v>
      </x:c>
      <x:c r="C1546" s="43" t="n">
        <x:v>4546</x:v>
      </x:c>
      <x:c r="D1546" s="43" t="n">
        <x:v>58.68712430789523</x:v>
      </x:c>
      <x:c r="E1546" s="43" t="n">
        <x:v>638.3084914735462</x:v>
      </x:c>
      <x:c r="F1546" s="43" t="n">
        <x:v>27.299579412430667</x:v>
      </x:c>
      <x:c r="G1546" s="43" t="n">
        <x:v>125.4995627459554</x:v>
      </x:c>
      <x:c r="H1546" s="43" t="n">
        <x:v>3696.2052420601726</x:v>
      </x:c>
      <x:c r="I1546" s="43" t="n">
        <x:v>4546</x:v>
      </x:c>
      <x:c r="J1546" s="43" t="n">
        <x:v>669</x:v>
      </x:c>
      <x:c r="K1546" s="43" t="n">
        <x:v>59.39051657559481</x:v>
      </x:c>
      <x:c r="L1546" s="43" t="n">
        <x:v>32.09093716316414</x:v>
      </x:c>
    </x:row>
    <x:row r="1547" ht="15" hidden="0" customHeight="1">
      <x:c r="A1547" s="29" t="str">
        <x:v>17013</x:v>
      </x:c>
      <x:c r="B1547" s="29" t="str">
        <x:v>SCA-19</x:v>
      </x:c>
      <x:c r="C1547" s="44" t="n">
        <x:v>4300</x:v>
      </x:c>
      <x:c r="D1547" s="44" t="n">
        <x:v>55.47960893532071</x:v>
      </x:c>
      <x:c r="E1547" s="44" t="n">
        <x:v>649.1847672778562</x:v>
      </x:c>
      <x:c r="F1547" s="44" t="n">
        <x:v>21.936276575649334</x:v>
      </x:c>
      <x:c r="G1547" s="44" t="n">
        <x:v>37.080394922425945</x:v>
      </x:c>
      <x:c r="H1547" s="44" t="n">
        <x:v>3536.318952288748</x:v>
      </x:c>
      <x:c r="I1547" s="44" t="n">
        <x:v>4300</x:v>
      </x:c>
      <x:c r="J1547" s="44" t="n">
        <x:v>669</x:v>
      </x:c>
      <x:c r="K1547" s="44" t="n">
        <x:v>50.36652020772603</x:v>
      </x:c>
      <x:c r="L1547" s="44" t="n">
        <x:v>28.4302436320767</x:v>
      </x:c>
    </x:row>
    <x:row r="1548" ht="15" hidden="0" customHeight="1">
      <x:c r="A1548" s="27" t="str">
        <x:v>29197</x:v>
      </x:c>
      <x:c r="B1548" s="27" t="str">
        <x:v>SCA-19</x:v>
      </x:c>
      <x:c r="C1548" s="43" t="n">
        <x:v>4140</x:v>
      </x:c>
      <x:c r="D1548" s="43" t="n">
        <x:v>61.37467031581569</x:v>
      </x:c>
      <x:c r="E1548" s="43" t="n">
        <x:v>771.5940417080436</x:v>
      </x:c>
      <x:c r="F1548" s="43" t="n">
        <x:v>24.861473552015607</x:v>
      </x:c>
      <x:c r="G1548" s="43" t="n">
        <x:v>119.26713008937439</x:v>
      </x:c>
      <x:c r="H1548" s="43" t="n">
        <x:v>3162.902684334751</x:v>
      </x:c>
      <x:c r="I1548" s="43" t="n">
        <x:v>4140</x:v>
      </x:c>
      <x:c r="J1548" s="43" t="n">
        <x:v>782</x:v>
      </x:c>
      <x:c r="K1548" s="43" t="n">
        <x:v>54.08639212999615</x:v>
      </x:c>
      <x:c r="L1548" s="43" t="n">
        <x:v>29.224918577980542</x:v>
      </x:c>
    </x:row>
    <x:row r="1549" ht="15" hidden="0" customHeight="1">
      <x:c r="A1549" s="29" t="str">
        <x:v>29103</x:v>
      </x:c>
      <x:c r="B1549" s="29" t="str">
        <x:v>SCA-19</x:v>
      </x:c>
      <x:c r="C1549" s="44" t="n">
        <x:v>3728</x:v>
      </x:c>
      <x:c r="D1549" s="44" t="n">
        <x:v>45.13712630851909</x:v>
      </x:c>
      <x:c r="E1549" s="44" t="n">
        <x:v>451.69395048439185</x:v>
      </x:c>
      <x:c r="F1549" s="44" t="n">
        <x:v>22.387336570510676</x:v>
      </x:c>
      <x:c r="G1549" s="44" t="n">
        <x:v>20.097147470398276</x:v>
      </x:c>
      <x:c r="H1549" s="44" t="n">
        <x:v>3188.6844391661803</x:v>
      </x:c>
      <x:c r="I1549" s="44" t="n">
        <x:v>3728</x:v>
      </x:c>
      <x:c r="J1549" s="44" t="n">
        <x:v>469</x:v>
      </x:c>
      <x:c r="K1549" s="44" t="n">
        <x:v>48.70388160884678</x:v>
      </x:c>
      <x:c r="L1549" s="44" t="n">
        <x:v>26.316545038336102</x:v>
      </x:c>
    </x:row>
    <x:row r="1550" ht="15" hidden="0" customHeight="1">
      <x:c r="A1550" s="27" t="str">
        <x:v>17151</x:v>
      </x:c>
      <x:c r="B1550" s="27" t="str">
        <x:v>SCA-19</x:v>
      </x:c>
      <x:c r="C1550" s="43" t="n">
        <x:v>3672</x:v>
      </x:c>
      <x:c r="D1550" s="43" t="n">
        <x:v>59.61492178207037</x:v>
      </x:c>
      <x:c r="E1550" s="43" t="n">
        <x:v>848.0835853725598</x:v>
      </x:c>
      <x:c r="F1550" s="43" t="n">
        <x:v>18.73255990367078</x:v>
      </x:c>
      <x:c r="G1550" s="43" t="n">
        <x:v>85.81413252680781</x:v>
      </x:c>
      <x:c r="H1550" s="43" t="n">
        <x:v>2659.754800414891</x:v>
      </x:c>
      <x:c r="I1550" s="43" t="n">
        <x:v>3672</x:v>
      </x:c>
      <x:c r="J1550" s="43" t="n">
        <x:v>875</x:v>
      </x:c>
      <x:c r="K1550" s="43" t="n">
        <x:v>43.01066562855116</x:v>
      </x:c>
      <x:c r="L1550" s="43" t="n">
        <x:v>24.27810572488038</x:v>
      </x:c>
    </x:row>
    <x:row r="1551" ht="15" hidden="0" customHeight="1">
      <x:c r="A1551" s="29" t="str">
        <x:v>17069</x:v>
      </x:c>
      <x:c r="B1551" s="29" t="str">
        <x:v>SCA-19</x:v>
      </x:c>
      <x:c r="C1551" s="44" t="n">
        <x:v>3588</x:v>
      </x:c>
      <x:c r="D1551" s="44" t="n">
        <x:v>63.06509826065271</x:v>
      </x:c>
      <x:c r="E1551" s="44" t="n">
        <x:v>944.2169769427838</x:v>
      </x:c>
      <x:c r="F1551" s="44" t="n">
        <x:v>18.304037291495305</x:v>
      </x:c>
      <x:c r="G1551" s="44" t="n">
        <x:v>129.20580700256193</x:v>
      </x:c>
      <x:c r="H1551" s="44" t="n">
        <x:v>2433.208080502506</x:v>
      </x:c>
      <x:c r="I1551" s="44" t="n">
        <x:v>3588</x:v>
      </x:c>
      <x:c r="J1551" s="44" t="n">
        <x:v>963</x:v>
      </x:c>
      <x:c r="K1551" s="44" t="n">
        <x:v>42.02676151286535</x:v>
      </x:c>
      <x:c r="L1551" s="44" t="n">
        <x:v>23.722724221370044</x:v>
      </x:c>
    </x:row>
    <x:row r="1552" ht="15" hidden="0" customHeight="1">
      <x:c r="A1552" s="27" t="str">
        <x:v>29129</x:v>
      </x:c>
      <x:c r="B1552" s="27" t="str">
        <x:v>SCA-19</x:v>
      </x:c>
      <x:c r="C1552" s="43" t="n">
        <x:v>3404</x:v>
      </x:c>
      <x:c r="D1552" s="43" t="n">
        <x:v>46.60987471886044</x:v>
      </x:c>
      <x:c r="E1552" s="43" t="n">
        <x:v>541.9319333138345</x:v>
      </x:c>
      <x:c r="F1552" s="43" t="n">
        <x:v>20.44165603165728</x:v>
      </x:c>
      <x:c r="G1552" s="43" t="n">
        <x:v>135.13424978063762</x:v>
      </x:c>
      <x:c r="H1552" s="43" t="n">
        <x:v>2659.88228615501</x:v>
      </x:c>
      <x:c r="I1552" s="43" t="n">
        <x:v>3404</x:v>
      </x:c>
      <x:c r="J1552" s="43" t="n">
        <x:v>567</x:v>
      </x:c>
      <x:c r="K1552" s="43" t="n">
        <x:v>44.47103352910795</x:v>
      </x:c>
      <x:c r="L1552" s="43" t="n">
        <x:v>24.029377497450668</x:v>
      </x:c>
    </x:row>
    <x:row r="1553" ht="15" hidden="0" customHeight="1">
      <x:c r="A1553" s="29" t="str">
        <x:v>29227</x:v>
      </x:c>
      <x:c r="B1553" s="29" t="str">
        <x:v>SCA-19</x:v>
      </x:c>
      <x:c r="C1553" s="44" t="n">
        <x:v>1914</x:v>
      </x:c>
      <x:c r="D1553" s="44" t="n">
        <x:v>28.243596403607768</x:v>
      </x:c>
      <x:c r="E1553" s="44" t="n">
        <x:v>353.57678233438486</x:v>
      </x:c>
      <x:c r="F1553" s="44" t="n">
        <x:v>11.493927627670987</x:v>
      </x:c>
      <x:c r="G1553" s="44" t="n">
        <x:v>53.299684542586746</x:v>
      </x:c>
      <x:c r="H1553" s="44" t="n">
        <x:v>1467.3860090917497</x:v>
      </x:c>
      <x:c r="I1553" s="44" t="n">
        <x:v>1914</x:v>
      </x:c>
      <x:c r="J1553" s="44" t="n">
        <x:v>366</x:v>
      </x:c>
      <x:c r="K1553" s="44" t="n">
        <x:v>25.00515810067938</x:v>
      </x:c>
      <x:c r="L1553" s="44" t="n">
        <x:v>13.511230473008395</x:v>
      </x:c>
    </x:row>
    <x:row r="1554" ht="15" hidden="0" customHeight="1">
      <x:c r="A1554" s="27" t="str">
        <x:v>47157</x:v>
      </x:c>
      <x:c r="B1554" s="27" t="str">
        <x:v>SCA-20</x:v>
      </x:c>
      <x:c r="C1554" s="43" t="n">
        <x:v>910226</x:v>
      </x:c>
      <x:c r="D1554" s="43" t="n">
        <x:v>8655.217130655725</x:v>
      </x:c>
      <x:c r="E1554" s="43" t="n">
        <x:v>111500.49936678857</x:v>
      </x:c>
      <x:c r="F1554" s="43" t="n">
        <x:v>5830.102753558645</x:v>
      </x:c>
      <x:c r="G1554" s="43" t="n">
        <x:v>42594.4124867824</x:v>
      </x:c>
      <x:c r="H1554" s="43" t="n">
        <x:v>741645.7682622146</x:v>
      </x:c>
      <x:c r="I1554" s="43" t="n">
        <x:v>910226</x:v>
      </x:c>
      <x:c r="J1554" s="43" t="n">
        <x:v>115847</x:v>
      </x:c>
      <x:c r="K1554" s="43" t="n">
        <x:v>9839.465743931514</x:v>
      </x:c>
      <x:c r="L1554" s="43" t="n">
        <x:v>4009.362990372869</x:v>
      </x:c>
    </x:row>
    <x:row r="1555" ht="15" hidden="0" customHeight="1">
      <x:c r="A1555" s="29" t="str">
        <x:v>05119</x:v>
      </x:c>
      <x:c r="B1555" s="29" t="str">
        <x:v>SCA-20</x:v>
      </x:c>
      <x:c r="C1555" s="44" t="n">
        <x:v>404611</x:v>
      </x:c>
      <x:c r="D1555" s="44" t="n">
        <x:v>5003.287073552295</x:v>
      </x:c>
      <x:c r="E1555" s="44" t="n">
        <x:v>62172.66712079918</x:v>
      </x:c>
      <x:c r="F1555" s="44" t="n">
        <x:v>3871.109321500588</x:v>
      </x:c>
      <x:c r="G1555" s="44" t="n">
        <x:v>16085.636117493032</x:v>
      </x:c>
      <x:c r="H1555" s="44" t="n">
        <x:v>317478.3003666549</x:v>
      </x:c>
      <x:c r="I1555" s="44" t="n">
        <x:v>404611</x:v>
      </x:c>
      <x:c r="J1555" s="44" t="n">
        <x:v>62841</x:v>
      </x:c>
      <x:c r="K1555" s="44" t="n">
        <x:v>6283.868598352917</x:v>
      </x:c>
      <x:c r="L1555" s="44" t="n">
        <x:v>2412.759276852329</x:v>
      </x:c>
    </x:row>
    <x:row r="1556" ht="15" hidden="0" customHeight="1">
      <x:c r="A1556" s="27" t="str">
        <x:v>22103</x:v>
      </x:c>
      <x:c r="B1556" s="27" t="str">
        <x:v>SCA-20</x:v>
      </x:c>
      <x:c r="C1556" s="43" t="n">
        <x:v>279108</x:v>
      </x:c>
      <x:c r="D1556" s="43" t="n">
        <x:v>3254.9620477315807</x:v>
      </x:c>
      <x:c r="E1556" s="43" t="n">
        <x:v>43026.710586415735</x:v>
      </x:c>
      <x:c r="F1556" s="43" t="n">
        <x:v>3234.7026785352264</x:v>
      </x:c>
      <x:c r="G1556" s="43" t="n">
        <x:v>6493.744041223468</x:v>
      </x:c>
      <x:c r="H1556" s="43" t="n">
        <x:v>223097.880646094</x:v>
      </x:c>
      <x:c r="I1556" s="43" t="n">
        <x:v>279108</x:v>
      </x:c>
      <x:c r="J1556" s="43" t="n">
        <x:v>43192</x:v>
      </x:c>
      <x:c r="K1556" s="43" t="n">
        <x:v>4696.885118499485</x:v>
      </x:c>
      <x:c r="L1556" s="43" t="n">
        <x:v>1462.1824399642583</x:v>
      </x:c>
    </x:row>
    <x:row r="1557" ht="15" hidden="0" customHeight="1">
      <x:c r="A1557" s="29" t="str">
        <x:v>28047</x:v>
      </x:c>
      <x:c r="B1557" s="29" t="str">
        <x:v>SCA-20</x:v>
      </x:c>
      <x:c r="C1557" s="44" t="n">
        <x:v>217136</x:v>
      </x:c>
      <x:c r="D1557" s="44" t="n">
        <x:v>3178.2065966729797</x:v>
      </x:c>
      <x:c r="E1557" s="44" t="n">
        <x:v>41577.983288769785</x:v>
      </x:c>
      <x:c r="F1557" s="44" t="n">
        <x:v>2212.3448226012206</x:v>
      </x:c>
      <x:c r="G1557" s="44" t="n">
        <x:v>8225.12680905983</x:v>
      </x:c>
      <x:c r="H1557" s="44" t="n">
        <x:v>161942.3384828962</x:v>
      </x:c>
      <x:c r="I1557" s="44" t="n">
        <x:v>217136</x:v>
      </x:c>
      <x:c r="J1557" s="44" t="n">
        <x:v>40492</x:v>
      </x:c>
      <x:c r="K1557" s="44" t="n">
        <x:v>3658.135448908792</x:v>
      </x:c>
      <x:c r="L1557" s="44" t="n">
        <x:v>1445.7906263075718</x:v>
      </x:c>
    </x:row>
    <x:row r="1558" ht="15" hidden="0" customHeight="1">
      <x:c r="A1558" s="27" t="str">
        <x:v>28049</x:v>
      </x:c>
      <x:c r="B1558" s="27" t="str">
        <x:v>SCA-20</x:v>
      </x:c>
      <x:c r="C1558" s="43" t="n">
        <x:v>211888</x:v>
      </x:c>
      <x:c r="D1558" s="43" t="n">
        <x:v>2723.1853738893337</x:v>
      </x:c>
      <x:c r="E1558" s="43" t="n">
        <x:v>31496.119864170912</x:v>
      </x:c>
      <x:c r="F1558" s="43" t="n">
        <x:v>2158.874252870677</x:v>
      </x:c>
      <x:c r="G1558" s="43" t="n">
        <x:v>10518.455210174227</x:v>
      </x:c>
      <x:c r="H1558" s="43" t="n">
        <x:v>164991.36529889485</x:v>
      </x:c>
      <x:c r="I1558" s="43" t="n">
        <x:v>211888</x:v>
      </x:c>
      <x:c r="J1558" s="43" t="n">
        <x:v>33469</x:v>
      </x:c>
      <x:c r="K1558" s="43" t="n">
        <x:v>3569.721299086223</x:v>
      </x:c>
      <x:c r="L1558" s="43" t="n">
        <x:v>1410.8470462155458</x:v>
      </x:c>
    </x:row>
    <x:row r="1559" ht="15" hidden="0" customHeight="1">
      <x:c r="A1559" s="29" t="str">
        <x:v>28033</x:v>
      </x:c>
      <x:c r="B1559" s="29" t="str">
        <x:v>SCA-20</x:v>
      </x:c>
      <x:c r="C1559" s="44" t="n">
        <x:v>197918</x:v>
      </x:c>
      <x:c r="D1559" s="44" t="n">
        <x:v>2317.8539727078582</x:v>
      </x:c>
      <x:c r="E1559" s="44" t="n">
        <x:v>24000.613555414275</x:v>
      </x:c>
      <x:c r="F1559" s="44" t="n">
        <x:v>2016.5373894682978</x:v>
      </x:c>
      <x:c r="G1559" s="44" t="n">
        <x:v>3686.0636503591304</x:v>
      </x:c>
      <x:c r="H1559" s="44" t="n">
        <x:v>165896.93143205042</x:v>
      </x:c>
      <x:c r="I1559" s="44" t="n">
        <x:v>197918</x:v>
      </x:c>
      <x:c r="J1559" s="44" t="n">
        <x:v>24041</x:v>
      </x:c>
      <x:c r="K1559" s="44" t="n">
        <x:v>3334.3657973672275</x:v>
      </x:c>
      <x:c r="L1559" s="44" t="n">
        <x:v>1317.8284078989298</x:v>
      </x:c>
    </x:row>
    <x:row r="1560" ht="15" hidden="0" customHeight="1">
      <x:c r="A1560" s="27" t="str">
        <x:v>28121</x:v>
      </x:c>
      <x:c r="B1560" s="27" t="str">
        <x:v>SCA-20</x:v>
      </x:c>
      <x:c r="C1560" s="43" t="n">
        <x:v>162181</x:v>
      </x:c>
      <x:c r="D1560" s="43" t="n">
        <x:v>2092.271752520403</x:v>
      </x:c>
      <x:c r="E1560" s="43" t="n">
        <x:v>24297.518571595527</x:v>
      </x:c>
      <x:c r="F1560" s="43" t="n">
        <x:v>1652.4219644567852</x:v>
      </x:c>
      <x:c r="G1560" s="43" t="n">
        <x:v>2576.9717630406835</x:v>
      </x:c>
      <x:c r="H1560" s="43" t="n">
        <x:v>131561.81594838662</x:v>
      </x:c>
      <x:c r="I1560" s="43" t="n">
        <x:v>162181</x:v>
      </x:c>
      <x:c r="J1560" s="43" t="n">
        <x:v>24036</x:v>
      </x:c>
      <x:c r="K1560" s="43" t="n">
        <x:v>2732.2971098273747</x:v>
      </x:c>
      <x:c r="L1560" s="43" t="n">
        <x:v>1079.8751453705895</x:v>
      </x:c>
    </x:row>
    <x:row r="1561" ht="15" hidden="0" customHeight="1">
      <x:c r="A1561" s="29" t="str">
        <x:v>22073</x:v>
      </x:c>
      <x:c r="B1561" s="29" t="str">
        <x:v>SCA-20</x:v>
      </x:c>
      <x:c r="C1561" s="44" t="n">
        <x:v>158542</x:v>
      </x:c>
      <x:c r="D1561" s="44" t="n">
        <x:v>1802.368883048664</x:v>
      </x:c>
      <x:c r="E1561" s="44" t="n">
        <x:v>23323.293848672176</x:v>
      </x:c>
      <x:c r="F1561" s="44" t="n">
        <x:v>1837.4114395156423</x:v>
      </x:c>
      <x:c r="G1561" s="44" t="n">
        <x:v>7927.783314396493</x:v>
      </x:c>
      <x:c r="H1561" s="44" t="n">
        <x:v>123651.14251436702</x:v>
      </x:c>
      <x:c r="I1561" s="44" t="n">
        <x:v>158542</x:v>
      </x:c>
      <x:c r="J1561" s="44" t="n">
        <x:v>23872</x:v>
      </x:c>
      <x:c r="K1561" s="44" t="n">
        <x:v>2667.9764122029655</x:v>
      </x:c>
      <x:c r="L1561" s="44" t="n">
        <x:v>830.5649726873232</x:v>
      </x:c>
    </x:row>
    <x:row r="1562" ht="15" hidden="0" customHeight="1">
      <x:c r="A1562" s="27" t="str">
        <x:v>28059</x:v>
      </x:c>
      <x:c r="B1562" s="27" t="str">
        <x:v>SCA-20</x:v>
      </x:c>
      <x:c r="C1562" s="43" t="n">
        <x:v>147666</x:v>
      </x:c>
      <x:c r="D1562" s="43" t="n">
        <x:v>2253.6563362751826</x:v>
      </x:c>
      <x:c r="E1562" s="43" t="n">
        <x:v>30490.28851327619</x:v>
      </x:c>
      <x:c r="F1562" s="43" t="n">
        <x:v>1504.532231293898</x:v>
      </x:c>
      <x:c r="G1562" s="43" t="n">
        <x:v>3866.0996466678325</x:v>
      </x:c>
      <x:c r="H1562" s="43" t="n">
        <x:v>109551.42327248689</x:v>
      </x:c>
      <x:c r="I1562" s="43" t="n">
        <x:v>147666</x:v>
      </x:c>
      <x:c r="J1562" s="43" t="n">
        <x:v>30741</x:v>
      </x:c>
      <x:c r="K1562" s="43" t="n">
        <x:v>2487.7598795159056</x:v>
      </x:c>
      <x:c r="L1562" s="43" t="n">
        <x:v>983.2276482220078</x:v>
      </x:c>
    </x:row>
    <x:row r="1563" ht="15" hidden="0" customHeight="1">
      <x:c r="A1563" s="29" t="str">
        <x:v>05045</x:v>
      </x:c>
      <x:c r="B1563" s="29" t="str">
        <x:v>SCA-20</x:v>
      </x:c>
      <x:c r="C1563" s="44" t="n">
        <x:v>133979</x:v>
      </x:c>
      <x:c r="D1563" s="44" t="n">
        <x:v>1571.0116661457712</x:v>
      </x:c>
      <x:c r="E1563" s="44" t="n">
        <x:v>18529.769646253324</x:v>
      </x:c>
      <x:c r="F1563" s="44" t="n">
        <x:v>1281.8419563119323</x:v>
      </x:c>
      <x:c r="G1563" s="44" t="n">
        <x:v>2941.4165557246097</x:v>
      </x:c>
      <x:c r="H1563" s="44" t="n">
        <x:v>109654.96017556435</x:v>
      </x:c>
      <x:c r="I1563" s="44" t="n">
        <x:v>133979</x:v>
      </x:c>
      <x:c r="J1563" s="44" t="n">
        <x:v>18180</x:v>
      </x:c>
      <x:c r="K1563" s="44" t="n">
        <x:v>2080.7798871971486</x:v>
      </x:c>
      <x:c r="L1563" s="44" t="n">
        <x:v>798.9379308852161</x:v>
      </x:c>
    </x:row>
    <x:row r="1564" ht="15" hidden="0" customHeight="1">
      <x:c r="A1564" s="27" t="str">
        <x:v>05125</x:v>
      </x:c>
      <x:c r="B1564" s="27" t="str">
        <x:v>SCA-20</x:v>
      </x:c>
      <x:c r="C1564" s="43" t="n">
        <x:v>133288</x:v>
      </x:c>
      <x:c r="D1564" s="43" t="n">
        <x:v>1645.0546368317216</x:v>
      </x:c>
      <x:c r="E1564" s="43" t="n">
        <x:v>20405.69395315658</x:v>
      </x:c>
      <x:c r="F1564" s="43" t="n">
        <x:v>1275.2308247777996</x:v>
      </x:c>
      <x:c r="G1564" s="43" t="n">
        <x:v>2532.085463480363</x:v>
      </x:c>
      <x:c r="H1564" s="43" t="n">
        <x:v>107429.93512175354</x:v>
      </x:c>
      <x:c r="I1564" s="43" t="n">
        <x:v>133288</x:v>
      </x:c>
      <x:c r="J1564" s="43" t="n">
        <x:v>20120</x:v>
      </x:c>
      <x:c r="K1564" s="43" t="n">
        <x:v>2070.0482135613306</x:v>
      </x:c>
      <x:c r="L1564" s="43" t="n">
        <x:v>794.8173887835309</x:v>
      </x:c>
    </x:row>
    <x:row r="1565" ht="15" hidden="0" customHeight="1">
      <x:c r="A1565" s="29" t="str">
        <x:v>01083</x:v>
      </x:c>
      <x:c r="B1565" s="29" t="str">
        <x:v>SCA-20</x:v>
      </x:c>
      <x:c r="C1565" s="44" t="n">
        <x:v>122928</x:v>
      </x:c>
      <x:c r="D1565" s="44" t="n">
        <x:v>1354.6211358307066</x:v>
      </x:c>
      <x:c r="E1565" s="44" t="n">
        <x:v>17450.90005064414</x:v>
      </x:c>
      <x:c r="F1565" s="44" t="n">
        <x:v>989.3412461507972</x:v>
      </x:c>
      <x:c r="G1565" s="44" t="n">
        <x:v>1970.1121934088685</x:v>
      </x:c>
      <x:c r="H1565" s="44" t="n">
        <x:v>101163.02537396549</x:v>
      </x:c>
      <x:c r="I1565" s="44" t="n">
        <x:v>122928</x:v>
      </x:c>
      <x:c r="J1565" s="44" t="n">
        <x:v>16001</x:v>
      </x:c>
      <x:c r="K1565" s="44" t="n">
        <x:v>1616.841546537998</x:v>
      </x:c>
      <x:c r="L1565" s="44" t="n">
        <x:v>627.5003003872007</x:v>
      </x:c>
    </x:row>
    <x:row r="1566" ht="15" hidden="0" customHeight="1">
      <x:c r="A1566" s="27" t="str">
        <x:v>47119</x:v>
      </x:c>
      <x:c r="B1566" s="27" t="str">
        <x:v>SCA-20</x:v>
      </x:c>
      <x:c r="C1566" s="43" t="n">
        <x:v>118131</x:v>
      </x:c>
      <x:c r="D1566" s="43" t="n">
        <x:v>1068.7130751600264</x:v>
      </x:c>
      <x:c r="E1566" s="43" t="n">
        <x:v>13160.873052667079</x:v>
      </x:c>
      <x:c r="F1566" s="43" t="n">
        <x:v>756.6427111295835</x:v>
      </x:c>
      <x:c r="G1566" s="43" t="n">
        <x:v>1743.5890337811252</x:v>
      </x:c>
      <x:c r="H1566" s="43" t="n">
        <x:v>101401.18212726219</x:v>
      </x:c>
      <x:c r="I1566" s="43" t="n">
        <x:v>118131</x:v>
      </x:c>
      <x:c r="J1566" s="43" t="n">
        <x:v>12388</x:v>
      </x:c>
      <x:c r="K1566" s="43" t="n">
        <x:v>1276.9860757618148</x:v>
      </x:c>
      <x:c r="L1566" s="43" t="n">
        <x:v>520.3433646322313</x:v>
      </x:c>
    </x:row>
    <x:row r="1567" ht="15" hidden="0" customHeight="1">
      <x:c r="A1567" s="29" t="str">
        <x:v>05031</x:v>
      </x:c>
      <x:c r="B1567" s="29" t="str">
        <x:v>SCA-20</x:v>
      </x:c>
      <x:c r="C1567" s="44" t="n">
        <x:v>116957</x:v>
      </x:c>
      <x:c r="D1567" s="44" t="n">
        <x:v>1611.5327389910137</x:v>
      </x:c>
      <x:c r="E1567" s="44" t="n">
        <x:v>21938.39236084487</x:v>
      </x:c>
      <x:c r="F1567" s="44" t="n">
        <x:v>1118.9842414436193</x:v>
      </x:c>
      <x:c r="G1567" s="44" t="n">
        <x:v>4297.007658770139</x:v>
      </x:c>
      <x:c r="H1567" s="44" t="n">
        <x:v>87991.08299995035</x:v>
      </x:c>
      <x:c r="I1567" s="44" t="n">
        <x:v>116957</x:v>
      </x:c>
      <x:c r="J1567" s="44" t="n">
        <x:v>21915</x:v>
      </x:c>
      <x:c r="K1567" s="44" t="n">
        <x:v>1816.4172987327634</x:v>
      </x:c>
      <x:c r="L1567" s="44" t="n">
        <x:v>697.433057289144</x:v>
      </x:c>
    </x:row>
    <x:row r="1568" ht="15" hidden="0" customHeight="1">
      <x:c r="A1568" s="27" t="str">
        <x:v>28089</x:v>
      </x:c>
      <x:c r="B1568" s="27" t="str">
        <x:v>SCA-20</x:v>
      </x:c>
      <x:c r="C1568" s="43" t="n">
        <x:v>116298</x:v>
      </x:c>
      <x:c r="D1568" s="43" t="n">
        <x:v>1296.0019475419824</x:v>
      </x:c>
      <x:c r="E1568" s="43" t="n">
        <x:v>12519.282362002568</x:v>
      </x:c>
      <x:c r="F1568" s="43" t="n">
        <x:v>1184.9314631331365</x:v>
      </x:c>
      <x:c r="G1568" s="43" t="n">
        <x:v>3959.8839248585214</x:v>
      </x:c>
      <x:c r="H1568" s="43" t="n">
        <x:v>97337.9003024638</x:v>
      </x:c>
      <x:c r="I1568" s="43" t="n">
        <x:v>116298</x:v>
      </x:c>
      <x:c r="J1568" s="43" t="n">
        <x:v>12404</x:v>
      </x:c>
      <x:c r="K1568" s="43" t="n">
        <x:v>1959.2966455916785</x:v>
      </x:c>
      <x:c r="L1568" s="43" t="n">
        <x:v>774.365182458542</x:v>
      </x:c>
    </x:row>
    <x:row r="1569" ht="15" hidden="0" customHeight="1">
      <x:c r="A1569" s="29" t="str">
        <x:v>47113</x:v>
      </x:c>
      <x:c r="B1569" s="29" t="str">
        <x:v>SCA-20</x:v>
      </x:c>
      <x:c r="C1569" s="44" t="n">
        <x:v>100790</x:v>
      </x:c>
      <x:c r="D1569" s="44" t="n">
        <x:v>1135.9443096110397</x:v>
      </x:c>
      <x:c r="E1569" s="44" t="n">
        <x:v>16607.629736623745</x:v>
      </x:c>
      <x:c r="F1569" s="44" t="n">
        <x:v>645.5716014826821</x:v>
      </x:c>
      <x:c r="G1569" s="44" t="n">
        <x:v>4405.217492854727</x:v>
      </x:c>
      <x:c r="H1569" s="44" t="n">
        <x:v>77995.6368594278</x:v>
      </x:c>
      <x:c r="I1569" s="44" t="n">
        <x:v>100790</x:v>
      </x:c>
      <x:c r="J1569" s="44" t="n">
        <x:v>16755</x:v>
      </x:c>
      <x:c r="K1569" s="44" t="n">
        <x:v>1089.5313387343992</x:v>
      </x:c>
      <x:c r="L1569" s="44" t="n">
        <x:v>443.95973725171706</x:v>
      </x:c>
    </x:row>
    <x:row r="1570" ht="15" hidden="0" customHeight="1">
      <x:c r="A1570" s="27" t="str">
        <x:v>05051</x:v>
      </x:c>
      <x:c r="B1570" s="27" t="str">
        <x:v>SCA-20</x:v>
      </x:c>
      <x:c r="C1570" s="43" t="n">
        <x:v>99695</x:v>
      </x:c>
      <x:c r="D1570" s="43" t="n">
        <x:v>1486.4392522832272</x:v>
      </x:c>
      <x:c r="E1570" s="43" t="n">
        <x:v>21406.61343560759</x:v>
      </x:c>
      <x:c r="F1570" s="43" t="n">
        <x:v>953.8303303840014</x:v>
      </x:c>
      <x:c r="G1570" s="43" t="n">
        <x:v>2716.3865664109812</x:v>
      </x:c>
      <x:c r="H1570" s="43" t="n">
        <x:v>73131.7304153142</x:v>
      </x:c>
      <x:c r="I1570" s="43" t="n">
        <x:v>99695</x:v>
      </x:c>
      <x:c r="J1570" s="43" t="n">
        <x:v>22161</x:v>
      </x:c>
      <x:c r="K1570" s="43" t="n">
        <x:v>1548.327356183579</x:v>
      </x:c>
      <x:c r="L1570" s="43" t="n">
        <x:v>594.4970257995777</x:v>
      </x:c>
    </x:row>
    <x:row r="1571" ht="15" hidden="0" customHeight="1">
      <x:c r="A1571" s="29" t="str">
        <x:v>01077</x:v>
      </x:c>
      <x:c r="B1571" s="29" t="str">
        <x:v>SCA-20</x:v>
      </x:c>
      <x:c r="C1571" s="44" t="n">
        <x:v>97135</x:v>
      </x:c>
      <x:c r="D1571" s="44" t="n">
        <x:v>1152.4474767258205</x:v>
      </x:c>
      <x:c r="E1571" s="44" t="n">
        <x:v>15758.653209847891</x:v>
      </x:c>
      <x:c r="F1571" s="44" t="n">
        <x:v>781.755677671952</x:v>
      </x:c>
      <x:c r="G1571" s="44" t="n">
        <x:v>2283.603594860868</x:v>
      </x:c>
      <x:c r="H1571" s="44" t="n">
        <x:v>77158.54004089347</x:v>
      </x:c>
      <x:c r="I1571" s="44" t="n">
        <x:v>97135</x:v>
      </x:c>
      <x:c r="J1571" s="44" t="n">
        <x:v>16021</x:v>
      </x:c>
      <x:c r="K1571" s="44" t="n">
        <x:v>1277.5926039874435</x:v>
      </x:c>
      <x:c r="L1571" s="44" t="n">
        <x:v>495.8369263154915</x:v>
      </x:c>
    </x:row>
    <x:row r="1572" ht="15" hidden="0" customHeight="1">
      <x:c r="A1572" s="27" t="str">
        <x:v>28081</x:v>
      </x:c>
      <x:c r="B1572" s="27" t="str">
        <x:v>SCA-20</x:v>
      </x:c>
      <x:c r="C1572" s="43" t="n">
        <x:v>83731</x:v>
      </x:c>
      <x:c r="D1572" s="43" t="n">
        <x:v>1026.3530040420558</x:v>
      </x:c>
      <x:c r="E1572" s="43" t="n">
        <x:v>11252.010642655281</x:v>
      </x:c>
      <x:c r="F1572" s="43" t="n">
        <x:v>853.1143814992575</x:v>
      </x:c>
      <x:c r="G1572" s="43" t="n">
        <x:v>2645.414942683419</x:v>
      </x:c>
      <x:c r="H1572" s="43" t="n">
        <x:v>67954.10702911999</x:v>
      </x:c>
      <x:c r="I1572" s="43" t="n">
        <x:v>83731</x:v>
      </x:c>
      <x:c r="J1572" s="43" t="n">
        <x:v>11442</x:v>
      </x:c>
      <x:c r="K1572" s="43" t="n">
        <x:v>1410.63360876401</x:v>
      </x:c>
      <x:c r="L1572" s="43" t="n">
        <x:v>557.5192272647524</x:v>
      </x:c>
    </x:row>
    <x:row r="1573" ht="15" hidden="0" customHeight="1">
      <x:c r="A1573" s="29" t="str">
        <x:v>05145</x:v>
      </x:c>
      <x:c r="B1573" s="29" t="str">
        <x:v>SCA-20</x:v>
      </x:c>
      <x:c r="C1573" s="44" t="n">
        <x:v>80085</x:v>
      </x:c>
      <x:c r="D1573" s="44" t="n">
        <x:v>1130.2497629883492</x:v>
      </x:c>
      <x:c r="E1573" s="44" t="n">
        <x:v>15664.56632167253</x:v>
      </x:c>
      <x:c r="F1573" s="44" t="n">
        <x:v>766.211966586115</x:v>
      </x:c>
      <x:c r="G1573" s="44" t="n">
        <x:v>2267.324085334299</x:v>
      </x:c>
      <x:c r="H1573" s="44" t="n">
        <x:v>60256.64786341871</x:v>
      </x:c>
      <x:c r="I1573" s="44" t="n">
        <x:v>80085</x:v>
      </x:c>
      <x:c r="J1573" s="44" t="n">
        <x:v>15749</x:v>
      </x:c>
      <x:c r="K1573" s="44" t="n">
        <x:v>1243.7714661714422</x:v>
      </x:c>
      <x:c r="L1573" s="44" t="n">
        <x:v>477.55949958532705</x:v>
      </x:c>
    </x:row>
    <x:row r="1574" ht="15" hidden="0" customHeight="1">
      <x:c r="A1574" s="27" t="str">
        <x:v>28035</x:v>
      </x:c>
      <x:c r="B1574" s="27" t="str">
        <x:v>SCA-20</x:v>
      </x:c>
      <x:c r="C1574" s="43" t="n">
        <x:v>79034</x:v>
      </x:c>
      <x:c r="D1574" s="43" t="n">
        <x:v>1133.606173207344</x:v>
      </x:c>
      <x:c r="E1574" s="43" t="n">
        <x:v>14576.681195117226</x:v>
      </x:c>
      <x:c r="F1574" s="43" t="n">
        <x:v>805.2578140403472</x:v>
      </x:c>
      <x:c r="G1574" s="43" t="n">
        <x:v>2360.624220112381</x:v>
      </x:c>
      <x:c r="H1574" s="43" t="n">
        <x:v>60157.830597522705</x:v>
      </x:c>
      <x:c r="I1574" s="43" t="n">
        <x:v>79034</x:v>
      </x:c>
      <x:c r="J1574" s="43" t="n">
        <x:v>14873</x:v>
      </x:c>
      <x:c r="K1574" s="43" t="n">
        <x:v>1331.5022707844737</x:v>
      </x:c>
      <x:c r="L1574" s="43" t="n">
        <x:v>526.2444567441264</x:v>
      </x:c>
    </x:row>
    <x:row r="1575" ht="15" hidden="0" customHeight="1">
      <x:c r="A1575" s="29" t="str">
        <x:v>05085</x:v>
      </x:c>
      <x:c r="B1575" s="29" t="str">
        <x:v>SCA-20</x:v>
      </x:c>
      <x:c r="C1575" s="44" t="n">
        <x:v>76664</x:v>
      </x:c>
      <x:c r="D1575" s="44" t="n">
        <x:v>937.641146411605</x:v>
      </x:c>
      <x:c r="E1575" s="44" t="n">
        <x:v>11531.558639195016</x:v>
      </x:c>
      <x:c r="F1575" s="44" t="n">
        <x:v>733.481603375887</x:v>
      </x:c>
      <x:c r="G1575" s="44" t="n">
        <x:v>1519.6550071873503</x:v>
      </x:c>
      <x:c r="H1575" s="44" t="n">
        <x:v>61941.663603830144</x:v>
      </x:c>
      <x:c r="I1575" s="44" t="n">
        <x:v>76664</x:v>
      </x:c>
      <x:c r="J1575" s="44" t="n">
        <x:v>11445</x:v>
      </x:c>
      <x:c r="K1575" s="44" t="n">
        <x:v>1190.641139821033</x:v>
      </x:c>
      <x:c r="L1575" s="44" t="n">
        <x:v>457.15953644514593</x:v>
      </x:c>
    </x:row>
    <x:row r="1576" ht="15" hidden="0" customHeight="1">
      <x:c r="A1576" s="27" t="str">
        <x:v>28075</x:v>
      </x:c>
      <x:c r="B1576" s="27" t="str">
        <x:v>SCA-20</x:v>
      </x:c>
      <x:c r="C1576" s="43" t="n">
        <x:v>70317</x:v>
      </x:c>
      <x:c r="D1576" s="43" t="n">
        <x:v>977.703858570365</x:v>
      </x:c>
      <x:c r="E1576" s="43" t="n">
        <x:v>12228.028026431204</x:v>
      </x:c>
      <x:c r="F1576" s="43" t="n">
        <x:v>716.4424641277817</x:v>
      </x:c>
      <x:c r="G1576" s="43" t="n">
        <x:v>3735.6193497456284</x:v>
      </x:c>
      <x:c r="H1576" s="43" t="n">
        <x:v>52659.20630112503</x:v>
      </x:c>
      <x:c r="I1576" s="43" t="n">
        <x:v>70317</x:v>
      </x:c>
      <x:c r="J1576" s="43" t="n">
        <x:v>12391</x:v>
      </x:c>
      <x:c r="K1576" s="43" t="n">
        <x:v>1184.6451549301798</x:v>
      </x:c>
      <x:c r="L1576" s="43" t="n">
        <x:v>468.20269080239814</x:v>
      </x:c>
    </x:row>
    <x:row r="1577" ht="15" hidden="0" customHeight="1">
      <x:c r="A1577" s="29" t="str">
        <x:v>21145</x:v>
      </x:c>
      <x:c r="B1577" s="29" t="str">
        <x:v>SCA-20</x:v>
      </x:c>
      <x:c r="C1577" s="44" t="n">
        <x:v>67553</x:v>
      </x:c>
      <x:c r="D1577" s="44" t="n">
        <x:v>814.6010052399389</x:v>
      </x:c>
      <x:c r="E1577" s="44" t="n">
        <x:v>10689.748331504996</x:v>
      </x:c>
      <x:c r="F1577" s="44" t="n">
        <x:v>613.9591955498163</x:v>
      </x:c>
      <x:c r="G1577" s="44" t="n">
        <x:v>1899.998497257495</x:v>
      </x:c>
      <x:c r="H1577" s="44" t="n">
        <x:v>53534.69297044775</x:v>
      </x:c>
      <x:c r="I1577" s="44" t="n">
        <x:v>67553</x:v>
      </x:c>
      <x:c r="J1577" s="44" t="n">
        <x:v>10969</x:v>
      </x:c>
      <x:c r="K1577" s="44" t="n">
        <x:v>983.1540203103804</x:v>
      </x:c>
      <x:c r="L1577" s="44" t="n">
        <x:v>369.194824760564</x:v>
      </x:c>
    </x:row>
    <x:row r="1578" ht="15" hidden="0" customHeight="1">
      <x:c r="A1578" s="27" t="str">
        <x:v>28073</x:v>
      </x:c>
      <x:c r="B1578" s="27" t="str">
        <x:v>SCA-20</x:v>
      </x:c>
      <x:c r="C1578" s="43" t="n">
        <x:v>67403</x:v>
      </x:c>
      <x:c r="D1578" s="43" t="n">
        <x:v>876.2224842546816</x:v>
      </x:c>
      <x:c r="E1578" s="43" t="n">
        <x:v>10258.140861703108</x:v>
      </x:c>
      <x:c r="F1578" s="43" t="n">
        <x:v>686.7524412248086</x:v>
      </x:c>
      <x:c r="G1578" s="43" t="n">
        <x:v>2136.906817972138</x:v>
      </x:c>
      <x:c r="H1578" s="43" t="n">
        <x:v>53444.977394845264</x:v>
      </x:c>
      <x:c r="I1578" s="43" t="n">
        <x:v>67403</x:v>
      </x:c>
      <x:c r="J1578" s="43" t="n">
        <x:v>10310</x:v>
      </x:c>
      <x:c r="K1578" s="43" t="n">
        <x:v>1135.552389575194</x:v>
      </x:c>
      <x:c r="L1578" s="43" t="n">
        <x:v>448.7999483503853</x:v>
      </x:c>
    </x:row>
    <x:row r="1579" ht="15" hidden="0" customHeight="1">
      <x:c r="A1579" s="29" t="str">
        <x:v>28067</x:v>
      </x:c>
      <x:c r="B1579" s="29" t="str">
        <x:v>SCA-20</x:v>
      </x:c>
      <x:c r="C1579" s="44" t="n">
        <x:v>66496</x:v>
      </x:c>
      <x:c r="D1579" s="44" t="n">
        <x:v>907.8160917041373</x:v>
      </x:c>
      <x:c r="E1579" s="44" t="n">
        <x:v>11161.328723158342</x:v>
      </x:c>
      <x:c r="F1579" s="44" t="n">
        <x:v>677.5112432931008</x:v>
      </x:c>
      <x:c r="G1579" s="44" t="n">
        <x:v>1585.125904860393</x:v>
      </x:c>
      <x:c r="H1579" s="44" t="n">
        <x:v>52164.21803698403</x:v>
      </x:c>
      <x:c r="I1579" s="44" t="n">
        <x:v>66496</x:v>
      </x:c>
      <x:c r="J1579" s="44" t="n">
        <x:v>11497</x:v>
      </x:c>
      <x:c r="K1579" s="44" t="n">
        <x:v>1120.2719715323071</x:v>
      </x:c>
      <x:c r="L1579" s="44" t="n">
        <x:v>442.7607282392063</x:v>
      </x:c>
    </x:row>
    <x:row r="1580" ht="15" hidden="0" customHeight="1">
      <x:c r="A1580" s="27" t="str">
        <x:v>05115</x:v>
      </x:c>
      <x:c r="B1580" s="27" t="str">
        <x:v>SCA-20</x:v>
      </x:c>
      <x:c r="C1580" s="43" t="n">
        <x:v>64976</x:v>
      </x:c>
      <x:c r="D1580" s="43" t="n">
        <x:v>848.672479070297</x:v>
      </x:c>
      <x:c r="E1580" s="43" t="n">
        <x:v>11069.047968919578</x:v>
      </x:c>
      <x:c r="F1580" s="43" t="n">
        <x:v>621.6568488593296</x:v>
      </x:c>
      <x:c r="G1580" s="43" t="n">
        <x:v>1414.7789294870786</x:v>
      </x:c>
      <x:c r="H1580" s="43" t="n">
        <x:v>51021.84377366371</x:v>
      </x:c>
      <x:c r="I1580" s="43" t="n">
        <x:v>64976</x:v>
      </x:c>
      <x:c r="J1580" s="43" t="n">
        <x:v>11282</x:v>
      </x:c>
      <x:c r="K1580" s="43" t="n">
        <x:v>1009.1189958913108</x:v>
      </x:c>
      <x:c r="L1580" s="43" t="n">
        <x:v>387.46214703198115</x:v>
      </x:c>
    </x:row>
    <x:row r="1581" ht="15" hidden="0" customHeight="1">
      <x:c r="A1581" s="29" t="str">
        <x:v>05069</x:v>
      </x:c>
      <x:c r="B1581" s="29" t="str">
        <x:v>SCA-20</x:v>
      </x:c>
      <x:c r="C1581" s="44" t="n">
        <x:v>62987</x:v>
      </x:c>
      <x:c r="D1581" s="44" t="n">
        <x:v>893.3537715703183</x:v>
      </x:c>
      <x:c r="E1581" s="44" t="n">
        <x:v>12426.056293936075</x:v>
      </x:c>
      <x:c r="F1581" s="44" t="n">
        <x:v>602.6271229238887</x:v>
      </x:c>
      <x:c r="G1581" s="44" t="n">
        <x:v>2571.003020345846</x:v>
      </x:c>
      <x:c r="H1581" s="44" t="n">
        <x:v>46493.959791223875</x:v>
      </x:c>
      <x:c r="I1581" s="44" t="n">
        <x:v>62987</x:v>
      </x:c>
      <x:c r="J1581" s="44" t="n">
        <x:v>12383</x:v>
      </x:c>
      <x:c r="K1581" s="44" t="n">
        <x:v>978.2285489135371</x:v>
      </x:c>
      <x:c r="L1581" s="44" t="n">
        <x:v>375.6014259896484</x:v>
      </x:c>
    </x:row>
    <x:row r="1582" ht="15" hidden="0" customHeight="1">
      <x:c r="A1582" s="27" t="str">
        <x:v>47167</x:v>
      </x:c>
      <x:c r="B1582" s="27" t="str">
        <x:v>SCA-20</x:v>
      </x:c>
      <x:c r="C1582" s="43" t="n">
        <x:v>62287</x:v>
      </x:c>
      <x:c r="D1582" s="43" t="n">
        <x:v>738.8617592366737</x:v>
      </x:c>
      <x:c r="E1582" s="43" t="n">
        <x:v>11148.000371290795</x:v>
      </x:c>
      <x:c r="F1582" s="43" t="n">
        <x:v>398.9554354752637</x:v>
      </x:c>
      <x:c r="G1582" s="43" t="n">
        <x:v>1632.4174141307747</x:v>
      </x:c>
      <x:c r="H1582" s="43" t="n">
        <x:v>48368.76501986649</x:v>
      </x:c>
      <x:c r="I1582" s="43" t="n">
        <x:v>62287</x:v>
      </x:c>
      <x:c r="J1582" s="43" t="n">
        <x:v>11328</x:v>
      </x:c>
      <x:c r="K1582" s="43" t="n">
        <x:v>673.3171792414876</x:v>
      </x:c>
      <x:c r="L1582" s="43" t="n">
        <x:v>274.36174376622387</x:v>
      </x:c>
    </x:row>
    <x:row r="1583" ht="15" hidden="0" customHeight="1">
      <x:c r="A1583" s="29" t="str">
        <x:v>28071</x:v>
      </x:c>
      <x:c r="B1583" s="29" t="str">
        <x:v>SCA-20</x:v>
      </x:c>
      <x:c r="C1583" s="44" t="n">
        <x:v>59597</x:v>
      </x:c>
      <x:c r="D1583" s="44" t="n">
        <x:v>670.4598265488928</x:v>
      </x:c>
      <x:c r="E1583" s="44" t="n">
        <x:v>6567.25896486641</x:v>
      </x:c>
      <x:c r="F1583" s="44" t="n">
        <x:v>607.2190442513674</x:v>
      </x:c>
      <x:c r="G1583" s="44" t="n">
        <x:v>1777.5099305639728</x:v>
      </x:c>
      <x:c r="H1583" s="44" t="n">
        <x:v>49974.55223376936</x:v>
      </x:c>
      <x:c r="I1583" s="44" t="n">
        <x:v>59597</x:v>
      </x:c>
      <x:c r="J1583" s="44" t="n">
        <x:v>6629</x:v>
      </x:c>
      <x:c r="K1583" s="44" t="n">
        <x:v>1004.0430805974931</x:v>
      </x:c>
      <x:c r="L1583" s="44" t="n">
        <x:v>396.82403634612575</x:v>
      </x:c>
    </x:row>
    <x:row r="1584" ht="15" hidden="0" customHeight="1">
      <x:c r="A1584" s="27" t="str">
        <x:v>01033</x:v>
      </x:c>
      <x:c r="B1584" s="27" t="str">
        <x:v>SCA-20</x:v>
      </x:c>
      <x:c r="C1584" s="43" t="n">
        <x:v>59474</x:v>
      </x:c>
      <x:c r="D1584" s="43" t="n">
        <x:v>738.2152086671201</x:v>
      </x:c>
      <x:c r="E1584" s="43" t="n">
        <x:v>10430.957888676954</x:v>
      </x:c>
      <x:c r="F1584" s="43" t="n">
        <x:v>478.65483269533814</x:v>
      </x:c>
      <x:c r="G1584" s="43" t="n">
        <x:v>1632.9761054274318</x:v>
      </x:c>
      <x:c r="H1584" s="43" t="n">
        <x:v>46193.19596453316</x:v>
      </x:c>
      <x:c r="I1584" s="43" t="n">
        <x:v>59474</x:v>
      </x:c>
      <x:c r="J1584" s="43" t="n">
        <x:v>10536</x:v>
      </x:c>
      <x:c r="K1584" s="43" t="n">
        <x:v>782.2467960009185</x:v>
      </x:c>
      <x:c r="L1584" s="43" t="n">
        <x:v>303.5919633055803</x:v>
      </x:c>
    </x:row>
    <x:row r="1585" ht="15" hidden="0" customHeight="1">
      <x:c r="A1585" s="29" t="str">
        <x:v>28109</x:v>
      </x:c>
      <x:c r="B1585" s="29" t="str">
        <x:v>SCA-20</x:v>
      </x:c>
      <x:c r="C1585" s="44" t="n">
        <x:v>59363</x:v>
      </x:c>
      <x:c r="D1585" s="44" t="n">
        <x:v>898.8080547720851</x:v>
      </x:c>
      <x:c r="E1585" s="44" t="n">
        <x:v>12085.010334333701</x:v>
      </x:c>
      <x:c r="F1585" s="44" t="n">
        <x:v>604.8348763174979</x:v>
      </x:c>
      <x:c r="G1585" s="44" t="n">
        <x:v>1261.097035750013</x:v>
      </x:c>
      <x:c r="H1585" s="44" t="n">
        <x:v>44513.24969882671</x:v>
      </x:c>
      <x:c r="I1585" s="44" t="n">
        <x:v>59363</x:v>
      </x:c>
      <x:c r="J1585" s="44" t="n">
        <x:v>12083</x:v>
      </x:c>
      <x:c r="K1585" s="44" t="n">
        <x:v>1000.1008338256789</x:v>
      </x:c>
      <x:c r="L1585" s="44" t="n">
        <x:v>395.265957508181</x:v>
      </x:c>
    </x:row>
    <x:row r="1586" ht="15" hidden="0" customHeight="1">
      <x:c r="A1586" s="27" t="str">
        <x:v>47043</x:v>
      </x:c>
      <x:c r="B1586" s="27" t="str">
        <x:v>SCA-20</x:v>
      </x:c>
      <x:c r="C1586" s="43" t="n">
        <x:v>58662</x:v>
      </x:c>
      <x:c r="D1586" s="43" t="n">
        <x:v>669.5089653445488</x:v>
      </x:c>
      <x:c r="E1586" s="43" t="n">
        <x:v>9866.750870622129</x:v>
      </x:c>
      <x:c r="F1586" s="43" t="n">
        <x:v>375.7368914195565</x:v>
      </x:c>
      <x:c r="G1586" s="43" t="n">
        <x:v>976.1450886828128</x:v>
      </x:c>
      <x:c r="H1586" s="43" t="n">
        <x:v>46773.858183930955</x:v>
      </x:c>
      <x:c r="I1586" s="43" t="n">
        <x:v>58662</x:v>
      </x:c>
      <x:c r="J1586" s="43" t="n">
        <x:v>9730</x:v>
      </x:c>
      <x:c r="K1586" s="43" t="n">
        <x:v>634.1312371548499</x:v>
      </x:c>
      <x:c r="L1586" s="43" t="n">
        <x:v>258.3943457352934</x:v>
      </x:c>
    </x:row>
    <x:row r="1587" ht="15" hidden="0" customHeight="1">
      <x:c r="A1587" s="29" t="str">
        <x:v>28087</x:v>
      </x:c>
      <x:c r="B1587" s="29" t="str">
        <x:v>SCA-20</x:v>
      </x:c>
      <x:c r="C1587" s="44" t="n">
        <x:v>57346</x:v>
      </x:c>
      <x:c r="D1587" s="44" t="n">
        <x:v>685.1854255913333</x:v>
      </x:c>
      <x:c r="E1587" s="44" t="n">
        <x:v>7280.389799753048</x:v>
      </x:c>
      <x:c r="F1587" s="44" t="n">
        <x:v>584.2841638276914</x:v>
      </x:c>
      <x:c r="G1587" s="44" t="n">
        <x:v>1684.7457364757254</x:v>
      </x:c>
      <x:c r="H1587" s="44" t="n">
        <x:v>47111.394874352205</x:v>
      </x:c>
      <x:c r="I1587" s="44" t="n">
        <x:v>57346</x:v>
      </x:c>
      <x:c r="J1587" s="44" t="n">
        <x:v>7390</x:v>
      </x:c>
      <x:c r="K1587" s="44" t="n">
        <x:v>966.1200144293143</x:v>
      </x:c>
      <x:c r="L1587" s="44" t="n">
        <x:v>381.835850601623</x:v>
      </x:c>
    </x:row>
    <x:row r="1588" ht="15" hidden="0" customHeight="1">
      <x:c r="A1588" s="27" t="str">
        <x:v>28105</x:v>
      </x:c>
      <x:c r="B1588" s="27" t="str">
        <x:v>SCA-20</x:v>
      </x:c>
      <x:c r="C1588" s="43" t="n">
        <x:v>51896</x:v>
      </x:c>
      <x:c r="D1588" s="43" t="n">
        <x:v>609.8135947759673</x:v>
      </x:c>
      <x:c r="E1588" s="43" t="n">
        <x:v>6342.391979855946</x:v>
      </x:c>
      <x:c r="F1588" s="43" t="n">
        <x:v>528.7554662226113</x:v>
      </x:c>
      <x:c r="G1588" s="43" t="n">
        <x:v>1623.2113368858695</x:v>
      </x:c>
      <x:c r="H1588" s="43" t="n">
        <x:v>42791.8276222596</x:v>
      </x:c>
      <x:c r="I1588" s="43" t="n">
        <x:v>51896</x:v>
      </x:c>
      <x:c r="J1588" s="43" t="n">
        <x:v>6522</x:v>
      </x:c>
      <x:c r="K1588" s="43" t="n">
        <x:v>874.3027285045808</x:v>
      </x:c>
      <x:c r="L1588" s="43" t="n">
        <x:v>345.54726228196955</x:v>
      </x:c>
    </x:row>
    <x:row r="1589" ht="15" hidden="0" customHeight="1">
      <x:c r="A1589" s="29" t="str">
        <x:v>47053</x:v>
      </x:c>
      <x:c r="B1589" s="29" t="str">
        <x:v>SCA-20</x:v>
      </x:c>
      <x:c r="C1589" s="44" t="n">
        <x:v>51779</x:v>
      </x:c>
      <x:c r="D1589" s="44" t="n">
        <x:v>664.1206956906967</x:v>
      </x:c>
      <x:c r="E1589" s="44" t="n">
        <x:v>10465.070030798768</x:v>
      </x:c>
      <x:c r="F1589" s="44" t="n">
        <x:v>331.65048073392006</x:v>
      </x:c>
      <x:c r="G1589" s="44" t="n">
        <x:v>1489.3321767129316</x:v>
      </x:c>
      <x:c r="H1589" s="44" t="n">
        <x:v>38828.826616063685</x:v>
      </x:c>
      <x:c r="I1589" s="44" t="n">
        <x:v>51779</x:v>
      </x:c>
      <x:c r="J1589" s="44" t="n">
        <x:v>10527</x:v>
      </x:c>
      <x:c r="K1589" s="44" t="n">
        <x:v>559.7265918080014</x:v>
      </x:c>
      <x:c r="L1589" s="44" t="n">
        <x:v>228.07611107408135</x:v>
      </x:c>
    </x:row>
    <x:row r="1590" ht="15" hidden="0" customHeight="1">
      <x:c r="A1590" s="27" t="str">
        <x:v>05055</x:v>
      </x:c>
      <x:c r="B1590" s="27" t="str">
        <x:v>SCA-20</x:v>
      </x:c>
      <x:c r="C1590" s="43" t="n">
        <x:v>47411</x:v>
      </x:c>
      <x:c r="D1590" s="43" t="n">
        <x:v>683.5105325391562</x:v>
      </x:c>
      <x:c r="E1590" s="43" t="n">
        <x:v>9618.990092094662</x:v>
      </x:c>
      <x:c r="F1590" s="43" t="n">
        <x:v>453.6039901081887</x:v>
      </x:c>
      <x:c r="G1590" s="43" t="n">
        <x:v>1525.6651934423376</x:v>
      </x:c>
      <x:c r="H1590" s="43" t="n">
        <x:v>35129.23019181565</x:v>
      </x:c>
      <x:c r="I1590" s="43" t="n">
        <x:v>47411</x:v>
      </x:c>
      <x:c r="J1590" s="43" t="n">
        <x:v>9707</x:v>
      </x:c>
      <x:c r="K1590" s="43" t="n">
        <x:v>736.3232688100672</x:v>
      </x:c>
      <x:c r="L1590" s="43" t="n">
        <x:v>282.7192787018785</x:v>
      </x:c>
    </x:row>
    <x:row r="1591" ht="15" hidden="0" customHeight="1">
      <x:c r="A1591" s="29" t="str">
        <x:v>47099</x:v>
      </x:c>
      <x:c r="B1591" s="29" t="str">
        <x:v>SCA-20</x:v>
      </x:c>
      <x:c r="C1591" s="44" t="n">
        <x:v>46914</x:v>
      </x:c>
      <x:c r="D1591" s="44" t="n">
        <x:v>545.9855110486166</x:v>
      </x:c>
      <x:c r="E1591" s="44" t="n">
        <x:v>8144.129983965793</x:v>
      </x:c>
      <x:c r="F1591" s="44" t="n">
        <x:v>300.4895933322607</x:v>
      </x:c>
      <x:c r="G1591" s="44" t="n">
        <x:v>2267.4619632994836</x:v>
      </x:c>
      <x:c r="H1591" s="44" t="n">
        <x:v>35655.932948353846</x:v>
      </x:c>
      <x:c r="I1591" s="44" t="n">
        <x:v>46914</x:v>
      </x:c>
      <x:c r="J1591" s="44" t="n">
        <x:v>8120</x:v>
      </x:c>
      <x:c r="K1591" s="44" t="n">
        <x:v>507.1363550489692</x:v>
      </x:c>
      <x:c r="L1591" s="44" t="n">
        <x:v>206.64676171670854</x:v>
      </x:c>
    </x:row>
    <x:row r="1592" ht="15" hidden="0" customHeight="1">
      <x:c r="A1592" s="27" t="str">
        <x:v>28045</x:v>
      </x:c>
      <x:c r="B1592" s="27" t="str">
        <x:v>SCA-20</x:v>
      </x:c>
      <x:c r="C1592" s="43" t="n">
        <x:v>46873</x:v>
      </x:c>
      <x:c r="D1592" s="43" t="n">
        <x:v>695.2449845560924</x:v>
      </x:c>
      <x:c r="E1592" s="43" t="n">
        <x:v>9195.435591296535</x:v>
      </x:c>
      <x:c r="F1592" s="43" t="n">
        <x:v>477.5773656592504</x:v>
      </x:c>
      <x:c r="G1592" s="43" t="n">
        <x:v>819.9155400223503</x:v>
      </x:c>
      <x:c r="H1592" s="43" t="n">
        <x:v>35684.82651846577</x:v>
      </x:c>
      <x:c r="I1592" s="43" t="n">
        <x:v>46873</x:v>
      </x:c>
      <x:c r="J1592" s="43" t="n">
        <x:v>9326</x:v>
      </x:c>
      <x:c r="K1592" s="43" t="n">
        <x:v>789.6792005779871</x:v>
      </x:c>
      <x:c r="L1592" s="43" t="n">
        <x:v>312.1018349187367</x:v>
      </x:c>
    </x:row>
    <x:row r="1593" ht="15" hidden="0" customHeight="1">
      <x:c r="A1593" s="29" t="str">
        <x:v>05035</x:v>
      </x:c>
      <x:c r="B1593" s="29" t="str">
        <x:v>SCA-20</x:v>
      </x:c>
      <x:c r="C1593" s="44" t="n">
        <x:v>46210</x:v>
      </x:c>
      <x:c r="D1593" s="44" t="n">
        <x:v>600.8610042627085</x:v>
      </x:c>
      <x:c r="E1593" s="44" t="n">
        <x:v>7807.283476468568</x:v>
      </x:c>
      <x:c r="F1593" s="44" t="n">
        <x:v>442.1134416675329</x:v>
      </x:c>
      <x:c r="G1593" s="44" t="n">
        <x:v>3297.268303418069</x:v>
      </x:c>
      <x:c r="H1593" s="44" t="n">
        <x:v>34062.47377418313</x:v>
      </x:c>
      <x:c r="I1593" s="44" t="n">
        <x:v>46210</x:v>
      </x:c>
      <x:c r="J1593" s="44" t="n">
        <x:v>8197</x:v>
      </x:c>
      <x:c r="K1593" s="44" t="n">
        <x:v>717.6709677440512</x:v>
      </x:c>
      <x:c r="L1593" s="44" t="n">
        <x:v>275.55752607651823</x:v>
      </x:c>
    </x:row>
    <x:row r="1594" ht="15" hidden="0" customHeight="1">
      <x:c r="A1594" s="27" t="str">
        <x:v>22087</x:v>
      </x:c>
      <x:c r="B1594" s="27" t="str">
        <x:v>SCA-20</x:v>
      </x:c>
      <x:c r="C1594" s="43" t="n">
        <x:v>45642</x:v>
      </x:c>
      <x:c r="D1594" s="43" t="n">
        <x:v>570.8131753787205</x:v>
      </x:c>
      <x:c r="E1594" s="43" t="n">
        <x:v>7960.92633636487</x:v>
      </x:c>
      <x:c r="F1594" s="43" t="n">
        <x:v>528.964772251977</x:v>
      </x:c>
      <x:c r="G1594" s="43" t="n">
        <x:v>2221.306264422424</x:v>
      </x:c>
      <x:c r="H1594" s="43" t="n">
        <x:v>34359.98945158201</x:v>
      </x:c>
      <x:c r="I1594" s="43" t="n">
        <x:v>45642</x:v>
      </x:c>
      <x:c r="J1594" s="43" t="n">
        <x:v>8031</x:v>
      </x:c>
      <x:c r="K1594" s="43" t="n">
        <x:v>768.0726836154946</x:v>
      </x:c>
      <x:c r="L1594" s="43" t="n">
        <x:v>239.10791136351762</x:v>
      </x:c>
    </x:row>
    <x:row r="1595" ht="15" hidden="0" customHeight="1">
      <x:c r="A1595" s="29" t="str">
        <x:v>47047</x:v>
      </x:c>
      <x:c r="B1595" s="29" t="str">
        <x:v>SCA-20</x:v>
      </x:c>
      <x:c r="C1595" s="44" t="n">
        <x:v>45071</x:v>
      </x:c>
      <x:c r="D1595" s="44" t="n">
        <x:v>499.8099058532653</x:v>
      </x:c>
      <x:c r="E1595" s="44" t="n">
        <x:v>7230.74854885091</x:v>
      </x:c>
      <x:c r="F1595" s="44" t="n">
        <x:v>288.68496527855905</x:v>
      </x:c>
      <x:c r="G1595" s="44" t="n">
        <x:v>1209.7657985177566</x:v>
      </x:c>
      <x:c r="H1595" s="44" t="n">
        <x:v>35841.99078149951</x:v>
      </x:c>
      <x:c r="I1595" s="44" t="n">
        <x:v>45071</x:v>
      </x:c>
      <x:c r="J1595" s="44" t="n">
        <x:v>7148</x:v>
      </x:c>
      <x:c r="K1595" s="44" t="n">
        <x:v>487.2136815963698</x:v>
      </x:c>
      <x:c r="L1595" s="44" t="n">
        <x:v>198.5287163178107</x:v>
      </x:c>
    </x:row>
    <x:row r="1596" ht="15" hidden="0" customHeight="1">
      <x:c r="A1596" s="27" t="str">
        <x:v>22117</x:v>
      </x:c>
      <x:c r="B1596" s="27" t="str">
        <x:v>SCA-20</x:v>
      </x:c>
      <x:c r="C1596" s="43" t="n">
        <x:v>44937</x:v>
      </x:c>
      <x:c r="D1596" s="43" t="n">
        <x:v>690.9735629738316</x:v>
      </x:c>
      <x:c r="E1596" s="43" t="n">
        <x:v>10933.415616305627</x:v>
      </x:c>
      <x:c r="F1596" s="43" t="n">
        <x:v>520.7942239754412</x:v>
      </x:c>
      <x:c r="G1596" s="43" t="n">
        <x:v>2461.0246729877504</x:v>
      </x:c>
      <x:c r="H1596" s="43" t="n">
        <x:v>30330.791923757348</x:v>
      </x:c>
      <x:c r="I1596" s="43" t="n">
        <x:v>44937</x:v>
      </x:c>
      <x:c r="J1596" s="43" t="n">
        <x:v>10986</x:v>
      </x:c>
      <x:c r="K1596" s="43" t="n">
        <x:v>756.2088029365383</x:v>
      </x:c>
      <x:c r="L1596" s="43" t="n">
        <x:v>235.41457896109705</x:v>
      </x:c>
    </x:row>
    <x:row r="1597" ht="15" hidden="0" customHeight="1">
      <x:c r="A1597" s="29" t="str">
        <x:v>05005</x:v>
      </x:c>
      <x:c r="B1597" s="29" t="str">
        <x:v>SCA-20</x:v>
      </x:c>
      <x:c r="C1597" s="44" t="n">
        <x:v>42982</x:v>
      </x:c>
      <x:c r="D1597" s="44" t="n">
        <x:v>695.4285495264438</x:v>
      </x:c>
      <x:c r="E1597" s="44" t="n">
        <x:v>10538.882330818118</x:v>
      </x:c>
      <x:c r="F1597" s="44" t="n">
        <x:v>411.22960289447946</x:v>
      </x:c>
      <x:c r="G1597" s="44" t="n">
        <x:v>1026.0459879555353</x:v>
      </x:c>
      <x:c r="H1597" s="44" t="n">
        <x:v>30310.413528805424</x:v>
      </x:c>
      <x:c r="I1597" s="44" t="n">
        <x:v>42982</x:v>
      </x:c>
      <x:c r="J1597" s="44" t="n">
        <x:v>10730</x:v>
      </x:c>
      <x:c r="K1597" s="44" t="n">
        <x:v>667.5380553035016</x:v>
      </x:c>
      <x:c r="L1597" s="44" t="n">
        <x:v>256.30845240902204</x:v>
      </x:c>
    </x:row>
    <x:row r="1598" ht="15" hidden="0" customHeight="1">
      <x:c r="A1598" s="27" t="str">
        <x:v>29023</x:v>
      </x:c>
      <x:c r="B1598" s="27" t="str">
        <x:v>SCA-20</x:v>
      </x:c>
      <x:c r="C1598" s="43" t="n">
        <x:v>41904</x:v>
      </x:c>
      <x:c r="D1598" s="43" t="n">
        <x:v>702.4675619081751</x:v>
      </x:c>
      <x:c r="E1598" s="43" t="n">
        <x:v>9759.853438887816</x:v>
      </x:c>
      <x:c r="F1598" s="43" t="n">
        <x:v>251.64134969170584</x:v>
      </x:c>
      <x:c r="G1598" s="43" t="n">
        <x:v>1487.8840027032245</x:v>
      </x:c>
      <x:c r="H1598" s="43" t="n">
        <x:v>29702.153646809078</x:v>
      </x:c>
      <x:c r="I1598" s="43" t="n">
        <x:v>41904</x:v>
      </x:c>
      <x:c r="J1598" s="43" t="n">
        <x:v>10052</x:v>
      </x:c>
      <x:c r="K1598" s="43" t="n">
        <x:v>547.4483516462219</x:v>
      </x:c>
      <x:c r="L1598" s="43" t="n">
        <x:v>295.80700195451607</x:v>
      </x:c>
    </x:row>
    <x:row r="1599" ht="15" hidden="0" customHeight="1">
      <x:c r="A1599" s="29" t="str">
        <x:v>28149</x:v>
      </x:c>
      <x:c r="B1599" s="29" t="str">
        <x:v>SCA-20</x:v>
      </x:c>
      <x:c r="C1599" s="44" t="n">
        <x:v>41759</x:v>
      </x:c>
      <x:c r="D1599" s="44" t="n">
        <x:v>583.1584322599232</x:v>
      </x:c>
      <x:c r="E1599" s="44" t="n">
        <x:v>7322.590662060212</x:v>
      </x:c>
      <x:c r="F1599" s="44" t="n">
        <x:v>425.4720886771625</x:v>
      </x:c>
      <x:c r="G1599" s="44" t="n">
        <x:v>1174.517591482761</x:v>
      </x:c>
      <x:c r="H1599" s="44" t="n">
        <x:v>32253.261225519942</x:v>
      </x:c>
      <x:c r="I1599" s="44" t="n">
        <x:v>41759</x:v>
      </x:c>
      <x:c r="J1599" s="44" t="n">
        <x:v>7772</x:v>
      </x:c>
      <x:c r="K1599" s="44" t="n">
        <x:v>703.5225766845767</x:v>
      </x:c>
      <x:c r="L1599" s="44" t="n">
        <x:v>278.05048800741423</x:v>
      </x:c>
    </x:row>
    <x:row r="1600" ht="15" hidden="0" customHeight="1">
      <x:c r="A1600" s="27" t="str">
        <x:v>28151</x:v>
      </x:c>
      <x:c r="B1600" s="27" t="str">
        <x:v>SCA-20</x:v>
      </x:c>
      <x:c r="C1600" s="43" t="n">
        <x:v>40446</x:v>
      </x:c>
      <x:c r="D1600" s="43" t="n">
        <x:v>648.0372631699046</x:v>
      </x:c>
      <x:c r="E1600" s="43" t="n">
        <x:v>9089.50388740966</x:v>
      </x:c>
      <x:c r="F1600" s="43" t="n">
        <x:v>412.09425749267257</x:v>
      </x:c>
      <x:c r="G1600" s="43" t="n">
        <x:v>2832.3142354507418</x:v>
      </x:c>
      <x:c r="H1600" s="43" t="n">
        <x:v>27464.05035647702</x:v>
      </x:c>
      <x:c r="I1600" s="43" t="n">
        <x:v>40446</x:v>
      </x:c>
      <x:c r="J1600" s="43" t="n">
        <x:v>9847</x:v>
      </x:c>
      <x:c r="K1600" s="43" t="n">
        <x:v>681.4021920205079</x:v>
      </x:c>
      <x:c r="L1600" s="43" t="n">
        <x:v>269.3079345278353</x:v>
      </x:c>
    </x:row>
    <x:row r="1601" ht="15" hidden="0" customHeight="1">
      <x:c r="A1601" s="29" t="str">
        <x:v>21035</x:v>
      </x:c>
      <x:c r="B1601" s="29" t="str">
        <x:v>SCA-20</x:v>
      </x:c>
      <x:c r="C1601" s="44" t="n">
        <x:v>39421</x:v>
      </x:c>
      <x:c r="D1601" s="44" t="n">
        <x:v>478.77291084309644</x:v>
      </x:c>
      <x:c r="E1601" s="44" t="n">
        <x:v>6319.843888844905</x:v>
      </x:c>
      <x:c r="F1601" s="44" t="n">
        <x:v>358.27994978415916</x:v>
      </x:c>
      <x:c r="G1601" s="44" t="n">
        <x:v>939.6278996120654</x:v>
      </x:c>
      <x:c r="H1601" s="44" t="n">
        <x:v>31324.47535091577</x:v>
      </x:c>
      <x:c r="I1601" s="44" t="n">
        <x:v>39421</x:v>
      </x:c>
      <x:c r="J1601" s="44" t="n">
        <x:v>6328</x:v>
      </x:c>
      <x:c r="K1601" s="44" t="n">
        <x:v>573.7260319253845</x:v>
      </x:c>
      <x:c r="L1601" s="44" t="n">
        <x:v>215.44608214122533</x:v>
      </x:c>
    </x:row>
    <x:row r="1602" ht="15" hidden="0" customHeight="1">
      <x:c r="A1602" s="27" t="str">
        <x:v>05063</x:v>
      </x:c>
      <x:c r="B1602" s="27" t="str">
        <x:v>SCA-20</x:v>
      </x:c>
      <x:c r="C1602" s="43" t="n">
        <x:v>38785</x:v>
      </x:c>
      <x:c r="D1602" s="43" t="n">
        <x:v>533.6809779026389</x:v>
      </x:c>
      <x:c r="E1602" s="43" t="n">
        <x:v>7257.597579746298</x:v>
      </x:c>
      <x:c r="F1602" s="43" t="n">
        <x:v>371.0748719990319</x:v>
      </x:c>
      <x:c r="G1602" s="43" t="n">
        <x:v>1267.9999734621304</x:v>
      </x:c>
      <x:c r="H1602" s="43" t="n">
        <x:v>29354.646596889903</x:v>
      </x:c>
      <x:c r="I1602" s="43" t="n">
        <x:v>38785</x:v>
      </x:c>
      <x:c r="J1602" s="43" t="n">
        <x:v>7345</x:v>
      </x:c>
      <x:c r="K1602" s="43" t="n">
        <x:v>602.3559507455751</x:v>
      </x:c>
      <x:c r="L1602" s="43" t="n">
        <x:v>231.2810787465432</x:v>
      </x:c>
    </x:row>
    <x:row r="1603" ht="15" hidden="0" customHeight="1">
      <x:c r="A1603" s="29" t="str">
        <x:v>28113</x:v>
      </x:c>
      <x:c r="B1603" s="29" t="str">
        <x:v>SCA-20</x:v>
      </x:c>
      <x:c r="C1603" s="44" t="n">
        <x:v>38712</x:v>
      </x:c>
      <x:c r="D1603" s="44" t="n">
        <x:v>558.7110864321622</x:v>
      </x:c>
      <x:c r="E1603" s="44" t="n">
        <x:v>7222.773974421407</x:v>
      </x:c>
      <x:c r="F1603" s="44" t="n">
        <x:v>394.42696177758836</x:v>
      </x:c>
      <x:c r="G1603" s="44" t="n">
        <x:v>1187.5263603044828</x:v>
      </x:c>
      <x:c r="H1603" s="44" t="n">
        <x:v>29348.56161706436</x:v>
      </x:c>
      <x:c r="I1603" s="44" t="n">
        <x:v>38712</x:v>
      </x:c>
      <x:c r="J1603" s="44" t="n">
        <x:v>7583</x:v>
      </x:c>
      <x:c r="K1603" s="44" t="n">
        <x:v>652.1891326088587</x:v>
      </x:c>
      <x:c r="L1603" s="44" t="n">
        <x:v>257.76217083127034</x:v>
      </x:c>
    </x:row>
    <x:row r="1604" ht="15" hidden="0" customHeight="1">
      <x:c r="A1604" s="27" t="str">
        <x:v>05009</x:v>
      </x:c>
      <x:c r="B1604" s="27" t="str">
        <x:v>SCA-20</x:v>
      </x:c>
      <x:c r="C1604" s="43" t="n">
        <x:v>38628</x:v>
      </x:c>
      <x:c r="D1604" s="43" t="n">
        <x:v>531.7209688340074</x:v>
      </x:c>
      <x:c r="E1604" s="43" t="n">
        <x:v>7233.0265410269985</x:v>
      </x:c>
      <x:c r="F1604" s="43" t="n">
        <x:v>369.5727769905532</x:v>
      </x:c>
      <x:c r="G1604" s="43" t="n">
        <x:v>1120.0875198517735</x:v>
      </x:c>
      <x:c r="H1604" s="43" t="n">
        <x:v>29373.592193296667</x:v>
      </x:c>
      <x:c r="I1604" s="43" t="n">
        <x:v>38628</x:v>
      </x:c>
      <x:c r="J1604" s="43" t="n">
        <x:v>7369</x:v>
      </x:c>
      <x:c r="K1604" s="43" t="n">
        <x:v>599.9176399484356</x:v>
      </x:c>
      <x:c r="L1604" s="43" t="n">
        <x:v>230.3448629578824</x:v>
      </x:c>
    </x:row>
    <x:row r="1605" ht="15" hidden="0" customHeight="1">
      <x:c r="A1605" s="29" t="str">
        <x:v>47117</x:v>
      </x:c>
      <x:c r="B1605" s="29" t="str">
        <x:v>SCA-20</x:v>
      </x:c>
      <x:c r="C1605" s="44" t="n">
        <x:v>38071</x:v>
      </x:c>
      <x:c r="D1605" s="44" t="n">
        <x:v>367.1516264775644</x:v>
      </x:c>
      <x:c r="E1605" s="44" t="n">
        <x:v>4786.956152577896</x:v>
      </x:c>
      <x:c r="F1605" s="44" t="n">
        <x:v>243.8491560675384</x:v>
      </x:c>
      <x:c r="G1605" s="44" t="n">
        <x:v>478.3973452563924</x:v>
      </x:c>
      <x:c r="H1605" s="44" t="n">
        <x:v>32194.64571962061</x:v>
      </x:c>
      <x:c r="I1605" s="44" t="n">
        <x:v>38071</x:v>
      </x:c>
      <x:c r="J1605" s="44" t="n">
        <x:v>4687</x:v>
      </x:c>
      <x:c r="K1605" s="44" t="n">
        <x:v>411.5442761876904</x:v>
      </x:c>
      <x:c r="L1605" s="44" t="n">
        <x:v>167.695120120152</x:v>
      </x:c>
    </x:row>
    <x:row r="1606" ht="15" hidden="0" customHeight="1">
      <x:c r="A1606" s="27" t="str">
        <x:v>05093</x:v>
      </x:c>
      <x:c r="B1606" s="27" t="str">
        <x:v>SCA-20</x:v>
      </x:c>
      <x:c r="C1606" s="43" t="n">
        <x:v>37828</x:v>
      </x:c>
      <x:c r="D1606" s="43" t="n">
        <x:v>572.6560879450891</x:v>
      </x:c>
      <x:c r="E1606" s="43" t="n">
        <x:v>8329.962031172492</x:v>
      </x:c>
      <x:c r="F1606" s="43" t="n">
        <x:v>361.91878968620284</x:v>
      </x:c>
      <x:c r="G1606" s="43" t="n">
        <x:v>2405.485614703809</x:v>
      </x:c>
      <x:c r="H1606" s="43" t="n">
        <x:v>26157.97747649241</x:v>
      </x:c>
      <x:c r="I1606" s="43" t="n">
        <x:v>37828</x:v>
      </x:c>
      <x:c r="J1606" s="43" t="n">
        <x:v>8786</x:v>
      </x:c>
      <x:c r="K1606" s="43" t="n">
        <x:v>587.4931263324381</x:v>
      </x:c>
      <x:c r="L1606" s="43" t="n">
        <x:v>225.57433664623528</x:v>
      </x:c>
    </x:row>
    <x:row r="1607" ht="15" hidden="0" customHeight="1">
      <x:c r="A1607" s="29" t="str">
        <x:v>21083</x:v>
      </x:c>
      <x:c r="B1607" s="29" t="str">
        <x:v>SCA-20</x:v>
      </x:c>
      <x:c r="C1607" s="44" t="n">
        <x:v>37050</x:v>
      </x:c>
      <x:c r="D1607" s="44" t="n">
        <x:v>495.34925685644373</x:v>
      </x:c>
      <x:c r="E1607" s="44" t="n">
        <x:v>7028.6714459027235</x:v>
      </x:c>
      <x:c r="F1607" s="44" t="n">
        <x:v>336.7309844880418</x:v>
      </x:c>
      <x:c r="G1607" s="44" t="n">
        <x:v>978.9130914304621</x:v>
      </x:c>
      <x:c r="H1607" s="44" t="n">
        <x:v>28210.33522132233</x:v>
      </x:c>
      <x:c r="I1607" s="44" t="n">
        <x:v>37050</x:v>
      </x:c>
      <x:c r="J1607" s="44" t="n">
        <x:v>7167</x:v>
      </x:c>
      <x:c r="K1607" s="44" t="n">
        <x:v>539.2189310985387</x:v>
      </x:c>
      <x:c r="L1607" s="44" t="n">
        <x:v>202.4879466104969</x:v>
      </x:c>
    </x:row>
    <x:row r="1608" ht="15" hidden="0" customHeight="1">
      <x:c r="A1608" s="27" t="str">
        <x:v>05139</x:v>
      </x:c>
      <x:c r="B1608" s="27" t="str">
        <x:v>SCA-20</x:v>
      </x:c>
      <x:c r="C1608" s="43" t="n">
        <x:v>36926</x:v>
      </x:c>
      <x:c r="D1608" s="43" t="n">
        <x:v>477.2144979367649</x:v>
      </x:c>
      <x:c r="E1608" s="43" t="n">
        <x:v>6168.454312965882</x:v>
      </x:c>
      <x:c r="F1608" s="43" t="n">
        <x:v>353.288919000548</x:v>
      </x:c>
      <x:c r="G1608" s="43" t="n">
        <x:v>1333.561730209196</x:v>
      </x:c>
      <x:c r="H1608" s="43" t="n">
        <x:v>28593.48053988761</x:v>
      </x:c>
      <x:c r="I1608" s="43" t="n">
        <x:v>36926</x:v>
      </x:c>
      <x:c r="J1608" s="43" t="n">
        <x:v>6513</x:v>
      </x:c>
      <x:c r="K1608" s="43" t="n">
        <x:v>573.4844872304011</x:v>
      </x:c>
      <x:c r="L1608" s="43" t="n">
        <x:v>220.1955682298531</x:v>
      </x:c>
    </x:row>
    <x:row r="1609" ht="15" hidden="0" customHeight="1">
      <x:c r="A1609" s="29" t="str">
        <x:v>47045</x:v>
      </x:c>
      <x:c r="B1609" s="29" t="str">
        <x:v>SCA-20</x:v>
      </x:c>
      <x:c r="C1609" s="44" t="n">
        <x:v>36320</x:v>
      </x:c>
      <x:c r="D1609" s="44" t="n">
        <x:v>433.885393707121</x:v>
      </x:c>
      <x:c r="E1609" s="44" t="n">
        <x:v>6573.673858460171</x:v>
      </x:c>
      <x:c r="F1609" s="44" t="n">
        <x:v>232.63379864918164</x:v>
      </x:c>
      <x:c r="G1609" s="44" t="n">
        <x:v>1269.537606932563</x:v>
      </x:c>
      <x:c r="H1609" s="44" t="n">
        <x:v>27810.269342250962</x:v>
      </x:c>
      <x:c r="I1609" s="44" t="n">
        <x:v>36320</x:v>
      </x:c>
      <x:c r="J1609" s="44" t="n">
        <x:v>6788</x:v>
      </x:c>
      <x:c r="K1609" s="44" t="n">
        <x:v>392.61611492046217</x:v>
      </x:c>
      <x:c r="L1609" s="44" t="n">
        <x:v>159.98231627128052</x:v>
      </x:c>
    </x:row>
    <x:row r="1610" ht="15" hidden="0" customHeight="1">
      <x:c r="A1610" s="27" t="str">
        <x:v>28085</x:v>
      </x:c>
      <x:c r="B1610" s="27" t="str">
        <x:v>SCA-20</x:v>
      </x:c>
      <x:c r="C1610" s="43" t="n">
        <x:v>35012</x:v>
      </x:c>
      <x:c r="D1610" s="43" t="n">
        <x:v>470.3576717442258</x:v>
      </x:c>
      <x:c r="E1610" s="43" t="n">
        <x:v>5693.562965541246</x:v>
      </x:c>
      <x:c r="F1610" s="43" t="n">
        <x:v>356.72857991725886</x:v>
      </x:c>
      <x:c r="G1610" s="43" t="n">
        <x:v>944.815233785822</x:v>
      </x:c>
      <x:c r="H1610" s="43" t="n">
        <x:v>27546.53554901145</x:v>
      </x:c>
      <x:c r="I1610" s="43" t="n">
        <x:v>35012</x:v>
      </x:c>
      <x:c r="J1610" s="43" t="n">
        <x:v>5840</x:v>
      </x:c>
      <x:c r="K1610" s="43" t="n">
        <x:v>589.8544614305994</x:v>
      </x:c>
      <x:c r="L1610" s="43" t="n">
        <x:v>233.12588151334052</x:v>
      </x:c>
    </x:row>
    <x:row r="1611" ht="15" hidden="0" customHeight="1">
      <x:c r="A1611" s="29" t="str">
        <x:v>28093</x:v>
      </x:c>
      <x:c r="B1611" s="29" t="str">
        <x:v>SCA-20</x:v>
      </x:c>
      <x:c r="C1611" s="44" t="n">
        <x:v>34654</x:v>
      </x:c>
      <x:c r="D1611" s="44" t="n">
        <x:v>557.6985017701312</x:v>
      </x:c>
      <x:c r="E1611" s="44" t="n">
        <x:v>7846.952345033153</x:v>
      </x:c>
      <x:c r="F1611" s="44" t="n">
        <x:v>353.08100675347555</x:v>
      </x:c>
      <x:c r="G1611" s="44" t="n">
        <x:v>724.3933329277937</x:v>
      </x:c>
      <x:c r="H1611" s="44" t="n">
        <x:v>25171.874813515442</x:v>
      </x:c>
      <x:c r="I1611" s="44" t="n">
        <x:v>34654</x:v>
      </x:c>
      <x:c r="J1611" s="44" t="n">
        <x:v>7755</x:v>
      </x:c>
      <x:c r="K1611" s="44" t="n">
        <x:v>583.8231608138921</x:v>
      </x:c>
      <x:c r="L1611" s="44" t="n">
        <x:v>230.74215406041648</x:v>
      </x:c>
    </x:row>
    <x:row r="1612" ht="15" hidden="0" customHeight="1">
      <x:c r="A1612" s="27" t="str">
        <x:v>28003</x:v>
      </x:c>
      <x:c r="B1612" s="27" t="str">
        <x:v>SCA-20</x:v>
      </x:c>
      <x:c r="C1612" s="43" t="n">
        <x:v>34569</x:v>
      </x:c>
      <x:c r="D1612" s="43" t="n">
        <x:v>543.3036470582476</x:v>
      </x:c>
      <x:c r="E1612" s="43" t="n">
        <x:v>7515.059083355669</x:v>
      </x:c>
      <x:c r="F1612" s="43" t="n">
        <x:v>352.2149628458734</x:v>
      </x:c>
      <x:c r="G1612" s="43" t="n">
        <x:v>1613.6230977694393</x:v>
      </x:c>
      <x:c r="H1612" s="43" t="n">
        <x:v>24544.79920897077</x:v>
      </x:c>
      <x:c r="I1612" s="43" t="n">
        <x:v>34569</x:v>
      </x:c>
      <x:c r="J1612" s="43" t="n">
        <x:v>7604</x:v>
      </x:c>
      <x:c r="K1612" s="43" t="n">
        <x:v>582.3911480976348</x:v>
      </x:c>
      <x:c r="L1612" s="43" t="n">
        <x:v>230.17618525176132</x:v>
      </x:c>
    </x:row>
    <x:row r="1613" ht="15" hidden="0" customHeight="1">
      <x:c r="A1613" s="29" t="str">
        <x:v>01079</x:v>
      </x:c>
      <x:c r="B1613" s="29" t="str">
        <x:v>SCA-20</x:v>
      </x:c>
      <x:c r="C1613" s="44" t="n">
        <x:v>33843</x:v>
      </x:c>
      <x:c r="D1613" s="44" t="n">
        <x:v>438.0181263860935</x:v>
      </x:c>
      <x:c r="E1613" s="44" t="n">
        <x:v>6366.302142597749</x:v>
      </x:c>
      <x:c r="F1613" s="44" t="n">
        <x:v>272.37306222733173</x:v>
      </x:c>
      <x:c r="G1613" s="44" t="n">
        <x:v>691.4822660694832</x:v>
      </x:c>
      <x:c r="H1613" s="44" t="n">
        <x:v>26074.824402719347</x:v>
      </x:c>
      <x:c r="I1613" s="44" t="n">
        <x:v>33843</x:v>
      </x:c>
      <x:c r="J1613" s="44" t="n">
        <x:v>6475</x:v>
      </x:c>
      <x:c r="K1613" s="44" t="n">
        <x:v>445.12859933851905</x:v>
      </x:c>
      <x:c r="L1613" s="44" t="n">
        <x:v>172.7555371111873</x:v>
      </x:c>
    </x:row>
    <x:row r="1614" ht="15" hidden="0" customHeight="1">
      <x:c r="A1614" s="27" t="str">
        <x:v>05059</x:v>
      </x:c>
      <x:c r="B1614" s="27" t="str">
        <x:v>SCA-20</x:v>
      </x:c>
      <x:c r="C1614" s="43" t="n">
        <x:v>33451</x:v>
      </x:c>
      <x:c r="D1614" s="43" t="n">
        <x:v>512.3365332226944</x:v>
      </x:c>
      <x:c r="E1614" s="43" t="n">
        <x:v>7508.710527817404</x:v>
      </x:c>
      <x:c r="F1614" s="43" t="n">
        <x:v>320.0419116472764</x:v>
      </x:c>
      <x:c r="G1614" s="43" t="n">
        <x:v>625.9675787835558</x:v>
      </x:c>
      <x:c r="H1614" s="43" t="n">
        <x:v>24483.94344852907</x:v>
      </x:c>
      <x:c r="I1614" s="43" t="n">
        <x:v>33451</x:v>
      </x:c>
      <x:c r="J1614" s="43" t="n">
        <x:v>7212</x:v>
      </x:c>
      <x:c r="K1614" s="43" t="n">
        <x:v>519.5155062109122</x:v>
      </x:c>
      <x:c r="L1614" s="43" t="n">
        <x:v>199.47359456363583</x:v>
      </x:c>
    </x:row>
    <x:row r="1615" ht="15" hidden="0" customHeight="1">
      <x:c r="A1615" s="29" t="str">
        <x:v>28095</x:v>
      </x:c>
      <x:c r="B1615" s="29" t="str">
        <x:v>SCA-20</x:v>
      </x:c>
      <x:c r="C1615" s="44" t="n">
        <x:v>33318</x:v>
      </x:c>
      <x:c r="D1615" s="44" t="n">
        <x:v>447.6564235769635</x:v>
      </x:c>
      <x:c r="E1615" s="44" t="n">
        <x:v>5419.439219934994</x:v>
      </x:c>
      <x:c r="F1615" s="44" t="n">
        <x:v>339.46883427634043</x:v>
      </x:c>
      <x:c r="G1615" s="44" t="n">
        <x:v>1072.258878054653</x:v>
      </x:c>
      <x:c r="H1615" s="44" t="n">
        <x:v>26039.176644157047</x:v>
      </x:c>
      <x:c r="I1615" s="44" t="n">
        <x:v>33318</x:v>
      </x:c>
      <x:c r="J1615" s="44" t="n">
        <x:v>5630</x:v>
      </x:c>
      <x:c r="K1615" s="44" t="n">
        <x:v>561.3152903560125</x:v>
      </x:c>
      <x:c r="L1615" s="44" t="n">
        <x:v>221.8464560796721</x:v>
      </x:c>
    </x:row>
    <x:row r="1616" ht="15" hidden="0" customHeight="1">
      <x:c r="A1616" s="27" t="str">
        <x:v>47183</x:v>
      </x:c>
      <x:c r="B1616" s="27" t="str">
        <x:v>SCA-20</x:v>
      </x:c>
      <x:c r="C1616" s="43" t="n">
        <x:v>33261</x:v>
      </x:c>
      <x:c r="D1616" s="43" t="n">
        <x:v>404.17847381117684</x:v>
      </x:c>
      <x:c r="E1616" s="43" t="n">
        <x:v>6184.090537878556</x:v>
      </x:c>
      <x:c r="F1616" s="43" t="n">
        <x:v>213.0405500239656</x:v>
      </x:c>
      <x:c r="G1616" s="43" t="n">
        <x:v>1074.8337577858917</x:v>
      </x:c>
      <x:c r="H1616" s="43" t="n">
        <x:v>25384.856680500412</x:v>
      </x:c>
      <x:c r="I1616" s="43" t="n">
        <x:v>33261</x:v>
      </x:c>
      <x:c r="J1616" s="43" t="n">
        <x:v>6312</x:v>
      </x:c>
      <x:c r="K1616" s="43" t="n">
        <x:v>359.5485847568693</x:v>
      </x:c>
      <x:c r="L1616" s="43" t="n">
        <x:v>146.50803473290367</x:v>
      </x:c>
    </x:row>
    <x:row r="1617" ht="15" hidden="0" customHeight="1">
      <x:c r="A1617" s="29" t="str">
        <x:v>47079</x:v>
      </x:c>
      <x:c r="B1617" s="29" t="str">
        <x:v>SCA-20</x:v>
      </x:c>
      <x:c r="C1617" s="44" t="n">
        <x:v>32896</x:v>
      </x:c>
      <x:c r="D1617" s="44" t="n">
        <x:v>421.0606826313935</x:v>
      </x:c>
      <x:c r="E1617" s="44" t="n">
        <x:v>6627.849592805396</x:v>
      </x:c>
      <x:c r="F1617" s="44" t="n">
        <x:v>210.70268282939097</x:v>
      </x:c>
      <x:c r="G1617" s="44" t="n">
        <x:v>769.977938421184</x:v>
      </x:c>
      <x:c r="H1617" s="44" t="n">
        <x:v>24866.40910331263</x:v>
      </x:c>
      <x:c r="I1617" s="44" t="n">
        <x:v>32896</x:v>
      </x:c>
      <x:c r="J1617" s="44" t="n">
        <x:v>6721</x:v>
      </x:c>
      <x:c r="K1617" s="44" t="n">
        <x:v>355.6029657605596</x:v>
      </x:c>
      <x:c r="L1617" s="44" t="n">
        <x:v>144.90028293116862</x:v>
      </x:c>
    </x:row>
    <x:row r="1618" ht="15" hidden="0" customHeight="1">
      <x:c r="A1618" s="27" t="str">
        <x:v>28107</x:v>
      </x:c>
      <x:c r="B1618" s="27" t="str">
        <x:v>SCA-20</x:v>
      </x:c>
      <x:c r="C1618" s="43" t="n">
        <x:v>32691</x:v>
      </x:c>
      <x:c r="D1618" s="43" t="n">
        <x:v>447.6955385779997</x:v>
      </x:c>
      <x:c r="E1618" s="43" t="n">
        <x:v>5520.574434461539</x:v>
      </x:c>
      <x:c r="F1618" s="43" t="n">
        <x:v>333.08048686379266</x:v>
      </x:c>
      <x:c r="G1618" s="43" t="n">
        <x:v>1024.3467384615385</x:v>
      </x:c>
      <x:c r="H1618" s="43" t="n">
        <x:v>25365.30280163513</x:v>
      </x:c>
      <x:c r="I1618" s="43" t="n">
        <x:v>32691</x:v>
      </x:c>
      <x:c r="J1618" s="43" t="n">
        <x:v>5717</x:v>
      </x:c>
      <x:c r="K1618" s="43" t="n">
        <x:v>550.7520906725615</x:v>
      </x:c>
      <x:c r="L1618" s="43" t="n">
        <x:v>217.67160380876882</x:v>
      </x:c>
    </x:row>
    <x:row r="1619" ht="15" hidden="0" customHeight="1">
      <x:c r="A1619" s="29" t="str">
        <x:v>01059</x:v>
      </x:c>
      <x:c r="B1619" s="29" t="str">
        <x:v>SCA-20</x:v>
      </x:c>
      <x:c r="C1619" s="44" t="n">
        <x:v>32449</x:v>
      </x:c>
      <x:c r="D1619" s="44" t="n">
        <x:v>382.46524203002025</x:v>
      </x:c>
      <x:c r="E1619" s="44" t="n">
        <x:v>5203.812968567367</x:v>
      </x:c>
      <x:c r="F1619" s="44" t="n">
        <x:v>261.15396082542</x:v>
      </x:c>
      <x:c r="G1619" s="44" t="n">
        <x:v>1660.9002685199812</x:v>
      </x:c>
      <x:c r="H1619" s="44" t="n">
        <x:v>24940.667560057213</x:v>
      </x:c>
      <x:c r="I1619" s="44" t="n">
        <x:v>32449</x:v>
      </x:c>
      <x:c r="J1619" s="44" t="n">
        <x:v>5288</x:v>
      </x:c>
      <x:c r="K1619" s="44" t="n">
        <x:v>426.7936624984666</x:v>
      </x:c>
      <x:c r="L1619" s="44" t="n">
        <x:v>165.63970167304663</x:v>
      </x:c>
    </x:row>
    <x:row r="1620" ht="15" hidden="0" customHeight="1">
      <x:c r="A1620" s="27" t="str">
        <x:v>28115</x:v>
      </x:c>
      <x:c r="B1620" s="27" t="str">
        <x:v>SCA-20</x:v>
      </x:c>
      <x:c r="C1620" s="43" t="n">
        <x:v>32096</x:v>
      </x:c>
      <x:c r="D1620" s="43" t="n">
        <x:v>457.0842281314986</x:v>
      </x:c>
      <x:c r="E1620" s="43" t="n">
        <x:v>5840.985743599577</x:v>
      </x:c>
      <x:c r="F1620" s="43" t="n">
        <x:v>327.01817951057757</x:v>
      </x:c>
      <x:c r="G1620" s="43" t="n">
        <x:v>267.03749160993385</x:v>
      </x:c>
      <x:c r="H1620" s="43" t="n">
        <x:v>25203.874357148412</x:v>
      </x:c>
      <x:c r="I1620" s="43" t="n">
        <x:v>32096</x:v>
      </x:c>
      <x:c r="J1620" s="43" t="n">
        <x:v>5931</x:v>
      </x:c>
      <x:c r="K1620" s="43" t="n">
        <x:v>540.7280016587604</x:v>
      </x:c>
      <x:c r="L1620" s="43" t="n">
        <x:v>213.7098221481828</x:v>
      </x:c>
    </x:row>
    <x:row r="1621" ht="15" hidden="0" customHeight="1">
      <x:c r="A1621" s="29" t="str">
        <x:v>21157</x:v>
      </x:c>
      <x:c r="B1621" s="29" t="str">
        <x:v>SCA-20</x:v>
      </x:c>
      <x:c r="C1621" s="44" t="n">
        <x:v>31659</x:v>
      </x:c>
      <x:c r="D1621" s="44" t="n">
        <x:v>430.7514568636352</x:v>
      </x:c>
      <x:c r="E1621" s="44" t="n">
        <x:v>6185.441668052447</x:v>
      </x:c>
      <x:c r="F1621" s="44" t="n">
        <x:v>287.7345813200248</x:v>
      </x:c>
      <x:c r="G1621" s="44" t="n">
        <x:v>770.1983370642788</x:v>
      </x:c>
      <x:c r="H1621" s="44" t="n">
        <x:v>23984.873956699612</x:v>
      </x:c>
      <x:c r="I1621" s="44" t="n">
        <x:v>31659</x:v>
      </x:c>
      <x:c r="J1621" s="44" t="n">
        <x:v>6364</x:v>
      </x:c>
      <x:c r="K1621" s="44" t="n">
        <x:v>460.7593020148081</x:v>
      </x:c>
      <x:c r="L1621" s="44" t="n">
        <x:v>173.0247206947833</x:v>
      </x:c>
    </x:row>
    <x:row r="1622" ht="15" hidden="0" customHeight="1">
      <x:c r="A1622" s="27" t="str">
        <x:v>47055</x:v>
      </x:c>
      <x:c r="B1622" s="27" t="str">
        <x:v>SCA-20</x:v>
      </x:c>
      <x:c r="C1622" s="43" t="n">
        <x:v>31433</x:v>
      </x:c>
      <x:c r="D1622" s="43" t="n">
        <x:v>359.4954679403225</x:v>
      </x:c>
      <x:c r="E1622" s="43" t="n">
        <x:v>5304.945758747151</x:v>
      </x:c>
      <x:c r="F1622" s="43" t="n">
        <x:v>201.33199870428763</x:v>
      </x:c>
      <x:c r="G1622" s="43" t="n">
        <x:v>687.7932071232696</x:v>
      </x:c>
      <x:c r="H1622" s="43" t="n">
        <x:v>24879.43356748497</x:v>
      </x:c>
      <x:c r="I1622" s="43" t="n">
        <x:v>31433</x:v>
      </x:c>
      <x:c r="J1622" s="43" t="n">
        <x:v>5321</x:v>
      </x:c>
      <x:c r="K1622" s="43" t="n">
        <x:v>339.7880600301456</x:v>
      </x:c>
      <x:c r="L1622" s="43" t="n">
        <x:v>138.45606132585795</x:v>
      </x:c>
    </x:row>
    <x:row r="1623" ht="15" hidden="0" customHeight="1">
      <x:c r="A1623" s="29" t="str">
        <x:v>47131</x:v>
      </x:c>
      <x:c r="B1623" s="29" t="str">
        <x:v>SCA-20</x:v>
      </x:c>
      <x:c r="C1623" s="44" t="n">
        <x:v>30067</x:v>
      </x:c>
      <x:c r="D1623" s="44" t="n">
        <x:v>394.57292110970457</x:v>
      </x:c>
      <x:c r="E1623" s="44" t="n">
        <x:v>6291.211580204325</x:v>
      </x:c>
      <x:c r="F1623" s="44" t="n">
        <x:v>192.58261079253703</x:v>
      </x:c>
      <x:c r="G1623" s="44" t="n">
        <x:v>907.5596556985538</x:v>
      </x:c>
      <x:c r="H1623" s="44" t="n">
        <x:v>22281.073232194878</x:v>
      </x:c>
      <x:c r="I1623" s="44" t="n">
        <x:v>30067</x:v>
      </x:c>
      <x:c r="J1623" s="44" t="n">
        <x:v>6571</x:v>
      </x:c>
      <x:c r="K1623" s="44" t="n">
        <x:v>325.02171606039474</x:v>
      </x:c>
      <x:c r="L1623" s="44" t="n">
        <x:v>132.4391052678577</x:v>
      </x:c>
    </x:row>
    <x:row r="1624" ht="15" hidden="0" customHeight="1">
      <x:c r="A1624" s="27" t="str">
        <x:v>05015</x:v>
      </x:c>
      <x:c r="B1624" s="27" t="str">
        <x:v>SCA-20</x:v>
      </x:c>
      <x:c r="C1624" s="43" t="n">
        <x:v>29263</x:v>
      </x:c>
      <x:c r="D1624" s="43" t="n">
        <x:v>364.7981401332788</x:v>
      </x:c>
      <x:c r="E1624" s="43" t="n">
        <x:v>4567.1580194667795</x:v>
      </x:c>
      <x:c r="F1624" s="43" t="n">
        <x:v>279.97328810900274</x:v>
      </x:c>
      <x:c r="G1624" s="43" t="n">
        <x:v>731.0713076597546</x:v>
      </x:c>
      <x:c r="H1624" s="43" t="n">
        <x:v>23319.999244631184</x:v>
      </x:c>
      <x:c r="I1624" s="43" t="n">
        <x:v>29263</x:v>
      </x:c>
      <x:c r="J1624" s="43" t="n">
        <x:v>4610</x:v>
      </x:c>
      <x:c r="K1624" s="43" t="n">
        <x:v>454.47317743116577</x:v>
      </x:c>
      <x:c r="L1624" s="43" t="n">
        <x:v>174.49988932216303</x:v>
      </x:c>
    </x:row>
    <x:row r="1625" ht="15" hidden="0" customHeight="1">
      <x:c r="A1625" s="29" t="str">
        <x:v>47017</x:v>
      </x:c>
      <x:c r="B1625" s="29" t="str">
        <x:v>SCA-20</x:v>
      </x:c>
      <x:c r="C1625" s="44" t="n">
        <x:v>29200</x:v>
      </x:c>
      <x:c r="D1625" s="44" t="n">
        <x:v>368.8250540295385</x:v>
      </x:c>
      <x:c r="E1625" s="44" t="n">
        <x:v>5764.917837377608</x:v>
      </x:c>
      <x:c r="F1625" s="44" t="n">
        <x:v>187.02937556597206</x:v>
      </x:c>
      <x:c r="G1625" s="44" t="n">
        <x:v>589.4040726550305</x:v>
      </x:c>
      <x:c r="H1625" s="44" t="n">
        <x:v>22289.82366037185</x:v>
      </x:c>
      <x:c r="I1625" s="44" t="n">
        <x:v>29200</x:v>
      </x:c>
      <x:c r="J1625" s="44" t="n">
        <x:v>5797</x:v>
      </x:c>
      <x:c r="K1625" s="44" t="n">
        <x:v>315.6495197047769</x:v>
      </x:c>
      <x:c r="L1625" s="44" t="n">
        <x:v>128.62014413880482</x:v>
      </x:c>
    </x:row>
    <x:row r="1626" ht="15" hidden="0" customHeight="1">
      <x:c r="A1626" s="27" t="str">
        <x:v>01093</x:v>
      </x:c>
      <x:c r="B1626" s="27" t="str">
        <x:v>SCA-20</x:v>
      </x:c>
      <x:c r="C1626" s="43" t="n">
        <x:v>29097</x:v>
      </x:c>
      <x:c r="D1626" s="43" t="n">
        <x:v>460.48048185031143</x:v>
      </x:c>
      <x:c r="E1626" s="43" t="n">
        <x:v>7486.83491458975</x:v>
      </x:c>
      <x:c r="F1626" s="43" t="n">
        <x:v>234.17660939126768</x:v>
      </x:c>
      <x:c r="G1626" s="43" t="n">
        <x:v>429.66805516662</x:v>
      </x:c>
      <x:c r="H1626" s="43" t="n">
        <x:v>20485.83993900205</x:v>
      </x:c>
      <x:c r="I1626" s="43" t="n">
        <x:v>29097</x:v>
      </x:c>
      <x:c r="J1626" s="43" t="n">
        <x:v>7657</x:v>
      </x:c>
      <x:c r="K1626" s="43" t="n">
        <x:v>382.7056364670062</x:v>
      </x:c>
      <x:c r="L1626" s="43" t="n">
        <x:v>148.52902707573847</x:v>
      </x:c>
    </x:row>
    <x:row r="1627" ht="15" hidden="0" customHeight="1">
      <x:c r="A1627" s="29" t="str">
        <x:v>28099</x:v>
      </x:c>
      <x:c r="B1627" s="29" t="str">
        <x:v>SCA-20</x:v>
      </x:c>
      <x:c r="C1627" s="44" t="n">
        <x:v>28732</x:v>
      </x:c>
      <x:c r="D1627" s="44" t="n">
        <x:v>393.89216527413254</x:v>
      </x:c>
      <x:c r="E1627" s="44" t="n">
        <x:v>4861.953384853168</x:v>
      </x:c>
      <x:c r="F1627" s="44" t="n">
        <x:v>292.74321827324013</x:v>
      </x:c>
      <x:c r="G1627" s="44" t="n">
        <x:v>742.182450470704</x:v>
      </x:c>
      <x:c r="H1627" s="44" t="n">
        <x:v>22441.228781128753</x:v>
      </x:c>
      <x:c r="I1627" s="44" t="n">
        <x:v>28732</x:v>
      </x:c>
      <x:c r="J1627" s="44" t="n">
        <x:v>5018</x:v>
      </x:c>
      <x:c r="K1627" s="44" t="n">
        <x:v>484.053992511824</x:v>
      </x:c>
      <x:c r="L1627" s="44" t="n">
        <x:v>191.3107742385839</x:v>
      </x:c>
    </x:row>
    <x:row r="1628" ht="15" hidden="0" customHeight="1">
      <x:c r="A1628" s="27" t="str">
        <x:v>28137</x:v>
      </x:c>
      <x:c r="B1628" s="27" t="str">
        <x:v>SCA-20</x:v>
      </x:c>
      <x:c r="C1628" s="43" t="n">
        <x:v>28725</x:v>
      </x:c>
      <x:c r="D1628" s="43" t="n">
        <x:v>381.6684705782657</x:v>
      </x:c>
      <x:c r="E1628" s="43" t="n">
        <x:v>4569.703332856529</x:v>
      </x:c>
      <x:c r="F1628" s="43" t="n">
        <x:v>292.6718970102611</x:v>
      </x:c>
      <x:c r="G1628" s="43" t="n">
        <x:v>515.5893291374625</x:v>
      </x:c>
      <x:c r="H1628" s="43" t="n">
        <x:v>22965.366970417483</x:v>
      </x:c>
      <x:c r="I1628" s="43" t="n">
        <x:v>28725</x:v>
      </x:c>
      <x:c r="J1628" s="43" t="n">
        <x:v>4634</x:v>
      </x:c>
      <x:c r="K1628" s="43" t="n">
        <x:v>483.93606205283805</x:v>
      </x:c>
      <x:c r="L1628" s="43" t="n">
        <x:v>191.264165042577</x:v>
      </x:c>
    </x:row>
    <x:row r="1629" ht="15" hidden="0" customHeight="1">
      <x:c r="A1629" s="29" t="str">
        <x:v>47077</x:v>
      </x:c>
      <x:c r="B1629" s="29" t="str">
        <x:v>SCA-20</x:v>
      </x:c>
      <x:c r="C1629" s="44" t="n">
        <x:v>28518</x:v>
      </x:c>
      <x:c r="D1629" s="44" t="n">
        <x:v>310.20260435843613</x:v>
      </x:c>
      <x:c r="E1629" s="44" t="n">
        <x:v>4430.076802780191</x:v>
      </x:c>
      <x:c r="F1629" s="44" t="n">
        <x:v>182.66108672569828</x:v>
      </x:c>
      <x:c r="G1629" s="44" t="n">
        <x:v>717.4856646394439</x:v>
      </x:c>
      <x:c r="H1629" s="44" t="n">
        <x:v>22877.57384149623</x:v>
      </x:c>
      <x:c r="I1629" s="44" t="n">
        <x:v>28518</x:v>
      </x:c>
      <x:c r="J1629" s="44" t="n">
        <x:v>4470</x:v>
      </x:c>
      <x:c r="K1629" s="44" t="n">
        <x:v>308.2771576349598</x:v>
      </x:c>
      <x:c r="L1629" s="44" t="n">
        <x:v>125.61607090926151</x:v>
      </x:c>
    </x:row>
    <x:row r="1630" ht="15" hidden="0" customHeight="1">
      <x:c r="A1630" s="27" t="str">
        <x:v>28145</x:v>
      </x:c>
      <x:c r="B1630" s="27" t="str">
        <x:v>SCA-20</x:v>
      </x:c>
      <x:c r="C1630" s="43" t="n">
        <x:v>28459</x:v>
      </x:c>
      <x:c r="D1630" s="43" t="n">
        <x:v>418.4633853801907</x:v>
      </x:c>
      <x:c r="E1630" s="43" t="n">
        <x:v>5495.288874861017</x:v>
      </x:c>
      <x:c r="F1630" s="43" t="n">
        <x:v>289.96168901705903</x:v>
      </x:c>
      <x:c r="G1630" s="43" t="n">
        <x:v>836.805261647717</x:v>
      </x:c>
      <x:c r="H1630" s="43" t="n">
        <x:v>21418.480789094017</x:v>
      </x:c>
      <x:c r="I1630" s="43" t="n">
        <x:v>28459</x:v>
      </x:c>
      <x:c r="J1630" s="43" t="n">
        <x:v>5608</x:v>
      </x:c>
      <x:c r="K1630" s="43" t="n">
        <x:v>479.45470461137404</x:v>
      </x:c>
      <x:c r="L1630" s="43" t="n">
        <x:v>189.493015594315</x:v>
      </x:c>
    </x:row>
    <x:row r="1631" ht="15" hidden="0" customHeight="1">
      <x:c r="A1631" s="29" t="str">
        <x:v>29207</x:v>
      </x:c>
      <x:c r="B1631" s="29" t="str">
        <x:v>SCA-20</x:v>
      </x:c>
      <x:c r="C1631" s="44" t="n">
        <x:v>28284</x:v>
      </x:c>
      <x:c r="D1631" s="44" t="n">
        <x:v>434.6737900086367</x:v>
      </x:c>
      <x:c r="E1631" s="44" t="n">
        <x:v>5640.300832325532</x:v>
      </x:c>
      <x:c r="F1631" s="44" t="n">
        <x:v>169.8507048176835</x:v>
      </x:c>
      <x:c r="G1631" s="44" t="n">
        <x:v>477.7414099736786</x:v>
      </x:c>
      <x:c r="H1631" s="44" t="n">
        <x:v>21561.43326287447</x:v>
      </x:c>
      <x:c r="I1631" s="44" t="n">
        <x:v>28284</x:v>
      </x:c>
      <x:c r="J1631" s="44" t="n">
        <x:v>5840</x:v>
      </x:c>
      <x:c r="K1631" s="44" t="n">
        <x:v>369.5119601460897</x:v>
      </x:c>
      <x:c r="L1631" s="44" t="n">
        <x:v>199.66125532840618</x:v>
      </x:c>
    </x:row>
    <x:row r="1632" ht="15" hidden="0" customHeight="1">
      <x:c r="A1632" s="27" t="str">
        <x:v>28011</x:v>
      </x:c>
      <x:c r="B1632" s="27" t="str">
        <x:v>SCA-20</x:v>
      </x:c>
      <x:c r="C1632" s="43" t="n">
        <x:v>28262</x:v>
      </x:c>
      <x:c r="D1632" s="43" t="n">
        <x:v>402.26112980408107</x:v>
      </x:c>
      <x:c r="E1632" s="43" t="n">
        <x:v>5137.915923708756</x:v>
      </x:c>
      <x:c r="F1632" s="43" t="n">
        <x:v>287.9545049017928</x:v>
      </x:c>
      <x:c r="G1632" s="43" t="n">
        <x:v>1482.640923012669</x:v>
      </x:c>
      <x:c r="H1632" s="43" t="n">
        <x:v>20951.2275185727</x:v>
      </x:c>
      <x:c r="I1632" s="43" t="n">
        <x:v>28262</x:v>
      </x:c>
      <x:c r="J1632" s="43" t="n">
        <x:v>5441</x:v>
      </x:c>
      <x:c r="K1632" s="43" t="n">
        <x:v>476.1358045513424</x:v>
      </x:c>
      <x:c r="L1632" s="43" t="n">
        <x:v>188.18129964954957</x:v>
      </x:c>
    </x:row>
    <x:row r="1633" ht="15" hidden="0" customHeight="1">
      <x:c r="A1633" s="29" t="str">
        <x:v>28123</x:v>
      </x:c>
      <x:c r="B1633" s="29" t="str">
        <x:v>SCA-20</x:v>
      </x:c>
      <x:c r="C1633" s="44" t="n">
        <x:v>28073</x:v>
      </x:c>
      <x:c r="D1633" s="44" t="n">
        <x:v>392.74591569165443</x:v>
      </x:c>
      <x:c r="E1633" s="44" t="n">
        <x:v>4939.753544022984</x:v>
      </x:c>
      <x:c r="F1633" s="44" t="n">
        <x:v>286.0288308013598</x:v>
      </x:c>
      <x:c r="G1633" s="44" t="n">
        <x:v>984.1322689747974</x:v>
      </x:c>
      <x:c r="H1633" s="44" t="n">
        <x:v>21470.339440509204</x:v>
      </x:c>
      <x:c r="I1633" s="44" t="n">
        <x:v>28073</x:v>
      </x:c>
      <x:c r="J1633" s="44" t="n">
        <x:v>5040</x:v>
      </x:c>
      <x:c r="K1633" s="44" t="n">
        <x:v>472.9516821587232</x:v>
      </x:c>
      <x:c r="L1633" s="44" t="n">
        <x:v>186.9228513573634</x:v>
      </x:c>
    </x:row>
    <x:row r="1634" ht="15" hidden="0" customHeight="1">
      <x:c r="A1634" s="27" t="str">
        <x:v>47071</x:v>
      </x:c>
      <x:c r="B1634" s="27" t="str">
        <x:v>SCA-20</x:v>
      </x:c>
      <x:c r="C1634" s="43" t="n">
        <x:v>27983</x:v>
      </x:c>
      <x:c r="D1634" s="43" t="n">
        <x:v>341.0253918572075</x:v>
      </x:c>
      <x:c r="E1634" s="43" t="n">
        <x:v>5226.381327776125</x:v>
      </x:c>
      <x:c r="F1634" s="43" t="n">
        <x:v>179.234349878856</x:v>
      </x:c>
      <x:c r="G1634" s="43" t="n">
        <x:v>774.4383000893123</x:v>
      </x:c>
      <x:c r="H1634" s="43" t="n">
        <x:v>21461.9206303985</x:v>
      </x:c>
      <x:c r="I1634" s="43" t="n">
        <x:v>27983</x:v>
      </x:c>
      <x:c r="J1634" s="43" t="n">
        <x:v>5228</x:v>
      </x:c>
      <x:c r="K1634" s="43" t="n">
        <x:v>302.493853078725</x:v>
      </x:c>
      <x:c r="L1634" s="43" t="n">
        <x:v>123.25950319986903</x:v>
      </x:c>
    </x:row>
    <x:row r="1635" ht="15" hidden="0" customHeight="1">
      <x:c r="A1635" s="29" t="str">
        <x:v>28029</x:v>
      </x:c>
      <x:c r="B1635" s="29" t="str">
        <x:v>SCA-20</x:v>
      </x:c>
      <x:c r="C1635" s="44" t="n">
        <x:v>27497</x:v>
      </x:c>
      <x:c r="D1635" s="44" t="n">
        <x:v>367.58640041573</x:v>
      </x:c>
      <x:c r="E1635" s="44" t="n">
        <x:v>4427.971681057841</x:v>
      </x:c>
      <x:c r="F1635" s="44" t="n">
        <x:v>280.16010973337336</x:v>
      </x:c>
      <x:c r="G1635" s="44" t="n">
        <x:v>1427.318183460385</x:v>
      </x:c>
      <x:c r="H1635" s="44" t="n">
        <x:v>20993.96362533267</x:v>
      </x:c>
      <x:c r="I1635" s="44" t="n">
        <x:v>27497</x:v>
      </x:c>
      <x:c r="J1635" s="44" t="n">
        <x:v>4643</x:v>
      </x:c>
      <x:c r="K1635" s="44" t="n">
        <x:v>463.2476901050266</x:v>
      </x:c>
      <x:c r="L1635" s="44" t="n">
        <x:v>183.08758037165325</x:v>
      </x:c>
    </x:row>
    <x:row r="1636" ht="15" hidden="0" customHeight="1">
      <x:c r="A1636" s="27" t="str">
        <x:v>29069</x:v>
      </x:c>
      <x:c r="B1636" s="27" t="str">
        <x:v>SCA-20</x:v>
      </x:c>
      <x:c r="C1636" s="43" t="n">
        <x:v>26855</x:v>
      </x:c>
      <x:c r="D1636" s="43" t="n">
        <x:v>427.2572814083647</x:v>
      </x:c>
      <x:c r="E1636" s="43" t="n">
        <x:v>5704.405545617174</x:v>
      </x:c>
      <x:c r="F1636" s="43" t="n">
        <x:v>161.26929281144425</x:v>
      </x:c>
      <x:c r="G1636" s="43" t="n">
        <x:v>1151.7480992844366</x:v>
      </x:c>
      <x:c r="H1636" s="43" t="n">
        <x:v>19410.31978087858</x:v>
      </x:c>
      <x:c r="I1636" s="43" t="n">
        <x:v>26855</x:v>
      </x:c>
      <x:c r="J1636" s="43" t="n">
        <x:v>5937</x:v>
      </x:c>
      <x:c r="K1636" s="43" t="n">
        <x:v>350.84300981909337</x:v>
      </x:c>
      <x:c r="L1636" s="43" t="n">
        <x:v>189.57371700764912</x:v>
      </x:c>
    </x:row>
    <x:row r="1637" ht="15" hidden="0" customHeight="1">
      <x:c r="A1637" s="29" t="str">
        <x:v>28039</x:v>
      </x:c>
      <x:c r="B1637" s="29" t="str">
        <x:v>SCA-20</x:v>
      </x:c>
      <x:c r="C1637" s="44" t="n">
        <x:v>26331</x:v>
      </x:c>
      <x:c r="D1637" s="44" t="n">
        <x:v>393.94747123437713</x:v>
      </x:c>
      <x:c r="E1637" s="44" t="n">
        <x:v>5246.967629427792</x:v>
      </x:c>
      <x:c r="F1637" s="44" t="n">
        <x:v>268.2800250714424</x:v>
      </x:c>
      <x:c r="G1637" s="44" t="n">
        <x:v>1049.9664484118914</x:v>
      </x:c>
      <x:c r="H1637" s="44" t="n">
        <x:v>19371.838425854497</x:v>
      </x:c>
      <x:c r="I1637" s="44" t="n">
        <x:v>26331</x:v>
      </x:c>
      <x:c r="J1637" s="44" t="n">
        <x:v>5104</x:v>
      </x:c>
      <x:c r="K1637" s="44" t="n">
        <x:v>443.6038450796616</x:v>
      </x:c>
      <x:c r="L1637" s="44" t="n">
        <x:v>175.32382000821914</x:v>
      </x:c>
    </x:row>
    <x:row r="1638" ht="15" hidden="0" customHeight="1">
      <x:c r="A1638" s="27" t="str">
        <x:v>47109</x:v>
      </x:c>
      <x:c r="B1638" s="27" t="str">
        <x:v>SCA-20</x:v>
      </x:c>
      <x:c r="C1638" s="43" t="n">
        <x:v>26236</x:v>
      </x:c>
      <x:c r="D1638" s="43" t="n">
        <x:v>287.3921472830662</x:v>
      </x:c>
      <x:c r="E1638" s="43" t="n">
        <x:v>4123.867889621794</x:v>
      </x:c>
      <x:c r="F1638" s="43" t="n">
        <x:v>168.04461292290557</x:v>
      </x:c>
      <x:c r="G1638" s="43" t="n">
        <x:v>684.4846415050155</x:v>
      </x:c>
      <x:c r="H1638" s="43" t="n">
        <x:v>20972.21070866722</x:v>
      </x:c>
      <x:c r="I1638" s="43" t="n">
        <x:v>26236</x:v>
      </x:c>
      <x:c r="J1638" s="43" t="n">
        <x:v>4195</x:v>
      </x:c>
      <x:c r="K1638" s="43" t="n">
        <x:v>283.60893147173033</x:v>
      </x:c>
      <x:c r="L1638" s="43" t="n">
        <x:v>115.56431854882477</x:v>
      </x:c>
    </x:row>
    <x:row r="1639" ht="15" hidden="0" customHeight="1">
      <x:c r="A1639" s="29" t="str">
        <x:v>05071</x:v>
      </x:c>
      <x:c r="B1639" s="29" t="str">
        <x:v>SCA-20</x:v>
      </x:c>
      <x:c r="C1639" s="44" t="n">
        <x:v>26225</x:v>
      </x:c>
      <x:c r="D1639" s="44" t="n">
        <x:v>379.78309413616876</x:v>
      </x:c>
      <x:c r="E1639" s="44" t="n">
        <x:v>5361.582683579657</x:v>
      </x:c>
      <x:c r="F1639" s="44" t="n">
        <x:v>250.9072713207325</x:v>
      </x:c>
      <x:c r="G1639" s="44" t="n">
        <x:v>585.9482718491796</x:v>
      </x:c>
      <x:c r="H1639" s="44" t="n">
        <x:v>19646.77867911426</x:v>
      </x:c>
      <x:c r="I1639" s="44" t="n">
        <x:v>26225</x:v>
      </x:c>
      <x:c r="J1639" s="44" t="n">
        <x:v>5490</x:v>
      </x:c>
      <x:c r="K1639" s="44" t="n">
        <x:v>407.2910869744155</x:v>
      </x:c>
      <x:c r="L1639" s="44" t="n">
        <x:v>156.383815653683</x:v>
      </x:c>
    </x:row>
    <x:row r="1640" ht="15" hidden="0" customHeight="1">
      <x:c r="A1640" s="27" t="str">
        <x:v>47081</x:v>
      </x:c>
      <x:c r="B1640" s="27" t="str">
        <x:v>SCA-20</x:v>
      </x:c>
      <x:c r="C1640" s="43" t="n">
        <x:v>26219</x:v>
      </x:c>
      <x:c r="D1640" s="43" t="n">
        <x:v>311.6280815751696</x:v>
      </x:c>
      <x:c r="E1640" s="43" t="n">
        <x:v>4707.327470810654</x:v>
      </x:c>
      <x:c r="F1640" s="43" t="n">
        <x:v>167.93572595767878</x:v>
      </x:c>
      <x:c r="G1640" s="43" t="n">
        <x:v>312.18448497943245</x:v>
      </x:c>
      <x:c r="H1640" s="43" t="n">
        <x:v>20719.924236677067</x:v>
      </x:c>
      <x:c r="I1640" s="43" t="n">
        <x:v>26219</x:v>
      </x:c>
      <x:c r="J1640" s="43" t="n">
        <x:v>4501</x:v>
      </x:c>
      <x:c r="K1640" s="43" t="n">
        <x:v>283.4251629157378</x:v>
      </x:c>
      <x:c r="L1640" s="43" t="n">
        <x:v>115.48943695805903</x:v>
      </x:c>
    </x:row>
    <x:row r="1641" ht="15" hidden="0" customHeight="1">
      <x:c r="A1641" s="29" t="str">
        <x:v>28083</x:v>
      </x:c>
      <x:c r="B1641" s="29" t="str">
        <x:v>SCA-20</x:v>
      </x:c>
      <x:c r="C1641" s="44" t="n">
        <x:v>25686</x:v>
      </x:c>
      <x:c r="D1641" s="44" t="n">
        <x:v>378.29992351599475</x:v>
      </x:c>
      <x:c r="E1641" s="44" t="n">
        <x:v>4974.499391927574</x:v>
      </x:c>
      <x:c r="F1641" s="44" t="n">
        <x:v>261.70828012552016</x:v>
      </x:c>
      <x:c r="G1641" s="44" t="n">
        <x:v>2147.73145982648</x:v>
      </x:c>
      <x:c r="H1641" s="44" t="n">
        <x:v>17923.76094460443</x:v>
      </x:c>
      <x:c r="I1641" s="44" t="n">
        <x:v>25686</x:v>
      </x:c>
      <x:c r="J1641" s="44" t="n">
        <x:v>5348</x:v>
      </x:c>
      <x:c r="K1641" s="44" t="n">
        <x:v>432.7373956445326</x:v>
      </x:c>
      <x:c r="L1641" s="44" t="n">
        <x:v>171.02911551901246</x:v>
      </x:c>
    </x:row>
    <x:row r="1642" ht="15" hidden="0" customHeight="1">
      <x:c r="A1642" s="27" t="str">
        <x:v>05023</x:v>
      </x:c>
      <x:c r="B1642" s="27" t="str">
        <x:v>SCA-20</x:v>
      </x:c>
      <x:c r="C1642" s="43" t="n">
        <x:v>25672</x:v>
      </x:c>
      <x:c r="D1642" s="43" t="n">
        <x:v>382.67201001493225</x:v>
      </x:c>
      <x:c r="E1642" s="43" t="n">
        <x:v>5510.0596961802075</x:v>
      </x:c>
      <x:c r="F1642" s="43" t="n">
        <x:v>245.61645259660042</x:v>
      </x:c>
      <x:c r="G1642" s="43" t="n">
        <x:v>728.6738346226302</x:v>
      </x:c>
      <x:c r="H1642" s="43" t="n">
        <x:v>18804.97800658563</x:v>
      </x:c>
      <x:c r="I1642" s="43" t="n">
        <x:v>25672</x:v>
      </x:c>
      <x:c r="J1642" s="43" t="n">
        <x:v>5578</x:v>
      </x:c>
      <x:c r="K1642" s="43" t="n">
        <x:v>398.7026419373573</x:v>
      </x:c>
      <x:c r="L1642" s="43" t="n">
        <x:v>153.0861893407569</x:v>
      </x:c>
    </x:row>
    <x:row r="1643" ht="15" hidden="0" customHeight="1">
      <x:c r="A1643" s="29" t="str">
        <x:v>28127</x:v>
      </x:c>
      <x:c r="B1643" s="29" t="str">
        <x:v>SCA-20</x:v>
      </x:c>
      <x:c r="C1643" s="44" t="n">
        <x:v>25498</x:v>
      </x:c>
      <x:c r="D1643" s="44" t="n">
        <x:v>387.10825776289613</x:v>
      </x:c>
      <x:c r="E1643" s="44" t="n">
        <x:v>5215.942369907938</x:v>
      </x:c>
      <x:c r="F1643" s="44" t="n">
        <x:v>259.79279477694126</x:v>
      </x:c>
      <x:c r="G1643" s="44" t="n">
        <x:v>595.6937057963571</x:v>
      </x:c>
      <x:c r="H1643" s="44" t="n">
        <x:v>19039.462871755866</x:v>
      </x:c>
      <x:c r="I1643" s="44" t="n">
        <x:v>25498</x:v>
      </x:c>
      <x:c r="J1643" s="44" t="n">
        <x:v>5393</x:v>
      </x:c>
      <x:c r="K1643" s="44" t="n">
        <x:v>429.57012046034</x:v>
      </x:c>
      <x:c r="L1643" s="44" t="n">
        <x:v>169.77732568339871</x:v>
      </x:c>
    </x:row>
    <x:row r="1644" ht="15" hidden="0" customHeight="1">
      <x:c r="A1644" s="27" t="str">
        <x:v>28117</x:v>
      </x:c>
      <x:c r="B1644" s="27" t="str">
        <x:v>SCA-20</x:v>
      </x:c>
      <x:c r="C1644" s="43" t="n">
        <x:v>25284</x:v>
      </x:c>
      <x:c r="D1644" s="43" t="n">
        <x:v>358.1724183816155</x:v>
      </x:c>
      <x:c r="E1644" s="43" t="n">
        <x:v>4555.680057713118</x:v>
      </x:c>
      <x:c r="F1644" s="43" t="n">
        <x:v>257.6124018801546</x:v>
      </x:c>
      <x:c r="G1644" s="43" t="n">
        <x:v>751.388721894914</x:v>
      </x:c>
      <x:c r="H1644" s="43" t="n">
        <x:v>19361.146400130197</x:v>
      </x:c>
      <x:c r="I1644" s="43" t="n">
        <x:v>25284</x:v>
      </x:c>
      <x:c r="J1644" s="43" t="n">
        <x:v>4683</x:v>
      </x:c>
      <x:c r="K1644" s="43" t="n">
        <x:v>425.96481785705686</x:v>
      </x:c>
      <x:c r="L1644" s="43" t="n">
        <x:v>168.35241597690225</x:v>
      </x:c>
    </x:row>
    <x:row r="1645" ht="15" hidden="0" customHeight="1">
      <x:c r="A1645" s="29" t="str">
        <x:v>47069</x:v>
      </x:c>
      <x:c r="B1645" s="29" t="str">
        <x:v>SCA-20</x:v>
      </x:c>
      <x:c r="C1645" s="44" t="n">
        <x:v>25274</x:v>
      </x:c>
      <x:c r="D1645" s="44" t="n">
        <x:v>332.1351628376077</x:v>
      </x:c>
      <x:c r="E1645" s="44" t="n">
        <x:v>5299.398272789582</x:v>
      </x:c>
      <x:c r="F1645" s="44" t="n">
        <x:v>161.88289171419103</x:v>
      </x:c>
      <x:c r="G1645" s="44" t="n">
        <x:v>791.3553803975325</x:v>
      </x:c>
      <x:c r="H1645" s="44" t="n">
        <x:v>18689.22829226109</x:v>
      </x:c>
      <x:c r="I1645" s="44" t="n">
        <x:v>25274</x:v>
      </x:c>
      <x:c r="J1645" s="44" t="n">
        <x:v>4780</x:v>
      </x:c>
      <x:c r="K1645" s="44" t="n">
        <x:v>273.2097931855661</x:v>
      </x:c>
      <x:c r="L1645" s="44" t="n">
        <x:v>111.32690147137511</x:v>
      </x:c>
    </x:row>
    <x:row r="1646" ht="15" hidden="0" customHeight="1">
      <x:c r="A1646" s="27" t="str">
        <x:v>47097</x:v>
      </x:c>
      <x:c r="B1646" s="27" t="str">
        <x:v>SCA-20</x:v>
      </x:c>
      <x:c r="C1646" s="43" t="n">
        <x:v>24617</x:v>
      </x:c>
      <x:c r="D1646" s="43" t="n">
        <x:v>330.48182555888184</x:v>
      </x:c>
      <x:c r="E1646" s="43" t="n">
        <x:v>5329.173055935116</x:v>
      </x:c>
      <x:c r="F1646" s="43" t="n">
        <x:v>157.6747307639566</x:v>
      </x:c>
      <x:c r="G1646" s="43" t="n">
        <x:v>1275.2083351699212</x:v>
      </x:c>
      <x:c r="H1646" s="43" t="n">
        <x:v>17524.462052572122</x:v>
      </x:c>
      <x:c r="I1646" s="43" t="n">
        <x:v>24617</x:v>
      </x:c>
      <x:c r="J1646" s="43" t="n">
        <x:v>5116</x:v>
      </x:c>
      <x:c r="K1646" s="43" t="n">
        <x:v>266.1076789922086</x:v>
      </x:c>
      <x:c r="L1646" s="43" t="n">
        <x:v>108.432948228252</x:v>
      </x:c>
    </x:row>
    <x:row r="1647" ht="15" hidden="0" customHeight="1">
      <x:c r="A1647" s="29" t="str">
        <x:v>28057</x:v>
      </x:c>
      <x:c r="B1647" s="29" t="str">
        <x:v>SCA-20</x:v>
      </x:c>
      <x:c r="C1647" s="44" t="n">
        <x:v>24152</x:v>
      </x:c>
      <x:c r="D1647" s="44" t="n">
        <x:v>301.7305664564883</x:v>
      </x:c>
      <x:c r="E1647" s="44" t="n">
        <x:v>3381.972559669394</x:v>
      </x:c>
      <x:c r="F1647" s="44" t="n">
        <x:v>246.0787347812646</x:v>
      </x:c>
      <x:c r="G1647" s="44" t="n">
        <x:v>692.7049422282197</x:v>
      </x:c>
      <x:c r="H1647" s="44" t="n">
        <x:v>19529.513196864635</x:v>
      </x:c>
      <x:c r="I1647" s="44" t="n">
        <x:v>24152</x:v>
      </x:c>
      <x:c r="J1647" s="44" t="n">
        <x:v>3459</x:v>
      </x:c>
      <x:c r="K1647" s="44" t="n">
        <x:v>406.8937779181948</x:v>
      </x:c>
      <x:c r="L1647" s="44" t="n">
        <x:v>160.8150431369302</x:v>
      </x:c>
    </x:row>
    <x:row r="1648" ht="15" hidden="0" customHeight="1">
      <x:c r="A1648" s="27" t="str">
        <x:v>28091</x:v>
      </x:c>
      <x:c r="B1648" s="27" t="str">
        <x:v>SCA-20</x:v>
      </x:c>
      <x:c r="C1648" s="43" t="n">
        <x:v>24001</x:v>
      </x:c>
      <x:c r="D1648" s="43" t="n">
        <x:v>380.858581535984</x:v>
      </x:c>
      <x:c r="E1648" s="43" t="n">
        <x:v>5305.1751681957185</x:v>
      </x:c>
      <x:c r="F1648" s="43" t="n">
        <x:v>244.54023325128898</x:v>
      </x:c>
      <x:c r="G1648" s="43" t="n">
        <x:v>543.4436799184506</x:v>
      </x:c>
      <x:c r="H1648" s="43" t="n">
        <x:v>17526.982337098558</x:v>
      </x:c>
      <x:c r="I1648" s="43" t="n">
        <x:v>24001</x:v>
      </x:c>
      <x:c r="J1648" s="43" t="n">
        <x:v>5421</x:v>
      </x:c>
      <x:c r="K1648" s="43" t="n">
        <x:v>404.34984944578474</x:v>
      </x:c>
      <x:c r="L1648" s="43" t="n">
        <x:v>159.80961619449576</x:v>
      </x:c>
    </x:row>
    <x:row r="1649" ht="15" hidden="0" customHeight="1">
      <x:c r="A1649" s="29" t="str">
        <x:v>01133</x:v>
      </x:c>
      <x:c r="B1649" s="29" t="str">
        <x:v>SCA-20</x:v>
      </x:c>
      <x:c r="C1649" s="44" t="n">
        <x:v>23829</x:v>
      </x:c>
      <x:c r="D1649" s="44" t="n">
        <x:v>340.3109856842068</x:v>
      </x:c>
      <x:c r="E1649" s="44" t="n">
        <x:v>5248.1538832997985</x:v>
      </x:c>
      <x:c r="F1649" s="44" t="n">
        <x:v>191.7790296313887</x:v>
      </x:c>
      <x:c r="G1649" s="44" t="n">
        <x:v>701.6139389528661</x:v>
      </x:c>
      <x:c r="H1649" s="44" t="n">
        <x:v>17347.14216243174</x:v>
      </x:c>
      <x:c r="I1649" s="44" t="n">
        <x:v>23829</x:v>
      </x:c>
      <x:c r="J1649" s="44" t="n">
        <x:v>5359</x:v>
      </x:c>
      <x:c r="K1649" s="44" t="n">
        <x:v>313.4169368447706</x:v>
      </x:c>
      <x:c r="L1649" s="44" t="n">
        <x:v>121.63790721338187</x:v>
      </x:c>
    </x:row>
    <x:row r="1650" ht="15" hidden="0" customHeight="1">
      <x:c r="A1650" s="27" t="str">
        <x:v>22067</x:v>
      </x:c>
      <x:c r="B1650" s="27" t="str">
        <x:v>SCA-20</x:v>
      </x:c>
      <x:c r="C1650" s="43" t="n">
        <x:v>23705</x:v>
      </x:c>
      <x:c r="D1650" s="43" t="n">
        <x:v>293.1937311528473</x:v>
      </x:c>
      <x:c r="E1650" s="43" t="n">
        <x:v>4056.2088804554082</x:v>
      </x:c>
      <x:c r="F1650" s="43" t="n">
        <x:v>274.72744240465175</x:v>
      </x:c>
      <x:c r="G1650" s="43" t="n">
        <x:v>1486.971790006325</x:v>
      </x:c>
      <x:c r="H1650" s="43" t="n">
        <x:v>17593.898155980765</x:v>
      </x:c>
      <x:c r="I1650" s="43" t="n">
        <x:v>23705</x:v>
      </x:c>
      <x:c r="J1650" s="43" t="n">
        <x:v>4227</x:v>
      </x:c>
      <x:c r="K1650" s="43" t="n">
        <x:v>398.9124702051904</x:v>
      </x:c>
      <x:c r="L1650" s="43" t="n">
        <x:v>124.18502780053865</x:v>
      </x:c>
    </x:row>
    <x:row r="1651" ht="15" hidden="0" customHeight="1">
      <x:c r="A1651" s="29" t="str">
        <x:v>28163</x:v>
      </x:c>
      <x:c r="B1651" s="29" t="str">
        <x:v>SCA-20</x:v>
      </x:c>
      <x:c r="C1651" s="44" t="n">
        <x:v>22947</x:v>
      </x:c>
      <x:c r="D1651" s="44" t="n">
        <x:v>351.65125849695534</x:v>
      </x:c>
      <x:c r="E1651" s="44" t="n">
        <x:v>4772.6317327148</x:v>
      </x:c>
      <x:c r="F1651" s="44" t="n">
        <x:v>233.80128879702215</x:v>
      </x:c>
      <x:c r="G1651" s="44" t="n">
        <x:v>2062.949489216799</x:v>
      </x:c>
      <x:c r="H1651" s="44" t="n">
        <x:v>15525.966230774422</x:v>
      </x:c>
      <x:c r="I1651" s="44" t="n">
        <x:v>22947</x:v>
      </x:c>
      <x:c r="J1651" s="44" t="n">
        <x:v>4390</x:v>
      </x:c>
      <x:c r="K1651" s="44" t="n">
        <x:v>386.5928917641941</x:v>
      </x:c>
      <x:c r="L1651" s="44" t="n">
        <x:v>152.79160296717197</x:v>
      </x:c>
    </x:row>
    <x:row r="1652" ht="15" hidden="0" customHeight="1">
      <x:c r="A1652" s="27" t="str">
        <x:v>28133</x:v>
      </x:c>
      <x:c r="B1652" s="27" t="str">
        <x:v>SCA-20</x:v>
      </x:c>
      <x:c r="C1652" s="43" t="n">
        <x:v>22893</x:v>
      </x:c>
      <x:c r="D1652" s="43" t="n">
        <x:v>286.8811490839982</x:v>
      </x:c>
      <x:c r="E1652" s="43" t="n">
        <x:v>3226.778466521678</x:v>
      </x:c>
      <x:c r="F1652" s="43" t="n">
        <x:v>233.25109619689846</x:v>
      </x:c>
      <x:c r="G1652" s="43" t="n">
        <x:v>1067.3239553930869</x:v>
      </x:c>
      <x:c r="H1652" s="43" t="n">
        <x:v>18078.765332804338</x:v>
      </x:c>
      <x:c r="I1652" s="43" t="n">
        <x:v>22893</x:v>
      </x:c>
      <x:c r="J1652" s="43" t="n">
        <x:v>3173</x:v>
      </x:c>
      <x:c r="K1652" s="43" t="n">
        <x:v>385.68314250916006</x:v>
      </x:c>
      <x:c r="L1652" s="43" t="n">
        <x:v>152.43204631226163</x:v>
      </x:c>
    </x:row>
    <x:row r="1653" ht="15" hidden="0" customHeight="1">
      <x:c r="A1653" s="29" t="str">
        <x:v>05111</x:v>
      </x:c>
      <x:c r="B1653" s="29" t="str">
        <x:v>SCA-20</x:v>
      </x:c>
      <x:c r="C1653" s="44" t="n">
        <x:v>22483</x:v>
      </x:c>
      <x:c r="D1653" s="44" t="n">
        <x:v>363.0499204658064</x:v>
      </x:c>
      <x:c r="E1653" s="44" t="n">
        <x:v>5495.5257992364695</x:v>
      </x:c>
      <x:c r="F1653" s="44" t="n">
        <x:v>215.10574570463407</x:v>
      </x:c>
      <x:c r="G1653" s="44" t="n">
        <x:v>1213.114304962946</x:v>
      </x:c>
      <x:c r="H1653" s="44" t="n">
        <x:v>15196.204229630142</x:v>
      </x:c>
      <x:c r="I1653" s="44" t="n">
        <x:v>22483</x:v>
      </x:c>
      <x:c r="J1653" s="44" t="n">
        <x:v>5669</x:v>
      </x:c>
      <x:c r="K1653" s="44" t="n">
        <x:v>349.1754245355876</x:v>
      </x:c>
      <x:c r="L1653" s="44" t="n">
        <x:v>134.06967883095348</x:v>
      </x:c>
    </x:row>
    <x:row r="1654" ht="15" hidden="0" customHeight="1">
      <x:c r="A1654" s="27" t="str">
        <x:v>05123</x:v>
      </x:c>
      <x:c r="B1654" s="27" t="str">
        <x:v>SCA-20</x:v>
      </x:c>
      <x:c r="C1654" s="43" t="n">
        <x:v>21800</x:v>
      </x:c>
      <x:c r="D1654" s="43" t="n">
        <x:v>337.18000549281993</x:v>
      </x:c>
      <x:c r="E1654" s="43" t="n">
        <x:v>4972.395924010446</x:v>
      </x:c>
      <x:c r="F1654" s="43" t="n">
        <x:v>208.5711540435451</x:v>
      </x:c>
      <x:c r="G1654" s="43" t="n">
        <x:v>1094.8130472630448</x:v>
      </x:c>
      <x:c r="H1654" s="43" t="n">
        <x:v>15187.039869190143</x:v>
      </x:c>
      <x:c r="I1654" s="43" t="n">
        <x:v>21800</x:v>
      </x:c>
      <x:c r="J1654" s="43" t="n">
        <x:v>4640</x:v>
      </x:c>
      <x:c r="K1654" s="43" t="n">
        <x:v>338.5679960359298</x:v>
      </x:c>
      <x:c r="L1654" s="43" t="n">
        <x:v>129.9968419923847</x:v>
      </x:c>
    </x:row>
    <x:row r="1655" ht="15" hidden="0" customHeight="1">
      <x:c r="A1655" s="29" t="str">
        <x:v>05103</x:v>
      </x:c>
      <x:c r="B1655" s="29" t="str">
        <x:v>SCA-20</x:v>
      </x:c>
      <x:c r="C1655" s="44" t="n">
        <x:v>21731</x:v>
      </x:c>
      <x:c r="D1655" s="44" t="n">
        <x:v>362.1369675961425</x:v>
      </x:c>
      <x:c r="E1655" s="44" t="n">
        <x:v>5581.238003955295</x:v>
      </x:c>
      <x:c r="F1655" s="44" t="n">
        <x:v>207.91099763854487</x:v>
      </x:c>
      <x:c r="G1655" s="44" t="n">
        <x:v>1081.1192567722944</x:v>
      </x:c>
      <x:c r="H1655" s="44" t="n">
        <x:v>14498.594774037721</x:v>
      </x:c>
      <x:c r="I1655" s="44" t="n">
        <x:v>21731</x:v>
      </x:c>
      <x:c r="J1655" s="44" t="n">
        <x:v>5817</x:v>
      </x:c>
      <x:c r="K1655" s="44" t="n">
        <x:v>337.49638173655</x:v>
      </x:c>
      <x:c r="L1655" s="44" t="n">
        <x:v>129.58538409800514</x:v>
      </x:c>
    </x:row>
    <x:row r="1656" ht="15" hidden="0" customHeight="1">
      <x:c r="A1656" s="27" t="str">
        <x:v>28079</x:v>
      </x:c>
      <x:c r="B1656" s="27" t="str">
        <x:v>SCA-20</x:v>
      </x:c>
      <x:c r="C1656" s="43" t="n">
        <x:v>21662</x:v>
      </x:c>
      <x:c r="D1656" s="43" t="n">
        <x:v>294.3716537928243</x:v>
      </x:c>
      <x:c r="E1656" s="43" t="n">
        <x:v>3603.268020508888</x:v>
      </x:c>
      <x:c r="F1656" s="43" t="n">
        <x:v>220.70874266444827</x:v>
      </x:c>
      <x:c r="G1656" s="43" t="n">
        <x:v>803.580238631463</x:v>
      </x:c>
      <x:c r="H1656" s="43" t="n">
        <x:v>16740.07134440238</x:v>
      </x:c>
      <x:c r="I1656" s="43" t="n">
        <x:v>21662</x:v>
      </x:c>
      <x:c r="J1656" s="43" t="n">
        <x:v>3616</x:v>
      </x:c>
      <x:c r="K1656" s="43" t="n">
        <x:v>364.9442289360689</x:v>
      </x:c>
      <x:c r="L1656" s="43" t="n">
        <x:v>144.23548627162063</x:v>
      </x:c>
    </x:row>
    <x:row r="1657" ht="15" hidden="0" customHeight="1">
      <x:c r="A1657" s="29" t="str">
        <x:v>05083</x:v>
      </x:c>
      <x:c r="B1657" s="29" t="str">
        <x:v>SCA-20</x:v>
      </x:c>
      <x:c r="C1657" s="44" t="n">
        <x:v>21633</x:v>
      </x:c>
      <x:c r="D1657" s="44" t="n">
        <x:v>310.80195116307095</x:v>
      </x:c>
      <x:c r="E1657" s="44" t="n">
        <x:v>4363.222956917822</x:v>
      </x:c>
      <x:c r="F1657" s="44" t="n">
        <x:v>206.97338419376194</x:v>
      </x:c>
      <x:c r="G1657" s="44" t="n">
        <x:v>484.2106661605618</x:v>
      </x:c>
      <x:c r="H1657" s="44" t="n">
        <x:v>16267.791041564786</x:v>
      </x:c>
      <x:c r="I1657" s="44" t="n">
        <x:v>21633</x:v>
      </x:c>
      <x:c r="J1657" s="44" t="n">
        <x:v>4428</x:v>
      </x:c>
      <x:c r="K1657" s="44" t="n">
        <x:v>335.9743788185903</x:v>
      </x:c>
      <x:c r="L1657" s="44" t="n">
        <x:v>129.00099462482837</x:v>
      </x:c>
    </x:row>
    <x:row r="1658" ht="15" hidden="0" customHeight="1">
      <x:c r="A1658" s="27" t="str">
        <x:v>05029</x:v>
      </x:c>
      <x:c r="B1658" s="27" t="str">
        <x:v>SCA-20</x:v>
      </x:c>
      <x:c r="C1658" s="43" t="n">
        <x:v>21393</x:v>
      </x:c>
      <x:c r="D1658" s="43" t="n">
        <x:v>317.07524120637726</x:v>
      </x:c>
      <x:c r="E1658" s="43" t="n">
        <x:v>4548.129707401032</x:v>
      </x:c>
      <x:c r="F1658" s="43" t="n">
        <x:v>204.67718800245683</x:v>
      </x:c>
      <x:c r="G1658" s="43" t="n">
        <x:v>896.4919678714859</x:v>
      </x:c>
      <x:c r="H1658" s="43" t="n">
        <x:v>15426.62589551865</x:v>
      </x:c>
      <x:c r="I1658" s="43" t="n">
        <x:v>21393</x:v>
      </x:c>
      <x:c r="J1658" s="43" t="n">
        <x:v>4632</x:v>
      </x:c>
      <x:c r="K1658" s="43" t="n">
        <x:v>332.2470247337911</x:v>
      </x:c>
      <x:c r="L1658" s="43" t="n">
        <x:v>127.56983673133423</x:v>
      </x:c>
    </x:row>
    <x:row r="1659" ht="15" hidden="0" customHeight="1">
      <x:c r="A1659" s="29" t="str">
        <x:v>28139</x:v>
      </x:c>
      <x:c r="B1659" s="29" t="str">
        <x:v>SCA-20</x:v>
      </x:c>
      <x:c r="C1659" s="44" t="n">
        <x:v>21389</x:v>
      </x:c>
      <x:c r="D1659" s="44" t="n">
        <x:v>315.2179362249557</x:v>
      </x:c>
      <x:c r="E1659" s="44" t="n">
        <x:v>4147.205006342495</x:v>
      </x:c>
      <x:c r="F1659" s="44" t="n">
        <x:v>217.9272134082672</x:v>
      </x:c>
      <x:c r="G1659" s="44" t="n">
        <x:v>323.20084566596194</x:v>
      </x:c>
      <x:c r="H1659" s="44" t="n">
        <x:v>16385.448998358323</x:v>
      </x:c>
      <x:c r="I1659" s="44" t="n">
        <x:v>21389</x:v>
      </x:c>
      <x:c r="J1659" s="44" t="n">
        <x:v>4299</x:v>
      </x:c>
      <x:c r="K1659" s="44" t="n">
        <x:v>360.34494103561894</x:v>
      </x:c>
      <x:c r="L1659" s="44" t="n">
        <x:v>142.41772762735175</x:v>
      </x:c>
    </x:row>
    <x:row r="1660" ht="15" hidden="0" customHeight="1">
      <x:c r="A1660" s="27" t="str">
        <x:v>28101</x:v>
      </x:c>
      <x:c r="B1660" s="27" t="str">
        <x:v>SCA-20</x:v>
      </x:c>
      <x:c r="C1660" s="43" t="n">
        <x:v>20960</x:v>
      </x:c>
      <x:c r="D1660" s="43" t="n">
        <x:v>325.2889044118623</x:v>
      </x:c>
      <x:c r="E1660" s="43" t="n">
        <x:v>4457.463711697822</x:v>
      </x:c>
      <x:c r="F1660" s="43" t="n">
        <x:v>213.55623886283976</x:v>
      </x:c>
      <x:c r="G1660" s="43" t="n">
        <x:v>553.8840335324725</x:v>
      </x:c>
      <x:c r="H1660" s="43" t="n">
        <x:v>15409.807111495003</x:v>
      </x:c>
      <x:c r="I1660" s="43" t="n">
        <x:v>20960</x:v>
      </x:c>
      <x:c r="J1660" s="43" t="n">
        <x:v>4598</x:v>
      </x:c>
      <x:c r="K1660" s="43" t="n">
        <x:v>353.11748862062615</x:v>
      </x:c>
      <x:c r="L1660" s="43" t="n">
        <x:v>139.56124975778638</x:v>
      </x:c>
    </x:row>
    <x:row r="1661" ht="15" hidden="0" customHeight="1">
      <x:c r="A1661" s="29" t="str">
        <x:v>05019</x:v>
      </x:c>
      <x:c r="B1661" s="29" t="str">
        <x:v>SCA-20</x:v>
      </x:c>
      <x:c r="C1661" s="44" t="n">
        <x:v>20938</x:v>
      </x:c>
      <x:c r="D1661" s="44" t="n">
        <x:v>284.4510004274188</x:v>
      </x:c>
      <x:c r="E1661" s="44" t="n">
        <x:v>3830.265612860014</x:v>
      </x:c>
      <x:c r="F1661" s="44" t="n">
        <x:v>200.32398272310766</x:v>
      </x:c>
      <x:c r="G1661" s="44" t="n">
        <x:v>639.0560951105158</x:v>
      </x:c>
      <x:c r="H1661" s="44" t="n">
        <x:v>15983.903308878944</x:v>
      </x:c>
      <x:c r="I1661" s="44" t="n">
        <x:v>20938</x:v>
      </x:c>
      <x:c r="J1661" s="44" t="n">
        <x:v>3983</x:v>
      </x:c>
      <x:c r="K1661" s="44" t="n">
        <x:v>325.1805826146926</x:v>
      </x:c>
      <x:c r="L1661" s="44" t="n">
        <x:v>124.85659989158492</x:v>
      </x:c>
    </x:row>
    <x:row r="1662" ht="15" hidden="0" customHeight="1">
      <x:c r="A1662" s="27" t="str">
        <x:v>28043</x:v>
      </x:c>
      <x:c r="B1662" s="27" t="str">
        <x:v>SCA-20</x:v>
      </x:c>
      <x:c r="C1662" s="43" t="n">
        <x:v>20868</x:v>
      </x:c>
      <x:c r="D1662" s="43" t="n">
        <x:v>312.9532657671585</x:v>
      </x:c>
      <x:c r="E1662" s="43" t="n">
        <x:v>4176.110256336818</x:v>
      </x:c>
      <x:c r="F1662" s="43" t="n">
        <x:v>212.6188736922586</x:v>
      </x:c>
      <x:c r="G1662" s="43" t="n">
        <x:v>956.9735070886438</x:v>
      </x:c>
      <x:c r="H1662" s="43" t="n">
        <x:v>15209.344097115121</x:v>
      </x:c>
      <x:c r="I1662" s="43" t="n">
        <x:v>20868</x:v>
      </x:c>
      <x:c r="J1662" s="43" t="n">
        <x:v>4367</x:v>
      </x:c>
      <x:c r="K1662" s="43" t="n">
        <x:v>351.56754544538296</x:v>
      </x:c>
      <x:c r="L1662" s="43" t="n">
        <x:v>138.94867175312436</x:v>
      </x:c>
    </x:row>
    <x:row r="1663" ht="15" hidden="0" customHeight="1">
      <x:c r="A1663" s="29" t="str">
        <x:v>22111</x:v>
      </x:c>
      <x:c r="B1663" s="29" t="str">
        <x:v>SCA-20</x:v>
      </x:c>
      <x:c r="C1663" s="44" t="n">
        <x:v>20561</x:v>
      </x:c>
      <x:c r="D1663" s="44" t="n">
        <x:v>238.20560671865476</x:v>
      </x:c>
      <x:c r="E1663" s="44" t="n">
        <x:v>3131.790475250456</x:v>
      </x:c>
      <x:c r="F1663" s="44" t="n">
        <x:v>238.29027392035619</x:v>
      </x:c>
      <x:c r="G1663" s="44" t="n">
        <x:v>798.0076000592212</x:v>
      </x:c>
      <x:c r="H1663" s="44" t="n">
        <x:v>16154.706044051312</x:v>
      </x:c>
      <x:c r="I1663" s="44" t="n">
        <x:v>20561</x:v>
      </x:c>
      <x:c r="J1663" s="44" t="n">
        <x:v>3215</x:v>
      </x:c>
      <x:c r="K1663" s="44" t="n">
        <x:v>346.0046108369086</x:v>
      </x:c>
      <x:c r="L1663" s="44" t="n">
        <x:v>107.71433691655243</x:v>
      </x:c>
    </x:row>
    <x:row r="1664" ht="15" hidden="0" customHeight="1">
      <x:c r="A1664" s="27" t="str">
        <x:v>05149</x:v>
      </x:c>
      <x:c r="B1664" s="27" t="str">
        <x:v>SCA-20</x:v>
      </x:c>
      <x:c r="C1664" s="43" t="n">
        <x:v>19956</x:v>
      </x:c>
      <x:c r="D1664" s="43" t="n">
        <x:v>252.81769386618865</x:v>
      </x:c>
      <x:c r="E1664" s="43" t="n">
        <x:v>3211.605960531615</x:v>
      </x:c>
      <x:c r="F1664" s="43" t="n">
        <x:v>190.9287133070177</x:v>
      </x:c>
      <x:c r="G1664" s="43" t="n">
        <x:v>730.395942408377</x:v>
      </x:c>
      <x:c r="H1664" s="43" t="n">
        <x:v>15570.251689886802</x:v>
      </x:c>
      <x:c r="I1664" s="43" t="n">
        <x:v>19956</x:v>
      </x:c>
      <x:c r="J1664" s="43" t="n">
        <x:v>3330</x:v>
      </x:c>
      <x:c r="K1664" s="43" t="n">
        <x:v>309.92949215105574</x:v>
      </x:c>
      <x:c r="L1664" s="43" t="n">
        <x:v>119.00077884403804</x:v>
      </x:c>
    </x:row>
    <x:row r="1665" ht="15" hidden="0" customHeight="1">
      <x:c r="A1665" s="29" t="str">
        <x:v>28027</x:v>
      </x:c>
      <x:c r="B1665" s="29" t="str">
        <x:v>SCA-20</x:v>
      </x:c>
      <x:c r="C1665" s="44" t="n">
        <x:v>19849</x:v>
      </x:c>
      <x:c r="D1665" s="44" t="n">
        <x:v>259.8542887523094</x:v>
      </x:c>
      <x:c r="E1665" s="44" t="n">
        <x:v>3064.574021915385</x:v>
      </x:c>
      <x:c r="F1665" s="44" t="n">
        <x:v>202.23653555288672</x:v>
      </x:c>
      <x:c r="G1665" s="44" t="n">
        <x:v>1935.131836273402</x:v>
      </x:c>
      <x:c r="H1665" s="44" t="n">
        <x:v>14387.203317506017</x:v>
      </x:c>
      <x:c r="I1665" s="44" t="n">
        <x:v>19849</x:v>
      </x:c>
      <x:c r="J1665" s="44" t="n">
        <x:v>3273</x:v>
      </x:c>
      <x:c r="K1665" s="44" t="n">
        <x:v>334.40024005872175</x:v>
      </x:c>
      <x:c r="L1665" s="44" t="n">
        <x:v>132.16370450583503</x:v>
      </x:c>
    </x:row>
    <x:row r="1666" ht="15" hidden="0" customHeight="1">
      <x:c r="A1666" s="27" t="str">
        <x:v>28153</x:v>
      </x:c>
      <x:c r="B1666" s="27" t="str">
        <x:v>SCA-20</x:v>
      </x:c>
      <x:c r="C1666" s="43" t="n">
        <x:v>19807</x:v>
      </x:c>
      <x:c r="D1666" s="43" t="n">
        <x:v>291.37997729072157</x:v>
      </x:c>
      <x:c r="E1666" s="43" t="n">
        <x:v>3827.902271062271</x:v>
      </x:c>
      <x:c r="F1666" s="43" t="n">
        <x:v>201.80860797501273</x:v>
      </x:c>
      <x:c r="G1666" s="43" t="n">
        <x:v>733.195054945055</x:v>
      </x:c>
      <x:c r="H1666" s="43" t="n">
        <x:v>14752.71408872694</x:v>
      </x:c>
      <x:c r="I1666" s="43" t="n">
        <x:v>19807</x:v>
      </x:c>
      <x:c r="J1666" s="43" t="n">
        <x:v>3957</x:v>
      </x:c>
      <x:c r="K1666" s="43" t="n">
        <x:v>333.6926573048064</x:v>
      </x:c>
      <x:c r="L1666" s="43" t="n">
        <x:v>131.88404932979364</x:v>
      </x:c>
    </x:row>
    <x:row r="1667" ht="15" hidden="0" customHeight="1">
      <x:c r="A1667" s="29" t="str">
        <x:v>28131</x:v>
      </x:c>
      <x:c r="B1667" s="29" t="str">
        <x:v>SCA-20</x:v>
      </x:c>
      <x:c r="C1667" s="44" t="n">
        <x:v>19654</x:v>
      </x:c>
      <x:c r="D1667" s="44" t="n">
        <x:v>303.09748156661925</x:v>
      </x:c>
      <x:c r="E1667" s="44" t="n">
        <x:v>4133.572226217718</x:v>
      </x:c>
      <x:c r="F1667" s="44" t="n">
        <x:v>200.24972894132884</x:v>
      </x:c>
      <x:c r="G1667" s="44" t="n">
        <x:v>381.08880897896915</x:v>
      </x:c>
      <x:c r="H1667" s="44" t="n">
        <x:v>14635.991754295364</x:v>
      </x:c>
      <x:c r="I1667" s="44" t="n">
        <x:v>19654</x:v>
      </x:c>
      <x:c r="J1667" s="44" t="n">
        <x:v>4021</x:v>
      </x:c>
      <x:c r="K1667" s="44" t="n">
        <x:v>331.1150344155432</x:v>
      </x:c>
      <x:c r="L1667" s="44" t="n">
        <x:v>130.86530547421438</x:v>
      </x:c>
    </x:row>
    <x:row r="1668" ht="15" hidden="0" customHeight="1">
      <x:c r="A1668" s="27" t="str">
        <x:v>47085</x:v>
      </x:c>
      <x:c r="B1668" s="27" t="str">
        <x:v>SCA-20</x:v>
      </x:c>
      <x:c r="C1668" s="43" t="n">
        <x:v>19646</x:v>
      </x:c>
      <x:c r="D1668" s="43" t="n">
        <x:v>237.5155962128332</x:v>
      </x:c>
      <x:c r="E1668" s="43" t="n">
        <x:v>3623.4937460250158</x:v>
      </x:c>
      <x:c r="F1668" s="43" t="n">
        <x:v>125.83490110853036</x:v>
      </x:c>
      <x:c r="G1668" s="43" t="n">
        <x:v>373.64254292982827</x:v>
      </x:c>
      <x:c r="H1668" s="43" t="n">
        <x:v>15285.513213723792</x:v>
      </x:c>
      <x:c r="I1668" s="43" t="n">
        <x:v>19646</x:v>
      </x:c>
      <x:c r="J1668" s="43" t="n">
        <x:v>3625</x:v>
      </x:c>
      <x:c r="K1668" s="43" t="n">
        <x:v>212.37159123698788</x:v>
      </x:c>
      <x:c r="L1668" s="43" t="n">
        <x:v>86.53669012845752</x:v>
      </x:c>
    </x:row>
    <x:row r="1669" ht="15" hidden="0" customHeight="1">
      <x:c r="A1669" s="29" t="str">
        <x:v>22083</x:v>
      </x:c>
      <x:c r="B1669" s="29" t="str">
        <x:v>SCA-20</x:v>
      </x:c>
      <x:c r="C1669" s="44" t="n">
        <x:v>19582</x:v>
      </x:c>
      <x:c r="D1669" s="44" t="n">
        <x:v>250.48225013972717</x:v>
      </x:c>
      <x:c r="E1669" s="44" t="n">
        <x:v>3549.5200423594197</x:v>
      </x:c>
      <x:c r="F1669" s="44" t="n">
        <x:v>226.94422177464207</x:v>
      </x:c>
      <x:c r="G1669" s="44" t="n">
        <x:v>1338.4517632108439</x:v>
      </x:c>
      <x:c r="H1669" s="44" t="n">
        <x:v>14216.601722515366</x:v>
      </x:c>
      <x:c r="I1669" s="44" t="n">
        <x:v>19582</x:v>
      </x:c>
      <x:c r="J1669" s="44" t="n">
        <x:v>3566</x:v>
      </x:c>
      <x:c r="K1669" s="44" t="n">
        <x:v>329.5298034827268</x:v>
      </x:c>
      <x:c r="L1669" s="44" t="n">
        <x:v>102.5855817080847</x:v>
      </x:c>
    </x:row>
    <x:row r="1670" ht="15" hidden="0" customHeight="1">
      <x:c r="A1670" s="27" t="str">
        <x:v>22041</x:v>
      </x:c>
      <x:c r="B1670" s="27" t="str">
        <x:v>SCA-20</x:v>
      </x:c>
      <x:c r="C1670" s="43" t="n">
        <x:v>19002</x:v>
      </x:c>
      <x:c r="D1670" s="43" t="n">
        <x:v>237.67975342955734</x:v>
      </x:c>
      <x:c r="E1670" s="43" t="n">
        <x:v>3315.1837908780303</x:v>
      </x:c>
      <x:c r="F1670" s="43" t="n">
        <x:v>220.22235227054176</x:v>
      </x:c>
      <x:c r="G1670" s="43" t="n">
        <x:v>982.3278919681112</x:v>
      </x:c>
      <x:c r="H1670" s="43" t="n">
        <x:v>14246.58621145376</x:v>
      </x:c>
      <x:c r="I1670" s="43" t="n">
        <x:v>19002</x:v>
      </x:c>
      <x:c r="J1670" s="43" t="n">
        <x:v>3351</x:v>
      </x:c>
      <x:c r="K1670" s="43" t="n">
        <x:v>319.76944774684785</x:v>
      </x:c>
      <x:c r="L1670" s="43" t="n">
        <x:v>99.54709547630607</x:v>
      </x:c>
    </x:row>
    <x:row r="1671" ht="15" hidden="0" customHeight="1">
      <x:c r="A1671" s="29" t="str">
        <x:v>05121</x:v>
      </x:c>
      <x:c r="B1671" s="29" t="str">
        <x:v>SCA-20</x:v>
      </x:c>
      <x:c r="C1671" s="44" t="n">
        <x:v>18876</x:v>
      </x:c>
      <x:c r="D1671" s="44" t="n">
        <x:v>298.60914376342674</x:v>
      </x:c>
      <x:c r="E1671" s="44" t="n">
        <x:v>4465.165810562696</x:v>
      </x:c>
      <x:c r="F1671" s="44" t="n">
        <x:v>180.59583044614482</x:v>
      </x:c>
      <x:c r="G1671" s="44" t="n">
        <x:v>504.5292418187709</x:v>
      </x:c>
      <x:c r="H1671" s="44" t="n">
        <x:v>13427.099973408962</x:v>
      </x:c>
      <x:c r="I1671" s="44" t="n">
        <x:v>18876</x:v>
      </x:c>
      <x:c r="J1671" s="44" t="n">
        <x:v>4563</x:v>
      </x:c>
      <x:c r="K1671" s="44" t="n">
        <x:v>293.1563987694592</x:v>
      </x:c>
      <x:c r="L1671" s="44" t="n">
        <x:v>112.5605683233144</x:v>
      </x:c>
    </x:row>
    <x:row r="1672" ht="15" hidden="0" customHeight="1">
      <x:c r="A1672" s="27" t="str">
        <x:v>05053</x:v>
      </x:c>
      <x:c r="B1672" s="27" t="str">
        <x:v>SCA-20</x:v>
      </x:c>
      <x:c r="C1672" s="43" t="n">
        <x:v>18756</x:v>
      </x:c>
      <x:c r="D1672" s="43" t="n">
        <x:v>254.82505920200376</x:v>
      </x:c>
      <x:c r="E1672" s="43" t="n">
        <x:v>3431.521675810474</x:v>
      </x:c>
      <x:c r="F1672" s="43" t="n">
        <x:v>179.44773235049226</x:v>
      </x:c>
      <x:c r="G1672" s="43" t="n">
        <x:v>162.69359933499587</x:v>
      </x:c>
      <x:c r="H1672" s="43" t="n">
        <x:v>14727.511933302036</x:v>
      </x:c>
      <x:c r="I1672" s="43" t="n">
        <x:v>18756</x:v>
      </x:c>
      <x:c r="J1672" s="43" t="n">
        <x:v>3439</x:v>
      </x:c>
      <x:c r="K1672" s="43" t="n">
        <x:v>291.2927217270596</x:v>
      </x:c>
      <x:c r="L1672" s="43" t="n">
        <x:v>111.84498937656733</x:v>
      </x:c>
    </x:row>
    <x:row r="1673" ht="15" hidden="0" customHeight="1">
      <x:c r="A1673" s="29" t="str">
        <x:v>28141</x:v>
      </x:c>
      <x:c r="B1673" s="29" t="str">
        <x:v>SCA-20</x:v>
      </x:c>
      <x:c r="C1673" s="44" t="n">
        <x:v>18639</x:v>
      </x:c>
      <x:c r="D1673" s="44" t="n">
        <x:v>283.0819067790633</x:v>
      </x:c>
      <x:c r="E1673" s="44" t="n">
        <x:v>3815.398433420365</x:v>
      </x:c>
      <x:c r="F1673" s="44" t="n">
        <x:v>189.90814580937356</x:v>
      </x:c>
      <x:c r="G1673" s="44" t="n">
        <x:v>448.45953002610963</x:v>
      </x:c>
      <x:c r="H1673" s="44" t="n">
        <x:v>13902.15198396509</x:v>
      </x:c>
      <x:c r="I1673" s="44" t="n">
        <x:v>18639</x:v>
      </x:c>
      <x:c r="J1673" s="44" t="n">
        <x:v>3920</x:v>
      </x:c>
      <x:c r="K1673" s="44" t="n">
        <x:v>314.0151178625883</x:v>
      </x:c>
      <x:c r="L1673" s="44" t="n">
        <x:v>124.10697205321472</x:v>
      </x:c>
    </x:row>
    <x:row r="1674" ht="15" hidden="0" customHeight="1">
      <x:c r="A1674" s="27" t="str">
        <x:v>05087</x:v>
      </x:c>
      <x:c r="B1674" s="27" t="str">
        <x:v>SCA-20</x:v>
      </x:c>
      <x:c r="C1674" s="43" t="n">
        <x:v>18410</x:v>
      </x:c>
      <x:c r="D1674" s="43" t="n">
        <x:v>256.3781046028867</x:v>
      </x:c>
      <x:c r="E1674" s="43" t="n">
        <x:v>3518.3128285465623</x:v>
      </x:c>
      <x:c r="F1674" s="43" t="n">
        <x:v>176.13738284136076</x:v>
      </x:c>
      <x:c r="G1674" s="43" t="n">
        <x:v>368.42703800406144</x:v>
      </x:c>
      <x:c r="H1674" s="43" t="n">
        <x:v>14090.744646005129</x:v>
      </x:c>
      <x:c r="I1674" s="43" t="n">
        <x:v>18410</x:v>
      </x:c>
      <x:c r="J1674" s="43" t="n">
        <x:v>3431</x:v>
      </x:c>
      <x:c r="K1674" s="43" t="n">
        <x:v>285.9191195881407</x:v>
      </x:c>
      <x:c r="L1674" s="43" t="n">
        <x:v>109.78173674677994</x:v>
      </x:c>
    </x:row>
    <x:row r="1675" ht="15" hidden="0" customHeight="1">
      <x:c r="A1675" s="29" t="str">
        <x:v>28025</x:v>
      </x:c>
      <x:c r="B1675" s="29" t="str">
        <x:v>SCA-20</x:v>
      </x:c>
      <x:c r="C1675" s="44" t="n">
        <x:v>18238</x:v>
      </x:c>
      <x:c r="D1675" s="44" t="n">
        <x:v>208.62140303795704</x:v>
      </x:c>
      <x:c r="E1675" s="44" t="n">
        <x:v>2092.4273296867227</x:v>
      </x:c>
      <x:c r="F1675" s="44" t="n">
        <x:v>185.8224563158622</x:v>
      </x:c>
      <x:c r="G1675" s="44" t="n">
        <x:v>924.5151665837891</x:v>
      </x:c>
      <x:c r="H1675" s="44" t="n">
        <x:v>14826.613644375668</x:v>
      </x:c>
      <x:c r="I1675" s="44" t="n">
        <x:v>18238</x:v>
      </x:c>
      <x:c r="J1675" s="44" t="n">
        <x:v>2163</x:v>
      </x:c>
      <x:c r="K1675" s="44" t="n">
        <x:v>307.2593872835391</x:v>
      </x:c>
      <x:c r="L1675" s="44" t="n">
        <x:v>121.43693096767691</x:v>
      </x:c>
    </x:row>
    <x:row r="1676" ht="15" hidden="0" customHeight="1">
      <x:c r="A1676" s="27" t="str">
        <x:v>01107</x:v>
      </x:c>
      <x:c r="B1676" s="27" t="str">
        <x:v>SCA-20</x:v>
      </x:c>
      <x:c r="C1676" s="43" t="n">
        <x:v>18221</x:v>
      </x:c>
      <x:c r="D1676" s="43" t="n">
        <x:v>254.48282168772755</x:v>
      </x:c>
      <x:c r="E1676" s="43" t="n">
        <x:v>3875.3184949382644</x:v>
      </x:c>
      <x:c r="F1676" s="43" t="n">
        <x:v>146.6450836759215</x:v>
      </x:c>
      <x:c r="G1676" s="43" t="n">
        <x:v>539.4686055357248</x:v>
      </x:c>
      <x:c r="H1676" s="43" t="n">
        <x:v>13405.084994162362</x:v>
      </x:c>
      <x:c r="I1676" s="43" t="n">
        <x:v>18221</x:v>
      </x:c>
      <x:c r="J1676" s="43" t="n">
        <x:v>3786</x:v>
      </x:c>
      <x:c r="K1676" s="43" t="n">
        <x:v>239.65630140788807</x:v>
      </x:c>
      <x:c r="L1676" s="43" t="n">
        <x:v>93.01121773196655</x:v>
      </x:c>
    </x:row>
    <x:row r="1677" ht="15" hidden="0" customHeight="1">
      <x:c r="A1677" s="29" t="str">
        <x:v>05135</x:v>
      </x:c>
      <x:c r="B1677" s="29" t="str">
        <x:v>SCA-20</x:v>
      </x:c>
      <x:c r="C1677" s="44" t="n">
        <x:v>18122</x:v>
      </x:c>
      <x:c r="D1677" s="44" t="n">
        <x:v>286.31555546571326</x:v>
      </x:c>
      <x:c r="E1677" s="44" t="n">
        <x:v>4278.028996587031</x:v>
      </x:c>
      <x:c r="F1677" s="44" t="n">
        <x:v>173.38194741179467</x:v>
      </x:c>
      <x:c r="G1677" s="44" t="n">
        <x:v>341.2282423208191</x:v>
      </x:c>
      <x:c r="H1677" s="44" t="n">
        <x:v>13043.045258214643</x:v>
      </x:c>
      <x:c r="I1677" s="44" t="n">
        <x:v>18122</x:v>
      </x:c>
      <x:c r="J1677" s="44" t="n">
        <x:v>4323</x:v>
      </x:c>
      <x:c r="K1677" s="44" t="n">
        <x:v>281.44629468638163</x:v>
      </x:c>
      <x:c r="L1677" s="44" t="n">
        <x:v>108.06434727458696</x:v>
      </x:c>
    </x:row>
    <x:row r="1678" ht="15" hidden="0" customHeight="1">
      <x:c r="A1678" s="27" t="str">
        <x:v>47023</x:v>
      </x:c>
      <x:c r="B1678" s="27" t="str">
        <x:v>SCA-20</x:v>
      </x:c>
      <x:c r="C1678" s="43" t="n">
        <x:v>17994</x:v>
      </x:c>
      <x:c r="D1678" s="43" t="n">
        <x:v>155.58311678233778</x:v>
      </x:c>
      <x:c r="E1678" s="43" t="n">
        <x:v>1831.7557285566654</x:v>
      </x:c>
      <x:c r="F1678" s="43" t="n">
        <x:v>115.25365013472947</x:v>
      </x:c>
      <x:c r="G1678" s="43" t="n">
        <x:v>292.3250086117809</x:v>
      </x:c>
      <x:c r="H1678" s="43" t="n">
        <x:v>15599.082495914487</x:v>
      </x:c>
      <x:c r="I1678" s="43" t="n">
        <x:v>17994</x:v>
      </x:c>
      <x:c r="J1678" s="43" t="n">
        <x:v>1847</x:v>
      </x:c>
      <x:c r="K1678" s="43" t="n">
        <x:v>194.51361156053954</x:v>
      </x:c>
      <x:c r="L1678" s="43" t="n">
        <x:v>79.25996142581008</x:v>
      </x:c>
    </x:row>
    <x:row r="1679" ht="15" hidden="0" customHeight="1">
      <x:c r="A1679" s="29" t="str">
        <x:v>28031</x:v>
      </x:c>
      <x:c r="B1679" s="29" t="str">
        <x:v>SCA-20</x:v>
      </x:c>
      <x:c r="C1679" s="44" t="n">
        <x:v>17898</x:v>
      </x:c>
      <x:c r="D1679" s="44" t="n">
        <x:v>247.02306972846586</x:v>
      </x:c>
      <x:c r="E1679" s="44" t="n">
        <x:v>3068.400335889828</x:v>
      </x:c>
      <x:c r="F1679" s="44" t="n">
        <x:v>182.3582806854535</x:v>
      </x:c>
      <x:c r="G1679" s="44" t="n">
        <x:v>1383.268879807423</x:v>
      </x:c>
      <x:c r="H1679" s="44" t="n">
        <x:v>13016.949433888829</x:v>
      </x:c>
      <x:c r="I1679" s="44" t="n">
        <x:v>17898</x:v>
      </x:c>
      <x:c r="J1679" s="44" t="n">
        <x:v>3190</x:v>
      </x:c>
      <x:c r="K1679" s="44" t="n">
        <x:v>301.53133641850985</x:v>
      </x:c>
      <x:c r="L1679" s="44" t="n">
        <x:v>119.17305573305633</x:v>
      </x:c>
    </x:row>
    <x:row r="1680" ht="15" hidden="0" customHeight="1">
      <x:c r="A1680" s="27" t="str">
        <x:v>05003</x:v>
      </x:c>
      <x:c r="B1680" s="27" t="str">
        <x:v>SCA-20</x:v>
      </x:c>
      <x:c r="C1680" s="43" t="n">
        <x:v>17831</x:v>
      </x:c>
      <x:c r="D1680" s="43" t="n">
        <x:v>286.43780955679546</x:v>
      </x:c>
      <x:c r="E1680" s="43" t="n">
        <x:v>4322.609789473684</x:v>
      </x:c>
      <x:c r="F1680" s="43" t="n">
        <x:v>170.59780952983726</x:v>
      </x:c>
      <x:c r="G1680" s="43" t="n">
        <x:v>905.1959429824561</x:v>
      </x:c>
      <x:c r="H1680" s="43" t="n">
        <x:v>12146.158648457227</x:v>
      </x:c>
      <x:c r="I1680" s="43" t="n">
        <x:v>17831</x:v>
      </x:c>
      <x:c r="J1680" s="43" t="n">
        <x:v>4606</x:v>
      </x:c>
      <x:c r="K1680" s="43" t="n">
        <x:v>276.9268778585626</x:v>
      </x:c>
      <x:c r="L1680" s="43" t="n">
        <x:v>106.32906832872531</x:v>
      </x:c>
    </x:row>
    <x:row r="1681" ht="15" hidden="0" customHeight="1">
      <x:c r="A1681" s="29" t="str">
        <x:v>05047</x:v>
      </x:c>
      <x:c r="B1681" s="29" t="str">
        <x:v>SCA-20</x:v>
      </x:c>
      <x:c r="C1681" s="44" t="n">
        <x:v>17725</x:v>
      </x:c>
      <x:c r="D1681" s="44" t="n">
        <x:v>259.3861351466243</x:v>
      </x:c>
      <x:c r="E1681" s="44" t="n">
        <x:v>3688.539877300613</x:v>
      </x:c>
      <x:c r="F1681" s="44" t="n">
        <x:v>169.58365621201085</x:v>
      </x:c>
      <x:c r="G1681" s="44" t="n">
        <x:v>507.92535787321066</x:v>
      </x:c>
      <x:c r="H1681" s="44" t="n">
        <x:v>13099.56497346754</x:v>
      </x:c>
      <x:c r="I1681" s="44" t="n">
        <x:v>17725</x:v>
      </x:c>
      <x:c r="J1681" s="44" t="n">
        <x:v>3710</x:v>
      </x:c>
      <x:c r="K1681" s="44" t="n">
        <x:v>275.2806298044429</x:v>
      </x:c>
      <x:c r="L1681" s="44" t="n">
        <x:v>105.69697359243207</x:v>
      </x:c>
    </x:row>
    <x:row r="1682" ht="15" hidden="0" customHeight="1">
      <x:c r="A1682" s="27" t="str">
        <x:v>05089</x:v>
      </x:c>
      <x:c r="B1682" s="27" t="str">
        <x:v>SCA-20</x:v>
      </x:c>
      <x:c r="C1682" s="43" t="n">
        <x:v>17593</x:v>
      </x:c>
      <x:c r="D1682" s="43" t="n">
        <x:v>279.78907787994814</x:v>
      </x:c>
      <x:c r="E1682" s="43" t="n">
        <x:v>4197.101787094507</x:v>
      </x:c>
      <x:c r="F1682" s="43" t="n">
        <x:v>168.32074830679304</x:v>
      </x:c>
      <x:c r="G1682" s="43" t="n">
        <x:v>235.21735566225553</x:v>
      </x:c>
      <x:c r="H1682" s="43" t="n">
        <x:v>12712.571031056495</x:v>
      </x:c>
      <x:c r="I1682" s="43" t="n">
        <x:v>17593</x:v>
      </x:c>
      <x:c r="J1682" s="43" t="n">
        <x:v>4244</x:v>
      </x:c>
      <x:c r="K1682" s="43" t="n">
        <x:v>273.23058505780335</x:v>
      </x:c>
      <x:c r="L1682" s="43" t="n">
        <x:v>104.90983675101029</x:v>
      </x:c>
    </x:row>
    <x:row r="1683" ht="15" hidden="0" customHeight="1">
      <x:c r="A1683" s="29" t="str">
        <x:v>28159</x:v>
      </x:c>
      <x:c r="B1683" s="29" t="str">
        <x:v>SCA-20</x:v>
      </x:c>
      <x:c r="C1683" s="44" t="n">
        <x:v>17473</x:v>
      </x:c>
      <x:c r="D1683" s="44" t="n">
        <x:v>280.9889166574587</x:v>
      </x:c>
      <x:c r="E1683" s="44" t="n">
        <x:v>3951.4969192242734</x:v>
      </x:c>
      <x:c r="F1683" s="44" t="n">
        <x:v>178.0280611474427</x:v>
      </x:c>
      <x:c r="G1683" s="44" t="n">
        <x:v>821.3783122706889</x:v>
      </x:c>
      <x:c r="H1683" s="44" t="n">
        <x:v>12241.107790700136</x:v>
      </x:c>
      <x:c r="I1683" s="44" t="n">
        <x:v>17473</x:v>
      </x:c>
      <x:c r="J1683" s="44" t="n">
        <x:v>4045</x:v>
      </x:c>
      <x:c r="K1683" s="44" t="n">
        <x:v>294.37127283722333</x:v>
      </x:c>
      <x:c r="L1683" s="44" t="n">
        <x:v>116.3432116897806</x:v>
      </x:c>
    </x:row>
    <x:row r="1684" ht="15" hidden="0" customHeight="1">
      <x:c r="A1684" s="27" t="str">
        <x:v>28007</x:v>
      </x:c>
      <x:c r="B1684" s="27" t="str">
        <x:v>SCA-20</x:v>
      </x:c>
      <x:c r="C1684" s="43" t="n">
        <x:v>17100</x:v>
      </x:c>
      <x:c r="D1684" s="43" t="n">
        <x:v>228.47819657083647</x:v>
      </x:c>
      <x:c r="E1684" s="43" t="n">
        <x:v>2750.846140381586</x:v>
      </x:c>
      <x:c r="F1684" s="43" t="n">
        <x:v>174.22765670584732</x:v>
      </x:c>
      <x:c r="G1684" s="43" t="n">
        <x:v>1000.995828228018</x:v>
      </x:c>
      <x:c r="H1684" s="43" t="n">
        <x:v>12945.452178113714</x:v>
      </x:c>
      <x:c r="I1684" s="43" t="n">
        <x:v>17100</x:v>
      </x:c>
      <x:c r="J1684" s="43" t="n">
        <x:v>2872</x:v>
      </x:c>
      <x:c r="K1684" s="43" t="n">
        <x:v>288.0872640941177</x:v>
      </x:c>
      <x:c r="L1684" s="43" t="n">
        <x:v>113.85960738827038</x:v>
      </x:c>
    </x:row>
    <x:row r="1685" ht="15" hidden="0" customHeight="1">
      <x:c r="A1685" s="29" t="str">
        <x:v>05043</x:v>
      </x:c>
      <x:c r="B1685" s="29" t="str">
        <x:v>SCA-20</x:v>
      </x:c>
      <x:c r="C1685" s="44" t="n">
        <x:v>17054</x:v>
      </x:c>
      <x:c r="D1685" s="44" t="n">
        <x:v>246.11530712096396</x:v>
      </x:c>
      <x:c r="E1685" s="44" t="n">
        <x:v>3466.070699338222</x:v>
      </x:c>
      <x:c r="F1685" s="44" t="n">
        <x:v>163.16387436048703</x:v>
      </x:c>
      <x:c r="G1685" s="44" t="n">
        <x:v>657.4344482203543</x:v>
      </x:c>
      <x:c r="H1685" s="44" t="n">
        <x:v>12521.215670959975</x:v>
      </x:c>
      <x:c r="I1685" s="44" t="n">
        <x:v>17054</x:v>
      </x:c>
      <x:c r="J1685" s="44" t="n">
        <x:v>3551</x:v>
      </x:c>
      <x:c r="K1685" s="44" t="n">
        <x:v>264.85956900902505</x:v>
      </x:c>
      <x:c r="L1685" s="44" t="n">
        <x:v>101.69569464853802</x:v>
      </x:c>
    </x:row>
    <x:row r="1686" ht="15" hidden="0" customHeight="1">
      <x:c r="A1686" s="27" t="str">
        <x:v>47075</x:v>
      </x:c>
      <x:c r="B1686" s="27" t="str">
        <x:v>SCA-20</x:v>
      </x:c>
      <x:c r="C1686" s="43" t="n">
        <x:v>17042</x:v>
      </x:c>
      <x:c r="D1686" s="43" t="n">
        <x:v>234.3793274104217</x:v>
      </x:c>
      <x:c r="E1686" s="43" t="n">
        <x:v>3823.5056416198363</x:v>
      </x:c>
      <x:c r="F1686" s="43" t="n">
        <x:v>109.15598008203065</x:v>
      </x:c>
      <x:c r="G1686" s="43" t="n">
        <x:v>983.9214413996871</x:v>
      </x:c>
      <x:c r="H1686" s="43" t="n">
        <x:v>11891.037609488023</x:v>
      </x:c>
      <x:c r="I1686" s="43" t="n">
        <x:v>17042</x:v>
      </x:c>
      <x:c r="J1686" s="43" t="n">
        <x:v>4034</x:v>
      </x:c>
      <x:c r="K1686" s="43" t="n">
        <x:v>184.22257242495914</x:v>
      </x:c>
      <x:c r="L1686" s="43" t="n">
        <x:v>75.06659234292849</x:v>
      </x:c>
    </x:row>
    <x:row r="1687" ht="15" hidden="0" customHeight="1">
      <x:c r="A1687" s="29" t="str">
        <x:v>05067</x:v>
      </x:c>
      <x:c r="B1687" s="29" t="str">
        <x:v>SCA-20</x:v>
      </x:c>
      <x:c r="C1687" s="44" t="n">
        <x:v>16741</x:v>
      </x:c>
      <x:c r="D1687" s="44" t="n">
        <x:v>251.36755561794084</x:v>
      </x:c>
      <x:c r="E1687" s="44" t="n">
        <x:v>3636.919905332034</x:v>
      </x:c>
      <x:c r="F1687" s="44" t="n">
        <x:v>160.16925182766</x:v>
      </x:c>
      <x:c r="G1687" s="44" t="n">
        <x:v>766.7384797438397</x:v>
      </x:c>
      <x:c r="H1687" s="44" t="n">
        <x:v>11925.804807478526</x:v>
      </x:c>
      <x:c r="I1687" s="44" t="n">
        <x:v>16741</x:v>
      </x:c>
      <x:c r="J1687" s="44" t="n">
        <x:v>3251</x:v>
      </x:c>
      <x:c r="K1687" s="44" t="n">
        <x:v>259.9984780567661</x:v>
      </x:c>
      <x:c r="L1687" s="44" t="n">
        <x:v>99.82922622910608</x:v>
      </x:c>
    </x:row>
    <x:row r="1688" ht="15" hidden="0" customHeight="1">
      <x:c r="A1688" s="27" t="str">
        <x:v>28017</x:v>
      </x:c>
      <x:c r="B1688" s="27" t="str">
        <x:v>SCA-20</x:v>
      </x:c>
      <x:c r="C1688" s="43" t="n">
        <x:v>16730</x:v>
      </x:c>
      <x:c r="D1688" s="43" t="n">
        <x:v>209.27811415470978</x:v>
      </x:c>
      <x:c r="E1688" s="43" t="n">
        <x:v>2349.1712567575773</x:v>
      </x:c>
      <x:c r="F1688" s="43" t="n">
        <x:v>170.4578185198144</x:v>
      </x:c>
      <x:c r="G1688" s="43" t="n">
        <x:v>1057.347840612282</x:v>
      </x:c>
      <x:c r="H1688" s="43" t="n">
        <x:v>12943.744969955616</x:v>
      </x:c>
      <x:c r="I1688" s="43" t="n">
        <x:v>16730</x:v>
      </x:c>
      <x:c r="J1688" s="43" t="n">
        <x:v>2408</x:v>
      </x:c>
      <x:c r="K1688" s="43" t="n">
        <x:v>281.8537969762918</x:v>
      </x:c>
      <x:c r="L1688" s="43" t="n">
        <x:v>111.3959784564774</x:v>
      </x:c>
    </x:row>
    <x:row r="1689" ht="15" hidden="0" customHeight="1">
      <x:c r="A1689" s="29" t="str">
        <x:v>47181</x:v>
      </x:c>
      <x:c r="B1689" s="29" t="str">
        <x:v>SCA-20</x:v>
      </x:c>
      <x:c r="C1689" s="44" t="n">
        <x:v>16416</x:v>
      </x:c>
      <x:c r="D1689" s="44" t="n">
        <x:v>200.54068857644774</x:v>
      </x:c>
      <x:c r="E1689" s="44" t="n">
        <x:v>3077.5560166435503</x:v>
      </x:c>
      <x:c r="F1689" s="44" t="n">
        <x:v>105.1463777154451</x:v>
      </x:c>
      <x:c r="G1689" s="44" t="n">
        <x:v>527.0887656033287</x:v>
      </x:c>
      <x:c r="H1689" s="44" t="n">
        <x:v>12505.668151461228</x:v>
      </x:c>
      <x:c r="I1689" s="44" t="n">
        <x:v>16416</x:v>
      </x:c>
      <x:c r="J1689" s="44" t="n">
        <x:v>2816</x:v>
      </x:c>
      <x:c r="K1689" s="44" t="n">
        <x:v>177.45556559841154</x:v>
      </x:c>
      <x:c r="L1689" s="44" t="n">
        <x:v>72.30918788296644</x:v>
      </x:c>
    </x:row>
    <x:row r="1690" ht="15" hidden="0" customHeight="1">
      <x:c r="A1690" s="27" t="str">
        <x:v>05075</x:v>
      </x:c>
      <x:c r="B1690" s="27" t="str">
        <x:v>SCA-20</x:v>
      </x:c>
      <x:c r="C1690" s="43" t="n">
        <x:v>16273</x:v>
      </x:c>
      <x:c r="D1690" s="43" t="n">
        <x:v>254.6356058508182</x:v>
      </x:c>
      <x:c r="E1690" s="43" t="n">
        <x:v>3782.331300336616</x:v>
      </x:c>
      <x:c r="F1690" s="43" t="n">
        <x:v>155.69166925461508</x:v>
      </x:c>
      <x:c r="G1690" s="43" t="n">
        <x:v>352.0378381747912</x:v>
      </x:c>
      <x:c r="H1690" s="43" t="n">
        <x:v>11728.30358638316</x:v>
      </x:c>
      <x:c r="I1690" s="43" t="n">
        <x:v>16273</x:v>
      </x:c>
      <x:c r="J1690" s="43" t="n">
        <x:v>3884</x:v>
      </x:c>
      <x:c r="K1690" s="43" t="n">
        <x:v>252.73013759140758</x:v>
      </x:c>
      <x:c r="L1690" s="43" t="n">
        <x:v>97.0384683367925</x:v>
      </x:c>
    </x:row>
    <x:row r="1691" ht="15" hidden="0" customHeight="1">
      <x:c r="A1691" s="29" t="str">
        <x:v>05141</x:v>
      </x:c>
      <x:c r="B1691" s="29" t="str">
        <x:v>SCA-20</x:v>
      </x:c>
      <x:c r="C1691" s="44" t="n">
        <x:v>16238</x:v>
      </x:c>
      <x:c r="D1691" s="44" t="n">
        <x:v>256.54913265310813</x:v>
      </x:c>
      <x:c r="E1691" s="44" t="n">
        <x:v>3833.2649962188048</x:v>
      </x:c>
      <x:c r="F1691" s="44" t="n">
        <x:v>155.35680731004976</x:v>
      </x:c>
      <x:c r="G1691" s="44" t="n">
        <x:v>501.4740357953113</x:v>
      </x:c>
      <x:c r="H1691" s="44" t="n">
        <x:v>11491.355028022726</x:v>
      </x:c>
      <x:c r="I1691" s="44" t="n">
        <x:v>16238</x:v>
      </x:c>
      <x:c r="J1691" s="44" t="n">
        <x:v>3902</x:v>
      </x:c>
      <x:c r="K1691" s="44" t="n">
        <x:v>252.1865651207077</x:v>
      </x:c>
      <x:c r="L1691" s="44" t="n">
        <x:v>96.82975781065794</x:v>
      </x:c>
    </x:row>
    <x:row r="1692" ht="15" hidden="0" customHeight="1">
      <x:c r="A1692" s="27" t="str">
        <x:v>05037</x:v>
      </x:c>
      <x:c r="B1692" s="27" t="str">
        <x:v>SCA-20</x:v>
      </x:c>
      <x:c r="C1692" s="43" t="n">
        <x:v>16186</x:v>
      </x:c>
      <x:c r="D1692" s="43" t="n">
        <x:v>217.73928656664225</x:v>
      </x:c>
      <x:c r="E1692" s="43" t="n">
        <x:v>2909.270711189793</x:v>
      </x:c>
      <x:c r="F1692" s="43" t="n">
        <x:v>154.859298135267</x:v>
      </x:c>
      <x:c r="G1692" s="43" t="n">
        <x:v>1104.1492582870399</x:v>
      </x:c>
      <x:c r="H1692" s="43" t="n">
        <x:v>11799.981445821259</x:v>
      </x:c>
      <x:c r="I1692" s="43" t="n">
        <x:v>16186</x:v>
      </x:c>
      <x:c r="J1692" s="43" t="n">
        <x:v>3067</x:v>
      </x:c>
      <x:c r="K1692" s="43" t="n">
        <x:v>251.37897173566788</x:v>
      </x:c>
      <x:c r="L1692" s="43" t="n">
        <x:v>96.51967360040088</x:v>
      </x:c>
    </x:row>
    <x:row r="1693" ht="15" hidden="0" customHeight="1">
      <x:c r="A1693" s="29" t="str">
        <x:v>47005</x:v>
      </x:c>
      <x:c r="B1693" s="29" t="str">
        <x:v>SCA-20</x:v>
      </x:c>
      <x:c r="C1693" s="44" t="n">
        <x:v>16183</x:v>
      </x:c>
      <x:c r="D1693" s="44" t="n">
        <x:v>220.07704610609224</x:v>
      </x:c>
      <x:c r="E1693" s="44" t="n">
        <x:v>3571.060235917492</x:v>
      </x:c>
      <x:c r="F1693" s="44" t="n">
        <x:v>103.65398578027828</x:v>
      </x:c>
      <x:c r="G1693" s="44" t="n">
        <x:v>389.6899009651171</x:v>
      </x:c>
      <x:c r="H1693" s="44" t="n">
        <x:v>11898.51883123102</x:v>
      </x:c>
      <x:c r="I1693" s="44" t="n">
        <x:v>16183</x:v>
      </x:c>
      <x:c r="J1693" s="44" t="n">
        <x:v>3644</x:v>
      </x:c>
      <x:c r="K1693" s="44" t="n">
        <x:v>174.93685538980836</x:v>
      </x:c>
      <x:c r="L1693" s="44" t="n">
        <x:v>71.28286960953008</x:v>
      </x:c>
    </x:row>
    <x:row r="1694" ht="15" hidden="0" customHeight="1">
      <x:c r="A1694" s="27" t="str">
        <x:v>01057</x:v>
      </x:c>
      <x:c r="B1694" s="27" t="str">
        <x:v>SCA-20</x:v>
      </x:c>
      <x:c r="C1694" s="43" t="n">
        <x:v>15872</x:v>
      </x:c>
      <x:c r="D1694" s="43" t="n">
        <x:v>228.18683388146204</x:v>
      </x:c>
      <x:c r="E1694" s="43" t="n">
        <x:v>3531.9926488939304</x:v>
      </x:c>
      <x:c r="F1694" s="43" t="n">
        <x:v>127.74001251875454</x:v>
      </x:c>
      <x:c r="G1694" s="43" t="n">
        <x:v>628.0019852524106</x:v>
      </x:c>
      <x:c r="H1694" s="43" t="n">
        <x:v>11356.078519453442</x:v>
      </x:c>
      <x:c r="I1694" s="43" t="n">
        <x:v>15872</x:v>
      </x:c>
      <x:c r="J1694" s="43" t="n">
        <x:v>3678</x:v>
      </x:c>
      <x:c r="K1694" s="43" t="n">
        <x:v>208.7604860296361</x:v>
      </x:c>
      <x:c r="L1694" s="43" t="n">
        <x:v>81.02047351088157</x:v>
      </x:c>
    </x:row>
    <x:row r="1695" ht="15" hidden="0" customHeight="1">
      <x:c r="A1695" s="29" t="str">
        <x:v>05001</x:v>
      </x:c>
      <x:c r="B1695" s="29" t="str">
        <x:v>SCA-20</x:v>
      </x:c>
      <x:c r="C1695" s="44" t="n">
        <x:v>15836</x:v>
      </x:c>
      <x:c r="D1695" s="44" t="n">
        <x:v>226.44784151278148</x:v>
      </x:c>
      <x:c r="E1695" s="44" t="n">
        <x:v>3168.366556169429</x:v>
      </x:c>
      <x:c r="F1695" s="44" t="n">
        <x:v>151.51067868961374</x:v>
      </x:c>
      <x:c r="G1695" s="44" t="n">
        <x:v>609.1284530386741</x:v>
      </x:c>
      <x:c r="H1695" s="44" t="n">
        <x:v>11680.546470589501</x:v>
      </x:c>
      <x:c r="I1695" s="44" t="n">
        <x:v>15836</x:v>
      </x:c>
      <x:c r="J1695" s="44" t="n">
        <x:v>3395</x:v>
      </x:c>
      <x:c r="K1695" s="44" t="n">
        <x:v>245.943247028669</x:v>
      </x:c>
      <x:c r="L1695" s="44" t="n">
        <x:v>94.43256833905525</x:v>
      </x:c>
    </x:row>
    <x:row r="1696" ht="15" hidden="0" customHeight="1">
      <x:c r="A1696" s="27" t="str">
        <x:v>28061</x:v>
      </x:c>
      <x:c r="B1696" s="27" t="str">
        <x:v>SCA-20</x:v>
      </x:c>
      <x:c r="C1696" s="43" t="n">
        <x:v>15785</x:v>
      </x:c>
      <x:c r="D1696" s="43" t="n">
        <x:v>250.81751110022984</x:v>
      </x:c>
      <x:c r="E1696" s="43" t="n">
        <x:v>3497.130578512397</x:v>
      </x:c>
      <x:c r="F1696" s="43" t="n">
        <x:v>160.8294480176491</x:v>
      </x:c>
      <x:c r="G1696" s="43" t="n">
        <x:v>756.1443776609066</x:v>
      </x:c>
      <x:c r="H1696" s="43" t="n">
        <x:v>11120.078084708819</x:v>
      </x:c>
      <x:c r="I1696" s="43" t="n">
        <x:v>15785</x:v>
      </x:c>
      <x:c r="J1696" s="43" t="n">
        <x:v>3686</x:v>
      </x:c>
      <x:c r="K1696" s="43" t="n">
        <x:v>265.9331850131958</x:v>
      </x:c>
      <x:c r="L1696" s="43" t="n">
        <x:v>105.10373699554667</x:v>
      </x:c>
    </x:row>
    <x:row r="1697" ht="15" hidden="0" customHeight="1">
      <x:c r="A1697" s="29" t="str">
        <x:v>28051</x:v>
      </x:c>
      <x:c r="B1697" s="29" t="str">
        <x:v>SCA-20</x:v>
      </x:c>
      <x:c r="C1697" s="44" t="n">
        <x:v>15465</x:v>
      </x:c>
      <x:c r="D1697" s="44" t="n">
        <x:v>289.25975689123817</x:v>
      </x:c>
      <x:c r="E1697" s="44" t="n">
        <x:v>4470.881423972732</x:v>
      </x:c>
      <x:c r="F1697" s="44" t="n">
        <x:v>157.5690474243233</x:v>
      </x:c>
      <x:c r="G1697" s="44" t="n">
        <x:v>1173.032380231017</x:v>
      </x:c>
      <x:c r="H1697" s="44" t="n">
        <x:v>9374.25739148069</x:v>
      </x:c>
      <x:c r="I1697" s="44" t="n">
        <x:v>15465</x:v>
      </x:c>
      <x:c r="J1697" s="44" t="n">
        <x:v>4771</x:v>
      </x:c>
      <x:c r="K1697" s="44" t="n">
        <x:v>260.54207831669765</x:v>
      </x:c>
      <x:c r="L1697" s="44" t="n">
        <x:v>102.97303089237435</x:v>
      </x:c>
    </x:row>
    <x:row r="1698" ht="15" hidden="0" customHeight="1">
      <x:c r="A1698" s="27" t="str">
        <x:v>28023</x:v>
      </x:c>
      <x:c r="B1698" s="27" t="str">
        <x:v>SCA-20</x:v>
      </x:c>
      <x:c r="C1698" s="43" t="n">
        <x:v>15102</x:v>
      </x:c>
      <x:c r="D1698" s="43" t="n">
        <x:v>248.18275183858668</x:v>
      </x:c>
      <x:c r="E1698" s="43" t="n">
        <x:v>3543.0417763679616</x:v>
      </x:c>
      <x:c r="F1698" s="43" t="n">
        <x:v>153.87053050126934</x:v>
      </x:c>
      <x:c r="G1698" s="43" t="n">
        <x:v>486.99530795664816</x:v>
      </x:c>
      <x:c r="H1698" s="43" t="n">
        <x:v>10669.909633335534</x:v>
      </x:c>
      <x:c r="I1698" s="43" t="n">
        <x:v>15102</x:v>
      </x:c>
      <x:c r="J1698" s="43" t="n">
        <x:v>3698</x:v>
      </x:c>
      <x:c r="K1698" s="43" t="n">
        <x:v>254.42654165785763</x:v>
      </x:c>
      <x:c r="L1698" s="43" t="n">
        <x:v>100.55601115658827</x:v>
      </x:c>
    </x:row>
    <x:row r="1699" ht="15" hidden="0" customHeight="1">
      <x:c r="A1699" s="29" t="str">
        <x:v>29143</x:v>
      </x:c>
      <x:c r="B1699" s="29" t="str">
        <x:v>SCA-20</x:v>
      </x:c>
      <x:c r="C1699" s="44" t="n">
        <x:v>15086</x:v>
      </x:c>
      <x:c r="D1699" s="44" t="n">
        <x:v>228.83143154253315</x:v>
      </x:c>
      <x:c r="E1699" s="44" t="n">
        <x:v>2936.086985035784</x:v>
      </x:c>
      <x:c r="F1699" s="44" t="n">
        <x:v>90.59424879364916</x:v>
      </x:c>
      <x:c r="G1699" s="44" t="n">
        <x:v>534.5677944046844</x:v>
      </x:c>
      <x:c r="H1699" s="44" t="n">
        <x:v>11295.91954022335</x:v>
      </x:c>
      <x:c r="I1699" s="44" t="n">
        <x:v>15086</x:v>
      </x:c>
      <x:c r="J1699" s="44" t="n">
        <x:v>3116</x:v>
      </x:c>
      <x:c r="K1699" s="44" t="n">
        <x:v>197.08872262635796</x:v>
      </x:c>
      <x:c r="L1699" s="44" t="n">
        <x:v>106.4944738327088</x:v>
      </x:c>
    </x:row>
    <x:row r="1700" ht="15" hidden="0" customHeight="1">
      <x:c r="A1700" s="27" t="str">
        <x:v>29155</x:v>
      </x:c>
      <x:c r="B1700" s="27" t="str">
        <x:v>SCA-20</x:v>
      </x:c>
      <x:c r="C1700" s="43" t="n">
        <x:v>14465</x:v>
      </x:c>
      <x:c r="D1700" s="43" t="n">
        <x:v>234.2904009717392</x:v>
      </x:c>
      <x:c r="E1700" s="43" t="n">
        <x:v>3172.311958217459</x:v>
      </x:c>
      <x:c r="F1700" s="43" t="n">
        <x:v>86.86502776084681</x:v>
      </x:c>
      <x:c r="G1700" s="43" t="n">
        <x:v>921.6195821745913</x:v>
      </x:c>
      <x:c r="H1700" s="43" t="n">
        <x:v>10049.913030875363</x:v>
      </x:c>
      <x:c r="I1700" s="43" t="n">
        <x:v>14465</x:v>
      </x:c>
      <x:c r="J1700" s="43" t="n">
        <x:v>3368</x:v>
      </x:c>
      <x:c r="K1700" s="43" t="n">
        <x:v>188.97576380685854</x:v>
      </x:c>
      <x:c r="L1700" s="43" t="n">
        <x:v>102.11073604601172</x:v>
      </x:c>
    </x:row>
    <x:row r="1701" ht="15" hidden="0" customHeight="1">
      <x:c r="A1701" s="29" t="str">
        <x:v>47161</x:v>
      </x:c>
      <x:c r="B1701" s="29" t="str">
        <x:v>SCA-20</x:v>
      </x:c>
      <x:c r="C1701" s="44" t="n">
        <x:v>14439</x:v>
      </x:c>
      <x:c r="D1701" s="44" t="n">
        <x:v>182.87507142775985</x:v>
      </x:c>
      <x:c r="E1701" s="44" t="n">
        <x:v>2862.580129701686</x:v>
      </x:c>
      <x:c r="F1701" s="44" t="n">
        <x:v>92.48346417113254</x:v>
      </x:c>
      <x:c r="G1701" s="44" t="n">
        <x:v>295.573569678628</x:v>
      </x:c>
      <x:c r="H1701" s="44" t="n">
        <x:v>11005.487765020793</x:v>
      </x:c>
      <x:c r="I1701" s="44" t="n">
        <x:v>14439</x:v>
      </x:c>
      <x:c r="J1701" s="44" t="n">
        <x:v>2866</x:v>
      </x:c>
      <x:c r="K1701" s="44" t="n">
        <x:v>156.0843635279888</x:v>
      </x:c>
      <x:c r="L1701" s="44" t="n">
        <x:v>63.60089935685627</x:v>
      </x:c>
    </x:row>
    <x:row r="1702" ht="15" hidden="0" customHeight="1">
      <x:c r="A1702" s="27" t="str">
        <x:v>05065</x:v>
      </x:c>
      <x:c r="B1702" s="27" t="str">
        <x:v>SCA-20</x:v>
      </x:c>
      <x:c r="C1702" s="43" t="n">
        <x:v>14405</x:v>
      </x:c>
      <x:c r="D1702" s="43" t="n">
        <x:v>222.16189701563252</x:v>
      </x:c>
      <x:c r="E1702" s="43" t="n">
        <x:v>3270.3025827968663</x:v>
      </x:c>
      <x:c r="F1702" s="43" t="n">
        <x:v>137.8196088989572</x:v>
      </x:c>
      <x:c r="G1702" s="43" t="n">
        <x:v>366.8689986814551</x:v>
      </x:c>
      <x:c r="H1702" s="43" t="n">
        <x:v>10407.846912607089</x:v>
      </x:c>
      <x:c r="I1702" s="43" t="n">
        <x:v>14405</x:v>
      </x:c>
      <x:c r="J1702" s="43" t="n">
        <x:v>3049</x:v>
      </x:c>
      <x:c r="K1702" s="43" t="n">
        <x:v>223.7188982980536</x:v>
      </x:c>
      <x:c r="L1702" s="43" t="n">
        <x:v>85.89928939909642</x:v>
      </x:c>
    </x:row>
    <x:row r="1703" ht="15" hidden="0" customHeight="1">
      <x:c r="A1703" s="29" t="str">
        <x:v>05107</x:v>
      </x:c>
      <x:c r="B1703" s="29" t="str">
        <x:v>SCA-20</x:v>
      </x:c>
      <x:c r="C1703" s="44" t="n">
        <x:v>14255</x:v>
      </x:c>
      <x:c r="D1703" s="44" t="n">
        <x:v>227.20044570388706</x:v>
      </x:c>
      <x:c r="E1703" s="44" t="n">
        <x:v>3412.6951197173885</x:v>
      </x:c>
      <x:c r="F1703" s="44" t="n">
        <x:v>136.38448627939152</x:v>
      </x:c>
      <x:c r="G1703" s="44" t="n">
        <x:v>1349.6174277116318</x:v>
      </x:c>
      <x:c r="H1703" s="44" t="n">
        <x:v>9129.102520587701</x:v>
      </x:c>
      <x:c r="I1703" s="44" t="n">
        <x:v>14255</x:v>
      </x:c>
      <x:c r="J1703" s="44" t="n">
        <x:v>3812</x:v>
      </x:c>
      <x:c r="K1703" s="44" t="n">
        <x:v>221.3893019950541</x:v>
      </x:c>
      <x:c r="L1703" s="44" t="n">
        <x:v>85.00481571566257</x:v>
      </x:c>
    </x:row>
    <x:row r="1704" ht="15" hidden="0" customHeight="1">
      <x:c r="A1704" s="27" t="str">
        <x:v>05021</x:v>
      </x:c>
      <x:c r="B1704" s="27" t="str">
        <x:v>SCA-20</x:v>
      </x:c>
      <x:c r="C1704" s="43" t="n">
        <x:v>14052</x:v>
      </x:c>
      <x:c r="D1704" s="43" t="n">
        <x:v>207.2773602956982</x:v>
      </x:c>
      <x:c r="E1704" s="43" t="n">
        <x:v>2963.5935751587863</x:v>
      </x:c>
      <x:c r="F1704" s="43" t="n">
        <x:v>134.44228700091261</x:v>
      </x:c>
      <x:c r="G1704" s="43" t="n">
        <x:v>596.5473888496824</x:v>
      </x:c>
      <x:c r="H1704" s="43" t="n">
        <x:v>10150.139388694919</x:v>
      </x:c>
      <x:c r="I1704" s="43" t="n">
        <x:v>14052</x:v>
      </x:c>
      <x:c r="J1704" s="43" t="n">
        <x:v>3113</x:v>
      </x:c>
      <x:c r="K1704" s="43" t="n">
        <x:v>218.23658166499473</x:v>
      </x:c>
      <x:c r="L1704" s="43" t="n">
        <x:v>83.79429466408212</x:v>
      </x:c>
    </x:row>
    <x:row r="1705" ht="15" hidden="0" customHeight="1">
      <x:c r="A1705" s="29" t="str">
        <x:v>47033</x:v>
      </x:c>
      <x:c r="B1705" s="29" t="str">
        <x:v>SCA-20</x:v>
      </x:c>
      <x:c r="C1705" s="44" t="n">
        <x:v>14006</x:v>
      </x:c>
      <x:c r="D1705" s="44" t="n">
        <x:v>162.05277905612175</x:v>
      </x:c>
      <x:c r="E1705" s="44" t="n">
        <x:v>2408.6197887375242</x:v>
      </x:c>
      <x:c r="F1705" s="44" t="n">
        <x:v>89.71004911565083</x:v>
      </x:c>
      <x:c r="G1705" s="44" t="n">
        <x:v>570.5004735193414</x:v>
      </x:c>
      <x:c r="H1705" s="44" t="n">
        <x:v>10775.116909571361</x:v>
      </x:c>
      <x:c r="I1705" s="44" t="n">
        <x:v>14006</x:v>
      </x:c>
      <x:c r="J1705" s="44" t="n">
        <x:v>2459</x:v>
      </x:c>
      <x:c r="K1705" s="44" t="n">
        <x:v>151.40367030770906</x:v>
      </x:c>
      <x:c r="L1705" s="44" t="n">
        <x:v>61.69362119205823</x:v>
      </x:c>
    </x:row>
    <x:row r="1706" ht="15" hidden="0" customHeight="1">
      <x:c r="A1706" s="27" t="str">
        <x:v>28129</x:v>
      </x:c>
      <x:c r="B1706" s="27" t="str">
        <x:v>SCA-20</x:v>
      </x:c>
      <x:c r="C1706" s="43" t="n">
        <x:v>13991</x:v>
      </x:c>
      <x:c r="D1706" s="43" t="n">
        <x:v>210.16501395751294</x:v>
      </x:c>
      <x:c r="E1706" s="43" t="n">
        <x:v>2808.1571532690245</x:v>
      </x:c>
      <x:c r="F1706" s="43" t="n">
        <x:v>142.55082719131636</x:v>
      </x:c>
      <x:c r="G1706" s="43" t="n">
        <x:v>242.02315112540194</x:v>
      </x:c>
      <x:c r="H1706" s="43" t="n">
        <x:v>10588.103854456744</x:v>
      </x:c>
      <x:c r="I1706" s="43" t="n">
        <x:v>13991</x:v>
      </x:c>
      <x:c r="J1706" s="43" t="n">
        <x:v>2926</x:v>
      </x:c>
      <x:c r="K1706" s="43" t="n">
        <x:v>235.70929309595326</x:v>
      </x:c>
      <x:c r="L1706" s="43" t="n">
        <x:v>93.1584659046369</x:v>
      </x:c>
    </x:row>
    <x:row r="1707" ht="15" hidden="0" customHeight="1">
      <x:c r="A1707" s="29" t="str">
        <x:v>28147</x:v>
      </x:c>
      <x:c r="B1707" s="29" t="str">
        <x:v>SCA-20</x:v>
      </x:c>
      <x:c r="C1707" s="44" t="n">
        <x:v>13928</x:v>
      </x:c>
      <x:c r="D1707" s="44" t="n">
        <x:v>224.10141482258564</x:v>
      </x:c>
      <x:c r="E1707" s="44" t="n">
        <x:v>3152.6983603682593</x:v>
      </x:c>
      <x:c r="F1707" s="44" t="n">
        <x:v>141.90893582450536</x:v>
      </x:c>
      <x:c r="G1707" s="44" t="n">
        <x:v>279.70144673388864</x:v>
      </x:c>
      <x:c r="H1707" s="44" t="n">
        <x:v>10129.589842250762</x:v>
      </x:c>
      <x:c r="I1707" s="44" t="n">
        <x:v>13928</x:v>
      </x:c>
      <x:c r="J1707" s="44" t="n">
        <x:v>3227</x:v>
      </x:c>
      <x:c r="K1707" s="44" t="n">
        <x:v>234.6479189650802</x:v>
      </x:c>
      <x:c r="L1707" s="44" t="n">
        <x:v>92.73898314057485</x:v>
      </x:c>
    </x:row>
    <x:row r="1708" ht="15" hidden="0" customHeight="1">
      <x:c r="A1708" s="27" t="str">
        <x:v>28041</x:v>
      </x:c>
      <x:c r="B1708" s="27" t="str">
        <x:v>SCA-20</x:v>
      </x:c>
      <x:c r="C1708" s="43" t="n">
        <x:v>13707</x:v>
      </x:c>
      <x:c r="D1708" s="43" t="n">
        <x:v>240.68240170777577</x:v>
      </x:c>
      <x:c r="E1708" s="43" t="n">
        <x:v>3585.9584992729033</x:v>
      </x:c>
      <x:c r="F1708" s="43" t="n">
        <x:v>139.65722166473972</x:v>
      </x:c>
      <x:c r="G1708" s="43" t="n">
        <x:v>403.75375666505084</x:v>
      </x:c>
      <x:c r="H1708" s="43" t="n">
        <x:v>9336.94812068953</x:v>
      </x:c>
      <x:c r="I1708" s="43" t="n">
        <x:v>13707</x:v>
      </x:c>
      <x:c r="J1708" s="43" t="n">
        <x:v>2811</x:v>
      </x:c>
      <x:c r="K1708" s="43" t="n">
        <x:v>230.9246859028112</x:v>
      </x:c>
      <x:c r="L1708" s="43" t="n">
        <x:v>91.26746423807147</x:v>
      </x:c>
    </x:row>
    <x:row r="1709" ht="15" hidden="0" customHeight="1">
      <x:c r="A1709" s="29" t="str">
        <x:v>01075</x:v>
      </x:c>
      <x:c r="B1709" s="29" t="str">
        <x:v>SCA-20</x:v>
      </x:c>
      <x:c r="C1709" s="44" t="n">
        <x:v>13587</x:v>
      </x:c>
      <x:c r="D1709" s="44" t="n">
        <x:v>192.1821850653124</x:v>
      </x:c>
      <x:c r="E1709" s="44" t="n">
        <x:v>2947.8182476274555</x:v>
      </x:c>
      <x:c r="F1709" s="44" t="n">
        <x:v>109.35002205722766</x:v>
      </x:c>
      <x:c r="G1709" s="44" t="n">
        <x:v>372.2946369454866</x:v>
      </x:c>
      <x:c r="H1709" s="44" t="n">
        <x:v>9965.354908304516</x:v>
      </x:c>
      <x:c r="I1709" s="44" t="n">
        <x:v>13587</x:v>
      </x:c>
      <x:c r="J1709" s="44" t="n">
        <x:v>3072</x:v>
      </x:c>
      <x:c r="K1709" s="44" t="n">
        <x:v>178.70644680472944</x:v>
      </x:c>
      <x:c r="L1709" s="44" t="n">
        <x:v>69.35642474750176</x:v>
      </x:c>
    </x:row>
    <x:row r="1710" ht="15" hidden="0" customHeight="1">
      <x:c r="A1710" s="27" t="str">
        <x:v>47101</x:v>
      </x:c>
      <x:c r="B1710" s="27" t="str">
        <x:v>SCA-20</x:v>
      </x:c>
      <x:c r="C1710" s="43" t="n">
        <x:v>13487</x:v>
      </x:c>
      <x:c r="D1710" s="43" t="n">
        <x:v>165.4817568534954</x:v>
      </x:c>
      <x:c r="E1710" s="43" t="n">
        <x:v>2545.7814379084966</x:v>
      </x:c>
      <x:c r="F1710" s="43" t="n">
        <x:v>86.38579411843372</x:v>
      </x:c>
      <x:c r="G1710" s="43" t="n">
        <x:v>174.33278867102396</x:v>
      </x:c>
      <x:c r="H1710" s="43" t="n">
        <x:v>10515.01822244855</x:v>
      </x:c>
      <x:c r="I1710" s="43" t="n">
        <x:v>13487</x:v>
      </x:c>
      <x:c r="J1710" s="43" t="n">
        <x:v>2527</x:v>
      </x:c>
      <x:c r="K1710" s="43" t="n">
        <x:v>145.7933243924084</x:v>
      </x:c>
      <x:c r="L1710" s="43" t="n">
        <x:v>59.407530273974686</x:v>
      </x:c>
    </x:row>
    <x:row r="1711" ht="15" hidden="0" customHeight="1">
      <x:c r="A1711" s="29" t="str">
        <x:v>05079</x:v>
      </x:c>
      <x:c r="B1711" s="29" t="str">
        <x:v>SCA-20</x:v>
      </x:c>
      <x:c r="C1711" s="44" t="n">
        <x:v>12764</x:v>
      </x:c>
      <x:c r="D1711" s="44" t="n">
        <x:v>171.1726140992501</x:v>
      </x:c>
      <x:c r="E1711" s="44" t="n">
        <x:v>2281.4128031260775</x:v>
      </x:c>
      <x:c r="F1711" s="44" t="n">
        <x:v>122.11936744090869</x:v>
      </x:c>
      <x:c r="G1711" s="44" t="n">
        <x:v>340.9882772095161</x:v>
      </x:c>
      <x:c r="H1711" s="44" t="n">
        <x:v>9848.306938124246</x:v>
      </x:c>
      <x:c r="I1711" s="44" t="n">
        <x:v>12764</x:v>
      </x:c>
      <x:c r="J1711" s="44" t="n">
        <x:v>1620</x:v>
      </x:c>
      <x:c r="K1711" s="44" t="n">
        <x:v>198.2331147432389</x:v>
      </x:c>
      <x:c r="L1711" s="44" t="n">
        <x:v>76.11374730233021</x:v>
      </x:c>
    </x:row>
    <x:row r="1712" ht="15" hidden="0" customHeight="1">
      <x:c r="A1712" s="27" t="str">
        <x:v>05137</x:v>
      </x:c>
      <x:c r="B1712" s="27" t="str">
        <x:v>SCA-20</x:v>
      </x:c>
      <x:c r="C1712" s="43" t="n">
        <x:v>12703</x:v>
      </x:c>
      <x:c r="D1712" s="43" t="n">
        <x:v>219.75128416585463</x:v>
      </x:c>
      <x:c r="E1712" s="43" t="n">
        <x:v>3456.0309478749</x:v>
      </x:c>
      <x:c r="F1712" s="43" t="n">
        <x:v>121.53575090895198</x:v>
      </x:c>
      <x:c r="G1712" s="43" t="n">
        <x:v>517.0267842822775</x:v>
      </x:c>
      <x:c r="H1712" s="43" t="n">
        <x:v>8388.655232768017</x:v>
      </x:c>
      <x:c r="I1712" s="43" t="n">
        <x:v>12703</x:v>
      </x:c>
      <x:c r="J1712" s="43" t="n">
        <x:v>3534</x:v>
      </x:c>
      <x:c r="K1712" s="43" t="n">
        <x:v>197.2857455800191</x:v>
      </x:c>
      <x:c r="L1712" s="43" t="n">
        <x:v>75.74999467106711</x:v>
      </x:c>
    </x:row>
    <x:row r="1713" ht="15" hidden="0" customHeight="1">
      <x:c r="A1713" s="29" t="str">
        <x:v>28013</x:v>
      </x:c>
      <x:c r="B1713" s="29" t="str">
        <x:v>SCA-20</x:v>
      </x:c>
      <x:c r="C1713" s="44" t="n">
        <x:v>12643</x:v>
      </x:c>
      <x:c r="D1713" s="44" t="n">
        <x:v>197.77325997088835</x:v>
      </x:c>
      <x:c r="E1713" s="44" t="n">
        <x:v>2726.1694446207553</x:v>
      </x:c>
      <x:c r="F1713" s="44" t="n">
        <x:v>128.81638969193145</x:v>
      </x:c>
      <x:c r="G1713" s="44" t="n">
        <x:v>410.9560456997779</x:v>
      </x:c>
      <x:c r="H1713" s="44" t="n">
        <x:v>9179.284860016647</x:v>
      </x:c>
      <x:c r="I1713" s="44" t="n">
        <x:v>12643</x:v>
      </x:c>
      <x:c r="J1713" s="44" t="n">
        <x:v>2831</x:v>
      </x:c>
      <x:c r="K1713" s="44" t="n">
        <x:v>212.99925613695498</x:v>
      </x:c>
      <x:c r="L1713" s="44" t="n">
        <x:v>84.18286644502354</x:v>
      </x:c>
    </x:row>
    <x:row r="1714" ht="15" hidden="0" customHeight="1">
      <x:c r="A1714" s="27" t="str">
        <x:v>05049</x:v>
      </x:c>
      <x:c r="B1714" s="27" t="str">
        <x:v>SCA-20</x:v>
      </x:c>
      <x:c r="C1714" s="43" t="n">
        <x:v>12492</x:v>
      </x:c>
      <x:c r="D1714" s="43" t="n">
        <x:v>204.88061628263748</x:v>
      </x:c>
      <x:c r="E1714" s="43" t="n">
        <x:v>3129.3323502304147</x:v>
      </x:c>
      <x:c r="F1714" s="43" t="n">
        <x:v>119.51701175742959</x:v>
      </x:c>
      <x:c r="G1714" s="43" t="n">
        <x:v>234.28052995391704</x:v>
      </x:c>
      <x:c r="H1714" s="43" t="n">
        <x:v>8803.989491775601</x:v>
      </x:c>
      <x:c r="I1714" s="43" t="n">
        <x:v>12492</x:v>
      </x:c>
      <x:c r="J1714" s="43" t="n">
        <x:v>3171</x:v>
      </x:c>
      <x:c r="K1714" s="43" t="n">
        <x:v>194.00878011379976</x:v>
      </x:c>
      <x:c r="L1714" s="43" t="n">
        <x:v>74.49176835637017</x:v>
      </x:c>
    </x:row>
    <x:row r="1715" ht="15" hidden="0" customHeight="1">
      <x:c r="A1715" s="29" t="str">
        <x:v>28005</x:v>
      </x:c>
      <x:c r="B1715" s="29" t="str">
        <x:v>SCA-20</x:v>
      </x:c>
      <x:c r="C1715" s="44" t="n">
        <x:v>12487</x:v>
      </x:c>
      <x:c r="D1715" s="44" t="n">
        <x:v>203.92530612823424</x:v>
      </x:c>
      <x:c r="E1715" s="44" t="n">
        <x:v>2898.7478138041733</x:v>
      </x:c>
      <x:c r="F1715" s="44" t="n">
        <x:v>127.22694440268513</x:v>
      </x:c>
      <x:c r="G1715" s="44" t="n">
        <x:v>362.79209470304977</x:v>
      </x:c>
      <x:c r="H1715" s="44" t="n">
        <x:v>8894.307840961857</x:v>
      </x:c>
      <x:c r="I1715" s="44" t="n">
        <x:v>12487</x:v>
      </x:c>
      <x:c r="J1715" s="44" t="n">
        <x:v>3013</x:v>
      </x:c>
      <x:c r="K1715" s="44" t="n">
        <x:v>210.37109162241217</x:v>
      </x:c>
      <x:c r="L1715" s="44" t="n">
        <x:v>83.14414721972703</x:v>
      </x:c>
    </x:row>
    <x:row r="1716" ht="15" hidden="0" customHeight="1">
      <x:c r="A1716" s="27" t="str">
        <x:v>28161</x:v>
      </x:c>
      <x:c r="B1716" s="27" t="str">
        <x:v>SCA-20</x:v>
      </x:c>
      <x:c r="C1716" s="43" t="n">
        <x:v>12375</x:v>
      </x:c>
      <x:c r="D1716" s="43" t="n">
        <x:v>182.1378124276745</x:v>
      </x:c>
      <x:c r="E1716" s="43" t="n">
        <x:v>2393.745896257387</x:v>
      </x:c>
      <x:c r="F1716" s="43" t="n">
        <x:v>126.0858041950211</x:v>
      </x:c>
      <x:c r="G1716" s="43" t="n">
        <x:v>440.7754432042022</x:v>
      </x:c>
      <x:c r="H1716" s="43" t="n">
        <x:v>9232.255043915715</x:v>
      </x:c>
      <x:c r="I1716" s="43" t="n">
        <x:v>12375</x:v>
      </x:c>
      <x:c r="J1716" s="43" t="n">
        <x:v>2455</x:v>
      </x:c>
      <x:c r="K1716" s="43" t="n">
        <x:v>208.4842042786378</x:v>
      </x:c>
      <x:c r="L1716" s="43" t="n">
        <x:v>82.39840008361672</x:v>
      </x:c>
    </x:row>
    <x:row r="1717" ht="15" hidden="0" customHeight="1">
      <x:c r="A1717" s="29" t="str">
        <x:v>29133</x:v>
      </x:c>
      <x:c r="B1717" s="29" t="str">
        <x:v>SCA-20</x:v>
      </x:c>
      <x:c r="C1717" s="44" t="n">
        <x:v>12003</x:v>
      </x:c>
      <x:c r="D1717" s="44" t="n">
        <x:v>214.02928343200557</x:v>
      </x:c>
      <x:c r="E1717" s="44" t="n">
        <x:v>3103.156728794218</x:v>
      </x:c>
      <x:c r="F1717" s="44" t="n">
        <x:v>72.08025774030033</x:v>
      </x:c>
      <x:c r="G1717" s="44" t="n">
        <x:v>661.6453023963484</x:v>
      </x:c>
      <x:c r="H1717" s="44" t="n">
        <x:v>7952.088427637127</x:v>
      </x:c>
      <x:c r="I1717" s="44" t="n">
        <x:v>12003</x:v>
      </x:c>
      <x:c r="J1717" s="44" t="n">
        <x:v>2832</x:v>
      </x:c>
      <x:c r="K1717" s="44" t="n">
        <x:v>156.81134413921347</x:v>
      </x:c>
      <x:c r="L1717" s="44" t="n">
        <x:v>84.73108639891315</x:v>
      </x:c>
    </x:row>
    <x:row r="1718" ht="15" hidden="0" customHeight="1">
      <x:c r="A1718" s="27" t="str">
        <x:v>01023</x:v>
      </x:c>
      <x:c r="B1718" s="27" t="str">
        <x:v>SCA-20</x:v>
      </x:c>
      <x:c r="C1718" s="43" t="n">
        <x:v>11904</x:v>
      </x:c>
      <x:c r="D1718" s="43" t="n">
        <x:v>171.50836320359406</x:v>
      </x:c>
      <x:c r="E1718" s="43" t="n">
        <x:v>2657.8321936903885</x:v>
      </x:c>
      <x:c r="F1718" s="43" t="n">
        <x:v>95.80500938906589</x:v>
      </x:c>
      <x:c r="G1718" s="43" t="n">
        <x:v>521.4651504035218</x:v>
      </x:c>
      <x:c r="H1718" s="43" t="n">
        <x:v>8457.38928331343</x:v>
      </x:c>
      <x:c r="I1718" s="43" t="n">
        <x:v>11904</x:v>
      </x:c>
      <x:c r="J1718" s="43" t="n">
        <x:v>2853</x:v>
      </x:c>
      <x:c r="K1718" s="43" t="n">
        <x:v>156.57036452222707</x:v>
      </x:c>
      <x:c r="L1718" s="43" t="n">
        <x:v>60.76535513316118</x:v>
      </x:c>
    </x:row>
    <x:row r="1719" ht="15" hidden="0" customHeight="1">
      <x:c r="A1719" s="29" t="str">
        <x:v>47039</x:v>
      </x:c>
      <x:c r="B1719" s="29" t="str">
        <x:v>SCA-20</x:v>
      </x:c>
      <x:c r="C1719" s="44" t="n">
        <x:v>11820</x:v>
      </x:c>
      <x:c r="D1719" s="44" t="n">
        <x:v>138.4923206281807</x:v>
      </x:c>
      <x:c r="E1719" s="44" t="n">
        <x:v>2074.2621851689337</x:v>
      </x:c>
      <x:c r="F1719" s="44" t="n">
        <x:v>75.70846641060922</x:v>
      </x:c>
      <x:c r="G1719" s="44" t="n">
        <x:v>331.7834137779728</x:v>
      </x:c>
      <x:c r="H1719" s="44" t="n">
        <x:v>9199.753614014304</x:v>
      </x:c>
      <x:c r="I1719" s="44" t="n">
        <x:v>11820</x:v>
      </x:c>
      <x:c r="J1719" s="44" t="n">
        <x:v>2083</x:v>
      </x:c>
      <x:c r="K1719" s="44" t="n">
        <x:v>127.77319599008433</x:v>
      </x:c>
      <x:c r="L1719" s="44" t="n">
        <x:v>52.064729579475106</x:v>
      </x:c>
    </x:row>
    <x:row r="1720" ht="15" hidden="0" customHeight="1">
      <x:c r="A1720" s="27" t="str">
        <x:v>28077</x:v>
      </x:c>
      <x:c r="B1720" s="27" t="str">
        <x:v>SCA-20</x:v>
      </x:c>
      <x:c r="C1720" s="43" t="n">
        <x:v>11819</x:v>
      </x:c>
      <x:c r="D1720" s="43" t="n">
        <x:v>217.77653685216035</x:v>
      </x:c>
      <x:c r="E1720" s="43" t="n">
        <x:v>3337.925726947333</x:v>
      </x:c>
      <x:c r="F1720" s="43" t="n">
        <x:v>120.42085816411752</x:v>
      </x:c>
      <x:c r="G1720" s="43" t="n">
        <x:v>153.8670530083518</x:v>
      </x:c>
      <x:c r="H1720" s="43" t="n">
        <x:v>7989.009825028038</x:v>
      </x:c>
      <x:c r="I1720" s="43" t="n">
        <x:v>11819</x:v>
      </x:c>
      <x:c r="J1720" s="43" t="n">
        <x:v>3452</x:v>
      </x:c>
      <x:c r="K1720" s="43" t="n">
        <x:v>199.11715639347236</x:v>
      </x:c>
      <x:c r="L1720" s="43" t="n">
        <x:v>78.69629822935484</x:v>
      </x:c>
    </x:row>
    <x:row r="1721" ht="15" hidden="0" customHeight="1">
      <x:c r="A1721" s="29" t="str">
        <x:v>01119</x:v>
      </x:c>
      <x:c r="B1721" s="29" t="str">
        <x:v>SCA-20</x:v>
      </x:c>
      <x:c r="C1721" s="44" t="n">
        <x:v>11588</x:v>
      </x:c>
      <x:c r="D1721" s="44" t="n">
        <x:v>157.7248378460576</x:v>
      </x:c>
      <x:c r="E1721" s="44" t="n">
        <x:v>2365.740996847576</x:v>
      </x:c>
      <x:c r="F1721" s="44" t="n">
        <x:v>93.26179845434271</x:v>
      </x:c>
      <x:c r="G1721" s="44" t="n">
        <x:v>720.0216835647951</x:v>
      </x:c>
      <x:c r="H1721" s="44" t="n">
        <x:v>8251.250683287228</x:v>
      </x:c>
      <x:c r="I1721" s="44" t="n">
        <x:v>11588</x:v>
      </x:c>
      <x:c r="J1721" s="44" t="n">
        <x:v>2496</x:v>
      </x:c>
      <x:c r="K1721" s="44" t="n">
        <x:v>152.41409476508463</x:v>
      </x:c>
      <x:c r="L1721" s="44" t="n">
        <x:v>59.15229631074191</x:v>
      </x:c>
    </x:row>
    <x:row r="1722" ht="15" hidden="0" customHeight="1">
      <x:c r="A1722" s="27" t="str">
        <x:v>28111</x:v>
      </x:c>
      <x:c r="B1722" s="27" t="str">
        <x:v>SCA-20</x:v>
      </x:c>
      <x:c r="C1722" s="43" t="n">
        <x:v>11577</x:v>
      </x:c>
      <x:c r="D1722" s="43" t="n">
        <x:v>202.1609549649263</x:v>
      </x:c>
      <x:c r="E1722" s="43" t="n">
        <x:v>3001.8240774262927</x:v>
      </x:c>
      <x:c r="F1722" s="43" t="n">
        <x:v>117.95518021541488</x:v>
      </x:c>
      <x:c r="G1722" s="43" t="n">
        <x:v>165.68823371269826</x:v>
      </x:c>
      <x:c r="H1722" s="43" t="n">
        <x:v>8089.371553680667</x:v>
      </x:c>
      <x:c r="I1722" s="43" t="n">
        <x:v>11577</x:v>
      </x:c>
      <x:c r="J1722" s="43" t="n">
        <x:v>3014</x:v>
      </x:c>
      <x:c r="K1722" s="43" t="n">
        <x:v>195.04013195424565</x:v>
      </x:c>
      <x:c r="L1722" s="43" t="n">
        <x:v>77.08495173883077</x:v>
      </x:c>
    </x:row>
    <x:row r="1723" ht="15" hidden="0" customHeight="1">
      <x:c r="A1723" s="29" t="str">
        <x:v>28065</x:v>
      </x:c>
      <x:c r="B1723" s="29" t="str">
        <x:v>SCA-20</x:v>
      </x:c>
      <x:c r="C1723" s="44" t="n">
        <x:v>10941</x:v>
      </x:c>
      <x:c r="D1723" s="44" t="n">
        <x:v>174.19964244173732</x:v>
      </x:c>
      <x:c r="E1723" s="44" t="n">
        <x:v>2432.3872579910753</x:v>
      </x:c>
      <x:c r="F1723" s="44" t="n">
        <x:v>111.47513403617985</x:v>
      </x:c>
      <x:c r="G1723" s="44" t="n">
        <x:v>319.6619615699845</x:v>
      </x:c>
      <x:c r="H1723" s="44" t="n">
        <x:v>7903.276003961023</x:v>
      </x:c>
      <x:c r="I1723" s="44" t="n">
        <x:v>10941</x:v>
      </x:c>
      <x:c r="J1723" s="44" t="n">
        <x:v>2543</x:v>
      </x:c>
      <x:c r="K1723" s="44" t="n">
        <x:v>184.32530739495567</x:v>
      </x:c>
      <x:c r="L1723" s="44" t="n">
        <x:v>72.8501733587758</x:v>
      </x:c>
    </x:row>
    <x:row r="1724" ht="15" hidden="0" customHeight="1">
      <x:c r="A1724" s="27" t="str">
        <x:v>28135</x:v>
      </x:c>
      <x:c r="B1724" s="27" t="str">
        <x:v>SCA-20</x:v>
      </x:c>
      <x:c r="C1724" s="43" t="n">
        <x:v>10877</x:v>
      </x:c>
      <x:c r="D1724" s="43" t="n">
        <x:v>144.17653146555594</x:v>
      </x:c>
      <x:c r="E1724" s="43" t="n">
        <x:v>1722.05998385795</x:v>
      </x:c>
      <x:c r="F1724" s="43" t="n">
        <x:v>110.8230539175147</x:v>
      </x:c>
      <x:c r="G1724" s="43" t="n">
        <x:v>644.2658057573312</x:v>
      </x:c>
      <x:c r="H1724" s="43" t="n">
        <x:v>8255.674625001648</x:v>
      </x:c>
      <x:c r="I1724" s="43" t="n">
        <x:v>10877</x:v>
      </x:c>
      <x:c r="J1724" s="43" t="n">
        <x:v>1839</x:v>
      </x:c>
      <x:c r="K1724" s="43" t="n">
        <x:v>183.24708605565604</x:v>
      </x:c>
      <x:c r="L1724" s="43" t="n">
        <x:v>72.42403213814134</x:v>
      </x:c>
    </x:row>
    <x:row r="1725" ht="15" hidden="0" customHeight="1">
      <x:c r="A1725" s="29" t="str">
        <x:v>29181</x:v>
      </x:c>
      <x:c r="B1725" s="29" t="str">
        <x:v>SCA-20</x:v>
      </x:c>
      <x:c r="C1725" s="44" t="n">
        <x:v>10717</x:v>
      </x:c>
      <x:c r="D1725" s="44" t="n">
        <x:v>187.82192758212258</x:v>
      </x:c>
      <x:c r="E1725" s="44" t="n">
        <x:v>2692.0540741435943</x:v>
      </x:c>
      <x:c r="F1725" s="44" t="n">
        <x:v>64.35758745336989</x:v>
      </x:c>
      <x:c r="G1725" s="44" t="n">
        <x:v>345.5425621773815</x:v>
      </x:c>
      <x:c r="H1725" s="44" t="n">
        <x:v>7427.223848643532</x:v>
      </x:c>
      <x:c r="I1725" s="44" t="n">
        <x:v>10717</x:v>
      </x:c>
      <x:c r="J1725" s="44" t="n">
        <x:v>2788</x:v>
      </x:c>
      <x:c r="K1725" s="44" t="n">
        <x:v>140.01059527950937</x:v>
      </x:c>
      <x:c r="L1725" s="44" t="n">
        <x:v>75.65300782613949</x:v>
      </x:c>
    </x:row>
    <x:row r="1726" ht="15" hidden="0" customHeight="1">
      <x:c r="A1726" s="27" t="str">
        <x:v>05105</x:v>
      </x:c>
      <x:c r="B1726" s="27" t="str">
        <x:v>SCA-20</x:v>
      </x:c>
      <x:c r="C1726" s="43" t="n">
        <x:v>10309</x:v>
      </x:c>
      <x:c r="D1726" s="43" t="n">
        <x:v>148.46249887053207</x:v>
      </x:c>
      <x:c r="E1726" s="43" t="n">
        <x:v>2087.719300489657</x:v>
      </x:c>
      <x:c r="F1726" s="43" t="n">
        <x:v>98.63119390068377</x:v>
      </x:c>
      <x:c r="G1726" s="43" t="n">
        <x:v>269.06525432197463</x:v>
      </x:c>
      <x:c r="H1726" s="43" t="n">
        <x:v>7705.121752417153</x:v>
      </x:c>
      <x:c r="I1726" s="43" t="n">
        <x:v>10309</x:v>
      </x:c>
      <x:c r="J1726" s="43" t="n">
        <x:v>2111</x:v>
      </x:c>
      <x:c r="K1726" s="43" t="n">
        <x:v>160.1053885841468</x:v>
      </x:c>
      <x:c r="L1726" s="43" t="n">
        <x:v>61.474194683463026</x:v>
      </x:c>
    </x:row>
    <x:row r="1727" ht="15" hidden="0" customHeight="1">
      <x:c r="A1727" s="29" t="str">
        <x:v>28155</x:v>
      </x:c>
      <x:c r="B1727" s="29" t="str">
        <x:v>SCA-20</x:v>
      </x:c>
      <x:c r="C1727" s="44" t="n">
        <x:v>10167</x:v>
      </x:c>
      <x:c r="D1727" s="44" t="n">
        <x:v>158.94651476705536</x:v>
      </x:c>
      <x:c r="E1727" s="44" t="n">
        <x:v>2189.9996830878617</x:v>
      </x:c>
      <x:c r="F1727" s="44" t="n">
        <x:v>103.58904010107308</x:v>
      </x:c>
      <x:c r="G1727" s="44" t="n">
        <x:v>200.11051295073642</x:v>
      </x:c>
      <x:c r="H1727" s="44" t="n">
        <x:v>7514.354249093273</x:v>
      </x:c>
      <x:c r="I1727" s="44" t="n">
        <x:v>10167</x:v>
      </x:c>
      <x:c r="J1727" s="44" t="n">
        <x:v>2209</x:v>
      </x:c>
      <x:c r="K1727" s="44" t="n">
        <x:v>171.28556807280086</x:v>
      </x:c>
      <x:c r="L1727" s="44" t="n">
        <x:v>67.69652797172778</x:v>
      </x:c>
    </x:row>
    <x:row r="1728" ht="15" hidden="0" customHeight="1">
      <x:c r="A1728" s="27" t="str">
        <x:v>05041</x:v>
      </x:c>
      <x:c r="B1728" s="27" t="str">
        <x:v>SCA-20</x:v>
      </x:c>
      <x:c r="C1728" s="43" t="n">
        <x:v>9984</x:v>
      </x:c>
      <x:c r="D1728" s="43" t="n">
        <x:v>148.01846216939362</x:v>
      </x:c>
      <x:c r="E1728" s="43" t="n">
        <x:v>2123.5750512008935</x:v>
      </x:c>
      <x:c r="F1728" s="43" t="n">
        <x:v>95.52176155829147</x:v>
      </x:c>
      <x:c r="G1728" s="43" t="n">
        <x:v>832.5413330850865</x:v>
      </x:c>
      <x:c r="H1728" s="43" t="n">
        <x:v>6784.3433919863355</x:v>
      </x:c>
      <x:c r="I1728" s="43" t="n">
        <x:v>9984</x:v>
      </x:c>
      <x:c r="J1728" s="43" t="n">
        <x:v>2380</x:v>
      </x:c>
      <x:c r="K1728" s="43" t="n">
        <x:v>155.05792992764785</x:v>
      </x:c>
      <x:c r="L1728" s="43" t="n">
        <x:v>59.536168369356375</x:v>
      </x:c>
    </x:row>
    <x:row r="1729" ht="15" hidden="0" customHeight="1">
      <x:c r="A1729" s="29" t="str">
        <x:v>05011</x:v>
      </x:c>
      <x:c r="B1729" s="29" t="str">
        <x:v>SCA-20</x:v>
      </x:c>
      <x:c r="C1729" s="44" t="n">
        <x:v>9828</x:v>
      </x:c>
      <x:c r="D1729" s="44" t="n">
        <x:v>149.2721981820866</x:v>
      </x:c>
      <x:c r="E1729" s="44" t="n">
        <x:v>2175.9907786440344</x:v>
      </x:c>
      <x:c r="F1729" s="44" t="n">
        <x:v>94.02923403394314</x:v>
      </x:c>
      <x:c r="G1729" s="44" t="n">
        <x:v>391.22332971479324</x:v>
      </x:c>
      <x:c r="H1729" s="44" t="n">
        <x:v>7017.484459425142</x:v>
      </x:c>
      <x:c r="I1729" s="44" t="n">
        <x:v>9828</x:v>
      </x:c>
      <x:c r="J1729" s="44" t="n">
        <x:v>2337</x:v>
      </x:c>
      <x:c r="K1729" s="44" t="n">
        <x:v>152.63514977252834</x:v>
      </x:c>
      <x:c r="L1729" s="44" t="n">
        <x:v>58.60591573858518</x:v>
      </x:c>
    </x:row>
    <x:row r="1730" ht="15" hidden="0" customHeight="1">
      <x:c r="A1730" s="27" t="str">
        <x:v>28103</x:v>
      </x:c>
      <x:c r="B1730" s="27" t="str">
        <x:v>SCA-20</x:v>
      </x:c>
      <x:c r="C1730" s="43" t="n">
        <x:v>9798</x:v>
      </x:c>
      <x:c r="D1730" s="43" t="n">
        <x:v>170.16771819448834</x:v>
      </x:c>
      <x:c r="E1730" s="43" t="n">
        <x:v>2518.275856751547</x:v>
      </x:c>
      <x:c r="F1730" s="43" t="n">
        <x:v>99.82939066689427</x:v>
      </x:c>
      <x:c r="G1730" s="43" t="n">
        <x:v>436.4338033884549</x:v>
      </x:c>
      <x:c r="H1730" s="43" t="n">
        <x:v>6573.293230998616</x:v>
      </x:c>
      <x:c r="I1730" s="43" t="n">
        <x:v>9798</x:v>
      </x:c>
      <x:c r="J1730" s="43" t="n">
        <x:v>2639</x:v>
      </x:c>
      <x:c r="K1730" s="43" t="n">
        <x:v>165.06894816340147</x:v>
      </x:c>
      <x:c r="L1730" s="43" t="n">
        <x:v>65.2395574965072</x:v>
      </x:c>
    </x:row>
    <x:row r="1731" ht="15" hidden="0" customHeight="1">
      <x:c r="A1731" s="29" t="str">
        <x:v>28097</x:v>
      </x:c>
      <x:c r="B1731" s="29" t="str">
        <x:v>SCA-20</x:v>
      </x:c>
      <x:c r="C1731" s="44" t="n">
        <x:v>9354</x:v>
      </x:c>
      <x:c r="D1731" s="44" t="n">
        <x:v>132.27791331299656</x:v>
      </x:c>
      <x:c r="E1731" s="44" t="n">
        <x:v>1679.8730528313824</x:v>
      </x:c>
      <x:c r="F1731" s="44" t="n">
        <x:v>95.30558484365474</x:v>
      </x:c>
      <x:c r="G1731" s="44" t="n">
        <x:v>398.3349151112517</x:v>
      </x:c>
      <x:c r="H1731" s="44" t="n">
        <x:v>7048.208533900714</x:v>
      </x:c>
      <x:c r="I1731" s="44" t="n">
        <x:v>9354</x:v>
      </x:c>
      <x:c r="J1731" s="44" t="n">
        <x:v>1774</x:v>
      </x:c>
      <x:c r="K1731" s="44" t="n">
        <x:v>157.58878762201036</x:v>
      </x:c>
      <x:c r="L1731" s="44" t="n">
        <x:v>62.28320277835562</x:v>
      </x:c>
    </x:row>
    <x:row r="1732" ht="15" hidden="0" customHeight="1">
      <x:c r="A1732" s="27" t="str">
        <x:v>22021</x:v>
      </x:c>
      <x:c r="B1732" s="27" t="str">
        <x:v>SCA-20</x:v>
      </x:c>
      <x:c r="C1732" s="43" t="n">
        <x:v>9344</x:v>
      </x:c>
      <x:c r="D1732" s="43" t="n">
        <x:v>134.14964278578216</x:v>
      </x:c>
      <x:c r="E1732" s="43" t="n">
        <x:v>2044.7659641109296</x:v>
      </x:c>
      <x:c r="F1732" s="43" t="n">
        <x:v>108.29163559709198</x:v>
      </x:c>
      <x:c r="G1732" s="43" t="n">
        <x:v>540.821044045677</x:v>
      </x:c>
      <x:c r="H1732" s="43" t="n">
        <x:v>6515.971713460519</x:v>
      </x:c>
      <x:c r="I1732" s="43" t="n">
        <x:v>9344</x:v>
      </x:c>
      <x:c r="J1732" s="43" t="n">
        <x:v>2096</x:v>
      </x:c>
      <x:c r="K1732" s="43" t="n">
        <x:v>157.24269654491874</x:v>
      </x:c>
      <x:c r="L1732" s="43" t="n">
        <x:v>48.951060947826754</x:v>
      </x:c>
    </x:row>
    <x:row r="1733" ht="15" hidden="0" customHeight="1">
      <x:c r="A1733" s="29" t="str">
        <x:v>28015</x:v>
      </x:c>
      <x:c r="B1733" s="29" t="str">
        <x:v>SCA-20</x:v>
      </x:c>
      <x:c r="C1733" s="44" t="n">
        <x:v>9226</x:v>
      </x:c>
      <x:c r="D1733" s="44" t="n">
        <x:v>141.15217885152072</x:v>
      </x:c>
      <x:c r="E1733" s="44" t="n">
        <x:v>1913.3102043464157</x:v>
      </x:c>
      <x:c r="F1733" s="44" t="n">
        <x:v>94.0014246063244</x:v>
      </x:c>
      <x:c r="G1733" s="44" t="n">
        <x:v>281.8396042815439</x:v>
      </x:c>
      <x:c r="H1733" s="44" t="n">
        <x:v>6795.696587914194</x:v>
      </x:c>
      <x:c r="I1733" s="44" t="n">
        <x:v>9226</x:v>
      </x:c>
      <x:c r="J1733" s="44" t="n">
        <x:v>1998</x:v>
      </x:c>
      <x:c r="K1733" s="44" t="n">
        <x:v>155.4323449434111</x:v>
      </x:c>
      <x:c r="L1733" s="44" t="n">
        <x:v>61.4309203370867</x:v>
      </x:c>
    </x:row>
    <x:row r="1734" ht="15" hidden="0" customHeight="1">
      <x:c r="A1734" s="27" t="str">
        <x:v>29153</x:v>
      </x:c>
      <x:c r="B1734" s="27" t="str">
        <x:v>SCA-20</x:v>
      </x:c>
      <x:c r="C1734" s="43" t="n">
        <x:v>9172</x:v>
      </x:c>
      <x:c r="D1734" s="43" t="n">
        <x:v>153.8775264493666</x:v>
      </x:c>
      <x:c r="E1734" s="43" t="n">
        <x:v>2139.1420655254506</x:v>
      </x:c>
      <x:c r="F1734" s="43" t="n">
        <x:v>55.07957377272638</x:v>
      </x:c>
      <x:c r="G1734" s="43" t="n">
        <x:v>212.73302346672713</x:v>
      </x:c>
      <x:c r="H1734" s="43" t="n">
        <x:v>6611.16781078573</x:v>
      </x:c>
      <x:c r="I1734" s="43" t="n">
        <x:v>9172</x:v>
      </x:c>
      <x:c r="J1734" s="43" t="n">
        <x:v>2143</x:v>
      </x:c>
      <x:c r="K1734" s="43" t="n">
        <x:v>119.8261808251992</x:v>
      </x:c>
      <x:c r="L1734" s="43" t="n">
        <x:v>64.74660705247283</x:v>
      </x:c>
    </x:row>
    <x:row r="1735" ht="15" hidden="0" customHeight="1">
      <x:c r="A1735" s="29" t="str">
        <x:v>22123</x:v>
      </x:c>
      <x:c r="B1735" s="29" t="str">
        <x:v>SCA-20</x:v>
      </x:c>
      <x:c r="C1735" s="44" t="n">
        <x:v>9156</x:v>
      </x:c>
      <x:c r="D1735" s="44" t="n">
        <x:v>123.57522793460689</x:v>
      </x:c>
      <x:c r="E1735" s="44" t="n">
        <x:v>1814.6173350582146</x:v>
      </x:c>
      <x:c r="F1735" s="44" t="n">
        <x:v>106.11282272334913</x:v>
      </x:c>
      <x:c r="G1735" s="44" t="n">
        <x:v>283.29851228978015</x:v>
      </x:c>
      <x:c r="H1735" s="44" t="n">
        <x:v>6828.396101994049</x:v>
      </x:c>
      <x:c r="I1735" s="44" t="n">
        <x:v>9156</x:v>
      </x:c>
      <x:c r="J1735" s="44" t="n">
        <x:v>1915</x:v>
      </x:c>
      <x:c r="K1735" s="44" t="n">
        <x:v>154.0789950305304</x:v>
      </x:c>
      <x:c r="L1735" s="44" t="n">
        <x:v>47.96617230718127</x:v>
      </x:c>
    </x:row>
    <x:row r="1736" ht="15" hidden="0" customHeight="1">
      <x:c r="A1736" s="27" t="str">
        <x:v>47135</x:v>
      </x:c>
      <x:c r="B1736" s="27" t="str">
        <x:v>SCA-20</x:v>
      </x:c>
      <x:c r="C1736" s="43" t="n">
        <x:v>9126</x:v>
      </x:c>
      <x:c r="D1736" s="43" t="n">
        <x:v>101.40123248586596</x:v>
      </x:c>
      <x:c r="E1736" s="43" t="n">
        <x:v>1468.8727834327833</x:v>
      </x:c>
      <x:c r="F1736" s="43" t="n">
        <x:v>58.45308497996783</x:v>
      </x:c>
      <x:c r="G1736" s="43" t="n">
        <x:v>175.62349362349363</x:v>
      </x:c>
      <x:c r="H1736" s="43" t="n">
        <x:v>7321.64940547789</x:v>
      </x:c>
      <x:c r="I1736" s="43" t="n">
        <x:v>9126</x:v>
      </x:c>
      <x:c r="J1736" s="43" t="n">
        <x:v>1433</x:v>
      </x:c>
      <x:c r="K1736" s="43" t="n">
        <x:v>98.65128482280114</x:v>
      </x:c>
      <x:c r="L1736" s="43" t="n">
        <x:v>40.19819984283332</x:v>
      </x:c>
    </x:row>
    <x:row r="1737" ht="15" hidden="0" customHeight="1">
      <x:c r="A1737" s="29" t="str">
        <x:v>05017</x:v>
      </x:c>
      <x:c r="B1737" s="29" t="str">
        <x:v>SCA-20</x:v>
      </x:c>
      <x:c r="C1737" s="44" t="n">
        <x:v>9107</x:v>
      </x:c>
      <x:c r="D1737" s="44" t="n">
        <x:v>140.57160830152387</x:v>
      </x:c>
      <x:c r="E1737" s="44" t="n">
        <x:v>2070.363105631456</x:v>
      </x:c>
      <x:c r="F1737" s="44" t="n">
        <x:v>87.13107797589748</x:v>
      </x:c>
      <x:c r="G1737" s="44" t="n">
        <x:v>367.0944129734533</x:v>
      </x:c>
      <x:c r="H1737" s="44" t="n">
        <x:v>6441.839795117669</x:v>
      </x:c>
      <x:c r="I1737" s="44" t="n">
        <x:v>9107</x:v>
      </x:c>
      <x:c r="J1737" s="44" t="n">
        <x:v>2132</x:v>
      </x:c>
      <x:c r="K1737" s="44" t="n">
        <x:v>141.43755687611068</x:v>
      </x:c>
      <x:c r="L1737" s="44" t="n">
        <x:v>54.30647890021319</x:v>
      </x:c>
    </x:row>
    <x:row r="1738" ht="15" hidden="0" customHeight="1">
      <x:c r="A1738" s="27" t="str">
        <x:v>22065</x:v>
      </x:c>
      <x:c r="B1738" s="27" t="str">
        <x:v>SCA-20</x:v>
      </x:c>
      <x:c r="C1738" s="43" t="n">
        <x:v>8844</x:v>
      </x:c>
      <x:c r="D1738" s="43" t="n">
        <x:v>126.3321371943191</x:v>
      </x:c>
      <x:c r="E1738" s="43" t="n">
        <x:v>1920.0110622974435</x:v>
      </x:c>
      <x:c r="F1738" s="43" t="n">
        <x:v>102.49692050735032</x:v>
      </x:c>
      <x:c r="G1738" s="43" t="n">
        <x:v>693.3755851638458</x:v>
      </x:c>
      <x:c r="H1738" s="43" t="n">
        <x:v>6001.784294837042</x:v>
      </x:c>
      <x:c r="I1738" s="43" t="n">
        <x:v>8844</x:v>
      </x:c>
      <x:c r="J1738" s="43" t="n">
        <x:v>1884</x:v>
      </x:c>
      <x:c r="K1738" s="43" t="n">
        <x:v>148.8285967726093</x:v>
      </x:c>
      <x:c r="L1738" s="43" t="n">
        <x:v>46.33167626525897</x:v>
      </x:c>
    </x:row>
    <x:row r="1739" ht="15" hidden="0" customHeight="1">
      <x:c r="A1739" s="29" t="str">
        <x:v>28143</x:v>
      </x:c>
      <x:c r="B1739" s="29" t="str">
        <x:v>SCA-20</x:v>
      </x:c>
      <x:c r="C1739" s="44" t="n">
        <x:v>8819</x:v>
      </x:c>
      <x:c r="D1739" s="44" t="n">
        <x:v>95.82588752414466</x:v>
      </x:c>
      <x:c r="E1739" s="44" t="n">
        <x:v>890.5190162887255</x:v>
      </x:c>
      <x:c r="F1739" s="44" t="n">
        <x:v>89.85460260168817</x:v>
      </x:c>
      <x:c r="G1739" s="44" t="n">
        <x:v>571.7869690194826</x:v>
      </x:c>
      <x:c r="H1739" s="44" t="n">
        <x:v>7171.0135245659585</x:v>
      </x:c>
      <x:c r="I1739" s="44" t="n">
        <x:v>8819</x:v>
      </x:c>
      <x:c r="J1739" s="44" t="n">
        <x:v>988</x:v>
      </x:c>
      <x:c r="K1739" s="44" t="n">
        <x:v>148.57553111380258</x:v>
      </x:c>
      <x:c r="L1739" s="44" t="n">
        <x:v>58.72092851211441</x:v>
      </x:c>
    </x:row>
    <x:row r="1740" ht="15" hidden="0" customHeight="1">
      <x:c r="A1740" s="27" t="str">
        <x:v>29149</x:v>
      </x:c>
      <x:c r="B1740" s="27" t="str">
        <x:v>SCA-20</x:v>
      </x:c>
      <x:c r="C1740" s="43" t="n">
        <x:v>8709</x:v>
      </x:c>
      <x:c r="D1740" s="43" t="n">
        <x:v>143.57475747175772</x:v>
      </x:c>
      <x:c r="E1740" s="43" t="n">
        <x:v>1970.3169857243156</x:v>
      </x:c>
      <x:c r="F1740" s="43" t="n">
        <x:v>52.29917226195748</x:v>
      </x:c>
      <x:c r="G1740" s="43" t="n">
        <x:v>241.1474373976129</x:v>
      </x:c>
      <x:c r="H1740" s="43" t="n">
        <x:v>6301.661647144357</x:v>
      </x:c>
      <x:c r="I1740" s="43" t="n">
        <x:v>8709</x:v>
      </x:c>
      <x:c r="J1740" s="43" t="n">
        <x:v>2014</x:v>
      </x:c>
      <x:c r="K1740" s="43" t="n">
        <x:v>113.77738866186871</x:v>
      </x:c>
      <x:c r="L1740" s="43" t="n">
        <x:v>61.47821639991124</x:v>
      </x:c>
    </x:row>
    <x:row r="1741" ht="15" hidden="0" customHeight="1">
      <x:c r="A1741" s="29" t="str">
        <x:v>28069</x:v>
      </x:c>
      <x:c r="B1741" s="29" t="str">
        <x:v>SCA-20</x:v>
      </x:c>
      <x:c r="C1741" s="44" t="n">
        <x:v>8600</x:v>
      </x:c>
      <x:c r="D1741" s="44" t="n">
        <x:v>126.41378858517429</x:v>
      </x:c>
      <x:c r="E1741" s="44" t="n">
        <x:v>1659.6254894980418</x:v>
      </x:c>
      <x:c r="F1741" s="44" t="n">
        <x:v>87.62326594563083</x:v>
      </x:c>
      <x:c r="G1741" s="44" t="n">
        <x:v>127.83671531980538</x:v>
      </x:c>
      <x:c r="H1741" s="44" t="n">
        <x:v>6598.500740651347</x:v>
      </x:c>
      <x:c r="I1741" s="44" t="n">
        <x:v>8600</x:v>
      </x:c>
      <x:c r="J1741" s="44" t="n">
        <x:v>1694</x:v>
      </x:c>
      <x:c r="K1741" s="44" t="n">
        <x:v>144.8859924683867</x:v>
      </x:c>
      <x:c r="L1741" s="44" t="n">
        <x:v>57.26272652275586</x:v>
      </x:c>
    </x:row>
    <x:row r="1742" ht="15" hidden="0" customHeight="1">
      <x:c r="A1742" s="27" t="str">
        <x:v>05097</x:v>
      </x:c>
      <x:c r="B1742" s="27" t="str">
        <x:v>SCA-20</x:v>
      </x:c>
      <x:c r="C1742" s="43" t="n">
        <x:v>8579</x:v>
      </x:c>
      <x:c r="D1742" s="43" t="n">
        <x:v>146.8479492881064</x:v>
      </x:c>
      <x:c r="E1742" s="43" t="n">
        <x:v>2296.5604260859272</x:v>
      </x:c>
      <x:c r="F1742" s="43" t="n">
        <x:v>82.07944635502628</x:v>
      </x:c>
      <x:c r="G1742" s="43" t="n">
        <x:v>240.14309385726122</x:v>
      </x:c>
      <x:c r="H1742" s="43" t="n">
        <x:v>5813.369084413679</x:v>
      </x:c>
      <x:c r="I1742" s="43" t="n">
        <x:v>8579</x:v>
      </x:c>
      <x:c r="J1742" s="43" t="n">
        <x:v>2356</x:v>
      </x:c>
      <x:c r="K1742" s="43" t="n">
        <x:v>133.23737788955236</x:v>
      </x:c>
      <x:c r="L1742" s="43" t="n">
        <x:v>51.15793153452608</x:v>
      </x:c>
    </x:row>
    <x:row r="1743" ht="15" hidden="0" customHeight="1">
      <x:c r="A1743" s="29" t="str">
        <x:v>47083</x:v>
      </x:c>
      <x:c r="B1743" s="29" t="str">
        <x:v>SCA-20</x:v>
      </x:c>
      <x:c r="C1743" s="44" t="n">
        <x:v>8479</x:v>
      </x:c>
      <x:c r="D1743" s="44" t="n">
        <x:v>104.83188515316297</x:v>
      </x:c>
      <x:c r="E1743" s="44" t="n">
        <x:v>1619.6061734132322</x:v>
      </x:c>
      <x:c r="F1743" s="44" t="n">
        <x:v>54.3089751857492</x:v>
      </x:c>
      <x:c r="G1743" s="44" t="n">
        <x:v>95.32224532224534</x:v>
      </x:c>
      <x:c r="H1743" s="44" t="n">
        <x:v>6604.93072092561</x:v>
      </x:c>
      <x:c r="I1743" s="44" t="n">
        <x:v>8479</x:v>
      </x:c>
      <x:c r="J1743" s="44" t="n">
        <x:v>1627</x:v>
      </x:c>
      <x:c r="K1743" s="44" t="n">
        <x:v>91.65726978002749</x:v>
      </x:c>
      <x:c r="L1743" s="44" t="n">
        <x:v>37.34829459427829</x:v>
      </x:c>
    </x:row>
    <x:row r="1744" ht="15" hidden="0" customHeight="1">
      <x:c r="A1744" s="27" t="str">
        <x:v>28021</x:v>
      </x:c>
      <x:c r="B1744" s="27" t="str">
        <x:v>SCA-20</x:v>
      </x:c>
      <x:c r="C1744" s="43" t="n">
        <x:v>8058</x:v>
      </x:c>
      <x:c r="D1744" s="43" t="n">
        <x:v>96.95848306050776</x:v>
      </x:c>
      <x:c r="E1744" s="43" t="n">
        <x:v>1039.31136</x:v>
      </x:c>
      <x:c r="F1744" s="43" t="n">
        <x:v>82.10096244068524</x:v>
      </x:c>
      <x:c r="G1744" s="43" t="n">
        <x:v>389.54117647058825</x:v>
      </x:c>
      <x:c r="H1744" s="43" t="n">
        <x:v>6450.088018028218</x:v>
      </x:c>
      <x:c r="I1744" s="43" t="n">
        <x:v>8058</x:v>
      </x:c>
      <x:c r="J1744" s="43" t="n">
        <x:v>1142</x:v>
      </x:c>
      <x:c r="K1744" s="43" t="n">
        <x:v>135.754805501193</x:v>
      </x:c>
      <x:c r="L1744" s="43" t="n">
        <x:v>53.65384306050776</x:v>
      </x:c>
    </x:row>
    <x:row r="1745" ht="15" hidden="0" customHeight="1">
      <x:c r="A1745" s="29" t="str">
        <x:v>28019</x:v>
      </x:c>
      <x:c r="B1745" s="29" t="str">
        <x:v>SCA-20</x:v>
      </x:c>
      <x:c r="C1745" s="44" t="n">
        <x:v>8048</x:v>
      </x:c>
      <x:c r="D1745" s="44" t="n">
        <x:v>127.0580037505333</x:v>
      </x:c>
      <x:c r="E1745" s="44" t="n">
        <x:v>1763.2978861379918</x:v>
      </x:c>
      <x:c r="F1745" s="44" t="n">
        <x:v>81.9990749221438</x:v>
      </x:c>
      <x:c r="G1745" s="44" t="n">
        <x:v>243.49447027774286</x:v>
      </x:c>
      <x:c r="H1745" s="44" t="n">
        <x:v>5832.150564911589</x:v>
      </x:c>
      <x:c r="I1745" s="44" t="n">
        <x:v>8048</x:v>
      </x:c>
      <x:c r="J1745" s="44" t="n">
        <x:v>1816</x:v>
      </x:c>
      <x:c r="K1745" s="44" t="n">
        <x:v>135.58633341692743</x:v>
      </x:c>
      <x:c r="L1745" s="44" t="n">
        <x:v>53.587258494783626</x:v>
      </x:c>
    </x:row>
    <x:row r="1746" ht="15" hidden="0" customHeight="1">
      <x:c r="A1746" s="27" t="str">
        <x:v>05077</x:v>
      </x:c>
      <x:c r="B1746" s="27" t="str">
        <x:v>SCA-20</x:v>
      </x:c>
      <x:c r="C1746" s="43" t="n">
        <x:v>8029</x:v>
      </x:c>
      <x:c r="D1746" s="43" t="n">
        <x:v>137.846375579133</x:v>
      </x:c>
      <x:c r="E1746" s="43" t="n">
        <x:v>2159.2363412127443</x:v>
      </x:c>
      <x:c r="F1746" s="43" t="n">
        <x:v>76.81733008328548</x:v>
      </x:c>
      <x:c r="G1746" s="43" t="n">
        <x:v>900.1910879459697</x:v>
      </x:c>
      <x:c r="H1746" s="43" t="n">
        <x:v>4754.908865178868</x:v>
      </x:c>
      <x:c r="I1746" s="43" t="n">
        <x:v>8029</x:v>
      </x:c>
      <x:c r="J1746" s="43" t="n">
        <x:v>1908</x:v>
      </x:c>
      <x:c r="K1746" s="43" t="n">
        <x:v>124.69552477855414</x:v>
      </x:c>
      <x:c r="L1746" s="43" t="n">
        <x:v>47.87819469526866</x:v>
      </x:c>
    </x:row>
    <x:row r="1747" ht="15" hidden="0" customHeight="1">
      <x:c r="A1747" s="29" t="str">
        <x:v>05117</x:v>
      </x:c>
      <x:c r="B1747" s="29" t="str">
        <x:v>SCA-20</x:v>
      </x:c>
      <x:c r="C1747" s="44" t="n">
        <x:v>7923</x:v>
      </x:c>
      <x:c r="D1747" s="44" t="n">
        <x:v>119.68152115806474</x:v>
      </x:c>
      <x:c r="E1747" s="44" t="n">
        <x:v>1738.4501087781432</x:v>
      </x:c>
      <x:c r="F1747" s="44" t="n">
        <x:v>75.80317676545906</x:v>
      </x:c>
      <x:c r="G1747" s="44" t="n">
        <x:v>237.21761952947128</x:v>
      </x:c>
      <x:c r="H1747" s="44" t="n">
        <x:v>5751.847573768862</x:v>
      </x:c>
      <x:c r="I1747" s="44" t="n">
        <x:v>7923</x:v>
      </x:c>
      <x:c r="J1747" s="44" t="n">
        <x:v>1807</x:v>
      </x:c>
      <x:c r="K1747" s="44" t="n">
        <x:v>123.04927672443448</x:v>
      </x:c>
      <x:c r="L1747" s="44" t="n">
        <x:v>47.24609995897542</x:v>
      </x:c>
    </x:row>
    <x:row r="1748" ht="15" hidden="0" customHeight="1">
      <x:c r="A1748" s="27" t="str">
        <x:v>05129</x:v>
      </x:c>
      <x:c r="B1748" s="27" t="str">
        <x:v>SCA-20</x:v>
      </x:c>
      <x:c r="C1748" s="43" t="n">
        <x:v>7848</x:v>
      </x:c>
      <x:c r="D1748" s="43" t="n">
        <x:v>127.06640140061972</x:v>
      </x:c>
      <x:c r="E1748" s="43" t="n">
        <x:v>1926.4209188006691</x:v>
      </x:c>
      <x:c r="F1748" s="43" t="n">
        <x:v>75.08561545567622</x:v>
      </x:c>
      <x:c r="G1748" s="43" t="n">
        <x:v>189.05366104748424</x:v>
      </x:c>
      <x:c r="H1748" s="43" t="n">
        <x:v>5530.373403295551</x:v>
      </x:c>
      <x:c r="I1748" s="43" t="n">
        <x:v>7848</x:v>
      </x:c>
      <x:c r="J1748" s="43" t="n">
        <x:v>1987</x:v>
      </x:c>
      <x:c r="K1748" s="43" t="n">
        <x:v>121.88447857293473</x:v>
      </x:c>
      <x:c r="L1748" s="43" t="n">
        <x:v>46.7988631172585</x:v>
      </x:c>
    </x:row>
    <x:row r="1749" ht="15" hidden="0" customHeight="1">
      <x:c r="A1749" s="29" t="str">
        <x:v>28009</x:v>
      </x:c>
      <x:c r="B1749" s="29" t="str">
        <x:v>SCA-20</x:v>
      </x:c>
      <x:c r="C1749" s="44" t="n">
        <x:v>7502</x:v>
      </x:c>
      <x:c r="D1749" s="44" t="n">
        <x:v>128.98334542014106</x:v>
      </x:c>
      <x:c r="E1749" s="44" t="n">
        <x:v>1896.7585011334847</x:v>
      </x:c>
      <x:c r="F1749" s="44" t="n">
        <x:v>76.43601640978167</x:v>
      </x:c>
      <x:c r="G1749" s="44" t="n">
        <x:v>231.6706227497</x:v>
      </x:c>
      <x:c r="H1749" s="44" t="n">
        <x:v>5168.151514286892</x:v>
      </x:c>
      <x:c r="I1749" s="44" t="n">
        <x:v>7502</x:v>
      </x:c>
      <x:c r="J1749" s="44" t="n">
        <x:v>1975</x:v>
      </x:c>
      <x:c r="K1749" s="44" t="n">
        <x:v>126.38775761602754</x:v>
      </x:c>
      <x:c r="L1749" s="44" t="n">
        <x:v>49.95174120624587</x:v>
      </x:c>
    </x:row>
    <x:row r="1750" ht="15" hidden="0" customHeight="1">
      <x:c r="A1750" s="27" t="str">
        <x:v>28037</x:v>
      </x:c>
      <x:c r="B1750" s="27" t="str">
        <x:v>SCA-20</x:v>
      </x:c>
      <x:c r="C1750" s="43" t="n">
        <x:v>7491</x:v>
      </x:c>
      <x:c r="D1750" s="43" t="n">
        <x:v>110.21935668951372</x:v>
      </x:c>
      <x:c r="E1750" s="43" t="n">
        <x:v>1448.1806041335453</x:v>
      </x:c>
      <x:c r="F1750" s="43" t="n">
        <x:v>76.32394013938611</x:v>
      </x:c>
      <x:c r="G1750" s="43" t="n">
        <x:v>124.58505564387919</x:v>
      </x:c>
      <x:c r="H1750" s="43" t="n">
        <x:v>5731.6910433936755</x:v>
      </x:c>
      <x:c r="I1750" s="43" t="n">
        <x:v>7491</x:v>
      </x:c>
      <x:c r="J1750" s="43" t="n">
        <x:v>1520</x:v>
      </x:c>
      <x:c r="K1750" s="43" t="n">
        <x:v>126.20243832333543</x:v>
      </x:c>
      <x:c r="L1750" s="43" t="n">
        <x:v>49.878498183949326</x:v>
      </x:c>
    </x:row>
    <x:row r="1751" ht="15" hidden="0" customHeight="1">
      <x:c r="A1751" s="29" t="str">
        <x:v>05025</x:v>
      </x:c>
      <x:c r="B1751" s="29" t="str">
        <x:v>SCA-20</x:v>
      </x:c>
      <x:c r="C1751" s="44" t="n">
        <x:v>7224</x:v>
      </x:c>
      <x:c r="D1751" s="44" t="n">
        <x:v>114.10340573950997</x:v>
      </x:c>
      <x:c r="E1751" s="44" t="n">
        <x:v>1704.6132754880693</x:v>
      </x:c>
      <x:c r="F1751" s="44" t="n">
        <x:v>69.115505358283</x:v>
      </x:c>
      <x:c r="G1751" s="44" t="n">
        <x:v>220.9814262472885</x:v>
      </x:c>
      <x:c r="H1751" s="44" t="n">
        <x:v>5115.186387166848</x:v>
      </x:c>
      <x:c r="I1751" s="44" t="n">
        <x:v>7224</x:v>
      </x:c>
      <x:c r="J1751" s="44" t="n">
        <x:v>1813</x:v>
      </x:c>
      <x:c r="K1751" s="44" t="n">
        <x:v>112.19335795245674</x:v>
      </x:c>
      <x:c r="L1751" s="44" t="n">
        <x:v>43.07785259417373</x:v>
      </x:c>
    </x:row>
    <x:row r="1752" ht="15" hidden="0" customHeight="1">
      <x:c r="A1752" s="27" t="str">
        <x:v>01063</x:v>
      </x:c>
      <x:c r="B1752" s="27" t="str">
        <x:v>SCA-20</x:v>
      </x:c>
      <x:c r="C1752" s="43" t="n">
        <x:v>7067</x:v>
      </x:c>
      <x:c r="D1752" s="43" t="n">
        <x:v>107.21565070496244</x:v>
      </x:c>
      <x:c r="E1752" s="43" t="n">
        <x:v>1707.3918170681911</x:v>
      </x:c>
      <x:c r="F1752" s="43" t="n">
        <x:v>56.8761761888885</x:v>
      </x:c>
      <x:c r="G1752" s="43" t="n">
        <x:v>460.97291411460463</x:v>
      </x:c>
      <x:c r="H1752" s="43" t="n">
        <x:v>4734.543441923353</x:v>
      </x:c>
      <x:c r="I1752" s="43" t="n">
        <x:v>7067</x:v>
      </x:c>
      <x:c r="J1752" s="43" t="n">
        <x:v>1849</x:v>
      </x:c>
      <x:c r="K1752" s="43" t="n">
        <x:v>92.9505011826763</x:v>
      </x:c>
      <x:c r="L1752" s="43" t="n">
        <x:v>36.074324993787805</x:v>
      </x:c>
    </x:row>
    <x:row r="1753" ht="15" hidden="0" customHeight="1">
      <x:c r="A1753" s="29" t="str">
        <x:v>05101</x:v>
      </x:c>
      <x:c r="B1753" s="29" t="str">
        <x:v>SCA-20</x:v>
      </x:c>
      <x:c r="C1753" s="44" t="n">
        <x:v>7026</x:v>
      </x:c>
      <x:c r="D1753" s="44" t="n">
        <x:v>95.42477719295505</x:v>
      </x:c>
      <x:c r="E1753" s="44" t="n">
        <x:v>1284.6631166619359</x:v>
      </x:c>
      <x:c r="F1753" s="44" t="n">
        <x:v>67.22114350045631</x:v>
      </x:c>
      <x:c r="G1753" s="44" t="n">
        <x:v>136.4070394550099</x:v>
      </x:c>
      <x:c r="H1753" s="44" t="n">
        <x:v>5442.283923189643</x:v>
      </x:c>
      <x:c r="I1753" s="44" t="n">
        <x:v>7026</x:v>
      </x:c>
      <x:c r="J1753" s="44" t="n">
        <x:v>1342</x:v>
      </x:c>
      <x:c r="K1753" s="44" t="n">
        <x:v>109.11829083249737</x:v>
      </x:c>
      <x:c r="L1753" s="44" t="n">
        <x:v>41.89714733204106</x:v>
      </x:c>
    </x:row>
    <x:row r="1754" ht="15" hidden="0" customHeight="1">
      <x:c r="A1754" s="27" t="str">
        <x:v>28053</x:v>
      </x:c>
      <x:c r="B1754" s="27" t="str">
        <x:v>SCA-20</x:v>
      </x:c>
      <x:c r="C1754" s="43" t="n">
        <x:v>7001</x:v>
      </x:c>
      <x:c r="D1754" s="43" t="n">
        <x:v>119.87768506455963</x:v>
      </x:c>
      <x:c r="E1754" s="43" t="n">
        <x:v>1758.2839344262293</x:v>
      </x:c>
      <x:c r="F1754" s="43" t="n">
        <x:v>71.33145173085597</x:v>
      </x:c>
      <x:c r="G1754" s="43" t="n">
        <x:v>618.7691256830602</x:v>
      </x:c>
      <x:c r="H1754" s="43" t="n">
        <x:v>4432.737803095295</x:v>
      </x:c>
      <x:c r="I1754" s="43" t="n">
        <x:v>7001</x:v>
      </x:c>
      <x:c r="J1754" s="43" t="n">
        <x:v>1915</x:v>
      </x:c>
      <x:c r="K1754" s="43" t="n">
        <x:v>117.94730619432269</x:v>
      </x:c>
      <x:c r="L1754" s="43" t="n">
        <x:v>46.615854463466725</x:v>
      </x:c>
    </x:row>
    <x:row r="1755" ht="15" hidden="0" customHeight="1">
      <x:c r="A1755" s="29" t="str">
        <x:v>28063</x:v>
      </x:c>
      <x:c r="B1755" s="29" t="str">
        <x:v>SCA-20</x:v>
      </x:c>
      <x:c r="C1755" s="44" t="n">
        <x:v>6825</x:v>
      </x:c>
      <x:c r="D1755" s="44" t="n">
        <x:v>81.10576151382007</x:v>
      </x:c>
      <x:c r="E1755" s="44" t="n">
        <x:v>855.8830897703547</x:v>
      </x:c>
      <x:c r="F1755" s="44" t="n">
        <x:v>69.53823140452678</x:v>
      </x:c>
      <x:c r="G1755" s="44" t="n">
        <x:v>197.34715180435433</x:v>
      </x:c>
      <x:c r="H1755" s="44" t="n">
        <x:v>5621.125765506945</x:v>
      </x:c>
      <x:c r="I1755" s="44" t="n">
        <x:v>6825</x:v>
      </x:c>
      <x:c r="J1755" s="44" t="n">
        <x:v>876</x:v>
      </x:c>
      <x:c r="K1755" s="44" t="n">
        <x:v>114.98219751124873</x:v>
      </x:c>
      <x:c r="L1755" s="44" t="n">
        <x:v>45.44396610672195</x:v>
      </x:c>
    </x:row>
    <x:row r="1756" ht="15" hidden="0" customHeight="1">
      <x:c r="A1756" s="27" t="str">
        <x:v>22035</x:v>
      </x:c>
      <x:c r="B1756" s="27" t="str">
        <x:v>SCA-20</x:v>
      </x:c>
      <x:c r="C1756" s="43" t="n">
        <x:v>6760</x:v>
      </x:c>
      <x:c r="D1756" s="43" t="n">
        <x:v>92.13386982652224</x:v>
      </x:c>
      <x:c r="E1756" s="43" t="n">
        <x:v>1361.2749340369392</x:v>
      </x:c>
      <x:c r="F1756" s="43" t="n">
        <x:v>78.34454801330713</x:v>
      </x:c>
      <x:c r="G1756" s="43" t="n">
        <x:v>326.7631926121372</x:v>
      </x:c>
      <x:c r="H1756" s="43" t="n">
        <x:v>4901.483455511095</x:v>
      </x:c>
      <x:c r="I1756" s="43" t="n">
        <x:v>6760</x:v>
      </x:c>
      <x:c r="J1756" s="43" t="n">
        <x:v>1113</x:v>
      </x:c>
      <x:c r="K1756" s="43" t="n">
        <x:v>113.75862892162358</x:v>
      </x:c>
      <x:c r="L1756" s="43" t="n">
        <x:v>35.41408090831644</x:v>
      </x:c>
    </x:row>
    <x:row r="1757" ht="15" hidden="0" customHeight="1">
      <x:c r="A1757" s="29" t="str">
        <x:v>47095</x:v>
      </x:c>
      <x:c r="B1757" s="29" t="str">
        <x:v>SCA-20</x:v>
      </x:c>
      <x:c r="C1757" s="44" t="n">
        <x:v>6249</x:v>
      </x:c>
      <x:c r="D1757" s="44" t="n">
        <x:v>93.0786887109491</x:v>
      </x:c>
      <x:c r="E1757" s="44" t="n">
        <x:v>1573.2743257284842</x:v>
      </x:c>
      <x:c r="F1757" s="44" t="n">
        <x:v>40.02556739423832</x:v>
      </x:c>
      <x:c r="G1757" s="44" t="n">
        <x:v>615.6487463293427</x:v>
      </x:c>
      <x:c r="H1757" s="44" t="n">
        <x:v>3926.972671836986</x:v>
      </x:c>
      <x:c r="I1757" s="44" t="n">
        <x:v>6249</x:v>
      </x:c>
      <x:c r="J1757" s="44" t="n">
        <x:v>1161</x:v>
      </x:c>
      <x:c r="K1757" s="44" t="n">
        <x:v>67.55115919983392</x:v>
      </x:c>
      <x:c r="L1757" s="44" t="n">
        <x:v>27.525591805595596</x:v>
      </x:c>
    </x:row>
    <x:row r="1758" ht="15" hidden="0" customHeight="1">
      <x:c r="A1758" s="27" t="str">
        <x:v>05095</x:v>
      </x:c>
      <x:c r="B1758" s="27" t="str">
        <x:v>SCA-20</x:v>
      </x:c>
      <x:c r="C1758" s="43" t="n">
        <x:v>6244</x:v>
      </x:c>
      <x:c r="D1758" s="43" t="n">
        <x:v>98.50308789622092</x:v>
      </x:c>
      <x:c r="E1758" s="43" t="n">
        <x:v>1470.4591208115585</x:v>
      </x:c>
      <x:c r="F1758" s="43" t="n">
        <x:v>59.73937091045392</x:v>
      </x:c>
      <x:c r="G1758" s="43" t="n">
        <x:v>687.5207500768522</x:v>
      </x:c>
      <x:c r="H1758" s="43" t="n">
        <x:v>3927.7776703049144</x:v>
      </x:c>
      <x:c r="I1758" s="43" t="n">
        <x:v>6244</x:v>
      </x:c>
      <x:c r="J1758" s="43" t="n">
        <x:v>1596</x:v>
      </x:c>
      <x:c r="K1758" s="43" t="n">
        <x:v>96.97332877285989</x:v>
      </x:c>
      <x:c r="L1758" s="43" t="n">
        <x:v>37.23395786240597</x:v>
      </x:c>
    </x:row>
    <x:row r="1759" ht="15" hidden="0" customHeight="1">
      <x:c r="A1759" s="29" t="str">
        <x:v>21075</x:v>
      </x:c>
      <x:c r="B1759" s="29" t="str">
        <x:v>SCA-20</x:v>
      </x:c>
      <x:c r="C1759" s="44" t="n">
        <x:v>6218</x:v>
      </x:c>
      <x:c r="D1759" s="44" t="n">
        <x:v>90.06979782783044</x:v>
      </x:c>
      <x:c r="E1759" s="44" t="n">
        <x:v>1346.0832113341205</x:v>
      </x:c>
      <x:c r="F1759" s="44" t="n">
        <x:v>56.51263863823602</x:v>
      </x:c>
      <x:c r="G1759" s="44" t="n">
        <x:v>558.8004722550178</x:v>
      </x:c>
      <x:c r="H1759" s="44" t="n">
        <x:v>4166.533879944795</x:v>
      </x:c>
      <x:c r="I1759" s="44" t="n">
        <x:v>6218</x:v>
      </x:c>
      <x:c r="J1759" s="44" t="n">
        <x:v>1337</x:v>
      </x:c>
      <x:c r="K1759" s="44" t="n">
        <x:v>90.49563599381145</x:v>
      </x:c>
      <x:c r="L1759" s="44" t="n">
        <x:v>33.98299735557543</x:v>
      </x:c>
    </x:row>
    <x:row r="1760" ht="15" hidden="0" customHeight="1">
      <x:c r="A1760" s="27" t="str">
        <x:v>05039</x:v>
      </x:c>
      <x:c r="B1760" s="27" t="str">
        <x:v>SCA-20</x:v>
      </x:c>
      <x:c r="C1760" s="43" t="n">
        <x:v>6011</x:v>
      </x:c>
      <x:c r="D1760" s="43" t="n">
        <x:v>112.53972484829998</x:v>
      </x:c>
      <x:c r="E1760" s="43" t="n">
        <x:v>1840.6843865798696</x:v>
      </x:c>
      <x:c r="F1760" s="43" t="n">
        <x:v>57.51014710806191</x:v>
      </x:c>
      <x:c r="G1760" s="43" t="n">
        <x:v>155.2729093640461</x:v>
      </x:c>
      <x:c r="H1760" s="43" t="n">
        <x:v>3844.9928320997224</x:v>
      </x:c>
      <x:c r="I1760" s="43" t="n">
        <x:v>6011</x:v>
      </x:c>
      <x:c r="J1760" s="43" t="n">
        <x:v>1911</x:v>
      </x:c>
      <x:c r="K1760" s="43" t="n">
        <x:v>93.35468918220064</x:v>
      </x:c>
      <x:c r="L1760" s="43" t="n">
        <x:v>35.84454207413874</x:v>
      </x:c>
    </x:row>
    <x:row r="1761" ht="15" hidden="0" customHeight="1">
      <x:c r="A1761" s="29" t="str">
        <x:v>05147</x:v>
      </x:c>
      <x:c r="B1761" s="29" t="str">
        <x:v>SCA-20</x:v>
      </x:c>
      <x:c r="C1761" s="44" t="n">
        <x:v>5710</x:v>
      </x:c>
      <x:c r="D1761" s="44" t="n">
        <x:v>77.89255145475494</x:v>
      </x:c>
      <x:c r="E1761" s="44" t="n">
        <x:v>1052.2300777289624</x:v>
      </x:c>
      <x:c r="F1761" s="44" t="n">
        <x:v>54.63033438480011</x:v>
      </x:c>
      <x:c r="G1761" s="44" t="n">
        <x:v>370.083812098682</x:v>
      </x:c>
      <x:c r="H1761" s="44" t="n">
        <x:v>4155.1632243328</x:v>
      </x:c>
      <x:c r="I1761" s="44" t="n">
        <x:v>5710</x:v>
      </x:c>
      <x:c r="J1761" s="44" t="n">
        <x:v>1136</x:v>
      </x:c>
      <x:c r="K1761" s="44" t="n">
        <x:v>88.67996593418161</x:v>
      </x:c>
      <x:c r="L1761" s="44" t="n">
        <x:v>34.0496315493815</x:v>
      </x:c>
    </x:row>
    <x:row r="1762" ht="15" hidden="0" customHeight="1">
      <x:c r="A1762" s="27" t="str">
        <x:v>28119</x:v>
      </x:c>
      <x:c r="B1762" s="27" t="str">
        <x:v>SCA-20</x:v>
      </x:c>
      <x:c r="C1762" s="43" t="n">
        <x:v>5364</x:v>
      </x:c>
      <x:c r="D1762" s="43" t="n">
        <x:v>75.15854538424918</x:v>
      </x:c>
      <x:c r="E1762" s="43" t="n">
        <x:v>946.6220239157593</x:v>
      </x:c>
      <x:c r="F1762" s="43" t="n">
        <x:v>54.652464945623684</x:v>
      </x:c>
      <x:c r="G1762" s="43" t="n">
        <x:v>267.7037301445654</x:v>
      </x:c>
      <x:c r="H1762" s="43" t="n">
        <x:v>4019.863235609803</x:v>
      </x:c>
      <x:c r="I1762" s="43" t="n">
        <x:v>5364</x:v>
      </x:c>
      <x:c r="J1762" s="43" t="n">
        <x:v>1030</x:v>
      </x:c>
      <x:c r="K1762" s="43" t="n">
        <x:v>90.36842600004955</x:v>
      </x:c>
      <x:c r="L1762" s="43" t="n">
        <x:v>35.71596105442587</x:v>
      </x:c>
    </x:row>
    <x:row r="1763" ht="15" hidden="0" customHeight="1">
      <x:c r="A1763" s="29" t="str">
        <x:v>21039</x:v>
      </x:c>
      <x:c r="B1763" s="29" t="str">
        <x:v>SCA-20</x:v>
      </x:c>
      <x:c r="C1763" s="44" t="n">
        <x:v>4747</x:v>
      </x:c>
      <x:c r="D1763" s="44" t="n">
        <x:v>58.0628038546829</x:v>
      </x:c>
      <x:c r="E1763" s="44" t="n">
        <x:v>770.8609556313993</x:v>
      </x:c>
      <x:c r="F1763" s="44" t="n">
        <x:v>43.14337337016829</x:v>
      </x:c>
      <x:c r="G1763" s="44" t="n">
        <x:v>95.54714163822527</x:v>
      </x:c>
      <x:c r="H1763" s="44" t="n">
        <x:v>3779.3857255055245</x:v>
      </x:c>
      <x:c r="I1763" s="44" t="n">
        <x:v>4747</x:v>
      </x:c>
      <x:c r="J1763" s="44" t="n">
        <x:v>793</x:v>
      </x:c>
      <x:c r="K1763" s="44" t="n">
        <x:v>69.08697074020955</x:v>
      </x:c>
      <x:c r="L1763" s="44" t="n">
        <x:v>25.94359737004126</x:v>
      </x:c>
    </x:row>
    <x:row r="1764" ht="15" hidden="0" customHeight="1">
      <x:c r="A1764" s="27" t="str">
        <x:v>05013</x:v>
      </x:c>
      <x:c r="B1764" s="27" t="str">
        <x:v>SCA-20</x:v>
      </x:c>
      <x:c r="C1764" s="43" t="n">
        <x:v>4632</x:v>
      </x:c>
      <x:c r="D1764" s="43" t="n">
        <x:v>68.81242015787946</x:v>
      </x:c>
      <x:c r="E1764" s="43" t="n">
        <x:v>988.5857475226195</x:v>
      </x:c>
      <x:c r="F1764" s="43" t="n">
        <x:v>44.31658649218811</x:v>
      </x:c>
      <x:c r="G1764" s="43" t="n">
        <x:v>31.107281344248168</x:v>
      </x:c>
      <x:c r="H1764" s="43" t="n">
        <x:v>3499.177964483065</x:v>
      </x:c>
      <x:c r="I1764" s="43" t="n">
        <x:v>4632</x:v>
      </x:c>
      <x:c r="J1764" s="43" t="n">
        <x:v>1032</x:v>
      </x:c>
      <x:c r="K1764" s="43" t="n">
        <x:v>71.93793383662508</x:v>
      </x:c>
      <x:c r="L1764" s="43" t="n">
        <x:v>27.621347344436973</x:v>
      </x:c>
    </x:row>
    <x:row r="1765" ht="15" hidden="0" customHeight="1">
      <x:c r="A1765" s="29" t="str">
        <x:v>21105</x:v>
      </x:c>
      <x:c r="B1765" s="29" t="str">
        <x:v>SCA-20</x:v>
      </x:c>
      <x:c r="C1765" s="44" t="n">
        <x:v>4372</x:v>
      </x:c>
      <x:c r="D1765" s="44" t="n">
        <x:v>65.8101928400258</x:v>
      </x:c>
      <x:c r="E1765" s="44" t="n">
        <x:v>1005.9856467315716</x:v>
      </x:c>
      <x:c r="F1765" s="44" t="n">
        <x:v>39.735165025147616</x:v>
      </x:c>
      <x:c r="G1765" s="44" t="n">
        <x:v>76.7918405192397</x:v>
      </x:c>
      <x:c r="H1765" s="44" t="n">
        <x:v>3183.677154884015</x:v>
      </x:c>
      <x:c r="I1765" s="44" t="n">
        <x:v>4372</x:v>
      </x:c>
      <x:c r="J1765" s="44" t="n">
        <x:v>1034</x:v>
      </x:c>
      <x:c r="K1765" s="44" t="n">
        <x:v>63.62928925135794</x:v>
      </x:c>
      <x:c r="L1765" s="44" t="n">
        <x:v>23.894124226210323</x:v>
      </x:c>
    </x:row>
    <x:row r="1766" ht="15" hidden="0" customHeight="1">
      <x:c r="A1766" s="27" t="str">
        <x:v>22107</x:v>
      </x:c>
      <x:c r="B1766" s="27" t="str">
        <x:v>SCA-20</x:v>
      </x:c>
      <x:c r="C1766" s="43" t="n">
        <x:v>3700</x:v>
      </x:c>
      <x:c r="D1766" s="43" t="n">
        <x:v>49.75688159928686</x:v>
      </x:c>
      <x:c r="E1766" s="43" t="n">
        <x:v>728.9624387588459</x:v>
      </x:c>
      <x:c r="F1766" s="43" t="n">
        <x:v>42.880891664088225</x:v>
      </x:c>
      <x:c r="G1766" s="43" t="n">
        <x:v>157.76265650517146</x:v>
      </x:c>
      <x:c r="H1766" s="43" t="n">
        <x:v>2720.6371314726075</x:v>
      </x:c>
      <x:c r="I1766" s="43" t="n">
        <x:v>3700</x:v>
      </x:c>
      <x:c r="J1766" s="43" t="n">
        <x:v>754</x:v>
      </x:c>
      <x:c r="K1766" s="43" t="n">
        <x:v>62.26433831508983</x:v>
      </x:c>
      <x:c r="L1766" s="43" t="n">
        <x:v>19.383446651001602</x:v>
      </x:c>
    </x:row>
    <x:row r="1767" ht="15" hidden="0" customHeight="1">
      <x:c r="A1767" s="29" t="str">
        <x:v>28125</x:v>
      </x:c>
      <x:c r="B1767" s="29" t="str">
        <x:v>SCA-20</x:v>
      </x:c>
      <x:c r="C1767" s="44" t="n">
        <x:v>3097</x:v>
      </x:c>
      <x:c r="D1767" s="44" t="n">
        <x:v>41.73304493452863</x:v>
      </x:c>
      <x:c r="E1767" s="44" t="n">
        <x:v>506.6833183143387</x:v>
      </x:c>
      <x:c r="F1767" s="44" t="n">
        <x:v>31.554564492281237</x:v>
      </x:c>
      <x:c r="G1767" s="44" t="n">
        <x:v>162.18261330506226</x:v>
      </x:c>
      <x:c r="H1767" s="44" t="n">
        <x:v>2354.8464589537894</x:v>
      </x:c>
      <x:c r="I1767" s="44" t="n">
        <x:v>3097</x:v>
      </x:c>
      <x:c r="J1767" s="44" t="n">
        <x:v>643</x:v>
      </x:c>
      <x:c r="K1767" s="44" t="n">
        <x:v>52.17580449704576</x:v>
      </x:c>
      <x:c r="L1767" s="44" t="n">
        <x:v>20.621240004764523</x:v>
      </x:c>
    </x:row>
    <x:row r="1768" ht="15" hidden="0" customHeight="1">
      <x:c r="A1768" s="27" t="str">
        <x:v>28055</x:v>
      </x:c>
      <x:c r="B1768" s="27" t="str">
        <x:v>SCA-20</x:v>
      </x:c>
      <x:c r="C1768" s="43" t="n">
        <x:v>1263</x:v>
      </x:c>
      <x:c r="D1768" s="43" t="n">
        <x:v>25.385656499100378</x:v>
      </x:c>
      <x:c r="E1768" s="43" t="n">
        <x:v>407.42462035541195</x:v>
      </x:c>
      <x:c r="F1768" s="43" t="n">
        <x:v>12.86839359178276</x:v>
      </x:c>
      <x:c r="G1768" s="43" t="n">
        <x:v>33.198707592891765</x:v>
      </x:c>
      <x:c r="H1768" s="43" t="n">
        <x:v>784.122621960813</x:v>
      </x:c>
      <x:c r="I1768" s="43" t="n">
        <x:v>1263</x:v>
      </x:c>
      <x:c r="J1768" s="43" t="n">
        <x:v>208</x:v>
      </x:c>
      <x:c r="K1768" s="43" t="n">
        <x:v>21.278024242740976</x:v>
      </x:c>
      <x:c r="L1768" s="43" t="n">
        <x:v>8.409630650958215</x:v>
      </x:c>
    </x:row>
    <x:row r="1769" ht="15" hidden="0" customHeight="1">
      <x:c r="A1769" s="29" t="str">
        <x:v>17031</x:v>
      </x:c>
      <x:c r="B1769" s="29" t="str">
        <x:v>SCA-21</x:v>
      </x:c>
      <x:c r="C1769" s="44" t="n">
        <x:v>5194625</x:v>
      </x:c>
      <x:c r="D1769" s="44" t="n">
        <x:v>58112.73995368715</x:v>
      </x:c>
      <x:c r="E1769" s="44" t="n">
        <x:v>570420.4324106699</x:v>
      </x:c>
      <x:c r="F1769" s="44" t="n">
        <x:v>26500.169931809865</x:v>
      </x:c>
      <x:c r="G1769" s="44" t="n">
        <x:v>528355.6065514184</x:v>
      </x:c>
      <x:c r="H1769" s="44" t="n">
        <x:v>4011236.0511524146</x:v>
      </x:c>
      <x:c r="I1769" s="44" t="n">
        <x:v>5194625</x:v>
      </x:c>
      <x:c r="J1769" s="44" t="n">
        <x:v>587540</x:v>
      </x:c>
      <x:c r="K1769" s="44" t="n">
        <x:v>60845.39186838578</x:v>
      </x:c>
      <x:c r="L1769" s="44" t="n">
        <x:v>34345.22193657591</x:v>
      </x:c>
    </x:row>
    <x:row r="1770" ht="15" hidden="0" customHeight="1">
      <x:c r="A1770" s="27" t="str">
        <x:v>17043</x:v>
      </x:c>
      <x:c r="B1770" s="27" t="str">
        <x:v>SCA-21</x:v>
      </x:c>
      <x:c r="C1770" s="43" t="n">
        <x:v>934298</x:v>
      </x:c>
      <x:c r="D1770" s="43" t="n">
        <x:v>9534.190558454417</x:v>
      </x:c>
      <x:c r="E1770" s="43" t="n">
        <x:v>80565.76541242043</x:v>
      </x:c>
      <x:c r="F1770" s="43" t="n">
        <x:v>4766.283565599076</x:v>
      </x:c>
      <x:c r="G1770" s="43" t="n">
        <x:v>24570.647864815128</x:v>
      </x:c>
      <x:c r="H1770" s="43" t="n">
        <x:v>814861.1125987109</x:v>
      </x:c>
      <x:c r="I1770" s="43" t="n">
        <x:v>934298</x:v>
      </x:c>
      <x:c r="J1770" s="43" t="n">
        <x:v>82932</x:v>
      </x:c>
      <x:c r="K1770" s="43" t="n">
        <x:v>10943.567231869307</x:v>
      </x:c>
      <x:c r="L1770" s="43" t="n">
        <x:v>6177.283666270231</x:v>
      </x:c>
    </x:row>
    <x:row r="1771" ht="15" hidden="0" customHeight="1">
      <x:c r="A1771" s="29" t="str">
        <x:v>55079</x:v>
      </x:c>
      <x:c r="B1771" s="29" t="str">
        <x:v>SCA-21</x:v>
      </x:c>
      <x:c r="C1771" s="44" t="n">
        <x:v>924216</x:v>
      </x:c>
      <x:c r="D1771" s="44" t="n">
        <x:v>9229.37545546446</x:v>
      </x:c>
      <x:c r="E1771" s="44" t="n">
        <x:v>114830.51990851796</x:v>
      </x:c>
      <x:c r="F1771" s="44" t="n">
        <x:v>4887.122465541098</x:v>
      </x:c>
      <x:c r="G1771" s="44" t="n">
        <x:v>69111.16315869607</x:v>
      </x:c>
      <x:c r="H1771" s="44" t="n">
        <x:v>726157.8190117804</x:v>
      </x:c>
      <x:c r="I1771" s="44" t="n">
        <x:v>924216</x:v>
      </x:c>
      <x:c r="J1771" s="44" t="n">
        <x:v>119008</x:v>
      </x:c>
      <x:c r="K1771" s="44" t="n">
        <x:v>9331.892924817308</x:v>
      </x:c>
      <x:c r="L1771" s="44" t="n">
        <x:v>4444.77045927621</x:v>
      </x:c>
    </x:row>
    <x:row r="1772" ht="15" hidden="0" customHeight="1">
      <x:c r="A1772" s="27" t="str">
        <x:v>17097</x:v>
      </x:c>
      <x:c r="B1772" s="27" t="str">
        <x:v>SCA-21</x:v>
      </x:c>
      <x:c r="C1772" s="43" t="n">
        <x:v>719339</x:v>
      </x:c>
      <x:c r="D1772" s="43" t="n">
        <x:v>7587.6390248222715</x:v>
      </x:c>
      <x:c r="E1772" s="43" t="n">
        <x:v>67958.31506612846</x:v>
      </x:c>
      <x:c r="F1772" s="43" t="n">
        <x:v>3669.6788966630274</x:v>
      </x:c>
      <x:c r="G1772" s="43" t="n">
        <x:v>16990.019028198607</x:v>
      </x:c>
      <x:c r="H1772" s="43" t="n">
        <x:v>623133.3479841877</x:v>
      </x:c>
      <x:c r="I1772" s="43" t="n">
        <x:v>719339</x:v>
      </x:c>
      <x:c r="J1772" s="43" t="n">
        <x:v>68433</x:v>
      </x:c>
      <x:c r="K1772" s="43" t="n">
        <x:v>8425.721460396613</x:v>
      </x:c>
      <x:c r="L1772" s="43" t="n">
        <x:v>4756.042563733586</x:v>
      </x:c>
    </x:row>
    <x:row r="1773" ht="15" hidden="0" customHeight="1">
      <x:c r="A1773" s="29" t="str">
        <x:v>17197</x:v>
      </x:c>
      <x:c r="B1773" s="29" t="str">
        <x:v>SCA-21</x:v>
      </x:c>
      <x:c r="C1773" s="44" t="n">
        <x:v>712253</x:v>
      </x:c>
      <x:c r="D1773" s="44" t="n">
        <x:v>7549.687639578074</x:v>
      </x:c>
      <x:c r="E1773" s="44" t="n">
        <x:v>68171.89134423173</x:v>
      </x:c>
      <x:c r="F1773" s="44" t="n">
        <x:v>3633.5299534502246</x:v>
      </x:c>
      <x:c r="G1773" s="44" t="n">
        <x:v>14496.163207691023</x:v>
      </x:c>
      <x:c r="H1773" s="44" t="n">
        <x:v>618401.727855049</x:v>
      </x:c>
      <x:c r="I1773" s="44" t="n">
        <x:v>712253</x:v>
      </x:c>
      <x:c r="J1773" s="44" t="n">
        <x:v>69307</x:v>
      </x:c>
      <x:c r="K1773" s="44" t="n">
        <x:v>8342.722120351975</x:v>
      </x:c>
      <x:c r="L1773" s="44" t="n">
        <x:v>4709.19216690175</x:v>
      </x:c>
    </x:row>
    <x:row r="1774" ht="15" hidden="0" customHeight="1">
      <x:c r="A1774" s="27" t="str">
        <x:v>55025</x:v>
      </x:c>
      <x:c r="B1774" s="27" t="str">
        <x:v>SCA-21</x:v>
      </x:c>
      <x:c r="C1774" s="43" t="n">
        <x:v>590375</x:v>
      </x:c>
      <x:c r="D1774" s="43" t="n">
        <x:v>5015.748866461128</x:v>
      </x:c>
      <x:c r="E1774" s="43" t="n">
        <x:v>52235.94470046083</x:v>
      </x:c>
      <x:c r="F1774" s="43" t="n">
        <x:v>3121.818844938657</x:v>
      </x:c>
      <x:c r="G1774" s="43" t="n">
        <x:v>28862.769585253453</x:v>
      </x:c>
      <x:c r="H1774" s="43" t="n">
        <x:v>501138.71800288593</x:v>
      </x:c>
      <x:c r="I1774" s="43" t="n">
        <x:v>590375</x:v>
      </x:c>
      <x:c r="J1774" s="43" t="n">
        <x:v>52440</x:v>
      </x:c>
      <x:c r="K1774" s="43" t="n">
        <x:v>5961.070015547251</x:v>
      </x:c>
      <x:c r="L1774" s="43" t="n">
        <x:v>2839.2511706085943</x:v>
      </x:c>
    </x:row>
    <x:row r="1775" ht="15" hidden="0" customHeight="1">
      <x:c r="A1775" s="29" t="str">
        <x:v>17089</x:v>
      </x:c>
      <x:c r="B1775" s="29" t="str">
        <x:v>SCA-21</x:v>
      </x:c>
      <x:c r="C1775" s="44" t="n">
        <x:v>525757</x:v>
      </x:c>
      <x:c r="D1775" s="44" t="n">
        <x:v>5507.3355541669725</x:v>
      </x:c>
      <x:c r="E1775" s="44" t="n">
        <x:v>48748.706688269194</x:v>
      </x:c>
      <x:c r="F1775" s="44" t="n">
        <x:v>2682.1281310659697</x:v>
      </x:c>
      <x:c r="G1775" s="44" t="n">
        <x:v>12448.164118242717</x:v>
      </x:c>
      <x:c r="H1775" s="44" t="n">
        <x:v>456370.6655082552</x:v>
      </x:c>
      <x:c r="I1775" s="44" t="n">
        <x:v>525757</x:v>
      </x:c>
      <x:c r="J1775" s="44" t="n">
        <x:v>49598</x:v>
      </x:c>
      <x:c r="K1775" s="44" t="n">
        <x:v>6158.267573221725</x:v>
      </x:c>
      <x:c r="L1775" s="44" t="n">
        <x:v>3476.139442155755</x:v>
      </x:c>
    </x:row>
    <x:row r="1776" ht="15" hidden="0" customHeight="1">
      <x:c r="A1776" s="27" t="str">
        <x:v>18089</x:v>
      </x:c>
      <x:c r="B1776" s="27" t="str">
        <x:v>SCA-21</x:v>
      </x:c>
      <x:c r="C1776" s="43" t="n">
        <x:v>504612</x:v>
      </x:c>
      <x:c r="D1776" s="43" t="n">
        <x:v>6189.260214495528</x:v>
      </x:c>
      <x:c r="E1776" s="43" t="n">
        <x:v>65977.96588594349</x:v>
      </x:c>
      <x:c r="F1776" s="43" t="n">
        <x:v>3284.767417308208</x:v>
      </x:c>
      <x:c r="G1776" s="43" t="n">
        <x:v>20136.956722662835</x:v>
      </x:c>
      <x:c r="H1776" s="43" t="n">
        <x:v>409023.0497595899</x:v>
      </x:c>
      <x:c r="I1776" s="43" t="n">
        <x:v>504612</x:v>
      </x:c>
      <x:c r="J1776" s="43" t="n">
        <x:v>67609</x:v>
      </x:c>
      <x:c r="K1776" s="43" t="n">
        <x:v>6724.945719889424</x:v>
      </x:c>
      <x:c r="L1776" s="43" t="n">
        <x:v>3440.178302581216</x:v>
      </x:c>
    </x:row>
    <x:row r="1777" ht="15" hidden="0" customHeight="1">
      <x:c r="A1777" s="29" t="str">
        <x:v>55133</x:v>
      </x:c>
      <x:c r="B1777" s="29" t="str">
        <x:v>SCA-21</x:v>
      </x:c>
      <x:c r="C1777" s="44" t="n">
        <x:v>417210</x:v>
      </x:c>
      <x:c r="D1777" s="44" t="n">
        <x:v>3633.1637503074408</x:v>
      </x:c>
      <x:c r="E1777" s="44" t="n">
        <x:v>39040.883568503836</x:v>
      </x:c>
      <x:c r="F1777" s="44" t="n">
        <x:v>2206.147008760291</x:v>
      </x:c>
      <x:c r="G1777" s="44" t="n">
        <x:v>7450.794300482712</x:v>
      </x:c>
      <x:c r="H1777" s="44" t="n">
        <x:v>364879.01137194573</x:v>
      </x:c>
      <x:c r="I1777" s="44" t="n">
        <x:v>417210</x:v>
      </x:c>
      <x:c r="J1777" s="44" t="n">
        <x:v>39922</x:v>
      </x:c>
      <x:c r="K1777" s="44" t="n">
        <x:v>4212.607277046739</x:v>
      </x:c>
      <x:c r="L1777" s="44" t="n">
        <x:v>2006.460268286448</x:v>
      </x:c>
    </x:row>
    <x:row r="1778" ht="15" hidden="0" customHeight="1">
      <x:c r="A1778" s="27" t="str">
        <x:v>17111</x:v>
      </x:c>
      <x:c r="B1778" s="27" t="str">
        <x:v>SCA-21</x:v>
      </x:c>
      <x:c r="C1778" s="43" t="n">
        <x:v>317751</x:v>
      </x:c>
      <x:c r="D1778" s="43" t="n">
        <x:v>3385.392093038681</x:v>
      </x:c>
      <x:c r="E1778" s="43" t="n">
        <x:v>30828.54505523902</x:v>
      </x:c>
      <x:c r="F1778" s="43" t="n">
        <x:v>1620.9939112067796</x:v>
      </x:c>
      <x:c r="G1778" s="43" t="n">
        <x:v>5842.187504019138</x:v>
      </x:c>
      <x:c r="H1778" s="43" t="n">
        <x:v>276073.8814364964</x:v>
      </x:c>
      <x:c r="I1778" s="43" t="n">
        <x:v>317751</x:v>
      </x:c>
      <x:c r="J1778" s="43" t="n">
        <x:v>31432</x:v>
      </x:c>
      <x:c r="K1778" s="43" t="n">
        <x:v>3721.863293610501</x:v>
      </x:c>
      <x:c r="L1778" s="43" t="n">
        <x:v>2100.8693824037214</x:v>
      </x:c>
    </x:row>
    <x:row r="1779" ht="15" hidden="0" customHeight="1">
      <x:c r="A1779" s="29" t="str">
        <x:v>26139</x:v>
      </x:c>
      <x:c r="B1779" s="29" t="str">
        <x:v>SCA-21</x:v>
      </x:c>
      <x:c r="C1779" s="44" t="n">
        <x:v>308459</x:v>
      </x:c>
      <x:c r="D1779" s="44" t="n">
        <x:v>2603.964674178965</x:v>
      </x:c>
      <x:c r="E1779" s="44" t="n">
        <x:v>29819.148283000915</x:v>
      </x:c>
      <x:c r="F1779" s="44" t="n">
        <x:v>1724.968855979022</x:v>
      </x:c>
      <x:c r="G1779" s="44" t="n">
        <x:v>6452.4823499958275</x:v>
      </x:c>
      <x:c r="H1779" s="44" t="n">
        <x:v>267858.43583684525</x:v>
      </x:c>
      <x:c r="I1779" s="44" t="n">
        <x:v>308459</x:v>
      </x:c>
      <x:c r="J1779" s="44" t="n">
        <x:v>30167</x:v>
      </x:c>
      <x:c r="K1779" s="44" t="n">
        <x:v>3086.4690183662824</x:v>
      </x:c>
      <x:c r="L1779" s="44" t="n">
        <x:v>1361.5001623872604</x:v>
      </x:c>
    </x:row>
    <x:row r="1780" ht="15" hidden="0" customHeight="1">
      <x:c r="A1780" s="27" t="str">
        <x:v>17201</x:v>
      </x:c>
      <x:c r="B1780" s="27" t="str">
        <x:v>SCA-21</x:v>
      </x:c>
      <x:c r="C1780" s="43" t="n">
        <x:v>283674</x:v>
      </x:c>
      <x:c r="D1780" s="43" t="n">
        <x:v>3613.116386204889</x:v>
      </x:c>
      <x:c r="E1780" s="43" t="n">
        <x:v>41701.281089834214</x:v>
      </x:c>
      <x:c r="F1780" s="43" t="n">
        <x:v>1447.151470074593</x:v>
      </x:c>
      <x:c r="G1780" s="43" t="n">
        <x:v>13130.304941524226</x:v>
      </x:c>
      <x:c r="H1780" s="43" t="n">
        <x:v>223782.14611236207</x:v>
      </x:c>
      <x:c r="I1780" s="43" t="n">
        <x:v>283674</x:v>
      </x:c>
      <x:c r="J1780" s="43" t="n">
        <x:v>42894</x:v>
      </x:c>
      <x:c r="K1780" s="43" t="n">
        <x:v>3322.7144775363895</x:v>
      </x:c>
      <x:c r="L1780" s="43" t="n">
        <x:v>1875.5630074617966</x:v>
      </x:c>
    </x:row>
    <x:row r="1781" ht="15" hidden="0" customHeight="1">
      <x:c r="A1781" s="29" t="str">
        <x:v>55009</x:v>
      </x:c>
      <x:c r="B1781" s="29" t="str">
        <x:v>SCA-21</x:v>
      </x:c>
      <x:c r="C1781" s="44" t="n">
        <x:v>275803</x:v>
      </x:c>
      <x:c r="D1781" s="44" t="n">
        <x:v>2623.5842055471053</x:v>
      </x:c>
      <x:c r="E1781" s="44" t="n">
        <x:v>31132.39692368451</x:v>
      </x:c>
      <x:c r="F1781" s="44" t="n">
        <x:v>1458.406949634751</x:v>
      </x:c>
      <x:c r="G1781" s="44" t="n">
        <x:v>6846.678117280616</x:v>
      </x:c>
      <x:c r="H1781" s="44" t="n">
        <x:v>233741.93380385303</x:v>
      </x:c>
      <x:c r="I1781" s="44" t="n">
        <x:v>275803</x:v>
      </x:c>
      <x:c r="J1781" s="44" t="n">
        <x:v>31559</x:v>
      </x:c>
      <x:c r="K1781" s="44" t="n">
        <x:v>2784.807950028335</x:v>
      </x:c>
      <x:c r="L1781" s="44" t="n">
        <x:v>1326.4010003935841</x:v>
      </x:c>
    </x:row>
    <x:row r="1782" ht="15" hidden="0" customHeight="1">
      <x:c r="A1782" s="27" t="str">
        <x:v>18141</x:v>
      </x:c>
      <x:c r="B1782" s="27" t="str">
        <x:v>SCA-21</x:v>
      </x:c>
      <x:c r="C1782" s="43" t="n">
        <x:v>272861</x:v>
      </x:c>
      <x:c r="D1782" s="43" t="n">
        <x:v>3321.834508026911</x:v>
      </x:c>
      <x:c r="E1782" s="43" t="n">
        <x:v>35078.693155637775</x:v>
      </x:c>
      <x:c r="F1782" s="43" t="n">
        <x:v>1776.1863020580863</x:v>
      </x:c>
      <x:c r="G1782" s="43" t="n">
        <x:v>9742.151987790214</x:v>
      </x:c>
      <x:c r="H1782" s="43" t="n">
        <x:v>222942.13404648702</x:v>
      </x:c>
      <x:c r="I1782" s="43" t="n">
        <x:v>272861</x:v>
      </x:c>
      <x:c r="J1782" s="43" t="n">
        <x:v>36194</x:v>
      </x:c>
      <x:c r="K1782" s="43" t="n">
        <x:v>3636.408595266756</x:v>
      </x:c>
      <x:c r="L1782" s="43" t="n">
        <x:v>1860.2222932086697</x:v>
      </x:c>
    </x:row>
    <x:row r="1783" ht="15" hidden="0" customHeight="1">
      <x:c r="A1783" s="29" t="str">
        <x:v>19113</x:v>
      </x:c>
      <x:c r="B1783" s="29" t="str">
        <x:v>SCA-21</x:v>
      </x:c>
      <x:c r="C1783" s="44" t="n">
        <x:v>232028</x:v>
      </x:c>
      <x:c r="D1783" s="44" t="n">
        <x:v>3141.9620987740436</x:v>
      </x:c>
      <x:c r="E1783" s="44" t="n">
        <x:v>26483.365104754546</x:v>
      </x:c>
      <x:c r="F1783" s="44" t="n">
        <x:v>1086.9626261521933</x:v>
      </x:c>
      <x:c r="G1783" s="44" t="n">
        <x:v>5789.7446481704155</x:v>
      </x:c>
      <x:c r="H1783" s="44" t="n">
        <x:v>195525.9655221488</x:v>
      </x:c>
      <x:c r="I1783" s="44" t="n">
        <x:v>232028</x:v>
      </x:c>
      <x:c r="J1783" s="44" t="n">
        <x:v>27092</x:v>
      </x:c>
      <x:c r="K1783" s="44" t="n">
        <x:v>3125.4511788947975</x:v>
      </x:c>
      <x:c r="L1783" s="44" t="n">
        <x:v>2038.4885527426043</x:v>
      </x:c>
    </x:row>
    <x:row r="1784" ht="15" hidden="0" customHeight="1">
      <x:c r="A1784" s="27" t="str">
        <x:v>17019</x:v>
      </x:c>
      <x:c r="B1784" s="27" t="str">
        <x:v>SCA-21</x:v>
      </x:c>
      <x:c r="C1784" s="43" t="n">
        <x:v>209972</x:v>
      </x:c>
      <x:c r="D1784" s="43" t="n">
        <x:v>2241.905341444305</x:v>
      </x:c>
      <x:c r="E1784" s="43" t="n">
        <x:v>20487.281036071272</x:v>
      </x:c>
      <x:c r="F1784" s="43" t="n">
        <x:v>1071.1636895679633</x:v>
      </x:c>
      <x:c r="G1784" s="43" t="n">
        <x:v>14316.762436621757</x:v>
      </x:c>
      <x:c r="H1784" s="43" t="n">
        <x:v>171854.88749629472</x:v>
      </x:c>
      <x:c r="I1784" s="43" t="n">
        <x:v>209972</x:v>
      </x:c>
      <x:c r="J1784" s="43" t="n">
        <x:v>21048</x:v>
      </x:c>
      <x:c r="K1784" s="43" t="n">
        <x:v>2459.432321175965</x:v>
      </x:c>
      <x:c r="L1784" s="43" t="n">
        <x:v>1388.268631608002</x:v>
      </x:c>
    </x:row>
    <x:row r="1785" ht="15" hidden="0" customHeight="1">
      <x:c r="A1785" s="29" t="str">
        <x:v>18039</x:v>
      </x:c>
      <x:c r="B1785" s="29" t="str">
        <x:v>SCA-21</x:v>
      </x:c>
      <x:c r="C1785" s="44" t="n">
        <x:v>208774</x:v>
      </x:c>
      <x:c r="D1785" s="44" t="n">
        <x:v>2464.8117762903416</x:v>
      </x:c>
      <x:c r="E1785" s="44" t="n">
        <x:v>24996.01983849758</x:v>
      </x:c>
      <x:c r="F1785" s="44" t="n">
        <x:v>1359.0125339490617</x:v>
      </x:c>
      <x:c r="G1785" s="44" t="n">
        <x:v>11871.472832916103</x:v>
      </x:c>
      <x:c r="H1785" s="44" t="n">
        <x:v>168082.6830183469</x:v>
      </x:c>
      <x:c r="I1785" s="44" t="n">
        <x:v>208774</x:v>
      </x:c>
      <x:c r="J1785" s="44" t="n">
        <x:v>25607</x:v>
      </x:c>
      <x:c r="K1785" s="44" t="n">
        <x:v>2782.323483635337</x:v>
      </x:c>
      <x:c r="L1785" s="44" t="n">
        <x:v>1423.3109496862755</x:v>
      </x:c>
    </x:row>
    <x:row r="1786" ht="15" hidden="0" customHeight="1">
      <x:c r="A1786" s="27" t="str">
        <x:v>55101</x:v>
      </x:c>
      <x:c r="B1786" s="27" t="str">
        <x:v>SCA-21</x:v>
      </x:c>
      <x:c r="C1786" s="43" t="n">
        <x:v>198919</x:v>
      </x:c>
      <x:c r="D1786" s="43" t="n">
        <x:v>2091.6149858672825</x:v>
      </x:c>
      <x:c r="E1786" s="43" t="n">
        <x:v>27239.210075295436</x:v>
      </x:c>
      <x:c r="F1786" s="43" t="n">
        <x:v>1051.8553170719501</x:v>
      </x:c>
      <x:c r="G1786" s="43" t="n">
        <x:v>5383.780408169606</x:v>
      </x:c>
      <x:c r="H1786" s="43" t="n">
        <x:v>163152.53921359574</x:v>
      </x:c>
      <x:c r="I1786" s="43" t="n">
        <x:v>198919</x:v>
      </x:c>
      <x:c r="J1786" s="43" t="n">
        <x:v>27545</x:v>
      </x:c>
      <x:c r="K1786" s="43" t="n">
        <x:v>2008.5032164685897</x:v>
      </x:c>
      <x:c r="L1786" s="43" t="n">
        <x:v>956.6478993966394</x:v>
      </x:c>
    </x:row>
    <x:row r="1787" ht="15" hidden="0" customHeight="1">
      <x:c r="A1787" s="29" t="str">
        <x:v>55087</x:v>
      </x:c>
      <x:c r="B1787" s="29" t="str">
        <x:v>SCA-21</x:v>
      </x:c>
      <x:c r="C1787" s="44" t="n">
        <x:v>195894</x:v>
      </x:c>
      <x:c r="D1787" s="44" t="n">
        <x:v>1852.4894248113735</x:v>
      </x:c>
      <x:c r="E1787" s="44" t="n">
        <x:v>21849.34695504984</x:v>
      </x:c>
      <x:c r="F1787" s="44" t="n">
        <x:v>1035.859548270867</x:v>
      </x:c>
      <x:c r="G1787" s="44" t="n">
        <x:v>4393.891550686478</x:v>
      </x:c>
      <x:c r="H1787" s="44" t="n">
        <x:v>166762.41252118142</x:v>
      </x:c>
      <x:c r="I1787" s="44" t="n">
        <x:v>195894</x:v>
      </x:c>
      <x:c r="J1787" s="44" t="n">
        <x:v>22239</x:v>
      </x:c>
      <x:c r="K1787" s="44" t="n">
        <x:v>1977.9595166218305</x:v>
      </x:c>
      <x:c r="L1787" s="44" t="n">
        <x:v>942.0999683509634</x:v>
      </x:c>
    </x:row>
    <x:row r="1788" ht="15" hidden="0" customHeight="1">
      <x:c r="A1788" s="27" t="str">
        <x:v>18157</x:v>
      </x:c>
      <x:c r="B1788" s="27" t="str">
        <x:v>SCA-21</x:v>
      </x:c>
      <x:c r="C1788" s="43" t="n">
        <x:v>190456</x:v>
      </x:c>
      <x:c r="D1788" s="43" t="n">
        <x:v>2029.0421293704694</x:v>
      </x:c>
      <x:c r="E1788" s="43" t="n">
        <x:v>17534.727268768078</x:v>
      </x:c>
      <x:c r="F1788" s="43" t="n">
        <x:v>1239.7716725540656</x:v>
      </x:c>
      <x:c r="G1788" s="43" t="n">
        <x:v>10732.985096015283</x:v>
      </x:c>
      <x:c r="H1788" s="43" t="n">
        <x:v>158919.47383329208</x:v>
      </x:c>
      <x:c r="I1788" s="43" t="n">
        <x:v>190456</x:v>
      </x:c>
      <x:c r="J1788" s="43" t="n">
        <x:v>17969</x:v>
      </x:c>
      <x:c r="K1788" s="43" t="n">
        <x:v>2538.200165725865</x:v>
      </x:c>
      <x:c r="L1788" s="43" t="n">
        <x:v>1298.4284931717996</x:v>
      </x:c>
    </x:row>
    <x:row r="1789" ht="15" hidden="0" customHeight="1">
      <x:c r="A1789" s="29" t="str">
        <x:v>17143</x:v>
      </x:c>
      <x:c r="B1789" s="29" t="str">
        <x:v>SCA-21</x:v>
      </x:c>
      <x:c r="C1789" s="44" t="n">
        <x:v>178553</x:v>
      </x:c>
      <x:c r="D1789" s="44" t="n">
        <x:v>2189.201607515235</x:v>
      </x:c>
      <x:c r="E1789" s="44" t="n">
        <x:v>24207.97183857109</x:v>
      </x:c>
      <x:c r="F1789" s="44" t="n">
        <x:v>910.8809282353293</x:v>
      </x:c>
      <x:c r="G1789" s="44" t="n">
        <x:v>8375.176428966093</x:v>
      </x:c>
      <x:c r="H1789" s="44" t="n">
        <x:v>142869.76919671224</x:v>
      </x:c>
      <x:c r="I1789" s="44" t="n">
        <x:v>178553</x:v>
      </x:c>
      <x:c r="J1789" s="44" t="n">
        <x:v>25049</x:v>
      </x:c>
      <x:c r="K1789" s="44" t="n">
        <x:v>2091.417042476769</x:v>
      </x:c>
      <x:c r="L1789" s="44" t="n">
        <x:v>1180.5361142414397</x:v>
      </x:c>
    </x:row>
    <x:row r="1790" ht="15" hidden="0" customHeight="1">
      <x:c r="A1790" s="27" t="str">
        <x:v>26121</x:v>
      </x:c>
      <x:c r="B1790" s="27" t="str">
        <x:v>SCA-21</x:v>
      </x:c>
      <x:c r="C1790" s="43" t="n">
        <x:v>177901</x:v>
      </x:c>
      <x:c r="D1790" s="43" t="n">
        <x:v>1859.4344845821415</x:v>
      </x:c>
      <x:c r="E1790" s="43" t="n">
        <x:v>25780.831394061457</x:v>
      </x:c>
      <x:c r="F1790" s="43" t="n">
        <x:v>994.8605307270138</x:v>
      </x:c>
      <x:c r="G1790" s="43" t="n">
        <x:v>7520.841244986699</x:v>
      </x:c>
      <x:c r="H1790" s="43" t="n">
        <x:v>141745.03234564268</x:v>
      </x:c>
      <x:c r="I1790" s="43" t="n">
        <x:v>177901</x:v>
      </x:c>
      <x:c r="J1790" s="43" t="n">
        <x:v>25933</x:v>
      </x:c>
      <x:c r="K1790" s="43" t="n">
        <x:v>1780.0937072232614</x:v>
      </x:c>
      <x:c r="L1790" s="43" t="n">
        <x:v>785.2331764962476</x:v>
      </x:c>
    </x:row>
    <x:row r="1791" ht="15" hidden="0" customHeight="1">
      <x:c r="A1791" s="29" t="str">
        <x:v>18127</x:v>
      </x:c>
      <x:c r="B1791" s="29" t="str">
        <x:v>SCA-21</x:v>
      </x:c>
      <x:c r="C1791" s="44" t="n">
        <x:v>176049</x:v>
      </x:c>
      <x:c r="D1791" s="44" t="n">
        <x:v>2009.4433900896802</x:v>
      </x:c>
      <x:c r="E1791" s="44" t="n">
        <x:v>19421.621267927665</x:v>
      </x:c>
      <x:c r="F1791" s="44" t="n">
        <x:v>1145.9894315824686</x:v>
      </x:c>
      <x:c r="G1791" s="44" t="n">
        <x:v>3465.1036686759508</x:v>
      </x:c>
      <x:c r="H1791" s="44" t="n">
        <x:v>150006.84224172423</x:v>
      </x:c>
      <x:c r="I1791" s="44" t="n">
        <x:v>176049</x:v>
      </x:c>
      <x:c r="J1791" s="44" t="n">
        <x:v>19903</x:v>
      </x:c>
      <x:c r="K1791" s="44" t="n">
        <x:v>2346.1986021751627</x:v>
      </x:c>
      <x:c r="L1791" s="44" t="n">
        <x:v>1200.2091705926941</x:v>
      </x:c>
    </x:row>
    <x:row r="1792" ht="15" hidden="0" customHeight="1">
      <x:c r="A1792" s="27" t="str">
        <x:v>19163</x:v>
      </x:c>
      <x:c r="B1792" s="27" t="str">
        <x:v>SCA-21</x:v>
      </x:c>
      <x:c r="C1792" s="43" t="n">
        <x:v>175259</x:v>
      </x:c>
      <x:c r="D1792" s="43" t="n">
        <x:v>2440.8108849541177</x:v>
      </x:c>
      <x:c r="E1792" s="43" t="n">
        <x:v>21625.631673661934</x:v>
      </x:c>
      <x:c r="F1792" s="43" t="n">
        <x:v>821.021527129516</x:v>
      </x:c>
      <x:c r="G1792" s="43" t="n">
        <x:v>6871.94697179923</x:v>
      </x:c>
      <x:c r="H1792" s="43" t="n">
        <x:v>143499.58894245522</x:v>
      </x:c>
      <x:c r="I1792" s="43" t="n">
        <x:v>175259</x:v>
      </x:c>
      <x:c r="J1792" s="43" t="n">
        <x:v>22233</x:v>
      </x:c>
      <x:c r="K1792" s="43" t="n">
        <x:v>2360.764425681053</x:v>
      </x:c>
      <x:c r="L1792" s="43" t="n">
        <x:v>1539.742898551537</x:v>
      </x:c>
    </x:row>
    <x:row r="1793" ht="15" hidden="0" customHeight="1">
      <x:c r="A1793" s="29" t="str">
        <x:v>55139</x:v>
      </x:c>
      <x:c r="B1793" s="29" t="str">
        <x:v>SCA-21</x:v>
      </x:c>
      <x:c r="C1793" s="44" t="n">
        <x:v>174218</x:v>
      </x:c>
      <x:c r="D1793" s="44" t="n">
        <x:v>1746.2136002791713</x:v>
      </x:c>
      <x:c r="E1793" s="44" t="n">
        <x:v>21800.605804394596</x:v>
      </x:c>
      <x:c r="F1793" s="44" t="n">
        <x:v>921.2399500783789</x:v>
      </x:c>
      <x:c r="G1793" s="44" t="n">
        <x:v>5687.089384792338</x:v>
      </x:c>
      <x:c r="H1793" s="44" t="n">
        <x:v>144062.85126045553</x:v>
      </x:c>
      <x:c r="I1793" s="44" t="n">
        <x:v>174218</x:v>
      </x:c>
      <x:c r="J1793" s="44" t="n">
        <x:v>21872</x:v>
      </x:c>
      <x:c r="K1793" s="44" t="n">
        <x:v>1759.0949751744417</x:v>
      </x:c>
      <x:c r="L1793" s="44" t="n">
        <x:v>837.8550250960628</x:v>
      </x:c>
    </x:row>
    <x:row r="1794" ht="15" hidden="0" customHeight="1">
      <x:c r="A1794" s="27" t="str">
        <x:v>17113</x:v>
      </x:c>
      <x:c r="B1794" s="27" t="str">
        <x:v>SCA-21</x:v>
      </x:c>
      <x:c r="C1794" s="43" t="n">
        <x:v>171419</x:v>
      </x:c>
      <x:c r="D1794" s="43" t="n">
        <x:v>1822.944812332768</x:v>
      </x:c>
      <x:c r="E1794" s="43" t="n">
        <x:v>16549.834938775508</x:v>
      </x:c>
      <x:c r="F1794" s="43" t="n">
        <x:v>874.4871149584263</x:v>
      </x:c>
      <x:c r="G1794" s="43" t="n">
        <x:v>5336.325023457659</x:v>
      </x:c>
      <x:c r="H1794" s="43" t="n">
        <x:v>146835.40811047563</x:v>
      </x:c>
      <x:c r="I1794" s="43" t="n">
        <x:v>171419</x:v>
      </x:c>
      <x:c r="J1794" s="43" t="n">
        <x:v>17149</x:v>
      </x:c>
      <x:c r="K1794" s="43" t="n">
        <x:v>2007.8554715088812</x:v>
      </x:c>
      <x:c r="L1794" s="43" t="n">
        <x:v>1133.3683565504548</x:v>
      </x:c>
    </x:row>
    <x:row r="1795" ht="15" hidden="0" customHeight="1">
      <x:c r="A1795" s="29" t="str">
        <x:v>55059</x:v>
      </x:c>
      <x:c r="B1795" s="29" t="str">
        <x:v>SCA-21</x:v>
      </x:c>
      <x:c r="C1795" s="44" t="n">
        <x:v>168448</x:v>
      </x:c>
      <x:c r="D1795" s="44" t="n">
        <x:v>1699.8682550776864</x:v>
      </x:c>
      <x:c r="E1795" s="44" t="n">
        <x:v>21354.3001612797</x:v>
      </x:c>
      <x:c r="F1795" s="44" t="n">
        <x:v>890.7290125635853</x:v>
      </x:c>
      <x:c r="G1795" s="44" t="n">
        <x:v>4536.32502888547</x:v>
      </x:c>
      <x:c r="H1795" s="44" t="n">
        <x:v>139966.77754219357</x:v>
      </x:c>
      <x:c r="I1795" s="44" t="n">
        <x:v>168448</x:v>
      </x:c>
      <x:c r="J1795" s="44" t="n">
        <x:v>22058</x:v>
      </x:c>
      <x:c r="K1795" s="44" t="n">
        <x:v>1700.8347609212844</x:v>
      </x:c>
      <x:c r="L1795" s="44" t="n">
        <x:v>810.105748357699</x:v>
      </x:c>
    </x:row>
    <x:row r="1796" ht="15" hidden="0" customHeight="1">
      <x:c r="A1796" s="27" t="str">
        <x:v>55105</x:v>
      </x:c>
      <x:c r="B1796" s="27" t="str">
        <x:v>SCA-21</x:v>
      </x:c>
      <x:c r="C1796" s="43" t="n">
        <x:v>166472</x:v>
      </x:c>
      <x:c r="D1796" s="43" t="n">
        <x:v>1653.8964544459484</x:v>
      </x:c>
      <x:c r="E1796" s="43" t="n">
        <x:v>20479.05003104696</x:v>
      </x:c>
      <x:c r="F1796" s="43" t="n">
        <x:v>880.2802062326962</x:v>
      </x:c>
      <x:c r="G1796" s="43" t="n">
        <x:v>4919.448977654761</x:v>
      </x:c>
      <x:c r="H1796" s="43" t="n">
        <x:v>138539.32433061962</x:v>
      </x:c>
      <x:c r="I1796" s="43" t="n">
        <x:v>166472</x:v>
      </x:c>
      <x:c r="J1796" s="43" t="n">
        <x:v>20926</x:v>
      </x:c>
      <x:c r="K1796" s="43" t="n">
        <x:v>1680.8829093850213</x:v>
      </x:c>
      <x:c r="L1796" s="43" t="n">
        <x:v>800.6027031523251</x:v>
      </x:c>
    </x:row>
    <x:row r="1797" ht="15" hidden="0" customHeight="1">
      <x:c r="A1797" s="29" t="str">
        <x:v>19103</x:v>
      </x:c>
      <x:c r="B1797" s="29" t="str">
        <x:v>SCA-21</x:v>
      </x:c>
      <x:c r="C1797" s="44" t="n">
        <x:v>160044</x:v>
      </x:c>
      <x:c r="D1797" s="44" t="n">
        <x:v>2038.6289448594978</x:v>
      </x:c>
      <x:c r="E1797" s="44" t="n">
        <x:v>15181.388613379995</x:v>
      </x:c>
      <x:c r="F1797" s="44" t="n">
        <x:v>749.745058957978</x:v>
      </x:c>
      <x:c r="G1797" s="44" t="n">
        <x:v>6339.421106325828</x:v>
      </x:c>
      <x:c r="H1797" s="44" t="n">
        <x:v>135734.81627647672</x:v>
      </x:c>
      <x:c r="I1797" s="44" t="n">
        <x:v>160044</x:v>
      </x:c>
      <x:c r="J1797" s="44" t="n">
        <x:v>15303</x:v>
      </x:c>
      <x:c r="K1797" s="44" t="n">
        <x:v>2155.8161449266427</x:v>
      </x:c>
      <x:c r="L1797" s="44" t="n">
        <x:v>1406.0710859686646</x:v>
      </x:c>
    </x:row>
    <x:row r="1798" ht="15" hidden="0" customHeight="1">
      <x:c r="A1798" s="27" t="str">
        <x:v>26021</x:v>
      </x:c>
      <x:c r="B1798" s="27" t="str">
        <x:v>SCA-21</x:v>
      </x:c>
      <x:c r="C1798" s="43" t="n">
        <x:v>152444</x:v>
      </x:c>
      <x:c r="D1798" s="43" t="n">
        <x:v>1542.8835619699107</x:v>
      </x:c>
      <x:c r="E1798" s="43" t="n">
        <x:v>20880.347006510157</x:v>
      </x:c>
      <x:c r="F1798" s="43" t="n">
        <x:v>852.4995292109032</x:v>
      </x:c>
      <x:c r="G1798" s="43" t="n">
        <x:v>6791.7071480239365</x:v>
      </x:c>
      <x:c r="H1798" s="43" t="n">
        <x:v>122376.56275428509</x:v>
      </x:c>
      <x:c r="I1798" s="43" t="n">
        <x:v>152444</x:v>
      </x:c>
      <x:c r="J1798" s="43" t="n">
        <x:v>21697</x:v>
      </x:c>
      <x:c r="K1798" s="43" t="n">
        <x:v>1525.3686325762242</x:v>
      </x:c>
      <x:c r="L1798" s="43" t="n">
        <x:v>672.8691033653209</x:v>
      </x:c>
    </x:row>
    <x:row r="1799" ht="15" hidden="0" customHeight="1">
      <x:c r="A1799" s="29" t="str">
        <x:v>17093</x:v>
      </x:c>
      <x:c r="B1799" s="29" t="str">
        <x:v>SCA-21</x:v>
      </x:c>
      <x:c r="C1799" s="44" t="n">
        <x:v>145470</x:v>
      </x:c>
      <x:c r="D1799" s="44" t="n">
        <x:v>1436.6492676342664</x:v>
      </x:c>
      <x:c r="E1799" s="44" t="n">
        <x:v>11396.340333037106</x:v>
      </x:c>
      <x:c r="F1799" s="44" t="n">
        <x:v>742.1093380138859</x:v>
      </x:c>
      <x:c r="G1799" s="44" t="n">
        <x:v>1378.050578371527</x:v>
      </x:c>
      <x:c r="H1799" s="44" t="n">
        <x:v>130516.8504829432</x:v>
      </x:c>
      <x:c r="I1799" s="44" t="n">
        <x:v>145470</x:v>
      </x:c>
      <x:c r="J1799" s="44" t="n">
        <x:v>11203</x:v>
      </x:c>
      <x:c r="K1799" s="44" t="n">
        <x:v>1703.9110917716062</x:v>
      </x:c>
      <x:c r="L1799" s="44" t="n">
        <x:v>961.8017537577202</x:v>
      </x:c>
    </x:row>
    <x:row r="1800" ht="15" hidden="0" customHeight="1">
      <x:c r="A1800" s="27" t="str">
        <x:v>17161</x:v>
      </x:c>
      <x:c r="B1800" s="27" t="str">
        <x:v>SCA-21</x:v>
      </x:c>
      <x:c r="C1800" s="43" t="n">
        <x:v>141869</x:v>
      </x:c>
      <x:c r="D1800" s="43" t="n">
        <x:v>1810.7094298149402</x:v>
      </x:c>
      <x:c r="E1800" s="43" t="n">
        <x:v>20945.19245227062</x:v>
      </x:c>
      <x:c r="F1800" s="43" t="n">
        <x:v>723.7389817466967</x:v>
      </x:c>
      <x:c r="G1800" s="43" t="n">
        <x:v>6520.477928281172</x:v>
      </x:c>
      <x:c r="H1800" s="43" t="n">
        <x:v>111868.88120788656</x:v>
      </x:c>
      <x:c r="I1800" s="43" t="n">
        <x:v>141869</x:v>
      </x:c>
      <x:c r="J1800" s="43" t="n">
        <x:v>21572</x:v>
      </x:c>
      <x:c r="K1800" s="43" t="n">
        <x:v>1661.7320593836941</x:v>
      </x:c>
      <x:c r="L1800" s="43" t="n">
        <x:v>937.9930776369974</x:v>
      </x:c>
    </x:row>
    <x:row r="1801" ht="15" hidden="0" customHeight="1">
      <x:c r="A1801" s="29" t="str">
        <x:v>55131</x:v>
      </x:c>
      <x:c r="B1801" s="29" t="str">
        <x:v>SCA-21</x:v>
      </x:c>
      <x:c r="C1801" s="44" t="n">
        <x:v>139238</x:v>
      </x:c>
      <x:c r="D1801" s="44" t="n">
        <x:v>1263.9464684381273</x:v>
      </x:c>
      <x:c r="E1801" s="44" t="n">
        <x:v>14263.642267140443</x:v>
      </x:c>
      <x:c r="F1801" s="44" t="n">
        <x:v>736.2706963058541</x:v>
      </x:c>
      <x:c r="G1801" s="44" t="n">
        <x:v>2584.73723932545</x:v>
      </x:c>
      <x:c r="H1801" s="44" t="n">
        <x:v>120389.40332879013</x:v>
      </x:c>
      <x:c r="I1801" s="44" t="n">
        <x:v>139238</x:v>
      </x:c>
      <x:c r="J1801" s="44" t="n">
        <x:v>14655</x:v>
      </x:c>
      <x:c r="K1801" s="44" t="n">
        <x:v>1405.898736946463</x:v>
      </x:c>
      <x:c r="L1801" s="44" t="n">
        <x:v>669.6280406406089</x:v>
      </x:c>
    </x:row>
    <x:row r="1802" ht="15" hidden="0" customHeight="1">
      <x:c r="A1802" s="27" t="str">
        <x:v>17179</x:v>
      </x:c>
      <x:c r="B1802" s="27" t="str">
        <x:v>SCA-21</x:v>
      </x:c>
      <x:c r="C1802" s="43" t="n">
        <x:v>130049</x:v>
      </x:c>
      <x:c r="D1802" s="43" t="n">
        <x:v>1510.6134062708848</x:v>
      </x:c>
      <x:c r="E1802" s="43" t="n">
        <x:v>15618.490564782489</x:v>
      </x:c>
      <x:c r="F1802" s="43" t="n">
        <x:v>663.4397284620046</x:v>
      </x:c>
      <x:c r="G1802" s="43" t="n">
        <x:v>3536.3417251794613</x:v>
      </x:c>
      <x:c r="H1802" s="43" t="n">
        <x:v>108720.11457530517</x:v>
      </x:c>
      <x:c r="I1802" s="43" t="n">
        <x:v>130049</x:v>
      </x:c>
      <x:c r="J1802" s="43" t="n">
        <x:v>15946</x:v>
      </x:c>
      <x:c r="K1802" s="43" t="n">
        <x:v>1523.2826945336192</x:v>
      </x:c>
      <x:c r="L1802" s="43" t="n">
        <x:v>859.8429660716146</x:v>
      </x:c>
    </x:row>
    <x:row r="1803" ht="15" hidden="0" customHeight="1">
      <x:c r="A1803" s="29" t="str">
        <x:v>26005</x:v>
      </x:c>
      <x:c r="B1803" s="29" t="str">
        <x:v>SCA-21</x:v>
      </x:c>
      <x:c r="C1803" s="44" t="n">
        <x:v>123188</x:v>
      </x:c>
      <x:c r="D1803" s="44" t="n">
        <x:v>1115.5566311505534</x:v>
      </x:c>
      <x:c r="E1803" s="44" t="n">
        <x:v>13723.678094053865</x:v>
      </x:c>
      <x:c r="F1803" s="44" t="n">
        <x:v>688.8937052585392</x:v>
      </x:c>
      <x:c r="G1803" s="44" t="n">
        <x:v>1879.727777639618</x:v>
      </x:c>
      <x:c r="H1803" s="44" t="n">
        <x:v>105780.14379189743</x:v>
      </x:c>
      <x:c r="I1803" s="44" t="n">
        <x:v>123188</x:v>
      </x:c>
      <x:c r="J1803" s="44" t="n">
        <x:v>13999</x:v>
      </x:c>
      <x:c r="K1803" s="44" t="n">
        <x:v>1232.6304158235148</x:v>
      </x:c>
      <x:c r="L1803" s="44" t="n">
        <x:v>543.7367105649756</x:v>
      </x:c>
    </x:row>
    <x:row r="1804" ht="15" hidden="0" customHeight="1">
      <x:c r="A1804" s="27" t="str">
        <x:v>55117</x:v>
      </x:c>
      <x:c r="B1804" s="27" t="str">
        <x:v>SCA-21</x:v>
      </x:c>
      <x:c r="C1804" s="43" t="n">
        <x:v>118047</x:v>
      </x:c>
      <x:c r="D1804" s="43" t="n">
        <x:v>1129.2024477325388</x:v>
      </x:c>
      <x:c r="E1804" s="43" t="n">
        <x:v>13475.684931506848</x:v>
      </x:c>
      <x:c r="F1804" s="43" t="n">
        <x:v>624.2157089789939</x:v>
      </x:c>
      <x:c r="G1804" s="43" t="n">
        <x:v>3538.450532724505</x:v>
      </x:c>
      <x:c r="H1804" s="43" t="n">
        <x:v>99279.4463790571</x:v>
      </x:c>
      <x:c r="I1804" s="43" t="n">
        <x:v>118047</x:v>
      </x:c>
      <x:c r="J1804" s="43" t="n">
        <x:v>13750</x:v>
      </x:c>
      <x:c r="K1804" s="43" t="n">
        <x:v>1191.931284565414</x:v>
      </x:c>
      <x:c r="L1804" s="43" t="n">
        <x:v>567.7155755864201</x:v>
      </x:c>
    </x:row>
    <x:row r="1805" ht="15" hidden="0" customHeight="1">
      <x:c r="A1805" s="29" t="str">
        <x:v>18091</x:v>
      </x:c>
      <x:c r="B1805" s="29" t="str">
        <x:v>SCA-21</x:v>
      </x:c>
      <x:c r="C1805" s="44" t="n">
        <x:v>111294</x:v>
      </x:c>
      <x:c r="D1805" s="44" t="n">
        <x:v>1433.6605791996108</x:v>
      </x:c>
      <x:c r="E1805" s="44" t="n">
        <x:v>16198.003766074535</x:v>
      </x:c>
      <x:c r="F1805" s="44" t="n">
        <x:v>724.4673232937381</x:v>
      </x:c>
      <x:c r="G1805" s="44" t="n">
        <x:v>2727.1601323030422</x:v>
      </x:c>
      <x:c r="H1805" s="44" t="n">
        <x:v>90210.70819912906</x:v>
      </x:c>
      <x:c r="I1805" s="44" t="n">
        <x:v>111294</x:v>
      </x:c>
      <x:c r="J1805" s="44" t="n">
        <x:v>15951</x:v>
      </x:c>
      <x:c r="K1805" s="44" t="n">
        <x:v>1483.21107890691</x:v>
      </x:c>
      <x:c r="L1805" s="44" t="n">
        <x:v>758.7437556131719</x:v>
      </x:c>
    </x:row>
    <x:row r="1806" ht="15" hidden="0" customHeight="1">
      <x:c r="A1806" s="27" t="str">
        <x:v>17099</x:v>
      </x:c>
      <x:c r="B1806" s="27" t="str">
        <x:v>SCA-21</x:v>
      </x:c>
      <x:c r="C1806" s="43" t="n">
        <x:v>107773</x:v>
      </x:c>
      <x:c r="D1806" s="43" t="n">
        <x:v>1311.3949321289815</x:v>
      </x:c>
      <x:c r="E1806" s="43" t="n">
        <x:v>14372.012434575736</x:v>
      </x:c>
      <x:c r="F1806" s="43" t="n">
        <x:v>549.7996128808038</x:v>
      </x:c>
      <x:c r="G1806" s="43" t="n">
        <x:v>3764.681469733016</x:v>
      </x:c>
      <x:c r="H1806" s="43" t="n">
        <x:v>87775.11155068145</x:v>
      </x:c>
      <x:c r="I1806" s="43" t="n">
        <x:v>107773</x:v>
      </x:c>
      <x:c r="J1806" s="43" t="n">
        <x:v>14714</x:v>
      </x:c>
      <x:c r="K1806" s="43" t="n">
        <x:v>1262.3606935691298</x:v>
      </x:c>
      <x:c r="L1806" s="43" t="n">
        <x:v>712.561080688326</x:v>
      </x:c>
    </x:row>
    <x:row r="1807" ht="15" hidden="0" customHeight="1">
      <x:c r="A1807" s="29" t="str">
        <x:v>55127</x:v>
      </x:c>
      <x:c r="B1807" s="29" t="str">
        <x:v>SCA-21</x:v>
      </x:c>
      <x:c r="C1807" s="44" t="n">
        <x:v>106127</x:v>
      </x:c>
      <x:c r="D1807" s="44" t="n">
        <x:v>1032.1027079719959</x:v>
      </x:c>
      <x:c r="E1807" s="44" t="n">
        <x:v>12521.116669335468</x:v>
      </x:c>
      <x:c r="F1807" s="44" t="n">
        <x:v>561.1844481165442</x:v>
      </x:c>
      <x:c r="G1807" s="44" t="n">
        <x:v>2154.161729383507</x:v>
      </x:c>
      <x:c r="H1807" s="44" t="n">
        <x:v>89858.43444519248</x:v>
      </x:c>
      <x:c r="I1807" s="44" t="n">
        <x:v>106127</x:v>
      </x:c>
      <x:c r="J1807" s="44" t="n">
        <x:v>12894</x:v>
      </x:c>
      <x:c r="K1807" s="44" t="n">
        <x:v>1071.5739615328953</x:v>
      </x:c>
      <x:c r="L1807" s="44" t="n">
        <x:v>510.3895134163511</x:v>
      </x:c>
    </x:row>
    <x:row r="1808" ht="15" hidden="0" customHeight="1">
      <x:c r="A1808" s="27" t="str">
        <x:v>17091</x:v>
      </x:c>
      <x:c r="B1808" s="27" t="str">
        <x:v>SCA-21</x:v>
      </x:c>
      <x:c r="C1808" s="43" t="n">
        <x:v>105525</x:v>
      </x:c>
      <x:c r="D1808" s="43" t="n">
        <x:v>1354.3711424512278</x:v>
      </x:c>
      <x:c r="E1808" s="43" t="n">
        <x:v>15760.15508799285</x:v>
      </x:c>
      <x:c r="F1808" s="43" t="n">
        <x:v>538.331531545441</x:v>
      </x:c>
      <x:c r="G1808" s="43" t="n">
        <x:v>3528.0165051959043</x:v>
      </x:c>
      <x:c r="H1808" s="43" t="n">
        <x:v>84344.12573281457</x:v>
      </x:c>
      <x:c r="I1808" s="43" t="n">
        <x:v>105525</x:v>
      </x:c>
      <x:c r="J1808" s="43" t="n">
        <x:v>16363</x:v>
      </x:c>
      <x:c r="K1808" s="43" t="n">
        <x:v>1236.0295453303</x:v>
      </x:c>
      <x:c r="L1808" s="43" t="n">
        <x:v>697.698013784859</x:v>
      </x:c>
    </x:row>
    <x:row r="1809" ht="15" hidden="0" customHeight="1">
      <x:c r="A1809" s="29" t="str">
        <x:v>55039</x:v>
      </x:c>
      <x:c r="B1809" s="29" t="str">
        <x:v>SCA-21</x:v>
      </x:c>
      <x:c r="C1809" s="44" t="n">
        <x:v>104669</x:v>
      </x:c>
      <x:c r="D1809" s="44" t="n">
        <x:v>1018.2179181528609</x:v>
      </x:c>
      <x:c r="E1809" s="44" t="n">
        <x:v>12356.166408932528</x:v>
      </x:c>
      <x:c r="F1809" s="44" t="n">
        <x:v>553.4747519472951</x:v>
      </x:c>
      <x:c r="G1809" s="44" t="n">
        <x:v>2664.859726519418</x:v>
      </x:c>
      <x:c r="H1809" s="44" t="n">
        <x:v>88076.2811944479</x:v>
      </x:c>
      <x:c r="I1809" s="44" t="n">
        <x:v>104669</x:v>
      </x:c>
      <x:c r="J1809" s="44" t="n">
        <x:v>12599</x:v>
      </x:c>
      <x:c r="K1809" s="44" t="n">
        <x:v>1056.8524030613005</x:v>
      </x:c>
      <x:c r="L1809" s="44" t="n">
        <x:v>503.37765111400546</x:v>
      </x:c>
    </x:row>
    <x:row r="1810" ht="15" hidden="0" customHeight="1">
      <x:c r="A1810" s="27" t="str">
        <x:v>17037</x:v>
      </x:c>
      <x:c r="B1810" s="27" t="str">
        <x:v>SCA-21</x:v>
      </x:c>
      <x:c r="C1810" s="43" t="n">
        <x:v>101835</x:v>
      </x:c>
      <x:c r="D1810" s="43" t="n">
        <x:v>1124.8240327972799</x:v>
      </x:c>
      <x:c r="E1810" s="43" t="n">
        <x:v>10836.555241427572</x:v>
      </x:c>
      <x:c r="F1810" s="43" t="n">
        <x:v>519.5071453677325</x:v>
      </x:c>
      <x:c r="G1810" s="43" t="n">
        <x:v>3991.853533939818</x:v>
      </x:c>
      <x:c r="H1810" s="43" t="n">
        <x:v>85362.26004646759</x:v>
      </x:c>
      <x:c r="I1810" s="43" t="n">
        <x:v>101835</x:v>
      </x:c>
      <x:c r="J1810" s="43" t="n">
        <x:v>11088</x:v>
      </x:c>
      <x:c r="K1810" s="43" t="n">
        <x:v>1192.8080431055303</x:v>
      </x:c>
      <x:c r="L1810" s="43" t="n">
        <x:v>673.3008977377978</x:v>
      </x:c>
    </x:row>
    <x:row r="1811" ht="15" hidden="0" customHeight="1">
      <x:c r="A1811" s="29" t="str">
        <x:v>19061</x:v>
      </x:c>
      <x:c r="B1811" s="29" t="str">
        <x:v>SCA-21</x:v>
      </x:c>
      <x:c r="C1811" s="44" t="n">
        <x:v>99381</x:v>
      </x:c>
      <x:c r="D1811" s="44" t="n">
        <x:v>1310.6963688893336</x:v>
      </x:c>
      <x:c r="E1811" s="44" t="n">
        <x:v>10501.96282040528</x:v>
      </x:c>
      <x:c r="F1811" s="44" t="n">
        <x:v>465.5620560864686</x:v>
      </x:c>
      <x:c r="G1811" s="44" t="n">
        <x:v>3593.954756083839</x:v>
      </x:c>
      <x:c r="H1811" s="44" t="n">
        <x:v>83508.82399853508</x:v>
      </x:c>
      <x:c r="I1811" s="44" t="n">
        <x:v>99381</x:v>
      </x:c>
      <x:c r="J1811" s="44" t="n">
        <x:v>10761</x:v>
      </x:c>
      <x:c r="K1811" s="44" t="n">
        <x:v>1338.6766407922487</x:v>
      </x:c>
      <x:c r="L1811" s="44" t="n">
        <x:v>873.1145847057801</x:v>
      </x:c>
    </x:row>
    <x:row r="1812" ht="15" hidden="0" customHeight="1">
      <x:c r="A1812" s="27" t="str">
        <x:v>55089</x:v>
      </x:c>
      <x:c r="B1812" s="27" t="str">
        <x:v>SCA-21</x:v>
      </x:c>
      <x:c r="C1812" s="43" t="n">
        <x:v>94346</x:v>
      </x:c>
      <x:c r="D1812" s="43" t="n">
        <x:v>836.3273949858918</x:v>
      </x:c>
      <x:c r="E1812" s="43" t="n">
        <x:v>9182.291047116456</x:v>
      </x:c>
      <x:c r="F1812" s="43" t="n">
        <x:v>498.88819944032605</x:v>
      </x:c>
      <x:c r="G1812" s="43" t="n">
        <x:v>1763.0905886042412</x:v>
      </x:c>
      <x:c r="H1812" s="43" t="n">
        <x:v>82065.40276985308</x:v>
      </x:c>
      <x:c r="I1812" s="43" t="n">
        <x:v>94346</x:v>
      </x:c>
      <x:c r="J1812" s="43" t="n">
        <x:v>9375</x:v>
      </x:c>
      <x:c r="K1812" s="43" t="n">
        <x:v>952.6201341296988</x:v>
      </x:c>
      <x:c r="L1812" s="43" t="n">
        <x:v>453.7319346893728</x:v>
      </x:c>
    </x:row>
    <x:row r="1813" ht="15" hidden="0" customHeight="1">
      <x:c r="A1813" s="29" t="str">
        <x:v>55027</x:v>
      </x:c>
      <x:c r="B1813" s="29" t="str">
        <x:v>SCA-21</x:v>
      </x:c>
      <x:c r="C1813" s="44" t="n">
        <x:v>89097</x:v>
      </x:c>
      <x:c r="D1813" s="44" t="n">
        <x:v>864.8593492513494</x:v>
      </x:c>
      <x:c r="E1813" s="44" t="n">
        <x:v>10472.905936730442</x:v>
      </x:c>
      <x:c r="F1813" s="44" t="n">
        <x:v>471.13223565953757</x:v>
      </x:c>
      <x:c r="G1813" s="44" t="n">
        <x:v>1983.2795036938817</x:v>
      </x:c>
      <x:c r="H1813" s="44" t="n">
        <x:v>75304.8229746648</x:v>
      </x:c>
      <x:c r="I1813" s="44" t="n">
        <x:v>89097</x:v>
      </x:c>
      <x:c r="J1813" s="44" t="n">
        <x:v>10342</x:v>
      </x:c>
      <x:c r="K1813" s="44" t="n">
        <x:v>899.6205042137851</x:v>
      </x:c>
      <x:c r="L1813" s="44" t="n">
        <x:v>428.4882685542476</x:v>
      </x:c>
    </x:row>
    <x:row r="1814" ht="15" hidden="0" customHeight="1">
      <x:c r="A1814" s="27" t="str">
        <x:v>55055</x:v>
      </x:c>
      <x:c r="B1814" s="27" t="str">
        <x:v>SCA-21</x:v>
      </x:c>
      <x:c r="C1814" s="43" t="n">
        <x:v>86505</x:v>
      </x:c>
      <x:c r="D1814" s="43" t="n">
        <x:v>857.9876751414012</x:v>
      </x:c>
      <x:c r="E1814" s="43" t="n">
        <x:v>10607.158549658434</x:v>
      </x:c>
      <x:c r="F1814" s="43" t="n">
        <x:v>457.4261091364276</x:v>
      </x:c>
      <x:c r="G1814" s="43" t="n">
        <x:v>2299.7447363811525</x:v>
      </x:c>
      <x:c r="H1814" s="43" t="n">
        <x:v>72282.68292968257</x:v>
      </x:c>
      <x:c r="I1814" s="43" t="n">
        <x:v>86505</x:v>
      </x:c>
      <x:c r="J1814" s="43" t="n">
        <x:v>10938</x:v>
      </x:c>
      <x:c r="K1814" s="43" t="n">
        <x:v>873.4488447087274</x:v>
      </x:c>
      <x:c r="L1814" s="43" t="n">
        <x:v>416.0227355722998</x:v>
      </x:c>
    </x:row>
    <x:row r="1815" ht="15" hidden="0" customHeight="1">
      <x:c r="A1815" s="29" t="str">
        <x:v>18067</x:v>
      </x:c>
      <x:c r="B1815" s="29" t="str">
        <x:v>SCA-21</x:v>
      </x:c>
      <x:c r="C1815" s="44" t="n">
        <x:v>83904</x:v>
      </x:c>
      <x:c r="D1815" s="44" t="n">
        <x:v>1186.667867488546</x:v>
      </x:c>
      <x:c r="E1815" s="44" t="n">
        <x:v>14751.712237490465</x:v>
      </x:c>
      <x:c r="F1815" s="44" t="n">
        <x:v>546.1723569432115</x:v>
      </x:c>
      <x:c r="G1815" s="44" t="n">
        <x:v>3230.6724215165204</x:v>
      </x:c>
      <x:c r="H1815" s="44" t="n">
        <x:v>64188.77511656125</x:v>
      </x:c>
      <x:c r="I1815" s="44" t="n">
        <x:v>83904</x:v>
      </x:c>
      <x:c r="J1815" s="44" t="n">
        <x:v>15127</x:v>
      </x:c>
      <x:c r="K1815" s="44" t="n">
        <x:v>1118.1855478696548</x:v>
      </x:c>
      <x:c r="L1815" s="44" t="n">
        <x:v>572.0131909264433</x:v>
      </x:c>
    </x:row>
    <x:row r="1816" ht="15" hidden="0" customHeight="1">
      <x:c r="A1816" s="27" t="str">
        <x:v>55071</x:v>
      </x:c>
      <x:c r="B1816" s="27" t="str">
        <x:v>SCA-21</x:v>
      </x:c>
      <x:c r="C1816" s="43" t="n">
        <x:v>81710</x:v>
      </x:c>
      <x:c r="D1816" s="43" t="n">
        <x:v>814.0108809942338</x:v>
      </x:c>
      <x:c r="E1816" s="43" t="n">
        <x:v>10105.162070204566</x:v>
      </x:c>
      <x:c r="F1816" s="43" t="n">
        <x:v>432.07083264016535</x:v>
      </x:c>
      <x:c r="G1816" s="43" t="n">
        <x:v>2445.3909821948528</x:v>
      </x:c>
      <x:c r="H1816" s="43" t="n">
        <x:v>67913.36523396618</x:v>
      </x:c>
      <x:c r="I1816" s="43" t="n">
        <x:v>81710</x:v>
      </x:c>
      <x:c r="J1816" s="43" t="n">
        <x:v>10397</x:v>
      </x:c>
      <x:c r="K1816" s="43" t="n">
        <x:v>825.0332940425423</x:v>
      </x:c>
      <x:c r="L1816" s="43" t="n">
        <x:v>392.9624614023769</x:v>
      </x:c>
    </x:row>
    <x:row r="1817" ht="15" hidden="0" customHeight="1">
      <x:c r="A1817" s="29" t="str">
        <x:v>18085</x:v>
      </x:c>
      <x:c r="B1817" s="29" t="str">
        <x:v>SCA-21</x:v>
      </x:c>
      <x:c r="C1817" s="44" t="n">
        <x:v>80892</x:v>
      </x:c>
      <x:c r="D1817" s="44" t="n">
        <x:v>997.8565389570889</x:v>
      </x:c>
      <x:c r="E1817" s="44" t="n">
        <x:v>10713.061786108048</x:v>
      </x:c>
      <x:c r="F1817" s="44" t="n">
        <x:v>526.5657691868121</x:v>
      </x:c>
      <x:c r="G1817" s="44" t="n">
        <x:v>3263.703142227122</x:v>
      </x:c>
      <x:c r="H1817" s="44" t="n">
        <x:v>65390.81276352093</x:v>
      </x:c>
      <x:c r="I1817" s="44" t="n">
        <x:v>80892</x:v>
      </x:c>
      <x:c r="J1817" s="44" t="n">
        <x:v>11011</x:v>
      </x:c>
      <x:c r="K1817" s="44" t="n">
        <x:v>1078.0447337227322</x:v>
      </x:c>
      <x:c r="L1817" s="44" t="n">
        <x:v>551.4789645359201</x:v>
      </x:c>
    </x:row>
    <x:row r="1818" ht="15" hidden="0" customHeight="1">
      <x:c r="A1818" s="27" t="str">
        <x:v>26159</x:v>
      </x:c>
      <x:c r="B1818" s="27" t="str">
        <x:v>SCA-21</x:v>
      </x:c>
      <x:c r="C1818" s="43" t="n">
        <x:v>76071</x:v>
      </x:c>
      <x:c r="D1818" s="43" t="n">
        <x:v>691.3995015901708</x:v>
      </x:c>
      <x:c r="E1818" s="43" t="n">
        <x:v>8535.15468893107</x:v>
      </x:c>
      <x:c r="F1818" s="43" t="n">
        <x:v>425.405340233808</x:v>
      </x:c>
      <x:c r="G1818" s="43" t="n">
        <x:v>2593.7385879448348</x:v>
      </x:c>
      <x:c r="H1818" s="43" t="n">
        <x:v>63825.30188130012</x:v>
      </x:c>
      <x:c r="I1818" s="43" t="n">
        <x:v>76071</x:v>
      </x:c>
      <x:c r="J1818" s="43" t="n">
        <x:v>8805</x:v>
      </x:c>
      <x:c r="K1818" s="43" t="n">
        <x:v>761.1733964518509</x:v>
      </x:c>
      <x:c r="L1818" s="43" t="n">
        <x:v>335.7680562180429</x:v>
      </x:c>
    </x:row>
    <x:row r="1819" ht="15" hidden="0" customHeight="1">
      <x:c r="A1819" s="29" t="str">
        <x:v>17183</x:v>
      </x:c>
      <x:c r="B1819" s="29" t="str">
        <x:v>SCA-21</x:v>
      </x:c>
      <x:c r="C1819" s="44" t="n">
        <x:v>71259</x:v>
      </x:c>
      <x:c r="D1819" s="44" t="n">
        <x:v>889.688632877968</x:v>
      </x:c>
      <x:c r="E1819" s="44" t="n">
        <x:v>10045.118458030374</x:v>
      </x:c>
      <x:c r="F1819" s="44" t="n">
        <x:v>363.52491453585947</x:v>
      </x:c>
      <x:c r="G1819" s="44" t="n">
        <x:v>3602.0419050897044</x:v>
      </x:c>
      <x:c r="H1819" s="44" t="n">
        <x:v>56358.626089466095</x:v>
      </x:c>
      <x:c r="I1819" s="44" t="n">
        <x:v>71259</x:v>
      </x:c>
      <x:c r="J1819" s="44" t="n">
        <x:v>10239</x:v>
      </x:c>
      <x:c r="K1819" s="44" t="n">
        <x:v>834.6669449958952</x:v>
      </x:c>
      <x:c r="L1819" s="44" t="n">
        <x:v>471.1420304600357</x:v>
      </x:c>
    </x:row>
    <x:row r="1820" ht="15" hidden="0" customHeight="1">
      <x:c r="A1820" s="27" t="str">
        <x:v>55111</x:v>
      </x:c>
      <x:c r="B1820" s="27" t="str">
        <x:v>SCA-21</x:v>
      </x:c>
      <x:c r="C1820" s="43" t="n">
        <x:v>66652</x:v>
      </x:c>
      <x:c r="D1820" s="43" t="n">
        <x:v>668.0786547764558</x:v>
      </x:c>
      <x:c r="E1820" s="43" t="n">
        <x:v>8340.807119146142</x:v>
      </x:c>
      <x:c r="F1820" s="43" t="n">
        <x:v>352.4462750842284</x:v>
      </x:c>
      <x:c r="G1820" s="43" t="n">
        <x:v>2001.0559313493459</x:v>
      </x:c>
      <x:c r="H1820" s="43" t="n">
        <x:v>55289.61201964383</x:v>
      </x:c>
      <x:c r="I1820" s="43" t="n">
        <x:v>66652</x:v>
      </x:c>
      <x:c r="J1820" s="43" t="n">
        <x:v>8537</x:v>
      </x:c>
      <x:c r="K1820" s="43" t="n">
        <x:v>672.9912998962615</x:v>
      </x:c>
      <x:c r="L1820" s="43" t="n">
        <x:v>320.5450248120331</x:v>
      </x:c>
    </x:row>
    <x:row r="1821" ht="15" hidden="0" customHeight="1">
      <x:c r="A1821" s="29" t="str">
        <x:v>18053</x:v>
      </x:c>
      <x:c r="B1821" s="29" t="str">
        <x:v>SCA-21</x:v>
      </x:c>
      <x:c r="C1821" s="44" t="n">
        <x:v>66524</x:v>
      </x:c>
      <x:c r="D1821" s="44" t="n">
        <x:v>996.6001149355448</x:v>
      </x:c>
      <x:c r="E1821" s="44" t="n">
        <x:v>13033.790197471752</x:v>
      </x:c>
      <x:c r="F1821" s="44" t="n">
        <x:v>433.03739837540775</x:v>
      </x:c>
      <x:c r="G1821" s="44" t="n">
        <x:v>2245.6608441726776</x:v>
      </x:c>
      <x:c r="H1821" s="44" t="n">
        <x:v>49814.91144504462</x:v>
      </x:c>
      <x:c r="I1821" s="44" t="n">
        <x:v>66524</x:v>
      </x:c>
      <x:c r="J1821" s="44" t="n">
        <x:v>13384</x:v>
      </x:c>
      <x:c r="K1821" s="44" t="n">
        <x:v>886.5629217496296</x:v>
      </x:c>
      <x:c r="L1821" s="44" t="n">
        <x:v>453.52552337422185</x:v>
      </x:c>
    </x:row>
    <x:row r="1822" ht="15" hidden="0" customHeight="1">
      <x:c r="A1822" s="27" t="str">
        <x:v>26149</x:v>
      </x:c>
      <x:c r="B1822" s="27" t="str">
        <x:v>SCA-21</x:v>
      </x:c>
      <x:c r="C1822" s="43" t="n">
        <x:v>60968</x:v>
      </x:c>
      <x:c r="D1822" s="43" t="n">
        <x:v>673.7314222249566</x:v>
      </x:c>
      <x:c r="E1822" s="43" t="n">
        <x:v>9711.027698410075</x:v>
      </x:c>
      <x:c r="F1822" s="43" t="n">
        <x:v>340.9461264262965</x:v>
      </x:c>
      <x:c r="G1822" s="43" t="n">
        <x:v>3301.715854625988</x:v>
      </x:c>
      <x:c r="H1822" s="43" t="n">
        <x:v>46940.578898312684</x:v>
      </x:c>
      <x:c r="I1822" s="43" t="n">
        <x:v>60968</x:v>
      </x:c>
      <x:c r="J1822" s="43" t="n">
        <x:v>10039</x:v>
      </x:c>
      <x:c r="K1822" s="43" t="n">
        <x:v>610.0513945508333</x:v>
      </x:c>
      <x:c r="L1822" s="43" t="n">
        <x:v>269.1052681245368</x:v>
      </x:c>
    </x:row>
    <x:row r="1823" ht="15" hidden="0" customHeight="1">
      <x:c r="A1823" s="29" t="str">
        <x:v>55021</x:v>
      </x:c>
      <x:c r="B1823" s="29" t="str">
        <x:v>SCA-21</x:v>
      </x:c>
      <x:c r="C1823" s="44" t="n">
        <x:v>58132</x:v>
      </x:c>
      <x:c r="D1823" s="44" t="n">
        <x:v>556.370902164188</x:v>
      </x:c>
      <x:c r="E1823" s="44" t="n">
        <x:v>6643.213102805382</x:v>
      </x:c>
      <x:c r="F1823" s="44" t="n">
        <x:v>307.39372956845057</x:v>
      </x:c>
      <x:c r="G1823" s="44" t="n">
        <x:v>1607.7526163046343</x:v>
      </x:c>
      <x:c r="H1823" s="44" t="n">
        <x:v>49017.269649157344</x:v>
      </x:c>
      <x:c r="I1823" s="44" t="n">
        <x:v>58132</x:v>
      </x:c>
      <x:c r="J1823" s="44" t="n">
        <x:v>6768</x:v>
      </x:c>
      <x:c r="K1823" s="44" t="n">
        <x:v>586.9640857824143</x:v>
      </x:c>
      <x:c r="L1823" s="44" t="n">
        <x:v>279.5703562139637</x:v>
      </x:c>
    </x:row>
    <x:row r="1824" ht="15" hidden="0" customHeight="1">
      <x:c r="A1824" s="27" t="str">
        <x:v>17195</x:v>
      </x:c>
      <x:c r="B1824" s="27" t="str">
        <x:v>SCA-21</x:v>
      </x:c>
      <x:c r="C1824" s="43" t="n">
        <x:v>54121</x:v>
      </x:c>
      <x:c r="D1824" s="43" t="n">
        <x:v>686.3638853872579</x:v>
      </x:c>
      <x:c r="E1824" s="43" t="n">
        <x:v>7884.789720299085</x:v>
      </x:c>
      <x:c r="F1824" s="43" t="n">
        <x:v>276.09609873272507</x:v>
      </x:c>
      <x:c r="G1824" s="43" t="n">
        <x:v>1497.9944613680423</x:v>
      </x:c>
      <x:c r="H1824" s="43" t="n">
        <x:v>43775.75583421288</x:v>
      </x:c>
      <x:c r="I1824" s="43" t="n">
        <x:v>54121</x:v>
      </x:c>
      <x:c r="J1824" s="43" t="n">
        <x:v>8220</x:v>
      </x:c>
      <x:c r="K1824" s="43" t="n">
        <x:v>633.9270791075211</x:v>
      </x:c>
      <x:c r="L1824" s="43" t="n">
        <x:v>357.830980374796</x:v>
      </x:c>
    </x:row>
    <x:row r="1825" ht="15" hidden="0" customHeight="1">
      <x:c r="A1825" s="29" t="str">
        <x:v>17063</x:v>
      </x:c>
      <x:c r="B1825" s="29" t="str">
        <x:v>SCA-21</x:v>
      </x:c>
      <x:c r="C1825" s="44" t="n">
        <x:v>54052</x:v>
      </x:c>
      <x:c r="D1825" s="44" t="n">
        <x:v>566.9245644288306</x:v>
      </x:c>
      <x:c r="E1825" s="44" t="n">
        <x:v>5029.194966937464</x:v>
      </x:c>
      <x:c r="F1825" s="44" t="n">
        <x:v>275.7440980155809</x:v>
      </x:c>
      <x:c r="G1825" s="44" t="n">
        <x:v>1123.430946533157</x:v>
      </x:c>
      <x:c r="H1825" s="44" t="n">
        <x:v>47056.70542408497</x:v>
      </x:c>
      <x:c r="I1825" s="44" t="n">
        <x:v>54052</x:v>
      </x:c>
      <x:c r="J1825" s="44" t="n">
        <x:v>5130</x:v>
      </x:c>
      <x:c r="K1825" s="44" t="n">
        <x:v>633.1188721553506</x:v>
      </x:c>
      <x:c r="L1825" s="44" t="n">
        <x:v>357.37477413976967</x:v>
      </x:c>
    </x:row>
    <x:row r="1826" ht="15" hidden="0" customHeight="1">
      <x:c r="A1826" s="27" t="str">
        <x:v>55015</x:v>
      </x:c>
      <x:c r="B1826" s="27" t="str">
        <x:v>SCA-21</x:v>
      </x:c>
      <x:c r="C1826" s="43" t="n">
        <x:v>53982</x:v>
      </x:c>
      <x:c r="D1826" s="43" t="n">
        <x:v>474.8691488351493</x:v>
      </x:c>
      <x:c r="E1826" s="43" t="n">
        <x:v>5166.170669899969</x:v>
      </x:c>
      <x:c r="F1826" s="43" t="n">
        <x:v>285.44912113060104</x:v>
      </x:c>
      <x:c r="G1826" s="43" t="n">
        <x:v>1146.0955213701122</x:v>
      </x:c>
      <x:c r="H1826" s="43" t="n">
        <x:v>46909.415538764166</x:v>
      </x:c>
      <x:c r="I1826" s="43" t="n">
        <x:v>53982</x:v>
      </x:c>
      <x:c r="J1826" s="43" t="n">
        <x:v>5262</x:v>
      </x:c>
      <x:c r="K1826" s="43" t="n">
        <x:v>545.0611587199182</x:v>
      </x:c>
      <x:c r="L1826" s="43" t="n">
        <x:v>259.6120375893172</x:v>
      </x:c>
    </x:row>
    <x:row r="1827" ht="15" hidden="0" customHeight="1">
      <x:c r="A1827" s="29" t="str">
        <x:v>17007</x:v>
      </x:c>
      <x:c r="B1827" s="29" t="str">
        <x:v>SCA-21</x:v>
      </x:c>
      <x:c r="C1827" s="44" t="n">
        <x:v>53568</x:v>
      </x:c>
      <x:c r="D1827" s="44" t="n">
        <x:v>641.6112866762707</x:v>
      </x:c>
      <x:c r="E1827" s="44" t="n">
        <x:v>6898.477628790025</x:v>
      </x:c>
      <x:c r="F1827" s="44" t="n">
        <x:v>273.2749915359031</x:v>
      </x:c>
      <x:c r="G1827" s="44" t="n">
        <x:v>1068.0313403230377</x:v>
      </x:c>
      <x:c r="H1827" s="44" t="n">
        <x:v>44686.604752674764</x:v>
      </x:c>
      <x:c r="I1827" s="44" t="n">
        <x:v>53568</x:v>
      </x:c>
      <x:c r="J1827" s="44" t="n">
        <x:v>7101</x:v>
      </x:c>
      <x:c r="K1827" s="44" t="n">
        <x:v>627.4497103459228</x:v>
      </x:c>
      <x:c r="L1827" s="44" t="n">
        <x:v>354.17471881001967</x:v>
      </x:c>
    </x:row>
    <x:row r="1828" ht="15" hidden="0" customHeight="1">
      <x:c r="A1828" s="27" t="str">
        <x:v>55043</x:v>
      </x:c>
      <x:c r="B1828" s="27" t="str">
        <x:v>SCA-21</x:v>
      </x:c>
      <x:c r="C1828" s="43" t="n">
        <x:v>52446</x:v>
      </x:c>
      <x:c r="D1828" s="43" t="n">
        <x:v>489.5541102275406</x:v>
      </x:c>
      <x:c r="E1828" s="43" t="n">
        <x:v>5695.897323505065</x:v>
      </x:c>
      <x:c r="F1828" s="43" t="n">
        <x:v>277.3269720798692</x:v>
      </x:c>
      <x:c r="G1828" s="43" t="n">
        <x:v>1918.2993811344556</x:v>
      </x:c>
      <x:c r="H1828" s="43" t="n">
        <x:v>44064.92221305307</x:v>
      </x:c>
      <x:c r="I1828" s="43" t="n">
        <x:v>52446</x:v>
      </x:c>
      <x:c r="J1828" s="43" t="n">
        <x:v>5740</x:v>
      </x:c>
      <x:c r="K1828" s="43" t="n">
        <x:v>529.5520271613655</x:v>
      </x:c>
      <x:c r="L1828" s="43" t="n">
        <x:v>252.22505508149624</x:v>
      </x:c>
    </x:row>
    <x:row r="1829" ht="15" hidden="0" customHeight="1">
      <x:c r="A1829" s="29" t="str">
        <x:v>26027</x:v>
      </x:c>
      <x:c r="B1829" s="29" t="str">
        <x:v>SCA-21</x:v>
      </x:c>
      <x:c r="C1829" s="44" t="n">
        <x:v>51677</x:v>
      </x:c>
      <x:c r="D1829" s="44" t="n">
        <x:v>561.1297393508357</x:v>
      </x:c>
      <x:c r="E1829" s="44" t="n">
        <x:v>7992.81131394964</x:v>
      </x:c>
      <x:c r="F1829" s="44" t="n">
        <x:v>288.9888626054935</x:v>
      </x:c>
      <x:c r="G1829" s="44" t="n">
        <x:v>1487.7657987497323</x:v>
      </x:c>
      <x:c r="H1829" s="44" t="n">
        <x:v>41346.3042853443</x:v>
      </x:c>
      <x:c r="I1829" s="44" t="n">
        <x:v>51677</x:v>
      </x:c>
      <x:c r="J1829" s="44" t="n">
        <x:v>8273</x:v>
      </x:c>
      <x:c r="K1829" s="44" t="n">
        <x:v>517.0847972084276</x:v>
      </x:c>
      <x:c r="L1829" s="44" t="n">
        <x:v>228.0959346029341</x:v>
      </x:c>
    </x:row>
    <x:row r="1830" ht="15" hidden="0" customHeight="1">
      <x:c r="A1830" s="27" t="str">
        <x:v>55135</x:v>
      </x:c>
      <x:c r="B1830" s="27" t="str">
        <x:v>SCA-21</x:v>
      </x:c>
      <x:c r="C1830" s="43" t="n">
        <x:v>51461</x:v>
      </x:c>
      <x:c r="D1830" s="43" t="n">
        <x:v>543.057578949669</x:v>
      </x:c>
      <x:c r="E1830" s="43" t="n">
        <x:v>7093.670850495578</x:v>
      </x:c>
      <x:c r="F1830" s="43" t="n">
        <x:v>272.11843248678923</x:v>
      </x:c>
      <x:c r="G1830" s="43" t="n">
        <x:v>1703.829416186915</x:v>
      </x:c>
      <x:c r="H1830" s="43" t="n">
        <x:v>41848.32372188105</x:v>
      </x:c>
      <x:c r="I1830" s="43" t="n">
        <x:v>51461</x:v>
      </x:c>
      <x:c r="J1830" s="43" t="n">
        <x:v>7258</x:v>
      </x:c>
      <x:c r="K1830" s="43" t="n">
        <x:v>519.6063926658092</x:v>
      </x:c>
      <x:c r="L1830" s="43" t="n">
        <x:v>247.48796017901992</x:v>
      </x:c>
    </x:row>
    <x:row r="1831" ht="15" hidden="0" customHeight="1">
      <x:c r="A1831" s="29" t="str">
        <x:v>17141</x:v>
      </x:c>
      <x:c r="B1831" s="29" t="str">
        <x:v>SCA-21</x:v>
      </x:c>
      <x:c r="C1831" s="44" t="n">
        <x:v>51399</x:v>
      </x:c>
      <x:c r="D1831" s="44" t="n">
        <x:v>643.7697133606958</x:v>
      </x:c>
      <x:c r="E1831" s="44" t="n">
        <x:v>7294.4577209630625</x:v>
      </x:c>
      <x:c r="F1831" s="44" t="n">
        <x:v>262.2099255143721</x:v>
      </x:c>
      <x:c r="G1831" s="44" t="n">
        <x:v>1273.9918437769586</x:v>
      </x:c>
      <x:c r="H1831" s="44" t="n">
        <x:v>41924.57079638491</x:v>
      </x:c>
      <x:c r="I1831" s="44" t="n">
        <x:v>51399</x:v>
      </x:c>
      <x:c r="J1831" s="44" t="n">
        <x:v>7540</x:v>
      </x:c>
      <x:c r="K1831" s="44" t="n">
        <x:v>602.043900501607</x:v>
      </x:c>
      <x:c r="L1831" s="44" t="n">
        <x:v>339.8339749872349</x:v>
      </x:c>
    </x:row>
    <x:row r="1832" ht="15" hidden="0" customHeight="1">
      <x:c r="A1832" s="27" t="str">
        <x:v>17073</x:v>
      </x:c>
      <x:c r="B1832" s="27" t="str">
        <x:v>SCA-21</x:v>
      </x:c>
      <x:c r="C1832" s="43" t="n">
        <x:v>48095</x:v>
      </x:c>
      <x:c r="D1832" s="43" t="n">
        <x:v>577.0330027048433</x:v>
      </x:c>
      <x:c r="E1832" s="43" t="n">
        <x:v>6217.056804536358</x:v>
      </x:c>
      <x:c r="F1832" s="43" t="n">
        <x:v>245.3547027688034</x:v>
      </x:c>
      <x:c r="G1832" s="43" t="n">
        <x:v>1715.5518783355571</x:v>
      </x:c>
      <x:c r="H1832" s="43" t="n">
        <x:v>39340.003611654436</x:v>
      </x:c>
      <x:c r="I1832" s="43" t="n">
        <x:v>48095</x:v>
      </x:c>
      <x:c r="J1832" s="43" t="n">
        <x:v>6459</x:v>
      </x:c>
      <x:c r="K1832" s="43" t="n">
        <x:v>563.3436719512985</x:v>
      </x:c>
      <x:c r="L1832" s="43" t="n">
        <x:v>317.98896918249505</x:v>
      </x:c>
    </x:row>
    <x:row r="1833" ht="15" hidden="0" customHeight="1">
      <x:c r="A1833" s="29" t="str">
        <x:v>18113</x:v>
      </x:c>
      <x:c r="B1833" s="29" t="str">
        <x:v>SCA-21</x:v>
      </x:c>
      <x:c r="C1833" s="44" t="n">
        <x:v>47937</x:v>
      </x:c>
      <x:c r="D1833" s="44" t="n">
        <x:v>572.3274237643433</x:v>
      </x:c>
      <x:c r="E1833" s="44" t="n">
        <x:v>5892.4381664995835</x:v>
      </x:c>
      <x:c r="F1833" s="44" t="n">
        <x:v>312.04548382421257</x:v>
      </x:c>
      <x:c r="G1833" s="44" t="n">
        <x:v>3844.898150715612</x:v>
      </x:c>
      <x:c r="H1833" s="44" t="n">
        <x:v>37315.29077519625</x:v>
      </x:c>
      <x:c r="I1833" s="44" t="n">
        <x:v>47937</x:v>
      </x:c>
      <x:c r="J1833" s="44" t="n">
        <x:v>6003</x:v>
      </x:c>
      <x:c r="K1833" s="44" t="n">
        <x:v>638.8546506510731</x:v>
      </x:c>
      <x:c r="L1833" s="44" t="n">
        <x:v>326.8091668268606</x:v>
      </x:c>
    </x:row>
    <x:row r="1834" ht="15" hidden="0" customHeight="1">
      <x:c r="A1834" s="27" t="str">
        <x:v>17095</x:v>
      </x:c>
      <x:c r="B1834" s="27" t="str">
        <x:v>SCA-21</x:v>
      </x:c>
      <x:c r="C1834" s="43" t="n">
        <x:v>47767</x:v>
      </x:c>
      <x:c r="D1834" s="43" t="n">
        <x:v>603.167416692973</x:v>
      </x:c>
      <x:c r="E1834" s="43" t="n">
        <x:v>6896.329921151869</x:v>
      </x:c>
      <x:c r="F1834" s="43" t="n">
        <x:v>243.6814239974516</x:v>
      </x:c>
      <x:c r="G1834" s="43" t="n">
        <x:v>2191.144304936579</x:v>
      </x:c>
      <x:c r="H1834" s="43" t="n">
        <x:v>37832.676933221126</x:v>
      </x:c>
      <x:c r="I1834" s="43" t="n">
        <x:v>47767</x:v>
      </x:c>
      <x:c r="J1834" s="43" t="n">
        <x:v>7019</x:v>
      </x:c>
      <x:c r="K1834" s="43" t="n">
        <x:v>559.5017606424301</x:v>
      </x:c>
      <x:c r="L1834" s="43" t="n">
        <x:v>315.8203366449785</x:v>
      </x:c>
    </x:row>
    <x:row r="1835" ht="15" hidden="0" customHeight="1">
      <x:c r="A1835" s="29" t="str">
        <x:v>18099</x:v>
      </x:c>
      <x:c r="B1835" s="29" t="str">
        <x:v>SCA-21</x:v>
      </x:c>
      <x:c r="C1835" s="44" t="n">
        <x:v>46599</x:v>
      </x:c>
      <x:c r="D1835" s="44" t="n">
        <x:v>557.9497862733411</x:v>
      </x:c>
      <x:c r="E1835" s="44" t="n">
        <x:v>5766.297535325254</x:v>
      </x:c>
      <x:c r="F1835" s="44" t="n">
        <x:v>303.3357844822264</x:v>
      </x:c>
      <x:c r="G1835" s="44" t="n">
        <x:v>2692.137943479592</x:v>
      </x:c>
      <x:c r="H1835" s="44" t="n">
        <x:v>37279.278950439584</x:v>
      </x:c>
      <x:c r="I1835" s="44" t="n">
        <x:v>46599</x:v>
      </x:c>
      <x:c r="J1835" s="44" t="n">
        <x:v>5893</x:v>
      </x:c>
      <x:c r="K1835" s="44" t="n">
        <x:v>621.0231734503486</x:v>
      </x:c>
      <x:c r="L1835" s="44" t="n">
        <x:v>317.6873889681222</x:v>
      </x:c>
    </x:row>
    <x:row r="1836" ht="15" hidden="0" customHeight="1">
      <x:c r="A1836" s="27" t="str">
        <x:v>19045</x:v>
      </x:c>
      <x:c r="B1836" s="27" t="str">
        <x:v>SCA-21</x:v>
      </x:c>
      <x:c r="C1836" s="43" t="n">
        <x:v>46002</x:v>
      </x:c>
      <x:c r="D1836" s="43" t="n">
        <x:v>665.0124509232077</x:v>
      </x:c>
      <x:c r="E1836" s="43" t="n">
        <x:v>6260.653909998249</x:v>
      </x:c>
      <x:c r="F1836" s="43" t="n">
        <x:v>215.50181326500768</x:v>
      </x:c>
      <x:c r="G1836" s="43" t="n">
        <x:v>1556.4075577832255</x:v>
      </x:c>
      <x:c r="H1836" s="43" t="n">
        <x:v>37304.42426803031</x:v>
      </x:c>
      <x:c r="I1836" s="43" t="n">
        <x:v>46002</x:v>
      </x:c>
      <x:c r="J1836" s="43" t="n">
        <x:v>6477</x:v>
      </x:c>
      <x:c r="K1836" s="43" t="n">
        <x:v>619.653684604955</x:v>
      </x:c>
      <x:c r="L1836" s="43" t="n">
        <x:v>404.15187133994726</x:v>
      </x:c>
    </x:row>
    <x:row r="1837" ht="15" hidden="0" customHeight="1">
      <x:c r="A1837" s="29" t="str">
        <x:v>17177</x:v>
      </x:c>
      <x:c r="B1837" s="29" t="str">
        <x:v>SCA-21</x:v>
      </x:c>
      <x:c r="C1837" s="44" t="n">
        <x:v>43220</x:v>
      </x:c>
      <x:c r="D1837" s="44" t="n">
        <x:v>556.5910756210938</x:v>
      </x:c>
      <x:c r="E1837" s="44" t="n">
        <x:v>6500.01764870148</x:v>
      </x:c>
      <x:c r="F1837" s="44" t="n">
        <x:v>220.4850868836196</x:v>
      </x:c>
      <x:c r="G1837" s="44" t="n">
        <x:v>2185.0935492879084</x:v>
      </x:c>
      <x:c r="H1837" s="44" t="n">
        <x:v>33757.8126395059</x:v>
      </x:c>
      <x:c r="I1837" s="44" t="n">
        <x:v>43220</x:v>
      </x:c>
      <x:c r="J1837" s="44" t="n">
        <x:v>6732</x:v>
      </x:c>
      <x:c r="K1837" s="44" t="n">
        <x:v>506.2420938088184</x:v>
      </x:c>
      <x:c r="L1837" s="44" t="n">
        <x:v>285.7570069251988</x:v>
      </x:c>
    </x:row>
    <x:row r="1838" ht="15" hidden="0" customHeight="1">
      <x:c r="A1838" s="27" t="str">
        <x:v>55075</x:v>
      </x:c>
      <x:c r="B1838" s="27" t="str">
        <x:v>SCA-21</x:v>
      </x:c>
      <x:c r="C1838" s="43" t="n">
        <x:v>42574</x:v>
      </x:c>
      <x:c r="D1838" s="43" t="n">
        <x:v>472.84705599103825</x:v>
      </x:c>
      <x:c r="E1838" s="43" t="n">
        <x:v>6434.370073660391</x:v>
      </x:c>
      <x:c r="F1838" s="43" t="n">
        <x:v>225.1252432850618</x:v>
      </x:c>
      <x:c r="G1838" s="43" t="n">
        <x:v>817.2918973568918</x:v>
      </x:c>
      <x:c r="H1838" s="43" t="n">
        <x:v>34624.36572970662</x:v>
      </x:c>
      <x:c r="I1838" s="43" t="n">
        <x:v>42574</x:v>
      </x:c>
      <x:c r="J1838" s="43" t="n">
        <x:v>6540</x:v>
      </x:c>
      <x:c r="K1838" s="43" t="n">
        <x:v>429.87354620691707</x:v>
      </x:c>
      <x:c r="L1838" s="43" t="n">
        <x:v>204.74830292185527</x:v>
      </x:c>
    </x:row>
    <x:row r="1839" ht="15" hidden="0" customHeight="1">
      <x:c r="A1839" s="29" t="str">
        <x:v>19139</x:v>
      </x:c>
      <x:c r="B1839" s="29" t="str">
        <x:v>SCA-21</x:v>
      </x:c>
      <x:c r="C1839" s="44" t="n">
        <x:v>41853</x:v>
      </x:c>
      <x:c r="D1839" s="44" t="n">
        <x:v>614.2234443770443</x:v>
      </x:c>
      <x:c r="E1839" s="44" t="n">
        <x:v>5916.545515608181</x:v>
      </x:c>
      <x:c r="F1839" s="44" t="n">
        <x:v>196.06533173732373</x:v>
      </x:c>
      <x:c r="G1839" s="44" t="n">
        <x:v>837.8218514531756</x:v>
      </x:c>
      <x:c r="H1839" s="44" t="n">
        <x:v>34288.34385682428</x:v>
      </x:c>
      <x:c r="I1839" s="44" t="n">
        <x:v>41853</x:v>
      </x:c>
      <x:c r="J1839" s="44" t="n">
        <x:v>6156</x:v>
      </x:c>
      <x:c r="K1839" s="44" t="n">
        <x:v>563.7660462973605</x:v>
      </x:c>
      <x:c r="L1839" s="44" t="n">
        <x:v>367.7007145600368</x:v>
      </x:c>
    </x:row>
    <x:row r="1840" ht="15" hidden="0" customHeight="1">
      <x:c r="A1840" s="27" t="str">
        <x:v>55115</x:v>
      </x:c>
      <x:c r="B1840" s="27" t="str">
        <x:v>SCA-21</x:v>
      </x:c>
      <x:c r="C1840" s="43" t="n">
        <x:v>41560</x:v>
      </x:c>
      <x:c r="D1840" s="43" t="n">
        <x:v>447.73179349986304</x:v>
      </x:c>
      <x:c r="E1840" s="43" t="n">
        <x:v>5948.641277980475</x:v>
      </x:c>
      <x:c r="F1840" s="43" t="n">
        <x:v>219.76335582578966</x:v>
      </x:c>
      <x:c r="G1840" s="43" t="n">
        <x:v>1717.9716990434865</x:v>
      </x:c>
      <x:c r="H1840" s="43" t="n">
        <x:v>33225.891873650384</x:v>
      </x:c>
      <x:c r="I1840" s="43" t="n">
        <x:v>41560</x:v>
      </x:c>
      <x:c r="J1840" s="43" t="n">
        <x:v>6048</x:v>
      </x:c>
      <x:c r="K1840" s="43" t="n">
        <x:v>419.63509607646625</x:v>
      </x:c>
      <x:c r="L1840" s="43" t="n">
        <x:v>199.8717402506766</x:v>
      </x:c>
    </x:row>
    <x:row r="1841" ht="15" hidden="0" customHeight="1">
      <x:c r="A1841" s="29" t="str">
        <x:v>18087</x:v>
      </x:c>
      <x:c r="B1841" s="29" t="str">
        <x:v>SCA-21</x:v>
      </x:c>
      <x:c r="C1841" s="44" t="n">
        <x:v>41305</x:v>
      </x:c>
      <x:c r="D1841" s="44" t="n">
        <x:v>464.2973317999334</x:v>
      </x:c>
      <x:c r="E1841" s="44" t="n">
        <x:v>4384.839381042584</x:v>
      </x:c>
      <x:c r="F1841" s="44" t="n">
        <x:v>268.8745376089263</x:v>
      </x:c>
      <x:c r="G1841" s="44" t="n">
        <x:v>11751.895544785848</x:v>
      </x:c>
      <x:c r="H1841" s="44" t="n">
        <x:v>24435.093204762707</x:v>
      </x:c>
      <x:c r="I1841" s="44" t="n">
        <x:v>41305</x:v>
      </x:c>
      <x:c r="J1841" s="44" t="n">
        <x:v>4495</x:v>
      </x:c>
      <x:c r="K1841" s="44" t="n">
        <x:v>550.4702285320853</x:v>
      </x:c>
      <x:c r="L1841" s="44" t="n">
        <x:v>281.59569092315905</x:v>
      </x:c>
    </x:row>
    <x:row r="1842" ht="15" hidden="0" customHeight="1">
      <x:c r="A1842" s="27" t="str">
        <x:v>55083</x:v>
      </x:c>
      <x:c r="B1842" s="27" t="str">
        <x:v>SCA-21</x:v>
      </x:c>
      <x:c r="C1842" s="43" t="n">
        <x:v>40195</x:v>
      </x:c>
      <x:c r="D1842" s="43" t="n">
        <x:v>429.4677315261316</x:v>
      </x:c>
      <x:c r="E1842" s="43" t="n">
        <x:v>5667.85427691054</x:v>
      </x:c>
      <x:c r="F1842" s="43" t="n">
        <x:v>212.54543039984637</x:v>
      </x:c>
      <x:c r="G1842" s="43" t="n">
        <x:v>816.0051567394128</x:v>
      </x:c>
      <x:c r="H1842" s="43" t="n">
        <x:v>33069.12740442407</x:v>
      </x:c>
      <x:c r="I1842" s="43" t="n">
        <x:v>40195</x:v>
      </x:c>
      <x:c r="J1842" s="43" t="n">
        <x:v>5768</x:v>
      </x:c>
      <x:c r="K1842" s="43" t="n">
        <x:v>405.8525670547055</x:v>
      </x:c>
      <x:c r="L1842" s="43" t="n">
        <x:v>193.30713665485914</x:v>
      </x:c>
    </x:row>
    <x:row r="1843" ht="15" hidden="0" customHeight="1">
      <x:c r="A1843" s="29" t="str">
        <x:v>18107</x:v>
      </x:c>
      <x:c r="B1843" s="29" t="str">
        <x:v>SCA-21</x:v>
      </x:c>
      <x:c r="C1843" s="44" t="n">
        <x:v>38954</x:v>
      </x:c>
      <x:c r="D1843" s="44" t="n">
        <x:v>503.66348736049946</x:v>
      </x:c>
      <x:c r="E1843" s="44" t="n">
        <x:v>5714.296168234175</x:v>
      </x:c>
      <x:c r="F1843" s="44" t="n">
        <x:v>253.57072359322405</x:v>
      </x:c>
      <x:c r="G1843" s="44" t="n">
        <x:v>1086.5267357074924</x:v>
      </x:c>
      <x:c r="H1843" s="44" t="n">
        <x:v>31395.94288510461</x:v>
      </x:c>
      <x:c r="I1843" s="44" t="n">
        <x:v>38954</x:v>
      </x:c>
      <x:c r="J1843" s="44" t="n">
        <x:v>5784</x:v>
      </x:c>
      <x:c r="K1843" s="44" t="n">
        <x:v>519.1385372772995</x:v>
      </x:c>
      <x:c r="L1843" s="44" t="n">
        <x:v>265.5678136840755</x:v>
      </x:c>
    </x:row>
    <x:row r="1844" ht="15" hidden="0" customHeight="1">
      <x:c r="A1844" s="27" t="str">
        <x:v>17203</x:v>
      </x:c>
      <x:c r="B1844" s="27" t="str">
        <x:v>SCA-21</x:v>
      </x:c>
      <x:c r="C1844" s="43" t="n">
        <x:v>38111</x:v>
      </x:c>
      <x:c r="D1844" s="43" t="n">
        <x:v>413.9011320415217</x:v>
      </x:c>
      <x:c r="E1844" s="43" t="n">
        <x:v>3886.1573174872665</x:v>
      </x:c>
      <x:c r="F1844" s="43" t="n">
        <x:v>194.42172943594696</x:v>
      </x:c>
      <x:c r="G1844" s="43" t="n">
        <x:v>549.6758276740237</x:v>
      </x:c>
      <x:c r="H1844" s="43" t="n">
        <x:v>33066.84399336124</x:v>
      </x:c>
      <x:c r="I1844" s="43" t="n">
        <x:v>38111</x:v>
      </x:c>
      <x:c r="J1844" s="43" t="n">
        <x:v>4004</x:v>
      </x:c>
      <x:c r="K1844" s="43" t="n">
        <x:v>446.3996399154993</x:v>
      </x:c>
      <x:c r="L1844" s="43" t="n">
        <x:v>251.97791047955232</x:v>
      </x:c>
    </x:row>
    <x:row r="1845" ht="15" hidden="0" customHeight="1">
      <x:c r="A1845" s="29" t="str">
        <x:v>18017</x:v>
      </x:c>
      <x:c r="B1845" s="29" t="str">
        <x:v>SCA-21</x:v>
      </x:c>
      <x:c r="C1845" s="44" t="n">
        <x:v>37836</x:v>
      </x:c>
      <x:c r="D1845" s="44" t="n">
        <x:v>493.2953862147162</x:v>
      </x:c>
      <x:c r="E1845" s="44" t="n">
        <x:v>5648.388155911511</x:v>
      </x:c>
      <x:c r="F1845" s="44" t="n">
        <x:v>246.29311233437443</x:v>
      </x:c>
      <x:c r="G1845" s="44" t="n">
        <x:v>1139.6442019394397</x:v>
      </x:c>
      <x:c r="H1845" s="44" t="n">
        <x:v>30308.379143599963</x:v>
      </x:c>
      <x:c r="I1845" s="44" t="n">
        <x:v>37836</x:v>
      </x:c>
      <x:c r="J1845" s="44" t="n">
        <x:v>5757</x:v>
      </x:c>
      <x:c r="K1845" s="44" t="n">
        <x:v>504.2389920527777</x:v>
      </x:c>
      <x:c r="L1845" s="44" t="n">
        <x:v>257.94587971840326</x:v>
      </x:c>
    </x:row>
    <x:row r="1846" ht="15" hidden="0" customHeight="1">
      <x:c r="A1846" s="27" t="str">
        <x:v>55045</x:v>
      </x:c>
      <x:c r="B1846" s="27" t="str">
        <x:v>SCA-21</x:v>
      </x:c>
      <x:c r="C1846" s="43" t="n">
        <x:v>37227</x:v>
      </x:c>
      <x:c r="D1846" s="43" t="n">
        <x:v>356.59432505268114</x:v>
      </x:c>
      <x:c r="E1846" s="43" t="n">
        <x:v>4261.463835347925</x:v>
      </x:c>
      <x:c r="F1846" s="43" t="n">
        <x:v>196.85106947369277</x:v>
      </x:c>
      <x:c r="G1846" s="43" t="n">
        <x:v>842.4449526298595</x:v>
      </x:c>
      <x:c r="H1846" s="43" t="n">
        <x:v>31569.645817495842</x:v>
      </x:c>
      <x:c r="I1846" s="43" t="n">
        <x:v>37227</x:v>
      </x:c>
      <x:c r="J1846" s="43" t="n">
        <x:v>4380</x:v>
      </x:c>
      <x:c r="K1846" s="43" t="n">
        <x:v>375.884401386877</x:v>
      </x:c>
      <x:c r="L1846" s="43" t="n">
        <x:v>179.03333191318424</x:v>
      </x:c>
    </x:row>
    <x:row r="1847" ht="15" hidden="0" customHeight="1">
      <x:c r="A1847" s="29" t="str">
        <x:v>18069</x:v>
      </x:c>
      <x:c r="B1847" s="29" t="str">
        <x:v>SCA-21</x:v>
      </x:c>
      <x:c r="C1847" s="44" t="n">
        <x:v>37224</x:v>
      </x:c>
      <x:c r="D1847" s="44" t="n">
        <x:v>499.1997943630761</x:v>
      </x:c>
      <x:c r="E1847" s="44" t="n">
        <x:v>5890.2289837510325</x:v>
      </x:c>
      <x:c r="F1847" s="44" t="n">
        <x:v>242.30930366673948</x:v>
      </x:c>
      <x:c r="G1847" s="44" t="n">
        <x:v>827.6528504544203</x:v>
      </x:c>
      <x:c r="H1847" s="44" t="n">
        <x:v>29764.60906776473</x:v>
      </x:c>
      <x:c r="I1847" s="44" t="n">
        <x:v>37224</x:v>
      </x:c>
      <x:c r="J1847" s="44" t="n">
        <x:v>5985</x:v>
      </x:c>
      <x:c r="K1847" s="44" t="n">
        <x:v>496.0828903735225</x:v>
      </x:c>
      <x:c r="L1847" s="44" t="n">
        <x:v>253.77358670678302</x:v>
      </x:c>
    </x:row>
    <x:row r="1848" ht="15" hidden="0" customHeight="1">
      <x:c r="A1848" s="27" t="str">
        <x:v>26041</x:v>
      </x:c>
      <x:c r="B1848" s="27" t="str">
        <x:v>SCA-21</x:v>
      </x:c>
      <x:c r="C1848" s="43" t="n">
        <x:v>36582</x:v>
      </x:c>
      <x:c r="D1848" s="43" t="n">
        <x:v>411.1239802603198</x:v>
      </x:c>
      <x:c r="E1848" s="43" t="n">
        <x:v>5991.73254558957</x:v>
      </x:c>
      <x:c r="F1848" s="43" t="n">
        <x:v>204.57438651303605</x:v>
      </x:c>
      <x:c r="G1848" s="43" t="n">
        <x:v>1226.6624308936382</x:v>
      </x:c>
      <x:c r="H1848" s="43" t="n">
        <x:v>28747.906656743435</x:v>
      </x:c>
      <x:c r="I1848" s="43" t="n">
        <x:v>36582</x:v>
      </x:c>
      <x:c r="J1848" s="43" t="n">
        <x:v>6203</x:v>
      </x:c>
      <x:c r="K1848" s="43" t="n">
        <x:v>366.04284404045706</x:v>
      </x:c>
      <x:c r="L1848" s="43" t="n">
        <x:v>161.468457527421</x:v>
      </x:c>
    </x:row>
    <x:row r="1849" ht="15" hidden="0" customHeight="1">
      <x:c r="A1849" s="29" t="str">
        <x:v>17105</x:v>
      </x:c>
      <x:c r="B1849" s="29" t="str">
        <x:v>SCA-21</x:v>
      </x:c>
      <x:c r="C1849" s="44" t="n">
        <x:v>35057</x:v>
      </x:c>
      <x:c r="D1849" s="44" t="n">
        <x:v>421.8591642951056</x:v>
      </x:c>
      <x:c r="E1849" s="44" t="n">
        <x:v>4561.760123493439</x:v>
      </x:c>
      <x:c r="F1849" s="44" t="n">
        <x:v>178.84187160756713</x:v>
      </x:c>
      <x:c r="G1849" s="44" t="n">
        <x:v>1120.332482336876</x:v>
      </x:c>
      <x:c r="H1849" s="44" t="n">
        <x:v>28774.20635826701</x:v>
      </x:c>
      <x:c r="I1849" s="44" t="n">
        <x:v>35057</x:v>
      </x:c>
      <x:c r="J1849" s="44" t="n">
        <x:v>4566</x:v>
      </x:c>
      <x:c r="K1849" s="44" t="n">
        <x:v>410.6276974237794</x:v>
      </x:c>
      <x:c r="L1849" s="44" t="n">
        <x:v>231.78582581621228</x:v>
      </x:c>
    </x:row>
    <x:row r="1850" ht="15" hidden="0" customHeight="1">
      <x:c r="A1850" s="27" t="str">
        <x:v>18183</x:v>
      </x:c>
      <x:c r="B1850" s="27" t="str">
        <x:v>SCA-21</x:v>
      </x:c>
      <x:c r="C1850" s="43" t="n">
        <x:v>35046</x:v>
      </x:c>
      <x:c r="D1850" s="43" t="n">
        <x:v>438.622554956871</x:v>
      </x:c>
      <x:c r="E1850" s="43" t="n">
        <x:v>4792.738146994615</x:v>
      </x:c>
      <x:c r="F1850" s="43" t="n">
        <x:v>228.13163164368558</x:v>
      </x:c>
      <x:c r="G1850" s="43" t="n">
        <x:v>796.2316547809634</x:v>
      </x:c>
      <x:c r="H1850" s="43" t="n">
        <x:v>28790.276011623864</x:v>
      </x:c>
      <x:c r="I1850" s="43" t="n">
        <x:v>35046</x:v>
      </x:c>
      <x:c r="J1850" s="43" t="n">
        <x:v>4894</x:v>
      </x:c>
      <x:c r="K1850" s="43" t="n">
        <x:v>467.0567638091143</x:v>
      </x:c>
      <x:c r="L1850" s="43" t="n">
        <x:v>238.9251321654287</x:v>
      </x:c>
    </x:row>
    <x:row r="1851" ht="15" hidden="0" customHeight="1">
      <x:c r="A1851" s="29" t="str">
        <x:v>18103</x:v>
      </x:c>
      <x:c r="B1851" s="29" t="str">
        <x:v>SCA-21</x:v>
      </x:c>
      <x:c r="C1851" s="44" t="n">
        <x:v>34487</x:v>
      </x:c>
      <x:c r="D1851" s="44" t="n">
        <x:v>482.268064098476</x:v>
      </x:c>
      <x:c r="E1851" s="44" t="n">
        <x:v>5931.693573981201</x:v>
      </x:c>
      <x:c r="F1851" s="44" t="n">
        <x:v>224.49282601426086</x:v>
      </x:c>
      <x:c r="G1851" s="44" t="n">
        <x:v>1084.323643352653</x:v>
      </x:c>
      <x:c r="H1851" s="44" t="n">
        <x:v>26764.22189255341</x:v>
      </x:c>
      <x:c r="I1851" s="44" t="n">
        <x:v>34487</x:v>
      </x:c>
      <x:c r="J1851" s="44" t="n">
        <x:v>5966</x:v>
      </x:c>
      <x:c r="K1851" s="44" t="n">
        <x:v>459.6069911968534</x:v>
      </x:c>
      <x:c r="L1851" s="44" t="n">
        <x:v>235.11416518259256</x:v>
      </x:c>
    </x:row>
    <x:row r="1852" ht="15" hidden="0" customHeight="1">
      <x:c r="A1852" s="27" t="str">
        <x:v>18073</x:v>
      </x:c>
      <x:c r="B1852" s="27" t="str">
        <x:v>SCA-21</x:v>
      </x:c>
      <x:c r="C1852" s="43" t="n">
        <x:v>33894</x:v>
      </x:c>
      <x:c r="D1852" s="43" t="n">
        <x:v>456.4074136115855</x:v>
      </x:c>
      <x:c r="E1852" s="43" t="n">
        <x:v>5408.064227232725</x:v>
      </x:c>
      <x:c r="F1852" s="43" t="n">
        <x:v>220.63269768107855</x:v>
      </x:c>
      <x:c r="G1852" s="43" t="n">
        <x:v>328.5146724122235</x:v>
      </x:c>
      <x:c r="H1852" s="43" t="n">
        <x:v>27480.38098906239</x:v>
      </x:c>
      <x:c r="I1852" s="43" t="n">
        <x:v>33894</x:v>
      </x:c>
      <x:c r="J1852" s="43" t="n">
        <x:v>5477</x:v>
      </x:c>
      <x:c r="K1852" s="43" t="n">
        <x:v>451.7041018246339</x:v>
      </x:c>
      <x:c r="L1852" s="43" t="n">
        <x:v>231.07140414355533</x:v>
      </x:c>
    </x:row>
    <x:row r="1853" ht="15" hidden="0" customHeight="1">
      <x:c r="A1853" s="29" t="str">
        <x:v>18023</x:v>
      </x:c>
      <x:c r="B1853" s="29" t="str">
        <x:v>SCA-21</x:v>
      </x:c>
      <x:c r="C1853" s="44" t="n">
        <x:v>33322</x:v>
      </x:c>
      <x:c r="D1853" s="44" t="n">
        <x:v>377.3317087557607</x:v>
      </x:c>
      <x:c r="E1853" s="44" t="n">
        <x:v>3603.8375696202534</x:v>
      </x:c>
      <x:c r="F1853" s="44" t="n">
        <x:v>216.90926866492302</x:v>
      </x:c>
      <x:c r="G1853" s="44" t="n">
        <x:v>716.0848101265823</x:v>
      </x:c>
      <x:c r="H1853" s="44" t="n">
        <x:v>28407.83664283248</x:v>
      </x:c>
      <x:c r="I1853" s="44" t="n">
        <x:v>33322</x:v>
      </x:c>
      <x:c r="J1853" s="44" t="n">
        <x:v>3649</x:v>
      </x:c>
      <x:c r="K1853" s="44" t="n">
        <x:v>444.0810786865065</x:v>
      </x:c>
      <x:c r="L1853" s="44" t="n">
        <x:v>227.17181002158347</x:v>
      </x:c>
    </x:row>
    <x:row r="1854" ht="15" hidden="0" customHeight="1">
      <x:c r="A1854" s="27" t="str">
        <x:v>17103</x:v>
      </x:c>
      <x:c r="B1854" s="27" t="str">
        <x:v>SCA-21</x:v>
      </x:c>
      <x:c r="C1854" s="43" t="n">
        <x:v>32914</x:v>
      </x:c>
      <x:c r="D1854" s="43" t="n">
        <x:v>431.19581036915895</x:v>
      </x:c>
      <x:c r="E1854" s="43" t="n">
        <x:v>5125.89178984862</x:v>
      </x:c>
      <x:c r="F1854" s="43" t="n">
        <x:v>167.90944353742375</x:v>
      </x:c>
      <x:c r="G1854" s="43" t="n">
        <x:v>902.7026618750795</x:v>
      </x:c>
      <x:c r="H1854" s="43" t="n">
        <x:v>26286.300294369717</x:v>
      </x:c>
      <x:c r="I1854" s="43" t="n">
        <x:v>32914</x:v>
      </x:c>
      <x:c r="J1854" s="43" t="n">
        <x:v>5101</x:v>
      </x:c>
      <x:c r="K1854" s="43" t="n">
        <x:v>385.5264293295569</x:v>
      </x:c>
      <x:c r="L1854" s="43" t="n">
        <x:v>217.61698579213314</x:v>
      </x:c>
    </x:row>
    <x:row r="1855" ht="15" hidden="0" customHeight="1">
      <x:c r="A1855" s="29" t="str">
        <x:v>17011</x:v>
      </x:c>
      <x:c r="B1855" s="29" t="str">
        <x:v>SCA-21</x:v>
      </x:c>
      <x:c r="C1855" s="44" t="n">
        <x:v>32510</x:v>
      </x:c>
      <x:c r="D1855" s="44" t="n">
        <x:v>406.9356322107404</x:v>
      </x:c>
      <x:c r="E1855" s="44" t="n">
        <x:v>4607.754407594625</x:v>
      </x:c>
      <x:c r="F1855" s="44" t="n">
        <x:v>165.8484538312465</x:v>
      </x:c>
      <x:c r="G1855" s="44" t="n">
        <x:v>1040.732770311922</x:v>
      </x:c>
      <x:c r="H1855" s="44" t="n">
        <x:v>26288.728736051464</x:v>
      </x:c>
      <x:c r="I1855" s="44" t="n">
        <x:v>32510</x:v>
      </x:c>
      <x:c r="J1855" s="44" t="n">
        <x:v>4790</x:v>
      </x:c>
      <x:c r="K1855" s="44" t="n">
        <x:v>380.79431905887753</x:v>
      </x:c>
      <x:c r="L1855" s="44" t="n">
        <x:v>214.94586522763103</x:v>
      </x:c>
    </x:row>
    <x:row r="1856" ht="15" hidden="0" customHeight="1">
      <x:c r="A1856" s="27" t="str">
        <x:v>18169</x:v>
      </x:c>
      <x:c r="B1856" s="27" t="str">
        <x:v>SCA-21</x:v>
      </x:c>
      <x:c r="C1856" s="43" t="n">
        <x:v>30713</x:v>
      </x:c>
      <x:c r="D1856" s="43" t="n">
        <x:v>398.73226049388364</x:v>
      </x:c>
      <x:c r="E1856" s="43" t="n">
        <x:v>4544.333653190779</x:v>
      </x:c>
      <x:c r="F1856" s="43" t="n">
        <x:v>199.9260058971784</x:v>
      </x:c>
      <x:c r="G1856" s="43" t="n">
        <x:v>730.8348813899097</x:v>
      </x:c>
      <x:c r="H1856" s="43" t="n">
        <x:v>24839.17319902825</x:v>
      </x:c>
      <x:c r="I1856" s="43" t="n">
        <x:v>30713</x:v>
      </x:c>
      <x:c r="J1856" s="43" t="n">
        <x:v>4613</x:v>
      </x:c>
      <x:c r="K1856" s="43" t="n">
        <x:v>409.31103084144627</x:v>
      </x:c>
      <x:c r="L1856" s="43" t="n">
        <x:v>209.38502494426785</x:v>
      </x:c>
    </x:row>
    <x:row r="1857" ht="15" hidden="0" customHeight="1">
      <x:c r="A1857" s="29" t="str">
        <x:v>55029</x:v>
      </x:c>
      <x:c r="B1857" s="29" t="str">
        <x:v>SCA-21</x:v>
      </x:c>
      <x:c r="C1857" s="44" t="n">
        <x:v>30616</x:v>
      </x:c>
      <x:c r="D1857" s="44" t="n">
        <x:v>288.1804290082766</x:v>
      </x:c>
      <x:c r="E1857" s="44" t="n">
        <x:v>3382.5825390197833</x:v>
      </x:c>
      <x:c r="F1857" s="44" t="n">
        <x:v>161.89304383932568</x:v>
      </x:c>
      <x:c r="G1857" s="44" t="n">
        <x:v>513.2491632700401</x:v>
      </x:c>
      <x:c r="H1857" s="44" t="n">
        <x:v>26270.094824862572</x:v>
      </x:c>
      <x:c r="I1857" s="44" t="n">
        <x:v>30616</x:v>
      </x:c>
      <x:c r="J1857" s="44" t="n">
        <x:v>3473</x:v>
      </x:c>
      <x:c r="K1857" s="44" t="n">
        <x:v>309.1325337217779</x:v>
      </x:c>
      <x:c r="L1857" s="44" t="n">
        <x:v>147.23948988245223</x:v>
      </x:c>
    </x:row>
    <x:row r="1858" ht="15" hidden="0" customHeight="1">
      <x:c r="A1858" s="27" t="str">
        <x:v>26105</x:v>
      </x:c>
      <x:c r="B1858" s="27" t="str">
        <x:v>SCA-21</x:v>
      </x:c>
      <x:c r="C1858" s="43" t="n">
        <x:v>29040</x:v>
      </x:c>
      <x:c r="D1858" s="43" t="n">
        <x:v>326.1516434703572</x:v>
      </x:c>
      <x:c r="E1858" s="43" t="n">
        <x:v>4751.343555739743</x:v>
      </x:c>
      <x:c r="F1858" s="43" t="n">
        <x:v>162.39790564590692</x:v>
      </x:c>
      <x:c r="G1858" s="43" t="n">
        <x:v>1010.8298280149193</x:v>
      </x:c>
      <x:c r="H1858" s="43" t="n">
        <x:v>22789.27706712907</x:v>
      </x:c>
      <x:c r="I1858" s="43" t="n">
        <x:v>29040</x:v>
      </x:c>
      <x:c r="J1858" s="43" t="n">
        <x:v>4935</x:v>
      </x:c>
      <x:c r="K1858" s="43" t="n">
        <x:v>290.57690096044155</x:v>
      </x:c>
      <x:c r="L1858" s="43" t="n">
        <x:v>128.17899531453463</x:v>
      </x:c>
    </x:row>
    <x:row r="1859" ht="15" hidden="0" customHeight="1">
      <x:c r="A1859" s="29" t="str">
        <x:v>18179</x:v>
      </x:c>
      <x:c r="B1859" s="29" t="str">
        <x:v>SCA-21</x:v>
      </x:c>
      <x:c r="C1859" s="44" t="n">
        <x:v>28883</x:v>
      </x:c>
      <x:c r="D1859" s="44" t="n">
        <x:v>344.1845219273524</x:v>
      </x:c>
      <x:c r="E1859" s="44" t="n">
        <x:v>3534.611308427952</x:v>
      </x:c>
      <x:c r="F1859" s="44" t="n">
        <x:v>188.01363684199538</x:v>
      </x:c>
      <x:c r="G1859" s="44" t="n">
        <x:v>528.7495970486049</x:v>
      </x:c>
      <x:c r="H1859" s="44" t="n">
        <x:v>24287.440935754094</x:v>
      </x:c>
      <x:c r="I1859" s="44" t="n">
        <x:v>28883</x:v>
      </x:c>
      <x:c r="J1859" s="44" t="n">
        <x:v>3559</x:v>
      </x:c>
      <x:c r="K1859" s="44" t="n">
        <x:v>384.9226875848498</x:v>
      </x:c>
      <x:c r="L1859" s="44" t="n">
        <x:v>196.90905074285445</x:v>
      </x:c>
    </x:row>
    <x:row r="1860" ht="15" hidden="0" customHeight="1">
      <x:c r="A1860" s="27" t="str">
        <x:v>26127</x:v>
      </x:c>
      <x:c r="B1860" s="27" t="str">
        <x:v>SCA-21</x:v>
      </x:c>
      <x:c r="C1860" s="43" t="n">
        <x:v>27177</x:v>
      </x:c>
      <x:c r="D1860" s="43" t="n">
        <x:v>314.8831548934761</x:v>
      </x:c>
      <x:c r="E1860" s="43" t="n">
        <x:v>4678.253109457387</x:v>
      </x:c>
      <x:c r="F1860" s="43" t="n">
        <x:v>151.97961025271388</x:v>
      </x:c>
      <x:c r="G1860" s="43" t="n">
        <x:v>535.9088291387757</x:v>
      </x:c>
      <x:c r="H1860" s="43" t="n">
        <x:v>21495.97529625765</x:v>
      </x:c>
      <x:c r="I1860" s="43" t="n">
        <x:v>27177</x:v>
      </x:c>
      <x:c r="J1860" s="43" t="n">
        <x:v>4795</x:v>
      </x:c>
      <x:c r="K1860" s="43" t="n">
        <x:v>271.9355522521322</x:v>
      </x:c>
      <x:c r="L1860" s="43" t="n">
        <x:v>119.95594199941831</x:v>
      </x:c>
    </x:row>
    <x:row r="1861" ht="15" hidden="0" customHeight="1">
      <x:c r="A1861" s="29" t="str">
        <x:v>17075</x:v>
      </x:c>
      <x:c r="B1861" s="29" t="str">
        <x:v>SCA-21</x:v>
      </x:c>
      <x:c r="C1861" s="44" t="n">
        <x:v>26150</x:v>
      </x:c>
      <x:c r="D1861" s="44" t="n">
        <x:v>342.67884762132496</x:v>
      </x:c>
      <x:c r="E1861" s="44" t="n">
        <x:v>4074.7991095417206</x:v>
      </x:c>
      <x:c r="F1861" s="44" t="n">
        <x:v>133.40317033796052</x:v>
      </x:c>
      <x:c r="G1861" s="44" t="n">
        <x:v>601.4565901589007</x:v>
      </x:c>
      <x:c r="H1861" s="44" t="n">
        <x:v>20997.662282340094</x:v>
      </x:c>
      <x:c r="I1861" s="44" t="n">
        <x:v>26150</x:v>
      </x:c>
      <x:c r="J1861" s="44" t="n">
        <x:v>4229</x:v>
      </x:c>
      <x:c r="K1861" s="44" t="n">
        <x:v>306.29872172838043</x:v>
      </x:c>
      <x:c r="L1861" s="44" t="n">
        <x:v>172.8955513904199</x:v>
      </x:c>
    </x:row>
    <x:row r="1862" ht="15" hidden="0" customHeight="1">
      <x:c r="A1862" s="27" t="str">
        <x:v>26043</x:v>
      </x:c>
      <x:c r="B1862" s="27" t="str">
        <x:v>SCA-21</x:v>
      </x:c>
      <x:c r="C1862" s="43" t="n">
        <x:v>25827</x:v>
      </x:c>
      <x:c r="D1862" s="43" t="n">
        <x:v>297.09959812965536</x:v>
      </x:c>
      <x:c r="E1862" s="43" t="n">
        <x:v>4394.457369997277</x:v>
      </x:c>
      <x:c r="F1862" s="43" t="n">
        <x:v>144.43012083735667</x:v>
      </x:c>
      <x:c r="G1862" s="43" t="n">
        <x:v>1086.04410563572</x:v>
      </x:c>
      <x:c r="H1862" s="43" t="n">
        <x:v>19904.96880539999</x:v>
      </x:c>
      <x:c r="I1862" s="43" t="n">
        <x:v>25827</x:v>
      </x:c>
      <x:c r="J1862" s="43" t="n">
        <x:v>4557</x:v>
      </x:c>
      <x:c r="K1862" s="43" t="n">
        <x:v>258.4273285504588</x:v>
      </x:c>
      <x:c r="L1862" s="43" t="n">
        <x:v>113.99720771310214</x:v>
      </x:c>
    </x:row>
    <x:row r="1863" ht="15" hidden="0" customHeight="1">
      <x:c r="A1863" s="29" t="str">
        <x:v>26101</x:v>
      </x:c>
      <x:c r="B1863" s="29" t="str">
        <x:v>SCA-21</x:v>
      </x:c>
      <x:c r="C1863" s="44" t="n">
        <x:v>25656</x:v>
      </x:c>
      <x:c r="D1863" s="44" t="n">
        <x:v>306.24382846649587</x:v>
      </x:c>
      <x:c r="E1863" s="44" t="n">
        <x:v>4632.03345031185</x:v>
      </x:c>
      <x:c r="F1863" s="44" t="n">
        <x:v>143.47385217807806</x:v>
      </x:c>
      <x:c r="G1863" s="44" t="n">
        <x:v>584.9980665280665</x:v>
      </x:c>
      <x:c r="H1863" s="44" t="n">
        <x:v>19989.250802515508</x:v>
      </x:c>
      <x:c r="I1863" s="44" t="n">
        <x:v>25656</x:v>
      </x:c>
      <x:c r="J1863" s="44" t="n">
        <x:v>4523</x:v>
      </x:c>
      <x:c r="K1863" s="44" t="n">
        <x:v>256.7162868815802</x:v>
      </x:c>
      <x:c r="L1863" s="44" t="n">
        <x:v>113.2424347035021</x:v>
      </x:c>
    </x:row>
    <x:row r="1864" ht="15" hidden="0" customHeight="1">
      <x:c r="A1864" s="27" t="str">
        <x:v>55137</x:v>
      </x:c>
      <x:c r="B1864" s="27" t="str">
        <x:v>SCA-21</x:v>
      </x:c>
      <x:c r="C1864" s="43" t="n">
        <x:v>25223</x:v>
      </x:c>
      <x:c r="D1864" s="43" t="n">
        <x:v>278.92864469995334</x:v>
      </x:c>
      <x:c r="E1864" s="43" t="n">
        <x:v>3783.008413505627</x:v>
      </x:c>
      <x:c r="F1864" s="43" t="n">
        <x:v>133.3756285850311</x:v>
      </x:c>
      <x:c r="G1864" s="43" t="n">
        <x:v>892.7067944977074</x:v>
      </x:c>
      <x:c r="H1864" s="43" t="n">
        <x:v>20134.98051871168</x:v>
      </x:c>
      <x:c r="I1864" s="43" t="n">
        <x:v>25223</x:v>
      </x:c>
      <x:c r="J1864" s="43" t="n">
        <x:v>3748</x:v>
      </x:c>
      <x:c r="K1864" s="43" t="n">
        <x:v>254.67892272224995</x:v>
      </x:c>
      <x:c r="L1864" s="43" t="n">
        <x:v>121.30329413721886</x:v>
      </x:c>
    </x:row>
    <x:row r="1865" ht="15" hidden="0" customHeight="1">
      <x:c r="A1865" s="29" t="str">
        <x:v>18181</x:v>
      </x:c>
      <x:c r="B1865" s="29" t="str">
        <x:v>SCA-21</x:v>
      </x:c>
      <x:c r="C1865" s="44" t="n">
        <x:v>25164</x:v>
      </x:c>
      <x:c r="D1865" s="44" t="n">
        <x:v>309.84860501231765</x:v>
      </x:c>
      <x:c r="E1865" s="44" t="n">
        <x:v>3319.049604828514</x:v>
      </x:c>
      <x:c r="F1865" s="44" t="n">
        <x:v>163.8048387456972</x:v>
      </x:c>
      <x:c r="G1865" s="44" t="n">
        <x:v>409.30728763101007</x:v>
      </x:c>
      <x:c r="H1865" s="44" t="n">
        <x:v>20961.98966378246</x:v>
      </x:c>
      <x:c r="I1865" s="44" t="n">
        <x:v>25164</x:v>
      </x:c>
      <x:c r="J1865" s="44" t="n">
        <x:v>3369</x:v>
      </x:c>
      <x:c r="K1865" s="44" t="n">
        <x:v>335.35971022349344</x:v>
      </x:c>
      <x:c r="L1865" s="44" t="n">
        <x:v>171.55487147779624</x:v>
      </x:c>
    </x:row>
    <x:row r="1866" ht="15" hidden="0" customHeight="1">
      <x:c r="A1866" s="27" t="str">
        <x:v>55049</x:v>
      </x:c>
      <x:c r="B1866" s="27" t="str">
        <x:v>SCA-21</x:v>
      </x:c>
      <x:c r="C1866" s="43" t="n">
        <x:v>23951</x:v>
      </x:c>
      <x:c r="D1866" s="43" t="n">
        <x:v>231.21658388762623</x:v>
      </x:c>
      <x:c r="E1866" s="43" t="n">
        <x:v>2784.735231352718</x:v>
      </x:c>
      <x:c r="F1866" s="43" t="n">
        <x:v>126.64947390239386</x:v>
      </x:c>
      <x:c r="G1866" s="43" t="n">
        <x:v>526.453603034134</x:v>
      </x:c>
      <x:c r="H1866" s="43" t="n">
        <x:v>20281.94510782313</x:v>
      </x:c>
      <x:c r="I1866" s="43" t="n">
        <x:v>23951</x:v>
      </x:c>
      <x:c r="J1866" s="43" t="n">
        <x:v>2874</x:v>
      </x:c>
      <x:c r="K1866" s="43" t="n">
        <x:v>241.83542315032346</x:v>
      </x:c>
      <x:c r="L1866" s="43" t="n">
        <x:v>115.18594924792961</x:v>
      </x:c>
    </x:row>
    <x:row r="1867" ht="15" hidden="0" customHeight="1">
      <x:c r="A1867" s="29" t="str">
        <x:v>18149</x:v>
      </x:c>
      <x:c r="B1867" s="29" t="str">
        <x:v>SCA-21</x:v>
      </x:c>
      <x:c r="C1867" s="44" t="n">
        <x:v>23425</x:v>
      </x:c>
      <x:c r="D1867" s="44" t="n">
        <x:v>344.34210456256216</x:v>
      </x:c>
      <x:c r="E1867" s="44" t="n">
        <x:v>4431.427615493501</x:v>
      </x:c>
      <x:c r="F1867" s="44" t="n">
        <x:v>152.48483339762984</x:v>
      </x:c>
      <x:c r="G1867" s="44" t="n">
        <x:v>801.3366791060781</x:v>
      </x:c>
      <x:c r="H1867" s="44" t="n">
        <x:v>17695.40876744023</x:v>
      </x:c>
      <x:c r="I1867" s="44" t="n">
        <x:v>23425</x:v>
      </x:c>
      <x:c r="J1867" s="44" t="n">
        <x:v>4594</x:v>
      </x:c>
      <x:c r="K1867" s="44" t="n">
        <x:v>312.18412064796274</x:v>
      </x:c>
      <x:c r="L1867" s="44" t="n">
        <x:v>159.6992872503329</x:v>
      </x:c>
    </x:row>
    <x:row r="1868" ht="15" hidden="0" customHeight="1">
      <x:c r="A1868" s="27" t="str">
        <x:v>26109</x:v>
      </x:c>
      <x:c r="B1868" s="27" t="str">
        <x:v>SCA-21</x:v>
      </x:c>
      <x:c r="C1868" s="43" t="n">
        <x:v>22941</x:v>
      </x:c>
      <x:c r="D1868" s="43" t="n">
        <x:v>253.87946778424146</x:v>
      </x:c>
      <x:c r="E1868" s="43" t="n">
        <x:v>3662.8970354906055</x:v>
      </x:c>
      <x:c r="F1868" s="43" t="n">
        <x:v>128.2909901316374</x:v>
      </x:c>
      <x:c r="G1868" s="43" t="n">
        <x:v>752.8141962421711</x:v>
      </x:c>
      <x:c r="H1868" s="43" t="n">
        <x:v>18143.118310351347</x:v>
      </x:c>
      <x:c r="I1868" s="43" t="n">
        <x:v>22941</x:v>
      </x:c>
      <x:c r="J1868" s="43" t="n">
        <x:v>3824</x:v>
      </x:c>
      <x:c r="K1868" s="43" t="n">
        <x:v>229.5497481037703</x:v>
      </x:c>
      <x:c r="L1868" s="43" t="n">
        <x:v>101.2587579721329</x:v>
      </x:c>
    </x:row>
    <x:row r="1869" ht="15" hidden="0" customHeight="1">
      <x:c r="A1869" s="29" t="str">
        <x:v>55001</x:v>
      </x:c>
      <x:c r="B1869" s="29" t="str">
        <x:v>SCA-21</x:v>
      </x:c>
      <x:c r="C1869" s="44" t="n">
        <x:v>21752</x:v>
      </x:c>
      <x:c r="D1869" s="44" t="n">
        <x:v>293.6030577029909</x:v>
      </x:c>
      <x:c r="E1869" s="44" t="n">
        <x:v>4535.822705026131</x:v>
      </x:c>
      <x:c r="F1869" s="44" t="n">
        <x:v>115.02147535906103</x:v>
      </x:c>
      <x:c r="G1869" s="44" t="n">
        <x:v>494.721437991501</x:v>
      </x:c>
      <x:c r="H1869" s="44" t="n">
        <x:v>16312.831323920314</x:v>
      </x:c>
      <x:c r="I1869" s="44" t="n">
        <x:v>21752</x:v>
      </x:c>
      <x:c r="J1869" s="44" t="n">
        <x:v>4447</x:v>
      </x:c>
      <x:c r="K1869" s="44" t="n">
        <x:v>219.63192035262978</x:v>
      </x:c>
      <x:c r="L1869" s="44" t="n">
        <x:v>104.61044499356875</x:v>
      </x:c>
    </x:row>
    <x:row r="1870" ht="15" hidden="0" customHeight="1">
      <x:c r="A1870" s="27" t="str">
        <x:v>17085</x:v>
      </x:c>
      <x:c r="B1870" s="27" t="str">
        <x:v>SCA-21</x:v>
      </x:c>
      <x:c r="C1870" s="43" t="n">
        <x:v>21594</x:v>
      </x:c>
      <x:c r="D1870" s="43" t="n">
        <x:v>262.31378081110194</x:v>
      </x:c>
      <x:c r="E1870" s="43" t="n">
        <x:v>2868.98554323725</x:v>
      </x:c>
      <x:c r="F1870" s="43" t="n">
        <x:v>110.16092008710972</x:v>
      </x:c>
      <x:c r="G1870" s="43" t="n">
        <x:v>917.6080931263857</x:v>
      </x:c>
      <x:c r="H1870" s="43" t="n">
        <x:v>17434.931662738152</x:v>
      </x:c>
      <x:c r="I1870" s="43" t="n">
        <x:v>21594</x:v>
      </x:c>
      <x:c r="J1870" s="43" t="n">
        <x:v>2996</x:v>
      </x:c>
      <x:c r="K1870" s="43" t="n">
        <x:v>252.9336365966595</x:v>
      </x:c>
      <x:c r="L1870" s="43" t="n">
        <x:v>142.7727165095498</x:v>
      </x:c>
    </x:row>
    <x:row r="1871" ht="15" hidden="0" customHeight="1">
      <x:c r="A1871" s="29" t="str">
        <x:v>19105</x:v>
      </x:c>
      <x:c r="B1871" s="29" t="str">
        <x:v>SCA-21</x:v>
      </x:c>
      <x:c r="C1871" s="44" t="n">
        <x:v>21253</x:v>
      </x:c>
      <x:c r="D1871" s="44" t="n">
        <x:v>303.22488173560396</x:v>
      </x:c>
      <x:c r="E1871" s="44" t="n">
        <x:v>2796.1451874336017</x:v>
      </x:c>
      <x:c r="F1871" s="44" t="n">
        <x:v>99.56219375942806</x:v>
      </x:c>
      <x:c r="G1871" s="44" t="n">
        <x:v>309.80027318257703</x:v>
      </x:c>
      <x:c r="H1871" s="44" t="n">
        <x:v>17744.26746388879</x:v>
      </x:c>
      <x:c r="I1871" s="44" t="n">
        <x:v>21253</x:v>
      </x:c>
      <x:c r="J1871" s="44" t="n">
        <x:v>2709</x:v>
      </x:c>
      <x:c r="K1871" s="44" t="n">
        <x:v>286.28102601863196</x:v>
      </x:c>
      <x:c r="L1871" s="44" t="n">
        <x:v>186.7188322592039</x:v>
      </x:c>
    </x:row>
    <x:row r="1872" ht="15" hidden="0" customHeight="1">
      <x:c r="A1872" s="27" t="str">
        <x:v>55061</x:v>
      </x:c>
      <x:c r="B1872" s="27" t="str">
        <x:v>SCA-21</x:v>
      </x:c>
      <x:c r="C1872" s="43" t="n">
        <x:v>20758</x:v>
      </x:c>
      <x:c r="D1872" s="43" t="n">
        <x:v>199.57669410003703</x:v>
      </x:c>
      <x:c r="E1872" s="43" t="n">
        <x:v>2393.9190506298332</x:v>
      </x:c>
      <x:c r="F1872" s="43" t="n">
        <x:v>109.76534504888694</x:v>
      </x:c>
      <x:c r="G1872" s="43" t="n">
        <x:v>262.2011575312485</x:v>
      </x:c>
      <x:c r="H1872" s="43" t="n">
        <x:v>17792.537752689994</x:v>
      </x:c>
      <x:c r="I1872" s="43" t="n">
        <x:v>20758</x:v>
      </x:c>
      <x:c r="J1872" s="43" t="n">
        <x:v>2470</x:v>
      </x:c>
      <x:c r="K1872" s="43" t="n">
        <x:v>209.5954120393476</x:v>
      </x:c>
      <x:c r="L1872" s="43" t="n">
        <x:v>99.83006699046065</x:v>
      </x:c>
    </x:row>
    <x:row r="1873" ht="15" hidden="0" customHeight="1">
      <x:c r="A1873" s="29" t="str">
        <x:v>18015</x:v>
      </x:c>
      <x:c r="B1873" s="29" t="str">
        <x:v>SCA-21</x:v>
      </x:c>
      <x:c r="C1873" s="44" t="n">
        <x:v>20655</x:v>
      </x:c>
      <x:c r="D1873" s="44" t="n">
        <x:v>242.4064697383938</x:v>
      </x:c>
      <x:c r="E1873" s="44" t="n">
        <x:v>2438.1979343090707</x:v>
      </x:c>
      <x:c r="F1873" s="44" t="n">
        <x:v>134.45354253268061</x:v>
      </x:c>
      <x:c r="G1873" s="44" t="n">
        <x:v>540.2551275148073</x:v>
      </x:c>
      <x:c r="H1873" s="44" t="n">
        <x:v>17299.686925905047</x:v>
      </x:c>
      <x:c r="I1873" s="44" t="n">
        <x:v>20655</x:v>
      </x:c>
      <x:c r="J1873" s="44" t="n">
        <x:v>2512</x:v>
      </x:c>
      <x:c r="K1873" s="44" t="n">
        <x:v>275.26843167486317</x:v>
      </x:c>
      <x:c r="L1873" s="44" t="n">
        <x:v>140.81488914218255</x:v>
      </x:c>
    </x:row>
    <x:row r="1874" ht="15" hidden="0" customHeight="1">
      <x:c r="A1874" s="27" t="str">
        <x:v>18049</x:v>
      </x:c>
      <x:c r="B1874" s="27" t="str">
        <x:v>SCA-21</x:v>
      </x:c>
      <x:c r="C1874" s="43" t="n">
        <x:v>20091</x:v>
      </x:c>
      <x:c r="D1874" s="43" t="n">
        <x:v>254.76424348560008</x:v>
      </x:c>
      <x:c r="E1874" s="43" t="n">
        <x:v>2827.0658084990328</x:v>
      </x:c>
      <x:c r="F1874" s="43" t="n">
        <x:v>130.78218944682095</x:v>
      </x:c>
      <x:c r="G1874" s="43" t="n">
        <x:v>705.7815738582833</x:v>
      </x:c>
      <x:c r="H1874" s="43" t="n">
        <x:v>16172.606184710261</x:v>
      </x:c>
      <x:c r="I1874" s="43" t="n">
        <x:v>20091</x:v>
      </x:c>
      <x:c r="J1874" s="43" t="n">
        <x:v>2956</x:v>
      </x:c>
      <x:c r="K1874" s="43" t="n">
        <x:v>267.7520242449613</x:v>
      </x:c>
      <x:c r="L1874" s="43" t="n">
        <x:v>136.96983479814037</x:v>
      </x:c>
    </x:row>
    <x:row r="1875" ht="15" hidden="0" customHeight="1">
      <x:c r="A1875" s="29" t="str">
        <x:v>55047</x:v>
      </x:c>
      <x:c r="B1875" s="29" t="str">
        <x:v>SCA-21</x:v>
      </x:c>
      <x:c r="C1875" s="44" t="n">
        <x:v>19305</x:v>
      </x:c>
      <x:c r="D1875" s="44" t="n">
        <x:v>212.99818802790747</x:v>
      </x:c>
      <x:c r="E1875" s="44" t="n">
        <x:v>2883.7424921465968</x:v>
      </x:c>
      <x:c r="F1875" s="44" t="n">
        <x:v>102.08208816691214</x:v>
      </x:c>
      <x:c r="G1875" s="44" t="n">
        <x:v>1152.180942408377</x:v>
      </x:c>
      <x:c r="H1875" s="44" t="n">
        <x:v>14953.996289250204</x:v>
      </x:c>
      <x:c r="I1875" s="44" t="n">
        <x:v>19305</x:v>
      </x:c>
      <x:c r="J1875" s="44" t="n">
        <x:v>2972</x:v>
      </x:c>
      <x:c r="K1875" s="44" t="n">
        <x:v>194.92433902204476</x:v>
      </x:c>
      <x:c r="L1875" s="44" t="n">
        <x:v>92.84225085513262</x:v>
      </x:c>
    </x:row>
    <x:row r="1876" ht="15" hidden="0" customHeight="1">
      <x:c r="A1876" s="27" t="str">
        <x:v>19097</x:v>
      </x:c>
      <x:c r="B1876" s="27" t="str">
        <x:v>SCA-21</x:v>
      </x:c>
      <x:c r="C1876" s="43" t="n">
        <x:v>19288</x:v>
      </x:c>
      <x:c r="D1876" s="43" t="n">
        <x:v>272.7264358811552</x:v>
      </x:c>
      <x:c r="E1876" s="43" t="n">
        <x:v>2478.5080000000003</x:v>
      </x:c>
      <x:c r="F1876" s="43" t="n">
        <x:v>90.35691870474042</x:v>
      </x:c>
      <x:c r="G1876" s="43" t="n">
        <x:v>591.5776041666667</x:v>
      </x:c>
      <x:c r="H1876" s="43" t="n">
        <x:v>15854.831041247437</x:v>
      </x:c>
      <x:c r="I1876" s="43" t="n">
        <x:v>19288</x:v>
      </x:c>
      <x:c r="J1876" s="43" t="n">
        <x:v>2570</x:v>
      </x:c>
      <x:c r="K1876" s="43" t="n">
        <x:v>259.81218791922896</x:v>
      </x:c>
      <x:c r="L1876" s="43" t="n">
        <x:v>169.45526921448854</x:v>
      </x:c>
    </x:row>
    <x:row r="1877" ht="15" hidden="0" customHeight="1">
      <x:c r="A1877" s="29" t="str">
        <x:v>26019</x:v>
      </x:c>
      <x:c r="B1877" s="29" t="str">
        <x:v>SCA-21</x:v>
      </x:c>
      <x:c r="C1877" s="44" t="n">
        <x:v>18568</x:v>
      </x:c>
      <x:c r="D1877" s="44" t="n">
        <x:v>212.86352765242196</x:v>
      </x:c>
      <x:c r="E1877" s="44" t="n">
        <x:v>3141.7597173769045</x:v>
      </x:c>
      <x:c r="F1877" s="44" t="n">
        <x:v>103.83623664026167</x:v>
      </x:c>
      <x:c r="G1877" s="44" t="n">
        <x:v>300.25576838154115</x:v>
      </x:c>
      <x:c r="H1877" s="44" t="n">
        <x:v>14809.28474994887</x:v>
      </x:c>
      <x:c r="I1877" s="44" t="n">
        <x:v>18568</x:v>
      </x:c>
      <x:c r="J1877" s="44" t="n">
        <x:v>3193</x:v>
      </x:c>
      <x:c r="K1877" s="44" t="n">
        <x:v>185.79310940197928</x:v>
      </x:c>
      <x:c r="L1877" s="44" t="n">
        <x:v>81.9568727617176</x:v>
      </x:c>
    </x:row>
    <x:row r="1878" ht="15" hidden="0" customHeight="1">
      <x:c r="A1878" s="27" t="str">
        <x:v>19031</x:v>
      </x:c>
      <x:c r="B1878" s="27" t="str">
        <x:v>SCA-21</x:v>
      </x:c>
      <x:c r="C1878" s="43" t="n">
        <x:v>18359</x:v>
      </x:c>
      <x:c r="D1878" s="43" t="n">
        <x:v>246.86934001268258</x:v>
      </x:c>
      <x:c r="E1878" s="43" t="n">
        <x:v>2053.8198373983737</x:v>
      </x:c>
      <x:c r="F1878" s="43" t="n">
        <x:v>86.00490825903822</x:v>
      </x:c>
      <x:c r="G1878" s="43" t="n">
        <x:v>241.62872628726288</x:v>
      </x:c>
      <x:c r="H1878" s="43" t="n">
        <x:v>15730.677188042642</x:v>
      </x:c>
      <x:c r="I1878" s="43" t="n">
        <x:v>18359</x:v>
      </x:c>
      <x:c r="J1878" s="43" t="n">
        <x:v>2107</x:v>
      </x:c>
      <x:c r="K1878" s="43" t="n">
        <x:v>247.29842171345524</x:v>
      </x:c>
      <x:c r="L1878" s="43" t="n">
        <x:v>161.29351345441702</x:v>
      </x:c>
    </x:row>
    <x:row r="1879" ht="15" hidden="0" customHeight="1">
      <x:c r="A1879" s="29" t="str">
        <x:v>19055</x:v>
      </x:c>
      <x:c r="B1879" s="29" t="str">
        <x:v>SCA-21</x:v>
      </x:c>
      <x:c r="C1879" s="44" t="n">
        <x:v>17674</x:v>
      </x:c>
      <x:c r="D1879" s="44" t="n">
        <x:v>262.14052778745315</x:v>
      </x:c>
      <x:c r="E1879" s="44" t="n">
        <x:v>2564.762428702852</x:v>
      </x:c>
      <x:c r="F1879" s="44" t="n">
        <x:v>82.79594469035575</x:v>
      </x:c>
      <x:c r="G1879" s="44" t="n">
        <x:v>899.344439972401</x:v>
      </x:c>
      <x:c r="H1879" s="44" t="n">
        <x:v>13864.956658846939</x:v>
      </x:c>
      <x:c r="I1879" s="44" t="n">
        <x:v>17674</x:v>
      </x:c>
      <x:c r="J1879" s="44" t="n">
        <x:v>2629</x:v>
      </x:c>
      <x:c r="K1879" s="44" t="n">
        <x:v>238.07137128185673</x:v>
      </x:c>
      <x:c r="L1879" s="44" t="n">
        <x:v>155.27542659150097</x:v>
      </x:c>
    </x:row>
    <x:row r="1880" ht="15" hidden="0" customHeight="1">
      <x:c r="A1880" s="27" t="str">
        <x:v>55065</x:v>
      </x:c>
      <x:c r="B1880" s="27" t="str">
        <x:v>SCA-21</x:v>
      </x:c>
      <x:c r="C1880" s="43" t="n">
        <x:v>17478</x:v>
      </x:c>
      <x:c r="D1880" s="43" t="n">
        <x:v>163.8061439002322</x:v>
      </x:c>
      <x:c r="E1880" s="43" t="n">
        <x:v>1914.008699360341</x:v>
      </x:c>
      <x:c r="F1880" s="43" t="n">
        <x:v>92.42117259680344</x:v>
      </x:c>
      <x:c r="G1880" s="43" t="n">
        <x:v>721.1449893390192</x:v>
      </x:c>
      <x:c r="H1880" s="43" t="n">
        <x:v>14586.618994803604</x:v>
      </x:c>
      <x:c r="I1880" s="43" t="n">
        <x:v>17478</x:v>
      </x:c>
      <x:c r="J1880" s="43" t="n">
        <x:v>1926</x:v>
      </x:c>
      <x:c r="K1880" s="43" t="n">
        <x:v>176.47695402368808</x:v>
      </x:c>
      <x:c r="L1880" s="43" t="n">
        <x:v>84.05578142688464</x:v>
      </x:c>
    </x:row>
    <x:row r="1881" ht="15" hidden="0" customHeight="1">
      <x:c r="A1881" s="29" t="str">
        <x:v>55103</x:v>
      </x:c>
      <x:c r="B1881" s="29" t="str">
        <x:v>SCA-21</x:v>
      </x:c>
      <x:c r="C1881" s="44" t="n">
        <x:v>17036</x:v>
      </x:c>
      <x:c r="D1881" s="44" t="n">
        <x:v>181.39321033278233</x:v>
      </x:c>
      <x:c r="E1881" s="44" t="n">
        <x:v>2387.1146416861825</x:v>
      </x:c>
      <x:c r="F1881" s="44" t="n">
        <x:v>90.08393960173612</x:v>
      </x:c>
      <x:c r="G1881" s="44" t="n">
        <x:v>725.9338407494146</x:v>
      </x:c>
      <x:c r="H1881" s="44" t="n">
        <x:v>13651.474367629884</x:v>
      </x:c>
      <x:c r="I1881" s="44" t="n">
        <x:v>17036</x:v>
      </x:c>
      <x:c r="J1881" s="44" t="n">
        <x:v>2493</x:v>
      </x:c>
      <x:c r="K1881" s="44" t="n">
        <x:v>172.0140398642608</x:v>
      </x:c>
      <x:c r="L1881" s="44" t="n">
        <x:v>81.93010026252469</x:v>
      </x:c>
    </x:row>
    <x:row r="1882" ht="15" hidden="0" customHeight="1">
      <x:c r="A1882" s="27" t="str">
        <x:v>18045</x:v>
      </x:c>
      <x:c r="B1882" s="27" t="str">
        <x:v>SCA-21</x:v>
      </x:c>
      <x:c r="C1882" s="43" t="n">
        <x:v>17013</x:v>
      </x:c>
      <x:c r="D1882" s="43" t="n">
        <x:v>243.766184968772</x:v>
      </x:c>
      <x:c r="E1882" s="43" t="n">
        <x:v>3066.7327134977877</x:v>
      </x:c>
      <x:c r="F1882" s="43" t="n">
        <x:v>110.74597526548031</x:v>
      </x:c>
      <x:c r="G1882" s="43" t="n">
        <x:v>310.2722589247833</x:v>
      </x:c>
      <x:c r="H1882" s="43" t="n">
        <x:v>13281.482867343177</x:v>
      </x:c>
      <x:c r="I1882" s="43" t="n">
        <x:v>17013</x:v>
      </x:c>
      <x:c r="J1882" s="43" t="n">
        <x:v>3098</x:v>
      </x:c>
      <x:c r="K1882" s="43" t="n">
        <x:v>226.7316305051778</x:v>
      </x:c>
      <x:c r="L1882" s="43" t="n">
        <x:v>115.9856552396975</x:v>
      </x:c>
    </x:row>
    <x:row r="1883" ht="15" hidden="0" customHeight="1">
      <x:c r="A1883" s="29" t="str">
        <x:v>19095</x:v>
      </x:c>
      <x:c r="B1883" s="29" t="str">
        <x:v>SCA-21</x:v>
      </x:c>
      <x:c r="C1883" s="44" t="n">
        <x:v>16504</x:v>
      </x:c>
      <x:c r="D1883" s="44" t="n">
        <x:v>235.16752165271558</x:v>
      </x:c>
      <x:c r="E1883" s="44" t="n">
        <x:v>2164.1079152073735</x:v>
      </x:c>
      <x:c r="F1883" s="44" t="n">
        <x:v>77.31494122267918</x:v>
      </x:c>
      <x:c r="G1883" s="44" t="n">
        <x:v>326.3690322580645</x:v>
      </x:c>
      <x:c r="H1883" s="44" t="n">
        <x:v>13701.04058965917</x:v>
      </x:c>
      <x:c r="I1883" s="44" t="n">
        <x:v>16504</x:v>
      </x:c>
      <x:c r="J1883" s="44" t="n">
        <x:v>2223</x:v>
      </x:c>
      <x:c r="K1883" s="44" t="n">
        <x:v>222.3112997417542</x:v>
      </x:c>
      <x:c r="L1883" s="44" t="n">
        <x:v>144.99635851907502</x:v>
      </x:c>
    </x:row>
    <x:row r="1884" ht="15" hidden="0" customHeight="1">
      <x:c r="A1884" s="27" t="str">
        <x:v>17045</x:v>
      </x:c>
      <x:c r="B1884" s="27" t="str">
        <x:v>SCA-21</x:v>
      </x:c>
      <x:c r="C1884" s="43" t="n">
        <x:v>16323</x:v>
      </x:c>
      <x:c r="D1884" s="43" t="n">
        <x:v>225.64897598755135</x:v>
      </x:c>
      <x:c r="E1884" s="43" t="n">
        <x:v>2825.434771758601</x:v>
      </x:c>
      <x:c r="F1884" s="43" t="n">
        <x:v>83.27112617309862</x:v>
      </x:c>
      <x:c r="G1884" s="43" t="n">
        <x:v>900.0222373216382</x:v>
      </x:c>
      <x:c r="H1884" s="43" t="n">
        <x:v>12288.62288875911</x:v>
      </x:c>
      <x:c r="I1884" s="43" t="n">
        <x:v>16323</x:v>
      </x:c>
      <x:c r="J1884" s="43" t="n">
        <x:v>2919</x:v>
      </x:c>
      <x:c r="K1884" s="43" t="n">
        <x:v>191.19365333737488</x:v>
      </x:c>
      <x:c r="L1884" s="43" t="n">
        <x:v>107.92252716427626</x:v>
      </x:c>
    </x:row>
    <x:row r="1885" ht="15" hidden="0" customHeight="1">
      <x:c r="A1885" s="29" t="str">
        <x:v>55077</x:v>
      </x:c>
      <x:c r="B1885" s="29" t="str">
        <x:v>SCA-21</x:v>
      </x:c>
      <x:c r="C1885" s="44" t="n">
        <x:v>15927</x:v>
      </x:c>
      <x:c r="D1885" s="44" t="n">
        <x:v>187.06990786699032</x:v>
      </x:c>
      <x:c r="E1885" s="44" t="n">
        <x:v>2651.35793877551</x:v>
      </x:c>
      <x:c r="F1885" s="44" t="n">
        <x:v>84.21970568424813</x:v>
      </x:c>
      <x:c r="G1885" s="44" t="n">
        <x:v>481.9045280612245</x:v>
      </x:c>
      <x:c r="H1885" s="44" t="n">
        <x:v>12522.447919612026</x:v>
      </x:c>
      <x:c r="I1885" s="44" t="n">
        <x:v>15927</x:v>
      </x:c>
      <x:c r="J1885" s="44" t="n">
        <x:v>2719</x:v>
      </x:c>
      <x:c r="K1885" s="44" t="n">
        <x:v>160.81636610225885</x:v>
      </x:c>
      <x:c r="L1885" s="44" t="n">
        <x:v>76.59666041801073</x:v>
      </x:c>
    </x:row>
    <x:row r="1886" ht="15" hidden="0" customHeight="1">
      <x:c r="A1886" s="27" t="str">
        <x:v>18165</x:v>
      </x:c>
      <x:c r="B1886" s="27" t="str">
        <x:v>SCA-21</x:v>
      </x:c>
      <x:c r="C1886" s="43" t="n">
        <x:v>15488</x:v>
      </x:c>
      <x:c r="D1886" s="43" t="n">
        <x:v>231.94357213243512</x:v>
      </x:c>
      <x:c r="E1886" s="43" t="n">
        <x:v>3032.509489453972</x:v>
      </x:c>
      <x:c r="F1886" s="43" t="n">
        <x:v>100.81900105282779</x:v>
      </x:c>
      <x:c r="G1886" s="43" t="n">
        <x:v>445.386851961364</x:v>
      </x:c>
      <x:c r="H1886" s="43" t="n">
        <x:v>11677.341085399401</x:v>
      </x:c>
      <x:c r="I1886" s="43" t="n">
        <x:v>15488</x:v>
      </x:c>
      <x:c r="J1886" s="43" t="n">
        <x:v>3104</x:v>
      </x:c>
      <x:c r="K1886" s="43" t="n">
        <x:v>206.40801112468077</x:v>
      </x:c>
      <x:c r="L1886" s="43" t="n">
        <x:v>105.58901007185298</x:v>
      </x:c>
    </x:row>
    <x:row r="1887" ht="15" hidden="0" customHeight="1">
      <x:c r="A1887" s="29" t="str">
        <x:v>17015</x:v>
      </x:c>
      <x:c r="B1887" s="29" t="str">
        <x:v>SCA-21</x:v>
      </x:c>
      <x:c r="C1887" s="44" t="n">
        <x:v>15419</x:v>
      </x:c>
      <x:c r="D1887" s="44" t="n">
        <x:v>201.8057259418047</x:v>
      </x:c>
      <x:c r="E1887" s="44" t="n">
        <x:v>2396.6438789959234</x:v>
      </x:c>
      <x:c r="F1887" s="44" t="n">
        <x:v>78.65940663254352</x:v>
      </x:c>
      <x:c r="G1887" s="44" t="n">
        <x:v>314.70246013015804</x:v>
      </x:c>
      <x:c r="H1887" s="44" t="n">
        <x:v>12427.18852829957</x:v>
      </x:c>
      <x:c r="I1887" s="44" t="n">
        <x:v>15419</x:v>
      </x:c>
      <x:c r="J1887" s="44" t="n">
        <x:v>2264</x:v>
      </x:c>
      <x:c r="K1887" s="44" t="n">
        <x:v>180.60497094951808</x:v>
      </x:c>
      <x:c r="L1887" s="44" t="n">
        <x:v>101.94556431697455</x:v>
      </x:c>
    </x:row>
    <x:row r="1888" ht="15" hidden="0" customHeight="1">
      <x:c r="A1888" s="27" t="str">
        <x:v>18159</x:v>
      </x:c>
      <x:c r="B1888" s="27" t="str">
        <x:v>SCA-21</x:v>
      </x:c>
      <x:c r="C1888" s="43" t="n">
        <x:v>15319</x:v>
      </x:c>
      <x:c r="D1888" s="43" t="n">
        <x:v>189.47838567330436</x:v>
      </x:c>
      <x:c r="E1888" s="43" t="n">
        <x:v>2040.9966818451792</x:v>
      </x:c>
      <x:c r="F1888" s="43" t="n">
        <x:v>99.71889702532727</x:v>
      </x:c>
      <x:c r="G1888" s="43" t="n">
        <x:v>189.03682439120965</x:v>
      </x:c>
      <x:c r="H1888" s="43" t="n">
        <x:v>12799.769211064979</x:v>
      </x:c>
      <x:c r="I1888" s="43" t="n">
        <x:v>15319</x:v>
      </x:c>
      <x:c r="J1888" s="43" t="n">
        <x:v>2103</x:v>
      </x:c>
      <x:c r="K1888" s="43" t="n">
        <x:v>204.15575428841584</x:v>
      </x:c>
      <x:c r="L1888" s="43" t="n">
        <x:v>104.43685726308857</x:v>
      </x:c>
    </x:row>
    <x:row r="1889" ht="15" hidden="0" customHeight="1">
      <x:c r="A1889" s="29" t="str">
        <x:v>17131</x:v>
      </x:c>
      <x:c r="B1889" s="29" t="str">
        <x:v>SCA-21</x:v>
      </x:c>
      <x:c r="C1889" s="44" t="n">
        <x:v>15229</x:v>
      </x:c>
      <x:c r="D1889" s="44" t="n">
        <x:v>179.69058894909972</x:v>
      </x:c>
      <x:c r="E1889" s="44" t="n">
        <x:v>1896.0298727901363</x:v>
      </x:c>
      <x:c r="F1889" s="44" t="n">
        <x:v>77.69012929547993</x:v>
      </x:c>
      <x:c r="G1889" s="44" t="n">
        <x:v>311.1362450257681</x:v>
      </x:c>
      <x:c r="H1889" s="44" t="n">
        <x:v>12764.453163939515</x:v>
      </x:c>
      <x:c r="I1889" s="44" t="n">
        <x:v>15229</x:v>
      </x:c>
      <x:c r="J1889" s="44" t="n">
        <x:v>1988</x:v>
      </x:c>
      <x:c r="K1889" s="44" t="n">
        <x:v>178.37947354499065</x:v>
      </x:c>
      <x:c r="L1889" s="44" t="n">
        <x:v>100.68934424951071</x:v>
      </x:c>
    </x:row>
    <x:row r="1890" ht="15" hidden="0" customHeight="1">
      <x:c r="A1890" s="27" t="str">
        <x:v>17039</x:v>
      </x:c>
      <x:c r="B1890" s="27" t="str">
        <x:v>SCA-21</x:v>
      </x:c>
      <x:c r="C1890" s="43" t="n">
        <x:v>15118</x:v>
      </x:c>
      <x:c r="D1890" s="43" t="n">
        <x:v>182.6061065307963</x:v>
      </x:c>
      <x:c r="E1890" s="43" t="n">
        <x:v>1983.6158224336107</x:v>
      </x:c>
      <x:c r="F1890" s="43" t="n">
        <x:v>77.12386727224805</x:v>
      </x:c>
      <x:c r="G1890" s="43" t="n">
        <x:v>273.6737349715947</x:v>
      </x:c>
      <x:c r="H1890" s="43" t="n">
        <x:v>12600.980468791751</x:v>
      </x:c>
      <x:c r="I1890" s="43" t="n">
        <x:v>15118</x:v>
      </x:c>
      <x:c r="J1890" s="43" t="n">
        <x:v>2069</x:v>
      </x:c>
      <x:c r="K1890" s="43" t="n">
        <x:v>177.07931453497724</x:v>
      </x:c>
      <x:c r="L1890" s="43" t="n">
        <x:v>99.9554472627292</x:v>
      </x:c>
    </x:row>
    <x:row r="1891" ht="15" hidden="0" customHeight="1">
      <x:c r="A1891" s="29" t="str">
        <x:v>18111</x:v>
      </x:c>
      <x:c r="B1891" s="29" t="str">
        <x:v>SCA-21</x:v>
      </x:c>
      <x:c r="C1891" s="44" t="n">
        <x:v>14188</x:v>
      </x:c>
      <x:c r="D1891" s="44" t="n">
        <x:v>202.35265662339688</x:v>
      </x:c>
      <x:c r="E1891" s="44" t="n">
        <x:v>2535.0326511627904</x:v>
      </x:c>
      <x:c r="F1891" s="44" t="n">
        <x:v>92.35666237974695</x:v>
      </x:c>
      <x:c r="G1891" s="44" t="n">
        <x:v>239.28095930232558</x:v>
      </x:c>
      <x:c r="H1891" s="44" t="n">
        <x:v>11118.977070531739</x:v>
      </x:c>
      <x:c r="I1891" s="44" t="n">
        <x:v>14188</x:v>
      </x:c>
      <x:c r="J1891" s="44" t="n">
        <x:v>2561</x:v>
      </x:c>
      <x:c r="K1891" s="44" t="n">
        <x:v>189.08295853802755</x:v>
      </x:c>
      <x:c r="L1891" s="44" t="n">
        <x:v>96.7262961582806</x:v>
      </x:c>
    </x:row>
    <x:row r="1892" ht="15" hidden="0" customHeight="1">
      <x:c r="A1892" s="27" t="str">
        <x:v>17053</x:v>
      </x:c>
      <x:c r="B1892" s="27" t="str">
        <x:v>SCA-21</x:v>
      </x:c>
      <x:c r="C1892" s="43" t="n">
        <x:v>13216</x:v>
      </x:c>
      <x:c r="D1892" s="43" t="n">
        <x:v>166.24084488383096</x:v>
      </x:c>
      <x:c r="E1892" s="43" t="n">
        <x:v>1892.6597199569164</x:v>
      </x:c>
      <x:c r="F1892" s="43" t="n">
        <x:v>67.42089098227478</x:v>
      </x:c>
      <x:c r="G1892" s="43" t="n">
        <x:v>740.6415987074935</x:v>
      </x:c>
      <x:c r="H1892" s="43" t="n">
        <x:v>10349.036945469485</x:v>
      </x:c>
      <x:c r="I1892" s="43" t="n">
        <x:v>13216</x:v>
      </x:c>
      <x:c r="J1892" s="43" t="n">
        <x:v>1939</x:v>
      </x:c>
      <x:c r="K1892" s="43" t="n">
        <x:v>154.80091420123424</x:v>
      </x:c>
      <x:c r="L1892" s="43" t="n">
        <x:v>87.38002321895945</x:v>
      </x:c>
    </x:row>
    <x:row r="1893" ht="15" hidden="0" customHeight="1">
      <x:c r="A1893" s="29" t="str">
        <x:v>18131</x:v>
      </x:c>
      <x:c r="B1893" s="29" t="str">
        <x:v>SCA-21</x:v>
      </x:c>
      <x:c r="C1893" s="44" t="n">
        <x:v>12463</x:v>
      </x:c>
      <x:c r="D1893" s="44" t="n">
        <x:v>176.12572073440495</x:v>
      </x:c>
      <x:c r="E1893" s="44" t="n">
        <x:v>2187.829540613058</x:v>
      </x:c>
      <x:c r="F1893" s="44" t="n">
        <x:v>81.12778990969736</x:v>
      </x:c>
      <x:c r="G1893" s="44" t="n">
        <x:v>329.30726075290676</x:v>
      </x:c>
      <x:c r="H1893" s="44" t="n">
        <x:v>9688.609687989932</x:v>
      </x:c>
      <x:c r="I1893" s="44" t="n">
        <x:v>12463</x:v>
      </x:c>
      <x:c r="J1893" s="44" t="n">
        <x:v>2249</x:v>
      </x:c>
      <x:c r="K1893" s="44" t="n">
        <x:v>166.09394645189155</x:v>
      </x:c>
      <x:c r="L1893" s="44" t="n">
        <x:v>84.9661565421942</x:v>
      </x:c>
    </x:row>
    <x:row r="1894" ht="15" hidden="0" customHeight="1">
      <x:c r="A1894" s="27" t="str">
        <x:v>17123</x:v>
      </x:c>
      <x:c r="B1894" s="27" t="str">
        <x:v>SCA-21</x:v>
      </x:c>
      <x:c r="C1894" s="43" t="n">
        <x:v>11473</x:v>
      </x:c>
      <x:c r="D1894" s="43" t="n">
        <x:v>147.87099548265846</x:v>
      </x:c>
      <x:c r="E1894" s="43" t="n">
        <x:v>1728.363323076923</x:v>
      </x:c>
      <x:c r="F1894" s="43" t="n">
        <x:v>58.52904677963369</x:v>
      </x:c>
      <x:c r="G1894" s="43" t="n">
        <x:v>263.8830769230769</x:v>
      </x:c>
      <x:c r="H1894" s="43" t="n">
        <x:v>9274.353557737708</x:v>
      </x:c>
      <x:c r="I1894" s="43" t="n">
        <x:v>11473</x:v>
      </x:c>
      <x:c r="J1894" s="43" t="n">
        <x:v>1785</x:v>
      </x:c>
      <x:c r="K1894" s="43" t="n">
        <x:v>134.38490380075368</x:v>
      </x:c>
      <x:c r="L1894" s="43" t="n">
        <x:v>75.85585702111999</x:v>
      </x:c>
    </x:row>
    <x:row r="1895" ht="15" hidden="0" customHeight="1">
      <x:c r="A1895" s="29" t="str">
        <x:v>19115</x:v>
      </x:c>
      <x:c r="B1895" s="29" t="str">
        <x:v>SCA-21</x:v>
      </x:c>
      <x:c r="C1895" s="44" t="n">
        <x:v>10416</x:v>
      </x:c>
      <x:c r="D1895" s="44" t="n">
        <x:v>160.60131610133362</x:v>
      </x:c>
      <x:c r="E1895" s="44" t="n">
        <x:v>1658.190088126599</x:v>
      </x:c>
      <x:c r="F1895" s="44" t="n">
        <x:v>48.79498471736708</x:v>
      </x:c>
      <x:c r="G1895" s="44" t="n">
        <x:v>299.8842509239079</x:v>
      </x:c>
      <x:c r="H1895" s="44" t="n">
        <x:v>8248.529360130793</x:v>
      </x:c>
      <x:c r="I1895" s="44" t="n">
        <x:v>10416</x:v>
      </x:c>
      <x:c r="J1895" s="44" t="n">
        <x:v>1750</x:v>
      </x:c>
      <x:c r="K1895" s="44" t="n">
        <x:v>140.30504714675908</x:v>
      </x:c>
      <x:c r="L1895" s="44" t="n">
        <x:v>91.510062429392</x:v>
      </x:c>
    </x:row>
    <x:row r="1896" ht="15" hidden="0" customHeight="1">
      <x:c r="A1896" s="27" t="str">
        <x:v>18007</x:v>
      </x:c>
      <x:c r="B1896" s="27" t="str">
        <x:v>SCA-21</x:v>
      </x:c>
      <x:c r="C1896" s="43" t="n">
        <x:v>8883</x:v>
      </x:c>
      <x:c r="D1896" s="43" t="n">
        <x:v>129.77938446537692</x:v>
      </x:c>
      <x:c r="E1896" s="43" t="n">
        <x:v>1661.2746851211073</x:v>
      </x:c>
      <x:c r="F1896" s="43" t="n">
        <x:v>57.8238111022901</x:v>
      </x:c>
      <x:c r="G1896" s="43" t="n">
        <x:v>183.18079584775086</x:v>
      </x:c>
      <x:c r="H1896" s="43" t="n">
        <x:v>6850.941323463475</x:v>
      </x:c>
      <x:c r="I1896" s="43" t="n">
        <x:v>8883</x:v>
      </x:c>
      <x:c r="J1896" s="43" t="n">
        <x:v>1689</x:v>
      </x:c>
      <x:c r="K1896" s="43" t="n">
        <x:v>118.38341702095423</x:v>
      </x:c>
      <x:c r="L1896" s="43" t="n">
        <x:v>60.559605918664126</x:v>
      </x:c>
    </x:row>
    <x:row r="1897" ht="15" hidden="0" customHeight="1">
      <x:c r="A1897" s="29" t="str">
        <x:v>26003</x:v>
      </x:c>
      <x:c r="B1897" s="29" t="str">
        <x:v>SCA-21</x:v>
      </x:c>
      <x:c r="C1897" s="44" t="n">
        <x:v>8641</x:v>
      </x:c>
      <x:c r="D1897" s="44" t="n">
        <x:v>108.8373780504516</x:v>
      </x:c>
      <x:c r="E1897" s="44" t="n">
        <x:v>1696.7295537786947</x:v>
      </x:c>
      <x:c r="F1897" s="44" t="n">
        <x:v>48.32232447266809</x:v>
      </x:c>
      <x:c r="G1897" s="44" t="n">
        <x:v>195.68326025277275</x:v>
      </x:c>
      <x:c r="H1897" s="44" t="n">
        <x:v>6591.427483445413</x:v>
      </x:c>
      <x:c r="I1897" s="44" t="n">
        <x:v>8641</x:v>
      </x:c>
      <x:c r="J1897" s="44" t="n">
        <x:v>1586</x:v>
      </x:c>
      <x:c r="K1897" s="44" t="n">
        <x:v>86.46263778234075</x:v>
      </x:c>
      <x:c r="L1897" s="44" t="n">
        <x:v>38.140313309672656</x:v>
      </x:c>
    </x:row>
    <x:row r="1898" ht="15" hidden="0" customHeight="1">
      <x:c r="A1898" s="27" t="str">
        <x:v>18171</x:v>
      </x:c>
      <x:c r="B1898" s="27" t="str">
        <x:v>SCA-21</x:v>
      </x:c>
      <x:c r="C1898" s="43" t="n">
        <x:v>8474</x:v>
      </x:c>
      <x:c r="D1898" s="43" t="n">
        <x:v>122.40826215864428</x:v>
      </x:c>
      <x:c r="E1898" s="43" t="n">
        <x:v>1551.2880572792362</x:v>
      </x:c>
      <x:c r="F1898" s="43" t="n">
        <x:v>55.16142916591313</x:v>
      </x:c>
      <x:c r="G1898" s="43" t="n">
        <x:v>99.54486873508353</x:v>
      </x:c>
      <x:c r="H1898" s="43" t="n">
        <x:v>6645.5973826611225</x:v>
      </x:c>
      <x:c r="I1898" s="43" t="n">
        <x:v>8474</x:v>
      </x:c>
      <x:c r="J1898" s="43" t="n">
        <x:v>1598</x:v>
      </x:c>
      <x:c r="K1898" s="43" t="n">
        <x:v>112.93268893792256</x:v>
      </x:c>
      <x:c r="L1898" s="43" t="n">
        <x:v>57.77125977200944</x:v>
      </x:c>
    </x:row>
    <x:row r="1899" ht="15" hidden="0" customHeight="1">
      <x:c r="A1899" s="29" t="str">
        <x:v>26153</x:v>
      </x:c>
      <x:c r="B1899" s="29" t="str">
        <x:v>SCA-21</x:v>
      </x:c>
      <x:c r="C1899" s="44" t="n">
        <x:v>8187</x:v>
      </x:c>
      <x:c r="D1899" s="44" t="n">
        <x:v>97.47277396325384</x:v>
      </x:c>
      <x:c r="E1899" s="44" t="n">
        <x:v>1472.0726621923936</x:v>
      </x:c>
      <x:c r="F1899" s="44" t="n">
        <x:v>45.78345914335537</x:v>
      </x:c>
      <x:c r="G1899" s="44" t="n">
        <x:v>260.87733035048467</x:v>
      </x:c>
      <x:c r="H1899" s="44" t="n">
        <x:v>6310.793774350513</x:v>
      </x:c>
      <x:c r="I1899" s="44" t="n">
        <x:v>8187</x:v>
      </x:c>
      <x:c r="J1899" s="44" t="n">
        <x:v>1507</x:v>
      </x:c>
      <x:c r="K1899" s="44" t="n">
        <x:v>81.91987218192614</x:v>
      </x:c>
      <x:c r="L1899" s="44" t="n">
        <x:v>36.136413038570765</x:v>
      </x:c>
    </x:row>
    <x:row r="1900" ht="15" hidden="0" customHeight="1">
      <x:c r="A1900" s="27" t="str">
        <x:v>17155</x:v>
      </x:c>
      <x:c r="B1900" s="27" t="str">
        <x:v>SCA-21</x:v>
      </x:c>
      <x:c r="C1900" s="43" t="n">
        <x:v>5619</x:v>
      </x:c>
      <x:c r="D1900" s="43" t="n">
        <x:v>73.06444967597876</x:v>
      </x:c>
      <x:c r="E1900" s="43" t="n">
        <x:v>861.9214584450402</x:v>
      </x:c>
      <x:c r="F1900" s="43" t="n">
        <x:v>28.66510187873804</x:v>
      </x:c>
      <x:c r="G1900" s="43" t="n">
        <x:v>70.99812332439679</x:v>
      </x:c>
      <x:c r="H1900" s="43" t="n">
        <x:v>4584.350866675846</x:v>
      </x:c>
      <x:c r="I1900" s="43" t="n">
        <x:v>5619</x:v>
      </x:c>
      <x:c r="J1900" s="43" t="n">
        <x:v>894</x:v>
      </x:c>
      <x:c r="K1900" s="43" t="n">
        <x:v>65.81615745284013</x:v>
      </x:c>
      <x:c r="L1900" s="43" t="n">
        <x:v>37.15105557410209</x:v>
      </x:c>
    </x:row>
    <x:row r="1901" ht="15" hidden="0" customHeight="1">
      <x:c r="A1901" s="29" t="str">
        <x:v>17175</x:v>
      </x:c>
      <x:c r="B1901" s="29" t="str">
        <x:v>SCA-21</x:v>
      </x:c>
      <x:c r="C1901" s="44" t="n">
        <x:v>5319</x:v>
      </x:c>
      <x:c r="D1901" s="44" t="n">
        <x:v>66.46423036636564</x:v>
      </x:c>
      <x:c r="E1901" s="44" t="n">
        <x:v>751.1203238866397</x:v>
      </x:c>
      <x:c r="F1901" s="44" t="n">
        <x:v>27.134663978111355</x:v>
      </x:c>
      <x:c r="G1901" s="44" t="n">
        <x:v>75.90823211875843</x:v>
      </x:c>
      <x:c r="H1901" s="44" t="n">
        <x:v>4398.372549650125</x:v>
      </x:c>
      <x:c r="I1901" s="44" t="n">
        <x:v>5319</x:v>
      </x:c>
      <x:c r="J1901" s="44" t="n">
        <x:v>763</x:v>
      </x:c>
      <x:c r="K1901" s="44" t="n">
        <x:v>62.30221418253367</x:v>
      </x:c>
      <x:c r="L1901" s="44" t="n">
        <x:v>35.16755020442231</x:v>
      </x:c>
    </x:row>
    <x:row r="1902" ht="15" hidden="0" customHeight="1">
      <x:c r="A1902" s="27" t="str">
        <x:v>55078</x:v>
      </x:c>
      <x:c r="B1902" s="27" t="str">
        <x:v>SCA-21</x:v>
      </x:c>
      <x:c r="C1902" s="43" t="n">
        <x:v>4199</x:v>
      </x:c>
      <x:c r="D1902" s="43" t="n">
        <x:v>47.95562629906424</x:v>
      </x:c>
      <x:c r="E1902" s="43" t="n">
        <x:v>666.279725703476</x:v>
      </x:c>
      <x:c r="F1902" s="43" t="n">
        <x:v>22.203713453139812</x:v>
      </x:c>
      <x:c r="G1902" s="43" t="n">
        <x:v>120.61598486639869</x:v>
      </x:c>
      <x:c r="H1902" s="43" t="n">
        <x:v>3341.944949677921</x:v>
      </x:c>
      <x:c r="I1902" s="43" t="n">
        <x:v>4199</x:v>
      </x:c>
      <x:c r="J1902" s="43" t="n">
        <x:v>699</x:v>
      </x:c>
      <x:c r="K1902" s="43" t="n">
        <x:v>42.39768451455923</x:v>
      </x:c>
      <x:c r="L1902" s="43" t="n">
        <x:v>20.19397106141942</x:v>
      </x:c>
    </x:row>
    <x:row r="1903" ht="15" hidden="0" customHeight="1">
      <x:c r="A1903" s="29" t="str">
        <x:v>18097</x:v>
      </x:c>
      <x:c r="B1903" s="29" t="str">
        <x:v>SCA-22</x:v>
      </x:c>
      <x:c r="C1903" s="44" t="n">
        <x:v>992196</x:v>
      </x:c>
      <x:c r="D1903" s="44" t="n">
        <x:v>12261.756808919981</x:v>
      </x:c>
      <x:c r="E1903" s="44" t="n">
        <x:v>131939.71490594078</x:v>
      </x:c>
      <x:c r="F1903" s="44" t="n">
        <x:v>6458.6912169816305</x:v>
      </x:c>
      <x:c r="G1903" s="44" t="n">
        <x:v>44873.294788657666</x:v>
      </x:c>
      <x:c r="H1903" s="44" t="n">
        <x:v>796662.5422794999</x:v>
      </x:c>
      <x:c r="I1903" s="44" t="n">
        <x:v>992196</x:v>
      </x:c>
      <x:c r="J1903" s="44" t="n">
        <x:v>133932</x:v>
      </x:c>
      <x:c r="K1903" s="44" t="n">
        <x:v>13222.959904820747</x:v>
      </x:c>
      <x:c r="L1903" s="44" t="n">
        <x:v>6764.268687839117</x:v>
      </x:c>
    </x:row>
    <x:row r="1904" ht="15" hidden="0" customHeight="1">
      <x:c r="A1904" s="27" t="str">
        <x:v>39061</x:v>
      </x:c>
      <x:c r="B1904" s="27" t="str">
        <x:v>SCA-22</x:v>
      </x:c>
      <x:c r="C1904" s="43" t="n">
        <x:v>838418</x:v>
      </x:c>
      <x:c r="D1904" s="43" t="n">
        <x:v>10421.834578304995</x:v>
      </x:c>
      <x:c r="E1904" s="43" t="n">
        <x:v>105054.76388634239</x:v>
      </x:c>
      <x:c r="F1904" s="43" t="n">
        <x:v>4900.754639364154</x:v>
      </x:c>
      <x:c r="G1904" s="43" t="n">
        <x:v>51158.342948534446</x:v>
      </x:c>
      <x:c r="H1904" s="43" t="n">
        <x:v>666882.3039474541</x:v>
      </x:c>
      <x:c r="I1904" s="43" t="n">
        <x:v>838418</x:v>
      </x:c>
      <x:c r="J1904" s="43" t="n">
        <x:v>107153</x:v>
      </x:c>
      <x:c r="K1904" s="43" t="n">
        <x:v>10945.30738907155</x:v>
      </x:c>
      <x:c r="L1904" s="43" t="n">
        <x:v>6044.552749707395</x:v>
      </x:c>
    </x:row>
    <x:row r="1905" ht="15" hidden="0" customHeight="1">
      <x:c r="A1905" s="29" t="str">
        <x:v>21111</x:v>
      </x:c>
      <x:c r="B1905" s="29" t="str">
        <x:v>SCA-22</x:v>
      </x:c>
      <x:c r="C1905" s="44" t="n">
        <x:v>795222</x:v>
      </x:c>
      <x:c r="D1905" s="44" t="n">
        <x:v>8913.56295956571</x:v>
      </x:c>
      <x:c r="E1905" s="44" t="n">
        <x:v>109619.19855703125</x:v>
      </x:c>
      <x:c r="F1905" s="44" t="n">
        <x:v>7227.419350784067</x:v>
      </x:c>
      <x:c r="G1905" s="44" t="n">
        <x:v>39715.54249677678</x:v>
      </x:c>
      <x:c r="H1905" s="44" t="n">
        <x:v>629746.2766358423</x:v>
      </x:c>
      <x:c r="I1905" s="44" t="n">
        <x:v>795222</x:v>
      </x:c>
      <x:c r="J1905" s="44" t="n">
        <x:v>111261</x:v>
      </x:c>
      <x:c r="K1905" s="44" t="n">
        <x:v>11573.515703806808</x:v>
      </x:c>
      <x:c r="L1905" s="44" t="n">
        <x:v>4346.096353022741</x:v>
      </x:c>
    </x:row>
    <x:row r="1906" ht="15" hidden="0" customHeight="1">
      <x:c r="A1906" s="27" t="str">
        <x:v>47037</x:v>
      </x:c>
      <x:c r="B1906" s="27" t="str">
        <x:v>SCA-22</x:v>
      </x:c>
      <x:c r="C1906" s="43" t="n">
        <x:v>745904</x:v>
      </x:c>
      <x:c r="D1906" s="43" t="n">
        <x:v>6565.501346999485</x:v>
      </x:c>
      <x:c r="E1906" s="43" t="n">
        <x:v>78718.6515112388</x:v>
      </x:c>
      <x:c r="F1906" s="43" t="n">
        <x:v>4777.60134767674</x:v>
      </x:c>
      <x:c r="G1906" s="43" t="n">
        <x:v>32526.20599402851</x:v>
      </x:c>
      <x:c r="H1906" s="43" t="n">
        <x:v>623316.0398000565</x:v>
      </x:c>
      <x:c r="I1906" s="43" t="n">
        <x:v>745904</x:v>
      </x:c>
      <x:c r="J1906" s="43" t="n">
        <x:v>78056</x:v>
      </x:c>
      <x:c r="K1906" s="43" t="n">
        <x:v>8063.158881707941</x:v>
      </x:c>
      <x:c r="L1906" s="43" t="n">
        <x:v>3285.557534031201</x:v>
      </x:c>
    </x:row>
    <x:row r="1907" ht="15" hidden="0" customHeight="1">
      <x:c r="A1907" s="29" t="str">
        <x:v>39113</x:v>
      </x:c>
      <x:c r="B1907" s="29" t="str">
        <x:v>SCA-22</x:v>
      </x:c>
      <x:c r="C1907" s="44" t="n">
        <x:v>539598</x:v>
      </x:c>
      <x:c r="D1907" s="44" t="n">
        <x:v>7176.716032244024</x:v>
      </x:c>
      <x:c r="E1907" s="44" t="n">
        <x:v>78875.95908538297</x:v>
      </x:c>
      <x:c r="F1907" s="44" t="n">
        <x:v>3154.079948058866</x:v>
      </x:c>
      <x:c r="G1907" s="44" t="n">
        <x:v>24282.49119305462</x:v>
      </x:c>
      <x:c r="H1907" s="44" t="n">
        <x:v>426108.7537412595</x:v>
      </x:c>
      <x:c r="I1907" s="44" t="n">
        <x:v>539598</x:v>
      </x:c>
      <x:c r="J1907" s="44" t="n">
        <x:v>80257</x:v>
      </x:c>
      <x:c r="K1907" s="44" t="n">
        <x:v>7044.2976850786</x:v>
      </x:c>
      <x:c r="L1907" s="44" t="n">
        <x:v>3890.2177370197337</x:v>
      </x:c>
    </x:row>
    <x:row r="1908" ht="15" hidden="0" customHeight="1">
      <x:c r="A1908" s="27" t="str">
        <x:v>39017</x:v>
      </x:c>
      <x:c r="B1908" s="27" t="str">
        <x:v>SCA-22</x:v>
      </x:c>
      <x:c r="C1908" s="43" t="n">
        <x:v>400128</x:v>
      </x:c>
      <x:c r="D1908" s="43" t="n">
        <x:v>4887.266141722983</x:v>
      </x:c>
      <x:c r="E1908" s="43" t="n">
        <x:v>48061.28975407053</x:v>
      </x:c>
      <x:c r="F1908" s="43" t="n">
        <x:v>2338.8442904845797</x:v>
      </x:c>
      <x:c r="G1908" s="43" t="n">
        <x:v>10204.605330014505</x:v>
      </x:c>
      <x:c r="H1908" s="43" t="n">
        <x:v>334635.9944837074</x:v>
      </x:c>
      <x:c r="I1908" s="43" t="n">
        <x:v>400128</x:v>
      </x:c>
      <x:c r="J1908" s="43" t="n">
        <x:v>48658</x:v>
      </x:c>
      <x:c r="K1908" s="43" t="n">
        <x:v>5223.556692454624</x:v>
      </x:c>
      <x:c r="L1908" s="43" t="n">
        <x:v>2884.712401970044</x:v>
      </x:c>
    </x:row>
    <x:row r="1909" ht="15" hidden="0" customHeight="1">
      <x:c r="A1909" s="29" t="str">
        <x:v>18057</x:v>
      </x:c>
      <x:c r="B1909" s="29" t="str">
        <x:v>SCA-22</x:v>
      </x:c>
      <x:c r="C1909" s="44" t="n">
        <x:v>387036</x:v>
      </x:c>
      <x:c r="D1909" s="44" t="n">
        <x:v>3872.514568215222</x:v>
      </x:c>
      <x:c r="E1909" s="44" t="n">
        <x:v>29613.777164794945</x:v>
      </x:c>
      <x:c r="F1909" s="44" t="n">
        <x:v>2519.407469749629</x:v>
      </x:c>
      <x:c r="G1909" s="44" t="n">
        <x:v>4727.108802090952</x:v>
      </x:c>
      <x:c r="H1909" s="44" t="n">
        <x:v>346303.19199514925</x:v>
      </x:c>
      <x:c r="I1909" s="44" t="n">
        <x:v>387036</x:v>
      </x:c>
      <x:c r="J1909" s="44" t="n">
        <x:v>28878</x:v>
      </x:c>
      <x:c r="K1909" s="44" t="n">
        <x:v>5158.014656098395</x:v>
      </x:c>
      <x:c r="L1909" s="44" t="n">
        <x:v>2638.607186348766</x:v>
      </x:c>
    </x:row>
    <x:row r="1910" ht="15" hidden="0" customHeight="1">
      <x:c r="A1910" s="27" t="str">
        <x:v>47149</x:v>
      </x:c>
      <x:c r="B1910" s="27" t="str">
        <x:v>SCA-22</x:v>
      </x:c>
      <x:c r="C1910" s="43" t="n">
        <x:v>386352</x:v>
      </x:c>
      <x:c r="D1910" s="43" t="n">
        <x:v>3537.8405100268837</x:v>
      </x:c>
      <x:c r="E1910" s="43" t="n">
        <x:v>44064.89832696121</x:v>
      </x:c>
      <x:c r="F1910" s="43" t="n">
        <x:v>2474.629222899467</x:v>
      </x:c>
      <x:c r="G1910" s="43" t="n">
        <x:v>5571.349064259481</x:v>
      </x:c>
      <x:c r="H1910" s="43" t="n">
        <x:v>330703.28287585295</x:v>
      </x:c>
      <x:c r="I1910" s="43" t="n">
        <x:v>386352</x:v>
      </x:c>
      <x:c r="J1910" s="43" t="n">
        <x:v>42603</x:v>
      </x:c>
      <x:c r="K1910" s="43" t="n">
        <x:v>4176.4323026363</x:v>
      </x:c>
      <x:c r="L1910" s="43" t="n">
        <x:v>1701.803079736833</x:v>
      </x:c>
    </x:row>
    <x:row r="1911" ht="15" hidden="0" customHeight="1">
      <x:c r="A1911" s="29" t="str">
        <x:v>21067</x:v>
      </x:c>
      <x:c r="B1911" s="29" t="str">
        <x:v>SCA-22</x:v>
      </x:c>
      <x:c r="C1911" s="44" t="n">
        <x:v>329751</x:v>
      </x:c>
      <x:c r="D1911" s="44" t="n">
        <x:v>3551.284848885599</x:v>
      </x:c>
      <x:c r="E1911" s="44" t="n">
        <x:v>41978.623979564996</x:v>
      </x:c>
      <x:c r="F1911" s="44" t="n">
        <x:v>2996.960293277094</x:v>
      </x:c>
      <x:c r="G1911" s="44" t="n">
        <x:v>13216.44669621727</x:v>
      </x:c>
      <x:c r="H1911" s="44" t="n">
        <x:v>268007.68418205506</x:v>
      </x:c>
      <x:c r="I1911" s="44" t="n">
        <x:v>329751</x:v>
      </x:c>
      <x:c r="J1911" s="44" t="n">
        <x:v>42362</x:v>
      </x:c>
      <x:c r="K1911" s="44" t="n">
        <x:v>4799.135809680817</x:v>
      </x:c>
      <x:c r="L1911" s="44" t="n">
        <x:v>1802.1755164037236</x:v>
      </x:c>
    </x:row>
    <x:row r="1912" ht="15" hidden="0" customHeight="1">
      <x:c r="A1912" s="27" t="str">
        <x:v>47187</x:v>
      </x:c>
      <x:c r="B1912" s="27" t="str">
        <x:v>SCA-22</x:v>
      </x:c>
      <x:c r="C1912" s="43" t="n">
        <x:v>272061</x:v>
      </x:c>
      <x:c r="D1912" s="43" t="n">
        <x:v>2085.5949863444293</x:v>
      </x:c>
      <x:c r="E1912" s="43" t="n">
        <x:v>21293.300191816397</x:v>
      </x:c>
      <x:c r="F1912" s="43" t="n">
        <x:v>1742.5821556799287</x:v>
      </x:c>
      <x:c r="G1912" s="43" t="n">
        <x:v>2911.557034359719</x:v>
      </x:c>
      <x:c r="H1912" s="43" t="n">
        <x:v>244027.96563179954</x:v>
      </x:c>
      <x:c r="I1912" s="43" t="n">
        <x:v>272061</x:v>
      </x:c>
      <x:c r="J1912" s="43" t="n">
        <x:v>21158</x:v>
      </x:c>
      <x:c r="K1912" s="43" t="n">
        <x:v>2940.9563006986746</x:v>
      </x:c>
      <x:c r="L1912" s="43" t="n">
        <x:v>1198.3741450187458</x:v>
      </x:c>
    </x:row>
    <x:row r="1913" ht="15" hidden="0" customHeight="1">
      <x:c r="A1913" s="29" t="str">
        <x:v>39165</x:v>
      </x:c>
      <x:c r="B1913" s="29" t="str">
        <x:v>SCA-22</x:v>
      </x:c>
      <x:c r="C1913" s="44" t="n">
        <x:v>257181</x:v>
      </x:c>
      <x:c r="D1913" s="44" t="n">
        <x:v>2938.112368423596</x:v>
      </x:c>
      <x:c r="E1913" s="44" t="n">
        <x:v>26015.343420197838</x:v>
      </x:c>
      <x:c r="F1913" s="44" t="n">
        <x:v>1503.2847325633663</x:v>
      </x:c>
      <x:c r="G1913" s="44" t="n">
        <x:v>3964.9975045204997</x:v>
      </x:c>
      <x:c r="H1913" s="44" t="n">
        <x:v>222759.26197429467</x:v>
      </x:c>
      <x:c r="I1913" s="44" t="n">
        <x:v>257181</x:v>
      </x:c>
      <x:c r="J1913" s="44" t="n">
        <x:v>25757</x:v>
      </x:c>
      <x:c r="K1913" s="44" t="n">
        <x:v>3357.4244584787184</x:v>
      </x:c>
      <x:c r="L1913" s="44" t="n">
        <x:v>1854.139725915352</x:v>
      </x:c>
    </x:row>
    <x:row r="1914" ht="15" hidden="0" customHeight="1">
      <x:c r="A1914" s="27" t="str">
        <x:v>47125</x:v>
      </x:c>
      <x:c r="B1914" s="27" t="str">
        <x:v>SCA-22</x:v>
      </x:c>
      <x:c r="C1914" s="43" t="n">
        <x:v>249935</x:v>
      </x:c>
      <x:c r="D1914" s="43" t="n">
        <x:v>2586.5396638009397</x:v>
      </x:c>
      <x:c r="E1914" s="43" t="n">
        <x:v>35655.026677524875</x:v>
      </x:c>
      <x:c r="F1914" s="43" t="n">
        <x:v>1600.8625678794938</x:v>
      </x:c>
      <x:c r="G1914" s="43" t="n">
        <x:v>5473.2168805703295</x:v>
      </x:c>
      <x:c r="H1914" s="43" t="n">
        <x:v>204619.35421022435</x:v>
      </x:c>
      <x:c r="I1914" s="43" t="n">
        <x:v>249935</x:v>
      </x:c>
      <x:c r="J1914" s="43" t="n">
        <x:v>32663</x:v>
      </x:c>
      <x:c r="K1914" s="43" t="n">
        <x:v>2701.7761201168973</x:v>
      </x:c>
      <x:c r="L1914" s="43" t="n">
        <x:v>1100.9135522374036</x:v>
      </x:c>
    </x:row>
    <x:row r="1915" ht="15" hidden="0" customHeight="1">
      <x:c r="A1915" s="29" t="str">
        <x:v>39025</x:v>
      </x:c>
      <x:c r="B1915" s="29" t="str">
        <x:v>SCA-22</x:v>
      </x:c>
      <x:c r="C1915" s="44" t="n">
        <x:v>216977</x:v>
      </x:c>
      <x:c r="D1915" s="44" t="n">
        <x:v>2832.348464525555</x:v>
      </x:c>
      <x:c r="E1915" s="44" t="n">
        <x:v>30433.40232554144</x:v>
      </x:c>
      <x:c r="F1915" s="44" t="n">
        <x:v>1268.2826935792364</x:v>
      </x:c>
      <x:c r="G1915" s="44" t="n">
        <x:v>5261.27301535789</x:v>
      </x:c>
      <x:c r="H1915" s="44" t="n">
        <x:v>177181.69350099587</x:v>
      </x:c>
      <x:c r="I1915" s="44" t="n">
        <x:v>216977</x:v>
      </x:c>
      <x:c r="J1915" s="44" t="n">
        <x:v>30614</x:v>
      </x:c>
      <x:c r="K1915" s="44" t="n">
        <x:v>2832.5727278738977</x:v>
      </x:c>
      <x:c r="L1915" s="44" t="n">
        <x:v>1564.2900342946614</x:v>
      </x:c>
    </x:row>
    <x:row r="1916" ht="15" hidden="0" customHeight="1">
      <x:c r="A1916" s="27" t="str">
        <x:v>47165</x:v>
      </x:c>
      <x:c r="B1916" s="27" t="str">
        <x:v>SCA-22</x:v>
      </x:c>
      <x:c r="C1916" s="43" t="n">
        <x:v>215538</x:v>
      </x:c>
      <x:c r="D1916" s="43" t="n">
        <x:v>1962.0372492644312</x:v>
      </x:c>
      <x:c r="E1916" s="43" t="n">
        <x:v>24303.25401462878</x:v>
      </x:c>
      <x:c r="F1916" s="43" t="n">
        <x:v>1380.5458065321397</x:v>
      </x:c>
      <x:c r="G1916" s="43" t="n">
        <x:v>4476.712482305882</x:v>
      </x:c>
      <x:c r="H1916" s="43" t="n">
        <x:v>183415.45044726878</x:v>
      </x:c>
      <x:c r="I1916" s="43" t="n">
        <x:v>215538</x:v>
      </x:c>
      <x:c r="J1916" s="43" t="n">
        <x:v>23814</x:v>
      </x:c>
      <x:c r="K1916" s="43" t="n">
        <x:v>2329.9474718537053</x:v>
      </x:c>
      <x:c r="L1916" s="43" t="n">
        <x:v>949.4016653215656</x:v>
      </x:c>
    </x:row>
    <x:row r="1917" ht="15" hidden="0" customHeight="1">
      <x:c r="A1917" s="29" t="str">
        <x:v>18063</x:v>
      </x:c>
      <x:c r="B1917" s="29" t="str">
        <x:v>SCA-22</x:v>
      </x:c>
      <x:c r="C1917" s="44" t="n">
        <x:v>193510</x:v>
      </x:c>
      <x:c r="D1917" s="44" t="n">
        <x:v>2111.356646259207</x:v>
      </x:c>
      <x:c r="E1917" s="44" t="n">
        <x:v>19010.58222870609</x:v>
      </x:c>
      <x:c r="F1917" s="44" t="n">
        <x:v>1259.6516589445187</x:v>
      </x:c>
      <x:c r="G1917" s="44" t="n">
        <x:v>3740.573414880485</x:v>
      </x:c>
      <x:c r="H1917" s="44" t="n">
        <x:v>167387.83605120968</x:v>
      </x:c>
      <x:c r="I1917" s="44" t="n">
        <x:v>193510</x:v>
      </x:c>
      <x:c r="J1917" s="44" t="n">
        <x:v>18238</x:v>
      </x:c>
      <x:c r="K1917" s="44" t="n">
        <x:v>2578.900712340972</x:v>
      </x:c>
      <x:c r="L1917" s="44" t="n">
        <x:v>1319.2490533964533</x:v>
      </x:c>
    </x:row>
    <x:row r="1918" ht="15" hidden="0" customHeight="1">
      <x:c r="A1918" s="27" t="str">
        <x:v>18163</x:v>
      </x:c>
      <x:c r="B1918" s="27" t="str">
        <x:v>SCA-22</x:v>
      </x:c>
      <x:c r="C1918" s="43" t="n">
        <x:v>181995</x:v>
      </x:c>
      <x:c r="D1918" s="43" t="n">
        <x:v>2488.4726947505187</x:v>
      </x:c>
      <x:c r="E1918" s="43" t="n">
        <x:v>29945.44402107823</x:v>
      </x:c>
      <x:c r="F1918" s="43" t="n">
        <x:v>1184.6948667748832</x:v>
      </x:c>
      <x:c r="G1918" s="43" t="n">
        <x:v>7935.542832049724</x:v>
      </x:c>
      <x:c r="H1918" s="43" t="n">
        <x:v>140440.84558534663</x:v>
      </x:c>
      <x:c r="I1918" s="43" t="n">
        <x:v>181995</x:v>
      </x:c>
      <x:c r="J1918" s="43" t="n">
        <x:v>30444</x:v>
      </x:c>
      <x:c r="K1918" s="43" t="n">
        <x:v>2425.440727313809</x:v>
      </x:c>
      <x:c r="L1918" s="43" t="n">
        <x:v>1240.7458605389259</x:v>
      </x:c>
    </x:row>
    <x:row r="1919" ht="15" hidden="0" customHeight="1">
      <x:c r="A1919" s="29" t="str">
        <x:v>21117</x:v>
      </x:c>
      <x:c r="B1919" s="29" t="str">
        <x:v>SCA-22</x:v>
      </x:c>
      <x:c r="C1919" s="44" t="n">
        <x:v>175779</x:v>
      </x:c>
      <x:c r="D1919" s="44" t="n">
        <x:v>1921.1420234586506</x:v>
      </x:c>
      <x:c r="E1919" s="44" t="n">
        <x:v>23051.130819042246</x:v>
      </x:c>
      <x:c r="F1919" s="44" t="n">
        <x:v>1597.5772124783675</x:v>
      </x:c>
      <x:c r="G1919" s="44" t="n">
        <x:v>6286.407811481044</x:v>
      </x:c>
      <x:c r="H1919" s="44" t="n">
        <x:v>142922.7421335397</x:v>
      </x:c>
      <x:c r="I1919" s="44" t="n">
        <x:v>175779</x:v>
      </x:c>
      <x:c r="J1919" s="44" t="n">
        <x:v>23251</x:v>
      </x:c>
      <x:c r="K1919" s="44" t="n">
        <x:v>2558.255451810258</x:v>
      </x:c>
      <x:c r="L1919" s="44" t="n">
        <x:v>960.6782393318903</x:v>
      </x:c>
    </x:row>
    <x:row r="1920" ht="15" hidden="0" customHeight="1">
      <x:c r="A1920" s="27" t="str">
        <x:v>47189</x:v>
      </x:c>
      <x:c r="B1920" s="27" t="str">
        <x:v>SCA-22</x:v>
      </x:c>
      <x:c r="C1920" s="43" t="n">
        <x:v>175033</x:v>
      </x:c>
      <x:c r="D1920" s="43" t="n">
        <x:v>1550.553147555839</x:v>
      </x:c>
      <x:c r="E1920" s="43" t="n">
        <x:v>18709.62922157512</x:v>
      </x:c>
      <x:c r="F1920" s="43" t="n">
        <x:v>1121.1065990903694</x:v>
      </x:c>
      <x:c r="G1920" s="43" t="n">
        <x:v>2364.7087092230977</x:v>
      </x:c>
      <x:c r="H1920" s="43" t="n">
        <x:v>151287.00232255558</x:v>
      </x:c>
      <x:c r="I1920" s="43" t="n">
        <x:v>175033</x:v>
      </x:c>
      <x:c r="J1920" s="43" t="n">
        <x:v>17551</x:v>
      </x:c>
      <x:c r="K1920" s="43" t="n">
        <x:v>1892.0918624139113</x:v>
      </x:c>
      <x:c r="L1920" s="43" t="n">
        <x:v>770.985263323542</x:v>
      </x:c>
    </x:row>
    <x:row r="1921" ht="15" hidden="0" customHeight="1">
      <x:c r="A1921" s="29" t="str">
        <x:v>39057</x:v>
      </x:c>
      <x:c r="B1921" s="29" t="str">
        <x:v>SCA-22</x:v>
      </x:c>
      <x:c r="C1921" s="44" t="n">
        <x:v>174322</x:v>
      </x:c>
      <x:c r="D1921" s="44" t="n">
        <x:v>2218.5261828004973</x:v>
      </x:c>
      <x:c r="E1921" s="44" t="n">
        <x:v>23082.1502600393</x:v>
      </x:c>
      <x:c r="F1921" s="44" t="n">
        <x:v>1018.9539707439943</x:v>
      </x:c>
      <x:c r="G1921" s="44" t="n">
        <x:v>4243.548807098337</x:v>
      </x:c>
      <x:c r="H1921" s="44" t="n">
        <x:v>143758.82077931787</x:v>
      </x:c>
      <x:c r="I1921" s="44" t="n">
        <x:v>174322</x:v>
      </x:c>
      <x:c r="J1921" s="44" t="n">
        <x:v>22882</x:v>
      </x:c>
      <x:c r="K1921" s="44" t="n">
        <x:v>2275.7238927095204</x:v>
      </x:c>
      <x:c r="L1921" s="44" t="n">
        <x:v>1256.7699219655262</x:v>
      </x:c>
    </x:row>
    <x:row r="1922" ht="15" hidden="0" customHeight="1">
      <x:c r="A1922" s="27" t="str">
        <x:v>18081</x:v>
      </x:c>
      <x:c r="B1922" s="27" t="str">
        <x:v>SCA-22</x:v>
      </x:c>
      <x:c r="C1922" s="43" t="n">
        <x:v>174262</x:v>
      </x:c>
      <x:c r="D1922" s="43" t="n">
        <x:v>2028.5030643249731</x:v>
      </x:c>
      <x:c r="E1922" s="43" t="n">
        <x:v>20171.441199055687</x:v>
      </x:c>
      <x:c r="F1922" s="43" t="n">
        <x:v>1134.3569706526262</x:v>
      </x:c>
      <x:c r="G1922" s="43" t="n">
        <x:v>3099.9675164247933</x:v>
      </x:c>
      <x:c r="H1922" s="43" t="n">
        <x:v>147827.73124954192</x:v>
      </x:c>
      <x:c r="I1922" s="43" t="n">
        <x:v>174262</x:v>
      </x:c>
      <x:c r="J1922" s="43" t="n">
        <x:v>19766</x:v>
      </x:c>
      <x:c r="K1922" s="43" t="n">
        <x:v>2322.383318350279</x:v>
      </x:c>
      <x:c r="L1922" s="43" t="n">
        <x:v>1188.0263476976527</x:v>
      </x:c>
    </x:row>
    <x:row r="1923" ht="15" hidden="0" customHeight="1">
      <x:c r="A1923" s="29" t="str">
        <x:v>21227</x:v>
      </x:c>
      <x:c r="B1923" s="29" t="str">
        <x:v>SCA-22</x:v>
      </x:c>
      <x:c r="C1923" s="44" t="n">
        <x:v>149375</x:v>
      </x:c>
      <x:c r="D1923" s="44" t="n">
        <x:v>1669.828781161746</x:v>
      </x:c>
      <x:c r="E1923" s="44" t="n">
        <x:v>20482.927492858114</x:v>
      </x:c>
      <x:c r="F1923" s="44" t="n">
        <x:v>1357.6029907665659</x:v>
      </x:c>
      <x:c r="G1923" s="44" t="n">
        <x:v>7064.731601142702</x:v>
      </x:c>
      <x:c r="H1923" s="44" t="n">
        <x:v>118799.90913407087</x:v>
      </x:c>
      <x:c r="I1923" s="44" t="n">
        <x:v>149375</x:v>
      </x:c>
      <x:c r="J1923" s="44" t="n">
        <x:v>19950</x:v>
      </x:c>
      <x:c r="K1923" s="44" t="n">
        <x:v>2173.9764597258904</x:v>
      </x:c>
      <x:c r="L1923" s="44" t="n">
        <x:v>816.3734689593246</x:v>
      </x:c>
    </x:row>
    <x:row r="1924" ht="15" hidden="0" customHeight="1">
      <x:c r="A1924" s="27" t="str">
        <x:v>21015</x:v>
      </x:c>
      <x:c r="B1924" s="27" t="str">
        <x:v>SCA-22</x:v>
      </x:c>
      <x:c r="C1924" s="43" t="n">
        <x:v>145316</x:v>
      </x:c>
      <x:c r="D1924" s="43" t="n">
        <x:v>1496.34482805263</x:v>
      </x:c>
      <x:c r="E1924" s="43" t="n">
        <x:v>16851.716553651157</x:v>
      </x:c>
      <x:c r="F1924" s="43" t="n">
        <x:v>1320.712543640062</x:v>
      </x:c>
      <x:c r="G1924" s="43" t="n">
        <x:v>2316.257864035719</x:v>
      </x:c>
      <x:c r="H1924" s="43" t="n">
        <x:v>123330.96821062043</x:v>
      </x:c>
      <x:c r="I1924" s="43" t="n">
        <x:v>145316</x:v>
      </x:c>
      <x:c r="J1924" s="43" t="n">
        <x:v>16774</x:v>
      </x:c>
      <x:c r="K1924" s="43" t="n">
        <x:v>2114.9025152905606</x:v>
      </x:c>
      <x:c r="L1924" s="43" t="n">
        <x:v>794.1899716504985</x:v>
      </x:c>
    </x:row>
    <x:row r="1925" ht="15" hidden="0" customHeight="1">
      <x:c r="A1925" s="29" t="str">
        <x:v>18105</x:v>
      </x:c>
      <x:c r="B1925" s="29" t="str">
        <x:v>SCA-22</x:v>
      </x:c>
      <x:c r="C1925" s="44" t="n">
        <x:v>143345</x:v>
      </x:c>
      <x:c r="D1925" s="44" t="n">
        <x:v>1668.773392893022</x:v>
      </x:c>
      <x:c r="E1925" s="44" t="n">
        <x:v>16596.548027444253</x:v>
      </x:c>
      <x:c r="F1925" s="44" t="n">
        <x:v>933.1030285329028</x:v>
      </x:c>
      <x:c r="G1925" s="44" t="n">
        <x:v>6297.789933533448</x:v>
      </x:c>
      <x:c r="H1925" s="44" t="n">
        <x:v>117848.78561759637</x:v>
      </x:c>
      <x:c r="I1925" s="44" t="n">
        <x:v>143345</x:v>
      </x:c>
      <x:c r="J1925" s="44" t="n">
        <x:v>16875</x:v>
      </x:c>
      <x:c r="K1925" s="44" t="n">
        <x:v>1910.3535869490809</x:v>
      </x:c>
      <x:c r="L1925" s="44" t="n">
        <x:v>977.250558416178</x:v>
      </x:c>
    </x:row>
    <x:row r="1926" ht="15" hidden="0" customHeight="1">
      <x:c r="A1926" s="27" t="str">
        <x:v>39023</x:v>
      </x:c>
      <x:c r="B1926" s="27" t="str">
        <x:v>SCA-22</x:v>
      </x:c>
      <x:c r="C1926" s="43" t="n">
        <x:v>135340</x:v>
      </x:c>
      <x:c r="D1926" s="43" t="n">
        <x:v>1893.6560142334959</x:v>
      </x:c>
      <x:c r="E1926" s="43" t="n">
        <x:v>22030.219360640258</x:v>
      </x:c>
      <x:c r="F1926" s="43" t="n">
        <x:v>791.0948153445472</x:v>
      </x:c>
      <x:c r="G1926" s="43" t="n">
        <x:v>4998.4230400311735</x:v>
      </x:c>
      <x:c r="H1926" s="43" t="n">
        <x:v>105626.60676975052</x:v>
      </x:c>
      <x:c r="I1926" s="43" t="n">
        <x:v>135340</x:v>
      </x:c>
      <x:c r="J1926" s="43" t="n">
        <x:v>22627</x:v>
      </x:c>
      <x:c r="K1926" s="43" t="n">
        <x:v>1766.825022884699</x:v>
      </x:c>
      <x:c r="L1926" s="43" t="n">
        <x:v>975.7302075401517</x:v>
      </x:c>
    </x:row>
    <x:row r="1927" ht="15" hidden="0" customHeight="1">
      <x:c r="A1927" s="29" t="str">
        <x:v>18095</x:v>
      </x:c>
      <x:c r="B1927" s="29" t="str">
        <x:v>SCA-22</x:v>
      </x:c>
      <x:c r="C1927" s="44" t="n">
        <x:v>135088</x:v>
      </x:c>
      <x:c r="D1927" s="44" t="n">
        <x:v>2085.0899886178267</x:v>
      </x:c>
      <x:c r="E1927" s="44" t="n">
        <x:v>27939.151163935578</x:v>
      </x:c>
      <x:c r="F1927" s="44" t="n">
        <x:v>879.3541589762655</x:v>
      </x:c>
      <x:c r="G1927" s="44" t="n">
        <x:v>3716.855674332466</x:v>
      </x:c>
      <x:c r="H1927" s="44" t="n">
        <x:v>100467.54901413787</x:v>
      </x:c>
      <x:c r="I1927" s="44" t="n">
        <x:v>135088</x:v>
      </x:c>
      <x:c r="J1927" s="44" t="n">
        <x:v>27570</x:v>
      </x:c>
      <x:c r="K1927" s="44" t="n">
        <x:v>1800.3128490967765</x:v>
      </x:c>
      <x:c r="L1927" s="44" t="n">
        <x:v>920.958690120511</x:v>
      </x:c>
    </x:row>
    <x:row r="1928" ht="15" hidden="0" customHeight="1">
      <x:c r="A1928" s="27" t="str">
        <x:v>18019</x:v>
      </x:c>
      <x:c r="B1928" s="27" t="str">
        <x:v>SCA-22</x:v>
      </x:c>
      <x:c r="C1928" s="43" t="n">
        <x:v>130451</x:v>
      </x:c>
      <x:c r="D1928" s="43" t="n">
        <x:v>1703.9318701334284</x:v>
      </x:c>
      <x:c r="E1928" s="43" t="n">
        <x:v>19550.059171089742</x:v>
      </x:c>
      <x:c r="F1928" s="43" t="n">
        <x:v>849.1696478785148</x:v>
      </x:c>
      <x:c r="G1928" s="43" t="n">
        <x:v>3667.1260150045923</x:v>
      </x:c>
      <x:c r="H1928" s="43" t="n">
        <x:v>104680.71329589371</x:v>
      </x:c>
      <x:c r="I1928" s="43" t="n">
        <x:v>130451</x:v>
      </x:c>
      <x:c r="J1928" s="43" t="n">
        <x:v>19206</x:v>
      </x:c>
      <x:c r="K1928" s="43" t="n">
        <x:v>1738.5157192165373</x:v>
      </x:c>
      <x:c r="L1928" s="43" t="n">
        <x:v>889.3460713380225</x:v>
      </x:c>
    </x:row>
    <x:row r="1929" ht="15" hidden="0" customHeight="1">
      <x:c r="A1929" s="29" t="str">
        <x:v>21093</x:v>
      </x:c>
      <x:c r="B1929" s="29" t="str">
        <x:v>SCA-22</x:v>
      </x:c>
      <x:c r="C1929" s="44" t="n">
        <x:v>113482</x:v>
      </x:c>
      <x:c r="D1929" s="44" t="n">
        <x:v>1412.8372787429366</x:v>
      </x:c>
      <x:c r="E1929" s="44" t="n">
        <x:v>19023.082766104224</x:v>
      </x:c>
      <x:c r="F1929" s="44" t="n">
        <x:v>1031.3874650923608</x:v>
      </x:c>
      <x:c r="G1929" s="44" t="n">
        <x:v>4033.241572667101</x:v>
      </x:c>
      <x:c r="H1929" s="44" t="n">
        <x:v>87981.45091739338</x:v>
      </x:c>
      <x:c r="I1929" s="44" t="n">
        <x:v>113482</x:v>
      </x:c>
      <x:c r="J1929" s="44" t="n">
        <x:v>18731</x:v>
      </x:c>
      <x:c r="K1929" s="44" t="n">
        <x:v>1651.5962952476216</x:v>
      </x:c>
      <x:c r="L1929" s="44" t="n">
        <x:v>620.2088301552607</x:v>
      </x:c>
    </x:row>
    <x:row r="1930" ht="15" hidden="0" customHeight="1">
      <x:c r="A1930" s="27" t="str">
        <x:v>18035</x:v>
      </x:c>
      <x:c r="B1930" s="27" t="str">
        <x:v>SCA-22</x:v>
      </x:c>
      <x:c r="C1930" s="43" t="n">
        <x:v>113106</x:v>
      </x:c>
      <x:c r="D1930" s="43" t="n">
        <x:v>1634.5031569183668</x:v>
      </x:c>
      <x:c r="E1930" s="43" t="n">
        <x:v>20721.74739849896</x:v>
      </x:c>
      <x:c r="F1930" s="43" t="n">
        <x:v>736.2625215057553</x:v>
      </x:c>
      <x:c r="G1930" s="43" t="n">
        <x:v>4160.7005154173075</x:v>
      </x:c>
      <x:c r="H1930" s="43" t="n">
        <x:v>85852.7864076596</x:v>
      </x:c>
      <x:c r="I1930" s="43" t="n">
        <x:v>113106</x:v>
      </x:c>
      <x:c r="J1930" s="43" t="n">
        <x:v>21105</x:v>
      </x:c>
      <x:c r="K1930" s="43" t="n">
        <x:v>1507.3595368199988</x:v>
      </x:c>
      <x:c r="L1930" s="43" t="n">
        <x:v>771.0970153142434</x:v>
      </x:c>
    </x:row>
    <x:row r="1931" ht="15" hidden="0" customHeight="1">
      <x:c r="A1931" s="29" t="str">
        <x:v>39109</x:v>
      </x:c>
      <x:c r="B1931" s="29" t="str">
        <x:v>SCA-22</x:v>
      </x:c>
      <x:c r="C1931" s="44" t="n">
        <x:v>112634</x:v>
      </x:c>
      <x:c r="D1931" s="44" t="n">
        <x:v>1380.5510840511745</x:v>
      </x:c>
      <x:c r="E1931" s="44" t="n">
        <x:v>13644.460621145294</x:v>
      </x:c>
      <x:c r="F1931" s="44" t="n">
        <x:v>658.3727902432224</x:v>
      </x:c>
      <x:c r="G1931" s="44" t="n">
        <x:v>3640.303727969839</x:v>
      </x:c>
      <x:c r="H1931" s="44" t="n">
        <x:v>93310.31177659048</x:v>
      </x:c>
      <x:c r="I1931" s="44" t="n">
        <x:v>112634</x:v>
      </x:c>
      <x:c r="J1931" s="44" t="n">
        <x:v>13790</x:v>
      </x:c>
      <x:c r="K1931" s="44" t="n">
        <x:v>1470.4046817466763</x:v>
      </x:c>
      <x:c r="L1931" s="44" t="n">
        <x:v>812.0318915034538</x:v>
      </x:c>
    </x:row>
    <x:row r="1932" ht="15" hidden="0" customHeight="1">
      <x:c r="A1932" s="27" t="str">
        <x:v>18167</x:v>
      </x:c>
      <x:c r="B1932" s="27" t="str">
        <x:v>SCA-22</x:v>
      </x:c>
      <x:c r="C1932" s="43" t="n">
        <x:v>106512</x:v>
      </x:c>
      <x:c r="D1932" s="43" t="n">
        <x:v>1512.5123047156478</x:v>
      </x:c>
      <x:c r="E1932" s="43" t="n">
        <x:v>18872.872832638557</x:v>
      </x:c>
      <x:c r="F1932" s="43" t="n">
        <x:v>693.3389359593746</x:v>
      </x:c>
      <x:c r="G1932" s="43" t="n">
        <x:v>4605.93924202634</x:v>
      </x:c>
      <x:c r="H1932" s="43" t="n">
        <x:v>80827.33668466007</x:v>
      </x:c>
      <x:c r="I1932" s="43" t="n">
        <x:v>106512</x:v>
      </x:c>
      <x:c r="J1932" s="43" t="n">
        <x:v>18906</x:v>
      </x:c>
      <x:c r="K1932" s="43" t="n">
        <x:v>1419.4815393150825</x:v>
      </x:c>
      <x:c r="L1932" s="43" t="n">
        <x:v>726.1426033557079</x:v>
      </x:c>
    </x:row>
    <x:row r="1933" ht="15" hidden="0" customHeight="1">
      <x:c r="A1933" s="29" t="str">
        <x:v>21059</x:v>
      </x:c>
      <x:c r="B1933" s="29" t="str">
        <x:v>SCA-22</x:v>
      </x:c>
      <x:c r="C1933" s="44" t="n">
        <x:v>104898</x:v>
      </x:c>
      <x:c r="D1933" s="44" t="n">
        <x:v>1278.6795390884276</x:v>
      </x:c>
      <x:c r="E1933" s="44" t="n">
        <x:v>16929.228372261274</x:v>
      </x:c>
      <x:c r="F1933" s="44" t="n">
        <x:v>953.3713039359411</x:v>
      </x:c>
      <x:c r="G1933" s="44" t="n">
        <x:v>4236.805568862861</x:v>
      </x:c>
      <x:c r="H1933" s="44" t="n">
        <x:v>81499.91521585149</x:v>
      </x:c>
      <x:c r="I1933" s="44" t="n">
        <x:v>104898</x:v>
      </x:c>
      <x:c r="J1933" s="44" t="n">
        <x:v>17195</x:v>
      </x:c>
      <x:c r="K1933" s="44" t="n">
        <x:v>1526.6663275134824</x:v>
      </x:c>
      <x:c r="L1933" s="44" t="n">
        <x:v>573.2950235775412</x:v>
      </x:c>
    </x:row>
    <x:row r="1934" ht="15" hidden="0" customHeight="1">
      <x:c r="A1934" s="27" t="str">
        <x:v>21151</x:v>
      </x:c>
      <x:c r="B1934" s="27" t="str">
        <x:v>SCA-22</x:v>
      </x:c>
      <x:c r="C1934" s="43" t="n">
        <x:v>101696</x:v>
      </x:c>
      <x:c r="D1934" s="43" t="n">
        <x:v>1191.5962209697502</x:v>
      </x:c>
      <x:c r="E1934" s="43" t="n">
        <x:v>15259.223169832001</x:v>
      </x:c>
      <x:c r="F1934" s="43" t="n">
        <x:v>924.269748947258</x:v>
      </x:c>
      <x:c r="G1934" s="43" t="n">
        <x:v>2307.5211315107185</x:v>
      </x:c>
      <x:c r="H1934" s="43" t="n">
        <x:v>82013.38972874028</x:v>
      </x:c>
      <x:c r="I1934" s="43" t="n">
        <x:v>101696</x:v>
      </x:c>
      <x:c r="J1934" s="43" t="n">
        <x:v>14830</x:v>
      </x:c>
      <x:c r="K1934" s="43" t="n">
        <x:v>1480.0650045073414</x:v>
      </x:c>
      <x:c r="L1934" s="43" t="n">
        <x:v>555.7952555600834</x:v>
      </x:c>
    </x:row>
    <x:row r="1935" ht="15" hidden="0" customHeight="1">
      <x:c r="A1935" s="29" t="str">
        <x:v>21037</x:v>
      </x:c>
      <x:c r="B1935" s="29" t="str">
        <x:v>SCA-22</x:v>
      </x:c>
      <x:c r="C1935" s="44" t="n">
        <x:v>95441</x:v>
      </x:c>
      <x:c r="D1935" s="44" t="n">
        <x:v>1030.7665584968813</x:v>
      </x:c>
      <x:c r="E1935" s="44" t="n">
        <x:v>12219.756359421546</x:v>
      </x:c>
      <x:c r="F1935" s="44" t="n">
        <x:v>867.4208337523132</x:v>
      </x:c>
      <x:c r="G1935" s="44" t="n">
        <x:v>2854.6810594161293</x:v>
      </x:c>
      <x:c r="H1935" s="44" t="n">
        <x:v>78468.37518891312</x:v>
      </x:c>
      <x:c r="I1935" s="44" t="n">
        <x:v>95441</x:v>
      </x:c>
      <x:c r="J1935" s="44" t="n">
        <x:v>12312</x:v>
      </x:c>
      <x:c r="K1935" s="44" t="n">
        <x:v>1389.0308772732967</x:v>
      </x:c>
      <x:c r="L1935" s="44" t="n">
        <x:v>521.6100435209834</x:v>
      </x:c>
    </x:row>
    <x:row r="1936" ht="15" hidden="0" customHeight="1">
      <x:c r="A1936" s="27" t="str">
        <x:v>54011</x:v>
      </x:c>
      <x:c r="B1936" s="27" t="str">
        <x:v>SCA-22</x:v>
      </x:c>
      <x:c r="C1936" s="43" t="n">
        <x:v>91183</x:v>
      </x:c>
      <x:c r="D1936" s="43" t="n">
        <x:v>1242.3046517206967</x:v>
      </x:c>
      <x:c r="E1936" s="43" t="n">
        <x:v>16941.208680894153</x:v>
      </x:c>
      <x:c r="F1936" s="43" t="n">
        <x:v>1066.073841651892</x:v>
      </x:c>
      <x:c r="G1936" s="43" t="n">
        <x:v>4894.839951792377</x:v>
      </x:c>
      <x:c r="H1936" s="43" t="n">
        <x:v>67038.57287394088</x:v>
      </x:c>
      <x:c r="I1936" s="43" t="n">
        <x:v>91183</x:v>
      </x:c>
      <x:c r="J1936" s="43" t="n">
        <x:v>17584</x:v>
      </x:c>
      <x:c r="K1936" s="43" t="n">
        <x:v>1602.4947983353325</x:v>
      </x:c>
      <x:c r="L1936" s="43" t="n">
        <x:v>536.4209566834404</x:v>
      </x:c>
    </x:row>
    <x:row r="1937" ht="15" hidden="0" customHeight="1">
      <x:c r="A1937" s="29" t="str">
        <x:v>18059</x:v>
      </x:c>
      <x:c r="B1937" s="29" t="str">
        <x:v>SCA-22</x:v>
      </x:c>
      <x:c r="C1937" s="44" t="n">
        <x:v>90969</x:v>
      </x:c>
      <x:c r="D1937" s="44" t="n">
        <x:v>1114.3441663401168</x:v>
      </x:c>
      <x:c r="E1937" s="44" t="n">
        <x:v>11859.972816708676</x:v>
      </x:c>
      <x:c r="F1937" s="44" t="n">
        <x:v>592.1619128857626</x:v>
      </x:c>
      <x:c r="G1937" s="44" t="n">
        <x:v>1224.5628616012482</x:v>
      </x:c>
      <x:c r="H1937" s="44" t="n">
        <x:v>76177.9582424642</x:v>
      </x:c>
      <x:c r="I1937" s="44" t="n">
        <x:v>90969</x:v>
      </x:c>
      <x:c r="J1937" s="44" t="n">
        <x:v>11314</x:v>
      </x:c>
      <x:c r="K1937" s="44" t="n">
        <x:v>1212.340545196351</x:v>
      </x:c>
      <x:c r="L1937" s="44" t="n">
        <x:v>620.1786323105885</x:v>
      </x:c>
    </x:row>
    <x:row r="1938" ht="15" hidden="0" customHeight="1">
      <x:c r="A1938" s="27" t="str">
        <x:v>47141</x:v>
      </x:c>
      <x:c r="B1938" s="27" t="str">
        <x:v>SCA-22</x:v>
      </x:c>
      <x:c r="C1938" s="43" t="n">
        <x:v>86612</x:v>
      </x:c>
      <x:c r="D1938" s="43" t="n">
        <x:v>850.6687425316084</x:v>
      </x:c>
      <x:c r="E1938" s="43" t="n">
        <x:v>11259.846047484496</x:v>
      </x:c>
      <x:c r="F1938" s="43" t="n">
        <x:v>554.7598724835605</x:v>
      </x:c>
      <x:c r="G1938" s="43" t="n">
        <x:v>1839.393722554524</x:v>
      </x:c>
      <x:c r="H1938" s="43" t="n">
        <x:v>72107.33161494581</x:v>
      </x:c>
      <x:c r="I1938" s="43" t="n">
        <x:v>86612</x:v>
      </x:c>
      <x:c r="J1938" s="43" t="n">
        <x:v>11071</x:v>
      </x:c>
      <x:c r="K1938" s="43" t="n">
        <x:v>936.2683630366483</x:v>
      </x:c>
      <x:c r="L1938" s="43" t="n">
        <x:v>381.5084905530878</x:v>
      </x:c>
    </x:row>
    <x:row r="1939" ht="15" hidden="0" customHeight="1">
      <x:c r="A1939" s="29" t="str">
        <x:v>21029</x:v>
      </x:c>
      <x:c r="B1939" s="29" t="str">
        <x:v>SCA-22</x:v>
      </x:c>
      <x:c r="C1939" s="44" t="n">
        <x:v>86454</x:v>
      </x:c>
      <x:c r="D1939" s="44" t="n">
        <x:v>1008.7956492655306</x:v>
      </x:c>
      <x:c r="E1939" s="44" t="n">
        <x:v>12871.245907060087</x:v>
      </x:c>
      <x:c r="F1939" s="44" t="n">
        <x:v>785.7419846944447</x:v>
      </x:c>
      <x:c r="G1939" s="44" t="n">
        <x:v>1931.0577469836337</x:v>
      </x:c>
      <x:c r="H1939" s="44" t="n">
        <x:v>69857.15871199631</x:v>
      </x:c>
      <x:c r="I1939" s="44" t="n">
        <x:v>86454</x:v>
      </x:c>
      <x:c r="J1939" s="44" t="n">
        <x:v>12982</x:v>
      </x:c>
      <x:c r="K1939" s="44" t="n">
        <x:v>1258.235721165805</x:v>
      </x:c>
      <x:c r="L1939" s="44" t="n">
        <x:v>472.4937364713603</x:v>
      </x:c>
    </x:row>
    <x:row r="1940" ht="15" hidden="0" customHeight="1">
      <x:c r="A1940" s="27" t="str">
        <x:v>18005</x:v>
      </x:c>
      <x:c r="B1940" s="27" t="str">
        <x:v>SCA-22</x:v>
      </x:c>
      <x:c r="C1940" s="43" t="n">
        <x:v>85729</x:v>
      </x:c>
      <x:c r="D1940" s="43" t="n">
        <x:v>1048.156700395377</x:v>
      </x:c>
      <x:c r="E1940" s="43" t="n">
        <x:v>11128.83894308943</x:v>
      </x:c>
      <x:c r="F1940" s="43" t="n">
        <x:v>558.0521785419597</x:v>
      </x:c>
      <x:c r="G1940" s="43" t="n">
        <x:v>2346.572136324042</x:v>
      </x:c>
      <x:c r="H1940" s="43" t="n">
        <x:v>70647.38004164919</x:v>
      </x:c>
      <x:c r="I1940" s="43" t="n">
        <x:v>85729</x:v>
      </x:c>
      <x:c r="J1940" s="43" t="n">
        <x:v>11177</x:v>
      </x:c>
      <x:c r="K1940" s="43" t="n">
        <x:v>1142.5072563086103</x:v>
      </x:c>
      <x:c r="L1940" s="43" t="n">
        <x:v>584.4550777666506</x:v>
      </x:c>
    </x:row>
    <x:row r="1941" ht="15" hidden="0" customHeight="1">
      <x:c r="A1941" s="29" t="str">
        <x:v>18043</x:v>
      </x:c>
      <x:c r="B1941" s="29" t="str">
        <x:v>SCA-22</x:v>
      </x:c>
      <x:c r="C1941" s="44" t="n">
        <x:v>82153</x:v>
      </x:c>
      <x:c r="D1941" s="44" t="n">
        <x:v>1076.9991087440233</x:v>
      </x:c>
      <x:c r="E1941" s="44" t="n">
        <x:v>12406.159481086506</x:v>
      </x:c>
      <x:c r="F1941" s="44" t="n">
        <x:v>534.7742376997005</x:v>
      </x:c>
      <x:c r="G1941" s="44" t="n">
        <x:v>2411.371563891851</x:v>
      </x:c>
      <x:c r="H1941" s="44" t="n">
        <x:v>65723.69560857792</x:v>
      </x:c>
      <x:c r="I1941" s="44" t="n">
        <x:v>82153</x:v>
      </x:c>
      <x:c r="J1941" s="44" t="n">
        <x:v>12538</x:v>
      </x:c>
      <x:c r="K1941" s="44" t="n">
        <x:v>1094.8500347317859</x:v>
      </x:c>
      <x:c r="L1941" s="44" t="n">
        <x:v>560.0757970320853</x:v>
      </x:c>
    </x:row>
    <x:row r="1942" ht="15" hidden="0" customHeight="1">
      <x:c r="A1942" s="27" t="str">
        <x:v>18011</x:v>
      </x:c>
      <x:c r="B1942" s="27" t="str">
        <x:v>SCA-22</x:v>
      </x:c>
      <x:c r="C1942" s="43" t="n">
        <x:v>80689</x:v>
      </x:c>
      <x:c r="D1942" s="43" t="n">
        <x:v>881.6539688038985</x:v>
      </x:c>
      <x:c r="E1942" s="43" t="n">
        <x:v>7957.414827190651</x:v>
      </x:c>
      <x:c r="F1942" s="43" t="n">
        <x:v>525.244342455554</x:v>
      </x:c>
      <x:c r="G1942" s="43" t="n">
        <x:v>713.7803276697391</x:v>
      </x:c>
      <x:c r="H1942" s="43" t="n">
        <x:v>70610.90653388016</x:v>
      </x:c>
      <x:c r="I1942" s="43" t="n">
        <x:v>80689</x:v>
      </x:c>
      <x:c r="J1942" s="43" t="n">
        <x:v>7612</x:v>
      </x:c>
      <x:c r="K1942" s="43" t="n">
        <x:v>1075.3393601265086</x:v>
      </x:c>
      <x:c r="L1942" s="43" t="n">
        <x:v>550.0950176709546</x:v>
      </x:c>
    </x:row>
    <x:row r="1943" ht="15" hidden="0" customHeight="1">
      <x:c r="A1943" s="29" t="str">
        <x:v>47147</x:v>
      </x:c>
      <x:c r="B1943" s="29" t="str">
        <x:v>SCA-22</x:v>
      </x:c>
      <x:c r="C1943" s="44" t="n">
        <x:v>80175</x:v>
      </x:c>
      <x:c r="D1943" s="44" t="n">
        <x:v>767.2087201145505</x:v>
      </x:c>
      <x:c r="E1943" s="44" t="n">
        <x:v>9937.294167958516</x:v>
      </x:c>
      <x:c r="F1943" s="44" t="n">
        <x:v>513.5301433562263</x:v>
      </x:c>
      <x:c r="G1943" s="44" t="n">
        <x:v>1389.5059135617682</x:v>
      </x:c>
      <x:c r="H1943" s="44" t="n">
        <x:v>67567.46105500894</x:v>
      </x:c>
      <x:c r="I1943" s="44" t="n">
        <x:v>80175</x:v>
      </x:c>
      <x:c r="J1943" s="44" t="n">
        <x:v>9661</x:v>
      </x:c>
      <x:c r="K1943" s="44" t="n">
        <x:v>866.6849398058386</x:v>
      </x:c>
      <x:c r="L1943" s="44" t="n">
        <x:v>353.1547964496122</x:v>
      </x:c>
    </x:row>
    <x:row r="1944" ht="15" hidden="0" customHeight="1">
      <x:c r="A1944" s="27" t="str">
        <x:v>39141</x:v>
      </x:c>
      <x:c r="B1944" s="27" t="str">
        <x:v>SCA-22</x:v>
      </x:c>
      <x:c r="C1944" s="43" t="n">
        <x:v>76429</x:v>
      </x:c>
      <x:c r="D1944" s="43" t="n">
        <x:v>1129.9649964372334</x:v>
      </x:c>
      <x:c r="E1944" s="43" t="n">
        <x:v>13894.850643250284</x:v>
      </x:c>
      <x:c r="F1944" s="43" t="n">
        <x:v>446.74586701616954</x:v>
      </x:c>
      <x:c r="G1944" s="43" t="n">
        <x:v>2669.38550200972</x:v>
      </x:c>
      <x:c r="H1944" s="43" t="n">
        <x:v>58288.0529912866</x:v>
      </x:c>
      <x:c r="I1944" s="43" t="n">
        <x:v>76429</x:v>
      </x:c>
      <x:c r="J1944" s="43" t="n">
        <x:v>13522</x:v>
      </x:c>
      <x:c r="K1944" s="43" t="n">
        <x:v>997.7587533179743</x:v>
      </x:c>
      <x:c r="L1944" s="43" t="n">
        <x:v>551.0128863018048</x:v>
      </x:c>
    </x:row>
    <x:row r="1945" ht="15" hidden="0" customHeight="1">
      <x:c r="A1945" s="29" t="str">
        <x:v>18109</x:v>
      </x:c>
      <x:c r="B1945" s="29" t="str">
        <x:v>SCA-22</x:v>
      </x:c>
      <x:c r="C1945" s="44" t="n">
        <x:v>74967</x:v>
      </x:c>
      <x:c r="D1945" s="44" t="n">
        <x:v>1009.772105293731</x:v>
      </x:c>
      <x:c r="E1945" s="44" t="n">
        <x:v>11968.479930887454</x:v>
      </x:c>
      <x:c r="F1945" s="44" t="n">
        <x:v>487.99703331142433</x:v>
      </x:c>
      <x:c r="G1945" s="44" t="n">
        <x:v>1262.6355288642412</x:v>
      </x:c>
      <x:c r="H1945" s="44" t="n">
        <x:v>60238.115401643154</x:v>
      </x:c>
      <x:c r="I1945" s="44" t="n">
        <x:v>74967</x:v>
      </x:c>
      <x:c r="J1945" s="44" t="n">
        <x:v>11935</x:v>
      </x:c>
      <x:c r="K1945" s="44" t="n">
        <x:v>999.0824748181781</x:v>
      </x:c>
      <x:c r="L1945" s="44" t="n">
        <x:v>511.08544150675374</x:v>
      </x:c>
    </x:row>
    <x:row r="1946" ht="15" hidden="0" customHeight="1">
      <x:c r="A1946" s="27" t="str">
        <x:v>39145</x:v>
      </x:c>
      <x:c r="B1946" s="27" t="str">
        <x:v>SCA-22</x:v>
      </x:c>
      <x:c r="C1946" s="43" t="n">
        <x:v>71365</x:v>
      </x:c>
      <x:c r="D1946" s="43" t="n">
        <x:v>1146.516009826837</x:v>
      </x:c>
      <x:c r="E1946" s="43" t="n">
        <x:v>15168.285593414133</x:v>
      </x:c>
      <x:c r="F1946" s="43" t="n">
        <x:v>417.1455703935542</x:v>
      </x:c>
      <x:c r="G1946" s="43" t="n">
        <x:v>2668.6473459295676</x:v>
      </x:c>
      <x:c r="H1946" s="43" t="n">
        <x:v>51964.40548043591</x:v>
      </x:c>
      <x:c r="I1946" s="43" t="n">
        <x:v>71365</x:v>
      </x:c>
      <x:c r="J1946" s="43" t="n">
        <x:v>15491</x:v>
      </x:c>
      <x:c r="K1946" s="43" t="n">
        <x:v>931.6496804948023</x:v>
      </x:c>
      <x:c r="L1946" s="43" t="n">
        <x:v>514.5041101012481</x:v>
      </x:c>
    </x:row>
    <x:row r="1947" ht="15" hidden="0" customHeight="1">
      <x:c r="A1947" s="29" t="str">
        <x:v>21185</x:v>
      </x:c>
      <x:c r="B1947" s="29" t="str">
        <x:v>SCA-22</x:v>
      </x:c>
      <x:c r="C1947" s="44" t="n">
        <x:v>70986</x:v>
      </x:c>
      <x:c r="D1947" s="44" t="n">
        <x:v>668.2710714498096</x:v>
      </x:c>
      <x:c r="E1947" s="44" t="n">
        <x:v>6727.536077164509</x:v>
      </x:c>
      <x:c r="F1947" s="44" t="n">
        <x:v>645.1602068790323</x:v>
      </x:c>
      <x:c r="G1947" s="44" t="n">
        <x:v>648.9204623746459</x:v>
      </x:c>
      <x:c r="H1947" s="44" t="n">
        <x:v>62296.112182132005</x:v>
      </x:c>
      <x:c r="I1947" s="44" t="n">
        <x:v>70986</x:v>
      </x:c>
      <x:c r="J1947" s="44" t="n">
        <x:v>6448</x:v>
      </x:c>
      <x:c r="K1947" s="44" t="n">
        <x:v>1033.117275113654</x:v>
      </x:c>
      <x:c r="L1947" s="44" t="n">
        <x:v>387.95706823462166</x:v>
      </x:c>
    </x:row>
    <x:row r="1948" ht="15" hidden="0" customHeight="1">
      <x:c r="A1948" s="27" t="str">
        <x:v>21047</x:v>
      </x:c>
      <x:c r="B1948" s="27" t="str">
        <x:v>SCA-22</x:v>
      </x:c>
      <x:c r="C1948" s="43" t="n">
        <x:v>70115</x:v>
      </x:c>
      <x:c r="D1948" s="43" t="n">
        <x:v>867.3882758704991</x:v>
      </x:c>
      <x:c r="E1948" s="43" t="n">
        <x:v>11620.59481419077</x:v>
      </x:c>
      <x:c r="F1948" s="43" t="n">
        <x:v>637.2440749629975</x:v>
      </x:c>
      <x:c r="G1948" s="43" t="n">
        <x:v>3693.7402727074164</x:v>
      </x:c>
      <x:c r="H1948" s="43" t="n">
        <x:v>53296.032562268316</x:v>
      </x:c>
      <x:c r="I1948" s="43" t="n">
        <x:v>70115</x:v>
      </x:c>
      <x:c r="J1948" s="43" t="n">
        <x:v>11066</x:v>
      </x:c>
      <x:c r="K1948" s="43" t="n">
        <x:v>1020.4409002422145</x:v>
      </x:c>
      <x:c r="L1948" s="43" t="n">
        <x:v>383.196825279217</x:v>
      </x:c>
    </x:row>
    <x:row r="1949" ht="15" hidden="0" customHeight="1">
      <x:c r="A1949" s="29" t="str">
        <x:v>21199</x:v>
      </x:c>
      <x:c r="B1949" s="29" t="str">
        <x:v>SCA-22</x:v>
      </x:c>
      <x:c r="C1949" s="44" t="n">
        <x:v>67384</x:v>
      </x:c>
      <x:c r="D1949" s="44" t="n">
        <x:v>994.7497334601711</x:v>
      </x:c>
      <x:c r="E1949" s="44" t="n">
        <x:v>15035.484910314246</x:v>
      </x:c>
      <x:c r="F1949" s="44" t="n">
        <x:v>612.4232296556603</x:v>
      </x:c>
      <x:c r="G1949" s="44" t="n">
        <x:v>1560.0890313938628</x:v>
      </x:c>
      <x:c r="H1949" s="44" t="n">
        <x:v>49181.253095176064</x:v>
      </x:c>
      <x:c r="I1949" s="44" t="n">
        <x:v>67384</x:v>
      </x:c>
      <x:c r="J1949" s="44" t="n">
        <x:v>15096</x:v>
      </x:c>
      <x:c r="K1949" s="44" t="n">
        <x:v>980.6944251860712</x:v>
      </x:c>
      <x:c r="L1949" s="44" t="n">
        <x:v>368.27119553041086</x:v>
      </x:c>
    </x:row>
    <x:row r="1950" ht="15" hidden="0" customHeight="1">
      <x:c r="A1950" s="27" t="str">
        <x:v>18173</x:v>
      </x:c>
      <x:c r="B1950" s="27" t="str">
        <x:v>SCA-22</x:v>
      </x:c>
      <x:c r="C1950" s="43" t="n">
        <x:v>66803</x:v>
      </x:c>
      <x:c r="D1950" s="43" t="n">
        <x:v>808.970267592737</x:v>
      </x:c>
      <x:c r="E1950" s="43" t="n">
        <x:v>8485.024067117223</x:v>
      </x:c>
      <x:c r="F1950" s="43" t="n">
        <x:v>434.85354644447665</x:v>
      </x:c>
      <x:c r="G1950" s="43" t="n">
        <x:v>866.8243766021906</x:v>
      </x:c>
      <x:c r="H1950" s="43" t="n">
        <x:v>56207.327742243375</x:v>
      </x:c>
      <x:c r="I1950" s="43" t="n">
        <x:v>66803</x:v>
      </x:c>
      <x:c r="J1950" s="43" t="n">
        <x:v>8516</x:v>
      </x:c>
      <x:c r="K1950" s="43" t="n">
        <x:v>890.2811445739959</x:v>
      </x:c>
      <x:c r="L1950" s="43" t="n">
        <x:v>455.42759812951925</x:v>
      </x:c>
    </x:row>
    <x:row r="1951" ht="15" hidden="0" customHeight="1">
      <x:c r="A1951" s="29" t="str">
        <x:v>18177</x:v>
      </x:c>
      <x:c r="B1951" s="29" t="str">
        <x:v>SCA-22</x:v>
      </x:c>
      <x:c r="C1951" s="44" t="n">
        <x:v>66169</x:v>
      </x:c>
      <x:c r="D1951" s="44" t="n">
        <x:v>972.9822042282087</x:v>
      </x:c>
      <x:c r="E1951" s="44" t="n">
        <x:v>12525.04520399079</x:v>
      </x:c>
      <x:c r="F1951" s="44" t="n">
        <x:v>430.726528968528</x:v>
      </x:c>
      <x:c r="G1951" s="44" t="n">
        <x:v>3115.76092095165</x:v>
      </x:c>
      <x:c r="H1951" s="44" t="n">
        <x:v>49124.485141860816</x:v>
      </x:c>
      <x:c r="I1951" s="44" t="n">
        <x:v>66169</x:v>
      </x:c>
      <x:c r="J1951" s="44" t="n">
        <x:v>12846</x:v>
      </x:c>
      <x:c r="K1951" s="44" t="n">
        <x:v>881.8318496971204</x:v>
      </x:c>
      <x:c r="L1951" s="44" t="n">
        <x:v>451.10532072859246</x:v>
      </x:c>
    </x:row>
    <x:row r="1952" ht="15" hidden="0" customHeight="1">
      <x:c r="A1952" s="27" t="str">
        <x:v>21125</x:v>
      </x:c>
      <x:c r="B1952" s="27" t="str">
        <x:v>SCA-22</x:v>
      </x:c>
      <x:c r="C1952" s="43" t="n">
        <x:v>63746</x:v>
      </x:c>
      <x:c r="D1952" s="43" t="n">
        <x:v>886.3733491713776</x:v>
      </x:c>
      <x:c r="E1952" s="43" t="n">
        <x:v>12911.634618407646</x:v>
      </x:c>
      <x:c r="F1952" s="43" t="n">
        <x:v>579.3590644311665</x:v>
      </x:c>
      <x:c r="G1952" s="43" t="n">
        <x:v>1562.6389387543868</x:v>
      </x:c>
      <x:c r="H1952" s="43" t="n">
        <x:v>47805.99402923542</x:v>
      </x:c>
      <x:c r="I1952" s="43" t="n">
        <x:v>63746</x:v>
      </x:c>
      <x:c r="J1952" s="43" t="n">
        <x:v>13046</x:v>
      </x:c>
      <x:c r="K1952" s="43" t="n">
        <x:v>927.7476378355589</x:v>
      </x:c>
      <x:c r="L1952" s="43" t="n">
        <x:v>348.38857340439233</x:v>
      </x:c>
    </x:row>
    <x:row r="1953" ht="15" hidden="0" customHeight="1">
      <x:c r="A1953" s="29" t="str">
        <x:v>21209</x:v>
      </x:c>
      <x:c r="B1953" s="29" t="str">
        <x:v>SCA-22</x:v>
      </x:c>
      <x:c r="C1953" s="44" t="n">
        <x:v>62262</x:v>
      </x:c>
      <x:c r="D1953" s="44" t="n">
        <x:v>718.8482430489935</x:v>
      </x:c>
      <x:c r="E1953" s="44" t="n">
        <x:v>9085.682832778912</x:v>
      </x:c>
      <x:c r="F1953" s="44" t="n">
        <x:v>565.8716479404713</x:v>
      </x:c>
      <x:c r="G1953" s="44" t="n">
        <x:v>1261.813748501376</x:v>
      </x:c>
      <x:c r="H1953" s="44" t="n">
        <x:v>50629.783527730244</x:v>
      </x:c>
      <x:c r="I1953" s="44" t="n">
        <x:v>62262</x:v>
      </x:c>
      <x:c r="J1953" s="44" t="n">
        <x:v>9002</x:v>
      </x:c>
      <x:c r="K1953" s="44" t="n">
        <x:v>906.1497729570101</x:v>
      </x:c>
      <x:c r="L1953" s="44" t="n">
        <x:v>340.2781250165387</x:v>
      </x:c>
    </x:row>
    <x:row r="1954" ht="15" hidden="0" customHeight="1">
      <x:c r="A1954" s="27" t="str">
        <x:v>47073</x:v>
      </x:c>
      <x:c r="B1954" s="27" t="str">
        <x:v>SCA-22</x:v>
      </x:c>
      <x:c r="C1954" s="43" t="n">
        <x:v>59559</x:v>
      </x:c>
      <x:c r="D1954" s="43" t="n">
        <x:v>780.2570171047146</x:v>
      </x:c>
      <x:c r="E1954" s="43" t="n">
        <x:v>12429.877590159935</x:v>
      </x:c>
      <x:c r="F1954" s="43" t="n">
        <x:v>381.48228011416876</x:v>
      </x:c>
      <x:c r="G1954" s="43" t="n">
        <x:v>1180.560646712429</x:v>
      </x:c>
      <x:c r="H1954" s="43" t="n">
        <x:v>44786.82246590875</x:v>
      </x:c>
      <x:c r="I1954" s="43" t="n">
        <x:v>59559</x:v>
      </x:c>
      <x:c r="J1954" s="43" t="n">
        <x:v>12478</x:v>
      </x:c>
      <x:c r="K1954" s="43" t="n">
        <x:v>643.8277309622193</x:v>
      </x:c>
      <x:c r="L1954" s="43" t="n">
        <x:v>262.3454508480506</x:v>
      </x:c>
    </x:row>
    <x:row r="1955" ht="15" hidden="0" customHeight="1">
      <x:c r="A1955" s="29" t="str">
        <x:v>21113</x:v>
      </x:c>
      <x:c r="B1955" s="29" t="str">
        <x:v>SCA-22</x:v>
      </x:c>
      <x:c r="C1955" s="44" t="n">
        <x:v>57147</x:v>
      </x:c>
      <x:c r="D1955" s="44" t="n">
        <x:v>642.3636203431289</x:v>
      </x:c>
      <x:c r="E1955" s="44" t="n">
        <x:v>7920.967416202661</x:v>
      </x:c>
      <x:c r="F1955" s="44" t="n">
        <x:v>519.3836861143895</x:v>
      </x:c>
      <x:c r="G1955" s="44" t="n">
        <x:v>1257.330404882186</x:v>
      </x:c>
      <x:c r="H1955" s="44" t="n">
        <x:v>46806.95487245764</x:v>
      </x:c>
      <x:c r="I1955" s="44" t="n">
        <x:v>57147</x:v>
      </x:c>
      <x:c r="J1955" s="44" t="n">
        <x:v>7831</x:v>
      </x:c>
      <x:c r="K1955" s="44" t="n">
        <x:v>831.7069974490742</x:v>
      </x:c>
      <x:c r="L1955" s="44" t="n">
        <x:v>312.32331133468466</x:v>
      </x:c>
    </x:row>
    <x:row r="1956" ht="15" hidden="0" customHeight="1">
      <x:c r="A1956" s="27" t="str">
        <x:v>39087</x:v>
      </x:c>
      <x:c r="B1956" s="27" t="str">
        <x:v>SCA-22</x:v>
      </x:c>
      <x:c r="C1956" s="43" t="n">
        <x:v>55710</x:v>
      </x:c>
      <x:c r="D1956" s="43" t="n">
        <x:v>916.2971922883263</x:v>
      </x:c>
      <x:c r="E1956" s="43" t="n">
        <x:v>12351.777533720744</x:v>
      </x:c>
      <x:c r="F1956" s="43" t="n">
        <x:v>325.63833429026687</x:v>
      </x:c>
      <x:c r="G1956" s="43" t="n">
        <x:v>2052.1998453910537</x:v>
      </x:c>
      <x:c r="H1956" s="43" t="n">
        <x:v>40064.08709430961</x:v>
      </x:c>
      <x:c r="I1956" s="43" t="n">
        <x:v>55710</x:v>
      </x:c>
      <x:c r="J1956" s="43" t="n">
        <x:v>12996</x:v>
      </x:c>
      <x:c r="K1956" s="43" t="n">
        <x:v>727.2781293402288</x:v>
      </x:c>
      <x:c r="L1956" s="43" t="n">
        <x:v>401.63979504996195</x:v>
      </x:c>
    </x:row>
    <x:row r="1957" ht="15" hidden="0" customHeight="1">
      <x:c r="A1957" s="29" t="str">
        <x:v>21195</x:v>
      </x:c>
      <x:c r="B1957" s="29" t="str">
        <x:v>SCA-22</x:v>
      </x:c>
      <x:c r="C1957" s="44" t="n">
        <x:v>54721</x:v>
      </x:c>
      <x:c r="D1957" s="44" t="n">
        <x:v>950.3491571441101</x:v>
      </x:c>
      <x:c r="E1957" s="44" t="n">
        <x:v>15630.829697629977</x:v>
      </x:c>
      <x:c r="F1957" s="44" t="n">
        <x:v>497.33485026100243</x:v>
      </x:c>
      <x:c r="G1957" s="44" t="n">
        <x:v>2460.6899858905895</x:v>
      </x:c>
      <x:c r="H1957" s="44" t="n">
        <x:v>35181.79630907432</x:v>
      </x:c>
      <x:c r="I1957" s="44" t="n">
        <x:v>54721</x:v>
      </x:c>
      <x:c r="J1957" s="44" t="n">
        <x:v>16660</x:v>
      </x:c>
      <x:c r="K1957" s="44" t="n">
        <x:v>796.3994366705301</x:v>
      </x:c>
      <x:c r="L1957" s="44" t="n">
        <x:v>299.0645864095277</x:v>
      </x:c>
    </x:row>
    <x:row r="1958" ht="15" hidden="0" customHeight="1">
      <x:c r="A1958" s="27" t="str">
        <x:v>21073</x:v>
      </x:c>
      <x:c r="B1958" s="27" t="str">
        <x:v>SCA-22</x:v>
      </x:c>
      <x:c r="C1958" s="43" t="n">
        <x:v>52649</x:v>
      </x:c>
      <x:c r="D1958" s="43" t="n">
        <x:v>643.5713299147395</x:v>
      </x:c>
      <x:c r="E1958" s="43" t="n">
        <x:v>8539.938378782219</x:v>
      </x:c>
      <x:c r="F1958" s="43" t="n">
        <x:v>478.5033630853149</x:v>
      </x:c>
      <x:c r="G1958" s="43" t="n">
        <x:v>1780.91081925958</x:v>
      </x:c>
      <x:c r="H1958" s="43" t="n">
        <x:v>41206.07610895814</x:v>
      </x:c>
      <x:c r="I1958" s="43" t="n">
        <x:v>52649</x:v>
      </x:c>
      <x:c r="J1958" s="43" t="n">
        <x:v>8594</x:v>
      </x:c>
      <x:c r="K1958" s="43" t="n">
        <x:v>766.2439272174621</x:v>
      </x:c>
      <x:c r="L1958" s="43" t="n">
        <x:v>287.74056413214714</x:v>
      </x:c>
    </x:row>
    <x:row r="1959" ht="15" hidden="0" customHeight="1">
      <x:c r="A1959" s="29" t="str">
        <x:v>18029</x:v>
      </x:c>
      <x:c r="B1959" s="29" t="str">
        <x:v>SCA-22</x:v>
      </x:c>
      <x:c r="C1959" s="44" t="n">
        <x:v>51609</x:v>
      </x:c>
      <x:c r="D1959" s="44" t="n">
        <x:v>667.955064068273</x:v>
      </x:c>
      <x:c r="E1959" s="44" t="n">
        <x:v>7586.691340120589</x:v>
      </x:c>
      <x:c r="F1959" s="44" t="n">
        <x:v>335.9483358300225</x:v>
      </x:c>
      <x:c r="G1959" s="44" t="n">
        <x:v>1000.5787980626668</x:v>
      </x:c>
      <x:c r="H1959" s="44" t="n">
        <x:v>42017.82646191845</x:v>
      </x:c>
      <x:c r="I1959" s="44" t="n">
        <x:v>51609</x:v>
      </x:c>
      <x:c r="J1959" s="44" t="n">
        <x:v>7746</x:v>
      </x:c>
      <x:c r="K1959" s="44" t="n">
        <x:v>687.7912607266044</x:v>
      </x:c>
      <x:c r="L1959" s="44" t="n">
        <x:v>351.8429248965819</x:v>
      </x:c>
    </x:row>
    <x:row r="1960" ht="15" hidden="0" customHeight="1">
      <x:c r="A1960" s="27" t="str">
        <x:v>39037</x:v>
      </x:c>
      <x:c r="B1960" s="27" t="str">
        <x:v>SCA-22</x:v>
      </x:c>
      <x:c r="C1960" s="43" t="n">
        <x:v>51520</x:v>
      </x:c>
      <x:c r="D1960" s="43" t="n">
        <x:v>665.9301267193046</x:v>
      </x:c>
      <x:c r="E1960" s="43" t="n">
        <x:v>7067.952662814611</x:v>
      </x:c>
      <x:c r="F1960" s="43" t="n">
        <x:v>301.1467776455672</x:v>
      </x:c>
      <x:c r="G1960" s="43" t="n">
        <x:v>1472.4897071785329</x:v>
      </x:c>
      <x:c r="H1960" s="43" t="n">
        <x:v>42012.48072564199</x:v>
      </x:c>
      <x:c r="I1960" s="43" t="n">
        <x:v>51520</x:v>
      </x:c>
      <x:c r="J1960" s="43" t="n">
        <x:v>7296</x:v>
      </x:c>
      <x:c r="K1960" s="43" t="n">
        <x:v>672.5788767475963</x:v>
      </x:c>
      <x:c r="L1960" s="43" t="n">
        <x:v>371.43209910202904</x:v>
      </x:c>
    </x:row>
    <x:row r="1961" ht="15" hidden="0" customHeight="1">
      <x:c r="A1961" s="29" t="str">
        <x:v>21211</x:v>
      </x:c>
      <x:c r="B1961" s="29" t="str">
        <x:v>SCA-22</x:v>
      </x:c>
      <x:c r="C1961" s="44" t="n">
        <x:v>51243</x:v>
      </x:c>
      <x:c r="D1961" s="44" t="n">
        <x:v>549.4256244340219</x:v>
      </x:c>
      <x:c r="E1961" s="44" t="n">
        <x:v>6464.861238619476</x:v>
      </x:c>
      <x:c r="F1961" s="44" t="n">
        <x:v>465.7248539303841</x:v>
      </x:c>
      <x:c r="G1961" s="44" t="n">
        <x:v>1758.8794240147347</x:v>
      </x:c>
      <x:c r="H1961" s="44" t="n">
        <x:v>42004.10885900138</x:v>
      </x:c>
      <x:c r="I1961" s="44" t="n">
        <x:v>51243</x:v>
      </x:c>
      <x:c r="J1961" s="44" t="n">
        <x:v>6279</x:v>
      </x:c>
      <x:c r="K1961" s="44" t="n">
        <x:v>745.7812600885944</x:v>
      </x:c>
      <x:c r="L1961" s="44" t="n">
        <x:v>280.05640615821034</x:v>
      </x:c>
    </x:row>
    <x:row r="1962" ht="15" hidden="0" customHeight="1">
      <x:c r="A1962" s="27" t="str">
        <x:v>18065</x:v>
      </x:c>
      <x:c r="B1962" s="27" t="str">
        <x:v>SCA-22</x:v>
      </x:c>
      <x:c r="C1962" s="43" t="n">
        <x:v>49137</x:v>
      </x:c>
      <x:c r="D1962" s="43" t="n">
        <x:v>733.361785186283</x:v>
      </x:c>
      <x:c r="E1962" s="43" t="n">
        <x:v>9560.919640079304</x:v>
      </x:c>
      <x:c r="F1962" s="43" t="n">
        <x:v>319.85687336859496</x:v>
      </x:c>
      <x:c r="G1962" s="43" t="n">
        <x:v>1463.8718926338267</x:v>
      </x:c>
      <x:c r="H1962" s="43" t="n">
        <x:v>37058.98980873199</x:v>
      </x:c>
      <x:c r="I1962" s="43" t="n">
        <x:v>49137</x:v>
      </x:c>
      <x:c r="J1962" s="43" t="n">
        <x:v>9303</x:v>
      </x:c>
      <x:c r="K1962" s="43" t="n">
        <x:v>654.8470068849069</x:v>
      </x:c>
      <x:c r="L1962" s="43" t="n">
        <x:v>334.99013351631197</x:v>
      </x:c>
    </x:row>
    <x:row r="1963" ht="15" hidden="0" customHeight="1">
      <x:c r="A1963" s="29" t="str">
        <x:v>21179</x:v>
      </x:c>
      <x:c r="B1963" s="29" t="str">
        <x:v>SCA-22</x:v>
      </x:c>
      <x:c r="C1963" s="44" t="n">
        <x:v>49036</x:v>
      </x:c>
      <x:c r="D1963" s="44" t="n">
        <x:v>552.8482499200729</x:v>
      </x:c>
      <x:c r="E1963" s="44" t="n">
        <x:v>6836.488232904536</x:v>
      </x:c>
      <x:c r="F1963" s="44" t="n">
        <x:v>445.66641175048915</x:v>
      </x:c>
      <x:c r="G1963" s="44" t="n">
        <x:v>461.1501354096141</x:v>
      </x:c>
      <x:c r="H1963" s="44" t="n">
        <x:v>40739.84697001529</x:v>
      </x:c>
      <x:c r="I1963" s="44" t="n">
        <x:v>49036</x:v>
      </x:c>
      <x:c r="J1963" s="44" t="n">
        <x:v>6864</x:v>
      </x:c>
      <x:c r="K1963" s="44" t="n">
        <x:v>713.6609852995398</x:v>
      </x:c>
      <x:c r="L1963" s="44" t="n">
        <x:v>267.99457354905064</x:v>
      </x:c>
    </x:row>
    <x:row r="1964" ht="15" hidden="0" customHeight="1">
      <x:c r="A1964" s="27" t="str">
        <x:v>21019</x:v>
      </x:c>
      <x:c r="B1964" s="27" t="str">
        <x:v>SCA-22</x:v>
      </x:c>
      <x:c r="C1964" s="43" t="n">
        <x:v>47751</x:v>
      </x:c>
      <x:c r="D1964" s="43" t="n">
        <x:v>688.4973230947286</x:v>
      </x:c>
      <x:c r="E1964" s="43" t="n">
        <x:v>10260.614660444926</x:v>
      </x:c>
      <x:c r="F1964" s="43" t="n">
        <x:v>433.9876178215517</x:v>
      </x:c>
      <x:c r="G1964" s="43" t="n">
        <x:v>2000.964427563755</x:v>
      </x:c>
      <x:c r="H1964" s="43" t="n">
        <x:v>34366.935971075036</x:v>
      </x:c>
      <x:c r="I1964" s="43" t="n">
        <x:v>47751</x:v>
      </x:c>
      <x:c r="J1964" s="43" t="n">
        <x:v>10313</x:v>
      </x:c>
      <x:c r="K1964" s="43" t="n">
        <x:v>694.9593300644083</x:v>
      </x:c>
      <x:c r="L1964" s="43" t="n">
        <x:v>260.9717122428566</x:v>
      </x:c>
    </x:row>
    <x:row r="1965" ht="15" hidden="0" customHeight="1">
      <x:c r="A1965" s="29" t="str">
        <x:v>18071</x:v>
      </x:c>
      <x:c r="B1965" s="29" t="str">
        <x:v>SCA-22</x:v>
      </x:c>
      <x:c r="C1965" s="44" t="n">
        <x:v>47370</x:v>
      </x:c>
      <x:c r="D1965" s="44" t="n">
        <x:v>594.8528126084676</x:v>
      </x:c>
      <x:c r="E1965" s="44" t="n">
        <x:v>6525.819661016949</x:v>
      </x:c>
      <x:c r="F1965" s="44" t="n">
        <x:v>308.35460226449203</x:v>
      </x:c>
      <x:c r="G1965" s="44" t="n">
        <x:v>1633.34011299435</x:v>
      </x:c>
      <x:c r="H1965" s="44" t="n">
        <x:v>38307.632811115735</x:v>
      </x:c>
      <x:c r="I1965" s="44" t="n">
        <x:v>47370</x:v>
      </x:c>
      <x:c r="J1965" s="44" t="n">
        <x:v>6604</x:v>
      </x:c>
      <x:c r="K1965" s="44" t="n">
        <x:v>631.2982623305868</x:v>
      </x:c>
      <x:c r="L1965" s="44" t="n">
        <x:v>322.94366006609476</x:v>
      </x:c>
    </x:row>
    <x:row r="1966" ht="15" hidden="0" customHeight="1">
      <x:c r="A1966" s="27" t="str">
        <x:v>18145</x:v>
      </x:c>
      <x:c r="B1966" s="27" t="str">
        <x:v>SCA-22</x:v>
      </x:c>
      <x:c r="C1966" s="43" t="n">
        <x:v>45882</x:v>
      </x:c>
      <x:c r="D1966" s="43" t="n">
        <x:v>605.0118730766502</x:v>
      </x:c>
      <x:c r="E1966" s="43" t="n">
        <x:v>7013.1026809314035</x:v>
      </x:c>
      <x:c r="F1966" s="43" t="n">
        <x:v>298.66847922945794</x:v>
      </x:c>
      <x:c r="G1966" s="43" t="n">
        <x:v>1350.7136563876652</x:v>
      </x:c>
      <x:c r="H1966" s="43" t="n">
        <x:v>36614.50331037482</x:v>
      </x:c>
      <x:c r="I1966" s="43" t="n">
        <x:v>45882</x:v>
      </x:c>
      <x:c r="J1966" s="43" t="n">
        <x:v>7084</x:v>
      </x:c>
      <x:c r="K1966" s="43" t="n">
        <x:v>611.467740600633</x:v>
      </x:c>
      <x:c r="L1966" s="43" t="n">
        <x:v>312.799261371175</x:v>
      </x:c>
    </x:row>
    <x:row r="1967" ht="15" hidden="0" customHeight="1">
      <x:c r="A1967" s="29" t="str">
        <x:v>21009</x:v>
      </x:c>
      <x:c r="B1967" s="29" t="str">
        <x:v>SCA-22</x:v>
      </x:c>
      <x:c r="C1967" s="44" t="n">
        <x:v>45641</x:v>
      </x:c>
      <x:c r="D1967" s="44" t="n">
        <x:v>644.1529430737781</x:v>
      </x:c>
      <x:c r="E1967" s="44" t="n">
        <x:v>9473.110393285047</x:v>
      </x:c>
      <x:c r="F1967" s="44" t="n">
        <x:v>414.8107655335687</x:v>
      </x:c>
      <x:c r="G1967" s="44" t="n">
        <x:v>2499.521491910919</x:v>
      </x:c>
      <x:c r="H1967" s="44" t="n">
        <x:v>32609.40440619669</x:v>
      </x:c>
      <x:c r="I1967" s="44" t="n">
        <x:v>45641</x:v>
      </x:c>
      <x:c r="J1967" s="44" t="n">
        <x:v>9582</x:v>
      </x:c>
      <x:c r="K1967" s="44" t="n">
        <x:v>664.2507755538032</x:v>
      </x:c>
      <x:c r="L1967" s="44" t="n">
        <x:v>249.44001002023452</x:v>
      </x:c>
    </x:row>
    <x:row r="1968" ht="15" hidden="0" customHeight="1">
      <x:c r="A1968" s="27" t="str">
        <x:v>18093</x:v>
      </x:c>
      <x:c r="B1968" s="27" t="str">
        <x:v>SCA-22</x:v>
      </x:c>
      <x:c r="C1968" s="43" t="n">
        <x:v>45568</x:v>
      </x:c>
      <x:c r="D1968" s="43" t="n">
        <x:v>625.6900292000088</x:v>
      </x:c>
      <x:c r="E1968" s="43" t="n">
        <x:v>7560.754898701766</x:v>
      </x:c>
      <x:c r="F1968" s="43" t="n">
        <x:v>296.6244989653445</x:v>
      </x:c>
      <x:c r="G1968" s="43" t="n">
        <x:v>1164.2334688468623</x:v>
      </x:c>
      <x:c r="H1968" s="43" t="n">
        <x:v>35920.69710428602</x:v>
      </x:c>
      <x:c r="I1968" s="43" t="n">
        <x:v>45568</x:v>
      </x:c>
      <x:c r="J1968" s="43" t="n">
        <x:v>7695</x:v>
      </x:c>
      <x:c r="K1968" s="43" t="n">
        <x:v>607.2830740527797</x:v>
      </x:c>
      <x:c r="L1968" s="43" t="n">
        <x:v>310.6585750874352</x:v>
      </x:c>
    </x:row>
    <x:row r="1969" ht="15" hidden="0" customHeight="1">
      <x:c r="A1969" s="29" t="str">
        <x:v>21107</x:v>
      </x:c>
      <x:c r="B1969" s="29" t="str">
        <x:v>SCA-22</x:v>
      </x:c>
      <x:c r="C1969" s="44" t="n">
        <x:v>45127</x:v>
      </x:c>
      <x:c r="D1969" s="44" t="n">
        <x:v>715.0185669281389</x:v>
      </x:c>
      <x:c r="E1969" s="44" t="n">
        <x:v>11241.304834329168</x:v>
      </x:c>
      <x:c r="F1969" s="44" t="n">
        <x:v>410.13924796199376</x:v>
      </x:c>
      <x:c r="G1969" s="44" t="n">
        <x:v>1845.3681875792142</x:v>
      </x:c>
      <x:c r="H1969" s="44" t="n">
        <x:v>30915.16916320148</x:v>
      </x:c>
      <x:c r="I1969" s="44" t="n">
        <x:v>45127</x:v>
      </x:c>
      <x:c r="J1969" s="44" t="n">
        <x:v>11465</x:v>
      </x:c>
      <x:c r="K1969" s="44" t="n">
        <x:v>656.7701134597506</x:v>
      </x:c>
      <x:c r="L1969" s="44" t="n">
        <x:v>246.6308654977569</x:v>
      </x:c>
    </x:row>
    <x:row r="1970" ht="15" hidden="0" customHeight="1">
      <x:c r="A1970" s="27" t="str">
        <x:v>39015</x:v>
      </x:c>
      <x:c r="B1970" s="27" t="str">
        <x:v>SCA-22</x:v>
      </x:c>
      <x:c r="C1970" s="43" t="n">
        <x:v>44397</x:v>
      </x:c>
      <x:c r="D1970" s="43" t="n">
        <x:v>638.2614429039468</x:v>
      </x:c>
      <x:c r="E1970" s="43" t="n">
        <x:v>7636.378245921686</x:v>
      </x:c>
      <x:c r="F1970" s="43" t="n">
        <x:v>259.51113134957785</x:v>
      </x:c>
      <x:c r="G1970" s="43" t="n">
        <x:v>1470.518955213549</x:v>
      </x:c>
      <x:c r="H1970" s="43" t="n">
        <x:v>34392.330224611236</x:v>
      </x:c>
      <x:c r="I1970" s="43" t="n">
        <x:v>44397</x:v>
      </x:c>
      <x:c r="J1970" s="43" t="n">
        <x:v>7765</x:v>
      </x:c>
      <x:c r="K1970" s="43" t="n">
        <x:v>579.590147340121</x:v>
      </x:c>
      <x:c r="L1970" s="43" t="n">
        <x:v>320.07901599054316</x:v>
      </x:c>
    </x:row>
    <x:row r="1971" ht="15" hidden="0" customHeight="1">
      <x:c r="A1971" s="29" t="str">
        <x:v>21101</x:v>
      </x:c>
      <x:c r="B1971" s="29" t="str">
        <x:v>SCA-22</x:v>
      </x:c>
      <x:c r="C1971" s="44" t="n">
        <x:v>44255</x:v>
      </x:c>
      <x:c r="D1971" s="44" t="n">
        <x:v>677.9625098098539</x:v>
      </x:c>
      <x:c r="E1971" s="44" t="n">
        <x:v>10466.336460701246</x:v>
      </x:c>
      <x:c r="F1971" s="44" t="n">
        <x:v>402.2140274903724</x:v>
      </x:c>
      <x:c r="G1971" s="44" t="n">
        <x:v>1745.442171247503</x:v>
      </x:c>
      <x:c r="H1971" s="44" t="n">
        <x:v>30963.044830751027</x:v>
      </x:c>
      <x:c r="I1971" s="44" t="n">
        <x:v>44255</x:v>
      </x:c>
      <x:c r="J1971" s="44" t="n">
        <x:v>10729</x:v>
      </x:c>
      <x:c r="K1971" s="44" t="n">
        <x:v>644.0791847710077</x:v>
      </x:c>
      <x:c r="L1971" s="44" t="n">
        <x:v>241.86515728063537</x:v>
      </x:c>
    </x:row>
    <x:row r="1972" ht="15" hidden="0" customHeight="1">
      <x:c r="A1972" s="27" t="str">
        <x:v>18037</x:v>
      </x:c>
      <x:c r="B1972" s="27" t="str">
        <x:v>SCA-22</x:v>
      </x:c>
      <x:c r="C1972" s="43" t="n">
        <x:v>44016</x:v>
      </x:c>
      <x:c r="D1972" s="43" t="n">
        <x:v>508.4686180305411</x:v>
      </x:c>
      <x:c r="E1972" s="43" t="n">
        <x:v>5001.378236675112</x:v>
      </x:c>
      <x:c r="F1972" s="43" t="n">
        <x:v>286.52176848794335</x:v>
      </x:c>
      <x:c r="G1972" s="43" t="n">
        <x:v>875.4677250645034</x:v>
      </x:c>
      <x:c r="H1972" s="43" t="n">
        <x:v>37344.163651741896</x:v>
      </x:c>
      <x:c r="I1972" s="43" t="n">
        <x:v>44016</x:v>
      </x:c>
      <x:c r="J1972" s="43" t="n">
        <x:v>5092</x:v>
      </x:c>
      <x:c r="K1972" s="43" t="n">
        <x:v>586.5996266570214</x:v>
      </x:c>
      <x:c r="L1972" s="43" t="n">
        <x:v>300.07785816907807</x:v>
      </x:c>
    </x:row>
    <x:row r="1973" ht="15" hidden="0" customHeight="1">
      <x:c r="A1973" s="29" t="str">
        <x:v>39071</x:v>
      </x:c>
      <x:c r="B1973" s="29" t="str">
        <x:v>SCA-22</x:v>
      </x:c>
      <x:c r="C1973" s="44" t="n">
        <x:v>43823</x:v>
      </x:c>
      <x:c r="D1973" s="44" t="n">
        <x:v>634.2208735304154</x:v>
      </x:c>
      <x:c r="E1973" s="44" t="n">
        <x:v>7638.722294412474</x:v>
      </x:c>
      <x:c r="F1973" s="44" t="n">
        <x:v>256.1559634464615</x:v>
      </x:c>
      <x:c r="G1973" s="44" t="n">
        <x:v>1649.1336782996102</x:v>
      </x:c>
      <x:c r="H1973" s="44" t="n">
        <x:v>33644.76719031104</x:v>
      </x:c>
      <x:c r="I1973" s="44" t="n">
        <x:v>43823</x:v>
      </x:c>
      <x:c r="J1973" s="44" t="n">
        <x:v>7825</x:v>
      </x:c>
      <x:c r="K1973" s="44" t="n">
        <x:v>572.096741376357</x:v>
      </x:c>
      <x:c r="L1973" s="44" t="n">
        <x:v>315.94077792989555</x:v>
      </x:c>
    </x:row>
    <x:row r="1974" ht="15" hidden="0" customHeight="1">
      <x:c r="A1974" s="27" t="str">
        <x:v>47021</x:v>
      </x:c>
      <x:c r="B1974" s="27" t="str">
        <x:v>SCA-22</x:v>
      </x:c>
      <x:c r="C1974" s="43" t="n">
        <x:v>42778</x:v>
      </x:c>
      <x:c r="D1974" s="43" t="n">
        <x:v>420.86543587121565</x:v>
      </x:c>
      <x:c r="E1974" s="43" t="n">
        <x:v>5578.486192988797</x:v>
      </x:c>
      <x:c r="F1974" s="43" t="n">
        <x:v>273.998035204149</x:v>
      </x:c>
      <x:c r="G1974" s="43" t="n">
        <x:v>438.99375978797735</x:v>
      </x:c>
      <x:c r="H1974" s="43" t="n">
        <x:v>36065.65657614786</x:v>
      </x:c>
      <x:c r="I1974" s="43" t="n">
        <x:v>42778</x:v>
      </x:c>
      <x:c r="J1974" s="43" t="n">
        <x:v>5638</x:v>
      </x:c>
      <x:c r="K1974" s="43" t="n">
        <x:v>462.4265463674981</x:v>
      </x:c>
      <x:c r="L1974" s="43" t="n">
        <x:v>188.42851116334907</x:v>
      </x:c>
    </x:row>
    <x:row r="1975" ht="15" hidden="0" customHeight="1">
      <x:c r="A1975" s="29" t="str">
        <x:v>39027</x:v>
      </x:c>
      <x:c r="B1975" s="29" t="str">
        <x:v>SCA-22</x:v>
      </x:c>
      <x:c r="C1975" s="44" t="n">
        <x:v>42301</x:v>
      </x:c>
      <x:c r="D1975" s="44" t="n">
        <x:v>576.8899229738389</x:v>
      </x:c>
      <x:c r="E1975" s="44" t="n">
        <x:v>6526.127146349649</x:v>
      </x:c>
      <x:c r="F1975" s="44" t="n">
        <x:v>247.2595077869787</x:v>
      </x:c>
      <x:c r="G1975" s="44" t="n">
        <x:v>916.5084128277647</x:v>
      </x:c>
      <x:c r="H1975" s="44" t="n">
        <x:v>34034.215010061765</x:v>
      </x:c>
      <x:c r="I1975" s="44" t="n">
        <x:v>42301</x:v>
      </x:c>
      <x:c r="J1975" s="44" t="n">
        <x:v>6705</x:v>
      </x:c>
      <x:c r="K1975" s="44" t="n">
        <x:v>552.2274663295822</x:v>
      </x:c>
      <x:c r="L1975" s="44" t="n">
        <x:v>304.96795854260347</x:v>
      </x:c>
    </x:row>
    <x:row r="1976" ht="15" hidden="0" customHeight="1">
      <x:c r="A1976" s="27" t="str">
        <x:v>39135</x:v>
      </x:c>
      <x:c r="B1976" s="27" t="str">
        <x:v>SCA-22</x:v>
      </x:c>
      <x:c r="C1976" s="43" t="n">
        <x:v>40664</x:v>
      </x:c>
      <x:c r="D1976" s="43" t="n">
        <x:v>549.6574167182465</x:v>
      </x:c>
      <x:c r="E1976" s="43" t="n">
        <x:v>6155.792809676624</x:v>
      </x:c>
      <x:c r="F1976" s="43" t="n">
        <x:v>237.69084949882267</x:v>
      </x:c>
      <x:c r="G1976" s="43" t="n">
        <x:v>771.9776104665515</x:v>
      </x:c>
      <x:c r="H1976" s="43" t="n">
        <x:v>32948.88131363976</x:v>
      </x:c>
      <x:c r="I1976" s="43" t="n">
        <x:v>40664</x:v>
      </x:c>
      <x:c r="J1976" s="43" t="n">
        <x:v>6388</x:v>
      </x:c>
      <x:c r="K1976" s="43" t="n">
        <x:v>530.8568991472099</x:v>
      </x:c>
      <x:c r="L1976" s="43" t="n">
        <x:v>293.16604964838723</x:v>
      </x:c>
    </x:row>
    <x:row r="1977" ht="15" hidden="0" customHeight="1">
      <x:c r="A1977" s="29" t="str">
        <x:v>18061</x:v>
      </x:c>
      <x:c r="B1977" s="29" t="str">
        <x:v>SCA-22</x:v>
      </x:c>
      <x:c r="C1977" s="44" t="n">
        <x:v>40437</x:v>
      </x:c>
      <x:c r="D1977" s="44" t="n">
        <x:v>514.0569894383291</x:v>
      </x:c>
      <x:c r="E1977" s="44" t="n">
        <x:v>5721.092746092957</x:v>
      </x:c>
      <x:c r="F1977" s="44" t="n">
        <x:v>263.2242991718232</x:v>
      </x:c>
      <x:c r="G1977" s="44" t="n">
        <x:v>690.1985614978689</x:v>
      </x:c>
      <x:c r="H1977" s="44" t="n">
        <x:v>33248.42740379902</x:v>
      </x:c>
      <x:c r="I1977" s="44" t="n">
        <x:v>40437</x:v>
      </x:c>
      <x:c r="J1977" s="44" t="n">
        <x:v>5809</x:v>
      </x:c>
      <x:c r="K1977" s="44" t="n">
        <x:v>538.9024241896124</x:v>
      </x:c>
      <x:c r="L1977" s="44" t="n">
        <x:v>275.67812501778917</x:v>
      </x:c>
    </x:row>
    <x:row r="1978" ht="15" hidden="0" customHeight="1">
      <x:c r="A1978" s="27" t="str">
        <x:v>47013</x:v>
      </x:c>
      <x:c r="B1978" s="27" t="str">
        <x:v>SCA-22</x:v>
      </x:c>
      <x:c r="C1978" s="43" t="n">
        <x:v>40290</x:v>
      </x:c>
      <x:c r="D1978" s="43" t="n">
        <x:v>594.8261285245959</x:v>
      </x:c>
      <x:c r="E1978" s="43" t="n">
        <x:v>10016.562201834862</x:v>
      </x:c>
      <x:c r="F1978" s="43" t="n">
        <x:v>258.06210758743197</x:v>
      </x:c>
      <x:c r="G1978" s="43" t="n">
        <x:v>1081.9031600407748</x:v>
      </x:c>
      <x:c r="H1978" s="43" t="n">
        <x:v>28338.64640201233</x:v>
      </x:c>
      <x:c r="I1978" s="43" t="n">
        <x:v>40290</x:v>
      </x:c>
      <x:c r="J1978" s="43" t="n">
        <x:v>10162</x:v>
      </x:c>
      <x:c r="K1978" s="43" t="n">
        <x:v>435.5314777022418</x:v>
      </x:c>
      <x:c r="L1978" s="43" t="n">
        <x:v>177.4693701148098</x:v>
      </x:c>
    </x:row>
    <x:row r="1979" ht="15" hidden="0" customHeight="1">
      <x:c r="A1979" s="29" t="str">
        <x:v>21049</x:v>
      </x:c>
      <x:c r="B1979" s="29" t="str">
        <x:v>SCA-22</x:v>
      </x:c>
      <x:c r="C1979" s="44" t="n">
        <x:v>37888</x:v>
      </x:c>
      <x:c r="D1979" s="44" t="n">
        <x:v>518.5872703122325</x:v>
      </x:c>
      <x:c r="E1979" s="44" t="n">
        <x:v>7476.466425191711</x:v>
      </x:c>
      <x:c r="F1979" s="44" t="n">
        <x:v>344.34719406971476</x:v>
      </x:c>
      <x:c r="G1979" s="44" t="n">
        <x:v>1325.5350927285583</x:v>
      </x:c>
      <x:c r="H1979" s="44" t="n">
        <x:v>28223.064017697783</x:v>
      </x:c>
      <x:c r="I1979" s="44" t="n">
        <x:v>37888</x:v>
      </x:c>
      <x:c r="J1979" s="44" t="n">
        <x:v>7559</x:v>
      </x:c>
      <x:c r="K1979" s="44" t="n">
        <x:v>551.4150299989592</x:v>
      </x:c>
      <x:c r="L1979" s="44" t="n">
        <x:v>207.06783592924444</x:v>
      </x:c>
    </x:row>
    <x:row r="1980" ht="15" hidden="0" customHeight="1">
      <x:c r="A1980" s="27" t="str">
        <x:v>18133</x:v>
      </x:c>
      <x:c r="B1980" s="27" t="str">
        <x:v>SCA-22</x:v>
      </x:c>
      <x:c r="C1980" s="43" t="n">
        <x:v>37876</x:v>
      </x:c>
      <x:c r="D1980" s="43" t="n">
        <x:v>486.52828241542653</x:v>
      </x:c>
      <x:c r="E1980" s="43" t="n">
        <x:v>5479.432891376996</x:v>
      </x:c>
      <x:c r="F1980" s="43" t="n">
        <x:v>246.55349198585384</x:v>
      </x:c>
      <x:c r="G1980" s="43" t="n">
        <x:v>676.8956899260234</x:v>
      </x:c>
      <x:c r="H1980" s="43" t="n">
        <x:v>30986.5896442957</x:v>
      </x:c>
      <x:c r="I1980" s="43" t="n">
        <x:v>37876</x:v>
      </x:c>
      <x:c r="J1980" s="43" t="n">
        <x:v>5276</x:v>
      </x:c>
      <x:c r="K1980" s="43" t="n">
        <x:v>504.7720705939055</x:v>
      </x:c>
      <x:c r="L1980" s="43" t="n">
        <x:v>258.21857860805164</x:v>
      </x:c>
    </x:row>
    <x:row r="1981" ht="15" hidden="0" customHeight="1">
      <x:c r="A1981" s="29" t="str">
        <x:v>54099</x:v>
      </x:c>
      <x:c r="B1981" s="29" t="str">
        <x:v>SCA-22</x:v>
      </x:c>
      <x:c r="C1981" s="44" t="n">
        <x:v>37309</x:v>
      </x:c>
      <x:c r="D1981" s="44" t="n">
        <x:v>560.1020131504488</x:v>
      </x:c>
      <x:c r="E1981" s="44" t="n">
        <x:v>8174.800756859036</x:v>
      </x:c>
      <x:c r="F1981" s="44" t="n">
        <x:v>436.2013638308724</x:v>
      </x:c>
      <x:c r="G1981" s="44" t="n">
        <x:v>1512.6490066225167</x:v>
      </x:c>
      <x:c r="H1981" s="44" t="n">
        <x:v>26625.24685953713</x:v>
      </x:c>
      <x:c r="I1981" s="44" t="n">
        <x:v>37309</x:v>
      </x:c>
      <x:c r="J1981" s="44" t="n">
        <x:v>8685</x:v>
      </x:c>
      <x:c r="K1981" s="44" t="n">
        <x:v>655.6866787788614</x:v>
      </x:c>
      <x:c r="L1981" s="44" t="n">
        <x:v>219.48531494798897</x:v>
      </x:c>
    </x:row>
    <x:row r="1982" ht="15" hidden="0" customHeight="1">
      <x:c r="A1982" s="27" t="str">
        <x:v>21235</x:v>
      </x:c>
      <x:c r="B1982" s="27" t="str">
        <x:v>SCA-22</x:v>
      </x:c>
      <x:c r="C1982" s="43" t="n">
        <x:v>37297</x:v>
      </x:c>
      <x:c r="D1982" s="43" t="n">
        <x:v>530.1571844550994</x:v>
      </x:c>
      <x:c r="E1982" s="43" t="n">
        <x:v>7831.663636812779</x:v>
      </x:c>
      <x:c r="F1982" s="43" t="n">
        <x:v>338.9758577179622</x:v>
      </x:c>
      <x:c r="G1982" s="43" t="n">
        <x:v>1631.2911920511626</x:v>
      </x:c>
      <x:c r="H1982" s="43" t="n">
        <x:v>26964.912128962995</x:v>
      </x:c>
      <x:c r="I1982" s="43" t="n">
        <x:v>37297</x:v>
      </x:c>
      <x:c r="J1982" s="43" t="n">
        <x:v>7969</x:v>
      </x:c>
      <x:c r="K1982" s="43" t="n">
        <x:v>542.813723972529</x:v>
      </x:c>
      <x:c r="L1982" s="43" t="n">
        <x:v>203.83786625456688</x:v>
      </x:c>
    </x:row>
    <x:row r="1983" ht="15" hidden="0" customHeight="1">
      <x:c r="A1983" s="29" t="str">
        <x:v>18083</x:v>
      </x:c>
      <x:c r="B1983" s="29" t="str">
        <x:v>SCA-22</x:v>
      </x:c>
      <x:c r="C1983" s="44" t="n">
        <x:v>35652</x:v>
      </x:c>
      <x:c r="D1983" s="44" t="n">
        <x:v>517.2577043644097</x:v>
      </x:c>
      <x:c r="E1983" s="44" t="n">
        <x:v>6580.828416499392</x:v>
      </x:c>
      <x:c r="F1983" s="44" t="n">
        <x:v>232.0763833635986</x:v>
      </x:c>
      <x:c r="G1983" s="44" t="n">
        <x:v>1359.8030872748861</x:v>
      </x:c>
      <x:c r="H1983" s="44" t="n">
        <x:v>26962.03440849771</x:v>
      </x:c>
      <x:c r="I1983" s="44" t="n">
        <x:v>35652</x:v>
      </x:c>
      <x:c r="J1983" s="44" t="n">
        <x:v>6801</x:v>
      </x:c>
      <x:c r="K1983" s="44" t="n">
        <x:v>475.1329037072003</x:v>
      </x:c>
      <x:c r="L1983" s="44" t="n">
        <x:v>243.05652034360165</x:v>
      </x:c>
    </x:row>
    <x:row r="1984" ht="15" hidden="0" customHeight="1">
      <x:c r="A1984" s="27" t="str">
        <x:v>21089</x:v>
      </x:c>
      <x:c r="B1984" s="27" t="str">
        <x:v>SCA-22</x:v>
      </x:c>
      <x:c r="C1984" s="43" t="n">
        <x:v>35213</x:v>
      </x:c>
      <x:c r="D1984" s="43" t="n">
        <x:v>505.69847583815414</x:v>
      </x:c>
      <x:c r="E1984" s="43" t="n">
        <x:v>7518.005160037689</x:v>
      </x:c>
      <x:c r="F1984" s="43" t="n">
        <x:v>320.0353078752341</x:v>
      </x:c>
      <x:c r="G1984" s="43" t="n">
        <x:v>789.6561402506924</x:v>
      </x:c>
      <x:c r="H1984" s="43" t="n">
        <x:v>26079.604915998232</x:v>
      </x:c>
      <x:c r="I1984" s="43" t="n">
        <x:v>35213</x:v>
      </x:c>
      <x:c r="J1984" s="43" t="n">
        <x:v>7789</x:v>
      </x:c>
      <x:c r="K1984" s="43" t="n">
        <x:v>512.4835687118177</x:v>
      </x:c>
      <x:c r="L1984" s="43" t="n">
        <x:v>192.44826083658373</x:v>
      </x:c>
    </x:row>
    <x:row r="1985" ht="15" hidden="0" customHeight="1">
      <x:c r="A1985" s="29" t="str">
        <x:v>51195</x:v>
      </x:c>
      <x:c r="B1985" s="29" t="str">
        <x:v>SCA-22</x:v>
      </x:c>
      <x:c r="C1985" s="44" t="n">
        <x:v>34824</x:v>
      </x:c>
      <x:c r="D1985" s="44" t="n">
        <x:v>527.698501024005</x:v>
      </x:c>
      <x:c r="E1985" s="44" t="n">
        <x:v>9191.056853320419</x:v>
      </x:c>
      <x:c r="F1985" s="44" t="n">
        <x:v>242.93116021858276</x:v>
      </x:c>
      <x:c r="G1985" s="44" t="n">
        <x:v>1801.8092802227736</x:v>
      </x:c>
      <x:c r="H1985" s="44" t="n">
        <x:v>23060.50420521422</x:v>
      </x:c>
      <x:c r="I1985" s="44" t="n">
        <x:v>34824</x:v>
      </x:c>
      <x:c r="J1985" s="44" t="n">
        <x:v>9083</x:v>
      </x:c>
      <x:c r="K1985" s="44" t="n">
        <x:v>387.6689590209037</x:v>
      </x:c>
      <x:c r="L1985" s="44" t="n">
        <x:v>144.73779880232092</x:v>
      </x:c>
    </x:row>
    <x:row r="1986" ht="15" hidden="0" customHeight="1">
      <x:c r="A1986" s="27" t="str">
        <x:v>21071</x:v>
      </x:c>
      <x:c r="B1986" s="27" t="str">
        <x:v>SCA-22</x:v>
      </x:c>
      <x:c r="C1986" s="43" t="n">
        <x:v>34401</x:v>
      </x:c>
      <x:c r="D1986" s="43" t="n">
        <x:v>578.2610447230071</x:v>
      </x:c>
      <x:c r="E1986" s="43" t="n">
        <x:v>9366.013833612764</x:v>
      </x:c>
      <x:c r="F1986" s="43" t="n">
        <x:v>312.65540073881596</x:v>
      </x:c>
      <x:c r="G1986" s="43" t="n">
        <x:v>1845.4358559287737</x:v>
      </x:c>
      <x:c r="H1986" s="43" t="n">
        <x:v>22298.633864996642</x:v>
      </x:c>
      <x:c r="I1986" s="43" t="n">
        <x:v>34401</x:v>
      </x:c>
      <x:c r="J1986" s="43" t="n">
        <x:v>9811</x:v>
      </x:c>
      <x:c r="K1986" s="43" t="n">
        <x:v>500.66586906129106</x:v>
      </x:c>
      <x:c r="L1986" s="43" t="n">
        <x:v>188.01046832247513</x:v>
      </x:c>
    </x:row>
    <x:row r="1987" ht="15" hidden="0" customHeight="1">
      <x:c r="A1987" s="29" t="str">
        <x:v>18027</x:v>
      </x:c>
      <x:c r="B1987" s="29" t="str">
        <x:v>SCA-22</x:v>
      </x:c>
      <x:c r="C1987" s="44" t="n">
        <x:v>34209</x:v>
      </x:c>
      <x:c r="D1987" s="44" t="n">
        <x:v>429.1232110559078</x:v>
      </x:c>
      <x:c r="E1987" s="44" t="n">
        <x:v>4701.703275752917</x:v>
      </x:c>
      <x:c r="F1987" s="44" t="n">
        <x:v>222.6831874364789</x:v>
      </x:c>
      <x:c r="G1987" s="44" t="n">
        <x:v>4061.3873564257938</x:v>
      </x:c>
      <x:c r="H1987" s="44" t="n">
        <x:v>24794.102969328906</x:v>
      </x:c>
      <x:c r="I1987" s="44" t="n">
        <x:v>34209</x:v>
      </x:c>
      <x:c r="J1987" s="44" t="n">
        <x:v>4749</x:v>
      </x:c>
      <x:c r="K1987" s="44" t="n">
        <x:v>455.90209533601524</x:v>
      </x:c>
      <x:c r="L1987" s="44" t="n">
        <x:v>233.21890789953633</x:v>
      </x:c>
    </x:row>
    <x:row r="1988" ht="15" hidden="0" customHeight="1">
      <x:c r="A1988" s="27" t="str">
        <x:v>18077</x:v>
      </x:c>
      <x:c r="B1988" s="27" t="str">
        <x:v>SCA-22</x:v>
      </x:c>
      <x:c r="C1988" s="43" t="n">
        <x:v>33279</x:v>
      </x:c>
      <x:c r="D1988" s="43" t="n">
        <x:v>489.0421021749553</x:v>
      </x:c>
      <x:c r="E1988" s="43" t="n">
        <x:v>6291.922643033852</x:v>
      </x:c>
      <x:c r="F1988" s="43" t="n">
        <x:v>216.6293605395826</x:v>
      </x:c>
      <x:c r="G1988" s="43" t="n">
        <x:v>587.0342279146963</x:v>
      </x:c>
      <x:c r="H1988" s="43" t="n">
        <x:v>25694.371666336916</x:v>
      </x:c>
      <x:c r="I1988" s="43" t="n">
        <x:v>33279</x:v>
      </x:c>
      <x:c r="J1988" s="43" t="n">
        <x:v>6289</x:v>
      </x:c>
      <x:c r="K1988" s="43" t="n">
        <x:v>443.5080192547941</x:v>
      </x:c>
      <x:c r="L1988" s="43" t="n">
        <x:v>226.8786587152115</x:v>
      </x:c>
    </x:row>
    <x:row r="1989" ht="15" hidden="0" customHeight="1">
      <x:c r="A1989" s="29" t="str">
        <x:v>47025</x:v>
      </x:c>
      <x:c r="B1989" s="29" t="str">
        <x:v>SCA-22</x:v>
      </x:c>
      <x:c r="C1989" s="44" t="n">
        <x:v>33229</x:v>
      </x:c>
      <x:c r="D1989" s="44" t="n">
        <x:v>453.42196748553437</x:v>
      </x:c>
      <x:c r="E1989" s="44" t="n">
        <x:v>7369.317272045965</x:v>
      </x:c>
      <x:c r="F1989" s="44" t="n">
        <x:v>212.83558632471522</x:v>
      </x:c>
      <x:c r="G1989" s="44" t="n">
        <x:v>613.6506370222332</x:v>
      </x:c>
      <x:c r="H1989" s="44" t="n">
        <x:v>24579.774537121553</x:v>
      </x:c>
      <x:c r="I1989" s="44" t="n">
        <x:v>33229</x:v>
      </x:c>
      <x:c r="J1989" s="44" t="n">
        <x:v>7398</x:v>
      </x:c>
      <x:c r="K1989" s="44" t="n">
        <x:v>359.202667475001</x:v>
      </x:c>
      <x:c r="L1989" s="44" t="n">
        <x:v>146.3670811502858</x:v>
      </x:c>
    </x:row>
    <x:row r="1990" ht="15" hidden="0" customHeight="1">
      <x:c r="A1990" s="27" t="str">
        <x:v>18051</x:v>
      </x:c>
      <x:c r="B1990" s="27" t="str">
        <x:v>SCA-22</x:v>
      </x:c>
      <x:c r="C1990" s="43" t="n">
        <x:v>33091</x:v>
      </x:c>
      <x:c r="D1990" s="43" t="n">
        <x:v>434.31230398918063</x:v>
      </x:c>
      <x:c r="E1990" s="43" t="n">
        <x:v>5009.167921327597</x:v>
      </x:c>
      <x:c r="F1990" s="43" t="n">
        <x:v>215.40557617762937</x:v>
      </x:c>
      <x:c r="G1990" s="43" t="n">
        <x:v>608.9952980946528</x:v>
      </x:c>
      <x:c r="H1990" s="43" t="n">
        <x:v>26823.11890041094</x:v>
      </x:c>
      <x:c r="I1990" s="43" t="n">
        <x:v>33091</x:v>
      </x:c>
      <x:c r="J1990" s="43" t="n">
        <x:v>5131</x:v>
      </x:c>
      <x:c r="K1990" s="43" t="n">
        <x:v>441.00255011149346</x:v>
      </x:c>
      <x:c r="L1990" s="43" t="n">
        <x:v>225.5969739338641</x:v>
      </x:c>
    </x:row>
    <x:row r="1991" ht="15" hidden="0" customHeight="1">
      <x:c r="A1991" s="29" t="str">
        <x:v>21021</x:v>
      </x:c>
      <x:c r="B1991" s="29" t="str">
        <x:v>SCA-22</x:v>
      </x:c>
      <x:c r="C1991" s="44" t="n">
        <x:v>31632</x:v>
      </x:c>
      <x:c r="D1991" s="44" t="n">
        <x:v>390.777131997269</x:v>
      </x:c>
      <x:c r="E1991" s="44" t="n">
        <x:v>5229.599360852198</x:v>
      </x:c>
      <x:c r="F1991" s="44" t="n">
        <x:v>287.4891903191833</x:v>
      </x:c>
      <x:c r="G1991" s="44" t="n">
        <x:v>906.0108743897026</x:v>
      </x:c>
      <x:c r="H1991" s="44" t="n">
        <x:v>24818.123442441647</x:v>
      </x:c>
      <x:c r="I1991" s="44" t="n">
        <x:v>31632</x:v>
      </x:c>
      <x:c r="J1991" s="44" t="n">
        <x:v>5044</x:v>
      </x:c>
      <x:c r="K1991" s="44" t="n">
        <x:v>460.3663489476108</x:v>
      </x:c>
      <x:c r="L1991" s="44" t="n">
        <x:v>172.87715862842748</x:v>
      </x:c>
    </x:row>
    <x:row r="1992" ht="15" hidden="0" customHeight="1">
      <x:c r="A1992" s="27" t="str">
        <x:v>18055</x:v>
      </x:c>
      <x:c r="B1992" s="27" t="str">
        <x:v>SCA-22</x:v>
      </x:c>
      <x:c r="C1992" s="43" t="n">
        <x:v>31165</x:v>
      </x:c>
      <x:c r="D1992" s="43" t="n">
        <x:v>458.34992307508395</x:v>
      </x:c>
      <x:c r="E1992" s="43" t="n">
        <x:v>5901.201616266945</x:v>
      </x:c>
      <x:c r="F1992" s="43" t="n">
        <x:v>202.86829595889577</x:v>
      </x:c>
      <x:c r="G1992" s="43" t="n">
        <x:v>965.716403806048</x:v>
      </x:c>
      <x:c r="H1992" s="43" t="n">
        <x:v>23636.86376089303</x:v>
      </x:c>
      <x:c r="I1992" s="43" t="n">
        <x:v>31165</x:v>
      </x:c>
      <x:c r="J1992" s="43" t="n">
        <x:v>6053</x:v>
      </x:c>
      <x:c r="K1992" s="43" t="n">
        <x:v>415.33481835619034</x:v>
      </x:c>
      <x:c r="L1992" s="43" t="n">
        <x:v>212.46652239729457</x:v>
      </x:c>
    </x:row>
    <x:row r="1993" ht="15" hidden="0" customHeight="1">
      <x:c r="A1993" s="29" t="str">
        <x:v>21163</x:v>
      </x:c>
      <x:c r="B1993" s="29" t="str">
        <x:v>SCA-22</x:v>
      </x:c>
      <x:c r="C1993" s="44" t="n">
        <x:v>30699</x:v>
      </x:c>
      <x:c r="D1993" s="44" t="n">
        <x:v>408.58076216004986</x:v>
      </x:c>
      <x:c r="E1993" s="44" t="n">
        <x:v>5779.264625123371</x:v>
      </x:c>
      <x:c r="F1993" s="44" t="n">
        <x:v>279.0095679567719</x:v>
      </x:c>
      <x:c r="G1993" s="44" t="n">
        <x:v>935.3378994656775</x:v>
      </x:c>
      <x:c r="H1993" s="44" t="n">
        <x:v>23296.80714529413</x:v>
      </x:c>
      <x:c r="I1993" s="44" t="n">
        <x:v>30699</x:v>
      </x:c>
      <x:c r="J1993" s="44" t="n">
        <x:v>5762</x:v>
      </x:c>
      <x:c r="K1993" s="44" t="n">
        <x:v>446.78763740334796</x:v>
      </x:c>
      <x:c r="L1993" s="44" t="n">
        <x:v>167.7780694465761</x:v>
      </x:c>
    </x:row>
    <x:row r="1994" ht="15" hidden="0" customHeight="1">
      <x:c r="A1994" s="27" t="str">
        <x:v>21177</x:v>
      </x:c>
      <x:c r="B1994" s="27" t="str">
        <x:v>SCA-22</x:v>
      </x:c>
      <x:c r="C1994" s="43" t="n">
        <x:v>30634</x:v>
      </x:c>
      <x:c r="D1994" s="43" t="n">
        <x:v>440.4763433420569</x:v>
      </x:c>
      <x:c r="E1994" s="43" t="n">
        <x:v>6553.284381769875</x:v>
      </x:c>
      <x:c r="F1994" s="43" t="n">
        <x:v>278.41881184363496</x:v>
      </x:c>
      <x:c r="G1994" s="43" t="n">
        <x:v>598.0282035561006</x:v>
      </x:c>
      <x:c r="H1994" s="43" t="n">
        <x:v>22763.792259488335</x:v>
      </x:c>
      <x:c r="I1994" s="43" t="n">
        <x:v>30634</x:v>
      </x:c>
      <x:c r="J1994" s="43" t="n">
        <x:v>6542</x:v>
      </x:c>
      <x:c r="K1994" s="43" t="n">
        <x:v>445.8416392786137</x:v>
      </x:c>
      <x:c r="L1994" s="43" t="n">
        <x:v>167.42282743497873</x:v>
      </x:c>
    </x:row>
    <x:row r="1995" ht="15" hidden="0" customHeight="1">
      <x:c r="A1995" s="29" t="str">
        <x:v>54045</x:v>
      </x:c>
      <x:c r="B1995" s="29" t="str">
        <x:v>SCA-22</x:v>
      </x:c>
      <x:c r="C1995" s="44" t="n">
        <x:v>30375</x:v>
      </x:c>
      <x:c r="D1995" s="44" t="n">
        <x:v>538.3630468672233</x:v>
      </x:c>
      <x:c r="E1995" s="44" t="n">
        <x:v>8632.075139418843</x:v>
      </x:c>
      <x:c r="F1995" s="44" t="n">
        <x:v>355.1319098974175</x:v>
      </x:c>
      <x:c r="G1995" s="44" t="n">
        <x:v>1401.6151713791864</x:v>
      </x:c>
      <x:c r="H1995" s="44" t="n">
        <x:v>19447.81473243733</x:v>
      </x:c>
      <x:c r="I1995" s="44" t="n">
        <x:v>30375</x:v>
      </x:c>
      <x:c r="J1995" s="44" t="n">
        <x:v>9077</x:v>
      </x:c>
      <x:c r="K1995" s="44" t="n">
        <x:v>533.8251592888556</x:v>
      </x:c>
      <x:c r="L1995" s="44" t="n">
        <x:v>178.69324939143812</x:v>
      </x:c>
    </x:row>
    <x:row r="1996" ht="15" hidden="0" customHeight="1">
      <x:c r="A1996" s="27" t="str">
        <x:v>21121</x:v>
      </x:c>
      <x:c r="B1996" s="27" t="str">
        <x:v>SCA-22</x:v>
      </x:c>
      <x:c r="C1996" s="43" t="n">
        <x:v>29532</x:v>
      </x:c>
      <x:c r="D1996" s="43" t="n">
        <x:v>445.72934934362917</x:v>
      </x:c>
      <x:c r="E1996" s="43" t="n">
        <x:v>6823.901767695719</x:v>
      </x:c>
      <x:c r="F1996" s="43" t="n">
        <x:v>268.4032235870676</x:v>
      </x:c>
      <x:c r="G1996" s="43" t="n">
        <x:v>1797.272829609415</x:v>
      </x:c>
      <x:c r="H1996" s="43" t="n">
        <x:v>20196.692829764168</x:v>
      </x:c>
      <x:c r="I1996" s="43" t="n">
        <x:v>29532</x:v>
      </x:c>
      <x:c r="J1996" s="43" t="n">
        <x:v>7056</x:v>
      </x:c>
      <x:c r="K1996" s="43" t="n">
        <x:v>429.80333261004176</x:v>
      </x:c>
      <x:c r="L1996" s="43" t="n">
        <x:v>161.4001090229742</x:v>
      </x:c>
    </x:row>
    <x:row r="1997" ht="15" hidden="0" customHeight="1">
      <x:c r="A1997" s="29" t="str">
        <x:v>18137</x:v>
      </x:c>
      <x:c r="B1997" s="29" t="str">
        <x:v>SCA-22</x:v>
      </x:c>
      <x:c r="C1997" s="44" t="n">
        <x:v>29434</x:v>
      </x:c>
      <x:c r="D1997" s="44" t="n">
        <x:v>369.4119136535652</x:v>
      </x:c>
      <x:c r="E1997" s="44" t="n">
        <x:v>4049.9144569393025</x:v>
      </x:c>
      <x:c r="F1997" s="44" t="n">
        <x:v>191.60036654112426</x:v>
      </x:c>
      <x:c r="G1997" s="44" t="n">
        <x:v>633.0820004190822</x:v>
      </x:c>
      <x:c r="H1997" s="44" t="n">
        <x:v>24189.991262446925</x:v>
      </x:c>
      <x:c r="I1997" s="44" t="n">
        <x:v>29434</x:v>
      </x:c>
      <x:c r="J1997" s="44" t="n">
        <x:v>4104</x:v>
      </x:c>
      <x:c r="K1997" s="44" t="n">
        <x:v>392.26584448888514</x:v>
      </x:c>
      <x:c r="L1997" s="44" t="n">
        <x:v>200.66547794776088</x:v>
      </x:c>
    </x:row>
    <x:row r="1998" ht="15" hidden="0" customHeight="1">
      <x:c r="A1998" s="27" t="str">
        <x:v>21173</x:v>
      </x:c>
      <x:c r="B1998" s="27" t="str">
        <x:v>SCA-22</x:v>
      </x:c>
      <x:c r="C1998" s="43" t="n">
        <x:v>28822</x:v>
      </x:c>
      <x:c r="D1998" s="43" t="n">
        <x:v>401.0940710338704</x:v>
      </x:c>
      <x:c r="E1998" s="43" t="n">
        <x:v>5845.783147917186</x:v>
      </x:c>
      <x:c r="F1998" s="43" t="n">
        <x:v>261.95034912049505</x:v>
      </x:c>
      <x:c r="G1998" s="43" t="n">
        <x:v>841.964330256922</x:v>
      </x:c>
      <x:c r="H1998" s="43" t="n">
        <x:v>21471.208101671527</x:v>
      </x:c>
      <x:c r="I1998" s="43" t="n">
        <x:v>28822</x:v>
      </x:c>
      <x:c r="J1998" s="43" t="n">
        <x:v>5929</x:v>
      </x:c>
      <x:c r="K1998" s="43" t="n">
        <x:v>419.4701223244827</x:v>
      </x:c>
      <x:c r="L1998" s="43" t="n">
        <x:v>157.51977320398763</x:v>
      </x:c>
    </x:row>
    <x:row r="1999" ht="15" hidden="0" customHeight="1">
      <x:c r="A1999" s="29" t="str">
        <x:v>21141</x:v>
      </x:c>
      <x:c r="B1999" s="29" t="str">
        <x:v>SCA-22</x:v>
      </x:c>
      <x:c r="C1999" s="44" t="n">
        <x:v>28669</x:v>
      </x:c>
      <x:c r="D1999" s="44" t="n">
        <x:v>383.3836409164988</x:v>
      </x:c>
      <x:c r="E1999" s="44" t="n">
        <x:v>5440.801266124661</x:v>
      </x:c>
      <x:c r="F1999" s="44" t="n">
        <x:v>260.55980011572666</x:v>
      </x:c>
      <x:c r="G1999" s="44" t="n">
        <x:v>885.3519060523939</x:v>
      </x:c>
      <x:c r="H1999" s="44" t="n">
        <x:v>21698.90338679072</x:v>
      </x:c>
      <x:c r="I1999" s="44" t="n">
        <x:v>28669</x:v>
      </x:c>
      <x:c r="J1999" s="44" t="n">
        <x:v>5471</x:v>
      </x:c>
      <x:c r="K1999" s="44" t="n">
        <x:v>417.2433882770313</x:v>
      </x:c>
      <x:c r="L1999" s="44" t="n">
        <x:v>156.6835881613046</x:v>
      </x:c>
    </x:row>
    <x:row r="2000" ht="15" hidden="0" customHeight="1">
      <x:c r="A2000" s="27" t="str">
        <x:v>39047</x:v>
      </x:c>
      <x:c r="B2000" s="27" t="str">
        <x:v>SCA-22</x:v>
      </x:c>
      <x:c r="C2000" s="43" t="n">
        <x:v>28552</x:v>
      </x:c>
      <x:c r="D2000" s="43" t="n">
        <x:v>395.9515843612597</x:v>
      </x:c>
      <x:c r="E2000" s="43" t="n">
        <x:v>4562.560403446101</x:v>
      </x:c>
      <x:c r="F2000" s="43" t="n">
        <x:v>166.89329959891765</x:v>
      </x:c>
      <x:c r="G2000" s="43" t="n">
        <x:v>923.1493836240107</x:v>
      </x:c>
      <x:c r="H2000" s="43" t="n">
        <x:v>22503.44532896971</x:v>
      </x:c>
      <x:c r="I2000" s="43" t="n">
        <x:v>28552</x:v>
      </x:c>
      <x:c r="J2000" s="43" t="n">
        <x:v>4753</x:v>
      </x:c>
      <x:c r="K2000" s="43" t="n">
        <x:v>372.73820048325643</x:v>
      </x:c>
      <x:c r="L2000" s="43" t="n">
        <x:v>205.84490088433878</x:v>
      </x:c>
    </x:row>
    <x:row r="2001" ht="15" hidden="0" customHeight="1">
      <x:c r="A2001" s="29" t="str">
        <x:v>18175</x:v>
      </x:c>
      <x:c r="B2001" s="29" t="str">
        <x:v>SCA-22</x:v>
      </x:c>
      <x:c r="C2001" s="44" t="n">
        <x:v>28383</x:v>
      </x:c>
      <x:c r="D2001" s="44" t="n">
        <x:v>381.2336005979251</x:v>
      </x:c>
      <x:c r="E2001" s="44" t="n">
        <x:v>4505.5988634162095</x:v>
      </x:c>
      <x:c r="F2001" s="44" t="n">
        <x:v>184.7588911985028</x:v>
      </x:c>
      <x:c r="G2001" s="44" t="n">
        <x:v>766.6194525167725</x:v>
      </x:c>
      <x:c r="H2001" s="44" t="n">
        <x:v>22544.78919227059</x:v>
      </x:c>
      <x:c r="I2001" s="44" t="n">
        <x:v>28383</x:v>
      </x:c>
      <x:c r="J2001" s="44" t="n">
        <x:v>4609</x:v>
      </x:c>
      <x:c r="K2001" s="44" t="n">
        <x:v>378.25920582075247</x:v>
      </x:c>
      <x:c r="L2001" s="44" t="n">
        <x:v>193.50031462224968</x:v>
      </x:c>
    </x:row>
    <x:row r="2002" ht="15" hidden="0" customHeight="1">
      <x:c r="A2002" s="27" t="str">
        <x:v>21239</x:v>
      </x:c>
      <x:c r="B2002" s="27" t="str">
        <x:v>SCA-22</x:v>
      </x:c>
      <x:c r="C2002" s="43" t="n">
        <x:v>27883</x:v>
      </x:c>
      <x:c r="D2002" s="43" t="n">
        <x:v>300.7937373497942</x:v>
      </x:c>
      <x:c r="E2002" s="43" t="n">
        <x:v>3561.740277551021</x:v>
      </x:c>
      <x:c r="F2002" s="43" t="n">
        <x:v>253.41619542456337</x:v>
      </x:c>
      <x:c r="G2002" s="43" t="n">
        <x:v>789.3477551020408</x:v>
      </x:c>
      <x:c r="H2002" s="43" t="n">
        <x:v>22977.702034572583</x:v>
      </x:c>
      <x:c r="I2002" s="43" t="n">
        <x:v>27883</x:v>
      </x:c>
      <x:c r="J2002" s="43" t="n">
        <x:v>3586</x:v>
      </x:c>
      <x:c r="K2002" s="43" t="n">
        <x:v>405.8040878763983</x:v>
      </x:c>
      <x:c r="L2002" s="43" t="n">
        <x:v>152.38789245183494</x:v>
      </x:c>
    </x:row>
    <x:row r="2003" ht="15" hidden="0" customHeight="1">
      <x:c r="A2003" s="29" t="str">
        <x:v>39001</x:v>
      </x:c>
      <x:c r="B2003" s="29" t="str">
        <x:v>SCA-22</x:v>
      </x:c>
      <x:c r="C2003" s="44" t="n">
        <x:v>27865</x:v>
      </x:c>
      <x:c r="D2003" s="44" t="n">
        <x:v>443.69472988503344</x:v>
      </x:c>
      <x:c r="E2003" s="44" t="n">
        <x:v>5827.265702887677</x:v>
      </x:c>
      <x:c r="F2003" s="44" t="n">
        <x:v>162.87761954762675</x:v>
      </x:c>
      <x:c r="G2003" s="44" t="n">
        <x:v>996.8648940453098</x:v>
      </x:c>
      <x:c r="H2003" s="44" t="n">
        <x:v>20434.29705363435</x:v>
      </x:c>
      <x:c r="I2003" s="44" t="n">
        <x:v>27865</x:v>
      </x:c>
      <x:c r="J2003" s="44" t="n">
        <x:v>5952</x:v>
      </x:c>
      <x:c r="K2003" s="44" t="n">
        <x:v>363.76961181234026</x:v>
      </x:c>
      <x:c r="L2003" s="44" t="n">
        <x:v>200.8919922647135</x:v>
      </x:c>
    </x:row>
    <x:row r="2004" ht="15" hidden="0" customHeight="1">
      <x:c r="A2004" s="27" t="str">
        <x:v>47111</x:v>
      </x:c>
      <x:c r="B2004" s="27" t="str">
        <x:v>SCA-22</x:v>
      </x:c>
      <x:c r="C2004" s="43" t="n">
        <x:v>27663</x:v>
      </x:c>
      <x:c r="D2004" s="43" t="n">
        <x:v>284.9841871336165</x:v>
      </x:c>
      <x:c r="E2004" s="43" t="n">
        <x:v>3915.2212742382276</x:v>
      </x:c>
      <x:c r="F2004" s="43" t="n">
        <x:v>177.1847128863522</x:v>
      </x:c>
      <x:c r="G2004" s="43" t="n">
        <x:v>747.2776238842721</x:v>
      </x:c>
      <x:c r="H2004" s="43" t="n">
        <x:v>22538.332201857535</x:v>
      </x:c>
      <x:c r="I2004" s="43" t="n">
        <x:v>27663</x:v>
      </x:c>
      <x:c r="J2004" s="43" t="n">
        <x:v>3832</x:v>
      </x:c>
      <x:c r="K2004" s="43" t="n">
        <x:v>299.03468026004253</x:v>
      </x:c>
      <x:c r="L2004" s="43" t="n">
        <x:v>121.84996737369035</x:v>
      </x:c>
    </x:row>
    <x:row r="2005" ht="15" hidden="0" customHeight="1">
      <x:c r="A2005" s="29" t="str">
        <x:v>18079</x:v>
      </x:c>
      <x:c r="B2005" s="29" t="str">
        <x:v>SCA-22</x:v>
      </x:c>
      <x:c r="C2005" s="44" t="n">
        <x:v>27622</x:v>
      </x:c>
      <x:c r="D2005" s="44" t="n">
        <x:v>395.02465554760823</x:v>
      </x:c>
      <x:c r="E2005" s="44" t="n">
        <x:v>4961.098495222055</x:v>
      </x:c>
      <x:c r="F2005" s="44" t="n">
        <x:v>179.80516832910698</x:v>
      </x:c>
      <x:c r="G2005" s="44" t="n">
        <x:v>881.600464980046</x:v>
      </x:c>
      <x:c r="H2005" s="44" t="n">
        <x:v>21204.471215921185</x:v>
      </x:c>
      <x:c r="I2005" s="44" t="n">
        <x:v>27622</x:v>
      </x:c>
      <x:c r="J2005" s="44" t="n">
        <x:v>5110</x:v>
      </x:c>
      <x:c r="K2005" s="44" t="n">
        <x:v>368.1173865757962</x:v>
      </x:c>
      <x:c r="L2005" s="44" t="n">
        <x:v>188.31221824668924</x:v>
      </x:c>
    </x:row>
    <x:row r="2006" ht="15" hidden="0" customHeight="1">
      <x:c r="A2006" s="27" t="str">
        <x:v>21085</x:v>
      </x:c>
      <x:c r="B2006" s="27" t="str">
        <x:v>SCA-22</x:v>
      </x:c>
      <x:c r="C2006" s="43" t="n">
        <x:v>27406</x:v>
      </x:c>
      <x:c r="D2006" s="43" t="n">
        <x:v>381.0338238525103</x:v>
      </x:c>
      <x:c r="E2006" s="43" t="n">
        <x:v>5550.068669751079</x:v>
      </x:c>
      <x:c r="F2006" s="43" t="n">
        <x:v>249.08095440969706</x:v>
      </x:c>
      <x:c r="G2006" s="43" t="n">
        <x:v>740.5225404351318</x:v>
      </x:c>
      <x:c r="H2006" s="43" t="n">
        <x:v>20485.29401155158</x:v>
      </x:c>
      <x:c r="I2006" s="43" t="n">
        <x:v>27406</x:v>
      </x:c>
      <x:c r="J2006" s="43" t="n">
        <x:v>5517</x:v>
      </x:c>
      <x:c r="K2006" s="43" t="n">
        <x:v>398.86191702257906</x:v>
      </x:c>
      <x:c r="L2006" s="43" t="n">
        <x:v>149.780962612882</x:v>
      </x:c>
    </x:row>
    <x:row r="2007" ht="15" hidden="0" customHeight="1">
      <x:c r="A2007" s="29" t="str">
        <x:v>39131</x:v>
      </x:c>
      <x:c r="B2007" s="29" t="str">
        <x:v>SCA-22</x:v>
      </x:c>
      <x:c r="C2007" s="44" t="n">
        <x:v>27061</x:v>
      </x:c>
      <x:c r="D2007" s="44" t="n">
        <x:v>434.6741225013643</x:v>
      </x:c>
      <x:c r="E2007" s="44" t="n">
        <x:v>5749.885135467521</x:v>
      </x:c>
      <x:c r="F2007" s="44" t="n">
        <x:v>158.17804638716413</x:v>
      </x:c>
      <x:c r="G2007" s="44" t="n">
        <x:v>709.3666008273395</x:v>
      </x:c>
      <x:c r="H2007" s="44" t="n">
        <x:v>20008.89609481661</x:v>
      </x:c>
      <x:c r="I2007" s="44" t="n">
        <x:v>27061</x:v>
      </x:c>
      <x:c r="J2007" s="44" t="n">
        <x:v>5939</x:v>
      </x:c>
      <x:c r="K2007" s="44" t="n">
        <x:v>353.2736215773817</x:v>
      </x:c>
      <x:c r="L2007" s="44" t="n">
        <x:v>195.09557519021755</x:v>
      </x:c>
    </x:row>
    <x:row r="2008" ht="15" hidden="0" customHeight="1">
      <x:c r="A2008" s="27" t="str">
        <x:v>21217</x:v>
      </x:c>
      <x:c r="B2008" s="27" t="str">
        <x:v>SCA-22</x:v>
      </x:c>
      <x:c r="C2008" s="43" t="n">
        <x:v>26763</x:v>
      </x:c>
      <x:c r="D2008" s="43" t="n">
        <x:v>380.1633119873983</x:v>
      </x:c>
      <x:c r="E2008" s="43" t="n">
        <x:v>5613.5163038033215</x:v>
      </x:c>
      <x:c r="F2008" s="43" t="n">
        <x:v>243.23701316743495</x:v>
      </x:c>
      <x:c r="G2008" s="43" t="n">
        <x:v>890.5321374898848</x:v>
      </x:c>
      <x:c r="H2008" s="43" t="n">
        <x:v>19635.55123355196</x:v>
      </x:c>
      <x:c r="I2008" s="43" t="n">
        <x:v>26763</x:v>
      </x:c>
      <x:c r="J2008" s="43" t="n">
        <x:v>5670</x:v>
      </x:c>
      <x:c r="K2008" s="43" t="n">
        <x:v>389.5038124963615</x:v>
      </x:c>
      <x:c r="L2008" s="43" t="n">
        <x:v>146.26679932892654</x:v>
      </x:c>
    </x:row>
    <x:row r="2009" ht="15" hidden="0" customHeight="1">
      <x:c r="A2009" s="29" t="str">
        <x:v>18031</x:v>
      </x:c>
      <x:c r="B2009" s="29" t="str">
        <x:v>SCA-22</x:v>
      </x:c>
      <x:c r="C2009" s="44" t="n">
        <x:v>26576</x:v>
      </x:c>
      <x:c r="D2009" s="44" t="n">
        <x:v>314.1634363547475</x:v>
      </x:c>
      <x:c r="E2009" s="44" t="n">
        <x:v>3191.5750577367203</x:v>
      </x:c>
      <x:c r="F2009" s="44" t="n">
        <x:v>172.9962404429204</x:v>
      </x:c>
      <x:c r="G2009" s="44" t="n">
        <x:v>437.889337952271</x:v>
      </x:c>
      <x:c r="H2009" s="44" t="n">
        <x:v>22459.37592751334</x:v>
      </x:c>
      <x:c r="I2009" s="44" t="n">
        <x:v>26576</x:v>
      </x:c>
      <x:c r="J2009" s="44" t="n">
        <x:v>3250</x:v>
      </x:c>
      <x:c r="K2009" s="44" t="n">
        <x:v>354.1773827253045</x:v>
      </x:c>
      <x:c r="L2009" s="44" t="n">
        <x:v>181.1811422823841</x:v>
      </x:c>
    </x:row>
    <x:row r="2010" ht="15" hidden="0" customHeight="1">
      <x:c r="A2010" s="27" t="str">
        <x:v>21193</x:v>
      </x:c>
      <x:c r="B2010" s="27" t="str">
        <x:v>SCA-22</x:v>
      </x:c>
      <x:c r="C2010" s="43" t="n">
        <x:v>26555</x:v>
      </x:c>
      <x:c r="D2010" s="43" t="n">
        <x:v>473.8648572712099</x:v>
      </x:c>
      <x:c r="E2010" s="43" t="n">
        <x:v>7889.635977105478</x:v>
      </x:c>
      <x:c r="F2010" s="43" t="n">
        <x:v>241.34659360539683</x:v>
      </x:c>
      <x:c r="G2010" s="43" t="n">
        <x:v>759.5666394112837</x:v>
      </x:c>
      <x:c r="H2010" s="43" t="n">
        <x:v>17190.585932606635</x:v>
      </x:c>
      <x:c r="I2010" s="43" t="n">
        <x:v>26555</x:v>
      </x:c>
      <x:c r="J2010" s="43" t="n">
        <x:v>8327</x:v>
      </x:c>
      <x:c r="K2010" s="43" t="n">
        <x:v>386.4766184972118</x:v>
      </x:c>
      <x:c r="L2010" s="43" t="n">
        <x:v>145.13002489181497</x:v>
      </x:c>
    </x:row>
    <x:row r="2011" ht="15" hidden="0" customHeight="1">
      <x:c r="A2011" s="29" t="str">
        <x:v>18021</x:v>
      </x:c>
      <x:c r="B2011" s="29" t="str">
        <x:v>SCA-22</x:v>
      </x:c>
      <x:c r="C2011" s="44" t="n">
        <x:v>26410</x:v>
      </x:c>
      <x:c r="D2011" s="44" t="n">
        <x:v>365.80661000472566</x:v>
      </x:c>
      <x:c r="E2011" s="44" t="n">
        <x:v>4458.1720347451765</x:v>
      </x:c>
      <x:c r="F2011" s="44" t="n">
        <x:v>171.91566488928083</x:v>
      </x:c>
      <x:c r="G2011" s="44" t="n">
        <x:v>507.27060112230004</x:v>
      </x:c>
      <x:c r="H2011" s="44" t="n">
        <x:v>20906.835089238517</x:v>
      </x:c>
      <x:c r="I2011" s="44" t="n">
        <x:v>26410</x:v>
      </x:c>
      <x:c r="J2011" s="44" t="n">
        <x:v>4575</x:v>
      </x:c>
      <x:c r="K2011" s="44" t="n">
        <x:v>351.96510677962414</x:v>
      </x:c>
      <x:c r="L2011" s="44" t="n">
        <x:v>180.0494418903433</x:v>
      </x:c>
    </x:row>
    <x:row r="2012" ht="15" hidden="0" customHeight="1">
      <x:c r="A2012" s="27" t="str">
        <x:v>21081</x:v>
      </x:c>
      <x:c r="B2012" s="27" t="str">
        <x:v>SCA-22</x:v>
      </x:c>
      <x:c r="C2012" s="43" t="n">
        <x:v>26181</x:v>
      </x:c>
      <x:c r="D2012" s="43" t="n">
        <x:v>319.27864749983456</x:v>
      </x:c>
      <x:c r="E2012" s="43" t="n">
        <x:v>4228.623131763208</x:v>
      </x:c>
      <x:c r="F2012" s="43" t="n">
        <x:v>237.9474738159629</x:v>
      </x:c>
      <x:c r="G2012" s="43" t="n">
        <x:v>560.6030394653088</x:v>
      </x:c>
      <x:c r="H2012" s="43" t="n">
        <x:v>20834.547707455684</x:v>
      </x:c>
      <x:c r="I2012" s="43" t="n">
        <x:v>26181</x:v>
      </x:c>
      <x:c r="J2012" s="43" t="n">
        <x:v>4229</x:v>
      </x:c>
      <x:c r="K2012" s="43" t="n">
        <x:v>381.0334908256638</x:v>
      </x:c>
      <x:c r="L2012" s="43" t="n">
        <x:v>143.08601700970092</x:v>
      </x:c>
    </x:row>
    <x:row r="2013" ht="15" hidden="0" customHeight="1">
      <x:c r="A2013" s="29" t="str">
        <x:v>21043</x:v>
      </x:c>
      <x:c r="B2013" s="29" t="str">
        <x:v>SCA-22</x:v>
      </x:c>
      <x:c r="C2013" s="44" t="n">
        <x:v>26149</x:v>
      </x:c>
      <x:c r="D2013" s="44" t="n">
        <x:v>361.63154271343564</x:v>
      </x:c>
      <x:c r="E2013" s="44" t="n">
        <x:v>5249.289937888198</x:v>
      </x:c>
      <x:c r="F2013" s="44" t="n">
        <x:v>237.65664003718783</x:v>
      </x:c>
      <x:c r="G2013" s="44" t="n">
        <x:v>967.6542443064183</x:v>
      </x:c>
      <x:c r="H2013" s="44" t="n">
        <x:v>19332.76763505476</x:v>
      </x:c>
      <x:c r="I2013" s="44" t="n">
        <x:v>26149</x:v>
      </x:c>
      <x:c r="J2013" s="44" t="n">
        <x:v>5454</x:v>
      </x:c>
      <x:c r="K2013" s="44" t="n">
        <x:v>380.5677686719485</x:v>
      </x:c>
      <x:c r="L2013" s="44" t="n">
        <x:v>142.91112863476067</x:v>
      </x:c>
    </x:row>
    <x:row r="2014" ht="15" hidden="0" customHeight="1">
      <x:c r="A2014" s="27" t="str">
        <x:v>47057</x:v>
      </x:c>
      <x:c r="B2014" s="27" t="str">
        <x:v>SCA-22</x:v>
      </x:c>
      <x:c r="C2014" s="43" t="n">
        <x:v>25739</x:v>
      </x:c>
      <x:c r="D2014" s="43" t="n">
        <x:v>339.69713886381845</x:v>
      </x:c>
      <x:c r="E2014" s="43" t="n">
        <x:v>5431.728135480657</x:v>
      </x:c>
      <x:c r="F2014" s="43" t="n">
        <x:v>164.86127046892307</x:v>
      </x:c>
      <x:c r="G2014" s="43" t="n">
        <x:v>575.7698821185456</x:v>
      </x:c>
      <x:c r="H2014" s="43" t="n">
        <x:v>19226.943573068056</x:v>
      </x:c>
      <x:c r="I2014" s="43" t="n">
        <x:v>25739</x:v>
      </x:c>
      <x:c r="J2014" s="43" t="n">
        <x:v>5296</x:v>
      </x:c>
      <x:c r="K2014" s="43" t="n">
        <x:v>278.2364036877141</x:v>
      </x:c>
      <x:c r="L2014" s="43" t="n">
        <x:v>113.375133218791</x:v>
      </x:c>
    </x:row>
    <x:row r="2015" ht="15" hidden="0" customHeight="1">
      <x:c r="A2015" s="29" t="str">
        <x:v>21137</x:v>
      </x:c>
      <x:c r="B2015" s="29" t="str">
        <x:v>SCA-22</x:v>
      </x:c>
      <x:c r="C2015" s="44" t="n">
        <x:v>25353</x:v>
      </x:c>
      <x:c r="D2015" s="44" t="n">
        <x:v>334.94300929565674</x:v>
      </x:c>
      <x:c r="E2015" s="44" t="n">
        <x:v>4713.173495700827</x:v>
      </x:c>
      <x:c r="F2015" s="44" t="n">
        <x:v>230.42214979015722</x:v>
      </x:c>
      <x:c r="G2015" s="44" t="n">
        <x:v>713.6215904883367</x:v>
      </x:c>
      <x:c r="H2015" s="44" t="n">
        <x:v>19360.839754725024</x:v>
      </x:c>
      <x:c r="I2015" s="44" t="n">
        <x:v>25353</x:v>
      </x:c>
      <x:c r="J2015" s="44" t="n">
        <x:v>4707</x:v>
      </x:c>
      <x:c r="K2015" s="44" t="n">
        <x:v>368.98293009827944</x:v>
      </x:c>
      <x:c r="L2015" s="44" t="n">
        <x:v>138.56078030812222</x:v>
      </x:c>
    </x:row>
    <x:row r="2016" ht="15" hidden="0" customHeight="1">
      <x:c r="A2016" s="27" t="str">
        <x:v>21005</x:v>
      </x:c>
      <x:c r="B2016" s="27" t="str">
        <x:v>SCA-22</x:v>
      </x:c>
      <x:c r="C2016" s="43" t="n">
        <x:v>25225</x:v>
      </x:c>
      <x:c r="D2016" s="43" t="n">
        <x:v>315.79035190112944</x:v>
      </x:c>
      <x:c r="E2016" s="43" t="n">
        <x:v>4270.299002226437</x:v>
      </x:c>
      <x:c r="F2016" s="43" t="n">
        <x:v>229.25881467505687</x:v>
      </x:c>
      <x:c r="G2016" s="43" t="n">
        <x:v>502.0195225529809</x:v>
      </x:c>
      <x:c r="H2016" s="43" t="n">
        <x:v>19907.632308644395</x:v>
      </x:c>
      <x:c r="I2016" s="43" t="n">
        <x:v>25225</x:v>
      </x:c>
      <x:c r="J2016" s="43" t="n">
        <x:v>4277</x:v>
      </x:c>
      <x:c r="K2016" s="43" t="n">
        <x:v>367.1200414834181</x:v>
      </x:c>
      <x:c r="L2016" s="43" t="n">
        <x:v>137.86122680836124</x:v>
      </x:c>
    </x:row>
    <x:row r="2017" ht="15" hidden="0" customHeight="1">
      <x:c r="A2017" s="29" t="str">
        <x:v>18143</x:v>
      </x:c>
      <x:c r="B2017" s="29" t="str">
        <x:v>SCA-22</x:v>
      </x:c>
      <x:c r="C2017" s="44" t="n">
        <x:v>25053</x:v>
      </x:c>
      <x:c r="D2017" s="44" t="n">
        <x:v>383.06250405968393</x:v>
      </x:c>
      <x:c r="E2017" s="44" t="n">
        <x:v>5094.344928015886</x:v>
      </x:c>
      <x:c r="F2017" s="44" t="n">
        <x:v>163.08228521284184</x:v>
      </x:c>
      <x:c r="G2017" s="44" t="n">
        <x:v>645.1291577031276</x:v>
      </x:c>
      <x:c r="H2017" s="44" t="n">
        <x:v>18767.38112500846</x:v>
      </x:c>
      <x:c r="I2017" s="44" t="n">
        <x:v>25053</x:v>
      </x:c>
      <x:c r="J2017" s="44" t="n">
        <x:v>5120</x:v>
      </x:c>
      <x:c r="K2017" s="44" t="n">
        <x:v>333.88041727186385</x:v>
      </x:c>
      <x:c r="L2017" s="44" t="n">
        <x:v>170.798132059022</x:v>
      </x:c>
    </x:row>
    <x:row r="2018" ht="15" hidden="0" customHeight="1">
      <x:c r="A2018" s="27" t="str">
        <x:v>18129</x:v>
      </x:c>
      <x:c r="B2018" s="27" t="str">
        <x:v>SCA-22</x:v>
      </x:c>
      <x:c r="C2018" s="43" t="n">
        <x:v>24988</x:v>
      </x:c>
      <x:c r="D2018" s="43" t="n">
        <x:v>310.7295598218629</x:v>
      </x:c>
      <x:c r="E2018" s="43" t="n">
        <x:v>3368.989523004468</x:v>
      </x:c>
      <x:c r="F2018" s="43" t="n">
        <x:v>162.65916827918778</x:v>
      </x:c>
      <x:c r="G2018" s="43" t="n">
        <x:v>538.5131022823331</x:v>
      </x:c>
      <x:c r="H2018" s="43" t="n">
        <x:v>20607.10864661215</x:v>
      </x:c>
      <x:c r="I2018" s="43" t="n">
        <x:v>24988</x:v>
      </x:c>
      <x:c r="J2018" s="43" t="n">
        <x:v>3489</x:v>
      </x:c>
      <x:c r="K2018" s="43" t="n">
        <x:v>333.01416464253117</x:v>
      </x:c>
      <x:c r="L2018" s="43" t="n">
        <x:v>170.3549963633434</x:v>
      </x:c>
    </x:row>
    <x:row r="2019" ht="15" hidden="0" customHeight="1">
      <x:c r="A2019" s="29" t="str">
        <x:v>21095</x:v>
      </x:c>
      <x:c r="B2019" s="29" t="str">
        <x:v>SCA-22</x:v>
      </x:c>
      <x:c r="C2019" s="44" t="n">
        <x:v>24725</x:v>
      </x:c>
      <x:c r="D2019" s="44" t="n">
        <x:v>404.54018660796015</x:v>
      </x:c>
      <x:c r="E2019" s="44" t="n">
        <x:v>6465.878175792962</x:v>
      </x:c>
      <x:c r="F2019" s="44" t="n">
        <x:v>224.71453688169595</x:v>
      </x:c>
      <x:c r="G2019" s="44" t="n">
        <x:v>1010.2613815685655</x:v>
      </x:c>
      <x:c r="H2019" s="44" t="n">
        <x:v>16619.605719148814</x:v>
      </x:c>
      <x:c r="I2019" s="44" t="n">
        <x:v>24725</x:v>
      </x:c>
      <x:c r="J2019" s="44" t="n">
        <x:v>6905</x:v>
      </x:c>
      <x:c r="K2019" s="44" t="n">
        <x:v>359.84313283161595</x:v>
      </x:c>
      <x:c r="L2019" s="44" t="n">
        <x:v>135.12859594992</x:v>
      </x:c>
    </x:row>
    <x:row r="2020" ht="15" hidden="0" customHeight="1">
      <x:c r="A2020" s="27" t="str">
        <x:v>21205</x:v>
      </x:c>
      <x:c r="B2020" s="27" t="str">
        <x:v>SCA-22</x:v>
      </x:c>
      <x:c r="C2020" s="43" t="n">
        <x:v>24476</x:v>
      </x:c>
      <x:c r="D2020" s="43" t="n">
        <x:v>330.1606595275932</x:v>
      </x:c>
      <x:c r="E2020" s="43" t="n">
        <x:v>4713.429929884247</x:v>
      </x:c>
      <x:c r="F2020" s="43" t="n">
        <x:v>222.45148654060225</x:v>
      </x:c>
      <x:c r="G2020" s="43" t="n">
        <x:v>887.7365473177613</x:v>
      </x:c>
      <x:c r="H2020" s="43" t="n">
        <x:v>18322.221376729798</x:v>
      </x:c>
      <x:c r="I2020" s="43" t="n">
        <x:v>24476</x:v>
      </x:c>
      <x:c r="J2020" s="43" t="n">
        <x:v>4835</x:v>
      </x:c>
      <x:c r="K2020" s="43" t="n">
        <x:v>356.2192323230185</x:v>
      </x:c>
      <x:c r="L2020" s="43" t="n">
        <x:v>133.76774578241626</x:v>
      </x:c>
    </x:row>
    <x:row r="2021" ht="15" hidden="0" customHeight="1">
      <x:c r="A2021" s="29" t="str">
        <x:v>18135</x:v>
      </x:c>
      <x:c r="B2021" s="29" t="str">
        <x:v>SCA-22</x:v>
      </x:c>
      <x:c r="C2021" s="44" t="n">
        <x:v>24438</x:v>
      </x:c>
      <x:c r="D2021" s="44" t="n">
        <x:v>363.19818327254677</x:v>
      </x:c>
      <x:c r="E2021" s="44" t="n">
        <x:v>4718.227119404846</x:v>
      </x:c>
      <x:c r="F2021" s="44" t="n">
        <x:v>159.0789480713459</x:v>
      </x:c>
      <x:c r="G2021" s="44" t="n">
        <x:v>928.7051660363243</x:v>
      </x:c>
      <x:c r="H2021" s="44" t="n">
        <x:v>18268.790583214934</x:v>
      </x:c>
      <x:c r="I2021" s="44" t="n">
        <x:v>24438</x:v>
      </x:c>
      <x:c r="J2021" s="44" t="n">
        <x:v>4839</x:v>
      </x:c>
      <x:c r="K2021" s="44" t="n">
        <x:v>325.68433470202405</x:v>
      </x:c>
      <x:c r="L2021" s="44" t="n">
        <x:v>166.60538663067814</x:v>
      </x:c>
    </x:row>
    <x:row r="2022" ht="15" hidden="0" customHeight="1">
      <x:c r="A2022" s="27" t="str">
        <x:v>21183</x:v>
      </x:c>
      <x:c r="B2022" s="27" t="str">
        <x:v>SCA-22</x:v>
      </x:c>
      <x:c r="C2022" s="43" t="n">
        <x:v>23934</x:v>
      </x:c>
      <x:c r="D2022" s="43" t="n">
        <x:v>322.58782192777244</x:v>
      </x:c>
      <x:c r="E2022" s="43" t="n">
        <x:v>4602.773951901757</x:v>
      </x:c>
      <x:c r="F2022" s="43" t="n">
        <x:v>217.5254894125991</x:v>
      </x:c>
      <x:c r="G2022" s="43" t="n">
        <x:v>642.5396128261982</x:v>
      </x:c>
      <x:c r="H2022" s="43" t="n">
        <x:v>18148.573123931674</x:v>
      </x:c>
      <x:c r="I2022" s="43" t="n">
        <x:v>23934</x:v>
      </x:c>
      <x:c r="J2022" s="43" t="n">
        <x:v>4698</x:v>
      </x:c>
      <x:c r="K2022" s="43" t="n">
        <x:v>348.331063344465</x:v>
      </x:c>
      <x:c r="L2022" s="43" t="n">
        <x:v>130.80557393186592</x:v>
      </x:c>
    </x:row>
    <x:row r="2023" ht="15" hidden="0" customHeight="1">
      <x:c r="A2023" s="29" t="str">
        <x:v>47133</x:v>
      </x:c>
      <x:c r="B2023" s="29" t="str">
        <x:v>SCA-22</x:v>
      </x:c>
      <x:c r="C2023" s="44" t="n">
        <x:v>23787</x:v>
      </x:c>
      <x:c r="D2023" s="44" t="n">
        <x:v>285.7437502996731</x:v>
      </x:c>
      <x:c r="E2023" s="44" t="n">
        <x:v>4343.202854893729</x:v>
      </x:c>
      <x:c r="F2023" s="44" t="n">
        <x:v>152.35848481464987</x:v>
      </x:c>
      <x:c r="G2023" s="44" t="n">
        <x:v>322.30237033149655</x:v>
      </x:c>
      <x:c r="H2023" s="44" t="n">
        <x:v>18683.39253966045</x:v>
      </x:c>
      <x:c r="I2023" s="44" t="n">
        <x:v>23787</x:v>
      </x:c>
      <x:c r="J2023" s="44" t="n">
        <x:v>4349</x:v>
      </x:c>
      <x:c r="K2023" s="44" t="n">
        <x:v>257.1354494937509</x:v>
      </x:c>
      <x:c r="L2023" s="44" t="n">
        <x:v>104.77696467910104</x:v>
      </x:c>
    </x:row>
    <x:row r="2024" ht="15" hidden="0" customHeight="1">
      <x:c r="A2024" s="27" t="str">
        <x:v>21167</x:v>
      </x:c>
      <x:c r="B2024" s="27" t="str">
        <x:v>SCA-22</x:v>
      </x:c>
      <x:c r="C2024" s="43" t="n">
        <x:v>23733</x:v>
      </x:c>
      <x:c r="D2024" s="43" t="n">
        <x:v>271.4307760742296</x:v>
      </x:c>
      <x:c r="E2024" s="43" t="n">
        <x:v>3401.369273938969</x:v>
      </x:c>
      <x:c r="F2024" s="43" t="n">
        <x:v>215.69868973966803</x:v>
      </x:c>
      <x:c r="G2024" s="43" t="n">
        <x:v>639.7341283760085</x:v>
      </x:c>
      <x:c r="H2024" s="43" t="n">
        <x:v>19204.767131871125</x:v>
      </x:c>
      <x:c r="I2024" s="43" t="n">
        <x:v>23733</x:v>
      </x:c>
      <x:c r="J2024" s="43" t="n">
        <x:v>3405</x:v>
      </x:c>
      <x:c r="K2024" s="43" t="n">
        <x:v>345.40574606644054</x:v>
      </x:c>
      <x:c r="L2024" s="43" t="n">
        <x:v>129.70705632677254</x:v>
      </x:c>
    </x:row>
    <x:row r="2025" ht="15" hidden="0" customHeight="1">
      <x:c r="A2025" s="29" t="str">
        <x:v>18041</x:v>
      </x:c>
      <x:c r="B2025" s="29" t="str">
        <x:v>SCA-22</x:v>
      </x:c>
      <x:c r="C2025" s="44" t="n">
        <x:v>23533</x:v>
      </x:c>
      <x:c r="D2025" s="44" t="n">
        <x:v>359.6930925005587</x:v>
      </x:c>
      <x:c r="E2025" s="44" t="n">
        <x:v>4782.180437956204</x:v>
      </x:c>
      <x:c r="F2025" s="44" t="n">
        <x:v>153.18785845662424</x:v>
      </x:c>
      <x:c r="G2025" s="44" t="n">
        <x:v>769.7956204379562</x:v>
      </x:c>
      <x:c r="H2025" s="44" t="n">
        <x:v>17468.142990648656</x:v>
      </x:c>
      <x:c r="I2025" s="44" t="n">
        <x:v>23533</x:v>
      </x:c>
      <x:c r="J2025" s="44" t="n">
        <x:v>4872</x:v>
      </x:c>
      <x:c r="K2025" s="44" t="n">
        <x:v>313.6234327090078</x:v>
      </x:c>
      <x:c r="L2025" s="44" t="n">
        <x:v>160.43557425238353</x:v>
      </x:c>
    </x:row>
    <x:row r="2026" ht="15" hidden="0" customHeight="1">
      <x:c r="A2026" s="27" t="str">
        <x:v>18047</x:v>
      </x:c>
      <x:c r="B2026" s="27" t="str">
        <x:v>SCA-22</x:v>
      </x:c>
      <x:c r="C2026" s="43" t="n">
        <x:v>23286</x:v>
      </x:c>
      <x:c r="D2026" s="43" t="n">
        <x:v>282.59761446234654</x:v>
      </x:c>
      <x:c r="E2026" s="43" t="n">
        <x:v>2972.3029404850017</x:v>
      </x:c>
      <x:c r="F2026" s="43" t="n">
        <x:v>151.58001410873888</x:v>
      </x:c>
      <x:c r="G2026" s="43" t="n">
        <x:v>682.3590491532065</x:v>
      </x:c>
      <x:c r="H2026" s="43" t="n">
        <x:v>19197.16038179071</x:v>
      </x:c>
      <x:c r="I2026" s="43" t="n">
        <x:v>23286</x:v>
      </x:c>
      <x:c r="J2026" s="43" t="n">
        <x:v>3054</x:v>
      </x:c>
      <x:c r="K2026" s="43" t="n">
        <x:v>310.33167271754365</x:v>
      </x:c>
      <x:c r="L2026" s="43" t="n">
        <x:v>158.75165860880477</x:v>
      </x:c>
    </x:row>
    <x:row r="2027" ht="15" hidden="0" customHeight="1">
      <x:c r="A2027" s="29" t="str">
        <x:v>21013</x:v>
      </x:c>
      <x:c r="B2027" s="29" t="str">
        <x:v>SCA-22</x:v>
      </x:c>
      <x:c r="C2027" s="44" t="n">
        <x:v>22829</x:v>
      </x:c>
      <x:c r="D2027" s="44" t="n">
        <x:v>355.61216658188596</x:v>
      </x:c>
      <x:c r="E2027" s="44" t="n">
        <x:v>5540.296964332205</x:v>
      </x:c>
      <x:c r="F2027" s="44" t="n">
        <x:v>207.48263548927147</x:v>
      </x:c>
      <x:c r="G2027" s="44" t="n">
        <x:v>1228.025253840146</x:v>
      </x:c>
      <x:c r="H2027" s="44" t="n">
        <x:v>15497.582979756491</x:v>
      </x:c>
      <x:c r="I2027" s="44" t="n">
        <x:v>22829</x:v>
      </x:c>
      <x:c r="J2027" s="44" t="n">
        <x:v>5826</x:v>
      </x:c>
      <x:c r="K2027" s="44" t="n">
        <x:v>332.24909522398224</x:v>
      </x:c>
      <x:c r="L2027" s="44" t="n">
        <x:v>124.76645973471076</x:v>
      </x:c>
    </x:row>
    <x:row r="2028" ht="15" hidden="0" customHeight="1">
      <x:c r="A2028" s="27" t="str">
        <x:v>47151</x:v>
      </x:c>
      <x:c r="B2028" s="27" t="str">
        <x:v>SCA-22</x:v>
      </x:c>
      <x:c r="C2028" s="43" t="n">
        <x:v>22671</x:v>
      </x:c>
      <x:c r="D2028" s="43" t="n">
        <x:v>331.20852921929827</x:v>
      </x:c>
      <x:c r="E2028" s="43" t="n">
        <x:v>5552.3356976158875</x:v>
      </x:c>
      <x:c r="F2028" s="43" t="n">
        <x:v>145.21037580329286</x:v>
      </x:c>
      <x:c r="G2028" s="43" t="n">
        <x:v>466.2988148080355</x:v>
      </x:c>
      <x:c r="H2028" s="43" t="n">
        <x:v>16175.946582553486</x:v>
      </x:c>
      <x:c r="I2028" s="43" t="n">
        <x:v>22671</x:v>
      </x:c>
      <x:c r="J2028" s="43" t="n">
        <x:v>5575</x:v>
      </x:c>
      <x:c r="K2028" s="43" t="n">
        <x:v>245.07158428859574</x:v>
      </x:c>
      <x:c r="L2028" s="43" t="n">
        <x:v>99.86120848530288</x:v>
      </x:c>
    </x:row>
    <x:row r="2029" ht="15" hidden="0" customHeight="1">
      <x:c r="A2029" s="29" t="str">
        <x:v>21003</x:v>
      </x:c>
      <x:c r="B2029" s="29" t="str">
        <x:v>SCA-22</x:v>
      </x:c>
      <x:c r="C2029" s="44" t="n">
        <x:v>22536</x:v>
      </x:c>
      <x:c r="D2029" s="44" t="n">
        <x:v>290.0715874643205</x:v>
      </x:c>
      <x:c r="E2029" s="44" t="n">
        <x:v>4005.754785903751</x:v>
      </x:c>
      <x:c r="F2029" s="44" t="n">
        <x:v>204.81968870236201</x:v>
      </x:c>
      <x:c r="G2029" s="44" t="n">
        <x:v>927.7006205001894</x:v>
      </x:c>
      <x:c r="H2029" s="44" t="n">
        <x:v>17107.653317429376</x:v>
      </x:c>
      <x:c r="I2029" s="44" t="n">
        <x:v>22536</x:v>
      </x:c>
      <x:c r="J2029" s="44" t="n">
        <x:v>3909</x:v>
      </x:c>
      <x:c r="K2029" s="44" t="n">
        <x:v>327.9848267540262</x:v>
      </x:c>
      <x:c r="L2029" s="44" t="n">
        <x:v>123.16513805166419</x:v>
      </x:c>
    </x:row>
    <x:row r="2030" ht="15" hidden="0" customHeight="1">
      <x:c r="A2030" s="27" t="str">
        <x:v>47129</x:v>
      </x:c>
      <x:c r="B2030" s="27" t="str">
        <x:v>SCA-22</x:v>
      </x:c>
      <x:c r="C2030" s="43" t="n">
        <x:v>22160</x:v>
      </x:c>
      <x:c r="D2030" s="43" t="n">
        <x:v>282.57779203320945</x:v>
      </x:c>
      <x:c r="E2030" s="43" t="n">
        <x:v>4439.2184656880545</x:v>
      </x:c>
      <x:c r="F2030" s="43" t="n">
        <x:v>141.93736173088837</x:v>
      </x:c>
      <x:c r="G2030" s="43" t="n">
        <x:v>565.4033922921313</x:v>
      </x:c>
      <x:c r="H2030" s="43" t="n">
        <x:v>16730.862988255718</x:v>
      </x:c>
      <x:c r="I2030" s="43" t="n">
        <x:v>22160</x:v>
      </x:c>
      <x:c r="J2030" s="43" t="n">
        <x:v>4023</x:v>
      </x:c>
      <x:c r="K2030" s="43" t="n">
        <x:v>239.54771769376217</x:v>
      </x:c>
      <x:c r="L2030" s="43" t="n">
        <x:v>97.6103559628738</x:v>
      </x:c>
    </x:row>
    <x:row r="2031" ht="15" hidden="0" customHeight="1">
      <x:c r="A2031" s="29" t="str">
        <x:v>21115</x:v>
      </x:c>
      <x:c r="B2031" s="29" t="str">
        <x:v>SCA-22</x:v>
      </x:c>
      <x:c r="C2031" s="44" t="n">
        <x:v>22051</x:v>
      </x:c>
      <x:c r="D2031" s="44" t="n">
        <x:v>350.5016473563153</x:v>
      </x:c>
      <x:c r="E2031" s="44" t="n">
        <x:v>5519.691869696139</x:v>
      </x:c>
      <x:c r="F2031" s="44" t="n">
        <x:v>200.41173924280193</x:v>
      </x:c>
      <x:c r="G2031" s="44" t="n">
        <x:v>426.5503695592664</x:v>
      </x:c>
      <x:c r="H2031" s="44" t="n">
        <x:v>15553.844374145476</x:v>
      </x:c>
      <x:c r="I2031" s="44" t="n">
        <x:v>22051</x:v>
      </x:c>
      <x:c r="J2031" s="44" t="n">
        <x:v>5715</x:v>
      </x:c>
      <x:c r="K2031" s="44" t="n">
        <x:v>320.9262253617781</x:v>
      </x:c>
      <x:c r="L2031" s="44" t="n">
        <x:v>120.51448611897617</x:v>
      </x:c>
    </x:row>
    <x:row r="2032" ht="15" hidden="0" customHeight="1">
      <x:c r="A2032" s="27" t="str">
        <x:v>18119</x:v>
      </x:c>
      <x:c r="B2032" s="27" t="str">
        <x:v>SCA-22</x:v>
      </x:c>
      <x:c r="C2032" s="43" t="n">
        <x:v>21886</x:v>
      </x:c>
      <x:c r="D2032" s="43" t="n">
        <x:v>321.3207991184346</x:v>
      </x:c>
      <x:c r="E2032" s="43" t="n">
        <x:v>4130.726439535754</x:v>
      </x:c>
      <x:c r="F2032" s="43" t="n">
        <x:v>142.4667263069595</x:v>
      </x:c>
      <x:c r="G2032" s="43" t="n">
        <x:v>294.44522182703105</x:v>
      </x:c>
      <x:c r="H2032" s="43" t="n">
        <x:v>16997.04081321182</x:v>
      </x:c>
      <x:c r="I2032" s="43" t="n">
        <x:v>21886</x:v>
      </x:c>
      <x:c r="J2032" s="43" t="n">
        <x:v>4201</x:v>
      </x:c>
      <x:c r="K2032" s="43" t="n">
        <x:v>291.67392377807096</x:v>
      </x:c>
      <x:c r="L2032" s="43" t="n">
        <x:v>149.20719747111147</x:v>
      </x:c>
    </x:row>
    <x:row r="2033" ht="15" hidden="0" customHeight="1">
      <x:c r="A2033" s="29" t="str">
        <x:v>47041</x:v>
      </x:c>
      <x:c r="B2033" s="29" t="str">
        <x:v>SCA-22</x:v>
      </x:c>
      <x:c r="C2033" s="44" t="n">
        <x:v>21873</x:v>
      </x:c>
      <x:c r="D2033" s="44" t="n">
        <x:v>266.69054693222444</x:v>
      </x:c>
      <x:c r="E2033" s="44" t="n">
        <x:v>4088.2648419229104</x:v>
      </x:c>
      <x:c r="F2033" s="44" t="n">
        <x:v>140.09909355323651</x:v>
      </x:c>
      <x:c r="G2033" s="44" t="n">
        <x:v>646.6582455127281</x:v>
      </x:c>
      <x:c r="H2033" s="44" t="n">
        <x:v>16731.287272078902</x:v>
      </x:c>
      <x:c r="I2033" s="44" t="n">
        <x:v>21873</x:v>
      </x:c>
      <x:c r="J2033" s="44" t="n">
        <x:v>4046</x:v>
      </x:c>
      <x:c r="K2033" s="44" t="n">
        <x:v>236.4452720720063</x:v>
      </x:c>
      <x:c r="L2033" s="44" t="n">
        <x:v>96.34617851876979</x:v>
      </x:c>
    </x:row>
    <x:row r="2034" ht="15" hidden="0" customHeight="1">
      <x:c r="A2034" s="27" t="str">
        <x:v>51105</x:v>
      </x:c>
      <x:c r="B2034" s="27" t="str">
        <x:v>SCA-22</x:v>
      </x:c>
      <x:c r="C2034" s="43" t="n">
        <x:v>21642</x:v>
      </x:c>
      <x:c r="D2034" s="43" t="n">
        <x:v>339.7406912747526</x:v>
      </x:c>
      <x:c r="E2034" s="43" t="n">
        <x:v>5994.978905080739</x:v>
      </x:c>
      <x:c r="F2034" s="43" t="n">
        <x:v>150.97393089394</x:v>
      </x:c>
      <x:c r="G2034" s="43" t="n">
        <x:v>903.8989513588027</x:v>
      </x:c>
      <x:c r="H2034" s="43" t="n">
        <x:v>14252.407521391764</x:v>
      </x:c>
      <x:c r="I2034" s="43" t="n">
        <x:v>21642</x:v>
      </x:c>
      <x:c r="J2034" s="43" t="n">
        <x:v>5861</x:v>
      </x:c>
      <x:c r="K2034" s="43" t="n">
        <x:v>240.92383445699508</x:v>
      </x:c>
      <x:c r="L2034" s="43" t="n">
        <x:v>89.94990356305506</x:v>
      </x:c>
    </x:row>
    <x:row r="2035" ht="15" hidden="0" customHeight="1">
      <x:c r="A2035" s="29" t="str">
        <x:v>21027</x:v>
      </x:c>
      <x:c r="B2035" s="29" t="str">
        <x:v>SCA-22</x:v>
      </x:c>
      <x:c r="C2035" s="44" t="n">
        <x:v>21503</x:v>
      </x:c>
      <x:c r="D2035" s="44" t="n">
        <x:v>306.6965794339892</x:v>
      </x:c>
      <x:c r="E2035" s="44" t="n">
        <x:v>4540.249361660751</x:v>
      </x:c>
      <x:c r="F2035" s="44" t="n">
        <x:v>195.4312107812784</x:v>
      </x:c>
      <x:c r="G2035" s="44" t="n">
        <x:v>529.6589527930381</x:v>
      </x:c>
      <x:c r="H2035" s="44" t="n">
        <x:v>15930.963895330944</x:v>
      </x:c>
      <x:c r="I2035" s="44" t="n">
        <x:v>21503</x:v>
      </x:c>
      <x:c r="J2035" s="44" t="n">
        <x:v>4524</x:v>
      </x:c>
      <x:c r="K2035" s="44" t="n">
        <x:v>312.95073347940297</x:v>
      </x:c>
      <x:c r="L2035" s="44" t="n">
        <x:v>117.51952269812455</x:v>
      </x:c>
    </x:row>
    <x:row r="2036" ht="15" hidden="0" customHeight="1">
      <x:c r="A2036" s="27" t="str">
        <x:v>54059</x:v>
      </x:c>
      <x:c r="B2036" s="27" t="str">
        <x:v>SCA-22</x:v>
      </x:c>
      <x:c r="C2036" s="43" t="n">
        <x:v>21455</x:v>
      </x:c>
      <x:c r="D2036" s="43" t="n">
        <x:v>399.92200195270465</x:v>
      </x:c>
      <x:c r="E2036" s="43" t="n">
        <x:v>6568.9024344652635</x:v>
      </x:c>
      <x:c r="F2036" s="43" t="n">
        <x:v>250.8429671390648</x:v>
      </x:c>
      <x:c r="G2036" s="43" t="n">
        <x:v>1253.1719257643865</x:v>
      </x:c>
      <x:c r="H2036" s="43" t="n">
        <x:v>12982.160670678579</x:v>
      </x:c>
      <x:c r="I2036" s="43" t="n">
        <x:v>21455</x:v>
      </x:c>
      <x:c r="J2036" s="43" t="n">
        <x:v>7166</x:v>
      </x:c>
      <x:c r="K2036" s="43" t="n">
        <x:v>377.06070098905013</x:v>
      </x:c>
      <x:c r="L2036" s="43" t="n">
        <x:v>126.21773384998535</x:v>
      </x:c>
    </x:row>
    <x:row r="2037" ht="15" hidden="0" customHeight="1">
      <x:c r="A2037" s="29" t="str">
        <x:v>47173</x:v>
      </x:c>
      <x:c r="B2037" s="29" t="str">
        <x:v>SCA-22</x:v>
      </x:c>
      <x:c r="C2037" s="44" t="n">
        <x:v>21450</x:v>
      </x:c>
      <x:c r="D2037" s="44" t="n">
        <x:v>279.93243806899545</x:v>
      </x:c>
      <x:c r="E2037" s="44" t="n">
        <x:v>4450.787753290933</x:v>
      </x:c>
      <x:c r="F2037" s="44" t="n">
        <x:v>137.38972965377053</x:v>
      </x:c>
      <x:c r="G2037" s="44" t="n">
        <x:v>319.81422866439874</x:v>
      </x:c>
      <x:c r="H2037" s="44" t="n">
        <x:v>16262.0758503219</x:v>
      </x:c>
      <x:c r="I2037" s="44" t="n">
        <x:v>21450</x:v>
      </x:c>
      <x:c r="J2037" s="44" t="n">
        <x:v>4384</x:v>
      </x:c>
      <x:c r="K2037" s="44" t="n">
        <x:v>231.87267800231038</x:v>
      </x:c>
      <x:c r="L2037" s="44" t="n">
        <x:v>94.48294834853985</x:v>
      </x:c>
    </x:row>
    <x:row r="2038" ht="15" hidden="0" customHeight="1">
      <x:c r="A2038" s="27" t="str">
        <x:v>51169</x:v>
      </x:c>
      <x:c r="B2038" s="27" t="str">
        <x:v>SCA-22</x:v>
      </x:c>
      <x:c r="C2038" s="43" t="n">
        <x:v>21200</x:v>
      </x:c>
      <x:c r="D2038" s="43" t="n">
        <x:v>322.8932442301287</x:v>
      </x:c>
      <x:c r="E2038" s="43" t="n">
        <x:v>5634.72984318456</x:v>
      </x:c>
      <x:c r="F2038" s="43" t="n">
        <x:v>147.8905523958751</x:v>
      </x:c>
      <x:c r="G2038" s="43" t="n">
        <x:v>773.7558504221953</x:v>
      </x:c>
      <x:c r="H2038" s="43" t="n">
        <x:v>14320.73050976724</x:v>
      </x:c>
      <x:c r="I2038" s="43" t="n">
        <x:v>21200</x:v>
      </x:c>
      <x:c r="J2038" s="43" t="n">
        <x:v>5738</x:v>
      </x:c>
      <x:c r="K2038" s="43" t="n">
        <x:v>236.00338649331374</x:v>
      </x:c>
      <x:c r="L2038" s="43" t="n">
        <x:v>88.11283409743865</x:v>
      </x:c>
    </x:row>
    <x:row r="2039" ht="15" hidden="0" customHeight="1">
      <x:c r="A2039" s="29" t="str">
        <x:v>21215</x:v>
      </x:c>
      <x:c r="B2039" s="29" t="str">
        <x:v>SCA-22</x:v>
      </x:c>
      <x:c r="C2039" s="44" t="n">
        <x:v>20998</x:v>
      </x:c>
      <x:c r="D2039" s="44" t="n">
        <x:v>230.97517426785194</x:v>
      </x:c>
      <x:c r="E2039" s="44" t="n">
        <x:v>2789.1746096820734</x:v>
      </x:c>
      <x:c r="F2039" s="44" t="n">
        <x:v>190.84149020998396</x:v>
      </x:c>
      <x:c r="G2039" s="44" t="n">
        <x:v>497.16334145977413</x:v>
      </x:c>
      <x:c r="H2039" s="44" t="n">
        <x:v>17289.845384380318</x:v>
      </x:c>
      <x:c r="I2039" s="44" t="n">
        <x:v>20998</x:v>
      </x:c>
      <x:c r="J2039" s="44" t="n">
        <x:v>2781</x:v>
      </x:c>
      <x:c r="K2039" s="44" t="n">
        <x:v>305.6010557410828</x:v>
      </x:c>
      <x:c r="L2039" s="44" t="n">
        <x:v>114.75956553109889</x:v>
      </x:c>
    </x:row>
    <x:row r="2040" ht="15" hidden="0" customHeight="1">
      <x:c r="A2040" s="27" t="str">
        <x:v>47159</x:v>
      </x:c>
      <x:c r="B2040" s="27" t="str">
        <x:v>SCA-22</x:v>
      </x:c>
      <x:c r="C2040" s="43" t="n">
        <x:v>20981</x:v>
      </x:c>
      <x:c r="D2040" s="43" t="n">
        <x:v>224.30834060377148</x:v>
      </x:c>
      <x:c r="E2040" s="43" t="n">
        <x:v>3165.3898368113933</x:v>
      </x:c>
      <x:c r="F2040" s="43" t="n">
        <x:v>134.38573043663217</x:v>
      </x:c>
      <x:c r="G2040" s="43" t="n">
        <x:v>460.1930570665611</x:v>
      </x:c>
      <x:c r="H2040" s="43" t="n">
        <x:v>16996.723035081643</x:v>
      </x:c>
      <x:c r="I2040" s="43" t="n">
        <x:v>20981</x:v>
      </x:c>
      <x:c r="J2040" s="43" t="n">
        <x:v>3178</x:v>
      </x:c>
      <x:c r="K2040" s="43" t="n">
        <x:v>226.80282783992888</x:v>
      </x:c>
      <x:c r="L2040" s="43" t="n">
        <x:v>92.41709740329672</x:v>
      </x:c>
    </x:row>
    <x:row r="2041" ht="15" hidden="0" customHeight="1">
      <x:c r="A2041" s="29" t="str">
        <x:v>18153</x:v>
      </x:c>
      <x:c r="B2041" s="29" t="str">
        <x:v>SCA-22</x:v>
      </x:c>
      <x:c r="C2041" s="44" t="n">
        <x:v>20831</x:v>
      </x:c>
      <x:c r="D2041" s="44" t="n">
        <x:v>300.18099985202593</x:v>
      </x:c>
      <x:c r="E2041" s="44" t="n">
        <x:v>3795.9896542893725</x:v>
      </x:c>
      <x:c r="F2041" s="44" t="n">
        <x:v>135.59921299919006</x:v>
      </x:c>
      <x:c r="G2041" s="44" t="n">
        <x:v>467.4734314980794</x:v>
      </x:c>
      <x:c r="H2041" s="44" t="n">
        <x:v>16131.756701361332</x:v>
      </x:c>
      <x:c r="I2041" s="44" t="n">
        <x:v>20831</x:v>
      </x:c>
      <x:c r="J2041" s="44" t="n">
        <x:v>3558</x:v>
      </x:c>
      <x:c r="K2041" s="44" t="n">
        <x:v>277.6139772558255</x:v>
      </x:c>
      <x:c r="L2041" s="44" t="n">
        <x:v>142.01476425663543</x:v>
      </x:c>
    </x:row>
    <x:row r="2042" ht="15" hidden="0" customHeight="1">
      <x:c r="A2042" s="27" t="str">
        <x:v>21213</x:v>
      </x:c>
      <x:c r="B2042" s="27" t="str">
        <x:v>SCA-22</x:v>
      </x:c>
      <x:c r="C2042" s="43" t="n">
        <x:v>20788</x:v>
      </x:c>
      <x:c r="D2042" s="43" t="n">
        <x:v>241.77289693511725</x:v>
      </x:c>
      <x:c r="E2042" s="43" t="n">
        <x:v>3075.864872749528</x:v>
      </x:c>
      <x:c r="F2042" s="43" t="n">
        <x:v>188.93289353677233</x:v>
      </x:c>
      <x:c r="G2042" s="43" t="n">
        <x:v>295.63204467792116</x:v>
      </x:c>
      <x:c r="H2042" s="43" t="n">
        <x:v>16985.797292100662</x:v>
      </x:c>
      <x:c r="I2042" s="43" t="n">
        <x:v>20788</x:v>
      </x:c>
      <x:c r="J2042" s="43" t="n">
        <x:v>3022</x:v>
      </x:c>
      <x:c r="K2042" s="43" t="n">
        <x:v>302.5447541073259</x:v>
      </x:c>
      <x:c r="L2042" s="43" t="n">
        <x:v>113.61186057055356</x:v>
      </x:c>
    </x:row>
    <x:row r="2043" ht="15" hidden="0" customHeight="1">
      <x:c r="A2043" s="29" t="str">
        <x:v>47049</x:v>
      </x:c>
      <x:c r="B2043" s="29" t="str">
        <x:v>SCA-22</x:v>
      </x:c>
      <x:c r="C2043" s="44" t="n">
        <x:v>20322</x:v>
      </x:c>
      <x:c r="D2043" s="44" t="n">
        <x:v>280.3957879676813</x:v>
      </x:c>
      <x:c r="E2043" s="44" t="n">
        <x:v>4581.154881754112</x:v>
      </x:c>
      <x:c r="F2043" s="44" t="n">
        <x:v>130.16475925519467</x:v>
      </x:c>
      <x:c r="G2043" s="44" t="n">
        <x:v>413.96173322892196</x:v>
      </x:c>
      <x:c r="H2043" s="44" t="n">
        <x:v>14916.32283779409</x:v>
      </x:c>
      <x:c r="I2043" s="44" t="n">
        <x:v>20322</x:v>
      </x:c>
      <x:c r="J2043" s="44" t="n">
        <x:v>4498</x:v>
      </x:c>
      <x:c r="K2043" s="44" t="n">
        <x:v>219.67909381645464</x:v>
      </x:c>
      <x:c r="L2043" s="44" t="n">
        <x:v>89.51433456125999</x:v>
      </x:c>
    </x:row>
    <x:row r="2044" ht="15" hidden="0" customHeight="1">
      <x:c r="A2044" s="27" t="str">
        <x:v>21017</x:v>
      </x:c>
      <x:c r="B2044" s="27" t="str">
        <x:v>SCA-22</x:v>
      </x:c>
      <x:c r="C2044" s="43" t="n">
        <x:v>20243</x:v>
      </x:c>
      <x:c r="D2044" s="43" t="n">
        <x:v>253.51795883976592</x:v>
      </x:c>
      <x:c r="E2044" s="43" t="n">
        <x:v>3429.231981717919</x:v>
      </x:c>
      <x:c r="F2044" s="43" t="n">
        <x:v>183.97963074200896</x:v>
      </x:c>
      <x:c r="G2044" s="43" t="n">
        <x:v>542.2998907049531</x:v>
      </x:c>
      <x:c r="H2044" s="43" t="n">
        <x:v>15833.970537995354</x:v>
      </x:c>
      <x:c r="I2044" s="43" t="n">
        <x:v>20243</x:v>
      </x:c>
      <x:c r="J2044" s="43" t="n">
        <x:v>3552</x:v>
      </x:c>
      <x:c r="K2044" s="43" t="n">
        <x:v>294.61292367686156</x:v>
      </x:c>
      <x:c r="L2044" s="43" t="n">
        <x:v>110.63329293485259</x:v>
      </x:c>
    </x:row>
    <x:row r="2045" ht="15" hidden="0" customHeight="1">
      <x:c r="A2045" s="29" t="str">
        <x:v>18075</x:v>
      </x:c>
      <x:c r="B2045" s="29" t="str">
        <x:v>SCA-22</x:v>
      </x:c>
      <x:c r="C2045" s="44" t="n">
        <x:v>20118</x:v>
      </x:c>
      <x:c r="D2045" s="44" t="n">
        <x:v>285.04491733570853</x:v>
      </x:c>
      <x:c r="E2045" s="44" t="n">
        <x:v>3549.3842588893326</x:v>
      </x:c>
      <x:c r="F2045" s="44" t="n">
        <x:v>130.95794571156955</x:v>
      </x:c>
      <x:c r="G2045" s="44" t="n">
        <x:v>1319.8286056731922</x:v>
      </x:c>
      <x:c r="H2045" s="44" t="n">
        <x:v>14832.784272390198</x:v>
      </x:c>
      <x:c r="I2045" s="44" t="n">
        <x:v>20118</x:v>
      </x:c>
      <x:c r="J2045" s="44" t="n">
        <x:v>3680</x:v>
      </x:c>
      <x:c r="K2045" s="44" t="n">
        <x:v>268.1118522602226</x:v>
      </x:c>
      <x:c r="L2045" s="44" t="n">
        <x:v>137.15390654865303</x:v>
      </x:c>
    </x:row>
    <x:row r="2046" ht="15" hidden="0" customHeight="1">
      <x:c r="A2046" s="27" t="str">
        <x:v>21099</x:v>
      </x:c>
      <x:c r="B2046" s="27" t="str">
        <x:v>SCA-22</x:v>
      </x:c>
      <x:c r="C2046" s="43" t="n">
        <x:v>20117</x:v>
      </x:c>
      <x:c r="D2046" s="43" t="n">
        <x:v>285.8410115984799</x:v>
      </x:c>
      <x:c r="E2046" s="43" t="n">
        <x:v>4221.512199358908</x:v>
      </x:c>
      <x:c r="F2046" s="43" t="n">
        <x:v>182.83447273808207</x:v>
      </x:c>
      <x:c r="G2046" s="43" t="n">
        <x:v>1229.5460138558576</x:v>
      </x:c>
      <x:c r="H2046" s="43" t="n">
        <x:v>14197.266302448674</x:v>
      </x:c>
      <x:c r="I2046" s="43" t="n">
        <x:v>20117</x:v>
      </x:c>
      <x:c r="J2046" s="43" t="n">
        <x:v>4228</x:v>
      </x:c>
      <x:c r="K2046" s="43" t="n">
        <x:v>292.77914269660744</x:v>
      </x:c>
      <x:c r="L2046" s="43" t="n">
        <x:v>109.9446699585254</x:v>
      </x:c>
    </x:row>
    <x:row r="2047" ht="15" hidden="0" customHeight="1">
      <x:c r="A2047" s="29" t="str">
        <x:v>21155</x:v>
      </x:c>
      <x:c r="B2047" s="29" t="str">
        <x:v>SCA-22</x:v>
      </x:c>
      <x:c r="C2047" s="44" t="n">
        <x:v>20115</x:v>
      </x:c>
      <x:c r="D2047" s="44" t="n">
        <x:v>264.96745522456536</x:v>
      </x:c>
      <x:c r="E2047" s="44" t="n">
        <x:v>3720.8091789473683</x:v>
      </x:c>
      <x:c r="F2047" s="44" t="n">
        <x:v>182.81629562690858</x:v>
      </x:c>
      <x:c r="G2047" s="44" t="n">
        <x:v>653.5221315789474</x:v>
      </x:c>
      <x:c r="H2047" s="44" t="n">
        <x:v>15292.88493862221</x:v>
      </x:c>
      <x:c r="I2047" s="44" t="n">
        <x:v>20115</x:v>
      </x:c>
      <x:c r="J2047" s="44" t="n">
        <x:v>3661</x:v>
      </x:c>
      <x:c r="K2047" s="44" t="n">
        <x:v>292.7500350620002</x:v>
      </x:c>
      <x:c r="L2047" s="44" t="n">
        <x:v>109.93373943509164</x:v>
      </x:c>
    </x:row>
    <x:row r="2048" ht="15" hidden="0" customHeight="1">
      <x:c r="A2048" s="27" t="str">
        <x:v>18147</x:v>
      </x:c>
      <x:c r="B2048" s="27" t="str">
        <x:v>SCA-22</x:v>
      </x:c>
      <x:c r="C2048" s="43" t="n">
        <x:v>20061</x:v>
      </x:c>
      <x:c r="D2048" s="43" t="n">
        <x:v>251.05135791964895</x:v>
      </x:c>
      <x:c r="E2048" s="43" t="n">
        <x:v>2742.865134929877</x:v>
      </x:c>
      <x:c r="F2048" s="43" t="n">
        <x:v>130.58690470821142</x:v>
      </x:c>
      <x:c r="G2048" s="43" t="n">
        <x:v>339.17163687914535</x:v>
      </x:c>
      <x:c r="H2048" s="43" t="n">
        <x:v>16597.32496556312</x:v>
      </x:c>
      <x:c r="I2048" s="43" t="n">
        <x:v>20061</x:v>
      </x:c>
      <x:c r="J2048" s="43" t="n">
        <x:v>2813</x:v>
      </x:c>
      <x:c r="K2048" s="43" t="n">
        <x:v>267.3522153391155</x:v>
      </x:c>
      <x:c r="L2048" s="43" t="n">
        <x:v>136.76531063090408</x:v>
      </x:c>
    </x:row>
    <x:row r="2049" ht="15" hidden="0" customHeight="1">
      <x:c r="A2049" s="29" t="str">
        <x:v>21133</x:v>
      </x:c>
      <x:c r="B2049" s="29" t="str">
        <x:v>SCA-22</x:v>
      </x:c>
      <x:c r="C2049" s="44" t="n">
        <x:v>19952</x:v>
      </x:c>
      <x:c r="D2049" s="44" t="n">
        <x:v>346.76143698650736</x:v>
      </x:c>
      <x:c r="E2049" s="44" t="n">
        <x:v>5705.244845070422</x:v>
      </x:c>
      <x:c r="F2049" s="44" t="n">
        <x:v>181.33486106627294</x:v>
      </x:c>
      <x:c r="G2049" s="44" t="n">
        <x:v>511.8578436134046</x:v>
      </x:c>
      <x:c r="H2049" s="44" t="n">
        <x:v>13206.801013263394</x:v>
      </x:c>
      <x:c r="I2049" s="44" t="n">
        <x:v>19952</x:v>
      </x:c>
      <x:c r="J2049" s="44" t="n">
        <x:v>6133</x:v>
      </x:c>
      <x:c r="K2049" s="44" t="n">
        <x:v>290.3777628415127</x:v>
      </x:c>
      <x:c r="L2049" s="44" t="n">
        <x:v>109.04290177523978</x:v>
      </x:c>
    </x:row>
    <x:row r="2050" ht="15" hidden="0" customHeight="1">
      <x:c r="A2050" s="27" t="str">
        <x:v>18117</x:v>
      </x:c>
      <x:c r="B2050" s="27" t="str">
        <x:v>SCA-22</x:v>
      </x:c>
      <x:c r="C2050" s="43" t="n">
        <x:v>19834</x:v>
      </x:c>
      <x:c r="D2050" s="43" t="n">
        <x:v>281.30950744977974</x:v>
      </x:c>
      <x:c r="E2050" s="43" t="n">
        <x:v>3506.202312423124</x:v>
      </x:c>
      <x:c r="F2050" s="43" t="n">
        <x:v>129.10925018606574</x:v>
      </x:c>
      <x:c r="G2050" s="43" t="n">
        <x:v>700.8210844608446</x:v>
      </x:c>
      <x:c r="H2050" s="43" t="n">
        <x:v>15216.557845480185</x:v>
      </x:c>
      <x:c r="I2050" s="43" t="n">
        <x:v>19834</x:v>
      </x:c>
      <x:c r="J2050" s="43" t="n">
        <x:v>3593</x:v>
      </x:c>
      <x:c r="K2050" s="43" t="n">
        <x:v>264.3269946182153</x:v>
      </x:c>
      <x:c r="L2050" s="43" t="n">
        <x:v>135.21774443214954</x:v>
      </x:c>
    </x:row>
    <x:row r="2051" ht="15" hidden="0" customHeight="1">
      <x:c r="A2051" s="29" t="str">
        <x:v>21097</x:v>
      </x:c>
      <x:c r="B2051" s="29" t="str">
        <x:v>SCA-22</x:v>
      </x:c>
      <x:c r="C2051" s="44" t="n">
        <x:v>19627</x:v>
      </x:c>
      <x:c r="D2051" s="44" t="n">
        <x:v>253.34831450807334</x:v>
      </x:c>
      <x:c r="E2051" s="44" t="n">
        <x:v>3505.958946979689</x:v>
      </x:c>
      <x:c r="F2051" s="44" t="n">
        <x:v>178.38108050058833</x:v>
      </x:c>
      <x:c r="G2051" s="44" t="n">
        <x:v>883.1115800580321</x:v>
      </x:c>
      <x:c r="H2051" s="44" t="n">
        <x:v>14806.200077953617</x:v>
      </x:c>
      <x:c r="I2051" s="44" t="n">
        <x:v>19627</x:v>
      </x:c>
      <x:c r="J2051" s="44" t="n">
        <x:v>3527</x:v>
      </x:c>
      <x:c r="K2051" s="44" t="n">
        <x:v>285.6477722178413</x:v>
      </x:c>
      <x:c r="L2051" s="44" t="n">
        <x:v>107.26669171725297</x:v>
      </x:c>
    </x:row>
    <x:row r="2052" ht="15" hidden="0" customHeight="1">
      <x:c r="A2052" s="27" t="str">
        <x:v>21231</x:v>
      </x:c>
      <x:c r="B2052" s="27" t="str">
        <x:v>SCA-22</x:v>
      </x:c>
      <x:c r="C2052" s="43" t="n">
        <x:v>19597</x:v>
      </x:c>
      <x:c r="D2052" s="43" t="n">
        <x:v>310.0122389392607</x:v>
      </x:c>
      <x:c r="E2052" s="43" t="n">
        <x:v>4869.828121764341</x:v>
      </x:c>
      <x:c r="F2052" s="43" t="n">
        <x:v>178.1084238329867</x:v>
      </x:c>
      <x:c r="G2052" s="43" t="n">
        <x:v>607.370159453303</x:v>
      </x:c>
      <x:c r="H2052" s="43" t="n">
        <x:v>13631.681056010111</x:v>
      </x:c>
      <x:c r="I2052" s="43" t="n">
        <x:v>19597</x:v>
      </x:c>
      <x:c r="J2052" s="43" t="n">
        <x:v>5000</x:v>
      </x:c>
      <x:c r="K2052" s="43" t="n">
        <x:v>285.2111576987332</x:v>
      </x:c>
      <x:c r="L2052" s="43" t="n">
        <x:v>107.1027338657465</x:v>
      </x:c>
    </x:row>
    <x:row r="2053" ht="15" hidden="0" customHeight="1">
      <x:c r="A2053" s="29" t="str">
        <x:v>21051</x:v>
      </x:c>
      <x:c r="B2053" s="29" t="str">
        <x:v>SCA-22</x:v>
      </x:c>
      <x:c r="C2053" s="44" t="n">
        <x:v>19465</x:v>
      </x:c>
      <x:c r="D2053" s="44" t="n">
        <x:v>321.35693459188445</x:v>
      </x:c>
      <x:c r="E2053" s="44" t="n">
        <x:v>5159.414766546394</x:v>
      </x:c>
      <x:c r="F2053" s="44" t="n">
        <x:v>176.90873449553942</x:v>
      </x:c>
      <x:c r="G2053" s="44" t="n">
        <x:v>1071.3641014594216</x:v>
      </x:c>
      <x:c r="H2053" s="44" t="n">
        <x:v>12735.955462906759</x:v>
      </x:c>
      <x:c r="I2053" s="44" t="n">
        <x:v>19465</x:v>
      </x:c>
      <x:c r="J2053" s="44" t="n">
        <x:v>5127</x:v>
      </x:c>
      <x:c r="K2053" s="44" t="n">
        <x:v>283.2900538146574</x:v>
      </x:c>
      <x:c r="L2053" s="44" t="n">
        <x:v>106.381319319118</x:v>
      </x:c>
    </x:row>
    <x:row r="2054" ht="15" hidden="0" customHeight="1">
      <x:c r="A2054" s="27" t="str">
        <x:v>21001</x:v>
      </x:c>
      <x:c r="B2054" s="27" t="str">
        <x:v>SCA-22</x:v>
      </x:c>
      <x:c r="C2054" s="43" t="n">
        <x:v>19423</x:v>
      </x:c>
      <x:c r="D2054" s="43" t="n">
        <x:v>284.08088389730074</x:v>
      </x:c>
      <x:c r="E2054" s="43" t="n">
        <x:v>4270.298533687002</x:v>
      </x:c>
      <x:c r="F2054" s="43" t="n">
        <x:v>176.52701516089712</x:v>
      </x:c>
      <x:c r="G2054" s="43" t="n">
        <x:v>448.71119363395223</x:v>
      </x:c>
      <x:c r="H2054" s="43" t="n">
        <x:v>14243.382373620849</x:v>
      </x:c>
      <x:c r="I2054" s="43" t="n">
        <x:v>19423</x:v>
      </x:c>
      <x:c r="J2054" s="43" t="n">
        <x:v>4317</x:v>
      </x:c>
      <x:c r="K2054" s="43" t="n">
        <x:v>282.67879348790603</x:v>
      </x:c>
      <x:c r="L2054" s="43" t="n">
        <x:v>106.15177832700894</x:v>
      </x:c>
    </x:row>
    <x:row r="2055" ht="15" hidden="0" customHeight="1">
      <x:c r="A2055" s="29" t="str">
        <x:v>18123</x:v>
      </x:c>
      <x:c r="B2055" s="29" t="str">
        <x:v>SCA-22</x:v>
      </x:c>
      <x:c r="C2055" s="44" t="n">
        <x:v>19389</x:v>
      </x:c>
      <x:c r="D2055" s="44" t="n">
        <x:v>268.68773438548243</x:v>
      </x:c>
      <x:c r="E2055" s="44" t="n">
        <x:v>3276.0903624161074</x:v>
      </x:c>
      <x:c r="F2055" s="44" t="n">
        <x:v>126.21252656335727</x:v>
      </x:c>
      <x:c r="G2055" s="44" t="n">
        <x:v>471.73615771812075</x:v>
      </x:c>
      <x:c r="H2055" s="44" t="n">
        <x:v>15246.273218916933</x:v>
      </x:c>
      <x:c r="I2055" s="44" t="n">
        <x:v>19389</x:v>
      </x:c>
      <x:c r="J2055" s="44" t="n">
        <x:v>3147</x:v>
      </x:c>
      <x:c r="K2055" s="44" t="n">
        <x:v>258.39649584816857</x:v>
      </x:c>
      <x:c r="L2055" s="44" t="n">
        <x:v>132.1839692848113</x:v>
      </x:c>
    </x:row>
    <x:row r="2056" ht="15" hidden="0" customHeight="1">
      <x:c r="A2056" s="27" t="str">
        <x:v>54043</x:v>
      </x:c>
      <x:c r="B2056" s="27" t="str">
        <x:v>SCA-22</x:v>
      </x:c>
      <x:c r="C2056" s="43" t="n">
        <x:v>19177</x:v>
      </x:c>
      <x:c r="D2056" s="43" t="n">
        <x:v>337.8822952305118</x:v>
      </x:c>
      <x:c r="E2056" s="43" t="n">
        <x:v>5401.579673321234</x:v>
      </x:c>
      <x:c r="F2056" s="43" t="n">
        <x:v>224.2095353449473</x:v>
      </x:c>
      <x:c r="G2056" s="43" t="n">
        <x:v>927.7580157289777</x:v>
      </x:c>
      <x:c r="H2056" s="43" t="n">
        <x:v>12285.570480374328</x:v>
      </x:c>
      <x:c r="I2056" s="43" t="n">
        <x:v>19177</x:v>
      </x:c>
      <x:c r="J2056" s="43" t="n">
        <x:v>5820</x:v>
      </x:c>
      <x:c r="K2056" s="43" t="n">
        <x:v>337.026010853741</x:v>
      </x:c>
      <x:c r="L2056" s="43" t="n">
        <x:v>112.8164755087937</x:v>
      </x:c>
    </x:row>
    <x:row r="2057" ht="15" hidden="0" customHeight="1">
      <x:c r="A2057" s="29" t="str">
        <x:v>17033</x:v>
      </x:c>
      <x:c r="B2057" s="29" t="str">
        <x:v>SCA-22</x:v>
      </x:c>
      <x:c r="C2057" s="44" t="n">
        <x:v>18648</x:v>
      </x:c>
      <x:c r="D2057" s="44" t="n">
        <x:v>230.07684805309572</x:v>
      </x:c>
      <x:c r="E2057" s="44" t="n">
        <x:v>2562.77170257123</x:v>
      </x:c>
      <x:c r="F2057" s="44" t="n">
        <x:v>95.13201990295553</x:v>
      </x:c>
      <x:c r="G2057" s="44" t="n">
        <x:v>526.9596942321056</x:v>
      </x:c>
      <x:c r="H2057" s="44" t="n">
        <x:v>15233.059735240613</x:v>
      </x:c>
      <x:c r="I2057" s="44" t="n">
        <x:v>18648</x:v>
      </x:c>
      <x:c r="J2057" s="44" t="n">
        <x:v>2472</x:v>
      </x:c>
      <x:c r="K2057" s="44" t="n">
        <x:v>218.42671368225</x:v>
      </x:c>
      <x:c r="L2057" s="44" t="n">
        <x:v>123.29469377929448</x:v>
      </x:c>
    </x:row>
    <x:row r="2058" ht="15" hidden="0" customHeight="1">
      <x:c r="A2058" s="27" t="str">
        <x:v>21207</x:v>
      </x:c>
      <x:c r="B2058" s="27" t="str">
        <x:v>SCA-22</x:v>
      </x:c>
      <x:c r="C2058" s="43" t="n">
        <x:v>18608</x:v>
      </x:c>
      <x:c r="D2058" s="43" t="n">
        <x:v>280.51618342214323</x:v>
      </x:c>
      <x:c r="E2058" s="43" t="n">
        <x:v>4291.646241465445</x:v>
      </x:c>
      <x:c r="F2058" s="43" t="n">
        <x:v>169.11984235771888</x:v>
      </x:c>
      <x:c r="G2058" s="43" t="n">
        <x:v>561.0796280877047</x:v>
      </x:c>
      <x:c r="H2058" s="43" t="n">
        <x:v>13305.638104666989</x:v>
      </x:c>
      <x:c r="I2058" s="43" t="n">
        <x:v>18608</x:v>
      </x:c>
      <x:c r="J2058" s="43" t="n">
        <x:v>4328</x:v>
      </x:c>
      <x:c r="K2058" s="43" t="n">
        <x:v>270.8174323854686</x:v>
      </x:c>
      <x:c r="L2058" s="43" t="n">
        <x:v>101.6975900277497</x:v>
      </x:c>
    </x:row>
    <x:row r="2059" ht="15" hidden="0" customHeight="1">
      <x:c r="A2059" s="29" t="str">
        <x:v>51027</x:v>
      </x:c>
      <x:c r="B2059" s="29" t="str">
        <x:v>SCA-22</x:v>
      </x:c>
      <x:c r="C2059" s="44" t="n">
        <x:v>18492</x:v>
      </x:c>
      <x:c r="D2059" s="44" t="n">
        <x:v>356.08646009293915</x:v>
      </x:c>
      <x:c r="E2059" s="44" t="n">
        <x:v>6701.491048121292</x:v>
      </x:c>
      <x:c r="F2059" s="44" t="n">
        <x:v>128.99962711813785</x:v>
      </x:c>
      <x:c r="G2059" s="44" t="n">
        <x:v>540.9529773676115</x:v>
      </x:c>
      <x:c r="H2059" s="44" t="n">
        <x:v>10764.469887300018</x:v>
      </x:c>
      <x:c r="I2059" s="44" t="n">
        <x:v>18492</x:v>
      </x:c>
      <x:c r="J2059" s="44" t="n">
        <x:v>6872</x:v>
      </x:c>
      <x:c r="K2059" s="44" t="n">
        <x:v>205.8572935393565</x:v>
      </x:c>
      <x:c r="L2059" s="44" t="n">
        <x:v>76.85766642121865</x:v>
      </x:c>
    </x:row>
    <x:row r="2060" ht="15" hidden="0" customHeight="1">
      <x:c r="A2060" s="27" t="str">
        <x:v>21079</x:v>
      </x:c>
      <x:c r="B2060" s="27" t="str">
        <x:v>SCA-22</x:v>
      </x:c>
      <x:c r="C2060" s="43" t="n">
        <x:v>18207</x:v>
      </x:c>
      <x:c r="D2060" s="43" t="n">
        <x:v>238.53560977885064</x:v>
      </x:c>
      <x:c r="E2060" s="43" t="n">
        <x:v>3336.7101527896994</x:v>
      </x:c>
      <x:c r="F2060" s="43" t="n">
        <x:v>165.47533156744342</x:v>
      </x:c>
      <x:c r="G2060" s="43" t="n">
        <x:v>660.6290987124463</x:v>
      </x:c>
      <x:c r="H2060" s="43" t="n">
        <x:v>13805.64980715156</x:v>
      </x:c>
      <x:c r="I2060" s="43" t="n">
        <x:v>18207</x:v>
      </x:c>
      <x:c r="J2060" s="43" t="n">
        <x:v>3336</x:v>
      </x:c>
      <x:c r="K2060" s="43" t="n">
        <x:v>264.9813516467232</x:v>
      </x:c>
      <x:c r="L2060" s="43" t="n">
        <x:v>99.5060200792798</x:v>
      </x:c>
    </x:row>
    <x:row r="2061" ht="15" hidden="0" customHeight="1">
      <x:c r="A2061" s="29" t="str">
        <x:v>21147</x:v>
      </x:c>
      <x:c r="B2061" s="29" t="str">
        <x:v>SCA-22</x:v>
      </x:c>
      <x:c r="C2061" s="44" t="n">
        <x:v>17124</x:v>
      </x:c>
      <x:c r="D2061" s="44" t="n">
        <x:v>267.3462001557509</x:v>
      </x:c>
      <x:c r="E2061" s="44" t="n">
        <x:v>4170.217404380516</x:v>
      </x:c>
      <x:c r="F2061" s="44" t="n">
        <x:v>155.63242586702373</x:v>
      </x:c>
      <x:c r="G2061" s="44" t="n">
        <x:v>688.8555083360575</x:v>
      </x:c>
      <x:c r="H2061" s="44" t="n">
        <x:v>11841.948461260652</x:v>
      </x:c>
      <x:c r="I2061" s="44" t="n">
        <x:v>17124</x:v>
      </x:c>
      <x:c r="J2061" s="44" t="n">
        <x:v>3880</x:v>
      </x:c>
      <x:c r="K2061" s="44" t="n">
        <x:v>249.2195675069198</x:v>
      </x:c>
      <x:c r="L2061" s="44" t="n">
        <x:v>93.58714163989606</x:v>
      </x:c>
    </x:row>
    <x:row r="2062" ht="15" hidden="0" customHeight="1">
      <x:c r="A2062" s="27" t="str">
        <x:v>21161</x:v>
      </x:c>
      <x:c r="B2062" s="27" t="str">
        <x:v>SCA-22</x:v>
      </x:c>
      <x:c r="C2062" s="43" t="n">
        <x:v>16936</x:v>
      </x:c>
      <x:c r="D2062" s="43" t="n">
        <x:v>242.06954846275548</x:v>
      </x:c>
      <x:c r="E2062" s="43" t="n">
        <x:v>3588.2370246152</x:v>
      </x:c>
      <x:c r="F2062" s="43" t="n">
        <x:v>153.92377741672004</x:v>
      </x:c>
      <x:c r="G2062" s="43" t="n">
        <x:v>951.5273402407619</x:v>
      </x:c>
      <x:c r="H2062" s="43" t="n">
        <x:v>12000.242309264562</x:v>
      </x:c>
      <x:c r="I2062" s="43" t="n">
        <x:v>16936</x:v>
      </x:c>
      <x:c r="J2062" s="43" t="n">
        <x:v>3685</x:v>
      </x:c>
      <x:c r="K2062" s="43" t="n">
        <x:v>246.4834498538422</x:v>
      </x:c>
      <x:c r="L2062" s="43" t="n">
        <x:v>92.55967243712215</x:v>
      </x:c>
    </x:row>
    <x:row r="2063" ht="15" hidden="0" customHeight="1">
      <x:c r="A2063" s="29" t="str">
        <x:v>18139</x:v>
      </x:c>
      <x:c r="B2063" s="29" t="str">
        <x:v>SCA-22</x:v>
      </x:c>
      <x:c r="C2063" s="44" t="n">
        <x:v>16767</x:v>
      </x:c>
      <x:c r="D2063" s="44" t="n">
        <x:v>224.3514627423751</x:v>
      </x:c>
      <x:c r="E2063" s="44" t="n">
        <x:v>2641.0297361763637</x:v>
      </x:c>
      <x:c r="F2063" s="44" t="n">
        <x:v>109.14464040888193</x:v>
      </x:c>
      <x:c r="G2063" s="44" t="n">
        <x:v>477.730213227322</x:v>
      </x:c>
      <x:c r="H2063" s="44" t="n">
        <x:v>13314.743947445057</x:v>
      </x:c>
      <x:c r="I2063" s="44" t="n">
        <x:v>16767</x:v>
      </x:c>
      <x:c r="J2063" s="44" t="n">
        <x:v>2724</x:v>
      </x:c>
      <x:c r="K2063" s="44" t="n">
        <x:v>223.45319747724187</x:v>
      </x:c>
      <x:c r="L2063" s="44" t="n">
        <x:v>114.30855706835995</x:v>
      </x:c>
    </x:row>
    <x:row r="2064" ht="15" hidden="0" customHeight="1">
      <x:c r="A2064" s="27" t="str">
        <x:v>18121</x:v>
      </x:c>
      <x:c r="B2064" s="27" t="str">
        <x:v>SCA-22</x:v>
      </x:c>
      <x:c r="C2064" s="43" t="n">
        <x:v>16642</x:v>
      </x:c>
      <x:c r="D2064" s="43" t="n">
        <x:v>217.7356062981492</x:v>
      </x:c>
      <x:c r="E2064" s="43" t="n">
        <x:v>2502.70159823857</x:v>
      </x:c>
      <x:c r="F2064" s="43" t="n">
        <x:v>108.33095399800878</x:v>
      </x:c>
      <x:c r="G2064" s="43" t="n">
        <x:v>1418.5135345162546</x:v>
      </x:c>
      <x:c r="H2064" s="43" t="n">
        <x:v>12394.718306949017</x:v>
      </x:c>
      <x:c r="I2064" s="43" t="n">
        <x:v>16642</x:v>
      </x:c>
      <x:c r="J2064" s="43" t="n">
        <x:v>2419</x:v>
      </x:c>
      <x:c r="K2064" s="43" t="n">
        <x:v>221.78732703621753</x:v>
      </x:c>
      <x:c r="L2064" s="43" t="n">
        <x:v>113.45637303820875</x:v>
      </x:c>
    </x:row>
    <x:row r="2065" ht="15" hidden="0" customHeight="1">
      <x:c r="A2065" s="29" t="str">
        <x:v>21103</x:v>
      </x:c>
      <x:c r="B2065" s="29" t="str">
        <x:v>SCA-22</x:v>
      </x:c>
      <x:c r="C2065" s="44" t="n">
        <x:v>16447</x:v>
      </x:c>
      <x:c r="D2065" s="44" t="n">
        <x:v>218.69173248129457</x:v>
      </x:c>
      <x:c r="E2065" s="44" t="n">
        <x:v>3091.3097525694707</x:v>
      </x:c>
      <x:c r="F2065" s="44" t="n">
        <x:v>149.4794737348131</x:v>
      </x:c>
      <x:c r="G2065" s="44" t="n">
        <x:v>547.6688237533309</x:v>
      </x:c>
      <x:c r="H2065" s="44" t="n">
        <x:v>12439.850217461091</x:v>
      </x:c>
      <x:c r="I2065" s="44" t="n">
        <x:v>16447</x:v>
      </x:c>
      <x:c r="J2065" s="44" t="n">
        <x:v>3086</x:v>
      </x:c>
      <x:c r="K2065" s="44" t="n">
        <x:v>239.36663319237968</x:v>
      </x:c>
      <x:c r="L2065" s="44" t="n">
        <x:v>89.8871594575666</x:v>
      </x:c>
    </x:row>
    <x:row r="2066" ht="15" hidden="0" customHeight="1">
      <x:c r="A2066" s="27" t="str">
        <x:v>21045</x:v>
      </x:c>
      <x:c r="B2066" s="27" t="str">
        <x:v>SCA-22</x:v>
      </x:c>
      <x:c r="C2066" s="43" t="n">
        <x:v>16205</x:v>
      </x:c>
      <x:c r="D2066" s="43" t="n">
        <x:v>205.69208186555875</x:v>
      </x:c>
      <x:c r="E2066" s="43" t="n">
        <x:v>2811.0603778434647</x:v>
      </x:c>
      <x:c r="F2066" s="43" t="n">
        <x:v>147.28004328282643</x:v>
      </x:c>
      <x:c r="G2066" s="43" t="n">
        <x:v>866.413378743092</x:v>
      </x:c>
      <x:c r="H2066" s="43" t="n">
        <x:v>12174.554118265058</x:v>
      </x:c>
      <x:c r="I2066" s="43" t="n">
        <x:v>16205</x:v>
      </x:c>
      <x:c r="J2066" s="43" t="n">
        <x:v>2812</x:v>
      </x:c>
      <x:c r="K2066" s="43" t="n">
        <x:v>235.84460940490746</x:v>
      </x:c>
      <x:c r="L2066" s="43" t="n">
        <x:v>88.56456612208103</x:v>
      </x:c>
    </x:row>
    <x:row r="2067" ht="15" hidden="0" customHeight="1">
      <x:c r="A2067" s="29" t="str">
        <x:v>21203</x:v>
      </x:c>
      <x:c r="B2067" s="29" t="str">
        <x:v>SCA-22</x:v>
      </x:c>
      <x:c r="C2067" s="44" t="n">
        <x:v>16148</x:v>
      </x:c>
      <x:c r="D2067" s="44" t="n">
        <x:v>237.59329952830973</x:v>
      </x:c>
      <x:c r="E2067" s="44" t="n">
        <x:v>3584.1660797781838</x:v>
      </x:c>
      <x:c r="F2067" s="44" t="n">
        <x:v>146.7619956143833</x:v>
      </x:c>
      <x:c r="G2067" s="44" t="n">
        <x:v>793.3959291700801</x:v>
      </x:c>
      <x:c r="H2067" s="44" t="n">
        <x:v>11386.082695909045</x:v>
      </x:c>
      <x:c r="I2067" s="44" t="n">
        <x:v>16148</x:v>
      </x:c>
      <x:c r="J2067" s="44" t="n">
        <x:v>3669</x:v>
      </x:c>
      <x:c r="K2067" s="44" t="n">
        <x:v>235.01504181860201</x:v>
      </x:c>
      <x:c r="L2067" s="44" t="n">
        <x:v>88.25304620421873</x:v>
      </x:c>
    </x:row>
    <x:row r="2068" ht="15" hidden="0" customHeight="1">
      <x:c r="A2068" s="27" t="str">
        <x:v>21069</x:v>
      </x:c>
      <x:c r="B2068" s="27" t="str">
        <x:v>SCA-22</x:v>
      </x:c>
      <x:c r="C2068" s="43" t="n">
        <x:v>15787</x:v>
      </x:c>
      <x:c r="D2068" s="43" t="n">
        <x:v>209.68033828027086</x:v>
      </x:c>
      <x:c r="E2068" s="43" t="n">
        <x:v>2961.606037340321</x:v>
      </x:c>
      <x:c r="F2068" s="43" t="n">
        <x:v>143.48102704757673</x:v>
      </x:c>
      <x:c r="G2068" s="43" t="n">
        <x:v>787.6893547330494</x:v>
      </x:c>
      <x:c r="H2068" s="43" t="n">
        <x:v>11684.543242598782</x:v>
      </x:c>
      <x:c r="I2068" s="43" t="n">
        <x:v>15787</x:v>
      </x:c>
      <x:c r="J2068" s="43" t="n">
        <x:v>2983</x:v>
      </x:c>
      <x:c r="K2068" s="43" t="n">
        <x:v>229.76111377200087</x:v>
      </x:c>
      <x:c r="L2068" s="43" t="n">
        <x:v>86.28008672442414</x:v>
      </x:c>
    </x:row>
    <x:row r="2069" ht="15" hidden="0" customHeight="1">
      <x:c r="A2069" s="29" t="str">
        <x:v>18013</x:v>
      </x:c>
      <x:c r="B2069" s="29" t="str">
        <x:v>SCA-22</x:v>
      </x:c>
      <x:c r="C2069" s="44" t="n">
        <x:v>15777</x:v>
      </x:c>
      <x:c r="D2069" s="44" t="n">
        <x:v>205.681020604644</x:v>
      </x:c>
      <x:c r="E2069" s="44" t="n">
        <x:v>2354.922265321955</x:v>
      </x:c>
      <x:c r="F2069" s="44" t="n">
        <x:v>102.70024403476653</x:v>
      </x:c>
      <x:c r="G2069" s="44" t="n">
        <x:v>315.00510731833464</x:v>
      </x:c>
      <x:c r="H2069" s="44" t="n">
        <x:v>12798.6913627203</x:v>
      </x:c>
      <x:c r="I2069" s="44" t="n">
        <x:v>15777</x:v>
      </x:c>
      <x:c r="J2069" s="44" t="n">
        <x:v>2405</x:v>
      </x:c>
      <x:c r="K2069" s="44" t="n">
        <x:v>210.25950358432905</x:v>
      </x:c>
      <x:c r="L2069" s="44" t="n">
        <x:v>107.55925954956253</x:v>
      </x:c>
    </x:row>
    <x:row r="2070" ht="15" hidden="0" customHeight="1">
      <x:c r="A2070" s="27" t="str">
        <x:v>21127</x:v>
      </x:c>
      <x:c r="B2070" s="27" t="str">
        <x:v>SCA-22</x:v>
      </x:c>
      <x:c r="C2070" s="43" t="n">
        <x:v>15765</x:v>
      </x:c>
      <x:c r="D2070" s="43" t="n">
        <x:v>237.67890811308266</x:v>
      </x:c>
      <x:c r="E2070" s="43" t="n">
        <x:v>3636.457371514318</x:v>
      </x:c>
      <x:c r="F2070" s="43" t="n">
        <x:v>143.28107882466884</x:v>
      </x:c>
      <x:c r="G2070" s="43" t="n">
        <x:v>408.73064899337254</x:v>
      </x:c>
      <x:c r="H2070" s="43" t="n">
        <x:v>11338.851992554559</x:v>
      </x:c>
      <x:c r="I2070" s="43" t="n">
        <x:v>15765</x:v>
      </x:c>
      <x:c r="J2070" s="43" t="n">
        <x:v>3843</x:v>
      </x:c>
      <x:c r="K2070" s="43" t="n">
        <x:v>229.44092979132157</x:v>
      </x:c>
      <x:c r="L2070" s="43" t="n">
        <x:v>86.15985096665273</x:v>
      </x:c>
    </x:row>
    <x:row r="2071" ht="15" hidden="0" customHeight="1">
      <x:c r="A2071" s="29" t="str">
        <x:v>21123</x:v>
      </x:c>
      <x:c r="B2071" s="29" t="str">
        <x:v>SCA-22</x:v>
      </x:c>
      <x:c r="C2071" s="44" t="n">
        <x:v>15184</x:v>
      </x:c>
      <x:c r="D2071" s="44" t="n">
        <x:v>197.52673098599453</x:v>
      </x:c>
      <x:c r="E2071" s="44" t="n">
        <x:v>2749.0127298444127</x:v>
      </x:c>
      <x:c r="F2071" s="44" t="n">
        <x:v>138.00062802878347</x:v>
      </x:c>
      <x:c r="G2071" s="44" t="n">
        <x:v>274.66218764733617</x:v>
      </x:c>
      <x:c r="H2071" s="44" t="n">
        <x:v>11824.797723493473</x:v>
      </x:c>
      <x:c r="I2071" s="44" t="n">
        <x:v>15184</x:v>
      </x:c>
      <x:c r="J2071" s="44" t="n">
        <x:v>2800</x:v>
      </x:c>
      <x:c r="K2071" s="44" t="n">
        <x:v>220.98516193792747</x:v>
      </x:c>
      <x:c r="L2071" s="44" t="n">
        <x:v>82.98453390914399</x:v>
      </x:c>
    </x:row>
    <x:row r="2072" ht="15" hidden="0" customHeight="1">
      <x:c r="A2072" s="27" t="str">
        <x:v>17023</x:v>
      </x:c>
      <x:c r="B2072" s="27" t="str">
        <x:v>SCA-22</x:v>
      </x:c>
      <x:c r="C2072" s="43" t="n">
        <x:v>15114</x:v>
      </x:c>
      <x:c r="D2072" s="43" t="n">
        <x:v>181.95797488344115</x:v>
      </x:c>
      <x:c r="E2072" s="43" t="n">
        <x:v>1968.6953846153845</x:v>
      </x:c>
      <x:c r="F2072" s="43" t="n">
        <x:v>77.10346143357303</x:v>
      </x:c>
      <x:c r="G2072" s="43" t="n">
        <x:v>435.6153846153846</x:v>
      </x:c>
      <x:c r="H2072" s="43" t="n">
        <x:v>12450.627794452217</x:v>
      </x:c>
      <x:c r="I2072" s="43" t="n">
        <x:v>15114</x:v>
      </x:c>
      <x:c r="J2072" s="43" t="n">
        <x:v>2032</x:v>
      </x:c>
      <x:c r="K2072" s="43" t="n">
        <x:v>177.03246195803982</x:v>
      </x:c>
      <x:c r="L2072" s="43" t="n">
        <x:v>99.92900052446679</x:v>
      </x:c>
    </x:row>
    <x:row r="2073" ht="15" hidden="0" customHeight="1">
      <x:c r="A2073" s="29" t="str">
        <x:v>21191</x:v>
      </x:c>
      <x:c r="B2073" s="29" t="str">
        <x:v>SCA-22</x:v>
      </x:c>
      <x:c r="C2073" s="44" t="n">
        <x:v>14800</x:v>
      </x:c>
      <x:c r="D2073" s="44" t="n">
        <x:v>209.84718578169978</x:v>
      </x:c>
      <x:c r="E2073" s="44" t="n">
        <x:v>3095.0714969241285</x:v>
      </x:c>
      <x:c r="F2073" s="44" t="n">
        <x:v>134.51062268348232</x:v>
      </x:c>
      <x:c r="G2073" s="44" t="n">
        <x:v>586.6199589883802</x:v>
      </x:c>
      <x:c r="H2073" s="44" t="n">
        <x:v>10773.950735622308</x:v>
      </x:c>
      <x:c r="I2073" s="44" t="n">
        <x:v>14800</x:v>
      </x:c>
      <x:c r="J2073" s="44" t="n">
        <x:v>3187</x:v>
      </x:c>
      <x:c r="K2073" s="44" t="n">
        <x:v>215.39649609334344</x:v>
      </x:c>
      <x:c r="L2073" s="44" t="n">
        <x:v>80.8858734098611</x:v>
      </x:c>
    </x:row>
    <x:row r="2074" ht="15" hidden="0" customHeight="1">
      <x:c r="A2074" s="27" t="str">
        <x:v>21221</x:v>
      </x:c>
      <x:c r="B2074" s="27" t="str">
        <x:v>SCA-22</x:v>
      </x:c>
      <x:c r="C2074" s="43" t="n">
        <x:v>14512</x:v>
      </x:c>
      <x:c r="D2074" s="43" t="n">
        <x:v>229.22501928627736</x:v>
      </x:c>
      <x:c r="E2074" s="43" t="n">
        <x:v>3597.915390021082</x:v>
      </x:c>
      <x:c r="F2074" s="43" t="n">
        <x:v>131.89311867450647</x:v>
      </x:c>
      <x:c r="G2074" s="43" t="n">
        <x:v>597.4738229093465</x:v>
      </x:c>
      <x:c r="H2074" s="43" t="n">
        <x:v>9955.492649108786</x:v>
      </x:c>
      <x:c r="I2074" s="43" t="n">
        <x:v>14512</x:v>
      </x:c>
      <x:c r="J2074" s="43" t="n">
        <x:v>3675</x:v>
      </x:c>
      <x:c r="K2074" s="43" t="n">
        <x:v>211.2049967099054</x:v>
      </x:c>
      <x:c r="L2074" s="43" t="n">
        <x:v>79.31187803539895</x:v>
      </x:c>
    </x:row>
    <x:row r="2075" ht="15" hidden="0" customHeight="1">
      <x:c r="A2075" s="29" t="str">
        <x:v>21175</x:v>
      </x:c>
      <x:c r="B2075" s="29" t="str">
        <x:v>SCA-22</x:v>
      </x:c>
      <x:c r="C2075" s="44" t="n">
        <x:v>14415</x:v>
      </x:c>
      <x:c r="D2075" s="44" t="n">
        <x:v>221.97587671242272</x:v>
      </x:c>
      <x:c r="E2075" s="44" t="n">
        <x:v>3436.6590975254726</x:v>
      </x:c>
      <x:c r="F2075" s="44" t="n">
        <x:v>131.01152878259444</x:v>
      </x:c>
      <x:c r="G2075" s="44" t="n">
        <x:v>289.38824195374417</x:v>
      </x:c>
      <x:c r="H2075" s="44" t="n">
        <x:v>10335.965255025765</x:v>
      </x:c>
      <x:c r="I2075" s="44" t="n">
        <x:v>14415</x:v>
      </x:c>
      <x:c r="J2075" s="44" t="n">
        <x:v>3071</x:v>
      </x:c>
      <x:c r="K2075" s="44" t="n">
        <x:v>209.79327643145578</x:v>
      </x:c>
      <x:c r="L2075" s="44" t="n">
        <x:v>78.78174764886134</x:v>
      </x:c>
    </x:row>
    <x:row r="2076" ht="15" hidden="0" customHeight="1">
      <x:c r="A2076" s="27" t="str">
        <x:v>21065</x:v>
      </x:c>
      <x:c r="B2076" s="27" t="str">
        <x:v>SCA-22</x:v>
      </x:c>
      <x:c r="C2076" s="43" t="n">
        <x:v>13962</x:v>
      </x:c>
      <x:c r="D2076" s="43" t="n">
        <x:v>214.37342651883438</x:v>
      </x:c>
      <x:c r="E2076" s="43" t="n">
        <x:v>3313.6186182652987</x:v>
      </x:c>
      <x:c r="F2076" s="43" t="n">
        <x:v>126.89441310180948</x:v>
      </x:c>
      <x:c r="G2076" s="43" t="n">
        <x:v>459.1957816199153</x:v>
      </x:c>
      <x:c r="H2076" s="43" t="n">
        <x:v>9847.917760494141</x:v>
      </x:c>
      <x:c r="I2076" s="43" t="n">
        <x:v>13962</x:v>
      </x:c>
      <x:c r="J2076" s="43" t="n">
        <x:v>3446</x:v>
      </x:c>
      <x:c r="K2076" s="43" t="n">
        <x:v>203.20039719292305</x:v>
      </x:c>
      <x:c r="L2076" s="43" t="n">
        <x:v>76.30598409111357</x:v>
      </x:c>
    </x:row>
    <x:row r="2077" ht="15" hidden="0" customHeight="1">
      <x:c r="A2077" s="29" t="str">
        <x:v>17101</x:v>
      </x:c>
      <x:c r="B2077" s="29" t="str">
        <x:v>SCA-22</x:v>
      </x:c>
      <x:c r="C2077" s="44" t="n">
        <x:v>13790</x:v>
      </x:c>
      <x:c r="D2077" s="44" t="n">
        <x:v>202.55941471664997</x:v>
      </x:c>
      <x:c r="E2077" s="44" t="n">
        <x:v>2673.222829368878</x:v>
      </x:c>
      <x:c r="F2077" s="44" t="n">
        <x:v>70.34912883214055</x:v>
      </x:c>
      <x:c r="G2077" s="44" t="n">
        <x:v>447.31854333897934</x:v>
      </x:c>
      <x:c r="H2077" s="44" t="n">
        <x:v>10396.550083743352</x:v>
      </x:c>
      <x:c r="I2077" s="44" t="n">
        <x:v>13790</x:v>
      </x:c>
      <x:c r="J2077" s="44" t="n">
        <x:v>2742</x:v>
      </x:c>
      <x:c r="K2077" s="44" t="n">
        <x:v>161.52425899175395</x:v>
      </x:c>
      <x:c r="L2077" s="44" t="n">
        <x:v>91.1751301596134</x:v>
      </x:c>
    </x:row>
    <x:row r="2078" ht="15" hidden="0" customHeight="1">
      <x:c r="A2078" s="27" t="str">
        <x:v>21109</x:v>
      </x:c>
      <x:c r="B2078" s="27" t="str">
        <x:v>SCA-22</x:v>
      </x:c>
      <x:c r="C2078" s="43" t="n">
        <x:v>13325</x:v>
      </x:c>
      <x:c r="D2078" s="43" t="n">
        <x:v>201.5477461884139</x:v>
      </x:c>
      <x:c r="E2078" s="43" t="n">
        <x:v>3089.3552114629074</x:v>
      </x:c>
      <x:c r="F2078" s="43" t="n">
        <x:v>121.10500319306773</x:v>
      </x:c>
      <x:c r="G2078" s="43" t="n">
        <x:v>466.4733071412064</x:v>
      </x:c>
      <x:c r="H2078" s="43" t="n">
        <x:v>9446.518732014405</x:v>
      </x:c>
      <x:c r="I2078" s="43" t="n">
        <x:v>13325</x:v>
      </x:c>
      <x:c r="J2078" s="43" t="n">
        <x:v>3135</x:v>
      </x:c>
      <x:c r="K2078" s="43" t="n">
        <x:v>193.92961557052712</x:v>
      </x:c>
      <x:c r="L2078" s="43" t="n">
        <x:v>72.8246123774594</x:v>
      </x:c>
    </x:row>
    <x:row r="2079" ht="15" hidden="0" customHeight="1">
      <x:c r="A2079" s="29" t="str">
        <x:v>21119</x:v>
      </x:c>
      <x:c r="B2079" s="29" t="str">
        <x:v>SCA-22</x:v>
      </x:c>
      <x:c r="C2079" s="44" t="n">
        <x:v>13321</x:v>
      </x:c>
      <x:c r="D2079" s="44" t="n">
        <x:v>213.67741993947757</x:v>
      </x:c>
      <x:c r="E2079" s="44" t="n">
        <x:v>3380.9920466132553</x:v>
      </x:c>
      <x:c r="F2079" s="44" t="n">
        <x:v>121.06864897072082</x:v>
      </x:c>
      <x:c r="G2079" s="44" t="n">
        <x:v>687.8004369992717</x:v>
      </x:c>
      <x:c r="H2079" s="44" t="n">
        <x:v>8917.461447477275</x:v>
      </x:c>
      <x:c r="I2079" s="44" t="n">
        <x:v>13321</x:v>
      </x:c>
      <x:c r="J2079" s="44" t="n">
        <x:v>3630</x:v>
      </x:c>
      <x:c r="K2079" s="44" t="n">
        <x:v>193.8714003013127</x:v>
      </x:c>
      <x:c r="L2079" s="44" t="n">
        <x:v>72.80275133059187</x:v>
      </x:c>
    </x:row>
    <x:row r="2080" ht="15" hidden="0" customHeight="1">
      <x:c r="A2080" s="27" t="str">
        <x:v>51051</x:v>
      </x:c>
      <x:c r="B2080" s="27" t="str">
        <x:v>SCA-22</x:v>
      </x:c>
      <x:c r="C2080" s="43" t="n">
        <x:v>13236</x:v>
      </x:c>
      <x:c r="D2080" s="43" t="n">
        <x:v>247.44180157130575</x:v>
      </x:c>
      <x:c r="E2080" s="43" t="n">
        <x:v>4618.307231544886</x:v>
      </x:c>
      <x:c r="F2080" s="43" t="n">
        <x:v>92.33393167508503</x:v>
      </x:c>
      <x:c r="G2080" s="43" t="n">
        <x:v>494.2744751298066</x:v>
      </x:c>
      <x:c r="H2080" s="43" t="n">
        <x:v>7783.642560078916</x:v>
      </x:c>
      <x:c r="I2080" s="43" t="n">
        <x:v>13236</x:v>
      </x:c>
      <x:c r="J2080" s="43" t="n">
        <x:v>4830</x:v>
      </x:c>
      <x:c r="K2080" s="43" t="n">
        <x:v>147.3462652653538</x:v>
      </x:c>
      <x:c r="L2080" s="43" t="n">
        <x:v>55.01233359026877</x:v>
      </x:c>
    </x:row>
    <x:row r="2081" ht="15" hidden="0" customHeight="1">
      <x:c r="A2081" s="29" t="str">
        <x:v>21011</x:v>
      </x:c>
      <x:c r="B2081" s="29" t="str">
        <x:v>SCA-22</x:v>
      </x:c>
      <x:c r="C2081" s="44" t="n">
        <x:v>13176</x:v>
      </x:c>
      <x:c r="D2081" s="44" t="n">
        <x:v>179.52397110784838</x:v>
      </x:c>
      <x:c r="E2081" s="44" t="n">
        <x:v>2580.328385428907</x:v>
      </x:c>
      <x:c r="F2081" s="44" t="n">
        <x:v>119.75080841064613</x:v>
      </x:c>
      <x:c r="G2081" s="44" t="n">
        <x:v>761.3784958871915</x:v>
      </x:c>
      <x:c r="H2081" s="44" t="n">
        <x:v>9535.018339165408</x:v>
      </x:c>
      <x:c r="I2081" s="44" t="n">
        <x:v>13176</x:v>
      </x:c>
      <x:c r="J2081" s="44" t="n">
        <x:v>2604</x:v>
      </x:c>
      <x:c r="K2081" s="44" t="n">
        <x:v>191.76109679229006</x:v>
      </x:c>
      <x:c r="L2081" s="44" t="n">
        <x:v>72.01028838164392</x:v>
      </x:c>
    </x:row>
    <x:row r="2082" ht="15" hidden="0" customHeight="1">
      <x:c r="A2082" s="27" t="str">
        <x:v>21219</x:v>
      </x:c>
      <x:c r="B2082" s="27" t="str">
        <x:v>SCA-22</x:v>
      </x:c>
      <x:c r="C2082" s="43" t="n">
        <x:v>12972</x:v>
      </x:c>
      <x:c r="D2082" s="43" t="n">
        <x:v>159.05316701997364</x:v>
      </x:c>
      <x:c r="E2082" s="43" t="n">
        <x:v>2115.7870086857697</x:v>
      </x:c>
      <x:c r="F2082" s="43" t="n">
        <x:v>117.89674307095491</x:v>
      </x:c>
      <x:c r="G2082" s="43" t="n">
        <x:v>1149.2732364639985</x:v>
      </x:c>
      <x:c r="H2082" s="43" t="n">
        <x:v>9429.989844759302</x:v>
      </x:c>
      <x:c r="I2082" s="43" t="n">
        <x:v>12972</x:v>
      </x:c>
      <x:c r="J2082" s="43" t="n">
        <x:v>2093</x:v>
      </x:c>
      <x:c r="K2082" s="43" t="n">
        <x:v>188.7921180623548</x:v>
      </x:c>
      <x:c r="L2082" s="43" t="n">
        <x:v>70.89537499139989</x:v>
      </x:c>
    </x:row>
    <x:row r="2083" ht="15" hidden="0" customHeight="1">
      <x:c r="A2083" s="29" t="str">
        <x:v>21233</x:v>
      </x:c>
      <x:c r="B2083" s="29" t="str">
        <x:v>SCA-22</x:v>
      </x:c>
      <x:c r="C2083" s="44" t="n">
        <x:v>12929</x:v>
      </x:c>
      <x:c r="D2083" s="44" t="n">
        <x:v>202.7959859624543</x:v>
      </x:c>
      <x:c r="E2083" s="44" t="n">
        <x:v>3171.2548133971295</x:v>
      </x:c>
      <x:c r="F2083" s="44" t="n">
        <x:v>117.50593518072587</x:v>
      </x:c>
      <x:c r="G2083" s="44" t="n">
        <x:v>311.9444976076555</x:v>
      </x:c>
      <x:c r="H2083" s="44" t="n">
        <x:v>9125.498767852034</x:v>
      </x:c>
      <x:c r="I2083" s="44" t="n">
        <x:v>12929</x:v>
      </x:c>
      <x:c r="J2083" s="44" t="n">
        <x:v>3204</x:v>
      </x:c>
      <x:c r="K2083" s="44" t="n">
        <x:v>188.1663039182998</x:v>
      </x:c>
      <x:c r="L2083" s="44" t="n">
        <x:v>70.66036873757393</x:v>
      </x:c>
    </x:row>
    <x:row r="2084" ht="15" hidden="0" customHeight="1">
      <x:c r="A2084" s="27" t="str">
        <x:v>21135</x:v>
      </x:c>
      <x:c r="B2084" s="27" t="str">
        <x:v>SCA-22</x:v>
      </x:c>
      <x:c r="C2084" s="43" t="n">
        <x:v>12901</x:v>
      </x:c>
      <x:c r="D2084" s="43" t="n">
        <x:v>173.35306683851837</x:v>
      </x:c>
      <x:c r="E2084" s="43" t="n">
        <x:v>2468.2974102964117</x:v>
      </x:c>
      <x:c r="F2084" s="43" t="n">
        <x:v>117.25145562429766</x:v>
      </x:c>
      <x:c r="G2084" s="43" t="n">
        <x:v>283.048166926677</x:v>
      </x:c>
      <x:c r="H2084" s="43" t="n">
        <x:v>9859.049900314094</x:v>
      </x:c>
      <x:c r="I2084" s="43" t="n">
        <x:v>12901</x:v>
      </x:c>
      <x:c r="J2084" s="43" t="n">
        <x:v>2555</x:v>
      </x:c>
      <x:c r="K2084" s="43" t="n">
        <x:v>187.75879703379888</x:v>
      </x:c>
      <x:c r="L2084" s="43" t="n">
        <x:v>70.50734140950122</x:v>
      </x:c>
    </x:row>
    <x:row r="2085" ht="15" hidden="0" customHeight="1">
      <x:c r="A2085" s="29" t="str">
        <x:v>21225</x:v>
      </x:c>
      <x:c r="B2085" s="29" t="str">
        <x:v>SCA-22</x:v>
      </x:c>
      <x:c r="C2085" s="44" t="n">
        <x:v>12839</x:v>
      </x:c>
      <x:c r="D2085" s="44" t="n">
        <x:v>216.59773088099502</x:v>
      </x:c>
      <x:c r="E2085" s="44" t="n">
        <x:v>3514.301656750572</x:v>
      </x:c>
      <x:c r="F2085" s="44" t="n">
        <x:v>116.68796517792092</x:v>
      </x:c>
      <x:c r="G2085" s="44" t="n">
        <x:v>269.50755148741416</x:v>
      </x:c>
      <x:c r="H2085" s="44" t="n">
        <x:v>8721.905095703098</x:v>
      </x:c>
      <x:c r="I2085" s="44" t="n">
        <x:v>12839</x:v>
      </x:c>
      <x:c r="J2085" s="44" t="n">
        <x:v>3738</x:v>
      </x:c>
      <x:c r="K2085" s="44" t="n">
        <x:v>186.85646036097543</x:v>
      </x:c>
      <x:c r="L2085" s="44" t="n">
        <x:v>70.16849518305452</x:v>
      </x:c>
    </x:row>
    <x:row r="2086" ht="15" hidden="0" customHeight="1">
      <x:c r="A2086" s="27" t="str">
        <x:v>21197</x:v>
      </x:c>
      <x:c r="B2086" s="27" t="str">
        <x:v>SCA-22</x:v>
      </x:c>
      <x:c r="C2086" s="43" t="n">
        <x:v>12812</x:v>
      </x:c>
      <x:c r="D2086" s="43" t="n">
        <x:v>199.1109268075504</x:v>
      </x:c>
      <x:c r="E2086" s="43" t="n">
        <x:v>3098.1598485804416</x:v>
      </x:c>
      <x:c r="F2086" s="43" t="n">
        <x:v>116.44257417707942</x:v>
      </x:c>
      <x:c r="G2086" s="43" t="n">
        <x:v>611.9517350157729</x:v>
      </x:c>
      <x:c r="H2086" s="43" t="n">
        <x:v>8786.334915419156</x:v>
      </x:c>
      <x:c r="I2086" s="43" t="n">
        <x:v>12812</x:v>
      </x:c>
      <x:c r="J2086" s="43" t="n">
        <x:v>3194</x:v>
      </x:c>
      <x:c r="K2086" s="43" t="n">
        <x:v>186.46350729377812</x:v>
      </x:c>
      <x:c r="L2086" s="43" t="n">
        <x:v>70.02093311669869</x:v>
      </x:c>
    </x:row>
    <x:row r="2087" ht="15" hidden="0" customHeight="1">
      <x:c r="A2087" s="29" t="str">
        <x:v>21061</x:v>
      </x:c>
      <x:c r="B2087" s="29" t="str">
        <x:v>SCA-22</x:v>
      </x:c>
      <x:c r="C2087" s="44" t="n">
        <x:v>12749</x:v>
      </x:c>
      <x:c r="D2087" s="44" t="n">
        <x:v>194.0925714493236</x:v>
      </x:c>
      <x:c r="E2087" s="44" t="n">
        <x:v>2985.9827956989243</x:v>
      </x:c>
      <x:c r="F2087" s="44" t="n">
        <x:v>115.86999517511596</x:v>
      </x:c>
      <x:c r="G2087" s="44" t="n">
        <x:v>390.11045943304003</x:v>
      </x:c>
      <x:c r="H2087" s="44" t="n">
        <x:v>9062.944178243595</x:v>
      </x:c>
      <x:c r="I2087" s="44" t="n">
        <x:v>12749</x:v>
      </x:c>
      <x:c r="J2087" s="44" t="n">
        <x:v>2995</x:v>
      </x:c>
      <x:c r="K2087" s="44" t="n">
        <x:v>185.54661680365103</x:v>
      </x:c>
      <x:c r="L2087" s="44" t="n">
        <x:v>69.67662162853509</x:v>
      </x:c>
    </x:row>
    <x:row r="2088" ht="15" hidden="0" customHeight="1">
      <x:c r="A2088" s="27" t="str">
        <x:v>47169</x:v>
      </x:c>
      <x:c r="B2088" s="27" t="str">
        <x:v>SCA-22</x:v>
      </x:c>
      <x:c r="C2088" s="43" t="n">
        <x:v>12623</x:v>
      </x:c>
      <x:c r="D2088" s="43" t="n">
        <x:v>114.95399204809334</x:v>
      </x:c>
      <x:c r="E2088" s="43" t="n">
        <x:v>1424.4530041152261</x:v>
      </x:c>
      <x:c r="F2088" s="43" t="n">
        <x:v>80.85177423867344</x:v>
      </x:c>
      <x:c r="G2088" s="43" t="n">
        <x:v>184.43252083992826</x:v>
      </x:c>
      <x:c r="H2088" s="43" t="n">
        <x:v>10818.308708758079</x:v>
      </x:c>
      <x:c r="I2088" s="43" t="n">
        <x:v>12623</x:v>
      </x:c>
      <x:c r="J2088" s="43" t="n">
        <x:v>1114</x:v>
      </x:c>
      <x:c r="K2088" s="43" t="n">
        <x:v>136.45355778196569</x:v>
      </x:c>
      <x:c r="L2088" s="43" t="n">
        <x:v>55.601783543292235</x:v>
      </x:c>
    </x:row>
    <x:row r="2089" ht="15" hidden="0" customHeight="1">
      <x:c r="A2089" s="29" t="str">
        <x:v>21033</x:v>
      </x:c>
      <x:c r="B2089" s="29" t="str">
        <x:v>SCA-22</x:v>
      </x:c>
      <x:c r="C2089" s="44" t="n">
        <x:v>12609</x:v>
      </x:c>
      <x:c r="D2089" s="44" t="n">
        <x:v>205.2457913465531</x:v>
      </x:c>
      <x:c r="E2089" s="44" t="n">
        <x:v>3272.023352601156</x:v>
      </x:c>
      <x:c r="F2089" s="44" t="n">
        <x:v>114.5975973929749</x:v>
      </x:c>
      <x:c r="G2089" s="44" t="n">
        <x:v>323.98169556840077</x:v>
      </x:c>
      <x:c r="H2089" s="44" t="n">
        <x:v>8693.151563090914</x:v>
      </x:c>
      <x:c r="I2089" s="44" t="n">
        <x:v>12609</x:v>
      </x:c>
      <x:c r="J2089" s="44" t="n">
        <x:v>3367</x:v>
      </x:c>
      <x:c r="K2089" s="44" t="n">
        <x:v>183.50908238114644</x:v>
      </x:c>
      <x:c r="L2089" s="44" t="n">
        <x:v>68.91148498817154</x:v>
      </x:c>
    </x:row>
    <x:row r="2090" ht="15" hidden="0" customHeight="1">
      <x:c r="A2090" s="27" t="str">
        <x:v>21025</x:v>
      </x:c>
      <x:c r="B2090" s="27" t="str">
        <x:v>SCA-22</x:v>
      </x:c>
      <x:c r="C2090" s="43" t="n">
        <x:v>12558</x:v>
      </x:c>
      <x:c r="D2090" s="43" t="n">
        <x:v>229.07969668457324</x:v>
      </x:c>
      <x:c r="E2090" s="43" t="n">
        <x:v>3850.726561055105</x:v>
      </x:c>
      <x:c r="F2090" s="43" t="n">
        <x:v>114.1340810580521</x:v>
      </x:c>
      <x:c r="G2090" s="43" t="n">
        <x:v>772.8078905480179</x:v>
      </x:c>
      <x:c r="H2090" s="43" t="n">
        <x:v>7591.251770654251</x:v>
      </x:c>
      <x:c r="I2090" s="43" t="n">
        <x:v>12558</x:v>
      </x:c>
      <x:c r="J2090" s="43" t="n">
        <x:v>4214</x:v>
      </x:c>
      <x:c r="K2090" s="43" t="n">
        <x:v>182.7668376986626</x:v>
      </x:c>
      <x:c r="L2090" s="43" t="n">
        <x:v>68.63275664061052</x:v>
      </x:c>
    </x:row>
    <x:row r="2091" ht="15" hidden="0" customHeight="1">
      <x:c r="A2091" s="29" t="str">
        <x:v>21031</x:v>
      </x:c>
      <x:c r="B2091" s="29" t="str">
        <x:v>SCA-22</x:v>
      </x:c>
      <x:c r="C2091" s="44" t="n">
        <x:v>12520</x:v>
      </x:c>
      <x:c r="D2091" s="44" t="n">
        <x:v>162.17391847321954</x:v>
      </x:c>
      <x:c r="E2091" s="44" t="n">
        <x:v>2249.972202668413</x:v>
      </x:c>
      <x:c r="F2091" s="44" t="n">
        <x:v>113.78871594575666</x:v>
      </x:c>
      <x:c r="G2091" s="44" t="n">
        <x:v>709.9824015715807</x:v>
      </x:c>
      <x:c r="H2091" s="44" t="n">
        <x:v>9284.08276134103</x:v>
      </x:c>
      <x:c r="I2091" s="44" t="n">
        <x:v>12520</x:v>
      </x:c>
      <x:c r="J2091" s="44" t="n">
        <x:v>2287</x:v>
      </x:c>
      <x:c r="K2091" s="44" t="n">
        <x:v>182.21379264112565</x:v>
      </x:c>
      <x:c r="L2091" s="44" t="n">
        <x:v>68.42507669536899</x:v>
      </x:c>
    </x:row>
    <x:row r="2092" ht="15" hidden="0" customHeight="1">
      <x:c r="A2092" s="27" t="str">
        <x:v>47087</x:v>
      </x:c>
      <x:c r="B2092" s="27" t="str">
        <x:v>SCA-22</x:v>
      </x:c>
      <x:c r="C2092" s="43" t="n">
        <x:v>12466</x:v>
      </x:c>
      <x:c r="D2092" s="43" t="n">
        <x:v>174.31000430634646</x:v>
      </x:c>
      <x:c r="E2092" s="43" t="n">
        <x:v>2865.5945826665543</x:v>
      </x:c>
      <x:c r="F2092" s="43" t="n">
        <x:v>79.84617108922626</x:v>
      </x:c>
      <x:c r="G2092" s="43" t="n">
        <x:v>293.5719700160027</x:v>
      </x:c>
      <x:c r="H2092" s="43" t="n">
        <x:v>9052.677271921872</x:v>
      </x:c>
      <x:c r="I2092" s="43" t="n">
        <x:v>12466</x:v>
      </x:c>
      <x:c r="J2092" s="43" t="n">
        <x:v>2843</x:v>
      </x:c>
      <x:c r="K2092" s="43" t="n">
        <x:v>134.75640111779958</x:v>
      </x:c>
      <x:c r="L2092" s="43" t="n">
        <x:v>54.910230028573324</x:v>
      </x:c>
    </x:row>
    <x:row r="2093" ht="15" hidden="0" customHeight="1">
      <x:c r="A2093" s="29" t="str">
        <x:v>21229</x:v>
      </x:c>
      <x:c r="B2093" s="29" t="str">
        <x:v>SCA-22</x:v>
      </x:c>
      <x:c r="C2093" s="44" t="n">
        <x:v>12368</x:v>
      </x:c>
      <x:c r="D2093" s="44" t="n">
        <x:v>181.28469950004927</x:v>
      </x:c>
      <x:c r="E2093" s="44" t="n">
        <x:v>2728.568222055514</x:v>
      </x:c>
      <x:c r="F2093" s="44" t="n">
        <x:v>112.40725549657493</x:v>
      </x:c>
      <x:c r="G2093" s="44" t="n">
        <x:v>379.3198299574894</x:v>
      </x:c>
      <x:c r="H2093" s="44" t="n">
        <x:v>8966.419992990372</x:v>
      </x:c>
      <x:c r="I2093" s="44" t="n">
        <x:v>12368</x:v>
      </x:c>
      <x:c r="J2093" s="44" t="n">
        <x:v>2757</x:v>
      </x:c>
      <x:c r="K2093" s="44" t="n">
        <x:v>180.0016124109778</x:v>
      </x:c>
      <x:c r="L2093" s="44" t="n">
        <x:v>67.59435691440285</x:v>
      </x:c>
    </x:row>
    <x:row r="2094" ht="15" hidden="0" customHeight="1">
      <x:c r="A2094" s="27" t="str">
        <x:v>18125</x:v>
      </x:c>
      <x:c r="B2094" s="27" t="str">
        <x:v>SCA-22</x:v>
      </x:c>
      <x:c r="C2094" s="43" t="n">
        <x:v>12003</x:v>
      </x:c>
      <x:c r="D2094" s="43" t="n">
        <x:v>156.97933670254218</x:v>
      </x:c>
      <x:c r="E2094" s="43" t="n">
        <x:v>1803.5812173913043</x:v>
      </x:c>
      <x:c r="F2094" s="43" t="n">
        <x:v>78.13342391768411</x:v>
      </x:c>
      <x:c r="G2094" s="43" t="n">
        <x:v>293.53043478260867</x:v>
      </x:c>
      <x:c r="H2094" s="43" t="n">
        <x:v>9670.77558720586</x:v>
      </x:c>
      <x:c r="I2094" s="43" t="n">
        <x:v>12003</x:v>
      </x:c>
      <x:c r="J2094" s="43" t="n">
        <x:v>1872</x:v>
      </x:c>
      <x:c r="K2094" s="43" t="n">
        <x:v>159.96354322892194</x:v>
      </x:c>
      <x:c r="L2094" s="43" t="n">
        <x:v>81.83011931123782</x:v>
      </x:c>
    </x:row>
    <x:row r="2095" ht="15" hidden="0" customHeight="1">
      <x:c r="A2095" s="29" t="str">
        <x:v>18009</x:v>
      </x:c>
      <x:c r="B2095" s="29" t="str">
        <x:v>SCA-22</x:v>
      </x:c>
      <x:c r="C2095" s="44" t="n">
        <x:v>11730</x:v>
      </x:c>
      <x:c r="D2095" s="44" t="n">
        <x:v>175.02445226781634</x:v>
      </x:c>
      <x:c r="E2095" s="44" t="n">
        <x:v>2281.3320690822893</x:v>
      </x:c>
      <x:c r="F2095" s="44" t="n">
        <x:v>76.35633279633716</x:v>
      </x:c>
      <x:c r="G2095" s="44" t="n">
        <x:v>462.0987555028784</x:v>
      </x:c>
      <x:c r="H2095" s="44" t="n">
        <x:v>8735.188390350679</x:v>
      </x:c>
      <x:c r="I2095" s="44" t="n">
        <x:v>11730</x:v>
      </x:c>
      <x:c r="J2095" s="44" t="n">
        <x:v>2393</x:v>
      </x:c>
      <x:c r="K2095" s="44" t="n">
        <x:v>156.32528218572477</x:v>
      </x:c>
      <x:c r="L2095" s="44" t="n">
        <x:v>79.96894938938762</x:v>
      </x:c>
    </x:row>
    <x:row r="2096" ht="15" hidden="0" customHeight="1">
      <x:c r="A2096" s="27" t="str">
        <x:v>21087</x:v>
      </x:c>
      <x:c r="B2096" s="27" t="str">
        <x:v>SCA-22</x:v>
      </x:c>
      <x:c r="C2096" s="43" t="n">
        <x:v>11644</x:v>
      </x:c>
      <x:c r="D2096" s="43" t="n">
        <x:v>176.4030770516331</x:v>
      </x:c>
      <x:c r="E2096" s="43" t="n">
        <x:v>2706.3736708860756</x:v>
      </x:c>
      <x:c r="F2096" s="43" t="n">
        <x:v>105.82714125178838</x:v>
      </x:c>
      <x:c r="G2096" s="43" t="n">
        <x:v>170.5250490283473</x:v>
      </x:c>
      <x:c r="H2096" s="43" t="n">
        <x:v>8484.871061782156</x:v>
      </x:c>
      <x:c r="I2096" s="43" t="n">
        <x:v>11644</x:v>
      </x:c>
      <x:c r="J2096" s="43" t="n">
        <x:v>2716</x:v>
      </x:c>
      <x:c r="K2096" s="43" t="n">
        <x:v>169.4646486831683</x:v>
      </x:c>
      <x:c r="L2096" s="43" t="n">
        <x:v>63.637507431379916</x:v>
      </x:c>
    </x:row>
    <x:row r="2097" ht="15" hidden="0" customHeight="1">
      <x:c r="A2097" s="29" t="str">
        <x:v>21187</x:v>
      </x:c>
      <x:c r="B2097" s="29" t="str">
        <x:v>SCA-22</x:v>
      </x:c>
      <x:c r="C2097" s="44" t="n">
        <x:v>11601</x:v>
      </x:c>
      <x:c r="D2097" s="44" t="n">
        <x:v>150.23701377436694</x:v>
      </x:c>
      <x:c r="E2097" s="44" t="n">
        <x:v>2084.028302323511</x:v>
      </x:c>
      <x:c r="F2097" s="44" t="n">
        <x:v>105.43633336155935</x:v>
      </x:c>
      <x:c r="G2097" s="44" t="n">
        <x:v>286.944093296537</x:v>
      </x:c>
      <x:c r="H2097" s="44" t="n">
        <x:v>8974.354257244026</x:v>
      </x:c>
      <x:c r="I2097" s="44" t="n">
        <x:v>11601</x:v>
      </x:c>
      <x:c r="J2097" s="44" t="n">
        <x:v>2102</x:v>
      </x:c>
      <x:c r="K2097" s="44" t="n">
        <x:v>168.83883453911332</x:v>
      </x:c>
      <x:c r="L2097" s="44" t="n">
        <x:v>63.402501177553965</x:v>
      </x:c>
    </x:row>
    <x:row r="2098" ht="15" hidden="0" customHeight="1">
      <x:c r="A2098" s="27" t="str">
        <x:v>21171</x:v>
      </x:c>
      <x:c r="B2098" s="27" t="str">
        <x:v>SCA-22</x:v>
      </x:c>
      <x:c r="C2098" s="43" t="n">
        <x:v>11191</x:v>
      </x:c>
      <x:c r="D2098" s="43" t="n">
        <x:v>161.6842698499847</x:v>
      </x:c>
      <x:c r="E2098" s="43" t="n">
        <x:v>2412.5406234324614</x:v>
      </x:c>
      <x:c r="F2098" s="43" t="n">
        <x:v>101.71002557100343</x:v>
      </x:c>
      <x:c r="G2098" s="43" t="n">
        <x:v>269.8527409530634</x:v>
      </x:c>
      <x:c r="H2098" s="43" t="n">
        <x:v>8245.212340193488</x:v>
      </x:c>
      <x:c r="I2098" s="43" t="n">
        <x:v>11191</x:v>
      </x:c>
      <x:c r="J2098" s="43" t="n">
        <x:v>2507</x:v>
      </x:c>
      <x:c r="K2098" s="43" t="n">
        <x:v>162.87176944463556</x:v>
      </x:c>
      <x:c r="L2098" s="43" t="n">
        <x:v>61.16174387363214</x:v>
      </x:c>
    </x:row>
    <x:row r="2099" ht="15" hidden="0" customHeight="1">
      <x:c r="A2099" s="29" t="str">
        <x:v>21041</x:v>
      </x:c>
      <x:c r="B2099" s="29" t="str">
        <x:v>SCA-22</x:v>
      </x:c>
      <x:c r="C2099" s="44" t="n">
        <x:v>11141</x:v>
      </x:c>
      <x:c r="D2099" s="44" t="n">
        <x:v>138.68276596777866</x:v>
      </x:c>
      <x:c r="E2099" s="44" t="n">
        <x:v>1867.0628443197754</x:v>
      </x:c>
      <x:c r="F2099" s="44" t="n">
        <x:v>101.25559779166734</x:v>
      </x:c>
      <x:c r="G2099" s="44" t="n">
        <x:v>392.9058438522674</x:v>
      </x:c>
      <x:c r="H2099" s="44" t="n">
        <x:v>8641.092948068512</x:v>
      </x:c>
      <x:c r="I2099" s="44" t="n">
        <x:v>11141</x:v>
      </x:c>
      <x:c r="J2099" s="44" t="n">
        <x:v>1867</x:v>
      </x:c>
      <x:c r="K2099" s="44" t="n">
        <x:v>162.14407857945534</x:v>
      </x:c>
      <x:c r="L2099" s="44" t="n">
        <x:v>60.88848078778801</x:v>
      </x:c>
    </x:row>
    <x:row r="2100" ht="15" hidden="0" customHeight="1">
      <x:c r="A2100" s="27" t="str">
        <x:v>21153</x:v>
      </x:c>
      <x:c r="B2100" s="27" t="str">
        <x:v>SCA-22</x:v>
      </x:c>
      <x:c r="C2100" s="43" t="n">
        <x:v>11110</x:v>
      </x:c>
      <x:c r="D2100" s="43" t="n">
        <x:v>199.65590634295336</x:v>
      </x:c>
      <x:c r="E2100" s="43" t="n">
        <x:v>3334.484368041329</x:v>
      </x:c>
      <x:c r="F2100" s="43" t="n">
        <x:v>100.97385256847897</x:v>
      </x:c>
      <x:c r="G2100" s="43" t="n">
        <x:v>472.56056827291354</x:v>
      </x:c>
      <x:c r="H2100" s="43" t="n">
        <x:v>7002.325304774325</x:v>
      </x:c>
      <x:c r="I2100" s="43" t="n">
        <x:v>11110</x:v>
      </x:c>
      <x:c r="J2100" s="43" t="n">
        <x:v>3510</x:v>
      </x:c>
      <x:c r="K2100" s="43" t="n">
        <x:v>161.69291024304363</x:v>
      </x:c>
      <x:c r="L2100" s="43" t="n">
        <x:v>60.71905767456465</x:v>
      </x:c>
    </x:row>
    <x:row r="2101" ht="15" hidden="0" customHeight="1">
      <x:c r="A2101" s="29" t="str">
        <x:v>17185</x:v>
      </x:c>
      <x:c r="B2101" s="29" t="str">
        <x:v>SCA-22</x:v>
      </x:c>
      <x:c r="C2101" s="44" t="n">
        <x:v>10907</x:v>
      </x:c>
      <x:c r="D2101" s="44" t="n">
        <x:v>175.1121131852773</x:v>
      </x:c>
      <x:c r="E2101" s="44" t="n">
        <x:v>2471.963271078876</x:v>
      </x:c>
      <x:c r="F2101" s="44" t="n">
        <x:v>55.641620607117964</x:v>
      </x:c>
      <x:c r="G2101" s="44" t="n">
        <x:v>622.5920217588396</x:v>
      </x:c>
      <x:c r="H2101" s="44" t="n">
        <x:v>7581.690973369889</x:v>
      </x:c>
      <x:c r="I2101" s="44" t="n">
        <x:v>10907</x:v>
      </x:c>
      <x:c r="J2101" s="44" t="n">
        <x:v>2604</x:v>
      </x:c>
      <x:c r="K2101" s="44" t="n">
        <x:v>127.7552641641088</x:v>
      </x:c>
      <x:c r="L2101" s="44" t="n">
        <x:v>72.11364355699082</x:v>
      </x:c>
    </x:row>
    <x:row r="2102" ht="15" hidden="0" customHeight="1">
      <x:c r="A2102" s="27" t="str">
        <x:v>21159</x:v>
      </x:c>
      <x:c r="B2102" s="27" t="str">
        <x:v>SCA-22</x:v>
      </x:c>
      <x:c r="C2102" s="43" t="n">
        <x:v>10697</x:v>
      </x:c>
      <x:c r="D2102" s="43" t="n">
        <x:v>195.96452668275344</x:v>
      </x:c>
      <x:c r="E2102" s="43" t="n">
        <x:v>3300.0629303342707</x:v>
      </x:c>
      <x:c r="F2102" s="43" t="n">
        <x:v>97.22027911116287</x:v>
      </x:c>
      <x:c r="G2102" s="43" t="n">
        <x:v>415.6682807456003</x:v>
      </x:c>
      <x:c r="H2102" s="43" t="n">
        <x:v>6688.083983126212</x:v>
      </x:c>
      <x:c r="I2102" s="43" t="n">
        <x:v>10697</x:v>
      </x:c>
      <x:c r="J2102" s="43" t="n">
        <x:v>3086</x:v>
      </x:c>
      <x:c r="K2102" s="43" t="n">
        <x:v>155.68218369665504</x:v>
      </x:c>
      <x:c r="L2102" s="43" t="n">
        <x:v>58.46190458549218</x:v>
      </x:c>
    </x:row>
    <x:row r="2103" ht="15" hidden="0" customHeight="1">
      <x:c r="A2103" s="29" t="str">
        <x:v>21169</x:v>
      </x:c>
      <x:c r="B2103" s="29" t="str">
        <x:v>SCA-22</x:v>
      </x:c>
      <x:c r="C2103" s="44" t="n">
        <x:v>10583</x:v>
      </x:c>
      <x:c r="D2103" s="44" t="n">
        <x:v>147.78516569626169</x:v>
      </x:c>
      <x:c r="E2103" s="44" t="n">
        <x:v>2158.711222715858</x:v>
      </x:c>
      <x:c r="F2103" s="44" t="n">
        <x:v>96.18418377427659</x:v>
      </x:c>
      <x:c r="G2103" s="44" t="n">
        <x:v>381.94803940506085</x:v>
      </x:c>
      <x:c r="H2103" s="44" t="n">
        <x:v>7798.371388408543</x:v>
      </x:c>
      <x:c r="I2103" s="44" t="n">
        <x:v>10583</x:v>
      </x:c>
      <x:c r="J2103" s="44" t="n">
        <x:v>2200</x:v>
      </x:c>
      <x:c r="K2103" s="44" t="n">
        <x:v>154.02304852404416</x:v>
      </x:c>
      <x:c r="L2103" s="44" t="n">
        <x:v>57.83886474976757</x:v>
      </x:c>
    </x:row>
    <x:row r="2104" ht="15" hidden="0" customHeight="1">
      <x:c r="A2104" s="27" t="str">
        <x:v>18025</x:v>
      </x:c>
      <x:c r="B2104" s="27" t="str">
        <x:v>SCA-22</x:v>
      </x:c>
      <x:c r="C2104" s="43" t="n">
        <x:v>10509</x:v>
      </x:c>
      <x:c r="D2104" s="43" t="n">
        <x:v>147.70036729221437</x:v>
      </x:c>
      <x:c r="E2104" s="43" t="n">
        <x:v>1825.3332362242452</x:v>
      </x:c>
      <x:c r="F2104" s="43" t="n">
        <x:v>68.40824393492817</x:v>
      </x:c>
      <x:c r="G2104" s="43" t="n">
        <x:v>473.42271202683276</x:v>
      </x:c>
      <x:c r="H2104" s="43" t="n">
        <x:v>7994.13544052178</x:v>
      </x:c>
      <x:c r="I2104" s="43" t="n">
        <x:v>10509</x:v>
      </x:c>
      <x:c r="J2104" s="43" t="n">
        <x:v>1888</x:v>
      </x:c>
      <x:c r="K2104" s="43" t="n">
        <x:v>140.05305971779896</x:v>
      </x:c>
      <x:c r="L2104" s="43" t="n">
        <x:v>71.6448157828708</x:v>
      </x:c>
    </x:row>
    <x:row r="2105" ht="15" hidden="0" customHeight="1">
      <x:c r="A2105" s="29" t="str">
        <x:v>18155</x:v>
      </x:c>
      <x:c r="B2105" s="29" t="str">
        <x:v>SCA-22</x:v>
      </x:c>
      <x:c r="C2105" s="44" t="n">
        <x:v>10037</x:v>
      </x:c>
      <x:c r="D2105" s="44" t="n">
        <x:v>155.64475572015337</x:v>
      </x:c>
      <x:c r="E2105" s="44" t="n">
        <x:v>2093.2268840432034</x:v>
      </x:c>
      <x:c r="F2105" s="44" t="n">
        <x:v>65.33576404747112</x:v>
      </x:c>
      <x:c r="G2105" s="44" t="n">
        <x:v>500.9659669859384</x:v>
      </x:c>
      <x:c r="H2105" s="44" t="n">
        <x:v>7221.826629203234</x:v>
      </x:c>
      <x:c r="I2105" s="44" t="n">
        <x:v>10037</x:v>
      </x:c>
      <x:c r="J2105" s="44" t="n">
        <x:v>2132</x:v>
      </x:c>
      <x:c r="K2105" s="44" t="n">
        <x:v>133.76273293249102</x:v>
      </x:c>
      <x:c r="L2105" s="44" t="n">
        <x:v>68.4269688850199</x:v>
      </x:c>
    </x:row>
    <x:row r="2106" ht="15" hidden="0" customHeight="1">
      <x:c r="A2106" s="27" t="str">
        <x:v>18101</x:v>
      </x:c>
      <x:c r="B2106" s="27" t="str">
        <x:v>SCA-22</x:v>
      </x:c>
      <x:c r="C2106" s="43" t="n">
        <x:v>9856</x:v>
      </x:c>
      <x:c r="D2106" s="43" t="n">
        <x:v>136.94409827450173</x:v>
      </x:c>
      <x:c r="E2106" s="43" t="n">
        <x:v>1674.0262047633776</x:v>
      </x:c>
      <x:c r="F2106" s="43" t="n">
        <x:v>64.15754612452677</x:v>
      </x:c>
      <x:c r="G2106" s="43" t="n">
        <x:v>210.29554593257038</x:v>
      </x:c>
      <x:c r="H2106" s="43" t="n">
        <x:v>7770.576604905024</x:v>
      </x:c>
      <x:c r="I2106" s="43" t="n">
        <x:v>9856</x:v>
      </x:c>
      <x:c r="J2106" s="43" t="n">
        <x:v>1716</x:v>
      </x:c>
      <x:c r="K2106" s="43" t="n">
        <x:v>131.35055253388776</x:v>
      </x:c>
      <x:c r="L2106" s="43" t="n">
        <x:v>67.19300640936099</x:v>
      </x:c>
    </x:row>
    <x:row r="2107" ht="15" hidden="0" customHeight="1">
      <x:c r="A2107" s="29" t="str">
        <x:v>21131</x:v>
      </x:c>
      <x:c r="B2107" s="29" t="str">
        <x:v>SCA-22</x:v>
      </x:c>
      <x:c r="C2107" s="44" t="n">
        <x:v>9627</x:v>
      </x:c>
      <x:c r="D2107" s="44" t="n">
        <x:v>158.00812014703743</x:v>
      </x:c>
      <x:c r="E2107" s="44" t="n">
        <x:v>2529.4570943666295</x:v>
      </x:c>
      <x:c r="F2107" s="44" t="n">
        <x:v>87.49552463337056</x:v>
      </x:c>
      <x:c r="G2107" s="44" t="n">
        <x:v>338.4586443103977</x:v>
      </x:c>
      <x:c r="H2107" s="44" t="n">
        <x:v>6513.580616542565</x:v>
      </x:c>
      <x:c r="I2107" s="44" t="n">
        <x:v>9627</x:v>
      </x:c>
      <x:c r="J2107" s="44" t="n">
        <x:v>2677</x:v>
      </x:c>
      <x:c r="K2107" s="44" t="n">
        <x:v>140.10959918179847</x:v>
      </x:c>
      <x:c r="L2107" s="44" t="n">
        <x:v>52.6140745484279</x:v>
      </x:c>
    </x:row>
    <x:row r="2108" ht="15" hidden="0" customHeight="1">
      <x:c r="A2108" s="27" t="str">
        <x:v>21053</x:v>
      </x:c>
      <x:c r="B2108" s="27" t="str">
        <x:v>SCA-22</x:v>
      </x:c>
      <x:c r="C2108" s="43" t="n">
        <x:v>9139</x:v>
      </x:c>
      <x:c r="D2108" s="43" t="n">
        <x:v>131.2766672453256</x:v>
      </x:c>
      <x:c r="E2108" s="43" t="n">
        <x:v>1951.9113699536729</x:v>
      </x:c>
      <x:c r="F2108" s="43" t="n">
        <x:v>83.06030950705033</x:v>
      </x:c>
      <x:c r="G2108" s="43" t="n">
        <x:v>100.30013236267372</x:v>
      </x:c>
      <x:c r="H2108" s="43" t="n">
        <x:v>6872.451520931278</x:v>
      </x:c>
      <x:c r="I2108" s="43" t="n">
        <x:v>9139</x:v>
      </x:c>
      <x:c r="J2108" s="43" t="n">
        <x:v>2017</x:v>
      </x:c>
      <x:c r="K2108" s="43" t="n">
        <x:v>133.00733633763957</x:v>
      </x:c>
      <x:c r="L2108" s="43" t="n">
        <x:v>49.94702683058923</x:v>
      </x:c>
    </x:row>
    <x:row r="2109" ht="15" hidden="0" customHeight="1">
      <x:c r="A2109" s="29" t="str">
        <x:v>21143</x:v>
      </x:c>
      <x:c r="B2109" s="29" t="str">
        <x:v>SCA-22</x:v>
      </x:c>
      <x:c r="C2109" s="44" t="n">
        <x:v>9123</x:v>
      </x:c>
      <x:c r="D2109" s="44" t="n">
        <x:v>177.5392716350711</x:v>
      </x:c>
      <x:c r="E2109" s="44" t="n">
        <x:v>3064.3125358068473</x:v>
      </x:c>
      <x:c r="F2109" s="44" t="n">
        <x:v>82.9148926176628</x:v>
      </x:c>
      <x:c r="G2109" s="44" t="n">
        <x:v>232.74150866184698</x:v>
      </x:c>
      <x:c r="H2109" s="44" t="n">
        <x:v>5565.491791278571</x:v>
      </x:c>
      <x:c r="I2109" s="44" t="n">
        <x:v>9123</x:v>
      </x:c>
      <x:c r="J2109" s="44" t="n">
        <x:v>2565</x:v>
      </x:c>
      <x:c r="K2109" s="44" t="n">
        <x:v>132.7744752607819</x:v>
      </x:c>
      <x:c r="L2109" s="44" t="n">
        <x:v>49.85958264311911</x:v>
      </x:c>
    </x:row>
    <x:row r="2110" ht="15" hidden="0" customHeight="1">
      <x:c r="A2110" s="27" t="str">
        <x:v>21149</x:v>
      </x:c>
      <x:c r="B2110" s="27" t="str">
        <x:v>SCA-22</x:v>
      </x:c>
      <x:c r="C2110" s="43" t="n">
        <x:v>9064</x:v>
      </x:c>
      <x:c r="D2110" s="43" t="n">
        <x:v>121.07129822370877</x:v>
      </x:c>
      <x:c r="E2110" s="43" t="n">
        <x:v>1716.819984525257</x:v>
      </x:c>
      <x:c r="F2110" s="43" t="n">
        <x:v>82.3786678380462</x:v>
      </x:c>
      <x:c r="G2110" s="43" t="n">
        <x:v>197.86481706643085</x:v>
      </x:c>
      <x:c r="H2110" s="43" t="n">
        <x:v>6945.865232346557</x:v>
      </x:c>
      <x:c r="I2110" s="43" t="n">
        <x:v>9064</x:v>
      </x:c>
      <x:c r="J2110" s="43" t="n">
        <x:v>1785</x:v>
      </x:c>
      <x:c r="K2110" s="43" t="n">
        <x:v>131.91580003986925</x:v>
      </x:c>
      <x:c r="L2110" s="43" t="n">
        <x:v>49.53713220182305</x:v>
      </x:c>
    </x:row>
    <x:row r="2111" ht="15" hidden="0" customHeight="1">
      <x:c r="A2111" s="29" t="str">
        <x:v>21091</x:v>
      </x:c>
      <x:c r="B2111" s="29" t="str">
        <x:v>SCA-22</x:v>
      </x:c>
      <x:c r="C2111" s="44" t="n">
        <x:v>9050</x:v>
      </x:c>
      <x:c r="D2111" s="44" t="n">
        <x:v>124.31115473081617</x:v>
      </x:c>
      <x:c r="E2111" s="44" t="n">
        <x:v>1796.4128686327076</x:v>
      </x:c>
      <x:c r="F2111" s="44" t="n">
        <x:v>82.25142805983208</x:v>
      </x:c>
      <x:c r="G2111" s="44" t="n">
        <x:v>206.63656166219837</x:v>
      </x:c>
      <x:c r="H2111" s="44" t="n">
        <x:v>6840.387986914446</x:v>
      </x:c>
      <x:c r="I2111" s="44" t="n">
        <x:v>9050</x:v>
      </x:c>
      <x:c r="J2111" s="44" t="n">
        <x:v>1851</x:v>
      </x:c>
      <x:c r="K2111" s="44" t="n">
        <x:v>131.71204659761878</x:v>
      </x:c>
      <x:c r="L2111" s="44" t="n">
        <x:v>49.460618537786694</x:v>
      </x:c>
    </x:row>
    <x:row r="2112" ht="15" hidden="0" customHeight="1">
      <x:c r="A2112" s="27" t="str">
        <x:v>21077</x:v>
      </x:c>
      <x:c r="B2112" s="27" t="str">
        <x:v>SCA-22</x:v>
      </x:c>
      <x:c r="C2112" s="43" t="n">
        <x:v>8840</x:v>
      </x:c>
      <x:c r="D2112" s="43" t="n">
        <x:v>111.15526327260864</x:v>
      </x:c>
      <x:c r="E2112" s="43" t="n">
        <x:v>1508.2163926888147</x:v>
      </x:c>
      <x:c r="F2112" s="43" t="n">
        <x:v>80.3428313866205</x:v>
      </x:c>
      <x:c r="G2112" s="43" t="n">
        <x:v>217.0815036211059</x:v>
      </x:c>
      <x:c r="H2112" s="43" t="n">
        <x:v>6923.20400903085</x:v>
      </x:c>
      <x:c r="I2112" s="43" t="n">
        <x:v>8840</x:v>
      </x:c>
      <x:c r="J2112" s="43" t="n">
        <x:v>1546</x:v>
      </x:c>
      <x:c r="K2112" s="43" t="n">
        <x:v>128.65574496386188</x:v>
      </x:c>
      <x:c r="L2112" s="43" t="n">
        <x:v>48.31291357724137</x:v>
      </x:c>
    </x:row>
    <x:row r="2113" ht="15" hidden="0" customHeight="1">
      <x:c r="A2113" s="29" t="str">
        <x:v>21055</x:v>
      </x:c>
      <x:c r="B2113" s="29" t="str">
        <x:v>SCA-22</x:v>
      </x:c>
      <x:c r="C2113" s="44" t="n">
        <x:v>8807</x:v>
      </x:c>
      <x:c r="D2113" s="44" t="n">
        <x:v>150.092491517731</x:v>
      </x:c>
      <x:c r="E2113" s="44" t="n">
        <x:v>2447.0383578515225</x:v>
      </x:c>
      <x:c r="F2113" s="44" t="n">
        <x:v>80.04290905225871</x:v>
      </x:c>
      <x:c r="G2113" s="44" t="n">
        <x:v>466.13479302086904</x:v>
      </x:c>
      <x:c r="H2113" s="44" t="n">
        <x:v>5663.691448557619</x:v>
      </x:c>
      <x:c r="I2113" s="44" t="n">
        <x:v>8807</x:v>
      </x:c>
      <x:c r="J2113" s="44" t="n">
        <x:v>2538</x:v>
      </x:c>
      <x:c r="K2113" s="44" t="n">
        <x:v>128.17546899284295</x:v>
      </x:c>
      <x:c r="L2113" s="44" t="n">
        <x:v>48.132559940584244</x:v>
      </x:c>
    </x:row>
    <x:row r="2114" ht="15" hidden="0" customHeight="1">
      <x:c r="A2114" s="27" t="str">
        <x:v>21223</x:v>
      </x:c>
      <x:c r="B2114" s="27" t="str">
        <x:v>SCA-22</x:v>
      </x:c>
      <x:c r="C2114" s="43" t="n">
        <x:v>8701</x:v>
      </x:c>
      <x:c r="D2114" s="43" t="n">
        <x:v>99.54041342905656</x:v>
      </x:c>
      <x:c r="E2114" s="43" t="n">
        <x:v>1247.6921095310847</x:v>
      </x:c>
      <x:c r="F2114" s="43" t="n">
        <x:v>79.0795221600662</x:v>
      </x:c>
      <x:c r="G2114" s="43" t="n">
        <x:v>108.88047949230227</x:v>
      </x:c>
      <x:c r="H2114" s="43" t="n">
        <x:v>7165.807475387491</x:v>
      </x:c>
      <x:c r="I2114" s="43" t="n">
        <x:v>8701</x:v>
      </x:c>
      <x:c r="J2114" s="43" t="n">
        <x:v>1271</x:v>
      </x:c>
      <x:c r="K2114" s="43" t="n">
        <x:v>126.63276435866089</x:v>
      </x:c>
      <x:c r="L2114" s="43" t="n">
        <x:v>47.553242198594695</x:v>
      </x:c>
    </x:row>
    <x:row r="2115" ht="15" hidden="0" customHeight="1">
      <x:c r="A2115" s="29" t="str">
        <x:v>21023</x:v>
      </x:c>
      <x:c r="B2115" s="29" t="str">
        <x:v>SCA-22</x:v>
      </x:c>
      <x:c r="C2115" s="44" t="n">
        <x:v>8511</x:v>
      </x:c>
      <x:c r="D2115" s="44" t="n">
        <x:v>114.2791918485011</x:v>
      </x:c>
      <x:c r="E2115" s="44" t="n">
        <x:v>1626.3443850267379</x:v>
      </x:c>
      <x:c r="F2115" s="44" t="n">
        <x:v>77.35269659858906</x:v>
      </x:c>
      <x:c r="G2115" s="44" t="n">
        <x:v>118.54070112893642</x:v>
      </x:c>
      <x:c r="H2115" s="44" t="n">
        <x:v>6574.483025397236</x:v>
      </x:c>
      <x:c r="I2115" s="44" t="n">
        <x:v>8511</x:v>
      </x:c>
      <x:c r="J2115" s="44" t="n">
        <x:v>1675</x:v>
      </x:c>
      <x:c r="K2115" s="44" t="n">
        <x:v>123.86753907097608</x:v>
      </x:c>
      <x:c r="L2115" s="44" t="n">
        <x:v>46.514842472387016</x:v>
      </x:c>
    </x:row>
    <x:row r="2116" ht="15" hidden="0" customHeight="1">
      <x:c r="A2116" s="27" t="str">
        <x:v>21181</x:v>
      </x:c>
      <x:c r="B2116" s="27" t="str">
        <x:v>SCA-22</x:v>
      </x:c>
      <x:c r="C2116" s="43" t="n">
        <x:v>7949</x:v>
      </x:c>
      <x:c r="D2116" s="43" t="n">
        <x:v>112.63219539799223</x:v>
      </x:c>
      <x:c r="E2116" s="43" t="n">
        <x:v>1660.5319202518363</x:v>
      </x:c>
      <x:c r="F2116" s="43" t="n">
        <x:v>72.24492835885141</x:v>
      </x:c>
      <x:c r="G2116" s="43" t="n">
        <x:v>487.04256295907663</x:v>
      </x:c>
      <x:c r="H2116" s="43" t="n">
        <x:v>5616.548393032243</x:v>
      </x:c>
      <x:c r="I2116" s="43" t="n">
        <x:v>7949</x:v>
      </x:c>
      <x:c r="J2116" s="43" t="n">
        <x:v>1659</x:v>
      </x:c>
      <x:c r="K2116" s="43" t="n">
        <x:v>115.68829374635047</x:v>
      </x:c>
      <x:c r="L2116" s="43" t="n">
        <x:v>43.44336538749905</x:v>
      </x:c>
    </x:row>
    <x:row r="2117" ht="15" hidden="0" customHeight="1">
      <x:c r="A2117" s="29" t="str">
        <x:v>47027</x:v>
      </x:c>
      <x:c r="B2117" s="29" t="str">
        <x:v>SCA-22</x:v>
      </x:c>
      <x:c r="C2117" s="44" t="n">
        <x:v>7821</x:v>
      </x:c>
      <x:c r="D2117" s="44" t="n">
        <x:v>106.25400818720009</x:v>
      </x:c>
      <x:c r="E2117" s="44" t="n">
        <x:v>1723.2977192520411</x:v>
      </x:c>
      <x:c r="F2117" s="44" t="n">
        <x:v>50.09440911991326</x:v>
      </x:c>
      <x:c r="G2117" s="44" t="n">
        <x:v>260.4211219383724</x:v>
      </x:c>
      <x:c r="H2117" s="44" t="n">
        <x:v>5680.932741502474</x:v>
      </x:c>
      <x:c r="I2117" s="44" t="n">
        <x:v>7821</x:v>
      </x:c>
      <x:c r="J2117" s="44" t="n">
        <x:v>1743</x:v>
      </x:c>
      <x:c r="K2117" s="44" t="n">
        <x:v>84.54434567161164</x:v>
      </x:c>
      <x:c r="L2117" s="44" t="n">
        <x:v>34.44993655169838</x:v>
      </x:c>
    </x:row>
    <x:row r="2118" ht="15" hidden="0" customHeight="1">
      <x:c r="A2118" s="27" t="str">
        <x:v>21129</x:v>
      </x:c>
      <x:c r="B2118" s="27" t="str">
        <x:v>SCA-22</x:v>
      </x:c>
      <x:c r="C2118" s="43" t="n">
        <x:v>7297</x:v>
      </x:c>
      <x:c r="D2118" s="43" t="n">
        <x:v>121.31859966885364</x:v>
      </x:c>
      <x:c r="E2118" s="43" t="n">
        <x:v>1954.526038098287</x:v>
      </x:c>
      <x:c r="F2118" s="43" t="n">
        <x:v>66.31919011630882</x:v>
      </x:c>
      <x:c r="G2118" s="43" t="n">
        <x:v>284.0685128861853</x:v>
      </x:c>
      <x:c r="H2118" s="43" t="n">
        <x:v>4870.767659230365</x:v>
      </x:c>
      <x:c r="I2118" s="43" t="n">
        <x:v>7297</x:v>
      </x:c>
      <x:c r="J2118" s="43" t="n">
        <x:v>1743</x:v>
      </x:c>
      <x:c r="K2118" s="43" t="n">
        <x:v>106.19920486440047</x:v>
      </x:c>
      <x:c r="L2118" s="43" t="n">
        <x:v>39.880014748091654</x:v>
      </x:c>
    </x:row>
    <x:row r="2119" ht="15" hidden="0" customHeight="1">
      <x:c r="A2119" s="29" t="str">
        <x:v>21063</x:v>
      </x:c>
      <x:c r="B2119" s="29" t="str">
        <x:v>SCA-22</x:v>
      </x:c>
      <x:c r="C2119" s="44" t="n">
        <x:v>7265</x:v>
      </x:c>
      <x:c r="D2119" s="44" t="n">
        <x:v>110.92337176412408</x:v>
      </x:c>
      <x:c r="E2119" s="44" t="n">
        <x:v>1709.237889383344</x:v>
      </x:c>
      <x:c r="F2119" s="44" t="n">
        <x:v>66.02835633753372</x:v>
      </x:c>
      <x:c r="G2119" s="44" t="n">
        <x:v>400.11125238397966</x:v>
      </x:c>
      <x:c r="H2119" s="44" t="n">
        <x:v>4978.699130131019</x:v>
      </x:c>
      <x:c r="I2119" s="44" t="n">
        <x:v>7265</x:v>
      </x:c>
      <x:c r="J2119" s="44" t="n">
        <x:v>1542</x:v>
      </x:c>
      <x:c r="K2119" s="44" t="n">
        <x:v>105.73348271068514</x:v>
      </x:c>
      <x:c r="L2119" s="44" t="n">
        <x:v>39.705126373151415</x:v>
      </x:c>
    </x:row>
    <x:row r="2120" ht="15" hidden="0" customHeight="1">
      <x:c r="A2120" s="27" t="str">
        <x:v>47067</x:v>
      </x:c>
      <x:c r="B2120" s="27" t="str">
        <x:v>SCA-22</x:v>
      </x:c>
      <x:c r="C2120" s="43" t="n">
        <x:v>7075</x:v>
      </x:c>
      <x:c r="D2120" s="43" t="n">
        <x:v>96.04092729646113</x:v>
      </x:c>
      <x:c r="E2120" s="43" t="n">
        <x:v>1557.0473073490032</x:v>
      </x:c>
      <x:c r="F2120" s="43" t="n">
        <x:v>45.31619288113877</x:v>
      </x:c>
      <x:c r="G2120" s="43" t="n">
        <x:v>331.4236834275513</x:v>
      </x:c>
      <x:c r="H2120" s="43" t="n">
        <x:v>5045.171889045846</x:v>
      </x:c>
      <x:c r="I2120" s="43" t="n">
        <x:v>7075</x:v>
      </x:c>
      <x:c r="J2120" s="43" t="n">
        <x:v>1541</x:v>
      </x:c>
      <x:c r="K2120" s="43" t="n">
        <x:v>76.48014903805809</x:v>
      </x:c>
      <x:c r="L2120" s="43" t="n">
        <x:v>31.16395615691932</x:v>
      </x:c>
    </x:row>
    <x:row r="2121" ht="15" hidden="0" customHeight="1">
      <x:c r="A2121" s="29" t="str">
        <x:v>18161</x:v>
      </x:c>
      <x:c r="B2121" s="29" t="str">
        <x:v>SCA-22</x:v>
      </x:c>
      <x:c r="C2121" s="44" t="n">
        <x:v>6863</x:v>
      </x:c>
      <x:c r="D2121" s="44" t="n">
        <x:v>85.42856581316882</x:v>
      </x:c>
      <x:c r="E2121" s="44" t="n">
        <x:v>927.3660917219498</x:v>
      </x:c>
      <x:c r="F2121" s="44" t="n">
        <x:v>44.67463870257988</x:v>
      </x:c>
      <x:c r="G2121" s="44" t="n">
        <x:v>203.64089991346984</x:v>
      </x:c>
      <x:c r="H2121" s="44" t="n">
        <x:v>5601.889803848831</x:v>
      </x:c>
      <x:c r="I2121" s="44" t="n">
        <x:v>6863</x:v>
      </x:c>
      <x:c r="J2121" s="44" t="n">
        <x:v>976</x:v>
      </x:c>
      <x:c r="K2121" s="44" t="n">
        <x:v>91.46295069400078</x:v>
      </x:c>
      <x:c r="L2121" s="44" t="n">
        <x:v>46.788311991420905</x:v>
      </x:c>
    </x:row>
    <x:row r="2122" ht="15" hidden="0" customHeight="1">
      <x:c r="A2122" s="27" t="str">
        <x:v>21165</x:v>
      </x:c>
      <x:c r="B2122" s="27" t="str">
        <x:v>SCA-22</x:v>
      </x:c>
      <x:c r="C2122" s="43" t="n">
        <x:v>6430</x:v>
      </x:c>
      <x:c r="D2122" s="43" t="n">
        <x:v>99.75407210097339</x:v>
      </x:c>
      <x:c r="E2122" s="43" t="n">
        <x:v>1550.6985422740522</x:v>
      </x:c>
      <x:c r="F2122" s="43" t="n">
        <x:v>58.43941242262104</x:v>
      </x:c>
      <x:c r="G2122" s="43" t="n">
        <x:v>204.04397473275026</x:v>
      </x:c>
      <x:c r="H2122" s="43" t="n">
        <x:v>4517.063998469604</x:v>
      </x:c>
      <x:c r="I2122" s="43" t="n">
        <x:v>6430</x:v>
      </x:c>
      <x:c r="J2122" s="43" t="n">
        <x:v>1551</x:v>
      </x:c>
      <x:c r="K2122" s="43" t="n">
        <x:v>93.58104526217556</x:v>
      </x:c>
      <x:c r="L2122" s="43" t="n">
        <x:v>35.141632839554525</x:v>
      </x:c>
    </x:row>
    <x:row r="2123" ht="15" hidden="0" customHeight="1">
      <x:c r="A2123" s="29" t="str">
        <x:v>21237</x:v>
      </x:c>
      <x:c r="B2123" s="29" t="str">
        <x:v>SCA-22</x:v>
      </x:c>
      <x:c r="C2123" s="44" t="n">
        <x:v>6298</x:v>
      </x:c>
      <x:c r="D2123" s="44" t="n">
        <x:v>108.45336277781287</x:v>
      </x:c>
      <x:c r="E2123" s="44" t="n">
        <x:v>1776.7954676372842</x:v>
      </x:c>
      <x:c r="F2123" s="44" t="n">
        <x:v>57.239723085173765</x:v>
      </x:c>
      <x:c r="G2123" s="44" t="n">
        <x:v>337.52745687608797</x:v>
      </x:c>
      <x:c r="H2123" s="44" t="n">
        <x:v>4017.983989623641</x:v>
      </x:c>
      <x:c r="I2123" s="44" t="n">
        <x:v>6298</x:v>
      </x:c>
      <x:c r="J2123" s="44" t="n">
        <x:v>1857</x:v>
      </x:c>
      <x:c r="K2123" s="44" t="n">
        <x:v>91.65994137809979</x:v>
      </x:c>
      <x:c r="L2123" s="44" t="n">
        <x:v>34.42021829292603</x:v>
      </x:c>
    </x:row>
    <x:row r="2124" ht="15" hidden="0" customHeight="1">
      <x:c r="A2124" s="27" t="str">
        <x:v>18115</x:v>
      </x:c>
      <x:c r="B2124" s="27" t="str">
        <x:v>SCA-22</x:v>
      </x:c>
      <x:c r="C2124" s="43" t="n">
        <x:v>5994</x:v>
      </x:c>
      <x:c r="D2124" s="43" t="n">
        <x:v>85.29525925897113</x:v>
      </x:c>
      <x:c r="E2124" s="43" t="n">
        <x:v>1066.3519354838709</x:v>
      </x:c>
      <x:c r="F2124" s="43" t="n">
        <x:v>39.017890774189674</x:v>
      </x:c>
      <x:c r="G2124" s="43" t="n">
        <x:v>184.93329973118279</x:v>
      </x:c>
      <x:c r="H2124" s="43" t="n">
        <x:v>4618.401614751785</x:v>
      </x:c>
      <x:c r="I2124" s="43" t="n">
        <x:v>5994</x:v>
      </x:c>
      <x:c r="J2124" s="43" t="n">
        <x:v>1103</x:v>
      </x:c>
      <x:c r="K2124" s="43" t="n">
        <x:v>79.88181938799951</x:v>
      </x:c>
      <x:c r="L2124" s="43" t="n">
        <x:v>40.86392861380984</x:v>
      </x:c>
    </x:row>
    <x:row r="2125" ht="15" hidden="0" customHeight="1">
      <x:c r="A2125" s="29" t="str">
        <x:v>21057</x:v>
      </x:c>
      <x:c r="B2125" s="29" t="str">
        <x:v>SCA-22</x:v>
      </x:c>
      <x:c r="C2125" s="44" t="n">
        <x:v>5992</x:v>
      </x:c>
      <x:c r="D2125" s="44" t="n">
        <x:v>85.26590579829094</x:v>
      </x:c>
      <x:c r="E2125" s="44" t="n">
        <x:v>1260.433382177543</x:v>
      </x:c>
      <x:c r="F2125" s="44" t="n">
        <x:v>54.458625075636895</x:v>
      </x:c>
      <x:c r="G2125" s="44" t="n">
        <x:v>237.38831146703015</x:v>
      </x:c>
      <x:c r="H2125" s="44" t="n">
        <x:v>4354.453775481499</x:v>
      </x:c>
      <x:c r="I2125" s="44" t="n">
        <x:v>5992</x:v>
      </x:c>
      <x:c r="J2125" s="44" t="n">
        <x:v>1286</x:v>
      </x:c>
      <x:c r="K2125" s="44" t="n">
        <x:v>87.20647328319689</x:v>
      </x:c>
      <x:c r="L2125" s="44" t="n">
        <x:v>32.74784820755998</x:v>
      </x:c>
    </x:row>
    <x:row r="2126" ht="15" hidden="0" customHeight="1">
      <x:c r="A2126" s="27" t="str">
        <x:v>17047</x:v>
      </x:c>
      <x:c r="B2126" s="27" t="str">
        <x:v>SCA-22</x:v>
      </x:c>
      <x:c r="C2126" s="43" t="n">
        <x:v>5898</x:v>
      </x:c>
      <x:c r="D2126" s="43" t="n">
        <x:v>86.70899831287294</x:v>
      </x:c>
      <x:c r="E2126" s="43" t="n">
        <x:v>1145.1187858792478</x:v>
      </x:c>
      <x:c r="F2126" s="43" t="n">
        <x:v>30.088409126320883</x:v>
      </x:c>
      <x:c r="G2126" s="43" t="n">
        <x:v>170.32101616628177</x:v>
      </x:c>
      <x:c r="H2126" s="43" t="n">
        <x:v>4465.762790515277</x:v>
      </x:c>
      <x:c r="I2126" s="43" t="n">
        <x:v>5898</x:v>
      </x:c>
      <x:c r="J2126" s="43" t="n">
        <x:v>1226</x:v>
      </x:c>
      <x:c r="K2126" s="43" t="n">
        <x:v>69.08412469422515</x:v>
      </x:c>
      <x:c r="L2126" s="43" t="n">
        <x:v>38.99571556790427</x:v>
      </x:c>
    </x:row>
    <x:row r="2127" ht="15" hidden="0" customHeight="1">
      <x:c r="A2127" s="29" t="str">
        <x:v>47137</x:v>
      </x:c>
      <x:c r="B2127" s="29" t="str">
        <x:v>SCA-22</x:v>
      </x:c>
      <x:c r="C2127" s="44" t="n">
        <x:v>5219</x:v>
      </x:c>
      <x:c r="D2127" s="44" t="n">
        <x:v>84.92202951670679</x:v>
      </x:c>
      <x:c r="E2127" s="44" t="n">
        <x:v>1486.4011476389717</x:v>
      </x:c>
      <x:c r="F2127" s="44" t="n">
        <x:v>33.42829832461671</x:v>
      </x:c>
      <x:c r="G2127" s="44" t="n">
        <x:v>92.83921099820682</x:v>
      </x:c>
      <x:c r="H2127" s="44" t="n">
        <x:v>3521.4093135214976</x:v>
      </x:c>
      <x:c r="I2127" s="44" t="n">
        <x:v>5219</x:v>
      </x:c>
      <x:c r="J2127" s="44" t="n">
        <x:v>1489</x:v>
      </x:c>
      <x:c r="K2127" s="44" t="n">
        <x:v>56.41694668969967</x:v>
      </x:c>
      <x:c r="L2127" s="44" t="n">
        <x:v>22.98864836508296</x:v>
      </x:c>
    </x:row>
    <x:row r="2128" ht="15" hidden="0" customHeight="1">
      <x:c r="A2128" s="27" t="str">
        <x:v>21189</x:v>
      </x:c>
      <x:c r="B2128" s="27" t="str">
        <x:v>SCA-22</x:v>
      </x:c>
      <x:c r="C2128" s="43" t="n">
        <x:v>3932</x:v>
      </x:c>
      <x:c r="D2128" s="43" t="n">
        <x:v>82.42934740582828</x:v>
      </x:c>
      <x:c r="E2128" s="43" t="n">
        <x:v>1462.5585200411101</x:v>
      </x:c>
      <x:c r="F2128" s="43" t="n">
        <x:v>35.736200566990036</x:v>
      </x:c>
      <x:c r="G2128" s="43" t="n">
        <x:v>271.04830421377187</x:v>
      </x:c>
      <x:c r="H2128" s="43" t="n">
        <x:v>2080.2276277723</x:v>
      </x:c>
      <x:c r="I2128" s="43" t="n">
        <x:v>3932</x:v>
      </x:c>
      <x:c r="J2128" s="43" t="n">
        <x:v>1508</x:v>
      </x:c>
      <x:c r="K2128" s="43" t="n">
        <x:v>57.22560963777205</x:v>
      </x:c>
      <x:c r="L2128" s="43" t="n">
        <x:v>21.489409070782017</x:v>
      </x:c>
    </x:row>
    <x:row r="2129" ht="15" hidden="0" customHeight="1">
      <x:c r="A2129" s="29" t="str">
        <x:v>51720</x:v>
      </x:c>
      <x:c r="B2129" s="29" t="str">
        <x:v>SCA-22</x:v>
      </x:c>
      <x:c r="C2129" s="44" t="n">
        <x:v>3477</x:v>
      </x:c>
      <x:c r="D2129" s="44" t="n">
        <x:v>61.2960266356941</x:v>
      </x:c>
      <x:c r="E2129" s="44" t="n">
        <x:v>1124.2725741734953</x:v>
      </x:c>
      <x:c r="F2129" s="44" t="n">
        <x:v>24.255445786814047</x:v>
      </x:c>
      <x:c r="G2129" s="44" t="n">
        <x:v>204.59155128567392</x:v>
      </x:c>
      <x:c r="H2129" s="44" t="n">
        <x:v>2062.584402118323</x:v>
      </x:c>
      <x:c r="I2129" s="44" t="n">
        <x:v>3477</x:v>
      </x:c>
      <x:c r="J2129" s="44" t="n">
        <x:v>1192</x:v>
      </x:c>
      <x:c r="K2129" s="44" t="n">
        <x:v>38.70678183194585</x:v>
      </x:c>
      <x:c r="L2129" s="44" t="n">
        <x:v>14.4513360451318</x:v>
      </x:c>
    </x:row>
    <x:row r="2130" ht="15" hidden="0" customHeight="1">
      <x:c r="A2130" s="27" t="str">
        <x:v>21201</x:v>
      </x:c>
      <x:c r="B2130" s="27" t="str">
        <x:v>SCA-22</x:v>
      </x:c>
      <x:c r="C2130" s="43" t="n">
        <x:v>2325</x:v>
      </x:c>
      <x:c r="D2130" s="43" t="n">
        <x:v>28.255497536695653</x:v>
      </x:c>
      <x:c r="E2130" s="43" t="n">
        <x:v>373.1703370786517</x:v>
      </x:c>
      <x:c r="F2130" s="43" t="n">
        <x:v>21.130891739128135</x:v>
      </x:c>
      <x:c r="G2130" s="43" t="n">
        <x:v>34.561573033707866</x:v>
      </x:c>
      <x:c r="H2130" s="43" t="n">
        <x:v>1867.8817006118168</x:v>
      </x:c>
      <x:c r="I2130" s="43" t="n">
        <x:v>2325</x:v>
      </x:c>
      <x:c r="J2130" s="43" t="n">
        <x:v>372</x:v>
      </x:c>
      <x:c r="K2130" s="43" t="n">
        <x:v>33.837625230879965</x:v>
      </x:c>
      <x:c r="L2130" s="43" t="n">
        <x:v>12.70673349175183</x:v>
      </x:c>
    </x:row>
    <x:row r="2131" ht="15" hidden="0" customHeight="1">
      <x:c r="A2131" s="29" t="str">
        <x:v>13121</x:v>
      </x:c>
      <x:c r="B2131" s="29" t="str">
        <x:v>SCA-23</x:v>
      </x:c>
      <x:c r="C2131" s="44" t="n">
        <x:v>1098791</x:v>
      </x:c>
      <x:c r="D2131" s="44" t="n">
        <x:v>8483.534038161291</x:v>
      </x:c>
      <x:c r="E2131" s="44" t="n">
        <x:v>108152.15538326073</x:v>
      </x:c>
      <x:c r="F2131" s="44" t="n">
        <x:v>9522.065853582963</x:v>
      </x:c>
      <x:c r="G2131" s="44" t="n">
        <x:v>67294.58153720644</x:v>
      </x:c>
      <x:c r="H2131" s="44" t="n">
        <x:v>905338.6631877886</x:v>
      </x:c>
      <x:c r="I2131" s="44" t="n">
        <x:v>1098791</x:v>
      </x:c>
      <x:c r="J2131" s="44" t="n">
        <x:v>109339</x:v>
      </x:c>
      <x:c r="K2131" s="44" t="n">
        <x:v>13499.26008410839</x:v>
      </x:c>
      <x:c r="L2131" s="44" t="n">
        <x:v>3977.1942305254274</x:v>
      </x:c>
    </x:row>
    <x:row r="2132" ht="15" hidden="0" customHeight="1">
      <x:c r="A2132" s="27" t="str">
        <x:v>13135</x:v>
      </x:c>
      <x:c r="B2132" s="27" t="str">
        <x:v>SCA-23</x:v>
      </x:c>
      <x:c r="C2132" s="43" t="n">
        <x:v>1018099</x:v>
      </x:c>
      <x:c r="D2132" s="43" t="n">
        <x:v>7307.010908828046</x:v>
      </x:c>
      <x:c r="E2132" s="43" t="n">
        <x:v>86925.36479716423</x:v>
      </x:c>
      <x:c r="F2132" s="43" t="n">
        <x:v>8822.793164002036</x:v>
      </x:c>
      <x:c r="G2132" s="43" t="n">
        <x:v>23727.709826703427</x:v>
      </x:c>
      <x:c r="H2132" s="43" t="n">
        <x:v>891316.1213033024</x:v>
      </x:c>
      <x:c r="I2132" s="43" t="n">
        <x:v>1018099</x:v>
      </x:c>
      <x:c r="J2132" s="43" t="n">
        <x:v>86712</x:v>
      </x:c>
      <x:c r="K2132" s="43" t="n">
        <x:v>12507.913872948238</x:v>
      </x:c>
      <x:c r="L2132" s="43" t="n">
        <x:v>3685.1207089462027</x:v>
      </x:c>
    </x:row>
    <x:row r="2133" ht="15" hidden="0" customHeight="1">
      <x:c r="A2133" s="29" t="str">
        <x:v>13067</x:v>
      </x:c>
      <x:c r="B2133" s="29" t="str">
        <x:v>SCA-23</x:v>
      </x:c>
      <x:c r="C2133" s="44" t="n">
        <x:v>793345</x:v>
      </x:c>
      <x:c r="D2133" s="44" t="n">
        <x:v>5850.583012092014</x:v>
      </x:c>
      <x:c r="E2133" s="44" t="n">
        <x:v>71495.61585320739</x:v>
      </x:c>
      <x:c r="F2133" s="44" t="n">
        <x:v>6875.086649427213</x:v>
      </x:c>
      <x:c r="G2133" s="44" t="n">
        <x:v>19705.518522364557</x:v>
      </x:c>
      <x:c r="H2133" s="44" t="n">
        <x:v>689418.1959629088</x:v>
      </x:c>
      <x:c r="I2133" s="44" t="n">
        <x:v>793345</x:v>
      </x:c>
      <x:c r="J2133" s="44" t="n">
        <x:v>72320</x:v>
      </x:c>
      <x:c r="K2133" s="44" t="n">
        <x:v>9746.685667635584</x:v>
      </x:c>
      <x:c r="L2133" s="44" t="n">
        <x:v>2871.599018208372</x:v>
      </x:c>
    </x:row>
    <x:row r="2134" ht="15" hidden="0" customHeight="1">
      <x:c r="A2134" s="27" t="str">
        <x:v>13089</x:v>
      </x:c>
      <x:c r="B2134" s="27" t="str">
        <x:v>SCA-23</x:v>
      </x:c>
      <x:c r="C2134" s="43" t="n">
        <x:v>774394</x:v>
      </x:c>
      <x:c r="D2134" s="43" t="n">
        <x:v>6573.527251385179</x:v>
      </x:c>
      <x:c r="E2134" s="43" t="n">
        <x:v>90492.56282128114</x:v>
      </x:c>
      <x:c r="F2134" s="43" t="n">
        <x:v>6710.858265693407</x:v>
      </x:c>
      <x:c r="G2134" s="43" t="n">
        <x:v>33017.43234739326</x:v>
      </x:c>
      <x:c r="H2134" s="43" t="n">
        <x:v>637599.619314247</x:v>
      </x:c>
      <x:c r="I2134" s="43" t="n">
        <x:v>774394</x:v>
      </x:c>
      <x:c r="J2134" s="43" t="n">
        <x:v>92538</x:v>
      </x:c>
      <x:c r="K2134" s="43" t="n">
        <x:v>9513.86206619187</x:v>
      </x:c>
      <x:c r="L2134" s="43" t="n">
        <x:v>2803.003800498464</x:v>
      </x:c>
    </x:row>
    <x:row r="2135" ht="15" hidden="0" customHeight="1">
      <x:c r="A2135" s="29" t="str">
        <x:v>01073</x:v>
      </x:c>
      <x:c r="B2135" s="29" t="str">
        <x:v>SCA-23</x:v>
      </x:c>
      <x:c r="C2135" s="44" t="n">
        <x:v>665742</x:v>
      </x:c>
      <x:c r="D2135" s="44" t="n">
        <x:v>7504.412798796266</x:v>
      </x:c>
      <x:c r="E2135" s="44" t="n">
        <x:v>98545.32439477772</x:v>
      </x:c>
      <x:c r="F2135" s="44" t="n">
        <x:v>5357.9820699509</x:v>
      </x:c>
      <x:c r="G2135" s="44" t="n">
        <x:v>25593.759487403127</x:v>
      </x:c>
      <x:c r="H2135" s="44" t="n">
        <x:v>528740.5212490719</x:v>
      </x:c>
      <x:c r="I2135" s="44" t="n">
        <x:v>665742</x:v>
      </x:c>
      <x:c r="J2135" s="44" t="n">
        <x:v>101828</x:v>
      </x:c>
      <x:c r="K2135" s="44" t="n">
        <x:v>8756.339685631427</x:v>
      </x:c>
      <x:c r="L2135" s="44" t="n">
        <x:v>3398.3576156805266</x:v>
      </x:c>
    </x:row>
    <x:row r="2136" ht="15" hidden="0" customHeight="1">
      <x:c r="A2136" s="27" t="str">
        <x:v>45045</x:v>
      </x:c>
      <x:c r="B2136" s="27" t="str">
        <x:v>SCA-23</x:v>
      </x:c>
      <x:c r="C2136" s="43" t="n">
        <x:v>583125</x:v>
      </x:c>
      <x:c r="D2136" s="43" t="n">
        <x:v>5383.252669105728</x:v>
      </x:c>
      <x:c r="E2136" s="43" t="n">
        <x:v>69190.70881966452</x:v>
      </x:c>
      <x:c r="F2136" s="43" t="n">
        <x:v>3543.1926749713234</x:v>
      </x:c>
      <x:c r="G2136" s="43" t="n">
        <x:v>14887.86233284378</x:v>
      </x:c>
      <x:c r="H2136" s="43" t="n">
        <x:v>490119.98350341467</x:v>
      </x:c>
      <x:c r="I2136" s="43" t="n">
        <x:v>583125</x:v>
      </x:c>
      <x:c r="J2136" s="43" t="n">
        <x:v>67158</x:v>
      </x:c>
      <x:c r="K2136" s="43" t="n">
        <x:v>6043.499143257697</x:v>
      </x:c>
      <x:c r="L2136" s="43" t="n">
        <x:v>2500.3064682863737</x:v>
      </x:c>
    </x:row>
    <x:row r="2137" ht="15" hidden="0" customHeight="1">
      <x:c r="A2137" s="29" t="str">
        <x:v>47093</x:v>
      </x:c>
      <x:c r="B2137" s="29" t="str">
        <x:v>SCA-23</x:v>
      </x:c>
      <x:c r="C2137" s="44" t="n">
        <x:v>511453</x:v>
      </x:c>
      <x:c r="D2137" s="44" t="n">
        <x:v>4726.182062380555</x:v>
      </x:c>
      <x:c r="E2137" s="44" t="n">
        <x:v>59360.01997914086</x:v>
      </x:c>
      <x:c r="F2137" s="44" t="n">
        <x:v>3275.9155897720234</x:v>
      </x:c>
      <x:c r="G2137" s="44" t="n">
        <x:v>14056.410515530279</x:v>
      </x:c>
      <x:c r="H2137" s="44" t="n">
        <x:v>430034.47185317625</x:v>
      </x:c>
      <x:c r="I2137" s="44" t="n">
        <x:v>511453</x:v>
      </x:c>
      <x:c r="J2137" s="44" t="n">
        <x:v>59350</x:v>
      </x:c>
      <x:c r="K2137" s="44" t="n">
        <x:v>5528.763486355042</x:v>
      </x:c>
      <x:c r="L2137" s="44" t="n">
        <x:v>2252.8478965830186</x:v>
      </x:c>
    </x:row>
    <x:row r="2138" ht="15" hidden="0" customHeight="1">
      <x:c r="A2138" s="27" t="str">
        <x:v>01089</x:v>
      </x:c>
      <x:c r="B2138" s="27" t="str">
        <x:v>SCA-23</x:v>
      </x:c>
      <x:c r="C2138" s="43" t="n">
        <x:v>433516</x:v>
      </x:c>
      <x:c r="D2138" s="43" t="n">
        <x:v>4610.57991996941</x:v>
      </x:c>
      <x:c r="E2138" s="43" t="n">
        <x:v>57543.527563323296</x:v>
      </x:c>
      <x:c r="F2138" s="43" t="n">
        <x:v>3488.995669548916</x:v>
      </x:c>
      <x:c r="G2138" s="43" t="n">
        <x:v>8661.273333964407</x:v>
      </x:c>
      <x:c r="H2138" s="43" t="n">
        <x:v>359211.623513194</x:v>
      </x:c>
      <x:c r="I2138" s="43" t="n">
        <x:v>433516</x:v>
      </x:c>
      <x:c r="J2138" s="43" t="n">
        <x:v>55505</x:v>
      </x:c>
      <x:c r="K2138" s="43" t="n">
        <x:v>5701.928607713188</x:v>
      </x:c>
      <x:c r="L2138" s="43" t="n">
        <x:v>2212.9329381642724</x:v>
      </x:c>
    </x:row>
    <x:row r="2139" ht="15" hidden="0" customHeight="1">
      <x:c r="A2139" s="29" t="str">
        <x:v>01097</x:v>
      </x:c>
      <x:c r="B2139" s="29" t="str">
        <x:v>SCA-23</x:v>
      </x:c>
      <x:c r="C2139" s="44" t="n">
        <x:v>411658</x:v>
      </x:c>
      <x:c r="D2139" s="44" t="n">
        <x:v>4481.461636790052</x:v>
      </x:c>
      <x:c r="E2139" s="44" t="n">
        <x:v>57122.52975996353</x:v>
      </x:c>
      <x:c r="F2139" s="44" t="n">
        <x:v>3313.0795157160696</x:v>
      </x:c>
      <x:c r="G2139" s="44" t="n">
        <x:v>13789.953021959846</x:v>
      </x:c>
      <x:c r="H2139" s="44" t="n">
        <x:v>332950.97606557055</x:v>
      </x:c>
      <x:c r="I2139" s="44" t="n">
        <x:v>411658</x:v>
      </x:c>
      <x:c r="J2139" s="44" t="n">
        <x:v>58983</x:v>
      </x:c>
      <x:c r="K2139" s="44" t="n">
        <x:v>5414.435745840974</x:v>
      </x:c>
      <x:c r="L2139" s="44" t="n">
        <x:v>2101.3562301249044</x:v>
      </x:c>
    </x:row>
    <x:row r="2140" ht="15" hidden="0" customHeight="1">
      <x:c r="A2140" s="27" t="str">
        <x:v>47065</x:v>
      </x:c>
      <x:c r="B2140" s="27" t="str">
        <x:v>SCA-23</x:v>
      </x:c>
      <x:c r="C2140" s="43" t="n">
        <x:v>390833</x:v>
      </x:c>
      <x:c r="D2140" s="43" t="n">
        <x:v>3860.357937907305</x:v>
      </x:c>
      <x:c r="E2140" s="43" t="n">
        <x:v>51331.606843308335</x:v>
      </x:c>
      <x:c r="F2140" s="43" t="n">
        <x:v>2503.330545910122</x:v>
      </x:c>
      <x:c r="G2140" s="43" t="n">
        <x:v>13050.547905733876</x:v>
      </x:c>
      <x:c r="H2140" s="43" t="n">
        <x:v>320087.1567671404</x:v>
      </x:c>
      <x:c r="I2140" s="43" t="n">
        <x:v>390833</x:v>
      </x:c>
      <x:c r="J2140" s="43" t="n">
        <x:v>50994</x:v>
      </x:c>
      <x:c r="K2140" s="43" t="n">
        <x:v>4224.871532012913</x:v>
      </x:c>
      <x:c r="L2140" s="43" t="n">
        <x:v>1721.5409861027913</x:v>
      </x:c>
    </x:row>
    <x:row r="2141" ht="15" hidden="0" customHeight="1">
      <x:c r="A2141" s="29" t="str">
        <x:v>45083</x:v>
      </x:c>
      <x:c r="B2141" s="29" t="str">
        <x:v>SCA-23</x:v>
      </x:c>
      <x:c r="C2141" s="44" t="n">
        <x:v>380857</x:v>
      </x:c>
      <x:c r="D2141" s="44" t="n">
        <x:v>3929.8311359030317</x:v>
      </x:c>
      <x:c r="E2141" s="44" t="n">
        <x:v>55123.2848064334</x:v>
      </x:c>
      <x:c r="F2141" s="44" t="n">
        <x:v>2314.16888765111</x:v>
      </x:c>
      <x:c r="G2141" s="44" t="n">
        <x:v>8557.311642799368</x:v>
      </x:c>
      <x:c r="H2141" s="44" t="n">
        <x:v>310932.4035272131</x:v>
      </x:c>
      <x:c r="I2141" s="44" t="n">
        <x:v>380857</x:v>
      </x:c>
      <x:c r="J2141" s="44" t="n">
        <x:v>51819</x:v>
      </x:c>
      <x:c r="K2141" s="44" t="n">
        <x:v>3947.1964899527493</x:v>
      </x:c>
      <x:c r="L2141" s="44" t="n">
        <x:v>1633.0276023016393</x:v>
      </x:c>
    </x:row>
    <x:row r="2142" ht="15" hidden="0" customHeight="1">
      <x:c r="A2142" s="27" t="str">
        <x:v>12033</x:v>
      </x:c>
      <x:c r="B2142" s="27" t="str">
        <x:v>SCA-23</x:v>
      </x:c>
      <x:c r="C2142" s="43" t="n">
        <x:v>333834</x:v>
      </x:c>
      <x:c r="D2142" s="43" t="n">
        <x:v>3996.156243557201</x:v>
      </x:c>
      <x:c r="E2142" s="43" t="n">
        <x:v>55658.01597017243</x:v>
      </x:c>
      <x:c r="F2142" s="43" t="n">
        <x:v>2162.109816093155</x:v>
      </x:c>
      <x:c r="G2142" s="43" t="n">
        <x:v>13769.12934337942</x:v>
      </x:c>
      <x:c r="H2142" s="43" t="n">
        <x:v>258248.5886267978</x:v>
      </x:c>
      <x:c r="I2142" s="43" t="n">
        <x:v>333834</x:v>
      </x:c>
      <x:c r="J2142" s="43" t="n">
        <x:v>53660</x:v>
      </x:c>
      <x:c r="K2142" s="43" t="n">
        <x:v>3839.1820608931707</x:v>
      </x:c>
      <x:c r="L2142" s="43" t="n">
        <x:v>1677.0722448000156</x:v>
      </x:c>
    </x:row>
    <x:row r="2143" ht="15" hidden="0" customHeight="1">
      <x:c r="A2143" s="29" t="str">
        <x:v>45063</x:v>
      </x:c>
      <x:c r="B2143" s="29" t="str">
        <x:v>SCA-23</x:v>
      </x:c>
      <x:c r="C2143" s="44" t="n">
        <x:v>317588</x:v>
      </x:c>
      <x:c r="D2143" s="44" t="n">
        <x:v>3157.86931350794</x:v>
      </x:c>
      <x:c r="E2143" s="44" t="n">
        <x:v>43106.992680712414</x:v>
      </x:c>
      <x:c r="F2143" s="44" t="n">
        <x:v>1929.7328621801375</x:v>
      </x:c>
      <x:c r="G2143" s="44" t="n">
        <x:v>7899.230827812047</x:v>
      </x:c>
      <x:c r="H2143" s="44" t="n">
        <x:v>261494.17431578744</x:v>
      </x:c>
      <x:c r="I2143" s="44" t="n">
        <x:v>317588</x:v>
      </x:c>
      <x:c r="J2143" s="44" t="n">
        <x:v>42701</x:v>
      </x:c>
      <x:c r="K2143" s="44" t="n">
        <x:v>3291.4774806583932</x:v>
      </x:c>
      <x:c r="L2143" s="44" t="n">
        <x:v>1361.7446184782557</x:v>
      </x:c>
    </x:row>
    <x:row r="2144" ht="15" hidden="0" customHeight="1">
      <x:c r="A2144" s="27" t="str">
        <x:v>13057</x:v>
      </x:c>
      <x:c r="B2144" s="27" t="str">
        <x:v>SCA-23</x:v>
      </x:c>
      <x:c r="C2144" s="43" t="n">
        <x:v>299273</x:v>
      </x:c>
      <x:c r="D2144" s="43" t="n">
        <x:v>2387.0759901135584</x:v>
      </x:c>
      <x:c r="E2144" s="43" t="n">
        <x:v>31291.791038714313</x:v>
      </x:c>
      <x:c r="F2144" s="43" t="n">
        <x:v>2593.484306114023</x:v>
      </x:c>
      <x:c r="G2144" s="43" t="n">
        <x:v>4580.171801265791</x:v>
      </x:c>
      <x:c r="H2144" s="43" t="n">
        <x:v>258420.4768637923</x:v>
      </x:c>
      <x:c r="I2144" s="43" t="n">
        <x:v>299273</x:v>
      </x:c>
      <x:c r="J2144" s="43" t="n">
        <x:v>30443</x:v>
      </x:c>
      <x:c r="K2144" s="43" t="n">
        <x:v>3676.7356696144852</x:v>
      </x:c>
      <x:c r="L2144" s="43" t="n">
        <x:v>1083.251363500462</x:v>
      </x:c>
    </x:row>
    <x:row r="2145" ht="15" hidden="0" customHeight="1">
      <x:c r="A2145" s="29" t="str">
        <x:v>13063</x:v>
      </x:c>
      <x:c r="B2145" s="29" t="str">
        <x:v>SCA-23</x:v>
      </x:c>
      <x:c r="C2145" s="44" t="n">
        <x:v>297471</x:v>
      </x:c>
      <x:c r="D2145" s="44" t="n">
        <x:v>2505.365824211088</x:v>
      </x:c>
      <x:c r="E2145" s="44" t="n">
        <x:v>34287.28792431891</x:v>
      </x:c>
      <x:c r="F2145" s="44" t="n">
        <x:v>2577.868267515093</x:v>
      </x:c>
      <x:c r="G2145" s="44" t="n">
        <x:v>11374.91673320792</x:v>
      </x:c>
      <x:c r="H2145" s="44" t="n">
        <x:v>246725.56125074698</x:v>
      </x:c>
      <x:c r="I2145" s="44" t="n">
        <x:v>297471</x:v>
      </x:c>
      <x:c r="J2145" s="44" t="n">
        <x:v>35486</x:v>
      </x:c>
      <x:c r="K2145" s="44" t="n">
        <x:v>3654.59709487956</x:v>
      </x:c>
      <x:c r="L2145" s="44" t="n">
        <x:v>1076.7288273644665</x:v>
      </x:c>
    </x:row>
    <x:row r="2146" ht="15" hidden="0" customHeight="1">
      <x:c r="A2146" s="27" t="str">
        <x:v>13117</x:v>
      </x:c>
      <x:c r="B2146" s="27" t="str">
        <x:v>SCA-23</x:v>
      </x:c>
      <x:c r="C2146" s="43" t="n">
        <x:v>282805</x:v>
      </x:c>
      <x:c r="D2146" s="43" t="n">
        <x:v>1956.865198524285</x:v>
      </x:c>
      <x:c r="E2146" s="43" t="n">
        <x:v>22397.317502337475</x:v>
      </x:c>
      <x:c r="F2146" s="43" t="n">
        <x:v>2450.77347168163</x:v>
      </x:c>
      <x:c r="G2146" s="43" t="n">
        <x:v>3424.121526174088</x:v>
      </x:c>
      <x:c r="H2146" s="43" t="n">
        <x:v>252575.92230128252</x:v>
      </x:c>
      <x:c r="I2146" s="43" t="n">
        <x:v>282805</x:v>
      </x:c>
      <x:c r="J2146" s="43" t="n">
        <x:v>21970</x:v>
      </x:c>
      <x:c r="K2146" s="43" t="n">
        <x:v>3474.41710760852</x:v>
      </x:c>
      <x:c r="L2146" s="43" t="n">
        <x:v>1023.64363592689</x:v>
      </x:c>
    </x:row>
    <x:row r="2147" ht="15" hidden="0" customHeight="1">
      <x:c r="A2147" s="29" t="str">
        <x:v>37021</x:v>
      </x:c>
      <x:c r="B2147" s="29" t="str">
        <x:v>SCA-23</x:v>
      </x:c>
      <x:c r="C2147" s="44" t="n">
        <x:v>277417</x:v>
      </x:c>
      <x:c r="D2147" s="44" t="n">
        <x:v>2802.8401082872047</x:v>
      </x:c>
      <x:c r="E2147" s="44" t="n">
        <x:v>38470.41488165876</x:v>
      </x:c>
      <x:c r="F2147" s="44" t="n">
        <x:v>1463.1709220827104</x:v>
      </x:c>
      <x:c r="G2147" s="44" t="n">
        <x:v>5327.499453184461</x:v>
      </x:c>
      <x:c r="H2147" s="44" t="n">
        <x:v>229353.07463478684</x:v>
      </x:c>
      <x:c r="I2147" s="44" t="n">
        <x:v>277417</x:v>
      </x:c>
      <x:c r="J2147" s="44" t="n">
        <x:v>39097</x:v>
      </x:c>
      <x:c r="K2147" s="44" t="n">
        <x:v>2663.077076967466</x:v>
      </x:c>
      <x:c r="L2147" s="44" t="n">
        <x:v>1199.9061548847556</x:v>
      </x:c>
    </x:row>
    <x:row r="2148" ht="15" hidden="0" customHeight="1">
      <x:c r="A2148" s="27" t="str">
        <x:v>01003</x:v>
      </x:c>
      <x:c r="B2148" s="27" t="str">
        <x:v>SCA-23</x:v>
      </x:c>
      <x:c r="C2148" s="43" t="n">
        <x:v>267761</x:v>
      </x:c>
      <x:c r="D2148" s="43" t="n">
        <x:v>2781.3688358602753</x:v>
      </x:c>
      <x:c r="E2148" s="43" t="n">
        <x:v>33949.238641674085</x:v>
      </x:c>
      <x:c r="F2148" s="43" t="n">
        <x:v>2154.976908520302</x:v>
      </x:c>
      <x:c r="G2148" s="43" t="n">
        <x:v>4000.713092401757</x:v>
      </x:c>
      <x:c r="H2148" s="43" t="n">
        <x:v>224874.70252154357</x:v>
      </x:c>
      <x:c r="I2148" s="43" t="n">
        <x:v>267761</x:v>
      </x:c>
      <x:c r="J2148" s="43" t="n">
        <x:v>32207</x:v>
      </x:c>
      <x:c r="K2148" s="43" t="n">
        <x:v>3521.7941343108237</x:v>
      </x:c>
      <x:c r="L2148" s="43" t="n">
        <x:v>1366.8172257905217</x:v>
      </x:c>
    </x:row>
    <x:row r="2149" ht="15" hidden="0" customHeight="1">
      <x:c r="A2149" s="29" t="str">
        <x:v>13151</x:v>
      </x:c>
      <x:c r="B2149" s="29" t="str">
        <x:v>SCA-23</x:v>
      </x:c>
      <x:c r="C2149" s="44" t="n">
        <x:v>264922</x:v>
      </x:c>
      <x:c r="D2149" s="44" t="n">
        <x:v>2133.955328991822</x:v>
      </x:c>
      <x:c r="E2149" s="44" t="n">
        <x:v>28200.988030495246</x:v>
      </x:c>
      <x:c r="F2149" s="44" t="n">
        <x:v>2295.8003205913637</x:v>
      </x:c>
      <x:c r="G2149" s="44" t="n">
        <x:v>3874.7606493731396</x:v>
      </x:c>
      <x:c r="H2149" s="44" t="n">
        <x:v>228416.4956705484</x:v>
      </x:c>
      <x:c r="I2149" s="44" t="n">
        <x:v>264922</x:v>
      </x:c>
      <x:c r="J2149" s="44" t="n">
        <x:v>27533</x:v>
      </x:c>
      <x:c r="K2149" s="44" t="n">
        <x:v>3254.714481645884</x:v>
      </x:c>
      <x:c r="L2149" s="44" t="n">
        <x:v>958.9141610545202</x:v>
      </x:c>
    </x:row>
    <x:row r="2150" ht="15" hidden="0" customHeight="1">
      <x:c r="A2150" s="27" t="str">
        <x:v>01125</x:v>
      </x:c>
      <x:c r="B2150" s="27" t="str">
        <x:v>SCA-23</x:v>
      </x:c>
      <x:c r="C2150" s="43" t="n">
        <x:v>241368</x:v>
      </x:c>
      <x:c r="D2150" s="43" t="n">
        <x:v>2509.3502347424046</x:v>
      </x:c>
      <x:c r="E2150" s="43" t="n">
        <x:v>30654.21967054987</x:v>
      </x:c>
      <x:c r="F2150" s="43" t="n">
        <x:v>1942.5624585198302</x:v>
      </x:c>
      <x:c r="G2150" s="43" t="n">
        <x:v>7130.376076232041</x:v>
      </x:c>
      <x:c r="H2150" s="43" t="n">
        <x:v>199131.49155995587</x:v>
      </x:c>
      <x:c r="I2150" s="43" t="n">
        <x:v>241368</x:v>
      </x:c>
      <x:c r="J2150" s="43" t="n">
        <x:v>31161</x:v>
      </x:c>
      <x:c r="K2150" s="43" t="n">
        <x:v>3174.6535403226567</x:v>
      </x:c>
      <x:c r="L2150" s="43" t="n">
        <x:v>1232.0910818028265</x:v>
      </x:c>
    </x:row>
    <x:row r="2151" ht="15" hidden="0" customHeight="1">
      <x:c r="A2151" s="29" t="str">
        <x:v>01117</x:v>
      </x:c>
      <x:c r="B2151" s="29" t="str">
        <x:v>SCA-23</x:v>
      </x:c>
      <x:c r="C2151" s="44" t="n">
        <x:v>238552</x:v>
      </x:c>
      <x:c r="D2151" s="44" t="n">
        <x:v>2379.3366144162856</x:v>
      </x:c>
      <x:c r="E2151" s="44" t="n">
        <x:v>27878.88318605967</x:v>
      </x:c>
      <x:c r="F2151" s="44" t="n">
        <x:v>1919.898907911664</x:v>
      </x:c>
      <x:c r="G2151" s="44" t="n">
        <x:v>3170.970097787605</x:v>
      </x:c>
      <x:c r="H2151" s="44" t="n">
        <x:v>203202.91119382478</x:v>
      </x:c>
      <x:c r="I2151" s="44" t="n">
        <x:v>238552</x:v>
      </x:c>
      <x:c r="J2151" s="44" t="n">
        <x:v>27749</x:v>
      </x:c>
      <x:c r="K2151" s="44" t="n">
        <x:v>3137.6153895754633</x:v>
      </x:c>
      <x:c r="L2151" s="44" t="n">
        <x:v>1217.7164816637992</x:v>
      </x:c>
    </x:row>
    <x:row r="2152" ht="15" hidden="0" customHeight="1">
      <x:c r="A2152" s="27" t="str">
        <x:v>13139</x:v>
      </x:c>
      <x:c r="B2152" s="27" t="str">
        <x:v>SCA-23</x:v>
      </x:c>
      <x:c r="C2152" s="43" t="n">
        <x:v>226568</x:v>
      </x:c>
      <x:c r="D2152" s="43" t="n">
        <x:v>1907.574587419545</x:v>
      </x:c>
      <x:c r="E2152" s="43" t="n">
        <x:v>26099.686205590486</x:v>
      </x:c>
      <x:c r="F2152" s="43" t="n">
        <x:v>1963.426544551771</x:v>
      </x:c>
      <x:c r="G2152" s="43" t="n">
        <x:v>7488.837067267631</x:v>
      </x:c>
      <x:c r="H2152" s="43" t="n">
        <x:v>189108.47559517057</x:v>
      </x:c>
      <x:c r="I2152" s="43" t="n">
        <x:v>226568</x:v>
      </x:c>
      <x:c r="J2152" s="43" t="n">
        <x:v>25345</x:v>
      </x:c>
      <x:c r="K2152" s="43" t="n">
        <x:v>2783.5142067383786</x:v>
      </x:c>
      <x:c r="L2152" s="43" t="n">
        <x:v>820.0876621866079</x:v>
      </x:c>
    </x:row>
    <x:row r="2153" ht="15" hidden="0" customHeight="1">
      <x:c r="A2153" s="29" t="str">
        <x:v>01101</x:v>
      </x:c>
      <x:c r="B2153" s="29" t="str">
        <x:v>SCA-23</x:v>
      </x:c>
      <x:c r="C2153" s="44" t="n">
        <x:v>225891</x:v>
      </x:c>
      <x:c r="D2153" s="44" t="n">
        <x:v>2641.263622174561</x:v>
      </x:c>
      <x:c r="E2153" s="44" t="n">
        <x:v>35716.240568510206</x:v>
      </x:c>
      <x:c r="F2153" s="44" t="n">
        <x:v>1818.0014596694791</x:v>
      </x:c>
      <x:c r="G2153" s="44" t="n">
        <x:v>8353.410143399793</x:v>
      </x:c>
      <x:c r="H2153" s="44" t="n">
        <x:v>177362.08420624599</x:v>
      </x:c>
      <x:c r="I2153" s="44" t="n">
        <x:v>225891</x:v>
      </x:c>
      <x:c r="J2153" s="44" t="n">
        <x:v>36248</x:v>
      </x:c>
      <x:c r="K2153" s="44" t="n">
        <x:v>2971.0883914894484</x:v>
      </x:c>
      <x:c r="L2153" s="44" t="n">
        <x:v>1153.086931819969</x:v>
      </x:c>
    </x:row>
    <x:row r="2154" ht="15" hidden="0" customHeight="1">
      <x:c r="A2154" s="27" t="str">
        <x:v>12091</x:v>
      </x:c>
      <x:c r="B2154" s="27" t="str">
        <x:v>SCA-23</x:v>
      </x:c>
      <x:c r="C2154" s="43" t="n">
        <x:v>221810</x:v>
      </x:c>
      <x:c r="D2154" s="43" t="n">
        <x:v>2490.5686520355216</x:v>
      </x:c>
      <x:c r="E2154" s="43" t="n">
        <x:v>33030.43554086413</x:v>
      </x:c>
      <x:c r="F2154" s="43" t="n">
        <x:v>1436.5749992739588</x:v>
      </x:c>
      <x:c r="G2154" s="43" t="n">
        <x:v>4745.702697724433</x:v>
      </x:c>
      <x:c r="H2154" s="43" t="n">
        <x:v>180106.71811010194</x:v>
      </x:c>
      <x:c r="I2154" s="43" t="n">
        <x:v>221810</x:v>
      </x:c>
      <x:c r="J2154" s="43" t="n">
        <x:v>31159</x:v>
      </x:c>
      <x:c r="K2154" s="43" t="n">
        <x:v>2550.875503773475</x:v>
      </x:c>
      <x:c r="L2154" s="43" t="n">
        <x:v>1114.3005044995161</x:v>
      </x:c>
    </x:row>
    <x:row r="2155" ht="15" hidden="0" customHeight="1">
      <x:c r="A2155" s="29" t="str">
        <x:v>45007</x:v>
      </x:c>
      <x:c r="B2155" s="29" t="str">
        <x:v>SCA-23</x:v>
      </x:c>
      <x:c r="C2155" s="44" t="n">
        <x:v>219930</x:v>
      </x:c>
      <x:c r="D2155" s="44" t="n">
        <x:v>2311.1689301974584</x:v>
      </x:c>
      <x:c r="E2155" s="44" t="n">
        <x:v>32835.8268646141</x:v>
      </x:c>
      <x:c r="F2155" s="44" t="n">
        <x:v>1336.3418906862905</x:v>
      </x:c>
      <x:c r="G2155" s="44" t="n">
        <x:v>7005.366009661189</x:v>
      </x:c>
      <x:c r="H2155" s="44" t="n">
        <x:v>176441.29630484097</x:v>
      </x:c>
      <x:c r="I2155" s="44" t="n">
        <x:v>219930</x:v>
      </x:c>
      <x:c r="J2155" s="44" t="n">
        <x:v>32485</x:v>
      </x:c>
      <x:c r="K2155" s="44" t="n">
        <x:v>2279.3513681914947</x:v>
      </x:c>
      <x:c r="L2155" s="44" t="n">
        <x:v>943.0094775052041</x:v>
      </x:c>
    </x:row>
    <x:row r="2156" ht="15" hidden="0" customHeight="1">
      <x:c r="A2156" s="27" t="str">
        <x:v>12113</x:v>
      </x:c>
      <x:c r="B2156" s="27" t="str">
        <x:v>SCA-23</x:v>
      </x:c>
      <x:c r="C2156" s="43" t="n">
        <x:v>211115</x:v>
      </x:c>
      <x:c r="D2156" s="43" t="n">
        <x:v>2362.4619950443252</x:v>
      </x:c>
      <x:c r="E2156" s="43" t="n">
        <x:v>31245.351691631546</x:v>
      </x:c>
      <x:c r="F2156" s="43" t="n">
        <x:v>1367.3077452401687</x:v>
      </x:c>
      <x:c r="G2156" s="43" t="n">
        <x:v>3206.970878140957</x:v>
      </x:c>
      <x:c r="H2156" s="43" t="n">
        <x:v>172932.90768994298</x:v>
      </x:c>
      <x:c r="I2156" s="43" t="n">
        <x:v>211115</x:v>
      </x:c>
      <x:c r="J2156" s="43" t="n">
        <x:v>29045</x:v>
      </x:c>
      <x:c r="K2156" s="43" t="n">
        <x:v>2427.8800864665127</x:v>
      </x:c>
      <x:c r="L2156" s="43" t="n">
        <x:v>1060.572341226344</x:v>
      </x:c>
    </x:row>
    <x:row r="2157" ht="15" hidden="0" customHeight="1">
      <x:c r="A2157" s="29" t="str">
        <x:v>13245</x:v>
      </x:c>
      <x:c r="B2157" s="29" t="str">
        <x:v>SCA-23</x:v>
      </x:c>
      <x:c r="C2157" s="44" t="n">
        <x:v>206559</x:v>
      </x:c>
      <x:c r="D2157" s="44" t="n">
        <x:v>2367.0239308276605</x:v>
      </x:c>
      <x:c r="E2157" s="44" t="n">
        <x:v>38864.664794268334</x:v>
      </x:c>
      <x:c r="F2157" s="44" t="n">
        <x:v>1790.029587656108</x:v>
      </x:c>
      <x:c r="G2157" s="44" t="n">
        <x:v>10585.160038874386</x:v>
      </x:c>
      <x:c r="H2157" s="44" t="n">
        <x:v>152952.12164837352</x:v>
      </x:c>
      <x:c r="I2157" s="44" t="n">
        <x:v>206559</x:v>
      </x:c>
      <x:c r="J2157" s="44" t="n">
        <x:v>38216</x:v>
      </x:c>
      <x:c r="K2157" s="44" t="n">
        <x:v>2537.6924853892547</x:v>
      </x:c>
      <x:c r="L2157" s="44" t="n">
        <x:v>747.6628977331465</x:v>
      </x:c>
    </x:row>
    <x:row r="2158" ht="15" hidden="0" customHeight="1">
      <x:c r="A2158" s="27" t="str">
        <x:v>13215</x:v>
      </x:c>
      <x:c r="B2158" s="27" t="str">
        <x:v>SCA-23</x:v>
      </x:c>
      <x:c r="C2158" s="43" t="n">
        <x:v>202171</x:v>
      </x:c>
      <x:c r="D2158" s="43" t="n">
        <x:v>2141.081013649241</x:v>
      </x:c>
      <x:c r="E2158" s="43" t="n">
        <x:v>33823.22308695518</x:v>
      </x:c>
      <x:c r="F2158" s="43" t="n">
        <x:v>1752.003407094453</x:v>
      </x:c>
      <x:c r="G2158" s="43" t="n">
        <x:v>12276.940117231363</x:v>
      </x:c>
      <x:c r="H2158" s="43" t="n">
        <x:v>152177.75237506977</x:v>
      </x:c>
      <x:c r="I2158" s="43" t="n">
        <x:v>202171</x:v>
      </x:c>
      <x:c r="J2158" s="43" t="n">
        <x:v>33834</x:v>
      </x:c>
      <x:c r="K2158" s="43" t="n">
        <x:v>2483.783458787228</x:v>
      </x:c>
      <x:c r="L2158" s="43" t="n">
        <x:v>731.7800516927753</x:v>
      </x:c>
    </x:row>
    <x:row r="2159" ht="15" hidden="0" customHeight="1">
      <x:c r="A2159" s="29" t="str">
        <x:v>13223</x:v>
      </x:c>
      <x:c r="B2159" s="29" t="str">
        <x:v>SCA-23</x:v>
      </x:c>
      <x:c r="C2159" s="44" t="n">
        <x:v>190996</x:v>
      </x:c>
      <x:c r="D2159" s="44" t="n">
        <x:v>1582.4671497041616</x:v>
      </x:c>
      <x:c r="E2159" s="44" t="n">
        <x:v>21387.269592935892</x:v>
      </x:c>
      <x:c r="F2159" s="44" t="n">
        <x:v>1655.1614363158517</x:v>
      </x:c>
      <x:c r="G2159" s="44" t="n">
        <x:v>2901.826723395634</x:v>
      </x:c>
      <x:c r="H2159" s="44" t="n">
        <x:v>163469.27509764847</x:v>
      </x:c>
      <x:c r="I2159" s="44" t="n">
        <x:v>190996</x:v>
      </x:c>
      <x:c r="J2159" s="44" t="n">
        <x:v>20726</x:v>
      </x:c>
      <x:c r="K2159" s="44" t="n">
        <x:v>2346.492352981018</x:v>
      </x:c>
      <x:c r="L2159" s="44" t="n">
        <x:v>691.3309166651661</x:v>
      </x:c>
    </x:row>
    <x:row r="2160" ht="15" hidden="0" customHeight="1">
      <x:c r="A2160" s="27" t="str">
        <x:v>01081</x:v>
      </x:c>
      <x:c r="B2160" s="27" t="str">
        <x:v>SCA-23</x:v>
      </x:c>
      <x:c r="C2160" s="43" t="n">
        <x:v>189881</x:v>
      </x:c>
      <x:c r="D2160" s="43" t="n">
        <x:v>1961.060211425046</x:v>
      </x:c>
      <x:c r="E2160" s="43" t="n">
        <x:v>23802.972497508003</x:v>
      </x:c>
      <x:c r="F2160" s="43" t="n">
        <x:v>1528.1880870132075</x:v>
      </x:c>
      <x:c r="G2160" s="43" t="n">
        <x:v>4634.875155227621</x:v>
      </x:c>
      <x:c r="H2160" s="43" t="n">
        <x:v>157953.90404882614</x:v>
      </x:c>
      <x:c r="I2160" s="43" t="n">
        <x:v>189881</x:v>
      </x:c>
      <x:c r="J2160" s="43" t="n">
        <x:v>23449</x:v>
      </x:c>
      <x:c r="K2160" s="43" t="n">
        <x:v>2497.4577777087534</x:v>
      </x:c>
      <x:c r="L2160" s="43" t="n">
        <x:v>969.2696906955458</x:v>
      </x:c>
    </x:row>
    <x:row r="2161" ht="15" hidden="0" customHeight="1">
      <x:c r="A2161" s="29" t="str">
        <x:v>45003</x:v>
      </x:c>
      <x:c r="B2161" s="29" t="str">
        <x:v>SCA-23</x:v>
      </x:c>
      <x:c r="C2161" s="44" t="n">
        <x:v>181515</x:v>
      </x:c>
      <x:c r="D2161" s="44" t="n">
        <x:v>1923.3696110173037</x:v>
      </x:c>
      <x:c r="E2161" s="44" t="n">
        <x:v>27481.79656163453</x:v>
      </x:c>
      <x:c r="F2161" s="44" t="n">
        <x:v>1102.9241044328744</x:v>
      </x:c>
      <x:c r="G2161" s="44" t="n">
        <x:v>6343.701294177074</x:v>
      </x:c>
      <x:c r="H2161" s="44" t="n">
        <x:v>144663.20842873823</x:v>
      </x:c>
      <x:c r="I2161" s="44" t="n">
        <x:v>181515</x:v>
      </x:c>
      <x:c r="J2161" s="44" t="n">
        <x:v>27163</x:v>
      </x:c>
      <x:c r="K2161" s="44" t="n">
        <x:v>1881.2188587154058</x:v>
      </x:c>
      <x:c r="L2161" s="44" t="n">
        <x:v>778.2947542825314</x:v>
      </x:c>
    </x:row>
    <x:row r="2162" ht="15" hidden="0" customHeight="1">
      <x:c r="A2162" s="27" t="str">
        <x:v>13153</x:v>
      </x:c>
      <x:c r="B2162" s="27" t="str">
        <x:v>SCA-23</x:v>
      </x:c>
      <x:c r="C2162" s="43" t="n">
        <x:v>178214</x:v>
      </x:c>
      <x:c r="D2162" s="43" t="n">
        <x:v>1625.5821951629594</x:v>
      </x:c>
      <x:c r="E2162" s="43" t="n">
        <x:v>23532.411019888837</x:v>
      </x:c>
      <x:c r="F2162" s="43" t="n">
        <x:v>1544.3932868311026</x:v>
      </x:c>
      <x:c r="G2162" s="43" t="n">
        <x:v>3779.2659211143105</x:v>
      </x:c>
      <x:c r="H2162" s="43" t="n">
        <x:v>147732.3475770028</x:v>
      </x:c>
      <x:c r="I2162" s="43" t="n">
        <x:v>178214</x:v>
      </x:c>
      <x:c r="J2162" s="43" t="n">
        <x:v>22594</x:v>
      </x:c>
      <x:c r="K2162" s="43" t="n">
        <x:v>2189.4583561653603</x:v>
      </x:c>
      <x:c r="L2162" s="43" t="n">
        <x:v>645.0650693342578</x:v>
      </x:c>
    </x:row>
    <x:row r="2163" ht="15" hidden="0" customHeight="1">
      <x:c r="A2163" s="29" t="str">
        <x:v>13073</x:v>
      </x:c>
      <x:c r="B2163" s="29" t="str">
        <x:v>SCA-23</x:v>
      </x:c>
      <x:c r="C2163" s="44" t="n">
        <x:v>169189</x:v>
      </x:c>
      <x:c r="D2163" s="44" t="n">
        <x:v>1562.2280750447685</x:v>
      </x:c>
      <x:c r="E2163" s="44" t="n">
        <x:v>22795.919532755175</x:v>
      </x:c>
      <x:c r="F2163" s="44" t="n">
        <x:v>1466.1831046139325</x:v>
      </x:c>
      <x:c r="G2163" s="44" t="n">
        <x:v>2706.176834972567</x:v>
      </x:c>
      <x:c r="H2163" s="44" t="n">
        <x:v>140658.49245261354</x:v>
      </x:c>
      <x:c r="I2163" s="44" t="n">
        <x:v>169189</x:v>
      </x:c>
      <x:c r="J2163" s="44" t="n">
        <x:v>22204</x:v>
      </x:c>
      <x:c r="K2163" s="44" t="n">
        <x:v>2078.5811991272353</x:v>
      </x:c>
      <x:c r="L2163" s="44" t="n">
        <x:v>612.3980945133028</x:v>
      </x:c>
    </x:row>
    <x:row r="2164" ht="15" hidden="0" customHeight="1">
      <x:c r="A2164" s="27" t="str">
        <x:v>13077</x:v>
      </x:c>
      <x:c r="B2164" s="27" t="str">
        <x:v>SCA-23</x:v>
      </x:c>
      <x:c r="C2164" s="43" t="n">
        <x:v>160240</x:v>
      </x:c>
      <x:c r="D2164" s="43" t="n">
        <x:v>1439.5315992762837</x:v>
      </x:c>
      <x:c r="E2164" s="43" t="n">
        <x:v>20628.609342471704</x:v>
      </x:c>
      <x:c r="F2164" s="43" t="n">
        <x:v>1388.6315344575391</x:v>
      </x:c>
      <x:c r="G2164" s="43" t="n">
        <x:v>3007.271767827398</x:v>
      </x:c>
      <x:c r="H2164" s="43" t="n">
        <x:v>133775.95575596706</x:v>
      </x:c>
      <x:c r="I2164" s="43" t="n">
        <x:v>160240</x:v>
      </x:c>
      <x:c r="J2164" s="43" t="n">
        <x:v>20368</x:v>
      </x:c>
      <x:c r="K2164" s="43" t="n">
        <x:v>1968.6377444641687</x:v>
      </x:c>
      <x:c r="L2164" s="43" t="n">
        <x:v>580.0062100066295</x:v>
      </x:c>
    </x:row>
    <x:row r="2165" ht="15" hidden="0" customHeight="1">
      <x:c r="A2165" s="29" t="str">
        <x:v>13021</x:v>
      </x:c>
      <x:c r="B2165" s="29" t="str">
        <x:v>SCA-23</x:v>
      </x:c>
      <x:c r="C2165" s="44" t="n">
        <x:v>157556</x:v>
      </x:c>
      <x:c r="D2165" s="44" t="n">
        <x:v>1587.267885401732</x:v>
      </x:c>
      <x:c r="E2165" s="44" t="n">
        <x:v>24407.440968492614</x:v>
      </x:c>
      <x:c r="F2165" s="44" t="n">
        <x:v>1365.3721295743387</x:v>
      </x:c>
      <x:c r="G2165" s="44" t="n">
        <x:v>9899.637357824551</x:v>
      </x:c>
      <x:c r="H2165" s="44" t="n">
        <x:v>120296.28165870676</x:v>
      </x:c>
      <x:c r="I2165" s="44" t="n">
        <x:v>157556</x:v>
      </x:c>
      <x:c r="J2165" s="44" t="n">
        <x:v>24686</x:v>
      </x:c>
      <x:c r="K2165" s="44" t="n">
        <x:v>1935.6633079555452</x:v>
      </x:c>
      <x:c r="L2165" s="44" t="n">
        <x:v>570.2911783812065</x:v>
      </x:c>
    </x:row>
    <x:row r="2166" ht="15" hidden="0" customHeight="1">
      <x:c r="A2166" s="27" t="str">
        <x:v>13097</x:v>
      </x:c>
      <x:c r="B2166" s="27" t="str">
        <x:v>SCA-23</x:v>
      </x:c>
      <x:c r="C2166" s="43" t="n">
        <x:v>154293</x:v>
      </x:c>
      <x:c r="D2166" s="43" t="n">
        <x:v>1299.8033320296727</x:v>
      </x:c>
      <x:c r="E2166" s="43" t="n">
        <x:v>17791.750538774115</x:v>
      </x:c>
      <x:c r="F2166" s="43" t="n">
        <x:v>1337.095140701804</x:v>
      </x:c>
      <x:c r="G2166" s="43" t="n">
        <x:v>2838.0655181833704</x:v>
      </x:c>
      <x:c r="H2166" s="43" t="n">
        <x:v>131026.28547031105</x:v>
      </x:c>
      <x:c r="I2166" s="43" t="n">
        <x:v>154293</x:v>
      </x:c>
      <x:c r="J2166" s="43" t="n">
        <x:v>17588</x:v>
      </x:c>
      <x:c r="K2166" s="43" t="n">
        <x:v>1895.5755336158884</x:v>
      </x:c>
      <x:c r="L2166" s="43" t="n">
        <x:v>558.4803929140844</x:v>
      </x:c>
    </x:row>
    <x:row r="2167" ht="15" hidden="0" customHeight="1">
      <x:c r="A2167" s="29" t="str">
        <x:v>47009</x:v>
      </x:c>
      <x:c r="B2167" s="29" t="str">
        <x:v>SCA-23</x:v>
      </x:c>
      <x:c r="C2167" s="44" t="n">
        <x:v>143820</x:v>
      </x:c>
      <x:c r="D2167" s="44" t="n">
        <x:v>1409.6237799585465</x:v>
      </x:c>
      <x:c r="E2167" s="44" t="n">
        <x:v>18627.01252992875</x:v>
      </x:c>
      <x:c r="F2167" s="44" t="n">
        <x:v>921.183725818428</x:v>
      </x:c>
      <x:c r="G2167" s="44" t="n">
        <x:v>1908.382682918008</x:v>
      </x:c>
      <x:c r="H2167" s="44" t="n">
        <x:v>120953.79728137628</x:v>
      </x:c>
      <x:c r="I2167" s="44" t="n">
        <x:v>143820</x:v>
      </x:c>
      <x:c r="J2167" s="44" t="n">
        <x:v>18651</x:v>
      </x:c>
      <x:c r="K2167" s="44" t="n">
        <x:v>1554.68198369661</x:v>
      </x:c>
      <x:c r="L2167" s="44" t="n">
        <x:v>633.4982578781819</x:v>
      </x:c>
    </x:row>
    <x:row r="2168" ht="15" hidden="0" customHeight="1">
      <x:c r="A2168" s="27" t="str">
        <x:v>47179</x:v>
      </x:c>
      <x:c r="B2168" s="27" t="str">
        <x:v>SCA-23</x:v>
      </x:c>
      <x:c r="C2168" s="43" t="n">
        <x:v>141199</x:v>
      </x:c>
      <x:c r="D2168" s="43" t="n">
        <x:v>1580.6384747752159</x:v>
      </x:c>
      <x:c r="E2168" s="43" t="n">
        <x:v>23008.44471055989</x:v>
      </x:c>
      <x:c r="F2168" s="43" t="n">
        <x:v>904.3959178267014</x:v>
      </x:c>
      <x:c r="G2168" s="43" t="n">
        <x:v>3209.3697111533097</x:v>
      </x:c>
      <x:c r="H2168" s="43" t="n">
        <x:v>112496.15118568488</x:v>
      </x:c>
      <x:c r="I2168" s="43" t="n">
        <x:v>141199</x:v>
      </x:c>
      <x:c r="J2168" s="43" t="n">
        <x:v>22883</x:v>
      </x:c>
      <x:c r="K2168" s="43" t="n">
        <x:v>1526.3491963285885</x:v>
      </x:c>
      <x:c r="L2168" s="43" t="n">
        <x:v>621.9532785018871</x:v>
      </x:c>
    </x:row>
    <x:row r="2169" ht="15" hidden="0" customHeight="1">
      <x:c r="A2169" s="29" t="str">
        <x:v>45077</x:v>
      </x:c>
      <x:c r="B2169" s="29" t="str">
        <x:v>SCA-23</x:v>
      </x:c>
      <x:c r="C2169" s="44" t="n">
        <x:v>139198</x:v>
      </x:c>
      <x:c r="D2169" s="44" t="n">
        <x:v>1451.770098657143</x:v>
      </x:c>
      <x:c r="E2169" s="44" t="n">
        <x:v>20518.102801570974</x:v>
      </x:c>
      <x:c r="F2169" s="44" t="n">
        <x:v>845.7969285670455</x:v>
      </x:c>
      <x:c r="G2169" s="44" t="n">
        <x:v>3829.7899756873007</x:v>
      </x:c>
      <x:c r="H2169" s="44" t="n">
        <x:v>112552.54019551753</x:v>
      </x:c>
      <x:c r="I2169" s="44" t="n">
        <x:v>139198</x:v>
      </x:c>
      <x:c r="J2169" s="44" t="n">
        <x:v>20525</x:v>
      </x:c>
      <x:c r="K2169" s="44" t="n">
        <x:v>1442.646077158731</x:v>
      </x:c>
      <x:c r="L2169" s="44" t="n">
        <x:v>596.8491485916855</x:v>
      </x:c>
    </x:row>
    <x:row r="2170" ht="15" hidden="0" customHeight="1">
      <x:c r="A2170" s="27" t="str">
        <x:v>13045</x:v>
      </x:c>
      <x:c r="B2170" s="27" t="str">
        <x:v>SCA-23</x:v>
      </x:c>
      <x:c r="C2170" s="43" t="n">
        <x:v>131036</x:v>
      </x:c>
      <x:c r="D2170" s="43" t="n">
        <x:v>1291.1711753438196</x:v>
      </x:c>
      <x:c r="E2170" s="43" t="n">
        <x:v>19604.928917024205</x:v>
      </x:c>
      <x:c r="F2170" s="43" t="n">
        <x:v>1135.5511841561288</x:v>
      </x:c>
      <x:c r="G2170" s="43" t="n">
        <x:v>2368.2662430178902</x:v>
      </x:c>
      <x:c r="H2170" s="43" t="n">
        <x:v>106636.08248045796</x:v>
      </x:c>
      <x:c r="I2170" s="43" t="n">
        <x:v>131036</x:v>
      </x:c>
      <x:c r="J2170" s="43" t="n">
        <x:v>19252</x:v>
      </x:c>
      <x:c r="K2170" s="43" t="n">
        <x:v>1609.8503212906066</x:v>
      </x:c>
      <x:c r="L2170" s="43" t="n">
        <x:v>474.29913713447775</x:v>
      </x:c>
    </x:row>
    <x:row r="2171" ht="15" hidden="0" customHeight="1">
      <x:c r="A2171" s="29" t="str">
        <x:v>13059</x:v>
      </x:c>
      <x:c r="B2171" s="29" t="str">
        <x:v>SCA-23</x:v>
      </x:c>
      <x:c r="C2171" s="44" t="n">
        <x:v>129921</x:v>
      </x:c>
      <x:c r="D2171" s="44" t="n">
        <x:v>1099.4942884769157</x:v>
      </x:c>
      <x:c r="E2171" s="44" t="n">
        <x:v>15101.544379720866</x:v>
      </x:c>
      <x:c r="F2171" s="44" t="n">
        <x:v>1125.8886519486891</x:v>
      </x:c>
      <x:c r="G2171" s="44" t="n">
        <x:v>4623.561060427093</x:v>
      </x:c>
      <x:c r="H2171" s="44" t="n">
        <x:v>107970.51161942644</x:v>
      </x:c>
      <x:c r="I2171" s="44" t="n">
        <x:v>129921</x:v>
      </x:c>
      <x:c r="J2171" s="44" t="n">
        <x:v>15581</x:v>
      </x:c>
      <x:c r="K2171" s="44" t="n">
        <x:v>1596.151924603902</x:v>
      </x:c>
      <x:c r="L2171" s="44" t="n">
        <x:v>470.2632726552129</x:v>
      </x:c>
    </x:row>
    <x:row r="2172" ht="15" hidden="0" customHeight="1">
      <x:c r="A2172" s="27" t="str">
        <x:v>01103</x:v>
      </x:c>
      <x:c r="B2172" s="27" t="str">
        <x:v>SCA-23</x:v>
      </x:c>
      <x:c r="C2172" s="43" t="n">
        <x:v>126483</x:v>
      </x:c>
      <x:c r="D2172" s="43" t="n">
        <x:v>1557.217050153787</x:v>
      </x:c>
      <x:c r="E2172" s="43" t="n">
        <x:v>21877.676112344874</x:v>
      </x:c>
      <x:c r="F2172" s="43" t="n">
        <x:v>1017.9523691664333</x:v>
      </x:c>
      <x:c r="G2172" s="43" t="n">
        <x:v>3435.4709830176353</x:v>
      </x:c>
      <x:c r="H2172" s="43" t="n">
        <x:v>98594.68348531726</x:v>
      </x:c>
      <x:c r="I2172" s="43" t="n">
        <x:v>126483</x:v>
      </x:c>
      <x:c r="J2172" s="43" t="n">
        <x:v>22068</x:v>
      </x:c>
      <x:c r="K2172" s="43" t="n">
        <x:v>1663.5995813058507</x:v>
      </x:c>
      <x:c r="L2172" s="43" t="n">
        <x:v>645.6472121394174</x:v>
      </x:c>
    </x:row>
    <x:row r="2173" ht="15" hidden="0" customHeight="1">
      <x:c r="A2173" s="29" t="str">
        <x:v>13217</x:v>
      </x:c>
      <x:c r="B2173" s="29" t="str">
        <x:v>SCA-23</x:v>
      </x:c>
      <x:c r="C2173" s="44" t="n">
        <x:v>125583</x:v>
      </x:c>
      <x:c r="D2173" s="44" t="n">
        <x:v>1171.3891325318207</x:v>
      </x:c>
      <x:c r="E2173" s="44" t="n">
        <x:v>17203.86541072936</x:v>
      </x:c>
      <x:c r="F2173" s="44" t="n">
        <x:v>1088.2957687954388</x:v>
      </x:c>
      <x:c r="G2173" s="44" t="n">
        <x:v>1849.6247665583671</x:v>
      </x:c>
      <x:c r="H2173" s="44" t="n">
        <x:v>104269.82492138502</x:v>
      </x:c>
      <x:c r="I2173" s="44" t="n">
        <x:v>125583</x:v>
      </x:c>
      <x:c r="J2173" s="44" t="n">
        <x:v>16734</x:v>
      </x:c>
      <x:c r="K2173" s="44" t="n">
        <x:v>1542.8571758802027</x:v>
      </x:c>
      <x:c r="L2173" s="44" t="n">
        <x:v>454.56140708476386</x:v>
      </x:c>
    </x:row>
    <x:row r="2174" ht="15" hidden="0" customHeight="1">
      <x:c r="A2174" s="27" t="str">
        <x:v>13113</x:v>
      </x:c>
      <x:c r="B2174" s="27" t="str">
        <x:v>SCA-23</x:v>
      </x:c>
      <x:c r="C2174" s="43" t="n">
        <x:v>125156</x:v>
      </x:c>
      <x:c r="D2174" s="43" t="n">
        <x:v>1072.6604325500934</x:v>
      </x:c>
      <x:c r="E2174" s="43" t="n">
        <x:v>14871.470368283159</x:v>
      </x:c>
      <x:c r="F2174" s="43" t="n">
        <x:v>1084.595408927657</x:v>
      </x:c>
      <x:c r="G2174" s="43" t="n">
        <x:v>2187.9352002900127</x:v>
      </x:c>
      <x:c r="H2174" s="43" t="n">
        <x:v>105939.33858994908</x:v>
      </x:c>
      <x:c r="I2174" s="43" t="n">
        <x:v>125156</x:v>
      </x:c>
      <x:c r="J2174" s="43" t="n">
        <x:v>15023</x:v>
      </x:c>
      <x:c r="K2174" s="43" t="n">
        <x:v>1537.6112427992853</x:v>
      </x:c>
      <x:c r="L2174" s="43" t="n">
        <x:v>453.0158338716284</x:v>
      </x:c>
    </x:row>
    <x:row r="2175" ht="15" hidden="0" customHeight="1">
      <x:c r="A2175" s="29" t="str">
        <x:v>37089</x:v>
      </x:c>
      <x:c r="B2175" s="29" t="str">
        <x:v>SCA-23</x:v>
      </x:c>
      <x:c r="C2175" s="44" t="n">
        <x:v>122375</x:v>
      </x:c>
      <x:c r="D2175" s="44" t="n">
        <x:v>1267.7470225689362</x:v>
      </x:c>
      <x:c r="E2175" s="44" t="n">
        <x:v>17722.58167792035</x:v>
      </x:c>
      <x:c r="F2175" s="44" t="n">
        <x:v>645.4382449160349</x:v>
      </x:c>
      <x:c r="G2175" s="44" t="n">
        <x:v>2491.38802653202</x:v>
      </x:c>
      <x:c r="H2175" s="44" t="n">
        <x:v>100247.84502806266</x:v>
      </x:c>
      <x:c r="I2175" s="44" t="n">
        <x:v>122375</x:v>
      </x:c>
      <x:c r="J2175" s="44" t="n">
        <x:v>17717</x:v>
      </x:c>
      <x:c r="K2175" s="44" t="n">
        <x:v>1174.7443642382898</x:v>
      </x:c>
      <x:c r="L2175" s="44" t="n">
        <x:v>529.3061193222549</x:v>
      </x:c>
    </x:row>
    <x:row r="2176" ht="15" hidden="0" customHeight="1">
      <x:c r="A2176" s="27" t="str">
        <x:v>13015</x:v>
      </x:c>
      <x:c r="B2176" s="27" t="str">
        <x:v>SCA-23</x:v>
      </x:c>
      <x:c r="C2176" s="43" t="n">
        <x:v>120800</x:v>
      </x:c>
      <x:c r="D2176" s="43" t="n">
        <x:v>1015.8288751614488</x:v>
      </x:c>
      <x:c r="E2176" s="43" t="n">
        <x:v>13885.921435906594</x:v>
      </x:c>
      <x:c r="F2176" s="43" t="n">
        <x:v>1046.846538707381</x:v>
      </x:c>
      <x:c r="G2176" s="43" t="n">
        <x:v>1404.4560253605393</x:v>
      </x:c>
      <x:c r="H2176" s="43" t="n">
        <x:v>103446.94712486403</x:v>
      </x:c>
      <x:c r="I2176" s="43" t="n">
        <x:v>120800</x:v>
      </x:c>
      <x:c r="J2176" s="43" t="n">
        <x:v>13409</x:v>
      </x:c>
      <x:c r="K2176" s="43" t="n">
        <x:v>1484.0953540393882</x:v>
      </x:c>
      <x:c r="L2176" s="43" t="n">
        <x:v>437.2488153320073</x:v>
      </x:c>
    </x:row>
    <x:row r="2177" ht="15" hidden="0" customHeight="1">
      <x:c r="A2177" s="29" t="str">
        <x:v>01015</x:v>
      </x:c>
      <x:c r="B2177" s="29" t="str">
        <x:v>SCA-23</x:v>
      </x:c>
      <x:c r="C2177" s="44" t="n">
        <x:v>115834</x:v>
      </x:c>
      <x:c r="D2177" s="44" t="n">
        <x:v>1554.6271740253521</x:v>
      </x:c>
      <x:c r="E2177" s="44" t="n">
        <x:v>23120.136558675807</x:v>
      </x:c>
      <x:c r="F2177" s="44" t="n">
        <x:v>932.2477702934358</x:v>
      </x:c>
      <x:c r="G2177" s="44" t="n">
        <x:v>3836.46999170197</x:v>
      </x:c>
      <x:c r="H2177" s="44" t="n">
        <x:v>86390.51850530342</x:v>
      </x:c>
      <x:c r="I2177" s="44" t="n">
        <x:v>115834</x:v>
      </x:c>
      <x:c r="J2177" s="44" t="n">
        <x:v>23803</x:v>
      </x:c>
      <x:c r="K2177" s="44" t="n">
        <x:v>1523.5359210406293</x:v>
      </x:c>
      <x:c r="L2177" s="44" t="n">
        <x:v>591.2881507471935</x:v>
      </x:c>
    </x:row>
    <x:row r="2178" ht="15" hidden="0" customHeight="1">
      <x:c r="A2178" s="27" t="str">
        <x:v>47011</x:v>
      </x:c>
      <x:c r="B2178" s="27" t="str">
        <x:v>SCA-23</x:v>
      </x:c>
      <x:c r="C2178" s="43" t="n">
        <x:v>115465</x:v>
      </x:c>
      <x:c r="D2178" s="43" t="n">
        <x:v>1283.2172787248953</x:v>
      </x:c>
      <x:c r="E2178" s="43" t="n">
        <x:v>18590.81062666836</x:v>
      </x:c>
      <x:c r="F2178" s="43" t="n">
        <x:v>739.5666729357864</x:v>
      </x:c>
      <x:c r="G2178" s="43" t="n">
        <x:v>3068.6279213350526</x:v>
      </x:c>
      <x:c r="H2178" s="43" t="n">
        <x:v>91782.77750033591</x:v>
      </x:c>
      <x:c r="I2178" s="43" t="n">
        <x:v>115465</x:v>
      </x:c>
      <x:c r="J2178" s="43" t="n">
        <x:v>18472</x:v>
      </x:c>
      <x:c r="K2178" s="43" t="n">
        <x:v>1248.1668422161665</x:v>
      </x:c>
      <x:c r="L2178" s="43" t="n">
        <x:v>508.6001692803801</x:v>
      </x:c>
    </x:row>
    <x:row r="2179" ht="15" hidden="0" customHeight="1">
      <x:c r="A2179" s="29" t="str">
        <x:v>13297</x:v>
      </x:c>
      <x:c r="B2179" s="29" t="str">
        <x:v>SCA-23</x:v>
      </x:c>
      <x:c r="C2179" s="44" t="n">
        <x:v>112696</x:v>
      </x:c>
      <x:c r="D2179" s="44" t="n">
        <x:v>1058.9422947749486</x:v>
      </x:c>
      <x:c r="E2179" s="44" t="n">
        <x:v>15624.643056190309</x:v>
      </x:c>
      <x:c r="F2179" s="44" t="n">
        <x:v>976.6176947530379</x:v>
      </x:c>
      <x:c r="G2179" s="44" t="n">
        <x:v>1509.6691324388194</x:v>
      </x:c>
      <x:c r="H2179" s="44" t="n">
        <x:v>93526.12782184288</x:v>
      </x:c>
      <x:c r="I2179" s="44" t="n">
        <x:v>112696</x:v>
      </x:c>
      <x:c r="J2179" s="44" t="n">
        <x:v>14789</x:v>
      </x:c>
      <x:c r="K2179" s="44" t="n">
        <x:v>1384.533195520057</x:v>
      </x:c>
      <x:c r="L2179" s="44" t="n">
        <x:v>407.915500767019</x:v>
      </x:c>
    </x:row>
    <x:row r="2180" ht="15" hidden="0" customHeight="1">
      <x:c r="A2180" s="27" t="str">
        <x:v>01069</x:v>
      </x:c>
      <x:c r="B2180" s="27" t="str">
        <x:v>SCA-23</x:v>
      </x:c>
      <x:c r="C2180" s="43" t="n">
        <x:v>110318</x:v>
      </x:c>
      <x:c r="D2180" s="43" t="n">
        <x:v>1318.4923672061543</x:v>
      </x:c>
      <x:c r="E2180" s="43" t="n">
        <x:v>18128.670749278193</x:v>
      </x:c>
      <x:c r="F2180" s="43" t="n">
        <x:v>887.8542528379513</x:v>
      </x:c>
      <x:c r="G2180" s="43" t="n">
        <x:v>3805.5354876989054</x:v>
      </x:c>
      <x:c r="H2180" s="43" t="n">
        <x:v>86177.4471429788</x:v>
      </x:c>
      <x:c r="I2180" s="43" t="n">
        <x:v>110318</x:v>
      </x:c>
      <x:c r="J2180" s="43" t="n">
        <x:v>18320</x:v>
      </x:c>
      <x:c r="K2180" s="43" t="n">
        <x:v>1450.9853388241806</x:v>
      </x:c>
      <x:c r="L2180" s="43" t="n">
        <x:v>563.1310859862294</x:v>
      </x:c>
    </x:row>
    <x:row r="2181" ht="15" hidden="0" customHeight="1">
      <x:c r="A2181" s="29" t="str">
        <x:v>13313</x:v>
      </x:c>
      <x:c r="B2181" s="29" t="str">
        <x:v>SCA-23</x:v>
      </x:c>
      <x:c r="C2181" s="44" t="n">
        <x:v>106212</x:v>
      </x:c>
      <x:c r="D2181" s="44" t="n">
        <x:v>903.650412836996</x:v>
      </x:c>
      <x:c r="E2181" s="44" t="n">
        <x:v>12460.907025827672</x:v>
      </x:c>
      <x:c r="F2181" s="44" t="n">
        <x:v>920.4276868310294</x:v>
      </x:c>
      <x:c r="G2181" s="44" t="n">
        <x:v>4384.12483699566</x:v>
      </x:c>
      <x:c r="H2181" s="44" t="n">
        <x:v>87542.89003750864</x:v>
      </x:c>
      <x:c r="I2181" s="44" t="n">
        <x:v>106212</x:v>
      </x:c>
      <x:c r="J2181" s="44" t="n">
        <x:v>12558</x:v>
      </x:c>
      <x:c r="K2181" s="44" t="n">
        <x:v>1304.873640258539</x:v>
      </x:c>
      <x:c r="L2181" s="44" t="n">
        <x:v>384.4459534275096</x:v>
      </x:c>
    </x:row>
    <x:row r="2182" ht="15" hidden="0" customHeight="1">
      <x:c r="A2182" s="27" t="str">
        <x:v>01055</x:v>
      </x:c>
      <x:c r="B2182" s="27" t="str">
        <x:v>SCA-23</x:v>
      </x:c>
      <x:c r="C2182" s="43" t="n">
        <x:v>103886</x:v>
      </x:c>
      <x:c r="D2182" s="43" t="n">
        <x:v>1313.967418004751</x:v>
      </x:c>
      <x:c r="E2182" s="43" t="n">
        <x:v>18808.06141242938</x:v>
      </x:c>
      <x:c r="F2182" s="43" t="n">
        <x:v>836.0886429261172</x:v>
      </x:c>
      <x:c r="G2182" s="43" t="n">
        <x:v>2222.049714571563</x:v>
      </x:c>
      <x:c r="H2182" s="43" t="n">
        <x:v>80705.8328120682</x:v>
      </x:c>
      <x:c r="I2182" s="43" t="n">
        <x:v>103886</x:v>
      </x:c>
      <x:c r="J2182" s="43" t="n">
        <x:v>19227</x:v>
      </x:c>
      <x:c r="K2182" s="43" t="n">
        <x:v>1366.3868354129772</x:v>
      </x:c>
      <x:c r="L2182" s="43" t="n">
        <x:v>530.29819248686</x:v>
      </x:c>
    </x:row>
    <x:row r="2183" ht="15" hidden="0" customHeight="1">
      <x:c r="A2183" s="29" t="str">
        <x:v>01095</x:v>
      </x:c>
      <x:c r="B2183" s="29" t="str">
        <x:v>SCA-23</x:v>
      </x:c>
      <x:c r="C2183" s="44" t="n">
        <x:v>103537</x:v>
      </x:c>
      <x:c r="D2183" s="44" t="n">
        <x:v>1203.5373185739636</x:v>
      </x:c>
      <x:c r="E2183" s="44" t="n">
        <x:v>16200.495294117647</x:v>
      </x:c>
      <x:c r="F2183" s="44" t="n">
        <x:v>833.2798435077046</x:v>
      </x:c>
      <x:c r="G2183" s="44" t="n">
        <x:v>2136.886029411765</x:v>
      </x:c>
      <x:c r="H2183" s="44" t="n">
        <x:v>83162.80151438892</x:v>
      </x:c>
      <x:c r="I2183" s="44" t="n">
        <x:v>103537</x:v>
      </x:c>
      <x:c r="J2183" s="44" t="n">
        <x:v>16093</x:v>
      </x:c>
      <x:c r="K2183" s="44" t="n">
        <x:v>1361.7965248267662</x:v>
      </x:c>
      <x:c r="L2183" s="44" t="n">
        <x:v>528.5166813190616</x:v>
      </x:c>
    </x:row>
    <x:row r="2184" ht="15" hidden="0" customHeight="1">
      <x:c r="A2184" s="27" t="str">
        <x:v>13115</x:v>
      </x:c>
      <x:c r="B2184" s="27" t="str">
        <x:v>SCA-23</x:v>
      </x:c>
      <x:c r="C2184" s="43" t="n">
        <x:v>101378</x:v>
      </x:c>
      <x:c r="D2184" s="43" t="n">
        <x:v>1108.4483660395588</x:v>
      </x:c>
      <x:c r="E2184" s="43" t="n">
        <x:v>17795.990506659033</x:v>
      </x:c>
      <x:c r="F2184" s="43" t="n">
        <x:v>878.5364933863978</x:v>
      </x:c>
      <x:c r="G2184" s="43" t="n">
        <x:v>3788.6920643519315</x:v>
      </x:c>
      <x:c r="H2184" s="43" t="n">
        <x:v>77806.33256956308</x:v>
      </x:c>
      <x:c r="I2184" s="43" t="n">
        <x:v>101378</x:v>
      </x:c>
      <x:c r="J2184" s="43" t="n">
        <x:v>17890</x:v>
      </x:c>
      <x:c r="K2184" s="43" t="n">
        <x:v>1245.4852549818302</x:v>
      </x:c>
      <x:c r="L2184" s="43" t="n">
        <x:v>366.9487615954324</x:v>
      </x:c>
    </x:row>
    <x:row r="2185" ht="15" hidden="0" customHeight="1">
      <x:c r="A2185" s="29" t="str">
        <x:v>47155</x:v>
      </x:c>
      <x:c r="B2185" s="29" t="str">
        <x:v>SCA-23</x:v>
      </x:c>
      <x:c r="C2185" s="44" t="n">
        <x:v>101342</x:v>
      </x:c>
      <x:c r="D2185" s="44" t="n">
        <x:v>1063.979231375695</x:v>
      </x:c>
      <x:c r="E2185" s="44" t="n">
        <x:v>14822.113075771673</x:v>
      </x:c>
      <x:c r="F2185" s="44" t="n">
        <x:v>649.1072252947513</x:v>
      </x:c>
      <x:c r="G2185" s="44" t="n">
        <x:v>2056.392977062179</x:v>
      </x:c>
      <x:c r="H2185" s="44" t="n">
        <x:v>82750.40749049571</x:v>
      </x:c>
      <x:c r="I2185" s="44" t="n">
        <x:v>101342</x:v>
      </x:c>
      <x:c r="J2185" s="44" t="n">
        <x:v>15064</x:v>
      </x:c>
      <x:c r="K2185" s="44" t="n">
        <x:v>1095.4984118466266</x:v>
      </x:c>
      <x:c r="L2185" s="44" t="n">
        <x:v>446.3911865518753</x:v>
      </x:c>
    </x:row>
    <x:row r="2186" ht="15" hidden="0" customHeight="1">
      <x:c r="A2186" s="27" t="str">
        <x:v>13013</x:v>
      </x:c>
      <x:c r="B2186" s="27" t="str">
        <x:v>SCA-23</x:v>
      </x:c>
      <x:c r="C2186" s="43" t="n">
        <x:v>99773</x:v>
      </x:c>
      <x:c r="D2186" s="43" t="n">
        <x:v>866.133946479743</x:v>
      </x:c>
      <x:c r="E2186" s="43" t="n">
        <x:v>12119.871791251508</x:v>
      </x:c>
      <x:c r="F2186" s="43" t="n">
        <x:v>864.6276465765854</x:v>
      </x:c>
      <x:c r="G2186" s="43" t="n">
        <x:v>2185.84390777892</x:v>
      </x:c>
      <x:c r="H2186" s="43" t="n">
        <x:v>83736.52270791325</x:v>
      </x:c>
      <x:c r="I2186" s="43" t="n">
        <x:v>99773</x:v>
      </x:c>
      <x:c r="J2186" s="43" t="n">
        <x:v>11328</x:v>
      </x:c>
      <x:c r="K2186" s="43" t="n">
        <x:v>1225.7669350875155</x:v>
      </x:c>
      <x:c r="L2186" s="43" t="n">
        <x:v>361.13928851093016</x:v>
      </x:c>
    </x:row>
    <x:row r="2187" ht="15" hidden="0" customHeight="1">
      <x:c r="A2187" s="29" t="str">
        <x:v>13157</x:v>
      </x:c>
      <x:c r="B2187" s="29" t="str">
        <x:v>SCA-23</x:v>
      </x:c>
      <x:c r="C2187" s="44" t="n">
        <x:v>99265</x:v>
      </x:c>
      <x:c r="D2187" s="44" t="n">
        <x:v>873.2050431728717</x:v>
      </x:c>
      <x:c r="E2187" s="44" t="n">
        <x:v>12333.708389672422</x:v>
      </x:c>
      <x:c r="F2187" s="44" t="n">
        <x:v>860.2253449071868</x:v>
      </x:c>
      <x:c r="G2187" s="44" t="n">
        <x:v>1046.863526727897</x:v>
      </x:c>
      <x:c r="H2187" s="44" t="n">
        <x:v>84150.99769551962</x:v>
      </x:c>
      <x:c r="I2187" s="44" t="n">
        <x:v>99265</x:v>
      </x:c>
      <x:c r="J2187" s="44" t="n">
        <x:v>10893</x:v>
      </x:c>
      <x:c r="K2187" s="44" t="n">
        <x:v>1219.5258718437076</x:v>
      </x:c>
      <x:c r="L2187" s="44" t="n">
        <x:v>359.3005269365207</x:v>
      </x:c>
    </x:row>
    <x:row r="2188" ht="15" hidden="0" customHeight="1">
      <x:c r="A2188" s="27" t="str">
        <x:v>13247</x:v>
      </x:c>
      <x:c r="B2188" s="27" t="str">
        <x:v>SCA-23</x:v>
      </x:c>
      <x:c r="C2188" s="43" t="n">
        <x:v>98416</x:v>
      </x:c>
      <x:c r="D2188" s="43" t="n">
        <x:v>836.266879442779</x:v>
      </x:c>
      <x:c r="E2188" s="43" t="n">
        <x:v>11520.945621252886</x:v>
      </x:c>
      <x:c r="F2188" s="43" t="n">
        <x:v>852.8679549124636</x:v>
      </x:c>
      <x:c r="G2188" s="43" t="n">
        <x:v>1854.0207296146432</x:v>
      </x:c>
      <x:c r="H2188" s="43" t="n">
        <x:v>83351.89881477723</x:v>
      </x:c>
      <x:c r="I2188" s="43" t="n">
        <x:v>98416</x:v>
      </x:c>
      <x:c r="J2188" s="43" t="n">
        <x:v>11512</x:v>
      </x:c>
      <x:c r="K2188" s="43" t="n">
        <x:v>1209.0954334697055</x:v>
      </x:c>
      <x:c r="L2188" s="43" t="n">
        <x:v>356.22747855724197</x:v>
      </x:c>
    </x:row>
    <x:row r="2189" ht="15" hidden="0" customHeight="1">
      <x:c r="A2189" s="29" t="str">
        <x:v>01115</x:v>
      </x:c>
      <x:c r="B2189" s="29" t="str">
        <x:v>SCA-23</x:v>
      </x:c>
      <x:c r="C2189" s="44" t="n">
        <x:v>98206</x:v>
      </x:c>
      <x:c r="D2189" s="44" t="n">
        <x:v>1156.0035226840312</x:v>
      </x:c>
      <x:c r="E2189" s="44" t="n">
        <x:v>15712.78924964411</x:v>
      </x:c>
      <x:c r="F2189" s="44" t="n">
        <x:v>790.3752311880547</x:v>
      </x:c>
      <x:c r="G2189" s="44" t="n">
        <x:v>1610.836834269693</x:v>
      </x:c>
      <x:c r="H2189" s="44" t="n">
        <x:v>78935.99516221411</x:v>
      </x:c>
      <x:c r="I2189" s="44" t="n">
        <x:v>98206</x:v>
      </x:c>
      <x:c r="J2189" s="44" t="n">
        <x:v>15337</x:v>
      </x:c>
      <x:c r="K2189" s="44" t="n">
        <x:v>1291.6792018035812</x:v>
      </x:c>
      <x:c r="L2189" s="44" t="n">
        <x:v>501.3039706155264</x:v>
      </x:c>
    </x:row>
    <x:row r="2190" ht="15" hidden="0" customHeight="1">
      <x:c r="A2190" s="27" t="str">
        <x:v>01043</x:v>
      </x:c>
      <x:c r="B2190" s="27" t="str">
        <x:v>SCA-23</x:v>
      </x:c>
      <x:c r="C2190" s="43" t="n">
        <x:v>94009</x:v>
      </x:c>
      <x:c r="D2190" s="43" t="n">
        <x:v>1171.0011660829082</x:v>
      </x:c>
      <x:c r="E2190" s="43" t="n">
        <x:v>16586.910504712883</x:v>
      </x:c>
      <x:c r="F2190" s="43" t="n">
        <x:v>756.5972049442789</x:v>
      </x:c>
      <x:c r="G2190" s="43" t="n">
        <x:v>1681.798125988814</x:v>
      </x:c>
      <x:c r="H2190" s="43" t="n">
        <x:v>73812.69299827112</x:v>
      </x:c>
      <x:c r="I2190" s="43" t="n">
        <x:v>94009</x:v>
      </x:c>
      <x:c r="J2190" s="43" t="n">
        <x:v>16496</x:v>
      </x:c>
      <x:c r="K2190" s="43" t="n">
        <x:v>1236.4770999974837</x:v>
      </x:c>
      <x:c r="L2190" s="43" t="n">
        <x:v>479.87989505320473</x:v>
      </x:c>
    </x:row>
    <x:row r="2191" ht="15" hidden="0" customHeight="1">
      <x:c r="A2191" s="29" t="str">
        <x:v>12131</x:v>
      </x:c>
      <x:c r="B2191" s="29" t="str">
        <x:v>SCA-23</x:v>
      </x:c>
      <x:c r="C2191" s="44" t="n">
        <x:v>93288</x:v>
      </x:c>
      <x:c r="D2191" s="44" t="n">
        <x:v>977.9470631450304</x:v>
      </x:c>
      <x:c r="E2191" s="44" t="n">
        <x:v>12223.171825881425</x:v>
      </x:c>
      <x:c r="F2191" s="44" t="n">
        <x:v>604.1892093786082</x:v>
      </x:c>
      <x:c r="G2191" s="44" t="n">
        <x:v>1804.7450512113455</x:v>
      </x:c>
      <x:c r="H2191" s="44" t="n">
        <x:v>77677.9468503836</x:v>
      </x:c>
      <x:c r="I2191" s="44" t="n">
        <x:v>93288</x:v>
      </x:c>
      <x:c r="J2191" s="44" t="n">
        <x:v>11087</x:v>
      </x:c>
      <x:c r="K2191" s="44" t="n">
        <x:v>1072.8374464452456</x:v>
      </x:c>
      <x:c r="L2191" s="44" t="n">
        <x:v>468.6482370666375</x:v>
      </x:c>
    </x:row>
    <x:row r="2192" ht="15" hidden="0" customHeight="1">
      <x:c r="A2192" s="27" t="str">
        <x:v>01051</x:v>
      </x:c>
      <x:c r="B2192" s="27" t="str">
        <x:v>SCA-23</x:v>
      </x:c>
      <x:c r="C2192" s="43" t="n">
        <x:v>91577</x:v>
      </x:c>
      <x:c r="D2192" s="43" t="n">
        <x:v>1025.6906309589203</x:v>
      </x:c>
      <x:c r="E2192" s="43" t="n">
        <x:v>13397.403919164288</x:v>
      </x:c>
      <x:c r="F2192" s="43" t="n">
        <x:v>737.0241385099537</x:v>
      </x:c>
      <x:c r="G2192" s="43" t="n">
        <x:v>1458.7328624991158</x:v>
      </x:c>
      <x:c r="H2192" s="43" t="n">
        <x:v>74958.14844886772</x:v>
      </x:c>
      <x:c r="I2192" s="43" t="n">
        <x:v>91577</x:v>
      </x:c>
      <x:c r="J2192" s="43" t="n">
        <x:v>12925</x:v>
      </x:c>
      <x:c r="K2192" s="43" t="n">
        <x:v>1204.489606170362</x:v>
      </x:c>
      <x:c r="L2192" s="43" t="n">
        <x:v>467.46546766040836</x:v>
      </x:c>
    </x:row>
    <x:row r="2193" ht="15" hidden="0" customHeight="1">
      <x:c r="A2193" s="29" t="str">
        <x:v>45073</x:v>
      </x:c>
      <x:c r="B2193" s="29" t="str">
        <x:v>SCA-23</x:v>
      </x:c>
      <x:c r="C2193" s="44" t="n">
        <x:v>83775</x:v>
      </x:c>
      <x:c r="D2193" s="44" t="n">
        <x:v>957.510965954211</x:v>
      </x:c>
      <x:c r="E2193" s="44" t="n">
        <x:v>14359.270796814744</x:v>
      </x:c>
      <x:c r="F2193" s="44" t="n">
        <x:v>509.0348833367162</x:v>
      </x:c>
      <x:c r="G2193" s="44" t="n">
        <x:v>2451.2229178143934</x:v>
      </x:c>
      <x:c r="H2193" s="44" t="n">
        <x:v>65497.960436079935</x:v>
      </x:c>
      <x:c r="I2193" s="44" t="n">
        <x:v>83775</x:v>
      </x:c>
      <x:c r="J2193" s="44" t="n">
        <x:v>14260</x:v>
      </x:c>
      <x:c r="K2193" s="44" t="n">
        <x:v>868.242899423646</x:v>
      </x:c>
      <x:c r="L2193" s="44" t="n">
        <x:v>359.20801608692983</x:v>
      </x:c>
    </x:row>
    <x:row r="2194" ht="15" hidden="0" customHeight="1">
      <x:c r="A2194" s="27" t="str">
        <x:v>13095</x:v>
      </x:c>
      <x:c r="B2194" s="27" t="str">
        <x:v>SCA-23</x:v>
      </x:c>
      <x:c r="C2194" s="43" t="n">
        <x:v>82616</x:v>
      </x:c>
      <x:c r="D2194" s="43" t="n">
        <x:v>909.9006404609847</x:v>
      </x:c>
      <x:c r="E2194" s="43" t="n">
        <x:v>14660.711769579702</x:v>
      </x:c>
      <x:c r="F2194" s="43" t="n">
        <x:v>715.9459738563658</x:v>
      </x:c>
      <x:c r="G2194" s="43" t="n">
        <x:v>5454.983220032699</x:v>
      </x:c>
      <x:c r="H2194" s="43" t="n">
        <x:v>60874.45839607025</x:v>
      </x:c>
      <x:c r="I2194" s="43" t="n">
        <x:v>82616</x:v>
      </x:c>
      <x:c r="J2194" s="43" t="n">
        <x:v>15037</x:v>
      </x:c>
      <x:c r="K2194" s="43" t="n">
        <x:v>1014.9836239181961</x:v>
      </x:c>
      <x:c r="L2194" s="43" t="n">
        <x:v>299.03765006183045</x:v>
      </x:c>
    </x:row>
    <x:row r="2195" ht="15" hidden="0" customHeight="1">
      <x:c r="A2195" s="29" t="str">
        <x:v>47001</x:v>
      </x:c>
      <x:c r="B2195" s="29" t="str">
        <x:v>SCA-23</x:v>
      </x:c>
      <x:c r="C2195" s="44" t="n">
        <x:v>82066</x:v>
      </x:c>
      <x:c r="D2195" s="44" t="n">
        <x:v>1031.0952729519624</x:v>
      </x:c>
      <x:c r="E2195" s="44" t="n">
        <x:v>16070.664017508609</x:v>
      </x:c>
      <x:c r="F2195" s="44" t="n">
        <x:v>525.6422169588034</x:v>
      </x:c>
      <x:c r="G2195" s="44" t="n">
        <x:v>2066.05560390616</x:v>
      </x:c>
      <x:c r="H2195" s="44" t="n">
        <x:v>62372.54288867446</x:v>
      </x:c>
      <x:c r="I2195" s="44" t="n">
        <x:v>82066</x:v>
      </x:c>
      <x:c r="J2195" s="44" t="n">
        <x:v>15938</x:v>
      </x:c>
      <x:c r="K2195" s="44" t="n">
        <x:v>887.1264891812403</x:v>
      </x:c>
      <x:c r="L2195" s="44" t="n">
        <x:v>361.4842722224369</x:v>
      </x:c>
    </x:row>
    <x:row r="2196" ht="15" hidden="0" customHeight="1">
      <x:c r="A2196" s="27" t="str">
        <x:v>01121</x:v>
      </x:c>
      <x:c r="B2196" s="27" t="str">
        <x:v>SCA-23</x:v>
      </x:c>
      <x:c r="C2196" s="43" t="n">
        <x:v>81603</x:v>
      </x:c>
      <x:c r="D2196" s="43" t="n">
        <x:v>1111.0980138597267</x:v>
      </x:c>
      <x:c r="E2196" s="43" t="n">
        <x:v>16669.10379446539</x:v>
      </x:c>
      <x:c r="F2196" s="43" t="n">
        <x:v>656.7520313487859</x:v>
      </x:c>
      <x:c r="G2196" s="43" t="n">
        <x:v>3006.7791397712017</x:v>
      </x:c>
      <x:c r="H2196" s="43" t="n">
        <x:v>60159.26702055489</x:v>
      </x:c>
      <x:c r="I2196" s="43" t="n">
        <x:v>81603</x:v>
      </x:c>
      <x:c r="J2196" s="43" t="n">
        <x:v>16647</x:v>
      </x:c>
      <x:c r="K2196" s="43" t="n">
        <x:v>1073.3040537724544</x:v>
      </x:c>
      <x:c r="L2196" s="43" t="n">
        <x:v>416.55202242366863</x:v>
      </x:c>
    </x:row>
    <x:row r="2197" ht="15" hidden="0" customHeight="1">
      <x:c r="A2197" s="29" t="str">
        <x:v>01049</x:v>
      </x:c>
      <x:c r="B2197" s="29" t="str">
        <x:v>SCA-23</x:v>
      </x:c>
      <x:c r="C2197" s="44" t="n">
        <x:v>74085</x:v>
      </x:c>
      <x:c r="D2197" s="44" t="n">
        <x:v>882.0198106783782</x:v>
      </x:c>
      <x:c r="E2197" s="44" t="n">
        <x:v>12092.263087248324</x:v>
      </x:c>
      <x:c r="F2197" s="44" t="n">
        <x:v>596.246145882808</x:v>
      </x:c>
      <x:c r="G2197" s="44" t="n">
        <x:v>1661.615212527964</x:v>
      </x:c>
      <x:c r="H2197" s="44" t="n">
        <x:v>58852.85574366253</x:v>
      </x:c>
      <x:c r="I2197" s="44" t="n">
        <x:v>74085</x:v>
      </x:c>
      <x:c r="J2197" s="44" t="n">
        <x:v>12160</x:v>
      </x:c>
      <x:c r="K2197" s="44" t="n">
        <x:v>974.4216612591728</x:v>
      </x:c>
      <x:c r="L2197" s="44" t="n">
        <x:v>378.17551537636473</x:v>
      </x:c>
    </x:row>
    <x:row r="2198" ht="15" hidden="0" customHeight="1">
      <x:c r="A2198" s="27" t="str">
        <x:v>47059</x:v>
      </x:c>
      <x:c r="B2198" s="27" t="str">
        <x:v>SCA-23</x:v>
      </x:c>
      <x:c r="C2198" s="43" t="n">
        <x:v>73831</x:v>
      </x:c>
      <x:c r="D2198" s="43" t="n">
        <x:v>1003.3340213509423</x:v>
      </x:c>
      <x:c r="E2198" s="43" t="n">
        <x:v>16274.958543727738</x:v>
      </x:c>
      <x:c r="F2198" s="43" t="n">
        <x:v>472.8960899798384</x:v>
      </x:c>
      <x:c r="G2198" s="43" t="n">
        <x:v>1690.983874159082</x:v>
      </x:c>
      <x:c r="H2198" s="43" t="n">
        <x:v>54388.8274707824</x:v>
      </x:c>
      <x:c r="I2198" s="43" t="n">
        <x:v>73831</x:v>
      </x:c>
      <x:c r="J2198" s="43" t="n">
        <x:v>16247</x:v>
      </x:c>
      <x:c r="K2198" s="43" t="n">
        <x:v>798.1068386754582</x:v>
      </x:c>
      <x:c r="L2198" s="43" t="n">
        <x:v>325.2107486956198</x:v>
      </x:c>
    </x:row>
    <x:row r="2199" ht="15" hidden="0" customHeight="1">
      <x:c r="A2199" s="29" t="str">
        <x:v>13285</x:v>
      </x:c>
      <x:c r="B2199" s="29" t="str">
        <x:v>SCA-23</x:v>
      </x:c>
      <x:c r="C2199" s="44" t="n">
        <x:v>72844</x:v>
      </x:c>
      <x:c r="D2199" s="44" t="n">
        <x:v>750.3352786798987</x:v>
      </x:c>
      <x:c r="E2199" s="44" t="n">
        <x:v>11680.042839831858</x:v>
      </x:c>
      <x:c r="F2199" s="44" t="n">
        <x:v>631.2623283576197</x:v>
      </x:c>
      <x:c r="G2199" s="44" t="n">
        <x:v>3568.0518118567916</x:v>
      </x:c>
      <x:c r="H2199" s="44" t="n">
        <x:v>56214.307741273835</x:v>
      </x:c>
      <x:c r="I2199" s="44" t="n">
        <x:v>72844</x:v>
      </x:c>
      <x:c r="J2199" s="44" t="n">
        <x:v>11523</x:v>
      </x:c>
      <x:c r="K2199" s="44" t="n">
        <x:v>894.9291553778576</x:v>
      </x:c>
      <x:c r="L2199" s="44" t="n">
        <x:v>263.6668270202379</x:v>
      </x:c>
    </x:row>
    <x:row r="2200" ht="15" hidden="0" customHeight="1">
      <x:c r="A2200" s="27" t="str">
        <x:v>45059</x:v>
      </x:c>
      <x:c r="B2200" s="27" t="str">
        <x:v>SCA-23</x:v>
      </x:c>
      <x:c r="C2200" s="43" t="n">
        <x:v>71848</x:v>
      </x:c>
      <x:c r="D2200" s="43" t="n">
        <x:v>812.1674863307527</x:v>
      </x:c>
      <x:c r="E2200" s="43" t="n">
        <x:v>12098.393160979787</x:v>
      </x:c>
      <x:c r="F2200" s="43" t="n">
        <x:v>436.5638710591034</x:v>
      </x:c>
      <x:c r="G2200" s="43" t="n">
        <x:v>1885.4366445687965</x:v>
      </x:c>
      <x:c r="H2200" s="43" t="n">
        <x:v>56615.43883706156</x:v>
      </x:c>
      <x:c r="I2200" s="43" t="n">
        <x:v>71848</x:v>
      </x:c>
      <x:c r="J2200" s="43" t="n">
        <x:v>11880</x:v>
      </x:c>
      <x:c r="K2200" s="43" t="n">
        <x:v>744.6316423490316</x:v>
      </x:c>
      <x:c r="L2200" s="43" t="n">
        <x:v>308.0677712899282</x:v>
      </x:c>
    </x:row>
    <x:row r="2201" ht="15" hidden="0" customHeight="1">
      <x:c r="A2201" s="29" t="str">
        <x:v>13255</x:v>
      </x:c>
      <x:c r="B2201" s="29" t="str">
        <x:v>SCA-23</x:v>
      </x:c>
      <x:c r="C2201" s="44" t="n">
        <x:v>70775</x:v>
      </x:c>
      <x:c r="D2201" s="44" t="n">
        <x:v>648.4521346809727</x:v>
      </x:c>
      <x:c r="E2201" s="44" t="n">
        <x:v>9414.582708146758</x:v>
      </x:c>
      <x:c r="F2201" s="44" t="n">
        <x:v>613.3324815978053</x:v>
      </x:c>
      <x:c r="G2201" s="44" t="n">
        <x:v>2708.355233215392</x:v>
      </x:c>
      <x:c r="H2201" s="44" t="n">
        <x:v>57390.27744235907</x:v>
      </x:c>
      <x:c r="I2201" s="44" t="n">
        <x:v>70775</x:v>
      </x:c>
      <x:c r="J2201" s="44" t="n">
        <x:v>9438</x:v>
      </x:c>
      <x:c r="K2201" s="44" t="n">
        <x:v>869.5103367726631</x:v>
      </x:c>
      <x:c r="L2201" s="44" t="n">
        <x:v>256.17785517485777</x:v>
      </x:c>
    </x:row>
    <x:row r="2202" ht="15" hidden="0" customHeight="1">
      <x:c r="A2202" s="27" t="str">
        <x:v>45047</x:v>
      </x:c>
      <x:c r="B2202" s="27" t="str">
        <x:v>SCA-23</x:v>
      </x:c>
      <x:c r="C2202" s="43" t="n">
        <x:v>70379</x:v>
      </x:c>
      <x:c r="D2202" s="43" t="n">
        <x:v>627.5285706466224</x:v>
      </x:c>
      <x:c r="E2202" s="43" t="n">
        <x:v>7818.228839173142</x:v>
      </x:c>
      <x:c r="F2202" s="43" t="n">
        <x:v>427.63791172014027</x:v>
      </x:c>
      <x:c r="G2202" s="43" t="n">
        <x:v>3066.696320187656</x:v>
      </x:c>
      <x:c r="H2202" s="43" t="n">
        <x:v>58438.90835827244</x:v>
      </x:c>
      <x:c r="I2202" s="43" t="n">
        <x:v>70379</x:v>
      </x:c>
      <x:c r="J2202" s="43" t="n">
        <x:v>7893</x:v>
      </x:c>
      <x:c r="K2202" s="43" t="n">
        <x:v>729.406947401215</x:v>
      </x:c>
      <x:c r="L2202" s="43" t="n">
        <x:v>301.76903568107474</x:v>
      </x:c>
    </x:row>
    <x:row r="2203" ht="15" hidden="0" customHeight="1">
      <x:c r="A2203" s="29" t="str">
        <x:v>13295</x:v>
      </x:c>
      <x:c r="B2203" s="29" t="str">
        <x:v>SCA-23</x:v>
      </x:c>
      <x:c r="C2203" s="44" t="n">
        <x:v>70250</x:v>
      </x:c>
      <x:c r="D2203" s="44" t="n">
        <x:v>742.9604776270587</x:v>
      </x:c>
      <x:c r="E2203" s="44" t="n">
        <x:v>11728.390017273214</x:v>
      </x:c>
      <x:c r="F2203" s="44" t="n">
        <x:v>608.7828588095489</x:v>
      </x:c>
      <x:c r="G2203" s="44" t="n">
        <x:v>1270.9417550181665</x:v>
      </x:c>
      <x:c r="H2203" s="44" t="n">
        <x:v>55898.92489127201</x:v>
      </x:c>
      <x:c r="I2203" s="44" t="n">
        <x:v>70250</x:v>
      </x:c>
      <x:c r="J2203" s="44" t="n">
        <x:v>11679</x:v>
      </x:c>
      <x:c r="K2203" s="44" t="n">
        <x:v>863.0604190502237</x:v>
      </x:c>
      <x:c r="L2203" s="44" t="n">
        <x:v>254.27756024067477</x:v>
      </x:c>
    </x:row>
    <x:row r="2204" ht="15" hidden="0" customHeight="1">
      <x:c r="A2204" s="27" t="str">
        <x:v>13047</x:v>
      </x:c>
      <x:c r="B2204" s="27" t="str">
        <x:v>SCA-23</x:v>
      </x:c>
      <x:c r="C2204" s="43" t="n">
        <x:v>69628</x:v>
      </x:c>
      <x:c r="D2204" s="43" t="n">
        <x:v>739.1288140660865</x:v>
      </x:c>
      <x:c r="E2204" s="43" t="n">
        <x:v>11690.463620909852</x:v>
      </x:c>
      <x:c r="F2204" s="43" t="n">
        <x:v>603.3926390489861</x:v>
      </x:c>
      <x:c r="G2204" s="43" t="n">
        <x:v>1699.304421544017</x:v>
      </x:c>
      <x:c r="H2204" s="43" t="n">
        <x:v>54895.71050443106</x:v>
      </x:c>
      <x:c r="I2204" s="43" t="n">
        <x:v>69628</x:v>
      </x:c>
      <x:c r="J2204" s="43" t="n">
        <x:v>11914</x:v>
      </x:c>
      <x:c r="K2204" s="43" t="n">
        <x:v>855.4188022438288</x:v>
      </x:c>
      <x:c r="L2204" s="43" t="n">
        <x:v>252.02616319484275</x:v>
      </x:c>
    </x:row>
    <x:row r="2205" ht="15" hidden="0" customHeight="1">
      <x:c r="A2205" s="29" t="str">
        <x:v>47063</x:v>
      </x:c>
      <x:c r="B2205" s="29" t="str">
        <x:v>SCA-23</x:v>
      </x:c>
      <x:c r="C2205" s="44" t="n">
        <x:v>68843</x:v>
      </x:c>
      <x:c r="D2205" s="44" t="n">
        <x:v>841.4638160552093</x:v>
      </x:c>
      <x:c r="E2205" s="44" t="n">
        <x:v>12917.380969203592</x:v>
      </x:c>
      <x:c r="F2205" s="44" t="n">
        <x:v>440.94737335918535</x:v>
      </x:c>
      <x:c r="G2205" s="44" t="n">
        <x:v>1280.0334843714</x:v>
      </x:c>
      <x:c r="H2205" s="44" t="n">
        <x:v>53363.17435701061</x:v>
      </x:c>
      <x:c r="I2205" s="44" t="n">
        <x:v>68843</x:v>
      </x:c>
      <x:c r="J2205" s="44" t="n">
        <x:v>12725</x:v>
      </x:c>
      <x:c r="K2205" s="44" t="n">
        <x:v>744.186982364245</x:v>
      </x:c>
      <x:c r="L2205" s="44" t="n">
        <x:v>303.2396090050596</x:v>
      </x:c>
    </x:row>
    <x:row r="2206" ht="15" hidden="0" customHeight="1">
      <x:c r="A2206" s="27" t="str">
        <x:v>47035</x:v>
      </x:c>
      <x:c r="B2206" s="27" t="str">
        <x:v>SCA-23</x:v>
      </x:c>
      <x:c r="C2206" s="43" t="n">
        <x:v>66300</x:v>
      </x:c>
      <x:c r="D2206" s="43" t="n">
        <x:v>807.453775430821</x:v>
      </x:c>
      <x:c r="E2206" s="43" t="n">
        <x:v>12369.973714666201</x:v>
      </x:c>
      <x:c r="F2206" s="43" t="n">
        <x:v>424.65916438438165</x:v>
      </x:c>
      <x:c r="G2206" s="43" t="n">
        <x:v>1632.6502053046277</x:v>
      </x:c>
      <x:c r="H2206" s="43" t="n">
        <x:v>51065.26314021397</x:v>
      </x:c>
      <x:c r="I2206" s="43" t="n">
        <x:v>66300</x:v>
      </x:c>
      <x:c r="J2206" s="43" t="n">
        <x:v>12259</x:v>
      </x:c>
      <x:c r="K2206" s="43" t="n">
        <x:v>716.6973683707776</x:v>
      </x:c>
      <x:c r="L2206" s="43" t="n">
        <x:v>292.0382039863959</x:v>
      </x:c>
    </x:row>
    <x:row r="2207" ht="15" hidden="0" customHeight="1">
      <x:c r="A2207" s="29" t="str">
        <x:v>37161</x:v>
      </x:c>
      <x:c r="B2207" s="29" t="str">
        <x:v>SCA-23</x:v>
      </x:c>
      <x:c r="C2207" s="44" t="n">
        <x:v>65745</x:v>
      </x:c>
      <x:c r="D2207" s="44" t="n">
        <x:v>840.8466070395149</x:v>
      </x:c>
      <x:c r="E2207" s="44" t="n">
        <x:v>13355.546029163275</x:v>
      </x:c>
      <x:c r="F2207" s="44" t="n">
        <x:v>346.7565876364022</x:v>
      </x:c>
      <x:c r="G2207" s="44" t="n">
        <x:v>1466.8073017710744</x:v>
      </x:c>
      <x:c r="H2207" s="44" t="n">
        <x:v>49735.04347438973</x:v>
      </x:c>
      <x:c r="I2207" s="44" t="n">
        <x:v>65745</x:v>
      </x:c>
      <x:c r="J2207" s="44" t="n">
        <x:v>13525</x:v>
      </x:c>
      <x:c r="K2207" s="44" t="n">
        <x:v>631.1221101274473</x:v>
      </x:c>
      <x:c r="L2207" s="44" t="n">
        <x:v>284.3655224910451</x:v>
      </x:c>
    </x:row>
    <x:row r="2208" ht="15" hidden="0" customHeight="1">
      <x:c r="A2208" s="27" t="str">
        <x:v>01127</x:v>
      </x:c>
      <x:c r="B2208" s="27" t="str">
        <x:v>SCA-23</x:v>
      </x:c>
      <x:c r="C2208" s="43" t="n">
        <x:v>65140</x:v>
      </x:c>
      <x:c r="D2208" s="43" t="n">
        <x:v>909.9162998303282</x:v>
      </x:c>
      <x:c r="E2208" s="43" t="n">
        <x:v>13857.637902834895</x:v>
      </x:c>
      <x:c r="F2208" s="43" t="n">
        <x:v>524.2555705312293</x:v>
      </x:c>
      <x:c r="G2208" s="43" t="n">
        <x:v>1594.5519131237</x:v>
      </x:c>
      <x:c r="H2208" s="43" t="n">
        <x:v>48253.63831367985</x:v>
      </x:c>
      <x:c r="I2208" s="43" t="n">
        <x:v>65140</x:v>
      </x:c>
      <x:c r="J2208" s="43" t="n">
        <x:v>14172</x:v>
      </x:c>
      <x:c r="K2208" s="43" t="n">
        <x:v>856.7702910767701</x:v>
      </x:c>
      <x:c r="L2208" s="43" t="n">
        <x:v>332.5147205455409</x:v>
      </x:c>
    </x:row>
    <x:row r="2209" ht="15" hidden="0" customHeight="1">
      <x:c r="A2209" s="29" t="str">
        <x:v>47105</x:v>
      </x:c>
      <x:c r="B2209" s="29" t="str">
        <x:v>SCA-23</x:v>
      </x:c>
      <x:c r="C2209" s="44" t="n">
        <x:v>63764</x:v>
      </x:c>
      <x:c r="D2209" s="44" t="n">
        <x:v>657.5106288906145</x:v>
      </x:c>
      <x:c r="E2209" s="44" t="n">
        <x:v>9039.431911840435</x:v>
      </x:c>
      <x:c r="F2209" s="44" t="n">
        <x:v>408.415791218789</x:v>
      </x:c>
      <x:c r="G2209" s="44" t="n">
        <x:v>1040.6940677675168</x:v>
      </x:c>
      <x:c r="H2209" s="44" t="n">
        <x:v>52617.94760028264</x:v>
      </x:c>
      <x:c r="I2209" s="44" t="n">
        <x:v>63764</x:v>
      </x:c>
      <x:c r="J2209" s="44" t="n">
        <x:v>8603</x:v>
      </x:c>
      <x:c r="K2209" s="44" t="n">
        <x:v>689.2834237827188</x:v>
      </x:c>
      <x:c r="L2209" s="44" t="n">
        <x:v>280.8676325639298</x:v>
      </x:c>
    </x:row>
    <x:row r="2210" ht="15" hidden="0" customHeight="1">
      <x:c r="A2210" s="27" t="str">
        <x:v>37087</x:v>
      </x:c>
      <x:c r="B2210" s="27" t="str">
        <x:v>SCA-23</x:v>
      </x:c>
      <x:c r="C2210" s="43" t="n">
        <x:v>63369</x:v>
      </x:c>
      <x:c r="D2210" s="43" t="n">
        <x:v>711.710121168525</x:v>
      </x:c>
      <x:c r="E2210" s="43" t="n">
        <x:v>10502.915125344154</x:v>
      </x:c>
      <x:c r="F2210" s="43" t="n">
        <x:v>334.22493272387516</x:v>
      </x:c>
      <x:c r="G2210" s="43" t="n">
        <x:v>1363.8896295222914</x:v>
      </x:c>
      <x:c r="H2210" s="43" t="n">
        <x:v>50456.260191241156</x:v>
      </x:c>
      <x:c r="I2210" s="43" t="n">
        <x:v>63369</x:v>
      </x:c>
      <x:c r="J2210" s="43" t="n">
        <x:v>10723</x:v>
      </x:c>
      <x:c r="K2210" s="43" t="n">
        <x:v>608.3135903363938</x:v>
      </x:c>
      <x:c r="L2210" s="43" t="n">
        <x:v>274.0886576125186</x:v>
      </x:c>
    </x:row>
    <x:row r="2211" ht="15" hidden="0" customHeight="1">
      <x:c r="A2211" s="29" t="str">
        <x:v>47031</x:v>
      </x:c>
      <x:c r="B2211" s="29" t="str">
        <x:v>SCA-23</x:v>
      </x:c>
      <x:c r="C2211" s="44" t="n">
        <x:v>62419</x:v>
      </x:c>
      <x:c r="D2211" s="44" t="n">
        <x:v>700.5709673525765</x:v>
      </x:c>
      <x:c r="E2211" s="44" t="n">
        <x:v>10215.066961393295</x:v>
      </x:c>
      <x:c r="F2211" s="44" t="n">
        <x:v>399.80091073467145</x:v>
      </x:c>
      <x:c r="G2211" s="44" t="n">
        <x:v>1495.224133845607</x:v>
      </x:c>
      <x:c r="H2211" s="44" t="n">
        <x:v>49608.33702667386</x:v>
      </x:c>
      <x:c r="I2211" s="44" t="n">
        <x:v>62419</x:v>
      </x:c>
      <x:c r="J2211" s="44" t="n">
        <x:v>10072</x:v>
      </x:c>
      <x:c r="K2211" s="44" t="n">
        <x:v>674.744088029194</x:v>
      </x:c>
      <x:c r="L2211" s="44" t="n">
        <x:v>274.94317729452257</x:v>
      </x:c>
    </x:row>
    <x:row r="2212" ht="15" hidden="0" customHeight="1">
      <x:c r="A2212" s="27" t="str">
        <x:v>01001</x:v>
      </x:c>
      <x:c r="B2212" s="27" t="str">
        <x:v>SCA-23</x:v>
      </x:c>
      <x:c r="C2212" s="43" t="n">
        <x:v>61920</x:v>
      </x:c>
      <x:c r="D2212" s="43" t="n">
        <x:v>718.1466823368612</x:v>
      </x:c>
      <x:c r="E2212" s="43" t="n">
        <x:v>9649.651848170679</x:v>
      </x:c>
      <x:c r="F2212" s="43" t="n">
        <x:v>498.3405730318347</x:v>
      </x:c>
      <x:c r="G2212" s="43" t="n">
        <x:v>1301.3141461742782</x:v>
      </x:c>
      <x:c r="H2212" s="43" t="n">
        <x:v>49752.54675028635</x:v>
      </x:c>
      <x:c r="I2212" s="43" t="n">
        <x:v>61920</x:v>
      </x:c>
      <x:c r="J2212" s="43" t="n">
        <x:v>9473</x:v>
      </x:c>
      <x:c r="K2212" s="43" t="n">
        <x:v>814.4184283615843</x:v>
      </x:c>
      <x:c r="L2212" s="43" t="n">
        <x:v>316.07785532974964</x:v>
      </x:c>
    </x:row>
    <x:row r="2213" ht="15" hidden="0" customHeight="1">
      <x:c r="A2213" s="29" t="str">
        <x:v>13129</x:v>
      </x:c>
      <x:c r="B2213" s="29" t="str">
        <x:v>SCA-23</x:v>
      </x:c>
      <x:c r="C2213" s="44" t="n">
        <x:v>61701</x:v>
      </x:c>
      <x:c r="D2213" s="44" t="n">
        <x:v>549.8774375471562</x:v>
      </x:c>
      <x:c r="E2213" s="44" t="n">
        <x:v>7837.054033290652</x:v>
      </x:c>
      <x:c r="F2213" s="44" t="n">
        <x:v>534.6976679203983</x:v>
      </x:c>
      <x:c r="G2213" s="44" t="n">
        <x:v>1330.6041399914639</x:v>
      </x:c>
      <x:c r="H2213" s="44" t="n">
        <x:v>51448.76672125033</x:v>
      </x:c>
      <x:c r="I2213" s="44" t="n">
        <x:v>61701</x:v>
      </x:c>
      <x:c r="J2213" s="44" t="n">
        <x:v>7750</x:v>
      </x:c>
      <x:c r="K2213" s="44" t="n">
        <x:v>758.0311874137773</x:v>
      </x:c>
      <x:c r="L2213" s="44" t="n">
        <x:v>223.333519493379</x:v>
      </x:c>
    </x:row>
    <x:row r="2214" ht="15" hidden="0" customHeight="1">
      <x:c r="A2214" s="27" t="str">
        <x:v>01009</x:v>
      </x:c>
      <x:c r="B2214" s="27" t="str">
        <x:v>SCA-23</x:v>
      </x:c>
      <x:c r="C2214" s="43" t="n">
        <x:v>60156</x:v>
      </x:c>
      <x:c r="D2214" s="43" t="n">
        <x:v>727.0139666766546</x:v>
      </x:c>
      <x:c r="E2214" s="43" t="n">
        <x:v>10078.575717597685</x:v>
      </x:c>
      <x:c r="F2214" s="43" t="n">
        <x:v>484.1436613582534</x:v>
      </x:c>
      <x:c r="G2214" s="43" t="n">
        <x:v>1329.0203577411878</x:v>
      </x:c>
      <x:c r="H2214" s="43" t="n">
        <x:v>47537.24629662622</x:v>
      </x:c>
      <x:c r="I2214" s="43" t="n">
        <x:v>60156</x:v>
      </x:c>
      <x:c r="J2214" s="43" t="n">
        <x:v>10313</x:v>
      </x:c>
      <x:c r="K2214" s="43" t="n">
        <x:v>791.2169731350044</x:v>
      </x:c>
      <x:c r="L2214" s="43" t="n">
        <x:v>307.073311776751</x:v>
      </x:c>
    </x:row>
    <x:row r="2215" ht="15" hidden="0" customHeight="1">
      <x:c r="A2215" s="29" t="str">
        <x:v>47089</x:v>
      </x:c>
      <x:c r="B2215" s="29" t="str">
        <x:v>SCA-23</x:v>
      </x:c>
      <x:c r="C2215" s="44" t="n">
        <x:v>60024</x:v>
      </x:c>
      <x:c r="D2215" s="44" t="n">
        <x:v>720.1465145863425</x:v>
      </x:c>
      <x:c r="E2215" s="44" t="n">
        <x:v>10938.067967781024</x:v>
      </x:c>
      <x:c r="F2215" s="44" t="n">
        <x:v>384.4606588689008</x:v>
      </x:c>
      <x:c r="G2215" s="44" t="n">
        <x:v>642.8769691353625</x:v>
      </x:c>
      <x:c r="H2215" s="44" t="n">
        <x:v>47338.44788962837</x:v>
      </x:c>
      <x:c r="I2215" s="44" t="n">
        <x:v>60024</x:v>
      </x:c>
      <x:c r="J2215" s="44" t="n">
        <x:v>10652</x:v>
      </x:c>
      <x:c r="K2215" s="44" t="n">
        <x:v>648.8543414643673</x:v>
      </x:c>
      <x:c r="L2215" s="44" t="n">
        <x:v>264.3936825954665</x:v>
      </x:c>
    </x:row>
    <x:row r="2216" ht="15" hidden="0" customHeight="1">
      <x:c r="A2216" s="27" t="str">
        <x:v>01113</x:v>
      </x:c>
      <x:c r="B2216" s="27" t="str">
        <x:v>SCA-23</x:v>
      </x:c>
      <x:c r="C2216" s="43" t="n">
        <x:v>58898</x:v>
      </x:c>
      <x:c r="D2216" s="43" t="n">
        <x:v>767.4647643780887</x:v>
      </x:c>
      <x:c r="E2216" s="43" t="n">
        <x:v>11203.513444604518</x:v>
      </x:c>
      <x:c r="F2216" s="43" t="n">
        <x:v>474.0191064345769</x:v>
      </x:c>
      <x:c r="G2216" s="43" t="n">
        <x:v>2656.1456832636427</x:v>
      </x:c>
      <x:c r="H2216" s="43" t="n">
        <x:v>43796.85700131917</x:v>
      </x:c>
      <x:c r="I2216" s="43" t="n">
        <x:v>58898</x:v>
      </x:c>
      <x:c r="J2216" s="43" t="n">
        <x:v>11278</x:v>
      </x:c>
      <x:c r="K2216" s="43" t="n">
        <x:v>774.6708106208107</x:v>
      </x:c>
      <x:c r="L2216" s="43" t="n">
        <x:v>300.65170418623376</x:v>
      </x:c>
    </x:row>
    <x:row r="2217" ht="15" hidden="0" customHeight="1">
      <x:c r="A2217" s="29" t="str">
        <x:v>45021</x:v>
      </x:c>
      <x:c r="B2217" s="29" t="str">
        <x:v>SCA-23</x:v>
      </x:c>
      <x:c r="C2217" s="44" t="n">
        <x:v>58275</x:v>
      </x:c>
      <x:c r="D2217" s="44" t="n">
        <x:v>666.360247915262</x:v>
      </x:c>
      <x:c r="E2217" s="44" t="n">
        <x:v>9995.769419985027</x:v>
      </x:c>
      <x:c r="F2217" s="44" t="n">
        <x:v>354.09140944729506</x:v>
      </x:c>
      <x:c r="G2217" s="44" t="n">
        <x:v>1322.3339631385693</x:v>
      </x:c>
      <x:c r="H2217" s="44" t="n">
        <x:v>45936.44495951384</x:v>
      </x:c>
      <x:c r="I2217" s="44" t="n">
        <x:v>58275</x:v>
      </x:c>
      <x:c r="J2217" s="44" t="n">
        <x:v>10024</x:v>
      </x:c>
      <x:c r="K2217" s="44" t="n">
        <x:v>603.9612648631809</x:v>
      </x:c>
      <x:c r="L2217" s="44" t="n">
        <x:v>249.86985541588584</x:v>
      </x:c>
    </x:row>
    <x:row r="2218" ht="15" hidden="0" customHeight="1">
      <x:c r="A2218" s="27" t="str">
        <x:v>47107</x:v>
      </x:c>
      <x:c r="B2218" s="27" t="str">
        <x:v>SCA-23</x:v>
      </x:c>
      <x:c r="C2218" s="43" t="n">
        <x:v>57404</x:v>
      </x:c>
      <x:c r="D2218" s="43" t="n">
        <x:v>686.3899539324939</x:v>
      </x:c>
      <x:c r="E2218" s="43" t="n">
        <x:v>10404.884301932767</x:v>
      </x:c>
      <x:c r="F2218" s="43" t="n">
        <x:v>367.6792559927759</x:v>
      </x:c>
      <x:c r="G2218" s="43" t="n">
        <x:v>1321.429307193886</x:v>
      </x:c>
      <x:c r="H2218" s="43" t="n">
        <x:v>44623.61718094808</x:v>
      </x:c>
      <x:c r="I2218" s="43" t="n">
        <x:v>57404</x:v>
      </x:c>
      <x:c r="J2218" s="43" t="n">
        <x:v>10228</x:v>
      </x:c>
      <x:c r="K2218" s="43" t="n">
        <x:v>620.5323640114044</x:v>
      </x:c>
      <x:c r="L2218" s="43" t="n">
        <x:v>252.85310801862852</x:v>
      </x:c>
    </x:row>
    <x:row r="2219" ht="15" hidden="0" customHeight="1">
      <x:c r="A2219" s="29" t="str">
        <x:v>47145</x:v>
      </x:c>
      <x:c r="B2219" s="29" t="str">
        <x:v>SCA-23</x:v>
      </x:c>
      <x:c r="C2219" s="44" t="n">
        <x:v>57395</x:v>
      </x:c>
      <x:c r="D2219" s="44" t="n">
        <x:v>673.9187099421114</x:v>
      </x:c>
      <x:c r="E2219" s="44" t="n">
        <x:v>10106.525882846256</x:v>
      </x:c>
      <x:c r="F2219" s="44" t="n">
        <x:v>367.6216099523618</x:v>
      </x:c>
      <x:c r="G2219" s="44" t="n">
        <x:v>1507.3989535286505</x:v>
      </x:c>
      <x:c r="H2219" s="44" t="n">
        <x:v>44739.534843730624</x:v>
      </x:c>
      <x:c r="I2219" s="44" t="n">
        <x:v>57395</x:v>
      </x:c>
      <x:c r="J2219" s="44" t="n">
        <x:v>10061</x:v>
      </x:c>
      <x:c r="K2219" s="44" t="n">
        <x:v>620.435074775879</x:v>
      </x:c>
      <x:c r="L2219" s="44" t="n">
        <x:v>252.81346482351722</x:v>
      </x:c>
    </x:row>
    <x:row r="2220" ht="15" hidden="0" customHeight="1">
      <x:c r="A2220" s="27" t="str">
        <x:v>01031</x:v>
      </x:c>
      <x:c r="B2220" s="27" t="str">
        <x:v>SCA-23</x:v>
      </x:c>
      <x:c r="C2220" s="43" t="n">
        <x:v>56953</x:v>
      </x:c>
      <x:c r="D2220" s="43" t="n">
        <x:v>689.5542418237488</x:v>
      </x:c>
      <x:c r="E2220" s="43" t="n">
        <x:v>9571.944402764066</x:v>
      </x:c>
      <x:c r="F2220" s="43" t="n">
        <x:v>458.36548216863827</x:v>
      </x:c>
      <x:c r="G2220" s="43" t="n">
        <x:v>1147.064830283241</x:v>
      </x:c>
      <x:c r="H2220" s="43" t="n">
        <x:v>45086.071042960306</x:v>
      </x:c>
      <x:c r="I2220" s="43" t="n">
        <x:v>56953</x:v>
      </x:c>
      <x:c r="J2220" s="43" t="n">
        <x:v>9222</x:v>
      </x:c>
      <x:c r="K2220" s="43" t="n">
        <x:v>749.088707210551</x:v>
      </x:c>
      <x:c r="L2220" s="43" t="n">
        <x:v>290.72322504191266</x:v>
      </x:c>
    </x:row>
    <x:row r="2221" ht="15" hidden="0" customHeight="1">
      <x:c r="A2221" s="29" t="str">
        <x:v>47003</x:v>
      </x:c>
      <x:c r="B2221" s="29" t="str">
        <x:v>SCA-23</x:v>
      </x:c>
      <x:c r="C2221" s="44" t="n">
        <x:v>55273</x:v>
      </x:c>
      <x:c r="D2221" s="44" t="n">
        <x:v>580.234801442258</x:v>
      </x:c>
      <x:c r="E2221" s="44" t="n">
        <x:v>8082.439705586115</x:v>
      </x:c>
      <x:c r="F2221" s="44" t="n">
        <x:v>354.02995464582096</x:v>
      </x:c>
      <x:c r="G2221" s="44" t="n">
        <x:v>910.8316804834586</x:v>
      </x:c>
      <x:c r="H2221" s="44" t="n">
        <x:v>45345.46385784235</x:v>
      </x:c>
      <x:c r="I2221" s="44" t="n">
        <x:v>55273</x:v>
      </x:c>
      <x:c r="J2221" s="44" t="n">
        <x:v>7864</x:v>
      </x:c>
      <x:c r="K2221" s="44" t="n">
        <x:v>597.4964350219908</x:v>
      </x:c>
      <x:c r="L2221" s="44" t="n">
        <x:v>243.46648037616984</x:v>
      </x:c>
    </x:row>
    <x:row r="2222" ht="15" hidden="0" customHeight="1">
      <x:c r="A2222" s="27" t="str">
        <x:v>01071</x:v>
      </x:c>
      <x:c r="B2222" s="27" t="str">
        <x:v>SCA-23</x:v>
      </x:c>
      <x:c r="C2222" s="43" t="n">
        <x:v>54281</x:v>
      </x:c>
      <x:c r="D2222" s="43" t="n">
        <x:v>746.918471960432</x:v>
      </x:c>
      <x:c r="E2222" s="43" t="n">
        <x:v>11276.034774665042</x:v>
      </x:c>
      <x:c r="F2222" s="43" t="n">
        <x:v>436.8608631256625</x:v>
      </x:c>
      <x:c r="G2222" s="43" t="n">
        <x:v>1166.0115712545678</x:v>
      </x:c>
      <x:c r="H2222" s="43" t="n">
        <x:v>40655.17431899429</x:v>
      </x:c>
      <x:c r="I2222" s="43" t="n">
        <x:v>54281</x:v>
      </x:c>
      <x:c r="J2222" s="43" t="n">
        <x:v>11370</x:v>
      </x:c>
      <x:c r="K2222" s="43" t="n">
        <x:v>713.9445528083844</x:v>
      </x:c>
      <x:c r="L2222" s="43" t="n">
        <x:v>277.0836896827219</x:v>
      </x:c>
    </x:row>
    <x:row r="2223" ht="15" hidden="0" customHeight="1">
      <x:c r="A2223" s="29" t="str">
        <x:v>13175</x:v>
      </x:c>
      <x:c r="B2223" s="29" t="str">
        <x:v>SCA-23</x:v>
      </x:c>
      <x:c r="C2223" s="44" t="n">
        <x:v>51041</x:v>
      </x:c>
      <x:c r="D2223" s="44" t="n">
        <x:v>531.9500355326065</x:v>
      </x:c>
      <x:c r="E2223" s="44" t="n">
        <x:v>8332.837253439315</x:v>
      </x:c>
      <x:c r="F2223" s="44" t="n">
        <x:v>442.31866044837267</x:v>
      </x:c>
      <x:c r="G2223" s="44" t="n">
        <x:v>1691.832436563742</x:v>
      </x:c>
      <x:c r="H2223" s="44" t="n">
        <x:v>40042.06161401596</x:v>
      </x:c>
      <x:c r="I2223" s="44" t="n">
        <x:v>51041</x:v>
      </x:c>
      <x:c r="J2223" s="44" t="n">
        <x:v>8344</x:v>
      </x:c>
      <x:c r="K2223" s="44" t="n">
        <x:v>627.0671437543411</x:v>
      </x:c>
      <x:c r="L2223" s="44" t="n">
        <x:v>184.74848330596842</x:v>
      </x:c>
    </x:row>
    <x:row r="2224" ht="15" hidden="0" customHeight="1">
      <x:c r="A2224" s="27" t="str">
        <x:v>13137</x:v>
      </x:c>
      <x:c r="B2224" s="27" t="str">
        <x:v>SCA-23</x:v>
      </x:c>
      <x:c r="C2224" s="43" t="n">
        <x:v>50416</x:v>
      </x:c>
      <x:c r="D2224" s="43" t="n">
        <x:v>521.9085616252937</x:v>
      </x:c>
      <x:c r="E2224" s="43" t="n">
        <x:v>8146.1360206404615</x:v>
      </x:c>
      <x:c r="F2224" s="43" t="n">
        <x:v>436.9024428433056</x:v>
      </x:c>
      <x:c r="G2224" s="43" t="n">
        <x:v>1208.8602215814235</x:v>
      </x:c>
      <x:c r="H2224" s="43" t="n">
        <x:v>40102.192753309515</x:v>
      </x:c>
      <x:c r="I2224" s="43" t="n">
        <x:v>50416</x:v>
      </x:c>
      <x:c r="J2224" s="43" t="n">
        <x:v>7763</x:v>
      </x:c>
      <x:c r="K2224" s="43" t="n">
        <x:v>619.3886702752467</x:v>
      </x:c>
      <x:c r="L2224" s="43" t="n">
        <x:v>182.48622743194107</x:v>
      </x:c>
    </x:row>
    <x:row r="2225" ht="15" hidden="0" customHeight="1">
      <x:c r="A2225" s="29" t="str">
        <x:v>01045</x:v>
      </x:c>
      <x:c r="B2225" s="29" t="str">
        <x:v>SCA-23</x:v>
      </x:c>
      <x:c r="C2225" s="44" t="n">
        <x:v>49912</x:v>
      </x:c>
      <x:c r="D2225" s="44" t="n">
        <x:v>654.2891788358975</x:v>
      </x:c>
      <x:c r="E2225" s="44" t="n">
        <x:v>9588.181410193918</x:v>
      </x:c>
      <x:c r="F2225" s="44" t="n">
        <x:v>401.6985575123535</x:v>
      </x:c>
      <x:c r="G2225" s="44" t="n">
        <x:v>1764.1662922538942</x:v>
      </x:c>
      <x:c r="H2225" s="44" t="n">
        <x:v>37503.664561203936</x:v>
      </x:c>
      <x:c r="I2225" s="44" t="n">
        <x:v>49912</x:v>
      </x:c>
      <x:c r="J2225" s="44" t="n">
        <x:v>9442</x:v>
      </x:c>
      <x:c r="K2225" s="44" t="n">
        <x:v>656.4801775901711</x:v>
      </x:c>
      <x:c r="L2225" s="44" t="n">
        <x:v>254.7816200778176</x:v>
      </x:c>
    </x:row>
    <x:row r="2226" ht="15" hidden="0" customHeight="1">
      <x:c r="A2226" s="27" t="str">
        <x:v>47123</x:v>
      </x:c>
      <x:c r="B2226" s="27" t="str">
        <x:v>SCA-23</x:v>
      </x:c>
      <x:c r="C2226" s="43" t="n">
        <x:v>49730</x:v>
      </x:c>
      <x:c r="D2226" s="43" t="n">
        <x:v>665.8584507189804</x:v>
      </x:c>
      <x:c r="E2226" s="43" t="n">
        <x:v>10723.386569565584</x:v>
      </x:c>
      <x:c r="F2226" s="43" t="n">
        <x:v>318.5263988662941</x:v>
      </x:c>
      <x:c r="G2226" s="43" t="n">
        <x:v>1197.191633499873</x:v>
      </x:c>
      <x:c r="H2226" s="43" t="n">
        <x:v>36825.03694734927</x:v>
      </x:c>
      <x:c r="I2226" s="43" t="n">
        <x:v>49730</x:v>
      </x:c>
      <x:c r="J2226" s="43" t="n">
        <x:v>10610</x:v>
      </x:c>
      <x:c r="K2226" s="43" t="n">
        <x:v>537.577075853375</x:v>
      </x:c>
      <x:c r="L2226" s="43" t="n">
        <x:v>219.05067698708098</x:v>
      </x:c>
    </x:row>
    <x:row r="2227" ht="15" hidden="0" customHeight="1">
      <x:c r="A2227" s="29" t="str">
        <x:v>01021</x:v>
      </x:c>
      <x:c r="B2227" s="29" t="str">
        <x:v>SCA-23</x:v>
      </x:c>
      <x:c r="C2227" s="44" t="n">
        <x:v>47708</x:v>
      </x:c>
      <x:c r="D2227" s="44" t="n">
        <x:v>580.2933981942724</x:v>
      </x:c>
      <x:c r="E2227" s="44" t="n">
        <x:v>8082.296470588235</x:v>
      </x:c>
      <x:c r="F2227" s="44" t="n">
        <x:v>383.9604660562463</x:v>
      </x:c>
      <x:c r="G2227" s="44" t="n">
        <x:v>627.1176470588235</x:v>
      </x:c>
      <x:c r="H2227" s="44" t="n">
        <x:v>38034.332018102425</x:v>
      </x:c>
      <x:c r="I2227" s="44" t="n">
        <x:v>47708</x:v>
      </x:c>
      <x:c r="J2227" s="44" t="n">
        <x:v>8064</x:v>
      </x:c>
      <x:c r="K2227" s="44" t="n">
        <x:v>627.4915113093422</x:v>
      </x:c>
      <x:c r="L2227" s="44" t="n">
        <x:v>243.5310452530959</x:v>
      </x:c>
    </x:row>
    <x:row r="2228" ht="15" hidden="0" customHeight="1">
      <x:c r="A2228" s="27" t="str">
        <x:v>47051</x:v>
      </x:c>
      <x:c r="B2228" s="27" t="str">
        <x:v>SCA-23</x:v>
      </x:c>
      <x:c r="C2228" s="43" t="n">
        <x:v>45579</x:v>
      </x:c>
      <x:c r="D2228" s="43" t="n">
        <x:v>540.6130752121583</x:v>
      </x:c>
      <x:c r="E2228" s="43" t="n">
        <x:v>8156.321298486932</x:v>
      </x:c>
      <x:c r="F2228" s="43" t="n">
        <x:v>291.9387640041589</x:v>
      </x:c>
      <x:c r="G2228" s="43" t="n">
        <x:v>864.4443489225125</x:v>
      </x:c>
      <x:c r="H2228" s="43" t="n">
        <x:v>35725.68251337424</x:v>
      </x:c>
      <x:c r="I2228" s="43" t="n">
        <x:v>45579</x:v>
      </x:c>
      <x:c r="J2228" s="43" t="n">
        <x:v>8131</x:v>
      </x:c>
      <x:c r="K2228" s="43" t="n">
        <x:v>492.7051184460282</x:v>
      </x:c>
      <x:c r="L2228" s="43" t="n">
        <x:v>200.76635444186937</x:v>
      </x:c>
    </x:row>
    <x:row r="2229" ht="15" hidden="0" customHeight="1">
      <x:c r="A2229" s="29" t="str">
        <x:v>13233</x:v>
      </x:c>
      <x:c r="B2229" s="29" t="str">
        <x:v>SCA-23</x:v>
      </x:c>
      <x:c r="C2229" s="44" t="n">
        <x:v>45514</x:v>
      </x:c>
      <x:c r="D2229" s="44" t="n">
        <x:v>478.4016920580776</x:v>
      </x:c>
      <x:c r="E2229" s="44" t="n">
        <x:v>7527.8109575353865</x:v>
      </x:c>
      <x:c r="F2229" s="44" t="n">
        <x:v>394.4219649232428</x:v>
      </x:c>
      <x:c r="G2229" s="44" t="n">
        <x:v>1211.3580002775464</x:v>
      </x:c>
      <x:c r="H2229" s="44" t="n">
        <x:v>35902.00738520575</x:v>
      </x:c>
      <x:c r="I2229" s="44" t="n">
        <x:v>45514</x:v>
      </x:c>
      <x:c r="J2229" s="44" t="n">
        <x:v>7449</x:v>
      </x:c>
      <x:c r="K2229" s="44" t="n">
        <x:v>559.1648670840125</x:v>
      </x:c>
      <x:c r="L2229" s="44" t="n">
        <x:v>164.74290216076972</x:v>
      </x:c>
    </x:row>
    <x:row r="2230" ht="15" hidden="0" customHeight="1">
      <x:c r="A2230" s="27" t="str">
        <x:v>37099</x:v>
      </x:c>
      <x:c r="B2230" s="27" t="str">
        <x:v>SCA-23</x:v>
      </x:c>
      <x:c r="C2230" s="43" t="n">
        <x:v>45039</x:v>
      </x:c>
      <x:c r="D2230" s="43" t="n">
        <x:v>447.17035255397906</x:v>
      </x:c>
      <x:c r="E2230" s="43" t="n">
        <x:v>6056.73778186162</x:v>
      </x:c>
      <x:c r="F2230" s="43" t="n">
        <x:v>237.5476454567787</x:v>
      </x:c>
      <x:c r="G2230" s="43" t="n">
        <x:v>621.2915786088395</x:v>
      </x:c>
      <x:c r="H2230" s="43" t="n">
        <x:v>37676.25264151878</x:v>
      </x:c>
      <x:c r="I2230" s="43" t="n">
        <x:v>45039</x:v>
      </x:c>
      <x:c r="J2230" s="43" t="n">
        <x:v>6098</x:v>
      </x:c>
      <x:c r="K2230" s="43" t="n">
        <x:v>432.3539237665236</x:v>
      </x:c>
      <x:c r="L2230" s="43" t="n">
        <x:v>194.80627830974493</x:v>
      </x:c>
    </x:row>
    <x:row r="2231" ht="15" hidden="0" customHeight="1">
      <x:c r="A2231" s="29" t="str">
        <x:v>13219</x:v>
      </x:c>
      <x:c r="B2231" s="29" t="str">
        <x:v>SCA-23</x:v>
      </x:c>
      <x:c r="C2231" s="44" t="n">
        <x:v>44893</x:v>
      </x:c>
      <x:c r="D2231" s="44" t="n">
        <x:v>317.9461308352551</x:v>
      </x:c>
      <x:c r="E2231" s="44" t="n">
        <x:v>3730.8241466620543</x:v>
      </x:c>
      <x:c r="F2231" s="44" t="n">
        <x:v>389.040411110848</x:v>
      </x:c>
      <x:c r="G2231" s="44" t="n">
        <x:v>144.3223336792344</x:v>
      </x:c>
      <x:c r="H2231" s="44" t="n">
        <x:v>40310.86697771261</x:v>
      </x:c>
      <x:c r="I2231" s="44" t="n">
        <x:v>44893</x:v>
      </x:c>
      <x:c r="J2231" s="44" t="n">
        <x:v>3754</x:v>
      </x:c>
      <x:c r="K2231" s="44" t="n">
        <x:v>551.5355358351842</x:v>
      </x:c>
      <x:c r="L2231" s="44" t="n">
        <x:v>162.49512472433614</x:v>
      </x:c>
    </x:row>
    <x:row r="2232" ht="15" hidden="0" customHeight="1">
      <x:c r="A2232" s="27" t="str">
        <x:v>13009</x:v>
      </x:c>
      <x:c r="B2232" s="27" t="str">
        <x:v>SCA-23</x:v>
      </x:c>
      <x:c r="C2232" s="43" t="n">
        <x:v>44029</x:v>
      </x:c>
      <x:c r="D2232" s="43" t="n">
        <x:v>439.1310807860264</x:v>
      </x:c>
      <x:c r="E2232" s="43" t="n">
        <x:v>6714.319165966697</x:v>
      </x:c>
      <x:c r="F2232" s="43" t="n">
        <x:v>381.5530318936033</x:v>
      </x:c>
      <x:c r="G2232" s="43" t="n">
        <x:v>2217.687435149958</x:v>
      </x:c>
      <x:c r="H2232" s="43" t="n">
        <x:v>34276.309286203716</x:v>
      </x:c>
      <x:c r="I2232" s="43" t="n">
        <x:v>44029</x:v>
      </x:c>
      <x:c r="J2232" s="43" t="n">
        <x:v>6430</x:v>
      </x:c>
      <x:c r="K2232" s="43" t="n">
        <x:v>540.920814097684</x:v>
      </x:c>
      <x:c r="L2232" s="43" t="n">
        <x:v>159.3677822040807</x:v>
      </x:c>
    </x:row>
    <x:row r="2233" ht="15" hidden="0" customHeight="1">
      <x:c r="A2233" s="29" t="str">
        <x:v>47177</x:v>
      </x:c>
      <x:c r="B2233" s="29" t="str">
        <x:v>SCA-23</x:v>
      </x:c>
      <x:c r="C2233" s="44" t="n">
        <x:v>43717</x:v>
      </x:c>
      <x:c r="D2233" s="44" t="n">
        <x:v>507.9230301636394</x:v>
      </x:c>
      <x:c r="E2233" s="44" t="n">
        <x:v>7568.601895448335</x:v>
      </x:c>
      <x:c r="F2233" s="44" t="n">
        <x:v>280.01243875402736</x:v>
      </x:c>
      <x:c r="G2233" s="44" t="n">
        <x:v>1058.9996404688286</x:v>
      </x:c>
      <x:c r="H2233" s="44" t="n">
        <x:v>34301.462995165166</x:v>
      </x:c>
      <x:c r="I2233" s="44" t="n">
        <x:v>43717</x:v>
      </x:c>
      <x:c r="J2233" s="44" t="n">
        <x:v>7524</x:v>
      </x:c>
      <x:c r="K2233" s="44" t="n">
        <x:v>472.5770566073195</x:v>
      </x:c>
      <x:c r="L2233" s="44" t="n">
        <x:v>192.56461785329213</x:v>
      </x:c>
    </x:row>
    <x:row r="2234" ht="15" hidden="0" customHeight="1">
      <x:c r="A2234" s="27" t="str">
        <x:v>13213</x:v>
      </x:c>
      <x:c r="B2234" s="27" t="str">
        <x:v>SCA-23</x:v>
      </x:c>
      <x:c r="C2234" s="43" t="n">
        <x:v>41607</x:v>
      </x:c>
      <x:c r="D2234" s="43" t="n">
        <x:v>407.97335053613193</x:v>
      </x:c>
      <x:c r="E2234" s="43" t="n">
        <x:v>6176.934295081968</x:v>
      </x:c>
      <x:c r="F2234" s="43" t="n">
        <x:v>360.5641054304471</x:v>
      </x:c>
      <x:c r="G2234" s="43" t="n">
        <x:v>1464.1551912568307</x:v>
      </x:c>
      <x:c r="H2234" s="43" t="n">
        <x:v>33197.37305769462</x:v>
      </x:c>
      <x:c r="I2234" s="43" t="n">
        <x:v>41607</x:v>
      </x:c>
      <x:c r="J2234" s="43" t="n">
        <x:v>6226</x:v>
      </x:c>
      <x:c r="K2234" s="43" t="n">
        <x:v>511.1651936714969</x:v>
      </x:c>
      <x:c r="L2234" s="43" t="n">
        <x:v>150.6010882410499</x:v>
      </x:c>
    </x:row>
    <x:row r="2235" ht="15" hidden="0" customHeight="1">
      <x:c r="A2235" s="29" t="str">
        <x:v>01123</x:v>
      </x:c>
      <x:c r="B2235" s="29" t="str">
        <x:v>SCA-23</x:v>
      </x:c>
      <x:c r="C2235" s="44" t="n">
        <x:v>40953</x:v>
      </x:c>
      <x:c r="D2235" s="44" t="n">
        <x:v>555.8978619101836</x:v>
      </x:c>
      <x:c r="E2235" s="44" t="n">
        <x:v>8324.364031069508</x:v>
      </x:c>
      <x:c r="F2235" s="44" t="n">
        <x:v>329.5953082586035</x:v>
      </x:c>
      <x:c r="G2235" s="44" t="n">
        <x:v>1269.4996390161323</x:v>
      </x:c>
      <x:c r="H2235" s="44" t="n">
        <x:v>30473.643159745574</x:v>
      </x:c>
      <x:c r="I2235" s="44" t="n">
        <x:v>40953</x:v>
      </x:c>
      <x:c r="J2235" s="44" t="n">
        <x:v>8505</x:v>
      </x:c>
      <x:c r="K2235" s="44" t="n">
        <x:v>538.6446688742243</x:v>
      </x:c>
      <x:c r="L2235" s="44" t="n">
        <x:v>209.04936061562077</x:v>
      </x:c>
    </x:row>
    <x:row r="2236" ht="15" hidden="0" customHeight="1">
      <x:c r="A2236" s="27" t="str">
        <x:v>45071</x:v>
      </x:c>
      <x:c r="B2236" s="27" t="str">
        <x:v>SCA-23</x:v>
      </x:c>
      <x:c r="C2236" s="43" t="n">
        <x:v>39561</x:v>
      </x:c>
      <x:c r="D2236" s="43" t="n">
        <x:v>448.8948528739072</x:v>
      </x:c>
      <x:c r="E2236" s="43" t="n">
        <x:v>6702.39225786114</x:v>
      </x:c>
      <x:c r="F2236" s="43" t="n">
        <x:v>240.3811282564468</x:v>
      </x:c>
      <x:c r="G2236" s="43" t="n">
        <x:v>1540.8090734757138</x:v>
      </x:c>
      <x:c r="H2236" s="43" t="n">
        <x:v>30628.522687532793</x:v>
      </x:c>
      <x:c r="I2236" s="43" t="n">
        <x:v>39561</x:v>
      </x:c>
      <x:c r="J2236" s="43" t="n">
        <x:v>6718</x:v>
      </x:c>
      <x:c r="K2236" s="43" t="n">
        <x:v>410.00963705280645</x:v>
      </x:c>
      <x:c r="L2236" s="43" t="n">
        <x:v>169.62850879635965</x:v>
      </x:c>
    </x:row>
    <x:row r="2237" ht="15" hidden="0" customHeight="1">
      <x:c r="A2237" s="29" t="str">
        <x:v>37113</x:v>
      </x:c>
      <x:c r="B2237" s="29" t="str">
        <x:v>SCA-23</x:v>
      </x:c>
      <x:c r="C2237" s="44" t="n">
        <x:v>39232</x:v>
      </x:c>
      <x:c r="D2237" s="44" t="n">
        <x:v>411.0594689942291</x:v>
      </x:c>
      <x:c r="E2237" s="44" t="n">
        <x:v>5792.882175918563</x:v>
      </x:c>
      <x:c r="F2237" s="44" t="n">
        <x:v>206.91998549169261</x:v>
      </x:c>
      <x:c r="G2237" s="44" t="n">
        <x:v>1322.1727373946235</x:v>
      </x:c>
      <x:c r="H2237" s="44" t="n">
        <x:v>31498.965632200892</x:v>
      </x:c>
      <x:c r="I2237" s="44" t="n">
        <x:v>39232</x:v>
      </x:c>
      <x:c r="J2237" s="44" t="n">
        <x:v>5802</x:v>
      </x:c>
      <x:c r="K2237" s="44" t="n">
        <x:v>376.6093638226483</x:v>
      </x:c>
      <x:c r="L2237" s="44" t="n">
        <x:v>169.68937833095566</x:v>
      </x:c>
    </x:row>
    <x:row r="2238" ht="15" hidden="0" customHeight="1">
      <x:c r="A2238" s="27" t="str">
        <x:v>01039</x:v>
      </x:c>
      <x:c r="B2238" s="27" t="str">
        <x:v>SCA-23</x:v>
      </x:c>
      <x:c r="C2238" s="43" t="n">
        <x:v>37947</x:v>
      </x:c>
      <x:c r="D2238" s="43" t="n">
        <x:v>509.84811863064886</x:v>
      </x:c>
      <x:c r="E2238" s="43" t="n">
        <x:v>7587.437647058823</x:v>
      </x:c>
      <x:c r="F2238" s="43" t="n">
        <x:v>305.4026118352557</x:v>
      </x:c>
      <x:c r="G2238" s="43" t="n">
        <x:v>1440.5355122818357</x:v>
      </x:c>
      <x:c r="H2238" s="43" t="n">
        <x:v>28103.776110193434</x:v>
      </x:c>
      <x:c r="I2238" s="43" t="n">
        <x:v>37947</x:v>
      </x:c>
      <x:c r="J2238" s="43" t="n">
        <x:v>7733</x:v>
      </x:c>
      <x:c r="K2238" s="43" t="n">
        <x:v>499.10749517178687</x:v>
      </x:c>
      <x:c r="L2238" s="43" t="n">
        <x:v>193.70488333653117</x:v>
      </x:c>
    </x:row>
    <x:row r="2239" ht="15" hidden="0" customHeight="1">
      <x:c r="A2239" s="29" t="str">
        <x:v>47029</x:v>
      </x:c>
      <x:c r="B2239" s="29" t="str">
        <x:v>SCA-23</x:v>
      </x:c>
      <x:c r="C2239" s="44" t="n">
        <x:v>37889</x:v>
      </x:c>
      <x:c r="D2239" s="44" t="n">
        <x:v>517.1399485795821</x:v>
      </x:c>
      <x:c r="E2239" s="44" t="n">
        <x:v>8405.91604705366</x:v>
      </x:c>
      <x:c r="F2239" s="44" t="n">
        <x:v>242.68342502805183</x:v>
      </x:c>
      <x:c r="G2239" s="44" t="n">
        <x:v>946.5154240587898</x:v>
      </x:c>
      <x:c r="H2239" s="44" t="n">
        <x:v>27776.745155279914</x:v>
      </x:c>
      <x:c r="I2239" s="44" t="n">
        <x:v>37889</x:v>
      </x:c>
      <x:c r="J2239" s="44" t="n">
        <x:v>8428</x:v>
      </x:c>
      <x:c r="K2239" s="44" t="n">
        <x:v>409.5768716470647</x:v>
      </x:c>
      <x:c r="L2239" s="44" t="n">
        <x:v>166.89344661901288</x:v>
      </x:c>
    </x:row>
    <x:row r="2240" ht="15" hidden="0" customHeight="1">
      <x:c r="A2240" s="27" t="str">
        <x:v>13145</x:v>
      </x:c>
      <x:c r="B2240" s="27" t="str">
        <x:v>SCA-23</x:v>
      </x:c>
      <x:c r="C2240" s="43" t="n">
        <x:v>37280</x:v>
      </x:c>
      <x:c r="D2240" s="43" t="n">
        <x:v>355.6123487071097</x:v>
      </x:c>
      <x:c r="E2240" s="43" t="n">
        <x:v>5296.159447995023</x:v>
      </x:c>
      <x:c r="F2240" s="43" t="n">
        <x:v>323.06654770704597</x:v>
      </x:c>
      <x:c r="G2240" s="43" t="n">
        <x:v>299.0577173236809</x:v>
      </x:c>
      <x:c r="H2240" s="43" t="n">
        <x:v>31006.10393826714</x:v>
      </x:c>
      <x:c r="I2240" s="43" t="n">
        <x:v>37280</x:v>
      </x:c>
      <x:c r="J2240" s="43" t="n">
        <x:v>5233</x:v>
      </x:c>
      <x:c r="K2240" s="43" t="n">
        <x:v>458.0055860810297</x:v>
      </x:c>
      <x:c r="L2240" s="43" t="n">
        <x:v>134.93903837398372</x:v>
      </x:c>
    </x:row>
    <x:row r="2241" ht="15" hidden="0" customHeight="1">
      <x:c r="A2241" s="29" t="str">
        <x:v>13227</x:v>
      </x:c>
      <x:c r="B2241" s="29" t="str">
        <x:v>SCA-23</x:v>
      </x:c>
      <x:c r="C2241" s="44" t="n">
        <x:v>37167</x:v>
      </x:c>
      <x:c r="D2241" s="44" t="n">
        <x:v>410.0567033801731</x:v>
      </x:c>
      <x:c r="E2241" s="44" t="n">
        <x:v>6612.640340837123</x:v>
      </x:c>
      <x:c r="F2241" s="44" t="n">
        <x:v>322.0872955640499</x:v>
      </x:c>
      <x:c r="G2241" s="44" t="n">
        <x:v>654.9945304853475</x:v>
      </x:c>
      <x:c r="H2241" s="44" t="n">
        <x:v>29167.221129733305</x:v>
      </x:c>
      <x:c r="I2241" s="44" t="n">
        <x:v>37167</x:v>
      </x:c>
      <x:c r="J2241" s="44" t="n">
        <x:v>6438</x:v>
      </x:c>
      <x:c r="K2241" s="44" t="n">
        <x:v>456.61731807600944</x:v>
      </x:c>
      <x:c r="L2241" s="44" t="n">
        <x:v>134.53002251195957</x:v>
      </x:c>
    </x:row>
    <x:row r="2242" ht="15" hidden="0" customHeight="1">
      <x:c r="A2242" s="27" t="str">
        <x:v>47103</x:v>
      </x:c>
      <x:c r="B2242" s="27" t="str">
        <x:v>SCA-23</x:v>
      </x:c>
      <x:c r="C2242" s="43" t="n">
        <x:v>36853</x:v>
      </x:c>
      <x:c r="D2242" s="43" t="n">
        <x:v>413.71008904120913</x:v>
      </x:c>
      <x:c r="E2242" s="43" t="n">
        <x:v>6033.120351826793</x:v>
      </x:c>
      <x:c r="F2242" s="43" t="n">
        <x:v>236.04772526482074</x:v>
      </x:c>
      <x:c r="G2242" s="43" t="n">
        <x:v>689.70524639152</x:v>
      </x:c>
      <x:c r="H2242" s="43" t="n">
        <x:v>29480.416587475658</x:v>
      </x:c>
      <x:c r="I2242" s="43" t="n">
        <x:v>36853</x:v>
      </x:c>
      <x:c r="J2242" s="43" t="n">
        <x:v>6049</x:v>
      </x:c>
      <x:c r="K2242" s="43" t="n">
        <x:v>398.3777996465802</x:v>
      </x:c>
      <x:c r="L2242" s="43" t="n">
        <x:v>162.3300743817594</x:v>
      </x:c>
    </x:row>
    <x:row r="2243" ht="15" hidden="0" customHeight="1">
      <x:c r="A2243" s="29" t="str">
        <x:v>01053</x:v>
      </x:c>
      <x:c r="B2243" s="29" t="str">
        <x:v>SCA-23</x:v>
      </x:c>
      <x:c r="C2243" s="44" t="n">
        <x:v>36665</x:v>
      </x:c>
      <x:c r="D2243" s="44" t="n">
        <x:v>499.2024045336228</x:v>
      </x:c>
      <x:c r="E2243" s="44" t="n">
        <x:v>7488.999350021958</x:v>
      </x:c>
      <x:c r="F2243" s="44" t="n">
        <x:v>295.08490165071413</x:v>
      </x:c>
      <x:c r="G2243" s="44" t="n">
        <x:v>840.3730054164838</x:v>
      </x:c>
      <x:c r="H2243" s="44" t="n">
        <x:v>27541.34033837722</x:v>
      </x:c>
      <x:c r="I2243" s="44" t="n">
        <x:v>36665</x:v>
      </x:c>
      <x:c r="J2243" s="44" t="n">
        <x:v>7267</x:v>
      </x:c>
      <x:c r="K2243" s="44" t="n">
        <x:v>482.24566660008867</x:v>
      </x:c>
      <x:c r="L2243" s="44" t="n">
        <x:v>187.16076494937454</x:v>
      </x:c>
    </x:row>
    <x:row r="2244" ht="15" hidden="0" customHeight="1">
      <x:c r="A2244" s="27" t="str">
        <x:v>13187</x:v>
      </x:c>
      <x:c r="B2244" s="27" t="str">
        <x:v>SCA-23</x:v>
      </x:c>
      <x:c r="C2244" s="43" t="n">
        <x:v>36178</x:v>
      </x:c>
      <x:c r="D2244" s="43" t="n">
        <x:v>334.3028602722977</x:v>
      </x:c>
      <x:c r="E2244" s="43" t="n">
        <x:v>4880.463154929577</x:v>
      </x:c>
      <x:c r="F2244" s="43" t="n">
        <x:v>313.5166728257916</x:v>
      </x:c>
      <x:c r="G2244" s="43" t="n">
        <x:v>541.9006895539906</x:v>
      </x:c>
      <x:c r="H2244" s="43" t="n">
        <x:v>30107.816622418344</x:v>
      </x:c>
      <x:c r="I2244" s="43" t="n">
        <x:v>36178</x:v>
      </x:c>
      <x:c r="J2244" s="43" t="n">
        <x:v>4789</x:v>
      </x:c>
      <x:c r="K2244" s="43" t="n">
        <x:v>444.4669016426903</x:v>
      </x:c>
      <x:c r="L2244" s="43" t="n">
        <x:v>130.9502288168987</x:v>
      </x:c>
    </x:row>
    <x:row r="2245" ht="15" hidden="0" customHeight="1">
      <x:c r="A2245" s="29" t="str">
        <x:v>13085</x:v>
      </x:c>
      <x:c r="B2245" s="29" t="str">
        <x:v>SCA-23</x:v>
      </x:c>
      <x:c r="C2245" s="44" t="n">
        <x:v>35365</x:v>
      </x:c>
      <x:c r="D2245" s="44" t="n">
        <x:v>294.60274634534005</x:v>
      </x:c>
      <x:c r="E2245" s="44" t="n">
        <x:v>3998.286239265029</x:v>
      </x:c>
      <x:c r="F2245" s="44" t="n">
        <x:v>306.47125696512023</x:v>
      </x:c>
      <x:c r="G2245" s="44" t="n">
        <x:v>262.0227681246255</x:v>
      </x:c>
      <x:c r="H2245" s="44" t="n">
        <x:v>30503.616989299884</x:v>
      </x:c>
      <x:c r="I2245" s="44" t="n">
        <x:v>35365</x:v>
      </x:c>
      <x:c r="J2245" s="44" t="n">
        <x:v>3538</x:v>
      </x:c>
      <x:c r="K2245" s="44" t="n">
        <x:v>434.4787433410841</x:v>
      </x:c>
      <x:c r="L2245" s="44" t="n">
        <x:v>128.00748637596388</x:v>
      </x:c>
    </x:row>
    <x:row r="2246" ht="15" hidden="0" customHeight="1">
      <x:c r="A2246" s="27" t="str">
        <x:v>01047</x:v>
      </x:c>
      <x:c r="B2246" s="27" t="str">
        <x:v>SCA-23</x:v>
      </x:c>
      <x:c r="C2246" s="43" t="n">
        <x:v>35140</x:v>
      </x:c>
      <x:c r="D2246" s="43" t="n">
        <x:v>482.54485219722403</x:v>
      </x:c>
      <x:c r="E2246" s="43" t="n">
        <x:v>7276.047058823529</x:v>
      </x:c>
      <x:c r="F2246" s="43" t="n">
        <x:v>282.811494449914</x:v>
      </x:c>
      <x:c r="G2246" s="43" t="n">
        <x:v>2668.235294117647</x:v>
      </x:c>
      <x:c r="H2246" s="43" t="n">
        <x:v>24430.361300411685</x:v>
      </x:c>
      <x:c r="I2246" s="43" t="n">
        <x:v>35140</x:v>
      </x:c>
      <x:c r="J2246" s="43" t="n">
        <x:v>7887</x:v>
      </x:c>
      <x:c r="K2246" s="43" t="n">
        <x:v>462.18771919615756</x:v>
      </x:c>
      <x:c r="L2246" s="43" t="n">
        <x:v>179.3762247462436</x:v>
      </x:c>
    </x:row>
    <x:row r="2247" ht="15" hidden="0" customHeight="1">
      <x:c r="A2247" s="29" t="str">
        <x:v>47143</x:v>
      </x:c>
      <x:c r="B2247" s="29" t="str">
        <x:v>SCA-23</x:v>
      </x:c>
      <x:c r="C2247" s="44" t="n">
        <x:v>34844</x:v>
      </x:c>
      <x:c r="D2247" s="44" t="n">
        <x:v>426.76387195580594</x:v>
      </x:c>
      <x:c r="E2247" s="44" t="n">
        <x:v>6558.792952386588</x:v>
      </x:c>
      <x:c r="F2247" s="44" t="n">
        <x:v>223.17984802125784</x:v>
      </x:c>
      <x:c r="G2247" s="44" t="n">
        <x:v>1398.425605894712</x:v>
      </x:c>
      <x:c r="H2247" s="44" t="n">
        <x:v>26236.83772174164</x:v>
      </x:c>
      <x:c r="I2247" s="44" t="n">
        <x:v>34844</x:v>
      </x:c>
      <x:c r="J2247" s="44" t="n">
        <x:v>6626</x:v>
      </x:c>
      <x:c r="K2247" s="44" t="n">
        <x:v>376.6606802942892</x:v>
      </x:c>
      <x:c r="L2247" s="44" t="n">
        <x:v>153.48083227303135</x:v>
      </x:c>
    </x:row>
    <x:row r="2248" ht="15" hidden="0" customHeight="1">
      <x:c r="A2248" s="27" t="str">
        <x:v>01017</x:v>
      </x:c>
      <x:c r="B2248" s="27" t="str">
        <x:v>SCA-23</x:v>
      </x:c>
      <x:c r="C2248" s="43" t="n">
        <x:v>34253</x:v>
      </x:c>
      <x:c r="D2248" s="43" t="n">
        <x:v>452.03869068435455</x:v>
      </x:c>
      <x:c r="E2248" s="43" t="n">
        <x:v>6652.566259133844</x:v>
      </x:c>
      <x:c r="F2248" s="43" t="n">
        <x:v>275.6727979337764</x:v>
      </x:c>
      <x:c r="G2248" s="43" t="n">
        <x:v>1276.7013455711995</x:v>
      </x:c>
      <x:c r="H2248" s="43" t="n">
        <x:v>25596.020906676826</x:v>
      </x:c>
      <x:c r="I2248" s="43" t="n">
        <x:v>34253</x:v>
      </x:c>
      <x:c r="J2248" s="43" t="n">
        <x:v>6811</x:v>
      </x:c>
      <x:c r="K2248" s="43" t="n">
        <x:v>450.5212278208874</x:v>
      </x:c>
      <x:c r="L2248" s="43" t="n">
        <x:v>174.84842988711102</x:v>
      </x:c>
    </x:row>
    <x:row r="2249" ht="15" hidden="0" customHeight="1">
      <x:c r="A2249" s="29" t="str">
        <x:v>37175</x:v>
      </x:c>
      <x:c r="B2249" s="29" t="str">
        <x:v>SCA-23</x:v>
      </x:c>
      <x:c r="C2249" s="44" t="n">
        <x:v>34211</x:v>
      </x:c>
      <x:c r="D2249" s="44" t="n">
        <x:v>368.27383046385273</x:v>
      </x:c>
      <x:c r="E2249" s="44" t="n">
        <x:v>5287.240371947926</x:v>
      </x:c>
      <x:c r="F2249" s="44" t="n">
        <x:v>180.43789823756873</x:v>
      </x:c>
      <x:c r="G2249" s="44" t="n">
        <x:v>793.7058611794348</x:v>
      </x:c>
      <x:c r="H2249" s="44" t="n">
        <x:v>27581.342038171217</x:v>
      </x:c>
      <x:c r="I2249" s="44" t="n">
        <x:v>34211</x:v>
      </x:c>
      <x:c r="J2249" s="44" t="n">
        <x:v>5367</x:v>
      </x:c>
      <x:c r="K2249" s="44" t="n">
        <x:v>328.4100465369245</x:v>
      </x:c>
      <x:c r="L2249" s="44" t="n">
        <x:v>147.97214829935575</x:v>
      </x:c>
    </x:row>
    <x:row r="2250" ht="15" hidden="0" customHeight="1">
      <x:c r="A2250" s="27" t="str">
        <x:v>13177</x:v>
      </x:c>
      <x:c r="B2250" s="27" t="str">
        <x:v>SCA-23</x:v>
      </x:c>
      <x:c r="C2250" s="43" t="n">
        <x:v>34179</x:v>
      </x:c>
      <x:c r="D2250" s="43" t="n">
        <x:v>299.87670841005416</x:v>
      </x:c>
      <x:c r="E2250" s="43" t="n">
        <x:v>4227.88989073547</x:v>
      </x:c>
      <x:c r="F2250" s="43" t="n">
        <x:v>296.1934424377448</x:v>
      </x:c>
      <x:c r="G2250" s="43" t="n">
        <x:v>645.9558197900408</x:v>
      </x:c>
      <x:c r="H2250" s="43" t="n">
        <x:v>28709.08413862669</x:v>
      </x:c>
      <x:c r="I2250" s="43" t="n">
        <x:v>34179</x:v>
      </x:c>
      <x:c r="J2250" s="43" t="n">
        <x:v>4210</x:v>
      </x:c>
      <x:c r="K2250" s="43" t="n">
        <x:v>419.90807206715436</x:v>
      </x:c>
      <x:c r="L2250" s="43" t="n">
        <x:v>123.71462962940959</x:v>
      </x:c>
    </x:row>
    <x:row r="2251" ht="15" hidden="0" customHeight="1">
      <x:c r="A2251" s="29" t="str">
        <x:v>13123</x:v>
      </x:c>
      <x:c r="B2251" s="29" t="str">
        <x:v>SCA-23</x:v>
      </x:c>
      <x:c r="C2251" s="44" t="n">
        <x:v>33894</x:v>
      </x:c>
      <x:c r="D2251" s="44" t="n">
        <x:v>376.8355214268665</x:v>
      </x:c>
      <x:c r="E2251" s="44" t="n">
        <x:v>6099.659531424321</x:v>
      </x:c>
      <x:c r="F2251" s="44" t="n">
        <x:v>293.72364720983416</x:v>
      </x:c>
      <x:c r="G2251" s="44" t="n">
        <x:v>446.0837671997025</x:v>
      </x:c>
      <x:c r="H2251" s="44" t="n">
        <x:v>26677.697532739272</x:v>
      </x:c>
      <x:c r="I2251" s="44" t="n">
        <x:v>33894</x:v>
      </x:c>
      <x:c r="J2251" s="44" t="n">
        <x:v>6049</x:v>
      </x:c>
      <x:c r="K2251" s="44" t="n">
        <x:v>416.4066881606873</x:v>
      </x:c>
      <x:c r="L2251" s="44" t="n">
        <x:v>122.68304095085311</x:v>
      </x:c>
    </x:row>
    <x:row r="2252" ht="15" hidden="0" customHeight="1">
      <x:c r="A2252" s="27" t="str">
        <x:v>01109</x:v>
      </x:c>
      <x:c r="B2252" s="27" t="str">
        <x:v>SCA-23</x:v>
      </x:c>
      <x:c r="C2252" s="43" t="n">
        <x:v>33688</x:v>
      </x:c>
      <x:c r="D2252" s="43" t="n">
        <x:v>377.3508579442816</x:v>
      </x:c>
      <x:c r="E2252" s="43" t="n">
        <x:v>4929.276873473375</x:v>
      </x:c>
      <x:c r="F2252" s="43" t="n">
        <x:v>271.1256011675783</x:v>
      </x:c>
      <x:c r="G2252" s="43" t="n">
        <x:v>920.0500732779677</x:v>
      </x:c>
      <x:c r="H2252" s="43" t="n">
        <x:v>27190.1965941368</x:v>
      </x:c>
      <x:c r="I2252" s="43" t="n">
        <x:v>33688</x:v>
      </x:c>
      <x:c r="J2252" s="43" t="n">
        <x:v>4992</x:v>
      </x:c>
      <x:c r="K2252" s="43" t="n">
        <x:v>443.0899227171359</x:v>
      </x:c>
      <x:c r="L2252" s="43" t="n">
        <x:v>171.9643215495576</x:v>
      </x:c>
    </x:row>
    <x:row r="2253" ht="15" hidden="0" customHeight="1">
      <x:c r="A2253" s="29" t="str">
        <x:v>13143</x:v>
      </x:c>
      <x:c r="B2253" s="29" t="str">
        <x:v>SCA-23</x:v>
      </x:c>
      <x:c r="C2253" s="44" t="n">
        <x:v>33066</x:v>
      </x:c>
      <x:c r="D2253" s="44" t="n">
        <x:v>330.25831742364556</x:v>
      </x:c>
      <x:c r="E2253" s="44" t="n">
        <x:v>5053.735513312893</x:v>
      </x:c>
      <x:c r="F2253" s="44" t="n">
        <x:v>286.54824212664124</x:v>
      </x:c>
      <x:c r="G2253" s="44" t="n">
        <x:v>543.1528804260126</x:v>
      </x:c>
      <x:c r="H2253" s="44" t="n">
        <x:v>26852.30504671081</x:v>
      </x:c>
      <x:c r="I2253" s="44" t="n">
        <x:v>33066</x:v>
      </x:c>
      <x:c r="J2253" s="44" t="n">
        <x:v>4933</x:v>
      </x:c>
      <x:c r="K2253" s="44" t="n">
        <x:v>406.23424649558285</x:v>
      </x:c>
      <x:c r="L2253" s="44" t="n">
        <x:v>119.68600436894167</x:v>
      </x:c>
    </x:row>
    <x:row r="2254" ht="15" hidden="0" customHeight="1">
      <x:c r="A2254" s="27" t="str">
        <x:v>13195</x:v>
      </x:c>
      <x:c r="B2254" s="27" t="str">
        <x:v>SCA-23</x:v>
      </x:c>
      <x:c r="C2254" s="43" t="n">
        <x:v>32919</x:v>
      </x:c>
      <x:c r="D2254" s="43" t="n">
        <x:v>343.74531928011345</x:v>
      </x:c>
      <x:c r="E2254" s="43" t="n">
        <x:v>5390.193539825831</x:v>
      </x:c>
      <x:c r="F2254" s="43" t="n">
        <x:v>285.2743477459294</x:v>
      </x:c>
      <x:c r="G2254" s="43" t="n">
        <x:v>527.1067976649973</x:v>
      </x:c>
      <x:c r="H2254" s="43" t="n">
        <x:v>26372.67999548313</x:v>
      </x:c>
      <x:c r="I2254" s="43" t="n">
        <x:v>32919</x:v>
      </x:c>
      <x:c r="J2254" s="43" t="n">
        <x:v>5347</x:v>
      </x:c>
      <x:c r="K2254" s="43" t="n">
        <x:v>404.42826953329984</x:v>
      </x:c>
      <x:c r="L2254" s="43" t="n">
        <x:v>119.15392178737044</x:v>
      </x:c>
    </x:row>
    <x:row r="2255" ht="15" hidden="0" customHeight="1">
      <x:c r="A2255" s="29" t="str">
        <x:v>13207</x:v>
      </x:c>
      <x:c r="B2255" s="29" t="str">
        <x:v>SCA-23</x:v>
      </x:c>
      <x:c r="C2255" s="44" t="n">
        <x:v>32023</x:v>
      </x:c>
      <x:c r="D2255" s="44" t="n">
        <x:v>285.64516207150683</x:v>
      </x:c>
      <x:c r="E2255" s="44" t="n">
        <x:v>4073.625847323408</x:v>
      </x:c>
      <x:c r="F2255" s="44" t="n">
        <x:v>277.50965818730515</x:v>
      </x:c>
      <x:c r="G2255" s="44" t="n">
        <x:v>732.1617569422448</x:v>
      </x:c>
      <x:c r="H2255" s="44" t="n">
        <x:v>26654.057575475534</x:v>
      </x:c>
      <x:c r="I2255" s="44" t="n">
        <x:v>32023</x:v>
      </x:c>
      <x:c r="J2255" s="44" t="n">
        <x:v>3765</x:v>
      </x:c>
      <x:c r="K2255" s="44" t="n">
        <x:v>393.42040995366995</x:v>
      </x:c>
      <x:c r="L2255" s="44" t="n">
        <x:v>115.91075176636481</x:v>
      </x:c>
    </x:row>
    <x:row r="2256" ht="15" hidden="0" customHeight="1">
      <x:c r="A2256" s="27" t="str">
        <x:v>37039</x:v>
      </x:c>
      <x:c r="B2256" s="27" t="str">
        <x:v>SCA-23</x:v>
      </x:c>
      <x:c r="C2256" s="43" t="n">
        <x:v>30830</x:v>
      </x:c>
      <x:c r="D2256" s="43" t="n">
        <x:v>355.8626570499293</x:v>
      </x:c>
      <x:c r="E2256" s="43" t="n">
        <x:v>5340.342716622836</x:v>
      </x:c>
      <x:c r="F2256" s="43" t="n">
        <x:v>162.60560646178843</x:v>
      </x:c>
      <x:c r="G2256" s="43" t="n">
        <x:v>779.4048977082551</x:v>
      </x:c>
      <x:c r="H2256" s="43" t="n">
        <x:v>24191.78412215719</x:v>
      </x:c>
      <x:c r="I2256" s="43" t="n">
        <x:v>30830</x:v>
      </x:c>
      <x:c r="J2256" s="43" t="n">
        <x:v>5283</x:v>
      </x:c>
      <x:c r="K2256" s="43" t="n">
        <x:v>295.9539836524329</x:v>
      </x:c>
      <x:c r="L2256" s="43" t="n">
        <x:v>133.34837719064447</x:v>
      </x:c>
    </x:row>
    <x:row r="2257" ht="15" hidden="0" customHeight="1">
      <x:c r="A2257" s="29" t="str">
        <x:v>13225</x:v>
      </x:c>
      <x:c r="B2257" s="29" t="str">
        <x:v>SCA-23</x:v>
      </x:c>
      <x:c r="C2257" s="44" t="n">
        <x:v>29877</x:v>
      </x:c>
      <x:c r="D2257" s="44" t="n">
        <x:v>316.07808089821174</x:v>
      </x:c>
      <x:c r="E2257" s="44" t="n">
        <x:v>4990.440261621773</x:v>
      </x:c>
      <x:c r="F2257" s="44" t="n">
        <x:v>258.9125334185465</x:v>
      </x:c>
      <x:c r="G2257" s="44" t="n">
        <x:v>725.2345453266756</x:v>
      </x:c>
      <x:c r="H2257" s="44" t="n">
        <x:v>23586.334578734793</x:v>
      </x:c>
      <x:c r="I2257" s="44" t="n">
        <x:v>29877</x:v>
      </x:c>
      <x:c r="J2257" s="44" t="n">
        <x:v>4948</x:v>
      </x:c>
      <x:c r="K2257" s="44" t="n">
        <x:v>367.055603415851</x:v>
      </x:c>
      <x:c r="L2257" s="44" t="n">
        <x:v>108.1430699973045</x:v>
      </x:c>
    </x:row>
    <x:row r="2258" ht="15" hidden="0" customHeight="1">
      <x:c r="A2258" s="27" t="str">
        <x:v>45037</x:v>
      </x:c>
      <x:c r="B2258" s="27" t="str">
        <x:v>SCA-23</x:v>
      </x:c>
      <x:c r="C2258" s="43" t="n">
        <x:v>29808</x:v>
      </x:c>
      <x:c r="D2258" s="43" t="n">
        <x:v>303.81340063873824</x:v>
      </x:c>
      <x:c r="E2258" s="43" t="n">
        <x:v>4224.084539299149</x:v>
      </x:c>
      <x:c r="F2258" s="43" t="n">
        <x:v>181.11980665473993</x:v>
      </x:c>
      <x:c r="G2258" s="43" t="n">
        <x:v>977.6863591368044</x:v>
      </x:c>
      <x:c r="H2258" s="43" t="n">
        <x:v>24121.29589427057</x:v>
      </x:c>
      <x:c r="I2258" s="43" t="n">
        <x:v>29808</x:v>
      </x:c>
      <x:c r="J2258" s="43" t="n">
        <x:v>3728</x:v>
      </x:c>
      <x:c r="K2258" s="43" t="n">
        <x:v>308.9296848226803</x:v>
      </x:c>
      <x:c r="L2258" s="43" t="n">
        <x:v>127.80987816794037</x:v>
      </x:c>
    </x:row>
    <x:row r="2259" ht="15" hidden="0" customHeight="1">
      <x:c r="A2259" s="29" t="str">
        <x:v>47115</x:v>
      </x:c>
      <x:c r="B2259" s="29" t="str">
        <x:v>SCA-23</x:v>
      </x:c>
      <x:c r="C2259" s="44" t="n">
        <x:v>29804</x:v>
      </x:c>
      <x:c r="D2259" s="44" t="n">
        <x:v>359.1453603810926</x:v>
      </x:c>
      <x:c r="E2259" s="44" t="n">
        <x:v>5468.753216889011</x:v>
      </x:c>
      <x:c r="F2259" s="44" t="n">
        <x:v>190.89806538932294</x:v>
      </x:c>
      <x:c r="G2259" s="44" t="n">
        <x:v>531.4236349883098</x:v>
      </x:c>
      <x:c r="H2259" s="44" t="n">
        <x:v>23253.779722352265</x:v>
      </x:c>
      <x:c r="I2259" s="44" t="n">
        <x:v>29804</x:v>
      </x:c>
      <x:c r="J2259" s="44" t="n">
        <x:v>5559</x:v>
      </x:c>
      <x:c r="K2259" s="44" t="n">
        <x:v>322.17870840004</x:v>
      </x:c>
      <x:c r="L2259" s="44" t="n">
        <x:v>131.28064301071709</x:v>
      </x:c>
    </x:row>
    <x:row r="2260" ht="15" hidden="0" customHeight="1">
      <x:c r="A2260" s="27" t="str">
        <x:v>13311</x:v>
      </x:c>
      <x:c r="B2260" s="27" t="str">
        <x:v>SCA-23</x:v>
      </x:c>
      <x:c r="C2260" s="43" t="n">
        <x:v>29802</x:v>
      </x:c>
      <x:c r="D2260" s="43" t="n">
        <x:v>299.79472389798883</x:v>
      </x:c>
      <x:c r="E2260" s="43" t="n">
        <x:v>4606.154990533623</x:v>
      </x:c>
      <x:c r="F2260" s="43" t="n">
        <x:v>258.2625873059385</x:v>
      </x:c>
      <x:c r="G2260" s="43" t="n">
        <x:v>410.271720075731</x:v>
      </x:c>
      <x:c r="H2260" s="43" t="n">
        <x:v>24227.51597818672</x:v>
      </x:c>
      <x:c r="I2260" s="43" t="n">
        <x:v>29802</x:v>
      </x:c>
      <x:c r="J2260" s="43" t="n">
        <x:v>4592</x:v>
      </x:c>
      <x:c r="K2260" s="43" t="n">
        <x:v>366.1341865983597</x:v>
      </x:c>
      <x:c r="L2260" s="43" t="n">
        <x:v>107.87159929242121</x:v>
      </x:c>
    </x:row>
    <x:row r="2261" ht="15" hidden="0" customHeight="1">
      <x:c r="A2261" s="29" t="str">
        <x:v>47185</x:v>
      </x:c>
      <x:c r="B2261" s="29" t="str">
        <x:v>SCA-23</x:v>
      </x:c>
      <x:c r="C2261" s="44" t="n">
        <x:v>29612</x:v>
      </x:c>
      <x:c r="D2261" s="44" t="n">
        <x:v>345.9573581215755</x:v>
      </x:c>
      <x:c r="E2261" s="44" t="n">
        <x:v>5172.538478557575</x:v>
      </x:c>
      <x:c r="F2261" s="44" t="n">
        <x:v>189.66828319382068</x:v>
      </x:c>
      <x:c r="G2261" s="44" t="n">
        <x:v>469.14862438043247</x:v>
      </x:c>
      <x:c r="H2261" s="44" t="n">
        <x:v>23434.687255746598</x:v>
      </x:c>
      <x:c r="I2261" s="44" t="n">
        <x:v>29612</x:v>
      </x:c>
      <x:c r="J2261" s="44" t="n">
        <x:v>5066</x:v>
      </x:c>
      <x:c r="K2261" s="44" t="n">
        <x:v>320.10320470883056</x:v>
      </x:c>
      <x:c r="L2261" s="44" t="n">
        <x:v>130.43492151500988</x:v>
      </x:c>
    </x:row>
    <x:row r="2262" ht="15" hidden="0" customHeight="1">
      <x:c r="A2262" s="27" t="str">
        <x:v>13169</x:v>
      </x:c>
      <x:c r="B2262" s="27" t="str">
        <x:v>SCA-23</x:v>
      </x:c>
      <x:c r="C2262" s="43" t="n">
        <x:v>29171</x:v>
      </x:c>
      <x:c r="D2262" s="43" t="n">
        <x:v>297.9916564857013</x:v>
      </x:c>
      <x:c r="E2262" s="43" t="n">
        <x:v>4617.696737368755</x:v>
      </x:c>
      <x:c r="F2262" s="43" t="n">
        <x:v>252.79437401186266</x:v>
      </x:c>
      <x:c r="G2262" s="43" t="n">
        <x:v>571.6305757170037</x:v>
      </x:c>
      <x:c r="H2262" s="43" t="n">
        <x:v>23430.88665641668</x:v>
      </x:c>
      <x:c r="I2262" s="43" t="n">
        <x:v>29171</x:v>
      </x:c>
      <x:c r="J2262" s="43" t="n">
        <x:v>4680</x:v>
      </x:c>
      <x:c r="K2262" s="43" t="n">
        <x:v>358.38199977386586</x:v>
      </x:c>
      <x:c r="L2262" s="43" t="n">
        <x:v>105.58762576200319</x:v>
      </x:c>
    </x:row>
    <x:row r="2263" ht="15" hidden="0" customHeight="1">
      <x:c r="A2263" s="29" t="str">
        <x:v>13261</x:v>
      </x:c>
      <x:c r="B2263" s="29" t="str">
        <x:v>SCA-23</x:v>
      </x:c>
      <x:c r="C2263" s="44" t="n">
        <x:v>28801</x:v>
      </x:c>
      <x:c r="D2263" s="44" t="n">
        <x:v>255.13250918815737</x:v>
      </x:c>
      <x:c r="E2263" s="44" t="n">
        <x:v>3621.219333685881</x:v>
      </x:c>
      <x:c r="F2263" s="44" t="n">
        <x:v>249.58797318966285</x:v>
      </x:c>
      <x:c r="G2263" s="44" t="n">
        <x:v>1781.9434161819145</x:v>
      </x:c>
      <x:c r="H2263" s="44" t="n">
        <x:v>22893.11676775438</x:v>
      </x:c>
      <x:c r="I2263" s="44" t="n">
        <x:v>28801</x:v>
      </x:c>
      <x:c r="J2263" s="44" t="n">
        <x:v>3715</x:v>
      </x:c>
      <x:c r="K2263" s="44" t="n">
        <x:v>353.83634347424186</x:v>
      </x:c>
      <x:c r="L2263" s="44" t="n">
        <x:v>104.248370284579</x:v>
      </x:c>
    </x:row>
    <x:row r="2264" ht="15" hidden="0" customHeight="1">
      <x:c r="A2264" s="27" t="str">
        <x:v>13147</x:v>
      </x:c>
      <x:c r="B2264" s="27" t="str">
        <x:v>SCA-23</x:v>
      </x:c>
      <x:c r="C2264" s="43" t="n">
        <x:v>28639</x:v>
      </x:c>
      <x:c r="D2264" s="43" t="n">
        <x:v>308.60422355632875</x:v>
      </x:c>
      <x:c r="E2264" s="43" t="n">
        <x:v>4918.613519863144</x:v>
      </x:c>
      <x:c r="F2264" s="43" t="n">
        <x:v>248.1840895864295</x:v>
      </x:c>
      <x:c r="G2264" s="43" t="n">
        <x:v>766.4955901919787</x:v>
      </x:c>
      <x:c r="H2264" s="43" t="n">
        <x:v>22397.102576802117</x:v>
      </x:c>
      <x:c r="I2264" s="43" t="n">
        <x:v>28639</x:v>
      </x:c>
      <x:c r="J2264" s="43" t="n">
        <x:v>4706</x:v>
      </x:c>
      <x:c r="K2264" s="43" t="n">
        <x:v>351.8460831484606</x:v>
      </x:c>
      <x:c r="L2264" s="43" t="n">
        <x:v>103.6619935620311</x:v>
      </x:c>
    </x:row>
    <x:row r="2265" ht="15" hidden="0" customHeight="1">
      <x:c r="A2265" s="29" t="str">
        <x:v>13293</x:v>
      </x:c>
      <x:c r="B2265" s="29" t="str">
        <x:v>SCA-23</x:v>
      </x:c>
      <x:c r="C2265" s="44" t="n">
        <x:v>28500</x:v>
      </x:c>
      <x:c r="D2265" s="44" t="n">
        <x:v>311.2498460889602</x:v>
      </x:c>
      <x:c r="E2265" s="44" t="n">
        <x:v>4994.183477599507</x:v>
      </x:c>
      <x:c r="F2265" s="44" t="n">
        <x:v>246.97952279106255</x:v>
      </x:c>
      <x:c r="G2265" s="44" t="n">
        <x:v>1336.553728586433</x:v>
      </x:c>
      <x:c r="H2265" s="44" t="n">
        <x:v>21611.033424934038</x:v>
      </x:c>
      <x:c r="I2265" s="44" t="n">
        <x:v>28500</x:v>
      </x:c>
      <x:c r="J2265" s="44" t="n">
        <x:v>5040</x:v>
      </x:c>
      <x:c r="K2265" s="44" t="n">
        <x:v>350.13839064671</x:v>
      </x:c>
      <x:c r="L2265" s="44" t="n">
        <x:v>103.15886785564742</x:v>
      </x:c>
    </x:row>
    <x:row r="2266" ht="15" hidden="0" customHeight="1">
      <x:c r="A2266" s="27" t="str">
        <x:v>13291</x:v>
      </x:c>
      <x:c r="B2266" s="27" t="str">
        <x:v>SCA-23</x:v>
      </x:c>
      <x:c r="C2266" s="43" t="n">
        <x:v>27859</x:v>
      </x:c>
      <x:c r="D2266" s="43" t="n">
        <x:v>324.8093569278253</x:v>
      </x:c>
      <x:c r="E2266" s="43" t="n">
        <x:v>5375.295808717929</x:v>
      </x:c>
      <x:c r="F2266" s="43" t="n">
        <x:v>241.42465001530562</x:v>
      </x:c>
      <x:c r="G2266" s="43" t="n">
        <x:v>655.9905678686488</x:v>
      </x:c>
      <x:c r="H2266" s="43" t="n">
        <x:v>21261.479616470293</x:v>
      </x:c>
      <x:c r="I2266" s="43" t="n">
        <x:v>27859</x:v>
      </x:c>
      <x:c r="J2266" s="43" t="n">
        <x:v>5178</x:v>
      </x:c>
      <x:c r="K2266" s="43" t="n">
        <x:v>342.2633482465506</x:v>
      </x:c>
      <x:c r="L2266" s="43" t="n">
        <x:v>100.83869823124496</x:v>
      </x:c>
    </x:row>
    <x:row r="2267" ht="15" hidden="0" customHeight="1">
      <x:c r="A2267" s="29" t="str">
        <x:v>13257</x:v>
      </x:c>
      <x:c r="B2267" s="29" t="str">
        <x:v>SCA-23</x:v>
      </x:c>
      <x:c r="C2267" s="44" t="n">
        <x:v>27854</x:v>
      </x:c>
      <x:c r="D2267" s="44" t="n">
        <x:v>292.30060764833183</x:v>
      </x:c>
      <x:c r="E2267" s="44" t="n">
        <x:v>4595.520179137899</x:v>
      </x:c>
      <x:c r="F2267" s="44" t="n">
        <x:v>241.3813202744652</x:v>
      </x:c>
      <x:c r="G2267" s="44" t="n">
        <x:v>729.5909684642658</x:v>
      </x:c>
      <x:c r="H2267" s="44" t="n">
        <x:v>21995.20692447504</x:v>
      </x:c>
      <x:c r="I2267" s="44" t="n">
        <x:v>27854</x:v>
      </x:c>
      <x:c r="J2267" s="44" t="n">
        <x:v>4605</x:v>
      </x:c>
      <x:c r="K2267" s="44" t="n">
        <x:v>342.2019204587179</x:v>
      </x:c>
      <x:c r="L2267" s="44" t="n">
        <x:v>100.82060018425274</x:v>
      </x:c>
    </x:row>
    <x:row r="2268" ht="15" hidden="0" customHeight="1">
      <x:c r="A2268" s="27" t="str">
        <x:v>01061</x:v>
      </x:c>
      <x:c r="B2268" s="27" t="str">
        <x:v>SCA-23</x:v>
      </x:c>
      <x:c r="C2268" s="43" t="n">
        <x:v>27554</x:v>
      </x:c>
      <x:c r="D2268" s="43" t="n">
        <x:v>394.4896790763328</x:v>
      </x:c>
      <x:c r="E2268" s="43" t="n">
        <x:v>6092.089807228916</x:v>
      </x:c>
      <x:c r="F2268" s="43" t="n">
        <x:v>221.7583357448187</x:v>
      </x:c>
      <x:c r="G2268" s="43" t="n">
        <x:v>736.9793862951808</x:v>
      </x:c>
      <x:c r="H2268" s="43" t="n">
        <x:v>20108.682791654755</x:v>
      </x:c>
      <x:c r="I2268" s="43" t="n">
        <x:v>27554</x:v>
      </x:c>
      <x:c r="J2268" s="43" t="n">
        <x:v>6117</x:v>
      </x:c>
      <x:c r="K2268" s="43" t="n">
        <x:v>362.4109395199466</x:v>
      </x:c>
      <x:c r="L2268" s="43" t="n">
        <x:v>140.65260377512794</x:v>
      </x:c>
    </x:row>
    <x:row r="2269" ht="15" hidden="0" customHeight="1">
      <x:c r="A2269" s="29" t="str">
        <x:v>13035</x:v>
      </x:c>
      <x:c r="B2269" s="29" t="str">
        <x:v>SCA-23</x:v>
      </x:c>
      <x:c r="C2269" s="44" t="n">
        <x:v>27218</x:v>
      </x:c>
      <x:c r="D2269" s="44" t="n">
        <x:v>266.3069324722207</x:v>
      </x:c>
      <x:c r="E2269" s="44" t="n">
        <x:v>4026.921692769077</x:v>
      </x:c>
      <x:c r="F2269" s="44" t="n">
        <x:v>235.8697772395488</x:v>
      </x:c>
      <x:c r="G2269" s="44" t="n">
        <x:v>640.3347217594135</x:v>
      </x:c>
      <x:c r="H2269" s="44" t="n">
        <x:v>22048.56687575974</x:v>
      </x:c>
      <x:c r="I2269" s="44" t="n">
        <x:v>27218</x:v>
      </x:c>
      <x:c r="J2269" s="44" t="n">
        <x:v>3700</x:v>
      </x:c>
      <x:c r="K2269" s="44" t="n">
        <x:v>334.3883058463913</x:v>
      </x:c>
      <x:c r="L2269" s="44" t="n">
        <x:v>98.51852860684251</x:v>
      </x:c>
    </x:row>
    <x:row r="2270" ht="15" hidden="0" customHeight="1">
      <x:c r="A2270" s="27" t="str">
        <x:v>45087</x:v>
      </x:c>
      <x:c r="B2270" s="27" t="str">
        <x:v>SCA-23</x:v>
      </x:c>
      <x:c r="C2270" s="43" t="n">
        <x:v>26799</x:v>
      </x:c>
      <x:c r="D2270" s="43" t="n">
        <x:v>347.6406512969426</x:v>
      </x:c>
      <x:c r="E2270" s="43" t="n">
        <x:v>5585.58422611645</x:v>
      </x:c>
      <x:c r="F2270" s="43" t="n">
        <x:v>162.8364767357882</x:v>
      </x:c>
      <x:c r="G2270" s="43" t="n">
        <x:v>1518.0247220651968</x:v>
      </x:c>
      <x:c r="H2270" s="43" t="n">
        <x:v>19184.91392378562</x:v>
      </x:c>
      <x:c r="I2270" s="43" t="n">
        <x:v>26799</x:v>
      </x:c>
      <x:c r="J2270" s="43" t="n">
        <x:v>5761</x:v>
      </x:c>
      <x:c r="K2270" s="43" t="n">
        <x:v>277.7444519445454</x:v>
      </x:c>
      <x:c r="L2270" s="43" t="n">
        <x:v>114.90797520875718</x:v>
      </x:c>
    </x:row>
    <x:row r="2271" ht="15" hidden="0" customHeight="1">
      <x:c r="A2271" s="29" t="str">
        <x:v>12133</x:v>
      </x:c>
      <x:c r="B2271" s="29" t="str">
        <x:v>SCA-23</x:v>
      </x:c>
      <x:c r="C2271" s="44" t="n">
        <x:v>26695</x:v>
      </x:c>
      <x:c r="D2271" s="44" t="n">
        <x:v>351.4450781131476</x:v>
      </x:c>
      <x:c r="E2271" s="44" t="n">
        <x:v>5216.116222929103</x:v>
      </x:c>
      <x:c r="F2271" s="44" t="n">
        <x:v>172.89287951678614</x:v>
      </x:c>
      <x:c r="G2271" s="44" t="n">
        <x:v>310.62007059131116</x:v>
      </x:c>
      <x:c r="H2271" s="44" t="n">
        <x:v>20643.92574884965</x:v>
      </x:c>
      <x:c r="I2271" s="44" t="n">
        <x:v>26695</x:v>
      </x:c>
      <x:c r="J2271" s="44" t="n">
        <x:v>4671</x:v>
      </x:c>
      <x:c r="K2271" s="44" t="n">
        <x:v>306.9997816745544</x:v>
      </x:c>
      <x:c r="L2271" s="44" t="n">
        <x:v>134.10690215776827</x:v>
      </x:c>
    </x:row>
    <x:row r="2272" ht="15" hidden="0" customHeight="1">
      <x:c r="A2272" s="27" t="str">
        <x:v>01019</x:v>
      </x:c>
      <x:c r="B2272" s="27" t="str">
        <x:v>SCA-23</x:v>
      </x:c>
      <x:c r="C2272" s="43" t="n">
        <x:v>26413</x:v>
      </x:c>
      <x:c r="D2272" s="43" t="n">
        <x:v>357.849446971981</x:v>
      </x:c>
      <x:c r="E2272" s="43" t="n">
        <x:v>5352.509055690072</x:v>
      </x:c>
      <x:c r="F2272" s="43" t="n">
        <x:v>212.57541271785934</x:v>
      </x:c>
      <x:c r="G2272" s="43" t="n">
        <x:v>292.68546818560714</x:v>
      </x:c>
      <x:c r="H2272" s="43" t="n">
        <x:v>20197.38061643448</x:v>
      </x:c>
      <x:c r="I2272" s="43" t="n">
        <x:v>26413</x:v>
      </x:c>
      <x:c r="J2272" s="43" t="n">
        <x:v>5318</x:v>
      </x:c>
      <x:c r="K2272" s="43" t="n">
        <x:v>347.40364903608736</x:v>
      </x:c>
      <x:c r="L2272" s="43" t="n">
        <x:v>134.828236318228</x:v>
      </x:c>
    </x:row>
    <x:row r="2273" ht="15" hidden="0" customHeight="1">
      <x:c r="A2273" s="29" t="str">
        <x:v>13111</x:v>
      </x:c>
      <x:c r="B2273" s="29" t="str">
        <x:v>SCA-23</x:v>
      </x:c>
      <x:c r="C2273" s="44" t="n">
        <x:v>26111</x:v>
      </x:c>
      <x:c r="D2273" s="44" t="n">
        <x:v>296.2283761972661</x:v>
      </x:c>
      <x:c r="E2273" s="44" t="n">
        <x:v>4841.20212466802</x:v>
      </x:c>
      <x:c r="F2273" s="44" t="n">
        <x:v>226.27657261745384</x:v>
      </x:c>
      <x:c r="G2273" s="44" t="n">
        <x:v>394.15409701609127</x:v>
      </x:c>
      <x:c r="H2273" s="44" t="n">
        <x:v>20353.13882950117</x:v>
      </x:c>
      <x:c r="I2273" s="44" t="n">
        <x:v>26111</x:v>
      </x:c>
      <x:c r="J2273" s="44" t="n">
        <x:v>4945</x:v>
      </x:c>
      <x:c r="K2273" s="44" t="n">
        <x:v>320.7881936202191</x:v>
      </x:c>
      <x:c r="L2273" s="44" t="n">
        <x:v>94.51162100276525</x:v>
      </x:c>
    </x:row>
    <x:row r="2274" ht="15" hidden="0" customHeight="1">
      <x:c r="A2274" s="27" t="str">
        <x:v>13119</x:v>
      </x:c>
      <x:c r="B2274" s="27" t="str">
        <x:v>SCA-23</x:v>
      </x:c>
      <x:c r="C2274" s="43" t="n">
        <x:v>25948</x:v>
      </x:c>
      <x:c r="D2274" s="43" t="n">
        <x:v>279.53284877001175</x:v>
      </x:c>
      <x:c r="E2274" s="43" t="n">
        <x:v>4454.669378380628</x:v>
      </x:c>
      <x:c r="F2274" s="43" t="n">
        <x:v>224.8640230660523</x:v>
      </x:c>
      <x:c r="G2274" s="43" t="n">
        <x:v>676.2335025380711</x:v>
      </x:c>
      <x:c r="H2274" s="43" t="n">
        <x:v>20312.70024724524</x:v>
      </x:c>
      <x:c r="I2274" s="43" t="n">
        <x:v>25948</x:v>
      </x:c>
      <x:c r="J2274" s="43" t="n">
        <x:v>4298</x:v>
      </x:c>
      <x:c r="K2274" s="43" t="n">
        <x:v>318.7856477368712</x:v>
      </x:c>
      <x:c r="L2274" s="43" t="n">
        <x:v>93.92162467081891</x:v>
      </x:c>
    </x:row>
    <x:row r="2275" ht="15" hidden="0" customHeight="1">
      <x:c r="A2275" s="29" t="str">
        <x:v>13055</x:v>
      </x:c>
      <x:c r="B2275" s="29" t="str">
        <x:v>SCA-23</x:v>
      </x:c>
      <x:c r="C2275" s="44" t="n">
        <x:v>25300</x:v>
      </x:c>
      <x:c r="D2275" s="44" t="n">
        <x:v>297.10105839820454</x:v>
      </x:c>
      <x:c r="E2275" s="44" t="n">
        <x:v>4932.598574821853</x:v>
      </x:c>
      <x:c r="F2275" s="44" t="n">
        <x:v>219.2484886531187</x:v>
      </x:c>
      <x:c r="G2275" s="44" t="n">
        <x:v>777.7862232779097</x:v>
      </x:c>
      <x:c r="H2275" s="44" t="n">
        <x:v>19073.265654848914</x:v>
      </x:c>
      <x:c r="I2275" s="44" t="n">
        <x:v>25300</x:v>
      </x:c>
      <x:c r="J2275" s="44" t="n">
        <x:v>4788</x:v>
      </x:c>
      <x:c r="K2275" s="44" t="n">
        <x:v>310.82460643374606</x:v>
      </x:c>
      <x:c r="L2275" s="44" t="n">
        <x:v>91.57611778062736</x:v>
      </x:c>
    </x:row>
    <x:row r="2276" ht="15" hidden="0" customHeight="1">
      <x:c r="A2276" s="27" t="str">
        <x:v>45001</x:v>
      </x:c>
      <x:c r="B2276" s="27" t="str">
        <x:v>SCA-23</x:v>
      </x:c>
      <x:c r="C2276" s="43" t="n">
        <x:v>24836</x:v>
      </x:c>
      <x:c r="D2276" s="43" t="n">
        <x:v>234.54355281321835</x:v>
      </x:c>
      <x:c r="E2276" s="43" t="n">
        <x:v>3073.259330175077</x:v>
      </x:c>
      <x:c r="F2276" s="43" t="n">
        <x:v>150.90886735363398</x:v>
      </x:c>
      <x:c r="G2276" s="43" t="n">
        <x:v>895.0572605561277</x:v>
      </x:c>
      <x:c r="H2276" s="43" t="n">
        <x:v>20482.230989101943</x:v>
      </x:c>
      <x:c r="I2276" s="43" t="n">
        <x:v>24836</x:v>
      </x:c>
      <x:c r="J2276" s="43" t="n">
        <x:v>3129</x:v>
      </x:c>
      <x:c r="K2276" s="43" t="n">
        <x:v>257.3999480762241</x:v>
      </x:c>
      <x:c r="L2276" s="43" t="n">
        <x:v>106.49108072259014</x:v>
      </x:c>
    </x:row>
    <x:row r="2277" ht="15" hidden="0" customHeight="1">
      <x:c r="A2277" s="29" t="str">
        <x:v>01005</x:v>
      </x:c>
      <x:c r="B2277" s="29" t="str">
        <x:v>SCA-23</x:v>
      </x:c>
      <x:c r="C2277" s="44" t="n">
        <x:v>24607</x:v>
      </x:c>
      <x:c r="D2277" s="44" t="n">
        <x:v>316.98314067640194</x:v>
      </x:c>
      <x:c r="E2277" s="44" t="n">
        <x:v>4592.972203327</x:v>
      </x:c>
      <x:c r="F2277" s="44" t="n">
        <x:v>198.04047933776417</x:v>
      </x:c>
      <x:c r="G2277" s="44" t="n">
        <x:v>1462.1090310921643</x:v>
      </x:c>
      <x:c r="H2277" s="44" t="n">
        <x:v>18036.89514556667</x:v>
      </x:c>
      <x:c r="I2277" s="44" t="n">
        <x:v>24607</x:v>
      </x:c>
      <x:c r="J2277" s="44" t="n">
        <x:v>4196</x:v>
      </x:c>
      <x:c r="K2277" s="44" t="n">
        <x:v>323.64977820887447</x:v>
      </x:c>
      <x:c r="L2277" s="44" t="n">
        <x:v>125.6092988711103</x:v>
      </x:c>
    </x:row>
    <x:row r="2278" ht="15" hidden="0" customHeight="1">
      <x:c r="A2278" s="27" t="str">
        <x:v>13033</x:v>
      </x:c>
      <x:c r="B2278" s="27" t="str">
        <x:v>SCA-23</x:v>
      </x:c>
      <x:c r="C2278" s="43" t="n">
        <x:v>24408</x:v>
      </x:c>
      <x:c r="D2278" s="43" t="n">
        <x:v>247.75400163002675</x:v>
      </x:c>
      <x:c r="E2278" s="43" t="n">
        <x:v>3825.757810387469</x:v>
      </x:c>
      <x:c r="F2278" s="43" t="n">
        <x:v>211.51846288716683</x:v>
      </x:c>
      <x:c r="G2278" s="43" t="n">
        <x:v>1475.1499175597692</x:v>
      </x:c>
      <x:c r="H2278" s="43" t="n">
        <x:v>18647.81980753557</x:v>
      </x:c>
      <x:c r="I2278" s="43" t="n">
        <x:v>24408</x:v>
      </x:c>
      <x:c r="J2278" s="43" t="n">
        <x:v>3961</x:v>
      </x:c>
      <x:c r="K2278" s="43" t="n">
        <x:v>299.86588908438233</x:v>
      </x:c>
      <x:c r="L2278" s="43" t="n">
        <x:v>88.34742619721551</x:v>
      </x:c>
    </x:row>
    <x:row r="2279" ht="15" hidden="0" customHeight="1">
      <x:c r="A2279" s="29" t="str">
        <x:v>13237</x:v>
      </x:c>
      <x:c r="B2279" s="29" t="str">
        <x:v>SCA-23</x:v>
      </x:c>
      <x:c r="C2279" s="44" t="n">
        <x:v>23722</x:v>
      </x:c>
      <x:c r="D2279" s="44" t="n">
        <x:v>242.70508247401645</x:v>
      </x:c>
      <x:c r="E2279" s="44" t="n">
        <x:v>3764.176999779201</x:v>
      </x:c>
      <x:c r="F2279" s="44" t="n">
        <x:v>205.57362244384512</x:v>
      </x:c>
      <x:c r="G2279" s="44" t="n">
        <x:v>928.1971296091853</x:v>
      </x:c>
      <x:c r="H2279" s="44" t="n">
        <x:v>18581.34716569375</x:v>
      </x:c>
      <x:c r="I2279" s="44" t="n">
        <x:v>23722</x:v>
      </x:c>
      <x:c r="J2279" s="44" t="n">
        <x:v>3743</x:v>
      </x:c>
      <x:c r="K2279" s="44" t="n">
        <x:v>291.4379965937282</x:v>
      </x:c>
      <x:c r="L2279" s="44" t="n">
        <x:v>85.86437414988309</x:v>
      </x:c>
    </x:row>
    <x:row r="2280" ht="15" hidden="0" customHeight="1">
      <x:c r="A2280" s="27" t="str">
        <x:v>01111</x:v>
      </x:c>
      <x:c r="B2280" s="27" t="str">
        <x:v>SCA-23</x:v>
      </x:c>
      <x:c r="C2280" s="43" t="n">
        <x:v>23163</x:v>
      </x:c>
      <x:c r="D2280" s="43" t="n">
        <x:v>269.989724145755</x:v>
      </x:c>
      <x:c r="E2280" s="43" t="n">
        <x:v>3642.0357969388215</x:v>
      </x:c>
      <x:c r="F2280" s="43" t="n">
        <x:v>186.41897114238355</x:v>
      </x:c>
      <x:c r="G2280" s="43" t="n">
        <x:v>455.7363436419947</x:v>
      </x:c>
      <x:c r="H2280" s="43" t="n">
        <x:v>18608.819164131044</x:v>
      </x:c>
      <x:c r="I2280" s="43" t="n">
        <x:v>23163</x:v>
      </x:c>
      <x:c r="J2280" s="43" t="n">
        <x:v>3649</x:v>
      </x:c>
      <x:c r="K2280" s="43" t="n">
        <x:v>304.657203749021</x:v>
      </x:c>
      <x:c r="L2280" s="43" t="n">
        <x:v>118.23823260663745</x:v>
      </x:c>
    </x:row>
    <x:row r="2281" ht="15" hidden="0" customHeight="1">
      <x:c r="A2281" s="29" t="str">
        <x:v>13107</x:v>
      </x:c>
      <x:c r="B2281" s="29" t="str">
        <x:v>SCA-23</x:v>
      </x:c>
      <x:c r="C2281" s="44" t="n">
        <x:v>23147</x:v>
      </x:c>
      <x:c r="D2281" s="44" t="n">
        <x:v>268.412112151822</x:v>
      </x:c>
      <x:c r="E2281" s="44" t="n">
        <x:v>4431.096321745058</x:v>
      </x:c>
      <x:c r="F2281" s="44" t="n">
        <x:v>200.59070224718334</x:v>
      </x:c>
      <x:c r="G2281" s="44" t="n">
        <x:v>1006.3426039536467</x:v>
      </x:c>
      <x:c r="H2281" s="44" t="n">
        <x:v>17240.558259902293</x:v>
      </x:c>
      <x:c r="I2281" s="44" t="n">
        <x:v>23147</x:v>
      </x:c>
      <x:c r="J2281" s="44" t="n">
        <x:v>4388</x:v>
      </x:c>
      <x:c r="K2281" s="44" t="n">
        <x:v>284.37380099296126</x:v>
      </x:c>
      <x:c r="L2281" s="44" t="n">
        <x:v>83.78309874577792</x:v>
      </x:c>
    </x:row>
    <x:row r="2282" ht="15" hidden="0" customHeight="1">
      <x:c r="A2282" s="27" t="str">
        <x:v>37115</x:v>
      </x:c>
      <x:c r="B2282" s="27" t="str">
        <x:v>SCA-23</x:v>
      </x:c>
      <x:c r="C2282" s="43" t="n">
        <x:v>22553</x:v>
      </x:c>
      <x:c r="D2282" s="43" t="n">
        <x:v>260.86825799452987</x:v>
      </x:c>
      <x:c r="E2282" s="43" t="n">
        <x:v>3919.68532716763</x:v>
      </x:c>
      <x:c r="F2282" s="43" t="n">
        <x:v>118.95051062383114</x:v>
      </x:c>
      <x:c r="G2282" s="43" t="n">
        <x:v>461.8931791907515</x:v>
      </x:c>
      <x:c r="H2282" s="43" t="n">
        <x:v>17791.60272502326</x:v>
      </x:c>
      <x:c r="I2282" s="43" t="n">
        <x:v>22553</x:v>
      </x:c>
      <x:c r="J2282" s="43" t="n">
        <x:v>3915</x:v>
      </x:c>
      <x:c r="K2282" s="43" t="n">
        <x:v>216.4985466530431</x:v>
      </x:c>
      <x:c r="L2282" s="43" t="n">
        <x:v>97.54803602921196</x:v>
      </x:c>
    </x:row>
    <x:row r="2283" ht="15" hidden="0" customHeight="1">
      <x:c r="A2283" s="29" t="str">
        <x:v>01007</x:v>
      </x:c>
      <x:c r="B2283" s="29" t="str">
        <x:v>SCA-23</x:v>
      </x:c>
      <x:c r="C2283" s="44" t="n">
        <x:v>22262</x:v>
      </x:c>
      <x:c r="D2283" s="44" t="n">
        <x:v>296.7437064754157</x:v>
      </x:c>
      <x:c r="E2283" s="44" t="n">
        <x:v>4394.51360062281</x:v>
      </x:c>
      <x:c r="F2283" s="44" t="n">
        <x:v>179.16760072407467</x:v>
      </x:c>
      <x:c r="G2283" s="44" t="n">
        <x:v>478.21389645776566</x:v>
      </x:c>
      <x:c r="H2283" s="44" t="n">
        <x:v>16913.361195719935</x:v>
      </x:c>
      <x:c r="I2283" s="44" t="n">
        <x:v>22262</x:v>
      </x:c>
      <x:c r="J2283" s="44" t="n">
        <x:v>4226</x:v>
      </x:c>
      <x:c r="K2283" s="44" t="n">
        <x:v>292.80657384020657</x:v>
      </x:c>
      <x:c r="L2283" s="44" t="n">
        <x:v>113.6389731161319</x:v>
      </x:c>
    </x:row>
    <x:row r="2284" ht="15" hidden="0" customHeight="1">
      <x:c r="A2284" s="27" t="str">
        <x:v>13211</x:v>
      </x:c>
      <x:c r="B2284" s="27" t="str">
        <x:v>SCA-23</x:v>
      </x:c>
      <x:c r="C2284" s="43" t="n">
        <x:v>22095</x:v>
      </x:c>
      <x:c r="D2284" s="43" t="n">
        <x:v>207.48954443123355</x:v>
      </x:c>
      <x:c r="E2284" s="43" t="n">
        <x:v>3060.3425945428435</x:v>
      </x:c>
      <x:c r="F2284" s="43" t="n">
        <x:v>191.47412477433429</x:v>
      </x:c>
      <x:c r="G2284" s="43" t="n">
        <x:v>370.526950694112</x:v>
      </x:c>
      <x:c r="H2284" s="43" t="n">
        <x:v>18265.166785557474</x:v>
      </x:c>
      <x:c r="I2284" s="43" t="n">
        <x:v>22095</x:v>
      </x:c>
      <x:c r="J2284" s="43" t="n">
        <x:v>3014</x:v>
      </x:c>
      <x:c r="K2284" s="43" t="n">
        <x:v>271.44939443294936</x:v>
      </x:c>
      <x:c r="L2284" s="43" t="n">
        <x:v>79.97526965861508</x:v>
      </x:c>
    </x:row>
    <x:row r="2285" ht="15" hidden="0" customHeight="1">
      <x:c r="A2285" s="29" t="str">
        <x:v>01025</x:v>
      </x:c>
      <x:c r="B2285" s="29" t="str">
        <x:v>SCA-23</x:v>
      </x:c>
      <x:c r="C2285" s="44" t="n">
        <x:v>22014</x:v>
      </x:c>
      <x:c r="D2285" s="44" t="n">
        <x:v>293.0474331828927</x:v>
      </x:c>
      <x:c r="E2285" s="44" t="n">
        <x:v>4336.1857191688405</x:v>
      </x:c>
      <x:c r="F2285" s="44" t="n">
        <x:v>177.17166302846914</x:v>
      </x:c>
      <x:c r="G2285" s="44" t="n">
        <x:v>1084.9275883781597</x:v>
      </x:c>
      <x:c r="H2285" s="44" t="n">
        <x:v>16122.66759624164</x:v>
      </x:c>
      <x:c r="I2285" s="44" t="n">
        <x:v>22014</x:v>
      </x:c>
      <x:c r="J2285" s="44" t="n">
        <x:v>4562</x:v>
      </x:c>
      <x:c r="K2285" s="44" t="n">
        <x:v>289.54469124599353</x:v>
      </x:c>
      <x:c r="L2285" s="44" t="n">
        <x:v>112.37302821752438</x:v>
      </x:c>
    </x:row>
    <x:row r="2286" ht="15" hidden="0" customHeight="1">
      <x:c r="A2286" s="27" t="str">
        <x:v>13189</x:v>
      </x:c>
      <x:c r="B2286" s="27" t="str">
        <x:v>SCA-23</x:v>
      </x:c>
      <x:c r="C2286" s="43" t="n">
        <x:v>21640</x:v>
      </x:c>
      <x:c r="D2286" s="43" t="n">
        <x:v>195.8968349334194</x:v>
      </x:c>
      <x:c r="E2286" s="43" t="n">
        <x:v>2821.64370122631</x:v>
      </x:c>
      <x:c r="F2286" s="43" t="n">
        <x:v>187.5311183578454</x:v>
      </x:c>
      <x:c r="G2286" s="43" t="n">
        <x:v>519.8023968784838</x:v>
      </x:c>
      <x:c r="H2286" s="43" t="n">
        <x:v>17915.12594860394</x:v>
      </x:c>
      <x:c r="I2286" s="43" t="n">
        <x:v>21640</x:v>
      </x:c>
      <x:c r="J2286" s="43" t="n">
        <x:v>2924</x:v>
      </x:c>
      <x:c r="K2286" s="43" t="n">
        <x:v>265.85946574016856</x:v>
      </x:c>
      <x:c r="L2286" s="43" t="n">
        <x:v>78.32834738232316</x:v>
      </x:c>
    </x:row>
    <x:row r="2287" ht="15" hidden="0" customHeight="1">
      <x:c r="A2287" s="29" t="str">
        <x:v>13199</x:v>
      </x:c>
      <x:c r="B2287" s="29" t="str">
        <x:v>SCA-23</x:v>
      </x:c>
      <x:c r="C2287" s="44" t="n">
        <x:v>21516</x:v>
      </x:c>
      <x:c r="D2287" s="44" t="n">
        <x:v>249.6768184105761</x:v>
      </x:c>
      <x:c r="E2287" s="44" t="n">
        <x:v>4123.135262247838</x:v>
      </x:c>
      <x:c r="F2287" s="44" t="n">
        <x:v>186.45654078500007</x:v>
      </x:c>
      <x:c r="G2287" s="44" t="n">
        <x:v>709.140441882805</x:v>
      </x:c>
      <x:c r="H2287" s="44" t="n">
        <x:v>16247.59093667378</x:v>
      </x:c>
      <x:c r="I2287" s="44" t="n">
        <x:v>21516</x:v>
      </x:c>
      <x:c r="J2287" s="44" t="n">
        <x:v>4156</x:v>
      </x:c>
      <x:c r="K2287" s="44" t="n">
        <x:v>264.3360566019162</x:v>
      </x:c>
      <x:c r="L2287" s="44" t="n">
        <x:v>77.87951581691614</x:v>
      </x:c>
    </x:row>
    <x:row r="2288" ht="15" hidden="0" customHeight="1">
      <x:c r="A2288" s="27" t="str">
        <x:v>13133</x:v>
      </x:c>
      <x:c r="B2288" s="27" t="str">
        <x:v>SCA-23</x:v>
      </x:c>
      <x:c r="C2288" s="43" t="n">
        <x:v>21367</x:v>
      </x:c>
      <x:c r="D2288" s="43" t="n">
        <x:v>200.4589934954537</x:v>
      </x:c>
      <x:c r="E2288" s="43" t="n">
        <x:v>2954.8511874937367</x:v>
      </x:c>
      <x:c r="F2288" s="43" t="n">
        <x:v>185.16531450795202</x:v>
      </x:c>
      <x:c r="G2288" s="43" t="n">
        <x:v>520.4160737548852</x:v>
      </x:c>
      <x:c r="H2288" s="43" t="n">
        <x:v>17506.108430747972</x:v>
      </x:c>
      <x:c r="I2288" s="43" t="n">
        <x:v>21367</x:v>
      </x:c>
      <x:c r="J2288" s="43" t="n">
        <x:v>2875</x:v>
      </x:c>
      <x:c r="K2288" s="43" t="n">
        <x:v>262.50550852450004</x:v>
      </x:c>
      <x:c r="L2288" s="43" t="n">
        <x:v>77.34019401654801</x:v>
      </x:c>
    </x:row>
    <x:row r="2289" ht="15" hidden="0" customHeight="1">
      <x:c r="A2289" s="29" t="str">
        <x:v>13011</x:v>
      </x:c>
      <x:c r="B2289" s="29" t="str">
        <x:v>SCA-23</x:v>
      </x:c>
      <x:c r="C2289" s="44" t="n">
        <x:v>21273</x:v>
      </x:c>
      <x:c r="D2289" s="44" t="n">
        <x:v>202.47594366669088</x:v>
      </x:c>
      <x:c r="E2289" s="44" t="n">
        <x:v>3011.423830406318</x:v>
      </x:c>
      <x:c r="F2289" s="44" t="n">
        <x:v>184.35071538014995</x:v>
      </x:c>
      <x:c r="G2289" s="44" t="n">
        <x:v>246.8105580380339</x:v>
      </x:c>
      <x:c r="H2289" s="44" t="n">
        <x:v>17627.938952508808</x:v>
      </x:c>
      <x:c r="I2289" s="44" t="n">
        <x:v>21273</x:v>
      </x:c>
      <x:c r="J2289" s="44" t="n">
        <x:v>2838</x:v>
      </x:c>
      <x:c r="K2289" s="44" t="n">
        <x:v>261.35066611324424</x:v>
      </x:c>
      <x:c r="L2289" s="44" t="n">
        <x:v>76.9999507330943</x:v>
      </x:c>
    </x:row>
    <x:row r="2290" ht="15" hidden="0" customHeight="1">
      <x:c r="A2290" s="27" t="str">
        <x:v>13171</x:v>
      </x:c>
      <x:c r="B2290" s="27" t="str">
        <x:v>SCA-23</x:v>
      </x:c>
      <x:c r="C2290" s="43" t="n">
        <x:v>20941</x:v>
      </x:c>
      <x:c r="D2290" s="43" t="n">
        <x:v>208.845335724506</x:v>
      </x:c>
      <x:c r="E2290" s="43" t="n">
        <x:v>3193.13028748068</x:v>
      </x:c>
      <x:c r="F2290" s="43" t="n">
        <x:v>181.4736205883383</x:v>
      </x:c>
      <x:c r="G2290" s="43" t="n">
        <x:v>333.9422462648119</x:v>
      </x:c>
      <x:c r="H2290" s="43" t="n">
        <x:v>17023.608509941663</x:v>
      </x:c>
      <x:c r="I2290" s="43" t="n">
        <x:v>20941</x:v>
      </x:c>
      <x:c r="J2290" s="43" t="n">
        <x:v>3083</x:v>
      </x:c>
      <x:c r="K2290" s="43" t="n">
        <x:v>257.27186100114926</x:v>
      </x:c>
      <x:c r="L2290" s="43" t="n">
        <x:v>75.79824041281097</x:v>
      </x:c>
    </x:row>
    <x:row r="2291" ht="15" hidden="0" customHeight="1">
      <x:c r="A2291" s="29" t="str">
        <x:v>13231</x:v>
      </x:c>
      <x:c r="B2291" s="29" t="str">
        <x:v>SCA-23</x:v>
      </x:c>
      <x:c r="C2291" s="44" t="n">
        <x:v>20932</x:v>
      </x:c>
      <x:c r="D2291" s="44" t="n">
        <x:v>173.07510451622008</x:v>
      </x:c>
      <x:c r="E2291" s="44" t="n">
        <x:v>2335.4265741118825</x:v>
      </x:c>
      <x:c r="F2291" s="44" t="n">
        <x:v>181.39562705482533</x:v>
      </x:c>
      <x:c r="G2291" s="44" t="n">
        <x:v>213.8745406288281</x:v>
      </x:c>
      <x:c r="H2291" s="44" t="n">
        <x:v>18028.228153688244</x:v>
      </x:c>
      <x:c r="I2291" s="44" t="n">
        <x:v>20932</x:v>
      </x:c>
      <x:c r="J2291" s="44" t="n">
        <x:v>2277</x:v>
      </x:c>
      <x:c r="K2291" s="44" t="n">
        <x:v>257.16129098305026</x:v>
      </x:c>
      <x:c r="L2291" s="44" t="n">
        <x:v>75.76566392822497</x:v>
      </x:c>
    </x:row>
    <x:row r="2292" ht="15" hidden="0" customHeight="1">
      <x:c r="A2292" s="27" t="str">
        <x:v>45011</x:v>
      </x:c>
      <x:c r="B2292" s="27" t="str">
        <x:v>SCA-23</x:v>
      </x:c>
      <x:c r="C2292" s="43" t="n">
        <x:v>20653</x:v>
      </x:c>
      <x:c r="D2292" s="43" t="n">
        <x:v>256.31040475174785</x:v>
      </x:c>
      <x:c r="E2292" s="43" t="n">
        <x:v>4026.1216836051753</x:v>
      </x:c>
      <x:c r="F2292" s="43" t="n">
        <x:v>125.49206142110654</x:v>
      </x:c>
      <x:c r="G2292" s="43" t="n">
        <x:v>1149.978930147241</x:v>
      </x:c>
      <x:c r="H2292" s="43" t="n">
        <x:v>15095.09692007473</x:v>
      </x:c>
      <x:c r="I2292" s="43" t="n">
        <x:v>20653</x:v>
      </x:c>
      <x:c r="J2292" s="43" t="n">
        <x:v>4096</x:v>
      </x:c>
      <x:c r="K2292" s="43" t="n">
        <x:v>214.04739602263876</x:v>
      </x:c>
      <x:c r="L2292" s="43" t="n">
        <x:v>88.55533460153222</x:v>
      </x:c>
    </x:row>
    <x:row r="2293" ht="15" hidden="0" customHeight="1">
      <x:c r="A2293" s="29" t="str">
        <x:v>37149</x:v>
      </x:c>
      <x:c r="B2293" s="29" t="str">
        <x:v>SCA-23</x:v>
      </x:c>
      <x:c r="C2293" s="44" t="n">
        <x:v>20533</x:v>
      </x:c>
      <x:c r="D2293" s="44" t="n">
        <x:v>229.65422273662335</x:v>
      </x:c>
      <x:c r="E2293" s="44" t="n">
        <x:v>3380.2380471861916</x:v>
      </x:c>
      <x:c r="F2293" s="44" t="n">
        <x:v>108.29649424196892</x:v>
      </x:c>
      <x:c r="G2293" s="44" t="n">
        <x:v>385.2599325911551</x:v>
      </x:c>
      <x:c r="H2293" s="44" t="n">
        <x:v>16429.55130324406</x:v>
      </x:c>
      <x:c r="I2293" s="44" t="n">
        <x:v>20533</x:v>
      </x:c>
      <x:c r="J2293" s="44" t="n">
        <x:v>3358</x:v>
      </x:c>
      <x:c r="K2293" s="44" t="n">
        <x:v>197.10746501250094</x:v>
      </x:c>
      <x:c r="L2293" s="44" t="n">
        <x:v>88.81097077053204</x:v>
      </x:c>
    </x:row>
    <x:row r="2294" ht="15" hidden="0" customHeight="1">
      <x:c r="A2294" s="27" t="str">
        <x:v>12059</x:v>
      </x:c>
      <x:c r="B2294" s="27" t="str">
        <x:v>SCA-23</x:v>
      </x:c>
      <x:c r="C2294" s="43" t="n">
        <x:v>20119</x:v>
      </x:c>
      <x:c r="D2294" s="43" t="n">
        <x:v>232.26679753758052</x:v>
      </x:c>
      <x:c r="E2294" s="43" t="n">
        <x:v>3148.6933694731492</x:v>
      </x:c>
      <x:c r="F2294" s="43" t="n">
        <x:v>130.30274744327477</x:v>
      </x:c>
      <x:c r="G2294" s="43" t="n">
        <x:v>247.74476255011578</x:v>
      </x:c>
      <x:c r="H2294" s="43" t="n">
        <x:v>16359.992322995879</x:v>
      </x:c>
      <x:c r="I2294" s="43" t="n">
        <x:v>20119</x:v>
      </x:c>
      <x:c r="J2294" s="43" t="n">
        <x:v>2887</x:v>
      </x:c>
      <x:c r="K2294" s="43" t="n">
        <x:v>231.37398791947405</x:v>
      </x:c>
      <x:c r="L2294" s="43" t="n">
        <x:v>101.07124047619929</x:v>
      </x:c>
    </x:row>
    <x:row r="2295" ht="15" hidden="0" customHeight="1">
      <x:c r="A2295" s="29" t="str">
        <x:v>13105</x:v>
      </x:c>
      <x:c r="B2295" s="29" t="str">
        <x:v>SCA-23</x:v>
      </x:c>
      <x:c r="C2295" s="44" t="n">
        <x:v>20072</x:v>
      </x:c>
      <x:c r="D2295" s="44" t="n">
        <x:v>218.5230481755822</x:v>
      </x:c>
      <x:c r="E2295" s="44" t="n">
        <x:v>3500.8859599204525</x:v>
      </x:c>
      <x:c r="F2295" s="44" t="n">
        <x:v>173.94291163025287</x:v>
      </x:c>
      <x:c r="G2295" s="44" t="n">
        <x:v>1099.8170414563256</x:v>
      </x:c>
      <x:c r="H2295" s="44" t="n">
        <x:v>15078.831038817387</x:v>
      </x:c>
      <x:c r="I2295" s="44" t="n">
        <x:v>20072</x:v>
      </x:c>
      <x:c r="J2295" s="44" t="n">
        <x:v>3563</x:v>
      </x:c>
      <x:c r="K2295" s="44" t="n">
        <x:v>246.59571147581622</x:v>
      </x:c>
      <x:c r="L2295" s="44" t="n">
        <x:v>72.65279984556334</x:v>
      </x:c>
    </x:row>
    <x:row r="2296" ht="15" hidden="0" customHeight="1">
      <x:c r="A2296" s="27" t="str">
        <x:v>45081</x:v>
      </x:c>
      <x:c r="B2296" s="27" t="str">
        <x:v>SCA-23</x:v>
      </x:c>
      <x:c r="C2296" s="43" t="n">
        <x:v>19680</x:v>
      </x:c>
      <x:c r="D2296" s="43" t="n">
        <x:v>216.9727223773769</x:v>
      </x:c>
      <x:c r="E2296" s="43" t="n">
        <x:v>3182.1453351689083</x:v>
      </x:c>
      <x:c r="F2296" s="43" t="n">
        <x:v>119.57990455465921</x:v>
      </x:c>
      <x:c r="G2296" s="43" t="n">
        <x:v>464.84671185004765</x:v>
      </x:c>
      <x:c r="H2296" s="43" t="n">
        <x:v>15696.455326049007</x:v>
      </x:c>
      <x:c r="I2296" s="43" t="n">
        <x:v>19680</x:v>
      </x:c>
      <x:c r="J2296" s="43" t="n">
        <x:v>3181</x:v>
      </x:c>
      <x:c r="K2296" s="43" t="n">
        <x:v>203.96323796666493</x:v>
      </x:c>
      <x:c r="L2296" s="43" t="n">
        <x:v>84.38333341200573</x:v>
      </x:c>
    </x:row>
    <x:row r="2297" ht="15" hidden="0" customHeight="1">
      <x:c r="A2297" s="29" t="str">
        <x:v>13091</x:v>
      </x:c>
      <x:c r="B2297" s="29" t="str">
        <x:v>SCA-23</x:v>
      </x:c>
      <x:c r="C2297" s="44" t="n">
        <x:v>19663</x:v>
      </x:c>
      <x:c r="D2297" s="44" t="n">
        <x:v>240.05413331453894</x:v>
      </x:c>
      <x:c r="E2297" s="44" t="n">
        <x:v>4053.1620891105385</x:v>
      </x:c>
      <x:c r="F2297" s="44" t="n">
        <x:v>170.39853882949694</x:v>
      </x:c>
      <x:c r="G2297" s="44" t="n">
        <x:v>385.9650079465117</x:v>
      </x:c>
      <x:c r="H2297" s="44" t="n">
        <x:v>14813.420230798913</x:v>
      </x:c>
      <x:c r="I2297" s="44" t="n">
        <x:v>19663</x:v>
      </x:c>
      <x:c r="J2297" s="44" t="n">
        <x:v>3918</x:v>
      </x:c>
      <x:c r="K2297" s="44" t="n">
        <x:v>241.57091843109677</x:v>
      </x:c>
      <x:c r="L2297" s="44" t="n">
        <x:v>71.17237960159983</x:v>
      </x:c>
    </x:row>
    <x:row r="2298" ht="15" hidden="0" customHeight="1">
      <x:c r="A2298" s="27" t="str">
        <x:v>13303</x:v>
      </x:c>
      <x:c r="B2298" s="27" t="str">
        <x:v>SCA-23</x:v>
      </x:c>
      <x:c r="C2298" s="43" t="n">
        <x:v>19453</x:v>
      </x:c>
      <x:c r="D2298" s="43" t="n">
        <x:v>216.13533617408348</x:v>
      </x:c>
      <x:c r="E2298" s="43" t="n">
        <x:v>3497.353789107763</x:v>
      </x:c>
      <x:c r="F2298" s="43" t="n">
        <x:v>168.57868971419435</x:v>
      </x:c>
      <x:c r="G2298" s="43" t="n">
        <x:v>688.7837278596259</x:v>
      </x:c>
      <x:c r="H2298" s="43" t="n">
        <x:v>14882.148457144334</x:v>
      </x:c>
      <x:c r="I2298" s="43" t="n">
        <x:v>19453</x:v>
      </x:c>
      <x:c r="J2298" s="43" t="n">
        <x:v>3394</x:v>
      </x:c>
      <x:c r="K2298" s="43" t="n">
        <x:v>238.990951342121</x:v>
      </x:c>
      <x:c r="L2298" s="43" t="n">
        <x:v>70.41226162792664</x:v>
      </x:c>
    </x:row>
    <x:row r="2299" ht="15" hidden="0" customHeight="1">
      <x:c r="A2299" s="29" t="str">
        <x:v>13081</x:v>
      </x:c>
      <x:c r="B2299" s="29" t="str">
        <x:v>SCA-23</x:v>
      </x:c>
      <x:c r="C2299" s="44" t="n">
        <x:v>19237</x:v>
      </x:c>
      <x:c r="D2299" s="44" t="n">
        <x:v>218.73422744691473</x:v>
      </x:c>
      <x:c r="E2299" s="44" t="n">
        <x:v>3578.4912347772465</x:v>
      </x:c>
      <x:c r="F2299" s="44" t="n">
        <x:v>166.7068449098832</x:v>
      </x:c>
      <x:c r="G2299" s="44" t="n">
        <x:v>2099.417296130723</x:v>
      </x:c>
      <x:c r="H2299" s="44" t="n">
        <x:v>13173.650396735233</x:v>
      </x:c>
      <x:c r="I2299" s="44" t="n">
        <x:v>19237</x:v>
      </x:c>
      <x:c r="J2299" s="44" t="n">
        <x:v>3771</x:v>
      </x:c>
      <x:c r="K2299" s="44" t="n">
        <x:v>236.33727090774596</x:v>
      </x:c>
      <x:c r="L2299" s="44" t="n">
        <x:v>69.63042599786279</x:v>
      </x:c>
    </x:row>
    <x:row r="2300" ht="15" hidden="0" customHeight="1">
      <x:c r="A2300" s="27" t="str">
        <x:v>37199</x:v>
      </x:c>
      <x:c r="B2300" s="27" t="str">
        <x:v>SCA-23</x:v>
      </x:c>
      <x:c r="C2300" s="43" t="n">
        <x:v>19084</x:v>
      </x:c>
      <x:c r="D2300" s="43" t="n">
        <x:v>226.45744561457593</x:v>
      </x:c>
      <x:c r="E2300" s="43" t="n">
        <x:v>3453.9313276609405</x:v>
      </x:c>
      <x:c r="F2300" s="43" t="n">
        <x:v>100.65408348092022</x:v>
      </x:c>
      <x:c r="G2300" s="43" t="n">
        <x:v>448.7446888211056</x:v>
      </x:c>
      <x:c r="H2300" s="43" t="n">
        <x:v>14854.212454422459</x:v>
      </x:c>
      <x:c r="I2300" s="43" t="n">
        <x:v>19084</x:v>
      </x:c>
      <x:c r="J2300" s="43" t="n">
        <x:v>3523</x:v>
      </x:c>
      <x:c r="K2300" s="43" t="n">
        <x:v>183.19772377629027</x:v>
      </x:c>
      <x:c r="L2300" s="43" t="n">
        <x:v>82.54364029537005</x:v>
      </x:c>
    </x:row>
    <x:row r="2301" ht="15" hidden="0" customHeight="1">
      <x:c r="A2301" s="29" t="str">
        <x:v>01099</x:v>
      </x:c>
      <x:c r="B2301" s="29" t="str">
        <x:v>SCA-23</x:v>
      </x:c>
      <x:c r="C2301" s="44" t="n">
        <x:v>18965</x:v>
      </x:c>
      <x:c r="D2301" s="44" t="n">
        <x:v>232.67889436226</x:v>
      </x:c>
      <x:c r="E2301" s="44" t="n">
        <x:v>3260.8762064273005</x:v>
      </x:c>
      <x:c r="F2301" s="44" t="n">
        <x:v>152.63289676273814</x:v>
      </x:c>
      <x:c r="G2301" s="44" t="n">
        <x:v>463.39464042709096</x:v>
      </x:c>
      <x:c r="H2301" s="44" t="n">
        <x:v>14855.417362020611</x:v>
      </x:c>
      <x:c r="I2301" s="44" t="n">
        <x:v>18965</x:v>
      </x:c>
      <x:c r="J2301" s="44" t="n">
        <x:v>3422</x:v>
      </x:c>
      <x:c r="K2301" s="44" t="n">
        <x:v>249.44194919052725</x:v>
      </x:c>
      <x:c r="L2301" s="44" t="n">
        <x:v>96.80905242778913</x:v>
      </x:c>
    </x:row>
    <x:row r="2302" ht="15" hidden="0" customHeight="1">
      <x:c r="A2302" s="27" t="str">
        <x:v>47139</x:v>
      </x:c>
      <x:c r="B2302" s="27" t="str">
        <x:v>SCA-23</x:v>
      </x:c>
      <x:c r="C2302" s="43" t="n">
        <x:v>18592</x:v>
      </x:c>
      <x:c r="D2302" s="43" t="n">
        <x:v>236.07774391337125</x:v>
      </x:c>
      <x:c r="E2302" s="43" t="n">
        <x:v>3700.4090978973545</x:v>
      </x:c>
      <x:c r="F2302" s="43" t="n">
        <x:v>119.08390926447095</x:v>
      </x:c>
      <x:c r="G2302" s="43" t="n">
        <x:v>452.6172281257066</x:v>
      </x:c>
      <x:c r="H2302" s="43" t="n">
        <x:v>14083.812020799096</x:v>
      </x:c>
      <x:c r="I2302" s="43" t="n">
        <x:v>18592</x:v>
      </x:c>
      <x:c r="J2302" s="43" t="n">
        <x:v>3668</x:v>
      </x:c>
      <x:c r="K2302" s="43" t="n">
        <x:v>200.97794076545244</x:v>
      </x:c>
      <x:c r="L2302" s="43" t="n">
        <x:v>81.89403150098148</x:v>
      </x:c>
    </x:row>
    <x:row r="2303" ht="15" hidden="0" customHeight="1">
      <x:c r="A2303" s="29" t="str">
        <x:v>01067</x:v>
      </x:c>
      <x:c r="B2303" s="29" t="str">
        <x:v>SCA-23</x:v>
      </x:c>
      <x:c r="C2303" s="44" t="n">
        <x:v>18394</x:v>
      </x:c>
      <x:c r="D2303" s="44" t="n">
        <x:v>260.75989512130735</x:v>
      </x:c>
      <x:c r="E2303" s="44" t="n">
        <x:v>4004.7738895255557</x:v>
      </x:c>
      <x:c r="F2303" s="44" t="n">
        <x:v>148.03741118132376</x:v>
      </x:c>
      <x:c r="G2303" s="44" t="n">
        <x:v>603.8742837497135</x:v>
      </x:c>
      <x:c r="H2303" s="44" t="n">
        <x:v>13376.5545204221</x:v>
      </x:c>
      <x:c r="I2303" s="44" t="n">
        <x:v>18394</x:v>
      </x:c>
      <x:c r="J2303" s="44" t="n">
        <x:v>3958</x:v>
      </x:c>
      <x:c r="K2303" s="44" t="n">
        <x:v>241.9317275723996</x:v>
      </x:c>
      <x:c r="L2303" s="44" t="n">
        <x:v>93.89431639107583</x:v>
      </x:c>
    </x:row>
    <x:row r="2304" ht="15" hidden="0" customHeight="1">
      <x:c r="A2304" s="27" t="str">
        <x:v>01091</x:v>
      </x:c>
      <x:c r="B2304" s="27" t="str">
        <x:v>SCA-23</x:v>
      </x:c>
      <x:c r="C2304" s="43" t="n">
        <x:v>18311</x:v>
      </x:c>
      <x:c r="D2304" s="43" t="n">
        <x:v>253.7041560075682</x:v>
      </x:c>
      <x:c r="E2304" s="43" t="n">
        <x:v>3845.60454691689</x:v>
      </x:c>
      <x:c r="F2304" s="43" t="n">
        <x:v>147.36941590416546</x:v>
      </x:c>
      <x:c r="G2304" s="43" t="n">
        <x:v>903.1056300268095</x:v>
      </x:c>
      <x:c r="H2304" s="43" t="n">
        <x:v>13161.216251144568</x:v>
      </x:c>
      <x:c r="I2304" s="43" t="n">
        <x:v>18311</x:v>
      </x:c>
      <x:c r="J2304" s="43" t="n">
        <x:v>4080</x:v>
      </x:c>
      <x:c r="K2304" s="43" t="n">
        <x:v>240.8400491235299</x:v>
      </x:c>
      <x:c r="L2304" s="43" t="n">
        <x:v>93.47063321936444</x:v>
      </x:c>
    </x:row>
    <x:row r="2305" ht="15" hidden="0" customHeight="1">
      <x:c r="A2305" s="29" t="str">
        <x:v>01087</x:v>
      </x:c>
      <x:c r="B2305" s="29" t="str">
        <x:v>SCA-23</x:v>
      </x:c>
      <x:c r="C2305" s="44" t="n">
        <x:v>18132</x:v>
      </x:c>
      <x:c r="D2305" s="44" t="n">
        <x:v>217.86133249852725</x:v>
      </x:c>
      <x:c r="E2305" s="44" t="n">
        <x:v>3007.3062152983666</x:v>
      </x:c>
      <x:c r="F2305" s="44" t="n">
        <x:v>145.92879958354695</x:v>
      </x:c>
      <x:c r="G2305" s="44" t="n">
        <x:v>845.845776508005</x:v>
      </x:c>
      <x:c r="H2305" s="44" t="n">
        <x:v>13915.057876111554</x:v>
      </x:c>
      <x:c r="I2305" s="44" t="n">
        <x:v>18132</x:v>
      </x:c>
      <x:c r="J2305" s="44" t="n">
        <x:v>3205</x:v>
      </x:c>
      <x:c r="K2305" s="44" t="n">
        <x:v>238.48570644464226</x:v>
      </x:c>
      <x:c r="L2305" s="44" t="n">
        <x:v>92.5569068610953</x:v>
      </x:c>
    </x:row>
    <x:row r="2306" ht="15" hidden="0" customHeight="1">
      <x:c r="A2306" s="27" t="str">
        <x:v>01013</x:v>
      </x:c>
      <x:c r="B2306" s="27" t="str">
        <x:v>SCA-23</x:v>
      </x:c>
      <x:c r="C2306" s="43" t="n">
        <x:v>18100</x:v>
      </x:c>
      <x:c r="D2306" s="43" t="n">
        <x:v>229.23664944780313</x:v>
      </x:c>
      <x:c r="E2306" s="43" t="n">
        <x:v>3284.234167573449</x:v>
      </x:c>
      <x:c r="F2306" s="43" t="n">
        <x:v>145.6712592357269</x:v>
      </x:c>
      <x:c r="G2306" s="43" t="n">
        <x:v>587.5624047878129</x:v>
      </x:c>
      <x:c r="H2306" s="43" t="n">
        <x:v>13853.295518955207</x:v>
      </x:c>
      <x:c r="I2306" s="43" t="n">
        <x:v>18100</x:v>
      </x:c>
      <x:c r="J2306" s="43" t="n">
        <x:v>3474</x:v>
      </x:c>
      <x:c r="K2306" s="43" t="n">
        <x:v>238.0648183679696</x:v>
      </x:c>
      <x:c r="L2306" s="43" t="n">
        <x:v>92.39355913224271</x:v>
      </x:c>
    </x:row>
    <x:row r="2307" ht="15" hidden="0" customHeight="1">
      <x:c r="A2307" s="29" t="str">
        <x:v>47153</x:v>
      </x:c>
      <x:c r="B2307" s="29" t="str">
        <x:v>SCA-23</x:v>
      </x:c>
      <x:c r="C2307" s="44" t="n">
        <x:v>17861</x:v>
      </x:c>
      <x:c r="D2307" s="44" t="n">
        <x:v>227.82112442543482</x:v>
      </x:c>
      <x:c r="E2307" s="44" t="n">
        <x:v>3579.5280318571254</x:v>
      </x:c>
      <x:c r="F2307" s="44" t="n">
        <x:v>114.4017697597201</x:v>
      </x:c>
      <x:c r="G2307" s="44" t="n">
        <x:v>286.4286231446845</x:v>
      </x:c>
      <x:c r="H2307" s="44" t="n">
        <x:v>13652.820450813037</x:v>
      </x:c>
      <x:c r="I2307" s="44" t="n">
        <x:v>17861</x:v>
      </x:c>
      <x:c r="J2307" s="44" t="n">
        <x:v>3460</x:v>
      </x:c>
      <x:c r="K2307" s="44" t="n">
        <x:v>193.07589285777465</x:v>
      </x:c>
      <x:c r="L2307" s="44" t="n">
        <x:v>78.67412309805455</x:v>
      </x:c>
    </x:row>
    <x:row r="2308" ht="15" hidden="0" customHeight="1">
      <x:c r="A2308" s="27" t="str">
        <x:v>47171</x:v>
      </x:c>
      <x:c r="B2308" s="27" t="str">
        <x:v>SCA-23</x:v>
      </x:c>
      <x:c r="C2308" s="43" t="n">
        <x:v>17856</x:v>
      </x:c>
      <x:c r="D2308" s="43" t="n">
        <x:v>224.0961442764857</x:v>
      </x:c>
      <x:c r="E2308" s="43" t="n">
        <x:v>3490.657084217164</x:v>
      </x:c>
      <x:c r="F2308" s="43" t="n">
        <x:v>114.36974418171222</x:v>
      </x:c>
      <x:c r="G2308" s="43" t="n">
        <x:v>367.9207705096601</x:v>
      </x:c>
      <x:c r="H2308" s="43" t="n">
        <x:v>13658.95625681498</x:v>
      </x:c>
      <x:c r="I2308" s="43" t="n">
        <x:v>17856</x:v>
      </x:c>
      <x:c r="J2308" s="43" t="n">
        <x:v>3552</x:v>
      </x:c>
      <x:c r="K2308" s="43" t="n">
        <x:v>193.02184328248273</x:v>
      </x:c>
      <x:c r="L2308" s="43" t="n">
        <x:v>78.65209910077051</x:v>
      </x:c>
    </x:row>
    <x:row r="2309" ht="15" hidden="0" customHeight="1">
      <x:c r="A2309" s="29" t="str">
        <x:v>13241</x:v>
      </x:c>
      <x:c r="B2309" s="29" t="str">
        <x:v>SCA-23</x:v>
      </x:c>
      <x:c r="C2309" s="44" t="n">
        <x:v>17764</x:v>
      </x:c>
      <x:c r="D2309" s="44" t="n">
        <x:v>182.03519548613838</x:v>
      </x:c>
      <x:c r="E2309" s="44" t="n">
        <x:v>2825.6748991723975</x:v>
      </x:c>
      <x:c r="F2309" s="44" t="n">
        <x:v>153.94190325826088</x:v>
      </x:c>
      <x:c r="G2309" s="44" t="n">
        <x:v>390.4545984380464</x:v>
      </x:c>
      <x:c r="H2309" s="44" t="n">
        <x:v>14211.893403645157</x:v>
      </x:c>
      <x:c r="I2309" s="44" t="n">
        <x:v>17764</x:v>
      </x:c>
      <x:c r="J2309" s="44" t="n">
        <x:v>2843</x:v>
      </x:c>
      <x:c r="K2309" s="44" t="n">
        <x:v>218.240644612216</x:v>
      </x:c>
      <x:c r="L2309" s="44" t="n">
        <x:v>64.29874135395511</x:v>
      </x:c>
    </x:row>
    <x:row r="2310" ht="15" hidden="0" customHeight="1">
      <x:c r="A2310" s="27" t="str">
        <x:v>13159</x:v>
      </x:c>
      <x:c r="B2310" s="27" t="str">
        <x:v>SCA-23</x:v>
      </x:c>
      <x:c r="C2310" s="43" t="n">
        <x:v>17632</x:v>
      </x:c>
      <x:c r="D2310" s="43" t="n">
        <x:v>170.01469468551244</x:v>
      </x:c>
      <x:c r="E2310" s="43" t="n">
        <x:v>2548.6498025316455</x:v>
      </x:c>
      <x:c r="F2310" s="43" t="n">
        <x:v>152.79799810007069</x:v>
      </x:c>
      <x:c r="G2310" s="43" t="n">
        <x:v>406.87715189873416</x:v>
      </x:c>
      <x:c r="H2310" s="43" t="n">
        <x:v>14353.660352784038</x:v>
      </x:c>
      <x:c r="I2310" s="43" t="n">
        <x:v>17632</x:v>
      </x:c>
      <x:c r="J2310" s="43" t="n">
        <x:v>2379</x:v>
      </x:c>
      <x:c r="K2310" s="43" t="n">
        <x:v>216.61895101343123</x:v>
      </x:c>
      <x:c r="L2310" s="43" t="n">
        <x:v>63.820952913360536</x:v>
      </x:c>
    </x:row>
    <x:row r="2311" ht="15" hidden="0" customHeight="1">
      <x:c r="A2311" s="29" t="str">
        <x:v>13221</x:v>
      </x:c>
      <x:c r="B2311" s="29" t="str">
        <x:v>SCA-23</x:v>
      </x:c>
      <x:c r="C2311" s="44" t="n">
        <x:v>16415</x:v>
      </x:c>
      <x:c r="D2311" s="44" t="n">
        <x:v>157.5467166161682</x:v>
      </x:c>
      <x:c r="E2311" s="44" t="n">
        <x:v>2355.1398801771293</x:v>
      </x:c>
      <x:c r="F2311" s="44" t="n">
        <x:v>142.2515391794839</x:v>
      </x:c>
      <x:c r="G2311" s="44" t="n">
        <x:v>164.1555743683251</x:v>
      </x:c>
      <x:c r="H2311" s="44" t="n">
        <x:v>13595.906289658895</x:v>
      </x:c>
      <x:c r="I2311" s="44" t="n">
        <x:v>16415</x:v>
      </x:c>
      <x:c r="J2311" s="44" t="n">
        <x:v>2295</x:v>
      </x:c>
      <x:c r="K2311" s="44" t="n">
        <x:v>201.66742745493838</x:v>
      </x:c>
      <x:c r="L2311" s="44" t="n">
        <x:v>59.41588827545447</x:v>
      </x:c>
    </x:row>
    <x:row r="2312" ht="15" hidden="0" customHeight="1">
      <x:c r="A2312" s="27" t="str">
        <x:v>13083</x:v>
      </x:c>
      <x:c r="B2312" s="27" t="str">
        <x:v>SCA-23</x:v>
      </x:c>
      <x:c r="C2312" s="43" t="n">
        <x:v>16154</x:v>
      </x:c>
      <x:c r="D2312" s="43" t="n">
        <x:v>173.34047895524128</x:v>
      </x:c>
      <x:c r="E2312" s="43" t="n">
        <x:v>2756.8634095867355</x:v>
      </x:c>
      <x:c r="F2312" s="43" t="n">
        <x:v>139.98972670760787</x:v>
      </x:c>
      <x:c r="G2312" s="43" t="n">
        <x:v>180.06788007230568</x:v>
      </x:c>
      <x:c r="H2312" s="43" t="n">
        <x:v>12903.73850467811</x:v>
      </x:c>
      <x:c r="I2312" s="43" t="n">
        <x:v>16154</x:v>
      </x:c>
      <x:c r="J2312" s="43" t="n">
        <x:v>2852</x:v>
      </x:c>
      <x:c r="K2312" s="43" t="n">
        <x:v>198.46089693006851</x:v>
      </x:c>
      <x:c r="L2312" s="43" t="n">
        <x:v>58.47117022246064</x:v>
      </x:c>
    </x:row>
    <x:row r="2313" ht="15" hidden="0" customHeight="1">
      <x:c r="A2313" s="29" t="str">
        <x:v>01029</x:v>
      </x:c>
      <x:c r="B2313" s="29" t="str">
        <x:v>SCA-23</x:v>
      </x:c>
      <x:c r="C2313" s="44" t="n">
        <x:v>15970</x:v>
      </x:c>
      <x:c r="D2313" s="44" t="n">
        <x:v>209.41517475974808</x:v>
      </x:c>
      <x:c r="E2313" s="44" t="n">
        <x:v>3069.4667719021313</x:v>
      </x:c>
      <x:c r="F2313" s="44" t="n">
        <x:v>128.5287298339535</x:v>
      </x:c>
      <x:c r="G2313" s="44" t="n">
        <x:v>340.31044461983686</x:v>
      </x:c>
      <x:c r="H2313" s="44" t="n">
        <x:v>12222.27887888433</x:v>
      </x:c>
      <x:c r="I2313" s="44" t="n">
        <x:v>15970</x:v>
      </x:c>
      <x:c r="J2313" s="44" t="n">
        <x:v>3044</x:v>
      </x:c>
      <x:c r="K2313" s="44" t="n">
        <x:v>210.0494557644461</x:v>
      </x:c>
      <x:c r="L2313" s="44" t="n">
        <x:v>81.5207259304926</x:v>
      </x:c>
    </x:row>
    <x:row r="2314" ht="15" hidden="0" customHeight="1">
      <x:c r="A2314" s="27" t="str">
        <x:v>47007</x:v>
      </x:c>
      <x:c r="B2314" s="27" t="str">
        <x:v>SCA-23</x:v>
      </x:c>
      <x:c r="C2314" s="43" t="n">
        <x:v>15920</x:v>
      </x:c>
      <x:c r="D2314" s="43" t="n">
        <x:v>216.6008206077501</x:v>
      </x:c>
      <x:c r="E2314" s="43" t="n">
        <x:v>3515.4339181286546</x:v>
      </x:c>
      <x:c r="F2314" s="43" t="n">
        <x:v>101.96944037706419</x:v>
      </x:c>
      <x:c r="G2314" s="43" t="n">
        <x:v>300.29239766081866</x:v>
      </x:c>
      <x:c r="H2314" s="43" t="n">
        <x:v>11785.703423225712</x:v>
      </x:c>
      <x:c r="I2314" s="43" t="n">
        <x:v>15920</x:v>
      </x:c>
      <x:c r="J2314" s="43" t="n">
        <x:v>3186</x:v>
      </x:c>
      <x:c r="K2314" s="43" t="n">
        <x:v>172.09384772945367</x:v>
      </x:c>
      <x:c r="L2314" s="43" t="n">
        <x:v>70.12440735238948</x:v>
      </x:c>
    </x:row>
    <x:row r="2315" ht="15" hidden="0" customHeight="1">
      <x:c r="A2315" s="29" t="str">
        <x:v>47015</x:v>
      </x:c>
      <x:c r="B2315" s="29" t="str">
        <x:v>SCA-23</x:v>
      </x:c>
      <x:c r="C2315" s="44" t="n">
        <x:v>15296</x:v>
      </x:c>
      <x:c r="D2315" s="44" t="n">
        <x:v>181.93964587005053</x:v>
      </x:c>
      <x:c r="E2315" s="44" t="n">
        <x:v>2749.5320010890277</x:v>
      </x:c>
      <x:c r="F2315" s="44" t="n">
        <x:v>97.9726482416818</x:v>
      </x:c>
      <x:c r="G2315" s="44" t="n">
        <x:v>323.47658589708686</x:v>
      </x:c>
      <x:c r="H2315" s="44" t="n">
        <x:v>11943.079118902153</x:v>
      </x:c>
      <x:c r="I2315" s="44" t="n">
        <x:v>15296</x:v>
      </x:c>
      <x:c r="J2315" s="44" t="n">
        <x:v>2751</x:v>
      </x:c>
      <x:c r="K2315" s="44" t="n">
        <x:v>165.34846073302285</x:v>
      </x:c>
      <x:c r="L2315" s="44" t="n">
        <x:v>67.37581249134105</x:v>
      </x:c>
    </x:row>
    <x:row r="2316" ht="15" hidden="0" customHeight="1">
      <x:c r="A2316" s="27" t="str">
        <x:v>01065</x:v>
      </x:c>
      <x:c r="B2316" s="27" t="str">
        <x:v>SCA-23</x:v>
      </x:c>
      <x:c r="C2316" s="43" t="n">
        <x:v>15194</x:v>
      </x:c>
      <x:c r="D2316" s="43" t="n">
        <x:v>225.87475302116368</x:v>
      </x:c>
      <x:c r="E2316" s="43" t="n">
        <x:v>3559.5650283683094</x:v>
      </x:c>
      <x:c r="F2316" s="43" t="n">
        <x:v>122.28337639931681</x:v>
      </x:c>
      <x:c r="G2316" s="43" t="n">
        <x:v>660.3347118736755</x:v>
      </x:c>
      <x:c r="H2316" s="43" t="n">
        <x:v>10625.942130337535</x:v>
      </x:c>
      <x:c r="I2316" s="43" t="n">
        <x:v>15194</x:v>
      </x:c>
      <x:c r="J2316" s="43" t="n">
        <x:v>3570</x:v>
      </x:c>
      <x:c r="K2316" s="43" t="n">
        <x:v>199.84291990513427</x:v>
      </x:c>
      <x:c r="L2316" s="43" t="n">
        <x:v>77.55954350581744</x:v>
      </x:c>
    </x:row>
    <x:row r="2317" ht="15" hidden="0" customHeight="1">
      <x:c r="A2317" s="29" t="str">
        <x:v>13163</x:v>
      </x:c>
      <x:c r="B2317" s="29" t="str">
        <x:v>SCA-23</x:v>
      </x:c>
      <x:c r="C2317" s="44" t="n">
        <x:v>15011</x:v>
      </x:c>
      <x:c r="D2317" s="44" t="n">
        <x:v>156.52018852511742</x:v>
      </x:c>
      <x:c r="E2317" s="44" t="n">
        <x:v>2452.469564281872</x:v>
      </x:c>
      <x:c r="F2317" s="44" t="n">
        <x:v>130.08454795146105</x:v>
      </x:c>
      <x:c r="G2317" s="44" t="n">
        <x:v>550.166958041958</x:v>
      </x:c>
      <x:c r="H2317" s="44" t="n">
        <x:v>11721.758741199592</x:v>
      </x:c>
      <x:c r="I2317" s="44" t="n">
        <x:v>15011</x:v>
      </x:c>
      <x:c r="J2317" s="44" t="n">
        <x:v>2531</x:v>
      </x:c>
      <x:c r="K2317" s="44" t="n">
        <x:v>184.41850463150047</x:v>
      </x:c>
      <x:c r="L2317" s="44" t="n">
        <x:v>54.333956680039414</x:v>
      </x:c>
    </x:row>
    <x:row r="2318" ht="15" hidden="0" customHeight="1">
      <x:c r="A2318" s="27" t="str">
        <x:v>01129</x:v>
      </x:c>
      <x:c r="B2318" s="27" t="str">
        <x:v>SCA-23</x:v>
      </x:c>
      <x:c r="C2318" s="43" t="n">
        <x:v>14822</x:v>
      </x:c>
      <x:c r="D2318" s="43" t="n">
        <x:v>162.86743931545044</x:v>
      </x:c>
      <x:c r="E2318" s="43" t="n">
        <x:v>2092.9635157810626</x:v>
      </x:c>
      <x:c r="F2318" s="43" t="n">
        <x:v>119.2894698559085</x:v>
      </x:c>
      <x:c r="G2318" s="43" t="n">
        <x:v>355.6634039153016</x:v>
      </x:c>
      <x:c r="H2318" s="43" t="n">
        <x:v>12091.216171132277</x:v>
      </x:c>
      <x:c r="I2318" s="43" t="n">
        <x:v>14822</x:v>
      </x:c>
      <x:c r="J2318" s="43" t="n">
        <x:v>2209</x:v>
      </x:c>
      <x:c r="K2318" s="43" t="n">
        <x:v>194.95009601381466</x:v>
      </x:c>
      <x:c r="L2318" s="43" t="n">
        <x:v>75.66062615790617</x:v>
      </x:c>
    </x:row>
    <x:row r="2319" ht="15" hidden="0" customHeight="1">
      <x:c r="A2319" s="29" t="str">
        <x:v>01027</x:v>
      </x:c>
      <x:c r="B2319" s="29" t="str">
        <x:v>SCA-23</x:v>
      </x:c>
      <x:c r="C2319" s="44" t="n">
        <x:v>14207</x:v>
      </x:c>
      <x:c r="D2319" s="44" t="n">
        <x:v>192.36070782406858</x:v>
      </x:c>
      <x:c r="E2319" s="44" t="n">
        <x:v>2876.1460999211527</x:v>
      </x:c>
      <x:c r="F2319" s="44" t="n">
        <x:v>114.33986629624154</x:v>
      </x:c>
      <x:c r="G2319" s="44" t="n">
        <x:v>371.6750770554082</x:v>
      </x:c>
      <x:c r="H2319" s="44" t="n">
        <x:v>10652.47824890313</x:v>
      </x:c>
      <x:c r="I2319" s="44" t="n">
        <x:v>14207</x:v>
      </x:c>
      <x:c r="J2319" s="44" t="n">
        <x:v>2942</x:v>
      </x:c>
      <x:c r="K2319" s="44" t="n">
        <x:v>186.8611532902621</x:v>
      </x:c>
      <x:c r="L2319" s="44" t="n">
        <x:v>72.52128699402057</x:v>
      </x:c>
    </x:row>
    <x:row r="2320" ht="15" hidden="0" customHeight="1">
      <x:c r="A2320" s="27" t="str">
        <x:v>47121</x:v>
      </x:c>
      <x:c r="B2320" s="27" t="str">
        <x:v>SCA-23</x:v>
      </x:c>
      <x:c r="C2320" s="43" t="n">
        <x:v>14186</x:v>
      </x:c>
      <x:c r="D2320" s="43" t="n">
        <x:v>185.70325246588496</x:v>
      </x:c>
      <x:c r="E2320" s="43" t="n">
        <x:v>2957.202416918429</x:v>
      </x:c>
      <x:c r="F2320" s="43" t="n">
        <x:v>90.8629699239342</x:v>
      </x:c>
      <x:c r="G2320" s="43" t="n">
        <x:v>137.78247734138975</x:v>
      </x:c>
      <x:c r="H2320" s="43" t="n">
        <x:v>10814.448883350362</x:v>
      </x:c>
      <x:c r="I2320" s="43" t="n">
        <x:v>14186</x:v>
      </x:c>
      <x:c r="J2320" s="43" t="n">
        <x:v>2875</x:v>
      </x:c>
      <x:c r="K2320" s="43" t="n">
        <x:v>153.34945501821795</x:v>
      </x:c>
      <x:c r="L2320" s="43" t="n">
        <x:v>62.48648509428374</x:v>
      </x:c>
    </x:row>
    <x:row r="2321" ht="15" hidden="0" customHeight="1">
      <x:c r="A2321" s="29" t="str">
        <x:v>47061</x:v>
      </x:c>
      <x:c r="B2321" s="29" t="str">
        <x:v>SCA-23</x:v>
      </x:c>
      <x:c r="C2321" s="44" t="n">
        <x:v>14116</x:v>
      </x:c>
      <x:c r="D2321" s="44" t="n">
        <x:v>202.54180361248885</x:v>
      </x:c>
      <x:c r="E2321" s="44" t="n">
        <x:v>3368.7277075243605</x:v>
      </x:c>
      <x:c r="F2321" s="44" t="n">
        <x:v>90.41461183182402</x:v>
      </x:c>
      <x:c r="G2321" s="44" t="n">
        <x:v>299.8127335335922</x:v>
      </x:c>
      <x:c r="H2321" s="44" t="n">
        <x:v>10154.503143497735</x:v>
      </x:c>
      <x:c r="I2321" s="44" t="n">
        <x:v>14116</x:v>
      </x:c>
      <x:c r="J2321" s="44" t="n">
        <x:v>3393</x:v>
      </x:c>
      <x:c r="K2321" s="44" t="n">
        <x:v>152.59276096413117</x:v>
      </x:c>
      <x:c r="L2321" s="44" t="n">
        <x:v>62.178149132307155</x:v>
      </x:c>
    </x:row>
    <x:row r="2322" ht="15" hidden="0" customHeight="1">
      <x:c r="A2322" s="27" t="str">
        <x:v>37173</x:v>
      </x:c>
      <x:c r="B2322" s="27" t="str">
        <x:v>SCA-23</x:v>
      </x:c>
      <x:c r="C2322" s="43" t="n">
        <x:v>14024</x:v>
      </x:c>
      <x:c r="D2322" s="43" t="n">
        <x:v>148.6131250472241</x:v>
      </x:c>
      <x:c r="E2322" s="43" t="n">
        <x:v>2110.9296167247385</x:v>
      </x:c>
      <x:c r="F2322" s="43" t="n">
        <x:v>73.96629987090888</x:v>
      </x:c>
      <x:c r="G2322" s="43" t="n">
        <x:v>510.98257839721254</x:v>
      </x:c>
      <x:c r="H2322" s="43" t="n">
        <x:v>11179.508379959916</x:v>
      </x:c>
      <x:c r="I2322" s="43" t="n">
        <x:v>14024</x:v>
      </x:c>
      <x:c r="J2322" s="43" t="n">
        <x:v>2160</x:v>
      </x:c>
      <x:c r="K2322" s="43" t="n">
        <x:v>134.62402422126885</x:v>
      </x:c>
      <x:c r="L2322" s="43" t="n">
        <x:v>60.65772435035997</x:v>
      </x:c>
    </x:row>
    <x:row r="2323" ht="15" hidden="0" customHeight="1">
      <x:c r="A2323" s="29" t="str">
        <x:v>13281</x:v>
      </x:c>
      <x:c r="B2323" s="29" t="str">
        <x:v>SCA-23</x:v>
      </x:c>
      <x:c r="C2323" s="44" t="n">
        <x:v>13285</x:v>
      </x:c>
      <x:c r="D2323" s="44" t="n">
        <x:v>171.11426775055605</x:v>
      </x:c>
      <x:c r="E2323" s="44" t="n">
        <x:v>2952.6661654135337</x:v>
      </x:c>
      <x:c r="F2323" s="44" t="n">
        <x:v>115.12712141330758</x:v>
      </x:c>
      <x:c r="G2323" s="44" t="n">
        <x:v>193.65789473684214</x:v>
      </x:c>
      <x:c r="H2323" s="44" t="n">
        <x:v>9852.43455068576</x:v>
      </x:c>
      <x:c r="I2323" s="44" t="n">
        <x:v>13285</x:v>
      </x:c>
      <x:c r="J2323" s="44" t="n">
        <x:v>2956</x:v>
      </x:c>
      <x:c r="K2323" s="44" t="n">
        <x:v>163.21363227163306</x:v>
      </x:c>
      <x:c r="L2323" s="44" t="n">
        <x:v>48.086510858325475</x:v>
      </x:c>
    </x:row>
    <x:row r="2324" ht="15" hidden="0" customHeight="1">
      <x:c r="A2324" s="27" t="str">
        <x:v>01041</x:v>
      </x:c>
      <x:c r="B2324" s="27" t="str">
        <x:v>SCA-23</x:v>
      </x:c>
      <x:c r="C2324" s="43" t="n">
        <x:v>13175</x:v>
      </x:c>
      <x:c r="D2324" s="43" t="n">
        <x:v>158.97104347456929</x:v>
      </x:c>
      <x:c r="E2324" s="43" t="n">
        <x:v>2201.225297665069</x:v>
      </x:c>
      <x:c r="F2324" s="43" t="n">
        <x:v>106.03419007904427</x:v>
      </x:c>
      <x:c r="G2324" s="43" t="n">
        <x:v>473.2765579093862</x:v>
      </x:c>
      <x:c r="H2324" s="43" t="n">
        <x:v>10235.492910871932</x:v>
      </x:c>
      <x:c r="I2324" s="43" t="n">
        <x:v>13175</x:v>
      </x:c>
      <x:c r="J2324" s="43" t="n">
        <x:v>2251</x:v>
      </x:c>
      <x:c r="K2324" s="43" t="n">
        <x:v>173.28751281756902</x:v>
      </x:c>
      <x:c r="L2324" s="43" t="n">
        <x:v>67.25332273852474</x:v>
      </x:c>
    </x:row>
    <x:row r="2325" ht="15" hidden="0" customHeight="1">
      <x:c r="A2325" s="29" t="str">
        <x:v>13023</x:v>
      </x:c>
      <x:c r="B2325" s="29" t="str">
        <x:v>SCA-23</x:v>
      </x:c>
      <x:c r="C2325" s="44" t="n">
        <x:v>12866</x:v>
      </x:c>
      <x:c r="D2325" s="44" t="n">
        <x:v>138.01667226113062</x:v>
      </x:c>
      <x:c r="E2325" s="44" t="n">
        <x:v>2194.722665778074</x:v>
      </x:c>
      <x:c r="F2325" s="44" t="n">
        <x:v>111.49608913087053</x:v>
      </x:c>
      <x:c r="G2325" s="44" t="n">
        <x:v>633.1781072975674</x:v>
      </x:c>
      <x:c r="H2325" s="44" t="n">
        <x:v>9788.586465532358</x:v>
      </x:c>
      <x:c r="I2325" s="44" t="n">
        <x:v>12866</x:v>
      </x:c>
      <x:c r="J2325" s="44" t="n">
        <x:v>2133</x:v>
      </x:c>
      <x:c r="K2325" s="44" t="n">
        <x:v>158.06598365124808</x:v>
      </x:c>
      <x:c r="L2325" s="44" t="n">
        <x:v>46.56989452037753</x:v>
      </x:c>
    </x:row>
    <x:row r="2326" ht="15" hidden="0" customHeight="1">
      <x:c r="A2326" s="27" t="str">
        <x:v>37043</x:v>
      </x:c>
      <x:c r="B2326" s="27" t="str">
        <x:v>SCA-23</x:v>
      </x:c>
      <x:c r="C2326" s="43" t="n">
        <x:v>12239</x:v>
      </x:c>
      <x:c r="D2326" s="43" t="n">
        <x:v>136.99908907123825</x:v>
      </x:c>
      <x:c r="E2326" s="43" t="n">
        <x:v>2017.4877412623891</x:v>
      </x:c>
      <x:c r="F2326" s="43" t="n">
        <x:v>64.55173588990687</x:v>
      </x:c>
      <x:c r="G2326" s="43" t="n">
        <x:v>295.6997913406364</x:v>
      </x:c>
      <x:c r="H2326" s="43" t="n">
        <x:v>9724.26164243583</x:v>
      </x:c>
      <x:c r="I2326" s="43" t="n">
        <x:v>12239</x:v>
      </x:c>
      <x:c r="J2326" s="43" t="n">
        <x:v>1975</x:v>
      </x:c>
      <x:c r="K2326" s="43" t="n">
        <x:v>117.48883574187889</x:v>
      </x:c>
      <x:c r="L2326" s="43" t="n">
        <x:v>52.93709985197202</x:v>
      </x:c>
    </x:row>
    <x:row r="2327" ht="15" hidden="0" customHeight="1">
      <x:c r="A2327" s="29" t="str">
        <x:v>13079</x:v>
      </x:c>
      <x:c r="B2327" s="29" t="str">
        <x:v>SCA-23</x:v>
      </x:c>
      <x:c r="C2327" s="44" t="n">
        <x:v>12206</x:v>
      </x:c>
      <x:c r="D2327" s="44" t="n">
        <x:v>148.67690997536033</x:v>
      </x:c>
      <x:c r="E2327" s="44" t="n">
        <x:v>2507.902983790936</x:v>
      </x:c>
      <x:c r="F2327" s="44" t="n">
        <x:v>105.77656333991963</x:v>
      </x:c>
      <x:c r="G2327" s="44" t="n">
        <x:v>211.4270592127026</x:v>
      </x:c>
      <x:c r="H2327" s="44" t="n">
        <x:v>9232.21648368108</x:v>
      </x:c>
      <x:c r="I2327" s="44" t="n">
        <x:v>12206</x:v>
      </x:c>
      <x:c r="J2327" s="44" t="n">
        <x:v>2588</x:v>
      </x:c>
      <x:c r="K2327" s="44" t="n">
        <x:v>149.95751565732428</x:v>
      </x:c>
      <x:c r="L2327" s="44" t="n">
        <x:v>44.180952317404646</x:v>
      </x:c>
    </x:row>
    <x:row r="2328" ht="15" hidden="0" customHeight="1">
      <x:c r="A2328" s="27" t="str">
        <x:v>13149</x:v>
      </x:c>
      <x:c r="B2328" s="27" t="str">
        <x:v>SCA-23</x:v>
      </x:c>
      <x:c r="C2328" s="43" t="n">
        <x:v>12149</x:v>
      </x:c>
      <x:c r="D2328" s="43" t="n">
        <x:v>152.86435921067167</x:v>
      </x:c>
      <x:c r="E2328" s="43" t="n">
        <x:v>2613.3533910954793</x:v>
      </x:c>
      <x:c r="F2328" s="43" t="n">
        <x:v>105.2826042943375</x:v>
      </x:c>
      <x:c r="G2328" s="43" t="n">
        <x:v>307.2677361242172</x:v>
      </x:c>
      <x:c r="H2328" s="43" t="n">
        <x:v>8970.231909275293</x:v>
      </x:c>
      <x:c r="I2328" s="43" t="n">
        <x:v>12149</x:v>
      </x:c>
      <x:c r="J2328" s="43" t="n">
        <x:v>2612</x:v>
      </x:c>
      <x:c r="K2328" s="43" t="n">
        <x:v>149.25723887603087</x:v>
      </x:c>
      <x:c r="L2328" s="43" t="n">
        <x:v>43.97463458169335</x:v>
      </x:c>
    </x:row>
    <x:row r="2329" ht="15" hidden="0" customHeight="1">
      <x:c r="A2329" s="29" t="str">
        <x:v>13193</x:v>
      </x:c>
      <x:c r="B2329" s="29" t="str">
        <x:v>SCA-23</x:v>
      </x:c>
      <x:c r="C2329" s="44" t="n">
        <x:v>11756</x:v>
      </x:c>
      <x:c r="D2329" s="44" t="n">
        <x:v>125.66431413461659</x:v>
      </x:c>
      <x:c r="E2329" s="44" t="n">
        <x:v>1994.692465116279</x:v>
      </x:c>
      <x:c r="F2329" s="44" t="n">
        <x:v>101.87688666427125</x:v>
      </x:c>
      <x:c r="G2329" s="44" t="n">
        <x:v>802.2627906976744</x:v>
      </x:c>
      <x:c r="H2329" s="44" t="n">
        <x:v>8731.503543387158</x:v>
      </x:c>
      <x:c r="I2329" s="44" t="n">
        <x:v>11756</x:v>
      </x:c>
      <x:c r="J2329" s="44" t="n">
        <x:v>1748</x:v>
      </x:c>
      <x:c r="K2329" s="44" t="n">
        <x:v>144.42901475237622</x:v>
      </x:c>
      <x:c r="L2329" s="44" t="n">
        <x:v>42.55212808810495</x:v>
      </x:c>
    </x:row>
    <x:row r="2330" ht="15" hidden="0" customHeight="1">
      <x:c r="A2330" s="27" t="str">
        <x:v>13093</x:v>
      </x:c>
      <x:c r="B2330" s="27" t="str">
        <x:v>SCA-23</x:v>
      </x:c>
      <x:c r="C2330" s="43" t="n">
        <x:v>11156</x:v>
      </x:c>
      <x:c r="D2330" s="43" t="n">
        <x:v>115.09022670243235</x:v>
      </x:c>
      <x:c r="E2330" s="43" t="n">
        <x:v>1793.0367420814478</x:v>
      </x:c>
      <x:c r="F2330" s="43" t="n">
        <x:v>96.6773177634068</x:v>
      </x:c>
      <x:c r="G2330" s="43" t="n">
        <x:v>469.15837104072403</x:v>
      </x:c>
      <x:c r="H2330" s="43" t="n">
        <x:v>8682.03734241199</x:v>
      </x:c>
      <x:c r="I2330" s="43" t="n">
        <x:v>11156</x:v>
      </x:c>
      <x:c r="J2330" s="43" t="n">
        <x:v>1443</x:v>
      </x:c>
      <x:c r="K2330" s="43" t="n">
        <x:v>137.0576802124455</x:v>
      </x:c>
      <x:c r="L2330" s="43" t="n">
        <x:v>40.380362449038685</x:v>
      </x:c>
    </x:row>
    <x:row r="2331" ht="15" hidden="0" customHeight="1">
      <x:c r="A2331" s="29" t="str">
        <x:v>01035</x:v>
      </x:c>
      <x:c r="B2331" s="29" t="str">
        <x:v>SCA-23</x:v>
      </x:c>
      <x:c r="C2331" s="44" t="n">
        <x:v>10899</x:v>
      </x:c>
      <x:c r="D2331" s="44" t="n">
        <x:v>136.6760631633697</x:v>
      </x:c>
      <x:c r="E2331" s="44" t="n">
        <x:v>1944.9803433476395</x:v>
      </x:c>
      <x:c r="F2331" s="44" t="n">
        <x:v>87.71663284034184</x:v>
      </x:c>
      <x:c r="G2331" s="44" t="n">
        <x:v>429.8497854077253</x:v>
      </x:c>
      <x:c r="H2331" s="44" t="n">
        <x:v>8299.777175240924</x:v>
      </x:c>
      <x:c r="I2331" s="44" t="n">
        <x:v>10899</x:v>
      </x:c>
      <x:c r="J2331" s="44" t="n">
        <x:v>2079</x:v>
      </x:c>
      <x:c r="K2331" s="44" t="n">
        <x:v>143.35184836422656</x:v>
      </x:c>
      <x:c r="L2331" s="44" t="n">
        <x:v>55.63521552388472</x:v>
      </x:c>
    </x:row>
    <x:row r="2332" ht="15" hidden="0" customHeight="1">
      <x:c r="A2332" s="27" t="str">
        <x:v>13099</x:v>
      </x:c>
      <x:c r="B2332" s="27" t="str">
        <x:v>SCA-23</x:v>
      </x:c>
      <x:c r="C2332" s="43" t="n">
        <x:v>10455</x:v>
      </x:c>
      <x:c r="D2332" s="43" t="n">
        <x:v>107.18394356467924</x:v>
      </x:c>
      <x:c r="E2332" s="43" t="n">
        <x:v>1664.1822552947908</x:v>
      </x:c>
      <x:c r="F2332" s="43" t="n">
        <x:v>90.60248809756348</x:v>
      </x:c>
      <x:c r="G2332" s="43" t="n">
        <x:v>543.0589582140813</x:v>
      </x:c>
      <x:c r="H2332" s="43" t="n">
        <x:v>8049.972354828885</x:v>
      </x:c>
      <x:c r="I2332" s="43" t="n">
        <x:v>10455</x:v>
      </x:c>
      <x:c r="J2332" s="43" t="n">
        <x:v>1738</x:v>
      </x:c>
      <x:c r="K2332" s="43" t="n">
        <x:v>128.44550435829308</x:v>
      </x:c>
      <x:c r="L2332" s="43" t="n">
        <x:v>37.843016260729605</x:v>
      </x:c>
    </x:row>
    <x:row r="2333" ht="15" hidden="0" customHeight="1">
      <x:c r="A2333" s="29" t="str">
        <x:v>45065</x:v>
      </x:c>
      <x:c r="B2333" s="29" t="str">
        <x:v>SCA-23</x:v>
      </x:c>
      <x:c r="C2333" s="44" t="n">
        <x:v>10215</x:v>
      </x:c>
      <x:c r="D2333" s="44" t="n">
        <x:v>116.5130287607174</x:v>
      </x:c>
      <x:c r="E2333" s="44" t="n">
        <x:v>1745.1227502527804</x:v>
      </x:c>
      <x:c r="F2333" s="44" t="n">
        <x:v>62.06853277570344</x:v>
      </x:c>
      <x:c r="G2333" s="44" t="n">
        <x:v>213.3200202224469</x:v>
      </x:c>
      <x:c r="H2333" s="44" t="n">
        <x:v>8077.975667988352</x:v>
      </x:c>
      <x:c r="I2333" s="44" t="n">
        <x:v>10215</x:v>
      </x:c>
      <x:c r="J2333" s="44" t="n">
        <x:v>1584</x:v>
      </x:c>
      <x:c r="K2333" s="44" t="n">
        <x:v>105.86811360922165</x:v>
      </x:c>
      <x:c r="L2333" s="44" t="n">
        <x:v>43.79958083351821</x:v>
      </x:c>
    </x:row>
    <x:row r="2334" ht="15" hidden="0" customHeight="1">
      <x:c r="A2334" s="27" t="str">
        <x:v>13235</x:v>
      </x:c>
      <x:c r="B2334" s="27" t="str">
        <x:v>SCA-23</x:v>
      </x:c>
      <x:c r="C2334" s="43" t="n">
        <x:v>10172</x:v>
      </x:c>
      <x:c r="D2334" s="43" t="n">
        <x:v>130.2562713155387</x:v>
      </x:c>
      <x:c r="E2334" s="43" t="n">
        <x:v>2242.5025083496485</x:v>
      </x:c>
      <x:c r="F2334" s="43" t="n">
        <x:v>88.15002476598906</x:v>
      </x:c>
      <x:c r="G2334" s="43" t="n">
        <x:v>454.5099619947023</x:v>
      </x:c>
      <x:c r="H2334" s="43" t="n">
        <x:v>7256.581233574122</x:v>
      </x:c>
      <x:c r="I2334" s="43" t="n">
        <x:v>10172</x:v>
      </x:c>
      <x:c r="J2334" s="43" t="n">
        <x:v>1994</x:v>
      </x:c>
      <x:c r="K2334" s="43" t="n">
        <x:v>124.96869156695908</x:v>
      </x:c>
      <x:c r="L2334" s="43" t="n">
        <x:v>36.81866680097002</x:v>
      </x:c>
    </x:row>
    <x:row r="2335" ht="15" hidden="0" customHeight="1">
      <x:c r="A2335" s="29" t="str">
        <x:v>01037</x:v>
      </x:c>
      <x:c r="B2335" s="29" t="str">
        <x:v>SCA-23</x:v>
      </x:c>
      <x:c r="C2335" s="44" t="n">
        <x:v>10161</x:v>
      </x:c>
      <x:c r="D2335" s="44" t="n">
        <x:v>156.91222475428046</x:v>
      </x:c>
      <x:c r="E2335" s="44" t="n">
        <x:v>2521.061189449403</x:v>
      </x:c>
      <x:c r="F2335" s="44" t="n">
        <x:v>81.77710856874148</x:v>
      </x:c>
      <x:c r="G2335" s="44" t="n">
        <x:v>315.9005114833016</x:v>
      </x:c>
      <x:c r="H2335" s="44" t="n">
        <x:v>7085.348965744273</x:v>
      </x:c>
      <x:c r="I2335" s="44" t="n">
        <x:v>10161</x:v>
      </x:c>
      <x:c r="J2335" s="44" t="n">
        <x:v>2577</x:v>
      </x:c>
      <x:c r="K2335" s="44" t="n">
        <x:v>133.64511709596349</x:v>
      </x:c>
      <x:c r="L2335" s="44" t="n">
        <x:v>51.868008527222</x:v>
      </x:c>
    </x:row>
    <x:row r="2336" ht="15" hidden="0" customHeight="1">
      <x:c r="A2336" s="27" t="str">
        <x:v>01011</x:v>
      </x:c>
      <x:c r="B2336" s="27" t="str">
        <x:v>SCA-23</x:v>
      </x:c>
      <x:c r="C2336" s="43" t="n">
        <x:v>9780</x:v>
      </x:c>
      <x:c r="D2336" s="43" t="n">
        <x:v>116.34997138903826</x:v>
      </x:c>
      <x:c r="E2336" s="43" t="n">
        <x:v>1594.2437222032158</x:v>
      </x:c>
      <x:c r="F2336" s="43" t="n">
        <x:v>78.7107688025088</x:v>
      </x:c>
      <x:c r="G2336" s="43" t="n">
        <x:v>417.5892348044246</x:v>
      </x:c>
      <x:c r="H2336" s="43" t="n">
        <x:v>7573.106302800812</x:v>
      </x:c>
      <x:c r="I2336" s="43" t="n">
        <x:v>9780</x:v>
      </x:c>
      <x:c r="J2336" s="43" t="n">
        <x:v>1489</x:v>
      </x:c>
      <x:c r="K2336" s="43" t="n">
        <x:v>128.6339184330797</x:v>
      </x:c>
      <x:c r="L2336" s="43" t="n">
        <x:v>49.923149630570926</x:v>
      </x:c>
    </x:row>
    <x:row r="2337" ht="15" hidden="0" customHeight="1">
      <x:c r="A2337" s="29" t="str">
        <x:v>01131</x:v>
      </x:c>
      <x:c r="B2337" s="29" t="str">
        <x:v>SCA-23</x:v>
      </x:c>
      <x:c r="C2337" s="44" t="n">
        <x:v>9666</x:v>
      </x:c>
      <x:c r="D2337" s="44" t="n">
        <x:v>131.08951446676585</x:v>
      </x:c>
      <x:c r="E2337" s="44" t="n">
        <x:v>1961.9589868855742</x:v>
      </x:c>
      <x:c r="F2337" s="44" t="n">
        <x:v>77.79328131339979</x:v>
      </x:c>
      <x:c r="G2337" s="44" t="n">
        <x:v>738.4933927320051</x:v>
      </x:c>
      <x:c r="H2337" s="44" t="n">
        <x:v>6756.664824602255</x:v>
      </x:c>
      <x:c r="I2337" s="44" t="n">
        <x:v>9666</x:v>
      </x:c>
      <x:c r="J2337" s="44" t="n">
        <x:v>2112</x:v>
      </x:c>
      <x:c r="K2337" s="44" t="n">
        <x:v>127.13450465993338</x:v>
      </x:c>
      <x:c r="L2337" s="44" t="n">
        <x:v>49.341223346533596</x:v>
      </x:c>
    </x:row>
    <x:row r="2338" ht="15" hidden="0" customHeight="1">
      <x:c r="A2338" s="27" t="str">
        <x:v>13317</x:v>
      </x:c>
      <x:c r="B2338" s="27" t="str">
        <x:v>SCA-23</x:v>
      </x:c>
      <x:c r="C2338" s="43" t="n">
        <x:v>9540</x:v>
      </x:c>
      <x:c r="D2338" s="43" t="n">
        <x:v>102.0812588267445</x:v>
      </x:c>
      <x:c r="E2338" s="43" t="n">
        <x:v>1621.2044439741826</x:v>
      </x:c>
      <x:c r="F2338" s="43" t="n">
        <x:v>82.67314552374515</x:v>
      </x:c>
      <x:c r="G2338" s="43" t="n">
        <x:v>374.4566712517194</x:v>
      </x:c>
      <x:c r="H2338" s="43" t="n">
        <x:v>7359.5844804236085</x:v>
      </x:c>
      <x:c r="I2338" s="43" t="n">
        <x:v>9540</x:v>
      </x:c>
      <x:c r="J2338" s="43" t="n">
        <x:v>1673</x:v>
      </x:c>
      <x:c r="K2338" s="43" t="n">
        <x:v>117.2042191848987</x:v>
      </x:c>
      <x:c r="L2338" s="43" t="n">
        <x:v>34.531073661153556</x:v>
      </x:c>
    </x:row>
    <x:row r="2339" ht="15" hidden="0" customHeight="1">
      <x:c r="A2339" s="29" t="str">
        <x:v>01085</x:v>
      </x:c>
      <x:c r="B2339" s="29" t="str">
        <x:v>SCA-23</x:v>
      </x:c>
      <x:c r="C2339" s="44" t="n">
        <x:v>9359</x:v>
      </x:c>
      <x:c r="D2339" s="44" t="n">
        <x:v>126.35831888726257</x:v>
      </x:c>
      <x:c r="E2339" s="44" t="n">
        <x:v>1886.0211075458026</x:v>
      </x:c>
      <x:c r="F2339" s="44" t="n">
        <x:v>75.32250360150098</x:v>
      </x:c>
      <x:c r="G2339" s="44" t="n">
        <x:v>601.253803954042</x:v>
      </x:c>
      <x:c r="H2339" s="44" t="n">
        <x:v>6670.044266011392</x:v>
      </x:c>
      <x:c r="I2339" s="44" t="n">
        <x:v>9359</x:v>
      </x:c>
      <x:c r="J2339" s="44" t="n">
        <x:v>2028</x:v>
      </x:c>
      <x:c r="K2339" s="44" t="n">
        <x:v>123.09660967435511</x:v>
      </x:c>
      <x:c r="L2339" s="44" t="n">
        <x:v>47.77410607285412</x:v>
      </x:c>
    </x:row>
    <x:row r="2340" ht="15" hidden="0" customHeight="1">
      <x:c r="A2340" s="27" t="str">
        <x:v>13167</x:v>
      </x:c>
      <x:c r="B2340" s="27" t="str">
        <x:v>SCA-23</x:v>
      </x:c>
      <x:c r="C2340" s="43" t="n">
        <x:v>9310</x:v>
      </x:c>
      <x:c r="D2340" s="43" t="n">
        <x:v>103.2867669766525</x:v>
      </x:c>
      <x:c r="E2340" s="43" t="n">
        <x:v>1670.1168834513842</x:v>
      </x:c>
      <x:c r="F2340" s="43" t="n">
        <x:v>80.67997744508043</x:v>
      </x:c>
      <x:c r="G2340" s="43" t="n">
        <x:v>286.2238248551191</x:v>
      </x:c>
      <x:c r="H2340" s="43" t="n">
        <x:v>7169.692547271764</x:v>
      </x:c>
      <x:c r="I2340" s="43" t="n">
        <x:v>9310</x:v>
      </x:c>
      <x:c r="J2340" s="43" t="n">
        <x:v>1451</x:v>
      </x:c>
      <x:c r="K2340" s="43" t="n">
        <x:v>114.37854094459192</x:v>
      </x:c>
      <x:c r="L2340" s="43" t="n">
        <x:v>33.698563499511486</x:v>
      </x:c>
    </x:row>
    <x:row r="2341" ht="15" hidden="0" customHeight="1">
      <x:c r="A2341" s="29" t="str">
        <x:v>13315</x:v>
      </x:c>
      <x:c r="B2341" s="29" t="str">
        <x:v>SCA-23</x:v>
      </x:c>
      <x:c r="C2341" s="44" t="n">
        <x:v>8797</x:v>
      </x:c>
      <x:c r="D2341" s="44" t="n">
        <x:v>89.99624235058886</x:v>
      </x:c>
      <x:c r="E2341" s="44" t="n">
        <x:v>1395.7089233394966</x:v>
      </x:c>
      <x:c r="F2341" s="44" t="n">
        <x:v>76.23434603484131</x:v>
      </x:c>
      <x:c r="G2341" s="44" t="n">
        <x:v>323.04124591096576</x:v>
      </x:c>
      <x:c r="H2341" s="44" t="n">
        <x:v>6912.019242364108</x:v>
      </x:c>
      <x:c r="I2341" s="44" t="n">
        <x:v>8797</x:v>
      </x:c>
      <x:c r="J2341" s="44" t="n">
        <x:v>1162</x:v>
      </x:c>
      <x:c r="K2341" s="44" t="n">
        <x:v>108.07604991295115</x:v>
      </x:c>
      <x:c r="L2341" s="44" t="n">
        <x:v>31.841703878109836</x:v>
      </x:c>
    </x:row>
    <x:row r="2342" ht="15" hidden="0" customHeight="1">
      <x:c r="A2342" s="27" t="str">
        <x:v>13141</x:v>
      </x:c>
      <x:c r="B2342" s="27" t="str">
        <x:v>SCA-23</x:v>
      </x:c>
      <x:c r="C2342" s="43" t="n">
        <x:v>8682</x:v>
      </x:c>
      <x:c r="D2342" s="43" t="n">
        <x:v>112.19291191559947</x:v>
      </x:c>
      <x:c r="E2342" s="43" t="n">
        <x:v>1938.4191148394564</x:v>
      </x:c>
      <x:c r="F2342" s="43" t="n">
        <x:v>75.23776199550895</x:v>
      </x:c>
      <x:c r="G2342" s="43" t="n">
        <x:v>226.391379809083</x:v>
      </x:c>
      <x:c r="H2342" s="43" t="n">
        <x:v>6329.758831440353</x:v>
      </x:c>
      <x:c r="I2342" s="43" t="n">
        <x:v>8682</x:v>
      </x:c>
      <x:c r="J2342" s="43" t="n">
        <x:v>1608</x:v>
      </x:c>
      <x:c r="K2342" s="43" t="n">
        <x:v>106.66321079279776</x:v>
      </x:c>
      <x:c r="L2342" s="43" t="n">
        <x:v>31.4254487972888</x:v>
      </x:c>
    </x:row>
    <x:row r="2343" ht="15" hidden="0" customHeight="1">
      <x:c r="A2343" s="29" t="str">
        <x:v>13273</x:v>
      </x:c>
      <x:c r="B2343" s="29" t="str">
        <x:v>SCA-23</x:v>
      </x:c>
      <x:c r="C2343" s="44" t="n">
        <x:v>8656</x:v>
      </x:c>
      <x:c r="D2343" s="44" t="n">
        <x:v>94.08556994673985</x:v>
      </x:c>
      <x:c r="E2343" s="44" t="n">
        <x:v>1506.101543851454</x:v>
      </x:c>
      <x:c r="F2343" s="44" t="n">
        <x:v>75.01244734313815</x:v>
      </x:c>
      <x:c r="G2343" s="44" t="n">
        <x:v>896.1274670092257</x:v>
      </x:c>
      <x:c r="H2343" s="44" t="n">
        <x:v>6084.672971849443</x:v>
      </x:c>
      <x:c r="I2343" s="44" t="n">
        <x:v>8656</x:v>
      </x:c>
      <x:c r="J2343" s="44" t="n">
        <x:v>1552</x:v>
      </x:c>
      <x:c r="K2343" s="44" t="n">
        <x:v>106.34378629606742</x:v>
      </x:c>
      <x:c r="L2343" s="44" t="n">
        <x:v>31.331338952929265</x:v>
      </x:c>
    </x:row>
    <x:row r="2344" ht="15" hidden="0" customHeight="1">
      <x:c r="A2344" s="27" t="str">
        <x:v>13319</x:v>
      </x:c>
      <x:c r="B2344" s="27" t="str">
        <x:v>SCA-23</x:v>
      </x:c>
      <x:c r="C2344" s="43" t="n">
        <x:v>8650</x:v>
      </x:c>
      <x:c r="D2344" s="43" t="n">
        <x:v>93.11536336646219</x:v>
      </x:c>
      <x:c r="E2344" s="43" t="n">
        <x:v>1483.3378096781662</x:v>
      </x:c>
      <x:c r="F2344" s="43" t="n">
        <x:v>74.96045165412951</x:v>
      </x:c>
      <x:c r="G2344" s="43" t="n">
        <x:v>409.863973141931</x:v>
      </x:c>
      <x:c r="H2344" s="43" t="n">
        <x:v>6588.722402159312</x:v>
      </x:c>
      <x:c r="I2344" s="43" t="n">
        <x:v>8650</x:v>
      </x:c>
      <x:c r="J2344" s="43" t="n">
        <x:v>1543</x:v>
      </x:c>
      <x:c r="K2344" s="43" t="n">
        <x:v>106.27007295066811</x:v>
      </x:c>
      <x:c r="L2344" s="43" t="n">
        <x:v>31.3096212965386</x:v>
      </x:c>
    </x:row>
    <x:row r="2345" ht="15" hidden="0" customHeight="1">
      <x:c r="A2345" s="29" t="str">
        <x:v>13053</x:v>
      </x:c>
      <x:c r="B2345" s="29" t="str">
        <x:v>SCA-23</x:v>
      </x:c>
      <x:c r="C2345" s="44" t="n">
        <x:v>8465</x:v>
      </x:c>
      <x:c r="D2345" s="44" t="n">
        <x:v>74.04085889043871</x:v>
      </x:c>
      <x:c r="E2345" s="44" t="n">
        <x:v>1041.6207679826932</x:v>
      </x:c>
      <x:c r="F2345" s="44" t="n">
        <x:v>73.35725124302964</x:v>
      </x:c>
      <x:c r="G2345" s="44" t="n">
        <x:v>70.61763115197404</x:v>
      </x:c>
      <x:c r="H2345" s="44" t="n">
        <x:v>7205.363490731864</x:v>
      </x:c>
      <x:c r="I2345" s="44" t="n">
        <x:v>8465</x:v>
      </x:c>
      <x:c r="J2345" s="44" t="n">
        <x:v>474</x:v>
      </x:c>
      <x:c r="K2345" s="44" t="n">
        <x:v>103.99724480085614</x:v>
      </x:c>
      <x:c r="L2345" s="44" t="n">
        <x:v>30.639993557826504</x:v>
      </x:c>
    </x:row>
    <x:row r="2346" ht="15" hidden="0" customHeight="1">
      <x:c r="A2346" s="27" t="str">
        <x:v>37075</x:v>
      </x:c>
      <x:c r="B2346" s="27" t="str">
        <x:v>SCA-23</x:v>
      </x:c>
      <x:c r="C2346" s="43" t="n">
        <x:v>8190</x:v>
      </x:c>
      <x:c r="D2346" s="43" t="n">
        <x:v>96.15956962544053</x:v>
      </x:c>
      <x:c r="E2346" s="43" t="n">
        <x:v>1457.6526674233826</x:v>
      </x:c>
      <x:c r="F2346" s="43" t="n">
        <x:v>43.196234736362214</x:v>
      </x:c>
      <x:c r="G2346" s="43" t="n">
        <x:v>363.72096102913355</x:v>
      </x:c>
      <x:c r="H2346" s="43" t="n">
        <x:v>6229.270567185681</x:v>
      </x:c>
      <x:c r="I2346" s="43" t="n">
        <x:v>8190</x:v>
      </x:c>
      <x:c r="J2346" s="43" t="n">
        <x:v>1470</x:v>
      </x:c>
      <x:c r="K2346" s="43" t="n">
        <x:v>78.62027655249514</x:v>
      </x:c>
      <x:c r="L2346" s="43" t="n">
        <x:v>35.42404181613293</x:v>
      </x:c>
    </x:row>
    <x:row r="2347" ht="15" hidden="0" customHeight="1">
      <x:c r="A2347" s="29" t="str">
        <x:v>13181</x:v>
      </x:c>
      <x:c r="B2347" s="29" t="str">
        <x:v>SCA-23</x:v>
      </x:c>
      <x:c r="C2347" s="44" t="n">
        <x:v>8112</x:v>
      </x:c>
      <x:c r="D2347" s="44" t="n">
        <x:v>93.65552221416966</x:v>
      </x:c>
      <x:c r="E2347" s="44" t="n">
        <x:v>1543.0380185758515</x:v>
      </x:c>
      <x:c r="F2347" s="44" t="n">
        <x:v>70.2981715396877</x:v>
      </x:c>
      <x:c r="G2347" s="44" t="n">
        <x:v>302.3003095975232</x:v>
      </x:c>
      <x:c r="H2347" s="44" t="n">
        <x:v>6102.707978072768</x:v>
      </x:c>
      <x:c r="I2347" s="44" t="n">
        <x:v>8112</x:v>
      </x:c>
      <x:c r="J2347" s="44" t="n">
        <x:v>1536</x:v>
      </x:c>
      <x:c r="K2347" s="44" t="n">
        <x:v>99.66044297986355</x:v>
      </x:c>
      <x:c r="L2347" s="44" t="n">
        <x:v>29.362271440175853</x:v>
      </x:c>
    </x:row>
    <x:row r="2348" ht="15" hidden="0" customHeight="1">
      <x:c r="A2348" s="27" t="str">
        <x:v>13269</x:v>
      </x:c>
      <x:c r="B2348" s="27" t="str">
        <x:v>SCA-23</x:v>
      </x:c>
      <x:c r="C2348" s="43" t="n">
        <x:v>7818</x:v>
      </x:c>
      <x:c r="D2348" s="43" t="n">
        <x:v>88.41766625608</x:v>
      </x:c>
      <x:c r="E2348" s="43" t="n">
        <x:v>1442.8694394971187</x:v>
      </x:c>
      <x:c r="F2348" s="43" t="n">
        <x:v>67.75038277826411</x:v>
      </x:c>
      <x:c r="G2348" s="43" t="n">
        <x:v>608.2378208486118</x:v>
      </x:c>
      <x:c r="H2348" s="43" t="n">
        <x:v>5610.724690619925</x:v>
      </x:c>
      <x:c r="I2348" s="43" t="n">
        <x:v>7818</x:v>
      </x:c>
      <x:c r="J2348" s="43" t="n">
        <x:v>1468</x:v>
      </x:c>
      <x:c r="K2348" s="43" t="n">
        <x:v>96.0484890552975</x:v>
      </x:c>
      <x:c r="L2348" s="43" t="n">
        <x:v>28.298106277033387</x:v>
      </x:c>
    </x:row>
    <x:row r="2349" ht="15" hidden="0" customHeight="1">
      <x:c r="A2349" s="29" t="str">
        <x:v>13197</x:v>
      </x:c>
      <x:c r="B2349" s="29" t="str">
        <x:v>SCA-23</x:v>
      </x:c>
      <x:c r="C2349" s="44" t="n">
        <x:v>7676</x:v>
      </x:c>
      <x:c r="D2349" s="44" t="n">
        <x:v>91.43875588879584</x:v>
      </x:c>
      <x:c r="E2349" s="44" t="n">
        <x:v>1527.711219512195</x:v>
      </x:c>
      <x:c r="F2349" s="44" t="n">
        <x:v>66.51981813839285</x:v>
      </x:c>
      <x:c r="G2349" s="44" t="n">
        <x:v>208.47560975609758</x:v>
      </x:c>
      <x:c r="H2349" s="44" t="n">
        <x:v>5781.854596704518</x:v>
      </x:c>
      <x:c r="I2349" s="44" t="n">
        <x:v>7676</x:v>
      </x:c>
      <x:c r="J2349" s="44" t="n">
        <x:v>1530</x:v>
      </x:c>
      <x:c r="K2349" s="44" t="n">
        <x:v>94.30393988084722</x:v>
      </x:c>
      <x:c r="L2349" s="44" t="n">
        <x:v>27.78412174245437</x:v>
      </x:c>
    </x:row>
    <x:row r="2350" ht="15" hidden="0" customHeight="1">
      <x:c r="A2350" s="27" t="str">
        <x:v>13289</x:v>
      </x:c>
      <x:c r="B2350" s="27" t="str">
        <x:v>SCA-23</x:v>
      </x:c>
      <x:c r="C2350" s="43" t="n">
        <x:v>7597</x:v>
      </x:c>
      <x:c r="D2350" s="43" t="n">
        <x:v>96.0143259463061</x:v>
      </x:c>
      <x:c r="E2350" s="43" t="n">
        <x:v>1644.3876803118908</x:v>
      </x:c>
      <x:c r="F2350" s="43" t="n">
        <x:v>65.83520823311237</x:v>
      </x:c>
      <x:c r="G2350" s="43" t="n">
        <x:v>307.10071474983755</x:v>
      </x:c>
      <x:c r="H2350" s="43" t="n">
        <x:v>5483.662070758853</x:v>
      </x:c>
      <x:c r="I2350" s="43" t="n">
        <x:v>7597</x:v>
      </x:c>
      <x:c r="J2350" s="43" t="n">
        <x:v>1735</x:v>
      </x:c>
      <x:c r="K2350" s="43" t="n">
        <x:v>93.33338083308968</x:v>
      </x:c>
      <x:c r="L2350" s="43" t="n">
        <x:v>27.498172599977313</x:v>
      </x:c>
    </x:row>
    <x:row r="2351" ht="15" hidden="0" customHeight="1">
      <x:c r="A2351" s="29" t="str">
        <x:v>01105</x:v>
      </x:c>
      <x:c r="B2351" s="29" t="str">
        <x:v>SCA-23</x:v>
      </x:c>
      <x:c r="C2351" s="44" t="n">
        <x:v>7425</x:v>
      </x:c>
      <x:c r="D2351" s="44" t="n">
        <x:v>106.33287132140192</x:v>
      </x:c>
      <x:c r="E2351" s="44" t="n">
        <x:v>1642.3462466658198</x:v>
      </x:c>
      <x:c r="F2351" s="44" t="n">
        <x:v>59.75740883012553</x:v>
      </x:c>
      <x:c r="G2351" s="44" t="n">
        <x:v>290.52108471992887</x:v>
      </x:c>
      <x:c r="H2351" s="44" t="n">
        <x:v>5326.042388462724</x:v>
      </x:c>
      <x:c r="I2351" s="44" t="n">
        <x:v>7425</x:v>
      </x:c>
      <x:c r="J2351" s="44" t="n">
        <x:v>1814</x:v>
      </x:c>
      <x:c r="K2351" s="44" t="n">
        <x:v>97.65918654045161</x:v>
      </x:c>
      <x:c r="L2351" s="44" t="n">
        <x:v>37.90177771032609</x:v>
      </x:c>
    </x:row>
    <x:row r="2352" ht="15" hidden="0" customHeight="1">
      <x:c r="A2352" s="27" t="str">
        <x:v>47127</x:v>
      </x:c>
      <x:c r="B2352" s="27" t="str">
        <x:v>SCA-23</x:v>
      </x:c>
      <x:c r="C2352" s="43" t="n">
        <x:v>6920</x:v>
      </x:c>
      <x:c r="D2352" s="43" t="n">
        <x:v>72.05375590094698</x:v>
      </x:c>
      <x:c r="E2352" s="43" t="n">
        <x:v>997.7410478359908</x:v>
      </x:c>
      <x:c r="F2352" s="43" t="n">
        <x:v>44.32339996289474</x:v>
      </x:c>
      <x:c r="G2352" s="43" t="n">
        <x:v>293.6094153378892</x:v>
      </x:c>
      <x:c r="H2352" s="43" t="n">
        <x:v>5512.2723809622785</x:v>
      </x:c>
      <x:c r="I2352" s="43" t="n">
        <x:v>6920</x:v>
      </x:c>
      <x:c r="J2352" s="43" t="n">
        <x:v>989</x:v>
      </x:c>
      <x:c r="K2352" s="43" t="n">
        <x:v>74.80461220400876</x:v>
      </x:c>
      <x:c r="L2352" s="43" t="n">
        <x:v>30.481212241114022</x:v>
      </x:c>
    </x:row>
    <x:row r="2353" ht="15" hidden="0" customHeight="1">
      <x:c r="A2353" s="29" t="str">
        <x:v>47175</x:v>
      </x:c>
      <x:c r="B2353" s="29" t="str">
        <x:v>SCA-23</x:v>
      </x:c>
      <x:c r="C2353" s="44" t="n">
        <x:v>6874</x:v>
      </x:c>
      <x:c r="D2353" s="44" t="n">
        <x:v>87.09673436820974</x:v>
      </x:c>
      <x:c r="E2353" s="44" t="n">
        <x:v>1363.6354296506136</x:v>
      </x:c>
      <x:c r="F2353" s="44" t="n">
        <x:v>44.028764645222324</x:v>
      </x:c>
      <x:c r="G2353" s="44" t="n">
        <x:v>412.94310670443815</x:v>
      </x:c>
      <x:c r="H2353" s="44" t="n">
        <x:v>4966.295964631516</x:v>
      </x:c>
      <x:c r="I2353" s="44" t="n">
        <x:v>6874</x:v>
      </x:c>
      <x:c r="J2353" s="44" t="n">
        <x:v>1313</x:v>
      </x:c>
      <x:c r="K2353" s="44" t="n">
        <x:v>74.30735611132316</x:v>
      </x:c>
      <x:c r="L2353" s="44" t="n">
        <x:v>30.278591466100835</x:v>
      </x:c>
    </x:row>
    <x:row r="2354" ht="15" hidden="0" customHeight="1">
      <x:c r="A2354" s="27" t="str">
        <x:v>13283</x:v>
      </x:c>
      <x:c r="B2354" s="27" t="str">
        <x:v>SCA-23</x:v>
      </x:c>
      <x:c r="C2354" s="43" t="n">
        <x:v>6466</x:v>
      </x:c>
      <x:c r="D2354" s="43" t="n">
        <x:v>75.79743211551624</x:v>
      </x:c>
      <x:c r="E2354" s="43" t="n">
        <x:v>1257.432905884292</x:v>
      </x:c>
      <x:c r="F2354" s="43" t="n">
        <x:v>56.03402085498281</x:v>
      </x:c>
      <x:c r="G2354" s="43" t="n">
        <x:v>164.2703148178672</x:v>
      </x:c>
      <x:c r="H2354" s="43" t="n">
        <x:v>4912.465326327341</x:v>
      </x:c>
      <x:c r="I2354" s="43" t="n">
        <x:v>6466</x:v>
      </x:c>
      <x:c r="J2354" s="43" t="n">
        <x:v>1229</x:v>
      </x:c>
      <x:c r="K2354" s="43" t="n">
        <x:v>79.43841522532023</x:v>
      </x:c>
      <x:c r="L2354" s="43" t="n">
        <x:v>23.40439437033741</x:v>
      </x:c>
    </x:row>
    <x:row r="2355" ht="15" hidden="0" customHeight="1">
      <x:c r="A2355" s="29" t="str">
        <x:v>13243</x:v>
      </x:c>
      <x:c r="B2355" s="29" t="str">
        <x:v>SCA-23</x:v>
      </x:c>
      <x:c r="C2355" s="44" t="n">
        <x:v>6156</x:v>
      </x:c>
      <x:c r="D2355" s="44" t="n">
        <x:v>66.67031545681985</x:v>
      </x:c>
      <x:c r="E2355" s="44" t="n">
        <x:v>1065.3120000000001</x:v>
      </x:c>
      <x:c r="F2355" s="44" t="n">
        <x:v>53.3475769228695</x:v>
      </x:c>
      <x:c r="G2355" s="44" t="n">
        <x:v>890.2342105263157</x:v>
      </x:c>
      <x:c r="H2355" s="44" t="n">
        <x:v>4080.4358970939948</x:v>
      </x:c>
      <x:c r="I2355" s="44" t="n">
        <x:v>6156</x:v>
      </x:c>
      <x:c r="J2355" s="44" t="n">
        <x:v>1096</x:v>
      </x:c>
      <x:c r="K2355" s="44" t="n">
        <x:v>75.62989237968935</x:v>
      </x:c>
      <x:c r="L2355" s="44" t="n">
        <x:v>22.28231545681984</x:v>
      </x:c>
    </x:row>
    <x:row r="2356" ht="15" hidden="0" customHeight="1">
      <x:c r="A2356" s="27" t="str">
        <x:v>13201</x:v>
      </x:c>
      <x:c r="B2356" s="27" t="str">
        <x:v>SCA-23</x:v>
      </x:c>
      <x:c r="C2356" s="43" t="n">
        <x:v>5812</x:v>
      </x:c>
      <x:c r="D2356" s="43" t="n">
        <x:v>67.10877242161371</x:v>
      </x:c>
      <x:c r="E2356" s="43" t="n">
        <x:v>1105.7184623486044</x:v>
      </x:c>
      <x:c r="F2356" s="43" t="n">
        <x:v>50.366490753040544</x:v>
      </x:c>
      <x:c r="G2356" s="43" t="n">
        <x:v>410.9355801298929</x:v>
      </x:c>
      <x:c r="H2356" s="43" t="n">
        <x:v>4177.870694346849</x:v>
      </x:c>
      <x:c r="I2356" s="43" t="n">
        <x:v>5812</x:v>
      </x:c>
      <x:c r="J2356" s="43" t="n">
        <x:v>1129</x:v>
      </x:c>
      <x:c r="K2356" s="43" t="n">
        <x:v>71.40366057679573</x:v>
      </x:c>
      <x:c r="L2356" s="43" t="n">
        <x:v>21.037169823755185</x:v>
      </x:c>
    </x:row>
    <x:row r="2357" ht="15" hidden="0" customHeight="1">
      <x:c r="A2357" s="29" t="str">
        <x:v>13263</x:v>
      </x:c>
      <x:c r="B2357" s="29" t="str">
        <x:v>SCA-23</x:v>
      </x:c>
      <x:c r="C2357" s="44" t="n">
        <x:v>5709</x:v>
      </x:c>
      <x:c r="D2357" s="44" t="n">
        <x:v>82.32915805150716</x:v>
      </x:c>
      <x:c r="E2357" s="44" t="n">
        <x:v>1479.9553918990005</x:v>
      </x:c>
      <x:c r="F2357" s="44" t="n">
        <x:v>49.47389809172547</x:v>
      </x:c>
      <x:c r="G2357" s="44" t="n">
        <x:v>241.98395581273013</x:v>
      </x:c>
      <x:c r="H2357" s="44" t="n">
        <x:v>3855.257596145037</x:v>
      </x:c>
      <x:c r="I2357" s="44" t="n">
        <x:v>5709</x:v>
      </x:c>
      <x:c r="J2357" s="44" t="n">
        <x:v>1540</x:v>
      </x:c>
      <x:c r="K2357" s="44" t="n">
        <x:v>70.13824814744095</x:v>
      </x:c>
      <x:c r="L2357" s="44" t="n">
        <x:v>20.664350055715477</x:v>
      </x:c>
    </x:row>
    <x:row r="2358" ht="15" hidden="0" customHeight="1">
      <x:c r="A2358" s="27" t="str">
        <x:v>13037</x:v>
      </x:c>
      <x:c r="B2358" s="27" t="str">
        <x:v>SCA-23</x:v>
      </x:c>
      <x:c r="C2358" s="43" t="n">
        <x:v>5413</x:v>
      </x:c>
      <x:c r="D2358" s="43" t="n">
        <x:v>50.37723742853299</x:v>
      </x:c>
      <x:c r="E2358" s="43" t="n">
        <x:v>738.8230021141649</x:v>
      </x:c>
      <x:c r="F2358" s="43" t="n">
        <x:v>46.908777433965675</x:v>
      </x:c>
      <x:c r="G2358" s="43" t="n">
        <x:v>233.32769556025372</x:v>
      </x:c>
      <x:c r="H2358" s="43" t="n">
        <x:v>4343.563287463083</x:v>
      </x:c>
      <x:c r="I2358" s="43" t="n">
        <x:v>5413</x:v>
      </x:c>
      <x:c r="J2358" s="43" t="n">
        <x:v>538</x:v>
      </x:c>
      <x:c r="K2358" s="43" t="n">
        <x:v>66.5017231077418</x:v>
      </x:c>
      <x:c r="L2358" s="43" t="n">
        <x:v>19.59294567377612</x:v>
      </x:c>
    </x:row>
    <x:row r="2359" ht="15" hidden="0" customHeight="1">
      <x:c r="A2359" s="29" t="str">
        <x:v>13301</x:v>
      </x:c>
      <x:c r="B2359" s="29" t="str">
        <x:v>SCA-23</x:v>
      </x:c>
      <x:c r="C2359" s="44" t="n">
        <x:v>5269</x:v>
      </x:c>
      <x:c r="D2359" s="44" t="n">
        <x:v>49.20978264517985</x:v>
      </x:c>
      <x:c r="E2359" s="44" t="n">
        <x:v>723.3134573947111</x:v>
      </x:c>
      <x:c r="F2359" s="44" t="n">
        <x:v>45.66088089775819</x:v>
      </x:c>
      <x:c r="G2359" s="44" t="n">
        <x:v>251.53036238981392</x:v>
      </x:c>
      <x:c r="H2359" s="44" t="n">
        <x:v>4199.285516672537</x:v>
      </x:c>
      <x:c r="I2359" s="44" t="n">
        <x:v>5269</x:v>
      </x:c>
      <x:c r="J2359" s="44" t="n">
        <x:v>730</x:v>
      </x:c>
      <x:c r="K2359" s="44" t="n">
        <x:v>64.73260281815841</x:v>
      </x:c>
      <x:c r="L2359" s="44" t="n">
        <x:v>19.07172192040022</x:v>
      </x:c>
    </x:row>
    <x:row r="2360" ht="15" hidden="0" customHeight="1">
      <x:c r="A2360" s="27" t="str">
        <x:v>13259</x:v>
      </x:c>
      <x:c r="B2360" s="27" t="str">
        <x:v>SCA-23</x:v>
      </x:c>
      <x:c r="C2360" s="43" t="n">
        <x:v>4631</x:v>
      </x:c>
      <x:c r="D2360" s="43" t="n">
        <x:v>69.76268776353736</x:v>
      </x:c>
      <x:c r="E2360" s="43" t="n">
        <x:v>1272.0066393442626</x:v>
      </x:c>
      <x:c r="F2360" s="43" t="n">
        <x:v>40.13200596650564</x:v>
      </x:c>
      <x:c r="G2360" s="43" t="n">
        <x:v>290.9074026639344</x:v>
      </x:c>
      <x:c r="H2360" s="43" t="n">
        <x:v>2958.19126426176</x:v>
      </x:c>
      <x:c r="I2360" s="43" t="n">
        <x:v>4631</x:v>
      </x:c>
      <x:c r="J2360" s="43" t="n">
        <x:v>1117</x:v>
      </x:c>
      <x:c r="K2360" s="43" t="n">
        <x:v>56.89441709069873</x:v>
      </x:c>
      <x:c r="L2360" s="43" t="n">
        <x:v>16.762411124193093</x:v>
      </x:c>
    </x:row>
    <x:row r="2361" ht="15" hidden="0" customHeight="1">
      <x:c r="A2361" s="29" t="str">
        <x:v>13249</x:v>
      </x:c>
      <x:c r="B2361" s="29" t="str">
        <x:v>SCA-23</x:v>
      </x:c>
      <x:c r="C2361" s="44" t="n">
        <x:v>4593</x:v>
      </x:c>
      <x:c r="D2361" s="44" t="n">
        <x:v>45.44688236412735</x:v>
      </x:c>
      <x:c r="E2361" s="44" t="n">
        <x:v>691.7283935298028</x:v>
      </x:c>
      <x:c r="F2361" s="44" t="n">
        <x:v>39.802699936117556</x:v>
      </x:c>
      <x:c r="G2361" s="44" t="n">
        <x:v>98.64502548194106</x:v>
      </x:c>
      <x:c r="H2361" s="44" t="n">
        <x:v>3717.3769986880116</x:v>
      </x:c>
      <x:c r="I2361" s="44" t="n">
        <x:v>4593</x:v>
      </x:c>
      <x:c r="J2361" s="44" t="n">
        <x:v>708</x:v>
      </x:c>
      <x:c r="K2361" s="44" t="n">
        <x:v>56.427565903169786</x:v>
      </x:c>
      <x:c r="L2361" s="44" t="n">
        <x:v>16.62486596705223</x:v>
      </x:c>
    </x:row>
    <x:row r="2362" ht="15" hidden="0" customHeight="1">
      <x:c r="A2362" s="27" t="str">
        <x:v>13125</x:v>
      </x:c>
      <x:c r="B2362" s="27" t="str">
        <x:v>SCA-23</x:v>
      </x:c>
      <x:c r="C2362" s="43" t="n">
        <x:v>3141</x:v>
      </x:c>
      <x:c r="D2362" s="43" t="n">
        <x:v>39.77936165983772</x:v>
      </x:c>
      <x:c r="E2362" s="43" t="n">
        <x:v>681.8440449438202</x:v>
      </x:c>
      <x:c r="F2362" s="43" t="n">
        <x:v>27.219743196025526</x:v>
      </x:c>
      <x:c r="G2362" s="43" t="n">
        <x:v>135.42837078651687</x:v>
      </x:c>
      <x:c r="H2362" s="43" t="n">
        <x:v>2256.7284794137995</x:v>
      </x:c>
      <x:c r="I2362" s="43" t="n">
        <x:v>3141</x:v>
      </x:c>
      <x:c r="J2362" s="43" t="n">
        <x:v>644</x:v>
      </x:c>
      <x:c r="K2362" s="43" t="n">
        <x:v>38.588936316537406</x:v>
      </x:c>
      <x:c r="L2362" s="43" t="n">
        <x:v>11.369193120511879</x:v>
      </x:c>
    </x:row>
    <x:row r="2363" ht="15" hidden="0" customHeight="1">
      <x:c r="A2363" s="29" t="str">
        <x:v>13061</x:v>
      </x:c>
      <x:c r="B2363" s="29" t="str">
        <x:v>SCA-23</x:v>
      </x:c>
      <x:c r="C2363" s="44" t="n">
        <x:v>2815</x:v>
      </x:c>
      <x:c r="D2363" s="44" t="n">
        <x:v>29.392926719607384</x:v>
      </x:c>
      <x:c r="E2363" s="44" t="n">
        <x:v>460.88943031171624</x:v>
      </x:c>
      <x:c r="F2363" s="44" t="n">
        <x:v>24.39464409322249</x:v>
      </x:c>
      <x:c r="G2363" s="44" t="n">
        <x:v>96.2164098889287</x:v>
      </x:c>
      <x:c r="H2363" s="44" t="n">
        <x:v>2204.1065889865254</x:v>
      </x:c>
      <x:c r="I2363" s="44" t="n">
        <x:v>2815</x:v>
      </x:c>
      <x:c r="J2363" s="44" t="n">
        <x:v>476</x:v>
      </x:c>
      <x:c r="K2363" s="44" t="n">
        <x:v>34.5838445498417</x:v>
      </x:c>
      <x:c r="L2363" s="44" t="n">
        <x:v>10.18920045661921</x:v>
      </x:c>
    </x:row>
    <x:row r="2364" ht="15" hidden="0" customHeight="1">
      <x:c r="A2364" s="27" t="str">
        <x:v>13007</x:v>
      </x:c>
      <x:c r="B2364" s="27" t="str">
        <x:v>SCA-23</x:v>
      </x:c>
      <x:c r="C2364" s="43" t="n">
        <x:v>2725</x:v>
      </x:c>
      <x:c r="D2364" s="43" t="n">
        <x:v>28.53798758208544</x:v>
      </x:c>
      <x:c r="E2364" s="43" t="n">
        <x:v>448.1892473118279</x:v>
      </x:c>
      <x:c r="F2364" s="43" t="n">
        <x:v>23.614708758092817</x:v>
      </x:c>
      <x:c r="G2364" s="43" t="n">
        <x:v>98.19784946236558</x:v>
      </x:c>
      <x:c r="H2364" s="43" t="n">
        <x:v>2126.460206885628</x:v>
      </x:c>
      <x:c r="I2364" s="43" t="n">
        <x:v>2725</x:v>
      </x:c>
      <x:c r="J2364" s="43" t="n">
        <x:v>478</x:v>
      </x:c>
      <x:c r="K2364" s="43" t="n">
        <x:v>33.47814436885209</x:v>
      </x:c>
      <x:c r="L2364" s="43" t="n">
        <x:v>9.863435610759272</x:v>
      </x:c>
    </x:row>
    <x:row r="2365" ht="15" hidden="0" customHeight="1">
      <x:c r="A2365" s="29" t="str">
        <x:v>13307</x:v>
      </x:c>
      <x:c r="B2365" s="29" t="str">
        <x:v>SCA-23</x:v>
      </x:c>
      <x:c r="C2365" s="44" t="n">
        <x:v>2369</x:v>
      </x:c>
      <x:c r="D2365" s="44" t="n">
        <x:v>23.193148065501774</x:v>
      </x:c>
      <x:c r="E2365" s="44" t="n">
        <x:v>350.8390416141236</x:v>
      </x:c>
      <x:c r="F2365" s="44" t="n">
        <x:v>20.529631210246567</x:v>
      </x:c>
      <x:c r="G2365" s="44" t="n">
        <x:v>71.88734762505254</x:v>
      </x:c>
      <x:c r="H2365" s="44" t="n">
        <x:v>1902.5508314850754</x:v>
      </x:c>
      <x:c r="I2365" s="44" t="n">
        <x:v>2369</x:v>
      </x:c>
      <x:c r="J2365" s="44" t="n">
        <x:v>367</x:v>
      </x:c>
      <x:c r="K2365" s="44" t="n">
        <x:v>29.104485875159856</x:v>
      </x:c>
      <x:c r="L2365" s="44" t="n">
        <x:v>8.574854664913289</x:v>
      </x:c>
    </x:row>
    <x:row r="2366" ht="15" hidden="0" customHeight="1">
      <x:c r="A2366" s="27" t="str">
        <x:v>13239</x:v>
      </x:c>
      <x:c r="B2366" s="27" t="str">
        <x:v>SCA-23</x:v>
      </x:c>
      <x:c r="C2366" s="43" t="n">
        <x:v>2254</x:v>
      </x:c>
      <x:c r="D2366" s="43" t="n">
        <x:v>42.40665612119473</x:v>
      </x:c>
      <x:c r="E2366" s="43" t="n">
        <x:v>821.9533568904593</x:v>
      </x:c>
      <x:c r="F2366" s="43" t="n">
        <x:v>19.533047170914205</x:v>
      </x:c>
      <x:c r="G2366" s="43" t="n">
        <x:v>139.53180212014135</x:v>
      </x:c>
      <x:c r="H2366" s="43" t="n">
        <x:v>1230.5751376972903</x:v>
      </x:c>
      <x:c r="I2366" s="43" t="n">
        <x:v>2254</x:v>
      </x:c>
      <x:c r="J2366" s="43" t="n">
        <x:v>860</x:v>
      </x:c>
      <x:c r="K2366" s="43" t="n">
        <x:v>27.691646755006467</x:v>
      </x:c>
      <x:c r="L2366" s="43" t="n">
        <x:v>8.158599584092256</x:v>
      </x:c>
    </x:row>
    <x:row r="2367" ht="15" hidden="0" customHeight="1">
      <x:c r="A2367" s="29" t="str">
        <x:v>13265</x:v>
      </x:c>
      <x:c r="B2367" s="29" t="str">
        <x:v>SCA-23</x:v>
      </x:c>
      <x:c r="C2367" s="44" t="n">
        <x:v>1662</x:v>
      </x:c>
      <x:c r="D2367" s="44" t="n">
        <x:v>20.06812436901768</x:v>
      </x:c>
      <x:c r="E2367" s="44" t="n">
        <x:v>337.25600517129925</x:v>
      </x:c>
      <x:c r="F2367" s="44" t="n">
        <x:v>14.402805855394595</x:v>
      </x:c>
      <x:c r="G2367" s="44" t="n">
        <x:v>29.967679379444085</x:v>
      </x:c>
      <x:c r="H2367" s="44" t="n">
        <x:v>1260.3053852248443</x:v>
      </x:c>
      <x:c r="I2367" s="44" t="n">
        <x:v>1662</x:v>
      </x:c>
      <x:c r="J2367" s="44" t="n">
        <x:v>327</x:v>
      </x:c>
      <x:c r="K2367" s="44" t="n">
        <x:v>20.41859667560814</x:v>
      </x:c>
      <x:c r="L2367" s="44" t="n">
        <x:v>6.015790820213544</x:v>
      </x:c>
    </x:row>
    <x:row r="2368" ht="15" hidden="0" customHeight="1">
      <x:c r="A2368" s="27" t="str">
        <x:v>26163</x:v>
      </x:c>
      <x:c r="B2368" s="27" t="str">
        <x:v>SCA-24</x:v>
      </x:c>
      <x:c r="C2368" s="43" t="n">
        <x:v>1769038</x:v>
      </x:c>
      <x:c r="D2368" s="43" t="n">
        <x:v>19068.042583139715</x:v>
      </x:c>
      <x:c r="E2368" s="43" t="n">
        <x:v>270233.4240505319</x:v>
      </x:c>
      <x:c r="F2368" s="43" t="n">
        <x:v>9892.839745455365</x:v>
      </x:c>
      <x:c r="G2368" s="43" t="n">
        <x:v>114110.48621751308</x:v>
      </x:c>
      <x:c r="H2368" s="43" t="n">
        <x:v>1355733.20740336</x:v>
      </x:c>
      <x:c r="I2368" s="43" t="n">
        <x:v>1769038</x:v>
      </x:c>
      <x:c r="J2368" s="43" t="n">
        <x:v>280382</x:v>
      </x:c>
      <x:c r="K2368" s="43" t="n">
        <x:v>17701.156326489585</x:v>
      </x:c>
      <x:c r="L2368" s="43" t="n">
        <x:v>7808.31658103422</x:v>
      </x:c>
    </x:row>
    <x:row r="2369" ht="15" hidden="0" customHeight="1">
      <x:c r="A2369" s="29" t="str">
        <x:v>26125</x:v>
      </x:c>
      <x:c r="B2369" s="29" t="str">
        <x:v>SCA-24</x:v>
      </x:c>
      <x:c r="C2369" s="44" t="n">
        <x:v>1288337</x:v>
      </x:c>
      <x:c r="D2369" s="44" t="n">
        <x:v>11594.114243901731</x:v>
      </x:c>
      <x:c r="E2369" s="44" t="n">
        <x:v>141781.26888955754</x:v>
      </x:c>
      <x:c r="F2369" s="44" t="n">
        <x:v>7204.656699935632</x:v>
      </x:c>
      <x:c r="G2369" s="44" t="n">
        <x:v>35878.0788341175</x:v>
      </x:c>
      <x:c r="H2369" s="44" t="n">
        <x:v>1091878.8813324876</x:v>
      </x:c>
      <x:c r="I2369" s="44" t="n">
        <x:v>1288337</x:v>
      </x:c>
      <x:c r="J2369" s="44" t="n">
        <x:v>145920</x:v>
      </x:c>
      <x:c r="K2369" s="44" t="n">
        <x:v>12891.218073439131</x:v>
      </x:c>
      <x:c r="L2369" s="44" t="n">
        <x:v>5686.561373503499</x:v>
      </x:c>
    </x:row>
    <x:row r="2370" ht="15" hidden="0" customHeight="1">
      <x:c r="A2370" s="27" t="str">
        <x:v>26099</x:v>
      </x:c>
      <x:c r="B2370" s="27" t="str">
        <x:v>SCA-24</x:v>
      </x:c>
      <x:c r="C2370" s="43" t="n">
        <x:v>886221</x:v>
      </x:c>
      <x:c r="D2370" s="43" t="n">
        <x:v>8885.570716102238</x:v>
      </x:c>
      <x:c r="E2370" s="43" t="n">
        <x:v>119373.60015617087</x:v>
      </x:c>
      <x:c r="F2370" s="43" t="n">
        <x:v>4955.937821605416</x:v>
      </x:c>
      <x:c r="G2370" s="43" t="n">
        <x:v>29694.05105626138</x:v>
      </x:c>
      <x:c r="H2370" s="43" t="n">
        <x:v>723311.8402498601</x:v>
      </x:c>
      <x:c r="I2370" s="43" t="n">
        <x:v>886221</x:v>
      </x:c>
      <x:c r="J2370" s="43" t="n">
        <x:v>122477</x:v>
      </x:c>
      <x:c r="K2370" s="43" t="n">
        <x:v>8867.608531200533</x:v>
      </x:c>
      <x:c r="L2370" s="43" t="n">
        <x:v>3911.6707095951174</x:v>
      </x:c>
    </x:row>
    <x:row r="2371" ht="15" hidden="0" customHeight="1">
      <x:c r="A2371" s="29" t="str">
        <x:v>26081</x:v>
      </x:c>
      <x:c r="B2371" s="29" t="str">
        <x:v>SCA-24</x:v>
      </x:c>
      <x:c r="C2371" s="44" t="n">
        <x:v>675232</x:v>
      </x:c>
      <x:c r="D2371" s="44" t="n">
        <x:v>5960.610596405341</x:v>
      </x:c>
      <x:c r="E2371" s="44" t="n">
        <x:v>71525.26640941095</x:v>
      </x:c>
      <x:c r="F2371" s="44" t="n">
        <x:v>3776.0421014151852</x:v>
      </x:c>
      <x:c r="G2371" s="44" t="n">
        <x:v>23106.23463592078</x:v>
      </x:c>
      <x:c r="H2371" s="44" t="n">
        <x:v>570863.8462568478</x:v>
      </x:c>
      <x:c r="I2371" s="44" t="n">
        <x:v>675232</x:v>
      </x:c>
      <x:c r="J2371" s="44" t="n">
        <x:v>72618</x:v>
      </x:c>
      <x:c r="K2371" s="44" t="n">
        <x:v>6756.433264095071</x:v>
      </x:c>
      <x:c r="L2371" s="44" t="n">
        <x:v>2980.391162679885</x:v>
      </x:c>
    </x:row>
    <x:row r="2372" ht="15" hidden="0" customHeight="1">
      <x:c r="A2372" s="27" t="str">
        <x:v>39095</x:v>
      </x:c>
      <x:c r="B2372" s="27" t="str">
        <x:v>SCA-24</x:v>
      </x:c>
      <x:c r="C2372" s="43" t="n">
        <x:v>423347</x:v>
      </x:c>
      <x:c r="D2372" s="43" t="n">
        <x:v>5654.413230226419</x:v>
      </x:c>
      <x:c r="E2372" s="43" t="n">
        <x:v>62455.29724971354</x:v>
      </x:c>
      <x:c r="F2372" s="43" t="n">
        <x:v>2474.564923833811</x:v>
      </x:c>
      <x:c r="G2372" s="43" t="n">
        <x:v>21081.54723400234</x:v>
      </x:c>
      <x:c r="H2372" s="43" t="n">
        <x:v>331681.17736222385</x:v>
      </x:c>
      <x:c r="I2372" s="43" t="n">
        <x:v>423347</x:v>
      </x:c>
      <x:c r="J2372" s="43" t="n">
        <x:v>65045</x:v>
      </x:c>
      <x:c r="K2372" s="43" t="n">
        <x:v>5526.674101988832</x:v>
      </x:c>
      <x:c r="L2372" s="43" t="n">
        <x:v>3052.1091781550213</x:v>
      </x:c>
    </x:row>
    <x:row r="2373" ht="15" hidden="0" customHeight="1">
      <x:c r="A2373" s="29" t="str">
        <x:v>18003</x:v>
      </x:c>
      <x:c r="B2373" s="29" t="str">
        <x:v>SCA-24</x:v>
      </x:c>
      <x:c r="C2373" s="44" t="n">
        <x:v>402329</x:v>
      </x:c>
      <x:c r="D2373" s="44" t="n">
        <x:v>4769.722314490969</x:v>
      </x:c>
      <x:c r="E2373" s="44" t="n">
        <x:v>48644.53260377727</x:v>
      </x:c>
      <x:c r="F2373" s="44" t="n">
        <x:v>2618.9571200014943</x:v>
      </x:c>
      <x:c r="G2373" s="44" t="n">
        <x:v>16910.77612022856</x:v>
      </x:c>
      <x:c r="H2373" s="44" t="n">
        <x:v>329385.0118415017</x:v>
      </x:c>
      <x:c r="I2373" s="44" t="n">
        <x:v>402329</x:v>
      </x:c>
      <x:c r="J2373" s="44" t="n">
        <x:v>48954</x:v>
      </x:c>
      <x:c r="K2373" s="44" t="n">
        <x:v>5361.823909335078</x:v>
      </x:c>
      <x:c r="L2373" s="44" t="n">
        <x:v>2742.8667893335833</x:v>
      </x:c>
    </x:row>
    <x:row r="2374" ht="15" hidden="0" customHeight="1">
      <x:c r="A2374" s="27" t="str">
        <x:v>26049</x:v>
      </x:c>
      <x:c r="B2374" s="27" t="str">
        <x:v>SCA-24</x:v>
      </x:c>
      <x:c r="C2374" s="43" t="n">
        <x:v>401093</x:v>
      </x:c>
      <x:c r="D2374" s="43" t="n">
        <x:v>4633.447905620378</x:v>
      </x:c>
      <x:c r="E2374" s="43" t="n">
        <x:v>68713.74331530838</x:v>
      </x:c>
      <x:c r="F2374" s="43" t="n">
        <x:v>2242.9980430176906</x:v>
      </x:c>
      <x:c r="G2374" s="43" t="n">
        <x:v>16394.352957396422</x:v>
      </x:c>
      <x:c r="H2374" s="43" t="n">
        <x:v>309108.45777865715</x:v>
      </x:c>
      <x:c r="I2374" s="43" t="n">
        <x:v>401093</x:v>
      </x:c>
      <x:c r="J2374" s="43" t="n">
        <x:v>71514</x:v>
      </x:c>
      <x:c r="K2374" s="43" t="n">
        <x:v>4013.3733105002198</x:v>
      </x:c>
      <x:c r="L2374" s="43" t="n">
        <x:v>1770.3752674825291</x:v>
      </x:c>
    </x:row>
    <x:row r="2375" ht="15" hidden="0" customHeight="1">
      <x:c r="A2375" s="29" t="str">
        <x:v>26161</x:v>
      </x:c>
      <x:c r="B2375" s="29" t="str">
        <x:v>SCA-24</x:v>
      </x:c>
      <x:c r="C2375" s="44" t="n">
        <x:v>370214</x:v>
      </x:c>
      <x:c r="D2375" s="44" t="n">
        <x:v>3200.022027790883</x:v>
      </x:c>
      <x:c r="E2375" s="44" t="n">
        <x:v>37582.62902121661</x:v>
      </x:c>
      <x:c r="F2375" s="44" t="n">
        <x:v>2070.3160551237524</x:v>
      </x:c>
      <x:c r="G2375" s="44" t="n">
        <x:v>18858.92703480161</x:v>
      </x:c>
      <x:c r="H2375" s="44" t="n">
        <x:v>308502.10586106713</x:v>
      </x:c>
      <x:c r="I2375" s="44" t="n">
        <x:v>370214</x:v>
      </x:c>
      <x:c r="J2375" s="44" t="n">
        <x:v>38562</x:v>
      </x:c>
      <x:c r="K2375" s="44" t="n">
        <x:v>3704.3952070306095</x:v>
      </x:c>
      <x:c r="L2375" s="44" t="n">
        <x:v>1634.079151906857</x:v>
      </x:c>
    </x:row>
    <x:row r="2376" ht="15" hidden="0" customHeight="1">
      <x:c r="A2376" s="27" t="str">
        <x:v>39093</x:v>
      </x:c>
      <x:c r="B2376" s="27" t="str">
        <x:v>SCA-24</x:v>
      </x:c>
      <x:c r="C2376" s="43" t="n">
        <x:v>323219</x:v>
      </x:c>
      <x:c r="D2376" s="43" t="n">
        <x:v>4306.190533082952</x:v>
      </x:c>
      <x:c r="E2376" s="43" t="n">
        <x:v>47422.83755812498</x:v>
      </x:c>
      <x:c r="F2376" s="43" t="n">
        <x:v>1889.292708148731</x:v>
      </x:c>
      <x:c r="G2376" s="43" t="n">
        <x:v>9842.800454409797</x:v>
      </x:c>
      <x:c r="H2376" s="43" t="n">
        <x:v>259757.87874623356</x:v>
      </x:c>
      <x:c r="I2376" s="43" t="n">
        <x:v>323219</x:v>
      </x:c>
      <x:c r="J2376" s="43" t="n">
        <x:v>47625</x:v>
      </x:c>
      <x:c r="K2376" s="43" t="n">
        <x:v>4219.531676309809</x:v>
      </x:c>
      <x:c r="L2376" s="43" t="n">
        <x:v>2330.238968161078</x:v>
      </x:c>
    </x:row>
    <x:row r="2377" ht="15" hidden="0" customHeight="1">
      <x:c r="A2377" s="29" t="str">
        <x:v>26065</x:v>
      </x:c>
      <x:c r="B2377" s="29" t="str">
        <x:v>SCA-24</x:v>
      </x:c>
      <x:c r="C2377" s="44" t="n">
        <x:v>289709</x:v>
      </x:c>
      <x:c r="D2377" s="44" t="n">
        <x:v>2884.2307277633313</x:v>
      </x:c>
      <x:c r="E2377" s="44" t="n">
        <x:v>38531.778331131085</x:v>
      </x:c>
      <x:c r="F2377" s="44" t="n">
        <x:v>1620.1148363212822</x:v>
      </x:c>
      <x:c r="G2377" s="44" t="n">
        <x:v>13290.552466107189</x:v>
      </x:c>
      <x:c r="H2377" s="44" t="n">
        <x:v>233382.32363867713</x:v>
      </x:c>
      <x:c r="I2377" s="44" t="n">
        <x:v>289709</x:v>
      </x:c>
      <x:c r="J2377" s="44" t="n">
        <x:v>39109</x:v>
      </x:c>
      <x:c r="K2377" s="44" t="n">
        <x:v>2898.8548002874845</x:v>
      </x:c>
      <x:c r="L2377" s="44" t="n">
        <x:v>1278.7399639662024</x:v>
      </x:c>
    </x:row>
    <x:row r="2378" ht="15" hidden="0" customHeight="1">
      <x:c r="A2378" s="27" t="str">
        <x:v>26077</x:v>
      </x:c>
      <x:c r="B2378" s="27" t="str">
        <x:v>SCA-24</x:v>
      </x:c>
      <x:c r="C2378" s="43" t="n">
        <x:v>263795</x:v>
      </x:c>
      <x:c r="D2378" s="43" t="n">
        <x:v>2416.2349362259656</x:v>
      </x:c>
      <x:c r="E2378" s="43" t="n">
        <x:v>30045.02849504494</x:v>
      </x:c>
      <x:c r="F2378" s="43" t="n">
        <x:v>1475.1981928327139</x:v>
      </x:c>
      <x:c r="G2378" s="43" t="n">
        <x:v>11026.2416705078</x:v>
      </x:c>
      <x:c r="H2378" s="43" t="n">
        <x:v>218832.29670538858</x:v>
      </x:c>
      <x:c r="I2378" s="43" t="n">
        <x:v>263795</x:v>
      </x:c>
      <x:c r="J2378" s="43" t="n">
        <x:v>30887</x:v>
      </x:c>
      <x:c r="K2378" s="43" t="n">
        <x:v>2639.5569417651404</x:v>
      </x:c>
      <x:c r="L2378" s="43" t="n">
        <x:v>1164.3587489324266</x:v>
      </x:c>
    </x:row>
    <x:row r="2379" ht="15" hidden="0" customHeight="1">
      <x:c r="A2379" s="29" t="str">
        <x:v>39041</x:v>
      </x:c>
      <x:c r="B2379" s="29" t="str">
        <x:v>SCA-24</x:v>
      </x:c>
      <x:c r="C2379" s="44" t="n">
        <x:v>242032</x:v>
      </x:c>
      <x:c r="D2379" s="44" t="n">
        <x:v>2558.3297480736005</x:v>
      </x:c>
      <x:c r="E2379" s="44" t="n">
        <x:v>19521.752241097638</x:v>
      </x:c>
      <x:c r="F2379" s="44" t="n">
        <x:v>1414.7351880262408</x:v>
      </x:c>
      <x:c r="G2379" s="44" t="n">
        <x:v>3631.40877153369</x:v>
      </x:c>
      <x:c r="H2379" s="44" t="n">
        <x:v>214905.77405126885</x:v>
      </x:c>
      <x:c r="I2379" s="44" t="n">
        <x:v>242032</x:v>
      </x:c>
      <x:c r="J2379" s="44" t="n">
        <x:v>18977</x:v>
      </x:c>
      <x:c r="K2379" s="44" t="n">
        <x:v>3159.658592720773</x:v>
      </x:c>
      <x:c r="L2379" s="44" t="n">
        <x:v>1744.923404694532</x:v>
      </x:c>
    </x:row>
    <x:row r="2380" ht="15" hidden="0" customHeight="1">
      <x:c r="A2380" s="27" t="str">
        <x:v>26093</x:v>
      </x:c>
      <x:c r="B2380" s="27" t="str">
        <x:v>SCA-24</x:v>
      </x:c>
      <x:c r="C2380" s="43" t="n">
        <x:v>197315</x:v>
      </x:c>
      <x:c r="D2380" s="43" t="n">
        <x:v>1775.3437277395024</x:v>
      </x:c>
      <x:c r="E2380" s="43" t="n">
        <x:v>21706.068919890695</x:v>
      </x:c>
      <x:c r="F2380" s="43" t="n">
        <x:v>1103.4277807342328</x:v>
      </x:c>
      <x:c r="G2380" s="43" t="n">
        <x:v>3057.3178843664605</x:v>
      </x:c>
      <x:c r="H2380" s="43" t="n">
        <x:v>169672.84168726913</x:v>
      </x:c>
      <x:c r="I2380" s="43" t="n">
        <x:v>197315</x:v>
      </x:c>
      <x:c r="J2380" s="43" t="n">
        <x:v>22309</x:v>
      </x:c>
      <x:c r="K2380" s="43" t="n">
        <x:v>1974.3519701449559</x:v>
      </x:c>
      <x:c r="L2380" s="43" t="n">
        <x:v>870.9241894107232</x:v>
      </x:c>
    </x:row>
    <x:row r="2381" ht="15" hidden="0" customHeight="1">
      <x:c r="A2381" s="29" t="str">
        <x:v>26145</x:v>
      </x:c>
      <x:c r="B2381" s="29" t="str">
        <x:v>SCA-24</x:v>
      </x:c>
      <x:c r="C2381" s="44" t="n">
        <x:v>187688</x:v>
      </x:c>
      <x:c r="D2381" s="44" t="n">
        <x:v>2136.838292545326</x:v>
      </x:c>
      <x:c r="E2381" s="44" t="n">
        <x:v>31401.755985885855</x:v>
      </x:c>
      <x:c r="F2381" s="44" t="n">
        <x:v>1049.591532881163</x:v>
      </x:c>
      <x:c r="G2381" s="44" t="n">
        <x:v>7212.668954280104</x:v>
      </x:c>
      <x:c r="H2381" s="44" t="n">
        <x:v>145887.14523440757</x:v>
      </x:c>
      <x:c r="I2381" s="44" t="n">
        <x:v>187688</x:v>
      </x:c>
      <x:c r="J2381" s="44" t="n">
        <x:v>32302</x:v>
      </x:c>
      <x:c r="K2381" s="44" t="n">
        <x:v>1878.0233260145783</x:v>
      </x:c>
      <x:c r="L2381" s="44" t="n">
        <x:v>828.4317931334152</x:v>
      </x:c>
    </x:row>
    <x:row r="2382" ht="15" hidden="0" customHeight="1">
      <x:c r="A2382" s="27" t="str">
        <x:v>26147</x:v>
      </x:c>
      <x:c r="B2382" s="27" t="str">
        <x:v>SCA-24</x:v>
      </x:c>
      <x:c r="C2382" s="43" t="n">
        <x:v>160486</x:v>
      </x:c>
      <x:c r="D2382" s="43" t="n">
        <x:v>1793.167306126934</x:v>
      </x:c>
      <x:c r="E2382" s="43" t="n">
        <x:v>26035.243246179965</x:v>
      </x:c>
      <x:c r="F2382" s="43" t="n">
        <x:v>897.4721172689054</x:v>
      </x:c>
      <x:c r="G2382" s="43" t="n">
        <x:v>5293.968421052632</x:v>
      </x:c>
      <x:c r="H2382" s="43" t="n">
        <x:v>126466.14890937156</x:v>
      </x:c>
      <x:c r="I2382" s="43" t="n">
        <x:v>160486</x:v>
      </x:c>
      <x:c r="J2382" s="43" t="n">
        <x:v>26874</x:v>
      </x:c>
      <x:c r="K2382" s="43" t="n">
        <x:v>1605.8376214716743</x:v>
      </x:c>
      <x:c r="L2382" s="43" t="n">
        <x:v>708.3655042027689</x:v>
      </x:c>
    </x:row>
    <x:row r="2383" ht="15" hidden="0" customHeight="1">
      <x:c r="A2383" s="29" t="str">
        <x:v>26075</x:v>
      </x:c>
      <x:c r="B2383" s="29" t="str">
        <x:v>SCA-24</x:v>
      </x:c>
      <x:c r="C2383" s="44" t="n">
        <x:v>159552</x:v>
      </x:c>
      <x:c r="D2383" s="44" t="n">
        <x:v>1628.0720054464655</x:v>
      </x:c>
      <x:c r="E2383" s="44" t="n">
        <x:v>22171.897502265056</x:v>
      </x:c>
      <x:c r="F2383" s="44" t="n">
        <x:v>892.2489890363546</x:v>
      </x:c>
      <x:c r="G2383" s="44" t="n">
        <x:v>5455.189155297609</x:v>
      </x:c>
      <x:c r="H2383" s="44" t="n">
        <x:v>129404.59234795452</x:v>
      </x:c>
      <x:c r="I2383" s="44" t="n">
        <x:v>159552</x:v>
      </x:c>
      <x:c r="J2383" s="44" t="n">
        <x:v>22048</x:v>
      </x:c>
      <x:c r="K2383" s="44" t="n">
        <x:v>1596.4919318884424</x:v>
      </x:c>
      <x:c r="L2383" s="44" t="n">
        <x:v>704.2429428520878</x:v>
      </x:c>
    </x:row>
    <x:row r="2384" ht="15" hidden="0" customHeight="1">
      <x:c r="A2384" s="27" t="str">
        <x:v>26115</x:v>
      </x:c>
      <x:c r="B2384" s="27" t="str">
        <x:v>SCA-24</x:v>
      </x:c>
      <x:c r="C2384" s="43" t="n">
        <x:v>156004</x:v>
      </x:c>
      <x:c r="D2384" s="43" t="n">
        <x:v>1609.4831695367077</x:v>
      </x:c>
      <x:c r="E2384" s="43" t="n">
        <x:v>22101.61591594821</x:v>
      </x:c>
      <x:c r="F2384" s="43" t="n">
        <x:v>872.4078124099194</x:v>
      </x:c>
      <x:c r="G2384" s="43" t="n">
        <x:v>4162.384192355277</x:v>
      </x:c>
      <x:c r="H2384" s="43" t="n">
        <x:v>127258.10890974989</x:v>
      </x:c>
      <x:c r="I2384" s="43" t="n">
        <x:v>156004</x:v>
      </x:c>
      <x:c r="J2384" s="43" t="n">
        <x:v>22783</x:v>
      </x:c>
      <x:c r="K2384" s="43" t="n">
        <x:v>1560.9903187821185</x:v>
      </x:c>
      <x:c r="L2384" s="43" t="n">
        <x:v>688.5825063721991</x:v>
      </x:c>
    </x:row>
    <x:row r="2385" ht="15" hidden="0" customHeight="1">
      <x:c r="A2385" s="29" t="str">
        <x:v>39173</x:v>
      </x:c>
      <x:c r="B2385" s="29" t="str">
        <x:v>SCA-24</x:v>
      </x:c>
      <x:c r="C2385" s="44" t="n">
        <x:v>134176</x:v>
      </x:c>
      <x:c r="D2385" s="44" t="n">
        <x:v>1636.0799738731212</x:v>
      </x:c>
      <x:c r="E2385" s="44" t="n">
        <x:v>16049.798256908085</x:v>
      </x:c>
      <x:c r="F2385" s="44" t="n">
        <x:v>784.2909556943251</x:v>
      </x:c>
      <x:c r="G2385" s="44" t="n">
        <x:v>3515.6001070131856</x:v>
      </x:c>
      <x:c r="H2385" s="44" t="n">
        <x:v>112190.23070651128</x:v>
      </x:c>
      <x:c r="I2385" s="44" t="n">
        <x:v>134176</x:v>
      </x:c>
      <x:c r="J2385" s="44" t="n">
        <x:v>16301</x:v>
      </x:c>
      <x:c r="K2385" s="44" t="n">
        <x:v>1751.6293355296095</x:v>
      </x:c>
      <x:c r="L2385" s="44" t="n">
        <x:v>967.3383798352844</x:v>
      </x:c>
    </x:row>
    <x:row r="2386" ht="15" hidden="0" customHeight="1">
      <x:c r="A2386" s="27" t="str">
        <x:v>26025</x:v>
      </x:c>
      <x:c r="B2386" s="27" t="str">
        <x:v>SCA-24</x:v>
      </x:c>
      <x:c r="C2386" s="43" t="n">
        <x:v>133408</x:v>
      </x:c>
      <x:c r="D2386" s="43" t="n">
        <x:v>1351.52974779169</x:v>
      </x:c>
      <x:c r="E2386" s="43" t="n">
        <x:v>18304.397081776227</x:v>
      </x:c>
      <x:c r="F2386" s="43" t="n">
        <x:v>746.0461362399843</x:v>
      </x:c>
      <x:c r="G2386" s="43" t="n">
        <x:v>4675.78321733868</x:v>
      </x:c>
      <x:c r="H2386" s="43" t="n">
        <x:v>108330.24381685341</x:v>
      </x:c>
      <x:c r="I2386" s="43" t="n">
        <x:v>133408</x:v>
      </x:c>
      <x:c r="J2386" s="43" t="n">
        <x:v>18893</x:v>
      </x:c>
      <x:c r="K2386" s="43" t="n">
        <x:v>1334.892672290998</x:v>
      </x:c>
      <x:c r="L2386" s="43" t="n">
        <x:v>588.8465360510137</x:v>
      </x:c>
    </x:row>
    <x:row r="2387" ht="15" hidden="0" customHeight="1">
      <x:c r="A2387" s="29" t="str">
        <x:v>39139</x:v>
      </x:c>
      <x:c r="B2387" s="29" t="str">
        <x:v>SCA-24</x:v>
      </x:c>
      <x:c r="C2387" s="44" t="n">
        <x:v>124893</x:v>
      </x:c>
      <x:c r="D2387" s="44" t="n">
        <x:v>1726.0295396131817</x:v>
      </x:c>
      <x:c r="E2387" s="44" t="n">
        <x:v>19814.800960118664</x:v>
      </x:c>
      <x:c r="F2387" s="44" t="n">
        <x:v>730.0295904597795</x:v>
      </x:c>
      <x:c r="G2387" s="44" t="n">
        <x:v>5179.114498702087</x:v>
      </x:c>
      <x:c r="H2387" s="44" t="n">
        <x:v>97443.02541110628</x:v>
      </x:c>
      <x:c r="I2387" s="44" t="n">
        <x:v>124893</x:v>
      </x:c>
      <x:c r="J2387" s="44" t="n">
        <x:v>19609</x:v>
      </x:c>
      <x:c r="K2387" s="44" t="n">
        <x:v>1630.44242340135</x:v>
      </x:c>
      <x:c r="L2387" s="44" t="n">
        <x:v>900.4128329415705</x:v>
      </x:c>
    </x:row>
    <x:row r="2388" ht="15" hidden="0" customHeight="1">
      <x:c r="A2388" s="27" t="str">
        <x:v>26045</x:v>
      </x:c>
      <x:c r="B2388" s="27" t="str">
        <x:v>SCA-24</x:v>
      </x:c>
      <x:c r="C2388" s="43" t="n">
        <x:v>109581</x:v>
      </x:c>
      <x:c r="D2388" s="43" t="n">
        <x:v>1155.0826644894676</x:v>
      </x:c>
      <x:c r="E2388" s="43" t="n">
        <x:v>16113.73395967943</x:v>
      </x:c>
      <x:c r="F2388" s="43" t="n">
        <x:v>612.8004441661199</x:v>
      </x:c>
      <x:c r="G2388" s="43" t="n">
        <x:v>3486.7993122764196</x:v>
      </x:c>
      <x:c r="H2388" s="43" t="n">
        <x:v>88212.58361938856</x:v>
      </x:c>
      <x:c r="I2388" s="43" t="n">
        <x:v>109581</x:v>
      </x:c>
      <x:c r="J2388" s="43" t="n">
        <x:v>16571</x:v>
      </x:c>
      <x:c r="K2388" s="43" t="n">
        <x:v>1096.4775270022776</x:v>
      </x:c>
      <x:c r="L2388" s="43" t="n">
        <x:v>483.67708283615775</x:v>
      </x:c>
    </x:row>
    <x:row r="2389" ht="15" hidden="0" customHeight="1">
      <x:c r="A2389" s="29" t="str">
        <x:v>26017</x:v>
      </x:c>
      <x:c r="B2389" s="29" t="str">
        <x:v>SCA-24</x:v>
      </x:c>
      <x:c r="C2389" s="44" t="n">
        <x:v>102123</x:v>
      </x:c>
      <x:c r="D2389" s="44" t="n">
        <x:v>1136.3295932087494</x:v>
      </x:c>
      <x:c r="E2389" s="44" t="n">
        <x:v>16453.708965517242</x:v>
      </x:c>
      <x:c r="F2389" s="44" t="n">
        <x:v>571.0937093070575</x:v>
      </x:c>
      <x:c r="G2389" s="44" t="n">
        <x:v>3621.604816639299</x:v>
      </x:c>
      <x:c r="H2389" s="44" t="n">
        <x:v>80340.26291532765</x:v>
      </x:c>
      <x:c r="I2389" s="44" t="n">
        <x:v>102123</x:v>
      </x:c>
      <x:c r="J2389" s="44" t="n">
        <x:v>17171</x:v>
      </x:c>
      <x:c r="K2389" s="44" t="n">
        <x:v>1021.8520956192552</x:v>
      </x:c>
      <x:c r="L2389" s="44" t="n">
        <x:v>450.75838631219773</x:v>
      </x:c>
    </x:row>
    <x:row r="2390" ht="15" hidden="0" customHeight="1">
      <x:c r="A2390" s="27" t="str">
        <x:v>39003</x:v>
      </x:c>
      <x:c r="B2390" s="27" t="str">
        <x:v>SCA-24</x:v>
      </x:c>
      <x:c r="C2390" s="43" t="n">
        <x:v>100881</x:v>
      </x:c>
      <x:c r="D2390" s="43" t="n">
        <x:v>1381.597306806185</x:v>
      </x:c>
      <x:c r="E2390" s="43" t="n">
        <x:v>15703.160709849157</x:v>
      </x:c>
      <x:c r="F2390" s="43" t="n">
        <x:v>589.6736815928275</x:v>
      </x:c>
      <x:c r="G2390" s="43" t="n">
        <x:v>3761.545157094459</x:v>
      </x:c>
      <x:c r="H2390" s="43" t="n">
        <x:v>79445.02314465736</x:v>
      </x:c>
      <x:c r="I2390" s="43" t="n">
        <x:v>100881</x:v>
      </x:c>
      <x:c r="J2390" s="43" t="n">
        <x:v>16081</x:v>
      </x:c>
      <x:c r="K2390" s="43" t="n">
        <x:v>1316.972625488631</x:v>
      </x:c>
      <x:c r="L2390" s="43" t="n">
        <x:v>727.2989438958034</x:v>
      </x:c>
    </x:row>
    <x:row r="2391" ht="15" hidden="0" customHeight="1">
      <x:c r="A2391" s="29" t="str">
        <x:v>26091</x:v>
      </x:c>
      <x:c r="B2391" s="29" t="str">
        <x:v>SCA-24</x:v>
      </x:c>
      <x:c r="C2391" s="44" t="n">
        <x:v>97779</x:v>
      </x:c>
      <x:c r="D2391" s="44" t="n">
        <x:v>1001.0886355969392</x:v>
      </x:c>
      <x:c r="E2391" s="44" t="n">
        <x:v>13668.099169318371</x:v>
      </x:c>
      <x:c r="F2391" s="44" t="n">
        <x:v>546.8011300327523</x:v>
      </x:c>
      <x:c r="G2391" s="44" t="n">
        <x:v>2954.05331498074</x:v>
      </x:c>
      <x:c r="H2391" s="44" t="n">
        <x:v>79608.95775007119</x:v>
      </x:c>
      <x:c r="I2391" s="44" t="n">
        <x:v>97779</x:v>
      </x:c>
      <x:c r="J2391" s="44" t="n">
        <x:v>13911</x:v>
      </x:c>
      <x:c r="K2391" s="44" t="n">
        <x:v>978.3856335747594</x:v>
      </x:c>
      <x:c r="L2391" s="44" t="n">
        <x:v>431.584503542007</x:v>
      </x:c>
    </x:row>
    <x:row r="2392" ht="15" hidden="0" customHeight="1">
      <x:c r="A2392" s="27" t="str">
        <x:v>26055</x:v>
      </x:c>
      <x:c r="B2392" s="27" t="str">
        <x:v>SCA-24</x:v>
      </x:c>
      <x:c r="C2392" s="43" t="n">
        <x:v>96729</x:v>
      </x:c>
      <x:c r="D2392" s="43" t="n">
        <x:v>917.2192329058736</x:v>
      </x:c>
      <x:c r="E2392" s="43" t="n">
        <x:v>11766.463211410697</x:v>
      </x:c>
      <x:c r="F2392" s="43" t="n">
        <x:v>540.929304931919</x:v>
      </x:c>
      <x:c r="G2392" s="43" t="n">
        <x:v>2354.8208839303525</x:v>
      </x:c>
      <x:c r="H2392" s="43" t="n">
        <x:v>81149.56736682115</x:v>
      </x:c>
      <x:c r="I2392" s="43" t="n">
        <x:v>96729</x:v>
      </x:c>
      <x:c r="J2392" s="43" t="n">
        <x:v>12073</x:v>
      </x:c>
      <x:c r="K2392" s="43" t="n">
        <x:v>967.8792373623468</x:v>
      </x:c>
      <x:c r="L2392" s="43" t="n">
        <x:v>426.94993243042774</x:v>
      </x:c>
    </x:row>
    <x:row r="2393" ht="15" hidden="0" customHeight="1">
      <x:c r="A2393" s="29" t="str">
        <x:v>26087</x:v>
      </x:c>
      <x:c r="B2393" s="29" t="str">
        <x:v>SCA-24</x:v>
      </x:c>
      <x:c r="C2393" s="44" t="n">
        <x:v>89516</x:v>
      </x:c>
      <x:c r="D2393" s="44" t="n">
        <x:v>951.8763403070085</x:v>
      </x:c>
      <x:c r="E2393" s="44" t="n">
        <x:v>13362.328907388135</x:v>
      </x:c>
      <x:c r="F2393" s="44" t="n">
        <x:v>500.59266259638434</x:v>
      </x:c>
      <x:c r="G2393" s="44" t="n">
        <x:v>2110.845770774491</x:v>
      </x:c>
      <x:c r="H2393" s="44" t="n">
        <x:v>72590.35631893398</x:v>
      </x:c>
      <x:c r="I2393" s="44" t="n">
        <x:v>89516</x:v>
      </x:c>
      <x:c r="J2393" s="44" t="n">
        <x:v>13598</x:v>
      </x:c>
      <x:c r="K2393" s="44" t="n">
        <x:v>895.7052984288872</x:v>
      </x:c>
      <x:c r="L2393" s="44" t="n">
        <x:v>395.11263583250286</x:v>
      </x:c>
    </x:row>
    <x:row r="2394" ht="15" hidden="0" customHeight="1">
      <x:c r="A2394" s="27" t="str">
        <x:v>26111</x:v>
      </x:c>
      <x:c r="B2394" s="27" t="str">
        <x:v>SCA-24</x:v>
      </x:c>
      <x:c r="C2394" s="43" t="n">
        <x:v>83754</x:v>
      </x:c>
      <x:c r="D2394" s="43" t="n">
        <x:v>862.4645680060472</x:v>
      </x:c>
      <x:c r="E2394" s="43" t="n">
        <x:v>11826.832629191797</x:v>
      </x:c>
      <x:c r="F2394" s="43" t="n">
        <x:v>468.37032332876333</x:v>
      </x:c>
      <x:c r="G2394" s="43" t="n">
        <x:v>2359.56753920386</x:v>
      </x:c>
      <x:c r="H2394" s="43" t="n">
        <x:v>68236.76494026952</x:v>
      </x:c>
      <x:c r="I2394" s="43" t="n">
        <x:v>83754</x:v>
      </x:c>
      <x:c r="J2394" s="43" t="n">
        <x:v>12194</x:v>
      </x:c>
      <x:c r="K2394" s="43" t="n">
        <x:v>838.0501984518189</x:v>
      </x:c>
      <x:c r="L2394" s="43" t="n">
        <x:v>369.6798751230556</x:v>
      </x:c>
    </x:row>
    <x:row r="2395" ht="15" hidden="0" customHeight="1">
      <x:c r="A2395" s="29" t="str">
        <x:v>26037</x:v>
      </x:c>
      <x:c r="B2395" s="29" t="str">
        <x:v>SCA-24</x:v>
      </x:c>
      <x:c r="C2395" s="44" t="n">
        <x:v>80432</x:v>
      </x:c>
      <x:c r="D2395" s="44" t="n">
        <x:v>771.1622691308979</x:v>
      </x:c>
      <x:c r="E2395" s="44" t="n">
        <x:v>9987.487061506303</x:v>
      </x:c>
      <x:c r="F2395" s="44" t="n">
        <x:v>449.79298715260273</x:v>
      </x:c>
      <x:c r="G2395" s="44" t="n">
        <x:v>1195.8419902451385</x:v>
      </x:c>
      <x:c r="H2395" s="44" t="n">
        <x:v>68027.71569196506</x:v>
      </x:c>
      <x:c r="I2395" s="44" t="n">
        <x:v>80432</x:v>
      </x:c>
      <x:c r="J2395" s="44" t="n">
        <x:v>10210</x:v>
      </x:c>
      <x:c r="K2395" s="44" t="n">
        <x:v>804.8099620540714</x:v>
      </x:c>
      <x:c r="L2395" s="44" t="n">
        <x:v>355.0169749014687</x:v>
      </x:c>
    </x:row>
    <x:row r="2396" ht="15" hidden="0" customHeight="1">
      <x:c r="A2396" s="27" t="str">
        <x:v>39063</x:v>
      </x:c>
      <x:c r="B2396" s="27" t="str">
        <x:v>SCA-24</x:v>
      </x:c>
      <x:c r="C2396" s="43" t="n">
        <x:v>75034</x:v>
      </x:c>
      <x:c r="D2396" s="43" t="n">
        <x:v>916.3886633687547</x:v>
      </x:c>
      <x:c r="E2396" s="43" t="n">
        <x:v>9010.39183823133</x:v>
      </x:c>
      <x:c r="F2396" s="43" t="n">
        <x:v>438.5917568683519</x:v>
      </x:c>
      <x:c r="G2396" s="43" t="n">
        <x:v>2138.285845241305</x:v>
      </x:c>
      <x:c r="H2396" s="43" t="n">
        <x:v>62530.341896290265</x:v>
      </x:c>
      <x:c r="I2396" s="43" t="n">
        <x:v>75034</x:v>
      </x:c>
      <x:c r="J2396" s="43" t="n">
        <x:v>9279</x:v>
      </x:c>
      <x:c r="K2396" s="43" t="n">
        <x:v>979.5474269774678</x:v>
      </x:c>
      <x:c r="L2396" s="43" t="n">
        <x:v>540.9556701091159</x:v>
      </x:c>
    </x:row>
    <x:row r="2397" ht="15" hidden="0" customHeight="1">
      <x:c r="A2397" s="29" t="str">
        <x:v>39159</x:v>
      </x:c>
      <x:c r="B2397" s="29" t="str">
        <x:v>SCA-24</x:v>
      </x:c>
      <x:c r="C2397" s="44" t="n">
        <x:v>73446</x:v>
      </x:c>
      <x:c r="D2397" s="44" t="n">
        <x:v>836.7433881777247</x:v>
      </x:c>
      <x:c r="E2397" s="44" t="n">
        <x:v>7373.672705715256</x:v>
      </x:c>
      <x:c r="F2397" s="44" t="n">
        <x:v>429.3095153524133</x:v>
      </x:c>
      <x:c r="G2397" s="44" t="n">
        <x:v>977.352023960231</x:v>
      </x:c>
      <x:c r="H2397" s="44" t="n">
        <x:v>63828.92236679438</x:v>
      </x:c>
      <x:c r="I2397" s="44" t="n">
        <x:v>73446</x:v>
      </x:c>
      <x:c r="J2397" s="44" t="n">
        <x:v>6774</x:v>
      </x:c>
      <x:c r="K2397" s="44" t="n">
        <x:v>958.8165407920023</x:v>
      </x:c>
      <x:c r="L2397" s="44" t="n">
        <x:v>529.507025439589</x:v>
      </x:c>
    </x:row>
    <x:row r="2398" ht="15" hidden="0" customHeight="1">
      <x:c r="A2398" s="27" t="str">
        <x:v>39043</x:v>
      </x:c>
      <x:c r="B2398" s="27" t="str">
        <x:v>SCA-24</x:v>
      </x:c>
      <x:c r="C2398" s="43" t="n">
        <x:v>73296</x:v>
      </x:c>
      <x:c r="D2398" s="43" t="n">
        <x:v>991.2761599446155</x:v>
      </x:c>
      <x:c r="E2398" s="43" t="n">
        <x:v>11108.413334424351</x:v>
      </x:c>
      <x:c r="F2398" s="43" t="n">
        <x:v>428.4327293150135</x:v>
      </x:c>
      <x:c r="G2398" s="43" t="n">
        <x:v>2897.3471210757434</x:v>
      </x:c>
      <x:c r="H2398" s="43" t="n">
        <x:v>57870.53065524028</x:v>
      </x:c>
      <x:c r="I2398" s="43" t="n">
        <x:v>73296</x:v>
      </x:c>
      <x:c r="J2398" s="43" t="n">
        <x:v>11576</x:v>
      </x:c>
      <x:c r="K2398" s="43" t="n">
        <x:v>956.8583336586145</x:v>
      </x:c>
      <x:c r="L2398" s="43" t="n">
        <x:v>528.425604343601</x:v>
      </x:c>
    </x:row>
    <x:row r="2399" ht="15" hidden="0" customHeight="1">
      <x:c r="A2399" s="29" t="str">
        <x:v>26117</x:v>
      </x:c>
      <x:c r="B2399" s="29" t="str">
        <x:v>SCA-24</x:v>
      </x:c>
      <x:c r="C2399" s="44" t="n">
        <x:v>69406</x:v>
      </x:c>
      <x:c r="D2399" s="44" t="n">
        <x:v>755.6414683350129</x:v>
      </x:c>
      <x:c r="E2399" s="44" t="n">
        <x:v>10783.005695577007</x:v>
      </x:c>
      <x:c r="F2399" s="44" t="n">
        <x:v>388.1332313794702</x:v>
      </x:c>
      <x:c r="G2399" s="44" t="n">
        <x:v>2087.869819316739</x:v>
      </x:c>
      <x:c r="H2399" s="44" t="n">
        <x:v>55391.34978539177</x:v>
      </x:c>
      <x:c r="I2399" s="44" t="n">
        <x:v>69406</x:v>
      </x:c>
      <x:c r="J2399" s="44" t="n">
        <x:v>10578</x:v>
      </x:c>
      <x:c r="K2399" s="44" t="n">
        <x:v>694.4827957321077</x:v>
      </x:c>
      <x:c r="L2399" s="44" t="n">
        <x:v>306.34956435263746</x:v>
      </x:c>
    </x:row>
    <x:row r="2400" ht="15" hidden="0" customHeight="1">
      <x:c r="A2400" s="27" t="str">
        <x:v>26155</x:v>
      </x:c>
      <x:c r="B2400" s="27" t="str">
        <x:v>SCA-24</x:v>
      </x:c>
      <x:c r="C2400" s="43" t="n">
        <x:v>67681</x:v>
      </x:c>
      <x:c r="D2400" s="43" t="n">
        <x:v>740.2974660030291</x:v>
      </x:c>
      <x:c r="E2400" s="43" t="n">
        <x:v>10597.484157723095</x:v>
      </x:c>
      <x:c r="F2400" s="43" t="n">
        <x:v>378.4866615709582</x:v>
      </x:c>
      <x:c r="G2400" s="43" t="n">
        <x:v>2247.902490364661</x:v>
      </x:c>
      <x:c r="H2400" s="43" t="n">
        <x:v>53716.82922433825</x:v>
      </x:c>
      <x:c r="I2400" s="43" t="n">
        <x:v>67681</x:v>
      </x:c>
      <x:c r="J2400" s="43" t="n">
        <x:v>11003</x:v>
      </x:c>
      <x:c r="K2400" s="43" t="n">
        <x:v>677.2222876688583</x:v>
      </x:c>
      <x:c r="L2400" s="43" t="n">
        <x:v>298.7356260979001</x:v>
      </x:c>
    </x:row>
    <x:row r="2401" ht="15" hidden="0" customHeight="1">
      <x:c r="A2401" s="29" t="str">
        <x:v>26067</x:v>
      </x:c>
      <x:c r="B2401" s="29" t="str">
        <x:v>SCA-24</x:v>
      </x:c>
      <x:c r="C2401" s="44" t="n">
        <x:v>66557</x:v>
      </x:c>
      <x:c r="D2401" s="44" t="n">
        <x:v>677.1353433814426</x:v>
      </x:c>
      <x:c r="E2401" s="44" t="n">
        <x:v>9200.661967477363</x:v>
      </x:c>
      <x:c r="F2401" s="44" t="n">
        <x:v>372.2010126058756</x:v>
      </x:c>
      <x:c r="G2401" s="44" t="n">
        <x:v>1645.2373457229096</x:v>
      </x:c>
      <x:c r="H2401" s="44" t="n">
        <x:v>54661.76433081241</x:v>
      </x:c>
      <x:c r="I2401" s="44" t="n">
        <x:v>66557</x:v>
      </x:c>
      <x:c r="J2401" s="44" t="n">
        <x:v>9112</x:v>
      </x:c>
      <x:c r="K2401" s="44" t="n">
        <x:v>665.9754406757613</x:v>
      </x:c>
      <x:c r="L2401" s="44" t="n">
        <x:v>293.77442806988574</x:v>
      </x:c>
    </x:row>
    <x:row r="2402" ht="15" hidden="0" customHeight="1">
      <x:c r="A2402" s="27" t="str">
        <x:v>39101</x:v>
      </x:c>
      <x:c r="B2402" s="27" t="str">
        <x:v>SCA-24</x:v>
      </x:c>
      <x:c r="C2402" s="43" t="n">
        <x:v>65115</x:v>
      </x:c>
      <x:c r="D2402" s="43" t="n">
        <x:v>918.6823412414304</x:v>
      </x:c>
      <x:c r="E2402" s="43" t="n">
        <x:v>10781.698643352427</x:v>
      </x:c>
      <x:c r="F2402" s="43" t="n">
        <x:v>380.6128188352312</x:v>
      </x:c>
      <x:c r="G2402" s="43" t="n">
        <x:v>2052.2533748701976</x:v>
      </x:c>
      <x:c r="H2402" s="43" t="n">
        <x:v>50981.75282170071</x:v>
      </x:c>
      <x:c r="I2402" s="43" t="n">
        <x:v>65115</x:v>
      </x:c>
      <x:c r="J2402" s="43" t="n">
        <x:v>10298</x:v>
      </x:c>
      <x:c r="K2402" s="43" t="n">
        <x:v>850.0577166036439</x:v>
      </x:c>
      <x:c r="L2402" s="43" t="n">
        <x:v>469.4448977684127</x:v>
      </x:c>
    </x:row>
    <x:row r="2403" ht="15" hidden="0" customHeight="1">
      <x:c r="A2403" s="29" t="str">
        <x:v>26073</x:v>
      </x:c>
      <x:c r="B2403" s="29" t="str">
        <x:v>SCA-24</x:v>
      </x:c>
      <x:c r="C2403" s="44" t="n">
        <x:v>64691</x:v>
      </x:c>
      <x:c r="D2403" s="44" t="n">
        <x:v>670.8969467352607</x:v>
      </x:c>
      <x:c r="E2403" s="44" t="n">
        <x:v>9248.611526693725</x:v>
      </x:c>
      <x:c r="F2403" s="44" t="n">
        <x:v>361.76594056953724</x:v>
      </x:c>
      <x:c r="G2403" s="44" t="n">
        <x:v>2487.272869185139</x:v>
      </x:c>
      <x:c r="H2403" s="44" t="n">
        <x:v>51922.45271681634</x:v>
      </x:c>
      <x:c r="I2403" s="44" t="n">
        <x:v>64691</x:v>
      </x:c>
      <x:c r="J2403" s="44" t="n">
        <x:v>9540</x:v>
      </x:c>
      <x:c r="K2403" s="44" t="n">
        <x:v>647.3040736925593</x:v>
      </x:c>
      <x:c r="L2403" s="44" t="n">
        <x:v>285.5381331230221</x:v>
      </x:c>
    </x:row>
    <x:row r="2404" ht="15" hidden="0" customHeight="1">
      <x:c r="A2404" s="27" t="str">
        <x:v>26015</x:v>
      </x:c>
      <x:c r="B2404" s="27" t="str">
        <x:v>SCA-24</x:v>
      </x:c>
      <x:c r="C2404" s="43" t="n">
        <x:v>63991</x:v>
      </x:c>
      <x:c r="D2404" s="43" t="n">
        <x:v>613.4450868239325</x:v>
      </x:c>
      <x:c r="E2404" s="43" t="n">
        <x:v>7943.9200266071175</x:v>
      </x:c>
      <x:c r="F2404" s="43" t="n">
        <x:v>357.85139050231504</x:v>
      </x:c>
      <x:c r="G2404" s="43" t="n">
        <x:v>1295.581127951727</x:v>
      </x:c>
      <x:c r="H2404" s="43" t="n">
        <x:v>53780.20236811491</x:v>
      </x:c>
      <x:c r="I2404" s="43" t="n">
        <x:v>63991</x:v>
      </x:c>
      <x:c r="J2404" s="43" t="n">
        <x:v>8165</x:v>
      </x:c>
      <x:c r="K2404" s="43" t="n">
        <x:v>640.299809550951</x:v>
      </x:c>
      <x:c r="L2404" s="43" t="n">
        <x:v>282.4484190486359</x:v>
      </x:c>
    </x:row>
    <x:row r="2405" ht="15" hidden="0" customHeight="1">
      <x:c r="A2405" s="29" t="str">
        <x:v>39143</x:v>
      </x:c>
      <x:c r="B2405" s="29" t="str">
        <x:v>SCA-24</x:v>
      </x:c>
      <x:c r="C2405" s="44" t="n">
        <x:v>58655</x:v>
      </x:c>
      <x:c r="D2405" s="44" t="n">
        <x:v>816.5576814362087</x:v>
      </x:c>
      <x:c r="E2405" s="44" t="n">
        <x:v>9448.46365284035</x:v>
      </x:c>
      <x:c r="F2405" s="44" t="n">
        <x:v>342.8525668245486</x:v>
      </x:c>
      <x:c r="G2405" s="44" t="n">
        <x:v>890.0408057583761</x:v>
      </x:c>
      <x:c r="H2405" s="44" t="n">
        <x:v>47157.08529314052</x:v>
      </x:c>
      <x:c r="I2405" s="44" t="n">
        <x:v>58655</x:v>
      </x:c>
      <x:c r="J2405" s="44" t="n">
        <x:v>9721</x:v>
      </x:c>
      <x:c r="K2405" s="44" t="n">
        <x:v>765.7242627257426</x:v>
      </x:c>
      <x:c r="L2405" s="44" t="n">
        <x:v>422.871695901194</x:v>
      </x:c>
    </x:row>
    <x:row r="2406" ht="15" hidden="0" customHeight="1">
      <x:c r="A2406" s="27" t="str">
        <x:v>39077</x:v>
      </x:c>
      <x:c r="B2406" s="27" t="str">
        <x:v>SCA-24</x:v>
      </x:c>
      <x:c r="C2406" s="43" t="n">
        <x:v>58250</x:v>
      </x:c>
      <x:c r="D2406" s="43" t="n">
        <x:v>795.864920470109</x:v>
      </x:c>
      <x:c r="E2406" s="43" t="n">
        <x:v>9021.913476673988</x:v>
      </x:c>
      <x:c r="F2406" s="43" t="n">
        <x:v>340.4852445235693</x:v>
      </x:c>
      <x:c r="G2406" s="43" t="n">
        <x:v>1773.354863261317</x:v>
      </x:c>
      <x:c r="H2406" s="43" t="n">
        <x:v>46318.381495071015</x:v>
      </x:c>
      <x:c r="I2406" s="43" t="n">
        <x:v>58250</x:v>
      </x:c>
      <x:c r="J2406" s="43" t="n">
        <x:v>9327</x:v>
      </x:c>
      <x:c r="K2406" s="43" t="n">
        <x:v>760.4371034655956</x:v>
      </x:c>
      <x:c r="L2406" s="43" t="n">
        <x:v>419.95185894202626</x:v>
      </x:c>
    </x:row>
    <x:row r="2407" ht="15" hidden="0" customHeight="1">
      <x:c r="A2407" s="29" t="str">
        <x:v>39147</x:v>
      </x:c>
      <x:c r="B2407" s="29" t="str">
        <x:v>SCA-24</x:v>
      </x:c>
      <x:c r="C2407" s="44" t="n">
        <x:v>54522</x:v>
      </x:c>
      <x:c r="D2407" s="44" t="n">
        <x:v>723.9052628370351</x:v>
      </x:c>
      <x:c r="E2407" s="44" t="n">
        <x:v>7939.927748815165</x:v>
      </x:c>
      <x:c r="F2407" s="44" t="n">
        <x:v>318.6941888740609</x:v>
      </x:c>
      <x:c r="G2407" s="44" t="n">
        <x:v>1734.3579494964458</x:v>
      </x:c>
      <x:c r="H2407" s="44" t="n">
        <x:v>43805.11484997729</x:v>
      </x:c>
      <x:c r="I2407" s="44" t="n">
        <x:v>54522</x:v>
      </x:c>
      <x:c r="J2407" s="44" t="n">
        <x:v>8194</x:v>
      </x:c>
      <x:c r="K2407" s="44" t="n">
        <x:v>711.7691288437975</x:v>
      </x:c>
      <x:c r="L2407" s="44" t="n">
        <x:v>393.0749399697366</x:v>
      </x:c>
    </x:row>
    <x:row r="2408" ht="15" hidden="0" customHeight="1">
      <x:c r="A2408" s="27" t="str">
        <x:v>26157</x:v>
      </x:c>
      <x:c r="B2408" s="27" t="str">
        <x:v>SCA-24</x:v>
      </x:c>
      <x:c r="C2408" s="43" t="n">
        <x:v>52680</x:v>
      </x:c>
      <x:c r="D2408" s="43" t="n">
        <x:v>644.6291636305016</x:v>
      </x:c>
      <x:c r="E2408" s="43" t="n">
        <x:v>9890.546643520725</x:v>
      </x:c>
      <x:c r="F2408" s="43" t="n">
        <x:v>294.59785363038486</x:v>
      </x:c>
      <x:c r="G2408" s="43" t="n">
        <x:v>1592.7704545888098</x:v>
      </x:c>
      <x:c r="H2408" s="43" t="n">
        <x:v>40257.45588462958</x:v>
      </x:c>
      <x:c r="I2408" s="43" t="n">
        <x:v>52680</x:v>
      </x:c>
      <x:c r="J2408" s="43" t="n">
        <x:v>10252</x:v>
      </x:c>
      <x:c r="K2408" s="43" t="n">
        <x:v>527.1209071141894</x:v>
      </x:c>
      <x:c r="L2408" s="43" t="n">
        <x:v>232.52305348380457</x:v>
      </x:c>
    </x:row>
    <x:row r="2409" ht="15" hidden="0" customHeight="1">
      <x:c r="A2409" s="29" t="str">
        <x:v>26123</x:v>
      </x:c>
      <x:c r="B2409" s="29" t="str">
        <x:v>SCA-24</x:v>
      </x:c>
      <x:c r="C2409" s="44" t="n">
        <x:v>51622</x:v>
      </x:c>
      <x:c r="D2409" s="44" t="n">
        <x:v>594.7170970478774</x:v>
      </x:c>
      <x:c r="E2409" s="44" t="n">
        <x:v>8804.734216647481</x:v>
      </x:c>
      <x:c r="F2409" s="44" t="n">
        <x:v>288.6812908144974</x:v>
      </x:c>
      <x:c r="G2409" s="44" t="n">
        <x:v>1282.8372960743063</x:v>
      </x:c>
      <x:c r="H2409" s="44" t="n">
        <x:v>40651.03009941584</x:v>
      </x:c>
      <x:c r="I2409" s="44" t="n">
        <x:v>51622</x:v>
      </x:c>
      <x:c r="J2409" s="44" t="n">
        <x:v>8952</x:v>
      </x:c>
      <x:c r="K2409" s="44" t="n">
        <x:v>516.5344621687298</x:v>
      </x:c>
      <x:c r="L2409" s="44" t="n">
        <x:v>227.85317135423236</x:v>
      </x:c>
    </x:row>
    <x:row r="2410" ht="15" hidden="0" customHeight="1">
      <x:c r="A2410" s="27" t="str">
        <x:v>39149</x:v>
      </x:c>
      <x:c r="B2410" s="27" t="str">
        <x:v>SCA-24</x:v>
      </x:c>
      <x:c r="C2410" s="43" t="n">
        <x:v>48065</x:v>
      </x:c>
      <x:c r="D2410" s="43" t="n">
        <x:v>629.7007687942989</x:v>
      </x:c>
      <x:c r="E2410" s="43" t="n">
        <x:v>6796.257654476671</x:v>
      </x:c>
      <x:c r="F2410" s="43" t="n">
        <x:v>280.95147258412635</x:v>
      </x:c>
      <x:c r="G2410" s="43" t="n">
        <x:v>1112.361790668348</x:v>
      </x:c>
      <x:c r="H2410" s="43" t="n">
        <x:v>39245.72831347655</x:v>
      </x:c>
      <x:c r="I2410" s="43" t="n">
        <x:v>48065</x:v>
      </x:c>
      <x:c r="J2410" s="43" t="n">
        <x:v>7008</x:v>
      </x:c>
      <x:c r="K2410" s="43" t="n">
        <x:v>627.474839108564</x:v>
      </x:c>
      <x:c r="L2410" s="43" t="n">
        <x:v>346.5233665244376</x:v>
      </x:c>
    </x:row>
    <x:row r="2411" ht="15" hidden="0" customHeight="1">
      <x:c r="A2411" s="29" t="str">
        <x:v>39097</x:v>
      </x:c>
      <x:c r="B2411" s="29" t="str">
        <x:v>SCA-24</x:v>
      </x:c>
      <x:c r="C2411" s="44" t="n">
        <x:v>46985</x:v>
      </x:c>
      <x:c r="D2411" s="44" t="n">
        <x:v>603.1076631038296</x:v>
      </x:c>
      <x:c r="E2411" s="44" t="n">
        <x:v>6344.892683292143</x:v>
      </x:c>
      <x:c r="F2411" s="44" t="n">
        <x:v>274.6386131148482</x:v>
      </x:c>
      <x:c r="G2411" s="44" t="n">
        <x:v>694.770313787164</x:v>
      </x:c>
      <x:c r="H2411" s="44" t="n">
        <x:v>39067.590726702016</x:v>
      </x:c>
      <x:c r="I2411" s="44" t="n">
        <x:v>46985</x:v>
      </x:c>
      <x:c r="J2411" s="44" t="n">
        <x:v>5635</x:v>
      </x:c>
      <x:c r="K2411" s="44" t="n">
        <x:v>613.3757477481719</x:v>
      </x:c>
      <x:c r="L2411" s="44" t="n">
        <x:v>338.73713463332365</x:v>
      </x:c>
    </x:row>
    <x:row r="2412" ht="15" hidden="0" customHeight="1">
      <x:c r="A2412" s="27" t="str">
        <x:v>39091</x:v>
      </x:c>
      <x:c r="B2412" s="27" t="str">
        <x:v>SCA-24</x:v>
      </x:c>
      <x:c r="C2412" s="43" t="n">
        <x:v>46302</x:v>
      </x:c>
      <x:c r="D2412" s="43" t="n">
        <x:v>621.2326985569125</x:v>
      </x:c>
      <x:c r="E2412" s="43" t="n">
        <x:v>6898.071231535705</x:v>
      </x:c>
      <x:c r="F2412" s="43" t="n">
        <x:v>270.6463140245546</x:v>
      </x:c>
      <x:c r="G2412" s="43" t="n">
        <x:v>1984.0421947382222</x:v>
      </x:c>
      <x:c r="H2412" s="43" t="n">
        <x:v>36528.00756114461</x:v>
      </x:c>
      <x:c r="I2412" s="43" t="n">
        <x:v>46302</x:v>
      </x:c>
      <x:c r="J2412" s="43" t="n">
        <x:v>7102</x:v>
      </x:c>
      <x:c r="K2412" s="43" t="n">
        <x:v>604.459377934146</x:v>
      </x:c>
      <x:c r="L2412" s="43" t="n">
        <x:v>333.8130639095914</x:v>
      </x:c>
    </x:row>
    <x:row r="2413" ht="15" hidden="0" customHeight="1">
      <x:c r="A2413" s="29" t="str">
        <x:v>26023</x:v>
      </x:c>
      <x:c r="B2413" s="29" t="str">
        <x:v>SCA-24</x:v>
      </x:c>
      <x:c r="C2413" s="44" t="n">
        <x:v>45993</x:v>
      </x:c>
      <x:c r="D2413" s="44" t="n">
        <x:v>494.91610355565194</x:v>
      </x:c>
      <x:c r="E2413" s="44" t="n">
        <x:v>7005.8075336816055</x:v>
      </x:c>
      <x:c r="F2413" s="44" t="n">
        <x:v>257.2027160596486</x:v>
      </x:c>
      <x:c r="G2413" s="44" t="n">
        <x:v>1984.2764526624505</x:v>
      </x:c>
      <x:c r="H2413" s="44" t="n">
        <x:v>36250.79719404064</x:v>
      </x:c>
      <x:c r="I2413" s="44" t="n">
        <x:v>45993</x:v>
      </x:c>
      <x:c r="J2413" s="44" t="n">
        <x:v>6925</x:v>
      </x:c>
      <x:c r="K2413" s="44" t="n">
        <x:v>460.21017237856705</x:v>
      </x:c>
      <x:c r="L2413" s="44" t="n">
        <x:v>203.00745631891846</x:v>
      </x:c>
    </x:row>
    <x:row r="2414" ht="15" hidden="0" customHeight="1">
      <x:c r="A2414" s="27" t="str">
        <x:v>39011</x:v>
      </x:c>
      <x:c r="B2414" s="27" t="str">
        <x:v>SCA-24</x:v>
      </x:c>
      <x:c r="C2414" s="43" t="n">
        <x:v>45909</x:v>
      </x:c>
      <x:c r="D2414" s="43" t="n">
        <x:v>586.871578365764</x:v>
      </x:c>
      <x:c r="E2414" s="43" t="n">
        <x:v>6141.404105463869</x:v>
      </x:c>
      <x:c r="F2414" s="43" t="n">
        <x:v>268.3491346065673</x:v>
      </x:c>
      <x:c r="G2414" s="43" t="n">
        <x:v>938.1114252525916</x:v>
      </x:c>
      <x:c r="H2414" s="43" t="n">
        <x:v>37974.26375631121</x:v>
      </x:c>
      <x:c r="I2414" s="43" t="n">
        <x:v>45909</x:v>
      </x:c>
      <x:c r="J2414" s="43" t="n">
        <x:v>6358</x:v>
      </x:c>
      <x:c r="K2414" s="43" t="n">
        <x:v>599.32887524467</x:v>
      </x:c>
      <x:c r="L2414" s="43" t="n">
        <x:v>330.9797406381027</x:v>
      </x:c>
    </x:row>
    <x:row r="2415" ht="15" hidden="0" customHeight="1">
      <x:c r="A2415" s="29" t="str">
        <x:v>26059</x:v>
      </x:c>
      <x:c r="B2415" s="29" t="str">
        <x:v>SCA-24</x:v>
      </x:c>
      <x:c r="C2415" s="44" t="n">
        <x:v>45738</x:v>
      </x:c>
      <x:c r="D2415" s="44" t="n">
        <x:v>499.7717130709299</x:v>
      </x:c>
      <x:c r="E2415" s="44" t="n">
        <x:v>7149.355090812907</x:v>
      </x:c>
      <x:c r="F2415" s="44" t="n">
        <x:v>255.77670139230332</x:v>
      </x:c>
      <x:c r="G2415" s="44" t="n">
        <x:v>1658.4456224651735</x:v>
      </x:c>
      <x:c r="H2415" s="44" t="n">
        <x:v>36174.65087225869</x:v>
      </x:c>
      <x:c r="I2415" s="44" t="n">
        <x:v>45738</x:v>
      </x:c>
      <x:c r="J2415" s="44" t="n">
        <x:v>7387</x:v>
      </x:c>
      <x:c r="K2415" s="44" t="n">
        <x:v>457.6586190126954</x:v>
      </x:c>
      <x:c r="L2415" s="44" t="n">
        <x:v>201.88191762039207</x:v>
      </x:c>
    </x:row>
    <x:row r="2416" ht="15" hidden="0" customHeight="1">
      <x:c r="A2416" s="27" t="str">
        <x:v>18033</x:v>
      </x:c>
      <x:c r="B2416" s="27" t="str">
        <x:v>SCA-24</x:v>
      </x:c>
      <x:c r="C2416" s="43" t="n">
        <x:v>44535</x:v>
      </x:c>
      <x:c r="D2416" s="43" t="n">
        <x:v>564.4550373062712</x:v>
      </x:c>
      <x:c r="E2416" s="43" t="n">
        <x:v>6260.13386505613</x:v>
      </x:c>
      <x:c r="F2416" s="43" t="n">
        <x:v>289.90019446588883</x:v>
      </x:c>
      <x:c r="G2416" s="43" t="n">
        <x:v>1517.2321407989673</x:v>
      </x:c>
      <x:c r="H2416" s="43" t="n">
        <x:v>35903.27876237274</x:v>
      </x:c>
      <x:c r="I2416" s="43" t="n">
        <x:v>44535</x:v>
      </x:c>
      <x:c r="J2416" s="43" t="n">
        <x:v>6352</x:v>
      </x:c>
      <x:c r="K2416" s="43" t="n">
        <x:v>593.5163207281546</x:v>
      </x:c>
      <x:c r="L2416" s="43" t="n">
        <x:v>303.61612626226577</x:v>
      </x:c>
    </x:row>
    <x:row r="2417" ht="15" hidden="0" customHeight="1">
      <x:c r="A2417" s="29" t="str">
        <x:v>39107</x:v>
      </x:c>
      <x:c r="B2417" s="29" t="str">
        <x:v>SCA-24</x:v>
      </x:c>
      <x:c r="C2417" s="44" t="n">
        <x:v>42737</x:v>
      </x:c>
      <x:c r="D2417" s="44" t="n">
        <x:v>494.64586804713593</x:v>
      </x:c>
      <x:c r="E2417" s="44" t="n">
        <x:v>4476.829892452651</x:v>
      </x:c>
      <x:c r="F2417" s="44" t="n">
        <x:v>249.80803253568726</x:v>
      </x:c>
      <x:c r="G2417" s="44" t="n">
        <x:v>1099.7941610355</x:v>
      </x:c>
      <x:c r="H2417" s="44" t="n">
        <x:v>36415.92204592902</x:v>
      </x:c>
      <x:c r="I2417" s="44" t="n">
        <x:v>42737</x:v>
      </x:c>
      <x:c r="J2417" s="44" t="n">
        <x:v>4586</x:v>
      </x:c>
      <x:c r="K2417" s="44" t="n">
        <x:v>557.9193217306293</x:v>
      </x:c>
      <x:c r="L2417" s="44" t="n">
        <x:v>308.11128919494206</x:v>
      </x:c>
    </x:row>
    <x:row r="2418" ht="15" hidden="0" customHeight="1">
      <x:c r="A2418" s="27" t="str">
        <x:v>26107</x:v>
      </x:c>
      <x:c r="B2418" s="27" t="str">
        <x:v>SCA-24</x:v>
      </x:c>
      <x:c r="C2418" s="43" t="n">
        <x:v>42320</x:v>
      </x:c>
      <x:c r="D2418" s="43" t="n">
        <x:v>457.65816548762155</x:v>
      </x:c>
      <x:c r="E2418" s="43" t="n">
        <x:v>6500.709127313571</x:v>
      </x:c>
      <x:c r="F2418" s="43" t="n">
        <x:v>236.66251263549518</x:v>
      </x:c>
      <x:c r="G2418" s="43" t="n">
        <x:v>1853.8605996972215</x:v>
      </x:c>
      <x:c r="H2418" s="43" t="n">
        <x:v>33271.109594866095</x:v>
      </x:c>
      <x:c r="I2418" s="43" t="n">
        <x:v>42320</x:v>
      </x:c>
      <x:c r="J2418" s="43" t="n">
        <x:v>6553</x:v>
      </x:c>
      <x:c r="K2418" s="43" t="n">
        <x:v>423.4577978183845</x:v>
      </x:c>
      <x:c r="L2418" s="43" t="n">
        <x:v>186.79528518288933</x:v>
      </x:c>
    </x:row>
    <x:row r="2419" ht="15" hidden="0" customHeight="1">
      <x:c r="A2419" s="29" t="str">
        <x:v>39033</x:v>
      </x:c>
      <x:c r="B2419" s="29" t="str">
        <x:v>SCA-24</x:v>
      </x:c>
      <x:c r="C2419" s="44" t="n">
        <x:v>41896</x:v>
      </x:c>
      <x:c r="D2419" s="44" t="n">
        <x:v>570.6070113349886</x:v>
      </x:c>
      <x:c r="E2419" s="44" t="n">
        <x:v>6445.413354037267</x:v>
      </x:c>
      <x:c r="F2419" s="44" t="n">
        <x:v>244.8921854859994</x:v>
      </x:c>
      <x:c r="G2419" s="44" t="n">
        <x:v>1438.0662242818323</x:v>
      </x:c>
      <x:c r="H2419" s="44" t="n">
        <x:v>33197.02122485991</x:v>
      </x:c>
      <x:c r="I2419" s="44" t="n">
        <x:v>41896</x:v>
      </x:c>
      <x:c r="J2419" s="44" t="n">
        <x:v>6605</x:v>
      </x:c>
      <x:c r="K2419" s="44" t="n">
        <x:v>546.9403070694351</x:v>
      </x:c>
      <x:c r="L2419" s="44" t="n">
        <x:v>302.0481215834357</x:v>
      </x:c>
    </x:row>
    <x:row r="2420" ht="15" hidden="0" customHeight="1">
      <x:c r="A2420" s="27" t="str">
        <x:v>39051</x:v>
      </x:c>
      <x:c r="B2420" s="27" t="str">
        <x:v>SCA-24</x:v>
      </x:c>
      <x:c r="C2420" s="43" t="n">
        <x:v>41853</x:v>
      </x:c>
      <x:c r="D2420" s="43" t="n">
        <x:v>549.2494068365784</x:v>
      </x:c>
      <x:c r="E2420" s="43" t="n">
        <x:v>5940.271023215821</x:v>
      </x:c>
      <x:c r="F2420" s="43" t="n">
        <x:v>244.64084015527806</x:v>
      </x:c>
      <x:c r="G2420" s="43" t="n">
        <x:v>697.9144453998281</x:v>
      </x:c>
      <x:c r="H2420" s="43" t="n">
        <x:v>34420.924284392495</x:v>
      </x:c>
      <x:c r="I2420" s="43" t="n">
        <x:v>41853</x:v>
      </x:c>
      <x:c r="J2420" s="43" t="n">
        <x:v>6190</x:v>
      </x:c>
      <x:c r="K2420" s="43" t="n">
        <x:v>546.3789543578639</x:v>
      </x:c>
      <x:c r="L2420" s="43" t="n">
        <x:v>301.73811420258585</x:v>
      </x:c>
    </x:row>
    <x:row r="2421" ht="15" hidden="0" customHeight="1">
      <x:c r="A2421" s="29" t="str">
        <x:v>26057</x:v>
      </x:c>
      <x:c r="B2421" s="29" t="str">
        <x:v>SCA-24</x:v>
      </x:c>
      <x:c r="C2421" s="44" t="n">
        <x:v>41190</x:v>
      </x:c>
      <x:c r="D2421" s="44" t="n">
        <x:v>445.5449444810967</x:v>
      </x:c>
      <x:c r="E2421" s="44" t="n">
        <x:v>6329.696174153196</x:v>
      </x:c>
      <x:c r="F2421" s="44" t="n">
        <x:v>230.34331038412208</x:v>
      </x:c>
      <x:c r="G2421" s="44" t="n">
        <x:v>987.3334280995317</x:v>
      </x:c>
      <x:c r="H2421" s="44" t="n">
        <x:v>33197.08214288205</x:v>
      </x:c>
      <x:c r="I2421" s="44" t="n">
        <x:v>41190</x:v>
      </x:c>
      <x:c r="J2421" s="44" t="n">
        <x:v>5912</x:v>
      </x:c>
      <x:c r="K2421" s="44" t="n">
        <x:v>412.1509142755023</x:v>
      </x:c>
      <x:c r="L2421" s="44" t="n">
        <x:v>181.80760389138024</x:v>
      </x:c>
    </x:row>
    <x:row r="2422" ht="15" hidden="0" customHeight="1">
      <x:c r="A2422" s="27" t="str">
        <x:v>26151</x:v>
      </x:c>
      <x:c r="B2422" s="27" t="str">
        <x:v>SCA-24</x:v>
      </x:c>
      <x:c r="C2422" s="43" t="n">
        <x:v>40083</x:v>
      </x:c>
      <x:c r="D2422" s="43" t="n">
        <x:v>440.00924244503017</x:v>
      </x:c>
      <x:c r="E2422" s="43" t="n">
        <x:v>6314.1072160423</x:v>
      </x:c>
      <x:c r="F2422" s="43" t="n">
        <x:v>224.1527290635291</x:v>
      </x:c>
      <x:c r="G2422" s="43" t="n">
        <x:v>1618.7408963934752</x:v>
      </x:c>
      <x:c r="H2422" s="43" t="n">
        <x:v>31485.989916055663</x:v>
      </x:c>
      <x:c r="I2422" s="43" t="n">
        <x:v>40083</x:v>
      </x:c>
      <x:c r="J2422" s="43" t="n">
        <x:v>6579</x:v>
      </x:c>
      <x:c r="K2422" s="43" t="n">
        <x:v>401.0741708401301</x:v>
      </x:c>
      <x:c r="L2422" s="43" t="n">
        <x:v>176.92144177660097</x:v>
      </x:c>
    </x:row>
    <x:row r="2423" ht="15" hidden="0" customHeight="1">
      <x:c r="A2423" s="29" t="str">
        <x:v>39123</x:v>
      </x:c>
      <x:c r="B2423" s="29" t="str">
        <x:v>SCA-24</x:v>
      </x:c>
      <x:c r="C2423" s="44" t="n">
        <x:v>39481</x:v>
      </x:c>
      <x:c r="D2423" s="44" t="n">
        <x:v>530.794569001135</x:v>
      </x:c>
      <x:c r="E2423" s="44" t="n">
        <x:v>5907.775849514563</x:v>
      </x:c>
      <x:c r="F2423" s="44" t="n">
        <x:v>230.77593028386337</x:v>
      </x:c>
      <x:c r="G2423" s="44" t="n">
        <x:v>905.3286180218446</x:v>
      </x:c>
      <x:c r="H2423" s="44" t="n">
        <x:v>31906.325033178593</x:v>
      </x:c>
      <x:c r="I2423" s="44" t="n">
        <x:v>39481</x:v>
      </x:c>
      <x:c r="J2423" s="44" t="n">
        <x:v>6165</x:v>
      </x:c>
      <x:c r="K2423" s="44" t="n">
        <x:v>515.4131722218915</x:v>
      </x:c>
      <x:c r="L2423" s="44" t="n">
        <x:v>284.6372419380281</x:v>
      </x:c>
    </x:row>
    <x:row r="2424" ht="15" hidden="0" customHeight="1">
      <x:c r="A2424" s="27" t="str">
        <x:v>39021</x:v>
      </x:c>
      <x:c r="B2424" s="27" t="str">
        <x:v>SCA-24</x:v>
      </x:c>
      <x:c r="C2424" s="43" t="n">
        <x:v>38820</x:v>
      </x:c>
      <x:c r="D2424" s="43" t="n">
        <x:v>499.1448822271954</x:v>
      </x:c>
      <x:c r="E2424" s="43" t="n">
        <x:v>5262.554462051709</x:v>
      </x:c>
      <x:c r="F2424" s="43" t="n">
        <x:v>226.91222647905514</x:v>
      </x:c>
      <x:c r="G2424" s="43" t="n">
        <x:v>1200.1570319015846</x:v>
      </x:c>
      <x:c r="H2424" s="43" t="n">
        <x:v>31631.231397340456</x:v>
      </x:c>
      <x:c r="I2424" s="43" t="n">
        <x:v>38820</x:v>
      </x:c>
      <x:c r="J2424" s="43" t="n">
        <x:v>5418</x:v>
      </x:c>
      <x:c r="K2424" s="43" t="n">
        <x:v>506.7840061207626</x:v>
      </x:c>
      <x:c r="L2424" s="43" t="n">
        <x:v>279.87177964170746</x:v>
      </x:c>
    </x:row>
    <x:row r="2425" ht="15" hidden="0" customHeight="1">
      <x:c r="A2425" s="29" t="str">
        <x:v>39039</x:v>
      </x:c>
      <x:c r="B2425" s="29" t="str">
        <x:v>SCA-24</x:v>
      </x:c>
      <x:c r="C2425" s="44" t="n">
        <x:v>38292</x:v>
      </x:c>
      <x:c r="D2425" s="44" t="n">
        <x:v>498.03669103669426</x:v>
      </x:c>
      <x:c r="E2425" s="44" t="n">
        <x:v>5327.316327668754</x:v>
      </x:c>
      <x:c r="F2425" s="44" t="n">
        <x:v>223.82593962740808</x:v>
      </x:c>
      <x:c r="G2425" s="44" t="n">
        <x:v>1146.2343478718367</x:v>
      </x:c>
      <x:c r="H2425" s="44" t="n">
        <x:v>31096.586693795307</x:v>
      </x:c>
      <x:c r="I2425" s="44" t="n">
        <x:v>38292</x:v>
      </x:c>
      <x:c r="J2425" s="44" t="n">
        <x:v>5509</x:v>
      </x:c>
      <x:c r="K2425" s="44" t="n">
        <x:v>499.89111701123755</x:v>
      </x:c>
      <x:c r="L2425" s="44" t="n">
        <x:v>276.0651773838295</x:v>
      </x:c>
    </x:row>
    <x:row r="2426" ht="15" hidden="0" customHeight="1">
      <x:c r="A2426" s="27" t="str">
        <x:v>18001</x:v>
      </x:c>
      <x:c r="B2426" s="27" t="str">
        <x:v>SCA-24</x:v>
      </x:c>
      <x:c r="C2426" s="43" t="n">
        <x:v>36650</x:v>
      </x:c>
      <x:c r="D2426" s="43" t="n">
        <x:v>430.6759079130179</x:v>
      </x:c>
      <x:c r="E2426" s="43" t="n">
        <x:v>4339.573206544539</x:v>
      </x:c>
      <x:c r="F2426" s="43" t="n">
        <x:v>238.57285566800994</x:v>
      </x:c>
      <x:c r="G2426" s="43" t="n">
        <x:v>4489.817298279961</x:v>
      </x:c>
      <x:c r="H2426" s="43" t="n">
        <x:v>27151.360731594476</x:v>
      </x:c>
      <x:c r="I2426" s="43" t="n">
        <x:v>36650</x:v>
      </x:c>
      <x:c r="J2426" s="43" t="n">
        <x:v>4410</x:v>
      </x:c>
      <x:c r="K2426" s="43" t="n">
        <x:v>488.4332133083387</x:v>
      </x:c>
      <x:c r="L2426" s="43" t="n">
        <x:v>249.86035764032874</x:v>
      </x:c>
    </x:row>
    <x:row r="2427" ht="15" hidden="0" customHeight="1">
      <x:c r="A2427" s="29" t="str">
        <x:v>39171</x:v>
      </x:c>
      <x:c r="B2427" s="29" t="str">
        <x:v>SCA-24</x:v>
      </x:c>
      <x:c r="C2427" s="44" t="n">
        <x:v>36549</x:v>
      </x:c>
      <x:c r="D2427" s="44" t="n">
        <x:v>514.7951326245167</x:v>
      </x:c>
      <x:c r="E2427" s="44" t="n">
        <x:v>6031.105641025641</x:v>
      </x:c>
      <x:c r="F2427" s="44" t="n">
        <x:v>213.63768587282294</x:v>
      </x:c>
      <x:c r="G2427" s="44" t="n">
        <x:v>1095.5897435897436</x:v>
      </x:c>
      <x:c r="H2427" s="44" t="n">
        <x:v>28693.871796887277</x:v>
      </x:c>
      <x:c r="I2427" s="44" t="n">
        <x:v>36549</x:v>
      </x:c>
      <x:c r="J2427" s="44" t="n">
        <x:v>6154</x:v>
      </x:c>
      <x:c r="K2427" s="44" t="n">
        <x:v>477.1367501212713</x:v>
      </x:c>
      <x:c r="L2427" s="44" t="n">
        <x:v>263.49906424844835</x:v>
      </x:c>
    </x:row>
    <x:row r="2428" ht="15" hidden="0" customHeight="1">
      <x:c r="A2428" s="27" t="str">
        <x:v>39117</x:v>
      </x:c>
      <x:c r="B2428" s="27" t="str">
        <x:v>SCA-24</x:v>
      </x:c>
      <x:c r="C2428" s="43" t="n">
        <x:v>36305</x:v>
      </x:c>
      <x:c r="D2428" s="43" t="n">
        <x:v>486.2134226854199</x:v>
      </x:c>
      <x:c r="E2428" s="43" t="n">
        <x:v>5387.363282074691</x:v>
      </x:c>
      <x:c r="F2428" s="43" t="n">
        <x:v>212.21144725198604</x:v>
      </x:c>
      <x:c r="G2428" s="43" t="n">
        <x:v>1409.3238709309294</x:v>
      </x:c>
      <x:c r="H2428" s="43" t="n">
        <x:v>28809.887977056977</x:v>
      </x:c>
      <x:c r="I2428" s="43" t="n">
        <x:v>36305</x:v>
      </x:c>
      <x:c r="J2428" s="43" t="n">
        <x:v>5418</x:v>
      </x:c>
      <x:c r="K2428" s="43" t="n">
        <x:v>473.9513998509605</x:v>
      </x:c>
      <x:c r="L2428" s="43" t="n">
        <x:v>261.73995259897447</x:v>
      </x:c>
    </x:row>
    <x:row r="2429" ht="15" hidden="0" customHeight="1">
      <x:c r="A2429" s="29" t="str">
        <x:v>26033</x:v>
      </x:c>
      <x:c r="B2429" s="29" t="str">
        <x:v>SCA-24</x:v>
      </x:c>
      <x:c r="C2429" s="44" t="n">
        <x:v>36081</x:v>
      </x:c>
      <x:c r="D2429" s="44" t="n">
        <x:v>411.93182939385804</x:v>
      </x:c>
      <x:c r="E2429" s="44" t="n">
        <x:v>6064.193384837945</x:v>
      </x:c>
      <x:c r="F2429" s="44" t="n">
        <x:v>201.7726871077812</x:v>
      </x:c>
      <x:c r="G2429" s="44" t="n">
        <x:v>1329.3672165963865</x:v>
      </x:c>
      <x:c r="H2429" s="44" t="n">
        <x:v>28073.734882064033</x:v>
      </x:c>
      <x:c r="I2429" s="44" t="n">
        <x:v>36081</x:v>
      </x:c>
      <x:c r="J2429" s="44" t="n">
        <x:v>5688</x:v>
      </x:c>
      <x:c r="K2429" s="44" t="n">
        <x:v>361.02979213339154</x:v>
      </x:c>
      <x:c r="L2429" s="44" t="n">
        <x:v>159.25710502561034</x:v>
      </x:c>
    </x:row>
    <x:row r="2430" ht="15" hidden="0" customHeight="1">
      <x:c r="A2430" s="27" t="str">
        <x:v>18151</x:v>
      </x:c>
      <x:c r="B2430" s="27" t="str">
        <x:v>SCA-24</x:v>
      </x:c>
      <x:c r="C2430" s="43" t="n">
        <x:v>34799</x:v>
      </x:c>
      <x:c r="D2430" s="43" t="n">
        <x:v>454.8862489818545</x:v>
      </x:c>
      <x:c r="E2430" s="43" t="n">
        <x:v>5223.480779040111</x:v>
      </x:c>
      <x:c r="F2430" s="43" t="n">
        <x:v>226.52378729580022</x:v>
      </x:c>
      <x:c r="G2430" s="43" t="n">
        <x:v>973.5620797588684</x:v>
      </x:c>
      <x:c r="H2430" s="43" t="n">
        <x:v>27920.547104923367</x:v>
      </x:c>
      <x:c r="I2430" s="43" t="n">
        <x:v>34799</x:v>
      </x:c>
      <x:c r="J2430" s="43" t="n">
        <x:v>5395</x:v>
      </x:c>
      <x:c r="K2430" s="43" t="n">
        <x:v>463.76500381765015</x:v>
      </x:c>
      <x:c r="L2430" s="43" t="n">
        <x:v>237.24121652184994</x:v>
      </x:c>
    </x:row>
    <x:row r="2431" ht="15" hidden="0" customHeight="1">
      <x:c r="A2431" s="29" t="str">
        <x:v>26165</x:v>
      </x:c>
      <x:c r="B2431" s="29" t="str">
        <x:v>SCA-24</x:v>
      </x:c>
      <x:c r="C2431" s="44" t="n">
        <x:v>34445</x:v>
      </x:c>
      <x:c r="D2431" s="44" t="n">
        <x:v>415.78710819227325</x:v>
      </x:c>
      <x:c r="E2431" s="44" t="n">
        <x:v>6330.026552309479</x:v>
      </x:c>
      <x:c r="F2431" s="44" t="n">
        <x:v>192.6238243792446</x:v>
      </x:c>
      <x:c r="G2431" s="44" t="n">
        <x:v>1037.3963786890617</x:v>
      </x:c>
      <x:c r="H2431" s="44" t="n">
        <x:v>26469.16613642994</x:v>
      </x:c>
      <x:c r="I2431" s="44" t="n">
        <x:v>34445</x:v>
      </x:c>
      <x:c r="J2431" s="44" t="n">
        <x:v>6428</x:v>
      </x:c>
      <x:c r="K2431" s="44" t="n">
        <x:v>344.6598262252896</x:v>
      </x:c>
      <x:c r="L2431" s="44" t="n">
        <x:v>152.03600184604497</x:v>
      </x:c>
    </x:row>
    <x:row r="2432" ht="15" hidden="0" customHeight="1">
      <x:c r="A2432" s="27" t="str">
        <x:v>39137</x:v>
      </x:c>
      <x:c r="B2432" s="27" t="str">
        <x:v>SCA-24</x:v>
      </x:c>
      <x:c r="C2432" s="43" t="n">
        <x:v>34380</x:v>
      </x:c>
      <x:c r="D2432" s="43" t="n">
        <x:v>392.05610970072564</x:v>
      </x:c>
      <x:c r="E2432" s="43" t="n">
        <x:v>3460.665468006346</x:v>
      </x:c>
      <x:c r="F2432" s="43" t="n">
        <x:v>200.95935977202254</x:v>
      </x:c>
      <x:c r="G2432" s="43" t="n">
        <x:v>330.75666901698105</x:v>
      </x:c>
      <x:c r="H2432" s="43" t="n">
        <x:v>29995.562393503926</x:v>
      </x:c>
      <x:c r="I2432" s="43" t="n">
        <x:v>34380</x:v>
      </x:c>
      <x:c r="J2432" s="43" t="n">
        <x:v>3569</x:v>
      </x:c>
      <x:c r="K2432" s="43" t="n">
        <x:v>448.8210749724837</x:v>
      </x:c>
      <x:c r="L2432" s="43" t="n">
        <x:v>247.86171520046116</x:v>
      </x:c>
    </x:row>
    <x:row r="2433" ht="15" hidden="0" customHeight="1">
      <x:c r="A2433" s="29" t="str">
        <x:v>26047</x:v>
      </x:c>
      <x:c r="B2433" s="29" t="str">
        <x:v>SCA-24</x:v>
      </x:c>
      <x:c r="C2433" s="44" t="n">
        <x:v>33775</x:v>
      </x:c>
      <x:c r="D2433" s="44" t="n">
        <x:v>329.5692332710906</x:v>
      </x:c>
      <x:c r="E2433" s="44" t="n">
        <x:v>4331.772700366994</x:v>
      </x:c>
      <x:c r="F2433" s="44" t="n">
        <x:v>188.8770407434747</x:v>
      </x:c>
      <x:c r="G2433" s="44" t="n">
        <x:v>899.3255593701906</x:v>
      </x:c>
      <x:c r="H2433" s="44" t="n">
        <x:v>28025.45546624825</x:v>
      </x:c>
      <x:c r="I2433" s="44" t="n">
        <x:v>33775</x:v>
      </x:c>
      <x:c r="J2433" s="44" t="n">
        <x:v>4514</x:v>
      </x:c>
      <x:c r="K2433" s="44" t="n">
        <x:v>337.9557448326072</x:v>
      </x:c>
      <x:c r="L2433" s="44" t="n">
        <x:v>149.0787040891325</x:v>
      </x:c>
    </x:row>
    <x:row r="2434" ht="15" hidden="0" customHeight="1">
      <x:c r="A2434" s="27" t="str">
        <x:v>26035</x:v>
      </x:c>
      <x:c r="B2434" s="27" t="str">
        <x:v>SCA-24</x:v>
      </x:c>
      <x:c r="C2434" s="43" t="n">
        <x:v>31543</x:v>
      </x:c>
      <x:c r="D2434" s="43" t="n">
        <x:v>446.31588978978544</x:v>
      </x:c>
      <x:c r="E2434" s="43" t="n">
        <x:v>7370.135033296696</x:v>
      </x:c>
      <x:c r="F2434" s="43" t="n">
        <x:v>176.3952182434174</x:v>
      </x:c>
      <x:c r="G2434" s="43" t="n">
        <x:v>1594.1790586409775</x:v>
      </x:c>
      <x:c r="H2434" s="43" t="n">
        <x:v>21955.974800029126</x:v>
      </x:c>
      <x:c r="I2434" s="43" t="n">
        <x:v>31543</x:v>
      </x:c>
      <x:c r="J2434" s="43" t="n">
        <x:v>7529</x:v>
      </x:c>
      <x:c r="K2434" s="43" t="n">
        <x:v>315.62214831250714</x:v>
      </x:c>
      <x:c r="L2434" s="43" t="n">
        <x:v>139.22693006908975</x:v>
      </x:c>
    </x:row>
    <x:row r="2435" ht="15" hidden="0" customHeight="1">
      <x:c r="A2435" s="29" t="str">
        <x:v>26063</x:v>
      </x:c>
      <x:c r="B2435" s="29" t="str">
        <x:v>SCA-24</x:v>
      </x:c>
      <x:c r="C2435" s="44" t="n">
        <x:v>30530</x:v>
      </x:c>
      <x:c r="D2435" s="44" t="n">
        <x:v>330.8197108335872</x:v>
      </x:c>
      <x:c r="E2435" s="44" t="n">
        <x:v>4705.536922028619</x:v>
      </x:c>
      <x:c r="F2435" s="44" t="n">
        <x:v>170.7303050747086</x:v>
      </x:c>
      <x:c r="G2435" s="44" t="n">
        <x:v>1134.9359810506505</x:v>
      </x:c>
      <x:c r="H2435" s="44" t="n">
        <x:v>24187.977081012432</x:v>
      </x:c>
      <x:c r="I2435" s="44" t="n">
        <x:v>30530</x:v>
      </x:c>
      <x:c r="J2435" s="44" t="n">
        <x:v>4948</x:v>
      </x:c>
      <x:c r="K2435" s="44" t="n">
        <x:v>305.48597749043665</x:v>
      </x:c>
      <x:c r="L2435" s="44" t="n">
        <x:v>134.75567241572804</x:v>
      </x:c>
    </x:row>
    <x:row r="2436" ht="15" hidden="0" customHeight="1">
      <x:c r="A2436" s="27" t="str">
        <x:v>39065</x:v>
      </x:c>
      <x:c r="B2436" s="27" t="str">
        <x:v>SCA-24</x:v>
      </x:c>
      <x:c r="C2436" s="43" t="n">
        <x:v>30072</x:v>
      </x:c>
      <x:c r="D2436" s="43" t="n">
        <x:v>365.4020646456892</x:v>
      </x:c>
      <x:c r="E2436" s="43" t="n">
        <x:v>3566.370319728115</x:v>
      </x:c>
      <x:c r="F2436" s="43" t="n">
        <x:v>175.77806477790176</x:v>
      </x:c>
      <x:c r="G2436" s="43" t="n">
        <x:v>1315.5727389711947</x:v>
      </x:c>
      <x:c r="H2436" s="43" t="n">
        <x:v>24648.876811877097</x:v>
      </x:c>
      <x:c r="I2436" s="43" t="n">
        <x:v>30072</x:v>
      </x:c>
      <x:c r="J2436" s="43" t="n">
        <x:v>3744</x:v>
      </x:c>
      <x:c r="K2436" s="43" t="n">
        <x:v>392.5813661015861</x:v>
      </x:c>
      <x:c r="L2436" s="43" t="n">
        <x:v>216.80330132368437</x:v>
      </x:c>
    </x:row>
    <x:row r="2437" ht="15" hidden="0" customHeight="1">
      <x:c r="A2437" s="29" t="str">
        <x:v>39161</x:v>
      </x:c>
      <x:c r="B2437" s="29" t="str">
        <x:v>SCA-24</x:v>
      </x:c>
      <x:c r="C2437" s="44" t="n">
        <x:v>29013</x:v>
      </x:c>
      <x:c r="D2437" s="44" t="n">
        <x:v>375.52689986859434</x:v>
      </x:c>
      <x:c r="E2437" s="44" t="n">
        <x:v>3992.602355582056</x:v>
      </x:c>
      <x:c r="F2437" s="44" t="n">
        <x:v>169.5879553538595</x:v>
      </x:c>
      <x:c r="G2437" s="44" t="n">
        <x:v>706.7377503419733</x:v>
      </x:c>
      <x:c r="H2437" s="44" t="n">
        <x:v>23768.545038853517</x:v>
      </x:c>
      <x:c r="I2437" s="44" t="n">
        <x:v>29013</x:v>
      </x:c>
      <x:c r="J2437" s="44" t="n">
        <x:v>4087</x:v>
      </x:c>
      <x:c r="K2437" s="44" t="n">
        <x:v>378.75642373986824</x:v>
      </x:c>
      <x:c r="L2437" s="44" t="n">
        <x:v>209.16846838600873</x:v>
      </x:c>
    </x:row>
    <x:row r="2438" ht="15" hidden="0" customHeight="1">
      <x:c r="A2438" s="27" t="str">
        <x:v>26007</x:v>
      </x:c>
      <x:c r="B2438" s="27" t="str">
        <x:v>SCA-24</x:v>
      </x:c>
      <x:c r="C2438" s="43" t="n">
        <x:v>28853</x:v>
      </x:c>
      <x:c r="D2438" s="43" t="n">
        <x:v>382.52390142724977</x:v>
      </x:c>
      <x:c r="E2438" s="43" t="n">
        <x:v>6124.087227799228</x:v>
      </x:c>
      <x:c r="F2438" s="43" t="n">
        <x:v>161.35216155652034</x:v>
      </x:c>
      <x:c r="G2438" s="43" t="n">
        <x:v>1155.1159354159354</x:v>
      </x:c>
      <x:c r="H2438" s="43" t="n">
        <x:v>21029.920773801066</x:v>
      </x:c>
      <x:c r="I2438" s="43" t="n">
        <x:v>28853</x:v>
      </x:c>
      <x:c r="J2438" s="43" t="n">
        <x:v>6299</x:v>
      </x:c>
      <x:c r="K2438" s="43" t="n">
        <x:v>288.705761825469</x:v>
      </x:c>
      <x:c r="L2438" s="43" t="n">
        <x:v>127.35360026894863</x:v>
      </x:c>
    </x:row>
    <x:row r="2439" ht="15" hidden="0" customHeight="1">
      <x:c r="A2439" s="29" t="str">
        <x:v>39069</x:v>
      </x:c>
      <x:c r="B2439" s="29" t="str">
        <x:v>SCA-24</x:v>
      </x:c>
      <x:c r="C2439" s="44" t="n">
        <x:v>27598</x:v>
      </x:c>
      <x:c r="D2439" s="44" t="n">
        <x:v>342.6481556662217</x:v>
      </x:c>
      <x:c r="E2439" s="44" t="n">
        <x:v>3448.3462308568073</x:v>
      </x:c>
      <x:c r="F2439" s="44" t="n">
        <x:v>161.3169404010552</x:v>
      </x:c>
      <x:c r="G2439" s="44" t="n">
        <x:v>552.3513533365162</x:v>
      </x:c>
      <x:c r="H2439" s="44" t="n">
        <x:v>23093.3373197394</x:v>
      </x:c>
      <x:c r="I2439" s="44" t="n">
        <x:v>27598</x:v>
      </x:c>
      <x:c r="J2439" s="44" t="n">
        <x:v>3544</x:v>
      </x:c>
      <x:c r="K2439" s="44" t="n">
        <x:v>360.28400311491</x:v>
      </x:c>
      <x:c r="L2439" s="44" t="n">
        <x:v>198.96706271385477</x:v>
      </x:c>
    </x:row>
    <x:row r="2440" ht="15" hidden="0" customHeight="1">
      <x:c r="A2440" s="27" t="str">
        <x:v>26137</x:v>
      </x:c>
      <x:c r="B2440" s="27" t="str">
        <x:v>SCA-24</x:v>
      </x:c>
      <x:c r="C2440" s="43" t="n">
        <x:v>26080</x:v>
      </x:c>
      <x:c r="D2440" s="43" t="n">
        <x:v>283.0464760651202</x:v>
      </x:c>
      <x:c r="E2440" s="43" t="n">
        <x:v>4030.381377791758</x:v>
      </x:c>
      <x:c r="F2440" s="43" t="n">
        <x:v>145.8449510759384</x:v>
      </x:c>
      <x:c r="G2440" s="43" t="n">
        <x:v>502.5740012582572</x:v>
      </x:c>
      <x:c r="H2440" s="43" t="n">
        <x:v>21118.15319380893</x:v>
      </x:c>
      <x:c r="I2440" s="43" t="n">
        <x:v>26080</x:v>
      </x:c>
      <x:c r="J2440" s="43" t="n">
        <x:v>4094</x:v>
      </x:c>
      <x:c r="K2440" s="43" t="n">
        <x:v>260.9588697330687</x:v>
      </x:c>
      <x:c r="L2440" s="43" t="n">
        <x:v>115.11391865713028</x:v>
      </x:c>
    </x:row>
    <x:row r="2441" ht="15" hidden="0" customHeight="1">
      <x:c r="A2441" s="29" t="str">
        <x:v>26051</x:v>
      </x:c>
      <x:c r="B2441" s="29" t="str">
        <x:v>SCA-24</x:v>
      </x:c>
      <x:c r="C2441" s="44" t="n">
        <x:v>26077</x:v>
      </x:c>
      <x:c r="D2441" s="44" t="n">
        <x:v>324.3056411472509</x:v>
      </x:c>
      <x:c r="E2441" s="44" t="n">
        <x:v>5020.919138924832</x:v>
      </x:c>
      <x:c r="F2441" s="44" t="n">
        <x:v>145.82817443279316</x:v>
      </x:c>
      <x:c r="G2441" s="44" t="n">
        <x:v>1324.6643924244208</x:v>
      </x:c>
      <x:c r="H2441" s="44" t="n">
        <x:v>19261.282653070703</x:v>
      </x:c>
      <x:c r="I2441" s="44" t="n">
        <x:v>26077</x:v>
      </x:c>
      <x:c r="J2441" s="44" t="n">
        <x:v>5115</x:v>
      </x:c>
      <x:c r="K2441" s="44" t="n">
        <x:v>260.9288514581761</x:v>
      </x:c>
      <x:c r="L2441" s="44" t="n">
        <x:v>115.10067702538292</x:v>
      </x:c>
    </x:row>
    <x:row r="2442" ht="15" hidden="0" customHeight="1">
      <x:c r="A2442" s="27" t="str">
        <x:v>26029</x:v>
      </x:c>
      <x:c r="B2442" s="27" t="str">
        <x:v>SCA-24</x:v>
      </x:c>
      <x:c r="C2442" s="43" t="n">
        <x:v>26036</x:v>
      </x:c>
      <x:c r="D2442" s="43" t="n">
        <x:v>268.59526653690915</x:v>
      </x:c>
      <x:c r="E2442" s="43" t="n">
        <x:v>3688.2134034897667</x:v>
      </x:c>
      <x:c r="F2442" s="43" t="n">
        <x:v>145.5988936431416</x:v>
      </x:c>
      <x:c r="G2442" s="43" t="n">
        <x:v>869.9143614345959</x:v>
      </x:c>
      <x:c r="H2442" s="43" t="n">
        <x:v>21063.678074895586</x:v>
      </x:c>
      <x:c r="I2442" s="43" t="n">
        <x:v>26036</x:v>
      </x:c>
      <x:c r="J2442" s="43" t="n">
        <x:v>3814</x:v>
      </x:c>
      <x:c r="K2442" s="43" t="n">
        <x:v>260.51860170131044</x:v>
      </x:c>
      <x:c r="L2442" s="43" t="n">
        <x:v>114.91970805816887</x:v>
      </x:c>
    </x:row>
    <x:row r="2443" ht="15" hidden="0" customHeight="1">
      <x:c r="A2443" s="29" t="str">
        <x:v>26031</x:v>
      </x:c>
      <x:c r="B2443" s="29" t="str">
        <x:v>SCA-24</x:v>
      </x:c>
      <x:c r="C2443" s="44" t="n">
        <x:v>25793</x:v>
      </x:c>
      <x:c r="D2443" s="44" t="n">
        <x:v>311.42249954775974</x:v>
      </x:c>
      <x:c r="E2443" s="44" t="n">
        <x:v>4741.808727867066</x:v>
      </x:c>
      <x:c r="F2443" s="44" t="n">
        <x:v>144.23998554837726</x:v>
      </x:c>
      <x:c r="G2443" s="44" t="n">
        <x:v>583.7363116317081</x:v>
      </x:c>
      <x:c r="H2443" s="44" t="n">
        <x:v>20011.79247540509</x:v>
      </x:c>
      <x:c r="I2443" s="44" t="n">
        <x:v>25793</x:v>
      </x:c>
      <x:c r="J2443" s="44" t="n">
        <x:v>4921</x:v>
      </x:c>
      <x:c r="K2443" s="44" t="n">
        <x:v>258.08712143500924</x:v>
      </x:c>
      <x:c r="L2443" s="44" t="n">
        <x:v>113.84713588663196</x:v>
      </x:c>
    </x:row>
    <x:row r="2444" ht="15" hidden="0" customHeight="1">
      <x:c r="A2444" s="27" t="str">
        <x:v>26069</x:v>
      </x:c>
      <x:c r="B2444" s="27" t="str">
        <x:v>SCA-24</x:v>
      </x:c>
      <x:c r="C2444" s="43" t="n">
        <x:v>25266</x:v>
      </x:c>
      <x:c r="D2444" s="43" t="n">
        <x:v>317.3392796066929</x:v>
      </x:c>
      <x:c r="E2444" s="43" t="n">
        <x:v>4939.638168728372</x:v>
      </x:c>
      <x:c r="F2444" s="43" t="n">
        <x:v>141.2928885691971</x:v>
      </x:c>
      <x:c r="G2444" s="43" t="n">
        <x:v>925.7552404438964</x:v>
      </x:c>
      <x:c r="H2444" s="43" t="n">
        <x:v>18941.97442265184</x:v>
      </x:c>
      <x:c r="I2444" s="43" t="n">
        <x:v>25266</x:v>
      </x:c>
      <x:c r="J2444" s="43" t="n">
        <x:v>5120</x:v>
      </x:c>
      <x:c r="K2444" s="43" t="n">
        <x:v>252.81391114554117</x:v>
      </x:c>
      <x:c r="L2444" s="43" t="n">
        <x:v>111.52102257634408</x:v>
      </x:c>
    </x:row>
    <x:row r="2445" ht="15" hidden="0" customHeight="1">
      <x:c r="A2445" s="29" t="str">
        <x:v>26009</x:v>
      </x:c>
      <x:c r="B2445" s="29" t="str">
        <x:v>SCA-24</x:v>
      </x:c>
      <x:c r="C2445" s="44" t="n">
        <x:v>24698</x:v>
      </x:c>
      <x:c r="D2445" s="44" t="n">
        <x:v>269.2327679483044</x:v>
      </x:c>
      <x:c r="E2445" s="44" t="n">
        <x:v>3845.251863587092</x:v>
      </x:c>
      <x:c r="F2445" s="44" t="n">
        <x:v>138.1165108003653</x:v>
      </x:c>
      <x:c r="G2445" s="44" t="n">
        <x:v>531.1791878595848</x:v>
      </x:c>
      <x:c r="H2445" s="44" t="n">
        <x:v>19914.219669804654</x:v>
      </x:c>
      <x:c r="I2445" s="44" t="n">
        <x:v>24698</x:v>
      </x:c>
      <x:c r="J2445" s="44" t="n">
        <x:v>3890</x:v>
      </x:c>
      <x:c r="K2445" s="44" t="n">
        <x:v>247.13045109920748</x:v>
      </x:c>
      <x:c r="L2445" s="44" t="n">
        <x:v>109.01394029884217</x:v>
      </x:c>
    </x:row>
    <x:row r="2446" ht="15" hidden="0" customHeight="1">
      <x:c r="A2446" s="27" t="str">
        <x:v>26143</x:v>
      </x:c>
      <x:c r="B2446" s="27" t="str">
        <x:v>SCA-24</x:v>
      </x:c>
      <x:c r="C2446" s="43" t="n">
        <x:v>23914</x:v>
      </x:c>
      <x:c r="D2446" s="43" t="n">
        <x:v>337.97113866716444</x:v>
      </x:c>
      <x:c r="E2446" s="43" t="n">
        <x:v>5578.024275159235</x:v>
      </x:c>
      <x:c r="F2446" s="43" t="n">
        <x:v>133.73221472507635</x:v>
      </x:c>
      <x:c r="G2446" s="43" t="n">
        <x:v>836.1369851380043</x:v>
      </x:c>
      <x:c r="H2446" s="43" t="n">
        <x:v>17028.13538631052</x:v>
      </x:c>
      <x:c r="I2446" s="43" t="n">
        <x:v>23914</x:v>
      </x:c>
      <x:c r="J2446" s="43" t="n">
        <x:v>5722</x:v>
      </x:c>
      <x:c r="K2446" s="43" t="n">
        <x:v>239.285675260606</x:v>
      </x:c>
      <x:c r="L2446" s="43" t="n">
        <x:v>105.55346053552967</x:v>
      </x:c>
    </x:row>
    <x:row r="2447" ht="15" hidden="0" customHeight="1">
      <x:c r="A2447" s="29" t="str">
        <x:v>26133</x:v>
      </x:c>
      <x:c r="B2447" s="29" t="str">
        <x:v>SCA-24</x:v>
      </x:c>
      <x:c r="C2447" s="44" t="n">
        <x:v>23516</x:v>
      </x:c>
      <x:c r="D2447" s="44" t="n">
        <x:v>283.2493495160815</x:v>
      </x:c>
      <x:c r="E2447" s="44" t="n">
        <x:v>4306.862691016868</x:v>
      </x:c>
      <x:c r="F2447" s="44" t="n">
        <x:v>131.5065134011414</x:v>
      </x:c>
      <x:c r="G2447" s="44" t="n">
        <x:v>971.067427973674</x:v>
      </x:c>
      <x:c r="H2447" s="44" t="n">
        <x:v>17823.314018092235</x:v>
      </x:c>
      <x:c r="I2447" s="44" t="n">
        <x:v>23516</x:v>
      </x:c>
      <x:c r="J2447" s="44" t="n">
        <x:v>4377</x:v>
      </x:c>
      <x:c r="K2447" s="44" t="n">
        <x:v>235.30325079152007</x:v>
      </x:c>
      <x:c r="L2447" s="44" t="n">
        <x:v>103.79673739037867</x:v>
      </x:c>
    </x:row>
    <x:row r="2448" ht="15" hidden="0" customHeight="1">
      <x:c r="A2448" s="27" t="str">
        <x:v>26089</x:v>
      </x:c>
      <x:c r="B2448" s="27" t="str">
        <x:v>SCA-24</x:v>
      </x:c>
      <x:c r="C2448" s="43" t="n">
        <x:v>22982</x:v>
      </x:c>
      <x:c r="D2448" s="43" t="n">
        <x:v>218.60206485508976</x:v>
      </x:c>
      <x:c r="E2448" s="43" t="n">
        <x:v>2811.896109977827</x:v>
      </x:c>
      <x:c r="F2448" s="43" t="n">
        <x:v>128.52027092128898</x:v>
      </x:c>
      <x:c r="G2448" s="43" t="n">
        <x:v>455.9073170731707</x:v>
      </x:c>
      <x:c r="H2448" s="43" t="n">
        <x:v>19367.074237172623</x:v>
      </x:c>
      <x:c r="I2448" s="43" t="n">
        <x:v>22982</x:v>
      </x:c>
      <x:c r="J2448" s="43" t="n">
        <x:v>2874</x:v>
      </x:c>
      <x:c r="K2448" s="43" t="n">
        <x:v>229.95999786063592</x:v>
      </x:c>
      <x:c r="L2448" s="43" t="n">
        <x:v>101.43972693934694</x:v>
      </x:c>
    </x:row>
    <x:row r="2449" ht="15" hidden="0" customHeight="1">
      <x:c r="A2449" s="29" t="str">
        <x:v>39175</x:v>
      </x:c>
      <x:c r="B2449" s="29" t="str">
        <x:v>SCA-24</x:v>
      </x:c>
      <x:c r="C2449" s="44" t="n">
        <x:v>21567</x:v>
      </x:c>
      <x:c r="D2449" s="44" t="n">
        <x:v>273.5325695194592</x:v>
      </x:c>
      <x:c r="E2449" s="44" t="n">
        <x:v>2833.1002641191344</x:v>
      </x:c>
      <x:c r="F2449" s="44" t="n">
        <x:v>126.06429645733596</x:v>
      </x:c>
      <x:c r="G2449" s="44" t="n">
        <x:v>507.97190221972465</x:v>
      </x:c>
      <x:c r="H2449" s="44" t="n">
        <x:v>17826.330967684346</x:v>
      </x:c>
      <x:c r="I2449" s="44" t="n">
        <x:v>21567</x:v>
      </x:c>
      <x:c r="J2449" s="44" t="n">
        <x:v>2922</x:v>
      </x:c>
      <x:c r="K2449" s="44" t="n">
        <x:v>281.55102163849784</x:v>
      </x:c>
      <x:c r="L2449" s="44" t="n">
        <x:v>155.4867251811619</x:v>
      </x:c>
    </x:row>
    <x:row r="2450" ht="15" hidden="0" customHeight="1">
      <x:c r="A2450" s="27" t="str">
        <x:v>26129</x:v>
      </x:c>
      <x:c r="B2450" s="27" t="str">
        <x:v>SCA-24</x:v>
      </x:c>
      <x:c r="C2450" s="43" t="n">
        <x:v>21121</x:v>
      </x:c>
      <x:c r="D2450" s="43" t="n">
        <x:v>265.2308155896887</x:v>
      </x:c>
      <x:c r="E2450" s="43" t="n">
        <x:v>4128.127541063036</x:v>
      </x:c>
      <x:c r="F2450" s="43" t="n">
        <x:v>118.11315995685949</x:v>
      </x:c>
      <x:c r="G2450" s="43" t="n">
        <x:v>728.7104510877465</x:v>
      </x:c>
      <x:c r="H2450" s="43" t="n">
        <x:v>15880.81803230267</x:v>
      </x:c>
      <x:c r="I2450" s="43" t="n">
        <x:v>21121</x:v>
      </x:c>
      <x:c r="J2450" s="43" t="n">
        <x:v>4202</x:v>
      </x:c>
      <x:c r="K2450" s="43" t="n">
        <x:v>211.33866133558834</x:v>
      </x:c>
      <x:c r="L2450" s="43" t="n">
        <x:v>93.22550137872886</x:v>
      </x:c>
    </x:row>
    <x:row r="2451" ht="15" hidden="0" customHeight="1">
      <x:c r="A2451" s="29" t="str">
        <x:v>39125</x:v>
      </x:c>
      <x:c r="B2451" s="29" t="str">
        <x:v>SCA-24</x:v>
      </x:c>
      <x:c r="C2451" s="44" t="n">
        <x:v>18727</x:v>
      </x:c>
      <x:c r="D2451" s="44" t="n">
        <x:v>254.13904420002416</x:v>
      </x:c>
      <x:c r="E2451" s="44" t="n">
        <x:v>2859.053402469664</x:v>
      </x:c>
      <x:c r="F2451" s="44" t="n">
        <x:v>109.46381414923405</x:v>
      </x:c>
      <x:c r="G2451" s="44" t="n">
        <x:v>351.10439942267595</x:v>
      </x:c>
      <x:c r="H2451" s="44" t="n">
        <x:v>15153.239339758402</x:v>
      </x:c>
      <x:c r="I2451" s="44" t="n">
        <x:v>18727</x:v>
      </x:c>
      <x:c r="J2451" s="44" t="n">
        <x:v>2975</x:v>
      </x:c>
      <x:c r="K2451" s="44" t="n">
        <x:v>244.47563324635553</x:v>
      </x:c>
      <x:c r="L2451" s="44" t="n">
        <x:v>135.01181909712147</x:v>
      </x:c>
    </x:row>
    <x:row r="2452" ht="15" hidden="0" customHeight="1">
      <x:c r="A2452" s="27" t="str">
        <x:v>26079</x:v>
      </x:c>
      <x:c r="B2452" s="27" t="str">
        <x:v>SCA-24</x:v>
      </x:c>
      <x:c r="C2452" s="43" t="n">
        <x:v>18693</x:v>
      </x:c>
      <x:c r="D2452" s="43" t="n">
        <x:v>222.58978668662283</x:v>
      </x:c>
      <x:c r="E2452" s="43" t="n">
        <x:v>3361.948302450356</x:v>
      </x:c>
      <x:c r="F2452" s="43" t="n">
        <x:v>104.53526343797994</x:v>
      </x:c>
      <x:c r="G2452" s="43" t="n">
        <x:v>418.517617124841</x:v>
      </x:c>
      <x:c r="H2452" s="43" t="n">
        <x:v>14585.4090303002</x:v>
      </x:c>
      <x:c r="I2452" s="43" t="n">
        <x:v>18693</x:v>
      </x:c>
      <x:c r="J2452" s="43" t="n">
        <x:v>3387</x:v>
      </x:c>
      <x:c r="K2452" s="43" t="n">
        <x:v>187.04387085583792</x:v>
      </x:c>
      <x:c r="L2452" s="43" t="n">
        <x:v>82.50860741785799</x:v>
      </x:c>
    </x:row>
    <x:row r="2453" ht="15" hidden="0" customHeight="1">
      <x:c r="A2453" s="29" t="str">
        <x:v>26113</x:v>
      </x:c>
      <x:c r="B2453" s="29" t="str">
        <x:v>SCA-24</x:v>
      </x:c>
      <x:c r="C2453" s="44" t="n">
        <x:v>15274</x:v>
      </x:c>
      <x:c r="D2453" s="44" t="n">
        <x:v>179.42689443643948</x:v>
      </x:c>
      <x:c r="E2453" s="44" t="n">
        <x:v>2688.2239999999997</x:v>
      </x:c>
      <x:c r="F2453" s="44" t="n">
        <x:v>85.41548246679001</x:v>
      </x:c>
      <x:c r="G2453" s="44" t="n">
        <x:v>422.625</x:v>
      </x:c>
      <x:c r="H2453" s="44" t="n">
        <x:v>11898.308623096771</x:v>
      </x:c>
      <x:c r="I2453" s="44" t="n">
        <x:v>15274</x:v>
      </x:c>
      <x:c r="J2453" s="44" t="n">
        <x:v>2772</x:v>
      </x:c>
      <x:c r="K2453" s="44" t="n">
        <x:v>152.83304356989615</x:v>
      </x:c>
      <x:c r="L2453" s="44" t="n">
        <x:v>67.41756110310614</x:v>
      </x:c>
    </x:row>
    <x:row r="2454" ht="15" hidden="0" customHeight="1">
      <x:c r="A2454" s="27" t="str">
        <x:v>26011</x:v>
      </x:c>
      <x:c r="B2454" s="27" t="str">
        <x:v>SCA-24</x:v>
      </x:c>
      <x:c r="C2454" s="43" t="n">
        <x:v>15068</x:v>
      </x:c>
      <x:c r="D2454" s="43" t="n">
        <x:v>173.0057592690487</x:v>
      </x:c>
      <x:c r="E2454" s="43" t="n">
        <x:v>2555.938965102286</x:v>
      </x:c>
      <x:c r="F2454" s="43" t="n">
        <x:v>84.2634863041503</x:v>
      </x:c>
      <x:c r="G2454" s="43" t="n">
        <x:v>561.4941837144004</x:v>
      </x:c>
      <x:c r="H2454" s="43" t="n">
        <x:v>11693.297605610114</x:v>
      </x:c>
      <x:c r="I2454" s="43" t="n">
        <x:v>15068</x:v>
      </x:c>
      <x:c r="J2454" s="43" t="n">
        <x:v>2643</x:v>
      </x:c>
      <x:c r="K2454" s="43" t="n">
        <x:v>150.77178869393708</x:v>
      </x:c>
      <x:c r="L2454" s="43" t="n">
        <x:v>66.50830238978678</x:v>
      </x:c>
    </x:row>
    <x:row r="2455" ht="15" hidden="0" customHeight="1">
      <x:c r="A2455" s="29" t="str">
        <x:v>26039</x:v>
      </x:c>
      <x:c r="B2455" s="29" t="str">
        <x:v>SCA-24</x:v>
      </x:c>
      <x:c r="C2455" s="44" t="n">
        <x:v>13722</x:v>
      </x:c>
      <x:c r="D2455" s="44" t="n">
        <x:v>191.7317198655895</x:v>
      </x:c>
      <x:c r="E2455" s="44" t="n">
        <x:v>3147.947910074937</x:v>
      </x:c>
      <x:c r="F2455" s="44" t="n">
        <x:v>76.73636574632005</x:v>
      </x:c>
      <x:c r="G2455" s="44" t="n">
        <x:v>621.7635303913405</x:v>
      </x:c>
      <x:c r="H2455" s="44" t="n">
        <x:v>9683.820473921813</x:v>
      </x:c>
      <x:c r="I2455" s="44" t="n">
        <x:v>13722</x:v>
      </x:c>
      <x:c r="J2455" s="44" t="n">
        <x:v>3157</x:v>
      </x:c>
      <x:c r="K2455" s="44" t="n">
        <x:v>137.30358935878715</x:v>
      </x:c>
      <x:c r="L2455" s="44" t="n">
        <x:v>60.567223612467096</x:v>
      </x:c>
    </x:row>
    <x:row r="2456" ht="15" hidden="0" customHeight="1">
      <x:c r="A2456" s="27" t="str">
        <x:v>26085</x:v>
      </x:c>
      <x:c r="B2456" s="27" t="str">
        <x:v>SCA-24</x:v>
      </x:c>
      <x:c r="C2456" s="43" t="n">
        <x:v>13182</x:v>
      </x:c>
      <x:c r="D2456" s="43" t="n">
        <x:v>186.11438095865753</x:v>
      </x:c>
      <x:c r="E2456" s="43" t="n">
        <x:v>3070.3356254572054</x:v>
      </x:c>
      <x:c r="F2456" s="43" t="n">
        <x:v>73.71656998017716</x:v>
      </x:c>
      <x:c r="G2456" s="43" t="n">
        <x:v>403.30285296269204</x:v>
      </x:c>
      <x:c r="H2456" s="43" t="n">
        <x:v>9448.530570641267</x:v>
      </x:c>
      <x:c r="I2456" s="43" t="n">
        <x:v>13182</x:v>
      </x:c>
      <x:c r="J2456" s="43" t="n">
        <x:v>2985</x:v>
      </x:c>
      <x:c r="K2456" s="43" t="n">
        <x:v>131.90029987811778</x:v>
      </x:c>
      <x:c r="L2456" s="43" t="n">
        <x:v>58.18372989794062</x:v>
      </x:c>
    </x:row>
    <x:row r="2457" ht="15" hidden="0" customHeight="1">
      <x:c r="A2457" s="29" t="str">
        <x:v>26141</x:v>
      </x:c>
      <x:c r="B2457" s="29" t="str">
        <x:v>SCA-24</x:v>
      </x:c>
      <x:c r="C2457" s="44" t="n">
        <x:v>13128</x:v>
      </x:c>
      <x:c r="D2457" s="44" t="n">
        <x:v>162.16858754135643</x:v>
      </x:c>
      <x:c r="E2457" s="44" t="n">
        <x:v>2501.356968356843</x:v>
      </x:c>
      <x:c r="F2457" s="44" t="n">
        <x:v>73.41459040356287</x:v>
      </x:c>
      <x:c r="G2457" s="44" t="n">
        <x:v>494.9416698436904</x:v>
      </x:c>
      <x:c r="H2457" s="44" t="n">
        <x:v>9896.118183854547</x:v>
      </x:c>
      <x:c r="I2457" s="44" t="n">
        <x:v>13128</x:v>
      </x:c>
      <x:c r="J2457" s="44" t="n">
        <x:v>2603</x:v>
      </x:c>
      <x:c r="K2457" s="44" t="n">
        <x:v>131.35997093005085</x:v>
      </x:c>
      <x:c r="L2457" s="44" t="n">
        <x:v>57.94538052648797</x:v>
      </x:c>
    </x:row>
    <x:row r="2458" ht="15" hidden="0" customHeight="1">
      <x:c r="A2458" s="27" t="str">
        <x:v>26097</x:v>
      </x:c>
      <x:c r="B2458" s="27" t="str">
        <x:v>SCA-24</x:v>
      </x:c>
      <x:c r="C2458" s="43" t="n">
        <x:v>11236</x:v>
      </x:c>
      <x:c r="D2458" s="43" t="n">
        <x:v>140.45449116049815</x:v>
      </x:c>
      <x:c r="E2458" s="43" t="n">
        <x:v>2180.643993344426</x:v>
      </x:c>
      <x:c r="F2458" s="43" t="n">
        <x:v>62.83412079329925</x:v>
      </x:c>
      <x:c r="G2458" s="43" t="n">
        <x:v>906.7416805324458</x:v>
      </x:c>
      <x:c r="H2458" s="43" t="n">
        <x:v>7945.32571416933</x:v>
      </x:c>
      <x:c r="I2458" s="43" t="n">
        <x:v>11236</x:v>
      </x:c>
      <x:c r="J2458" s="43" t="n">
        <x:v>2187</x:v>
      </x:c>
      <x:c r="K2458" s="43" t="n">
        <x:v>112.42844556444632</x:v>
      </x:c>
      <x:c r="L2458" s="43" t="n">
        <x:v>49.59432477114708</x:v>
      </x:c>
    </x:row>
    <x:row r="2459" ht="15" hidden="0" customHeight="1">
      <x:c r="A2459" s="29" t="str">
        <x:v>26001</x:v>
      </x:c>
      <x:c r="B2459" s="29" t="str">
        <x:v>SCA-24</x:v>
      </x:c>
      <x:c r="C2459" s="44" t="n">
        <x:v>10556</x:v>
      </x:c>
      <x:c r="D2459" s="44" t="n">
        <x:v>144.1995975192952</x:v>
      </x:c>
      <x:c r="E2459" s="44" t="n">
        <x:v>2342.5610226612434</x:v>
      </x:c>
      <x:c r="F2459" s="44" t="n">
        <x:v>59.03141501371188</x:v>
      </x:c>
      <x:c r="G2459" s="44" t="n">
        <x:v>186.05829943831105</x:v>
      </x:c>
      <x:c r="H2459" s="44" t="n">
        <x:v>7824.1496653674385</x:v>
      </x:c>
      <x:c r="I2459" s="44" t="n">
        <x:v>10556</x:v>
      </x:c>
      <x:c r="J2459" s="44" t="n">
        <x:v>2387</x:v>
      </x:c>
      <x:c r="K2459" s="44" t="n">
        <x:v>105.62430325545526</x:v>
      </x:c>
      <x:c r="L2459" s="44" t="n">
        <x:v>46.59288824174338</x:v>
      </x:c>
    </x:row>
    <x:row r="2460" ht="15" hidden="0" customHeight="1">
      <x:c r="A2460" s="27" t="str">
        <x:v>26119</x:v>
      </x:c>
      <x:c r="B2460" s="27" t="str">
        <x:v>SCA-24</x:v>
      </x:c>
      <x:c r="C2460" s="43" t="n">
        <x:v>9842</x:v>
      </x:c>
      <x:c r="D2460" s="43" t="n">
        <x:v>140.52969278227542</x:v>
      </x:c>
      <x:c r="E2460" s="43" t="n">
        <x:v>2330.119509513742</x:v>
      </x:c>
      <x:c r="F2460" s="43" t="n">
        <x:v>55.03857394514517</x:v>
      </x:c>
      <x:c r="G2460" s="43" t="n">
        <x:v>328.4748414376321</x:v>
      </x:c>
      <x:c r="H2460" s="43" t="n">
        <x:v>6987.837382321206</x:v>
      </x:c>
      <x:c r="I2460" s="43" t="n">
        <x:v>9842</x:v>
      </x:c>
      <x:c r="J2460" s="43" t="n">
        <x:v>2333</x:v>
      </x:c>
      <x:c r="K2460" s="43" t="n">
        <x:v>98.47995383101465</x:v>
      </x:c>
      <x:c r="L2460" s="43" t="n">
        <x:v>43.44137988586949</x:v>
      </x:c>
    </x:row>
    <x:row r="2461" ht="15" hidden="0" customHeight="1">
      <x:c r="A2461" s="29" t="str">
        <x:v>26135</x:v>
      </x:c>
      <x:c r="B2461" s="29" t="str">
        <x:v>SCA-24</x:v>
      </x:c>
      <x:c r="C2461" s="44" t="n">
        <x:v>8723</x:v>
      </x:c>
      <x:c r="D2461" s="44" t="n">
        <x:v>117.80603373873466</x:v>
      </x:c>
      <x:c r="E2461" s="44" t="n">
        <x:v>1903.2907798712138</x:v>
      </x:c>
      <x:c r="F2461" s="44" t="n">
        <x:v>48.78088605197128</x:v>
      </x:c>
      <x:c r="G2461" s="44" t="n">
        <x:v>607.7414738850465</x:v>
      </x:c>
      <x:c r="H2461" s="44" t="n">
        <x:v>6045.3808264530335</x:v>
      </x:c>
      <x:c r="I2461" s="44" t="n">
        <x:v>8723</x:v>
      </x:c>
      <x:c r="J2461" s="44" t="n">
        <x:v>1906</x:v>
      </x:c>
      <x:c r="K2461" s="44" t="n">
        <x:v>87.28313729607203</x:v>
      </x:c>
      <x:c r="L2461" s="44" t="n">
        <x:v>38.50225124410075</x:v>
      </x:c>
    </x:row>
    <x:row r="2462" ht="15" hidden="0" customHeight="1">
      <x:c r="A2462" s="27" t="str">
        <x:v>26095</x:v>
      </x:c>
      <x:c r="B2462" s="27" t="str">
        <x:v>SCA-24</x:v>
      </x:c>
      <x:c r="C2462" s="43" t="n">
        <x:v>6339</x:v>
      </x:c>
      <x:c r="D2462" s="43" t="n">
        <x:v>88.74736294860494</x:v>
      </x:c>
      <x:c r="E2462" s="43" t="n">
        <x:v>1458.4270815939278</x:v>
      </x:c>
      <x:c r="F2462" s="43" t="n">
        <x:v>35.44904696588856</x:v>
      </x:c>
      <x:c r="G2462" s="43" t="n">
        <x:v>162.33292220113853</x:v>
      </x:c>
      <x:c r="H2462" s="43" t="n">
        <x:v>4594.0435862904405</x:v>
      </x:c>
      <x:c r="I2462" s="43" t="n">
        <x:v>6339</x:v>
      </x:c>
      <x:c r="J2462" s="43" t="n">
        <x:v>1263</x:v>
      </x:c>
      <x:c r="K2462" s="43" t="n">
        <x:v>63.42861484807985</x:v>
      </x:c>
      <x:c r="L2462" s="43" t="n">
        <x:v>27.97956788219129</x:v>
      </x:c>
    </x:row>
    <x:row r="2463" ht="15" hidden="0" customHeight="1">
      <x:c r="A2463" s="29" t="str">
        <x:v>12031</x:v>
      </x:c>
      <x:c r="B2463" s="29" t="str">
        <x:v>SCA-25</x:v>
      </x:c>
      <x:c r="C2463" s="44" t="n">
        <x:v>1062963</x:v>
      </x:c>
      <x:c r="D2463" s="44" t="n">
        <x:v>11182.90711749114</x:v>
      </x:c>
      <x:c r="E2463" s="44" t="n">
        <x:v>140230.33268830698</x:v>
      </x:c>
      <x:c r="F2463" s="44" t="n">
        <x:v>6884.387858767617</x:v>
      </x:c>
      <x:c r="G2463" s="44" t="n">
        <x:v>44587.579609121625</x:v>
      </x:c>
      <x:c r="H2463" s="44" t="n">
        <x:v>860077.7927263126</x:v>
      </x:c>
      <x:c r="I2463" s="44" t="n">
        <x:v>1062963</x:v>
      </x:c>
      <x:c r="J2463" s="44" t="n">
        <x:v>137330</x:v>
      </x:c>
      <x:c r="K2463" s="44" t="n">
        <x:v>12224.364447579299</x:v>
      </x:c>
      <x:c r="L2463" s="44" t="n">
        <x:v>5339.976588811682</x:v>
      </x:c>
    </x:row>
    <x:row r="2464" ht="15" hidden="0" customHeight="1">
      <x:c r="A2464" s="27" t="str">
        <x:v>12127</x:v>
      </x:c>
      <x:c r="B2464" s="27" t="str">
        <x:v>SCA-25</x:v>
      </x:c>
      <x:c r="C2464" s="43" t="n">
        <x:v>606573</x:v>
      </x:c>
      <x:c r="D2464" s="43" t="n">
        <x:v>7242.054738472144</x:v>
      </x:c>
      <x:c r="E2464" s="43" t="n">
        <x:v>100675.95455116229</x:v>
      </x:c>
      <x:c r="F2464" s="43" t="n">
        <x:v>3928.5316578810825</x:v>
      </x:c>
      <x:c r="G2464" s="43" t="n">
        <x:v>18025.608131271307</x:v>
      </x:c>
      <x:c r="H2464" s="43" t="n">
        <x:v>476700.85092121316</x:v>
      </x:c>
      <x:c r="I2464" s="43" t="n">
        <x:v>606573</x:v>
      </x:c>
      <x:c r="J2464" s="43" t="n">
        <x:v>98747</x:v>
      </x:c>
      <x:c r="K2464" s="43" t="n">
        <x:v>6975.754956721464</x:v>
      </x:c>
      <x:c r="L2464" s="43" t="n">
        <x:v>3047.223298840381</x:v>
      </x:c>
    </x:row>
    <x:row r="2465" ht="15" hidden="0" customHeight="1">
      <x:c r="A2465" s="29" t="str">
        <x:v>12083</x:v>
      </x:c>
      <x:c r="B2465" s="29" t="str">
        <x:v>SCA-25</x:v>
      </x:c>
      <x:c r="C2465" s="44" t="n">
        <x:v>442660</x:v>
      </x:c>
      <x:c r="D2465" s="44" t="n">
        <x:v>5158.548949584605</x:v>
      </x:c>
      <x:c r="E2465" s="44" t="n">
        <x:v>70434.49595804756</x:v>
      </x:c>
      <x:c r="F2465" s="44" t="n">
        <x:v>2866.932461018938</x:v>
      </x:c>
      <x:c r="G2465" s="44" t="n">
        <x:v>10564.988586018064</x:v>
      </x:c>
      <x:c r="H2465" s="44" t="n">
        <x:v>353635.03404533083</x:v>
      </x:c>
      <x:c r="I2465" s="44" t="n">
        <x:v>442660</x:v>
      </x:c>
      <x:c r="J2465" s="44" t="n">
        <x:v>64983</x:v>
      </x:c>
      <x:c r="K2465" s="44" t="n">
        <x:v>5090.710745684894</x:v>
      </x:c>
      <x:c r="L2465" s="44" t="n">
        <x:v>2223.7782846659566</x:v>
      </x:c>
    </x:row>
    <x:row r="2466" ht="15" hidden="0" customHeight="1">
      <x:c r="A2466" s="27" t="str">
        <x:v>12109</x:v>
      </x:c>
      <x:c r="B2466" s="27" t="str">
        <x:v>SCA-25</x:v>
      </x:c>
      <x:c r="C2466" s="43" t="n">
        <x:v>346328</x:v>
      </x:c>
      <x:c r="D2466" s="43" t="n">
        <x:v>3274.2799481194174</x:v>
      </x:c>
      <x:c r="E2466" s="43" t="n">
        <x:v>36826.606934229436</x:v>
      </x:c>
      <x:c r="F2466" s="43" t="n">
        <x:v>2243.0284763921895</x:v>
      </x:c>
      <x:c r="G2466" s="43" t="n">
        <x:v>5217.141271174761</x:v>
      </x:c>
      <x:c r="H2466" s="43" t="n">
        <x:v>298766.94337008416</x:v>
      </x:c>
      <x:c r="I2466" s="43" t="n">
        <x:v>346328</x:v>
      </x:c>
      <x:c r="J2466" s="43" t="n">
        <x:v>33753</x:v>
      </x:c>
      <x:c r="K2466" s="43" t="n">
        <x:v>3982.866468918714</x:v>
      </x:c>
      <x:c r="L2466" s="43" t="n">
        <x:v>1739.8379925265244</x:v>
      </x:c>
    </x:row>
    <x:row r="2467" ht="15" hidden="0" customHeight="1">
      <x:c r="A2467" s="29" t="str">
        <x:v>13051</x:v>
      </x:c>
      <x:c r="B2467" s="29" t="str">
        <x:v>SCA-25</x:v>
      </x:c>
      <x:c r="C2467" s="44" t="n">
        <x:v>311855</x:v>
      </x:c>
      <x:c r="D2467" s="44" t="n">
        <x:v>3124.158935349648</x:v>
      </x:c>
      <x:c r="E2467" s="44" t="n">
        <x:v>47888.77551355119</x:v>
      </x:c>
      <x:c r="F2467" s="44" t="n">
        <x:v>2702.5192659651516</x:v>
      </x:c>
      <x:c r="G2467" s="44" t="n">
        <x:v>14062.279511255074</x:v>
      </x:c>
      <x:c r="H2467" s="44" t="n">
        <x:v>244077.26677387895</x:v>
      </x:c>
      <x:c r="I2467" s="44" t="n">
        <x:v>311855</x:v>
      </x:c>
      <x:c r="J2467" s="44" t="n">
        <x:v>46815</x:v>
      </x:c>
      <x:c r="K2467" s="44" t="n">
        <x:v>3831.312554916833</x:v>
      </x:c>
      <x:c r="L2467" s="44" t="n">
        <x:v>1128.7932889516817</x:v>
      </x:c>
    </x:row>
    <x:row r="2468" ht="15" hidden="0" customHeight="1">
      <x:c r="A2468" s="27" t="str">
        <x:v>12073</x:v>
      </x:c>
      <x:c r="B2468" s="27" t="str">
        <x:v>SCA-25</x:v>
      </x:c>
      <x:c r="C2468" s="43" t="n">
        <x:v>299048</x:v>
      </x:c>
      <x:c r="D2468" s="43" t="n">
        <x:v>3087.419550212777</x:v>
      </x:c>
      <x:c r="E2468" s="43" t="n">
        <x:v>38042.417546165605</x:v>
      </x:c>
      <x:c r="F2468" s="43" t="n">
        <x:v>1936.8147530899362</x:v>
      </x:c>
      <x:c r="G2468" s="43" t="n">
        <x:v>11744.483132484991</x:v>
      </x:c>
      <x:c r="H2468" s="43" t="n">
        <x:v>244236.86501804666</x:v>
      </x:c>
      <x:c r="I2468" s="43" t="n">
        <x:v>299048</x:v>
      </x:c>
      <x:c r="J2468" s="43" t="n">
        <x:v>38915</x:v>
      </x:c>
      <x:c r="K2468" s="43" t="n">
        <x:v>3439.1335722124795</x:v>
      </x:c>
      <x:c r="L2468" s="43" t="n">
        <x:v>1502.3188191225431</x:v>
      </x:c>
    </x:row>
    <x:row r="2469" ht="15" hidden="0" customHeight="1">
      <x:c r="A2469" s="29" t="str">
        <x:v>12001</x:v>
      </x:c>
      <x:c r="B2469" s="29" t="str">
        <x:v>SCA-25</x:v>
      </x:c>
      <x:c r="C2469" s="44" t="n">
        <x:v>290028</x:v>
      </x:c>
      <x:c r="D2469" s="44" t="n">
        <x:v>2862.4276927162064</x:v>
      </x:c>
      <x:c r="E2469" s="44" t="n">
        <x:v>33730.13730335649</x:v>
      </x:c>
      <x:c r="F2469" s="44" t="n">
        <x:v>1878.3958067238975</x:v>
      </x:c>
      <x:c r="G2469" s="44" t="n">
        <x:v>14233.9290111459</x:v>
      </x:c>
      <x:c r="H2469" s="44" t="n">
        <x:v>237323.11018605749</x:v>
      </x:c>
      <x:c r="I2469" s="44" t="n">
        <x:v>290028</x:v>
      </x:c>
      <x:c r="J2469" s="44" t="n">
        <x:v>34281</x:v>
      </x:c>
      <x:c r="K2469" s="44" t="n">
        <x:v>3335.4011118002495</x:v>
      </x:c>
      <x:c r="L2469" s="44" t="n">
        <x:v>1457.005305076352</x:v>
      </x:c>
    </x:row>
    <x:row r="2470" ht="15" hidden="0" customHeight="1">
      <x:c r="A2470" s="27" t="str">
        <x:v>12019</x:v>
      </x:c>
      <x:c r="B2470" s="27" t="str">
        <x:v>SCA-25</x:v>
      </x:c>
      <x:c r="C2470" s="43" t="n">
        <x:v>239593</x:v>
      </x:c>
      <x:c r="D2470" s="43" t="n">
        <x:v>2589.397862283154</x:v>
      </x:c>
      <x:c r="E2470" s="43" t="n">
        <x:v>33258.27391643015</x:v>
      </x:c>
      <x:c r="F2470" s="43" t="n">
        <x:v>1551.748405396716</x:v>
      </x:c>
      <x:c r="G2470" s="43" t="n">
        <x:v>5475.872823235534</x:v>
      </x:c>
      <x:c r="H2470" s="43" t="n">
        <x:v>196717.70699265445</x:v>
      </x:c>
      <x:c r="I2470" s="43" t="n">
        <x:v>239593</x:v>
      </x:c>
      <x:c r="J2470" s="43" t="n">
        <x:v>32300</x:v>
      </x:c>
      <x:c r="K2470" s="43" t="n">
        <x:v>2755.3848544952803</x:v>
      </x:c>
      <x:c r="L2470" s="43" t="n">
        <x:v>1203.6364490985643</x:v>
      </x:c>
    </x:row>
    <x:row r="2471" ht="15" hidden="0" customHeight="1">
      <x:c r="A2471" s="29" t="str">
        <x:v>12005</x:v>
      </x:c>
      <x:c r="B2471" s="29" t="str">
        <x:v>SCA-25</x:v>
      </x:c>
      <x:c r="C2471" s="44" t="n">
        <x:v>204479</x:v>
      </x:c>
      <x:c r="D2471" s="44" t="n">
        <x:v>2447.0205959142095</x:v>
      </x:c>
      <x:c r="E2471" s="44" t="n">
        <x:v>34074.848079366035</x:v>
      </x:c>
      <x:c r="F2471" s="44" t="n">
        <x:v>1324.3290170710961</x:v>
      </x:c>
      <x:c r="G2471" s="44" t="n">
        <x:v>4620.895474617936</x:v>
      </x:c>
      <x:c r="H2471" s="44" t="n">
        <x:v>162011.90683303072</x:v>
      </x:c>
      <x:c r="I2471" s="44" t="n">
        <x:v>204479</x:v>
      </x:c>
      <x:c r="J2471" s="44" t="n">
        <x:v>31565</x:v>
      </x:c>
      <x:c r="K2471" s="44" t="n">
        <x:v>2351.5642763450537</x:v>
      </x:c>
      <x:c r="L2471" s="44" t="n">
        <x:v>1027.2352592739576</x:v>
      </x:c>
    </x:row>
    <x:row r="2472" ht="15" hidden="0" customHeight="1">
      <x:c r="A2472" s="27" t="str">
        <x:v>45013</x:v>
      </x:c>
      <x:c r="B2472" s="27" t="str">
        <x:v>SCA-25</x:v>
      </x:c>
      <x:c r="C2472" s="43" t="n">
        <x:v>204433</x:v>
      </x:c>
      <x:c r="D2472" s="43" t="n">
        <x:v>1971.063569240165</x:v>
      </x:c>
      <x:c r="E2472" s="43" t="n">
        <x:v>26268.040296621803</x:v>
      </x:c>
      <x:c r="F2472" s="43" t="n">
        <x:v>1242.1787920641586</x:v>
      </x:c>
      <x:c r="G2472" s="43" t="n">
        <x:v>4785.500778174494</x:v>
      </x:c>
      <x:c r="H2472" s="43" t="n">
        <x:v>170166.2165638994</x:v>
      </x:c>
      <x:c r="I2472" s="43" t="n">
        <x:v>204433</x:v>
      </x:c>
      <x:c r="J2472" s="43" t="n">
        <x:v>24854</x:v>
      </x:c>
      <x:c r="K2472" s="43" t="n">
        <x:v>2118.740682278415</x:v>
      </x:c>
      <x:c r="L2472" s="43" t="n">
        <x:v>876.5618902142563</x:v>
      </x:c>
    </x:row>
    <x:row r="2473" ht="15" hidden="0" customHeight="1">
      <x:c r="A2473" s="29" t="str">
        <x:v>45035</x:v>
      </x:c>
      <x:c r="B2473" s="29" t="str">
        <x:v>SCA-25</x:v>
      </x:c>
      <x:c r="C2473" s="44" t="n">
        <x:v>178397</x:v>
      </x:c>
      <x:c r="D2473" s="44" t="n">
        <x:v>1751.1828385609806</x:v>
      </x:c>
      <x:c r="E2473" s="44" t="n">
        <x:v>23670.17650265673</x:v>
      </x:c>
      <x:c r="F2473" s="44" t="n">
        <x:v>1083.9784671157286</x:v>
      </x:c>
      <x:c r="G2473" s="44" t="n">
        <x:v>2986.960555681242</x:v>
      </x:c>
      <x:c r="H2473" s="44" t="n">
        <x:v>148904.70163598532</x:v>
      </x:c>
      <x:c r="I2473" s="44" t="n">
        <x:v>178397</x:v>
      </x:c>
      <x:c r="J2473" s="44" t="n">
        <x:v>22604</x:v>
      </x:c>
      <x:c r="K2473" s="44" t="n">
        <x:v>1848.9039513993457</x:v>
      </x:c>
      <x:c r="L2473" s="44" t="n">
        <x:v>764.925484283617</x:v>
      </x:c>
    </x:row>
    <x:row r="2474" ht="15" hidden="0" customHeight="1">
      <x:c r="A2474" s="27" t="str">
        <x:v>12035</x:v>
      </x:c>
      <x:c r="B2474" s="27" t="str">
        <x:v>SCA-25</x:v>
      </x:c>
      <x:c r="C2474" s="43" t="n">
        <x:v>140360</x:v>
      </x:c>
      <x:c r="D2474" s="43" t="n">
        <x:v>1626.4214815324851</x:v>
      </x:c>
      <x:c r="E2474" s="43" t="n">
        <x:v>22111.175872016785</x:v>
      </x:c>
      <x:c r="F2474" s="43" t="n">
        <x:v>909.0557995495823</x:v>
      </x:c>
      <x:c r="G2474" s="43" t="n">
        <x:v>3165.9874710917197</x:v>
      </x:c>
      <x:c r="H2474" s="43" t="n">
        <x:v>112547.35937580942</x:v>
      </x:c>
      <x:c r="I2474" s="43" t="n">
        <x:v>140360</x:v>
      </x:c>
      <x:c r="J2474" s="43" t="n">
        <x:v>20648</x:v>
      </x:c>
      <x:c r="K2474" s="43" t="n">
        <x:v>1614.1782864147015</x:v>
      </x:c>
      <x:c r="L2474" s="43" t="n">
        <x:v>705.1224868651192</x:v>
      </x:c>
    </x:row>
    <x:row r="2475" ht="15" hidden="0" customHeight="1">
      <x:c r="A2475" s="29" t="str">
        <x:v>13185</x:v>
      </x:c>
      <x:c r="B2475" s="29" t="str">
        <x:v>SCA-25</x:v>
      </x:c>
      <x:c r="C2475" s="44" t="n">
        <x:v>122867</x:v>
      </x:c>
      <x:c r="D2475" s="44" t="n">
        <x:v>1090.0218278131208</x:v>
      </x:c>
      <x:c r="E2475" s="44" t="n">
        <x:v>15486.990716508722</x:v>
      </x:c>
      <x:c r="F2475" s="44" t="n">
        <x:v>1064.7590535708591</x:v>
      </x:c>
      <x:c r="G2475" s="44" t="n">
        <x:v>4737.896684966954</x:v>
      </x:c>
      <x:c r="H2475" s="44" t="n">
        <x:v>100487.33171714035</x:v>
      </x:c>
      <x:c r="I2475" s="44" t="n">
        <x:v>122867</x:v>
      </x:c>
      <x:c r="J2475" s="44" t="n">
        <x:v>15019</x:v>
      </x:c>
      <x:c r="K2475" s="44" t="n">
        <x:v>1509.4896015294496</x:v>
      </x:c>
      <x:c r="L2475" s="44" t="n">
        <x:v>444.7305479585906</x:v>
      </x:c>
    </x:row>
    <x:row r="2476" ht="15" hidden="0" customHeight="1">
      <x:c r="A2476" s="27" t="str">
        <x:v>12089</x:v>
      </x:c>
      <x:c r="B2476" s="27" t="str">
        <x:v>SCA-25</x:v>
      </x:c>
      <x:c r="C2476" s="43" t="n">
        <x:v>106879</x:v>
      </x:c>
      <x:c r="D2476" s="43" t="n">
        <x:v>1228.0821646460124</x:v>
      </x:c>
      <x:c r="E2476" s="43" t="n">
        <x:v>16587.773101634186</x:v>
      </x:c>
      <x:c r="F2476" s="43" t="n">
        <x:v>692.2127016248205</x:v>
      </x:c>
      <x:c r="G2476" s="43" t="n">
        <x:v>1862.354202481307</x:v>
      </x:c>
      <x:c r="H2476" s="43" t="n">
        <x:v>86508.57782961369</x:v>
      </x:c>
      <x:c r="I2476" s="43" t="n">
        <x:v>106879</x:v>
      </x:c>
      <x:c r="J2476" s="43" t="n">
        <x:v>15611</x:v>
      </x:c>
      <x:c r="K2476" s="43" t="n">
        <x:v>1229.137653702742</x:v>
      </x:c>
      <x:c r="L2476" s="43" t="n">
        <x:v>536.9249520779215</x:v>
      </x:c>
    </x:row>
    <x:row r="2477" ht="15" hidden="0" customHeight="1">
      <x:c r="A2477" s="29" t="str">
        <x:v>13127</x:v>
      </x:c>
      <x:c r="B2477" s="29" t="str">
        <x:v>SCA-25</x:v>
      </x:c>
      <x:c r="C2477" s="44" t="n">
        <x:v>87599</x:v>
      </x:c>
      <x:c r="D2477" s="44" t="n">
        <x:v>794.0284555006226</x:v>
      </x:c>
      <x:c r="E2477" s="44" t="n">
        <x:v>11446.903003352327</x:v>
      </x:c>
      <x:c r="F2477" s="44" t="n">
        <x:v>759.1283935780452</x:v>
      </x:c>
      <x:c r="G2477" s="44" t="n">
        <x:v>1943.7330458782974</x:v>
      </x:c>
      <x:c r="H2477" s="44" t="n">
        <x:v>72655.20710169071</x:v>
      </x:c>
      <x:c r="I2477" s="44" t="n">
        <x:v>87599</x:v>
      </x:c>
      <x:c r="J2477" s="44" t="n">
        <x:v>11491</x:v>
      </x:c>
      <x:c r="K2477" s="44" t="n">
        <x:v>1076.202557272321</x:v>
      </x:c>
      <x:c r="L2477" s="44" t="n">
        <x:v>317.07416369427574</x:v>
      </x:c>
    </x:row>
    <x:row r="2478" ht="15" hidden="0" customHeight="1">
      <x:c r="A2478" s="27" t="str">
        <x:v>13031</x:v>
      </x:c>
      <x:c r="B2478" s="27" t="str">
        <x:v>SCA-25</x:v>
      </x:c>
      <x:c r="C2478" s="43" t="n">
        <x:v>86949</x:v>
      </x:c>
      <x:c r="D2478" s="43" t="n">
        <x:v>856.3364762364927</x:v>
      </x:c>
      <x:c r="E2478" s="43" t="n">
        <x:v>12998.761407628928</x:v>
      </x:c>
      <x:c r="F2478" s="43" t="n">
        <x:v>753.4955272687753</x:v>
      </x:c>
      <x:c r="G2478" s="43" t="n">
        <x:v>2249.141141287763</x:v>
      </x:c>
      <x:c r="H2478" s="43" t="n">
        <x:v>70091.26544757804</x:v>
      </x:c>
      <x:c r="I2478" s="43" t="n">
        <x:v>86949</x:v>
      </x:c>
      <x:c r="J2478" s="43" t="n">
        <x:v>12758</x:v>
      </x:c>
      <x:c r="K2478" s="43" t="n">
        <x:v>1068.2169448540626</x:v>
      </x:c>
      <x:c r="L2478" s="43" t="n">
        <x:v>314.72141758528727</x:v>
      </x:c>
    </x:row>
    <x:row r="2479" ht="15" hidden="0" customHeight="1">
      <x:c r="A2479" s="29" t="str">
        <x:v>12107</x:v>
      </x:c>
      <x:c r="B2479" s="29" t="str">
        <x:v>SCA-25</x:v>
      </x:c>
      <x:c r="C2479" s="44" t="n">
        <x:v>77734</x:v>
      </x:c>
      <x:c r="D2479" s="44" t="n">
        <x:v>1005.8797194212409</x:v>
      </x:c>
      <x:c r="E2479" s="44" t="n">
        <x:v>14768.871933426995</x:v>
      </x:c>
      <x:c r="F2479" s="44" t="n">
        <x:v>503.45214820595066</x:v>
      </x:c>
      <x:c r="G2479" s="44" t="n">
        <x:v>2910.7890143737163</x:v>
      </x:c>
      <x:c r="H2479" s="44" t="n">
        <x:v>58545.007184572096</x:v>
      </x:c>
      <x:c r="I2479" s="44" t="n">
        <x:v>77734</x:v>
      </x:c>
      <x:c r="J2479" s="44" t="n">
        <x:v>14650</x:v>
      </x:c>
      <x:c r="K2479" s="44" t="n">
        <x:v>893.9622037344001</x:v>
      </x:c>
      <x:c r="L2479" s="44" t="n">
        <x:v>390.51005552844947</x:v>
      </x:c>
    </x:row>
    <x:row r="2480" ht="15" hidden="0" customHeight="1">
      <x:c r="A2480" s="27" t="str">
        <x:v>13103</x:v>
      </x:c>
      <x:c r="B2480" s="27" t="str">
        <x:v>SCA-25</x:v>
      </x:c>
      <x:c r="C2480" s="43" t="n">
        <x:v>74397</x:v>
      </x:c>
      <x:c r="D2480" s="43" t="n">
        <x:v>677.8967499313571</x:v>
      </x:c>
      <x:c r="E2480" s="43" t="n">
        <x:v>9806.608068368063</x:v>
      </x:c>
      <x:c r="F2480" s="43" t="n">
        <x:v>644.7205458626905</x:v>
      </x:c>
      <x:c r="G2480" s="43" t="n">
        <x:v>1144.793827557949</x:v>
      </x:c>
      <x:c r="H2480" s="43" t="n">
        <x:v>62122.980808279935</x:v>
      </x:c>
      <x:c r="I2480" s="43" t="n">
        <x:v>74397</x:v>
      </x:c>
      <x:c r="J2480" s="43" t="n">
        <x:v>9383</x:v>
      </x:c>
      <x:c r="K2480" s="43" t="n">
        <x:v>914.0086262787116</x:v>
      </x:c>
      <x:c r="L2480" s="43" t="n">
        <x:v>269.2880804160211</x:v>
      </x:c>
    </x:row>
    <x:row r="2481" ht="15" hidden="0" customHeight="1">
      <x:c r="A2481" s="29" t="str">
        <x:v>12023</x:v>
      </x:c>
      <x:c r="B2481" s="29" t="str">
        <x:v>SCA-25</x:v>
      </x:c>
      <x:c r="C2481" s="44" t="n">
        <x:v>74094</x:v>
      </x:c>
      <x:c r="D2481" s="44" t="n">
        <x:v>1001.6818666930529</x:v>
      </x:c>
      <x:c r="E2481" s="44" t="n">
        <x:v>15106.991382260376</x:v>
      </x:c>
      <x:c r="F2481" s="44" t="n">
        <x:v>479.8773184085691</x:v>
      </x:c>
      <x:c r="G2481" s="44" t="n">
        <x:v>2199.808877199722</x:v>
      </x:c>
      <x:c r="H2481" s="44" t="n">
        <x:v>55305.64055543827</x:v>
      </x:c>
      <x:c r="I2481" s="44" t="n">
        <x:v>74094</x:v>
      </x:c>
      <x:c r="J2481" s="44" t="n">
        <x:v>14374</x:v>
      </x:c>
      <x:c r="K2481" s="44" t="n">
        <x:v>852.101210840773</x:v>
      </x:c>
      <x:c r="L2481" s="44" t="n">
        <x:v>372.22389243220385</x:v>
      </x:c>
    </x:row>
    <x:row r="2482" ht="15" hidden="0" customHeight="1">
      <x:c r="A2482" s="27" t="str">
        <x:v>13179</x:v>
      </x:c>
      <x:c r="B2482" s="27" t="str">
        <x:v>SCA-25</x:v>
      </x:c>
      <x:c r="C2482" s="43" t="n">
        <x:v>70313</x:v>
      </x:c>
      <x:c r="D2482" s="43" t="n">
        <x:v>687.4190616879151</x:v>
      </x:c>
      <x:c r="E2482" s="43" t="n">
        <x:v>10389.92318532332</x:v>
      </x:c>
      <x:c r="F2482" s="43" t="n">
        <x:v>609.3288135441397</x:v>
      </x:c>
      <x:c r="G2482" s="43" t="n">
        <x:v>1789.874426692203</x:v>
      </x:c>
      <x:c r="H2482" s="43" t="n">
        <x:v>56836.45451275242</x:v>
      </x:c>
      <x:c r="I2482" s="43" t="n">
        <x:v>70313</x:v>
      </x:c>
      <x:c r="J2482" s="43" t="n">
        <x:v>9162</x:v>
      </x:c>
      <x:c r="K2482" s="43" t="n">
        <x:v>863.8344091769164</x:v>
      </x:c>
      <x:c r="L2482" s="43" t="n">
        <x:v>254.50559563277673</x:v>
      </x:c>
    </x:row>
    <x:row r="2483" ht="15" hidden="0" customHeight="1">
      <x:c r="A2483" s="29" t="str">
        <x:v>13039</x:v>
      </x:c>
      <x:c r="B2483" s="29" t="str">
        <x:v>SCA-25</x:v>
      </x:c>
      <x:c r="C2483" s="44" t="n">
        <x:v>60143</x:v>
      </x:c>
      <x:c r="D2483" s="44" t="n">
        <x:v>639.9869678985413</x:v>
      </x:c>
      <x:c r="E2483" s="44" t="n">
        <x:v>10135.027196350502</x:v>
      </x:c>
      <x:c r="F2483" s="44" t="n">
        <x:v>521.1961206744868</x:v>
      </x:c>
      <x:c r="G2483" s="44" t="n">
        <x:v>1782.0768390039916</x:v>
      </x:c>
      <x:c r="H2483" s="44" t="n">
        <x:v>47064.71287607247</x:v>
      </x:c>
      <x:c r="I2483" s="44" t="n">
        <x:v>60143</x:v>
      </x:c>
      <x:c r="J2483" s="44" t="n">
        <x:v>9235</x:v>
      </x:c>
      <x:c r="K2483" s="44" t="n">
        <x:v>738.8902887250904</x:v>
      </x:c>
      <x:c r="L2483" s="44" t="n">
        <x:v>217.6941680506036</x:v>
      </x:c>
    </x:row>
    <x:row r="2484" ht="15" hidden="0" customHeight="1">
      <x:c r="A2484" s="27" t="str">
        <x:v>13029</x:v>
      </x:c>
      <x:c r="B2484" s="27" t="str">
        <x:v>SCA-25</x:v>
      </x:c>
      <x:c r="C2484" s="43" t="n">
        <x:v>52062</x:v>
      </x:c>
      <x:c r="D2484" s="43" t="n">
        <x:v>454.0404764311469</x:v>
      </x:c>
      <x:c r="E2484" s="43" t="n">
        <x:v>6374.312926304816</x:v>
      </x:c>
      <x:c r="F2484" s="43" t="n">
        <x:v>451.1665935280105</x:v>
      </x:c>
      <x:c r="G2484" s="43" t="n">
        <x:v>922.6280380530395</x:v>
      </x:c>
      <x:c r="H2484" s="43" t="n">
        <x:v>43859.85196568299</x:v>
      </x:c>
      <x:c r="I2484" s="43" t="n">
        <x:v>52062</x:v>
      </x:c>
      <x:c r="J2484" s="43" t="n">
        <x:v>5872</x:v>
      </x:c>
      <x:c r="K2484" s="43" t="n">
        <x:v>639.61069802979</x:v>
      </x:c>
      <x:c r="L2484" s="43" t="n">
        <x:v>188.4441045017795</x:v>
      </x:c>
    </x:row>
    <x:row r="2485" ht="15" hidden="0" customHeight="1">
      <x:c r="A2485" s="29" t="str">
        <x:v>12063</x:v>
      </x:c>
      <x:c r="B2485" s="29" t="str">
        <x:v>SCA-25</x:v>
      </x:c>
      <x:c r="C2485" s="44" t="n">
        <x:v>49629</x:v>
      </x:c>
      <x:c r="D2485" s="44" t="n">
        <x:v>603.5007238312658</x:v>
      </x:c>
      <x:c r="E2485" s="44" t="n">
        <x:v>8500.342723794949</x:v>
      </x:c>
      <x:c r="F2485" s="44" t="n">
        <x:v>321.42726044347546</x:v>
      </x:c>
      <x:c r="G2485" s="44" t="n">
        <x:v>780.095614957919</x:v>
      </x:c>
      <x:c r="H2485" s="44" t="n">
        <x:v>39423.63367697239</x:v>
      </x:c>
      <x:c r="I2485" s="44" t="n">
        <x:v>49629</x:v>
      </x:c>
      <x:c r="J2485" s="44" t="n">
        <x:v>7462</x:v>
      </x:c>
      <x:c r="K2485" s="44" t="n">
        <x:v>570.7470374499517</x:v>
      </x:c>
      <x:c r="L2485" s="44" t="n">
        <x:v>249.3197770064762</x:v>
      </x:c>
    </x:row>
    <x:row r="2486" ht="15" hidden="0" customHeight="1">
      <x:c r="A2486" s="27" t="str">
        <x:v>12121</x:v>
      </x:c>
      <x:c r="B2486" s="27" t="str">
        <x:v>SCA-25</x:v>
      </x:c>
      <x:c r="C2486" s="43" t="n">
        <x:v>48149</x:v>
      </x:c>
      <x:c r="D2486" s="43" t="n">
        <x:v>643.8184296176867</x:v>
      </x:c>
      <x:c r="E2486" s="43" t="n">
        <x:v>9646.408462992853</x:v>
      </x:c>
      <x:c r="F2486" s="43" t="n">
        <x:v>311.84189008629846</x:v>
      </x:c>
      <x:c r="G2486" s="43" t="n">
        <x:v>1132.3608254553837</x:v>
      </x:c>
      <x:c r="H2486" s="43" t="n">
        <x:v>36414.57039184778</x:v>
      </x:c>
      <x:c r="I2486" s="43" t="n">
        <x:v>48149</x:v>
      </x:c>
      <x:c r="J2486" s="43" t="n">
        <x:v>9051</x:v>
      </x:c>
      <x:c r="K2486" s="43" t="n">
        <x:v>553.7266337459495</x:v>
      </x:c>
      <x:c r="L2486" s="43" t="n">
        <x:v>241.88474365965104</x:v>
      </x:c>
    </x:row>
    <x:row r="2487" ht="15" hidden="0" customHeight="1">
      <x:c r="A2487" s="29" t="str">
        <x:v>13071</x:v>
      </x:c>
      <x:c r="B2487" s="29" t="str">
        <x:v>SCA-25</x:v>
      </x:c>
      <x:c r="C2487" s="44" t="n">
        <x:v>47438</x:v>
      </x:c>
      <x:c r="D2487" s="44" t="n">
        <x:v>503.8176357034004</x:v>
      </x:c>
      <x:c r="E2487" s="44" t="n">
        <x:v>7970.654521440599</x:v>
      </x:c>
      <x:c r="F2487" s="44" t="n">
        <x:v>411.0952491986816</x:v>
      </x:c>
      <x:c r="G2487" s="44" t="n">
        <x:v>1790.1989897443746</x:v>
      </x:c>
      <x:c r="H2487" s="44" t="n">
        <x:v>36762.233603912944</x:v>
      </x:c>
      <x:c r="I2487" s="44" t="n">
        <x:v>47438</x:v>
      </x:c>
      <x:c r="J2487" s="44" t="n">
        <x:v>8004</x:v>
      </x:c>
      <x:c r="K2487" s="44" t="n">
        <x:v>582.8022798420571</x:v>
      </x:c>
      <x:c r="L2487" s="44" t="n">
        <x:v>171.7070306433755</x:v>
      </x:c>
    </x:row>
    <x:row r="2488" ht="15" hidden="0" customHeight="1">
      <x:c r="A2488" s="27" t="str">
        <x:v>13275</x:v>
      </x:c>
      <x:c r="B2488" s="27" t="str">
        <x:v>SCA-25</x:v>
      </x:c>
      <x:c r="C2488" s="43" t="n">
        <x:v>46368</x:v>
      </x:c>
      <x:c r="D2488" s="43" t="n">
        <x:v>493.6173728809755</x:v>
      </x:c>
      <x:c r="E2488" s="43" t="n">
        <x:v>7818.7997830544355</x:v>
      </x:c>
      <x:c r="F2488" s="43" t="n">
        <x:v>401.82268465880657</x:v>
      </x:c>
      <x:c r="G2488" s="43" t="n">
        <x:v>1518.8631302775757</x:v>
      </x:c>
      <x:c r="H2488" s="43" t="n">
        <x:v>36134.89702912821</x:v>
      </x:c>
      <x:c r="I2488" s="43" t="n">
        <x:v>46368</x:v>
      </x:c>
      <x:c r="J2488" s="43" t="n">
        <x:v>7967</x:v>
      </x:c>
      <x:c r="K2488" s="43" t="n">
        <x:v>569.6567332458472</x:v>
      </x:c>
      <x:c r="L2488" s="43" t="n">
        <x:v>167.83404858704068</x:v>
      </x:c>
    </x:row>
    <x:row r="2489" ht="15" hidden="0" customHeight="1">
      <x:c r="A2489" s="29" t="str">
        <x:v>13069</x:v>
      </x:c>
      <x:c r="B2489" s="29" t="str">
        <x:v>SCA-25</x:v>
      </x:c>
      <x:c r="C2489" s="44" t="n">
        <x:v>44407</x:v>
      </x:c>
      <x:c r="D2489" s="44" t="n">
        <x:v>397.0061377488294</x:v>
      </x:c>
      <x:c r="E2489" s="44" t="n">
        <x:v>5670.4834366112855</x:v>
      </x:c>
      <x:c r="F2489" s="44" t="n">
        <x:v>384.82876030114784</x:v>
      </x:c>
      <x:c r="G2489" s="44" t="n">
        <x:v>1723.1346355336027</x:v>
      </x:c>
      <x:c r="H2489" s="44" t="n">
        <x:v>36231.54702980514</x:v>
      </x:c>
      <x:c r="I2489" s="44" t="n">
        <x:v>44407</x:v>
      </x:c>
      <x:c r="J2489" s="44" t="n">
        <x:v>5332</x:v>
      </x:c>
      <x:c r="K2489" s="44" t="n">
        <x:v>545.5647548578403</x:v>
      </x:c>
      <x:c r="L2489" s="44" t="n">
        <x:v>160.73599455669245</x:v>
      </x:c>
    </x:row>
    <x:row r="2490" ht="15" hidden="0" customHeight="1">
      <x:c r="A2490" s="27" t="str">
        <x:v>12039</x:v>
      </x:c>
      <x:c r="B2490" s="27" t="str">
        <x:v>SCA-25</x:v>
      </x:c>
      <x:c r="C2490" s="43" t="n">
        <x:v>44298</x:v>
      </x:c>
      <x:c r="D2490" s="43" t="n">
        <x:v>593.7746055106933</x:v>
      </x:c>
      <x:c r="E2490" s="43" t="n">
        <x:v>8909.66446959188</x:v>
      </x:c>
      <x:c r="F2490" s="43" t="n">
        <x:v>286.9004973528598</x:v>
      </x:c>
      <x:c r="G2490" s="43" t="n">
        <x:v>3008.6026623834905</x:v>
      </x:c>
      <x:c r="H2490" s="43" t="n">
        <x:v>31499.057765161073</x:v>
      </x:c>
      <x:c r="I2490" s="43" t="n">
        <x:v>44298</x:v>
      </x:c>
      <x:c r="J2490" s="43" t="n">
        <x:v>8609</x:v>
      </x:c>
      <x:c r="K2490" s="43" t="n">
        <x:v>509.4390832972246</x:v>
      </x:c>
      <x:c r="L2490" s="43" t="n">
        <x:v>222.53858594436483</x:v>
      </x:c>
    </x:row>
    <x:row r="2491" ht="15" hidden="0" customHeight="1">
      <x:c r="A2491" s="29" t="str">
        <x:v>13277</x:v>
      </x:c>
      <x:c r="B2491" s="29" t="str">
        <x:v>SCA-25</x:v>
      </x:c>
      <x:c r="C2491" s="44" t="n">
        <x:v>42254</x:v>
      </x:c>
      <x:c r="D2491" s="44" t="n">
        <x:v>353.45852064060233</x:v>
      </x:c>
      <x:c r="E2491" s="44" t="n">
        <x:v>4812.373082850223</x:v>
      </x:c>
      <x:c r="F2491" s="44" t="n">
        <x:v>366.1709738952125</x:v>
      </x:c>
      <x:c r="G2491" s="44" t="n">
        <x:v>1517.2663706856488</x:v>
      </x:c>
      <x:c r="H2491" s="44" t="n">
        <x:v>35204.73105192831</x:v>
      </x:c>
      <x:c r="I2491" s="44" t="n">
        <x:v>42254</x:v>
      </x:c>
      <x:c r="J2491" s="44" t="n">
        <x:v>4850</x:v>
      </x:c>
      <x:c r="K2491" s="44" t="n">
        <x:v>519.1139494170556</x:v>
      </x:c>
      <x:c r="L2491" s="44" t="n">
        <x:v>152.942975521843</x:v>
      </x:c>
    </x:row>
    <x:row r="2492" ht="15" hidden="0" customHeight="1">
      <x:c r="A2492" s="27" t="str">
        <x:v>45029</x:v>
      </x:c>
      <x:c r="B2492" s="27" t="str">
        <x:v>SCA-25</x:v>
      </x:c>
      <x:c r="C2492" s="43" t="n">
        <x:v>39382</x:v>
      </x:c>
      <x:c r="D2492" s="43" t="n">
        <x:v>491.4214658179183</x:v>
      </x:c>
      <x:c r="E2492" s="43" t="n">
        <x:v>7741.451232762222</x:v>
      </x:c>
      <x:c r="F2492" s="43" t="n">
        <x:v>239.29348583188968</x:v>
      </x:c>
      <x:c r="G2492" s="43" t="n">
        <x:v>2358.6702883409944</x:v>
      </x:c>
      <x:c r="H2492" s="43" t="n">
        <x:v>28551.163527246976</x:v>
      </x:c>
      <x:c r="I2492" s="43" t="n">
        <x:v>39382</x:v>
      </x:c>
      <x:c r="J2492" s="43" t="n">
        <x:v>7840</x:v>
      </x:c>
      <x:c r="K2492" s="43" t="n">
        <x:v>408.1544836180487</x:v>
      </x:c>
      <x:c r="L2492" s="43" t="n">
        <x:v>168.860997786159</x:v>
      </x:c>
    </x:row>
    <x:row r="2493" ht="15" hidden="0" customHeight="1">
      <x:c r="A2493" s="29" t="str">
        <x:v>45053</x:v>
      </x:c>
      <x:c r="B2493" s="29" t="str">
        <x:v>SCA-25</x:v>
      </x:c>
      <x:c r="C2493" s="44" t="n">
        <x:v>38533</x:v>
      </x:c>
      <x:c r="D2493" s="44" t="n">
        <x:v>386.3609310788853</x:v>
      </x:c>
      <x:c r="E2493" s="44" t="n">
        <x:v>5307.366021058105</x:v>
      </x:c>
      <x:c r="F2493" s="44" t="n">
        <x:v>234.13477958357134</x:v>
      </x:c>
      <x:c r="G2493" s="44" t="n">
        <x:v>1084.789435200832</x:v>
      </x:c>
      <x:c r="H2493" s="44" t="n">
        <x:v>31520.348833078606</x:v>
      </x:c>
      <x:c r="I2493" s="44" t="n">
        <x:v>38533</x:v>
      </x:c>
      <x:c r="J2493" s="44" t="n">
        <x:v>4415</x:v>
      </x:c>
      <x:c r="K2493" s="44" t="n">
        <x:v>399.3554597850356</x:v>
      </x:c>
      <x:c r="L2493" s="44" t="n">
        <x:v>165.22068020146423</x:v>
      </x:c>
    </x:row>
    <x:row r="2494" ht="15" hidden="0" customHeight="1">
      <x:c r="A2494" s="27" t="str">
        <x:v>12129</x:v>
      </x:c>
      <x:c r="B2494" s="27" t="str">
        <x:v>SCA-25</x:v>
      </x:c>
      <x:c r="C2494" s="43" t="n">
        <x:v>38089</x:v>
      </x:c>
      <x:c r="D2494" s="43" t="n">
        <x:v>384.6162679655099</x:v>
      </x:c>
      <x:c r="E2494" s="43" t="n">
        <x:v>4638.4717531091665</x:v>
      </x:c>
      <x:c r="F2494" s="43" t="n">
        <x:v>246.68727806386465</x:v>
      </x:c>
      <x:c r="G2494" s="43" t="n">
        <x:v>725.5843390142792</x:v>
      </x:c>
      <x:c r="H2494" s="43" t="n">
        <x:v>32093.64036184718</x:v>
      </x:c>
      <x:c r="I2494" s="43" t="n">
        <x:v>38089</x:v>
      </x:c>
      <x:c r="J2494" s="43" t="n">
        <x:v>4131</x:v>
      </x:c>
      <x:c r="K2494" s="43" t="n">
        <x:v>438.0338896498259</x:v>
      </x:c>
      <x:c r="L2494" s="43" t="n">
        <x:v>191.34661158596126</x:v>
      </x:c>
    </x:row>
    <x:row r="2495" ht="15" hidden="0" customHeight="1">
      <x:c r="A2495" s="29" t="str">
        <x:v>13299</x:v>
      </x:c>
      <x:c r="B2495" s="29" t="str">
        <x:v>SCA-25</x:v>
      </x:c>
      <x:c r="C2495" s="44" t="n">
        <x:v>36906</x:v>
      </x:c>
      <x:c r="D2495" s="44" t="n">
        <x:v>367.2796803454906</x:v>
      </x:c>
      <x:c r="E2495" s="44" t="n">
        <x:v>5608.665021276596</x:v>
      </x:c>
      <x:c r="F2495" s="44" t="n">
        <x:v>319.82548309217384</x:v>
      </x:c>
      <x:c r="G2495" s="44" t="n">
        <x:v>2705.632491134752</x:v>
      </x:c>
      <x:c r="H2495" s="44" t="n">
        <x:v>27904.597324150986</x:v>
      </x:c>
      <x:c r="I2495" s="44" t="n">
        <x:v>36906</x:v>
      </x:c>
      <x:c r="J2495" s="44" t="n">
        <x:v>5357</x:v>
      </x:c>
      <x:c r="K2495" s="44" t="n">
        <x:v>453.4107875511396</x:v>
      </x:c>
      <x:c r="L2495" s="44" t="n">
        <x:v>133.58530445896574</x:v>
      </x:c>
    </x:row>
    <x:row r="2496" ht="15" hidden="0" customHeight="1">
      <x:c r="A2496" s="27" t="str">
        <x:v>13305</x:v>
      </x:c>
      <x:c r="B2496" s="27" t="str">
        <x:v>SCA-25</x:v>
      </x:c>
      <x:c r="C2496" s="43" t="n">
        <x:v>32481</x:v>
      </x:c>
      <x:c r="D2496" s="43" t="n">
        <x:v>367.5894822968527</x:v>
      </x:c>
      <x:c r="E2496" s="43" t="n">
        <x:v>6000.502786224015</x:v>
      </x:c>
      <x:c r="F2496" s="43" t="n">
        <x:v>281.47866244829834</x:v>
      </x:c>
      <x:c r="G2496" s="43" t="n">
        <x:v>1454.8259902782088</x:v>
      </x:c>
      <x:c r="H2496" s="43" t="n">
        <x:v>24376.603078752625</x:v>
      </x:c>
      <x:c r="I2496" s="43" t="n">
        <x:v>32481</x:v>
      </x:c>
      <x:c r="J2496" s="43" t="n">
        <x:v>5582</x:v>
      </x:c>
      <x:c r="K2496" s="43" t="n">
        <x:v>399.0471953191504</x:v>
      </x:c>
      <x:c r="L2496" s="43" t="n">
        <x:v>117.56853287085207</x:v>
      </x:c>
    </x:row>
    <x:row r="2497" ht="15" hidden="0" customHeight="1">
      <x:c r="A2497" s="29" t="str">
        <x:v>12003</x:v>
      </x:c>
      <x:c r="B2497" s="29" t="str">
        <x:v>SCA-25</x:v>
      </x:c>
      <x:c r="C2497" s="44" t="n">
        <x:v>29737</x:v>
      </x:c>
      <x:c r="D2497" s="44" t="n">
        <x:v>316.30346629437315</x:v>
      </x:c>
      <x:c r="E2497" s="44" t="n">
        <x:v>4005.9493537481058</x:v>
      </x:c>
      <x:c r="F2497" s="44" t="n">
        <x:v>192.59470156174072</x:v>
      </x:c>
      <x:c r="G2497" s="44" t="n">
        <x:v>781.4439824350056</x:v>
      </x:c>
      <x:c r="H2497" s="44" t="n">
        <x:v>24440.708495960775</x:v>
      </x:c>
      <x:c r="I2497" s="44" t="n">
        <x:v>29737</x:v>
      </x:c>
      <x:c r="J2497" s="44" t="n">
        <x:v>3611</x:v>
      </x:c>
      <x:c r="K2497" s="44" t="n">
        <x:v>341.9836114499428</x:v>
      </x:c>
      <x:c r="L2497" s="44" t="n">
        <x:v>149.3889098882021</x:v>
      </x:c>
    </x:row>
    <x:row r="2498" ht="15" hidden="0" customHeight="1">
      <x:c r="A2498" s="27" t="str">
        <x:v>13087</x:v>
      </x:c>
      <x:c r="B2498" s="27" t="str">
        <x:v>SCA-25</x:v>
      </x:c>
      <x:c r="C2498" s="43" t="n">
        <x:v>29432</x:v>
      </x:c>
      <x:c r="D2498" s="43" t="n">
        <x:v>311.69365286451324</x:v>
      </x:c>
      <x:c r="E2498" s="43" t="n">
        <x:v>4923.8714171883885</x:v>
      </x:c>
      <x:c r="F2498" s="43" t="n">
        <x:v>255.0561864837387</x:v>
      </x:c>
      <x:c r="G2498" s="43" t="n">
        <x:v>1129.6024473534435</x:v>
      </x:c>
      <x:c r="H2498" s="43" t="n">
        <x:v>22811.776296109918</x:v>
      </x:c>
      <x:c r="I2498" s="43" t="n">
        <x:v>29432</x:v>
      </x:c>
      <x:c r="J2498" s="43" t="n">
        <x:v>4899</x:v>
      </x:c>
      <x:c r="K2498" s="43" t="n">
        <x:v>361.5885302987357</x:v>
      </x:c>
      <x:c r="L2498" s="43" t="n">
        <x:v>106.532343814997</x:v>
      </x:c>
    </x:row>
    <x:row r="2499" ht="15" hidden="0" customHeight="1">
      <x:c r="A2499" s="29" t="str">
        <x:v>12007</x:v>
      </x:c>
      <x:c r="B2499" s="29" t="str">
        <x:v>SCA-25</x:v>
      </x:c>
      <x:c r="C2499" s="44" t="n">
        <x:v>28307</x:v>
      </x:c>
      <x:c r="D2499" s="44" t="n">
        <x:v>325.86106340891075</x:v>
      </x:c>
      <x:c r="E2499" s="44" t="n">
        <x:v>4407.744079404466</x:v>
      </x:c>
      <x:c r="F2499" s="44" t="n">
        <x:v>183.33316128419796</x:v>
      </x:c>
      <x:c r="G2499" s="44" t="n">
        <x:v>892.2568238213398</x:v>
      </x:c>
      <x:c r="H2499" s="44" t="n">
        <x:v>22497.804872081084</x:v>
      </x:c>
      <x:c r="I2499" s="44" t="n">
        <x:v>28307</x:v>
      </x:c>
      <x:c r="J2499" s="44" t="n">
        <x:v>3922</x:v>
      </x:c>
      <x:c r="K2499" s="44" t="n">
        <x:v>325.5382213845893</x:v>
      </x:c>
      <x:c r="L2499" s="44" t="n">
        <x:v>142.20506010039134</x:v>
      </x:c>
    </x:row>
    <x:row r="2500" ht="15" hidden="0" customHeight="1">
      <x:c r="A2500" s="27" t="str">
        <x:v>13279</x:v>
      </x:c>
      <x:c r="B2500" s="27" t="str">
        <x:v>SCA-25</x:v>
      </x:c>
      <x:c r="C2500" s="43" t="n">
        <x:v>27545</x:v>
      </x:c>
      <x:c r="D2500" s="43" t="n">
        <x:v>297.0879313947051</x:v>
      </x:c>
      <x:c r="E2500" s="43" t="n">
        <x:v>4737.258972349714</x:v>
      </x:c>
      <x:c r="F2500" s="43" t="n">
        <x:v>238.70354229051995</x:v>
      </x:c>
      <x:c r="G2500" s="43" t="n">
        <x:v>1532.5297958879064</x:v>
      </x:c>
      <x:c r="H2500" s="43" t="n">
        <x:v>20739.419758077154</x:v>
      </x:c>
      <x:c r="I2500" s="43" t="n">
        <x:v>27545</x:v>
      </x:c>
      <x:c r="J2500" s="43" t="n">
        <x:v>4801</x:v>
      </x:c>
      <x:c r="K2500" s="43" t="n">
        <x:v>338.40568317065356</x:v>
      </x:c>
      <x:c r="L2500" s="43" t="n">
        <x:v>99.70214088013361</x:v>
      </x:c>
    </x:row>
    <x:row r="2501" ht="15" hidden="0" customHeight="1">
      <x:c r="A2501" s="29" t="str">
        <x:v>13131</x:v>
      </x:c>
      <x:c r="B2501" s="29" t="str">
        <x:v>SCA-25</x:v>
      </x:c>
      <x:c r="C2501" s="44" t="n">
        <x:v>26590</x:v>
      </x:c>
      <x:c r="D2501" s="44" t="n">
        <x:v>301.873380757578</x:v>
      </x:c>
      <x:c r="E2501" s="44" t="n">
        <x:v>4935.071204470996</x:v>
      </x:c>
      <x:c r="F2501" s="44" t="n">
        <x:v>230.42756178997732</x:v>
      </x:c>
      <x:c r="G2501" s="44" t="n">
        <x:v>1022.4516284447872</x:v>
      </x:c>
      <x:c r="H2501" s="44" t="n">
        <x:v>20100.176224536663</x:v>
      </x:c>
      <x:c r="I2501" s="44" t="n">
        <x:v>26590</x:v>
      </x:c>
      <x:c r="J2501" s="44" t="n">
        <x:v>5016</x:v>
      </x:c>
      <x:c r="K2501" s="44" t="n">
        <x:v>326.67297569459714</x:v>
      </x:c>
      <x:c r="L2501" s="44" t="n">
        <x:v>96.24541390461982</x:v>
      </x:c>
    </x:row>
    <x:row r="2502" ht="15" hidden="0" customHeight="1">
      <x:c r="A2502" s="27" t="str">
        <x:v>13267</x:v>
      </x:c>
      <x:c r="B2502" s="27" t="str">
        <x:v>SCA-25</x:v>
      </x:c>
      <x:c r="C2502" s="43" t="n">
        <x:v>24376</x:v>
      </x:c>
      <x:c r="D2502" s="43" t="n">
        <x:v>291.4935943733366</x:v>
      </x:c>
      <x:c r="E2502" s="43" t="n">
        <x:v>4878.2878962449095</x:v>
      </x:c>
      <x:c r="F2502" s="43" t="n">
        <x:v>211.24115254578737</x:v>
      </x:c>
      <x:c r="G2502" s="43" t="n">
        <x:v>497.4795656763685</x:v>
      </x:c>
      <x:c r="H2502" s="43" t="n">
        <x:v>18497.497791159596</x:v>
      </x:c>
      <x:c r="I2502" s="43" t="n">
        <x:v>24376</x:v>
      </x:c>
      <x:c r="J2502" s="43" t="n">
        <x:v>4147</x:v>
      </x:c>
      <x:c r="K2502" s="43" t="n">
        <x:v>299.4727512422527</x:v>
      </x:c>
      <x:c r="L2502" s="43" t="n">
        <x:v>88.23159869646531</x:v>
      </x:c>
    </x:row>
    <x:row r="2503" ht="15" hidden="0" customHeight="1">
      <x:c r="A2503" s="29" t="str">
        <x:v>13183</x:v>
      </x:c>
      <x:c r="B2503" s="29" t="str">
        <x:v>SCA-25</x:v>
      </x:c>
      <x:c r="C2503" s="44" t="n">
        <x:v>21557</x:v>
      </x:c>
      <x:c r="D2503" s="44" t="n">
        <x:v>243.58881839748636</x:v>
      </x:c>
      <x:c r="E2503" s="44" t="n">
        <x:v>3973.461566285617</x:v>
      </x:c>
      <x:c r="F2503" s="44" t="n">
        <x:v>186.81184465989247</x:v>
      </x:c>
      <x:c r="G2503" s="44" t="n">
        <x:v>578.1213956662685</x:v>
      </x:c>
      <x:c r="H2503" s="44" t="n">
        <x:v>16575.016374990737</x:v>
      </x:c>
      <x:c r="I2503" s="44" t="n">
        <x:v>21557</x:v>
      </x:c>
      <x:c r="J2503" s="44" t="n">
        <x:v>3376</x:v>
      </x:c>
      <x:c r="K2503" s="44" t="n">
        <x:v>264.8397644621448</x:v>
      </x:c>
      <x:c r="L2503" s="44" t="n">
        <x:v>78.02791980225233</x:v>
      </x:c>
    </x:row>
    <x:row r="2504" ht="15" hidden="0" customHeight="1">
      <x:c r="A2504" s="27" t="str">
        <x:v>12123</x:v>
      </x:c>
      <x:c r="B2504" s="27" t="str">
        <x:v>SCA-25</x:v>
      </x:c>
      <x:c r="C2504" s="43" t="n">
        <x:v>21210</x:v>
      </x:c>
      <x:c r="D2504" s="43" t="n">
        <x:v>277.74722583111344</x:v>
      </x:c>
      <x:c r="E2504" s="43" t="n">
        <x:v>4108.683842333298</x:v>
      </x:c>
      <x:c r="F2504" s="43" t="n">
        <x:v>137.36871978089655</x:v>
      </x:c>
      <x:c r="G2504" s="43" t="n">
        <x:v>1057.234571488957</x:v>
      </x:c>
      <x:c r="H2504" s="43" t="n">
        <x:v>15628.965640565735</x:v>
      </x:c>
      <x:c r="I2504" s="43" t="n">
        <x:v>21210</x:v>
      </x:c>
      <x:c r="J2504" s="43" t="n">
        <x:v>3819</x:v>
      </x:c>
      <x:c r="K2504" s="43" t="n">
        <x:v>243.92078551478923</x:v>
      </x:c>
      <x:c r="L2504" s="43" t="n">
        <x:v>106.55206573389268</x:v>
      </x:c>
    </x:row>
    <x:row r="2505" ht="15" hidden="0" customHeight="1">
      <x:c r="A2505" s="29" t="str">
        <x:v>13229</x:v>
      </x:c>
      <x:c r="B2505" s="29" t="str">
        <x:v>SCA-25</x:v>
      </x:c>
      <x:c r="C2505" s="44" t="n">
        <x:v>20764</x:v>
      </x:c>
      <x:c r="D2505" s="44" t="n">
        <x:v>199.99837545393433</x:v>
      </x:c>
      <x:c r="E2505" s="44" t="n">
        <x:v>2996.17934171155</x:v>
      </x:c>
      <x:c r="F2505" s="44" t="n">
        <x:v>179.93974776258327</x:v>
      </x:c>
      <x:c r="G2505" s="44" t="n">
        <x:v>521.7101536006383</x:v>
      </x:c>
      <x:c r="H2505" s="44" t="n">
        <x:v>16866.172381471293</x:v>
      </x:c>
      <x:c r="I2505" s="44" t="n">
        <x:v>20764</x:v>
      </x:c>
      <x:c r="J2505" s="44" t="n">
        <x:v>3014</x:v>
      </x:c>
      <x:c r="K2505" s="44" t="n">
        <x:v>255.0973173118697</x:v>
      </x:c>
      <x:c r="L2505" s="44" t="n">
        <x:v>75.15756954928642</x:v>
      </x:c>
    </x:row>
    <x:row r="2506" ht="15" hidden="0" customHeight="1">
      <x:c r="A2506" s="27" t="str">
        <x:v>12041</x:v>
      </x:c>
      <x:c r="B2506" s="27" t="str">
        <x:v>SCA-25</x:v>
      </x:c>
      <x:c r="C2506" s="43" t="n">
        <x:v>20488</x:v>
      </x:c>
      <x:c r="D2506" s="43" t="n">
        <x:v>266.55768576241496</x:v>
      </x:c>
      <x:c r="E2506" s="43" t="n">
        <x:v>3927.185054896552</x:v>
      </x:c>
      <x:c r="F2506" s="43" t="n">
        <x:v>132.69261343097634</x:v>
      </x:c>
      <x:c r="G2506" s="43" t="n">
        <x:v>772.319448275862</x:v>
      </x:c>
      <x:c r="H2506" s="43" t="n">
        <x:v>15389.245197634194</x:v>
      </x:c>
      <x:c r="I2506" s="43" t="n">
        <x:v>20488</x:v>
      </x:c>
      <x:c r="J2506" s="43" t="n">
        <x:v>3619</x:v>
      </x:c>
      <x:c r="K2506" s="43" t="n">
        <x:v>235.61758857270164</x:v>
      </x:c>
      <x:c r="L2506" s="43" t="n">
        <x:v>102.92497514172528</x:v>
      </x:c>
    </x:row>
    <x:row r="2507" ht="15" hidden="0" customHeight="1">
      <x:c r="A2507" s="29" t="str">
        <x:v>13205</x:v>
      </x:c>
      <x:c r="B2507" s="29" t="str">
        <x:v>SCA-25</x:v>
      </x:c>
      <x:c r="C2507" s="44" t="n">
        <x:v>20467</x:v>
      </x:c>
      <x:c r="D2507" s="44" t="n">
        <x:v>252.83089203076526</x:v>
      </x:c>
      <x:c r="E2507" s="44" t="n">
        <x:v>4289.960315347599</x:v>
      </x:c>
      <x:c r="F2507" s="44" t="n">
        <x:v>177.36596115665532</x:v>
      </x:c>
      <x:c r="G2507" s="44" t="n">
        <x:v>1689.9548479574075</x:v>
      </x:c>
      <x:c r="H2507" s="44" t="n">
        <x:v>14056.887983507573</x:v>
      </x:c>
      <x:c r="I2507" s="44" t="n">
        <x:v>20467</x:v>
      </x:c>
      <x:c r="J2507" s="44" t="n">
        <x:v>4265</x:v>
      </x:c>
      <x:c r="K2507" s="44" t="n">
        <x:v>251.44850671460395</x:v>
      </x:c>
      <x:c r="L2507" s="44" t="n">
        <x:v>74.08254555794862</x:v>
      </x:c>
    </x:row>
    <x:row r="2508" ht="15" hidden="0" customHeight="1">
      <x:c r="A2508" s="27" t="str">
        <x:v>13321</x:v>
      </x:c>
      <x:c r="B2508" s="27" t="str">
        <x:v>SCA-25</x:v>
      </x:c>
      <x:c r="C2508" s="43" t="n">
        <x:v>20059</x:v>
      </x:c>
      <x:c r="D2508" s="43" t="n">
        <x:v>225.50778859667187</x:v>
      </x:c>
      <x:c r="E2508" s="43" t="n">
        <x:v>3669.6490481589194</x:v>
      </x:c>
      <x:c r="F2508" s="43" t="n">
        <x:v>173.83025430406747</x:v>
      </x:c>
      <x:c r="G2508" s="43" t="n">
        <x:v>612.3372849608123</x:v>
      </x:c>
      <x:c r="H2508" s="43" t="n">
        <x:v>15377.675623979527</x:v>
      </x:c>
      <x:c r="I2508" s="43" t="n">
        <x:v>20059</x:v>
      </x:c>
      <x:c r="J2508" s="43" t="n">
        <x:v>3866</x:v>
      </x:c>
      <x:c r="K2508" s="43" t="n">
        <x:v>246.43599922745105</x:v>
      </x:c>
      <x:c r="L2508" s="43" t="n">
        <x:v>72.60574492338357</x:v>
      </x:c>
    </x:row>
    <x:row r="2509" ht="15" hidden="0" customHeight="1">
      <x:c r="A2509" s="29" t="str">
        <x:v>13001</x:v>
      </x:c>
      <x:c r="B2509" s="29" t="str">
        <x:v>SCA-25</x:v>
      </x:c>
      <x:c r="C2509" s="44" t="n">
        <x:v>19100</x:v>
      </x:c>
      <x:c r="D2509" s="44" t="n">
        <x:v>190.80050844274268</x:v>
      </x:c>
      <x:c r="E2509" s="44" t="n">
        <x:v>2919.9832543792</x:v>
      </x:c>
      <x:c r="F2509" s="44" t="n">
        <x:v>165.51961001085243</x:v>
      </x:c>
      <x:c r="G2509" s="44" t="n">
        <x:v>568.7682879806105</x:v>
      </x:c>
      <x:c r="H2509" s="44" t="n">
        <x:v>15254.928339186594</x:v>
      </x:c>
      <x:c r="I2509" s="44" t="n">
        <x:v>19100</x:v>
      </x:c>
      <x:c r="J2509" s="44" t="n">
        <x:v>2891</x:v>
      </x:c>
      <x:c r="K2509" s="44" t="n">
        <x:v>234.65414952112843</x:v>
      </x:c>
      <x:c r="L2509" s="44" t="n">
        <x:v>69.13453951027599</x:v>
      </x:c>
    </x:row>
    <x:row r="2510" ht="15" hidden="0" customHeight="1">
      <x:c r="A2510" s="27" t="str">
        <x:v>13025</x:v>
      </x:c>
      <x:c r="B2510" s="27" t="str">
        <x:v>SCA-25</x:v>
      </x:c>
      <x:c r="C2510" s="43" t="n">
        <x:v>18936</x:v>
      </x:c>
      <x:c r="D2510" s="43" t="n">
        <x:v>208.9013267240583</x:v>
      </x:c>
      <x:c r="E2510" s="43" t="n">
        <x:v>3368.6496757230498</x:v>
      </x:c>
      <x:c r="F2510" s="43" t="n">
        <x:v>164.09839451128283</x:v>
      </x:c>
      <x:c r="G2510" s="43" t="n">
        <x:v>476.5942703768624</x:v>
      </x:c>
      <x:c r="H2510" s="43" t="n">
        <x:v>14717.756332664747</x:v>
      </x:c>
      <x:c r="I2510" s="43" t="n">
        <x:v>18936</x:v>
      </x:c>
      <x:c r="J2510" s="43" t="n">
        <x:v>3383</x:v>
      </x:c>
      <x:c r="K2510" s="43" t="n">
        <x:v>232.63931808021403</x:v>
      </x:c>
      <x:c r="L2510" s="43" t="n">
        <x:v>68.5409235689312</x:v>
      </x:c>
    </x:row>
    <x:row r="2511" ht="15" hidden="0" customHeight="1">
      <x:c r="A2511" s="29" t="str">
        <x:v>13019</x:v>
      </x:c>
      <x:c r="B2511" s="29" t="str">
        <x:v>SCA-25</x:v>
      </x:c>
      <x:c r="C2511" s="44" t="n">
        <x:v>18932</x:v>
      </x:c>
      <x:c r="D2511" s="44" t="n">
        <x:v>209.692173362064</x:v>
      </x:c>
      <x:c r="E2511" s="44" t="n">
        <x:v>3387.9774775374376</x:v>
      </x:c>
      <x:c r="F2511" s="44" t="n">
        <x:v>164.06373071861037</x:v>
      </x:c>
      <x:c r="G2511" s="44" t="n">
        <x:v>294.92581808097617</x:v>
      </x:c>
      <x:c r="H2511" s="44" t="n">
        <x:v>14875.340800300912</x:v>
      </x:c>
      <x:c r="I2511" s="44" t="n">
        <x:v>18932</x:v>
      </x:c>
      <x:c r="J2511" s="44" t="n">
        <x:v>3361</x:v>
      </x:c>
      <x:c r="K2511" s="44" t="n">
        <x:v>232.59017584994783</x:v>
      </x:c>
      <x:c r="L2511" s="44" t="n">
        <x:v>68.52644513133744</x:v>
      </x:c>
    </x:row>
    <x:row r="2512" ht="15" hidden="0" customHeight="1">
      <x:c r="A2512" s="27" t="str">
        <x:v>12079</x:v>
      </x:c>
      <x:c r="B2512" s="27" t="str">
        <x:v>SCA-25</x:v>
      </x:c>
      <x:c r="C2512" s="43" t="n">
        <x:v>18759</x:v>
      </x:c>
      <x:c r="D2512" s="43" t="n">
        <x:v>235.59465225413882</x:v>
      </x:c>
      <x:c r="E2512" s="43" t="n">
        <x:v>3392.534509995124</x:v>
      </x:c>
      <x:c r="F2512" s="43" t="n">
        <x:v>121.49456927722011</x:v>
      </x:c>
      <x:c r="G2512" s="43" t="n">
        <x:v>697.9900048756704</x:v>
      </x:c>
      <x:c r="H2512" s="43" t="n">
        <x:v>14311.386263597846</x:v>
      </x:c>
      <x:c r="I2512" s="43" t="n">
        <x:v>18759</x:v>
      </x:c>
      <x:c r="J2512" s="43" t="n">
        <x:v>3091</x:v>
      </x:c>
      <x:c r="K2512" s="43" t="n">
        <x:v>215.73361694822873</x:v>
      </x:c>
      <x:c r="L2512" s="43" t="n">
        <x:v>94.23904767100862</x:v>
      </x:c>
    </x:row>
    <x:row r="2513" ht="15" hidden="0" customHeight="1">
      <x:c r="A2513" s="29" t="str">
        <x:v>13075</x:v>
      </x:c>
      <x:c r="B2513" s="29" t="str">
        <x:v>SCA-25</x:v>
      </x:c>
      <x:c r="C2513" s="44" t="n">
        <x:v>18232</x:v>
      </x:c>
      <x:c r="D2513" s="44" t="n">
        <x:v>178.8544395098115</x:v>
      </x:c>
      <x:c r="E2513" s="44" t="n">
        <x:v>2708.681302977233</x:v>
      </x:c>
      <x:c r="F2513" s="44" t="n">
        <x:v>157.9975670009352</x:v>
      </x:c>
      <x:c r="G2513" s="44" t="n">
        <x:v>415.0139521307647</x:v>
      </x:c>
      <x:c r="H2513" s="44" t="n">
        <x:v>14771.452738381256</x:v>
      </x:c>
      <x:c r="I2513" s="44" t="n">
        <x:v>18232</x:v>
      </x:c>
      <x:c r="J2513" s="44" t="n">
        <x:v>2651</x:v>
      </x:c>
      <x:c r="K2513" s="44" t="n">
        <x:v>223.99028555336196</x:v>
      </x:c>
      <x:c r="L2513" s="44" t="n">
        <x:v>65.9927185524268</x:v>
      </x:c>
    </x:row>
    <x:row r="2514" ht="15" hidden="0" customHeight="1">
      <x:c r="A2514" s="27" t="str">
        <x:v>45049</x:v>
      </x:c>
      <x:c r="B2514" s="27" t="str">
        <x:v>SCA-25</x:v>
      </x:c>
      <x:c r="C2514" s="43" t="n">
        <x:v>18174</x:v>
      </x:c>
      <x:c r="D2514" s="43" t="n">
        <x:v>237.98754668846013</x:v>
      </x:c>
      <x:c r="E2514" s="43" t="n">
        <x:v>3841.4783139013457</x:v>
      </x:c>
      <x:c r="F2514" s="43" t="n">
        <x:v>110.42912527318987</x:v>
      </x:c>
      <x:c r="G2514" s="43" t="n">
        <x:v>935.0049327354259</x:v>
      </x:c>
      <x:c r="H2514" s="43" t="n">
        <x:v>13049.100081401579</x:v>
      </x:c>
      <x:c r="I2514" s="43" t="n">
        <x:v>18174</x:v>
      </x:c>
      <x:c r="J2514" s="43" t="n">
        <x:v>3928</x:v>
      </x:c>
      <x:c r="K2514" s="43" t="n">
        <x:v>188.35507554909393</x:v>
      </x:c>
      <x:c r="L2514" s="43" t="n">
        <x:v>77.92595027590406</x:v>
      </x:c>
    </x:row>
    <x:row r="2515" ht="15" hidden="0" customHeight="1">
      <x:c r="A2515" s="29" t="str">
        <x:v>12029</x:v>
      </x:c>
      <x:c r="B2515" s="29" t="str">
        <x:v>SCA-25</x:v>
      </x:c>
      <x:c r="C2515" s="44" t="n">
        <x:v>18038</x:v>
      </x:c>
      <x:c r="D2515" s="44" t="n">
        <x:v>270.8097674651227</x:v>
      </x:c>
      <x:c r="E2515" s="44" t="n">
        <x:v>4324.626881162428</x:v>
      </x:c>
      <x:c r="F2515" s="44" t="n">
        <x:v>116.82493952889261</x:v>
      </x:c>
      <x:c r="G2515" s="44" t="n">
        <x:v>242.33380902957964</x:v>
      </x:c>
      <x:c r="H2515" s="44" t="n">
        <x:v>13083.404602813976</x:v>
      </x:c>
      <x:c r="I2515" s="44" t="n">
        <x:v>18038</x:v>
      </x:c>
      <x:c r="J2515" s="44" t="n">
        <x:v>3850</x:v>
      </x:c>
      <x:c r="K2515" s="44" t="n">
        <x:v>207.44192027891413</x:v>
      </x:c>
      <x:c r="L2515" s="44" t="n">
        <x:v>90.61698075002151</x:v>
      </x:c>
    </x:row>
    <x:row r="2516" ht="15" hidden="0" customHeight="1">
      <x:c r="A2516" s="27" t="str">
        <x:v>13017</x:v>
      </x:c>
      <x:c r="B2516" s="27" t="str">
        <x:v>SCA-25</x:v>
      </x:c>
      <x:c r="C2516" s="43" t="n">
        <x:v>17099</x:v>
      </x:c>
      <x:c r="D2516" s="43" t="n">
        <x:v>138.15842724136735</x:v>
      </x:c>
      <x:c r="E2516" s="43" t="n">
        <x:v>1830.4014272970562</x:v>
      </x:c>
      <x:c r="F2516" s="43" t="n">
        <x:v>148.1790477264694</x:v>
      </x:c>
      <x:c r="G2516" s="43" t="n">
        <x:v>752.5530776092774</x:v>
      </x:c>
      <x:c r="H2516" s="43" t="n">
        <x:v>14229.70802012583</x:v>
      </x:c>
      <x:c r="I2516" s="43" t="n">
        <x:v>17099</x:v>
      </x:c>
      <x:c r="J2516" s="43" t="n">
        <x:v>1875</x:v>
      </x:c>
      <x:c r="K2516" s="43" t="n">
        <x:v>210.07074883045942</x:v>
      </x:c>
      <x:c r="L2516" s="43" t="n">
        <x:v>61.89170110399001</x:v>
      </x:c>
    </x:row>
    <x:row r="2517" ht="15" hidden="0" customHeight="1">
      <x:c r="A2517" s="29" t="str">
        <x:v>12125</x:v>
      </x:c>
      <x:c r="B2517" s="29" t="str">
        <x:v>SCA-25</x:v>
      </x:c>
      <x:c r="C2517" s="44" t="n">
        <x:v>16250</x:v>
      </x:c>
      <x:c r="D2517" s="44" t="n">
        <x:v>201.45140119996975</x:v>
      </x:c>
      <x:c r="E2517" s="44" t="n">
        <x:v>2875.601868487244</x:v>
      </x:c>
      <x:c r="F2517" s="44" t="n">
        <x:v>105.24477588116781</x:v>
      </x:c>
      <x:c r="G2517" s="44" t="n">
        <x:v>199.0226374416098</x:v>
      </x:c>
      <x:c r="H2517" s="44" t="n">
        <x:v>12868.679316990008</x:v>
      </x:c>
      <x:c r="I2517" s="44" t="n">
        <x:v>16250</x:v>
      </x:c>
      <x:c r="J2517" s="44" t="n">
        <x:v>2052</x:v>
      </x:c>
      <x:c r="K2517" s="44" t="n">
        <x:v>186.8794325608357</x:v>
      </x:c>
      <x:c r="L2517" s="44" t="n">
        <x:v>81.6346566796679</x:v>
      </x:c>
    </x:row>
    <x:row r="2518" ht="15" hidden="0" customHeight="1">
      <x:c r="A2518" s="27" t="str">
        <x:v>13027</x:v>
      </x:c>
      <x:c r="B2518" s="27" t="str">
        <x:v>SCA-25</x:v>
      </x:c>
      <x:c r="C2518" s="43" t="n">
        <x:v>16101</x:v>
      </x:c>
      <x:c r="D2518" s="43" t="n">
        <x:v>174.04685158550015</x:v>
      </x:c>
      <x:c r="E2518" s="43" t="n">
        <x:v>2778.4204958677688</x:v>
      </x:c>
      <x:c r="F2518" s="43" t="n">
        <x:v>139.53043145469817</x:v>
      </x:c>
      <x:c r="G2518" s="43" t="n">
        <x:v>657.4287190082645</x:v>
      </x:c>
      <x:c r="H2518" s="43" t="n">
        <x:v>12351.57350208377</x:v>
      </x:c>
      <x:c r="I2518" s="43" t="n">
        <x:v>16101</x:v>
      </x:c>
      <x:c r="J2518" s="43" t="n">
        <x:v>2871</x:v>
      </x:c>
      <x:c r="K2518" s="43" t="n">
        <x:v>197.8097623790413</x:v>
      </x:c>
      <x:c r="L2518" s="43" t="n">
        <x:v>58.27933092434313</x:v>
      </x:c>
    </x:row>
    <x:row r="2519" ht="15" hidden="0" customHeight="1">
      <x:c r="A2519" s="29" t="str">
        <x:v>12065</x:v>
      </x:c>
      <x:c r="B2519" s="29" t="str">
        <x:v>SCA-25</x:v>
      </x:c>
      <x:c r="C2519" s="44" t="n">
        <x:v>16007</x:v>
      </x:c>
      <x:c r="D2519" s="44" t="n">
        <x:v>216.36313822235292</x:v>
      </x:c>
      <x:c r="E2519" s="44" t="n">
        <x:v>3262.781607347876</x:v>
      </x:c>
      <x:c r="F2519" s="44" t="n">
        <x:v>103.67096169414481</x:v>
      </x:c>
      <x:c r="G2519" s="44" t="n">
        <x:v>804.2133323765787</x:v>
      </x:c>
      <x:c r="H2519" s="44" t="n">
        <x:v>11619.970960359047</x:v>
      </x:c>
      <x:c r="I2519" s="44" t="n">
        <x:v>16007</x:v>
      </x:c>
      <x:c r="J2519" s="44" t="n">
        <x:v>2959</x:v>
      </x:c>
      <x:c r="K2519" s="44" t="n">
        <x:v>184.0848662770029</x:v>
      </x:c>
      <x:c r="L2519" s="44" t="n">
        <x:v>80.4139045828581</x:v>
      </x:c>
    </x:row>
    <x:row r="2520" ht="15" hidden="0" customHeight="1">
      <x:c r="A2520" s="27" t="str">
        <x:v>12045</x:v>
      </x:c>
      <x:c r="B2520" s="27" t="str">
        <x:v>SCA-25</x:v>
      </x:c>
      <x:c r="C2520" s="43" t="n">
        <x:v>15943</x:v>
      </x:c>
      <x:c r="D2520" s="43" t="n">
        <x:v>208.87893278790426</x:v>
      </x:c>
      <x:c r="E2520" s="43" t="n">
        <x:v>3090.8770358540287</x:v>
      </x:c>
      <x:c r="F2520" s="43" t="n">
        <x:v>103.25645919221282</x:v>
      </x:c>
      <x:c r="G2520" s="43" t="n">
        <x:v>269.7414357582049</x:v>
      </x:c>
      <x:c r="H2520" s="43" t="n">
        <x:v>12270.246136407648</x:v>
      </x:c>
      <x:c r="I2520" s="43" t="n">
        <x:v>15943</x:v>
      </x:c>
      <x:c r="J2520" s="43" t="n">
        <x:v>2529</x:v>
      </x:c>
      <x:c r="K2520" s="43" t="n">
        <x:v>183.34884881953252</x:v>
      </x:c>
      <x:c r="L2520" s="43" t="n">
        <x:v>80.0923896273197</x:v>
      </x:c>
    </x:row>
    <x:row r="2521" ht="15" hidden="0" customHeight="1">
      <x:c r="A2521" s="29" t="str">
        <x:v>13161</x:v>
      </x:c>
      <x:c r="B2521" s="29" t="str">
        <x:v>SCA-25</x:v>
      </x:c>
      <x:c r="C2521" s="44" t="n">
        <x:v>15219</x:v>
      </x:c>
      <x:c r="D2521" s="44" t="n">
        <x:v>193.06370358525527</x:v>
      </x:c>
      <x:c r="E2521" s="44" t="n">
        <x:v>3311.444835608149</x:v>
      </x:c>
      <x:c r="F2521" s="44" t="n">
        <x:v>131.8870651704274</x:v>
      </x:c>
      <x:c r="G2521" s="44" t="n">
        <x:v>784.5612183150677</x:v>
      </x:c>
      <x:c r="H2521" s="44" t="n">
        <x:v>10798.043177321102</x:v>
      </x:c>
      <x:c r="I2521" s="44" t="n">
        <x:v>15219</x:v>
      </x:c>
      <x:c r="J2521" s="44" t="n">
        <x:v>3371</x:v>
      </x:c>
      <x:c r="K2521" s="44" t="n">
        <x:v>186.97390060534312</x:v>
      </x:c>
      <x:c r="L2521" s="44" t="n">
        <x:v>55.08683543491572</x:v>
      </x:c>
    </x:row>
    <x:row r="2522" ht="15" hidden="0" customHeight="1">
      <x:c r="A2522" s="27" t="str">
        <x:v>13251</x:v>
      </x:c>
      <x:c r="B2522" s="27" t="str">
        <x:v>SCA-25</x:v>
      </x:c>
      <x:c r="C2522" s="43" t="n">
        <x:v>14408</x:v>
      </x:c>
      <x:c r="D2522" s="43" t="n">
        <x:v>142.53898724594774</x:v>
      </x:c>
      <x:c r="E2522" s="43" t="n">
        <x:v>2169.3037207960774</x:v>
      </x:c>
      <x:c r="F2522" s="43" t="n">
        <x:v>124.85898120609225</x:v>
      </x:c>
      <x:c r="G2522" s="43" t="n">
        <x:v>480.1819656763773</x:v>
      </x:c>
      <x:c r="H2522" s="43" t="n">
        <x:v>11491.116345075505</x:v>
      </x:c>
      <x:c r="I2522" s="43" t="n">
        <x:v>14408</x:v>
      </x:c>
      <x:c r="J2522" s="43" t="n">
        <x:v>2175</x:v>
      </x:c>
      <x:c r="K2522" s="43" t="n">
        <x:v>177.01031341887008</x:v>
      </x:c>
      <x:c r="L2522" s="43" t="n">
        <x:v>52.151332212777824</x:v>
      </x:c>
    </x:row>
    <x:row r="2523" ht="15" hidden="0" customHeight="1">
      <x:c r="A2523" s="29" t="str">
        <x:v>12047</x:v>
      </x:c>
      <x:c r="B2523" s="29" t="str">
        <x:v>SCA-25</x:v>
      </x:c>
      <x:c r="C2523" s="44" t="n">
        <x:v>14180</x:v>
      </x:c>
      <x:c r="D2523" s="44" t="n">
        <x:v>178.62187348021155</x:v>
      </x:c>
      <x:c r="E2523" s="44" t="n">
        <x:v>2577.269187449718</x:v>
      </x:c>
      <x:c r="F2523" s="44" t="n">
        <x:v>91.83821058430519</x:v>
      </x:c>
      <x:c r="G2523" s="44" t="n">
        <x:v>216.0443818718155</x:v>
      </x:c>
      <x:c r="H2523" s="44" t="n">
        <x:v>11116.22634661395</x:v>
      </x:c>
      <x:c r="I2523" s="44" t="n">
        <x:v>14180</x:v>
      </x:c>
      <x:c r="J2523" s="44" t="n">
        <x:v>2118</x:v>
      </x:c>
      <x:c r="K2523" s="44" t="n">
        <x:v>163.07386792077847</x:v>
      </x:c>
      <x:c r="L2523" s="44" t="n">
        <x:v>71.23565733647328</x:v>
      </x:c>
    </x:row>
    <x:row r="2524" ht="15" hidden="0" customHeight="1">
      <x:c r="A2524" s="27" t="str">
        <x:v>12013</x:v>
      </x:c>
      <x:c r="B2524" s="27" t="str">
        <x:v>SCA-25</x:v>
      </x:c>
      <x:c r="C2524" s="43" t="n">
        <x:v>13289</x:v>
      </x:c>
      <x:c r="D2524" s="43" t="n">
        <x:v>198.3378542658244</x:v>
      </x:c>
      <x:c r="E2524" s="43" t="n">
        <x:v>3157.8789108236892</x:v>
      </x:c>
      <x:c r="F2524" s="43" t="n">
        <x:v>86.06755856522086</x:v>
      </x:c>
      <x:c r="G2524" s="43" t="n">
        <x:v>329.5808373042886</x:v>
      </x:c>
      <x:c r="H2524" s="43" t="n">
        <x:v>9517.134839040977</x:v>
      </x:c>
      <x:c r="I2524" s="43" t="n">
        <x:v>13289</x:v>
      </x:c>
      <x:c r="J2524" s="43" t="n">
        <x:v>2909</x:v>
      </x:c>
      <x:c r="K2524" s="43" t="n">
        <x:v>152.8271248800582</x:v>
      </x:c>
      <x:c r="L2524" s="43" t="n">
        <x:v>66.75956631483733</x:v>
      </x:c>
    </x:row>
    <x:row r="2525" ht="15" hidden="0" customHeight="1">
      <x:c r="A2525" s="29" t="str">
        <x:v>13049</x:v>
      </x:c>
      <x:c r="B2525" s="29" t="str">
        <x:v>SCA-25</x:v>
      </x:c>
      <x:c r="C2525" s="44" t="n">
        <x:v>13121</x:v>
      </x:c>
      <x:c r="D2525" s="44" t="n">
        <x:v>143.05500620994303</x:v>
      </x:c>
      <x:c r="E2525" s="44" t="n">
        <x:v>2293.490671031096</x:v>
      </x:c>
      <x:c r="F2525" s="44" t="n">
        <x:v>113.70590591373796</x:v>
      </x:c>
      <x:c r="G2525" s="44" t="n">
        <x:v>464.17041734860885</x:v>
      </x:c>
      <x:c r="H2525" s="44" t="n">
        <x:v>10106.577999496614</x:v>
      </x:c>
      <x:c r="I2525" s="44" t="n">
        <x:v>13121</x:v>
      </x:c>
      <x:c r="J2525" s="44" t="n">
        <x:v>2225</x:v>
      </x:c>
      <x:c r="K2525" s="44" t="n">
        <x:v>161.19880083071865</x:v>
      </x:c>
      <x:c r="L2525" s="44" t="n">
        <x:v>47.492894916980696</x:v>
      </x:c>
    </x:row>
    <x:row r="2526" ht="15" hidden="0" customHeight="1">
      <x:c r="A2526" s="27" t="str">
        <x:v>12037</x:v>
      </x:c>
      <x:c r="B2526" s="27" t="str">
        <x:v>SCA-25</x:v>
      </x:c>
      <x:c r="C2526" s="43" t="n">
        <x:v>13029</x:v>
      </x:c>
      <x:c r="D2526" s="43" t="n">
        <x:v>172.21998644915473</x:v>
      </x:c>
      <x:c r="E2526" s="43" t="n">
        <x:v>2562.3977913886097</x:v>
      </x:c>
      <x:c r="F2526" s="43" t="n">
        <x:v>84.38364215112216</x:v>
      </x:c>
      <x:c r="G2526" s="43" t="n">
        <x:v>488.21391352043145</x:v>
      </x:c>
      <x:c r="H2526" s="43" t="n">
        <x:v>9721.784666490683</x:v>
      </x:c>
      <x:c r="I2526" s="43" t="n">
        <x:v>13029</x:v>
      </x:c>
      <x:c r="J2526" s="43" t="n">
        <x:v>2241</x:v>
      </x:c>
      <x:c r="K2526" s="43" t="n">
        <x:v>149.8370539590848</x:v>
      </x:c>
      <x:c r="L2526" s="43" t="n">
        <x:v>65.45341180796265</x:v>
      </x:c>
    </x:row>
    <x:row r="2527" ht="15" hidden="0" customHeight="1">
      <x:c r="A2527" s="29" t="str">
        <x:v>45009</x:v>
      </x:c>
      <x:c r="B2527" s="29" t="str">
        <x:v>SCA-25</x:v>
      </x:c>
      <x:c r="C2527" s="44" t="n">
        <x:v>12796</x:v>
      </x:c>
      <x:c r="D2527" s="44" t="n">
        <x:v>144.92253368272387</x:v>
      </x:c>
      <x:c r="E2527" s="44" t="n">
        <x:v>2161.349181141439</x:v>
      </x:c>
      <x:c r="F2527" s="44" t="n">
        <x:v>77.7512428191778</x:v>
      </x:c>
      <x:c r="G2527" s="44" t="n">
        <x:v>698.7977667493797</x:v>
      </x:c>
      <x:c r="H2527" s="44" t="n">
        <x:v>9713.17927560728</x:v>
      </x:c>
      <x:c r="I2527" s="44" t="n">
        <x:v>12796</x:v>
      </x:c>
      <x:c r="J2527" s="44" t="n">
        <x:v>2269</x:v>
      </x:c>
      <x:c r="K2527" s="44" t="n">
        <x:v>132.61756062100835</x:v>
      </x:c>
      <x:c r="L2527" s="44" t="n">
        <x:v>54.86631780183055</x:v>
      </x:c>
    </x:row>
    <x:row r="2528" ht="15" hidden="0" customHeight="1">
      <x:c r="A2528" s="27" t="str">
        <x:v>13191</x:v>
      </x:c>
      <x:c r="B2528" s="27" t="str">
        <x:v>SCA-25</x:v>
      </x:c>
      <x:c r="C2528" s="43" t="n">
        <x:v>11989</x:v>
      </x:c>
      <x:c r="D2528" s="43" t="n">
        <x:v>156.19803597028834</x:v>
      </x:c>
      <x:c r="E2528" s="43" t="n">
        <x:v>2707.260933416304</x:v>
      </x:c>
      <x:c r="F2528" s="43" t="n">
        <x:v>103.89605258744032</x:v>
      </x:c>
      <x:c r="G2528" s="43" t="n">
        <x:v>378.56565028002484</x:v>
      </x:c>
      <x:c r="H2528" s="43" t="n">
        <x:v>8643.079327745943</x:v>
      </x:c>
      <x:c r="I2528" s="43" t="n">
        <x:v>11989</x:v>
      </x:c>
      <x:c r="J2528" s="43" t="n">
        <x:v>2646</x:v>
      </x:c>
      <x:c r="K2528" s="43" t="n">
        <x:v>147.29154966538266</x:v>
      </x:c>
      <x:c r="L2528" s="43" t="n">
        <x:v>43.395497077942345</x:v>
      </x:c>
    </x:row>
    <x:row r="2529" ht="15" hidden="0" customHeight="1">
      <x:c r="A2529" s="29" t="str">
        <x:v>13043</x:v>
      </x:c>
      <x:c r="B2529" s="29" t="str">
        <x:v>SCA-25</x:v>
      </x:c>
      <x:c r="C2529" s="44" t="n">
        <x:v>11275</x:v>
      </x:c>
      <x:c r="D2529" s="44" t="n">
        <x:v>134.57671222700972</x:v>
      </x:c>
      <x:c r="E2529" s="44" t="n">
        <x:v>2250.374790229349</x:v>
      </x:c>
      <x:c r="F2529" s="44" t="n">
        <x:v>97.70856559541159</x:v>
      </x:c>
      <x:c r="G2529" s="44" t="n">
        <x:v>118.02200261047922</x:v>
      </x:c>
      <x:c r="H2529" s="44" t="n">
        <x:v>8674.31792933775</x:v>
      </x:c>
      <x:c r="I2529" s="44" t="n">
        <x:v>11275</x:v>
      </x:c>
      <x:c r="J2529" s="44" t="n">
        <x:v>2230</x:v>
      </x:c>
      <x:c r="K2529" s="44" t="n">
        <x:v>138.51966156286508</x:v>
      </x:c>
      <x:c r="L2529" s="44" t="n">
        <x:v>40.8110959674535</x:v>
      </x:c>
    </x:row>
    <x:row r="2530" ht="15" hidden="0" customHeight="1">
      <x:c r="A2530" s="27" t="str">
        <x:v>13271</x:v>
      </x:c>
      <x:c r="B2530" s="27" t="str">
        <x:v>SCA-25</x:v>
      </x:c>
      <x:c r="C2530" s="43" t="n">
        <x:v>11195</x:v>
      </x:c>
      <x:c r="D2530" s="43" t="n">
        <x:v>125.53977516320347</x:v>
      </x:c>
      <x:c r="E2530" s="43" t="n">
        <x:v>2040.4379507430112</x:v>
      </x:c>
      <x:c r="F2530" s="43" t="n">
        <x:v>97.01528974196299</x:v>
      </x:c>
      <x:c r="G2530" s="43" t="n">
        <x:v>647.3037514288684</x:v>
      </x:c>
      <x:c r="H2530" s="43" t="n">
        <x:v>8284.703232922953</x:v>
      </x:c>
      <x:c r="I2530" s="43" t="n">
        <x:v>11195</x:v>
      </x:c>
      <x:c r="J2530" s="43" t="n">
        <x:v>1827</x:v>
      </x:c>
      <x:c r="K2530" s="43" t="n">
        <x:v>137.536816957541</x:v>
      </x:c>
      <x:c r="L2530" s="43" t="n">
        <x:v>40.521527215578</x:v>
      </x:c>
    </x:row>
    <x:row r="2531" ht="15" hidden="0" customHeight="1">
      <x:c r="A2531" s="29" t="str">
        <x:v>13005</x:v>
      </x:c>
      <x:c r="B2531" s="29" t="str">
        <x:v>SCA-25</x:v>
      </x:c>
      <x:c r="C2531" s="44" t="n">
        <x:v>11070</x:v>
      </x:c>
      <x:c r="D2531" s="44" t="n">
        <x:v>117.87777817437917</x:v>
      </x:c>
      <x:c r="E2531" s="44" t="n">
        <x:v>1867.4088512065591</x:v>
      </x:c>
      <x:c r="F2531" s="44" t="n">
        <x:v>95.93204622094956</x:v>
      </x:c>
      <x:c r="G2531" s="44" t="n">
        <x:v>570.4019379483835</x:v>
      </x:c>
      <x:c r="H2531" s="44" t="n">
        <x:v>8418.37938644973</x:v>
      </x:c>
      <x:c r="I2531" s="44" t="n">
        <x:v>11070</x:v>
      </x:c>
      <x:c r="J2531" s="44" t="n">
        <x:v>1886</x:v>
      </x:c>
      <x:c r="K2531" s="44" t="n">
        <x:v>136.0011222617221</x:v>
      </x:c>
      <x:c r="L2531" s="44" t="n">
        <x:v>40.06907604077252</x:v>
      </x:c>
    </x:row>
    <x:row r="2532" ht="15" hidden="0" customHeight="1">
      <x:c r="A2532" s="27" t="str">
        <x:v>13109</x:v>
      </x:c>
      <x:c r="B2532" s="27" t="str">
        <x:v>SCA-25</x:v>
      </x:c>
      <x:c r="C2532" s="43" t="n">
        <x:v>11028</x:v>
      </x:c>
      <x:c r="D2532" s="43" t="n">
        <x:v>108.17529861198362</x:v>
      </x:c>
      <x:c r="E2532" s="43" t="n">
        <x:v>1638.1979079826974</x:v>
      </x:c>
      <x:c r="F2532" s="43" t="n">
        <x:v>95.56807639788904</x:v>
      </x:c>
      <x:c r="G2532" s="43" t="n">
        <x:v>300.91309476995673</x:v>
      </x:c>
      <x:c r="H2532" s="43" t="n">
        <x:v>8885.145622237473</x:v>
      </x:c>
      <x:c r="I2532" s="43" t="n">
        <x:v>11028</x:v>
      </x:c>
      <x:c r="J2532" s="43" t="n">
        <x:v>1574</x:v>
      </x:c>
      <x:c r="K2532" s="43" t="n">
        <x:v>135.48512884392693</x:v>
      </x:c>
      <x:c r="L2532" s="43" t="n">
        <x:v>39.917052446037886</x:v>
      </x:c>
    </x:row>
    <x:row r="2533" ht="15" hidden="0" customHeight="1">
      <x:c r="A2533" s="29" t="str">
        <x:v>13173</x:v>
      </x:c>
      <x:c r="B2533" s="29" t="str">
        <x:v>SCA-25</x:v>
      </x:c>
      <x:c r="C2533" s="44" t="n">
        <x:v>10623</x:v>
      </x:c>
      <x:c r="D2533" s="44" t="n">
        <x:v>114.64790022752067</x:v>
      </x:c>
      <x:c r="E2533" s="44" t="n">
        <x:v>1828.7229501084598</x:v>
      </x:c>
      <x:c r="F2533" s="44" t="n">
        <x:v>92.05836738980553</x:v>
      </x:c>
      <x:c r="G2533" s="44" t="n">
        <x:v>285.1861894432393</x:v>
      </x:c>
      <x:c r="H2533" s="44" t="n">
        <x:v>8302.384592830975</x:v>
      </x:c>
      <x:c r="I2533" s="44" t="n">
        <x:v>10623</x:v>
      </x:c>
      <x:c r="J2533" s="44" t="n">
        <x:v>1736</x:v>
      </x:c>
      <x:c r="K2533" s="44" t="n">
        <x:v>130.50947802947368</x:v>
      </x:c>
      <x:c r="L2533" s="44" t="n">
        <x:v>38.45111063966816</x:v>
      </x:c>
    </x:row>
    <x:row r="2534" ht="15" hidden="0" customHeight="1">
      <x:c r="A2534" s="27" t="str">
        <x:v>13253</x:v>
      </x:c>
      <x:c r="B2534" s="27" t="str">
        <x:v>SCA-25</x:v>
      </x:c>
      <x:c r="C2534" s="43" t="n">
        <x:v>9162</x:v>
      </x:c>
      <x:c r="D2534" s="43" t="n">
        <x:v>105.55297386647604</x:v>
      </x:c>
      <x:c r="E2534" s="43" t="n">
        <x:v>1737.3627013904215</x:v>
      </x:c>
      <x:c r="F2534" s="43" t="n">
        <x:v>79.39741711620053</x:v>
      </x:c>
      <x:c r="G2534" s="43" t="n">
        <x:v>428.5199735157802</x:v>
      </x:c>
      <x:c r="H2534" s="43" t="n">
        <x:v>6811.166934111122</x:v>
      </x:c>
      <x:c r="I2534" s="43" t="n">
        <x:v>9162</x:v>
      </x:c>
      <x:c r="J2534" s="43" t="n">
        <x:v>1790</x:v>
      </x:c>
      <x:c r="K2534" s="43" t="n">
        <x:v>112.56027842474234</x:v>
      </x:c>
      <x:c r="L2534" s="43" t="n">
        <x:v>33.162861308541814</x:v>
      </x:c>
    </x:row>
    <x:row r="2535" ht="15" hidden="0" customHeight="1">
      <x:c r="A2535" s="29" t="str">
        <x:v>13155</x:v>
      </x:c>
      <x:c r="B2535" s="29" t="str">
        <x:v>SCA-25</x:v>
      </x:c>
      <x:c r="C2535" s="44" t="n">
        <x:v>9020</x:v>
      </x:c>
      <x:c r="D2535" s="44" t="n">
        <x:v>63.1541818137506</x:v>
      </x:c>
      <x:c r="E2535" s="44" t="n">
        <x:v>732.1273209549072</x:v>
      </x:c>
      <x:c r="F2535" s="44" t="n">
        <x:v>78.16685247632927</x:v>
      </x:c>
      <x:c r="G2535" s="44" t="n">
        <x:v>253.5799071618037</x:v>
      </x:c>
      <x:c r="H2535" s="44" t="n">
        <x:v>7892.97173759321</x:v>
      </x:c>
      <x:c r="I2535" s="44" t="n">
        <x:v>9020</x:v>
      </x:c>
      <x:c r="J2535" s="44" t="n">
        <x:v>765</x:v>
      </x:c>
      <x:c r="K2535" s="44" t="n">
        <x:v>110.81572925029207</x:v>
      </x:c>
      <x:c r="L2535" s="44" t="n">
        <x:v>32.6488767739628</x:v>
      </x:c>
    </x:row>
    <x:row r="2536" ht="15" hidden="0" customHeight="1">
      <x:c r="A2536" s="27" t="str">
        <x:v>13287</x:v>
      </x:c>
      <x:c r="B2536" s="27" t="str">
        <x:v>SCA-25</x:v>
      </x:c>
      <x:c r="C2536" s="43" t="n">
        <x:v>8983</x:v>
      </x:c>
      <x:c r="D2536" s="43" t="n">
        <x:v>109.61248919216608</x:v>
      </x:c>
      <x:c r="E2536" s="43" t="n">
        <x:v>1850.3409111826966</x:v>
      </x:c>
      <x:c r="F2536" s="43" t="n">
        <x:v>77.8462123941093</x:v>
      </x:c>
      <x:c r="G2536" s="43" t="n">
        <x:v>285.1128624022089</x:v>
      </x:c>
      <x:c r="H2536" s="43" t="n">
        <x:v>6660.0875248288185</x:v>
      </x:c>
      <x:c r="I2536" s="43" t="n">
        <x:v>8983</x:v>
      </x:c>
      <x:c r="J2536" s="43" t="n">
        <x:v>1865</x:v>
      </x:c>
      <x:c r="K2536" s="43" t="n">
        <x:v>110.36116362032968</x:v>
      </x:c>
      <x:c r="L2536" s="43" t="n">
        <x:v>32.514951226220376</x:v>
      </x:c>
    </x:row>
    <x:row r="2537" ht="15" hidden="0" customHeight="1">
      <x:c r="A2537" s="29" t="str">
        <x:v>13165</x:v>
      </x:c>
      <x:c r="B2537" s="29" t="str">
        <x:v>SCA-25</x:v>
      </x:c>
      <x:c r="C2537" s="44" t="n">
        <x:v>8843</x:v>
      </x:c>
      <x:c r="D2537" s="44" t="n">
        <x:v>91.25428831548456</x:v>
      </x:c>
      <x:c r="E2537" s="44" t="n">
        <x:v>1421.9059777211114</x:v>
      </x:c>
      <x:c r="F2537" s="44" t="n">
        <x:v>76.63297965057426</x:v>
      </x:c>
      <x:c r="G2537" s="44" t="n">
        <x:v>379.62260099315523</x:v>
      </x:c>
      <x:c r="H2537" s="44" t="n">
        <x:v>6873.584153319674</x:v>
      </x:c>
      <x:c r="I2537" s="44" t="n">
        <x:v>8843</x:v>
      </x:c>
      <x:c r="J2537" s="44" t="n">
        <x:v>1248</x:v>
      </x:c>
      <x:c r="K2537" s="44" t="n">
        <x:v>108.6411855610125</x:v>
      </x:c>
      <x:c r="L2537" s="44" t="n">
        <x:v>32.00820591043825</x:v>
      </x:c>
    </x:row>
    <x:row r="2538" ht="15" hidden="0" customHeight="1">
      <x:c r="A2538" s="27" t="str">
        <x:v>12067</x:v>
      </x:c>
      <x:c r="B2538" s="27" t="str">
        <x:v>SCA-25</x:v>
      </x:c>
      <x:c r="C2538" s="43" t="n">
        <x:v>8792</x:v>
      </x:c>
      <x:c r="D2538" s="43" t="n">
        <x:v>121.16190775975558</x:v>
      </x:c>
      <x:c r="E2538" s="43" t="n">
        <x:v>1847.8509778240807</x:v>
      </x:c>
      <x:c r="F2538" s="43" t="n">
        <x:v>56.94228120290629</x:v>
      </x:c>
      <x:c r="G2538" s="43" t="n">
        <x:v>133.56273254948653</x:v>
      </x:c>
      <x:c r="H2538" s="43" t="n">
        <x:v>6632.48210066377</x:v>
      </x:c>
      <x:c r="I2538" s="43" t="n">
        <x:v>8792</x:v>
      </x:c>
      <x:c r="J2538" s="43" t="n">
        <x:v>1471</x:v>
      </x:c>
      <x:c r="K2538" s="43" t="n">
        <x:v>101.11039821999184</x:v>
      </x:c>
      <x:c r="L2538" s="43" t="n">
        <x:v>44.16811701708555</x:v>
      </x:c>
    </x:row>
    <x:row r="2539" ht="15" hidden="0" customHeight="1">
      <x:c r="A2539" s="29" t="str">
        <x:v>13209</x:v>
      </x:c>
      <x:c r="B2539" s="29" t="str">
        <x:v>SCA-25</x:v>
      </x:c>
      <x:c r="C2539" s="44" t="n">
        <x:v>8635</x:v>
      </x:c>
      <x:c r="D2539" s="44" t="n">
        <x:v>83.3630857762516</x:v>
      </x:c>
      <x:c r="E2539" s="44" t="n">
        <x:v>1250.5862068965516</x:v>
      </x:c>
      <x:c r="F2539" s="44" t="n">
        <x:v>74.8304624316079</x:v>
      </x:c>
      <x:c r="G2539" s="44" t="n">
        <x:v>226.29525862068965</x:v>
      </x:c>
      <x:c r="H2539" s="44" t="n">
        <x:v>6999.924986274899</x:v>
      </x:c>
      <x:c r="I2539" s="44" t="n">
        <x:v>8635</x:v>
      </x:c>
      <x:c r="J2539" s="44" t="n">
        <x:v>1225</x:v>
      </x:c>
      <x:c r="K2539" s="44" t="n">
        <x:v>106.08578958716984</x:v>
      </x:c>
      <x:c r="L2539" s="44" t="n">
        <x:v>31.255327155561947</x:v>
      </x:c>
    </x:row>
    <x:row r="2540" ht="15" hidden="0" customHeight="1">
      <x:c r="A2540" s="27" t="str">
        <x:v>13003</x:v>
      </x:c>
      <x:c r="B2540" s="27" t="str">
        <x:v>SCA-25</x:v>
      </x:c>
      <x:c r="C2540" s="43" t="n">
        <x:v>8454</x:v>
      </x:c>
      <x:c r="D2540" s="43" t="n">
        <x:v>79.98382274798387</x:v>
      </x:c>
      <x:c r="E2540" s="43" t="n">
        <x:v>1185.207477444966</x:v>
      </x:c>
      <x:c r="F2540" s="43" t="n">
        <x:v>73.26192581318045</x:v>
      </x:c>
      <x:c r="G2540" s="43" t="n">
        <x:v>267.29062913508966</x:v>
      </x:c>
      <x:c r="H2540" s="43" t="n">
        <x:v>6848.25614485878</x:v>
      </x:c>
      <x:c r="I2540" s="43" t="n">
        <x:v>8454</x:v>
      </x:c>
      <x:c r="J2540" s="43" t="n">
        <x:v>1214</x:v>
      </x:c>
      <x:c r="K2540" s="43" t="n">
        <x:v>103.86210366762407</x:v>
      </x:c>
      <x:c r="L2540" s="43" t="n">
        <x:v>30.600177854443622</x:v>
      </x:c>
    </x:row>
    <x:row r="2541" ht="15" hidden="0" customHeight="1">
      <x:c r="A2541" s="29" t="str">
        <x:v>12077</x:v>
      </x:c>
      <x:c r="B2541" s="29" t="str">
        <x:v>SCA-25</x:v>
      </x:c>
      <x:c r="C2541" s="44" t="n">
        <x:v>8035</x:v>
      </x:c>
      <x:c r="D2541" s="44" t="n">
        <x:v>118.38451408982266</x:v>
      </x:c>
      <x:c r="E2541" s="44" t="n">
        <x:v>1872.4635877491492</x:v>
      </x:c>
      <x:c r="F2541" s="44" t="n">
        <x:v>52.03949379724205</x:v>
      </x:c>
      <x:c r="G2541" s="44" t="n">
        <x:v>276.39685626316646</x:v>
      </x:c>
      <x:c r="H2541" s="44" t="n">
        <x:v>5715.715548100619</x:v>
      </x:c>
      <x:c r="I2541" s="44" t="n">
        <x:v>8035</x:v>
      </x:c>
      <x:c r="J2541" s="44" t="n">
        <x:v>1498</x:v>
      </x:c>
      <x:c r="K2541" s="44" t="n">
        <x:v>92.40469173085015</x:v>
      </x:c>
      <x:c r="L2541" s="44" t="n">
        <x:v>40.365197933608094</x:v>
      </x:c>
    </x:row>
    <x:row r="2542" ht="15" hidden="0" customHeight="1">
      <x:c r="A2542" s="27" t="str">
        <x:v>13309</x:v>
      </x:c>
      <x:c r="B2542" s="27" t="str">
        <x:v>SCA-25</x:v>
      </x:c>
      <x:c r="C2542" s="43" t="n">
        <x:v>7570</x:v>
      </x:c>
      <x:c r="D2542" s="43" t="n">
        <x:v>58.08628819362045</x:v>
      </x:c>
      <x:c r="E2542" s="43" t="n">
        <x:v>736.4602811376267</x:v>
      </x:c>
      <x:c r="F2542" s="43" t="n">
        <x:v>65.60122763257345</x:v>
      </x:c>
      <x:c r="G2542" s="43" t="n">
        <x:v>147.82951945080092</x:v>
      </x:c>
      <x:c r="H2542" s="43" t="n">
        <x:v>6562.022683585379</x:v>
      </x:c>
      <x:c r="I2542" s="43" t="n">
        <x:v>7570</x:v>
      </x:c>
      <x:c r="J2542" s="43" t="n">
        <x:v>620</x:v>
      </x:c>
      <x:c r="K2542" s="43" t="n">
        <x:v>93.00167077879279</x:v>
      </x:c>
      <x:c r="L2542" s="43" t="n">
        <x:v>27.40044314621933</x:v>
      </x:c>
    </x:row>
    <x:row r="2543" ht="15" hidden="0" customHeight="1">
      <x:c r="A2543" s="29" t="str">
        <x:v>45005</x:v>
      </x:c>
      <x:c r="B2543" s="29" t="str">
        <x:v>SCA-25</x:v>
      </x:c>
      <x:c r="C2543" s="44" t="n">
        <x:v>7355</x:v>
      </x:c>
      <x:c r="D2543" s="44" t="n">
        <x:v>104.62166526484452</x:v>
      </x:c>
      <x:c r="E2543" s="44" t="n">
        <x:v>1754.0426282522415</x:v>
      </x:c>
      <x:c r="F2543" s="44" t="n">
        <x:v>44.69055884143894</x:v>
      </x:c>
      <x:c r="G2543" s="44" t="n">
        <x:v>766.9875790092607</x:v>
      </x:c>
      <x:c r="H2543" s="44" t="n">
        <x:v>4684.657568632214</x:v>
      </x:c>
      <x:c r="I2543" s="44" t="n">
        <x:v>7355</x:v>
      </x:c>
      <x:c r="J2543" s="44" t="n">
        <x:v>1690</x:v>
      </x:c>
      <x:c r="K2543" s="44" t="n">
        <x:v>76.2271145957734</x:v>
      </x:c>
      <x:c r="L2543" s="44" t="n">
        <x:v>31.536555754334454</x:v>
      </x:c>
    </x:row>
    <x:row r="2544" ht="15" hidden="0" customHeight="1">
      <x:c r="A2544" s="27" t="str">
        <x:v>13065</x:v>
      </x:c>
      <x:c r="B2544" s="27" t="str">
        <x:v>SCA-25</x:v>
      </x:c>
      <x:c r="C2544" s="43" t="n">
        <x:v>6847</x:v>
      </x:c>
      <x:c r="D2544" s="43" t="n">
        <x:v>77.52373229773522</x:v>
      </x:c>
      <x:c r="E2544" s="43" t="n">
        <x:v>1265.7664019181777</x:v>
      </x:c>
      <x:c r="F2544" s="43" t="n">
        <x:v>59.335747107031764</x:v>
      </x:c>
      <x:c r="G2544" s="43" t="n">
        <x:v>421.4799940056946</x:v>
      </x:c>
      <x:c r="H2544" s="43" t="n">
        <x:v>5022.894124671361</x:v>
      </x:c>
      <x:c r="I2544" s="43" t="n">
        <x:v>6847</x:v>
      </x:c>
      <x:c r="J2544" s="43" t="n">
        <x:v>1285</x:v>
      </x:c>
      <x:c r="K2544" s="43" t="n">
        <x:v>84.11921265817625</x:v>
      </x:c>
      <x:c r="L2544" s="43" t="n">
        <x:v>24.783465551144488</x:v>
      </x:c>
    </x:row>
    <x:row r="2545" ht="15" hidden="0" customHeight="1">
      <x:c r="A2545" s="29" t="str">
        <x:v>13101</x:v>
      </x:c>
      <x:c r="B2545" s="29" t="str">
        <x:v>SCA-25</x:v>
      </x:c>
      <x:c r="C2545" s="44" t="n">
        <x:v>3685</x:v>
      </x:c>
      <x:c r="D2545" s="44" t="n">
        <x:v>25.45826063326529</x:v>
      </x:c>
      <x:c r="E2545" s="44" t="n">
        <x:v>290.88</x:v>
      </x:c>
      <x:c r="F2545" s="44" t="n">
        <x:v>31.934018999475985</x:v>
      </x:c>
      <x:c r="G2545" s="44" t="n">
        <x:v>40.38208955223881</x:v>
      </x:c>
      <x:c r="H2545" s="44" t="n">
        <x:v>3296.34563081502</x:v>
      </x:c>
      <x:c r="I2545" s="44" t="n">
        <x:v>3685</x:v>
      </x:c>
      <x:c r="J2545" s="44" t="n">
        <x:v>303</x:v>
      </x:c>
      <x:c r="K2545" s="44" t="n">
        <x:v>45.272279632741274</x:v>
      </x:c>
      <x:c r="L2545" s="44" t="n">
        <x:v>13.338260633265289</x:v>
      </x:c>
    </x:row>
    <x:row r="2546" ht="15" hidden="0" customHeight="1">
      <x:c r="A2546" s="27" t="str">
        <x:v>12057</x:v>
      </x:c>
      <x:c r="B2546" s="27" t="str">
        <x:v>SCA-26</x:v>
      </x:c>
      <x:c r="C2546" s="43" t="n">
        <x:v>1574115</x:v>
      </x:c>
      <x:c r="D2546" s="43" t="n">
        <x:v>15709.434908761496</x:v>
      </x:c>
      <x:c r="E2546" s="43" t="n">
        <x:v>187238.36997128694</x:v>
      </x:c>
      <x:c r="F2546" s="43" t="n">
        <x:v>10194.915716072888</x:v>
      </x:c>
      <x:c r="G2546" s="43" t="n">
        <x:v>53138.6950427711</x:v>
      </x:c>
      <x:c r="H2546" s="43" t="n">
        <x:v>1307833.5843611076</x:v>
      </x:c>
      <x:c r="I2546" s="43" t="n">
        <x:v>1574115</x:v>
      </x:c>
      <x:c r="J2546" s="43" t="n">
        <x:v>186808</x:v>
      </x:c>
      <x:c r="K2546" s="43" t="n">
        <x:v>18102.75187603076</x:v>
      </x:c>
      <x:c r="L2546" s="43" t="n">
        <x:v>7907.836159957873</x:v>
      </x:c>
    </x:row>
    <x:row r="2547" ht="15" hidden="0" customHeight="1">
      <x:c r="A2547" s="29" t="str">
        <x:v>12095</x:v>
      </x:c>
      <x:c r="B2547" s="29" t="str">
        <x:v>SCA-26</x:v>
      </x:c>
      <x:c r="C2547" s="44" t="n">
        <x:v>1528002</x:v>
      </x:c>
      <x:c r="D2547" s="44" t="n">
        <x:v>14458.863055389907</x:v>
      </x:c>
      <x:c r="E2547" s="44" t="n">
        <x:v>162784.4026696469</x:v>
      </x:c>
      <x:c r="F2547" s="44" t="n">
        <x:v>9896.260186829302</x:v>
      </x:c>
      <x:c r="G2547" s="44" t="n">
        <x:v>49881.52250344149</x:v>
      </x:c>
      <x:c r="H2547" s="44" t="n">
        <x:v>1290980.9515846923</x:v>
      </x:c>
      <x:c r="I2547" s="44" t="n">
        <x:v>1528002</x:v>
      </x:c>
      <x:c r="J2547" s="44" t="n">
        <x:v>161954</x:v>
      </x:c>
      <x:c r="K2547" s="44" t="n">
        <x:v>17572.43979765059</x:v>
      </x:c>
      <x:c r="L2547" s="44" t="n">
        <x:v>7676.179610821287</x:v>
      </x:c>
    </x:row>
    <x:row r="2548" ht="15" hidden="0" customHeight="1">
      <x:c r="A2548" s="27" t="str">
        <x:v>12103</x:v>
      </x:c>
      <x:c r="B2548" s="27" t="str">
        <x:v>SCA-26</x:v>
      </x:c>
      <x:c r="C2548" s="43" t="n">
        <x:v>948563</x:v>
      </x:c>
      <x:c r="D2548" s="43" t="n">
        <x:v>10692.852490808427</x:v>
      </x:c>
      <x:c r="E2548" s="43" t="n">
        <x:v>142262.0132405186</x:v>
      </x:c>
      <x:c r="F2548" s="43" t="n">
        <x:v>6143.464636564195</x:v>
      </x:c>
      <x:c r="G2548" s="43" t="n">
        <x:v>35903.03277590387</x:v>
      </x:c>
      <x:c r="H2548" s="43" t="n">
        <x:v>753561.6368562048</x:v>
      </x:c>
      <x:c r="I2548" s="43" t="n">
        <x:v>948563</x:v>
      </x:c>
      <x:c r="J2548" s="43" t="n">
        <x:v>148211</x:v>
      </x:c>
      <x:c r="K2548" s="43" t="n">
        <x:v>10908.733242351014</x:v>
      </x:c>
      <x:c r="L2548" s="43" t="n">
        <x:v>4765.2686057868195</x:v>
      </x:c>
    </x:row>
    <x:row r="2549" ht="15" hidden="0" customHeight="1">
      <x:c r="A2549" s="29" t="str">
        <x:v>12071</x:v>
      </x:c>
      <x:c r="B2549" s="29" t="str">
        <x:v>SCA-26</x:v>
      </x:c>
      <x:c r="C2549" s="44" t="n">
        <x:v>875607</x:v>
      </x:c>
      <x:c r="D2549" s="44" t="n">
        <x:v>9224.796972250566</x:v>
      </x:c>
      <x:c r="E2549" s="44" t="n">
        <x:v>115824.84770622682</x:v>
      </x:c>
      <x:c r="F2549" s="44" t="n">
        <x:v>5670.957690768105</x:v>
      </x:c>
      <x:c r="G2549" s="44" t="n">
        <x:v>22727.825660827122</x:v>
      </x:c>
      <x:c r="H2549" s="44" t="n">
        <x:v>722158.5719699273</x:v>
      </x:c>
      <x:c r="I2549" s="44" t="n">
        <x:v>875607</x:v>
      </x:c>
      <x:c r="J2549" s="44" t="n">
        <x:v>111909</x:v>
      </x:c>
      <x:c r="K2549" s="44" t="n">
        <x:v>10069.719341925887</x:v>
      </x:c>
      <x:c r="L2549" s="44" t="n">
        <x:v>4398.761651157783</x:v>
      </x:c>
    </x:row>
    <x:row r="2550" ht="15" hidden="0" customHeight="1">
      <x:c r="A2550" s="27" t="str">
        <x:v>12105</x:v>
      </x:c>
      <x:c r="B2550" s="27" t="str">
        <x:v>SCA-26</x:v>
      </x:c>
      <x:c r="C2550" s="43" t="n">
        <x:v>874790</x:v>
      </x:c>
      <x:c r="D2550" s="43" t="n">
        <x:v>9220.841174255276</x:v>
      </x:c>
      <x:c r="E2550" s="43" t="n">
        <x:v>115828.4126988429</x:v>
      </x:c>
      <x:c r="F2550" s="43" t="n">
        <x:v>5665.666307266879</x:v>
      </x:c>
      <x:c r="G2550" s="43" t="n">
        <x:v>23759.24368873951</x:v>
      </x:c>
      <x:c r="H2550" s="43" t="n">
        <x:v>720315.8361308954</x:v>
      </x:c>
      <x:c r="I2550" s="43" t="n">
        <x:v>874790</x:v>
      </x:c>
      <x:c r="J2550" s="43" t="n">
        <x:v>107886</x:v>
      </x:c>
      <x:c r="K2550" s="43" t="n">
        <x:v>10060.323619070366</x:v>
      </x:c>
      <x:c r="L2550" s="43" t="n">
        <x:v>4394.657311803488</x:v>
      </x:c>
    </x:row>
    <x:row r="2551" ht="15" hidden="0" customHeight="1">
      <x:c r="A2551" s="29" t="str">
        <x:v>12101</x:v>
      </x:c>
      <x:c r="B2551" s="29" t="str">
        <x:v>SCA-26</x:v>
      </x:c>
      <x:c r="C2551" s="44" t="n">
        <x:v>674516</x:v>
      </x:c>
      <x:c r="D2551" s="44" t="n">
        <x:v>7814.999375493716</x:v>
      </x:c>
      <x:c r="E2551" s="44" t="n">
        <x:v>106234.86685562585</x:v>
      </x:c>
      <x:c r="F2551" s="44" t="n">
        <x:v>4368.571399893032</x:v>
      </x:c>
      <x:c r="G2551" s="44" t="n">
        <x:v>15188.187807906172</x:v>
      </x:c>
      <x:c r="H2551" s="44" t="n">
        <x:v>540909.3745610812</x:v>
      </x:c>
      <x:c r="I2551" s="44" t="n">
        <x:v>674516</x:v>
      </x:c>
      <x:c r="J2551" s="44" t="n">
        <x:v>99372</x:v>
      </x:c>
      <x:c r="K2551" s="44" t="n">
        <x:v>7757.117989735671</x:v>
      </x:c>
      <x:c r="L2551" s="44" t="n">
        <x:v>3388.5465898426382</x:v>
      </x:c>
    </x:row>
    <x:row r="2552" ht="15" hidden="0" customHeight="1">
      <x:c r="A2552" s="27" t="str">
        <x:v>12009</x:v>
      </x:c>
      <x:c r="B2552" s="27" t="str">
        <x:v>SCA-26</x:v>
      </x:c>
      <x:c r="C2552" s="43" t="n">
        <x:v>663982</x:v>
      </x:c>
      <x:c r="D2552" s="43" t="n">
        <x:v>7655.159329921352</x:v>
      </x:c>
      <x:c r="E2552" s="43" t="n">
        <x:v>103668.77021500461</x:v>
      </x:c>
      <x:c r="F2552" s="43" t="n">
        <x:v>4300.346878715665</x:v>
      </x:c>
      <x:c r="G2552" s="43" t="n">
        <x:v>17034.886170124362</x:v>
      </x:c>
      <x:c r="H2552" s="43" t="n">
        <x:v>531322.837406234</x:v>
      </x:c>
      <x:c r="I2552" s="43" t="n">
        <x:v>663982</x:v>
      </x:c>
      <x:c r="J2552" s="43" t="n">
        <x:v>101771</x:v>
      </x:c>
      <x:c r="K2552" s="43" t="n">
        <x:v>7635.974116345157</x:v>
      </x:c>
      <x:c r="L2552" s="43" t="n">
        <x:v>3335.6272376294924</x:v>
      </x:c>
    </x:row>
    <x:row r="2553" ht="15" hidden="0" customHeight="1">
      <x:c r="A2553" s="29" t="str">
        <x:v>12117</x:v>
      </x:c>
      <x:c r="B2553" s="29" t="str">
        <x:v>SCA-26</x:v>
      </x:c>
      <x:c r="C2553" s="44" t="n">
        <x:v>491884</x:v>
      </x:c>
      <x:c r="D2553" s="44" t="n">
        <x:v>4803.181852230782</x:v>
      </x:c>
      <x:c r="E2553" s="44" t="n">
        <x:v>55970.84105727277</x:v>
      </x:c>
      <x:c r="F2553" s="44" t="n">
        <x:v>3185.736697817375</x:v>
      </x:c>
      <x:c r="G2553" s="44" t="n">
        <x:v>10726.168958777578</x:v>
      </x:c>
      <x:c r="H2553" s="44" t="n">
        <x:v>417198.0714339015</x:v>
      </x:c>
      <x:c r="I2553" s="44" t="n">
        <x:v>491884</x:v>
      </x:c>
      <x:c r="J2553" s="44" t="n">
        <x:v>56642</x:v>
      </x:c>
      <x:c r="K2553" s="44" t="n">
        <x:v>5656.800172661791</x:v>
      </x:c>
      <x:c r="L2553" s="44" t="n">
        <x:v>2471.0634748444163</x:v>
      </x:c>
    </x:row>
    <x:row r="2554" ht="15" hidden="0" customHeight="1">
      <x:c r="A2554" s="27" t="str">
        <x:v>12097</x:v>
      </x:c>
      <x:c r="B2554" s="27" t="str">
        <x:v>SCA-26</x:v>
      </x:c>
      <x:c r="C2554" s="43" t="n">
        <x:v>481718</x:v>
      </x:c>
      <x:c r="D2554" s="43" t="n">
        <x:v>5033.704592060558</x:v>
      </x:c>
      <x:c r="E2554" s="43" t="n">
        <x:v>62729.082202438585</x:v>
      </x:c>
      <x:c r="F2554" s="43" t="n">
        <x:v>3119.8955660261163</x:v>
      </x:c>
      <x:c r="G2554" s="43" t="n">
        <x:v>10355.401201432693</x:v>
      </x:c>
      <x:c r="H2554" s="43" t="n">
        <x:v>400479.91643804207</x:v>
      </x:c>
      <x:c r="I2554" s="43" t="n">
        <x:v>481718</x:v>
      </x:c>
      <x:c r="J2554" s="43" t="n">
        <x:v>57716</x:v>
      </x:c>
      <x:c r="K2554" s="43" t="n">
        <x:v>5539.8883996517325</x:v>
      </x:c>
      <x:c r="L2554" s="43" t="n">
        <x:v>2419.992833625616</x:v>
      </x:c>
    </x:row>
    <x:row r="2555" ht="15" hidden="0" customHeight="1">
      <x:c r="A2555" s="29" t="str">
        <x:v>12115</x:v>
      </x:c>
      <x:c r="B2555" s="29" t="str">
        <x:v>SCA-26</x:v>
      </x:c>
      <x:c r="C2555" s="44" t="n">
        <x:v>479958</x:v>
      </x:c>
      <x:c r="D2555" s="44" t="n">
        <x:v>5317.939208707859</x:v>
      </x:c>
      <x:c r="E2555" s="44" t="n">
        <x:v>69762.91287262914</x:v>
      </x:c>
      <x:c r="F2555" s="44" t="n">
        <x:v>3108.496747222987</x:v>
      </x:c>
      <x:c r="G2555" s="44" t="n">
        <x:v>10447.0104678106</x:v>
      </x:c>
      <x:c r="H2555" s="44" t="n">
        <x:v>391321.6407036294</x:v>
      </x:c>
      <x:c r="I2555" s="44" t="n">
        <x:v>479958</x:v>
      </x:c>
      <x:c r="J2555" s="44" t="n">
        <x:v>68676</x:v>
      </x:c>
      <x:c r="K2555" s="44" t="n">
        <x:v>5519.647919571297</x:v>
      </x:c>
      <x:c r="L2555" s="44" t="n">
        <x:v>2411.1511723483104</x:v>
      </x:c>
    </x:row>
    <x:row r="2556" ht="15" hidden="0" customHeight="1">
      <x:c r="A2556" s="27" t="str">
        <x:v>12081</x:v>
      </x:c>
      <x:c r="B2556" s="27" t="str">
        <x:v>SCA-26</x:v>
      </x:c>
      <x:c r="C2556" s="43" t="n">
        <x:v>468200</x:v>
      </x:c>
      <x:c r="D2556" s="43" t="n">
        <x:v>5251.605028088695</x:v>
      </x:c>
      <x:c r="E2556" s="43" t="n">
        <x:v>69588.53235547683</x:v>
      </x:c>
      <x:c r="F2556" s="43" t="n">
        <x:v>3032.3448656961705</x:v>
      </x:c>
      <x:c r="G2556" s="43" t="n">
        <x:v>9519.230332657573</x:v>
      </x:c>
      <x:c r="H2556" s="43" t="n">
        <x:v>380808.2874180807</x:v>
      </x:c>
      <x:c r="I2556" s="43" t="n">
        <x:v>468200</x:v>
      </x:c>
      <x:c r="J2556" s="43" t="n">
        <x:v>65907</x:v>
      </x:c>
      <x:c r="K2556" s="43" t="n">
        <x:v>5384.427712306663</x:v>
      </x:c>
      <x:c r="L2556" s="43" t="n">
        <x:v>2352.0828466104927</x:v>
      </x:c>
    </x:row>
    <x:row r="2557" ht="15" hidden="0" customHeight="1">
      <x:c r="A2557" s="29" t="str">
        <x:v>12069</x:v>
      </x:c>
      <x:c r="B2557" s="29" t="str">
        <x:v>SCA-26</x:v>
      </x:c>
      <x:c r="C2557" s="44" t="n">
        <x:v>456068</x:v>
      </x:c>
      <x:c r="D2557" s="44" t="n">
        <x:v>5166.489643945929</x:v>
      </x:c>
      <x:c r="E2557" s="44" t="n">
        <x:v>69008.49542627235</x:v>
      </x:c>
      <x:c r="F2557" s="44" t="n">
        <x:v>2953.7707351736885</x:v>
      </x:c>
      <x:c r="G2557" s="44" t="n">
        <x:v>9051.41053126193</x:v>
      </x:c>
      <x:c r="H2557" s="44" t="n">
        <x:v>369887.8336633461</x:v>
      </x:c>
      <x:c r="I2557" s="44" t="n">
        <x:v>456068</x:v>
      </x:c>
      <x:c r="J2557" s="44" t="n">
        <x:v>64404</x:v>
      </x:c>
      <x:c r="K2557" s="44" t="n">
        <x:v>5244.9064030249365</x:v>
      </x:c>
      <x:c r="L2557" s="44" t="n">
        <x:v>2291.135667851248</x:v>
      </x:c>
    </x:row>
    <x:row r="2558" ht="15" hidden="0" customHeight="1">
      <x:c r="A2558" s="27" t="str">
        <x:v>12053</x:v>
      </x:c>
      <x:c r="B2558" s="27" t="str">
        <x:v>SCA-26</x:v>
      </x:c>
      <x:c r="C2558" s="43" t="n">
        <x:v>221701</x:v>
      </x:c>
      <x:c r="D2558" s="43" t="n">
        <x:v>2833.8820925140226</x:v>
      </x:c>
      <x:c r="E2558" s="43" t="n">
        <x:v>41283.10003615579</x:v>
      </x:c>
      <x:c r="F2558" s="43" t="n">
        <x:v>1435.869049700356</x:v>
      </x:c>
      <x:c r="G2558" s="43" t="n">
        <x:v>4668.931747416225</x:v>
      </x:c>
      <x:c r="H2558" s="43" t="n">
        <x:v>171479.2170742136</x:v>
      </x:c>
      <x:c r="I2558" s="43" t="n">
        <x:v>221701</x:v>
      </x:c>
      <x:c r="J2558" s="43" t="n">
        <x:v>39807</x:v>
      </x:c>
      <x:c r="K2558" s="43" t="n">
        <x:v>2549.6219740412207</x:v>
      </x:c>
      <x:c r="L2558" s="43" t="n">
        <x:v>1113.7529243408646</x:v>
      </x:c>
    </x:row>
    <x:row r="2559" ht="15" hidden="0" customHeight="1">
      <x:c r="A2559" s="29" t="str">
        <x:v>12015</x:v>
      </x:c>
      <x:c r="B2559" s="29" t="str">
        <x:v>SCA-26</x:v>
      </x:c>
      <x:c r="C2559" s="44" t="n">
        <x:v>217212</x:v>
      </x:c>
      <x:c r="D2559" s="44" t="n">
        <x:v>2815.0147246011716</x:v>
      </x:c>
      <x:c r="E2559" s="44" t="n">
        <x:v>41371.51344452678</x:v>
      </x:c>
      <x:c r="F2559" s="44" t="n">
        <x:v>1406.7955851507825</x:v>
      </x:c>
      <x:c r="G2559" s="44" t="n">
        <x:v>4804.376749875643</x:v>
      </x:c>
      <x:c r="H2559" s="44" t="n">
        <x:v>166814.2994958456</x:v>
      </x:c>
      <x:c r="I2559" s="44" t="n">
        <x:v>217212</x:v>
      </x:c>
      <x:c r="J2559" s="44" t="n">
        <x:v>39088</x:v>
      </x:c>
      <x:c r="K2559" s="44" t="n">
        <x:v>2497.997249563338</x:v>
      </x:c>
      <x:c r="L2559" s="44" t="n">
        <x:v>1091.2016644125554</x:v>
      </x:c>
    </x:row>
    <x:row r="2560" ht="15" hidden="0" customHeight="1">
      <x:c r="A2560" s="27" t="str">
        <x:v>12061</x:v>
      </x:c>
      <x:c r="B2560" s="27" t="str">
        <x:v>SCA-26</x:v>
      </x:c>
      <x:c r="C2560" s="43" t="n">
        <x:v>172799</x:v>
      </x:c>
      <x:c r="D2560" s="43" t="n">
        <x:v>2083.579330802204</x:v>
      </x:c>
      <x:c r="E2560" s="43" t="n">
        <x:v>29171.855388473912</x:v>
      </x:c>
      <x:c r="F2560" s="43" t="n">
        <x:v>1119.150278614764</x:v>
      </x:c>
      <x:c r="G2560" s="43" t="n">
        <x:v>3814.1489195427366</x:v>
      </x:c>
      <x:c r="H2560" s="43" t="n">
        <x:v>136610.26608256638</x:v>
      </x:c>
      <x:c r="I2560" s="43" t="n">
        <x:v>172799</x:v>
      </x:c>
      <x:c r="J2560" s="43" t="n">
        <x:v>29028</x:v>
      </x:c>
      <x:c r="K2560" s="43" t="n">
        <x:v>1987.2356348972214</x:v>
      </x:c>
      <x:c r="L2560" s="43" t="n">
        <x:v>868.0853562824574</x:v>
      </x:c>
    </x:row>
    <x:row r="2561" ht="15" hidden="0" customHeight="1">
      <x:c r="A2561" s="29" t="str">
        <x:v>12017</x:v>
      </x:c>
      <x:c r="B2561" s="29" t="str">
        <x:v>SCA-26</x:v>
      </x:c>
      <x:c r="C2561" s="44" t="n">
        <x:v>171666</x:v>
      </x:c>
      <x:c r="D2561" s="44" t="n">
        <x:v>2341.60549084096</x:v>
      </x:c>
      <x:c r="E2561" s="44" t="n">
        <x:v>35501.08689613843</x:v>
      </x:c>
      <x:c r="F2561" s="44" t="n">
        <x:v>1111.8122890102493</x:v>
      </x:c>
      <x:c r="G2561" s="44" t="n">
        <x:v>3827.9655605078838</x:v>
      </x:c>
      <x:c r="H2561" s="44" t="n">
        <x:v>128883.52976350246</x:v>
      </x:c>
      <x:c r="I2561" s="44" t="n">
        <x:v>171666</x:v>
      </x:c>
      <x:c r="J2561" s="44" t="n">
        <x:v>34509</x:v>
      </x:c>
      <x:c r="K2561" s="44" t="n">
        <x:v>1974.2058258454413</x:v>
      </x:c>
      <x:c r="L2561" s="44" t="n">
        <x:v>862.393536835192</x:v>
      </x:c>
    </x:row>
    <x:row r="2562" ht="15" hidden="0" customHeight="1">
      <x:c r="A2562" s="27" t="str">
        <x:v>12119</x:v>
      </x:c>
      <x:c r="B2562" s="27" t="str">
        <x:v>SCA-26</x:v>
      </x:c>
      <x:c r="C2562" s="43" t="n">
        <x:v>157772</x:v>
      </x:c>
      <x:c r="D2562" s="43" t="n">
        <x:v>1976.1811740217963</x:v>
      </x:c>
      <x:c r="E2562" s="43" t="n">
        <x:v>28406.07658957237</x:v>
      </x:c>
      <x:c r="F2562" s="43" t="n">
        <x:v>1021.8263864814527</x:v>
      </x:c>
      <x:c r="G2562" s="43" t="n">
        <x:v>2553.539822226153</x:v>
      </x:c>
      <x:c r="H2562" s="43" t="n">
        <x:v>123814.37602769822</x:v>
      </x:c>
      <x:c r="I2562" s="43" t="n">
        <x:v>157772</x:v>
      </x:c>
      <x:c r="J2562" s="43" t="n">
        <x:v>25446</x:v>
      </x:c>
      <x:c r="K2562" s="43" t="n">
        <x:v>1814.4210359377334</x:v>
      </x:c>
      <x:c r="L2562" s="43" t="n">
        <x:v>792.5946494562808</x:v>
      </x:c>
    </x:row>
    <x:row r="2563" ht="15" hidden="0" customHeight="1">
      <x:c r="A2563" s="29" t="str">
        <x:v>12055</x:v>
      </x:c>
      <x:c r="B2563" s="29" t="str">
        <x:v>SCA-26</x:v>
      </x:c>
      <x:c r="C2563" s="44" t="n">
        <x:v>111122</x:v>
      </x:c>
      <x:c r="D2563" s="44" t="n">
        <x:v>1576.4333585789307</x:v>
      </x:c>
      <x:c r="E2563" s="44" t="n">
        <x:v>24436.631272393202</x:v>
      </x:c>
      <x:c r="F2563" s="44" t="n">
        <x:v>719.6929221825924</x:v>
      </x:c>
      <x:c r="G2563" s="44" t="n">
        <x:v>3205.1374454524575</x:v>
      </x:c>
      <x:c r="H2563" s="44" t="n">
        <x:v>81184.10500139282</x:v>
      </x:c>
      <x:c r="I2563" s="44" t="n">
        <x:v>111122</x:v>
      </x:c>
      <x:c r="J2563" s="44" t="n">
        <x:v>23937</x:v>
      </x:c>
      <x:c r="K2563" s="44" t="n">
        <x:v>1277.9333110784728</x:v>
      </x:c>
      <x:c r="L2563" s="44" t="n">
        <x:v>558.2403888958804</x:v>
      </x:c>
    </x:row>
    <x:row r="2564" ht="15" hidden="0" customHeight="1">
      <x:c r="A2564" s="27" t="str">
        <x:v>12075</x:v>
      </x:c>
      <x:c r="B2564" s="27" t="str">
        <x:v>SCA-26</x:v>
      </x:c>
      <x:c r="C2564" s="43" t="n">
        <x:v>48520</x:v>
      </x:c>
      <x:c r="D2564" s="43" t="n">
        <x:v>665.6840232726468</x:v>
      </x:c>
      <x:c r="E2564" s="43" t="n">
        <x:v>10126.451942522617</x:v>
      </x:c>
      <x:c r="F2564" s="43" t="n">
        <x:v>314.2447092771854</x:v>
      </x:c>
      <x:c r="G2564" s="43" t="n">
        <x:v>1170.374002128792</x:v>
      </x:c>
      <x:c r="H2564" s="43" t="n">
        <x:v>36243.245322798764</x:v>
      </x:c>
      <x:c r="I2564" s="43" t="n">
        <x:v>48520</x:v>
      </x:c>
      <x:c r="J2564" s="43" t="n">
        <x:v>9804</x:v>
      </x:c>
      <x:c r="K2564" s="43" t="n">
        <x:v>557.993234944723</x:v>
      </x:c>
      <x:c r="L2564" s="43" t="n">
        <x:v>243.74852566753762</x:v>
      </x:c>
    </x:row>
    <x:row r="2565" ht="15" hidden="0" customHeight="1">
      <x:c r="A2565" s="29" t="str">
        <x:v>12093</x:v>
      </x:c>
      <x:c r="B2565" s="29" t="str">
        <x:v>SCA-26</x:v>
      </x:c>
      <x:c r="C2565" s="44" t="n">
        <x:v>42608</x:v>
      </x:c>
      <x:c r="D2565" s="44" t="n">
        <x:v>560.0202286252903</x:v>
      </x:c>
      <x:c r="E2565" s="44" t="n">
        <x:v>8303.319527414664</x:v>
      </x:c>
      <x:c r="F2565" s="44" t="n">
        <x:v>275.95504066121833</x:v>
      </x:c>
      <x:c r="G2565" s="44" t="n">
        <x:v>1037.698058837398</x:v>
      </x:c>
      <x:c r="H2565" s="44" t="n">
        <x:v>32431.007144461426</x:v>
      </x:c>
      <x:c r="I2565" s="44" t="n">
        <x:v>42608</x:v>
      </x:c>
      <x:c r="J2565" s="44" t="n">
        <x:v>7749</x:v>
      </x:c>
      <x:c r="K2565" s="44" t="n">
        <x:v>490.0036223108977</x:v>
      </x:c>
      <x:c r="L2565" s="44" t="n">
        <x:v>214.04858164967936</x:v>
      </x:c>
    </x:row>
    <x:row r="2566" ht="15" hidden="0" customHeight="1">
      <x:c r="A2566" s="27" t="str">
        <x:v>12027</x:v>
      </x:c>
      <x:c r="B2566" s="27" t="str">
        <x:v>SCA-26</x:v>
      </x:c>
      <x:c r="C2566" s="43" t="n">
        <x:v>37078</x:v>
      </x:c>
      <x:c r="D2566" s="43" t="n">
        <x:v>502.00425564607485</x:v>
      </x:c>
      <x:c r="E2566" s="43" t="n">
        <x:v>7577.677814961215</x:v>
      </x:c>
      <x:c r="F2566" s="43" t="n">
        <x:v>240.1394338536578</x:v>
      </x:c>
      <x:c r="G2566" s="43" t="n">
        <x:v>1303.8531221208427</x:v>
      </x:c>
      <x:c r="H2566" s="43" t="n">
        <x:v>27454.325373418207</x:v>
      </x:c>
      <x:c r="I2566" s="43" t="n">
        <x:v>37078</x:v>
      </x:c>
      <x:c r="J2566" s="43" t="n">
        <x:v>7163</x:v>
      </x:c>
      <x:c r="K2566" s="43" t="n">
        <x:v>426.40711387634866</x:v>
      </x:c>
      <x:c r="L2566" s="43" t="n">
        <x:v>186.26768002269085</x:v>
      </x:c>
    </x:row>
    <x:row r="2567" ht="15" hidden="0" customHeight="1">
      <x:c r="A2567" s="29" t="str">
        <x:v>12049</x:v>
      </x:c>
      <x:c r="B2567" s="29" t="str">
        <x:v>SCA-26</x:v>
      </x:c>
      <x:c r="C2567" s="44" t="n">
        <x:v>25932</x:v>
      </x:c>
      <x:c r="D2567" s="44" t="n">
        <x:v>303.87808842370754</x:v>
      </x:c>
      <x:c r="E2567" s="44" t="n">
        <x:v>4166.501937035961</x:v>
      </x:c>
      <x:c r="F2567" s="44" t="n">
        <x:v>167.95123250156576</x:v>
      </x:c>
      <x:c r="G2567" s="44" t="n">
        <x:v>798.0807582230702</x:v>
      </x:c>
      <x:c r="H2567" s="44" t="n">
        <x:v>20495.587983815694</x:v>
      </x:c>
      <x:c r="I2567" s="44" t="n">
        <x:v>25932</x:v>
      </x:c>
      <x:c r="J2567" s="44" t="n">
        <x:v>4035</x:v>
      </x:c>
      <x:c r="K2567" s="44" t="n">
        <x:v>298.22507354877484</x:v>
      </x:c>
      <x:c r="L2567" s="44" t="n">
        <x:v>130.2738410472091</x:v>
      </x:c>
    </x:row>
    <x:row r="2568" ht="15" hidden="0" customHeight="1">
      <x:c r="A2568" s="27" t="str">
        <x:v>12043</x:v>
      </x:c>
      <x:c r="B2568" s="27" t="str">
        <x:v>SCA-26</x:v>
      </x:c>
      <x:c r="C2568" s="43" t="n">
        <x:v>13270</x:v>
      </x:c>
      <x:c r="D2568" s="43" t="n">
        <x:v>178.98800603425516</x:v>
      </x:c>
      <x:c r="E2568" s="43" t="n">
        <x:v>2695.7733473242392</x:v>
      </x:c>
      <x:c r="F2568" s="43" t="n">
        <x:v>85.94450313495979</x:v>
      </x:c>
      <x:c r="G2568" s="43" t="n">
        <x:v>102.88457502623294</x:v>
      </x:c>
      <x:c r="H2568" s="43" t="n">
        <x:v>10206.409568480312</x:v>
      </x:c>
      <x:c r="I2568" s="43" t="n">
        <x:v>13270</x:v>
      </x:c>
      <x:c r="J2568" s="43" t="n">
        <x:v>2420</x:v>
      </x:c>
      <x:c r="K2568" s="43" t="n">
        <x:v>152.60861969737167</x:v>
      </x:c>
      <x:c r="L2568" s="43" t="n">
        <x:v>66.66411656241188</x:v>
      </x:c>
    </x:row>
    <x:row r="2569" ht="15" hidden="0" customHeight="1">
      <x:c r="A2569" s="29" t="str">
        <x:v>12086</x:v>
      </x:c>
      <x:c r="B2569" s="29" t="str">
        <x:v>SCA-27</x:v>
      </x:c>
      <x:c r="C2569" s="44" t="n">
        <x:v>2802029</x:v>
      </x:c>
      <x:c r="D2569" s="44" t="n">
        <x:v>25641.237273393035</x:v>
      </x:c>
      <x:c r="E2569" s="44" t="n">
        <x:v>277554.35855433403</x:v>
      </x:c>
      <x:c r="F2569" s="44" t="n">
        <x:v>18147.625484155862</x:v>
      </x:c>
      <x:c r="G2569" s="44" t="n">
        <x:v>143413.29569987554</x:v>
      </x:c>
      <x:c r="H2569" s="44" t="n">
        <x:v>2337272.4829882416</x:v>
      </x:c>
      <x:c r="I2569" s="44" t="n">
        <x:v>2802029</x:v>
      </x:c>
      <x:c r="J2569" s="44" t="n">
        <x:v>280052</x:v>
      </x:c>
      <x:c r="K2569" s="44" t="n">
        <x:v>32224.09781778498</x:v>
      </x:c>
      <x:c r="L2569" s="44" t="n">
        <x:v>14076.472333629117</x:v>
      </x:c>
    </x:row>
    <x:row r="2570" ht="15" hidden="0" customHeight="1">
      <x:c r="A2570" s="27" t="str">
        <x:v>12011</x:v>
      </x:c>
      <x:c r="B2570" s="27" t="str">
        <x:v>SCA-27</x:v>
      </x:c>
      <x:c r="C2570" s="43" t="n">
        <x:v>2013317</x:v>
      </x:c>
      <x:c r="D2570" s="43" t="n">
        <x:v>19215.795068816617</x:v>
      </x:c>
      <x:c r="E2570" s="43" t="n">
        <x:v>218437.25949922137</x:v>
      </x:c>
      <x:c r="F2570" s="43" t="n">
        <x:v>13039.452088784314</x:v>
      </x:c>
      <x:c r="G2570" s="43" t="n">
        <x:v>77046.45797716807</x:v>
      </x:c>
      <x:c r="H2570" s="43" t="n">
        <x:v>1685578.0353660097</x:v>
      </x:c>
      <x:c r="I2570" s="43" t="n">
        <x:v>2013317</x:v>
      </x:c>
      <x:c r="J2570" s="43" t="n">
        <x:v>221936</x:v>
      </x:c>
      <x:c r="K2570" s="43" t="n">
        <x:v>23153.69467846671</x:v>
      </x:c>
      <x:c r="L2570" s="43" t="n">
        <x:v>10114.242589682395</x:v>
      </x:c>
    </x:row>
    <x:row r="2571" ht="15" hidden="0" customHeight="1">
      <x:c r="A2571" s="29" t="str">
        <x:v>12099</x:v>
      </x:c>
      <x:c r="B2571" s="29" t="str">
        <x:v>SCA-27</x:v>
      </x:c>
      <x:c r="C2571" s="44" t="n">
        <x:v>1575726</x:v>
      </x:c>
      <x:c r="D2571" s="44" t="n">
        <x:v>15669.591532804889</x:v>
      </x:c>
      <x:c r="E2571" s="44" t="n">
        <x:v>186087.89372581377</x:v>
      </x:c>
      <x:c r="F2571" s="44" t="n">
        <x:v>10205.34952123871</x:v>
      </x:c>
      <x:c r="G2571" s="44" t="n">
        <x:v>54917.53373997381</x:v>
      </x:c>
      <x:c r="H2571" s="44" t="n">
        <x:v>1308845.6314801688</x:v>
      </x:c>
      <x:c r="I2571" s="44" t="n">
        <x:v>1575726</x:v>
      </x:c>
      <x:c r="J2571" s="44" t="n">
        <x:v>186958</x:v>
      </x:c>
      <x:c r="K2571" s="44" t="n">
        <x:v>18121.278815468024</x:v>
      </x:c>
      <x:c r="L2571" s="44" t="n">
        <x:v>7915.929294229315</x:v>
      </x:c>
    </x:row>
    <x:row r="2572" ht="15" hidden="0" customHeight="1">
      <x:c r="A2572" s="27" t="str">
        <x:v>12021</x:v>
      </x:c>
      <x:c r="B2572" s="27" t="str">
        <x:v>SCA-27</x:v>
      </x:c>
      <x:c r="C2572" s="43" t="n">
        <x:v>417131</x:v>
      </x:c>
      <x:c r="D2572" s="43" t="n">
        <x:v>3988.9579584511293</x:v>
      </x:c>
      <x:c r="E2572" s="43" t="n">
        <x:v>45442.29540832142</x:v>
      </x:c>
      <x:c r="F2572" s="43" t="n">
        <x:v>2701.5912989592252</x:v>
      </x:c>
      <x:c r="G2572" s="43" t="n">
        <x:v>11519.007011516305</x:v>
      </x:c>
      <x:c r="H2572" s="43" t="n">
        <x:v>353479.1483227519</x:v>
      </x:c>
      <x:c r="I2572" s="43" t="n">
        <x:v>417131</x:v>
      </x:c>
      <x:c r="J2572" s="43" t="n">
        <x:v>44953</x:v>
      </x:c>
      <x:c r="K2572" s="43" t="n">
        <x:v>4797.120282063628</x:v>
      </x:c>
      <x:c r="L2572" s="43" t="n">
        <x:v>2095.528983104403</x:v>
      </x:c>
    </x:row>
    <x:row r="2573" ht="15" hidden="0" customHeight="1">
      <x:c r="A2573" s="29" t="str">
        <x:v>12111</x:v>
      </x:c>
      <x:c r="B2573" s="29" t="str">
        <x:v>SCA-27</x:v>
      </x:c>
      <x:c r="C2573" s="44" t="n">
        <x:v>402449</x:v>
      </x:c>
      <x:c r="D2573" s="44" t="n">
        <x:v>4397.690083515533</x:v>
      </x:c>
      <x:c r="E2573" s="44" t="n">
        <x:v>57022.04737632257</x:v>
      </x:c>
      <x:c r="F2573" s="44" t="n">
        <x:v>2606.501834375391</x:v>
      </x:c>
      <x:c r="G2573" s="44" t="n">
        <x:v>9591.302834338478</x:v>
      </x:c>
      <x:c r="H2573" s="44" t="n">
        <x:v>328831.457871448</x:v>
      </x:c>
      <x:c r="I2573" s="44" t="n">
        <x:v>402449</x:v>
      </x:c>
      <x:c r="J2573" s="44" t="n">
        <x:v>52812</x:v>
      </x:c>
      <x:c r="K2573" s="44" t="n">
        <x:v>4628.273277210817</x:v>
      </x:c>
      <x:c r="L2573" s="44" t="n">
        <x:v>2021.7714428354254</x:v>
      </x:c>
    </x:row>
    <x:row r="2574" ht="15" hidden="0" customHeight="1">
      <x:c r="A2574" s="27" t="str">
        <x:v>12085</x:v>
      </x:c>
      <x:c r="B2574" s="27" t="str">
        <x:v>SCA-27</x:v>
      </x:c>
      <x:c r="C2574" s="43" t="n">
        <x:v>166272</x:v>
      </x:c>
      <x:c r="D2574" s="43" t="n">
        <x:v>1776.5476973305013</x:v>
      </x:c>
      <x:c r="E2574" s="43" t="n">
        <x:v>22590.044228202696</x:v>
      </x:c>
      <x:c r="F2574" s="43" t="n">
        <x:v>1076.877500019294</x:v>
      </x:c>
      <x:c r="G2574" s="43" t="n">
        <x:v>3757.983493606878</x:v>
      </x:c>
      <x:c r="H2574" s="43" t="n">
        <x:v>137070.54708084062</x:v>
      </x:c>
      <x:c r="I2574" s="43" t="n">
        <x:v>166272</x:v>
      </x:c>
      <x:c r="J2574" s="43" t="n">
        <x:v>22502</x:v>
      </x:c>
      <x:c r="K2574" s="43" t="n">
        <x:v>1912.1733545080167</x:v>
      </x:c>
      <x:c r="L2574" s="43" t="n">
        <x:v>835.2958544887225</x:v>
      </x:c>
    </x:row>
    <x:row r="2575" ht="15" hidden="0" customHeight="1">
      <x:c r="A2575" s="29" t="str">
        <x:v>12087</x:v>
      </x:c>
      <x:c r="B2575" s="29" t="str">
        <x:v>SCA-27</x:v>
      </x:c>
      <x:c r="C2575" s="44" t="n">
        <x:v>80406</x:v>
      </x:c>
      <x:c r="D2575" s="44" t="n">
        <x:v>772.946640259167</x:v>
      </x:c>
      <x:c r="E2575" s="44" t="n">
        <x:v>8856.320048087759</x:v>
      </x:c>
      <x:c r="F2575" s="44" t="n">
        <x:v>520.757627661611</x:v>
      </x:c>
      <x:c r="G2575" s="44" t="n">
        <x:v>2669.5184461642493</x:v>
      </x:c>
      <x:c r="H2575" s="44" t="n">
        <x:v>67586.45723782721</x:v>
      </x:c>
      <x:c r="I2575" s="44" t="n">
        <x:v>80406</x:v>
      </x:c>
      <x:c r="J2575" s="44" t="n">
        <x:v>9162</x:v>
      </x:c>
      <x:c r="K2575" s="44" t="n">
        <x:v>924.690932583788</x:v>
      </x:c>
      <x:c r="L2575" s="44" t="n">
        <x:v>403.93330492217706</x:v>
      </x:c>
    </x:row>
    <x:row r="2576" ht="15" hidden="0" customHeight="1">
      <x:c r="A2576" s="27" t="str">
        <x:v>12051</x:v>
      </x:c>
      <x:c r="B2576" s="27" t="str">
        <x:v>SCA-27</x:v>
      </x:c>
      <x:c r="C2576" s="43" t="n">
        <x:v>48276</x:v>
      </x:c>
      <x:c r="D2576" s="43" t="n">
        <x:v>467.6899669896169</x:v>
      </x:c>
      <x:c r="E2576" s="43" t="n">
        <x:v>5404.013210161663</x:v>
      </x:c>
      <x:c r="F2576" s="43" t="n">
        <x:v>312.6644184885696</x:v>
      </x:c>
      <x:c r="G2576" s="43" t="n">
        <x:v>1882.95832130485</x:v>
      </x:c>
      <x:c r="H2576" s="43" t="n">
        <x:v>40208.6740830553</x:v>
      </x:c>
      <x:c r="I2576" s="43" t="n">
        <x:v>48276</x:v>
      </x:c>
      <x:c r="J2576" s="43" t="n">
        <x:v>4847</x:v>
      </x:c>
      <x:c r="K2576" s="43" t="n">
        <x:v>555.1871683881171</x:v>
      </x:c>
      <x:c r="L2576" s="43" t="n">
        <x:v>242.52274989954753</x:v>
      </x:c>
    </x:row>
    <x:row r="2577" ht="15" hidden="0" customHeight="1">
      <x:c r="A2577" s="29" t="str">
        <x:v>39049</x:v>
      </x:c>
      <x:c r="B2577" s="29" t="str">
        <x:v>SCA-28</x:v>
      </x:c>
      <x:c r="C2577" s="44" t="n">
        <x:v>1361536</x:v>
      </x:c>
      <x:c r="D2577" s="44" t="n">
        <x:v>16300.74454417383</x:v>
      </x:c>
      <x:c r="E2577" s="44" t="n">
        <x:v>155634.86852462208</x:v>
      </x:c>
      <x:c r="F2577" s="44" t="n">
        <x:v>7958.505028114036</x:v>
      </x:c>
      <x:c r="G2577" s="44" t="n">
        <x:v>59000.20985533024</x:v>
      </x:c>
      <x:c r="H2577" s="44" t="n">
        <x:v>1122641.6720477599</x:v>
      </x:c>
      <x:c r="I2577" s="44" t="n">
        <x:v>1361536</x:v>
      </x:c>
      <x:c r="J2577" s="44" t="n">
        <x:v>157722</x:v>
      </x:c>
      <x:c r="K2577" s="44" t="n">
        <x:v>17774.463383761944</x:v>
      </x:c>
      <x:c r="L2577" s="44" t="n">
        <x:v>9815.958355647908</x:v>
      </x:c>
    </x:row>
    <x:row r="2578" ht="15" hidden="0" customHeight="1">
      <x:c r="A2578" s="27" t="str">
        <x:v>39035</x:v>
      </x:c>
      <x:c r="B2578" s="27" t="str">
        <x:v>SCA-28</x:v>
      </x:c>
      <x:c r="C2578" s="43" t="n">
        <x:v>1232925</x:v>
      </x:c>
      <x:c r="D2578" s="43" t="n">
        <x:v>16558.7716303444</x:v>
      </x:c>
      <x:c r="E2578" s="43" t="n">
        <x:v>184080.7423648949</x:v>
      </x:c>
      <x:c r="F2578" s="43" t="n">
        <x:v>7206.74283440724</x:v>
      </x:c>
      <x:c r="G2578" s="43" t="n">
        <x:v>84430.17912579924</x:v>
      </x:c>
      <x:c r="H2578" s="43" t="n">
        <x:v>940648.5640445543</x:v>
      </x:c>
      <x:c r="I2578" s="43" t="n">
        <x:v>1232925</x:v>
      </x:c>
      <x:c r="J2578" s="43" t="n">
        <x:v>191501</x:v>
      </x:c>
      <x:c r="K2578" s="43" t="n">
        <x:v>16095.48353288102</x:v>
      </x:c>
      <x:c r="L2578" s="43" t="n">
        <x:v>8888.74069847378</x:v>
      </x:c>
    </x:row>
    <x:row r="2579" ht="15" hidden="0" customHeight="1">
      <x:c r="A2579" s="29" t="str">
        <x:v>42003</x:v>
      </x:c>
      <x:c r="B2579" s="29" t="str">
        <x:v>SCA-28</x:v>
      </x:c>
      <x:c r="C2579" s="44" t="n">
        <x:v>1225035</x:v>
      </x:c>
      <x:c r="D2579" s="44" t="n">
        <x:v>15388.343513632028</x:v>
      </x:c>
      <x:c r="E2579" s="44" t="n">
        <x:v>163908.38806170193</x:v>
      </x:c>
      <x:c r="F2579" s="44" t="n">
        <x:v>7986.990480725366</x:v>
      </x:c>
      <x:c r="G2579" s="44" t="n">
        <x:v>85700.71683513952</x:v>
      </x:c>
      <x:c r="H2579" s="44" t="n">
        <x:v>952050.5611088012</x:v>
      </x:c>
      <x:c r="I2579" s="44" t="n">
        <x:v>1225035</x:v>
      </x:c>
      <x:c r="J2579" s="44" t="n">
        <x:v>170957</x:v>
      </x:c>
      <x:c r="K2579" s="44" t="n">
        <x:v>16545.817825119815</x:v>
      </x:c>
      <x:c r="L2579" s="44" t="n">
        <x:v>8558.827344394449</x:v>
      </x:c>
    </x:row>
    <x:row r="2580" ht="15" hidden="0" customHeight="1">
      <x:c r="A2580" s="27" t="str">
        <x:v>51059</x:v>
      </x:c>
      <x:c r="B2580" s="27" t="str">
        <x:v>SCA-28</x:v>
      </x:c>
      <x:c r="C2580" s="43" t="n">
        <x:v>1167873</x:v>
      </x:c>
      <x:c r="D2580" s="43" t="n">
        <x:v>8584.290041634331</x:v>
      </x:c>
      <x:c r="E2580" s="43" t="n">
        <x:v>89527.18753219229</x:v>
      </x:c>
      <x:c r="F2580" s="43" t="n">
        <x:v>8147.046372557917</x:v>
      </x:c>
      <x:c r="G2580" s="43" t="n">
        <x:v>34363.831467996686</x:v>
      </x:c>
      <x:c r="H2580" s="43" t="n">
        <x:v>1027250.6445856187</x:v>
      </x:c>
      <x:c r="I2580" s="43" t="n">
        <x:v>1167873</x:v>
      </x:c>
      <x:c r="J2580" s="43" t="n">
        <x:v>90426</x:v>
      </x:c>
      <x:c r="K2580" s="43" t="n">
        <x:v>13001.036933684236</x:v>
      </x:c>
      <x:c r="L2580" s="43" t="n">
        <x:v>4853.990561126319</x:v>
      </x:c>
    </x:row>
    <x:row r="2581" ht="15" hidden="0" customHeight="1">
      <x:c r="A2581" s="29" t="str">
        <x:v>24031</x:v>
      </x:c>
      <x:c r="B2581" s="29" t="str">
        <x:v>SCA-28</x:v>
      </x:c>
      <x:c r="C2581" s="44" t="n">
        <x:v>1074582</x:v>
      </x:c>
      <x:c r="D2581" s="44" t="n">
        <x:v>9045.328388238708</x:v>
      </x:c>
      <x:c r="E2581" s="44" t="n">
        <x:v>97164.32711455402</x:v>
      </x:c>
      <x:c r="F2581" s="44" t="n">
        <x:v>5071.962641381074</x:v>
      </x:c>
      <x:c r="G2581" s="44" t="n">
        <x:v>53427.50308527163</x:v>
      </x:c>
      <x:c r="H2581" s="44" t="n">
        <x:v>909872.8787705546</x:v>
      </x:c>
      <x:c r="I2581" s="44" t="n">
        <x:v>1074582</x:v>
      </x:c>
      <x:c r="J2581" s="44" t="n">
        <x:v>99507</x:v>
      </x:c>
      <x:c r="K2581" s="44" t="n">
        <x:v>10068.777399846696</x:v>
      </x:c>
      <x:c r="L2581" s="44" t="n">
        <x:v>4996.814758465623</x:v>
      </x:c>
    </x:row>
    <x:row r="2582" ht="15" hidden="0" customHeight="1">
      <x:c r="A2582" s="27" t="str">
        <x:v>36029</x:v>
      </x:c>
      <x:c r="B2582" s="27" t="str">
        <x:v>SCA-28</x:v>
      </x:c>
      <x:c r="C2582" s="43" t="n">
        <x:v>946741</x:v>
      </x:c>
      <x:c r="D2582" s="43" t="n">
        <x:v>10252.34045478622</x:v>
      </x:c>
      <x:c r="E2582" s="43" t="n">
        <x:v>125536.33689609282</x:v>
      </x:c>
      <x:c r="F2582" s="43" t="n">
        <x:v>3167.699214491613</x:v>
      </x:c>
      <x:c r="G2582" s="43" t="n">
        <x:v>68989.7800931645</x:v>
      </x:c>
      <x:c r="H2582" s="43" t="n">
        <x:v>738794.8433414648</x:v>
      </x:c>
      <x:c r="I2582" s="43" t="n">
        <x:v>946741</x:v>
      </x:c>
      <x:c r="J2582" s="43" t="n">
        <x:v>130259</x:v>
      </x:c>
      <x:c r="K2582" s="43" t="n">
        <x:v>8189.358965273963</x:v>
      </x:c>
      <x:c r="L2582" s="43" t="n">
        <x:v>5021.65975078235</x:v>
      </x:c>
    </x:row>
    <x:row r="2583" ht="15" hidden="0" customHeight="1">
      <x:c r="A2583" s="29" t="str">
        <x:v>36055</x:v>
      </x:c>
      <x:c r="B2583" s="29" t="str">
        <x:v>SCA-28</x:v>
      </x:c>
      <x:c r="C2583" s="44" t="n">
        <x:v>750506</x:v>
      </x:c>
      <x:c r="D2583" s="44" t="n">
        <x:v>8377.383352981436</x:v>
      </x:c>
      <x:c r="E2583" s="44" t="n">
        <x:v>105518.02074859354</x:v>
      </x:c>
      <x:c r="F2583" s="44" t="n">
        <x:v>2511.116838365764</x:v>
      </x:c>
      <x:c r="G2583" s="44" t="n">
        <x:v>49513.3499740992</x:v>
      </x:c>
      <x:c r="H2583" s="44" t="n">
        <x:v>584586.12908596</x:v>
      </x:c>
      <x:c r="I2583" s="44" t="n">
        <x:v>750506</x:v>
      </x:c>
      <x:c r="J2583" s="44" t="n">
        <x:v>109413</x:v>
      </x:c>
      <x:c r="K2583" s="44" t="n">
        <x:v>6491.915993489139</x:v>
      </x:c>
      <x:c r="L2583" s="44" t="n">
        <x:v>3980.7991551233745</x:v>
      </x:c>
    </x:row>
    <x:row r="2584" ht="15" hidden="0" customHeight="1">
      <x:c r="A2584" s="27" t="str">
        <x:v>11001</x:v>
      </x:c>
      <x:c r="B2584" s="27" t="str">
        <x:v>SCA-28</x:v>
      </x:c>
      <x:c r="C2584" s="43" t="n">
        <x:v>693645</x:v>
      </x:c>
      <x:c r="D2584" s="43" t="n">
        <x:v>5930.843198513486</x:v>
      </x:c>
      <x:c r="E2584" s="43" t="n">
        <x:v>76316.62440314038</x:v>
      </x:c>
      <x:c r="F2584" s="43" t="n">
        <x:v>2816.144087574528</x:v>
      </x:c>
      <x:c r="G2584" s="43" t="n">
        <x:v>162345.68394351605</x:v>
      </x:c>
      <x:c r="H2584" s="43" t="n">
        <x:v>446235.70436725556</x:v>
      </x:c>
      <x:c r="I2584" s="43" t="n">
        <x:v>693645</x:v>
      </x:c>
      <x:c r="J2584" s="43" t="n">
        <x:v>76989</x:v>
      </x:c>
      <x:c r="K2584" s="43" t="n">
        <x:v>5567.1279359571645</x:v>
      </x:c>
      <x:c r="L2584" s="43" t="n">
        <x:v>2750.9838483826366</x:v>
      </x:c>
    </x:row>
    <x:row r="2585" ht="15" hidden="0" customHeight="1">
      <x:c r="A2585" s="29" t="str">
        <x:v>39153</x:v>
      </x:c>
      <x:c r="B2585" s="29" t="str">
        <x:v>SCA-28</x:v>
      </x:c>
      <x:c r="C2585" s="44" t="n">
        <x:v>538376</x:v>
      </x:c>
      <x:c r="D2585" s="44" t="n">
        <x:v>6937.407648619593</x:v>
      </x:c>
      <x:c r="E2585" s="44" t="n">
        <x:v>73343.99733108419</x:v>
      </x:c>
      <x:c r="F2585" s="44" t="n">
        <x:v>3146.937064474183</x:v>
      </x:c>
      <x:c r="G2585" s="44" t="n">
        <x:v>26164.93357202297</x:v>
      </x:c>
      <x:c r="H2585" s="44" t="n">
        <x:v>428782.72438379907</x:v>
      </x:c>
      <x:c r="I2585" s="44" t="n">
        <x:v>538376</x:v>
      </x:c>
      <x:c r="J2585" s="44" t="n">
        <x:v>75545</x:v>
      </x:c>
      <x:c r="K2585" s="44" t="n">
        <x:v>7028.3448242986005</x:v>
      </x:c>
      <x:c r="L2585" s="44" t="n">
        <x:v>3881.4077598244176</x:v>
      </x:c>
    </x:row>
    <x:row r="2586" ht="15" hidden="0" customHeight="1">
      <x:c r="A2586" s="27" t="str">
        <x:v>51153</x:v>
      </x:c>
      <x:c r="B2586" s="27" t="str">
        <x:v>SCA-28</x:v>
      </x:c>
      <x:c r="C2586" s="43" t="n">
        <x:v>502966</x:v>
      </x:c>
      <x:c r="D2586" s="43" t="n">
        <x:v>3882.118552588306</x:v>
      </x:c>
      <x:c r="E2586" s="43" t="n">
        <x:v>42999.79652855068</x:v>
      </x:c>
      <x:c r="F2586" s="43" t="n">
        <x:v>3508.6754517143263</x:v>
      </x:c>
      <x:c r="G2586" s="43" t="n">
        <x:v>8478.623963089525</x:v>
      </x:c>
      <x:c r="H2586" s="43" t="n">
        <x:v>444096.78550405713</x:v>
      </x:c>
      <x:c r="I2586" s="43" t="n">
        <x:v>502966</x:v>
      </x:c>
      <x:c r="J2586" s="43" t="n">
        <x:v>42792</x:v>
      </x:c>
      <x:c r="K2586" s="43" t="n">
        <x:v>5599.135815613021</x:v>
      </x:c>
      <x:c r="L2586" s="43" t="n">
        <x:v>2090.4603638986946</x:v>
      </x:c>
    </x:row>
    <x:row r="2587" ht="15" hidden="0" customHeight="1">
      <x:c r="A2587" s="29" t="str">
        <x:v>51107</x:v>
      </x:c>
      <x:c r="B2587" s="29" t="str">
        <x:v>SCA-28</x:v>
      </x:c>
      <x:c r="C2587" s="44" t="n">
        <x:v>449749</x:v>
      </x:c>
      <x:c r="D2587" s="44" t="n">
        <x:v>3146.559312565622</x:v>
      </x:c>
      <x:c r="E2587" s="44" t="n">
        <x:v>30654.79064592707</x:v>
      </x:c>
      <x:c r="F2587" s="44" t="n">
        <x:v>3137.4352853534165</x:v>
      </x:c>
      <x:c r="G2587" s="44" t="n">
        <x:v>7338.637351455338</x:v>
      </x:c>
      <x:c r="H2587" s="44" t="n">
        <x:v>405471.5774046986</x:v>
      </x:c>
      <x:c r="I2587" s="44" t="n">
        <x:v>449749</x:v>
      </x:c>
      <x:c r="J2587" s="44" t="n">
        <x:v>30596</x:v>
      </x:c>
      <x:c r="K2587" s="44" t="n">
        <x:v>5006.711654338744</x:v>
      </x:c>
      <x:c r="L2587" s="44" t="n">
        <x:v>1869.276368985327</x:v>
      </x:c>
    </x:row>
    <x:row r="2588" ht="15" hidden="0" customHeight="1">
      <x:c r="A2588" s="27" t="str">
        <x:v>39151</x:v>
      </x:c>
      <x:c r="B2588" s="27" t="str">
        <x:v>SCA-28</x:v>
      </x:c>
      <x:c r="C2588" s="43" t="n">
        <x:v>373771</x:v>
      </x:c>
      <x:c r="D2588" s="43" t="n">
        <x:v>4812.31965594477</x:v>
      </x:c>
      <x:c r="E2588" s="43" t="n">
        <x:v>50823.05662770654</x:v>
      </x:c>
      <x:c r="F2588" s="43" t="n">
        <x:v>2184.781293232945</x:v>
      </x:c>
      <x:c r="G2588" s="43" t="n">
        <x:v>14153.079467313266</x:v>
      </x:c>
      <x:c r="H2588" s="43" t="n">
        <x:v>301797.7629558025</x:v>
      </x:c>
      <x:c r="I2588" s="43" t="n">
        <x:v>373771</x:v>
      </x:c>
      <x:c r="J2588" s="43" t="n">
        <x:v>52339</x:v>
      </x:c>
      <x:c r="K2588" s="43" t="n">
        <x:v>4879.473589689942</x:v>
      </x:c>
      <x:c r="L2588" s="43" t="n">
        <x:v>2694.692296456997</x:v>
      </x:c>
    </x:row>
    <x:row r="2589" ht="15" hidden="0" customHeight="1">
      <x:c r="A2589" s="29" t="str">
        <x:v>42129</x:v>
      </x:c>
      <x:c r="B2589" s="29" t="str">
        <x:v>SCA-28</x:v>
      </x:c>
      <x:c r="C2589" s="44" t="n">
        <x:v>349324</x:v>
      </x:c>
      <x:c r="D2589" s="44" t="n">
        <x:v>4552.394892530521</x:v>
      </x:c>
      <x:c r="E2589" s="44" t="n">
        <x:v>50683.402983611995</x:v>
      </x:c>
      <x:c r="F2589" s="44" t="n">
        <x:v>2277.524693326239</x:v>
      </x:c>
      <x:c r="G2589" s="44" t="n">
        <x:v>12027.562964722585</x:v>
      </x:c>
      <x:c r="H2589" s="44" t="n">
        <x:v>279783.11446580867</x:v>
      </x:c>
      <x:c r="I2589" s="44" t="n">
        <x:v>349324</x:v>
      </x:c>
      <x:c r="J2589" s="44" t="n">
        <x:v>52807</x:v>
      </x:c>
      <x:c r="K2589" s="44" t="n">
        <x:v>4718.111128206259</x:v>
      </x:c>
      <x:c r="L2589" s="44" t="n">
        <x:v>2440.5864348800205</x:v>
      </x:c>
    </x:row>
    <x:row r="2590" ht="15" hidden="0" customHeight="1">
      <x:c r="A2590" s="27" t="str">
        <x:v>24027</x:v>
      </x:c>
      <x:c r="B2590" s="27" t="str">
        <x:v>SCA-28</x:v>
      </x:c>
      <x:c r="C2590" s="43" t="n">
        <x:v>339183</x:v>
      </x:c>
      <x:c r="D2590" s="43" t="n">
        <x:v>2754.051356270799</x:v>
      </x:c>
      <x:c r="E2590" s="43" t="n">
        <x:v>28244.34567421101</x:v>
      </x:c>
      <x:c r="F2590" s="43" t="n">
        <x:v>1600.9234331038085</x:v>
      </x:c>
      <x:c r="G2590" s="43" t="n">
        <x:v>7470.91233583136</x:v>
      </x:c>
      <x:c r="H2590" s="43" t="n">
        <x:v>299112.767200583</x:v>
      </x:c>
      <x:c r="I2590" s="43" t="n">
        <x:v>339183</x:v>
      </x:c>
      <x:c r="J2590" s="43" t="n">
        <x:v>28763</x:v>
      </x:c>
      <x:c r="K2590" s="43" t="n">
        <x:v>3178.1270529491485</x:v>
      </x:c>
      <x:c r="L2590" s="43" t="n">
        <x:v>1577.2036198453402</x:v>
      </x:c>
    </x:row>
    <x:row r="2591" ht="15" hidden="0" customHeight="1">
      <x:c r="A2591" s="29" t="str">
        <x:v>24021</x:v>
      </x:c>
      <x:c r="B2591" s="29" t="str">
        <x:v>SCA-28</x:v>
      </x:c>
      <x:c r="C2591" s="44" t="n">
        <x:v>302883</x:v>
      </x:c>
      <x:c r="D2591" s="44" t="n">
        <x:v>2610.790383401228</x:v>
      </x:c>
      <x:c r="E2591" s="44" t="n">
        <x:v>28857.16918290569</x:v>
      </x:c>
      <x:c r="F2591" s="44" t="n">
        <x:v>1429.5896085263141</x:v>
      </x:c>
      <x:c r="G2591" s="44" t="n">
        <x:v>7091.195611587831</x:v>
      </x:c>
      <x:c r="H2591" s="44" t="n">
        <x:v>262894.25521357893</x:v>
      </x:c>
      <x:c r="I2591" s="44" t="n">
        <x:v>302883</x:v>
      </x:c>
      <x:c r="J2591" s="44" t="n">
        <x:v>28174</x:v>
      </x:c>
      <x:c r="K2591" s="44" t="n">
        <x:v>2837.997942639805</x:v>
      </x:c>
      <x:c r="L2591" s="44" t="n">
        <x:v>1408.4083341134908</x:v>
      </x:c>
    </x:row>
    <x:row r="2592" ht="15" hidden="0" customHeight="1">
      <x:c r="A2592" s="27" t="str">
        <x:v>42041</x:v>
      </x:c>
      <x:c r="B2592" s="27" t="str">
        <x:v>SCA-28</x:v>
      </x:c>
      <x:c r="C2592" s="43" t="n">
        <x:v>277270</x:v>
      </x:c>
      <x:c r="D2592" s="43" t="n">
        <x:v>3387.361155235459</x:v>
      </x:c>
      <x:c r="E2592" s="43" t="n">
        <x:v>34804.4896354528</x:v>
      </x:c>
      <x:c r="F2592" s="43" t="n">
        <x:v>1807.7465954774534</x:v>
      </x:c>
      <x:c r="G2592" s="43" t="n">
        <x:v>7613.709441169968</x:v>
      </x:c>
      <x:c r="H2592" s="43" t="n">
        <x:v>229656.69317266432</x:v>
      </x:c>
      <x:c r="I2592" s="43" t="n">
        <x:v>277270</x:v>
      </x:c>
      <x:c r="J2592" s="43" t="n">
        <x:v>34297</x:v>
      </x:c>
      <x:c r="K2592" s="43" t="n">
        <x:v>3744.9206825690458</x:v>
      </x:c>
      <x:c r="L2592" s="43" t="n">
        <x:v>1937.1740870915921</x:v>
      </x:c>
    </x:row>
    <x:row r="2593" ht="15" hidden="0" customHeight="1">
      <x:c r="A2593" s="29" t="str">
        <x:v>42049</x:v>
      </x:c>
      <x:c r="B2593" s="29" t="str">
        <x:v>SCA-28</x:v>
      </x:c>
      <x:c r="C2593" s="44" t="n">
        <x:v>265832</x:v>
      </x:c>
      <x:c r="D2593" s="44" t="n">
        <x:v>3577.3478237752242</x:v>
      </x:c>
      <x:c r="E2593" s="44" t="n">
        <x:v>41282.07472962161</x:v>
      </x:c>
      <x:c r="F2593" s="44" t="n">
        <x:v>1733.1730550328652</x:v>
      </x:c>
      <x:c r="G2593" s="44" t="n">
        <x:v>15541.725757707896</x:v>
      </x:c>
      <x:c r="H2593" s="44" t="n">
        <x:v>203697.6786338624</x:v>
      </x:c>
      <x:c r="I2593" s="44" t="n">
        <x:v>265832</x:v>
      </x:c>
      <x:c r="J2593" s="44" t="n">
        <x:v>42661</x:v>
      </x:c>
      <x:c r="K2593" s="44" t="n">
        <x:v>3590.4344317405225</x:v>
      </x:c>
      <x:c r="L2593" s="44" t="n">
        <x:v>1857.2613767076573</x:v>
      </x:c>
    </x:row>
    <x:row r="2594" ht="15" hidden="0" customHeight="1">
      <x:c r="A2594" s="27" t="str">
        <x:v>51013</x:v>
      </x:c>
      <x:c r="B2594" s="27" t="str">
        <x:v>SCA-28</x:v>
      </x:c>
      <x:c r="C2594" s="43" t="n">
        <x:v>243931</x:v>
      </x:c>
      <x:c r="D2594" s="43" t="n">
        <x:v>1670.7959095003578</x:v>
      </x:c>
      <x:c r="E2594" s="43" t="n">
        <x:v>15766.892317568236</x:v>
      </x:c>
      <x:c r="F2594" s="43" t="n">
        <x:v>1701.6552045508588</x:v>
      </x:c>
      <x:c r="G2594" s="43" t="n">
        <x:v>23595.621240816396</x:v>
      </x:c>
      <x:c r="H2594" s="43" t="n">
        <x:v>201196.03532756417</x:v>
      </x:c>
      <x:c r="I2594" s="43" t="n">
        <x:v>243931</x:v>
      </x:c>
      <x:c r="J2594" s="43" t="n">
        <x:v>15607</x:v>
      </x:c>
      <x:c r="K2594" s="43" t="n">
        <x:v>2715.497267485873</x:v>
      </x:c>
      <x:c r="L2594" s="43" t="n">
        <x:v>1013.8420629350145</x:v>
      </x:c>
    </x:row>
    <x:row r="2595" ht="15" hidden="0" customHeight="1">
      <x:c r="A2595" s="29" t="str">
        <x:v>39085</x:v>
      </x:c>
      <x:c r="B2595" s="29" t="str">
        <x:v>SCA-28</x:v>
      </x:c>
      <x:c r="C2595" s="44" t="n">
        <x:v>232217</x:v>
      </x:c>
      <x:c r="D2595" s="44" t="n">
        <x:v>2970.2826381547893</x:v>
      </x:c>
      <x:c r="E2595" s="44" t="n">
        <x:v>31106.88529218579</x:v>
      </x:c>
      <x:c r="F2595" s="44" t="n">
        <x:v>1357.3641549790507</x:v>
      </x:c>
      <x:c r="G2595" s="44" t="n">
        <x:v>6379.468148881823</x:v>
      </x:c>
      <x:c r="H2595" s="44" t="n">
        <x:v>190402.99976579857</x:v>
      </x:c>
      <x:c r="I2595" s="44" t="n">
        <x:v>232217</x:v>
      </x:c>
      <x:c r="J2595" s="44" t="n">
        <x:v>32121</x:v>
      </x:c>
      <x:c r="K2595" s="44" t="n">
        <x:v>3031.526572626098</x:v>
      </x:c>
      <x:c r="L2595" s="44" t="n">
        <x:v>1674.1624176470475</x:v>
      </x:c>
    </x:row>
    <x:row r="2596" ht="15" hidden="0" customHeight="1">
      <x:c r="A2596" s="27" t="str">
        <x:v>39099</x:v>
      </x:c>
      <x:c r="B2596" s="27" t="str">
        <x:v>SCA-28</x:v>
      </x:c>
      <x:c r="C2596" s="43" t="n">
        <x:v>224706</x:v>
      </x:c>
      <x:c r="D2596" s="43" t="n">
        <x:v>3151.8695036154418</x:v>
      </x:c>
      <x:c r="E2596" s="43" t="n">
        <x:v>36764.57867955607</x:v>
      </x:c>
      <x:c r="F2596" s="43" t="n">
        <x:v>1313.4605554663208</x:v>
      </x:c>
      <x:c r="G2596" s="43" t="n">
        <x:v>10506.93052817757</x:v>
      </x:c>
      <x:c r="H2596" s="43" t="n">
        <x:v>172969.16073318457</x:v>
      </x:c>
      <x:c r="I2596" s="43" t="n">
        <x:v>224706</x:v>
      </x:c>
      <x:c r="J2596" s="43" t="n">
        <x:v>37869</x:v>
      </x:c>
      <x:c r="K2596" s="43" t="n">
        <x:v>2933.4726141002598</x:v>
      </x:c>
      <x:c r="L2596" s="43" t="n">
        <x:v>1620.012058633939</x:v>
      </x:c>
    </x:row>
    <x:row r="2597" ht="15" hidden="0" customHeight="1">
      <x:c r="A2597" s="29" t="str">
        <x:v>42125</x:v>
      </x:c>
      <x:c r="B2597" s="29" t="str">
        <x:v>SCA-28</x:v>
      </x:c>
      <x:c r="C2597" s="44" t="n">
        <x:v>210802</x:v>
      </x:c>
      <x:c r="D2597" s="44" t="n">
        <x:v>2730.976702083011</x:v>
      </x:c>
      <x:c r="E2597" s="44" t="n">
        <x:v>30196.50780361161</x:v>
      </x:c>
      <x:c r="F2597" s="44" t="n">
        <x:v>1374.3881336597474</x:v>
      </x:c>
      <x:c r="G2597" s="44" t="n">
        <x:v>8241.134637204563</x:v>
      </x:c>
      <x:c r="H2597" s="44" t="n">
        <x:v>168258.99272344107</x:v>
      </x:c>
      <x:c r="I2597" s="44" t="n">
        <x:v>210802</x:v>
      </x:c>
      <x:c r="J2597" s="44" t="n">
        <x:v>31036</x:v>
      </x:c>
      <x:c r="K2597" s="44" t="n">
        <x:v>2847.1770105922747</x:v>
      </x:c>
      <x:c r="L2597" s="44" t="n">
        <x:v>1472.7888769325273</x:v>
      </x:c>
    </x:row>
    <x:row r="2598" ht="15" hidden="0" customHeight="1">
      <x:c r="A2598" s="27" t="str">
        <x:v>36063</x:v>
      </x:c>
      <x:c r="B2598" s="27" t="str">
        <x:v>SCA-28</x:v>
      </x:c>
      <x:c r="C2598" s="43" t="n">
        <x:v>208912</x:v>
      </x:c>
      <x:c r="D2598" s="43" t="n">
        <x:v>2419.302665105642</x:v>
      </x:c>
      <x:c r="E2598" s="43" t="n">
        <x:v>31468.831520578613</x:v>
      </x:c>
      <x:c r="F2598" s="43" t="n">
        <x:v>698.9983303753315</x:v>
      </x:c>
      <x:c r="G2598" s="43" t="n">
        <x:v>13199.86474657023</x:v>
      </x:c>
      <x:c r="H2598" s="43" t="n">
        <x:v>161125.00273737017</x:v>
      </x:c>
      <x:c r="I2598" s="43" t="n">
        <x:v>208912</x:v>
      </x:c>
      <x:c r="J2598" s="43" t="n">
        <x:v>32802</x:v>
      </x:c>
      <x:c r="K2598" s="43" t="n">
        <x:v>1807.0996821235312</x:v>
      </x:c>
      <x:c r="L2598" s="43" t="n">
        <x:v>1108.1013517481997</x:v>
      </x:c>
    </x:row>
    <x:row r="2599" ht="15" hidden="0" customHeight="1">
      <x:c r="A2599" s="29" t="str">
        <x:v>42019</x:v>
      </x:c>
      <x:c r="B2599" s="29" t="str">
        <x:v>SCA-28</x:v>
      </x:c>
      <x:c r="C2599" s="44" t="n">
        <x:v>200169</x:v>
      </x:c>
      <x:c r="D2599" s="44" t="n">
        <x:v>2446.735494782915</x:v>
      </x:c>
      <x:c r="E2599" s="44" t="n">
        <x:v>25157.64280010865</x:v>
      </x:c>
      <x:c r="F2599" s="44" t="n">
        <x:v>1305.0630370040985</x:v>
      </x:c>
      <x:c r="G2599" s="44" t="n">
        <x:v>5182.765955484033</x:v>
      </x:c>
      <x:c r="H2599" s="44" t="n">
        <x:v>166076.7927126203</x:v>
      </x:c>
      <x:c r="I2599" s="44" t="n">
        <x:v>200169</x:v>
      </x:c>
      <x:c r="J2599" s="44" t="n">
        <x:v>25545</x:v>
      </x:c>
      <x:c r="K2599" s="44" t="n">
        <x:v>2703.5634151158197</x:v>
      </x:c>
      <x:c r="L2599" s="44" t="n">
        <x:v>1398.5003781117211</x:v>
      </x:c>
    </x:row>
    <x:row r="2600" ht="15" hidden="0" customHeight="1">
      <x:c r="A2600" s="27" t="str">
        <x:v>39155</x:v>
      </x:c>
      <x:c r="B2600" s="27" t="str">
        <x:v>SCA-28</x:v>
      </x:c>
      <x:c r="C2600" s="43" t="n">
        <x:v>198972</x:v>
      </x:c>
      <x:c r="D2600" s="43" t="n">
        <x:v>2837.859091703472</x:v>
      </x:c>
      <x:c r="E2600" s="43" t="n">
        <x:v>33681.01527113383</x:v>
      </x:c>
      <x:c r="F2600" s="43" t="n">
        <x:v>1163.0391428900198</x:v>
      </x:c>
      <x:c r="G2600" s="43" t="n">
        <x:v>11010.019855760454</x:v>
      </x:c>
      <x:c r="H2600" s="43" t="n">
        <x:v>150280.06663851222</x:v>
      </x:c>
      <x:c r="I2600" s="43" t="n">
        <x:v>198972</x:v>
      </x:c>
      <x:c r="J2600" s="43" t="n">
        <x:v>34767</x:v>
      </x:c>
      <x:c r="K2600" s="43" t="n">
        <x:v>2597.522598296249</x:v>
      </x:c>
      <x:c r="L2600" s="43" t="n">
        <x:v>1434.483455406229</x:v>
      </x:c>
    </x:row>
    <x:row r="2601" ht="15" hidden="0" customHeight="1">
      <x:c r="A2601" s="29" t="str">
        <x:v>39089</x:v>
      </x:c>
      <x:c r="B2601" s="29" t="str">
        <x:v>SCA-28</x:v>
      </x:c>
      <x:c r="C2601" s="44" t="n">
        <x:v>185564</x:v>
      </x:c>
      <x:c r="D2601" s="44" t="n">
        <x:v>2471.9849111251247</x:v>
      </x:c>
      <x:c r="E2601" s="44" t="n">
        <x:v>27219.985986054726</x:v>
      </x:c>
      <x:c r="F2601" s="44" t="n">
        <x:v>1084.6661616269805</x:v>
      </x:c>
      <x:c r="G2601" s="44" t="n">
        <x:v>4688.405609122578</x:v>
      </x:c>
      <x:c r="H2601" s="44" t="n">
        <x:v>150098.9573320706</x:v>
      </x:c>
      <x:c r="I2601" s="44" t="n">
        <x:v>185564</x:v>
      </x:c>
      <x:c r="J2601" s="44" t="n">
        <x:v>27590</x:v>
      </x:c>
      <x:c r="K2601" s="44" t="n">
        <x:v>2422.4849899998244</x:v>
      </x:c>
      <x:c r="L2601" s="44" t="n">
        <x:v>1337.8188283728439</x:v>
      </x:c>
    </x:row>
    <x:row r="2602" ht="15" hidden="0" customHeight="1">
      <x:c r="A2602" s="27" t="str">
        <x:v>39103</x:v>
      </x:c>
      <x:c r="B2602" s="27" t="str">
        <x:v>SCA-28</x:v>
      </x:c>
      <x:c r="C2602" s="43" t="n">
        <x:v>185025</x:v>
      </x:c>
      <x:c r="D2602" s="43" t="n">
        <x:v>2300.8263716254532</x:v>
      </x:c>
      <x:c r="E2602" s="43" t="n">
        <x:v>23205.442793380636</x:v>
      </x:c>
      <x:c r="F2602" s="43" t="n">
        <x:v>1081.5155771325908</x:v>
      </x:c>
      <x:c r="G2602" s="43" t="n">
        <x:v>3824.733383048022</x:v>
      </x:c>
      <x:c r="H2602" s="43" t="n">
        <x:v>154612.4818748133</x:v>
      </x:c>
      <x:c r="I2602" s="43" t="n">
        <x:v>185025</x:v>
      </x:c>
      <x:c r="J2602" s="43" t="n">
        <x:v>23826</x:v>
      </x:c>
      <x:c r="K2602" s="43" t="n">
        <x:v>2415.448499033851</x:v>
      </x:c>
      <x:c r="L2602" s="43" t="n">
        <x:v>1333.9329219012602</x:v>
      </x:c>
    </x:row>
    <x:row r="2603" ht="15" hidden="0" customHeight="1">
      <x:c r="A2603" s="29" t="str">
        <x:v>24013</x:v>
      </x:c>
      <x:c r="B2603" s="29" t="str">
        <x:v>SCA-28</x:v>
      </x:c>
      <x:c r="C2603" s="44" t="n">
        <x:v>176677</x:v>
      </x:c>
      <x:c r="D2603" s="44" t="n">
        <x:v>1699.6826192745586</x:v>
      </x:c>
      <x:c r="E2603" s="44" t="n">
        <x:v>21075.196285897873</x:v>
      </x:c>
      <x:c r="F2603" s="44" t="n">
        <x:v>833.9048519250126</x:v>
      </x:c>
      <x:c r="G2603" s="44" t="n">
        <x:v>3180.699080157687</x:v>
      </x:c>
      <x:c r="H2603" s="44" t="n">
        <x:v>149887.5171627449</x:v>
      </x:c>
      <x:c r="I2603" s="44" t="n">
        <x:v>176677</x:v>
      </x:c>
      <x:c r="J2603" s="44" t="n">
        <x:v>21465</x:v>
      </x:c>
      <x:c r="K2603" s="44" t="n">
        <x:v>1655.454292620493</x:v>
      </x:c>
      <x:c r="L2603" s="44" t="n">
        <x:v>821.5494406954805</x:v>
      </x:c>
    </x:row>
    <x:row r="2604" ht="15" hidden="0" customHeight="1">
      <x:c r="A2604" s="27" t="str">
        <x:v>24017</x:v>
      </x:c>
      <x:c r="B2604" s="27" t="str">
        <x:v>SCA-28</x:v>
      </x:c>
      <x:c r="C2604" s="43" t="n">
        <x:v>176593</x:v>
      </x:c>
      <x:c r="D2604" s="43" t="n">
        <x:v>1615.587768744143</x:v>
      </x:c>
      <x:c r="E2604" s="43" t="n">
        <x:v>19066.294289036643</x:v>
      </x:c>
      <x:c r="F2604" s="43" t="n">
        <x:v>833.5083769590483</x:v>
      </x:c>
      <x:c r="G2604" s="43" t="n">
        <x:v>4306.758326127791</x:v>
      </x:c>
      <x:c r="H2604" s="43" t="n">
        <x:v>150770.85123913237</x:v>
      </x:c>
      <x:c r="I2604" s="43" t="n">
        <x:v>176593</x:v>
      </x:c>
      <x:c r="J2604" s="43" t="n">
        <x:v>18860</x:v>
      </x:c>
      <x:c r="K2604" s="43" t="n">
        <x:v>1654.667216993331</x:v>
      </x:c>
      <x:c r="L2604" s="43" t="n">
        <x:v>821.1588400342828</x:v>
      </x:c>
    </x:row>
    <x:row r="2605" ht="15" hidden="0" customHeight="1">
      <x:c r="A2605" s="29" t="str">
        <x:v>54039</x:v>
      </x:c>
      <x:c r="B2605" s="29" t="str">
        <x:v>SCA-28</x:v>
      </x:c>
      <x:c r="C2605" s="44" t="n">
        <x:v>172381</x:v>
      </x:c>
      <x:c r="D2605" s="44" t="n">
        <x:v>2365.745512150312</x:v>
      </x:c>
      <x:c r="E2605" s="44" t="n">
        <x:v>32439.465804025862</x:v>
      </x:c>
      <x:c r="F2605" s="44" t="n">
        <x:v>2015.4072019761884</x:v>
      </x:c>
      <x:c r="G2605" s="44" t="n">
        <x:v>8957.479403571919</x:v>
      </x:c>
      <x:c r="H2605" s="44" t="n">
        <x:v>126602.90207827571</x:v>
      </x:c>
      <x:c r="I2605" s="44" t="n">
        <x:v>172381</x:v>
      </x:c>
      <x:c r="J2605" s="44" t="n">
        <x:v>34201</x:v>
      </x:c>
      <x:c r="K2605" s="44" t="n">
        <x:v>3029.508305625423</x:v>
      </x:c>
      <x:c r="L2605" s="44" t="n">
        <x:v>1014.1011036492343</x:v>
      </x:c>
    </x:row>
    <x:row r="2606" ht="15" hidden="0" customHeight="1">
      <x:c r="A2606" s="27" t="str">
        <x:v>39045</x:v>
      </x:c>
      <x:c r="B2606" s="27" t="str">
        <x:v>SCA-28</x:v>
      </x:c>
      <x:c r="C2606" s="43" t="n">
        <x:v>169752</x:v>
      </x:c>
      <x:c r="D2606" s="43" t="n">
        <x:v>2163.4880395402847</x:v>
      </x:c>
      <x:c r="E2606" s="43" t="n">
        <x:v>22551.96992718067</x:v>
      </x:c>
      <x:c r="F2606" s="43" t="n">
        <x:v>992.2412228045482</x:v>
      </x:c>
      <x:c r="G2606" s="43" t="n">
        <x:v>3850.974950776635</x:v>
      </x:c>
      <x:c r="H2606" s="43" t="n">
        <x:v>140193.32585969786</x:v>
      </x:c>
      <x:c r="I2606" s="43" t="n">
        <x:v>169752</x:v>
      </x:c>
      <x:c r="J2606" s="43" t="n">
        <x:v>22140</x:v>
      </x:c>
      <x:c r="K2606" s="43" t="n">
        <x:v>2216.063848712305</x:v>
      </x:c>
      <x:c r="L2606" s="43" t="n">
        <x:v>1223.822625907757</x:v>
      </x:c>
    </x:row>
    <x:row r="2607" ht="15" hidden="0" customHeight="1">
      <x:c r="A2607" s="29" t="str">
        <x:v>42007</x:v>
      </x:c>
      <x:c r="B2607" s="29" t="str">
        <x:v>SCA-28</x:v>
      </x:c>
      <x:c r="C2607" s="44" t="n">
        <x:v>166032</x:v>
      </x:c>
      <x:c r="D2607" s="44" t="n">
        <x:v>2159.422611890851</x:v>
      </x:c>
      <x:c r="E2607" s="44" t="n">
        <x:v>23986.16968912482</x:v>
      </x:c>
      <x:c r="F2607" s="44" t="n">
        <x:v>1082.4964213233043</x:v>
      </x:c>
      <x:c r="G2607" s="44" t="n">
        <x:v>6841.5560575209975</x:v>
      </x:c>
      <x:c r="H2607" s="44" t="n">
        <x:v>131962.35522014002</x:v>
      </x:c>
      <x:c r="I2607" s="44" t="n">
        <x:v>166032</x:v>
      </x:c>
      <x:c r="J2607" s="44" t="n">
        <x:v>24833</x:v>
      </x:c>
      <x:c r="K2607" s="44" t="n">
        <x:v>2242.4952961672875</x:v>
      </x:c>
      <x:c r="L2607" s="44" t="n">
        <x:v>1159.9988748439832</x:v>
      </x:c>
    </x:row>
    <x:row r="2608" ht="15" hidden="0" customHeight="1">
      <x:c r="A2608" s="27" t="str">
        <x:v>39133</x:v>
      </x:c>
      <x:c r="B2608" s="27" t="str">
        <x:v>SCA-28</x:v>
      </x:c>
      <x:c r="C2608" s="43" t="n">
        <x:v>163404</x:v>
      </x:c>
      <x:c r="D2608" s="43" t="n">
        <x:v>2059.7346059771144</x:v>
      </x:c>
      <x:c r="E2608" s="43" t="n">
        <x:v>21160.265300437724</x:v>
      </x:c>
      <x:c r="F2608" s="43" t="n">
        <x:v>955.135637701791</x:v>
      </x:c>
      <x:c r="G2608" s="43" t="n">
        <x:v>5285.8079859729405</x:v>
      </x:c>
      <x:c r="H2608" s="43" t="n">
        <x:v>133943.05646991043</x:v>
      </x:c>
      <x:c r="I2608" s="43" t="n">
        <x:v>163404</x:v>
      </x:c>
      <x:c r="J2608" s="43" t="n">
        <x:v>21695</x:v>
      </x:c>
      <x:c r="K2608" s="43" t="n">
        <x:v>2133.1925228273335</x:v>
      </x:c>
      <x:c r="L2608" s="43" t="n">
        <x:v>1178.0568851255425</x:v>
      </x:c>
    </x:row>
    <x:row r="2609" ht="15" hidden="0" customHeight="1">
      <x:c r="A2609" s="29" t="str">
        <x:v>51510</x:v>
      </x:c>
      <x:c r="B2609" s="29" t="str">
        <x:v>SCA-28</x:v>
      </x:c>
      <x:c r="C2609" s="44" t="n">
        <x:v>160662</x:v>
      </x:c>
      <x:c r="D2609" s="44" t="n">
        <x:v>1146.3435610898168</x:v>
      </x:c>
      <x:c r="E2609" s="44" t="n">
        <x:v>11486.150200009166</x:v>
      </x:c>
      <x:c r="F2609" s="44" t="n">
        <x:v>1120.7732041993436</x:v>
      </x:c>
      <x:c r="G2609" s="44" t="n">
        <x:v>12666.783080075684</x:v>
      </x:c>
      <x:c r="H2609" s="44" t="n">
        <x:v>134241.949954626</x:v>
      </x:c>
      <x:c r="I2609" s="44" t="n">
        <x:v>160662</x:v>
      </x:c>
      <x:c r="J2609" s="44" t="n">
        <x:v>11375</x:v>
      </x:c>
      <x:c r="K2609" s="44" t="n">
        <x:v>1788.5271736221118</x:v>
      </x:c>
      <x:c r="L2609" s="44" t="n">
        <x:v>667.7539694227683</x:v>
      </x:c>
    </x:row>
    <x:row r="2610" ht="15" hidden="0" customHeight="1">
      <x:c r="A2610" s="27" t="str">
        <x:v>42055</x:v>
      </x:c>
      <x:c r="B2610" s="27" t="str">
        <x:v>SCA-28</x:v>
      </x:c>
      <x:c r="C2610" s="43" t="n">
        <x:v>160652</x:v>
      </x:c>
      <x:c r="D2610" s="43" t="n">
        <x:v>2152.291606295606</x:v>
      </x:c>
      <x:c r="E2610" s="43" t="n">
        <x:v>24717.135116368387</x:v>
      </x:c>
      <x:c r="F2610" s="43" t="n">
        <x:v>1047.4198653177186</x:v>
      </x:c>
      <x:c r="G2610" s="43" t="n">
        <x:v>4052.1375489668944</x:v>
      </x:c>
      <x:c r="H2610" s="43" t="n">
        <x:v>128683.0158630514</x:v>
      </x:c>
      <x:c r="I2610" s="43" t="n">
        <x:v>160652</x:v>
      </x:c>
      <x:c r="J2610" s="43" t="n">
        <x:v>25038</x:v>
      </x:c>
      <x:c r="K2610" s="43" t="n">
        <x:v>2169.830841764642</x:v>
      </x:c>
      <x:c r="L2610" s="43" t="n">
        <x:v>1122.4109764469235</x:v>
      </x:c>
    </x:row>
    <x:row r="2611" ht="15" hidden="0" customHeight="1">
      <x:c r="A2611" s="29" t="str">
        <x:v>24043</x:v>
      </x:c>
      <x:c r="B2611" s="29" t="str">
        <x:v>SCA-28</x:v>
      </x:c>
      <x:c r="C2611" s="44" t="n">
        <x:v>157731</x:v>
      </x:c>
      <x:c r="D2611" s="44" t="n">
        <x:v>1698.5651581880045</x:v>
      </x:c>
      <x:c r="E2611" s="44" t="n">
        <x:v>23162.754398978013</x:v>
      </x:c>
      <x:c r="F2611" s="44" t="n">
        <x:v>744.4808673397453</x:v>
      </x:c>
      <x:c r="G2611" s="44" t="n">
        <x:v>6711.877872655147</x:v>
      </x:c>
      <x:c r="H2611" s="44" t="n">
        <x:v>125413.3217028391</x:v>
      </x:c>
      <x:c r="I2611" s="44" t="n">
        <x:v>157731</x:v>
      </x:c>
      <x:c r="J2611" s="44" t="n">
        <x:v>22751</x:v>
      </x:c>
      <x:c r="K2611" s="44" t="n">
        <x:v>1477.931258903666</x:v>
      </x:c>
      <x:c r="L2611" s="44" t="n">
        <x:v>733.4503915639208</x:v>
      </x:c>
    </x:row>
    <x:row r="2612" ht="15" hidden="0" customHeight="1">
      <x:c r="A2612" s="27" t="str">
        <x:v>42027</x:v>
      </x:c>
      <x:c r="B2612" s="27" t="str">
        <x:v>SCA-28</x:v>
      </x:c>
      <x:c r="C2612" s="43" t="n">
        <x:v>157393</x:v>
      </x:c>
      <x:c r="D2612" s="43" t="n">
        <x:v>1813.6214370924904</x:v>
      </x:c>
      <x:c r="E2612" s="43" t="n">
        <x:v>17135.514821483284</x:v>
      </x:c>
      <x:c r="F2612" s="43" t="n">
        <x:v>1026.1718177299488</x:v>
      </x:c>
      <x:c r="G2612" s="43" t="n">
        <x:v>9650.119665195594</x:v>
      </x:c>
      <x:c r="H2612" s="43" t="n">
        <x:v>127767.57225849868</x:v>
      </x:c>
      <x:c r="I2612" s="43" t="n">
        <x:v>157393</x:v>
      </x:c>
      <x:c r="J2612" s="43" t="n">
        <x:v>17397</x:v>
      </x:c>
      <x:c r="K2612" s="43" t="n">
        <x:v>2125.813470593969</x:v>
      </x:c>
      <x:c r="L2612" s="43" t="n">
        <x:v>1099.6416528640204</x:v>
      </x:c>
    </x:row>
    <x:row r="2613" ht="15" hidden="0" customHeight="1">
      <x:c r="A2613" s="29" t="str">
        <x:v>54003</x:v>
      </x:c>
      <x:c r="B2613" s="29" t="str">
        <x:v>SCA-28</x:v>
      </x:c>
      <x:c r="C2613" s="44" t="n">
        <x:v>139522</x:v>
      </x:c>
      <x:c r="D2613" s="44" t="n">
        <x:v>1617.932753142706</x:v>
      </x:c>
      <x:c r="E2613" s="44" t="n">
        <x:v>19131.312857376754</x:v>
      </x:c>
      <x:c r="F2613" s="44" t="n">
        <x:v>1631.2333936693822</x:v>
      </x:c>
      <x:c r="G2613" s="44" t="n">
        <x:v>3357.520189301502</x:v>
      </x:c>
      <x:c r="H2613" s="44" t="n">
        <x:v>113784.00080650965</x:v>
      </x:c>
      <x:c r="I2613" s="44" t="n">
        <x:v>139522</x:v>
      </x:c>
      <x:c r="J2613" s="44" t="n">
        <x:v>18320</x:v>
      </x:c>
      <x:c r="K2613" s="44" t="n">
        <x:v>2452.0281110880564</x:v>
      </x:c>
      <x:c r="L2613" s="44" t="n">
        <x:v>820.7947174186742</x:v>
      </x:c>
    </x:row>
    <x:row r="2614" ht="15" hidden="0" customHeight="1">
      <x:c r="A2614" s="27" t="str">
        <x:v>42021</x:v>
      </x:c>
      <x:c r="B2614" s="27" t="str">
        <x:v>SCA-28</x:v>
      </x:c>
      <x:c r="C2614" s="43" t="n">
        <x:v>128968</x:v>
      </x:c>
      <x:c r="D2614" s="43" t="n">
        <x:v>1827.5504768455585</x:v>
      </x:c>
      <x:c r="E2614" s="43" t="n">
        <x:v>22236.06907787553</x:v>
      </x:c>
      <x:c r="F2614" s="43" t="n">
        <x:v>840.8463336298058</x:v>
      </x:c>
      <x:c r="G2614" s="43" t="n">
        <x:v>6993.915343915343</x:v>
      </x:c>
      <x:c r="H2614" s="43" t="n">
        <x:v>97069.61876773376</x:v>
      </x:c>
      <x:c r="I2614" s="43" t="n">
        <x:v>128968</x:v>
      </x:c>
      <x:c r="J2614" s="43" t="n">
        <x:v>23150</x:v>
      </x:c>
      <x:c r="K2614" s="43" t="n">
        <x:v>1741.8939322305505</x:v>
      </x:c>
      <x:c r="L2614" s="43" t="n">
        <x:v>901.0475986007447</x:v>
      </x:c>
    </x:row>
    <x:row r="2615" ht="15" hidden="0" customHeight="1">
      <x:c r="A2615" s="29" t="str">
        <x:v>36013</x:v>
      </x:c>
      <x:c r="B2615" s="29" t="str">
        <x:v>SCA-28</x:v>
      </x:c>
      <x:c r="C2615" s="44" t="n">
        <x:v>124126</x:v>
      </x:c>
      <x:c r="D2615" s="44" t="n">
        <x:v>1542.1404378180293</x:v>
      </x:c>
      <x:c r="E2615" s="44" t="n">
        <x:v>21210.169421575756</x:v>
      </x:c>
      <x:c r="F2615" s="44" t="n">
        <x:v>415.3129870767041</x:v>
      </x:c>
      <x:c r="G2615" s="44" t="n">
        <x:v>8913.40081212121</x:v>
      </x:c>
      <x:c r="H2615" s="44" t="n">
        <x:v>92044.9763414083</x:v>
      </x:c>
      <x:c r="I2615" s="44" t="n">
        <x:v>124126</x:v>
      </x:c>
      <x:c r="J2615" s="44" t="n">
        <x:v>22027</x:v>
      </x:c>
      <x:c r="K2615" s="44" t="n">
        <x:v>1073.6963656624102</x:v>
      </x:c>
      <x:c r="L2615" s="44" t="n">
        <x:v>658.3833785857062</x:v>
      </x:c>
    </x:row>
    <x:row r="2616" ht="15" hidden="0" customHeight="1">
      <x:c r="A2616" s="27" t="str">
        <x:v>42051</x:v>
      </x:c>
      <x:c r="B2616" s="27" t="str">
        <x:v>SCA-28</x:v>
      </x:c>
      <x:c r="C2616" s="43" t="n">
        <x:v>123021</x:v>
      </x:c>
      <x:c r="D2616" s="43" t="n">
        <x:v>1869.6610413309859</x:v>
      </x:c>
      <x:c r="E2616" s="43" t="n">
        <x:v>24243.905815565857</x:v>
      </x:c>
      <x:c r="F2616" s="43" t="n">
        <x:v>802.0730476511409</x:v>
      </x:c>
      <x:c r="G2616" s="43" t="n">
        <x:v>6198.001140594576</x:v>
      </x:c>
      <x:c r="H2616" s="43" t="n">
        <x:v>89907.35895485744</x:v>
      </x:c>
      <x:c r="I2616" s="43" t="n">
        <x:v>123021</x:v>
      </x:c>
      <x:c r="J2616" s="43" t="n">
        <x:v>25197</x:v>
      </x:c>
      <x:c r="K2616" s="43" t="n">
        <x:v>1661.5713466668828</x:v>
      </x:c>
      <x:c r="L2616" s="43" t="n">
        <x:v>859.498299015742</x:v>
      </x:c>
    </x:row>
    <x:row r="2617" ht="15" hidden="0" customHeight="1">
      <x:c r="A2617" s="29" t="str">
        <x:v>42013</x:v>
      </x:c>
      <x:c r="B2617" s="29" t="str">
        <x:v>SCA-28</x:v>
      </x:c>
      <x:c r="C2617" s="44" t="n">
        <x:v>119541</x:v>
      </x:c>
      <x:c r="D2617" s="44" t="n">
        <x:v>1596.207135178613</x:v>
      </x:c>
      <x:c r="E2617" s="44" t="n">
        <x:v>18264.532750831288</x:v>
      </x:c>
      <x:c r="F2617" s="44" t="n">
        <x:v>779.3841229486433</x:v>
      </x:c>
      <x:c r="G2617" s="44" t="n">
        <x:v>5353.65973717052</x:v>
      </x:c>
      <x:c r="H2617" s="44" t="n">
        <x:v>93547.21625387092</x:v>
      </x:c>
      <x:c r="I2617" s="44" t="n">
        <x:v>119541</x:v>
      </x:c>
      <x:c r="J2617" s="44" t="n">
        <x:v>19002</x:v>
      </x:c>
      <x:c r="K2617" s="44" t="n">
        <x:v>1614.5690601759525</x:v>
      </x:c>
      <x:c r="L2617" s="44" t="n">
        <x:v>835.1849372273092</x:v>
      </x:c>
    </x:row>
    <x:row r="2618" ht="15" hidden="0" customHeight="1">
      <x:c r="A2618" s="27" t="str">
        <x:v>39169</x:v>
      </x:c>
      <x:c r="B2618" s="27" t="str">
        <x:v>SCA-28</x:v>
      </x:c>
      <x:c r="C2618" s="43" t="n">
        <x:v>116758</x:v>
      </x:c>
      <x:c r="D2618" s="43" t="n">
        <x:v>1428.006385108611</x:v>
      </x:c>
      <x:c r="E2618" s="43" t="n">
        <x:v>14069.82295054702</x:v>
      </x:c>
      <x:c r="F2618" s="43" t="n">
        <x:v>682.4785610314664</x:v>
      </x:c>
      <x:c r="G2618" s="43" t="n">
        <x:v>10565.842363763937</x:v>
      </x:c>
      <x:c r="H2618" s="43" t="n">
        <x:v>90011.84973954897</x:v>
      </x:c>
      <x:c r="I2618" s="43" t="n">
        <x:v>116758</x:v>
      </x:c>
      <x:c r="J2618" s="43" t="n">
        <x:v>14491</x:v>
      </x:c>
      <x:c r="K2618" s="43" t="n">
        <x:v>1524.2423232006183</x:v>
      </x:c>
      <x:c r="L2618" s="43" t="n">
        <x:v>841.763762169152</x:v>
      </x:c>
    </x:row>
    <x:row r="2619" ht="15" hidden="0" customHeight="1">
      <x:c r="A2619" s="29" t="str">
        <x:v>36069</x:v>
      </x:c>
      <x:c r="B2619" s="29" t="str">
        <x:v>SCA-28</x:v>
      </x:c>
      <x:c r="C2619" s="44" t="n">
        <x:v>113130</x:v>
      </x:c>
      <x:c r="D2619" s="44" t="n">
        <x:v>1268.8976377035988</x:v>
      </x:c>
      <x:c r="E2619" s="44" t="n">
        <x:v>16052.129589261744</x:v>
      </x:c>
      <x:c r="F2619" s="44" t="n">
        <x:v>378.52148806847504</x:v>
      </x:c>
      <x:c r="G2619" s="44" t="n">
        <x:v>3980.185472035794</x:v>
      </x:c>
      <x:c r="H2619" s="44" t="n">
        <x:v>91450.26581293039</x:v>
      </x:c>
      <x:c r="I2619" s="44" t="n">
        <x:v>113130</x:v>
      </x:c>
      <x:c r="J2619" s="44" t="n">
        <x:v>16517</x:v>
      </x:c>
      <x:c r="K2619" s="44" t="n">
        <x:v>978.5803928861678</x:v>
      </x:c>
      <x:c r="L2619" s="44" t="n">
        <x:v>600.0589048176928</x:v>
      </x:c>
    </x:row>
    <x:row r="2620" ht="15" hidden="0" customHeight="1">
      <x:c r="A2620" s="27" t="str">
        <x:v>42081</x:v>
      </x:c>
      <x:c r="B2620" s="27" t="str">
        <x:v>SCA-28</x:v>
      </x:c>
      <x:c r="C2620" s="43" t="n">
        <x:v>112587</x:v>
      </x:c>
      <x:c r="D2620" s="43" t="n">
        <x:v>1577.826776905853</x:v>
      </x:c>
      <x:c r="E2620" s="43" t="n">
        <x:v>18989.43944798685</x:v>
      </x:c>
      <x:c r="F2620" s="43" t="n">
        <x:v>734.0453923793417</x:v>
      </x:c>
      <x:c r="G2620" s="43" t="n">
        <x:v>6447.735030075324</x:v>
      </x:c>
      <x:c r="H2620" s="43" t="n">
        <x:v>84837.95335265262</x:v>
      </x:c>
      <x:c r="I2620" s="43" t="n">
        <x:v>112587</x:v>
      </x:c>
      <x:c r="J2620" s="43" t="n">
        <x:v>19453</x:v>
      </x:c>
      <x:c r="K2620" s="43" t="n">
        <x:v>1520.645525619076</x:v>
      </x:c>
      <x:c r="L2620" s="43" t="n">
        <x:v>786.6001332397342</x:v>
      </x:c>
    </x:row>
    <x:row r="2621" ht="15" hidden="0" customHeight="1">
      <x:c r="A2621" s="29" t="str">
        <x:v>54061</x:v>
      </x:c>
      <x:c r="B2621" s="29" t="str">
        <x:v>SCA-28</x:v>
      </x:c>
      <x:c r="C2621" s="44" t="n">
        <x:v>107991</x:v>
      </x:c>
      <x:c r="D2621" s="44" t="n">
        <x:v>1184.29812589127</x:v>
      </x:c>
      <x:c r="E2621" s="44" t="n">
        <x:v>13175.935114205653</x:v>
      </x:c>
      <x:c r="F2621" s="44" t="n">
        <x:v>1262.5860109212185</x:v>
      </x:c>
      <x:c r="G2621" s="44" t="n">
        <x:v>4277.242836791109</x:v>
      </x:c>
      <x:c r="H2621" s="44" t="n">
        <x:v>88090.93791219076</x:v>
      </x:c>
      <x:c r="I2621" s="44" t="n">
        <x:v>107991</x:v>
      </x:c>
      <x:c r="J2621" s="44" t="n">
        <x:v>13471</x:v>
      </x:c>
      <x:c r="K2621" s="44" t="n">
        <x:v>1897.886840387253</x:v>
      </x:c>
      <x:c r="L2621" s="44" t="n">
        <x:v>635.3008294660344</x:v>
      </x:c>
    </x:row>
    <x:row r="2622" ht="15" hidden="0" customHeight="1">
      <x:c r="A2622" s="27" t="str">
        <x:v>42085</x:v>
      </x:c>
      <x:c r="B2622" s="27" t="str">
        <x:v>SCA-28</x:v>
      </x:c>
      <x:c r="C2622" s="43" t="n">
        <x:v>107860</x:v>
      </x:c>
      <x:c r="D2622" s="43" t="n">
        <x:v>1499.3199785009326</x:v>
      </x:c>
      <x:c r="E2622" s="43" t="n">
        <x:v>17897.891880571668</x:v>
      </x:c>
      <x:c r="F2622" s="43" t="n">
        <x:v>703.2262696584489</x:v>
      </x:c>
      <x:c r="G2622" s="43" t="n">
        <x:v>6921.174803075327</x:v>
      </x:c>
      <x:c r="H2622" s="43" t="n">
        <x:v>80838.38706819362</x:v>
      </x:c>
      <x:c r="I2622" s="43" t="n">
        <x:v>107860</x:v>
      </x:c>
      <x:c r="J2622" s="43" t="n">
        <x:v>18323</x:v>
      </x:c>
      <x:c r="K2622" s="43" t="n">
        <x:v>1456.800753135562</x:v>
      </x:c>
      <x:c r="L2622" s="43" t="n">
        <x:v>753.5744834771131</x:v>
      </x:c>
    </x:row>
    <x:row r="2623" ht="15" hidden="0" customHeight="1">
      <x:c r="A2623" s="29" t="str">
        <x:v>42001</x:v>
      </x:c>
      <x:c r="B2623" s="29" t="str">
        <x:v>SCA-28</x:v>
      </x:c>
      <x:c r="C2623" s="44" t="n">
        <x:v>107594</x:v>
      </x:c>
      <x:c r="D2623" s="44" t="n">
        <x:v>1346.836720665601</x:v>
      </x:c>
      <x:c r="E2623" s="44" t="n">
        <x:v>14282.896135528696</x:v>
      </x:c>
      <x:c r="F2623" s="44" t="n">
        <x:v>701.4920012760168</x:v>
      </x:c>
      <x:c r="G2623" s="44" t="n">
        <x:v>2523.5492386028363</x:v>
      </x:c>
      <x:c r="H2623" s="44" t="n">
        <x:v>88739.22590392685</x:v>
      </x:c>
      <x:c r="I2623" s="44" t="n">
        <x:v>107594</x:v>
      </x:c>
      <x:c r="J2623" s="44" t="n">
        <x:v>14529</x:v>
      </x:c>
      <x:c r="K2623" s="44" t="n">
        <x:v>1453.208049627922</x:v>
      </x:c>
      <x:c r="L2623" s="44" t="n">
        <x:v>751.7160483519052</x:v>
      </x:c>
    </x:row>
    <x:row r="2624" ht="15" hidden="0" customHeight="1">
      <x:c r="A2624" s="27" t="str">
        <x:v>51069</x:v>
      </x:c>
      <x:c r="B2624" s="27" t="str">
        <x:v>SCA-28</x:v>
      </x:c>
      <x:c r="C2624" s="43" t="n">
        <x:v>99955</x:v>
      </x:c>
      <x:c r="D2624" s="43" t="n">
        <x:v>896.8098389656113</x:v>
      </x:c>
      <x:c r="E2624" s="43" t="n">
        <x:v>11552.887079843184</x:v>
      </x:c>
      <x:c r="F2624" s="43" t="n">
        <x:v>697.2830266381932</x:v>
      </x:c>
      <x:c r="G2624" s="43" t="n">
        <x:v>1482.1314723965809</x:v>
      </x:c>
      <x:c r="H2624" s="43" t="n">
        <x:v>85325.88858215643</x:v>
      </x:c>
      <x:c r="I2624" s="43" t="n">
        <x:v>99955</x:v>
      </x:c>
      <x:c r="J2624" s="43" t="n">
        <x:v>11240</x:v>
      </x:c>
      <x:c r="K2624" s="43" t="n">
        <x:v>1112.7225706103384</x:v>
      </x:c>
      <x:c r="L2624" s="43" t="n">
        <x:v>415.43954397214526</x:v>
      </x:c>
    </x:row>
    <x:row r="2625" ht="15" hidden="0" customHeight="1">
      <x:c r="A2625" s="29" t="str">
        <x:v>39029</x:v>
      </x:c>
      <x:c r="B2625" s="29" t="str">
        <x:v>SCA-28</x:v>
      </x:c>
      <x:c r="C2625" s="44" t="n">
        <x:v>99377</x:v>
      </x:c>
      <x:c r="D2625" s="44" t="n">
        <x:v>1447.271739060295</x:v>
      </x:c>
      <x:c r="E2625" s="44" t="n">
        <x:v>17539.580256486362</x:v>
      </x:c>
      <x:c r="F2625" s="44" t="n">
        <x:v>580.8824402578327</x:v>
      </x:c>
      <x:c r="G2625" s="44" t="n">
        <x:v>4272.548692492708</x:v>
      </x:c>
      <x:c r="H2625" s="44" t="n">
        <x:v>75536.71687170281</x:v>
      </x:c>
      <x:c r="I2625" s="44" t="n">
        <x:v>99377</x:v>
      </x:c>
      <x:c r="J2625" s="44" t="n">
        <x:v>17963</x:v>
      </x:c>
      <x:c r="K2625" s="44" t="n">
        <x:v>1297.3383352978626</x:v>
      </x:c>
      <x:c r="L2625" s="44" t="n">
        <x:v>716.4558950400299</x:v>
      </x:c>
    </x:row>
    <x:row r="2626" ht="15" hidden="0" customHeight="1">
      <x:c r="A2626" s="27" t="str">
        <x:v>39007</x:v>
      </x:c>
      <x:c r="B2626" s="27" t="str">
        <x:v>SCA-28</x:v>
      </x:c>
      <x:c r="C2626" s="43" t="n">
        <x:v>96713</x:v>
      </x:c>
      <x:c r="D2626" s="43" t="n">
        <x:v>1360.933274186922</x:v>
      </x:c>
      <x:c r="E2626" s="43" t="n">
        <x:v>15928.402027479357</x:v>
      </x:c>
      <x:c r="F2626" s="43" t="n">
        <x:v>565.3107202336131</x:v>
      </x:c>
      <x:c r="G2626" s="43" t="n">
        <x:v>5714.164674253775</x:v>
      </x:c>
      <x:c r="H2626" s="43" t="n">
        <x:v>73144.18930384635</x:v>
      </x:c>
      <x:c r="I2626" s="43" t="n">
        <x:v>96713</x:v>
      </x:c>
      <x:c r="J2626" s="43" t="n">
        <x:v>16145</x:v>
      </x:c>
      <x:c r="K2626" s="43" t="n">
        <x:v>1262.5605766088952</x:v>
      </x:c>
      <x:c r="L2626" s="43" t="n">
        <x:v>697.2498563752821</x:v>
      </x:c>
    </x:row>
    <x:row r="2627" ht="15" hidden="0" customHeight="1">
      <x:c r="A2627" s="29" t="str">
        <x:v>39055</x:v>
      </x:c>
      <x:c r="B2627" s="29" t="str">
        <x:v>SCA-28</x:v>
      </x:c>
      <x:c r="C2627" s="44" t="n">
        <x:v>95676</x:v>
      </x:c>
      <x:c r="D2627" s="44" t="n">
        <x:v>1064.1505066074333</x:v>
      </x:c>
      <x:c r="E2627" s="44" t="n">
        <x:v>8985.044993817963</x:v>
      </x:c>
      <x:c r="F2627" s="44" t="n">
        <x:v>559.2492060950561</x:v>
      </x:c>
      <x:c r="G2627" s="44" t="n">
        <x:v>7636.918703568673</x:v>
      </x:c>
      <x:c r="H2627" s="44" t="n">
        <x:v>77430.63658991088</x:v>
      </x:c>
      <x:c r="I2627" s="44" t="n">
        <x:v>95676</x:v>
      </x:c>
      <x:c r="J2627" s="44" t="n">
        <x:v>9257</x:v>
      </x:c>
      <x:c r="K2627" s="44" t="n">
        <x:v>1249.0228379600742</x:v>
      </x:c>
      <x:c r="L2627" s="44" t="n">
        <x:v>689.773631865018</x:v>
      </x:c>
    </x:row>
    <x:row r="2628" ht="15" hidden="0" customHeight="1">
      <x:c r="A2628" s="27" t="str">
        <x:v>39157</x:v>
      </x:c>
      <x:c r="B2628" s="27" t="str">
        <x:v>SCA-28</x:v>
      </x:c>
      <x:c r="C2628" s="43" t="n">
        <x:v>92373</x:v>
      </x:c>
      <x:c r="D2628" s="43" t="n">
        <x:v>1240.3410252892547</x:v>
      </x:c>
      <x:c r="E2628" s="43" t="n">
        <x:v>13785.126862989438</x:v>
      </x:c>
      <x:c r="F2628" s="43" t="n">
        <x:v>539.9423775515137</x:v>
      </x:c>
      <x:c r="G2628" s="43" t="n">
        <x:v>4397.564843357163</x:v>
      </x:c>
      <x:c r="H2628" s="43" t="n">
        <x:v>72410.02489081262</x:v>
      </x:c>
      <x:c r="I2628" s="43" t="n">
        <x:v>92373</x:v>
      </x:c>
      <x:c r="J2628" s="43" t="n">
        <x:v>14221</x:v>
      </x:c>
      <x:c r="K2628" s="43" t="n">
        <x:v>1205.9031168828749</x:v>
      </x:c>
      <x:c r="L2628" s="43" t="n">
        <x:v>665.9607393313612</x:v>
      </x:c>
    </x:row>
    <x:row r="2629" ht="15" hidden="0" customHeight="1">
      <x:c r="A2629" s="29" t="str">
        <x:v>36101</x:v>
      </x:c>
      <x:c r="B2629" s="29" t="str">
        <x:v>SCA-28</x:v>
      </x:c>
      <x:c r="C2629" s="44" t="n">
        <x:v>91855</x:v>
      </x:c>
      <x:c r="D2629" s="44" t="n">
        <x:v>1059.2780086325936</x:v>
      </x:c>
      <x:c r="E2629" s="44" t="n">
        <x:v>13729.559356049038</x:v>
      </x:c>
      <x:c r="F2629" s="44" t="n">
        <x:v>307.3374992179773</x:v>
      </x:c>
      <x:c r="G2629" s="44" t="n">
        <x:v>5886.474717507962</x:v>
      </x:c>
      <x:c r="H2629" s="44" t="n">
        <x:v>70872.35041859244</x:v>
      </x:c>
      <x:c r="I2629" s="44" t="n">
        <x:v>91855</x:v>
      </x:c>
      <x:c r="J2629" s="44" t="n">
        <x:v>14275</x:v>
      </x:c>
      <x:c r="K2629" s="44" t="n">
        <x:v>794.5505346818611</x:v>
      </x:c>
      <x:c r="L2629" s="44" t="n">
        <x:v>487.2130354638838</x:v>
      </x:c>
    </x:row>
    <x:row r="2630" ht="15" hidden="0" customHeight="1">
      <x:c r="A2630" s="27" t="str">
        <x:v>51165</x:v>
      </x:c>
      <x:c r="B2630" s="27" t="str">
        <x:v>SCA-28</x:v>
      </x:c>
      <x:c r="C2630" s="43" t="n">
        <x:v>89316</x:v>
      </x:c>
      <x:c r="D2630" s="43" t="n">
        <x:v>844.2568704157038</x:v>
      </x:c>
      <x:c r="E2630" s="43" t="n">
        <x:v>11352.860108565386</x:v>
      </x:c>
      <x:c r="F2630" s="43" t="n">
        <x:v>623.0656876316029</x:v>
      </x:c>
      <x:c r="G2630" s="43" t="n">
        <x:v>2504.746410527552</x:v>
      </x:c>
      <x:c r="H2630" s="43" t="n">
        <x:v>73991.07092285976</x:v>
      </x:c>
      <x:c r="I2630" s="43" t="n">
        <x:v>89316</x:v>
      </x:c>
      <x:c r="J2630" s="43" t="n">
        <x:v>11269</x:v>
      </x:c>
      <x:c r="K2630" s="43" t="n">
        <x:v>994.2867201904156</x:v>
      </x:c>
      <x:c r="L2630" s="43" t="n">
        <x:v>371.22103255881274</x:v>
      </x:c>
    </x:row>
    <x:row r="2631" ht="15" hidden="0" customHeight="1">
      <x:c r="A2631" s="29" t="str">
        <x:v>39119</x:v>
      </x:c>
      <x:c r="B2631" s="29" t="str">
        <x:v>SCA-28</x:v>
      </x:c>
      <x:c r="C2631" s="44" t="n">
        <x:v>87014</x:v>
      </x:c>
      <x:c r="D2631" s="44" t="n">
        <x:v>1182.3549146770447</x:v>
      </x:c>
      <x:c r="E2631" s="44" t="n">
        <x:v>13320.713912840394</x:v>
      </x:c>
      <x:c r="F2631" s="44" t="n">
        <x:v>508.6177350553453</x:v>
      </x:c>
      <x:c r="G2631" s="44" t="n">
        <x:v>3468.044747536083</x:v>
      </x:c>
      <x:c r="H2631" s="44" t="n">
        <x:v>68534.26868989113</x:v>
      </x:c>
      <x:c r="I2631" s="44" t="n">
        <x:v>87014</x:v>
      </x:c>
      <x:c r="J2631" s="44" t="n">
        <x:v>13656</x:v>
      </x:c>
      <x:c r="K2631" s="44" t="n">
        <x:v>1135.9429033640401</x:v>
      </x:c>
      <x:c r="L2631" s="44" t="n">
        <x:v>627.3251683086949</x:v>
      </x:c>
    </x:row>
    <x:row r="2632" ht="15" hidden="0" customHeight="1">
      <x:c r="A2632" s="27" t="str">
        <x:v>42073</x:v>
      </x:c>
      <x:c r="B2632" s="27" t="str">
        <x:v>SCA-28</x:v>
      </x:c>
      <x:c r="C2632" s="43" t="n">
        <x:v>83911</x:v>
      </x:c>
      <x:c r="D2632" s="43" t="n">
        <x:v>1163.0314918017884</x:v>
      </x:c>
      <x:c r="E2632" s="43" t="n">
        <x:v>13842.697175455487</x:v>
      </x:c>
      <x:c r="F2632" s="43" t="n">
        <x:v>547.0834369860015</x:v>
      </x:c>
      <x:c r="G2632" s="43" t="n">
        <x:v>3965.6321769410874</x:v>
      </x:c>
      <x:c r="H2632" s="43" t="n">
        <x:v>64392.55571881563</x:v>
      </x:c>
      <x:c r="I2632" s="43" t="n">
        <x:v>83911</x:v>
      </x:c>
      <x:c r="J2632" s="43" t="n">
        <x:v>14459</x:v>
      </x:c>
      <x:c r="K2632" s="43" t="n">
        <x:v>1133.335879810478</x:v>
      </x:c>
      <x:c r="L2632" s="43" t="n">
        <x:v>586.2524428244765</x:v>
      </x:c>
    </x:row>
    <x:row r="2633" ht="15" hidden="0" customHeight="1">
      <x:c r="A2633" s="29" t="str">
        <x:v>42063</x:v>
      </x:c>
      <x:c r="B2633" s="29" t="str">
        <x:v>SCA-28</x:v>
      </x:c>
      <x:c r="C2633" s="44" t="n">
        <x:v>82878</x:v>
      </x:c>
      <x:c r="D2633" s="44" t="n">
        <x:v>1138.0489830112117</x:v>
      </x:c>
      <x:c r="E2633" s="44" t="n">
        <x:v>13416.32870742958</x:v>
      </x:c>
      <x:c r="F2633" s="44" t="n">
        <x:v>540.3484774406911</x:v>
      </x:c>
      <x:c r="G2633" s="44" t="n">
        <x:v>3867.5542742172934</x:v>
      </x:c>
      <x:c r="H2633" s="44" t="n">
        <x:v>63915.719557901226</x:v>
      </x:c>
      <x:c r="I2633" s="44" t="n">
        <x:v>82878</x:v>
      </x:c>
      <x:c r="J2633" s="44" t="n">
        <x:v>13745</x:v>
      </x:c>
      <x:c r="K2633" s="44" t="n">
        <x:v>1119.3837643090035</x:v>
      </x:c>
      <x:c r="L2633" s="44" t="n">
        <x:v>579.0352868683124</x:v>
      </x:c>
    </x:row>
    <x:row r="2634" ht="15" hidden="0" customHeight="1">
      <x:c r="A2634" s="27" t="str">
        <x:v>54107</x:v>
      </x:c>
      <x:c r="B2634" s="27" t="str">
        <x:v>SCA-28</x:v>
      </x:c>
      <x:c r="C2634" s="43" t="n">
        <x:v>82385</x:v>
      </x:c>
      <x:c r="D2634" s="43" t="n">
        <x:v>1061.1893645706027</x:v>
      </x:c>
      <x:c r="E2634" s="43" t="n">
        <x:v>13836.629015481227</x:v>
      </x:c>
      <x:c r="F2634" s="43" t="n">
        <x:v>963.2112723258846</x:v>
      </x:c>
      <x:c r="G2634" s="43" t="n">
        <x:v>3451.601779674373</x:v>
      </x:c>
      <x:c r="H2634" s="43" t="n">
        <x:v>63072.36856794791</x:v>
      </x:c>
      <x:c r="I2634" s="43" t="n">
        <x:v>82385</x:v>
      </x:c>
      <x:c r="J2634" s="43" t="n">
        <x:v>14431</x:v>
      </x:c>
      <x:c r="K2634" s="43" t="n">
        <x:v>1447.8744279181028</x:v>
      </x:c>
      <x:c r="L2634" s="43" t="n">
        <x:v>484.66315559221823</x:v>
      </x:c>
    </x:row>
    <x:row r="2635" ht="15" hidden="0" customHeight="1">
      <x:c r="A2635" s="29" t="str">
        <x:v>42039</x:v>
      </x:c>
      <x:c r="B2635" s="29" t="str">
        <x:v>SCA-28</x:v>
      </x:c>
      <x:c r="C2635" s="44" t="n">
        <x:v>81792</x:v>
      </x:c>
      <x:c r="D2635" s="44" t="n">
        <x:v>1153.5154424050365</x:v>
      </x:c>
      <x:c r="E2635" s="44" t="n">
        <x:v>13969.622428758881</x:v>
      </x:c>
      <x:c r="F2635" s="44" t="n">
        <x:v>533.267968180084</x:v>
      </x:c>
      <x:c r="G2635" s="44" t="n">
        <x:v>5799.427409571439</x:v>
      </x:c>
      <x:c r="H2635" s="44" t="n">
        <x:v>60336.16675108456</x:v>
      </x:c>
      <x:c r="I2635" s="44" t="n">
        <x:v>81792</x:v>
      </x:c>
      <x:c r="J2635" s="44" t="n">
        <x:v>14372</x:v>
      </x:c>
      <x:c r="K2635" s="44" t="n">
        <x:v>1104.7158093868338</x:v>
      </x:c>
      <x:c r="L2635" s="44" t="n">
        <x:v>571.4478412067498</x:v>
      </x:c>
    </x:row>
    <x:row r="2636" ht="15" hidden="0" customHeight="1">
      <x:c r="A2636" s="27" t="str">
        <x:v>42033</x:v>
      </x:c>
      <x:c r="B2636" s="27" t="str">
        <x:v>SCA-28</x:v>
      </x:c>
      <x:c r="C2636" s="43" t="n">
        <x:v>78100</x:v>
      </x:c>
      <x:c r="D2636" s="43" t="n">
        <x:v>1159.446673353818</x:v>
      </x:c>
      <x:c r="E2636" s="43" t="n">
        <x:v>14731.040466170281</x:v>
      </x:c>
      <x:c r="F2636" s="43" t="n">
        <x:v>509.19684461639974</x:v>
      </x:c>
      <x:c r="G2636" s="43" t="n">
        <x:v>3498.138488723427</x:v>
      </x:c>
      <x:c r="H2636" s="43" t="n">
        <x:v>58202.177527136075</x:v>
      </x:c>
      <x:c r="I2636" s="43" t="n">
        <x:v>78100</x:v>
      </x:c>
      <x:c r="J2636" s="43" t="n">
        <x:v>14566</x:v>
      </x:c>
      <x:c r="K2636" s="43" t="n">
        <x:v>1054.8501652131226</x:v>
      </x:c>
      <x:c r="L2636" s="43" t="n">
        <x:v>545.6533205967229</x:v>
      </x:c>
    </x:row>
    <x:row r="2637" ht="15" hidden="0" customHeight="1">
      <x:c r="A2637" s="29" t="str">
        <x:v>51061</x:v>
      </x:c>
      <x:c r="B2637" s="29" t="str">
        <x:v>SCA-28</x:v>
      </x:c>
      <x:c r="C2637" s="44" t="n">
        <x:v>76503</x:v>
      </x:c>
      <x:c r="D2637" s="44" t="n">
        <x:v>611.6889128055205</x:v>
      </x:c>
      <x:c r="E2637" s="44" t="n">
        <x:v>7049.33072209889</x:v>
      </x:c>
      <x:c r="F2637" s="44" t="n">
        <x:v>533.6825910349826</x:v>
      </x:c>
      <x:c r="G2637" s="44" t="n">
        <x:v>1385.4047426841576</x:v>
      </x:c>
      <x:c r="H2637" s="44" t="n">
        <x:v>66922.89303137646</x:v>
      </x:c>
      <x:c r="I2637" s="44" t="n">
        <x:v>76503</x:v>
      </x:c>
      <x:c r="J2637" s="44" t="n">
        <x:v>7134</x:v>
      </x:c>
      <x:c r="K2637" s="44" t="n">
        <x:v>851.649390419716</x:v>
      </x:c>
      <x:c r="L2637" s="44" t="n">
        <x:v>317.96679938473346</x:v>
      </x:c>
    </x:row>
    <x:row r="2638" ht="15" hidden="0" customHeight="1">
      <x:c r="A2638" s="27" t="str">
        <x:v>36009</x:v>
      </x:c>
      <x:c r="B2638" s="27" t="str">
        <x:v>SCA-28</x:v>
      </x:c>
      <x:c r="C2638" s="43" t="n">
        <x:v>75390</x:v>
      </x:c>
      <x:c r="D2638" s="43" t="n">
        <x:v>908.5447305098548</x:v>
      </x:c>
      <x:c r="E2638" s="43" t="n">
        <x:v>12207.950045796662</x:v>
      </x:c>
      <x:c r="F2638" s="43" t="n">
        <x:v>252.24728175976605</x:v>
      </x:c>
      <x:c r="G2638" s="43" t="n">
        <x:v>5607.2686604808</x:v>
      </x:c>
      <x:c r="H2638" s="43" t="n">
        <x:v>56413.989281452916</x:v>
      </x:c>
      <x:c r="I2638" s="43" t="n">
        <x:v>75390</x:v>
      </x:c>
      <x:c r="J2638" s="43" t="n">
        <x:v>12707</x:v>
      </x:c>
      <x:c r="K2638" s="43" t="n">
        <x:v>652.1274270280933</x:v>
      </x:c>
      <x:c r="L2638" s="43" t="n">
        <x:v>399.8801452683272</x:v>
      </x:c>
    </x:row>
    <x:row r="2639" ht="15" hidden="0" customHeight="1">
      <x:c r="A2639" s="29" t="str">
        <x:v>42111</x:v>
      </x:c>
      <x:c r="B2639" s="29" t="str">
        <x:v>SCA-28</x:v>
      </x:c>
      <x:c r="C2639" s="44" t="n">
        <x:v>72004</x:v>
      </x:c>
      <x:c r="D2639" s="44" t="n">
        <x:v>971.4536057021427</x:v>
      </x:c>
      <x:c r="E2639" s="44" t="n">
        <x:v>11241.374107787218</x:v>
      </x:c>
      <x:c r="F2639" s="44" t="n">
        <x:v>469.45210755133473</x:v>
      </x:c>
      <x:c r="G2639" s="44" t="n">
        <x:v>2784.2666016761727</x:v>
      </x:c>
      <x:c r="H2639" s="44" t="n">
        <x:v>56537.45357728314</x:v>
      </x:c>
      <x:c r="I2639" s="44" t="n">
        <x:v>72004</x:v>
      </x:c>
      <x:c r="J2639" s="44" t="n">
        <x:v>11177</x:v>
      </x:c>
      <x:c r="K2639" s="44" t="n">
        <x:v>972.5151254290099</x:v>
      </x:c>
      <x:c r="L2639" s="44" t="n">
        <x:v>503.0630178776752</x:v>
      </x:c>
    </x:row>
    <x:row r="2640" ht="15" hidden="0" customHeight="1">
      <x:c r="A2640" s="27" t="str">
        <x:v>54081</x:v>
      </x:c>
      <x:c r="B2640" s="27" t="str">
        <x:v>SCA-28</x:v>
      </x:c>
      <x:c r="C2640" s="43" t="n">
        <x:v>71775</x:v>
      </x:c>
      <x:c r="D2640" s="43" t="n">
        <x:v>1077.0750922947514</x:v>
      </x:c>
      <x:c r="E2640" s="43" t="n">
        <x:v>15715.909494030697</x:v>
      </x:c>
      <x:c r="F2640" s="43" t="n">
        <x:v>839.1635500538977</x:v>
      </x:c>
      <x:c r="G2640" s="43" t="n">
        <x:v>3422.2889710062536</x:v>
      </x:c>
      <x:c r="H2640" s="43" t="n">
        <x:v>50720.5628926144</x:v>
      </x:c>
      <x:c r="I2640" s="43" t="n">
        <x:v>71775</x:v>
      </x:c>
      <x:c r="J2640" s="43" t="n">
        <x:v>16048</x:v>
      </x:c>
      <x:c r="K2640" s="43" t="n">
        <x:v>1261.40908009737</x:v>
      </x:c>
      <x:c r="L2640" s="43" t="n">
        <x:v>422.2455300434723</x:v>
      </x:c>
    </x:row>
    <x:row r="2641" ht="15" hidden="0" customHeight="1">
      <x:c r="A2641" s="29" t="str">
        <x:v>24001</x:v>
      </x:c>
      <x:c r="B2641" s="29" t="str">
        <x:v>SCA-28</x:v>
      </x:c>
      <x:c r="C2641" s="44" t="n">
        <x:v>66848</x:v>
      </x:c>
      <x:c r="D2641" s="44" t="n">
        <x:v>876.3067393965136</x:v>
      </x:c>
      <x:c r="E2641" s="44" t="n">
        <x:v>13571.112317018695</x:v>
      </x:c>
      <x:c r="F2641" s="44" t="n">
        <x:v>315.51855386656575</x:v>
      </x:c>
      <x:c r="G2641" s="44" t="n">
        <x:v>2959.734509603727</x:v>
      </x:c>
      <x:c r="H2641" s="44" t="n">
        <x:v>49125.3278801145</x:v>
      </x:c>
      <x:c r="I2641" s="44" t="n">
        <x:v>66848</x:v>
      </x:c>
      <x:c r="J2641" s="44" t="n">
        <x:v>13256</x:v>
      </x:c>
      <x:c r="K2641" s="44" t="n">
        <x:v>626.362280053967</x:v>
      </x:c>
      <x:c r="L2641" s="44" t="n">
        <x:v>310.8437261874012</x:v>
      </x:c>
    </x:row>
    <x:row r="2642" ht="15" hidden="0" customHeight="1">
      <x:c r="A2642" s="27" t="str">
        <x:v>39013</x:v>
      </x:c>
      <x:c r="B2642" s="27" t="str">
        <x:v>SCA-28</x:v>
      </x:c>
      <x:c r="C2642" s="43" t="n">
        <x:v>64434</x:v>
      </x:c>
      <x:c r="D2642" s="43" t="n">
        <x:v>894.8914326313569</x:v>
      </x:c>
      <x:c r="E2642" s="43" t="n">
        <x:v>10328.548479329518</x:v>
      </x:c>
      <x:c r="F2642" s="43" t="n">
        <x:v>376.6322102254364</x:v>
      </x:c>
      <x:c r="G2642" s="43" t="n">
        <x:v>2474.4990329599486</x:v>
      </x:c>
      <x:c r="H2642" s="43" t="n">
        <x:v>50359.42884485374</x:v>
      </x:c>
      <x:c r="I2642" s="43" t="n">
        <x:v>64434</x:v>
      </x:c>
      <x:c r="J2642" s="43" t="n">
        <x:v>10360</x:v>
      </x:c>
      <x:c r="K2642" s="43" t="n">
        <x:v>841.1674562180633</x:v>
      </x:c>
      <x:c r="L2642" s="43" t="n">
        <x:v>464.5352459926269</x:v>
      </x:c>
    </x:row>
    <x:row r="2643" ht="15" hidden="0" customHeight="1">
      <x:c r="A2643" s="29" t="str">
        <x:v>54033</x:v>
      </x:c>
      <x:c r="B2643" s="29" t="str">
        <x:v>SCA-28</x:v>
      </x:c>
      <x:c r="C2643" s="44" t="n">
        <x:v>64221</x:v>
      </x:c>
      <x:c r="D2643" s="44" t="n">
        <x:v>817.3081298937568</x:v>
      </x:c>
      <x:c r="E2643" s="44" t="n">
        <x:v>10548.049601070867</x:v>
      </x:c>
      <x:c r="F2643" s="44" t="n">
        <x:v>750.8453131036065</x:v>
      </x:c>
      <x:c r="G2643" s="44" t="n">
        <x:v>3147.3724064936882</x:v>
      </x:c>
      <x:c r="H2643" s="44" t="n">
        <x:v>48957.42454943808</x:v>
      </x:c>
      <x:c r="I2643" s="44" t="n">
        <x:v>64221</x:v>
      </x:c>
      <x:c r="J2643" s="44" t="n">
        <x:v>10992</x:v>
      </x:c>
      <x:c r="K2643" s="44" t="n">
        <x:v>1128.6513762860773</x:v>
      </x:c>
      <x:c r="L2643" s="44" t="n">
        <x:v>377.8060631824707</x:v>
      </x:c>
    </x:row>
    <x:row r="2644" ht="15" hidden="0" customHeight="1">
      <x:c r="A2644" s="27" t="str">
        <x:v>39083</x:v>
      </x:c>
      <x:c r="B2644" s="27" t="str">
        <x:v>SCA-28</x:v>
      </x:c>
      <x:c r="C2644" s="43" t="n">
        <x:v>64002</x:v>
      </x:c>
      <x:c r="D2644" s="43" t="n">
        <x:v>792.986755350956</x:v>
      </x:c>
      <x:c r="E2644" s="43" t="n">
        <x:v>7957.584050754591</x:v>
      </x:c>
      <x:c r="F2644" s="43" t="n">
        <x:v>374.1070664377251</x:v>
      </x:c>
      <x:c r="G2644" s="43" t="n">
        <x:v>2960.52315037329</x:v>
      </x:c>
      <x:c r="H2644" s="43" t="n">
        <x:v>51916.79897708344</x:v>
      </x:c>
      <x:c r="I2644" s="43" t="n">
        <x:v>64002</x:v>
      </x:c>
      <x:c r="J2644" s="43" t="n">
        <x:v>8084</x:v>
      </x:c>
      <x:c r="K2644" s="43" t="n">
        <x:v>835.5278196739065</x:v>
      </x:c>
      <x:c r="L2644" s="43" t="n">
        <x:v>461.4207532361814</x:v>
      </x:c>
    </x:row>
    <x:row r="2645" ht="15" hidden="0" customHeight="1">
      <x:c r="A2645" s="29" t="str">
        <x:v>42005</x:v>
      </x:c>
      <x:c r="B2645" s="29" t="str">
        <x:v>SCA-28</x:v>
      </x:c>
      <x:c r="C2645" s="44" t="n">
        <x:v>63698</x:v>
      </x:c>
      <x:c r="D2645" s="44" t="n">
        <x:v>896.0349500308769</x:v>
      </x:c>
      <x:c r="E2645" s="44" t="n">
        <x:v>10824.06280626113</x:v>
      </x:c>
      <x:c r="F2645" s="44" t="n">
        <x:v>415.298599338994</x:v>
      </x:c>
      <x:c r="G2645" s="44" t="n">
        <x:v>2935.20041709626</x:v>
      </x:c>
      <x:c r="H2645" s="44" t="n">
        <x:v>48627.40322727274</x:v>
      </x:c>
      <x:c r="I2645" s="44" t="n">
        <x:v>63698</x:v>
      </x:c>
      <x:c r="J2645" s="44" t="n">
        <x:v>11331</x:v>
      </x:c>
      <x:c r="K2645" s="44" t="n">
        <x:v>860.3309324423237</x:v>
      </x:c>
      <x:c r="L2645" s="44" t="n">
        <x:v>445.03233310332973</x:v>
      </x:c>
    </x:row>
    <x:row r="2646" ht="15" hidden="0" customHeight="1">
      <x:c r="A2646" s="27" t="str">
        <x:v>39081</x:v>
      </x:c>
      <x:c r="B2646" s="27" t="str">
        <x:v>SCA-28</x:v>
      </x:c>
      <x:c r="C2646" s="43" t="n">
        <x:v>63597</x:v>
      </x:c>
      <x:c r="D2646" s="43" t="n">
        <x:v>901.867649267222</x:v>
      </x:c>
      <x:c r="E2646" s="43" t="n">
        <x:v>10640.801591765</x:v>
      </x:c>
      <x:c r="F2646" s="43" t="n">
        <x:v>371.7397441367458</x:v>
      </x:c>
      <x:c r="G2646" s="43" t="n">
        <x:v>3241.7468930454434</x:v>
      </x:c>
      <x:c r="H2646" s="43" t="n">
        <x:v>48440.84412178559</x:v>
      </x:c>
      <x:c r="I2646" s="43" t="n">
        <x:v>63597</x:v>
      </x:c>
      <x:c r="J2646" s="43" t="n">
        <x:v>11107</x:v>
      </x:c>
      <x:c r="K2646" s="43" t="n">
        <x:v>830.2406604137594</x:v>
      </x:c>
      <x:c r="L2646" s="43" t="n">
        <x:v>458.50091627701363</x:v>
      </x:c>
    </x:row>
    <x:row r="2647" ht="15" hidden="0" customHeight="1">
      <x:c r="A2647" s="29" t="str">
        <x:v>39009</x:v>
      </x:c>
      <x:c r="B2647" s="29" t="str">
        <x:v>SCA-28</x:v>
      </x:c>
      <x:c r="C2647" s="44" t="n">
        <x:v>63197</x:v>
      </x:c>
      <x:c r="D2647" s="44" t="n">
        <x:v>908.3625044516893</x:v>
      </x:c>
      <x:c r="E2647" s="44" t="n">
        <x:v>10865.889066335454</x:v>
      </x:c>
      <x:c r="F2647" s="44" t="n">
        <x:v>369.40164803701316</x:v>
      </x:c>
      <x:c r="G2647" s="44" t="n">
        <x:v>2031.7254735328247</x:v>
      </x:c>
      <x:c r="H2647" s="44" t="n">
        <x:v>49021.62130764302</x:v>
      </x:c>
      <x:c r="I2647" s="44" t="n">
        <x:v>63197</x:v>
      </x:c>
      <x:c r="J2647" s="44" t="n">
        <x:v>10959</x:v>
      </x:c>
      <x:c r="K2647" s="44" t="n">
        <x:v>825.0187747247253</x:v>
      </x:c>
      <x:c r="L2647" s="44" t="n">
        <x:v>455.61712668771213</x:v>
      </x:c>
    </x:row>
    <x:row r="2648" ht="15" hidden="0" customHeight="1">
      <x:c r="A2648" s="27" t="str">
        <x:v>54037</x:v>
      </x:c>
      <x:c r="B2648" s="27" t="str">
        <x:v>SCA-28</x:v>
      </x:c>
      <x:c r="C2648" s="43" t="n">
        <x:v>63102</x:v>
      </x:c>
      <x:c r="D2648" s="43" t="n">
        <x:v>693.3403510534054</x:v>
      </x:c>
      <x:c r="E2648" s="43" t="n">
        <x:v>7730.814214438448</x:v>
      </x:c>
      <x:c r="F2648" s="43" t="n">
        <x:v>737.7624289167684</x:v>
      </x:c>
      <x:c r="G2648" s="43" t="n">
        <x:v>1773.5532362624308</x:v>
      </x:c>
      <x:c r="H2648" s="43" t="n">
        <x:v>52166.52976932895</x:v>
      </x:c>
      <x:c r="I2648" s="43" t="n">
        <x:v>63102</x:v>
      </x:c>
      <x:c r="J2648" s="43" t="n">
        <x:v>7520</x:v>
      </x:c>
      <x:c r="K2648" s="43" t="n">
        <x:v>1108.9855210352384</x:v>
      </x:c>
      <x:c r="L2648" s="43" t="n">
        <x:v>371.22309211847005</x:v>
      </x:c>
    </x:row>
    <x:row r="2649" ht="15" hidden="0" customHeight="1">
      <x:c r="A2649" s="29" t="str">
        <x:v>39129</x:v>
      </x:c>
      <x:c r="B2649" s="29" t="str">
        <x:v>SCA-28</x:v>
      </x:c>
      <x:c r="C2649" s="44" t="n">
        <x:v>62978</x:v>
      </x:c>
      <x:c r="D2649" s="44" t="n">
        <x:v>815.0052150793878</x:v>
      </x:c>
      <x:c r="E2649" s="44" t="n">
        <x:v>8663.207116603633</x:v>
      </x:c>
      <x:c r="F2649" s="44" t="n">
        <x:v>368.1215404224094</x:v>
      </x:c>
      <x:c r="G2649" s="44" t="n">
        <x:v>1843.6379907313692</x:v>
      </x:c>
      <x:c r="H2649" s="44" t="n">
        <x:v>51288.0281371632</x:v>
      </x:c>
      <x:c r="I2649" s="44" t="n">
        <x:v>62978</x:v>
      </x:c>
      <x:c r="J2649" s="44" t="n">
        <x:v>8070</x:v>
      </x:c>
      <x:c r="K2649" s="44" t="n">
        <x:v>822.159792309979</x:v>
      </x:c>
      <x:c r="L2649" s="44" t="n">
        <x:v>454.03825188756963</x:v>
      </x:c>
    </x:row>
    <x:row r="2650" ht="15" hidden="0" customHeight="1">
      <x:c r="A2650" s="27" t="str">
        <x:v>36051</x:v>
      </x:c>
      <x:c r="B2650" s="27" t="str">
        <x:v>SCA-28</x:v>
      </x:c>
      <x:c r="C2650" s="43" t="n">
        <x:v>61438</x:v>
      </x:c>
      <x:c r="D2650" s="43" t="n">
        <x:v>686.8168075020646</x:v>
      </x:c>
      <x:c r="E2650" s="43" t="n">
        <x:v>8662.565142088391</x:v>
      </x:c>
      <x:c r="F2650" s="43" t="n">
        <x:v>205.5653070268803</x:v>
      </x:c>
      <x:c r="G2650" s="43" t="n">
        <x:v>2128.5550333006695</x:v>
      </x:c>
      <x:c r="H2650" s="43" t="n">
        <x:v>49754.49771008199</x:v>
      </x:c>
      <x:c r="I2650" s="43" t="n">
        <x:v>61438</x:v>
      </x:c>
      <x:c r="J2650" s="43" t="n">
        <x:v>8843</x:v>
      </x:c>
      <x:c r="K2650" s="43" t="n">
        <x:v>531.4419002752619</x:v>
      </x:c>
      <x:c r="L2650" s="43" t="n">
        <x:v>325.8765932483816</x:v>
      </x:c>
    </x:row>
    <x:row r="2651" ht="15" hidden="0" customHeight="1">
      <x:c r="A2651" s="29" t="str">
        <x:v>36037</x:v>
      </x:c>
      <x:c r="B2651" s="29" t="str">
        <x:v>SCA-28</x:v>
      </x:c>
      <x:c r="C2651" s="44" t="n">
        <x:v>58416</x:v>
      </x:c>
      <x:c r="D2651" s="44" t="n">
        <x:v>673.8030469970076</x:v>
      </x:c>
      <x:c r="E2651" s="44" t="n">
        <x:v>8734.934547428511</x:v>
      </x:c>
      <x:c r="F2651" s="44" t="n">
        <x:v>195.4540020066122</x:v>
      </x:c>
      <x:c r="G2651" s="44" t="n">
        <x:v>2502.748769853083</x:v>
      </x:c>
      <x:c r="H2651" s="44" t="n">
        <x:v>46309.05963371479</x:v>
      </x:c>
      <x:c r="I2651" s="44" t="n">
        <x:v>58416</x:v>
      </x:c>
      <x:c r="J2651" s="44" t="n">
        <x:v>8895</x:v>
      </x:c>
      <x:c r="K2651" s="44" t="n">
        <x:v>505.3014428607653</x:v>
      </x:c>
      <x:c r="L2651" s="44" t="n">
        <x:v>309.8474408541531</x:v>
      </x:c>
    </x:row>
    <x:row r="2652" ht="15" hidden="0" customHeight="1">
      <x:c r="A2652" s="27" t="str">
        <x:v>39167</x:v>
      </x:c>
      <x:c r="B2652" s="27" t="str">
        <x:v>SCA-28</x:v>
      </x:c>
      <x:c r="C2652" s="43" t="n">
        <x:v>58389</x:v>
      </x:c>
      <x:c r="D2652" s="43" t="n">
        <x:v>803.1379750027003</x:v>
      </x:c>
      <x:c r="E2652" s="43" t="n">
        <x:v>9172.4159802814</x:v>
      </x:c>
      <x:c r="F2652" s="43" t="n">
        <x:v>341.29773291822653</x:v>
      </x:c>
      <x:c r="G2652" s="43" t="n">
        <x:v>1632.9987847043924</x:v>
      </x:c>
      <x:c r="H2652" s="43" t="n">
        <x:v>46439.14952709329</x:v>
      </x:c>
      <x:c r="I2652" s="43" t="n">
        <x:v>58389</x:v>
      </x:c>
      <x:c r="J2652" s="43" t="n">
        <x:v>9560</x:v>
      </x:c>
      <x:c r="K2652" s="43" t="n">
        <x:v>762.251708742535</x:v>
      </x:c>
      <x:c r="L2652" s="43" t="n">
        <x:v>420.9539758243085</x:v>
      </x:c>
    </x:row>
    <x:row r="2653" ht="15" hidden="0" customHeight="1">
      <x:c r="A2653" s="29" t="str">
        <x:v>51047</x:v>
      </x:c>
      <x:c r="B2653" s="29" t="str">
        <x:v>SCA-28</x:v>
      </x:c>
      <x:c r="C2653" s="44" t="n">
        <x:v>57666</x:v>
      </x:c>
      <x:c r="D2653" s="44" t="n">
        <x:v>496.4059898946322</x:v>
      </x:c>
      <x:c r="E2653" s="44" t="n">
        <x:v>6161.538446833931</x:v>
      </x:c>
      <x:c r="F2653" s="44" t="n">
        <x:v>402.2762544556856</x:v>
      </x:c>
      <x:c r="G2653" s="44" t="n">
        <x:v>1090.4339762189225</x:v>
      </x:c>
      <x:c r="H2653" s="44" t="n">
        <x:v>49515.34533259683</x:v>
      </x:c>
      <x:c r="I2653" s="44" t="n">
        <x:v>57666</x:v>
      </x:c>
      <x:c r="J2653" s="44" t="n">
        <x:v>5869</x:v>
      </x:c>
      <x:c r="K2653" s="44" t="n">
        <x:v>641.9514757322373</x:v>
      </x:c>
      <x:c r="L2653" s="44" t="n">
        <x:v>239.67522127655175</x:v>
      </x:c>
    </x:row>
    <x:row r="2654" ht="15" hidden="0" customHeight="1">
      <x:c r="A2654" s="27" t="str">
        <x:v>54079</x:v>
      </x:c>
      <x:c r="B2654" s="27" t="str">
        <x:v>SCA-28</x:v>
      </x:c>
      <x:c r="C2654" s="43" t="n">
        <x:v>56885</x:v>
      </x:c>
      <x:c r="D2654" s="43" t="n">
        <x:v>630.3495900005023</x:v>
      </x:c>
      <x:c r="E2654" s="43" t="n">
        <x:v>7096.812487611496</x:v>
      </x:c>
      <x:c r="F2654" s="43" t="n">
        <x:v>665.0758417947192</x:v>
      </x:c>
      <x:c r="G2654" s="43" t="n">
        <x:v>1519.0978691774033</x:v>
      </x:c>
      <x:c r="H2654" s="43" t="n">
        <x:v>46973.66421141588</x:v>
      </x:c>
      <x:c r="I2654" s="43" t="n">
        <x:v>56885</x:v>
      </x:c>
      <x:c r="J2654" s="43" t="n">
        <x:v>7343</x:v>
      </x:c>
      <x:c r="K2654" s="43" t="n">
        <x:v>999.7249114780758</x:v>
      </x:c>
      <x:c r="L2654" s="43" t="n">
        <x:v>334.64906968335663</x:v>
      </x:c>
    </x:row>
    <x:row r="2655" ht="15" hidden="0" customHeight="1">
      <x:c r="A2655" s="29" t="str">
        <x:v>54049</x:v>
      </x:c>
      <x:c r="B2655" s="29" t="str">
        <x:v>SCA-28</x:v>
      </x:c>
      <x:c r="C2655" s="44" t="n">
        <x:v>55584</x:v>
      </x:c>
      <x:c r="D2655" s="44" t="n">
        <x:v>738.6930856274183</x:v>
      </x:c>
      <x:c r="E2655" s="44" t="n">
        <x:v>9880.744218673884</x:v>
      </x:c>
      <x:c r="F2655" s="44" t="n">
        <x:v>649.8650890448743</x:v>
      </x:c>
      <x:c r="G2655" s="44" t="n">
        <x:v>2624.162760487145</x:v>
      </x:c>
      <x:c r="H2655" s="44" t="n">
        <x:v>41690.53484616668</x:v>
      </x:c>
      <x:c r="I2655" s="44" t="n">
        <x:v>55584</x:v>
      </x:c>
      <x:c r="J2655" s="44" t="n">
        <x:v>10263</x:v>
      </x:c>
      <x:c r="K2655" s="44" t="n">
        <x:v>976.8604988942141</x:v>
      </x:c>
      <x:c r="L2655" s="44" t="n">
        <x:v>326.9954098493398</x:v>
      </x:c>
    </x:row>
    <x:row r="2656" ht="15" hidden="0" customHeight="1">
      <x:c r="A2656" s="27" t="str">
        <x:v>39005</x:v>
      </x:c>
      <x:c r="B2656" s="27" t="str">
        <x:v>SCA-28</x:v>
      </x:c>
      <x:c r="C2656" s="43" t="n">
        <x:v>52523</x:v>
      </x:c>
      <x:c r="D2656" s="43" t="n">
        <x:v>680.9989556200247</x:v>
      </x:c>
      <x:c r="E2656" s="43" t="n">
        <x:v>7256.058098947737</x:v>
      </x:c>
      <x:c r="F2656" s="43" t="n">
        <x:v>307.0095536156469</x:v>
      </x:c>
      <x:c r="G2656" s="43" t="n">
        <x:v>2299.0394647598005</x:v>
      </x:c>
      <x:c r="H2656" s="43" t="n">
        <x:v>41979.89392705679</x:v>
      </x:c>
      <x:c r="I2656" s="43" t="n">
        <x:v>52523</x:v>
      </x:c>
      <x:c r="J2656" s="43" t="n">
        <x:v>7426</x:v>
      </x:c>
      <x:c r="K2656" s="43" t="n">
        <x:v>685.6727551128494</x:v>
      </x:c>
      <x:c r="L2656" s="43" t="n">
        <x:v>378.66320149720246</x:v>
      </x:c>
    </x:row>
    <x:row r="2657" ht="15" hidden="0" customHeight="1">
      <x:c r="A2657" s="29" t="str">
        <x:v>51660</x:v>
      </x:c>
      <x:c r="B2657" s="29" t="str">
        <x:v>SCA-28</x:v>
      </x:c>
      <x:c r="C2657" s="44" t="n">
        <x:v>50839</x:v>
      </x:c>
      <x:c r="D2657" s="44" t="n">
        <x:v>423.0711259722037</x:v>
      </x:c>
      <x:c r="E2657" s="44" t="n">
        <x:v>5082.497544827585</x:v>
      </x:c>
      <x:c r="F2657" s="44" t="n">
        <x:v>354.6513110025422</x:v>
      </x:c>
      <x:c r="G2657" s="44" t="n">
        <x:v>2012.1062068965516</x:v>
      </x:c>
      <x:c r="H2657" s="44" t="n">
        <x:v>42966.673811301116</x:v>
      </x:c>
      <x:c r="I2657" s="44" t="n">
        <x:v>50839</x:v>
      </x:c>
      <x:c r="J2657" s="44" t="n">
        <x:v>5285</x:v>
      </x:c>
      <x:c r="K2657" s="44" t="n">
        <x:v>565.9517059402631</x:v>
      </x:c>
      <x:c r="L2657" s="44" t="n">
        <x:v>211.3003949377209</x:v>
      </x:c>
    </x:row>
    <x:row r="2658" ht="15" hidden="0" customHeight="1">
      <x:c r="A2658" s="27" t="str">
        <x:v>42121</x:v>
      </x:c>
      <x:c r="B2658" s="27" t="str">
        <x:v>SCA-28</x:v>
      </x:c>
      <x:c r="C2658" s="43" t="n">
        <x:v>49346</x:v>
      </x:c>
      <x:c r="D2658" s="43" t="n">
        <x:v>698.0709291667247</x:v>
      </x:c>
      <x:c r="E2658" s="43" t="n">
        <x:v>8479.446087504832</x:v>
      </x:c>
      <x:c r="F2658" s="43" t="n">
        <x:v>321.7263443590379</x:v>
      </x:c>
      <x:c r="G2658" s="43" t="n">
        <x:v>1938.3895002339157</x:v>
      </x:c>
      <x:c r="H2658" s="43" t="n">
        <x:v>37908.36713873549</x:v>
      </x:c>
      <x:c r="I2658" s="43" t="n">
        <x:v>49346</x:v>
      </x:c>
      <x:c r="J2658" s="43" t="n">
        <x:v>8800</x:v>
      </x:c>
      <x:c r="K2658" s="43" t="n">
        <x:v>666.4870198797279</x:v>
      </x:c>
      <x:c r="L2658" s="43" t="n">
        <x:v>344.76067552069</x:v>
      </x:c>
    </x:row>
    <x:row r="2659" ht="15" hidden="0" customHeight="1">
      <x:c r="A2659" s="29" t="str">
        <x:v>42009</x:v>
      </x:c>
      <x:c r="B2659" s="29" t="str">
        <x:v>SCA-28</x:v>
      </x:c>
      <x:c r="C2659" s="44" t="n">
        <x:v>47480</x:v>
      </x:c>
      <x:c r="D2659" s="44" t="n">
        <x:v>658.2749545006078</x:v>
      </x:c>
      <x:c r="E2659" s="44" t="n">
        <x:v>7837.230509981582</x:v>
      </x:c>
      <x:c r="F2659" s="44" t="n">
        <x:v>309.5603864582158</x:v>
      </x:c>
      <x:c r="G2659" s="44" t="n">
        <x:v>1556.7500052924615</x:v>
      </x:c>
      <x:c r="H2659" s="44" t="n">
        <x:v>37118.18414376713</x:v>
      </x:c>
      <x:c r="I2659" s="44" t="n">
        <x:v>47480</x:v>
      </x:c>
      <x:c r="J2659" s="44" t="n">
        <x:v>8122</x:v>
      </x:c>
      <x:c r="K2659" s="44" t="n">
        <x:v>641.284069709591</x:v>
      </x:c>
      <x:c r="L2659" s="44" t="n">
        <x:v>331.7236832513752</x:v>
      </x:c>
    </x:row>
    <x:row r="2660" ht="15" hidden="0" customHeight="1">
      <x:c r="A2660" s="27" t="str">
        <x:v>42099</x:v>
      </x:c>
      <x:c r="B2660" s="27" t="str">
        <x:v>SCA-28</x:v>
      </x:c>
      <x:c r="C2660" s="43" t="n">
        <x:v>46806</x:v>
      </x:c>
      <x:c r="D2660" s="43" t="n">
        <x:v>581.0398991370201</x:v>
      </x:c>
      <x:c r="E2660" s="43" t="n">
        <x:v>6096.604393982401</x:v>
      </x:c>
      <x:c r="F2660" s="43" t="n">
        <x:v>305.1660372485942</x:v>
      </x:c>
      <x:c r="G2660" s="43" t="n">
        <x:v>1937.3736871984104</x:v>
      </x:c>
      <x:c r="H2660" s="43" t="n">
        <x:v>37885.81598243357</x:v>
      </x:c>
      <x:c r="I2660" s="43" t="n">
        <x:v>46806</x:v>
      </x:c>
      <x:c r="J2660" s="43" t="n">
        <x:v>6214</x:v>
      </x:c>
      <x:c r="K2660" s="43" t="n">
        <x:v>632.1807533030143</x:v>
      </x:c>
      <x:c r="L2660" s="43" t="n">
        <x:v>327.0147160544201</x:v>
      </x:c>
    </x:row>
    <x:row r="2661" ht="15" hidden="0" customHeight="1">
      <x:c r="A2661" s="29" t="str">
        <x:v>36003</x:v>
      </x:c>
      <x:c r="B2661" s="29" t="str">
        <x:v>SCA-28</x:v>
      </x:c>
      <x:c r="C2661" s="44" t="n">
        <x:v>46800</x:v>
      </x:c>
      <x:c r="D2661" s="44" t="n">
        <x:v>560.4551133998369</x:v>
      </x:c>
      <x:c r="E2661" s="44" t="n">
        <x:v>7493.297318155508</x:v>
      </x:c>
      <x:c r="F2661" s="44" t="n">
        <x:v>156.58804597900323</x:v>
      </x:c>
      <x:c r="G2661" s="44" t="n">
        <x:v>1999.717023602804</x:v>
      </x:c>
      <x:c r="H2661" s="44" t="n">
        <x:v>36589.942498862845</x:v>
      </x:c>
      <x:c r="I2661" s="44" t="n">
        <x:v>46800</x:v>
      </x:c>
      <x:c r="J2661" s="44" t="n">
        <x:v>7780</x:v>
      </x:c>
      <x:c r="K2661" s="44" t="n">
        <x:v>404.8224377890273</x:v>
      </x:c>
      <x:c r="L2661" s="44" t="n">
        <x:v>248.23439181002405</x:v>
      </x:c>
    </x:row>
    <x:row r="2662" ht="15" hidden="0" customHeight="1">
      <x:c r="A2662" s="27" t="str">
        <x:v>42087</x:v>
      </x:c>
      <x:c r="B2662" s="27" t="str">
        <x:v>SCA-28</x:v>
      </x:c>
      <x:c r="C2662" s="43" t="n">
        <x:v>46127</x:v>
      </x:c>
      <x:c r="D2662" s="43" t="n">
        <x:v>601.0662920516229</x:v>
      </x:c>
      <x:c r="E2662" s="43" t="n">
        <x:v>6691.091428445599</x:v>
      </x:c>
      <x:c r="F2662" s="43" t="n">
        <x:v>300.7390890092275</x:v>
      </x:c>
      <x:c r="G2662" s="43" t="n">
        <x:v>3624.369552771233</x:v>
      </x:c>
      <x:c r="H2662" s="43" t="n">
        <x:v>34909.73363772232</x:v>
      </x:c>
      <x:c r="I2662" s="43" t="n">
        <x:v>46127</x:v>
      </x:c>
      <x:c r="J2662" s="43" t="n">
        <x:v>6862</x:v>
      </x:c>
      <x:c r="K2662" s="43" t="n">
        <x:v>623.0099048756172</x:v>
      </x:c>
      <x:c r="L2662" s="43" t="n">
        <x:v>322.2708158663897</x:v>
      </x:c>
    </x:row>
    <x:row r="2663" ht="15" hidden="0" customHeight="1">
      <x:c r="A2663" s="29" t="str">
        <x:v>51171</x:v>
      </x:c>
      <x:c r="B2663" s="29" t="str">
        <x:v>SCA-28</x:v>
      </x:c>
      <x:c r="C2663" s="44" t="n">
        <x:v>45839</x:v>
      </x:c>
      <x:c r="D2663" s="44" t="n">
        <x:v>502.93508878164755</x:v>
      </x:c>
      <x:c r="E2663" s="44" t="n">
        <x:v>7497.9845433718165</x:v>
      </x:c>
      <x:c r="F2663" s="44" t="n">
        <x:v>319.7714637393641</x:v>
      </x:c>
      <x:c r="G2663" s="44" t="n">
        <x:v>1007.9789766856835</x:v>
      </x:c>
      <x:c r="H2663" s="44" t="n">
        <x:v>36510.32992742149</x:v>
      </x:c>
      <x:c r="I2663" s="44" t="n">
        <x:v>45839</x:v>
      </x:c>
      <x:c r="J2663" s="44" t="n">
        <x:v>7586</x:v>
      </x:c>
      <x:c r="K2663" s="44" t="n">
        <x:v>510.2905298805193</x:v>
      </x:c>
      <x:c r="L2663" s="44" t="n">
        <x:v>190.5190661411552</x:v>
      </x:c>
    </x:row>
    <x:row r="2664" ht="15" hidden="0" customHeight="1">
      <x:c r="A2664" s="27" t="str">
        <x:v>39075</x:v>
      </x:c>
      <x:c r="B2664" s="27" t="str">
        <x:v>SCA-28</x:v>
      </x:c>
      <x:c r="C2664" s="43" t="n">
        <x:v>44970</x:v>
      </x:c>
      <x:c r="D2664" s="43" t="n">
        <x:v>468.05143320530607</x:v>
      </x:c>
      <x:c r="E2664" s="43" t="n">
        <x:v>3452.193327074126</x:v>
      </x:c>
      <x:c r="F2664" s="43" t="n">
        <x:v>262.8604540124449</x:v>
      </x:c>
      <x:c r="G2664" s="43" t="n">
        <x:v>13366.265680459825</x:v>
      </x:c>
      <x:c r="H2664" s="43" t="n">
        <x:v>27420.6291052483</x:v>
      </x:c>
      <x:c r="I2664" s="43" t="n">
        <x:v>44970</x:v>
      </x:c>
      <x:c r="J2664" s="43" t="n">
        <x:v>3492</x:v>
      </x:c>
      <x:c r="K2664" s="43" t="n">
        <x:v>587.0704985896624</x:v>
      </x:c>
      <x:c r="L2664" s="43" t="n">
        <x:v>324.2100445772175</x:v>
      </x:c>
    </x:row>
    <x:row r="2665" ht="15" hidden="0" customHeight="1">
      <x:c r="A2665" s="29" t="str">
        <x:v>51683</x:v>
      </x:c>
      <x:c r="B2665" s="29" t="str">
        <x:v>SCA-28</x:v>
      </x:c>
      <x:c r="C2665" s="44" t="n">
        <x:v>44332</x:v>
      </x:c>
      <x:c r="D2665" s="44" t="n">
        <x:v>350.3635294068836</x:v>
      </x:c>
      <x:c r="E2665" s="44" t="n">
        <x:v>3986.590938360319</x:v>
      </x:c>
      <x:c r="F2665" s="44" t="n">
        <x:v>309.2586777742422</x:v>
      </x:c>
      <x:c r="G2665" s="44" t="n">
        <x:v>1111.6104124865847</x:v>
      </x:c>
      <x:c r="H2665" s="44" t="n">
        <x:v>38574.17644197197</x:v>
      </x:c>
      <x:c r="I2665" s="44" t="n">
        <x:v>44332</x:v>
      </x:c>
      <x:c r="J2665" s="44" t="n">
        <x:v>4015</x:v>
      </x:c>
      <x:c r="K2665" s="44" t="n">
        <x:v>493.5142514161125</x:v>
      </x:c>
      <x:c r="L2665" s="44" t="n">
        <x:v>184.25557364187028</x:v>
      </x:c>
    </x:row>
    <x:row r="2666" ht="15" hidden="0" customHeight="1">
      <x:c r="A2666" s="27" t="str">
        <x:v>42065</x:v>
      </x:c>
      <x:c r="B2666" s="27" t="str">
        <x:v>SCA-28</x:v>
      </x:c>
      <x:c r="C2666" s="43" t="n">
        <x:v>43255</x:v>
      </x:c>
      <x:c r="D2666" s="43" t="n">
        <x:v>558.7846236329304</x:v>
      </x:c>
      <x:c r="E2666" s="43" t="n">
        <x:v>6157.903628165105</x:v>
      </x:c>
      <x:c r="F2666" s="43" t="n">
        <x:v>282.01420632371793</x:v>
      </x:c>
      <x:c r="G2666" s="43" t="n">
        <x:v>2620.271661463753</x:v>
      </x:c>
      <x:c r="H2666" s="43" t="n">
        <x:v>33636.0258804145</x:v>
      </x:c>
      <x:c r="I2666" s="43" t="n">
        <x:v>43255</x:v>
      </x:c>
      <x:c r="J2666" s="43" t="n">
        <x:v>6413</x:v>
      </x:c>
      <x:c r="K2666" s="43" t="n">
        <x:v>584.2195121164356</x:v>
      </x:c>
      <x:c r="L2666" s="43" t="n">
        <x:v>302.20530579271764</x:v>
      </x:c>
    </x:row>
    <x:row r="2667" ht="15" hidden="0" customHeight="1">
      <x:c r="A2667" s="29" t="str">
        <x:v>42061</x:v>
      </x:c>
      <x:c r="B2667" s="29" t="str">
        <x:v>SCA-28</x:v>
      </x:c>
      <x:c r="C2667" s="44" t="n">
        <x:v>43001</x:v>
      </x:c>
      <x:c r="D2667" s="44" t="n">
        <x:v>573.2114398822188</x:v>
      </x:c>
      <x:c r="E2667" s="44" t="n">
        <x:v>6546.737520867073</x:v>
      </x:c>
      <x:c r="F2667" s="44" t="n">
        <x:v>280.3581756126735</x:v>
      </x:c>
      <x:c r="G2667" s="44" t="n">
        <x:v>1427.4524729039492</x:v>
      </x:c>
      <x:c r="H2667" s="44" t="n">
        <x:v>34173.240390734085</x:v>
      </x:c>
      <x:c r="I2667" s="44" t="n">
        <x:v>43001</x:v>
      </x:c>
      <x:c r="J2667" s="44" t="n">
        <x:v>6365</x:v>
      </x:c>
      <x:c r="K2667" s="44" t="n">
        <x:v>580.7888854587642</x:v>
      </x:c>
      <x:c r="L2667" s="44" t="n">
        <x:v>300.4307098460907</x:v>
      </x:c>
    </x:row>
    <x:row r="2668" ht="15" hidden="0" customHeight="1">
      <x:c r="A2668" s="27" t="str">
        <x:v>51187</x:v>
      </x:c>
      <x:c r="B2668" s="27" t="str">
        <x:v>SCA-28</x:v>
      </x:c>
      <x:c r="C2668" s="43" t="n">
        <x:v>42740</x:v>
      </x:c>
      <x:c r="D2668" s="43" t="n">
        <x:v>433.12545905077917</x:v>
      </x:c>
      <x:c r="E2668" s="43" t="n">
        <x:v>6131.679851945648</x:v>
      </x:c>
      <x:c r="F2668" s="43" t="n">
        <x:v>298.1529344056463</x:v>
      </x:c>
      <x:c r="G2668" s="43" t="n">
        <x:v>930.5100569814444</x:v>
      </x:c>
      <x:c r="H2668" s="43" t="n">
        <x:v>34946.531697616476</x:v>
      </x:c>
      <x:c r="I2668" s="43" t="n">
        <x:v>42740</x:v>
      </x:c>
      <x:c r="J2668" s="43" t="n">
        <x:v>6137</x:v>
      </x:c>
      <x:c r="K2668" s="43" t="n">
        <x:v>475.79173295869003</x:v>
      </x:c>
      <x:c r="L2668" s="43" t="n">
        <x:v>177.63879855304376</x:v>
      </x:c>
    </x:row>
    <x:row r="2669" ht="15" hidden="0" customHeight="1">
      <x:c r="A2669" s="29" t="str">
        <x:v>42119</x:v>
      </x:c>
      <x:c r="B2669" s="29" t="str">
        <x:v>SCA-28</x:v>
      </x:c>
      <x:c r="C2669" s="44" t="n">
        <x:v>42313</x:v>
      </x:c>
      <x:c r="D2669" s="44" t="n">
        <x:v>506.7152564956445</x:v>
      </x:c>
      <x:c r="E2669" s="44" t="n">
        <x:v>5066.191829316475</x:v>
      </x:c>
      <x:c r="F2669" s="44" t="n">
        <x:v>275.87254911976595</x:v>
      </x:c>
      <x:c r="G2669" s="44" t="n">
        <x:v>2497.6110891610697</x:v>
      </x:c>
      <x:c r="H2669" s="44" t="n">
        <x:v>33966.609275907045</x:v>
      </x:c>
      <x:c r="I2669" s="44" t="n">
        <x:v>42313</x:v>
      </x:c>
      <x:c r="J2669" s="44" t="n">
        <x:v>4735</x:v>
      </x:c>
      <x:c r="K2669" s="44" t="n">
        <x:v>571.4964793938906</x:v>
      </x:c>
      <x:c r="L2669" s="44" t="n">
        <x:v>295.62393027412463</x:v>
      </x:c>
    </x:row>
    <x:row r="2670" ht="15" hidden="0" customHeight="1">
      <x:c r="A2670" s="27" t="str">
        <x:v>42117</x:v>
      </x:c>
      <x:c r="B2670" s="27" t="str">
        <x:v>SCA-28</x:v>
      </x:c>
      <x:c r="C2670" s="43" t="n">
        <x:v>40502</x:v>
      </x:c>
      <x:c r="D2670" s="43" t="n">
        <x:v>586.2128548569217</x:v>
      </x:c>
      <x:c r="E2670" s="43" t="n">
        <x:v>7277.799694806793</x:v>
      </x:c>
      <x:c r="F2670" s="43" t="n">
        <x:v>264.0651805461385</x:v>
      </x:c>
      <x:c r="G2670" s="43" t="n">
        <x:v>1058.295594388383</x:v>
      </x:c>
      <x:c r="H2670" s="43" t="n">
        <x:v>31315.626675401763</x:v>
      </x:c>
      <x:c r="I2670" s="43" t="n">
        <x:v>40502</x:v>
      </x:c>
      <x:c r="J2670" s="43" t="n">
        <x:v>7605</x:v>
      </x:c>
      <x:c r="K2670" s="43" t="n">
        <x:v>547.036381452777</x:v>
      </x:c>
      <x:c r="L2670" s="43" t="n">
        <x:v>282.97120090663856</x:v>
      </x:c>
    </x:row>
    <x:row r="2671" ht="15" hidden="0" customHeight="1">
      <x:c r="A2671" s="29" t="str">
        <x:v>54069</x:v>
      </x:c>
      <x:c r="B2671" s="29" t="str">
        <x:v>SCA-28</x:v>
      </x:c>
      <x:c r="C2671" s="44" t="n">
        <x:v>40496</x:v>
      </x:c>
      <x:c r="D2671" s="44" t="n">
        <x:v>503.1892293631226</x:v>
      </x:c>
      <x:c r="E2671" s="44" t="n">
        <x:v>6358.922283100579</x:v>
      </x:c>
      <x:c r="F2671" s="44" t="n">
        <x:v>473.4624468545125</x:v>
      </x:c>
      <x:c r="G2671" s="44" t="n">
        <x:v>2810.827441487032</x:v>
      </x:c>
      <x:c r="H2671" s="44" t="n">
        <x:v>30349.598599194753</x:v>
      </x:c>
      <x:c r="I2671" s="44" t="n">
        <x:v>40496</x:v>
      </x:c>
      <x:c r="J2671" s="44" t="n">
        <x:v>6723</x:v>
      </x:c>
      <x:c r="K2671" s="44" t="n">
        <x:v>711.6965810884443</x:v>
      </x:c>
      <x:c r="L2671" s="44" t="n">
        <x:v>238.2341342339318</x:v>
      </x:c>
    </x:row>
    <x:row r="2672" ht="15" hidden="0" customHeight="1">
      <x:c r="A2672" s="27" t="str">
        <x:v>36073</x:v>
      </x:c>
      <x:c r="B2672" s="27" t="str">
        <x:v>SCA-28</x:v>
      </x:c>
      <x:c r="C2672" s="43" t="n">
        <x:v>39825</x:v>
      </x:c>
      <x:c r="D2672" s="43" t="n">
        <x:v>465.62872303519134</x:v>
      </x:c>
      <x:c r="E2672" s="43" t="n">
        <x:v>6105.379273955255</x:v>
      </x:c>
      <x:c r="F2672" s="43" t="n">
        <x:v>133.25040451097868</x:v>
      </x:c>
      <x:c r="G2672" s="43" t="n">
        <x:v>2112.952181827776</x:v>
      </x:c>
      <x:c r="H2672" s="43" t="n">
        <x:v>31007.7894166708</x:v>
      </x:c>
      <x:c r="I2672" s="43" t="n">
        <x:v>39825</x:v>
      </x:c>
      <x:c r="J2672" s="43" t="n">
        <x:v>6053</x:v>
      </x:c>
      <x:c r="K2672" s="43" t="n">
        <x:v>344.48832446470107</x:v>
      </x:c>
      <x:c r="L2672" s="43" t="n">
        <x:v>211.23791995372238</x:v>
      </x:c>
    </x:row>
    <x:row r="2673" ht="15" hidden="0" customHeight="1">
      <x:c r="A2673" s="29" t="str">
        <x:v>36121</x:v>
      </x:c>
      <x:c r="B2673" s="29" t="str">
        <x:v>SCA-28</x:v>
      </x:c>
      <x:c r="C2673" s="44" t="n">
        <x:v>39741</x:v>
      </x:c>
      <x:c r="D2673" s="44" t="n">
        <x:v>430.1412721172708</x:v>
      </x:c>
      <x:c r="E2673" s="44" t="n">
        <x:v>5264.373625726209</x:v>
      </x:c>
      <x:c r="F2673" s="44" t="n">
        <x:v>132.96934904383687</x:v>
      </x:c>
      <x:c r="G2673" s="44" t="n">
        <x:v>1776.1787633308786</x:v>
      </x:c>
      <x:c r="H2673" s="44" t="n">
        <x:v>32137.33698978181</x:v>
      </x:c>
      <x:c r="I2673" s="44" t="n">
        <x:v>39741</x:v>
      </x:c>
      <x:c r="J2673" s="44" t="n">
        <x:v>5059</x:v>
      </x:c>
      <x:c r="K2673" s="44" t="n">
        <x:v>343.7617200891823</x:v>
      </x:c>
      <x:c r="L2673" s="44" t="n">
        <x:v>210.79237104534542</x:v>
      </x:c>
    </x:row>
    <x:row r="2674" ht="15" hidden="0" customHeight="1">
      <x:c r="A2674" s="27" t="str">
        <x:v>42109</x:v>
      </x:c>
      <x:c r="B2674" s="27" t="str">
        <x:v>SCA-28</x:v>
      </x:c>
      <x:c r="C2674" s="43" t="n">
        <x:v>39655</x:v>
      </x:c>
      <x:c r="D2674" s="43" t="n">
        <x:v>522.8570401155253</x:v>
      </x:c>
      <x:c r="E2674" s="43" t="n">
        <x:v>5899.283709529159</x:v>
      </x:c>
      <x:c r="F2674" s="43" t="n">
        <x:v>258.542904907341</x:v>
      </x:c>
      <x:c r="G2674" s="43" t="n">
        <x:v>1942.73835665407</x:v>
      </x:c>
      <x:c r="H2674" s="43" t="n">
        <x:v>31031.577988793906</x:v>
      </x:c>
      <x:c r="I2674" s="43" t="n">
        <x:v>39655</x:v>
      </x:c>
      <x:c r="J2674" s="43" t="n">
        <x:v>6069</x:v>
      </x:c>
      <x:c r="K2674" s="43" t="n">
        <x:v>535.5964571258179</x:v>
      </x:c>
      <x:c r="L2674" s="43" t="n">
        <x:v>277.0535522184769</x:v>
      </x:c>
    </x:row>
    <x:row r="2675" ht="15" hidden="0" customHeight="1">
      <x:c r="A2675" s="29" t="str">
        <x:v>42083</x:v>
      </x:c>
      <x:c r="B2675" s="29" t="str">
        <x:v>SCA-28</x:v>
      </x:c>
      <x:c r="C2675" s="44" t="n">
        <x:v>38984</x:v>
      </x:c>
      <x:c r="D2675" s="44" t="n">
        <x:v>589.9266707793688</x:v>
      </x:c>
      <x:c r="E2675" s="44" t="n">
        <x:v>7621.467023116842</x:v>
      </x:c>
      <x:c r="F2675" s="44" t="n">
        <x:v>254.16811511556625</x:v>
      </x:c>
      <x:c r="G2675" s="44" t="n">
        <x:v>2044.632803899984</x:v>
      </x:c>
      <x:c r="H2675" s="44" t="n">
        <x:v>28473.80538708824</x:v>
      </x:c>
      <x:c r="I2675" s="44" t="n">
        <x:v>38984</x:v>
      </x:c>
      <x:c r="J2675" s="44" t="n">
        <x:v>7770</x:v>
      </x:c>
      <x:c r="K2675" s="44" t="n">
        <x:v>526.5336599317333</x:v>
      </x:c>
      <x:c r="L2675" s="44" t="n">
        <x:v>272.365544816167</x:v>
      </x:c>
    </x:row>
    <x:row r="2676" ht="15" hidden="0" customHeight="1">
      <x:c r="A2676" s="27" t="str">
        <x:v>39059</x:v>
      </x:c>
      <x:c r="B2676" s="27" t="str">
        <x:v>SCA-28</x:v>
      </x:c>
      <x:c r="C2676" s="43" t="n">
        <x:v>38379</x:v>
      </x:c>
      <x:c r="D2676" s="43" t="n">
        <x:v>538.1790385423358</x:v>
      </x:c>
      <x:c r="E2676" s="43" t="n">
        <x:v>6275.679286147998</x:v>
      </x:c>
      <x:c r="F2676" s="43" t="n">
        <x:v>224.3344755290999</x:v>
      </x:c>
      <x:c r="G2676" s="43" t="n">
        <x:v>2276.194580110351</x:v>
      </x:c>
      <x:c r="H2676" s="43" t="n">
        <x:v>29064.612619670217</x:v>
      </x:c>
      <x:c r="I2676" s="43" t="n">
        <x:v>38379</x:v>
      </x:c>
      <x:c r="J2676" s="43" t="n">
        <x:v>6452</x:v>
      </x:c>
      <x:c r="K2676" s="43" t="n">
        <x:v>501.02687714860247</x:v>
      </x:c>
      <x:c r="L2676" s="43" t="n">
        <x:v>276.69240161950256</x:v>
      </x:c>
    </x:row>
    <x:row r="2677" ht="15" hidden="0" customHeight="1">
      <x:c r="A2677" s="29" t="str">
        <x:v>54019</x:v>
      </x:c>
      <x:c r="B2677" s="29" t="str">
        <x:v>SCA-28</x:v>
      </x:c>
      <x:c r="C2677" s="44" t="n">
        <x:v>38165</x:v>
      </x:c>
      <x:c r="D2677" s="44" t="n">
        <x:v>550.8178718922993</x:v>
      </x:c>
      <x:c r="E2677" s="44" t="n">
        <x:v>7831.122959568874</x:v>
      </x:c>
      <x:c r="F2677" s="44" t="n">
        <x:v>446.20936102831075</x:v>
      </x:c>
      <x:c r="G2677" s="44" t="n">
        <x:v>1611.4381166853245</x:v>
      </x:c>
      <x:c r="H2677" s="44" t="n">
        <x:v>27725.411690825196</x:v>
      </x:c>
      <x:c r="I2677" s="44" t="n">
        <x:v>38165</x:v>
      </x:c>
      <x:c r="J2677" s="44" t="n">
        <x:v>8210</x:v>
      </x:c>
      <x:c r="K2677" s="44" t="n">
        <x:v>670.7304429385737</x:v>
      </x:c>
      <x:c r="L2677" s="44" t="n">
        <x:v>224.52108191026292</x:v>
      </x:c>
    </x:row>
    <x:row r="2678" ht="15" hidden="0" customHeight="1">
      <x:c r="A2678" s="27" t="str">
        <x:v>42035</x:v>
      </x:c>
      <x:c r="B2678" s="27" t="str">
        <x:v>SCA-28</x:v>
      </x:c>
      <x:c r="C2678" s="43" t="n">
        <x:v>37870</x:v>
      </x:c>
      <x:c r="D2678" s="43" t="n">
        <x:v>514.8880638000262</x:v>
      </x:c>
      <x:c r="E2678" s="43" t="n">
        <x:v>6007.334145490649</x:v>
      </x:c>
      <x:c r="F2678" s="43" t="n">
        <x:v>246.90505128838743</x:v>
      </x:c>
      <x:c r="G2678" s="43" t="n">
        <x:v>2690.0140204470445</x:v>
      </x:c>
      <x:c r="H2678" s="43" t="n">
        <x:v>28410.858718973894</x:v>
      </x:c>
      <x:c r="I2678" s="43" t="n">
        <x:v>37870</x:v>
      </x:c>
      <x:c r="J2678" s="43" t="n">
        <x:v>6158</x:v>
      </x:c>
      <x:c r="K2678" s="43" t="n">
        <x:v>511.48752569296994</x:v>
      </x:c>
      <x:c r="L2678" s="43" t="n">
        <x:v>264.5824744045825</x:v>
      </x:c>
    </x:row>
    <x:row r="2679" ht="15" hidden="0" customHeight="1">
      <x:c r="A2679" s="29" t="str">
        <x:v>39031</x:v>
      </x:c>
      <x:c r="B2679" s="29" t="str">
        <x:v>SCA-28</x:v>
      </x:c>
      <x:c r="C2679" s="44" t="n">
        <x:v>37188</x:v>
      </x:c>
      <x:c r="D2679" s="44" t="n">
        <x:v>506.99382769707876</x:v>
      </x:c>
      <x:c r="E2679" s="44" t="n">
        <x:v>5733.309829913311</x:v>
      </x:c>
      <x:c r="F2679" s="44" t="n">
        <x:v>217.37279439214586</x:v>
      </x:c>
      <x:c r="G2679" s="44" t="n">
        <x:v>3355.9421705256227</x:v>
      </x:c>
      <x:c r="H2679" s="44" t="n">
        <x:v>27374.38137747184</x:v>
      </x:c>
      <x:c r="I2679" s="44" t="n">
        <x:v>37188</x:v>
      </x:c>
      <x:c r="J2679" s="44" t="n">
        <x:v>5854</x:v>
      </x:c>
      <x:c r="K2679" s="44" t="n">
        <x:v>485.47871250950334</x:v>
      </x:c>
      <x:c r="L2679" s="44" t="n">
        <x:v>268.1059181173575</x:v>
      </x:c>
    </x:row>
    <x:row r="2680" ht="15" hidden="0" customHeight="1">
      <x:c r="A2680" s="27" t="str">
        <x:v>42123</x:v>
      </x:c>
      <x:c r="B2680" s="27" t="str">
        <x:v>SCA-28</x:v>
      </x:c>
      <x:c r="C2680" s="43" t="n">
        <x:v>37038</x:v>
      </x:c>
      <x:c r="D2680" s="43" t="n">
        <x:v>502.89725037299985</x:v>
      </x:c>
      <x:c r="E2680" s="43" t="n">
        <x:v>5859.063016400472</x:v>
      </x:c>
      <x:c r="F2680" s="43" t="n">
        <x:v>241.48057273882472</x:v>
      </x:c>
      <x:c r="G2680" s="43" t="n">
        <x:v>1299.181812091328</x:v>
      </x:c>
      <x:c r="H2680" s="43" t="n">
        <x:v>29135.377348396374</x:v>
      </x:c>
      <x:c r="I2680" s="43" t="n">
        <x:v>37038</x:v>
      </x:c>
      <x:c r="J2680" s="43" t="n">
        <x:v>6149</x:v>
      </x:c>
      <x:c r="K2680" s="43" t="n">
        <x:v>500.2501974284716</x:v>
      </x:c>
      <x:c r="L2680" s="43" t="n">
        <x:v>258.7696246896469</x:v>
      </x:c>
    </x:row>
    <x:row r="2681" ht="15" hidden="0" customHeight="1">
      <x:c r="A2681" s="29" t="str">
        <x:v>42031</x:v>
      </x:c>
      <x:c r="B2681" s="29" t="str">
        <x:v>SCA-28</x:v>
      </x:c>
      <x:c r="C2681" s="44" t="n">
        <x:v>36680</x:v>
      </x:c>
      <x:c r="D2681" s="44" t="n">
        <x:v>479.63153354320866</x:v>
      </x:c>
      <x:c r="E2681" s="44" t="n">
        <x:v>5360.714664349337</x:v>
      </x:c>
      <x:c r="F2681" s="44" t="n">
        <x:v>239.146482209085</x:v>
      </x:c>
      <x:c r="G2681" s="44" t="n">
        <x:v>1436.109385183576</x:v>
      </x:c>
      <x:c r="H2681" s="44" t="n">
        <x:v>29164.39793471479</x:v>
      </x:c>
      <x:c r="I2681" s="44" t="n">
        <x:v>36680</x:v>
      </x:c>
      <x:c r="J2681" s="44" t="n">
        <x:v>5606</x:v>
      </x:c>
      <x:c r="K2681" s="44" t="n">
        <x:v>495.41490473773797</x:v>
      </x:c>
      <x:c r="L2681" s="44" t="n">
        <x:v>256.26842252865293</x:v>
      </x:c>
    </x:row>
    <x:row r="2682" ht="15" hidden="0" customHeight="1">
      <x:c r="A2682" s="27" t="str">
        <x:v>39127</x:v>
      </x:c>
      <x:c r="B2682" s="27" t="str">
        <x:v>SCA-28</x:v>
      </x:c>
      <x:c r="C2682" s="43" t="n">
        <x:v>35918</x:v>
      </x:c>
      <x:c r="D2682" s="43" t="n">
        <x:v>492.8070890834241</x:v>
      </x:c>
      <x:c r="E2682" s="43" t="n">
        <x:v>5612.572869890371</x:v>
      </x:c>
      <x:c r="F2682" s="43" t="n">
        <x:v>209.94933927549465</x:v>
      </x:c>
      <x:c r="G2682" s="43" t="n">
        <x:v>1500.31330557208</x:v>
      </x:c>
      <x:c r="H2682" s="43" t="n">
        <x:v>28102.357396178628</x:v>
      </x:c>
      <x:c r="I2682" s="43" t="n">
        <x:v>35918</x:v>
      </x:c>
      <x:c r="J2682" s="43" t="n">
        <x:v>5746</x:v>
      </x:c>
      <x:c r="K2682" s="43" t="n">
        <x:v>468.89922544681997</x:v>
      </x:c>
      <x:c r="L2682" s="43" t="n">
        <x:v>258.9498861713253</x:v>
      </x:c>
    </x:row>
    <x:row r="2683" ht="15" hidden="0" customHeight="1">
      <x:c r="A2683" s="29" t="str">
        <x:v>54077</x:v>
      </x:c>
      <x:c r="B2683" s="29" t="str">
        <x:v>SCA-28</x:v>
      </x:c>
      <x:c r="C2683" s="44" t="n">
        <x:v>34004</x:v>
      </x:c>
      <x:c r="D2683" s="44" t="n">
        <x:v>446.92879882121366</x:v>
      </x:c>
      <x:c r="E2683" s="44" t="n">
        <x:v>5925.275663713899</x:v>
      </x:c>
      <x:c r="F2683" s="44" t="n">
        <x:v>397.5606737169311</x:v>
      </x:c>
      <x:c r="G2683" s="44" t="n">
        <x:v>1053.8022359798465</x:v>
      </x:c>
      <x:c r="H2683" s="44" t="n">
        <x:v>26180.43262776811</x:v>
      </x:c>
      <x:c r="I2683" s="44" t="n">
        <x:v>34004</x:v>
      </x:c>
      <x:c r="J2683" s="44" t="n">
        <x:v>5512</x:v>
      </x:c>
      <x:c r="K2683" s="44" t="n">
        <x:v>597.6029865500657</x:v>
      </x:c>
      <x:c r="L2683" s="44" t="n">
        <x:v>200.04231283313456</x:v>
      </x:c>
    </x:row>
    <x:row r="2684" ht="15" hidden="0" customHeight="1">
      <x:c r="A2684" s="27" t="str">
        <x:v>42059</x:v>
      </x:c>
      <x:c r="B2684" s="27" t="str">
        <x:v>SCA-28</x:v>
      </x:c>
      <x:c r="C2684" s="43" t="n">
        <x:v>33885</x:v>
      </x:c>
      <x:c r="D2684" s="43" t="n">
        <x:v>501.5492130878185</x:v>
      </x:c>
      <x:c r="E2684" s="43" t="n">
        <x:v>6355.399981686659</x:v>
      </x:c>
      <x:c r="F2684" s="43" t="n">
        <x:v>220.9236245816479</x:v>
      </x:c>
      <x:c r="G2684" s="43" t="n">
        <x:v>952.2762567530445</x:v>
      </x:c>
      <x:c r="H2684" s="43" t="n">
        <x:v>25854.85092389083</x:v>
      </x:c>
      <x:c r="I2684" s="43" t="n">
        <x:v>33885</x:v>
      </x:c>
      <x:c r="J2684" s="43" t="n">
        <x:v>6401</x:v>
      </x:c>
      <x:c r="K2684" s="43" t="n">
        <x:v>457.66450509918894</x:v>
      </x:c>
      <x:c r="L2684" s="43" t="n">
        <x:v>236.74088051754103</x:v>
      </x:c>
    </x:row>
    <x:row r="2685" ht="15" hidden="0" customHeight="1">
      <x:c r="A2685" s="29" t="str">
        <x:v>39079</x:v>
      </x:c>
      <x:c r="B2685" s="29" t="str">
        <x:v>SCA-28</x:v>
      </x:c>
      <x:c r="C2685" s="44" t="n">
        <x:v>32817</x:v>
      </x:c>
      <x:c r="D2685" s="44" t="n">
        <x:v>540.2000187730621</x:v>
      </x:c>
      <x:c r="E2685" s="44" t="n">
        <x:v>7286.561073427114</x:v>
      </x:c>
      <x:c r="F2685" s="44" t="n">
        <x:v>191.82324926231718</x:v>
      </x:c>
      <x:c r="G2685" s="44" t="n">
        <x:v>1273.3719585716497</x:v>
      </x:c>
      <x:c r="H2685" s="44" t="n">
        <x:v>23525.043699965856</x:v>
      </x:c>
      <x:c r="I2685" s="44" t="n">
        <x:v>32817</x:v>
      </x:c>
      <x:c r="J2685" s="44" t="n">
        <x:v>7481</x:v>
      </x:c>
      <x:c r="K2685" s="44" t="n">
        <x:v>428.41655664258286</x:v>
      </x:c>
      <x:c r="L2685" s="44" t="n">
        <x:v>236.59330738026568</x:v>
      </x:c>
    </x:row>
    <x:row r="2686" ht="15" hidden="0" customHeight="1">
      <x:c r="A2686" s="27" t="str">
        <x:v>54025</x:v>
      </x:c>
      <x:c r="B2686" s="27" t="str">
        <x:v>SCA-28</x:v>
      </x:c>
      <x:c r="C2686" s="43" t="n">
        <x:v>31578</x:v>
      </x:c>
      <x:c r="D2686" s="43" t="n">
        <x:v>433.36396219088</x:v>
      </x:c>
      <x:c r="E2686" s="43" t="n">
        <x:v>5942.245864505795</x:v>
      </x:c>
      <x:c r="F2686" s="43" t="n">
        <x:v>369.19688726718186</x:v>
      </x:c>
      <x:c r="G2686" s="43" t="n">
        <x:v>923.7759351738434</x:v>
      </x:c>
      <x:c r="H2686" s="43" t="n">
        <x:v>23909.4173508623</x:v>
      </x:c>
      <x:c r="I2686" s="43" t="n">
        <x:v>31578</x:v>
      </x:c>
      <x:c r="J2686" s="43" t="n">
        <x:v>6241</x:v>
      </x:c>
      <x:c r="K2686" s="43" t="n">
        <x:v>554.9672717703204</x:v>
      </x:c>
      <x:c r="L2686" s="43" t="n">
        <x:v>185.77038450313853</x:v>
      </x:c>
    </x:row>
    <x:row r="2687" ht="15" hidden="0" customHeight="1">
      <x:c r="A2687" s="29" t="str">
        <x:v>42047</x:v>
      </x:c>
      <x:c r="B2687" s="29" t="str">
        <x:v>SCA-28</x:v>
      </x:c>
      <x:c r="C2687" s="44" t="n">
        <x:v>29926</x:v>
      </x:c>
      <x:c r="D2687" s="44" t="n">
        <x:v>407.5776951733386</x:v>
      </x:c>
      <x:c r="E2687" s="44" t="n">
        <x:v>4763.9221677419355</x:v>
      </x:c>
      <x:c r="F2687" s="44" t="n">
        <x:v>195.1117128295823</x:v>
      </x:c>
      <x:c r="G2687" s="44" t="n">
        <x:v>885.0618031430936</x:v>
      </x:c>
      <x:c r="H2687" s="44" t="n">
        <x:v>23674.32662111205</x:v>
      </x:c>
      <x:c r="I2687" s="44" t="n">
        <x:v>29926</x:v>
      </x:c>
      <x:c r="J2687" s="44" t="n">
        <x:v>5012</x:v>
      </x:c>
      <x:c r="K2687" s="44" t="n">
        <x:v>404.1926510136736</x:v>
      </x:c>
      <x:c r="L2687" s="44" t="n">
        <x:v>209.08093818409128</x:v>
      </x:c>
    </x:row>
    <x:row r="2688" ht="15" hidden="0" customHeight="1">
      <x:c r="A2688" s="27" t="str">
        <x:v>54051</x:v>
      </x:c>
      <x:c r="B2688" s="27" t="str">
        <x:v>SCA-28</x:v>
      </x:c>
      <x:c r="C2688" s="43" t="n">
        <x:v>29159</x:v>
      </x:c>
      <x:c r="D2688" s="43" t="n">
        <x:v>401.10408673995005</x:v>
      </x:c>
      <x:c r="E2688" s="43" t="n">
        <x:v>5509.54680550798</x:v>
      </x:c>
      <x:c r="F2688" s="43" t="n">
        <x:v>340.91494191600975</x:v>
      </x:c>
      <x:c r="G2688" s="43" t="n">
        <x:v>1428.4533808316778</x:v>
      </x:c>
      <x:c r="H2688" s="43" t="n">
        <x:v>21478.980785004384</x:v>
      </x:c>
      <x:c r="I2688" s="43" t="n">
        <x:v>29159</x:v>
      </x:c>
      <x:c r="J2688" s="43" t="n">
        <x:v>5746</x:v>
      </x:c>
      <x:c r="K2688" s="43" t="n">
        <x:v>512.4545784264606</x:v>
      </x:c>
      <x:c r="L2688" s="43" t="n">
        <x:v>171.53963651045083</x:v>
      </x:c>
    </x:row>
    <x:row r="2689" ht="15" hidden="0" customHeight="1">
      <x:c r="A2689" s="29" t="str">
        <x:v>39053</x:v>
      </x:c>
      <x:c r="B2689" s="29" t="str">
        <x:v>SCA-28</x:v>
      </x:c>
      <x:c r="C2689" s="44" t="n">
        <x:v>29072</x:v>
      </x:c>
      <x:c r="D2689" s="44" t="n">
        <x:v>443.96897265672385</x:v>
      </x:c>
      <x:c r="E2689" s="44" t="n">
        <x:v>5625.003487351035</x:v>
      </x:c>
      <x:c r="F2689" s="44" t="n">
        <x:v>169.9328245285701</x:v>
      </x:c>
      <x:c r="G2689" s="44" t="n">
        <x:v>1532.6302529793015</x:v>
      </x:c>
      <x:c r="H2689" s="44" t="n">
        <x:v>21300.46446248437</x:v>
      </x:c>
      <x:c r="I2689" s="44" t="n">
        <x:v>29072</x:v>
      </x:c>
      <x:c r="J2689" s="44" t="n">
        <x:v>5784</x:v>
      </x:c>
      <x:c r="K2689" s="44" t="n">
        <x:v>379.5266518790008</x:v>
      </x:c>
      <x:c r="L2689" s="44" t="n">
        <x:v>209.59382735043067</x:v>
      </x:c>
    </x:row>
    <x:row r="2690" ht="15" hidden="0" customHeight="1">
      <x:c r="A2690" s="27" t="str">
        <x:v>24023</x:v>
      </x:c>
      <x:c r="B2690" s="27" t="str">
        <x:v>SCA-28</x:v>
      </x:c>
      <x:c r="C2690" s="43" t="n">
        <x:v>28370</x:v>
      </x:c>
      <x:c r="D2690" s="43" t="n">
        <x:v>356.9207091543535</x:v>
      </x:c>
      <x:c r="E2690" s="43" t="n">
        <x:v>5399.9996602251</x:v>
      </x:c>
      <x:c r="F2690" s="43" t="n">
        <x:v>133.90469981442186</x:v>
      </x:c>
      <x:c r="G2690" s="43" t="n">
        <x:v>1142.461244425568</x:v>
      </x:c>
      <x:c r="H2690" s="43" t="n">
        <x:v>21336.713686380554</x:v>
      </x:c>
      <x:c r="I2690" s="43" t="n">
        <x:v>28370</x:v>
      </x:c>
      <x:c r="J2690" s="43" t="n">
        <x:v>5602</x:v>
      </x:c>
      <x:c r="K2690" s="43" t="n">
        <x:v>265.8254231260628</x:v>
      </x:c>
      <x:c r="L2690" s="43" t="n">
        <x:v>131.92072331164093</x:v>
      </x:c>
    </x:row>
    <x:row r="2691" ht="15" hidden="0" customHeight="1">
      <x:c r="A2691" s="29" t="str">
        <x:v>51840</x:v>
      </x:c>
      <x:c r="B2691" s="29" t="str">
        <x:v>SCA-28</x:v>
      </x:c>
      <x:c r="C2691" s="44" t="n">
        <x:v>28272</x:v>
      </x:c>
      <x:c r="D2691" s="44" t="n">
        <x:v>296.4426544080607</x:v>
      </x:c>
      <x:c r="E2691" s="44" t="n">
        <x:v>4294.481012658228</x:v>
      </x:c>
      <x:c r="F2691" s="44" t="n">
        <x:v>197.2246083649142</x:v>
      </x:c>
      <x:c r="G2691" s="44" t="n">
        <x:v>1726.8955696202534</x:v>
      </x:c>
      <x:c r="H2691" s="44" t="n">
        <x:v>21756.956154948544</x:v>
      </x:c>
      <x:c r="I2691" s="44" t="n">
        <x:v>28272</x:v>
      </x:c>
      <x:c r="J2691" s="44" t="n">
        <x:v>4375</x:v>
      </x:c>
      <x:c r="K2691" s="44" t="n">
        <x:v>314.7305539122154</x:v>
      </x:c>
      <x:c r="L2691" s="44" t="n">
        <x:v>117.5059455473012</x:v>
      </x:c>
    </x:row>
    <x:row r="2692" ht="15" hidden="0" customHeight="1">
      <x:c r="A2692" s="27" t="str">
        <x:v>54029</x:v>
      </x:c>
      <x:c r="B2692" s="27" t="str">
        <x:v>SCA-28</x:v>
      </x:c>
      <x:c r="C2692" s="43" t="n">
        <x:v>27729</x:v>
      </x:c>
      <x:c r="D2692" s="43" t="n">
        <x:v>371.06254176730374</x:v>
      </x:c>
      <x:c r="E2692" s="43" t="n">
        <x:v>4990.451037081807</x:v>
      </x:c>
      <x:c r="F2692" s="43" t="n">
        <x:v>324.19597463524246</x:v>
      </x:c>
      <x:c r="G2692" s="43" t="n">
        <x:v>1332.1411099655138</x:v>
      </x:c>
      <x:c r="H2692" s="43" t="n">
        <x:v>20711.149336550134</x:v>
      </x:c>
      <x:c r="I2692" s="43" t="n">
        <x:v>27729</x:v>
      </x:c>
      <x:c r="J2692" s="43" t="n">
        <x:v>5273</x:v>
      </x:c>
      <x:c r="K2692" s="43" t="n">
        <x:v>487.32305652413754</x:v>
      </x:c>
      <x:c r="L2692" s="43" t="n">
        <x:v>163.12708188889508</x:v>
      </x:c>
    </x:row>
    <x:row r="2693" ht="15" hidden="0" customHeight="1">
      <x:c r="A2693" s="29" t="str">
        <x:v>39073</x:v>
      </x:c>
      <x:c r="B2693" s="29" t="str">
        <x:v>SCA-28</x:v>
      </x:c>
      <x:c r="C2693" s="44" t="n">
        <x:v>27512</x:v>
      </x:c>
      <x:c r="D2693" s="44" t="n">
        <x:v>391.58846721355974</x:v>
      </x:c>
      <x:c r="E2693" s="44" t="n">
        <x:v>4637.794062273714</x:v>
      </x:c>
      <x:c r="F2693" s="44" t="n">
        <x:v>160.81424973961273</x:v>
      </x:c>
      <x:c r="G2693" s="44" t="n">
        <x:v>1075.020999275887</x:v>
      </x:c>
      <x:c r="H2693" s="44" t="n">
        <x:v>21246.782221497222</x:v>
      </x:c>
      <x:c r="I2693" s="44" t="n">
        <x:v>27512</x:v>
      </x:c>
      <x:c r="J2693" s="44" t="n">
        <x:v>4850</x:v>
      </x:c>
      <x:c r="K2693" s="44" t="n">
        <x:v>359.1612976917677</x:v>
      </x:c>
      <x:c r="L2693" s="44" t="n">
        <x:v>198.34704795215495</x:v>
      </x:c>
    </x:row>
    <x:row r="2694" ht="15" hidden="0" customHeight="1">
      <x:c r="A2694" s="27" t="str">
        <x:v>54035</x:v>
      </x:c>
      <x:c r="B2694" s="27" t="str">
        <x:v>SCA-28</x:v>
      </x:c>
      <x:c r="C2694" s="43" t="n">
        <x:v>27450</x:v>
      </x:c>
      <x:c r="D2694" s="43" t="n">
        <x:v>404.6476747562592</x:v>
      </x:c>
      <x:c r="E2694" s="43" t="n">
        <x:v>5835.886162904809</x:v>
      </x:c>
      <x:c r="F2694" s="43" t="n">
        <x:v>320.93402227766614</x:v>
      </x:c>
      <x:c r="G2694" s="43" t="n">
        <x:v>1341.4262348707882</x:v>
      </x:c>
      <x:c r="H2694" s="43" t="n">
        <x:v>19547.105905190478</x:v>
      </x:c>
      <x:c r="I2694" s="43" t="n">
        <x:v>27450</x:v>
      </x:c>
      <x:c r="J2694" s="43" t="n">
        <x:v>6093</x:v>
      </x:c>
      <x:c r="K2694" s="43" t="n">
        <x:v>482.4197735795584</x:v>
      </x:c>
      <x:c r="L2694" s="43" t="n">
        <x:v>161.48575130189224</x:v>
      </x:c>
    </x:row>
    <x:row r="2695" ht="15" hidden="0" customHeight="1">
      <x:c r="A2695" s="29" t="str">
        <x:v>54083</x:v>
      </x:c>
      <x:c r="B2695" s="29" t="str">
        <x:v>SCA-28</x:v>
      </x:c>
      <x:c r="C2695" s="44" t="n">
        <x:v>26882</x:v>
      </x:c>
      <x:c r="D2695" s="44" t="n">
        <x:v>315.97230860213693</x:v>
      </x:c>
      <x:c r="E2695" s="44" t="n">
        <x:v>3787.8731406611505</x:v>
      </x:c>
      <x:c r="F2695" s="44" t="n">
        <x:v>314.29320170740334</x:v>
      </x:c>
      <x:c r="G2695" s="44" t="n">
        <x:v>915.5066075840163</x:v>
      </x:c>
      <x:c r="H2695" s="44" t="n">
        <x:v>21548.35474144529</x:v>
      </x:c>
      <x:c r="I2695" s="44" t="n">
        <x:v>26882</x:v>
      </x:c>
      <x:c r="J2695" s="44" t="n">
        <x:v>3743</x:v>
      </x:c>
      <x:c r="K2695" s="44" t="n">
        <x:v>472.43746278199234</x:v>
      </x:c>
      <x:c r="L2695" s="44" t="n">
        <x:v>158.14426107458897</x:v>
      </x:c>
    </x:row>
    <x:row r="2696" ht="15" hidden="0" customHeight="1">
      <x:c r="A2696" s="27" t="str">
        <x:v>54057</x:v>
      </x:c>
      <x:c r="B2696" s="27" t="str">
        <x:v>SCA-28</x:v>
      </x:c>
      <x:c r="C2696" s="43" t="n">
        <x:v>26792</x:v>
      </x:c>
      <x:c r="D2696" s="43" t="n">
        <x:v>327.9978449982877</x:v>
      </x:c>
      <x:c r="E2696" s="43" t="n">
        <x:v>4089.1930896810504</x:v>
      </x:c>
      <x:c r="F2696" s="43" t="n">
        <x:v>313.240959011411</x:v>
      </x:c>
      <x:c r="G2696" s="43" t="n">
        <x:v>1193.8181425891182</x:v>
      </x:c>
      <x:c r="H2696" s="43" t="n">
        <x:v>20867.749963720133</x:v>
      </x:c>
      <x:c r="I2696" s="43" t="n">
        <x:v>26792</x:v>
      </x:c>
      <x:c r="J2696" s="43" t="n">
        <x:v>4237</x:v>
      </x:c>
      <x:c r="K2696" s="43" t="n">
        <x:v>470.8557586063216</x:v>
      </x:c>
      <x:c r="L2696" s="43" t="n">
        <x:v>157.6147995949106</x:v>
      </x:c>
    </x:row>
    <x:row r="2697" ht="15" hidden="0" customHeight="1">
      <x:c r="A2697" s="29" t="str">
        <x:v>51600</x:v>
      </x:c>
      <x:c r="B2697" s="29" t="str">
        <x:v>SCA-28</x:v>
      </x:c>
      <x:c r="C2697" s="44" t="n">
        <x:v>26772</x:v>
      </x:c>
      <x:c r="D2697" s="44" t="n">
        <x:v>195.49757494001946</x:v>
      </x:c>
      <x:c r="E2697" s="44" t="n">
        <x:v>2021.4246727605118</x:v>
      </x:c>
      <x:c r="F2697" s="44" t="n">
        <x:v>186.76065418596076</x:v>
      </x:c>
      <x:c r="G2697" s="44" t="n">
        <x:v>1016.2476944952265</x:v>
      </x:c>
      <x:c r="H2697" s="44" t="n">
        <x:v>23352.069403618283</x:v>
      </x:c>
      <x:c r="I2697" s="44" t="n">
        <x:v>26772</x:v>
      </x:c>
      <x:c r="J2697" s="44" t="n">
        <x:v>1936</x:v>
      </x:c>
      <x:c r="K2697" s="44" t="n">
        <x:v>298.03220109429225</x:v>
      </x:c>
      <x:c r="L2697" s="44" t="n">
        <x:v>111.27154690833149</x:v>
      </x:c>
    </x:row>
    <x:row r="2698" ht="15" hidden="0" customHeight="1">
      <x:c r="A2698" s="27" t="str">
        <x:v>39019</x:v>
      </x:c>
      <x:c r="B2698" s="27" t="str">
        <x:v>SCA-28</x:v>
      </x:c>
      <x:c r="C2698" s="43" t="n">
        <x:v>26475</x:v>
      </x:c>
      <x:c r="D2698" s="43" t="n">
        <x:v>389.3381760937786</x:v>
      </x:c>
      <x:c r="E2698" s="43" t="n">
        <x:v>4763.216463645305</x:v>
      </x:c>
      <x:c r="F2698" s="43" t="n">
        <x:v>154.75273560105578</x:v>
      </x:c>
      <x:c r="G2698" s="43" t="n">
        <x:v>1515.886358477718</x:v>
      </x:c>
      <x:c r="H2698" s="43" t="n">
        <x:v>19651.806266182142</x:v>
      </x:c>
      <x:c r="I2698" s="43" t="n">
        <x:v>26475</x:v>
      </x:c>
      <x:c r="J2698" s="43" t="n">
        <x:v>4954</x:v>
      </x:c>
      <x:c r="K2698" s="43" t="n">
        <x:v>345.6235590429467</x:v>
      </x:c>
      <x:c r="L2698" s="43" t="n">
        <x:v>190.8708234418909</x:v>
      </x:c>
    </x:row>
    <x:row r="2699" ht="15" hidden="0" customHeight="1">
      <x:c r="A2699" s="29" t="str">
        <x:v>54053</x:v>
      </x:c>
      <x:c r="B2699" s="29" t="str">
        <x:v>SCA-28</x:v>
      </x:c>
      <x:c r="C2699" s="44" t="n">
        <x:v>24707</x:v>
      </x:c>
      <x:c r="D2699" s="44" t="n">
        <x:v>343.9002984955848</x:v>
      </x:c>
      <x:c r="E2699" s="44" t="n">
        <x:v>4765.232556317335</x:v>
      </x:c>
      <x:c r="F2699" s="44" t="n">
        <x:v>288.86400322092163</x:v>
      </x:c>
      <x:c r="G2699" s="44" t="n">
        <x:v>707.9973065621938</x:v>
      </x:c>
      <x:c r="H2699" s="44" t="n">
        <x:v>18601.005835403965</x:v>
      </x:c>
      <x:c r="I2699" s="44" t="n">
        <x:v>24707</x:v>
      </x:c>
      <x:c r="J2699" s="44" t="n">
        <x:v>4923</x:v>
      </x:c>
      <x:c r="K2699" s="44" t="n">
        <x:v>434.21294520328416</x:v>
      </x:c>
      <x:c r="L2699" s="44" t="n">
        <x:v>145.34894198236253</x:v>
      </x:c>
    </x:row>
    <x:row r="2700" ht="15" hidden="0" customHeight="1">
      <x:c r="A2700" s="27" t="str">
        <x:v>54027</x:v>
      </x:c>
      <x:c r="B2700" s="27" t="str">
        <x:v>SCA-28</x:v>
      </x:c>
      <x:c r="C2700" s="43" t="n">
        <x:v>24105</x:v>
      </x:c>
      <x:c r="D2700" s="43" t="n">
        <x:v>380.40095270209406</x:v>
      </x:c>
      <x:c r="E2700" s="43" t="n">
        <x:v>5726.244473477919</x:v>
      </x:c>
      <x:c r="F2700" s="43" t="n">
        <x:v>281.8256687432839</x:v>
      </x:c>
      <x:c r="G2700" s="43" t="n">
        <x:v>494.42383067677036</x:v>
      </x:c>
      <x:c r="H2700" s="43" t="n">
        <x:v>17222.10507439993</x:v>
      </x:c>
      <x:c r="I2700" s="43" t="n">
        <x:v>24105</x:v>
      </x:c>
      <x:c r="J2700" s="43" t="n">
        <x:v>5682</x:v>
      </x:c>
      <x:c r="K2700" s="43" t="n">
        <x:v>423.63310171713135</x:v>
      </x:c>
      <x:c r="L2700" s="43" t="n">
        <x:v>141.80743297384743</x:v>
      </x:c>
    </x:row>
    <x:row r="2701" ht="15" hidden="0" customHeight="1">
      <x:c r="A2701" s="29" t="str">
        <x:v>54067</x:v>
      </x:c>
      <x:c r="B2701" s="29" t="str">
        <x:v>SCA-28</x:v>
      </x:c>
      <x:c r="C2701" s="44" t="n">
        <x:v>23848</x:v>
      </x:c>
      <x:c r="D2701" s="44" t="n">
        <x:v>350.3735326790631</x:v>
      </x:c>
      <x:c r="E2701" s="44" t="n">
        <x:v>5041.87215299913</x:v>
      </x:c>
      <x:c r="F2701" s="44" t="n">
        <x:v>278.8209312669502</x:v>
      </x:c>
      <x:c r="G2701" s="44" t="n">
        <x:v>816.4233555491162</x:v>
      </x:c>
      <x:c r="H2701" s="44" t="n">
        <x:v>17360.51002750574</x:v>
      </x:c>
      <x:c r="I2701" s="44" t="n">
        <x:v>23848</x:v>
      </x:c>
      <x:c r="J2701" s="44" t="n">
        <x:v>5320</x:v>
      </x:c>
      <x:c r="K2701" s="44" t="n">
        <x:v>419.1164575710495</x:v>
      </x:c>
      <x:c r="L2701" s="44" t="n">
        <x:v>140.2955263040993</x:v>
      </x:c>
    </x:row>
    <x:row r="2702" ht="15" hidden="0" customHeight="1">
      <x:c r="A2702" s="27" t="str">
        <x:v>51139</x:v>
      </x:c>
      <x:c r="B2702" s="27" t="str">
        <x:v>SCA-28</x:v>
      </x:c>
      <x:c r="C2702" s="43" t="n">
        <x:v>23762</x:v>
      </x:c>
      <x:c r="D2702" s="43" t="n">
        <x:v>280.99181527179434</x:v>
      </x:c>
      <x:c r="E2702" s="43" t="n">
        <x:v>4373.53507917589</x:v>
      </x:c>
      <x:c r="F2702" s="43" t="n">
        <x:v>165.76298613352756</x:v>
      </x:c>
      <x:c r="G2702" s="43" t="n">
        <x:v>826.8654861229355</x:v>
      </x:c>
      <x:c r="H2702" s="43" t="n">
        <x:v>18114.844633295852</x:v>
      </x:c>
      <x:c r="I2702" s="43" t="n">
        <x:v>23762</x:v>
      </x:c>
      <x:c r="J2702" s="43" t="n">
        <x:v>4504</x:v>
      </x:c>
      <x:c r="K2702" s="43" t="n">
        <x:v>264.5241731063265</x:v>
      </x:c>
      <x:c r="L2702" s="43" t="n">
        <x:v>98.76118697279892</x:v>
      </x:c>
    </x:row>
    <x:row r="2703" ht="15" hidden="0" customHeight="1">
      <x:c r="A2703" s="29" t="str">
        <x:v>54097</x:v>
      </x:c>
      <x:c r="B2703" s="29" t="str">
        <x:v>SCA-28</x:v>
      </x:c>
      <x:c r="C2703" s="44" t="n">
        <x:v>23758</x:v>
      </x:c>
      <x:c r="D2703" s="44" t="n">
        <x:v>287.4946849266356</x:v>
      </x:c>
      <x:c r="E2703" s="44" t="n">
        <x:v>3545.486882453152</x:v>
      </x:c>
      <x:c r="F2703" s="44" t="n">
        <x:v>277.7686885709578</x:v>
      </x:c>
      <x:c r="G2703" s="44" t="n">
        <x:v>965.7412691652471</x:v>
      </x:c>
      <x:c r="H2703" s="44" t="n">
        <x:v>18681.50847488401</x:v>
      </x:c>
      <x:c r="I2703" s="44" t="n">
        <x:v>23758</x:v>
      </x:c>
      <x:c r="J2703" s="44" t="n">
        <x:v>3650</x:v>
      </x:c>
      <x:c r="K2703" s="44" t="n">
        <x:v>417.5347533953788</x:v>
      </x:c>
      <x:c r="L2703" s="44" t="n">
        <x:v>139.76606482442097</x:v>
      </x:c>
    </x:row>
    <x:row r="2704" ht="15" hidden="0" customHeight="1">
      <x:c r="A2704" s="27" t="str">
        <x:v>42067</x:v>
      </x:c>
      <x:c r="B2704" s="27" t="str">
        <x:v>SCA-28</x:v>
      </x:c>
      <x:c r="C2704" s="43" t="n">
        <x:v>23403</x:v>
      </x:c>
      <x:c r="D2704" s="43" t="n">
        <x:v>277.35322287102764</x:v>
      </x:c>
      <x:c r="E2704" s="43" t="n">
        <x:v>2732.3007562516223</x:v>
      </x:c>
      <x:c r="F2704" s="43" t="n">
        <x:v>152.5830186242971</x:v>
      </x:c>
      <x:c r="G2704" s="43" t="n">
        <x:v>1303.9631175910704</x:v>
      </x:c>
      <x:c r="H2704" s="43" t="n">
        <x:v>18936.79988466198</x:v>
      </x:c>
      <x:c r="I2704" s="43" t="n">
        <x:v>23403</x:v>
      </x:c>
      <x:c r="J2704" s="43" t="n">
        <x:v>2811</x:v>
      </x:c>
      <x:c r="K2704" s="43" t="n">
        <x:v>316.09037665150714</x:v>
      </x:c>
      <x:c r="L2704" s="43" t="n">
        <x:v>163.50735802721005</x:v>
      </x:c>
    </x:row>
    <x:row r="2705" ht="15" hidden="0" customHeight="1">
      <x:c r="A2705" s="29" t="str">
        <x:v>39105</x:v>
      </x:c>
      <x:c r="B2705" s="29" t="str">
        <x:v>SCA-28</x:v>
      </x:c>
      <x:c r="C2705" s="44" t="n">
        <x:v>21587</x:v>
      </x:c>
      <x:c r="D2705" s="44" t="n">
        <x:v>346.65364231020556</x:v>
      </x:c>
      <x:c r="E2705" s="44" t="n">
        <x:v>4584.545463589885</x:v>
      </x:c>
      <x:c r="F2705" s="44" t="n">
        <x:v>126.18120126232259</x:v>
      </x:c>
      <x:c r="G2705" s="44" t="n">
        <x:v>572.010777946663</x:v>
      </x:c>
      <x:c r="H2705" s="44" t="n">
        <x:v>15957.608914890923</x:v>
      </x:c>
      <x:c r="I2705" s="44" t="n">
        <x:v>21587</x:v>
      </x:c>
      <x:c r="J2705" s="44" t="n">
        <x:v>4803</x:v>
      </x:c>
      <x:c r="K2705" s="44" t="n">
        <x:v>281.81211592294954</x:v>
      </x:c>
      <x:c r="L2705" s="44" t="n">
        <x:v>155.63091466062696</x:v>
      </x:c>
    </x:row>
    <x:row r="2706" ht="15" hidden="0" customHeight="1">
      <x:c r="A2706" s="27" t="str">
        <x:v>54009</x:v>
      </x:c>
      <x:c r="B2706" s="27" t="str">
        <x:v>SCA-28</x:v>
      </x:c>
      <x:c r="C2706" s="43" t="n">
        <x:v>21142</x:v>
      </x:c>
      <x:c r="D2706" s="43" t="n">
        <x:v>268.5935935040485</x:v>
      </x:c>
      <x:c r="E2706" s="43" t="n">
        <x:v>3461.213016534667</x:v>
      </x:c>
      <x:c r="F2706" s="43" t="n">
        <x:v>247.18350087411363</x:v>
      </x:c>
      <x:c r="G2706" s="43" t="n">
        <x:v>785.9190171830855</x:v>
      </x:c>
      <x:c r="H2706" s="43" t="n">
        <x:v>16379.090871904085</x:v>
      </x:c>
      <x:c r="I2706" s="43" t="n">
        <x:v>21142</x:v>
      </x:c>
      <x:c r="J2706" s="43" t="n">
        <x:v>3682</x:v>
      </x:c>
      <x:c r="K2706" s="43" t="n">
        <x:v>371.5598853558843</x:v>
      </x:c>
      <x:c r="L2706" s="43" t="n">
        <x:v>124.37638448177069</x:v>
      </x:c>
    </x:row>
    <x:row r="2707" ht="15" hidden="0" customHeight="1">
      <x:c r="A2707" s="29" t="str">
        <x:v>54005</x:v>
      </x:c>
      <x:c r="B2707" s="29" t="str">
        <x:v>SCA-28</x:v>
      </x:c>
      <x:c r="C2707" s="44" t="n">
        <x:v>20251</x:v>
      </x:c>
      <x:c r="D2707" s="44" t="n">
        <x:v>329.75600869627283</x:v>
      </x:c>
      <x:c r="E2707" s="44" t="n">
        <x:v>5054.911028719624</x:v>
      </x:c>
      <x:c r="F2707" s="44" t="n">
        <x:v>236.76629818378933</x:v>
      </x:c>
      <x:c r="G2707" s="44" t="n">
        <x:v>741.0965325136876</x:v>
      </x:c>
      <x:c r="H2707" s="44" t="n">
        <x:v>13888.470131886626</x:v>
      </x:c>
      <x:c r="I2707" s="44" t="n">
        <x:v>20251</x:v>
      </x:c>
      <x:c r="J2707" s="44" t="n">
        <x:v>5414</x:v>
      </x:c>
      <x:c r="K2707" s="44" t="n">
        <x:v>355.9010140167445</x:v>
      </x:c>
      <x:c r="L2707" s="44" t="n">
        <x:v>119.13471583295517</x:v>
      </x:c>
    </x:row>
    <x:row r="2708" ht="15" hidden="0" customHeight="1">
      <x:c r="A2708" s="27" t="str">
        <x:v>54065</x:v>
      </x:c>
      <x:c r="B2708" s="27" t="str">
        <x:v>SCA-28</x:v>
      </x:c>
      <x:c r="C2708" s="43" t="n">
        <x:v>18027</x:v>
      </x:c>
      <x:c r="D2708" s="43" t="n">
        <x:v>233.28825222781123</x:v>
      </x:c>
      <x:c r="E2708" s="43" t="n">
        <x:v>3053.6908283577764</x:v>
      </x:c>
      <x:c r="F2708" s="43" t="n">
        <x:v>210.7642120072673</x:v>
      </x:c>
      <x:c r="G2708" s="43" t="n">
        <x:v>484.6570923424729</x:v>
      </x:c>
      <x:c r="H2708" s="43" t="n">
        <x:v>14044.599615064673</x:v>
      </x:c>
      <x:c r="I2708" s="43" t="n">
        <x:v>18027</x:v>
      </x:c>
      <x:c r="J2708" s="43" t="n">
        <x:v>3044</x:v>
      </x:c>
      <x:c r="K2708" s="43" t="n">
        <x:v>316.81534638683786</x:v>
      </x:c>
      <x:c r="L2708" s="43" t="n">
        <x:v>106.05113437957054</x:v>
      </x:c>
    </x:row>
    <x:row r="2709" ht="15" hidden="0" customHeight="1">
      <x:c r="A2709" s="29" t="str">
        <x:v>51685</x:v>
      </x:c>
      <x:c r="B2709" s="29" t="str">
        <x:v>SCA-28</x:v>
      </x:c>
      <x:c r="C2709" s="44" t="n">
        <x:v>16560</x:v>
      </x:c>
      <x:c r="D2709" s="44" t="n">
        <x:v>135.66709227028892</x:v>
      </x:c>
      <x:c r="E2709" s="44" t="n">
        <x:v>1604.1439511055185</x:v>
      </x:c>
      <x:c r="F2709" s="44" t="n">
        <x:v>115.52205413564583</x:v>
      </x:c>
      <x:c r="G2709" s="44" t="n">
        <x:v>449.9971538138894</x:v>
      </x:c>
      <x:c r="H2709" s="44" t="n">
        <x:v>14254.669748674658</x:v>
      </x:c>
      <x:c r="I2709" s="44" t="n">
        <x:v>16560</x:v>
      </x:c>
      <x:c r="J2709" s="44" t="n">
        <x:v>1684</x:v>
      </x:c>
      <x:c r="K2709" s="44" t="n">
        <x:v>184.34981510987149</x:v>
      </x:c>
      <x:c r="L2709" s="44" t="n">
        <x:v>68.82776097422565</x:v>
      </x:c>
    </x:row>
    <x:row r="2710" ht="15" hidden="0" customHeight="1">
      <x:c r="A2710" s="27" t="str">
        <x:v>54041</x:v>
      </x:c>
      <x:c r="B2710" s="27" t="str">
        <x:v>SCA-28</x:v>
      </x:c>
      <x:c r="C2710" s="43" t="n">
        <x:v>16394</x:v>
      </x:c>
      <x:c r="D2710" s="43" t="n">
        <x:v>202.9450851815696</x:v>
      </x:c>
      <x:c r="E2710" s="43" t="n">
        <x:v>2556.017644931903</x:v>
      </x:c>
      <x:c r="F2710" s="43" t="n">
        <x:v>191.67185286776174</x:v>
      </x:c>
      <x:c r="G2710" s="43" t="n">
        <x:v>781.4732433409666</x:v>
      </x:c>
      <x:c r="H2710" s="43" t="n">
        <x:v>12661.8921736778</x:v>
      </x:c>
      <x:c r="I2710" s="43" t="n">
        <x:v>16394</x:v>
      </x:c>
      <x:c r="J2710" s="43" t="n">
        <x:v>2695</x:v>
      </x:c>
      <x:c r="K2710" s="43" t="n">
        <x:v>288.11620284383537</x:v>
      </x:c>
      <x:c r="L2710" s="43" t="n">
        <x:v>96.44434997607362</x:v>
      </x:c>
    </x:row>
    <x:row r="2711" ht="15" hidden="0" customHeight="1">
      <x:c r="A2711" s="29" t="str">
        <x:v>54091</x:v>
      </x:c>
      <x:c r="B2711" s="29" t="str">
        <x:v>SCA-28</x:v>
      </x:c>
      <x:c r="C2711" s="44" t="n">
        <x:v>16287</x:v>
      </x:c>
      <x:c r="D2711" s="44" t="n">
        <x:v>221.94439011736088</x:v>
      </x:c>
      <x:c r="E2711" s="44" t="n">
        <x:v>3027.1082642777155</x:v>
      </x:c>
      <x:c r="F2711" s="44" t="n">
        <x:v>190.42085321808196</x:v>
      </x:c>
      <x:c r="G2711" s="44" t="n">
        <x:v>703.9832026875699</x:v>
      </x:c>
      <x:c r="H2711" s="44" t="n">
        <x:v>12143.543289699272</x:v>
      </x:c>
      <x:c r="I2711" s="44" t="n">
        <x:v>16287</x:v>
      </x:c>
      <x:c r="J2711" s="44" t="n">
        <x:v>3112</x:v>
      </x:c>
      <x:c r="K2711" s="44" t="n">
        <x:v>286.23573232387133</x:v>
      </x:c>
      <x:c r="L2711" s="44" t="n">
        <x:v>95.81487910578939</x:v>
      </x:c>
    </x:row>
    <x:row r="2712" ht="15" hidden="0" customHeight="1">
      <x:c r="A2712" s="27" t="str">
        <x:v>42105</x:v>
      </x:c>
      <x:c r="B2712" s="27" t="str">
        <x:v>SCA-28</x:v>
      </x:c>
      <x:c r="C2712" s="43" t="n">
        <x:v>15897</x:v>
      </x:c>
      <x:c r="D2712" s="43" t="n">
        <x:v>225.89089919333918</x:v>
      </x:c>
      <x:c r="E2712" s="43" t="n">
        <x:v>2755.7987368421054</x:v>
      </x:c>
      <x:c r="F2712" s="43" t="n">
        <x:v>103.64535517115115</x:v>
      </x:c>
      <x:c r="G2712" s="43" t="n">
        <x:v>619.8939223057645</x:v>
      </x:c>
      <x:c r="H2712" s="43" t="n">
        <x:v>12191.771086487639</x:v>
      </x:c>
      <x:c r="I2712" s="43" t="n">
        <x:v>15897</x:v>
      </x:c>
      <x:c r="J2712" s="43" t="n">
        <x:v>2882</x:v>
      </x:c>
      <x:c r="K2712" s="43" t="n">
        <x:v>214.71130699606925</x:v>
      </x:c>
      <x:c r="L2712" s="43" t="n">
        <x:v>111.0659518249181</x:v>
      </x:c>
    </x:row>
    <x:row r="2713" ht="15" hidden="0" customHeight="1">
      <x:c r="A2713" s="29" t="str">
        <x:v>51043</x:v>
      </x:c>
      <x:c r="B2713" s="29" t="str">
        <x:v>SCA-28</x:v>
      </x:c>
      <x:c r="C2713" s="44" t="n">
        <x:v>15609</x:v>
      </x:c>
      <x:c r="D2713" s="44" t="n">
        <x:v>144.31400009531677</x:v>
      </x:c>
      <x:c r="E2713" s="44" t="n">
        <x:v>1906.5323485967501</x:v>
      </x:c>
      <x:c r="F2713" s="44" t="n">
        <x:v>108.88790718618937</x:v>
      </x:c>
      <x:c r="G2713" s="44" t="n">
        <x:v>239.1383107291527</x:v>
      </x:c>
      <x:c r="H2713" s="44" t="n">
        <x:v>13210.127433392592</x:v>
      </x:c>
      <x:c r="I2713" s="44" t="n">
        <x:v>15609</x:v>
      </x:c>
      <x:c r="J2713" s="44" t="n">
        <x:v>1895</x:v>
      </x:c>
      <x:c r="K2713" s="44" t="n">
        <x:v>173.76305942330822</x:v>
      </x:c>
      <x:c r="L2713" s="44" t="n">
        <x:v>64.87515223711885</x:v>
      </x:c>
    </x:row>
    <x:row r="2714" ht="15" hidden="0" customHeight="1">
      <x:c r="A2714" s="27" t="str">
        <x:v>54001</x:v>
      </x:c>
      <x:c r="B2714" s="27" t="str">
        <x:v>SCA-28</x:v>
      </x:c>
      <x:c r="C2714" s="43" t="n">
        <x:v>15414</x:v>
      </x:c>
      <x:c r="D2714" s="43" t="n">
        <x:v>194.50804877842472</x:v>
      </x:c>
      <x:c r="E2714" s="43" t="n">
        <x:v>2491.894704612365</x:v>
      </x:c>
      <x:c r="F2714" s="43" t="n">
        <x:v>180.21409906695612</x:v>
      </x:c>
      <x:c r="G2714" s="43" t="n">
        <x:v>496.04916584887144</x:v>
      </x:c>
      <x:c r="H2714" s="43" t="n">
        <x:v>12051.333981693384</x:v>
      </x:c>
      <x:c r="I2714" s="43" t="n">
        <x:v>15414</x:v>
      </x:c>
      <x:c r="J2714" s="43" t="n">
        <x:v>2574</x:v>
      </x:c>
      <x:c r="K2714" s="43" t="n">
        <x:v>270.8932018198657</x:v>
      </x:c>
      <x:c r="L2714" s="43" t="n">
        <x:v>90.67910275290954</x:v>
      </x:c>
    </x:row>
    <x:row r="2715" ht="15" hidden="0" customHeight="1">
      <x:c r="A2715" s="29" t="str">
        <x:v>51610</x:v>
      </x:c>
      <x:c r="B2715" s="29" t="str">
        <x:v>SCA-28</x:v>
      </x:c>
      <x:c r="C2715" s="44" t="n">
        <x:v>15159</x:v>
      </x:c>
      <x:c r="D2715" s="44" t="n">
        <x:v>106.50112343435815</x:v>
      </x:c>
      <x:c r="E2715" s="44" t="n">
        <x:v>1043.9109789343245</x:v>
      </x:c>
      <x:c r="F2715" s="44" t="n">
        <x:v>105.74872093250335</x:v>
      </x:c>
      <x:c r="G2715" s="44" t="n">
        <x:v>415.86341732066643</x:v>
      </x:c>
      <x:c r="H2715" s="44" t="n">
        <x:v>13486.975759378147</x:v>
      </x:c>
      <x:c r="I2715" s="44" t="n">
        <x:v>15159</x:v>
      </x:c>
      <x:c r="J2715" s="44" t="n">
        <x:v>1042</x:v>
      </x:c>
      <x:c r="K2715" s="44" t="n">
        <x:v>168.75355357793129</x:v>
      </x:c>
      <x:c r="L2715" s="44" t="n">
        <x:v>63.004832645427946</x:v>
      </x:c>
    </x:row>
    <x:row r="2716" ht="15" hidden="0" customHeight="1">
      <x:c r="A2716" s="27" t="str">
        <x:v>42057</x:v>
      </x:c>
      <x:c r="B2716" s="27" t="str">
        <x:v>SCA-28</x:v>
      </x:c>
      <x:c r="C2716" s="43" t="n">
        <x:v>14483</x:v>
      </x:c>
      <x:c r="D2716" s="43" t="n">
        <x:v>200.23851031147137</x:v>
      </x:c>
      <x:c r="E2716" s="43" t="n">
        <x:v>2377.2386007037876</x:v>
      </x:c>
      <x:c r="F2716" s="43" t="n">
        <x:v>94.42634955927421</x:v>
      </x:c>
      <x:c r="G2716" s="43" t="n">
        <x:v>557.5165597184848</x:v>
      </x:c>
      <x:c r="H2716" s="43" t="n">
        <x:v>11253.579979706983</x:v>
      </x:c>
      <x:c r="I2716" s="43" t="n">
        <x:v>14483</x:v>
      </x:c>
      <x:c r="J2716" s="43" t="n">
        <x:v>2478</x:v>
      </x:c>
      <x:c r="K2716" s="43" t="n">
        <x:v>195.61325150808776</x:v>
      </x:c>
      <x:c r="L2716" s="43" t="n">
        <x:v>101.18690194881354</x:v>
      </x:c>
    </x:row>
    <x:row r="2717" ht="15" hidden="0" customHeight="1">
      <x:c r="A2717" s="29" t="str">
        <x:v>54031</x:v>
      </x:c>
      <x:c r="B2717" s="29" t="str">
        <x:v>SCA-28</x:v>
      </x:c>
      <x:c r="C2717" s="44" t="n">
        <x:v>14337</x:v>
      </x:c>
      <x:c r="D2717" s="44" t="n">
        <x:v>194.4630163350625</x:v>
      </x:c>
      <x:c r="E2717" s="44" t="n">
        <x:v>2642.8752629352884</x:v>
      </x:c>
      <x:c r="F2717" s="44" t="n">
        <x:v>167.62226147158106</x:v>
      </x:c>
      <x:c r="G2717" s="44" t="n">
        <x:v>877.4659523473847</x:v>
      </x:c>
      <x:c r="H2717" s="44" t="n">
        <x:v>10454.573506910683</x:v>
      </x:c>
      <x:c r="I2717" s="44" t="n">
        <x:v>14337</x:v>
      </x:c>
      <x:c r="J2717" s="44" t="n">
        <x:v>2724</x:v>
      </x:c>
      <x:c r="K2717" s="44" t="n">
        <x:v>251.96547518433985</x:v>
      </x:c>
      <x:c r="L2717" s="44" t="n">
        <x:v>84.3432137127588</x:v>
      </x:c>
    </x:row>
    <x:row r="2718" ht="15" hidden="0" customHeight="1">
      <x:c r="A2718" s="27" t="str">
        <x:v>39121</x:v>
      </x:c>
      <x:c r="B2718" s="27" t="str">
        <x:v>SCA-28</x:v>
      </x:c>
      <x:c r="C2718" s="43" t="n">
        <x:v>14276</x:v>
      </x:c>
      <x:c r="D2718" s="43" t="n">
        <x:v>222.67761360938417</x:v>
      </x:c>
      <x:c r="E2718" s="43" t="n">
        <x:v>2874.1239160131545</x:v>
      </x:c>
      <x:c r="F2718" s="43" t="n">
        <x:v>83.44664979945883</x:v>
      </x:c>
      <x:c r="G2718" s="43" t="n">
        <x:v>525.5400961295219</x:v>
      </x:c>
      <x:c r="H2718" s="43" t="n">
        <x:v>10570.211724448482</x:v>
      </x:c>
      <x:c r="I2718" s="43" t="n">
        <x:v>14276</x:v>
      </x:c>
      <x:c r="J2718" s="43" t="n">
        <x:v>2487</x:v>
      </x:c>
      <x:c r="K2718" s="43" t="n">
        <x:v>186.36910024162822</x:v>
      </x:c>
      <x:c r="L2718" s="43" t="n">
        <x:v>102.92245044216939</x:v>
      </x:c>
    </x:row>
    <x:row r="2719" ht="15" hidden="0" customHeight="1">
      <x:c r="A2719" s="29" t="str">
        <x:v>51113</x:v>
      </x:c>
      <x:c r="B2719" s="29" t="str">
        <x:v>SCA-28</x:v>
      </x:c>
      <x:c r="C2719" s="44" t="n">
        <x:v>14237</x:v>
      </x:c>
      <x:c r="D2719" s="44" t="n">
        <x:v>140.90728355091326</x:v>
      </x:c>
      <x:c r="E2719" s="44" t="n">
        <x:v>1961.6286704537283</x:v>
      </x:c>
      <x:c r="F2719" s="44" t="n">
        <x:v>99.31687709717329</x:v>
      </x:c>
      <x:c r="G2719" s="44" t="n">
        <x:v>137.03602502336955</x:v>
      </x:c>
      <x:c r="H2719" s="44" t="n">
        <x:v>11898.111143874816</x:v>
      </x:c>
      <x:c r="I2719" s="44" t="n">
        <x:v>14237</x:v>
      </x:c>
      <x:c r="J2719" s="44" t="n">
        <x:v>1996</x:v>
      </x:c>
      <x:c r="K2719" s="44" t="n">
        <x:v>158.48963271251452</x:v>
      </x:c>
      <x:c r="L2719" s="44" t="n">
        <x:v>59.17275561534123</x:v>
      </x:c>
    </x:row>
    <x:row r="2720" ht="15" hidden="0" customHeight="1">
      <x:c r="A2720" s="27" t="str">
        <x:v>39067</x:v>
      </x:c>
      <x:c r="B2720" s="27" t="str">
        <x:v>SCA-28</x:v>
      </x:c>
      <x:c r="C2720" s="43" t="n">
        <x:v>14070</x:v>
      </x:c>
      <x:c r="D2720" s="43" t="n">
        <x:v>198.64893765690977</x:v>
      </x:c>
      <x:c r="E2720" s="43" t="n">
        <x:v>2333.0793324775354</x:v>
      </x:c>
      <x:c r="F2720" s="43" t="n">
        <x:v>82.2425303080965</x:v>
      </x:c>
      <x:c r="G2720" s="43" t="n">
        <x:v>798.7305662530309</x:v>
      </x:c>
      <x:c r="H2720" s="43" t="n">
        <x:v>10657.298633304428</x:v>
      </x:c>
      <x:c r="I2720" s="43" t="n">
        <x:v>14070</x:v>
      </x:c>
      <x:c r="J2720" s="43" t="n">
        <x:v>2422</x:v>
      </x:c>
      <x:c r="K2720" s="43" t="n">
        <x:v>183.67982911177563</x:v>
      </x:c>
      <x:c r="L2720" s="43" t="n">
        <x:v>101.43729880367913</x:v>
      </x:c>
    </x:row>
    <x:row r="2721" ht="15" hidden="0" customHeight="1">
      <x:c r="A2721" s="29" t="str">
        <x:v>54103</x:v>
      </x:c>
      <x:c r="B2721" s="29" t="str">
        <x:v>SCA-28</x:v>
      </x:c>
      <x:c r="C2721" s="44" t="n">
        <x:v>13734</x:v>
      </x:c>
      <x:c r="D2721" s="44" t="n">
        <x:v>199.32373715493338</x:v>
      </x:c>
      <x:c r="E2721" s="44" t="n">
        <x:v>2844.6699685444664</x:v>
      </x:c>
      <x:c r="F2721" s="44" t="n">
        <x:v>160.57223540843233</x:v>
      </x:c>
      <x:c r="G2721" s="44" t="n">
        <x:v>685.4289390906491</x:v>
      </x:c>
      <x:c r="H2721" s="44" t="n">
        <x:v>9844.005119801519</x:v>
      </x:c>
      <x:c r="I2721" s="44" t="n">
        <x:v>13734</x:v>
      </x:c>
      <x:c r="J2721" s="44" t="n">
        <x:v>3018</x:v>
      </x:c>
      <x:c r="K2721" s="44" t="n">
        <x:v>241.36805720734628</x:v>
      </x:c>
      <x:c r="L2721" s="44" t="n">
        <x:v>80.79582179891395</x:v>
      </x:c>
    </x:row>
    <x:row r="2722" ht="15" hidden="0" customHeight="1">
      <x:c r="A2722" s="27" t="str">
        <x:v>39115</x:v>
      </x:c>
      <x:c r="B2722" s="27" t="str">
        <x:v>SCA-28</x:v>
      </x:c>
      <x:c r="C2722" s="43" t="n">
        <x:v>13626</x:v>
      </x:c>
      <x:c r="D2722" s="43" t="n">
        <x:v>198.43964471227775</x:v>
      </x:c>
      <x:c r="E2722" s="43" t="n">
        <x:v>2404.8804564653574</x:v>
      </x:c>
      <x:c r="F2722" s="43" t="n">
        <x:v>79.64724363739323</x:v>
      </x:c>
      <x:c r="G2722" s="43" t="n">
        <x:v>384.0005187106335</x:v>
      </x:c>
      <x:c r="H2722" s="43" t="n">
        <x:v>10559.032136474338</x:v>
      </x:c>
      <x:c r="I2722" s="43" t="n">
        <x:v>13626</x:v>
      </x:c>
      <x:c r="J2722" s="43" t="n">
        <x:v>2481</x:v>
      </x:c>
      <x:c r="K2722" s="43" t="n">
        <x:v>177.88353599694773</x:v>
      </x:c>
      <x:c r="L2722" s="43" t="n">
        <x:v>98.2362923595545</x:v>
      </x:c>
    </x:row>
    <x:row r="2723" ht="15" hidden="0" customHeight="1">
      <x:c r="A2723" s="29" t="str">
        <x:v>54087</x:v>
      </x:c>
      <x:c r="B2723" s="29" t="str">
        <x:v>SCA-28</x:v>
      </x:c>
      <x:c r="C2723" s="44" t="n">
        <x:v>13317</x:v>
      </x:c>
      <x:c r="D2723" s="44" t="n">
        <x:v>201.9171965338563</x:v>
      </x:c>
      <x:c r="E2723" s="44" t="n">
        <x:v>2965.7891101788473</x:v>
      </x:c>
      <x:c r="F2723" s="44" t="n">
        <x:v>155.69684425033444</x:v>
      </x:c>
      <x:c r="G2723" s="44" t="n">
        <x:v>691.5961948921764</x:v>
      </x:c>
      <x:c r="H2723" s="44" t="n">
        <x:v>9302.000654144786</x:v>
      </x:c>
      <x:c r="I2723" s="44" t="n">
        <x:v>13317</x:v>
      </x:c>
      <x:c r="J2723" s="44" t="n">
        <x:v>3152</x:v>
      </x:c>
      <x:c r="K2723" s="44" t="n">
        <x:v>234.03949452673876</x:v>
      </x:c>
      <x:c r="L2723" s="44" t="n">
        <x:v>78.34265027640433</x:v>
      </x:c>
    </x:row>
    <x:row r="2724" ht="15" hidden="0" customHeight="1">
      <x:c r="A2724" s="27" t="str">
        <x:v>39111</x:v>
      </x:c>
      <x:c r="B2724" s="27" t="str">
        <x:v>SCA-28</x:v>
      </x:c>
      <x:c r="C2724" s="43" t="n">
        <x:v>12994</x:v>
      </x:c>
      <x:c r="D2724" s="43" t="n">
        <x:v>182.8516996021863</x:v>
      </x:c>
      <x:c r="E2724" s="43" t="n">
        <x:v>2140.1230750494747</x:v>
      </x:c>
      <x:c r="F2724" s="43" t="n">
        <x:v>75.95305179981563</x:v>
      </x:c>
      <x:c r="G2724" s="43" t="n">
        <x:v>889.7409042472218</x:v>
      </x:c>
      <x:c r="H2724" s="43" t="n">
        <x:v>9705.331269301301</x:v>
      </x:c>
      <x:c r="I2724" s="43" t="n">
        <x:v>12994</x:v>
      </x:c>
      <x:c r="J2724" s="43" t="n">
        <x:v>2254</x:v>
      </x:c>
      <x:c r="K2724" s="43" t="n">
        <x:v>169.63295660827382</x:v>
      </x:c>
      <x:c r="L2724" s="43" t="n">
        <x:v>93.67990480845819</x:v>
      </x:c>
    </x:row>
    <x:row r="2725" ht="15" hidden="0" customHeight="1">
      <x:c r="A2725" s="29" t="str">
        <x:v>39163</x:v>
      </x:c>
      <x:c r="B2725" s="29" t="str">
        <x:v>SCA-28</x:v>
      </x:c>
      <x:c r="C2725" s="44" t="n">
        <x:v>12645</x:v>
      </x:c>
      <x:c r="D2725" s="44" t="n">
        <x:v>203.41622140444483</x:v>
      </x:c>
      <x:c r="E2725" s="44" t="n">
        <x:v>2694.058152303652</x:v>
      </x:c>
      <x:c r="F2725" s="44" t="n">
        <x:v>73.91306295279887</x:v>
      </x:c>
      <x:c r="G2725" s="44" t="n">
        <x:v>397.5935386329274</x:v>
      </x:c>
      <x:c r="H2725" s="44" t="n">
        <x:v>9276.019024706176</x:v>
      </x:c>
      <x:c r="I2725" s="44" t="n">
        <x:v>12645</x:v>
      </x:c>
      <x:c r="J2725" s="44" t="n">
        <x:v>2789</x:v>
      </x:c>
      <x:c r="K2725" s="44" t="n">
        <x:v>165.07686134459152</x:v>
      </x:c>
      <x:c r="L2725" s="44" t="n">
        <x:v>91.16379839179265</x:v>
      </x:c>
    </x:row>
    <x:row r="2726" ht="15" hidden="0" customHeight="1">
      <x:c r="A2726" s="27" t="str">
        <x:v>54007</x:v>
      </x:c>
      <x:c r="B2726" s="27" t="str">
        <x:v>SCA-28</x:v>
      </x:c>
      <x:c r="C2726" s="43" t="n">
        <x:v>11885</x:v>
      </x:c>
      <x:c r="D2726" s="43" t="n">
        <x:v>155.3326046208798</x:v>
      </x:c>
      <x:c r="E2726" s="43" t="n">
        <x:v>2049.9425946405786</x:v>
      </x:c>
      <x:c r="F2726" s="43" t="n">
        <x:v>138.95449379854506</x:v>
      </x:c>
      <x:c r="G2726" s="43" t="n">
        <x:v>607.8658443215653</x:v>
      </x:c>
      <x:c r="H2726" s="43" t="n">
        <x:v>8932.904462618431</x:v>
      </x:c>
      <x:c r="I2726" s="43" t="n">
        <x:v>11885</x:v>
      </x:c>
      <x:c r="J2726" s="43" t="n">
        <x:v>2112</x:v>
      </x:c>
      <x:c r="K2726" s="43" t="n">
        <x:v>208.87282364273412</x:v>
      </x:c>
      <x:c r="L2726" s="43" t="n">
        <x:v>69.91832984418905</x:v>
      </x:c>
    </x:row>
    <x:row r="2727" ht="15" hidden="0" customHeight="1">
      <x:c r="A2727" s="29" t="str">
        <x:v>54023</x:v>
      </x:c>
      <x:c r="B2727" s="29" t="str">
        <x:v>SCA-28</x:v>
      </x:c>
      <x:c r="C2727" s="44" t="n">
        <x:v>11041</x:v>
      </x:c>
      <x:c r="D2727" s="44" t="n">
        <x:v>136.40988307527422</x:v>
      </x:c>
      <x:c r="E2727" s="44" t="n">
        <x:v>1714.961407905648</x:v>
      </x:c>
      <x:c r="F2727" s="44" t="n">
        <x:v>129.08679562723907</x:v>
      </x:c>
      <x:c r="G2727" s="44" t="n">
        <x:v>475.6793052612181</x:v>
      </x:c>
      <x:c r="H2727" s="44" t="n">
        <x:v>8584.862608130621</x:v>
      </x:c>
      <x:c r="I2727" s="44" t="n">
        <x:v>11041</x:v>
      </x:c>
      <x:c r="J2727" s="44" t="n">
        <x:v>1756</x:v>
      </x:c>
      <x:c r="K2727" s="44" t="n">
        <x:v>194.03995337311127</x:v>
      </x:c>
      <x:c r="L2727" s="44" t="n">
        <x:v>64.9531577458722</x:v>
      </x:c>
    </x:row>
    <x:row r="2728" ht="15" hidden="0" customHeight="1">
      <x:c r="A2728" s="27" t="str">
        <x:v>54085</x:v>
      </x:c>
      <x:c r="B2728" s="27" t="str">
        <x:v>SCA-28</x:v>
      </x:c>
      <x:c r="C2728" s="43" t="n">
        <x:v>8034</x:v>
      </x:c>
      <x:c r="D2728" s="43" t="n">
        <x:v>129.68723232837695</x:v>
      </x:c>
      <x:c r="E2728" s="43" t="n">
        <x:v>1978.1753018181817</x:v>
      </x:c>
      <x:c r="F2728" s="43" t="n">
        <x:v>93.93019799558361</x:v>
      </x:c>
      <x:c r="G2728" s="43" t="n">
        <x:v>350.5673939393939</x:v>
      </x:c>
      <x:c r="H2728" s="43" t="n">
        <x:v>5481.639873918464</x:v>
      </x:c>
      <x:c r="I2728" s="43" t="n">
        <x:v>8034</x:v>
      </x:c>
      <x:c r="J2728" s="43" t="n">
        <x:v>2116</x:v>
      </x:c>
      <x:c r="K2728" s="43" t="n">
        <x:v>141.19345941486966</x:v>
      </x:c>
      <x:c r="L2728" s="43" t="n">
        <x:v>47.26326141928605</x:v>
      </x:c>
    </x:row>
    <x:row r="2729" ht="15" hidden="0" customHeight="1">
      <x:c r="A2729" s="29" t="str">
        <x:v>54095</x:v>
      </x:c>
      <x:c r="B2729" s="29" t="str">
        <x:v>SCA-28</x:v>
      </x:c>
      <x:c r="C2729" s="44" t="n">
        <x:v>7881</x:v>
      </x:c>
      <x:c r="D2729" s="44" t="n">
        <x:v>122.05706579272176</x:v>
      </x:c>
      <x:c r="E2729" s="44" t="n">
        <x:v>1816.6533333333332</x:v>
      </x:c>
      <x:c r="F2729" s="44" t="n">
        <x:v>92.14138541239663</x:v>
      </x:c>
      <x:c r="G2729" s="44" t="n">
        <x:v>169.83427177177177</x:v>
      </x:c>
      <x:c r="H2729" s="44" t="n">
        <x:v>5680.313943689777</x:v>
      </x:c>
      <x:c r="I2729" s="44" t="n">
        <x:v>7881</x:v>
      </x:c>
      <x:c r="J2729" s="44" t="n">
        <x:v>1919</x:v>
      </x:c>
      <x:c r="K2729" s="44" t="n">
        <x:v>138.5045623162295</x:v>
      </x:c>
      <x:c r="L2729" s="44" t="n">
        <x:v>46.36317690383288</x:v>
      </x:c>
    </x:row>
    <x:row r="2730" ht="15" hidden="0" customHeight="1">
      <x:c r="A2730" s="27" t="str">
        <x:v>54101</x:v>
      </x:c>
      <x:c r="B2730" s="27" t="str">
        <x:v>SCA-28</x:v>
      </x:c>
      <x:c r="C2730" s="43" t="n">
        <x:v>7760</x:v>
      </x:c>
      <x:c r="D2730" s="43" t="n">
        <x:v>124.14418217694511</x:v>
      </x:c>
      <x:c r="E2730" s="43" t="n">
        <x:v>1883.8280836323145</x:v>
      </x:c>
      <x:c r="F2730" s="43" t="n">
        <x:v>90.72670356556245</x:v>
      </x:c>
      <x:c r="G2730" s="43" t="n">
        <x:v>428.84894222442165</x:v>
      </x:c>
      <x:c r="H2730" s="43" t="n">
        <x:v>5232.452088400756</x:v>
      </x:c>
      <x:c r="I2730" s="43" t="n">
        <x:v>7760</x:v>
      </x:c>
      <x:c r="J2730" s="43" t="n">
        <x:v>2044</x:v>
      </x:c>
      <x:c r="K2730" s="43" t="n">
        <x:v>136.37804892449446</x:v>
      </x:c>
      <x:c r="L2730" s="43" t="n">
        <x:v>45.65134535893201</x:v>
      </x:c>
    </x:row>
    <x:row r="2731" ht="15" hidden="0" customHeight="1">
      <x:c r="A2731" s="29" t="str">
        <x:v>54017</x:v>
      </x:c>
      <x:c r="B2731" s="29" t="str">
        <x:v>SCA-28</x:v>
      </x:c>
      <x:c r="C2731" s="44" t="n">
        <x:v>7634</x:v>
      </x:c>
      <x:c r="D2731" s="44" t="n">
        <x:v>94.09344115870974</x:v>
      </x:c>
      <x:c r="E2731" s="44" t="n">
        <x:v>1180.4002049118576</x:v>
      </x:c>
      <x:c r="F2731" s="44" t="n">
        <x:v>89.25356379117318</x:v>
      </x:c>
      <x:c r="G2731" s="44" t="n">
        <x:v>129.19572095826427</x:v>
      </x:c>
      <x:c r="H2731" s="44" t="n">
        <x:v>6141.057069179995</x:v>
      </x:c>
      <x:c r="I2731" s="44" t="n">
        <x:v>7634</x:v>
      </x:c>
      <x:c r="J2731" s="44" t="n">
        <x:v>1069</x:v>
      </x:c>
      <x:c r="K2731" s="44" t="n">
        <x:v>134.16366307855552</x:v>
      </x:c>
      <x:c r="L2731" s="44" t="n">
        <x:v>44.910099287382344</x:v>
      </x:c>
    </x:row>
    <x:row r="2732" ht="15" hidden="0" customHeight="1">
      <x:c r="A2732" s="27" t="str">
        <x:v>54075</x:v>
      </x:c>
      <x:c r="B2732" s="27" t="str">
        <x:v>SCA-28</x:v>
      </x:c>
      <x:c r="C2732" s="43" t="n">
        <x:v>7602</x:v>
      </x:c>
      <x:c r="D2732" s="43" t="n">
        <x:v>111.51303877981793</x:v>
      </x:c>
      <x:c r="E2732" s="43" t="n">
        <x:v>1602.988619111709</x:v>
      </x:c>
      <x:c r="F2732" s="43" t="n">
        <x:v>88.87943305482034</x:v>
      </x:c>
      <x:c r="G2732" s="43" t="n">
        <x:v>195.47765814266486</x:v>
      </x:c>
      <x:c r="H2732" s="43" t="n">
        <x:v>5603.141250910988</x:v>
      </x:c>
      <x:c r="I2732" s="43" t="n">
        <x:v>7602</x:v>
      </x:c>
      <x:c r="J2732" s="43" t="n">
        <x:v>1632</x:v>
      </x:c>
      <x:c r="K2732" s="43" t="n">
        <x:v>133.60127937165038</x:v>
      </x:c>
      <x:c r="L2732" s="43" t="n">
        <x:v>44.721846316830046</x:v>
      </x:c>
    </x:row>
    <x:row r="2733" ht="15" hidden="0" customHeight="1">
      <x:c r="A2733" s="29" t="str">
        <x:v>54015</x:v>
      </x:c>
      <x:c r="B2733" s="29" t="str">
        <x:v>SCA-28</x:v>
      </x:c>
      <x:c r="C2733" s="44" t="n">
        <x:v>7538</x:v>
      </x:c>
      <x:c r="D2733" s="44" t="n">
        <x:v>107.49313365737919</x:v>
      </x:c>
      <x:c r="E2733" s="44" t="n">
        <x:v>1515.5470387596897</x:v>
      </x:c>
      <x:c r="F2733" s="44" t="n">
        <x:v>88.13117158211469</x:v>
      </x:c>
      <x:c r="G2733" s="44" t="n">
        <x:v>585.4159560723515</x:v>
      </x:c>
      <x:c r="H2733" s="44" t="n">
        <x:v>5241.412699928465</x:v>
      </x:c>
      <x:c r="I2733" s="44" t="n">
        <x:v>7538</x:v>
      </x:c>
      <x:c r="J2733" s="44" t="n">
        <x:v>1621</x:v>
      </x:c>
      <x:c r="K2733" s="44" t="n">
        <x:v>132.47651195784013</x:v>
      </x:c>
      <x:c r="L2733" s="44" t="n">
        <x:v>44.34534037572545</x:v>
      </x:c>
    </x:row>
    <x:row r="2734" ht="15" hidden="0" customHeight="1">
      <x:c r="A2734" s="27" t="str">
        <x:v>51157</x:v>
      </x:c>
      <x:c r="B2734" s="27" t="str">
        <x:v>SCA-28</x:v>
      </x:c>
      <x:c r="C2734" s="43" t="n">
        <x:v>7439</x:v>
      </x:c>
      <x:c r="D2734" s="43" t="n">
        <x:v>66.81980905578715</x:v>
      </x:c>
      <x:c r="E2734" s="43" t="n">
        <x:v>861.6323537341601</x:v>
      </x:c>
      <x:c r="F2734" s="43" t="n">
        <x:v>51.89423675815635</x:v>
      </x:c>
      <x:c r="G2734" s="43" t="n">
        <x:v>111.67713669452682</x:v>
      </x:c>
      <x:c r="H2734" s="43" t="n">
        <x:v>6346.97646375737</x:v>
      </x:c>
      <x:c r="I2734" s="43" t="n">
        <x:v>7439</x:v>
      </x:c>
      <x:c r="J2734" s="43" t="n">
        <x:v>895</x:v>
      </x:c>
      <x:c r="K2734" s="43" t="n">
        <x:v>82.81269774168683</x:v>
      </x:c>
      <x:c r="L2734" s="43" t="n">
        <x:v>30.918460983530476</x:v>
      </x:c>
    </x:row>
    <x:row r="2735" ht="15" hidden="0" customHeight="1">
      <x:c r="A2735" s="29" t="str">
        <x:v>54073</x:v>
      </x:c>
      <x:c r="B2735" s="29" t="str">
        <x:v>SCA-28</x:v>
      </x:c>
      <x:c r="C2735" s="44" t="n">
        <x:v>7338</x:v>
      </x:c>
      <x:c r="D2735" s="44" t="n">
        <x:v>98.1883043813827</x:v>
      </x:c>
      <x:c r="E2735" s="44" t="n">
        <x:v>1320.4690817186183</x:v>
      </x:c>
      <x:c r="F2735" s="44" t="n">
        <x:v>85.79285447990945</x:v>
      </x:c>
      <x:c r="G2735" s="44" t="n">
        <x:v>63.37910699241786</x:v>
      </x:c>
      <x:c r="H2735" s="44" t="n">
        <x:v>5770.1706524276715</x:v>
      </x:c>
      <x:c r="I2735" s="44" t="n">
        <x:v>7338</x:v>
      </x:c>
      <x:c r="J2735" s="44" t="n">
        <x:v>1335</x:v>
      </x:c>
      <x:c r="K2735" s="44" t="n">
        <x:v>128.96161378968304</x:v>
      </x:c>
      <x:c r="L2735" s="44" t="n">
        <x:v>43.16875930977359</x:v>
      </x:c>
    </x:row>
    <x:row r="2736" ht="15" hidden="0" customHeight="1">
      <x:c r="A2736" s="27" t="str">
        <x:v>54021</x:v>
      </x:c>
      <x:c r="B2736" s="27" t="str">
        <x:v>SCA-28</x:v>
      </x:c>
      <x:c r="C2736" s="43" t="n">
        <x:v>7085</x:v>
      </x:c>
      <x:c r="D2736" s="43" t="n">
        <x:v>82.47741573487812</x:v>
      </x:c>
      <x:c r="E2736" s="43" t="n">
        <x:v>979.1287553648069</x:v>
      </x:c>
      <x:c r="F2736" s="43" t="n">
        <x:v>82.83488334561984</x:v>
      </x:c>
      <x:c r="G2736" s="43" t="n">
        <x:v>309.0320100143062</x:v>
      </x:c>
      <x:c r="H2736" s="43" t="n">
        <x:v>5631.52693554039</x:v>
      </x:c>
      <x:c r="I2736" s="43" t="n">
        <x:v>7085</x:v>
      </x:c>
      <x:c r="J2736" s="43" t="n">
        <x:v>805</x:v>
      </x:c>
      <x:c r="K2736" s="43" t="n">
        <x:v>124.51526760696434</x:v>
      </x:c>
      <x:c r="L2736" s="43" t="n">
        <x:v>41.6803842613445</x:v>
      </x:c>
    </x:row>
    <x:row r="2737" ht="15" hidden="0" customHeight="1">
      <x:c r="A2737" s="29" t="str">
        <x:v>42053</x:v>
      </x:c>
      <x:c r="B2737" s="29" t="str">
        <x:v>SCA-28</x:v>
      </x:c>
      <x:c r="C2737" s="44" t="n">
        <x:v>6614</x:v>
      </x:c>
      <x:c r="D2737" s="44" t="n">
        <x:v>105.45207940264598</x:v>
      </x:c>
      <x:c r="E2737" s="44" t="n">
        <x:v>1421.825251396648</x:v>
      </x:c>
      <x:c r="F2737" s="44" t="n">
        <x:v>43.12199654664363</x:v>
      </x:c>
      <x:c r="G2737" s="44" t="n">
        <x:v>142.0209497206704</x:v>
      </x:c>
      <x:c r="H2737" s="44" t="n">
        <x:v>4901.579722933392</x:v>
      </x:c>
      <x:c r="I2737" s="44" t="n">
        <x:v>6614</x:v>
      </x:c>
      <x:c r="J2737" s="44" t="n">
        <x:v>962</x:v>
      </x:c>
      <x:c r="K2737" s="44" t="n">
        <x:v>89.33135714109594</x:v>
      </x:c>
      <x:c r="L2737" s="44" t="n">
        <x:v>46.209360594452306</x:v>
      </x:c>
    </x:row>
    <x:row r="2738" ht="15" hidden="0" customHeight="1">
      <x:c r="A2738" s="27" t="str">
        <x:v>54093</x:v>
      </x:c>
      <x:c r="B2738" s="27" t="str">
        <x:v>SCA-28</x:v>
      </x:c>
      <x:c r="C2738" s="43" t="n">
        <x:v>6540</x:v>
      </x:c>
      <x:c r="D2738" s="43" t="n">
        <x:v>93.87751577375275</x:v>
      </x:c>
      <x:c r="E2738" s="43" t="n">
        <x:v>1329.6795580110497</x:v>
      </x:c>
      <x:c r="F2738" s="43" t="n">
        <x:v>76.46296924211063</x:v>
      </x:c>
      <x:c r="G2738" s="43" t="n">
        <x:v>428.00000000000006</x:v>
      </x:c>
      <x:c r="H2738" s="43" t="n">
        <x:v>4611.979956973087</x:v>
      </x:c>
      <x:c r="I2738" s="43" t="n">
        <x:v>6540</x:v>
      </x:c>
      <x:c r="J2738" s="43" t="n">
        <x:v>1380</x:v>
      </x:c>
      <x:c r="K2738" s="43" t="n">
        <x:v>114.93717009873632</x:v>
      </x:c>
      <x:c r="L2738" s="43" t="n">
        <x:v>38.474200856625686</x:v>
      </x:c>
    </x:row>
    <x:row r="2739" ht="15" hidden="0" customHeight="1">
      <x:c r="A2739" s="29" t="str">
        <x:v>54013</x:v>
      </x:c>
      <x:c r="B2739" s="29" t="str">
        <x:v>SCA-28</x:v>
      </x:c>
      <x:c r="C2739" s="44" t="n">
        <x:v>5978</x:v>
      </x:c>
      <x:c r="D2739" s="44" t="n">
        <x:v>90.22435600286803</x:v>
      </x:c>
      <x:c r="E2739" s="44" t="n">
        <x:v>1321.3523505976095</x:v>
      </x:c>
      <x:c r="F2739" s="44" t="n">
        <x:v>69.89229818491395</x:v>
      </x:c>
      <x:c r="G2739" s="44" t="n">
        <x:v>264.4106075697211</x:v>
      </x:c>
      <x:c r="H2739" s="44" t="n">
        <x:v>4232.120387644887</x:v>
      </x:c>
      <x:c r="I2739" s="44" t="n">
        <x:v>5978</x:v>
      </x:c>
      <x:c r="J2739" s="44" t="n">
        <x:v>1387</x:v>
      </x:c>
      <x:c r="K2739" s="44" t="n">
        <x:v>105.06030624621494</x:v>
      </x:c>
      <x:c r="L2739" s="44" t="n">
        <x:v>35.168008061300974</x:v>
      </x:c>
    </x:row>
    <x:row r="2740" ht="15" hidden="0" customHeight="1">
      <x:c r="A2740" s="27" t="str">
        <x:v>54071</x:v>
      </x:c>
      <x:c r="B2740" s="27" t="str">
        <x:v>SCA-28</x:v>
      </x:c>
      <x:c r="C2740" s="43" t="n">
        <x:v>5826</x:v>
      </x:c>
      <x:c r="D2740" s="43" t="n">
        <x:v>76.94695851562872</x:v>
      </x:c>
      <x:c r="E2740" s="43" t="n">
        <x:v>1024.1556495468276</x:v>
      </x:c>
      <x:c r="F2740" s="43" t="n">
        <x:v>68.115177187238</x:v>
      </x:c>
      <x:c r="G2740" s="43" t="n">
        <x:v>102.11060758643839</x:v>
      </x:c>
      <x:c r="H2740" s="43" t="n">
        <x:v>4554.6716071638675</x:v>
      </x:c>
      <x:c r="I2740" s="43" t="n">
        <x:v>5826</x:v>
      </x:c>
      <x:c r="J2740" s="43" t="n">
        <x:v>1091</x:v>
      </x:c>
      <x:c r="K2740" s="43" t="n">
        <x:v>102.38898363841557</x:v>
      </x:c>
      <x:c r="L2740" s="43" t="n">
        <x:v>34.27380645117756</x:v>
      </x:c>
    </x:row>
    <x:row r="2741" ht="15" hidden="0" customHeight="1">
      <x:c r="A2741" s="29" t="str">
        <x:v>54105</x:v>
      </x:c>
      <x:c r="B2741" s="29" t="str">
        <x:v>SCA-28</x:v>
      </x:c>
      <x:c r="C2741" s="44" t="n">
        <x:v>4879</x:v>
      </x:c>
      <x:c r="D2741" s="44" t="n">
        <x:v>65.43278811794659</x:v>
      </x:c>
      <x:c r="E2741" s="44" t="n">
        <x:v>881.5222323372253</x:v>
      </x:c>
      <x:c r="F2741" s="44" t="n">
        <x:v>57.0432457082963</x:v>
      </x:c>
      <x:c r="G2741" s="44" t="n">
        <x:v>208.6313081337819</x:v>
      </x:c>
      <x:c r="H2741" s="44" t="n">
        <x:v>3666.37042570275</x:v>
      </x:c>
      <x:c r="I2741" s="44" t="n">
        <x:v>4879</x:v>
      </x:c>
      <x:c r="J2741" s="44" t="n">
        <x:v>951</x:v>
      </x:c>
      <x:c r="K2741" s="44" t="n">
        <x:v>85.74594081219182</x:v>
      </x:c>
      <x:c r="L2741" s="44" t="n">
        <x:v>28.702695103895525</x:v>
      </x:c>
    </x:row>
    <x:row r="2742" ht="15" hidden="0" customHeight="1">
      <x:c r="A2742" s="27" t="str">
        <x:v>42023</x:v>
      </x:c>
      <x:c r="B2742" s="27" t="str">
        <x:v>SCA-28</x:v>
      </x:c>
      <x:c r="C2742" s="43" t="n">
        <x:v>4211</x:v>
      </x:c>
      <x:c r="D2742" s="43" t="n">
        <x:v>68.88671613005242</x:v>
      </x:c>
      <x:c r="E2742" s="43" t="n">
        <x:v>947.1876251137397</x:v>
      </x:c>
      <x:c r="F2742" s="43" t="n">
        <x:v>27.454902851212026</x:v>
      </x:c>
      <x:c r="G2742" s="43" t="n">
        <x:v>247.3198362147407</x:v>
      </x:c>
      <x:c r="H2742" s="43" t="n">
        <x:v>2920.150919690255</x:v>
      </x:c>
      <x:c r="I2742" s="43" t="n">
        <x:v>4211</x:v>
      </x:c>
      <x:c r="J2742" s="43" t="n">
        <x:v>1030</x:v>
      </x:c>
      <x:c r="K2742" s="43" t="n">
        <x:v>56.875467934858634</x:v>
      </x:c>
      <x:c r="L2742" s="43" t="n">
        <x:v>29.420565083646608</x:v>
      </x:c>
    </x:row>
    <x:row r="2743" ht="15" hidden="0" customHeight="1">
      <x:c r="A2743" s="29" t="str">
        <x:v>51017</x:v>
      </x:c>
      <x:c r="B2743" s="29" t="str">
        <x:v>SCA-28</x:v>
      </x:c>
      <x:c r="C2743" s="44" t="n">
        <x:v>4076</x:v>
      </x:c>
      <x:c r="D2743" s="44" t="n">
        <x:v>42.722866945803744</x:v>
      </x:c>
      <x:c r="E2743" s="44" t="n">
        <x:v>618.7662650602409</x:v>
      </x:c>
      <x:c r="F2743" s="44" t="n">
        <x:v>28.434051488942778</x:v>
      </x:c>
      <x:c r="G2743" s="44" t="n">
        <x:v>67.34939759036146</x:v>
      </x:c>
      <x:c r="H2743" s="44" t="n">
        <x:v>3318.727418914651</x:v>
      </x:c>
      <x:c r="I2743" s="44" t="n">
        <x:v>4076</x:v>
      </x:c>
      <x:c r="J2743" s="44" t="n">
        <x:v>630</x:v>
      </x:c>
      <x:c r="K2743" s="44" t="n">
        <x:v>45.37499072390315</x:v>
      </x:c>
      <x:c r="L2743" s="44" t="n">
        <x:v>16.940939234960375</x:v>
      </x:c>
    </x:row>
    <x:row r="2744" ht="15" hidden="0" customHeight="1">
      <x:c r="A2744" s="27" t="str">
        <x:v>51091</x:v>
      </x:c>
      <x:c r="B2744" s="27" t="str">
        <x:v>SCA-28</x:v>
      </x:c>
      <x:c r="C2744" s="43" t="n">
        <x:v>2318</x:v>
      </x:c>
      <x:c r="D2744" s="43" t="n">
        <x:v>27.685548071899714</x:v>
      </x:c>
      <x:c r="E2744" s="43" t="n">
        <x:v>433.2317770034843</x:v>
      </x:c>
      <x:c r="F2744" s="43" t="n">
        <x:v>16.17029719120936</x:v>
      </x:c>
      <x:c r="G2744" s="43" t="n">
        <x:v>45.902874564459935</x:v>
      </x:c>
      <x:c r="H2744" s="43" t="n">
        <x:v>1795.0095031689468</x:v>
      </x:c>
      <x:c r="I2744" s="43" t="n">
        <x:v>2318</x:v>
      </x:c>
      <x:c r="J2744" s="43" t="n">
        <x:v>447</x:v>
      </x:c>
      <x:c r="K2744" s="43" t="n">
        <x:v>25.80452122129723</x:v>
      </x:c>
      <x:c r="L2744" s="43" t="n">
        <x:v>9.634224030087868</x:v>
      </x:c>
    </x:row>
    <x:row r="2745" ht="15" hidden="0" customHeight="1">
      <x:c r="A2745" s="29" t="str">
        <x:v>37183</x:v>
      </x:c>
      <x:c r="B2745" s="29" t="str">
        <x:v>SCA-29</x:v>
      </x:c>
      <x:c r="C2745" s="44" t="n">
        <x:v>1257235</x:v>
      </x:c>
      <x:c r="D2745" s="44" t="n">
        <x:v>10025.322921392213</x:v>
      </x:c>
      <x:c r="E2745" s="44" t="n">
        <x:v>110098.31359266327</x:v>
      </x:c>
      <x:c r="F2745" s="44" t="n">
        <x:v>6630.991230619092</x:v>
      </x:c>
      <x:c r="G2745" s="44" t="n">
        <x:v>31334.25898539401</x:v>
      </x:c>
      <x:c r="H2745" s="44" t="n">
        <x:v>1099146.1132699314</x:v>
      </x:c>
      <x:c r="I2745" s="44" t="n">
        <x:v>1257235</x:v>
      </x:c>
      <x:c r="J2745" s="44" t="n">
        <x:v>106828</x:v>
      </x:c>
      <x:c r="K2745" s="44" t="n">
        <x:v>12068.884418983667</x:v>
      </x:c>
      <x:c r="L2745" s="44" t="n">
        <x:v>5437.893188364576</x:v>
      </x:c>
    </x:row>
    <x:row r="2746" ht="15" hidden="0" customHeight="1">
      <x:c r="A2746" s="27" t="str">
        <x:v>37119</x:v>
      </x:c>
      <x:c r="B2746" s="27" t="str">
        <x:v>SCA-29</x:v>
      </x:c>
      <x:c r="C2746" s="43" t="n">
        <x:v>1233383</x:v>
      </x:c>
      <x:c r="D2746" s="43" t="n">
        <x:v>9739.039276807316</x:v>
      </x:c>
      <x:c r="E2746" s="43" t="n">
        <x:v>105703.50391133901</x:v>
      </x:c>
      <x:c r="F2746" s="43" t="n">
        <x:v>6505.189449064546</x:v>
      </x:c>
      <x:c r="G2746" s="43" t="n">
        <x:v>39798.7693325614</x:v>
      </x:c>
      <x:c r="H2746" s="43" t="n">
        <x:v>1071636.4980302278</x:v>
      </x:c>
      <x:c r="I2746" s="43" t="n">
        <x:v>1233383</x:v>
      </x:c>
      <x:c r="J2746" s="43" t="n">
        <x:v>102543</x:v>
      </x:c>
      <x:c r="K2746" s="43" t="n">
        <x:v>11839.916062899403</x:v>
      </x:c>
      <x:c r="L2746" s="43" t="n">
        <x:v>5334.726613834857</x:v>
      </x:c>
    </x:row>
    <x:row r="2747" ht="15" hidden="0" customHeight="1">
      <x:c r="A2747" s="29" t="str">
        <x:v>37081</x:v>
      </x:c>
      <x:c r="B2747" s="29" t="str">
        <x:v>SCA-29</x:v>
      </x:c>
      <x:c r="C2747" s="44" t="n">
        <x:v>562234</x:v>
      </x:c>
      <x:c r="D2747" s="44" t="n">
        <x:v>5207.221438203445</x:v>
      </x:c>
      <x:c r="E2747" s="44" t="n">
        <x:v>66609.64938442354</x:v>
      </x:c>
      <x:c r="F2747" s="44" t="n">
        <x:v>2965.371409128679</x:v>
      </x:c>
      <x:c r="G2747" s="44" t="n">
        <x:v>21055.70233098775</x:v>
      </x:c>
      <x:c r="H2747" s="44" t="n">
        <x:v>466396.0554372566</x:v>
      </x:c>
      <x:c r="I2747" s="44" t="n">
        <x:v>562234</x:v>
      </x:c>
      <x:c r="J2747" s="44" t="n">
        <x:v>67100</x:v>
      </x:c>
      <x:c r="K2747" s="44" t="n">
        <x:v>5397.190789647809</x:v>
      </x:c>
      <x:c r="L2747" s="44" t="n">
        <x:v>2431.8193805191304</x:v>
      </x:c>
    </x:row>
    <x:row r="2748" ht="15" hidden="0" customHeight="1">
      <x:c r="A2748" s="27" t="str">
        <x:v>51810</x:v>
      </x:c>
      <x:c r="B2748" s="27" t="str">
        <x:v>SCA-29</x:v>
      </x:c>
      <x:c r="C2748" s="43" t="n">
        <x:v>453737</x:v>
      </x:c>
      <x:c r="D2748" s="43" t="n">
        <x:v>4084.538770809452</x:v>
      </x:c>
      <x:c r="E2748" s="43" t="n">
        <x:v>52768.49313542362</x:v>
      </x:c>
      <x:c r="F2748" s="43" t="n">
        <x:v>3165.2554515305274</x:v>
      </x:c>
      <x:c r="G2748" s="43" t="n">
        <x:v>12192.379523849231</x:v>
      </x:c>
      <x:c r="H2748" s="43" t="n">
        <x:v>381526.33311838715</x:v>
      </x:c>
      <x:c r="I2748" s="43" t="n">
        <x:v>453737</x:v>
      </x:c>
      <x:c r="J2748" s="43" t="n">
        <x:v>52299</x:v>
      </x:c>
      <x:c r="K2748" s="43" t="n">
        <x:v>5051.107008363995</x:v>
      </x:c>
      <x:c r="L2748" s="43" t="n">
        <x:v>1885.8515568334678</x:v>
      </x:c>
    </x:row>
    <x:row r="2749" ht="15" hidden="0" customHeight="1">
      <x:c r="A2749" s="29" t="str">
        <x:v>45019</x:v>
      </x:c>
      <x:c r="B2749" s="29" t="str">
        <x:v>SCA-29</x:v>
      </x:c>
      <x:c r="C2749" s="44" t="n">
        <x:v>436200</x:v>
      </x:c>
      <x:c r="D2749" s="44" t="n">
        <x:v>3822.639419283698</x:v>
      </x:c>
      <x:c r="E2749" s="44" t="n">
        <x:v>46855.52894778814</x:v>
      </x:c>
      <x:c r="F2749" s="44" t="n">
        <x:v>2650.444835708452</x:v>
      </x:c>
      <x:c r="G2749" s="44" t="n">
        <x:v>15347.372469273634</x:v>
      </x:c>
      <x:c r="H2749" s="44" t="n">
        <x:v>367524.0143279461</x:v>
      </x:c>
      <x:c r="I2749" s="44" t="n">
        <x:v>436200</x:v>
      </x:c>
      <x:c r="J2749" s="44" t="n">
        <x:v>46303</x:v>
      </x:c>
      <x:c r="K2749" s="44" t="n">
        <x:v>4520.770548834311</x:v>
      </x:c>
      <x:c r="L2749" s="44" t="n">
        <x:v>1870.3257131258586</x:v>
      </x:c>
    </x:row>
    <x:row r="2750" ht="15" hidden="0" customHeight="1">
      <x:c r="A2750" s="27" t="str">
        <x:v>45079</x:v>
      </x:c>
      <x:c r="B2750" s="27" t="str">
        <x:v>SCA-29</x:v>
      </x:c>
      <x:c r="C2750" s="43" t="n">
        <x:v>434956</x:v>
      </x:c>
      <x:c r="D2750" s="43" t="n">
        <x:v>4349.634369601231</x:v>
      </x:c>
      <x:c r="E2750" s="43" t="n">
        <x:v>59631.42344658519</x:v>
      </x:c>
      <x:c r="F2750" s="43" t="n">
        <x:v>2642.886024668514</x:v>
      </x:c>
      <x:c r="G2750" s="43" t="n">
        <x:v>18078.137113082314</x:v>
      </x:c>
      <x:c r="H2750" s="43" t="n">
        <x:v>350253.91904606274</x:v>
      </x:c>
      <x:c r="I2750" s="43" t="n">
        <x:v>434956</x:v>
      </x:c>
      <x:c r="J2750" s="43" t="n">
        <x:v>57556</x:v>
      </x:c>
      <x:c r="K2750" s="43" t="n">
        <x:v>4507.877750662028</x:v>
      </x:c>
      <x:c r="L2750" s="43" t="n">
        <x:v>1864.9917259935141</x:v>
      </x:c>
    </x:row>
    <x:row r="2751" ht="15" hidden="0" customHeight="1">
      <x:c r="A2751" s="29" t="str">
        <x:v>45051</x:v>
      </x:c>
      <x:c r="B2751" s="29" t="str">
        <x:v>SCA-29</x:v>
      </x:c>
      <x:c r="C2751" s="44" t="n">
        <x:v>427551</x:v>
      </x:c>
      <x:c r="D2751" s="44" t="n">
        <x:v>5042.651946529314</x:v>
      </x:c>
      <x:c r="E2751" s="44" t="n">
        <x:v>77025.86795617125</x:v>
      </x:c>
      <x:c r="F2751" s="44" t="n">
        <x:v>2597.8916550939584</x:v>
      </x:c>
      <x:c r="G2751" s="44" t="n">
        <x:v>10261.447607755284</x:v>
      </x:c>
      <x:c r="H2751" s="44" t="n">
        <x:v>332623.1408344502</x:v>
      </x:c>
      <x:c r="I2751" s="44" t="n">
        <x:v>427551</x:v>
      </x:c>
      <x:c r="J2751" s="44" t="n">
        <x:v>71539</x:v>
      </x:c>
      <x:c r="K2751" s="44" t="n">
        <x:v>4431.132436782803</x:v>
      </x:c>
      <x:c r="L2751" s="44" t="n">
        <x:v>1833.2407816888444</x:v>
      </x:c>
    </x:row>
    <x:row r="2752" ht="15" hidden="0" customHeight="1">
      <x:c r="A2752" s="27" t="str">
        <x:v>37067</x:v>
      </x:c>
      <x:c r="B2752" s="27" t="str">
        <x:v>SCA-29</x:v>
      </x:c>
      <x:c r="C2752" s="43" t="n">
        <x:v>401718</x:v>
      </x:c>
      <x:c r="D2752" s="43" t="n">
        <x:v>3782.808884907986</x:v>
      </x:c>
      <x:c r="E2752" s="43" t="n">
        <x:v>49086.38692191388</x:v>
      </x:c>
      <x:c r="F2752" s="43" t="n">
        <x:v>2118.7674024202634</x:v>
      </x:c>
      <x:c r="G2752" s="43" t="n">
        <x:v>14480.56587425275</x:v>
      </x:c>
      <x:c r="H2752" s="43" t="n">
        <x:v>332249.47091650515</x:v>
      </x:c>
      <x:c r="I2752" s="43" t="n">
        <x:v>401718</x:v>
      </x:c>
      <x:c r="J2752" s="43" t="n">
        <x:v>49248</x:v>
      </x:c>
      <x:c r="K2752" s="43" t="n">
        <x:v>3856.310165581837</x:v>
      </x:c>
      <x:c r="L2752" s="43" t="n">
        <x:v>1737.5427631615735</x:v>
      </x:c>
    </x:row>
    <x:row r="2753" ht="15" hidden="0" customHeight="1">
      <x:c r="A2753" s="29" t="str">
        <x:v>51041</x:v>
      </x:c>
      <x:c r="B2753" s="29" t="str">
        <x:v>SCA-29</x:v>
      </x:c>
      <x:c r="C2753" s="44" t="n">
        <x:v>397148</x:v>
      </x:c>
      <x:c r="D2753" s="44" t="n">
        <x:v>3647.477382955724</x:v>
      </x:c>
      <x:c r="E2753" s="44" t="n">
        <x:v>47923.79398022467</x:v>
      </x:c>
      <x:c r="F2753" s="44" t="n">
        <x:v>2770.49231617533</x:v>
      </x:c>
      <x:c r="G2753" s="44" t="n">
        <x:v>8066.749507219436</x:v>
      </x:c>
      <x:c r="H2753" s="44" t="n">
        <x:v>334739.48681342485</x:v>
      </x:c>
      <x:c r="I2753" s="44" t="n">
        <x:v>397148</x:v>
      </x:c>
      <x:c r="J2753" s="44" t="n">
        <x:v>47062</x:v>
      </x:c>
      <x:c r="K2753" s="44" t="n">
        <x:v>4421.144949955026</x:v>
      </x:c>
      <x:c r="L2753" s="44" t="n">
        <x:v>1650.6526337796963</x:v>
      </x:c>
    </x:row>
    <x:row r="2754" ht="15" hidden="0" customHeight="1">
      <x:c r="A2754" s="27" t="str">
        <x:v>37063</x:v>
      </x:c>
      <x:c r="B2754" s="27" t="str">
        <x:v>SCA-29</x:v>
      </x:c>
      <x:c r="C2754" s="43" t="n">
        <x:v>347240</x:v>
      </x:c>
      <x:c r="D2754" s="43" t="n">
        <x:v>2958.2960688659723</x:v>
      </x:c>
      <x:c r="E2754" s="43" t="n">
        <x:v>34953.26160814159</x:v>
      </x:c>
      <x:c r="F2754" s="43" t="n">
        <x:v>1831.4359645731888</x:v>
      </x:c>
      <x:c r="G2754" s="43" t="n">
        <x:v>13177.438137966978</x:v>
      </x:c>
      <x:c r="H2754" s="43" t="n">
        <x:v>294319.56822045223</x:v>
      </x:c>
      <x:c r="I2754" s="43" t="n">
        <x:v>347240</x:v>
      </x:c>
      <x:c r="J2754" s="43" t="n">
        <x:v>34402</x:v>
      </x:c>
      <x:c r="K2754" s="43" t="n">
        <x:v>3333.3461330999285</x:v>
      </x:c>
      <x:c r="L2754" s="43" t="n">
        <x:v>1501.9101685267397</x:v>
      </x:c>
    </x:row>
    <x:row r="2755" ht="15" hidden="0" customHeight="1">
      <x:c r="A2755" s="29" t="str">
        <x:v>51087</x:v>
      </x:c>
      <x:c r="B2755" s="29" t="str">
        <x:v>SCA-29</x:v>
      </x:c>
      <x:c r="C2755" s="44" t="n">
        <x:v>342775</x:v>
      </x:c>
      <x:c r="D2755" s="44" t="n">
        <x:v>3001.2619744135636</x:v>
      </x:c>
      <x:c r="E2755" s="44" t="n">
        <x:v>37838.35149036003</x:v>
      </x:c>
      <x:c r="F2755" s="44" t="n">
        <x:v>2391.187929127174</x:v>
      </x:c>
      <x:c r="G2755" s="44" t="n">
        <x:v>11327.713417751977</x:v>
      </x:c>
      <x:c r="H2755" s="44" t="n">
        <x:v>288216.4851883473</x:v>
      </x:c>
      <x:c r="I2755" s="44" t="n">
        <x:v>342775</x:v>
      </x:c>
      <x:c r="J2755" s="44" t="n">
        <x:v>38230</x:v>
      </x:c>
      <x:c r="K2755" s="44" t="n">
        <x:v>3815.8519247757367</x:v>
      </x:c>
      <x:c r="L2755" s="44" t="n">
        <x:v>1424.6639956485628</x:v>
      </x:c>
    </x:row>
    <x:row r="2756" ht="15" hidden="0" customHeight="1">
      <x:c r="A2756" s="27" t="str">
        <x:v>37051</x:v>
      </x:c>
      <x:c r="B2756" s="27" t="str">
        <x:v>SCA-29</x:v>
      </x:c>
      <x:c r="C2756" s="43" t="n">
        <x:v>338473</x:v>
      </x:c>
      <x:c r="D2756" s="43" t="n">
        <x:v>3732.2515601772056</x:v>
      </x:c>
      <x:c r="E2756" s="43" t="n">
        <x:v>54438.26687829848</x:v>
      </x:c>
      <x:c r="F2756" s="43" t="n">
        <x:v>1785.1964786227995</x:v>
      </x:c>
      <x:c r="G2756" s="43" t="n">
        <x:v>12210.57694800471</x:v>
      </x:c>
      <x:c r="H2756" s="43" t="n">
        <x:v>266306.7081348968</x:v>
      </x:c>
      <x:c r="I2756" s="43" t="n">
        <x:v>338473</x:v>
      </x:c>
      <x:c r="J2756" s="43" t="n">
        <x:v>50665</x:v>
      </x:c>
      <x:c r="K2756" s="43" t="n">
        <x:v>3249.186918870902</x:v>
      </x:c>
      <x:c r="L2756" s="43" t="n">
        <x:v>1463.9904402481025</x:v>
      </x:c>
    </x:row>
    <x:row r="2757" ht="15" hidden="0" customHeight="1">
      <x:c r="A2757" s="29" t="str">
        <x:v>45091</x:v>
      </x:c>
      <x:c r="B2757" s="29" t="str">
        <x:v>SCA-29</x:v>
      </x:c>
      <x:c r="C2757" s="44" t="n">
        <x:v>306887</x:v>
      </x:c>
      <x:c r="D2757" s="44" t="n">
        <x:v>2631.8282820021304</x:v>
      </x:c>
      <x:c r="E2757" s="44" t="n">
        <x:v>31583.21042559967</x:v>
      </x:c>
      <x:c r="F2757" s="44" t="n">
        <x:v>1864.7112890785418</x:v>
      </x:c>
      <x:c r="G2757" s="44" t="n">
        <x:v>6258.954043179756</x:v>
      </x:c>
      <x:c r="H2757" s="44" t="n">
        <x:v>264548.2959601399</x:v>
      </x:c>
      <x:c r="I2757" s="44" t="n">
        <x:v>306887</x:v>
      </x:c>
      <x:c r="J2757" s="44" t="n">
        <x:v>31307</x:v>
      </x:c>
      <x:c r="K2757" s="44" t="n">
        <x:v>3180.5724700140195</x:v>
      </x:c>
      <x:c r="L2757" s="44" t="n">
        <x:v>1315.8611809354777</x:v>
      </x:c>
    </x:row>
    <x:row r="2758" ht="15" hidden="0" customHeight="1">
      <x:c r="A2758" s="27" t="str">
        <x:v>45015</x:v>
      </x:c>
      <x:c r="B2758" s="27" t="str">
        <x:v>SCA-29</x:v>
      </x:c>
      <x:c r="C2758" s="43" t="n">
        <x:v>274666</x:v>
      </x:c>
      <x:c r="D2758" s="43" t="n">
        <x:v>2646.073831831358</x:v>
      </x:c>
      <x:c r="E2758" s="43" t="n">
        <x:v>35240.85409207215</x:v>
      </x:c>
      <x:c r="F2758" s="43" t="n">
        <x:v>1668.929576443599</x:v>
      </x:c>
      <x:c r="G2758" s="43" t="n">
        <x:v>5275.202664605119</x:v>
      </x:c>
      <x:c r="H2758" s="43" t="n">
        <x:v>229834.93983504776</x:v>
      </x:c>
      <x:c r="I2758" s="43" t="n">
        <x:v>274666</x:v>
      </x:c>
      <x:c r="J2758" s="43" t="n">
        <x:v>31810</x:v>
      </x:c>
      <x:c r="K2758" s="43" t="n">
        <x:v>2846.6344877719507</x:v>
      </x:c>
      <x:c r="L2758" s="43" t="n">
        <x:v>1177.7049113283517</x:v>
      </x:c>
    </x:row>
    <x:row r="2759" ht="15" hidden="0" customHeight="1">
      <x:c r="A2759" s="29" t="str">
        <x:v>37179</x:v>
      </x:c>
      <x:c r="B2759" s="29" t="str">
        <x:v>SCA-29</x:v>
      </x:c>
      <x:c r="C2759" s="44" t="n">
        <x:v>267674</x:v>
      </x:c>
      <x:c r="D2759" s="44" t="n">
        <x:v>2188.093630581329</x:v>
      </x:c>
      <x:c r="E2759" s="44" t="n">
        <x:v>24727.88825016708</x:v>
      </x:c>
      <x:c r="F2759" s="44" t="n">
        <x:v>1411.7837529695996</x:v>
      </x:c>
      <x:c r="G2759" s="44" t="n">
        <x:v>3312.769648352616</x:v>
      </x:c>
      <x:c r="H2759" s="44" t="n">
        <x:v>236033.46471792937</x:v>
      </x:c>
      <x:c r="I2759" s="44" t="n">
        <x:v>267674</x:v>
      </x:c>
      <x:c r="J2759" s="44" t="n">
        <x:v>24046</x:v>
      </x:c>
      <x:c r="K2759" s="44" t="n">
        <x:v>2569.548706460633</x:v>
      </x:c>
      <x:c r="L2759" s="44" t="n">
        <x:v>1157.7649534910336</x:v>
      </x:c>
    </x:row>
    <x:row r="2760" ht="15" hidden="0" customHeight="1">
      <x:c r="A2760" s="27" t="str">
        <x:v>37101</x:v>
      </x:c>
      <x:c r="B2760" s="27" t="str">
        <x:v>SCA-29</x:v>
      </x:c>
      <x:c r="C2760" s="43" t="n">
        <x:v>256448</x:v>
      </x:c>
      <x:c r="D2760" s="43" t="n">
        <x:v>2438.988754796066</x:v>
      </x:c>
      <x:c r="E2760" s="43" t="n">
        <x:v>31914.705424516123</x:v>
      </x:c>
      <x:c r="F2760" s="43" t="n">
        <x:v>1352.5748480672303</x:v>
      </x:c>
      <x:c r="G2760" s="43" t="n">
        <x:v>3979.746666666667</x:v>
      </x:c>
      <x:c r="H2760" s="43" t="n">
        <x:v>216761.9843059539</x:v>
      </x:c>
      <x:c r="I2760" s="43" t="n">
        <x:v>256448</x:v>
      </x:c>
      <x:c r="J2760" s="43" t="n">
        <x:v>30140</x:v>
      </x:c>
      <x:c r="K2760" s="43" t="n">
        <x:v>2461.784210175125</x:v>
      </x:c>
      <x:c r="L2760" s="43" t="n">
        <x:v>1109.2093621078945</x:v>
      </x:c>
    </x:row>
    <x:row r="2761" ht="15" hidden="0" customHeight="1">
      <x:c r="A2761" s="29" t="str">
        <x:v>51550</x:v>
      </x:c>
      <x:c r="B2761" s="29" t="str">
        <x:v>SCA-29</x:v>
      </x:c>
      <x:c r="C2761" s="44" t="n">
        <x:v>255332</x:v>
      </x:c>
      <x:c r="D2761" s="44" t="n">
        <x:v>2392.961583492693</x:v>
      </x:c>
      <x:c r="E2761" s="44" t="n">
        <x:v>31961.614431257985</x:v>
      </x:c>
      <x:c r="F2761" s="44" t="n">
        <x:v>1781.1882322803576</x:v>
      </x:c>
      <x:c r="G2761" s="44" t="n">
        <x:v>7618.197513984099</x:v>
      </x:c>
      <x:c r="H2761" s="44" t="n">
        <x:v>211578.03823898488</x:v>
      </x:c>
      <x:c r="I2761" s="44" t="n">
        <x:v>255332</x:v>
      </x:c>
      <x:c r="J2761" s="44" t="n">
        <x:v>31423</x:v>
      </x:c>
      <x:c r="K2761" s="44" t="n">
        <x:v>2842.4158811373013</x:v>
      </x:c>
      <x:c r="L2761" s="44" t="n">
        <x:v>1061.2276488569437</x:v>
      </x:c>
    </x:row>
    <x:row r="2762" ht="15" hidden="0" customHeight="1">
      <x:c r="A2762" s="27" t="str">
        <x:v>37025</x:v>
      </x:c>
      <x:c r="B2762" s="27" t="str">
        <x:v>SCA-29</x:v>
      </x:c>
      <x:c r="C2762" s="43" t="n">
        <x:v>249725</x:v>
      </x:c>
      <x:c r="D2762" s="43" t="n">
        <x:v>2198.0830320087516</x:v>
      </x:c>
      <x:c r="E2762" s="43" t="n">
        <x:v>26830.860628916864</x:v>
      </x:c>
      <x:c r="F2762" s="43" t="n">
        <x:v>1317.1159608715573</x:v>
      </x:c>
      <x:c r="G2762" s="43" t="n">
        <x:v>5845.353335921469</x:v>
      </x:c>
      <x:c r="H2762" s="43" t="n">
        <x:v>213533.58704228138</x:v>
      </x:c>
      <x:c r="I2762" s="43" t="n">
        <x:v>249725</x:v>
      </x:c>
      <x:c r="J2762" s="43" t="n">
        <x:v>26234</x:v>
      </x:c>
      <x:c r="K2762" s="43" t="n">
        <x:v>2397.2464666754395</x:v>
      </x:c>
      <x:c r="L2762" s="43" t="n">
        <x:v>1080.1305058038822</x:v>
      </x:c>
    </x:row>
    <x:row r="2763" ht="15" hidden="0" customHeight="1">
      <x:c r="A2763" s="29" t="str">
        <x:v>37071</x:v>
      </x:c>
      <x:c r="B2763" s="29" t="str">
        <x:v>SCA-29</x:v>
      </x:c>
      <x:c r="C2763" s="44" t="n">
        <x:v>246558</x:v>
      </x:c>
      <x:c r="D2763" s="44" t="n">
        <x:v>2500.5209866603973</x:v>
      </x:c>
      <x:c r="E2763" s="44" t="n">
        <x:v>34418.12740995325</x:v>
      </x:c>
      <x:c r="F2763" s="44" t="n">
        <x:v>1300.41236192039</x:v>
      </x:c>
      <x:c r="G2763" s="44" t="n">
        <x:v>7041.814338740721</x:v>
      </x:c>
      <x:c r="H2763" s="44" t="n">
        <x:v>201297.12490272525</x:v>
      </x:c>
      <x:c r="I2763" s="44" t="n">
        <x:v>246558</x:v>
      </x:c>
      <x:c r="J2763" s="44" t="n">
        <x:v>33847</x:v>
      </x:c>
      <x:c r="K2763" s="44" t="n">
        <x:v>2366.844706499401</x:v>
      </x:c>
      <x:c r="L2763" s="44" t="n">
        <x:v>1066.4323445790112</x:v>
      </x:c>
    </x:row>
    <x:row r="2764" ht="15" hidden="0" customHeight="1">
      <x:c r="A2764" s="27" t="str">
        <x:v>37129</x:v>
      </x:c>
      <x:c r="B2764" s="27" t="str">
        <x:v>SCA-29</x:v>
      </x:c>
      <x:c r="C2764" s="43" t="n">
        <x:v>245959</x:v>
      </x:c>
      <x:c r="D2764" s="43" t="n">
        <x:v>2257.6371758739206</x:v>
      </x:c>
      <x:c r="E2764" s="43" t="n">
        <x:v>28651.096173928705</x:v>
      </x:c>
      <x:c r="F2764" s="43" t="n">
        <x:v>1297.2530768645806</x:v>
      </x:c>
      <x:c r="G2764" s="43" t="n">
        <x:v>7311.76151711537</x:v>
      </x:c>
      <x:c r="H2764" s="43" t="n">
        <x:v>206441.2520562174</x:v>
      </x:c>
      <x:c r="I2764" s="43" t="n">
        <x:v>245959</x:v>
      </x:c>
      <x:c r="J2764" s="43" t="n">
        <x:v>28291</x:v>
      </x:c>
      <x:c r="K2764" s="43" t="n">
        <x:v>2361.094578824805</x:v>
      </x:c>
      <x:c r="L2764" s="43" t="n">
        <x:v>1063.8415019602244</x:v>
      </x:c>
    </x:row>
    <x:row r="2765" ht="15" hidden="0" customHeight="1">
      <x:c r="A2765" s="29" t="str">
        <x:v>51760</x:v>
      </x:c>
      <x:c r="B2765" s="29" t="str">
        <x:v>SCA-29</x:v>
      </x:c>
      <x:c r="C2765" s="44" t="n">
        <x:v>237257</x:v>
      </x:c>
      <x:c r="D2765" s="44" t="n">
        <x:v>2334.390442114046</x:v>
      </x:c>
      <x:c r="E2765" s="44" t="n">
        <x:v>32358.895124560495</x:v>
      </x:c>
      <x:c r="F2765" s="44" t="n">
        <x:v>1655.0975844239688</x:v>
      </x:c>
      <x:c r="G2765" s="44" t="n">
        <x:v>18782.654068153577</x:v>
      </x:c>
      <x:c r="H2765" s="44" t="n">
        <x:v>182125.9627807479</x:v>
      </x:c>
      <x:c r="I2765" s="44" t="n">
        <x:v>237257</x:v>
      </x:c>
      <x:c r="J2765" s="44" t="n">
        <x:v>32244</x:v>
      </x:c>
      <x:c r="K2765" s="44" t="n">
        <x:v>2641.200729681327</x:v>
      </x:c>
      <x:c r="L2765" s="44" t="n">
        <x:v>986.1031452573585</x:v>
      </x:c>
    </x:row>
    <x:row r="2766" ht="15" hidden="0" customHeight="1">
      <x:c r="A2766" s="27" t="str">
        <x:v>51710</x:v>
      </x:c>
      <x:c r="B2766" s="27" t="str">
        <x:v>SCA-29</x:v>
      </x:c>
      <x:c r="C2766" s="43" t="n">
        <x:v>231013</x:v>
      </x:c>
      <x:c r="D2766" s="43" t="n">
        <x:v>2356.051897365044</x:v>
      </x:c>
      <x:c r="E2766" s="43" t="n">
        <x:v>33501.61141221208</x:v>
      </x:c>
      <x:c r="F2766" s="43" t="n">
        <x:v>1611.539631161712</x:v>
      </x:c>
      <x:c r="G2766" s="43" t="n">
        <x:v>16024.959683443947</x:v>
      </x:c>
      <x:c r="H2766" s="43" t="n">
        <x:v>177518.8373758172</x:v>
      </x:c>
      <x:c r="I2766" s="43" t="n">
        <x:v>231013</x:v>
      </x:c>
      <x:c r="J2766" s="43" t="n">
        <x:v>31343</x:v>
      </x:c>
      <x:c r="K2766" s="43" t="n">
        <x:v>2571.6910530179193</x:v>
      </x:c>
      <x:c r="L2766" s="43" t="n">
        <x:v>960.1514218562073</x:v>
      </x:c>
    </x:row>
    <x:row r="2767" ht="15" hidden="0" customHeight="1">
      <x:c r="A2767" s="29" t="str">
        <x:v>37133</x:v>
      </x:c>
      <x:c r="B2767" s="29" t="str">
        <x:v>SCA-29</x:v>
      </x:c>
      <x:c r="C2767" s="44" t="n">
        <x:v>217175</x:v>
      </x:c>
      <x:c r="D2767" s="44" t="n">
        <x:v>2420.5984720691777</x:v>
      </x:c>
      <x:c r="E2767" s="44" t="n">
        <x:v>35550.13979436746</x:v>
      </x:c>
      <x:c r="F2767" s="44" t="n">
        <x:v>1145.4386176885791</x:v>
      </x:c>
      <x:c r="G2767" s="44" t="n">
        <x:v>4627.701940098345</x:v>
      </x:c>
      <x:c r="H2767" s="44" t="n">
        <x:v>173431.12117577644</x:v>
      </x:c>
      <x:c r="I2767" s="44" t="n">
        <x:v>217175</x:v>
      </x:c>
      <x:c r="J2767" s="44" t="n">
        <x:v>28608</x:v>
      </x:c>
      <x:c r="K2767" s="44" t="n">
        <x:v>2084.781264992446</x:v>
      </x:c>
      <x:c r="L2767" s="44" t="n">
        <x:v>939.3426473038667</x:v>
      </x:c>
    </x:row>
    <x:row r="2768" ht="15" hidden="0" customHeight="1">
      <x:c r="A2768" s="27" t="str">
        <x:v>37097</x:v>
      </x:c>
      <x:c r="B2768" s="27" t="str">
        <x:v>SCA-29</x:v>
      </x:c>
      <x:c r="C2768" s="43" t="n">
        <x:v>211798</x:v>
      </x:c>
      <x:c r="D2768" s="43" t="n">
        <x:v>1954.5020091762372</x:v>
      </x:c>
      <x:c r="E2768" s="43" t="n">
        <x:v>24921.993396571605</x:v>
      </x:c>
      <x:c r="F2768" s="43" t="n">
        <x:v>1117.0788919037905</x:v>
      </x:c>
      <x:c r="G2768" s="43" t="n">
        <x:v>4435.839513670023</x:v>
      </x:c>
      <x:c r="H2768" s="43" t="n">
        <x:v>179368.58618867834</x:v>
      </x:c>
      <x:c r="I2768" s="43" t="n">
        <x:v>211798</x:v>
      </x:c>
      <x:c r="J2768" s="43" t="n">
        <x:v>23918</x:v>
      </x:c>
      <x:c r="K2768" s="43" t="n">
        <x:v>2033.1645095562108</x:v>
      </x:c>
      <x:c r="L2768" s="43" t="n">
        <x:v>916.0856176524202</x:v>
      </x:c>
    </x:row>
    <x:row r="2769" ht="15" hidden="0" customHeight="1">
      <x:c r="A2769" s="29" t="str">
        <x:v>37001</x:v>
      </x:c>
      <x:c r="B2769" s="29" t="str">
        <x:v>SCA-29</x:v>
      </x:c>
      <x:c r="C2769" s="44" t="n">
        <x:v>186177</x:v>
      </x:c>
      <x:c r="D2769" s="44" t="n">
        <x:v>1722.983889889526</x:v>
      </x:c>
      <x:c r="E2769" s="44" t="n">
        <x:v>22025.190402909997</x:v>
      </x:c>
      <x:c r="F2769" s="44" t="n">
        <x:v>981.9469346168141</x:v>
      </x:c>
      <x:c r="G2769" s="44" t="n">
        <x:v>4740.247858705846</x:v>
      </x:c>
      <x:c r="H2769" s="44" t="n">
        <x:v>156706.63091387783</x:v>
      </x:c>
      <x:c r="I2769" s="44" t="n">
        <x:v>186177</x:v>
      </x:c>
      <x:c r="J2769" s="44" t="n">
        <x:v>21682</x:v>
      </x:c>
      <x:c r="K2769" s="44" t="n">
        <x:v>1787.2145577184235</x:v>
      </x:c>
      <x:c r="L2769" s="44" t="n">
        <x:v>805.2676231016093</x:v>
      </x:c>
    </x:row>
    <x:row r="2770" ht="15" hidden="0" customHeight="1">
      <x:c r="A2770" s="27" t="str">
        <x:v>51700</x:v>
      </x:c>
      <x:c r="B2770" s="27" t="str">
        <x:v>SCA-29</x:v>
      </x:c>
      <x:c r="C2770" s="43" t="n">
        <x:v>183230</x:v>
      </x:c>
      <x:c r="D2770" s="43" t="n">
        <x:v>1896.9932401109154</x:v>
      </x:c>
      <x:c r="E2770" s="43" t="n">
        <x:v>27250.575960767237</x:v>
      </x:c>
      <x:c r="F2770" s="43" t="n">
        <x:v>1278.2068828064243</x:v>
      </x:c>
      <x:c r="G2770" s="43" t="n">
        <x:v>10907.445797144626</x:v>
      </x:c>
      <x:c r="H2770" s="43" t="n">
        <x:v>141896.77811917078</x:v>
      </x:c>
      <x:c r="I2770" s="43" t="n">
        <x:v>183230</x:v>
      </x:c>
      <x:c r="J2770" s="43" t="n">
        <x:v>27041</x:v>
      </x:c>
      <x:c r="K2770" s="43" t="n">
        <x:v>2039.7594578853716</x:v>
      </x:c>
      <x:c r="L2770" s="43" t="n">
        <x:v>761.5525750789474</x:v>
      </x:c>
    </x:row>
    <x:row r="2771" ht="15" hidden="0" customHeight="1">
      <x:c r="A2771" s="29" t="str">
        <x:v>37147</x:v>
      </x:c>
      <x:c r="B2771" s="29" t="str">
        <x:v>SCA-29</x:v>
      </x:c>
      <x:c r="C2771" s="44" t="n">
        <x:v>182936</x:v>
      </x:c>
      <x:c r="D2771" s="44" t="n">
        <x:v>1878.6859333820344</x:v>
      </x:c>
      <x:c r="E2771" s="44" t="n">
        <x:v>26098.477013107014</x:v>
      </x:c>
      <x:c r="F2771" s="44" t="n">
        <x:v>964.8530400160145</x:v>
      </x:c>
      <x:c r="G2771" s="44" t="n">
        <x:v>10581.088874439616</x:v>
      </x:c>
      <x:c r="H2771" s="44" t="n">
        <x:v>143412.89513905533</x:v>
      </x:c>
      <x:c r="I2771" s="44" t="n">
        <x:v>182936</x:v>
      </x:c>
      <x:c r="J2771" s="44" t="n">
        <x:v>26055</x:v>
      </x:c>
      <x:c r="K2771" s="44" t="n">
        <x:v>1756.1024311852566</x:v>
      </x:c>
      <x:c r="L2771" s="44" t="n">
        <x:v>791.2493911692421</x:v>
      </x:c>
    </x:row>
    <x:row r="2772" ht="15" hidden="0" customHeight="1">
      <x:c r="A2772" s="27" t="str">
        <x:v>37057</x:v>
      </x:c>
      <x:c r="B2772" s="27" t="str">
        <x:v>SCA-29</x:v>
      </x:c>
      <x:c r="C2772" s="43" t="n">
        <x:v>180182</x:v>
      </x:c>
      <x:c r="D2772" s="43" t="n">
        <x:v>1892.4657580940964</x:v>
      </x:c>
      <x:c r="E2772" s="43" t="n">
        <x:v>26715.076501908243</x:v>
      </x:c>
      <x:c r="F2772" s="43" t="n">
        <x:v>950.3277127310399</x:v>
      </x:c>
      <x:c r="G2772" s="43" t="n">
        <x:v>3718.3282174577794</x:v>
      </x:c>
      <x:c r="H2772" s="43" t="n">
        <x:v>146905.80180980882</x:v>
      </x:c>
      <x:c r="I2772" s="43" t="n">
        <x:v>180182</x:v>
      </x:c>
      <x:c r="J2772" s="43" t="n">
        <x:v>26466</x:v>
      </x:c>
      <x:c r="K2772" s="43" t="n">
        <x:v>1729.6652832456264</x:v>
      </x:c>
      <x:c r="L2772" s="43" t="n">
        <x:v>779.3375705145864</x:v>
      </x:c>
    </x:row>
    <x:row r="2773" ht="15" hidden="0" customHeight="1">
      <x:c r="A2773" s="29" t="str">
        <x:v>37019</x:v>
      </x:c>
      <x:c r="B2773" s="29" t="str">
        <x:v>SCA-29</x:v>
      </x:c>
      <x:c r="C2773" s="44" t="n">
        <x:v>174702</x:v>
      </x:c>
      <x:c r="D2773" s="44" t="n">
        <x:v>1847.513894017549</x:v>
      </x:c>
      <x:c r="E2773" s="44" t="n">
        <x:v>26205.09256744812</x:v>
      </x:c>
      <x:c r="F2773" s="44" t="n">
        <x:v>921.4247375960869</x:v>
      </x:c>
      <x:c r="G2773" s="44" t="n">
        <x:v>2146.0812708610933</x:v>
      </x:c>
      <x:c r="H2773" s="44" t="n">
        <x:v>143581.88753007713</x:v>
      </x:c>
      <x:c r="I2773" s="44" t="n">
        <x:v>174702</x:v>
      </x:c>
      <x:c r="J2773" s="44" t="n">
        <x:v>23687</x:v>
      </x:c>
      <x:c r="K2773" s="44" t="n">
        <x:v>1677.059774636631</x:v>
      </x:c>
      <x:c r="L2773" s="44" t="n">
        <x:v>755.6350370405439</x:v>
      </x:c>
    </x:row>
    <x:row r="2774" ht="15" hidden="0" customHeight="1">
      <x:c r="A2774" s="27" t="str">
        <x:v>51179</x:v>
      </x:c>
      <x:c r="B2774" s="27" t="str">
        <x:v>SCA-29</x:v>
      </x:c>
      <x:c r="C2774" s="43" t="n">
        <x:v>170803</x:v>
      </x:c>
      <x:c r="D2774" s="43" t="n">
        <x:v>1311.9138584295083</x:v>
      </x:c>
      <x:c r="E2774" s="43" t="n">
        <x:v>14448.268750597092</x:v>
      </x:c>
      <x:c r="F2774" s="43" t="n">
        <x:v>1191.5165104185216</x:v>
      </x:c>
      <x:c r="G2774" s="43" t="n">
        <x:v>2268.314321926489</x:v>
      </x:c>
      <x:c r="H2774" s="43" t="n">
        <x:v>151582.98655862838</x:v>
      </x:c>
      <x:c r="I2774" s="43" t="n">
        <x:v>170803</x:v>
      </x:c>
      <x:c r="J2774" s="43" t="n">
        <x:v>13835</x:v>
      </x:c>
      <x:c r="K2774" s="43" t="n">
        <x:v>1901.4191709064844</x:v>
      </x:c>
      <x:c r="L2774" s="43" t="n">
        <x:v>709.9026604879629</x:v>
      </x:c>
    </x:row>
    <x:row r="2775" ht="15" hidden="0" customHeight="1">
      <x:c r="A2775" s="29" t="str">
        <x:v>37035</x:v>
      </x:c>
      <x:c r="B2775" s="29" t="str">
        <x:v>SCA-29</x:v>
      </x:c>
      <x:c r="C2775" s="44" t="n">
        <x:v>170172</x:v>
      </x:c>
      <x:c r="D2775" s="44" t="n">
        <x:v>1658.7492130804424</x:v>
      </x:c>
      <x:c r="E2775" s="44" t="n">
        <x:v>22144.984648187106</x:v>
      </x:c>
      <x:c r="F2775" s="44" t="n">
        <x:v>897.5323147199305</x:v>
      </x:c>
      <x:c r="G2775" s="44" t="n">
        <x:v>4198.176375324667</x:v>
      </x:c>
      <x:c r="H2775" s="44" t="n">
        <x:v>141272.55744868788</x:v>
      </x:c>
      <x:c r="I2775" s="44" t="n">
        <x:v>170172</x:v>
      </x:c>
      <x:c r="J2775" s="44" t="n">
        <x:v>21972</x:v>
      </x:c>
      <x:c r="K2775" s="44" t="n">
        <x:v>1633.57383412591</x:v>
      </x:c>
      <x:c r="L2775" s="44" t="n">
        <x:v>736.0415194059796</x:v>
      </x:c>
    </x:row>
    <x:row r="2776" ht="15" hidden="0" customHeight="1">
      <x:c r="A2776" s="27" t="str">
        <x:v>47163</x:v>
      </x:c>
      <x:c r="B2776" s="27" t="str">
        <x:v>SCA-29</x:v>
      </x:c>
      <x:c r="C2776" s="43" t="n">
        <x:v>163759</x:v>
      </x:c>
      <x:c r="D2776" s="43" t="n">
        <x:v>1944.7989455408836</x:v>
      </x:c>
      <x:c r="E2776" s="43" t="n">
        <x:v>29363.361391041584</x:v>
      </x:c>
      <x:c r="F2776" s="43" t="n">
        <x:v>1048.8953257982196</x:v>
      </x:c>
      <x:c r="G2776" s="43" t="n">
        <x:v>4162.062186408134</x:v>
      </x:c>
      <x:c r="H2776" s="43" t="n">
        <x:v>127239.88215121118</x:v>
      </x:c>
      <x:c r="I2776" s="43" t="n">
        <x:v>163759</x:v>
      </x:c>
      <x:c r="J2776" s="43" t="n">
        <x:v>29669</x:v>
      </x:c>
      <x:c r="K2776" s="43" t="n">
        <x:v>1770.2208800457038</x:v>
      </x:c>
      <x:c r="L2776" s="43" t="n">
        <x:v>721.3255542474842</x:v>
      </x:c>
    </x:row>
    <x:row r="2777" ht="15" hidden="0" customHeight="1">
      <x:c r="A2777" s="29" t="str">
        <x:v>51177</x:v>
      </x:c>
      <x:c r="B2777" s="29" t="str">
        <x:v>SCA-29</x:v>
      </x:c>
      <x:c r="C2777" s="44" t="n">
        <x:v>155388</x:v>
      </x:c>
      <x:c r="D2777" s="44" t="n">
        <x:v>1325.0474031723572</x:v>
      </x:c>
      <x:c r="E2777" s="44" t="n">
        <x:v>16301.125904740951</x:v>
      </x:c>
      <x:c r="F2777" s="44" t="n">
        <x:v>1083.9819413061434</x:v>
      </x:c>
      <x:c r="G2777" s="44" t="n">
        <x:v>2634.3131771807284</x:v>
      </x:c>
      <x:c r="H2777" s="44" t="n">
        <x:v>134043.53157359982</x:v>
      </x:c>
      <x:c r="I2777" s="44" t="n">
        <x:v>155388</x:v>
      </x:c>
      <x:c r="J2777" s="44" t="n">
        <x:v>15895</x:v>
      </x:c>
      <x:c r="K2777" s="44" t="n">
        <x:v>1729.8157651142942</x:v>
      </x:c>
      <x:c r="L2777" s="44" t="n">
        <x:v>645.8338238081508</x:v>
      </x:c>
    </x:row>
    <x:row r="2778" ht="15" hidden="0" customHeight="1">
      <x:c r="A2778" s="27" t="str">
        <x:v>37159</x:v>
      </x:c>
      <x:c r="B2778" s="27" t="str">
        <x:v>SCA-29</x:v>
      </x:c>
      <x:c r="C2778" s="43" t="n">
        <x:v>155096</x:v>
      </x:c>
      <x:c r="D2778" s="43" t="n">
        <x:v>1623.8927658660166</x:v>
      </x:c>
      <x:c r="E2778" s="43" t="n">
        <x:v>22873.41996462336</x:v>
      </x:c>
      <x:c r="F2778" s="43" t="n">
        <x:v>818.0174875055964</x:v>
      </x:c>
      <x:c r="G2778" s="43" t="n">
        <x:v>5655.907136322049</x:v>
      </x:c>
      <x:c r="H2778" s="43" t="n">
        <x:v>124124.76264568297</x:v>
      </x:c>
      <x:c r="I2778" s="43" t="n">
        <x:v>155096</x:v>
      </x:c>
      <x:c r="J2778" s="43" t="n">
        <x:v>22668</x:v>
      </x:c>
      <x:c r="K2778" s="43" t="n">
        <x:v>1488.8510881789728</x:v>
      </x:c>
      <x:c r="L2778" s="43" t="n">
        <x:v>670.8336006733764</x:v>
      </x:c>
    </x:row>
    <x:row r="2779" ht="15" hidden="0" customHeight="1">
      <x:c r="A2779" s="29" t="str">
        <x:v>37135</x:v>
      </x:c>
      <x:c r="B2779" s="29" t="str">
        <x:v>SCA-29</x:v>
      </x:c>
      <x:c r="C2779" s="44" t="n">
        <x:v>152498</x:v>
      </x:c>
      <x:c r="D2779" s="44" t="n">
        <x:v>1211.9998888515445</x:v>
      </x:c>
      <x:c r="E2779" s="44" t="n">
        <x:v>13257.680764300398</x:v>
      </x:c>
      <x:c r="F2779" s="44" t="n">
        <x:v>804.3149456441716</x:v>
      </x:c>
      <x:c r="G2779" s="44" t="n">
        <x:v>3897.863627201999</x:v>
      </x:c>
      <x:c r="H2779" s="44" t="n">
        <x:v>133326.1407740019</x:v>
      </x:c>
      <x:c r="I2779" s="44" t="n">
        <x:v>152498</x:v>
      </x:c>
      <x:c r="J2779" s="44" t="n">
        <x:v>13479</x:v>
      </x:c>
      <x:c r="K2779" s="44" t="n">
        <x:v>1463.911469316533</x:v>
      </x:c>
      <x:c r="L2779" s="44" t="n">
        <x:v>659.5965236723613</x:v>
      </x:c>
    </x:row>
    <x:row r="2780" ht="15" hidden="0" customHeight="1">
      <x:c r="A2780" s="27" t="str">
        <x:v>37085</x:v>
      </x:c>
      <x:c r="B2780" s="27" t="str">
        <x:v>SCA-29</x:v>
      </x:c>
      <x:c r="C2780" s="43" t="n">
        <x:v>150137</x:v>
      </x:c>
      <x:c r="D2780" s="43" t="n">
        <x:v>1609.6293010057714</x:v>
      </x:c>
      <x:c r="E2780" s="43" t="n">
        <x:v>23045.8743123473</x:v>
      </x:c>
      <x:c r="F2780" s="43" t="n">
        <x:v>791.8624047146782</x:v>
      </x:c>
      <x:c r="G2780" s="43" t="n">
        <x:v>2611.4671490321366</x:v>
      </x:c>
      <x:c r="H2780" s="43" t="n">
        <x:v>122078.16683290011</x:v>
      </x:c>
      <x:c r="I2780" s="43" t="n">
        <x:v>150137</x:v>
      </x:c>
      <x:c r="J2780" s="43" t="n">
        <x:v>21270</x:v>
      </x:c>
      <x:c r="K2780" s="43" t="n">
        <x:v>1441.2469427059784</x:v>
      </x:c>
      <x:c r="L2780" s="43" t="n">
        <x:v>649.3845379913002</x:v>
      </x:c>
    </x:row>
    <x:row r="2781" ht="15" hidden="0" customHeight="1">
      <x:c r="A2781" s="29" t="str">
        <x:v>37151</x:v>
      </x:c>
      <x:c r="B2781" s="29" t="str">
        <x:v>SCA-29</x:v>
      </x:c>
      <x:c r="C2781" s="44" t="n">
        <x:v>149516</x:v>
      </x:c>
      <x:c r="D2781" s="44" t="n">
        <x:v>1593.7135277143782</x:v>
      </x:c>
      <x:c r="E2781" s="44" t="n">
        <x:v>22728.35972395553</x:v>
      </x:c>
      <x:c r="F2781" s="44" t="n">
        <x:v>788.5870858170857</x:v>
      </x:c>
      <x:c r="G2781" s="44" t="n">
        <x:v>2628.483057151122</x:v>
      </x:c>
      <x:c r="H2781" s="44" t="n">
        <x:v>121776.85660536187</x:v>
      </x:c>
      <x:c r="I2781" s="44" t="n">
        <x:v>149516</x:v>
      </x:c>
      <x:c r="J2781" s="44" t="n">
        <x:v>22991</x:v>
      </x:c>
      <x:c r="K2781" s="44" t="n">
        <x:v>1435.2856250333166</x:v>
      </x:c>
      <x:c r="L2781" s="44" t="n">
        <x:v>646.6985392162309</x:v>
      </x:c>
    </x:row>
    <x:row r="2782" ht="15" hidden="0" customHeight="1">
      <x:c r="A2782" s="27" t="str">
        <x:v>45041</x:v>
      </x:c>
      <x:c r="B2782" s="27" t="str">
        <x:v>SCA-29</x:v>
      </x:c>
      <x:c r="C2782" s="43" t="n">
        <x:v>138504</x:v>
      </x:c>
      <x:c r="D2782" s="43" t="n">
        <x:v>1385.8049112551178</x:v>
      </x:c>
      <x:c r="E2782" s="43" t="n">
        <x:v>19006.355417810097</x:v>
      </x:c>
      <x:c r="F2782" s="43" t="n">
        <x:v>841.5800355913882</x:v>
      </x:c>
      <x:c r="G2782" s="43" t="n">
        <x:v>5644.572189388504</x:v>
      </x:c>
      <x:c r="H2782" s="43" t="n">
        <x:v>111625.6874459549</x:v>
      </x:c>
      <x:c r="I2782" s="43" t="n">
        <x:v>138504</x:v>
      </x:c>
      <x:c r="J2782" s="43" t="n">
        <x:v>19325</x:v>
      </x:c>
      <x:c r="K2782" s="43" t="n">
        <x:v>1435.4534711044187</x:v>
      </x:c>
      <x:c r="L2782" s="43" t="n">
        <x:v>593.8734355130305</x:v>
      </x:c>
    </x:row>
    <x:row r="2783" ht="15" hidden="0" customHeight="1">
      <x:c r="A2783" s="29" t="str">
        <x:v>51650</x:v>
      </x:c>
      <x:c r="B2783" s="29" t="str">
        <x:v>SCA-29</x:v>
      </x:c>
      <x:c r="C2783" s="44" t="n">
        <x:v>137315</x:v>
      </x:c>
      <x:c r="D2783" s="44" t="n">
        <x:v>1472.5153774173546</x:v>
      </x:c>
      <x:c r="E2783" s="44" t="n">
        <x:v>21643.145872254478</x:v>
      </x:c>
      <x:c r="F2783" s="44" t="n">
        <x:v>957.9052453886598</x:v>
      </x:c>
      <x:c r="G2783" s="44" t="n">
        <x:v>6654.765968189851</x:v>
      </x:c>
      <x:c r="H2783" s="44" t="n">
        <x:v>106586.66753674966</x:v>
      </x:c>
      <x:c r="I2783" s="44" t="n">
        <x:v>137315</x:v>
      </x:c>
      <x:c r="J2783" s="44" t="n">
        <x:v>21461</x:v>
      </x:c>
      <x:c r="K2783" s="44" t="n">
        <x:v>1528.622878128744</x:v>
      </x:c>
      <x:c r="L2783" s="44" t="n">
        <x:v>570.7176327400844</x:v>
      </x:c>
    </x:row>
    <x:row r="2784" ht="15" hidden="0" customHeight="1">
      <x:c r="A2784" s="27" t="str">
        <x:v>37191</x:v>
      </x:c>
      <x:c r="B2784" s="27" t="str">
        <x:v>SCA-29</x:v>
      </x:c>
      <x:c r="C2784" s="43" t="n">
        <x:v>122278</x:v>
      </x:c>
      <x:c r="D2784" s="43" t="n">
        <x:v>1285.6416454232894</x:v>
      </x:c>
      <x:c r="E2784" s="43" t="n">
        <x:v>18162.121877871465</x:v>
      </x:c>
      <x:c r="F2784" s="43" t="n">
        <x:v>644.9266411590842</x:v>
      </x:c>
      <x:c r="G2784" s="43" t="n">
        <x:v>4277.115773909063</x:v>
      </x:c>
      <x:c r="H2784" s="43" t="n">
        <x:v>97908.1940616371</x:v>
      </x:c>
      <x:c r="I2784" s="43" t="n">
        <x:v>122278</x:v>
      </x:c>
      <x:c r="J2784" s="43" t="n">
        <x:v>17579</x:v>
      </x:c>
      <x:c r="K2784" s="43" t="n">
        <x:v>1173.813208337729</x:v>
      </x:c>
      <x:c r="L2784" s="43" t="n">
        <x:v>528.8865671786449</x:v>
      </x:c>
    </x:row>
    <x:row r="2785" ht="15" hidden="0" customHeight="1">
      <x:c r="A2785" s="29" t="str">
        <x:v>37155</x:v>
      </x:c>
      <x:c r="B2785" s="29" t="str">
        <x:v>SCA-29</x:v>
      </x:c>
      <x:c r="C2785" s="44" t="n">
        <x:v>119941</x:v>
      </x:c>
      <x:c r="D2785" s="44" t="n">
        <x:v>1402.1144833300357</x:v>
      </x:c>
      <x:c r="E2785" s="44" t="n">
        <x:v>21200.066282796175</x:v>
      </x:c>
      <x:c r="F2785" s="44" t="n">
        <x:v>632.6006826024445</x:v>
      </x:c>
      <x:c r="G2785" s="44" t="n">
        <x:v>4760.258404766248</x:v>
      </x:c>
      <x:c r="H2785" s="44" t="n">
        <x:v>91945.9601465051</x:v>
      </x:c>
      <x:c r="I2785" s="44" t="n">
        <x:v>119941</x:v>
      </x:c>
      <x:c r="J2785" s="44" t="n">
        <x:v>21200</x:v>
      </x:c>
      <x:c r="K2785" s="44" t="n">
        <x:v>1151.3790708159731</x:v>
      </x:c>
      <x:c r="L2785" s="44" t="n">
        <x:v>518.7783882135286</x:v>
      </x:c>
    </x:row>
    <x:row r="2786" ht="15" hidden="0" customHeight="1">
      <x:c r="A2786" s="27" t="str">
        <x:v>51003</x:v>
      </x:c>
      <x:c r="B2786" s="27" t="str">
        <x:v>SCA-29</x:v>
      </x:c>
      <x:c r="C2786" s="43" t="n">
        <x:v>118356</x:v>
      </x:c>
      <x:c r="D2786" s="43" t="n">
        <x:v>972.664022880947</x:v>
      </x:c>
      <x:c r="E2786" s="43" t="n">
        <x:v>11537.88078412033</x:v>
      </x:c>
      <x:c r="F2786" s="43" t="n">
        <x:v>825.6478405361411</x:v>
      </x:c>
      <x:c r="G2786" s="43" t="n">
        <x:v>2963.5491968578826</x:v>
      </x:c>
      <x:c r="H2786" s="43" t="n">
        <x:v>102056.2581556047</x:v>
      </x:c>
      <x:c r="I2786" s="43" t="n">
        <x:v>118356</x:v>
      </x:c>
      <x:c r="J2786" s="43" t="n">
        <x:v>11531</x:v>
      </x:c>
      <x:c r="K2786" s="43" t="n">
        <x:v>1317.5668307454075</x:v>
      </x:c>
      <x:c r="L2786" s="43" t="n">
        <x:v>491.91899020926644</x:v>
      </x:c>
    </x:row>
    <x:row r="2787" ht="15" hidden="0" customHeight="1">
      <x:c r="A2787" s="29" t="str">
        <x:v>24037</x:v>
      </x:c>
      <x:c r="B2787" s="29" t="str">
        <x:v>SCA-29</x:v>
      </x:c>
      <x:c r="C2787" s="44" t="n">
        <x:v>116692</x:v>
      </x:c>
      <x:c r="D2787" s="44" t="n">
        <x:v>1096.1292110040893</x:v>
      </x:c>
      <x:c r="E2787" s="44" t="n">
        <x:v>13284.251819390063</x:v>
      </x:c>
      <x:c r="F2787" s="44" t="n">
        <x:v>550.7792467657565</x:v>
      </x:c>
      <x:c r="G2787" s="44" t="n">
        <x:v>2621.7729579007864</x:v>
      </x:c>
      <x:c r="H2787" s="44" t="n">
        <x:v>99139.06676493931</x:v>
      </x:c>
      <x:c r="I2787" s="44" t="n">
        <x:v>116692</x:v>
      </x:c>
      <x:c r="J2787" s="44" t="n">
        <x:v>13205</x:v>
      </x:c>
      <x:c r="K2787" s="44" t="n">
        <x:v>1093.3979652952596</x:v>
      </x:c>
      <x:c r="L2787" s="44" t="n">
        <x:v>542.6187185295031</x:v>
      </x:c>
    </x:row>
    <x:row r="2788" ht="15" hidden="0" customHeight="1">
      <x:c r="A2788" s="27" t="str">
        <x:v>51085</x:v>
      </x:c>
      <x:c r="B2788" s="27" t="str">
        <x:v>SCA-29</x:v>
      </x:c>
      <x:c r="C2788" s="43" t="n">
        <x:v>116423</x:v>
      </x:c>
      <x:c r="D2788" s="43" t="n">
        <x:v>1009.8784136917651</x:v>
      </x:c>
      <x:c r="E2788" s="43" t="n">
        <x:v>12623.843644686025</x:v>
      </x:c>
      <x:c r="F2788" s="43" t="n">
        <x:v>812.1632915841966</x:v>
      </x:c>
      <x:c r="G2788" s="43" t="n">
        <x:v>1733.7415873980833</x:v>
      </x:c>
      <x:c r="H2788" s="43" t="n">
        <x:v>100243.37306263993</x:v>
      </x:c>
      <x:c r="I2788" s="43" t="n">
        <x:v>116423</x:v>
      </x:c>
      <x:c r="J2788" s="43" t="n">
        <x:v>12634</x:v>
      </x:c>
      <x:c r="K2788" s="43" t="n">
        <x:v>1296.0482200807107</x:v>
      </x:c>
      <x:c r="L2788" s="43" t="n">
        <x:v>483.88492849651414</x:v>
      </x:c>
    </x:row>
    <x:row r="2789" ht="15" hidden="0" customHeight="1">
      <x:c r="A2789" s="29" t="str">
        <x:v>45057</x:v>
      </x:c>
      <x:c r="B2789" s="29" t="str">
        <x:v>SCA-29</x:v>
      </x:c>
      <x:c r="C2789" s="44" t="n">
        <x:v>114296</x:v>
      </x:c>
      <x:c r="D2789" s="44" t="n">
        <x:v>1165.4013457581748</x:v>
      </x:c>
      <x:c r="E2789" s="44" t="n">
        <x:v>16207.83049861253</x:v>
      </x:c>
      <x:c r="F2789" s="44" t="n">
        <x:v>694.4870310456977</x:v>
      </x:c>
      <x:c r="G2789" s="44" t="n">
        <x:v>1898.0401927851613</x:v>
      </x:c>
      <x:c r="H2789" s="44" t="n">
        <x:v>94330.24093179844</x:v>
      </x:c>
      <x:c r="I2789" s="44" t="n">
        <x:v>114296</x:v>
      </x:c>
      <x:c r="J2789" s="44" t="n">
        <x:v>15171</x:v>
      </x:c>
      <x:c r="K2789" s="44" t="n">
        <x:v>1184.5621060283504</x:v>
      </x:c>
      <x:c r="L2789" s="44" t="n">
        <x:v>490.0750749826527</x:v>
      </x:c>
    </x:row>
    <x:row r="2790" ht="15" hidden="0" customHeight="1">
      <x:c r="A2790" s="27" t="str">
        <x:v>37125</x:v>
      </x:c>
      <x:c r="B2790" s="27" t="str">
        <x:v>SCA-29</x:v>
      </x:c>
      <x:c r="C2790" s="43" t="n">
        <x:v>110619</x:v>
      </x:c>
      <x:c r="D2790" s="43" t="n">
        <x:v>1140.0726780254338</x:v>
      </x:c>
      <x:c r="E2790" s="43" t="n">
        <x:v>15878.749161522326</x:v>
      </x:c>
      <x:c r="F2790" s="43" t="n">
        <x:v>583.433979279811</x:v>
      </x:c>
      <x:c r="G2790" s="43" t="n">
        <x:v>2177.6399011087806</x:v>
      </x:c>
      <x:c r="H2790" s="43" t="n">
        <x:v>90839.10428006365</x:v>
      </x:c>
      <x:c r="I2790" s="43" t="n">
        <x:v>110619</x:v>
      </x:c>
      <x:c r="J2790" s="43" t="n">
        <x:v>14969</x:v>
      </x:c>
      <x:c r="K2790" s="43" t="n">
        <x:v>1061.892108908481</x:v>
      </x:c>
      <x:c r="L2790" s="43" t="n">
        <x:v>478.4581296286701</x:v>
      </x:c>
    </x:row>
    <x:row r="2791" ht="15" hidden="0" customHeight="1">
      <x:c r="A2791" s="29" t="str">
        <x:v>45085</x:v>
      </x:c>
      <x:c r="B2791" s="29" t="str">
        <x:v>SCA-29</x:v>
      </x:c>
      <x:c r="C2791" s="44" t="n">
        <x:v>105067</x:v>
      </x:c>
      <x:c r="D2791" s="44" t="n">
        <x:v>1088.5775277445666</x:v>
      </x:c>
      <x:c r="E2791" s="44" t="n">
        <x:v>15313.782993187637</x:v>
      </x:c>
      <x:c r="F2791" s="44" t="n">
        <x:v>638.4096459270517</x:v>
      </x:c>
      <x:c r="G2791" s="44" t="n">
        <x:v>4946.129181808059</x:v>
      </x:c>
      <x:c r="H2791" s="44" t="n">
        <x:v>83080.10065133269</x:v>
      </x:c>
      <x:c r="I2791" s="44" t="n">
        <x:v>105067</x:v>
      </x:c>
      <x:c r="J2791" s="44" t="n">
        <x:v>14999</x:v>
      </x:c>
      <x:c r="K2791" s="44" t="n">
        <x:v>1088.9128822888</x:v>
      </x:c>
      <x:c r="L2791" s="44" t="n">
        <x:v>450.50323636174824</x:v>
      </x:c>
    </x:row>
    <x:row r="2792" ht="15" hidden="0" customHeight="1">
      <x:c r="A2792" s="27" t="str">
        <x:v>37049</x:v>
      </x:c>
      <x:c r="B2792" s="27" t="str">
        <x:v>SCA-29</x:v>
      </x:c>
      <x:c r="C2792" s="43" t="n">
        <x:v>105025</x:v>
      </x:c>
      <x:c r="D2792" s="43" t="n">
        <x:v>1124.9897565844092</x:v>
      </x:c>
      <x:c r="E2792" s="43" t="n">
        <x:v>16097.453815932457</x:v>
      </x:c>
      <x:c r="F2792" s="43" t="n">
        <x:v>553.9297378738024</x:v>
      </x:c>
      <x:c r="G2792" s="43" t="n">
        <x:v>4009.267157067625</x:v>
      </x:c>
      <x:c r="H2792" s="43" t="n">
        <x:v>83239.35953254171</x:v>
      </x:c>
      <x:c r="I2792" s="43" t="n">
        <x:v>105025</x:v>
      </x:c>
      <x:c r="J2792" s="43" t="n">
        <x:v>15280</x:v>
      </x:c>
      <x:c r="K2792" s="43" t="n">
        <x:v>1008.1922521276925</x:v>
      </x:c>
      <x:c r="L2792" s="43" t="n">
        <x:v>454.2625142538902</x:v>
      </x:c>
    </x:row>
    <x:row r="2793" ht="15" hidden="0" customHeight="1">
      <x:c r="A2793" s="29" t="str">
        <x:v>51800</x:v>
      </x:c>
      <x:c r="B2793" s="29" t="str">
        <x:v>SCA-29</x:v>
      </x:c>
      <x:c r="C2793" s="44" t="n">
        <x:v>104699</x:v>
      </x:c>
      <x:c r="D2793" s="44" t="n">
        <x:v>992.4269860886355</x:v>
      </x:c>
      <x:c r="E2793" s="44" t="n">
        <x:v>13374.48281650341</x:v>
      </x:c>
      <x:c r="F2793" s="44" t="n">
        <x:v>730.3770257214966</x:v>
      </x:c>
      <x:c r="G2793" s="44" t="n">
        <x:v>3089.323536234329</x:v>
      </x:c>
      <x:c r="H2793" s="44" t="n">
        <x:v>86512.38963545213</x:v>
      </x:c>
      <x:c r="I2793" s="44" t="n">
        <x:v>104699</x:v>
      </x:c>
      <x:c r="J2793" s="44" t="n">
        <x:v>12620</x:v>
      </x:c>
      <x:c r="K2793" s="44" t="n">
        <x:v>1165.5338944558234</x:v>
      </x:c>
      <x:c r="L2793" s="44" t="n">
        <x:v>435.15686873432685</x:v>
      </x:c>
    </x:row>
    <x:row r="2794" ht="15" hidden="0" customHeight="1">
      <x:c r="A2794" s="27" t="str">
        <x:v>37045</x:v>
      </x:c>
      <x:c r="B2794" s="27" t="str">
        <x:v>SCA-29</x:v>
      </x:c>
      <x:c r="C2794" s="43" t="n">
        <x:v>103325</x:v>
      </x:c>
      <x:c r="D2794" s="43" t="n">
        <x:v>1139.4994828088938</x:v>
      </x:c>
      <x:c r="E2794" s="43" t="n">
        <x:v>16622.158662426096</x:v>
      </x:c>
      <x:c r="F2794" s="43" t="n">
        <x:v>544.9634864633242</x:v>
      </x:c>
      <x:c r="G2794" s="43" t="n">
        <x:v>2687.4821836272818</x:v>
      </x:c>
      <x:c r="H2794" s="43" t="n">
        <x:v>82330.8961846744</x:v>
      </x:c>
      <x:c r="I2794" s="43" t="n">
        <x:v>103325</x:v>
      </x:c>
      <x:c r="J2794" s="43" t="n">
        <x:v>16808</x:v>
      </x:c>
      <x:c r="K2794" s="43" t="n">
        <x:v>991.873025004464</x:v>
      </x:c>
      <x:c r="L2794" s="43" t="n">
        <x:v>446.90953854113974</x:v>
      </x:c>
    </x:row>
    <x:row r="2795" ht="15" hidden="0" customHeight="1">
      <x:c r="A2795" s="29" t="str">
        <x:v>37127</x:v>
      </x:c>
      <x:c r="B2795" s="29" t="str">
        <x:v>SCA-29</x:v>
      </x:c>
      <x:c r="C2795" s="44" t="n">
        <x:v>99365</x:v>
      </x:c>
      <x:c r="D2795" s="44" t="n">
        <x:v>1003.5177030143119</x:v>
      </x:c>
      <x:c r="E2795" s="44" t="n">
        <x:v>13769.67054249719</x:v>
      </x:c>
      <x:c r="F2795" s="44" t="n">
        <x:v>524.0773949424458</x:v>
      </x:c>
      <x:c r="G2795" s="44" t="n">
        <x:v>3511.1569228021135</x:v>
      </x:c>
      <x:c r="H2795" s="44" t="n">
        <x:v>80556.57743674394</x:v>
      </x:c>
      <x:c r="I2795" s="44" t="n">
        <x:v>99365</x:v>
      </x:c>
      <x:c r="J2795" s="44" t="n">
        <x:v>13738</x:v>
      </x:c>
      <x:c r="K2795" s="44" t="n">
        <x:v>953.8588253527081</x:v>
      </x:c>
      <x:c r="L2795" s="44" t="n">
        <x:v>429.7814304102623</x:v>
      </x:c>
    </x:row>
    <x:row r="2796" ht="15" hidden="0" customHeight="1">
      <x:c r="A2796" s="27" t="str">
        <x:v>51770</x:v>
      </x:c>
      <x:c r="B2796" s="27" t="str">
        <x:v>SCA-29</x:v>
      </x:c>
      <x:c r="C2796" s="43" t="n">
        <x:v>99111</x:v>
      </x:c>
      <x:c r="D2796" s="43" t="n">
        <x:v>992.1285677185566</x:v>
      </x:c>
      <x:c r="E2796" s="43" t="n">
        <x:v>13924.725889134523</x:v>
      </x:c>
      <x:c r="F2796" s="43" t="n">
        <x:v>691.3953084201687</x:v>
      </x:c>
      <x:c r="G2796" s="43" t="n">
        <x:v>6249.569585339145</x:v>
      </x:c>
      <x:c r="H2796" s="43" t="n">
        <x:v>77253.1806493876</x:v>
      </x:c>
      <x:c r="I2796" s="43" t="n">
        <x:v>99111</x:v>
      </x:c>
      <x:c r="J2796" s="43" t="n">
        <x:v>14167</x:v>
      </x:c>
      <x:c r="K2796" s="43" t="n">
        <x:v>1103.3269640914536</x:v>
      </x:c>
      <x:c r="L2796" s="43" t="n">
        <x:v>411.931655671285</x:v>
      </x:c>
    </x:row>
    <x:row r="2797" ht="15" hidden="0" customHeight="1">
      <x:c r="A2797" s="29" t="str">
        <x:v>37109</x:v>
      </x:c>
      <x:c r="B2797" s="29" t="str">
        <x:v>SCA-29</x:v>
      </x:c>
      <x:c r="C2797" s="44" t="n">
        <x:v>98654</x:v>
      </x:c>
      <x:c r="D2797" s="44" t="n">
        <x:v>1014.9871320601563</x:v>
      </x:c>
      <x:c r="E2797" s="44" t="n">
        <x:v>14118.743414634146</x:v>
      </x:c>
      <x:c r="F2797" s="44" t="n">
        <x:v>520.3273921466518</x:v>
      </x:c>
      <x:c r="G2797" s="44" t="n">
        <x:v>1758.432755869615</x:v>
      </x:c>
      <x:c r="H2797" s="44" t="n">
        <x:v>81241.50930528944</x:v>
      </x:c>
      <x:c r="I2797" s="44" t="n">
        <x:v>98654</x:v>
      </x:c>
      <x:c r="J2797" s="44" t="n">
        <x:v>13734</x:v>
      </x:c>
      <x:c r="K2797" s="44" t="n">
        <x:v>947.033548597052</x:v>
      </x:c>
      <x:c r="L2797" s="44" t="n">
        <x:v>426.7061564504002</x:v>
      </x:c>
    </x:row>
    <x:row r="2798" ht="15" hidden="0" customHeight="1">
      <x:c r="A2798" s="27" t="str">
        <x:v>51121</x:v>
      </x:c>
      <x:c r="B2798" s="27" t="str">
        <x:v>SCA-29</x:v>
      </x:c>
      <x:c r="C2798" s="43" t="n">
        <x:v>98434</x:v>
      </x:c>
      <x:c r="D2798" s="43" t="n">
        <x:v>824.749004615355</x:v>
      </x:c>
      <x:c r="E2798" s="43" t="n">
        <x:v>9975.147380714998</x:v>
      </x:c>
      <x:c r="F2798" s="43" t="n">
        <x:v>686.6725771007343</x:v>
      </x:c>
      <x:c r="G2798" s="43" t="n">
        <x:v>3646.1811199055896</x:v>
      </x:c>
      <x:c r="H2798" s="43" t="n">
        <x:v>83301.24991766333</x:v>
      </x:c>
      <x:c r="I2798" s="43" t="n">
        <x:v>98434</x:v>
      </x:c>
      <x:c r="J2798" s="43" t="n">
        <x:v>10376</x:v>
      </x:c>
      <x:c r="K2798" s="43" t="n">
        <x:v>1095.7904408529644</x:v>
      </x:c>
      <x:c r="L2798" s="43" t="n">
        <x:v>409.11786375223</x:v>
      </x:c>
    </x:row>
    <x:row r="2799" ht="15" hidden="0" customHeight="1">
      <x:c r="A2799" s="29" t="str">
        <x:v>51161</x:v>
      </x:c>
      <x:c r="B2799" s="29" t="str">
        <x:v>SCA-29</x:v>
      </x:c>
      <x:c r="C2799" s="44" t="n">
        <x:v>97150</x:v>
      </x:c>
      <x:c r="D2799" s="44" t="n">
        <x:v>969.9563773849785</x:v>
      </x:c>
      <x:c r="E2799" s="44" t="n">
        <x:v>13588.203812824955</x:v>
      </x:c>
      <x:c r="F2799" s="44" t="n">
        <x:v>677.7154323235503</x:v>
      </x:c>
      <x:c r="G2799" s="44" t="n">
        <x:v>2057.1637203928362</x:v>
      </x:c>
      <x:c r="H2799" s="44" t="n">
        <x:v>79856.96065707367</x:v>
      </x:c>
      <x:c r="I2799" s="44" t="n">
        <x:v>97150</x:v>
      </x:c>
      <x:c r="J2799" s="44" t="n">
        <x:v>13871</x:v>
      </x:c>
      <x:c r="K2799" s="44" t="n">
        <x:v>1081.4966508408222</x:v>
      </x:c>
      <x:c r="L2799" s="44" t="n">
        <x:v>403.7812185172719</x:v>
      </x:c>
    </x:row>
    <x:row r="2800" ht="15" hidden="0" customHeight="1">
      <x:c r="A2800" s="27" t="str">
        <x:v>51740</x:v>
      </x:c>
      <x:c r="B2800" s="27" t="str">
        <x:v>SCA-29</x:v>
      </x:c>
      <x:c r="C2800" s="43" t="n">
        <x:v>96777</x:v>
      </x:c>
      <x:c r="D2800" s="43" t="n">
        <x:v>1061.6671129499493</x:v>
      </x:c>
      <x:c r="E2800" s="43" t="n">
        <x:v>15826.46835746163</x:v>
      </x:c>
      <x:c r="F2800" s="43" t="n">
        <x:v>675.1133957177173</x:v>
      </x:c>
      <x:c r="G2800" s="43" t="n">
        <x:v>7282.6729073691085</x:v>
      </x:c>
      <x:c r="H2800" s="43" t="n">
        <x:v>71931.0782265016</x:v>
      </x:c>
      <x:c r="I2800" s="43" t="n">
        <x:v>96777</x:v>
      </x:c>
      <x:c r="J2800" s="43" t="n">
        <x:v>15650</x:v>
      </x:c>
      <x:c r="K2800" s="43" t="n">
        <x:v>1077.3443271067654</x:v>
      </x:c>
      <x:c r="L2800" s="43" t="n">
        <x:v>402.2309313890481</x:v>
      </x:c>
    </x:row>
    <x:row r="2801" ht="15" hidden="0" customHeight="1">
      <x:c r="A2801" s="29" t="str">
        <x:v>37157</x:v>
      </x:c>
      <x:c r="B2801" s="29" t="str">
        <x:v>SCA-29</x:v>
      </x:c>
      <x:c r="C2801" s="44" t="n">
        <x:v>94195</x:v>
      </x:c>
      <x:c r="D2801" s="44" t="n">
        <x:v>1086.6404173677092</x:v>
      </x:c>
      <x:c r="E2801" s="44" t="n">
        <x:v>16301.296408412885</x:v>
      </x:c>
      <x:c r="F2801" s="44" t="n">
        <x:v>496.80944212352125</x:v>
      </x:c>
      <x:c r="G2801" s="44" t="n">
        <x:v>3090.382722679497</x:v>
      </x:c>
      <x:c r="H2801" s="44" t="n">
        <x:v>73219.87100941638</x:v>
      </x:c>
      <x:c r="I2801" s="44" t="n">
        <x:v>94195</x:v>
      </x:c>
      <x:c r="J2801" s="44" t="n">
        <x:v>16448</x:v>
      </x:c>
      <x:c r="K2801" s="44" t="n">
        <x:v>904.2291758073602</x:v>
      </x:c>
      <x:c r="L2801" s="44" t="n">
        <x:v>407.41973368383896</x:v>
      </x:c>
    </x:row>
    <x:row r="2802" ht="15" hidden="0" customHeight="1">
      <x:c r="A2802" s="27" t="str">
        <x:v>37023</x:v>
      </x:c>
      <x:c r="B2802" s="27" t="str">
        <x:v>SCA-29</x:v>
      </x:c>
      <x:c r="C2802" s="43" t="n">
        <x:v>88655</x:v>
      </x:c>
      <x:c r="D2802" s="43" t="n">
        <x:v>1052.988062752832</x:v>
      </x:c>
      <x:c r="E2802" s="43" t="n">
        <x:v>16068.729103989534</x:v>
      </x:c>
      <x:c r="F2802" s="43" t="n">
        <x:v>467.59001105643364</x:v>
      </x:c>
      <x:c r="G2802" s="43" t="n">
        <x:v>2477.398065962814</x:v>
      </x:c>
      <x:c r="H2802" s="43" t="n">
        <x:v>68588.29475623838</x:v>
      </x:c>
      <x:c r="I2802" s="43" t="n">
        <x:v>88655</x:v>
      </x:c>
      <x:c r="J2802" s="43" t="n">
        <x:v>16166</x:v>
      </x:c>
      <x:c r="K2802" s="43" t="n">
        <x:v>851.0476944763683</x:v>
      </x:c>
      <x:c r="L2802" s="43" t="n">
        <x:v>383.45768341993465</x:v>
      </x:c>
    </x:row>
    <x:row r="2803" ht="15" hidden="0" customHeight="1">
      <x:c r="A2803" s="29" t="str">
        <x:v>37037</x:v>
      </x:c>
      <x:c r="B2803" s="29" t="str">
        <x:v>SCA-29</x:v>
      </x:c>
      <x:c r="C2803" s="44" t="n">
        <x:v>85111</x:v>
      </x:c>
      <x:c r="D2803" s="44" t="n">
        <x:v>752.8489153700866</x:v>
      </x:c>
      <x:c r="E2803" s="44" t="n">
        <x:v>9233.280568111708</x:v>
      </x:c>
      <x:c r="F2803" s="44" t="n">
        <x:v>448.89801399835454</x:v>
      </x:c>
      <x:c r="G2803" s="44" t="n">
        <x:v>1045.323163898717</x:v>
      </x:c>
      <x:c r="H2803" s="44" t="n">
        <x:v>73630.64933862114</x:v>
      </x:c>
      <x:c r="I2803" s="44" t="n">
        <x:v>85111</x:v>
      </x:c>
      <x:c r="J2803" s="44" t="n">
        <x:v>8975</x:v>
      </x:c>
      <x:c r="K2803" s="44" t="n">
        <x:v>817.0269056971201</x:v>
      </x:c>
      <x:c r="L2803" s="44" t="n">
        <x:v>368.1288916987655</x:v>
      </x:c>
    </x:row>
    <x:row r="2804" ht="15" hidden="0" customHeight="1">
      <x:c r="A2804" s="27" t="str">
        <x:v>51095</x:v>
      </x:c>
      <x:c r="B2804" s="27" t="str">
        <x:v>SCA-29</x:v>
      </x:c>
      <x:c r="C2804" s="43" t="n">
        <x:v>83326</x:v>
      </x:c>
      <x:c r="D2804" s="43" t="n">
        <x:v>815.8527833445863</x:v>
      </x:c>
      <x:c r="E2804" s="43" t="n">
        <x:v>11268.666784417426</x:v>
      </x:c>
      <x:c r="F2804" s="43" t="n">
        <x:v>581.2796306103155</x:v>
      </x:c>
      <x:c r="G2804" s="43" t="n">
        <x:v>1677.8794615180234</x:v>
      </x:c>
      <x:c r="H2804" s="43" t="n">
        <x:v>68982.32134010964</x:v>
      </x:c>
      <x:c r="I2804" s="43" t="n">
        <x:v>83326</x:v>
      </x:c>
      <x:c r="J2804" s="43" t="n">
        <x:v>11134</x:v>
      </x:c>
      <x:c r="K2804" s="43" t="n">
        <x:v>927.6046312708424</x:v>
      </x:c>
      <x:c r="L2804" s="43" t="n">
        <x:v>346.325000660527</x:v>
      </x:c>
    </x:row>
    <x:row r="2805" ht="15" hidden="0" customHeight="1">
      <x:c r="A2805" s="29" t="str">
        <x:v>45075</x:v>
      </x:c>
      <x:c r="B2805" s="29" t="str">
        <x:v>SCA-29</x:v>
      </x:c>
      <x:c r="C2805" s="44" t="n">
        <x:v>83177</x:v>
      </x:c>
      <x:c r="D2805" s="44" t="n">
        <x:v>857.9991177350458</x:v>
      </x:c>
      <x:c r="E2805" s="44" t="n">
        <x:v>12032.524529043052</x:v>
      </x:c>
      <x:c r="F2805" s="44" t="n">
        <x:v>505.40130696864264</x:v>
      </x:c>
      <x:c r="G2805" s="44" t="n">
        <x:v>4106.417477964622</x:v>
      </x:c>
      <x:c r="H2805" s="44" t="n">
        <x:v>65674.65756828863</x:v>
      </x:c>
      <x:c r="I2805" s="44" t="n">
        <x:v>83177</x:v>
      </x:c>
      <x:c r="J2805" s="44" t="n">
        <x:v>12429</x:v>
      </x:c>
      <x:c r="K2805" s="44" t="n">
        <x:v>862.0452359935614</x:v>
      </x:c>
      <x:c r="L2805" s="44" t="n">
        <x:v>356.6439290249187</x:v>
      </x:c>
    </x:row>
    <x:row r="2806" ht="15" hidden="0" customHeight="1">
      <x:c r="A2806" s="27" t="str">
        <x:v>51019</x:v>
      </x:c>
      <x:c r="B2806" s="27" t="str">
        <x:v>SCA-29</x:v>
      </x:c>
      <x:c r="C2806" s="43" t="n">
        <x:v>83059</x:v>
      </x:c>
      <x:c r="D2806" s="43" t="n">
        <x:v>774.0375665026512</x:v>
      </x:c>
      <x:c r="E2806" s="43" t="n">
        <x:v>10291.734931196655</x:v>
      </x:c>
      <x:c r="F2806" s="43" t="n">
        <x:v>579.4170467664617</x:v>
      </x:c>
      <x:c r="G2806" s="43" t="n">
        <x:v>1466.6434419090751</x:v>
      </x:c>
      <x:c r="H2806" s="43" t="n">
        <x:v>69947.16701362515</x:v>
      </x:c>
      <x:c r="I2806" s="43" t="n">
        <x:v>83059</x:v>
      </x:c>
      <x:c r="J2806" s="43" t="n">
        <x:v>10374</x:v>
      </x:c>
      <x:c r="K2806" s="43" t="n">
        <x:v>924.6323244692521</x:v>
      </x:c>
      <x:c r="L2806" s="43" t="n">
        <x:v>345.2152777027904</x:v>
      </x:c>
    </x:row>
    <x:row r="2807" ht="15" hidden="0" customHeight="1">
      <x:c r="A2807" s="29" t="str">
        <x:v>37069</x:v>
      </x:c>
      <x:c r="B2807" s="29" t="str">
        <x:v>SCA-29</x:v>
      </x:c>
      <x:c r="C2807" s="44" t="n">
        <x:v>82037</x:v>
      </x:c>
      <x:c r="D2807" s="44" t="n">
        <x:v>879.8214737899351</x:v>
      </x:c>
      <x:c r="E2807" s="44" t="n">
        <x:v>12599.723815002111</x:v>
      </x:c>
      <x:c r="F2807" s="44" t="n">
        <x:v>432.684921741996</x:v>
      </x:c>
      <x:c r="G2807" s="44" t="n">
        <x:v>1613.2482722898465</x:v>
      </x:c>
      <x:c r="H2807" s="44" t="n">
        <x:v>66511.52151717611</x:v>
      </x:c>
      <x:c r="I2807" s="44" t="n">
        <x:v>82037</x:v>
      </x:c>
      <x:c r="J2807" s="44" t="n">
        <x:v>11737</x:v>
      </x:c>
      <x:c r="K2807" s="44" t="n">
        <x:v>787.5179032401763</x:v>
      </x:c>
      <x:c r="L2807" s="44" t="n">
        <x:v>354.83298149818035</x:v>
      </x:c>
    </x:row>
    <x:row r="2808" ht="15" hidden="0" customHeight="1">
      <x:c r="A2808" s="27" t="str">
        <x:v>51680</x:v>
      </x:c>
      <x:c r="B2808" s="27" t="str">
        <x:v>SCA-29</x:v>
      </x:c>
      <x:c r="C2808" s="43" t="n">
        <x:v>81347</x:v>
      </x:c>
      <x:c r="D2808" s="43" t="n">
        <x:v>786.6542921144677</x:v>
      </x:c>
      <x:c r="E2808" s="43" t="n">
        <x:v>10765.308993398916</x:v>
      </x:c>
      <x:c r="F2808" s="43" t="n">
        <x:v>567.4741870635496</x:v>
      </x:c>
      <x:c r="G2808" s="43" t="n">
        <x:v>4569.383299514551</x:v>
      </x:c>
      <x:c r="H2808" s="43" t="n">
        <x:v>64658.17922790852</x:v>
      </x:c>
      <x:c r="I2808" s="43" t="n">
        <x:v>81347</x:v>
      </x:c>
      <x:c r="J2808" s="43" t="n">
        <x:v>10734</x:v>
      </x:c>
      <x:c r="K2808" s="43" t="n">
        <x:v>905.5739377863958</x:v>
      </x:c>
      <x:c r="L2808" s="43" t="n">
        <x:v>338.0997507228463</x:v>
      </x:c>
    </x:row>
    <x:row r="2809" ht="15" hidden="0" customHeight="1">
      <x:c r="A2809" s="29" t="str">
        <x:v>37195</x:v>
      </x:c>
      <x:c r="B2809" s="29" t="str">
        <x:v>SCA-29</x:v>
      </x:c>
      <x:c r="C2809" s="44" t="n">
        <x:v>81150</x:v>
      </x:c>
      <x:c r="D2809" s="44" t="n">
        <x:v>836.8098686217821</x:v>
      </x:c>
      <x:c r="E2809" s="44" t="n">
        <x:v>11659.521848009404</x:v>
      </x:c>
      <x:c r="F2809" s="44" t="n">
        <x:v>428.0066482119407</x:v>
      </x:c>
      <x:c r="G2809" s="44" t="n">
        <x:v>3202.7858256247764</x:v>
      </x:c>
      <x:c r="H2809" s="44" t="n">
        <x:v>65022.875809532095</x:v>
      </x:c>
      <x:c r="I2809" s="44" t="n">
        <x:v>81150</x:v>
      </x:c>
      <x:c r="J2809" s="44" t="n">
        <x:v>11714</x:v>
      </x:c>
      <x:c r="K2809" s="44" t="n">
        <x:v>779.0031064999977</x:v>
      </x:c>
      <x:c r="L2809" s="44" t="n">
        <x:v>350.996458288057</x:v>
      </x:c>
    </x:row>
    <x:row r="2810" ht="15" hidden="0" customHeight="1">
      <x:c r="A2810" s="27" t="str">
        <x:v>37027</x:v>
      </x:c>
      <x:c r="B2810" s="27" t="str">
        <x:v>SCA-29</x:v>
      </x:c>
      <x:c r="C2810" s="43" t="n">
        <x:v>81105</x:v>
      </x:c>
      <x:c r="D2810" s="43" t="n">
        <x:v>947.0470176427613</x:v>
      </x:c>
      <x:c r="E2810" s="43" t="n">
        <x:v>14309.884726730414</x:v>
      </x:c>
      <x:c r="F2810" s="43" t="n">
        <x:v>427.7693062628397</x:v>
      </x:c>
      <x:c r="G2810" s="43" t="n">
        <x:v>1991.5571541363277</x:v>
      </x:c>
      <x:c r="H2810" s="43" t="n">
        <x:v>63428.74179522766</x:v>
      </x:c>
      <x:c r="I2810" s="43" t="n">
        <x:v>81105</x:v>
      </x:c>
      <x:c r="J2810" s="43" t="n">
        <x:v>14665</x:v>
      </x:c>
      <x:c r="K2810" s="43" t="n">
        <x:v>778.5711269585004</x:v>
      </x:c>
      <x:c r="L2810" s="43" t="n">
        <x:v>350.8018206956607</x:v>
      </x:c>
    </x:row>
    <x:row r="2811" ht="15" hidden="0" customHeight="1">
      <x:c r="A2811" s="29" t="str">
        <x:v>51015</x:v>
      </x:c>
      <x:c r="B2811" s="29" t="str">
        <x:v>SCA-29</x:v>
      </x:c>
      <x:c r="C2811" s="44" t="n">
        <x:v>78940</x:v>
      </x:c>
      <x:c r="D2811" s="44" t="n">
        <x:v>821.9501963646957</x:v>
      </x:c>
      <x:c r="E2811" s="44" t="n">
        <x:v>11852.509855788383</x:v>
      </x:c>
      <x:c r="F2811" s="44" t="n">
        <x:v>550.6830285910557</x:v>
      </x:c>
      <x:c r="G2811" s="44" t="n">
        <x:v>1861.8210501155286</x:v>
      </x:c>
      <x:c r="H2811" s="44" t="n">
        <x:v>63853.03586914033</x:v>
      </x:c>
      <x:c r="I2811" s="44" t="n">
        <x:v>78940</x:v>
      </x:c>
      <x:c r="J2811" s="44" t="n">
        <x:v>11778</x:v>
      </x:c>
      <x:c r="K2811" s="44" t="n">
        <x:v>878.7786476312352</x:v>
      </x:c>
      <x:c r="L2811" s="44" t="n">
        <x:v>328.09561904017954</x:v>
      </x:c>
    </x:row>
    <x:row r="2812" ht="15" hidden="0" customHeight="1">
      <x:c r="A2812" s="27" t="str">
        <x:v>45055</x:v>
      </x:c>
      <x:c r="B2812" s="27" t="str">
        <x:v>SCA-29</x:v>
      </x:c>
      <x:c r="C2812" s="43" t="n">
        <x:v>73166</x:v>
      </x:c>
      <x:c r="D2812" s="43" t="n">
        <x:v>798.058127070484</x:v>
      </x:c>
      <x:c r="E2812" s="43" t="n">
        <x:v>11624.137766249167</x:v>
      </x:c>
      <x:c r="F2812" s="43" t="n">
        <x:v>444.57232198405467</x:v>
      </x:c>
      <x:c r="G2812" s="43" t="n">
        <x:v>1863.4536426295117</x:v>
      </x:c>
      <x:c r="H2812" s="43" t="n">
        <x:v>58435.77814206678</x:v>
      </x:c>
      <x:c r="I2812" s="43" t="n">
        <x:v>73166</x:v>
      </x:c>
      <x:c r="J2812" s="43" t="n">
        <x:v>11165</x:v>
      </x:c>
      <x:c r="K2812" s="43" t="n">
        <x:v>758.2913754608235</x:v>
      </x:c>
      <x:c r="L2812" s="43" t="n">
        <x:v>313.7190534767688</x:v>
      </x:c>
    </x:row>
    <x:row r="2813" ht="15" hidden="0" customHeight="1">
      <x:c r="A2813" s="29" t="str">
        <x:v>37171</x:v>
      </x:c>
      <x:c r="B2813" s="29" t="str">
        <x:v>SCA-29</x:v>
      </x:c>
      <x:c r="C2813" s="44" t="n">
        <x:v>72287</x:v>
      </x:c>
      <x:c r="D2813" s="44" t="n">
        <x:v>863.5932098822</x:v>
      </x:c>
      <x:c r="E2813" s="44" t="n">
        <x:v>13222.36096167741</x:v>
      </x:c>
      <x:c r="F2813" s="44" t="n">
        <x:v>381.26083277013623</x:v>
      </x:c>
      <x:c r="G2813" s="44" t="n">
        <x:v>1801.056881773748</x:v>
      </x:c>
      <x:c r="H2813" s="44" t="n">
        <x:v>56018.72811389651</x:v>
      </x:c>
      <x:c r="I2813" s="44" t="n">
        <x:v>72287</x:v>
      </x:c>
      <x:c r="J2813" s="44" t="n">
        <x:v>13449</x:v>
      </x:c>
      <x:c r="K2813" s="44" t="n">
        <x:v>693.9223359157774</x:v>
      </x:c>
      <x:c r="L2813" s="44" t="n">
        <x:v>312.6615031456411</x:v>
      </x:c>
    </x:row>
    <x:row r="2814" ht="15" hidden="0" customHeight="1">
      <x:c r="A2814" s="27" t="str">
        <x:v>37141</x:v>
      </x:c>
      <x:c r="B2814" s="27" t="str">
        <x:v>SCA-29</x:v>
      </x:c>
      <x:c r="C2814" s="43" t="n">
        <x:v>72111</x:v>
      </x:c>
      <x:c r="D2814" s="43" t="n">
        <x:v>753.1456486755351</x:v>
      </x:c>
      <x:c r="E2814" s="43" t="n">
        <x:v>10589.889474723725</x:v>
      </x:c>
      <x:c r="F2814" s="43" t="n">
        <x:v>380.33256203587496</x:v>
      </x:c>
      <x:c r="G2814" s="43" t="n">
        <x:v>1246.398213026099</x:v>
      </x:c>
      <x:c r="H2814" s="43" t="n">
        <x:v>59141.234101538765</x:v>
      </x:c>
      <x:c r="I2814" s="43" t="n">
        <x:v>72111</x:v>
      </x:c>
      <x:c r="J2814" s="43" t="n">
        <x:v>9759</x:v>
      </x:c>
      <x:c r="K2814" s="43" t="n">
        <x:v>692.2328159312549</x:v>
      </x:c>
      <x:c r="L2814" s="43" t="n">
        <x:v>311.90025389537993</x:v>
      </x:c>
    </x:row>
    <x:row r="2815" ht="15" hidden="0" customHeight="1">
      <x:c r="A2815" s="29" t="str">
        <x:v>51199</x:v>
      </x:c>
      <x:c r="B2815" s="29" t="str">
        <x:v>SCA-29</x:v>
      </x:c>
      <x:c r="C2815" s="44" t="n">
        <x:v>71374</x:v>
      </x:c>
      <x:c r="D2815" s="44" t="n">
        <x:v>672.7159517967392</x:v>
      </x:c>
      <x:c r="E2815" s="44" t="n">
        <x:v>9025.59934779655</x:v>
      </x:c>
      <x:c r="F2815" s="44" t="n">
        <x:v>497.90284371241455</x:v>
      </x:c>
      <x:c r="G2815" s="44" t="n">
        <x:v>1780.4000181167626</x:v>
      </x:c>
      <x:c r="H2815" s="44" t="n">
        <x:v>59397.38183857753</x:v>
      </x:c>
      <x:c r="I2815" s="44" t="n">
        <x:v>71374</x:v>
      </x:c>
      <x:c r="J2815" s="44" t="n">
        <x:v>8725</x:v>
      </x:c>
      <x:c r="K2815" s="44" t="n">
        <x:v>794.5521560176309</x:v>
      </x:c>
      <x:c r="L2815" s="44" t="n">
        <x:v>296.6493123052163</x:v>
      </x:c>
    </x:row>
    <x:row r="2816" ht="15" hidden="0" customHeight="1">
      <x:c r="A2816" s="27" t="str">
        <x:v>37031</x:v>
      </x:c>
      <x:c r="B2816" s="27" t="str">
        <x:v>SCA-29</x:v>
      </x:c>
      <x:c r="C2816" s="43" t="n">
        <x:v>70469</x:v>
      </x:c>
      <x:c r="D2816" s="43" t="n">
        <x:v>797.3302443788372</x:v>
      </x:c>
      <x:c r="E2816" s="43" t="n">
        <x:v>11820.770399184192</x:v>
      </x:c>
      <x:c r="F2816" s="43" t="n">
        <x:v>371.67221802646014</x:v>
      </x:c>
      <x:c r="G2816" s="43" t="n">
        <x:v>1463.197316110725</x:v>
      </x:c>
      <x:c r="H2816" s="43" t="n">
        <x:v>56016.02982229979</x:v>
      </x:c>
      <x:c r="I2816" s="43" t="n">
        <x:v>70469</x:v>
      </x:c>
      <x:c r="J2816" s="43" t="n">
        <x:v>11823</x:v>
      </x:c>
      <x:c r="K2816" s="43" t="n">
        <x:v>676.4703624392894</x:v>
      </x:c>
      <x:c r="L2816" s="43" t="n">
        <x:v>304.79814441282923</x:v>
      </x:c>
    </x:row>
    <x:row r="2817" ht="15" hidden="0" customHeight="1">
      <x:c r="A2817" s="29" t="str">
        <x:v>37105</x:v>
      </x:c>
      <x:c r="B2817" s="29" t="str">
        <x:v>SCA-29</x:v>
      </x:c>
      <x:c r="C2817" s="44" t="n">
        <x:v>70258</x:v>
      </x:c>
      <x:c r="D2817" s="44" t="n">
        <x:v>766.0798167103667</x:v>
      </x:c>
      <x:c r="E2817" s="44" t="n">
        <x:v>11092.663352205234</x:v>
      </x:c>
      <x:c r="F2817" s="44" t="n">
        <x:v>370.55934799845375</x:v>
      </x:c>
      <x:c r="G2817" s="44" t="n">
        <x:v>1705.3305462567298</x:v>
      </x:c>
      <x:c r="H2817" s="44" t="n">
        <x:v>56323.36693682921</x:v>
      </x:c>
      <x:c r="I2817" s="44" t="n">
        <x:v>70258</x:v>
      </x:c>
      <x:c r="J2817" s="44" t="n">
        <x:v>10661</x:v>
      </x:c>
      <x:c r="K2817" s="44" t="n">
        <x:v>674.4448583669357</x:v>
      </x:c>
      <x:c r="L2817" s="44" t="n">
        <x:v>303.88551036848196</x:v>
      </x:c>
    </x:row>
    <x:row r="2818" ht="15" hidden="0" customHeight="1">
      <x:c r="A2818" s="27" t="str">
        <x:v>37167</x:v>
      </x:c>
      <x:c r="B2818" s="27" t="str">
        <x:v>SCA-29</x:v>
      </x:c>
      <x:c r="C2818" s="43" t="n">
        <x:v>68830</x:v>
      </x:c>
      <x:c r="D2818" s="43" t="n">
        <x:v>780.6937621789006</x:v>
      </x:c>
      <x:c r="E2818" s="43" t="n">
        <x:v>11591.634033819095</x:v>
      </x:c>
      <x:c r="F2818" s="43" t="n">
        <x:v>363.02769681365214</x:v>
      </x:c>
      <x:c r="G2818" s="43" t="n">
        <x:v>1935.2735683723574</x:v>
      </x:c>
      <x:c r="H2818" s="43" t="n">
        <x:v>54159.370938816</x:v>
      </x:c>
      <x:c r="I2818" s="43" t="n">
        <x:v>68830</x:v>
      </x:c>
      <x:c r="J2818" s="43" t="n">
        <x:v>11111</x:v>
      </x:c>
      <x:c r="K2818" s="43" t="n">
        <x:v>660.7367075834237</x:v>
      </x:c>
      <x:c r="L2818" s="43" t="n">
        <x:v>297.70901076977157</x:v>
      </x:c>
    </x:row>
    <x:row r="2819" ht="15" hidden="0" customHeight="1">
      <x:c r="A2819" s="29" t="str">
        <x:v>37193</x:v>
      </x:c>
      <x:c r="B2819" s="29" t="str">
        <x:v>SCA-29</x:v>
      </x:c>
      <x:c r="C2819" s="44" t="n">
        <x:v>66233</x:v>
      </x:c>
      <x:c r="D2819" s="44" t="n">
        <x:v>793.675725871226</x:v>
      </x:c>
      <x:c r="E2819" s="44" t="n">
        <x:v>12172.787203743323</x:v>
      </x:c>
      <x:c r="F2819" s="44" t="n">
        <x:v>349.33042921776297</x:v>
      </x:c>
      <x:c r="G2819" s="44" t="n">
        <x:v>2016.5357939940588</x:v>
      </x:c>
      <x:c r="H2819" s="44" t="n">
        <x:v>50900.67084717363</x:v>
      </x:c>
      <x:c r="I2819" s="44" t="n">
        <x:v>66233</x:v>
      </x:c>
      <x:c r="J2819" s="44" t="n">
        <x:v>12438</x:v>
      </x:c>
      <x:c r="K2819" s="44" t="n">
        <x:v>635.8066882663505</x:v>
      </x:c>
      <x:c r="L2819" s="44" t="n">
        <x:v>286.47625904858756</x:v>
      </x:c>
    </x:row>
    <x:row r="2820" ht="15" hidden="0" customHeight="1">
      <x:c r="A2820" s="27" t="str">
        <x:v>45043</x:v>
      </x:c>
      <x:c r="B2820" s="27" t="str">
        <x:v>SCA-29</x:v>
      </x:c>
      <x:c r="C2820" s="43" t="n">
        <x:v>65912</x:v>
      </x:c>
      <x:c r="D2820" s="43" t="n">
        <x:v>716.2317781551579</x:v>
      </x:c>
      <x:c r="E2820" s="43" t="n">
        <x:v>10406.789173465106</x:v>
      </x:c>
      <x:c r="F2820" s="43" t="n">
        <x:v>400.4954608235111</x:v>
      </x:c>
      <x:c r="G2820" s="43" t="n">
        <x:v>2278.0783879539417</x:v>
      </x:c>
      <x:c r="H2820" s="43" t="n">
        <x:v>52110.40519960228</x:v>
      </x:c>
      <x:c r="I2820" s="43" t="n">
        <x:v>65912</x:v>
      </x:c>
      <x:c r="J2820" s="43" t="n">
        <x:v>10584</x:v>
      </x:c>
      <x:c r="K2820" s="43" t="n">
        <x:v>683.111023417623</x:v>
      </x:c>
      <x:c r="L2820" s="43" t="n">
        <x:v>282.61556259411185</x:v>
      </x:c>
    </x:row>
    <x:row r="2821" ht="15" hidden="0" customHeight="1">
      <x:c r="A2821" s="29" t="str">
        <x:v>45031</x:v>
      </x:c>
      <x:c r="B2821" s="29" t="str">
        <x:v>SCA-29</x:v>
      </x:c>
      <x:c r="C2821" s="44" t="n">
        <x:v>62888</x:v>
      </x:c>
      <x:c r="D2821" s="44" t="n">
        <x:v>685.4099139633022</x:v>
      </x:c>
      <x:c r="E2821" s="44" t="n">
        <x:v>9978.25370144338</x:v>
      </x:c>
      <x:c r="F2821" s="44" t="n">
        <x:v>382.12098768462437</x:v>
      </x:c>
      <x:c r="G2821" s="44" t="n">
        <x:v>3698.2350172753395</x:v>
      </x:c>
      <x:c r="H2821" s="44" t="n">
        <x:v>48143.98037963335</x:v>
      </x:c>
      <x:c r="I2821" s="44" t="n">
        <x:v>62888</x:v>
      </x:c>
      <x:c r="J2821" s="44" t="n">
        <x:v>10237</x:v>
      </x:c>
      <x:c r="K2821" s="44" t="n">
        <x:v>651.7703307544524</x:v>
      </x:c>
      <x:c r="L2821" s="44" t="n">
        <x:v>269.64934306982803</x:v>
      </x:c>
    </x:row>
    <x:row r="2822" ht="15" hidden="0" customHeight="1">
      <x:c r="A2822" s="27" t="str">
        <x:v>37163</x:v>
      </x:c>
      <x:c r="B2822" s="27" t="str">
        <x:v>SCA-29</x:v>
      </x:c>
      <x:c r="C2822" s="43" t="n">
        <x:v>61504</x:v>
      </x:c>
      <x:c r="D2822" s="43" t="n">
        <x:v>652.3785829777296</x:v>
      </x:c>
      <x:c r="E2822" s="43" t="n">
        <x:v>9272.557734001952</x:v>
      </x:c>
      <x:c r="F2822" s="43" t="n">
        <x:v>324.3884275000271</x:v>
      </x:c>
      <x:c r="G2822" s="43" t="n">
        <x:v>1309.951599377022</x:v>
      </x:c>
      <x:c r="H2822" s="43" t="n">
        <x:v>49944.72365614327</x:v>
      </x:c>
      <x:c r="I2822" s="43" t="n">
        <x:v>61504</x:v>
      </x:c>
      <x:c r="J2822" s="43" t="n">
        <x:v>9176</x:v>
      </x:c>
      <x:c r="K2822" s="43" t="n">
        <x:v>590.4104382276754</x:v>
      </x:c>
      <x:c r="L2822" s="43" t="n">
        <x:v>266.0220107276483</x:v>
      </x:c>
    </x:row>
    <x:row r="2823" ht="15" hidden="0" customHeight="1">
      <x:c r="A2823" s="29" t="str">
        <x:v>37077</x:v>
      </x:c>
      <x:c r="B2823" s="29" t="str">
        <x:v>SCA-29</x:v>
      </x:c>
      <x:c r="C2823" s="44" t="n">
        <x:v>61421</x:v>
      </x:c>
      <x:c r="D2823" s="44" t="n">
        <x:v>680.4469018683039</x:v>
      </x:c>
      <x:c r="E2823" s="44" t="n">
        <x:v>9954.813344799142</x:v>
      </x:c>
      <x:c r="F2823" s="44" t="n">
        <x:v>323.95066346057433</x:v>
      </x:c>
      <x:c r="G2823" s="44" t="n">
        <x:v>1203.9523437637108</x:v>
      </x:c>
      <x:c r="H2823" s="44" t="n">
        <x:v>49257.83674610827</x:v>
      </x:c>
      <x:c r="I2823" s="44" t="n">
        <x:v>61421</x:v>
      </x:c>
      <x:c r="J2823" s="44" t="n">
        <x:v>9620</x:v>
      </x:c>
      <x:c r="K2823" s="44" t="n">
        <x:v>589.6136759622472</x:v>
      </x:c>
      <x:c r="L2823" s="44" t="n">
        <x:v>265.6630125016728</x:v>
      </x:c>
    </x:row>
    <x:row r="2824" ht="15" hidden="0" customHeight="1">
      <x:c r="A2824" s="27" t="str">
        <x:v>51143</x:v>
      </x:c>
      <x:c r="B2824" s="27" t="str">
        <x:v>SCA-29</x:v>
      </x:c>
      <x:c r="C2824" s="43" t="n">
        <x:v>59490</x:v>
      </x:c>
      <x:c r="D2824" s="43" t="n">
        <x:v>719.8563320896554</x:v>
      </x:c>
      <x:c r="E2824" s="43" t="n">
        <x:v>11342.401969634797</x:v>
      </x:c>
      <x:c r="F2824" s="43" t="n">
        <x:v>415.00042273729287</x:v>
      </x:c>
      <x:c r="G2824" s="43" t="n">
        <x:v>1710.57796471071</x:v>
      </x:c>
      <x:c r="H2824" s="43" t="n">
        <x:v>45302.16331082754</x:v>
      </x:c>
      <x:c r="I2824" s="43" t="n">
        <x:v>59490</x:v>
      </x:c>
      <x:c r="J2824" s="43" t="n">
        <x:v>11616</x:v>
      </x:c>
      <x:c r="K2824" s="43" t="n">
        <x:v>662.2566727588318</x:v>
      </x:c>
      <x:c r="L2824" s="43" t="n">
        <x:v>247.25625002153893</x:v>
      </x:c>
    </x:row>
    <x:row r="2825" ht="15" hidden="0" customHeight="1">
      <x:c r="A2825" s="29" t="str">
        <x:v>54055</x:v>
      </x:c>
      <x:c r="B2825" s="29" t="str">
        <x:v>SCA-29</x:v>
      </x:c>
      <x:c r="C2825" s="44" t="n">
        <x:v>57503</x:v>
      </x:c>
      <x:c r="D2825" s="44" t="n">
        <x:v>874.4118525450241</x:v>
      </x:c>
      <x:c r="E2825" s="44" t="n">
        <x:v>12867.051536829027</x:v>
      </x:c>
      <x:c r="F2825" s="44" t="n">
        <x:v>672.3012416405332</x:v>
      </x:c>
      <x:c r="G2825" s="44" t="n">
        <x:v>2168.0641855168487</x:v>
      </x:c>
      <x:c r="H2825" s="44" t="n">
        <x:v>40921.17118346857</x:v>
      </x:c>
      <x:c r="I2825" s="44" t="n">
        <x:v>57503</x:v>
      </x:c>
      <x:c r="J2825" s="44" t="n">
        <x:v>13509</x:v>
      </x:c>
      <x:c r="K2825" s="44" t="n">
        <x:v>1010.5859468176811</x:v>
      </x:c>
      <x:c r="L2825" s="44" t="n">
        <x:v>338.2847051771479</x:v>
      </x:c>
    </x:row>
    <x:row r="2826" ht="15" hidden="0" customHeight="1">
      <x:c r="A2826" s="27" t="str">
        <x:v>47019</x:v>
      </x:c>
      <x:c r="B2826" s="27" t="str">
        <x:v>SCA-29</x:v>
      </x:c>
      <x:c r="C2826" s="43" t="n">
        <x:v>57361</x:v>
      </x:c>
      <x:c r="D2826" s="43" t="n">
        <x:v>764.302822906107</x:v>
      </x:c>
      <x:c r="E2826" s="43" t="n">
        <x:v>12279.338910338909</x:v>
      </x:c>
      <x:c r="F2826" s="43" t="n">
        <x:v>367.4038360219082</x:v>
      </x:c>
      <x:c r="G2826" s="43" t="n">
        <x:v>1242.8261386386387</x:v>
      </x:c>
      <x:c r="H2826" s="43" t="n">
        <x:v>42707.128292094436</x:v>
      </x:c>
      <x:c r="I2826" s="43" t="n">
        <x:v>57361</x:v>
      </x:c>
      <x:c r="J2826" s="43" t="n">
        <x:v>12475</x:v>
      </x:c>
      <x:c r="K2826" s="43" t="n">
        <x:v>620.067537663894</x:v>
      </x:c>
      <x:c r="L2826" s="43" t="n">
        <x:v>252.66370164198574</x:v>
      </x:c>
    </x:row>
    <x:row r="2827" ht="15" hidden="0" customHeight="1">
      <x:c r="A2827" s="29" t="str">
        <x:v>37093</x:v>
      </x:c>
      <x:c r="B2827" s="29" t="str">
        <x:v>SCA-29</x:v>
      </x:c>
      <x:c r="C2827" s="44" t="n">
        <x:v>56939</x:v>
      </x:c>
      <x:c r="D2827" s="44" t="n">
        <x:v>642.8060512266425</x:v>
      </x:c>
      <x:c r="E2827" s="44" t="n">
        <x:v>9516.694630263471</x:v>
      </x:c>
      <x:c r="F2827" s="44" t="n">
        <x:v>300.3114053301256</x:v>
      </x:c>
      <x:c r="G2827" s="44" t="n">
        <x:v>1328.4560912998488</x:v>
      </x:c>
      <x:c r="H2827" s="44" t="n">
        <x:v>45150.73182187991</x:v>
      </x:c>
      <x:c r="I2827" s="44" t="n">
        <x:v>56939</x:v>
      </x:c>
      <x:c r="J2827" s="44" t="n">
        <x:v>8749</x:v>
      </x:c>
      <x:c r="K2827" s="44" t="n">
        <x:v>546.5885136291234</x:v>
      </x:c>
      <x:c r="L2827" s="44" t="n">
        <x:v>246.2771082989979</x:v>
      </x:c>
    </x:row>
    <x:row r="2828" ht="15" hidden="0" customHeight="1">
      <x:c r="A2828" s="27" t="str">
        <x:v>37107</x:v>
      </x:c>
      <x:c r="B2828" s="27" t="str">
        <x:v>SCA-29</x:v>
      </x:c>
      <x:c r="C2828" s="43" t="n">
        <x:v>55837</x:v>
      </x:c>
      <x:c r="D2828" s="43" t="n">
        <x:v>767.494900582197</x:v>
      </x:c>
      <x:c r="E2828" s="43" t="n">
        <x:v>12623.62201576785</x:v>
      </x:c>
      <x:c r="F2828" s="43" t="n">
        <x:v>294.4991647099215</x:v>
      </x:c>
      <x:c r="G2828" s="43" t="n">
        <x:v>2961.2912518044195</x:v>
      </x:c>
      <x:c r="H2828" s="43" t="n">
        <x:v>39190.092667135614</x:v>
      </x:c>
      <x:c r="I2828" s="43" t="n">
        <x:v>55837</x:v>
      </x:c>
      <x:c r="J2828" s="43" t="n">
        <x:v>12725</x:v>
      </x:c>
      <x:c r="K2828" s="43" t="n">
        <x:v>536.0098146351247</x:v>
      </x:c>
      <x:c r="L2828" s="43" t="n">
        <x:v>241.5106499252032</x:v>
      </x:c>
    </x:row>
    <x:row r="2829" ht="15" hidden="0" customHeight="1">
      <x:c r="A2829" s="29" t="str">
        <x:v>51031</x:v>
      </x:c>
      <x:c r="B2829" s="29" t="str">
        <x:v>SCA-29</x:v>
      </x:c>
      <x:c r="C2829" s="44" t="n">
        <x:v>55629</x:v>
      </x:c>
      <x:c r="D2829" s="44" t="n">
        <x:v>580.1992793261933</x:v>
      </x:c>
      <x:c r="E2829" s="44" t="n">
        <x:v>8375.7689136327</x:v>
      </x:c>
      <x:c r="F2829" s="44" t="n">
        <x:v>388.0662046806667</x:v>
      </x:c>
      <x:c r="G2829" s="44" t="n">
        <x:v>1370.5592996850048</x:v>
      </x:c>
      <x:c r="H2829" s="44" t="n">
        <x:v>44914.40630267544</x:v>
      </x:c>
      <x:c r="I2829" s="44" t="n">
        <x:v>55629</x:v>
      </x:c>
      <x:c r="J2829" s="44" t="n">
        <x:v>8564</x:v>
      </x:c>
      <x:c r="K2829" s="44" t="n">
        <x:v>619.2751126054976</x:v>
      </x:c>
      <x:c r="L2829" s="44" t="n">
        <x:v>231.20890792483087</x:v>
      </x:c>
    </x:row>
    <x:row r="2830" ht="15" hidden="0" customHeight="1">
      <x:c r="A2830" s="27" t="str">
        <x:v>51067</x:v>
      </x:c>
      <x:c r="B2830" s="27" t="str">
        <x:v>SCA-29</x:v>
      </x:c>
      <x:c r="C2830" s="43" t="n">
        <x:v>55526</x:v>
      </x:c>
      <x:c r="D2830" s="43" t="n">
        <x:v>586.9087490943713</x:v>
      </x:c>
      <x:c r="E2830" s="43" t="n">
        <x:v>8547.070477025989</x:v>
      </x:c>
      <x:c r="F2830" s="43" t="n">
        <x:v>387.34767982704534</x:v>
      </x:c>
      <x:c r="G2830" s="43" t="n">
        <x:v>1256.1270607157217</x:v>
      </x:c>
      <x:c r="H2830" s="43" t="n">
        <x:v>44748.546033336876</x:v>
      </x:c>
      <x:c r="I2830" s="43" t="n">
        <x:v>55526</x:v>
      </x:c>
      <x:c r="J2830" s="43" t="n">
        <x:v>8773</x:v>
      </x:c>
      <x:c r="K2830" s="43" t="n">
        <x:v>618.1284923786669</x:v>
      </x:c>
      <x:c r="L2830" s="43" t="n">
        <x:v>230.7808125516216</x:v>
      </x:c>
    </x:row>
    <x:row r="2831" ht="15" hidden="0" customHeight="1">
      <x:c r="A2831" s="29" t="str">
        <x:v>37189</x:v>
      </x:c>
      <x:c r="B2831" s="29" t="str">
        <x:v>SCA-29</x:v>
      </x:c>
      <x:c r="C2831" s="44" t="n">
        <x:v>54786</x:v>
      </x:c>
      <x:c r="D2831" s="44" t="n">
        <x:v>503.46860679568124</x:v>
      </x:c>
      <x:c r="E2831" s="44" t="n">
        <x:v>6396.091823349366</x:v>
      </x:c>
      <x:c r="F2831" s="44" t="n">
        <x:v>288.95591163203176</x:v>
      </x:c>
      <x:c r="G2831" s="44" t="n">
        <x:v>1138.8309739833844</x:v>
      </x:c>
      <x:c r="H2831" s="44" t="n">
        <x:v>46458.65268423954</x:v>
      </x:c>
      <x:c r="I2831" s="44" t="n">
        <x:v>54786</x:v>
      </x:c>
      <x:c r="J2831" s="44" t="n">
        <x:v>6675</x:v>
      </x:c>
      <x:c r="K2831" s="44" t="n">
        <x:v>525.9206924548228</x:v>
      </x:c>
      <x:c r="L2831" s="44" t="n">
        <x:v>236.96478082279103</x:v>
      </x:c>
    </x:row>
    <x:row r="2832" ht="15" hidden="0" customHeight="1">
      <x:c r="A2832" s="27" t="str">
        <x:v>51191</x:v>
      </x:c>
      <x:c r="B2832" s="27" t="str">
        <x:v>SCA-29</x:v>
      </x:c>
      <x:c r="C2832" s="43" t="n">
        <x:v>53898</x:v>
      </x:c>
      <x:c r="D2832" s="43" t="n">
        <x:v>690.2225725157658</x:v>
      </x:c>
      <x:c r="E2832" s="43" t="n">
        <x:v>11188.995854887344</x:v>
      </x:c>
      <x:c r="F2832" s="43" t="n">
        <x:v>375.99080155815454</x:v>
      </x:c>
      <x:c r="G2832" s="43" t="n">
        <x:v>1134.0926525949094</x:v>
      </x:c>
      <x:c r="H2832" s="43" t="n">
        <x:v>40508.69811844383</x:v>
      </x:c>
      <x:c r="I2832" s="43" t="n">
        <x:v>53898</x:v>
      </x:c>
      <x:c r="J2832" s="43" t="n">
        <x:v>11546</x:v>
      </x:c>
      <x:c r="K2832" s="43" t="n">
        <x:v>600.0052134536144</x:v>
      </x:c>
      <x:c r="L2832" s="43" t="n">
        <x:v>224.01441189545983</x:v>
      </x:c>
    </x:row>
    <x:row r="2833" ht="15" hidden="0" customHeight="1">
      <x:c r="A2833" s="29" t="str">
        <x:v>37061</x:v>
      </x:c>
      <x:c r="B2833" s="29" t="str">
        <x:v>SCA-29</x:v>
      </x:c>
      <x:c r="C2833" s="44" t="n">
        <x:v>51571</x:v>
      </x:c>
      <x:c r="D2833" s="44" t="n">
        <x:v>578.7443428794461</x:v>
      </x:c>
      <x:c r="E2833" s="44" t="n">
        <x:v>8536.44808112197</x:v>
      </x:c>
      <x:c r="F2833" s="44" t="n">
        <x:v>271.999147935157</x:v>
      </x:c>
      <x:c r="G2833" s="44" t="n">
        <x:v>1988.6625505990103</x:v>
      </x:c>
      <x:c r="H2833" s="44" t="n">
        <x:v>40195.14587746442</x:v>
      </x:c>
      <x:c r="I2833" s="44" t="n">
        <x:v>51571</x:v>
      </x:c>
      <x:c r="J2833" s="44" t="n">
        <x:v>8434</x:v>
      </x:c>
      <x:c r="K2833" s="44" t="n">
        <x:v>495.05815410118765</x:v>
      </x:c>
      <x:c r="L2833" s="44" t="n">
        <x:v>223.05900616603066</x:v>
      </x:c>
    </x:row>
    <x:row r="2834" ht="15" hidden="0" customHeight="1">
      <x:c r="A2834" s="27" t="str">
        <x:v>37047</x:v>
      </x:c>
      <x:c r="B2834" s="27" t="str">
        <x:v>SCA-29</x:v>
      </x:c>
      <x:c r="C2834" s="43" t="n">
        <x:v>50487</x:v>
      </x:c>
      <x:c r="D2834" s="43" t="n">
        <x:v>570.881814071613</x:v>
      </x:c>
      <x:c r="E2834" s="43" t="n">
        <x:v>8460.273869818046</x:v>
      </x:c>
      <x:c r="F2834" s="43" t="n">
        <x:v>266.2818440945933</x:v>
      </x:c>
      <x:c r="G2834" s="43" t="n">
        <x:v>1254.262865003439</x:v>
      </x:c>
      <x:c r="H2834" s="43" t="n">
        <x:v>39935.299607012304</x:v>
      </x:c>
      <x:c r="I2834" s="43" t="n">
        <x:v>50487</x:v>
      </x:c>
      <x:c r="J2834" s="43" t="n">
        <x:v>8375</x:v>
      </x:c>
      <x:c r="K2834" s="43" t="n">
        <x:v>484.6522469237878</x:v>
      </x:c>
      <x:c r="L2834" s="43" t="n">
        <x:v>218.37040282919452</x:v>
      </x:c>
    </x:row>
    <x:row r="2835" ht="15" hidden="0" customHeight="1">
      <x:c r="A2835" s="29" t="str">
        <x:v>51089</x:v>
      </x:c>
      <x:c r="B2835" s="29" t="str">
        <x:v>SCA-29</x:v>
      </x:c>
      <x:c r="C2835" s="44" t="n">
        <x:v>49242</x:v>
      </x:c>
      <x:c r="D2835" s="44" t="n">
        <x:v>661.3256574106647</x:v>
      </x:c>
      <x:c r="E2835" s="44" t="n">
        <x:v>10959.907653373606</x:v>
      </x:c>
      <x:c r="F2835" s="44" t="n">
        <x:v>343.5106877866831</x:v>
      </x:c>
      <x:c r="G2835" s="44" t="n">
        <x:v>1356.5596146781504</x:v>
      </x:c>
      <x:c r="H2835" s="44" t="n">
        <x:v>35920.69638675089</x:v>
      </x:c>
      <x:c r="I2835" s="44" t="n">
        <x:v>49242</x:v>
      </x:c>
      <x:c r="J2835" s="44" t="n">
        <x:v>11360</x:v>
      </x:c>
      <x:c r="K2835" s="44" t="n">
        <x:v>548.1735263067809</x:v>
      </x:c>
      <x:c r="L2835" s="44" t="n">
        <x:v>204.66283852009784</x:v>
      </x:c>
    </x:row>
    <x:row r="2836" ht="15" hidden="0" customHeight="1">
      <x:c r="A2836" s="27" t="str">
        <x:v>37065</x:v>
      </x:c>
      <x:c r="B2836" s="27" t="str">
        <x:v>SCA-29</x:v>
      </x:c>
      <x:c r="C2836" s="43" t="n">
        <x:v>49121</x:v>
      </x:c>
      <x:c r="D2836" s="43" t="n">
        <x:v>561.5619001797753</x:v>
      </x:c>
      <x:c r="E2836" s="43" t="n">
        <x:v>8378.395910394414</x:v>
      </x:c>
      <x:c r="F2836" s="43" t="n">
        <x:v>259.0771973729974</x:v>
      </x:c>
      <x:c r="G2836" s="43" t="n">
        <x:v>3025.7506753667762</x:v>
      </x:c>
      <x:c r="H2836" s="43" t="n">
        <x:v>36896.21431668604</x:v>
      </x:c>
      <x:c r="I2836" s="43" t="n">
        <x:v>49121</x:v>
      </x:c>
      <x:c r="J2836" s="43" t="n">
        <x:v>8550</x:v>
      </x:c>
      <x:c r="K2836" s="43" t="n">
        <x:v>471.5392679530054</x:v>
      </x:c>
      <x:c r="L2836" s="43" t="n">
        <x:v>212.462070580008</x:v>
      </x:c>
    </x:row>
    <x:row r="2837" ht="15" hidden="0" customHeight="1">
      <x:c r="A2837" s="29" t="str">
        <x:v>37083</x:v>
      </x:c>
      <x:c r="B2837" s="29" t="str">
        <x:v>SCA-29</x:v>
      </x:c>
      <x:c r="C2837" s="44" t="n">
        <x:v>46534</x:v>
      </x:c>
      <x:c r="D2837" s="44" t="n">
        <x:v>603.2556708777128</x:v>
      </x:c>
      <x:c r="E2837" s="44" t="n">
        <x:v>9647.594381293882</x:v>
      </x:c>
      <x:c r="F2837" s="44" t="n">
        <x:v>245.43267243246393</x:v>
      </x:c>
      <x:c r="G2837" s="44" t="n">
        <x:v>2138.4635411075087</x:v>
      </x:c>
      <x:c r="H2837" s="44" t="n">
        <x:v>33899.25373428843</x:v>
      </x:c>
      <x:c r="I2837" s="44" t="n">
        <x:v>46534</x:v>
      </x:c>
      <x:c r="J2837" s="44" t="n">
        <x:v>10058</x:v>
      </x:c>
      <x:c r="K2837" s="44" t="n">
        <x:v>446.7052440895982</x:v>
      </x:c>
      <x:c r="L2837" s="44" t="n">
        <x:v>201.27257165713425</x:v>
      </x:c>
    </x:row>
    <x:row r="2838" ht="15" hidden="0" customHeight="1">
      <x:c r="A2838" s="27" t="str">
        <x:v>37169</x:v>
      </x:c>
      <x:c r="B2838" s="27" t="str">
        <x:v>SCA-29</x:v>
      </x:c>
      <x:c r="C2838" s="43" t="n">
        <x:v>46126</x:v>
      </x:c>
      <x:c r="D2838" s="43" t="n">
        <x:v>569.5905979363934</x:v>
      </x:c>
      <x:c r="E2838" s="43" t="n">
        <x:v>8881.985770807662</x:v>
      </x:c>
      <x:c r="F2838" s="43" t="n">
        <x:v>243.28077209394914</x:v>
      </x:c>
      <x:c r="G2838" s="43" t="n">
        <x:v>1358.610036966506</x:v>
      </x:c>
      <x:c r="H2838" s="43" t="n">
        <x:v>35072.53282219549</x:v>
      </x:c>
      <x:c r="I2838" s="43" t="n">
        <x:v>46126</x:v>
      </x:c>
      <x:c r="J2838" s="43" t="n">
        <x:v>8953</x:v>
      </x:c>
      <x:c r="K2838" s="43" t="n">
        <x:v>442.7886295800233</x:v>
      </x:c>
      <x:c r="L2838" s="43" t="n">
        <x:v>199.50785748607416</x:v>
      </x:c>
    </x:row>
    <x:row r="2839" ht="15" hidden="0" customHeight="1">
      <x:c r="A2839" s="29" t="str">
        <x:v>37059</x:v>
      </x:c>
      <x:c r="B2839" s="29" t="str">
        <x:v>SCA-29</x:v>
      </x:c>
      <x:c r="C2839" s="44" t="n">
        <x:v>45855</x:v>
      </x:c>
      <x:c r="D2839" s="44" t="n">
        <x:v>519.6866407291066</x:v>
      </x:c>
      <x:c r="E2839" s="44" t="n">
        <x:v>7712.422417853793</x:v>
      </x:c>
      <x:c r="F2839" s="44" t="n">
        <x:v>241.85144613380822</x:v>
      </x:c>
      <x:c r="G2839" s="44" t="n">
        <x:v>1564.6465369400682</x:v>
      </x:c>
      <x:c r="H2839" s="44" t="n">
        <x:v>35816.392958343225</x:v>
      </x:c>
      <x:c r="I2839" s="44" t="n">
        <x:v>45855</x:v>
      </x:c>
      <x:c r="J2839" s="44" t="n">
        <x:v>7662</x:v>
      </x:c>
      <x:c r="K2839" s="44" t="n">
        <x:v>440.18715278567333</x:v>
      </x:c>
      <x:c r="L2839" s="44" t="n">
        <x:v>198.3357066518651</x:v>
      </x:c>
    </x:row>
    <x:row r="2840" ht="15" hidden="0" customHeight="1">
      <x:c r="A2840" s="27" t="str">
        <x:v>37111</x:v>
      </x:c>
      <x:c r="B2840" s="27" t="str">
        <x:v>SCA-29</x:v>
      </x:c>
      <x:c r="C2840" s="43" t="n">
        <x:v>45198</x:v>
      </x:c>
      <x:c r="D2840" s="43" t="n">
        <x:v>516.4003155941491</x:v>
      </x:c>
      <x:c r="E2840" s="43" t="n">
        <x:v>7701.751626990492</x:v>
      </x:c>
      <x:c r="F2840" s="43" t="n">
        <x:v>238.38625367693524</x:v>
      </x:c>
      <x:c r="G2840" s="43" t="n">
        <x:v>1908.6105854049717</x:v>
      </x:c>
      <x:c r="H2840" s="43" t="n">
        <x:v>34832.85121833345</x:v>
      </x:c>
      <x:c r="I2840" s="43" t="n">
        <x:v>45198</x:v>
      </x:c>
      <x:c r="J2840" s="43" t="n">
        <x:v>7747</x:v>
      </x:c>
      <x:c r="K2840" s="43" t="n">
        <x:v>433.88025147981386</x:v>
      </x:c>
      <x:c r="L2840" s="43" t="n">
        <x:v>195.49399780287862</x:v>
      </x:c>
    </x:row>
    <x:row r="2841" ht="15" hidden="0" customHeight="1">
      <x:c r="A2841" s="29" t="str">
        <x:v>45025</x:v>
      </x:c>
      <x:c r="B2841" s="29" t="str">
        <x:v>SCA-29</x:v>
      </x:c>
      <x:c r="C2841" s="44" t="n">
        <x:v>44740</x:v>
      </x:c>
      <x:c r="D2841" s="44" t="n">
        <x:v>518.4790278051825</x:v>
      </x:c>
      <x:c r="E2841" s="44" t="n">
        <x:v>7839.459671162018</x:v>
      </x:c>
      <x:c r="F2841" s="44" t="n">
        <x:v>271.8498439926551</x:v>
      </x:c>
      <x:c r="G2841" s="44" t="n">
        <x:v>2091.922224274894</x:v>
      </x:c>
      <x:c r="H2841" s="44" t="n">
        <x:v>34018.28923276525</x:v>
      </x:c>
      <x:c r="I2841" s="44" t="n">
        <x:v>44740</x:v>
      </x:c>
      <x:c r="J2841" s="44" t="n">
        <x:v>7904</x:v>
      </x:c>
      <x:c r="K2841" s="44" t="n">
        <x:v>463.6847188327535</x:v>
      </x:c>
      <x:c r="L2841" s="44" t="n">
        <x:v>191.83487484009837</x:v>
      </x:c>
    </x:row>
    <x:row r="2842" ht="15" hidden="0" customHeight="1">
      <x:c r="A2842" s="27" t="str">
        <x:v>37013</x:v>
      </x:c>
      <x:c r="B2842" s="27" t="str">
        <x:v>SCA-29</x:v>
      </x:c>
      <x:c r="C2842" s="43" t="n">
        <x:v>44670</x:v>
      </x:c>
      <x:c r="D2842" s="43" t="n">
        <x:v>498.10088687500337</x:v>
      </x:c>
      <x:c r="E2842" s="43" t="n">
        <x:v>7317.375283749801</x:v>
      </x:c>
      <x:c r="F2842" s="43" t="n">
        <x:v>235.60144147415147</x:v>
      </x:c>
      <x:c r="G2842" s="43" t="n">
        <x:v>1548.8391178269637</x:v>
      </x:c>
      <x:c r="H2842" s="43" t="n">
        <x:v>35070.08327007408</x:v>
      </x:c>
      <x:c r="I2842" s="43" t="n">
        <x:v>44670</x:v>
      </x:c>
      <x:c r="J2842" s="43" t="n">
        <x:v>7532</x:v>
      </x:c>
      <x:c r="K2842" s="43" t="n">
        <x:v>428.8116915262464</x:v>
      </x:c>
      <x:c r="L2842" s="43" t="n">
        <x:v>193.21025005209498</x:v>
      </x:c>
    </x:row>
    <x:row r="2843" ht="15" hidden="0" customHeight="1">
      <x:c r="A2843" s="29" t="str">
        <x:v>51540</x:v>
      </x:c>
      <x:c r="B2843" s="29" t="str">
        <x:v>SCA-29</x:v>
      </x:c>
      <x:c r="C2843" s="44" t="n">
        <x:v>44388</x:v>
      </x:c>
      <x:c r="D2843" s="44" t="n">
        <x:v>350.57698141276865</x:v>
      </x:c>
      <x:c r="E2843" s="44" t="n">
        <x:v>3986.127765321043</x:v>
      </x:c>
      <x:c r="F2843" s="44" t="n">
        <x:v>309.6493320635898</x:v>
      </x:c>
      <x:c r="G2843" s="44" t="n">
        <x:v>3131.8066202862587</x:v>
      </x:c>
      <x:c r="H2843" s="44" t="n">
        <x:v>36609.83930091634</x:v>
      </x:c>
      <x:c r="I2843" s="44" t="n">
        <x:v>44388</x:v>
      </x:c>
      <x:c r="J2843" s="44" t="n">
        <x:v>4222</x:v>
      </x:c>
      <x:c r="K2843" s="44" t="n">
        <x:v>494.1376565879816</x:v>
      </x:c>
      <x:c r="L2843" s="44" t="n">
        <x:v>184.48832452439183</x:v>
      </x:c>
    </x:row>
    <x:row r="2844" ht="15" hidden="0" customHeight="1">
      <x:c r="A2844" s="27" t="str">
        <x:v>51149</x:v>
      </x:c>
      <x:c r="B2844" s="27" t="str">
        <x:v>SCA-29</x:v>
      </x:c>
      <x:c r="C2844" s="43" t="n">
        <x:v>43936</x:v>
      </x:c>
      <x:c r="D2844" s="43" t="n">
        <x:v>418.6915092336003</x:v>
      </x:c>
      <x:c r="E2844" s="43" t="n">
        <x:v>5665.963603978033</x:v>
      </x:c>
      <x:c r="F2844" s="43" t="n">
        <x:v>306.49619387099847</x:v>
      </x:c>
      <x:c r="G2844" s="43" t="n">
        <x:v>1173.8447380139528</x:v>
      </x:c>
      <x:c r="H2844" s="43" t="n">
        <x:v>36371.00395490342</x:v>
      </x:c>
      <x:c r="I2844" s="43" t="n">
        <x:v>43936</x:v>
      </x:c>
      <x:c r="J2844" s="43" t="n">
        <x:v>4525</x:v>
      </x:c>
      <x:c r="K2844" s="43" t="n">
        <x:v>489.1058862721808</x:v>
      </x:c>
      <x:c r="L2844" s="43" t="n">
        <x:v>182.6096924011823</x:v>
      </x:c>
    </x:row>
    <x:row r="2845" ht="15" hidden="0" customHeight="1">
      <x:c r="A2845" s="29" t="str">
        <x:v>51109</x:v>
      </x:c>
      <x:c r="B2845" s="29" t="str">
        <x:v>SCA-29</x:v>
      </x:c>
      <x:c r="C2845" s="44" t="n">
        <x:v>42924</x:v>
      </x:c>
      <x:c r="D2845" s="44" t="n">
        <x:v>438.4262157761317</x:v>
      </x:c>
      <x:c r="E2845" s="44" t="n">
        <x:v>6240.543943760984</x:v>
      </x:c>
      <x:c r="F2845" s="44" t="n">
        <x:v>299.43651278493127</x:v>
      </x:c>
      <x:c r="G2845" s="44" t="n">
        <x:v>742.4868189806677</x:v>
      </x:c>
      <x:c r="H2845" s="44" t="n">
        <x:v>35203.10650869729</x:v>
      </x:c>
      <x:c r="I2845" s="44" t="n">
        <x:v>42924</x:v>
      </x:c>
      <x:c r="J2845" s="44" t="n">
        <x:v>6032</x:v>
      </x:c>
      <x:c r="K2845" s="44" t="n">
        <x:v>477.84006423768864</x:v>
      </x:c>
      <x:c r="L2845" s="44" t="n">
        <x:v>178.40355145275737</x:v>
      </x:c>
    </x:row>
    <x:row r="2846" ht="15" hidden="0" customHeight="1">
      <x:c r="A2846" s="27" t="str">
        <x:v>37181</x:v>
      </x:c>
      <x:c r="B2846" s="27" t="str">
        <x:v>SCA-29</x:v>
      </x:c>
      <x:c r="C2846" s="43" t="n">
        <x:v>42638</x:v>
      </x:c>
      <x:c r="D2846" s="43" t="n">
        <x:v>502.9942527591299</x:v>
      </x:c>
      <x:c r="E2846" s="43" t="n">
        <x:v>7645.751311768492</x:v>
      </x:c>
      <x:c r="F2846" s="43" t="n">
        <x:v>224.88413390586229</x:v>
      </x:c>
      <x:c r="G2846" s="43" t="n">
        <x:v>1732.9518962599223</x:v>
      </x:c>
      <x:c r="H2846" s="43" t="n">
        <x:v>32531.41840530659</x:v>
      </x:c>
      <x:c r="I2846" s="43" t="n">
        <x:v>42638</x:v>
      </x:c>
      <x:c r="J2846" s="43" t="n">
        <x:v>7836</x:v>
      </x:c>
      <x:c r="K2846" s="43" t="n">
        <x:v>409.305415341305</x:v>
      </x:c>
      <x:c r="L2846" s="43" t="n">
        <x:v>184.4212814354427</x:v>
      </x:c>
    </x:row>
    <x:row r="2847" ht="15" hidden="0" customHeight="1">
      <x:c r="A2847" s="29" t="str">
        <x:v>37139</x:v>
      </x:c>
      <x:c r="B2847" s="29" t="str">
        <x:v>SCA-29</x:v>
      </x:c>
      <x:c r="C2847" s="44" t="n">
        <x:v>42201</x:v>
      </x:c>
      <x:c r="D2847" s="44" t="n">
        <x:v>433.4780535467996</x:v>
      </x:c>
      <x:c r="E2847" s="44" t="n">
        <x:v>6022.726065540403</x:v>
      </x:c>
      <x:c r="F2847" s="44" t="n">
        <x:v>222.57927986681588</x:v>
      </x:c>
      <x:c r="G2847" s="44" t="n">
        <x:v>1080.3482851618155</x:v>
      </x:c>
      <x:c r="H2847" s="44" t="n">
        <x:v>34441.86831588417</x:v>
      </x:c>
      <x:c r="I2847" s="44" t="n">
        <x:v>42201</x:v>
      </x:c>
      <x:c r="J2847" s="44" t="n">
        <x:v>5843</x:v>
      </x:c>
      <x:c r="K2847" s="44" t="n">
        <x:v>405.1104140160986</x:v>
      </x:c>
      <x:c r="L2847" s="44" t="n">
        <x:v>182.53113414928274</x:v>
      </x:c>
    </x:row>
    <x:row r="2848" ht="15" hidden="0" customHeight="1">
      <x:c r="A2848" s="27" t="str">
        <x:v>37153</x:v>
      </x:c>
      <x:c r="B2848" s="27" t="str">
        <x:v>SCA-29</x:v>
      </x:c>
      <x:c r="C2848" s="43" t="n">
        <x:v>42041</x:v>
      </x:c>
      <x:c r="D2848" s="43" t="n">
        <x:v>469.71374444037406</x:v>
      </x:c>
      <x:c r="E2848" s="43" t="n">
        <x:v>6908.991721537346</x:v>
      </x:c>
      <x:c r="F2848" s="43" t="n">
        <x:v>221.7353973811238</x:v>
      </x:c>
      <x:c r="G2848" s="43" t="n">
        <x:v>2724.308822818468</x:v>
      </x:c>
      <x:c r="H2848" s="43" t="n">
        <x:v>31716.25031382269</x:v>
      </x:c>
      <x:c r="I2848" s="43" t="n">
        <x:v>42041</x:v>
      </x:c>
      <x:c r="J2848" s="43" t="n">
        <x:v>7082</x:v>
      </x:c>
      <x:c r="K2848" s="43" t="n">
        <x:v>403.5744867574418</x:v>
      </x:c>
      <x:c r="L2848" s="43" t="n">
        <x:v>181.839089376318</x:v>
      </x:c>
    </x:row>
    <x:row r="2849" ht="15" hidden="0" customHeight="1">
      <x:c r="A2849" s="29" t="str">
        <x:v>51590</x:v>
      </x:c>
      <x:c r="B2849" s="29" t="str">
        <x:v>SCA-29</x:v>
      </x:c>
      <x:c r="C2849" s="44" t="n">
        <x:v>41647</x:v>
      </x:c>
      <x:c r="D2849" s="44" t="n">
        <x:v>472.77147865162533</x:v>
      </x:c>
      <x:c r="E2849" s="44" t="n">
        <x:v>7192.21148576426</x:v>
      </x:c>
      <x:c r="F2849" s="44" t="n">
        <x:v>290.52819979391563</x:v>
      </x:c>
      <x:c r="G2849" s="44" t="n">
        <x:v>3569.1178699834813</x:v>
      </x:c>
      <x:c r="H2849" s="44" t="n">
        <x:v>30122.37096580672</x:v>
      </x:c>
      <x:c r="I2849" s="44" t="n">
        <x:v>41647</x:v>
      </x:c>
      <x:c r="J2849" s="44" t="n">
        <x:v>7405</x:v>
      </x:c>
      <x:c r="K2849" s="44" t="n">
        <x:v>463.6241998720301</x:v>
      </x:c>
      <x:c r="L2849" s="44" t="n">
        <x:v>173.09600007811449</x:v>
      </x:c>
    </x:row>
    <x:row r="2850" ht="15" hidden="0" customHeight="1">
      <x:c r="A2850" s="27" t="str">
        <x:v>51093</x:v>
      </x:c>
      <x:c r="B2850" s="27" t="str">
        <x:v>SCA-29</x:v>
      </x:c>
      <x:c r="C2850" s="43" t="n">
        <x:v>41321</x:v>
      </x:c>
      <x:c r="D2850" s="43" t="n">
        <x:v>415.18359054892835</x:v>
      </x:c>
      <x:c r="E2850" s="43" t="n">
        <x:v>5842.6207946004</x:v>
      </x:c>
      <x:c r="F2850" s="43" t="n">
        <x:v>288.25403375235635</x:v>
      </x:c>
      <x:c r="G2850" s="43" t="n">
        <x:v>1007.4799176765353</x:v>
      </x:c>
      <x:c r="H2850" s="43" t="n">
        <x:v>33767.46166342178</x:v>
      </x:c>
      <x:c r="I2850" s="43" t="n">
        <x:v>41321</x:v>
      </x:c>
      <x:c r="J2850" s="43" t="n">
        <x:v>5761</x:v>
      </x:c>
      <x:c r="K2850" s="43" t="n">
        <x:v>459.99509119293475</x:v>
      </x:c>
      <x:c r="L2850" s="43" t="n">
        <x:v>171.7410574405784</x:v>
      </x:c>
    </x:row>
    <x:row r="2851" ht="15" hidden="0" customHeight="1">
      <x:c r="A2851" s="29" t="str">
        <x:v>37145</x:v>
      </x:c>
      <x:c r="B2851" s="29" t="str">
        <x:v>SCA-29</x:v>
      </x:c>
      <x:c r="C2851" s="44" t="n">
        <x:v>40636</x:v>
      </x:c>
      <x:c r="D2851" s="44" t="n">
        <x:v>482.6589873158048</x:v>
      </x:c>
      <x:c r="E2851" s="44" t="n">
        <x:v>7365.525986450003</x:v>
      </x:c>
      <x:c r="F2851" s="44" t="n">
        <x:v>214.3250543036404</x:v>
      </x:c>
      <x:c r="G2851" s="44" t="n">
        <x:v>915.8351841475218</x:v>
      </x:c>
      <x:c r="H2851" s="44" t="n">
        <x:v>31657.65478778303</x:v>
      </x:c>
      <x:c r="I2851" s="44" t="n">
        <x:v>40636</x:v>
      </x:c>
      <x:c r="J2851" s="44" t="n">
        <x:v>7413</x:v>
      </x:c>
      <x:c r="K2851" s="44" t="n">
        <x:v>390.08712551736176</x:v>
      </x:c>
      <x:c r="L2851" s="44" t="n">
        <x:v>175.76207121372133</x:v>
      </x:c>
    </x:row>
    <x:row r="2852" ht="15" hidden="0" customHeight="1">
      <x:c r="A2852" s="27" t="str">
        <x:v>51073</x:v>
      </x:c>
      <x:c r="B2852" s="27" t="str">
        <x:v>SCA-29</x:v>
      </x:c>
      <x:c r="C2852" s="43" t="n">
        <x:v>40097</x:v>
      </x:c>
      <x:c r="D2852" s="43" t="n">
        <x:v>450.974208171819</x:v>
      </x:c>
      <x:c r="E2852" s="43" t="n">
        <x:v>6823.690080495355</x:v>
      </x:c>
      <x:c r="F2852" s="43" t="n">
        <x:v>279.71544714233033</x:v>
      </x:c>
      <x:c r="G2852" s="43" t="n">
        <x:v>476.7718137254902</x:v>
      </x:c>
      <x:c r="H2852" s="43" t="n">
        <x:v>32065.848450465004</x:v>
      </x:c>
      <x:c r="I2852" s="43" t="n">
        <x:v>40097</x:v>
      </x:c>
      <x:c r="J2852" s="43" t="n">
        <x:v>6871</x:v>
      </x:c>
      <x:c r="K2852" s="43" t="n">
        <x:v>446.36923529350946</x:v>
      </x:c>
      <x:c r="L2852" s="43" t="n">
        <x:v>166.65378815117913</x:v>
      </x:c>
    </x:row>
    <x:row r="2853" ht="15" hidden="0" customHeight="1">
      <x:c r="A2853" s="29" t="str">
        <x:v>51137</x:v>
      </x:c>
      <x:c r="B2853" s="29" t="str">
        <x:v>SCA-29</x:v>
      </x:c>
      <x:c r="C2853" s="44" t="n">
        <x:v>40083</x:v>
      </x:c>
      <x:c r="D2853" s="44" t="n">
        <x:v>405.0882118715569</x:v>
      </x:c>
      <x:c r="E2853" s="44" t="n">
        <x:v>5723.822674584195</x:v>
      </x:c>
      <x:c r="F2853" s="44" t="n">
        <x:v>279.61778356999343</x:v>
      </x:c>
      <x:c r="G2853" s="44" t="n">
        <x:v>954.252115968509</x:v>
      </x:c>
      <x:c r="H2853" s="44" t="n">
        <x:v>32720.219214005745</x:v>
      </x:c>
      <x:c r="I2853" s="44" t="n">
        <x:v>40083</x:v>
      </x:c>
      <x:c r="J2853" s="44" t="n">
        <x:v>5536</x:v>
      </x:c>
      <x:c r="K2853" s="44" t="n">
        <x:v>446.2133840005422</x:v>
      </x:c>
      <x:c r="L2853" s="44" t="n">
        <x:v>166.59560043054873</x:v>
      </x:c>
    </x:row>
    <x:row r="2854" ht="15" hidden="0" customHeight="1">
      <x:c r="A2854" s="27" t="str">
        <x:v>51185</x:v>
      </x:c>
      <x:c r="B2854" s="27" t="str">
        <x:v>SCA-29</x:v>
      </x:c>
      <x:c r="C2854" s="43" t="n">
        <x:v>38635</x:v>
      </x:c>
      <x:c r="D2854" s="43" t="n">
        <x:v>471.76459914639827</x:v>
      </x:c>
      <x:c r="E2854" s="43" t="n">
        <x:v>7468.49451684804</x:v>
      </x:c>
      <x:c r="F2854" s="43" t="n">
        <x:v>269.5165798025771</x:v>
      </x:c>
      <x:c r="G2854" s="43" t="n">
        <x:v>1554.1464796119053</x:v>
      </x:c>
      <x:c r="H2854" s="43" t="n">
        <x:v>28871.077824591077</x:v>
      </x:c>
      <x:c r="I2854" s="43" t="n">
        <x:v>38635</x:v>
      </x:c>
      <x:c r="J2854" s="43" t="n">
        <x:v>7679</x:v>
      </x:c>
      <x:c r="K2854" s="43" t="n">
        <x:v>430.0939074136404</x:v>
      </x:c>
      <x:c r="L2854" s="43" t="n">
        <x:v>160.5773276110633</x:v>
      </x:c>
    </x:row>
    <x:row r="2855" ht="15" hidden="0" customHeight="1">
      <x:c r="A2855" s="29" t="str">
        <x:v>37197</x:v>
      </x:c>
      <x:c r="B2855" s="29" t="str">
        <x:v>SCA-29</x:v>
      </x:c>
      <x:c r="C2855" s="44" t="n">
        <x:v>38325</x:v>
      </x:c>
      <x:c r="D2855" s="44" t="n">
        <x:v>431.0900975048256</x:v>
      </x:c>
      <x:c r="E2855" s="44" t="n">
        <x:v>6367.769951534733</x:v>
      </x:c>
      <x:c r="F2855" s="44" t="n">
        <x:v>202.13622665092578</x:v>
      </x:c>
      <x:c r="G2855" s="44" t="n">
        <x:v>959.2331717824449</x:v>
      </x:c>
      <x:c r="H2855" s="44" t="n">
        <x:v>30364.770552527072</x:v>
      </x:c>
      <x:c r="I2855" s="44" t="n">
        <x:v>38325</x:v>
      </x:c>
      <x:c r="J2855" s="44" t="n">
        <x:v>6428</x:v>
      </x:c>
      <x:c r="K2855" s="44" t="n">
        <x:v>367.90257617513754</x:v>
      </x:c>
      <x:c r="L2855" s="44" t="n">
        <x:v>165.76634952421176</x:v>
      </x:c>
    </x:row>
    <x:row r="2856" ht="15" hidden="0" customHeight="1">
      <x:c r="A2856" s="27" t="str">
        <x:v>37055</x:v>
      </x:c>
      <x:c r="B2856" s="27" t="str">
        <x:v>SCA-29</x:v>
      </x:c>
      <x:c r="C2856" s="43" t="n">
        <x:v>38245</x:v>
      </x:c>
      <x:c r="D2856" s="43" t="n">
        <x:v>330.6865384697162</x:v>
      </x:c>
      <x:c r="E2856" s="43" t="n">
        <x:v>3966.3890719676833</x:v>
      </x:c>
      <x:c r="F2856" s="43" t="n">
        <x:v>201.7142854080797</x:v>
      </x:c>
      <x:c r="G2856" s="43" t="n">
        <x:v>755.4975284362708</x:v>
      </x:c>
      <x:c r="H2856" s="43" t="n">
        <x:v>32990.71257571825</x:v>
      </x:c>
      <x:c r="I2856" s="43" t="n">
        <x:v>38245</x:v>
      </x:c>
      <x:c r="J2856" s="43" t="n">
        <x:v>4065</x:v>
      </x:c>
      <x:c r="K2856" s="43" t="n">
        <x:v>367.1346125458091</x:v>
      </x:c>
      <x:c r="L2856" s="43" t="n">
        <x:v>165.4203271377294</x:v>
      </x:c>
    </x:row>
    <x:row r="2857" ht="15" hidden="0" customHeight="1">
      <x:c r="A2857" s="29" t="str">
        <x:v>37003</x:v>
      </x:c>
      <x:c r="B2857" s="29" t="str">
        <x:v>SCA-29</x:v>
      </x:c>
      <x:c r="C2857" s="44" t="n">
        <x:v>36958</x:v>
      </x:c>
      <x:c r="D2857" s="44" t="n">
        <x:v>438.16355592713154</x:v>
      </x:c>
      <x:c r="E2857" s="44" t="n">
        <x:v>6679.436734366496</x:v>
      </x:c>
      <x:c r="F2857" s="44" t="n">
        <x:v>194.92630566379424</x:v>
      </x:c>
      <x:c r="G2857" s="44" t="n">
        <x:v>578.3641038127704</x:v>
      </x:c>
      <x:c r="H2857" s="44" t="n">
        <x:v>29067.109300229808</x:v>
      </x:c>
      <x:c r="I2857" s="44" t="n">
        <x:v>36958</x:v>
      </x:c>
      <x:c r="J2857" s="44" t="n">
        <x:v>6572</x:v>
      </x:c>
      <x:c r="K2857" s="44" t="n">
        <x:v>354.77999765898846</x:v>
      </x:c>
      <x:c r="L2857" s="44" t="n">
        <x:v>159.85369199519423</x:v>
      </x:c>
    </x:row>
    <x:row r="2858" ht="15" hidden="0" customHeight="1">
      <x:c r="A2858" s="27" t="str">
        <x:v>51033</x:v>
      </x:c>
      <x:c r="B2858" s="27" t="str">
        <x:v>SCA-29</x:v>
      </x:c>
      <x:c r="C2858" s="43" t="n">
        <x:v>34413</x:v>
      </x:c>
      <x:c r="D2858" s="43" t="n">
        <x:v>308.0332564495563</x:v>
      </x:c>
      <x:c r="E2858" s="43" t="n">
        <x:v>3960.0883889835136</x:v>
      </x:c>
      <x:c r="F2858" s="43" t="n">
        <x:v>240.0640367735495</x:v>
      </x:c>
      <x:c r="G2858" s="43" t="n">
        <x:v>524.5573802101745</x:v>
      </x:c>
      <x:c r="H2858" s="43" t="n">
        <x:v>29380.256937583206</x:v>
      </x:c>
      <x:c r="I2858" s="43" t="n">
        <x:v>34413</x:v>
      </x:c>
      <x:c r="J2858" s="43" t="n">
        <x:v>3730</x:v>
      </x:c>
      <x:c r="K2858" s="43" t="n">
        <x:v>383.0936103487927</x:v>
      </x:c>
      <x:c r="L2858" s="43" t="n">
        <x:v>143.0295735752432</x:v>
      </x:c>
    </x:row>
    <x:row r="2859" ht="15" hidden="0" customHeight="1">
      <x:c r="A2859" s="29" t="str">
        <x:v>51023</x:v>
      </x:c>
      <x:c r="B2859" s="29" t="str">
        <x:v>SCA-29</x:v>
      </x:c>
      <x:c r="C2859" s="44" t="n">
        <x:v>34144</x:v>
      </x:c>
      <x:c r="D2859" s="44" t="n">
        <x:v>302.45287578505037</x:v>
      </x:c>
      <x:c r="E2859" s="44" t="n">
        <x:v>3852.9921047774965</x:v>
      </x:c>
      <x:c r="F2859" s="44" t="n">
        <x:v>238.18750099079054</x:v>
      </x:c>
      <x:c r="G2859" s="44" t="n">
        <x:v>650.3676737609763</x:v>
      </x:c>
      <x:c r="H2859" s="44" t="n">
        <x:v>29099.999844685688</x:v>
      </x:c>
      <x:c r="I2859" s="44" t="n">
        <x:v>34144</x:v>
      </x:c>
      <x:c r="J2859" s="44" t="n">
        <x:v>3949</x:v>
      </x:c>
      <x:c r="K2859" s="44" t="n">
        <x:v>380.0990390767785</x:v>
      </x:c>
      <x:c r="L2859" s="44" t="n">
        <x:v>141.91153808598798</x:v>
      </x:c>
    </x:row>
    <x:row r="2860" ht="15" hidden="0" customHeight="1">
      <x:c r="A2860" s="27" t="str">
        <x:v>51001</x:v>
      </x:c>
      <x:c r="B2860" s="27" t="str">
        <x:v>SCA-29</x:v>
      </x:c>
      <x:c r="C2860" s="43" t="n">
        <x:v>33859</x:v>
      </x:c>
      <x:c r="D2860" s="43" t="n">
        <x:v>372.00038595871916</x:v>
      </x:c>
      <x:c r="E2860" s="43" t="n">
        <x:v>5550.561206739249</x:v>
      </x:c>
      <x:c r="F2860" s="43" t="n">
        <x:v>236.19934969678937</x:v>
      </x:c>
      <x:c r="G2860" s="43" t="n">
        <x:v>1208.614211422663</x:v>
      </x:c>
      <x:c r="H2860" s="43" t="n">
        <x:v>26491.624846182578</x:v>
      </x:c>
      <x:c r="I2860" s="43" t="n">
        <x:v>33859</x:v>
      </x:c>
      <x:c r="J2860" s="43" t="n">
        <x:v>5615</x:v>
      </x:c>
      <x:c r="K2860" s="43" t="n">
        <x:v>376.9263520413731</x:v>
      </x:c>
      <x:c r="L2860" s="43" t="n">
        <x:v>140.72700234458372</x:v>
      </x:c>
    </x:row>
    <x:row r="2861" ht="15" hidden="0" customHeight="1">
      <x:c r="A2861" s="29" t="str">
        <x:v>51730</x:v>
      </x:c>
      <x:c r="B2861" s="29" t="str">
        <x:v>SCA-29</x:v>
      </x:c>
      <x:c r="C2861" s="44" t="n">
        <x:v>33734</x:v>
      </x:c>
      <x:c r="D2861" s="44" t="n">
        <x:v>402.69507573805504</x:v>
      </x:c>
      <x:c r="E2861" s="44" t="n">
        <x:v>6299.702558721249</x:v>
      </x:c>
      <x:c r="F2861" s="44" t="n">
        <x:v>235.32735351520992</x:v>
      </x:c>
      <x:c r="G2861" s="44" t="n">
        <x:v>2672.1550698554083</x:v>
      </x:c>
      <x:c r="H2861" s="44" t="n">
        <x:v>24124.119942170077</x:v>
      </x:c>
      <x:c r="I2861" s="44" t="n">
        <x:v>33734</x:v>
      </x:c>
      <x:c r="J2861" s="44" t="n">
        <x:v>6377</x:v>
      </x:c>
      <x:c r="K2861" s="44" t="n">
        <x:v>375.5348226398795</x:v>
      </x:c>
      <x:c r="L2861" s="44" t="n">
        <x:v>140.2074691246696</x:v>
      </x:c>
    </x:row>
    <x:row r="2862" ht="15" hidden="0" customHeight="1">
      <x:c r="A2862" s="27" t="str">
        <x:v>51155</x:v>
      </x:c>
      <x:c r="B2862" s="27" t="str">
        <x:v>SCA-29</x:v>
      </x:c>
      <x:c r="C2862" s="43" t="n">
        <x:v>33586</x:v>
      </x:c>
      <x:c r="D2862" s="43" t="n">
        <x:v>389.97831001899795</x:v>
      </x:c>
      <x:c r="E2862" s="43" t="n">
        <x:v>6009.263237440961</x:v>
      </x:c>
      <x:c r="F2862" s="43" t="n">
        <x:v>234.29491003621987</x:v>
      </x:c>
      <x:c r="G2862" s="43" t="n">
        <x:v>792.4690547751949</x:v>
      </x:c>
      <x:c r="H2862" s="43" t="n">
        <x:v>26159.99448772863</x:v>
      </x:c>
      <x:c r="I2862" s="43" t="n">
        <x:v>33586</x:v>
      </x:c>
      <x:c r="J2862" s="43" t="n">
        <x:v>6077</x:v>
      </x:c>
      <x:c r="K2862" s="43" t="n">
        <x:v>373.8872518285111</x:v>
      </x:c>
      <x:c r="L2862" s="43" t="n">
        <x:v>139.59234179229125</x:v>
      </x:c>
    </x:row>
    <x:row r="2863" ht="15" hidden="0" customHeight="1">
      <x:c r="A2863" s="29" t="str">
        <x:v>51083</x:v>
      </x:c>
      <x:c r="B2863" s="29" t="str">
        <x:v>SCA-29</x:v>
      </x:c>
      <x:c r="C2863" s="44" t="n">
        <x:v>33447</x:v>
      </x:c>
      <x:c r="D2863" s="44" t="n">
        <x:v>409.92184897331396</x:v>
      </x:c>
      <x:c r="E2863" s="44" t="n">
        <x:v>6501.7734749176125</x:v>
      </x:c>
      <x:c r="F2863" s="44" t="n">
        <x:v>233.3252502823035</x:v>
      </x:c>
      <x:c r="G2863" s="44" t="n">
        <x:v>1292.7638227755401</x:v>
      </x:c>
      <x:c r="H2863" s="44" t="n">
        <x:v>25009.215603051227</x:v>
      </x:c>
      <x:c r="I2863" s="44" t="n">
        <x:v>33447</x:v>
      </x:c>
      <x:c r="J2863" s="44" t="n">
        <x:v>6636</x:v>
      </x:c>
      <x:c r="K2863" s="44" t="n">
        <x:v>372.3398711340502</x:v>
      </x:c>
      <x:c r="L2863" s="44" t="n">
        <x:v>139.0146208517467</x:v>
      </x:c>
    </x:row>
    <x:row r="2864" ht="15" hidden="0" customHeight="1">
      <x:c r="A2864" s="27" t="str">
        <x:v>37165</x:v>
      </x:c>
      <x:c r="B2864" s="27" t="str">
        <x:v>SCA-29</x:v>
      </x:c>
      <x:c r="C2864" s="43" t="n">
        <x:v>33322</x:v>
      </x:c>
      <x:c r="D2864" s="43" t="n">
        <x:v>389.40210266195805</x:v>
      </x:c>
      <x:c r="E2864" s="43" t="n">
        <x:v>5886.603075177305</x:v>
      </x:c>
      <x:c r="F2864" s="43" t="n">
        <x:v>175.7490761764422</x:v>
      </x:c>
      <x:c r="G2864" s="43" t="n">
        <x:v>1824.125721040189</x:v>
      </x:c>
      <x:c r="H2864" s="43" t="n">
        <x:v>25046.120024944106</x:v>
      </x:c>
      <x:c r="I2864" s="43" t="n">
        <x:v>33322</x:v>
      </x:c>
      <x:c r="J2864" s="43" t="n">
        <x:v>5838</x:v>
      </x:c>
      <x:c r="K2864" s="43" t="n">
        <x:v>319.87605070601256</x:v>
      </x:c>
      <x:c r="L2864" s="43" t="n">
        <x:v>144.12697452957036</x:v>
      </x:c>
    </x:row>
    <x:row r="2865" ht="15" hidden="0" customHeight="1">
      <x:c r="A2865" s="29" t="str">
        <x:v>37053</x:v>
      </x:c>
      <x:c r="B2865" s="29" t="str">
        <x:v>SCA-29</x:v>
      </x:c>
      <x:c r="C2865" s="44" t="n">
        <x:v>33158</x:v>
      </x:c>
      <x:c r="D2865" s="44" t="n">
        <x:v>308.94760494455284</x:v>
      </x:c>
      <x:c r="E2865" s="44" t="n">
        <x:v>3972.719431374512</x:v>
      </x:c>
      <x:c r="F2865" s="44" t="n">
        <x:v>174.88409662860786</x:v>
      </x:c>
      <x:c r="G2865" s="44" t="n">
        <x:v>417.03091734240996</x:v>
      </x:c>
      <x:c r="H2865" s="44" t="n">
        <x:v>28284.417949709918</x:v>
      </x:c>
      <x:c r="I2865" s="44" t="n">
        <x:v>33158</x:v>
      </x:c>
      <x:c r="J2865" s="44" t="n">
        <x:v>3740</x:v>
      </x:c>
      <x:c r="K2865" s="44" t="n">
        <x:v>318.3017252658894</x:v>
      </x:c>
      <x:c r="L2865" s="44" t="n">
        <x:v>143.41762863728152</x:v>
      </x:c>
    </x:row>
    <x:row r="2866" ht="15" hidden="0" customHeight="1">
      <x:c r="A2866" s="27" t="str">
        <x:v>45023</x:v>
      </x:c>
      <x:c r="B2866" s="27" t="str">
        <x:v>SCA-29</x:v>
      </x:c>
      <x:c r="C2866" s="43" t="n">
        <x:v>33001</x:v>
      </x:c>
      <x:c r="D2866" s="43" t="n">
        <x:v>329.35876618755674</x:v>
      </x:c>
      <x:c r="E2866" s="43" t="n">
        <x:v>4508.592844684775</x:v>
      </x:c>
      <x:c r="F2866" s="43" t="n">
        <x:v>200.52116007156036</x:v>
      </x:c>
      <x:c r="G2866" s="43" t="n">
        <x:v>1072.9672115775325</x:v>
      </x:c>
      <x:c r="H2866" s="43" t="n">
        <x:v>26889.560017478576</x:v>
      </x:c>
      <x:c r="I2866" s="43" t="n">
        <x:v>33001</x:v>
      </x:c>
      <x:c r="J2866" s="43" t="n">
        <x:v>4553</x:v>
      </x:c>
      <x:c r="K2866" s="43" t="n">
        <x:v>342.02189106391813</x:v>
      </x:c>
      <x:c r="L2866" s="43" t="n">
        <x:v>141.50073099235777</x:v>
      </x:c>
    </x:row>
    <x:row r="2867" ht="15" hidden="0" customHeight="1">
      <x:c r="A2867" s="29" t="str">
        <x:v>51145</x:v>
      </x:c>
      <x:c r="B2867" s="29" t="str">
        <x:v>SCA-29</x:v>
      </x:c>
      <x:c r="C2867" s="44" t="n">
        <x:v>32591</x:v>
      </x:c>
      <x:c r="D2867" s="44" t="n">
        <x:v>288.07686594574903</x:v>
      </x:c>
      <x:c r="E2867" s="44" t="n">
        <x:v>3662.880206015385</x:v>
      </x:c>
      <x:c r="F2867" s="44" t="n">
        <x:v>227.3538204308474</x:v>
      </x:c>
      <x:c r="G2867" s="44" t="n">
        <x:v>295.7808115157318</x:v>
      </x:c>
      <x:c r="H2867" s="44" t="n">
        <x:v>28116.90829609229</x:v>
      </x:c>
      <x:c r="I2867" s="44" t="n">
        <x:v>32591</x:v>
      </x:c>
      <x:c r="J2867" s="44" t="n">
        <x:v>3546</x:v>
      </x:c>
      <x:c r="K2867" s="44" t="n">
        <x:v>362.8106777926221</x:v>
      </x:c>
      <x:c r="L2867" s="44" t="n">
        <x:v>135.45685736177467</x:v>
      </x:c>
    </x:row>
    <x:row r="2868" ht="15" hidden="0" customHeight="1">
      <x:c r="A2868" s="27" t="str">
        <x:v>51009</x:v>
      </x:c>
      <x:c r="B2868" s="27" t="str">
        <x:v>SCA-29</x:v>
      </x:c>
      <x:c r="C2868" s="43" t="n">
        <x:v>31962</x:v>
      </x:c>
      <x:c r="D2868" s="43" t="n">
        <x:v>340.448422872916</x:v>
      </x:c>
      <x:c r="E2868" s="43" t="n">
        <x:v>4982.540560169982</x:v>
      </x:c>
      <x:c r="F2868" s="43" t="n">
        <x:v>222.9659356451396</x:v>
      </x:c>
      <x:c r="G2868" s="43" t="n">
        <x:v>514.295666731054</x:v>
      </x:c>
      <x:c r="H2868" s="43" t="n">
        <x:v>25901.74941458091</x:v>
      </x:c>
      <x:c r="I2868" s="43" t="n">
        <x:v>31962</x:v>
      </x:c>
      <x:c r="J2868" s="43" t="n">
        <x:v>5044</x:v>
      </x:c>
      <x:c r="K2868" s="43" t="n">
        <x:v>355.8085018443063</x:v>
      </x:c>
      <x:c r="L2868" s="43" t="n">
        <x:v>132.8425661991667</x:v>
      </x:c>
    </x:row>
    <x:row r="2869" ht="15" hidden="0" customHeight="1">
      <x:c r="A2869" s="29" t="str">
        <x:v>45027</x:v>
      </x:c>
      <x:c r="B2869" s="29" t="str">
        <x:v>SCA-29</x:v>
      </x:c>
      <x:c r="C2869" s="44" t="n">
        <x:v>31043</x:v>
      </x:c>
      <x:c r="D2869" s="44" t="n">
        <x:v>338.8149323497455</x:v>
      </x:c>
      <x:c r="E2869" s="44" t="n">
        <x:v>4937.03176772451</x:v>
      </x:c>
      <x:c r="F2869" s="44" t="n">
        <x:v>188.62393176271777</x:v>
      </x:c>
      <x:c r="G2869" s="44" t="n">
        <x:v>1661.5779709655637</x:v>
      </x:c>
      <x:c r="H2869" s="44" t="n">
        <x:v>23916.951397197463</x:v>
      </x:c>
      <x:c r="I2869" s="44" t="n">
        <x:v>31043</x:v>
      </x:c>
      <x:c r="J2869" s="44" t="n">
        <x:v>4907</x:v>
      </x:c>
      <x:c r="K2869" s="44" t="n">
        <x:v>321.72920712394205</x:v>
      </x:c>
      <x:c r="L2869" s="44" t="n">
        <x:v>133.10527536122427</x:v>
      </x:c>
    </x:row>
    <x:row r="2870" ht="15" hidden="0" customHeight="1">
      <x:c r="A2870" s="27" t="str">
        <x:v>51117</x:v>
      </x:c>
      <x:c r="B2870" s="27" t="str">
        <x:v>SCA-29</x:v>
      </x:c>
      <x:c r="C2870" s="43" t="n">
        <x:v>30747</x:v>
      </x:c>
      <x:c r="D2870" s="43" t="n">
        <x:v>366.7569774706067</x:v>
      </x:c>
      <x:c r="E2870" s="43" t="n">
        <x:v>5735.142580056132</x:v>
      </x:c>
      <x:c r="F2870" s="43" t="n">
        <x:v>214.4901327601873</x:v>
      </x:c>
      <x:c r="G2870" s="43" t="n">
        <x:v>1044.1886856254016</x:v>
      </x:c>
      <x:c r="H2870" s="43" t="n">
        <x:v>23386.42162408767</x:v>
      </x:c>
      <x:c r="I2870" s="43" t="n">
        <x:v>30747</x:v>
      </x:c>
      <x:c r="J2870" s="43" t="n">
        <x:v>5746</x:v>
      </x:c>
      <x:c r="K2870" s="43" t="n">
        <x:v>342.28283606178854</x:v>
      </x:c>
      <x:c r="L2870" s="43" t="n">
        <x:v>127.79270330160124</x:v>
      </x:c>
    </x:row>
    <x:row r="2871" ht="15" hidden="0" customHeight="1">
      <x:c r="A2871" s="29" t="str">
        <x:v>51630</x:v>
      </x:c>
      <x:c r="B2871" s="29" t="str">
        <x:v>SCA-29</x:v>
      </x:c>
      <x:c r="C2871" s="44" t="n">
        <x:v>30393</x:v>
      </x:c>
      <x:c r="D2871" s="44" t="n">
        <x:v>264.8815938386383</x:v>
      </x:c>
      <x:c r="E2871" s="44" t="n">
        <x:v>3325.445006780015</x:v>
      </x:c>
      <x:c r="F2871" s="44" t="n">
        <x:v>212.02063957395433</x:v>
      </x:c>
      <x:c r="G2871" s="44" t="n">
        <x:v>1554.9760091790968</x:v>
      </x:c>
      <x:c r="H2871" s="44" t="n">
        <x:v>25035.676750628296</x:v>
      </x:c>
      <x:c r="I2871" s="44" t="n">
        <x:v>30393</x:v>
      </x:c>
      <x:c r="J2871" s="44" t="n">
        <x:v>3278</x:v>
      </x:c>
      <x:c r="K2871" s="44" t="n">
        <x:v>338.3420247967587</x:v>
      </x:c>
      <x:c r="L2871" s="44" t="n">
        <x:v>126.32138522280438</x:v>
      </x:c>
    </x:row>
    <x:row r="2872" ht="15" hidden="0" customHeight="1">
      <x:c r="A2872" s="27" t="str">
        <x:v>37017</x:v>
      </x:c>
      <x:c r="B2872" s="27" t="str">
        <x:v>SCA-29</x:v>
      </x:c>
      <x:c r="C2872" s="43" t="n">
        <x:v>30007</x:v>
      </x:c>
      <x:c r="D2872" s="43" t="n">
        <x:v>320.89413301580396</x:v>
      </x:c>
      <x:c r="E2872" s="43" t="n">
        <x:v>4586.531067026325</x:v>
      </x:c>
      <x:c r="F2872" s="43" t="n">
        <x:v>158.2648859260099</x:v>
      </x:c>
      <x:c r="G2872" s="43" t="n">
        <x:v>1287.23816027589</x:v>
      </x:c>
      <x:c r="H2872" s="43" t="n">
        <x:v>23654.07175375597</x:v>
      </x:c>
      <x:c r="I2872" s="43" t="n">
        <x:v>30007</x:v>
      </x:c>
      <x:c r="J2872" s="43" t="n">
        <x:v>4663</x:v>
      </x:c>
      <x:c r="K2872" s="43" t="n">
        <x:v>288.05355781571694</x:v>
      </x:c>
      <x:c r="L2872" s="43" t="n">
        <x:v>129.78867188970705</x:v>
      </x:c>
    </x:row>
    <x:row r="2873" ht="15" hidden="0" customHeight="1">
      <x:c r="A2873" s="29" t="str">
        <x:v>45089</x:v>
      </x:c>
      <x:c r="B2873" s="29" t="str">
        <x:v>SCA-29</x:v>
      </x:c>
      <x:c r="C2873" s="44" t="n">
        <x:v>29662</x:v>
      </x:c>
      <x:c r="D2873" s="44" t="n">
        <x:v>353.6895507288466</x:v>
      </x:c>
      <x:c r="E2873" s="44" t="n">
        <x:v>5436.136491069252</x:v>
      </x:c>
      <x:c r="F2873" s="44" t="n">
        <x:v>180.23267931403973</x:v>
      </x:c>
      <x:c r="G2873" s="44" t="n">
        <x:v>2208.018592667386</x:v>
      </x:c>
      <x:c r="H2873" s="44" t="n">
        <x:v>21483.922686220474</x:v>
      </x:c>
      <x:c r="I2873" s="44" t="n">
        <x:v>29662</x:v>
      </x:c>
      <x:c r="J2873" s="44" t="n">
        <x:v>5483</x:v>
      </x:c>
      <x:c r="K2873" s="44" t="n">
        <x:v>307.4165429150008</x:v>
      </x:c>
      <x:c r="L2873" s="44" t="n">
        <x:v>127.18386360096106</x:v>
      </x:c>
    </x:row>
    <x:row r="2874" ht="15" hidden="0" customHeight="1">
      <x:c r="A2874" s="27" t="str">
        <x:v>51099</x:v>
      </x:c>
      <x:c r="B2874" s="27" t="str">
        <x:v>SCA-29</x:v>
      </x:c>
      <x:c r="C2874" s="43" t="n">
        <x:v>29646</x:v>
      </x:c>
      <x:c r="D2874" s="43" t="n">
        <x:v>245.18085485388772</x:v>
      </x:c>
      <x:c r="E2874" s="43" t="n">
        <x:v>2927.140803678966</x:v>
      </x:c>
      <x:c r="F2874" s="43" t="n">
        <x:v>206.8095903928355</x:v>
      </x:c>
      <x:c r="G2874" s="43" t="n">
        <x:v>484.0121719770795</x:v>
      </x:c>
      <x:c r="H2874" s="43" t="n">
        <x:v>25782.856579097228</x:v>
      </x:c>
      <x:c r="I2874" s="43" t="n">
        <x:v>29646</x:v>
      </x:c>
      <x:c r="J2874" s="43" t="n">
        <x:v>2818</x:v>
      </x:c>
      <x:c r="K2874" s="43" t="n">
        <x:v>330.026245093433</x:v>
      </x:c>
      <x:c r="L2874" s="43" t="n">
        <x:v>123.21665470059746</x:v>
      </x:c>
    </x:row>
    <x:row r="2875" ht="15" hidden="0" customHeight="1">
      <x:c r="A2875" s="29" t="str">
        <x:v>51035</x:v>
      </x:c>
      <x:c r="B2875" s="29" t="str">
        <x:v>SCA-29</x:v>
      </x:c>
      <x:c r="C2875" s="44" t="n">
        <x:v>29299</x:v>
      </x:c>
      <x:c r="D2875" s="44" t="n">
        <x:v>339.54941893079</x:v>
      </x:c>
      <x:c r="E2875" s="44" t="n">
        <x:v>5226.59972276818</x:v>
      </x:c>
      <x:c r="F2875" s="44" t="n">
        <x:v>204.38892899277096</x:v>
      </x:c>
      <x:c r="G2875" s="44" t="n">
        <x:v>987.1918209716907</x:v>
      </x:c>
      <x:c r="H2875" s="44" t="n">
        <x:v>22541.270108336565</x:v>
      </x:c>
      <x:c r="I2875" s="44" t="n">
        <x:v>29299</x:v>
      </x:c>
      <x:c r="J2875" s="44" t="n">
        <x:v>5389</x:v>
      </x:c>
      <x:c r="K2875" s="44" t="n">
        <x:v>326.16335947488676</x:v>
      </x:c>
      <x:c r="L2875" s="44" t="n">
        <x:v>121.7744304821158</x:v>
      </x:c>
    </x:row>
    <x:row r="2876" ht="15" hidden="0" customHeight="1">
      <x:c r="A2876" s="27" t="str">
        <x:v>51075</x:v>
      </x:c>
      <x:c r="B2876" s="27" t="str">
        <x:v>SCA-29</x:v>
      </x:c>
      <x:c r="C2876" s="43" t="n">
        <x:v>29187</x:v>
      </x:c>
      <x:c r="D2876" s="43" t="n">
        <x:v>267.94959388985257</x:v>
      </x:c>
      <x:c r="E2876" s="43" t="n">
        <x:v>3519.3759641467154</x:v>
      </x:c>
      <x:c r="F2876" s="43" t="n">
        <x:v>203.60762041407577</x:v>
      </x:c>
      <x:c r="G2876" s="43" t="n">
        <x:v>341.0142705507725</x:v>
      </x:c>
      <x:c r="H2876" s="43" t="n">
        <x:v>24855.052550998586</x:v>
      </x:c>
      <x:c r="I2876" s="43" t="n">
        <x:v>29187</x:v>
      </x:c>
      <x:c r="J2876" s="43" t="n">
        <x:v>3195</x:v>
      </x:c>
      <x:c r="K2876" s="43" t="n">
        <x:v>324.9165491311485</x:v>
      </x:c>
      <x:c r="L2876" s="43" t="n">
        <x:v>121.30892871707273</x:v>
      </x:c>
    </x:row>
    <x:row r="2877" ht="15" hidden="0" customHeight="1">
      <x:c r="A2877" s="29" t="str">
        <x:v>51065</x:v>
      </x:c>
      <x:c r="B2877" s="29" t="str">
        <x:v>SCA-29</x:v>
      </x:c>
      <x:c r="C2877" s="44" t="n">
        <x:v>28975</x:v>
      </x:c>
      <x:c r="D2877" s="44" t="n">
        <x:v>240.5976180416192</x:v>
      </x:c>
      <x:c r="E2877" s="44" t="n">
        <x:v>2884.0756239725</x:v>
      </x:c>
      <x:c r="F2877" s="44" t="n">
        <x:v>202.128714890117</x:v>
      </x:c>
      <x:c r="G2877" s="44" t="n">
        <x:v>715.7082835151696</x:v>
      </x:c>
      <x:c r="H2877" s="44" t="n">
        <x:v>24932.489759580596</x:v>
      </x:c>
      <x:c r="I2877" s="44" t="n">
        <x:v>28975</x:v>
      </x:c>
      <x:c r="J2877" s="44" t="n">
        <x:v>2775</x:v>
      </x:c>
      <x:c r="K2877" s="44" t="n">
        <x:v>322.55651526621534</x:v>
      </x:c>
      <x:c r="L2877" s="44" t="n">
        <x:v>120.42780037609835</x:v>
      </x:c>
    </x:row>
    <x:row r="2878" ht="15" hidden="0" customHeight="1">
      <x:c r="A2878" s="27" t="str">
        <x:v>51053</x:v>
      </x:c>
      <x:c r="B2878" s="27" t="str">
        <x:v>SCA-29</x:v>
      </x:c>
      <x:c r="C2878" s="43" t="n">
        <x:v>28896</x:v>
      </x:c>
      <x:c r="D2878" s="43" t="n">
        <x:v>291.1791121201333</x:v>
      </x:c>
      <x:c r="E2878" s="43" t="n">
        <x:v>4105.911761736496</x:v>
      </x:c>
      <x:c r="F2878" s="43" t="n">
        <x:v>201.57761330335882</x:v>
      </x:c>
      <x:c r="G2878" s="43" t="n">
        <x:v>551.2354150140621</x:v>
      </x:c>
      <x:c r="H2878" s="43" t="n">
        <x:v>23746.09609782595</x:v>
      </x:c>
      <x:c r="I2878" s="43" t="n">
        <x:v>28896</x:v>
      </x:c>
      <x:c r="J2878" s="43" t="n">
        <x:v>4105</x:v>
      </x:c>
      <x:c r="K2878" s="43" t="n">
        <x:v>321.6770686844714</x:v>
      </x:c>
      <x:c r="L2878" s="43" t="n">
        <x:v>120.0994553811126</x:v>
      </x:c>
    </x:row>
    <x:row r="2879" ht="15" hidden="0" customHeight="1">
      <x:c r="A2879" s="29" t="str">
        <x:v>51173</x:v>
      </x:c>
      <x:c r="B2879" s="29" t="str">
        <x:v>SCA-29</x:v>
      </x:c>
      <x:c r="C2879" s="44" t="n">
        <x:v>28882</x:v>
      </x:c>
      <x:c r="D2879" s="44" t="n">
        <x:v>386.88845263961986</x:v>
      </x:c>
      <x:c r="E2879" s="44" t="n">
        <x:v>6404.332439499304</x:v>
      </x:c>
      <x:c r="F2879" s="44" t="n">
        <x:v>201.47994973102192</x:v>
      </x:c>
      <x:c r="G2879" s="44" t="n">
        <x:v>873.2216098748262</x:v>
      </x:c>
      <x:c r="H2879" s="44" t="n">
        <x:v>21016.077548255227</x:v>
      </x:c>
      <x:c r="I2879" s="44" t="n">
        <x:v>28882</x:v>
      </x:c>
      <x:c r="J2879" s="44" t="n">
        <x:v>6643</x:v>
      </x:c>
      <x:c r="K2879" s="44" t="n">
        <x:v>321.52121739150414</x:v>
      </x:c>
      <x:c r="L2879" s="44" t="n">
        <x:v>120.04126766048222</x:v>
      </x:c>
    </x:row>
    <x:row r="2880" ht="15" hidden="0" customHeight="1">
      <x:c r="A2880" s="27" t="str">
        <x:v>45067</x:v>
      </x:c>
      <x:c r="B2880" s="27" t="str">
        <x:v>SCA-29</x:v>
      </x:c>
      <x:c r="C2880" s="43" t="n">
        <x:v>28242</x:v>
      </x:c>
      <x:c r="D2880" s="43" t="n">
        <x:v>329.9406275617021</x:v>
      </x:c>
      <x:c r="E2880" s="43" t="n">
        <x:v>5012.28957096638</x:v>
      </x:c>
      <x:c r="F2880" s="43" t="n">
        <x:v>171.60445449353074</x:v>
      </x:c>
      <x:c r="G2880" s="43" t="n">
        <x:v>1311.5420945280628</x:v>
      </x:c>
      <x:c r="H2880" s="43" t="n">
        <x:v>21416.623252450325</x:v>
      </x:c>
      <x:c r="I2880" s="43" t="n">
        <x:v>28242</x:v>
      </x:c>
      <x:c r="J2880" s="43" t="n">
        <x:v>5257</x:v>
      </x:c>
      <x:c r="K2880" s="43" t="n">
        <x:v>292.699683264967</x:v>
      </x:c>
      <x:c r="L2880" s="43" t="n">
        <x:v>121.09522877143625</x:v>
      </x:c>
    </x:row>
    <x:row r="2881" ht="15" hidden="0" customHeight="1">
      <x:c r="A2881" s="29" t="str">
        <x:v>51127</x:v>
      </x:c>
      <x:c r="B2881" s="29" t="str">
        <x:v>SCA-29</x:v>
      </x:c>
      <x:c r="C2881" s="44" t="n">
        <x:v>28022</x:v>
      </x:c>
      <x:c r="D2881" s="44" t="n">
        <x:v>239.85464988158407</x:v>
      </x:c>
      <x:c r="E2881" s="44" t="n">
        <x:v>2961.3064985786677</x:v>
      </x:c>
      <x:c r="F2881" s="44" t="n">
        <x:v>195.4806160017553</x:v>
      </x:c>
      <x:c r="G2881" s="44" t="n">
        <x:v>134.3777448193466</x:v>
      </x:c>
      <x:c r="H2881" s="44" t="n">
        <x:v>24490.980490718648</x:v>
      </x:c>
      <x:c r="I2881" s="44" t="n">
        <x:v>28022</x:v>
      </x:c>
      <x:c r="J2881" s="44" t="n">
        <x:v>2672</x:v>
      </x:c>
      <x:c r="K2881" s="44" t="n">
        <x:v>311.9474951092282</x:v>
      </x:c>
      <x:c r="L2881" s="44" t="n">
        <x:v>116.46687910747292</x:v>
      </x:c>
    </x:row>
    <x:row r="2882" ht="15" hidden="0" customHeight="1">
      <x:c r="A2882" s="27" t="str">
        <x:v>51197</x:v>
      </x:c>
      <x:c r="B2882" s="27" t="str">
        <x:v>SCA-29</x:v>
      </x:c>
      <x:c r="C2882" s="43" t="n">
        <x:v>27983</x:v>
      </x:c>
      <x:c r="D2882" s="43" t="n">
        <x:v>325.6518152886785</x:v>
      </x:c>
      <x:c r="E2882" s="43" t="n">
        <x:v>5024.32873309965</x:v>
      </x:c>
      <x:c r="F2882" s="43" t="n">
        <x:v>195.2085531931025</x:v>
      </x:c>
      <x:c r="G2882" s="43" t="n">
        <x:v>1416.1927891837756</x:v>
      </x:c>
      <x:c r="H2882" s="43" t="n">
        <x:v>21021.618109234794</x:v>
      </x:c>
      <x:c r="I2882" s="43" t="n">
        <x:v>27983</x:v>
      </x:c>
      <x:c r="J2882" s="43" t="n">
        <x:v>5229</x:v>
      </x:c>
      <x:c r="K2882" s="43" t="n">
        <x:v>311.51333793596217</x:v>
      </x:c>
      <x:c r="L2882" s="43" t="n">
        <x:v>116.3047847428597</x:v>
      </x:c>
    </x:row>
    <x:row r="2883" ht="15" hidden="0" customHeight="1">
      <x:c r="A2883" s="29" t="str">
        <x:v>37009</x:v>
      </x:c>
      <x:c r="B2883" s="29" t="str">
        <x:v>SCA-29</x:v>
      </x:c>
      <x:c r="C2883" s="44" t="n">
        <x:v>27514</x:v>
      </x:c>
      <x:c r="D2883" s="44" t="n">
        <x:v>338.9856044358595</x:v>
      </x:c>
      <x:c r="E2883" s="44" t="n">
        <x:v>5279.516523957825</x:v>
      </x:c>
      <x:c r="F2883" s="44" t="n">
        <x:v>145.11614194582052</x:v>
      </x:c>
      <x:c r="G2883" s="44" t="n">
        <x:v>490.07354320663393</x:v>
      </x:c>
      <x:c r="H2883" s="44" t="n">
        <x:v>21260.30818645386</x:v>
      </x:c>
      <x:c r="I2883" s="44" t="n">
        <x:v>27514</x:v>
      </x:c>
      <x:c r="J2883" s="44" t="n">
        <x:v>5327</x:v>
      </x:c>
      <x:c r="K2883" s="44" t="n">
        <x:v>264.1218912167706</x:v>
      </x:c>
      <x:c r="L2883" s="44" t="n">
        <x:v>119.0057492709501</x:v>
      </x:c>
    </x:row>
    <x:row r="2884" ht="15" hidden="0" customHeight="1">
      <x:c r="A2884" s="27" t="str">
        <x:v>45033</x:v>
      </x:c>
      <x:c r="B2884" s="27" t="str">
        <x:v>SCA-29</x:v>
      </x:c>
      <x:c r="C2884" s="43" t="n">
        <x:v>27458</x:v>
      </x:c>
      <x:c r="D2884" s="43" t="n">
        <x:v>308.84807482459536</x:v>
      </x:c>
      <x:c r="E2884" s="43" t="n">
        <x:v>4586.747004538029</x:v>
      </x:c>
      <x:c r="F2884" s="43" t="n">
        <x:v>166.84070219826384</x:v>
      </x:c>
      <x:c r="G2884" s="43" t="n">
        <x:v>1716.0021782537665</x:v>
      </x:c>
      <x:c r="H2884" s="43" t="n">
        <x:v>20679.562040185345</x:v>
      </x:c>
      <x:c r="I2884" s="43" t="n">
        <x:v>27458</x:v>
      </x:c>
      <x:c r="J2884" s="43" t="n">
        <x:v>4793</x:v>
      </x:c>
      <x:c r="K2884" s="43" t="n">
        <x:v>284.57431850044134</x:v>
      </x:c>
      <x:c r="L2884" s="43" t="n">
        <x:v>117.7336163021775</x:v>
      </x:c>
    </x:row>
    <x:row r="2885" ht="15" hidden="0" customHeight="1">
      <x:c r="A2885" s="29" t="str">
        <x:v>51790</x:v>
      </x:c>
      <x:c r="B2885" s="29" t="str">
        <x:v>SCA-29</x:v>
      </x:c>
      <x:c r="C2885" s="44" t="n">
        <x:v>26801</x:v>
      </x:c>
      <x:c r="D2885" s="44" t="n">
        <x:v>274.35449322124026</x:v>
      </x:c>
      <x:c r="E2885" s="44" t="n">
        <x:v>3911.0979505413284</x:v>
      </x:c>
      <x:c r="F2885" s="44" t="n">
        <x:v>186.96295730008717</x:v>
      </x:c>
      <x:c r="G2885" s="44" t="n">
        <x:v>1031.1540090288042</x:v>
      </x:c>
      <x:c r="H2885" s="44" t="n">
        <x:v>21397.43058990854</x:v>
      </x:c>
      <x:c r="I2885" s="44" t="n">
        <x:v>26801</x:v>
      </x:c>
      <x:c r="J2885" s="44" t="n">
        <x:v>3805</x:v>
      </x:c>
      <x:c r="K2885" s="44" t="n">
        <x:v>298.35503591543875</x:v>
      </x:c>
      <x:c r="L2885" s="44" t="n">
        <x:v>111.39207861535156</x:v>
      </x:c>
    </x:row>
    <x:row r="2886" ht="15" hidden="0" customHeight="1">
      <x:c r="A2886" s="27" t="str">
        <x:v>37123</x:v>
      </x:c>
      <x:c r="B2886" s="27" t="str">
        <x:v>SCA-29</x:v>
      </x:c>
      <x:c r="C2886" s="43" t="n">
        <x:v>26403</x:v>
      </x:c>
      <x:c r="D2886" s="43" t="n">
        <x:v>321.74177391827857</x:v>
      </x:c>
      <x:c r="E2886" s="43" t="n">
        <x:v>4980.993852950458</x:v>
      </x:c>
      <x:c r="F2886" s="43" t="n">
        <x:v>139.25643293579628</x:v>
      </x:c>
      <x:c r="G2886" s="43" t="n">
        <x:v>660.4662354054907</x:v>
      </x:c>
      <x:c r="H2886" s="43" t="n">
        <x:v>20300.54170478998</x:v>
      </x:c>
      <x:c r="I2886" s="43" t="n">
        <x:v>26403</x:v>
      </x:c>
      <x:c r="J2886" s="43" t="n">
        <x:v>4982</x:v>
      </x:c>
      <x:c r="K2886" s="43" t="n">
        <x:v>253.45679631447243</x:v>
      </x:c>
      <x:c r="L2886" s="43" t="n">
        <x:v>114.20036337867614</x:v>
      </x:c>
    </x:row>
    <x:row r="2887" ht="15" hidden="0" customHeight="1">
      <x:c r="A2887" s="29" t="str">
        <x:v>51775</x:v>
      </x:c>
      <x:c r="B2887" s="29" t="str">
        <x:v>SCA-29</x:v>
      </x:c>
      <x:c r="C2887" s="44" t="n">
        <x:v>25816</x:v>
      </x:c>
      <x:c r="D2887" s="44" t="n">
        <x:v>237.88428060520275</x:v>
      </x:c>
      <x:c r="E2887" s="44" t="n">
        <x:v>3134.066970306591</x:v>
      </x:c>
      <x:c r="F2887" s="44" t="n">
        <x:v>180.09162738924113</x:v>
      </x:c>
      <x:c r="G2887" s="44" t="n">
        <x:v>847.7720085298141</x:v>
      </x:c>
      <x:c r="H2887" s="44" t="n">
        <x:v>21416.185113169155</x:v>
      </x:c>
      <x:c r="I2887" s="44" t="n">
        <x:v>25816</x:v>
      </x:c>
      <x:c r="J2887" s="44" t="n">
        <x:v>3143</x:v>
      </x:c>
      <x:c r="K2887" s="44" t="n">
        <x:v>287.38978423166924</x:v>
      </x:c>
      <x:c r="L2887" s="44" t="n">
        <x:v>107.29815684242811</x:v>
      </x:c>
    </x:row>
    <x:row r="2888" ht="15" hidden="0" customHeight="1">
      <x:c r="A2888" s="27" t="str">
        <x:v>45069</x:v>
      </x:c>
      <x:c r="B2888" s="27" t="str">
        <x:v>SCA-29</x:v>
      </x:c>
      <x:c r="C2888" s="43" t="n">
        <x:v>25488</x:v>
      </x:c>
      <x:c r="D2888" s="43" t="n">
        <x:v>315.7860065280004</x:v>
      </x:c>
      <x:c r="E2888" s="43" t="n">
        <x:v>4955.983178616886</x:v>
      </x:c>
      <x:c r="F2888" s="43" t="n">
        <x:v>154.87055931347328</x:v>
      </x:c>
      <x:c r="G2888" s="43" t="n">
        <x:v>1666.2809503606281</x:v>
      </x:c>
      <x:c r="H2888" s="43" t="n">
        <x:v>18395.079305181014</x:v>
      </x:c>
      <x:c r="I2888" s="43" t="n">
        <x:v>25488</x:v>
      </x:c>
      <x:c r="J2888" s="43" t="n">
        <x:v>4774</x:v>
      </x:c>
      <x:c r="K2888" s="43" t="n">
        <x:v>264.15726673243677</x:v>
      </x:c>
      <x:c r="L2888" s="43" t="n">
        <x:v>109.2867074189635</x:v>
      </x:c>
    </x:row>
    <x:row r="2889" ht="15" hidden="0" customHeight="1">
      <x:c r="A2889" s="29" t="str">
        <x:v>51167</x:v>
      </x:c>
      <x:c r="B2889" s="29" t="str">
        <x:v>SCA-29</x:v>
      </x:c>
      <x:c r="C2889" s="44" t="n">
        <x:v>25332</x:v>
      </x:c>
      <x:c r="D2889" s="44" t="n">
        <x:v>425.7668971458256</x:v>
      </x:c>
      <x:c r="E2889" s="44" t="n">
        <x:v>7691.528950341721</x:v>
      </x:c>
      <x:c r="F2889" s="44" t="n">
        <x:v>176.71525817416546</x:v>
      </x:c>
      <x:c r="G2889" s="44" t="n">
        <x:v>668.3361316319678</x:v>
      </x:c>
      <x:c r="H2889" s="44" t="n">
        <x:v>16369.652762706319</x:v>
      </x:c>
      <x:c r="I2889" s="44" t="n">
        <x:v>25332</x:v>
      </x:c>
      <x:c r="J2889" s="44" t="n">
        <x:v>8006</x:v>
      </x:c>
      <x:c r="K2889" s="44" t="n">
        <x:v>282.00178238908603</x:v>
      </x:c>
      <x:c r="L2889" s="44" t="n">
        <x:v>105.28652421492056</x:v>
      </x:c>
    </x:row>
    <x:row r="2890" ht="15" hidden="0" customHeight="1">
      <x:c r="A2890" s="27" t="str">
        <x:v>51820</x:v>
      </x:c>
      <x:c r="B2890" s="27" t="str">
        <x:v>SCA-29</x:v>
      </x:c>
      <x:c r="C2890" s="43" t="n">
        <x:v>23951</x:v>
      </x:c>
      <x:c r="D2890" s="43" t="n">
        <x:v>289.5781889532334</x:v>
      </x:c>
      <x:c r="E2890" s="43" t="n">
        <x:v>4560.7552260461825</x:v>
      </x:c>
      <x:c r="F2890" s="43" t="n">
        <x:v>167.08144436007566</x:v>
      </x:c>
      <x:c r="G2890" s="43" t="n">
        <x:v>691.4193134566044</x:v>
      </x:c>
      <x:c r="H2890" s="43" t="n">
        <x:v>18242.165827183904</x:v>
      </x:c>
      <x:c r="I2890" s="43" t="n">
        <x:v>23951</x:v>
      </x:c>
      <x:c r="J2890" s="43" t="n">
        <x:v>4484</x:v>
      </x:c>
      <x:c r="K2890" s="43" t="n">
        <x:v>266.6281655613848</x:v>
      </x:c>
      <x:c r="L2890" s="43" t="n">
        <x:v>99.54672120130911</x:v>
      </x:c>
    </x:row>
    <x:row r="2891" ht="15" hidden="0" customHeight="1">
      <x:c r="A2891" s="29" t="str">
        <x:v>51670</x:v>
      </x:c>
      <x:c r="B2891" s="29" t="str">
        <x:v>SCA-29</x:v>
      </x:c>
      <x:c r="C2891" s="44" t="n">
        <x:v>23261</x:v>
      </x:c>
      <x:c r="D2891" s="44" t="n">
        <x:v>264.9578557361114</x:v>
      </x:c>
      <x:c r="E2891" s="44" t="n">
        <x:v>4038.6949898094817</x:v>
      </x:c>
      <x:c r="F2891" s="44" t="n">
        <x:v>162.2680254377571</x:v>
      </x:c>
      <x:c r="G2891" s="44" t="n">
        <x:v>1339.7042091271599</x:v>
      </x:c>
      <x:c r="H2891" s="44" t="n">
        <x:v>17455.37491988949</x:v>
      </x:c>
      <x:c r="I2891" s="44" t="n">
        <x:v>23261</x:v>
      </x:c>
      <x:c r="J2891" s="44" t="n">
        <x:v>4082</x:v>
      </x:c>
      <x:c r="K2891" s="44" t="n">
        <x:v>258.94692326514013</x:v>
      </x:c>
      <x:c r="L2891" s="44" t="n">
        <x:v>96.67889782738304</x:v>
      </x:c>
    </x:row>
    <x:row r="2892" ht="15" hidden="0" customHeight="1">
      <x:c r="A2892" s="27" t="str">
        <x:v>51163</x:v>
      </x:c>
      <x:c r="B2892" s="27" t="str">
        <x:v>SCA-29</x:v>
      </x:c>
      <x:c r="C2892" s="43" t="n">
        <x:v>22663</x:v>
      </x:c>
      <x:c r="D2892" s="43" t="n">
        <x:v>270.59249817996306</x:v>
      </x:c>
      <x:c r="E2892" s="43" t="n">
        <x:v>4233.577134639582</x:v>
      </x:c>
      <x:c r="F2892" s="43" t="n">
        <x:v>158.09639570508102</x:v>
      </x:c>
      <x:c r="G2892" s="43" t="n">
        <x:v>455.45977889627903</x:v>
      </x:c>
      <x:c r="H2892" s="43" t="n">
        <x:v>17545.274192579094</x:v>
      </x:c>
      <x:c r="I2892" s="43" t="n">
        <x:v>22663</x:v>
      </x:c>
      <x:c r="J2892" s="43" t="n">
        <x:v>4330</x:v>
      </x:c>
      <x:c r="K2892" s="43" t="n">
        <x:v>252.28984660839478</x:v>
      </x:c>
      <x:c r="L2892" s="43" t="n">
        <x:v>94.19345090331377</x:v>
      </x:c>
    </x:row>
    <x:row r="2893" ht="15" hidden="0" customHeight="1">
      <x:c r="A2893" s="29" t="str">
        <x:v>37033</x:v>
      </x:c>
      <x:c r="B2893" s="29" t="str">
        <x:v>SCA-29</x:v>
      </x:c>
      <x:c r="C2893" s="44" t="n">
        <x:v>22563</x:v>
      </x:c>
      <x:c r="D2893" s="44" t="n">
        <x:v>268.7683860112168</x:v>
      </x:c>
      <x:c r="E2893" s="44" t="n">
        <x:v>4108.25033240867</x:v>
      </x:c>
      <x:c r="F2893" s="44" t="n">
        <x:v>119.00325327918691</x:v>
      </x:c>
      <x:c r="G2893" s="44" t="n">
        <x:v>686.3531430720767</x:v>
      </x:c>
      <x:c r="H2893" s="44" t="n">
        <x:v>17380.624885228848</x:v>
      </x:c>
      <x:c r="I2893" s="44" t="n">
        <x:v>22563</x:v>
      </x:c>
      <x:c r="J2893" s="44" t="n">
        <x:v>4034</x:v>
      </x:c>
      <x:c r="K2893" s="44" t="n">
        <x:v>216.59454210670916</x:v>
      </x:c>
      <x:c r="L2893" s="44" t="n">
        <x:v>97.59128882752225</x:v>
      </x:c>
    </x:row>
    <x:row r="2894" ht="15" hidden="0" customHeight="1">
      <x:c r="A2894" s="27" t="str">
        <x:v>51147</x:v>
      </x:c>
      <x:c r="B2894" s="27" t="str">
        <x:v>SCA-29</x:v>
      </x:c>
      <x:c r="C2894" s="43" t="n">
        <x:v>22391</x:v>
      </x:c>
      <x:c r="D2894" s="43" t="n">
        <x:v>219.59890417544813</x:v>
      </x:c>
      <x:c r="E2894" s="43" t="n">
        <x:v>3036.86298140802</x:v>
      </x:c>
      <x:c r="F2894" s="43" t="n">
        <x:v>156.1989320139641</x:v>
      </x:c>
      <x:c r="G2894" s="43" t="n">
        <x:v>661.2144529943124</x:v>
      </x:c>
      <x:c r="H2894" s="43" t="n">
        <x:v>18317.124729408253</x:v>
      </x:c>
      <x:c r="I2894" s="43" t="n">
        <x:v>22391</x:v>
      </x:c>
      <x:c r="J2894" s="43" t="n">
        <x:v>2956</x:v>
      </x:c>
      <x:c r="K2894" s="43" t="n">
        <x:v>249.26187863074472</x:v>
      </x:c>
      <x:c r="L2894" s="43" t="n">
        <x:v>93.06294661678061</x:v>
      </x:c>
    </x:row>
    <x:row r="2895" ht="15" hidden="0" customHeight="1">
      <x:c r="A2895" s="29" t="str">
        <x:v>51079</x:v>
      </x:c>
      <x:c r="B2895" s="29" t="str">
        <x:v>SCA-29</x:v>
      </x:c>
      <x:c r="C2895" s="44" t="n">
        <x:v>21958</x:v>
      </x:c>
      <x:c r="D2895" s="44" t="n">
        <x:v>219.27922939877232</x:v>
      </x:c>
      <x:c r="E2895" s="44" t="n">
        <x:v>3072.382700538583</x:v>
      </x:c>
      <x:c r="F2895" s="44" t="n">
        <x:v>153.1783372409729</x:v>
      </x:c>
      <x:c r="G2895" s="44" t="n">
        <x:v>369.88985272389306</x:v>
      </x:c>
      <x:c r="H2895" s="44" t="n">
        <x:v>18143.269880097778</x:v>
      </x:c>
      <x:c r="I2895" s="44" t="n">
        <x:v>21958</x:v>
      </x:c>
      <x:c r="J2895" s="44" t="n">
        <x:v>3058</x:v>
      </x:c>
      <x:c r="K2895" s="44" t="n">
        <x:v>244.4416207839709</x:v>
      </x:c>
      <x:c r="L2895" s="44" t="n">
        <x:v>91.26328354299801</x:v>
      </x:c>
    </x:row>
    <x:row r="2896" ht="15" hidden="0" customHeight="1">
      <x:c r="A2896" s="27" t="str">
        <x:v>37007</x:v>
      </x:c>
      <x:c r="B2896" s="27" t="str">
        <x:v>SCA-29</x:v>
      </x:c>
      <x:c r="C2896" s="43" t="n">
        <x:v>21758</x:v>
      </x:c>
      <x:c r="D2896" s="43" t="n">
        <x:v>283.39191858291855</x:v>
      </x:c>
      <x:c r="E2896" s="43" t="n">
        <x:v>4542.779520465004</x:v>
      </x:c>
      <x:c r="F2896" s="43" t="n">
        <x:v>114.75746952304873</x:v>
      </x:c>
      <x:c r="G2896" s="43" t="n">
        <x:v>1205.071445870671</x:v>
      </x:c>
      <x:c r="H2896" s="43" t="n">
        <x:v>15611.999645558359</x:v>
      </x:c>
      <x:c r="I2896" s="43" t="n">
        <x:v>21758</x:v>
      </x:c>
      <x:c r="J2896" s="43" t="n">
        <x:v>4490</x:v>
      </x:c>
      <x:c r="K2896" s="43" t="n">
        <x:v>208.8669080865921</x:v>
      </x:c>
      <x:c r="L2896" s="43" t="n">
        <x:v>94.10943856354338</x:v>
      </x:c>
    </x:row>
    <x:row r="2897" ht="15" hidden="0" customHeight="1">
      <x:c r="A2897" s="29" t="str">
        <x:v>37117</x:v>
      </x:c>
      <x:c r="B2897" s="29" t="str">
        <x:v>SCA-29</x:v>
      </x:c>
      <x:c r="C2897" s="44" t="n">
        <x:v>21601</x:v>
      </x:c>
      <x:c r="D2897" s="44" t="n">
        <x:v>263.77841205656966</x:v>
      </x:c>
      <x:c r="E2897" s="44" t="n">
        <x:v>4088.353018235951</x:v>
      </x:c>
      <x:c r="F2897" s="44" t="n">
        <x:v>113.92940983396339</x:v>
      </x:c>
      <x:c r="G2897" s="44" t="n">
        <x:v>1044.9054242649795</x:v>
      </x:c>
      <x:c r="H2897" s="44" t="n">
        <x:v>16090.033735608537</x:v>
      </x:c>
      <x:c r="I2897" s="44" t="n">
        <x:v>21601</x:v>
      </x:c>
      <x:c r="J2897" s="44" t="n">
        <x:v>4238</x:v>
      </x:c>
      <x:c r="K2897" s="44" t="n">
        <x:v>207.3597794640351</x:v>
      </x:c>
      <x:c r="L2897" s="44" t="n">
        <x:v>93.43036963007171</x:v>
      </x:c>
    </x:row>
    <x:row r="2898" ht="15" hidden="0" customHeight="1">
      <x:c r="A2898" s="27" t="str">
        <x:v>37079</x:v>
      </x:c>
      <x:c r="B2898" s="27" t="str">
        <x:v>SCA-29</x:v>
      </x:c>
      <x:c r="C2898" s="43" t="n">
        <x:v>20700</x:v>
      </x:c>
      <x:c r="D2898" s="43" t="n">
        <x:v>262.58249101582</x:v>
      </x:c>
      <x:c r="E2898" s="43" t="n">
        <x:v>4153.180764324145</x:v>
      </x:c>
      <x:c r="F2898" s="43" t="n">
        <x:v>109.17729658641001</x:v>
      </x:c>
      <x:c r="G2898" s="43" t="n">
        <x:v>528.7857618281657</x:v>
      </x:c>
      <x:c r="H2898" s="43" t="n">
        <x:v>15646.273686245459</x:v>
      </x:c>
      <x:c r="I2898" s="43" t="n">
        <x:v>20700</x:v>
      </x:c>
      <x:c r="J2898" s="43" t="n">
        <x:v>3768</x:v>
      </x:c>
      <x:c r="K2898" s="43" t="n">
        <x:v>198.710589088724</x:v>
      </x:c>
      <x:c r="L2898" s="43" t="n">
        <x:v>89.53329250231398</x:v>
      </x:c>
    </x:row>
    <x:row r="2899" ht="15" hidden="0" customHeight="1">
      <x:c r="A2899" s="29" t="str">
        <x:v>45039</x:v>
      </x:c>
      <x:c r="B2899" s="29" t="str">
        <x:v>SCA-29</x:v>
      </x:c>
      <x:c r="C2899" s="44" t="n">
        <x:v>20340</x:v>
      </x:c>
      <x:c r="D2899" s="44" t="n">
        <x:v>242.62090672087717</x:v>
      </x:c>
      <x:c r="E2899" s="44" t="n">
        <x:v>3729.7834666666663</x:v>
      </x:c>
      <x:c r="F2899" s="44" t="n">
        <x:v>123.59020623179717</x:v>
      </x:c>
      <x:c r="G2899" s="44" t="n">
        <x:v>616.0440987654321</x:v>
      </x:c>
      <x:c r="H2899" s="44" t="n">
        <x:v>15627.961321615227</x:v>
      </x:c>
      <x:c r="I2899" s="44" t="n">
        <x:v>20340</x:v>
      </x:c>
      <x:c r="J2899" s="44" t="n">
        <x:v>3868</x:v>
      </x:c>
      <x:c r="K2899" s="44" t="n">
        <x:v>210.8034685082299</x:v>
      </x:c>
      <x:c r="L2899" s="44" t="n">
        <x:v>87.21326227643274</x:v>
      </x:c>
    </x:row>
    <x:row r="2900" ht="15" hidden="0" customHeight="1">
      <x:c r="A2900" s="27" t="str">
        <x:v>54109</x:v>
      </x:c>
      <x:c r="B2900" s="27" t="str">
        <x:v>SCA-29</x:v>
      </x:c>
      <x:c r="C2900" s="43" t="n">
        <x:v>19801</x:v>
      </x:c>
      <x:c r="D2900" s="43" t="n">
        <x:v>357.3488822825122</x:v>
      </x:c>
      <x:c r="E2900" s="43" t="n">
        <x:v>5780.675372350768</x:v>
      </x:c>
      <x:c r="F2900" s="43" t="n">
        <x:v>231.50508470382766</x:v>
      </x:c>
      <x:c r="G2900" s="43" t="n">
        <x:v>642.3132412988527</x:v>
      </x:c>
      <x:c r="H2900" s="43" t="n">
        <x:v>12789.15741936404</x:v>
      </x:c>
      <x:c r="I2900" s="43" t="n">
        <x:v>19801</x:v>
      </x:c>
      <x:c r="J2900" s="43" t="n">
        <x:v>6256</x:v>
      </x:c>
      <x:c r="K2900" s="43" t="n">
        <x:v>347.9924931383911</x:v>
      </x:c>
      <x:c r="L2900" s="43" t="n">
        <x:v>116.48740843456349</x:v>
      </x:c>
    </x:row>
    <x:row r="2901" ht="15" hidden="0" customHeight="1">
      <x:c r="A2901" s="29" t="str">
        <x:v>51193</x:v>
      </x:c>
      <x:c r="B2901" s="29" t="str">
        <x:v>SCA-29</x:v>
      </x:c>
      <x:c r="C2901" s="44" t="n">
        <x:v>19715</x:v>
      </x:c>
      <x:c r="D2901" s="44" t="n">
        <x:v>220.29686703295786</x:v>
      </x:c>
      <x:c r="E2901" s="44" t="n">
        <x:v>3320.546102114381</x:v>
      </x:c>
      <x:c r="F2901" s="44" t="n">
        <x:v>137.5312377587112</x:v>
      </x:c>
      <x:c r="G2901" s="44" t="n">
        <x:v>859.1860978102976</x:v>
      </x:c>
      <x:c r="H2901" s="44" t="n">
        <x:v>15177.439695283652</x:v>
      </x:c>
      <x:c r="I2901" s="44" t="n">
        <x:v>19715</x:v>
      </x:c>
      <x:c r="J2901" s="44" t="n">
        <x:v>3261</x:v>
      </x:c>
      <x:c r="K2901" s="44" t="n">
        <x:v>219.47201720356983</x:v>
      </x:c>
      <x:c r="L2901" s="44" t="n">
        <x:v>81.94077944485863</x:v>
      </x:c>
    </x:row>
    <x:row r="2902" ht="15" hidden="0" customHeight="1">
      <x:c r="A2902" s="27" t="str">
        <x:v>51101</x:v>
      </x:c>
      <x:c r="B2902" s="27" t="str">
        <x:v>SCA-29</x:v>
      </x:c>
      <x:c r="C2902" s="43" t="n">
        <x:v>19617</x:v>
      </x:c>
      <x:c r="D2902" s="43" t="n">
        <x:v>181.9640338214986</x:v>
      </x:c>
      <x:c r="E2902" s="43" t="n">
        <x:v>2410.3336421052627</x:v>
      </x:c>
      <x:c r="F2902" s="43" t="n">
        <x:v>136.8475927523529</x:v>
      </x:c>
      <x:c r="G2902" s="43" t="n">
        <x:v>570.2950607287449</x:v>
      </x:c>
      <x:c r="H2902" s="43" t="n">
        <x:v>16317.55967059214</x:v>
      </x:c>
      <x:c r="I2902" s="43" t="n">
        <x:v>19617</x:v>
      </x:c>
      <x:c r="J2902" s="43" t="n">
        <x:v>2371</x:v>
      </x:c>
      <x:c r="K2902" s="43" t="n">
        <x:v>218.38105815279886</x:v>
      </x:c>
      <x:c r="L2902" s="43" t="n">
        <x:v>81.53346540044593</x:v>
      </x:c>
    </x:row>
    <x:row r="2903" ht="15" hidden="0" customHeight="1">
      <x:c r="A2903" s="29" t="str">
        <x:v>37091</x:v>
      </x:c>
      <x:c r="B2903" s="29" t="str">
        <x:v>SCA-29</x:v>
      </x:c>
      <x:c r="C2903" s="44" t="n">
        <x:v>19015</x:v>
      </x:c>
      <x:c r="D2903" s="44" t="n">
        <x:v>234.72163441452184</x:v>
      </x:c>
      <x:c r="E2903" s="44" t="n">
        <x:v>3659.434522259828</x:v>
      </x:c>
      <x:c r="F2903" s="44" t="n">
        <x:v>100.29015915896551</x:v>
      </x:c>
      <x:c r="G2903" s="44" t="n">
        <x:v>840.707237698516</x:v>
      </x:c>
      <x:c r="H2903" s="44" t="n">
        <x:v>14179.846446468167</x:v>
      </x:c>
      <x:c r="I2903" s="44" t="n">
        <x:v>19015</x:v>
      </x:c>
      <x:c r="J2903" s="44" t="n">
        <x:v>3850</x:v>
      </x:c>
      <x:c r="K2903" s="44" t="n">
        <x:v>182.53535514599452</x:v>
      </x:c>
      <x:c r="L2903" s="44" t="n">
        <x:v>82.245195987029</x:v>
      </x:c>
    </x:row>
    <x:row r="2904" ht="15" hidden="0" customHeight="1">
      <x:c r="A2904" s="27" t="str">
        <x:v>37185</x:v>
      </x:c>
      <x:c r="B2904" s="27" t="str">
        <x:v>SCA-29</x:v>
      </x:c>
      <x:c r="C2904" s="43" t="n">
        <x:v>18898</x:v>
      </x:c>
      <x:c r="D2904" s="43" t="n">
        <x:v>249.55945658132518</x:v>
      </x:c>
      <x:c r="E2904" s="43" t="n">
        <x:v>4027.687640028639</x:v>
      </x:c>
      <x:c r="F2904" s="43" t="n">
        <x:v>99.67307009130317</x:v>
      </x:c>
      <x:c r="G2904" s="43" t="n">
        <x:v>670.2400726992344</x:v>
      </x:c>
      <x:c r="H2904" s="43" t="n">
        <x:v>13850.839760599498</x:v>
      </x:c>
      <x:c r="I2904" s="43" t="n">
        <x:v>18898</x:v>
      </x:c>
      <x:c r="J2904" s="43" t="n">
        <x:v>4031</x:v>
      </x:c>
      <x:c r="K2904" s="43" t="n">
        <x:v>181.41220833810172</x:v>
      </x:c>
      <x:c r="L2904" s="43" t="n">
        <x:v>81.73913824679855</x:v>
      </x:c>
    </x:row>
    <x:row r="2905" ht="15" hidden="0" customHeight="1">
      <x:c r="A2905" s="29" t="str">
        <x:v>51570</x:v>
      </x:c>
      <x:c r="B2905" s="29" t="str">
        <x:v>SCA-29</x:v>
      </x:c>
      <x:c r="C2905" s="44" t="n">
        <x:v>18738</x:v>
      </x:c>
      <x:c r="D2905" s="44" t="n">
        <x:v>204.93425276400737</x:v>
      </x:c>
      <x:c r="E2905" s="44" t="n">
        <x:v>3049.2994791839446</x:v>
      </x:c>
      <x:c r="F2905" s="44" t="n">
        <x:v>130.71571560348622</x:v>
      </x:c>
      <x:c r="G2905" s="44" t="n">
        <x:v>533.1720019903798</x:v>
      </x:c>
      <x:c r="H2905" s="44" t="n">
        <x:v>14819.878550458181</x:v>
      </x:c>
      <x:c r="I2905" s="44" t="n">
        <x:v>18738</x:v>
      </x:c>
      <x:c r="J2905" s="44" t="n">
        <x:v>3066</x:v>
      </x:c>
      <x:c r="K2905" s="44" t="n">
        <x:v>208.5958234014959</x:v>
      </x:c>
      <x:c r="L2905" s="44" t="n">
        <x:v>77.88010779800969</x:v>
      </x:c>
    </x:row>
    <x:row r="2906" ht="15" hidden="0" customHeight="1">
      <x:c r="A2906" s="27" t="str">
        <x:v>47091</x:v>
      </x:c>
      <x:c r="B2906" s="27" t="str">
        <x:v>SCA-29</x:v>
      </x:c>
      <x:c r="C2906" s="43" t="n">
        <x:v>18718</x:v>
      </x:c>
      <x:c r="D2906" s="43" t="n">
        <x:v>229.17356653922855</x:v>
      </x:c>
      <x:c r="E2906" s="43" t="n">
        <x:v>3521.388727360541</x:v>
      </x:c>
      <x:c r="F2906" s="43" t="n">
        <x:v>119.89095383026934</x:v>
      </x:c>
      <x:c r="G2906" s="43" t="n">
        <x:v>389.95592851968127</x:v>
      </x:c>
      <x:c r="H2906" s="43" t="n">
        <x:v>14457.59082375028</x:v>
      </x:c>
      <x:c r="I2906" s="43" t="n">
        <x:v>18718</x:v>
      </x:c>
      <x:c r="J2906" s="43" t="n">
        <x:v>3246</x:v>
      </x:c>
      <x:c r="K2906" s="43" t="n">
        <x:v>202.33999006280868</x:v>
      </x:c>
      <x:c r="L2906" s="43" t="n">
        <x:v>82.44903623253934</x:v>
      </x:c>
    </x:row>
    <x:row r="2907" ht="15" hidden="0" customHeight="1">
      <x:c r="A2907" s="29" t="str">
        <x:v>37011</x:v>
      </x:c>
      <x:c r="B2907" s="29" t="str">
        <x:v>SCA-29</x:v>
      </x:c>
      <x:c r="C2907" s="44" t="n">
        <x:v>18110</x:v>
      </x:c>
      <x:c r="D2907" s="44" t="n">
        <x:v>206.42593969116666</x:v>
      </x:c>
      <x:c r="E2907" s="44" t="n">
        <x:v>3074.282926829268</x:v>
      </x:c>
      <x:c r="F2907" s="44" t="n">
        <x:v>95.51694884926981</x:v>
      </x:c>
      <x:c r="G2907" s="44" t="n">
        <x:v>428.87195121951225</x:v>
      </x:c>
      <x:c r="H2907" s="44" t="n">
        <x:v>14304.902233410783</x:v>
      </x:c>
      <x:c r="I2907" s="44" t="n">
        <x:v>18110</x:v>
      </x:c>
      <x:c r="J2907" s="44" t="n">
        <x:v>2842</x:v>
      </x:c>
      <x:c r="K2907" s="44" t="n">
        <x:v>173.84776658921697</x:v>
      </x:c>
      <x:c r="L2907" s="44" t="n">
        <x:v>78.33081773994716</x:v>
      </x:c>
    </x:row>
    <x:row r="2908" ht="15" hidden="0" customHeight="1">
      <x:c r="A2908" s="27" t="str">
        <x:v>51175</x:v>
      </x:c>
      <x:c r="B2908" s="27" t="str">
        <x:v>SCA-29</x:v>
      </x:c>
      <x:c r="C2908" s="43" t="n">
        <x:v>18110</x:v>
      </x:c>
      <x:c r="D2908" s="43" t="n">
        <x:v>217.28324535169378</x:v>
      </x:c>
      <x:c r="E2908" s="43" t="n">
        <x:v>3408.3185388127854</x:v>
      </x:c>
      <x:c r="F2908" s="43" t="n">
        <x:v>126.33480678723102</x:v>
      </x:c>
      <x:c r="G2908" s="43" t="n">
        <x:v>505.2872146118722</x:v>
      </x:c>
      <x:c r="H2908" s="43" t="n">
        <x:v>13852.776194436417</x:v>
      </x:c>
      <x:c r="I2908" s="43" t="n">
        <x:v>18110</x:v>
      </x:c>
      <x:c r="J2908" s="43" t="n">
        <x:v>3220</x:v>
      </x:c>
      <x:c r="K2908" s="43" t="n">
        <x:v>201.60477968839206</x:v>
      </x:c>
      <x:c r="L2908" s="43" t="n">
        <x:v>75.26997290116104</x:v>
      </x:c>
    </x:row>
    <x:row r="2909" ht="15" hidden="0" customHeight="1">
      <x:c r="A2909" s="29" t="str">
        <x:v>51141</x:v>
      </x:c>
      <x:c r="B2909" s="29" t="str">
        <x:v>SCA-29</x:v>
      </x:c>
      <x:c r="C2909" s="44" t="n">
        <x:v>17424</x:v>
      </x:c>
      <x:c r="D2909" s="44" t="n">
        <x:v>214.51031049413967</x:v>
      </x:c>
      <x:c r="E2909" s="44" t="n">
        <x:v>3410.1968616928193</x:v>
      </x:c>
      <x:c r="F2909" s="44" t="n">
        <x:v>121.549291742723</x:v>
      </x:c>
      <x:c r="G2909" s="44" t="n">
        <x:v>400.45172956892026</x:v>
      </x:c>
      <x:c r="H2909" s="44" t="n">
        <x:v>13277.291806501396</x:v>
      </x:c>
      <x:c r="I2909" s="44" t="n">
        <x:v>17424</x:v>
      </x:c>
      <x:c r="J2909" s="44" t="n">
        <x:v>3495</x:v>
      </x:c>
      <x:c r="K2909" s="44" t="n">
        <x:v>193.96806633299522</x:v>
      </x:c>
      <x:c r="L2909" s="44" t="n">
        <x:v>72.41877459027222</x:v>
      </x:c>
    </x:row>
    <x:row r="2910" ht="15" hidden="0" customHeight="1">
      <x:c r="A2910" s="27" t="str">
        <x:v>51750</x:v>
      </x:c>
      <x:c r="B2910" s="27" t="str">
        <x:v>SCA-29</x:v>
      </x:c>
      <x:c r="C2910" s="43" t="n">
        <x:v>17243</x:v>
      </x:c>
      <x:c r="D2910" s="43" t="n">
        <x:v>154.835171513974</x:v>
      </x:c>
      <x:c r="E2910" s="43" t="n">
        <x:v>1996.0483446272988</x:v>
      </x:c>
      <x:c r="F2910" s="43" t="n">
        <x:v>120.28664127179596</x:v>
      </x:c>
      <x:c r="G2910" s="43" t="n">
        <x:v>147.74201355275895</x:v>
      </x:c>
      <x:c r="H2910" s="43" t="n">
        <x:v>14824.087829034173</x:v>
      </x:c>
      <x:c r="I2910" s="43" t="n">
        <x:v>17243</x:v>
      </x:c>
      <x:c r="J2910" s="43" t="n">
        <x:v>1993</x:v>
      </x:c>
      <x:c r="K2910" s="43" t="n">
        <x:v>191.9531317596325</x:v>
      </x:c>
      <x:c r="L2910" s="43" t="n">
        <x:v>71.66649048783654</x:v>
      </x:c>
    </x:row>
    <x:row r="2911" ht="15" hidden="0" customHeight="1">
      <x:c r="A2911" s="29" t="str">
        <x:v>51011</x:v>
      </x:c>
      <x:c r="B2911" s="29" t="str">
        <x:v>SCA-29</x:v>
      </x:c>
      <x:c r="C2911" s="44" t="n">
        <x:v>17172</x:v>
      </x:c>
      <x:c r="D2911" s="44" t="n">
        <x:v>168.09751673581155</x:v>
      </x:c>
      <x:c r="E2911" s="44" t="n">
        <x:v>2321.42690680527</x:v>
      </x:c>
      <x:c r="F2911" s="44" t="n">
        <x:v>119.79134744065883</x:v>
      </x:c>
      <x:c r="G2911" s="44" t="n">
        <x:v>269.78266650549983</x:v>
      </x:c>
      <x:c r="H2911" s="44" t="n">
        <x:v>14292.901562512761</x:v>
      </x:c>
      <x:c r="I2911" s="44" t="n">
        <x:v>17172</x:v>
      </x:c>
      <x:c r="J2911" s="44" t="n">
        <x:v>2330</x:v>
      </x:c>
      <x:c r="K2911" s="44" t="n">
        <x:v>191.16274305958413</x:v>
      </x:c>
      <x:c r="L2911" s="44" t="n">
        <x:v>71.3713956189253</x:v>
      </x:c>
    </x:row>
    <x:row r="2912" ht="15" hidden="0" customHeight="1">
      <x:c r="A2912" s="27" t="str">
        <x:v>51029</x:v>
      </x:c>
      <x:c r="B2912" s="27" t="str">
        <x:v>SCA-29</x:v>
      </x:c>
      <x:c r="C2912" s="43" t="n">
        <x:v>17137</x:v>
      </x:c>
      <x:c r="D2912" s="43" t="n">
        <x:v>209.12549379023218</x:v>
      </x:c>
      <x:c r="E2912" s="43" t="n">
        <x:v>3309.589619349188</x:v>
      </x:c>
      <x:c r="F2912" s="43" t="n">
        <x:v>119.54718850981658</x:v>
      </x:c>
      <x:c r="G2912" s="43" t="n">
        <x:v>834.3755642390353</x:v>
      </x:c>
      <x:c r="H2912" s="43" t="n">
        <x:v>12664.362134111729</x:v>
      </x:c>
      <x:c r="I2912" s="43" t="n">
        <x:v>17137</x:v>
      </x:c>
      <x:c r="J2912" s="43" t="n">
        <x:v>2986</x:v>
      </x:c>
      <x:c r="K2912" s="43" t="n">
        <x:v>190.77311482716593</x:v>
      </x:c>
      <x:c r="L2912" s="43" t="n">
        <x:v>71.22592631734935</x:v>
      </x:c>
    </x:row>
    <x:row r="2913" ht="15" hidden="0" customHeight="1">
      <x:c r="A2913" s="29" t="str">
        <x:v>37015</x:v>
      </x:c>
      <x:c r="B2913" s="29" t="str">
        <x:v>SCA-29</x:v>
      </x:c>
      <x:c r="C2913" s="44" t="n">
        <x:v>17086</x:v>
      </x:c>
      <x:c r="D2913" s="44" t="n">
        <x:v>239.65672131847447</x:v>
      </x:c>
      <x:c r="E2913" s="44" t="n">
        <x:v>3978.1197630120405</x:v>
      </x:c>
      <x:c r="F2913" s="44" t="n">
        <x:v>90.11610094084065</x:v>
      </x:c>
      <x:c r="G2913" s="44" t="n">
        <x:v>604.8394597693826</x:v>
      </x:c>
      <x:c r="H2913" s="44" t="n">
        <x:v>12173.267954959263</x:v>
      </x:c>
      <x:c r="I2913" s="44" t="n">
        <x:v>17086</x:v>
      </x:c>
      <x:c r="J2913" s="44" t="n">
        <x:v>3807</x:v>
      </x:c>
      <x:c r="K2913" s="44" t="n">
        <x:v>164.01783213381344</x:v>
      </x:c>
      <x:c r="L2913" s="44" t="n">
        <x:v>73.90173119297279</x:v>
      </x:c>
    </x:row>
    <x:row r="2914" ht="15" hidden="0" customHeight="1">
      <x:c r="A2914" s="27" t="str">
        <x:v>54047</x:v>
      </x:c>
      <x:c r="B2914" s="27" t="str">
        <x:v>SCA-29</x:v>
      </x:c>
      <x:c r="C2914" s="43" t="n">
        <x:v>16878</x:v>
      </x:c>
      <x:c r="D2914" s="43" t="n">
        <x:v>300.6140156923273</x:v>
      </x:c>
      <x:c r="E2914" s="43" t="n">
        <x:v>4831.736148879605</x:v>
      </x:c>
      <x:c r="F2914" s="43" t="n">
        <x:v>197.33058025509837</x:v>
      </x:c>
      <x:c r="G2914" s="43" t="n">
        <x:v>891.984871502722</x:v>
      </x:c>
      <x:c r="H2914" s="43" t="n">
        <x:v>10656.334383670248</x:v>
      </x:c>
      <x:c r="I2914" s="43" t="n">
        <x:v>16878</x:v>
      </x:c>
      <x:c r="J2914" s="43" t="n">
        <x:v>4711</x:v>
      </x:c>
      <x:c r="K2914" s="43" t="n">
        <x:v>296.6222564107755</x:v>
      </x:c>
      <x:c r="L2914" s="43" t="n">
        <x:v>99.29167615567712</x:v>
      </x:c>
    </x:row>
    <x:row r="2915" ht="15" hidden="0" customHeight="1">
      <x:c r="A2915" s="29" t="str">
        <x:v>51071</x:v>
      </x:c>
      <x:c r="B2915" s="29" t="str">
        <x:v>SCA-29</x:v>
      </x:c>
      <x:c r="C2915" s="44" t="n">
        <x:v>16564</x:v>
      </x:c>
      <x:c r="D2915" s="44" t="n">
        <x:v>156.09342489705097</x:v>
      </x:c>
      <x:c r="E2915" s="44" t="n">
        <x:v>2093.976932634913</x:v>
      </x:c>
      <x:c r="F2915" s="44" t="n">
        <x:v>115.54995801345639</x:v>
      </x:c>
      <x:c r="G2915" s="44" t="n">
        <x:v>554.853453526617</x:v>
      </x:c>
      <x:c r="H2915" s="44" t="n">
        <x:v>13643.526230927964</x:v>
      </x:c>
      <x:c r="I2915" s="44" t="n">
        <x:v>16564</x:v>
      </x:c>
      <x:c r="J2915" s="44" t="n">
        <x:v>2162</x:v>
      </x:c>
      <x:c r="K2915" s="44" t="n">
        <x:v>184.3943440507193</x:v>
      </x:c>
      <x:c r="L2915" s="44" t="n">
        <x:v>68.84438603726291</x:v>
      </x:c>
    </x:row>
    <x:row r="2916" ht="15" hidden="0" customHeight="1">
      <x:c r="A2916" s="27" t="str">
        <x:v>37131</x:v>
      </x:c>
      <x:c r="B2916" s="27" t="str">
        <x:v>SCA-29</x:v>
      </x:c>
      <x:c r="C2916" s="43" t="n">
        <x:v>16491</x:v>
      </x:c>
      <x:c r="D2916" s="43" t="n">
        <x:v>223.68220062247192</x:v>
      </x:c>
      <x:c r="E2916" s="43" t="n">
        <x:v>3656.496262295082</x:v>
      </x:c>
      <x:c r="F2916" s="43" t="n">
        <x:v>86.9779129471733</x:v>
      </x:c>
      <x:c r="G2916" s="43" t="n">
        <x:v>650.6032786885245</x:v>
      </x:c>
      <x:c r="H2916" s="43" t="n">
        <x:v>11873.24034544675</x:v>
      </x:c>
      <x:c r="I2916" s="43" t="n">
        <x:v>16491</x:v>
      </x:c>
      <x:c r="J2916" s="43" t="n">
        <x:v>3804</x:v>
      </x:c>
      <x:c r="K2916" s="43" t="n">
        <x:v>158.30610264068343</x:v>
      </x:c>
      <x:c r="L2916" s="43" t="n">
        <x:v>71.32818969351014</x:v>
      </x:c>
    </x:row>
    <x:row r="2917" ht="15" hidden="0" customHeight="1">
      <x:c r="A2917" s="29" t="str">
        <x:v>51520</x:v>
      </x:c>
      <x:c r="B2917" s="29" t="str">
        <x:v>SCA-29</x:v>
      </x:c>
      <x:c r="C2917" s="44" t="n">
        <x:v>16418</x:v>
      </x:c>
      <x:c r="D2917" s="44" t="n">
        <x:v>212.40141752945982</x:v>
      </x:c>
      <x:c r="E2917" s="44" t="n">
        <x:v>3459.9323110333594</x:v>
      </x:c>
      <x:c r="F2917" s="44" t="n">
        <x:v>114.53146647337155</x:v>
      </x:c>
      <x:c r="G2917" s="44" t="n">
        <x:v>988.086384749955</x:v>
      </x:c>
      <x:c r="H2917" s="44" t="n">
        <x:v>11643.048420213856</x:v>
      </x:c>
      <x:c r="I2917" s="44" t="n">
        <x:v>16418</x:v>
      </x:c>
      <x:c r="J2917" s="44" t="n">
        <x:v>3639</x:v>
      </x:c>
      <x:c r="K2917" s="44" t="n">
        <x:v>182.76903770977475</x:v>
      </x:c>
      <x:c r="L2917" s="44" t="n">
        <x:v>68.2375712364032</x:v>
      </x:c>
    </x:row>
    <x:row r="2918" ht="15" hidden="0" customHeight="1">
      <x:c r="A2918" s="27" t="str">
        <x:v>51830</x:v>
      </x:c>
      <x:c r="B2918" s="27" t="str">
        <x:v>SCA-29</x:v>
      </x:c>
      <x:c r="C2918" s="43" t="n">
        <x:v>15861</x:v>
      </x:c>
      <x:c r="D2918" s="43" t="n">
        <x:v>125.79767874944939</x:v>
      </x:c>
      <x:c r="E2918" s="43" t="n">
        <x:v>1437.0035409836066</x:v>
      </x:c>
      <x:c r="F2918" s="43" t="n">
        <x:v>110.64585148825354</x:v>
      </x:c>
      <x:c r="G2918" s="43" t="n">
        <x:v>403.90883960141434</x:v>
      </x:c>
      <x:c r="H2918" s="43" t="n">
        <x:v>13783.644089177276</x:v>
      </x:c>
      <x:c r="I2918" s="43" t="n">
        <x:v>15861</x:v>
      </x:c>
      <x:c r="J2918" s="43" t="n">
        <x:v>1468</x:v>
      </x:c>
      <x:c r="K2918" s="43" t="n">
        <x:v>176.5683826967193</x:v>
      </x:c>
      <x:c r="L2918" s="43" t="n">
        <x:v>65.92253120846577</x:v>
      </x:c>
    </x:row>
    <x:row r="2919" ht="15" hidden="0" customHeight="1">
      <x:c r="A2919" s="29" t="str">
        <x:v>51135</x:v>
      </x:c>
      <x:c r="B2919" s="29" t="str">
        <x:v>SCA-29</x:v>
      </x:c>
      <x:c r="C2919" s="44" t="n">
        <x:v>15796</x:v>
      </x:c>
      <x:c r="D2919" s="44" t="n">
        <x:v>187.81985265439218</x:v>
      </x:c>
      <x:c r="E2919" s="44" t="n">
        <x:v>2932.0194892867626</x:v>
      </x:c>
      <x:c r="F2919" s="44" t="n">
        <x:v>110.19241347383223</x:v>
      </x:c>
      <x:c r="G2919" s="44" t="n">
        <x:v>580.7866157910184</x:v>
      </x:c>
      <x:c r="H2919" s="44" t="n">
        <x:v>11985.181628793995</x:v>
      </x:c>
      <x:c r="I2919" s="44" t="n">
        <x:v>15796</x:v>
      </x:c>
      <x:c r="J2919" s="44" t="n">
        <x:v>2635</x:v>
      </x:c>
      <x:c r="K2919" s="44" t="n">
        <x:v>175.84478740794265</x:v>
      </x:c>
      <x:c r="L2919" s="44" t="n">
        <x:v>65.65237393411041</x:v>
      </x:c>
    </x:row>
    <x:row r="2920" ht="15" hidden="0" customHeight="1">
      <x:c r="A2920" s="27" t="str">
        <x:v>51063</x:v>
      </x:c>
      <x:c r="B2920" s="27" t="str">
        <x:v>SCA-29</x:v>
      </x:c>
      <x:c r="C2920" s="43" t="n">
        <x:v>15789</x:v>
      </x:c>
      <x:c r="D2920" s="43" t="n">
        <x:v>149.60883770539112</x:v>
      </x:c>
      <x:c r="E2920" s="43" t="n">
        <x:v>2015.6533831583017</x:v>
      </x:c>
      <x:c r="F2920" s="43" t="n">
        <x:v>110.14358168766375</x:v>
      </x:c>
      <x:c r="G2920" s="43" t="n">
        <x:v>380.6212872881901</x:v>
      </x:c>
      <x:c r="H2920" s="43" t="n">
        <x:v>13132.972910160452</x:v>
      </x:c>
      <x:c r="I2920" s="43" t="n">
        <x:v>15789</x:v>
      </x:c>
      <x:c r="J2920" s="43" t="n">
        <x:v>2064</x:v>
      </x:c>
      <x:c r="K2920" s="43" t="n">
        <x:v>175.76686176145898</x:v>
      </x:c>
      <x:c r="L2920" s="43" t="n">
        <x:v>65.62328007379523</x:v>
      </x:c>
    </x:row>
    <x:row r="2921" ht="15" hidden="0" customHeight="1">
      <x:c r="A2921" s="29" t="str">
        <x:v>45061</x:v>
      </x:c>
      <x:c r="B2921" s="29" t="str">
        <x:v>SCA-29</x:v>
      </x:c>
      <x:c r="C2921" s="44" t="n">
        <x:v>15730</x:v>
      </x:c>
      <x:c r="D2921" s="44" t="n">
        <x:v>191.51011266415154</x:v>
      </x:c>
      <x:c r="E2921" s="44" t="n">
        <x:v>2977.523393487381</x:v>
      </x:c>
      <x:c r="F2921" s="44" t="n">
        <x:v>95.57885663845474</x:v>
      </x:c>
      <x:c r="G2921" s="44" t="n">
        <x:v>894.7467536791635</x:v>
      </x:c>
      <x:c r="H2921" s="44" t="n">
        <x:v>11570.64088353085</x:v>
      </x:c>
      <x:c r="I2921" s="44" t="n">
        <x:v>15730</x:v>
      </x:c>
      <x:c r="J2921" s="44" t="n">
        <x:v>2961</x:v>
      </x:c>
      <x:c r="K2921" s="44" t="n">
        <x:v>163.0254945739654</x:v>
      </x:c>
      <x:c r="L2921" s="44" t="n">
        <x:v>67.44663793551067</x:v>
      </x:c>
    </x:row>
    <x:row r="2922" ht="15" hidden="0" customHeight="1">
      <x:c r="A2922" s="27" t="str">
        <x:v>51025</x:v>
      </x:c>
      <x:c r="B2922" s="27" t="str">
        <x:v>SCA-29</x:v>
      </x:c>
      <x:c r="C2922" s="43" t="n">
        <x:v>15727</x:v>
      </x:c>
      <x:c r="D2922" s="43" t="n">
        <x:v>164.43581182922554</x:v>
      </x:c>
      <x:c r="E2922" s="43" t="n">
        <x:v>2377.6852855801862</x:v>
      </x:c>
      <x:c r="F2922" s="43" t="n">
        <x:v>109.71107158160036</x:v>
      </x:c>
      <x:c r="G2922" s="43" t="n">
        <x:v>608.7175969384072</x:v>
      </x:c>
      <x:c r="H2922" s="43" t="n">
        <x:v>12466.450234070582</x:v>
      </x:c>
      <x:c r="I2922" s="43" t="n">
        <x:v>15727</x:v>
      </x:c>
      <x:c r="J2922" s="43" t="n">
        <x:v>2181</x:v>
      </x:c>
      <x:c r="K2922" s="43" t="n">
        <x:v>175.07666317831817</x:v>
      </x:c>
      <x:c r="L2922" s="43" t="n">
        <x:v>65.3655915967178</x:v>
      </x:c>
    </x:row>
    <x:row r="2923" ht="15" hidden="0" customHeight="1">
      <x:c r="A2923" s="29" t="str">
        <x:v>51077</x:v>
      </x:c>
      <x:c r="B2923" s="29" t="str">
        <x:v>SCA-29</x:v>
      </x:c>
      <x:c r="C2923" s="44" t="n">
        <x:v>15230</x:v>
      </x:c>
      <x:c r="D2923" s="44" t="n">
        <x:v>195.4832282683185</x:v>
      </x:c>
      <x:c r="E2923" s="44" t="n">
        <x:v>3172.399218095504</x:v>
      </x:c>
      <x:c r="F2923" s="44" t="n">
        <x:v>106.24401476364045</x:v>
      </x:c>
      <x:c r="G2923" s="44" t="n">
        <x:v>335.916224518291</x:v>
      </x:c>
      <x:c r="H2923" s="44" t="n">
        <x:v>11419.957314354246</x:v>
      </x:c>
      <x:c r="I2923" s="44" t="n">
        <x:v>15230</x:v>
      </x:c>
      <x:c r="J2923" s="44" t="n">
        <x:v>3108</x:v>
      </x:c>
      <x:c r="K2923" s="44" t="n">
        <x:v>169.54394227797962</x:v>
      </x:c>
      <x:c r="L2923" s="44" t="n">
        <x:v>63.29992751433918</x:v>
      </x:c>
    </x:row>
    <x:row r="2924" ht="15" hidden="0" customHeight="1">
      <x:c r="A2924" s="27" t="str">
        <x:v>37121</x:v>
      </x:c>
      <x:c r="B2924" s="27" t="str">
        <x:v>SCA-29</x:v>
      </x:c>
      <x:c r="C2924" s="43" t="n">
        <x:v>15062</x:v>
      </x:c>
      <x:c r="D2924" s="43" t="n">
        <x:v>179.30912423564732</x:v>
      </x:c>
      <x:c r="E2924" s="43" t="n">
        <x:v>2739.882226096285</x:v>
      </x:c>
      <x:c r="F2924" s="43" t="n">
        <x:v>79.44098749683612</x:v>
      </x:c>
      <x:c r="G2924" s="43" t="n">
        <x:v>638.279468955344</x:v>
      </x:c>
      <x:c r="H2924" s="43" t="n">
        <x:v>11425.088193215886</x:v>
      </x:c>
      <x:c r="I2924" s="43" t="n">
        <x:v>15062</x:v>
      </x:c>
      <x:c r="J2924" s="43" t="n">
        <x:v>2826</x:v>
      </x:c>
      <x:c r="K2924" s="43" t="n">
        <x:v>144.58835231180487</x:v>
      </x:c>
      <x:c r="L2924" s="43" t="n">
        <x:v>65.14736481496875</x:v>
      </x:c>
    </x:row>
    <x:row r="2925" ht="15" hidden="0" customHeight="1">
      <x:c r="A2925" s="29" t="str">
        <x:v>51125</x:v>
      </x:c>
      <x:c r="B2925" s="29" t="str">
        <x:v>SCA-29</x:v>
      </x:c>
      <x:c r="C2925" s="44" t="n">
        <x:v>14920</x:v>
      </x:c>
      <x:c r="D2925" s="44" t="n">
        <x:v>147.53549166134187</x:v>
      </x:c>
      <x:c r="E2925" s="44" t="n">
        <x:v>2052.5761567773543</x:v>
      </x:c>
      <x:c r="F2925" s="44" t="n">
        <x:v>104.08146423332343</x:v>
      </x:c>
      <x:c r="G2925" s="44" t="n">
        <x:v>487.0315051714752</x:v>
      </x:c>
      <x:c r="H2925" s="44" t="n">
        <x:v>12128.775382156504</x:v>
      </x:c>
      <x:c r="I2925" s="44" t="n">
        <x:v>14920</x:v>
      </x:c>
      <x:c r="J2925" s="44" t="n">
        <x:v>2106</x:v>
      </x:c>
      <x:c r="K2925" s="44" t="n">
        <x:v>166.09294936227553</x:v>
      </x:c>
      <x:c r="L2925" s="44" t="n">
        <x:v>62.0114851289521</x:v>
      </x:c>
    </x:row>
    <x:row r="2926" ht="15" hidden="0" customHeight="1">
      <x:c r="A2926" s="27" t="str">
        <x:v>51005</x:v>
      </x:c>
      <x:c r="B2926" s="27" t="str">
        <x:v>SCA-29</x:v>
      </x:c>
      <x:c r="C2926" s="43" t="n">
        <x:v>14546</x:v>
      </x:c>
      <x:c r="D2926" s="43" t="n">
        <x:v>164.3698486924435</x:v>
      </x:c>
      <x:c r="E2926" s="43" t="n">
        <x:v>2493.9073669793875</x:v>
      </x:c>
      <x:c r="F2926" s="43" t="n">
        <x:v>101.4724516580377</x:v>
      </x:c>
      <x:c r="G2926" s="43" t="n">
        <x:v>522.0038690679997</x:v>
      </x:c>
      <x:c r="H2926" s="43" t="n">
        <x:v>11264.246463602132</x:v>
      </x:c>
      <x:c r="I2926" s="43" t="n">
        <x:v>14546</x:v>
      </x:c>
      <x:c r="J2926" s="43" t="n">
        <x:v>2608</x:v>
      </x:c>
      <x:c r="K2926" s="43" t="n">
        <x:v>161.92949339300668</x:v>
      </x:c>
      <x:c r="L2926" s="43" t="n">
        <x:v>60.45704173496899</x:v>
      </x:c>
    </x:row>
    <x:row r="2927" ht="15" hidden="0" customHeight="1">
      <x:c r="A2927" s="29" t="str">
        <x:v>45017</x:v>
      </x:c>
      <x:c r="B2927" s="29" t="str">
        <x:v>SCA-29</x:v>
      </x:c>
      <x:c r="C2927" s="44" t="n">
        <x:v>14188</x:v>
      </x:c>
      <x:c r="D2927" s="44" t="n">
        <x:v>160.17310480551276</x:v>
      </x:c>
      <x:c r="E2927" s="44" t="n">
        <x:v>2384.1170342962855</x:v>
      </x:c>
      <x:c r="F2927" s="44" t="n">
        <x:v>86.2093336291415</x:v>
      </x:c>
      <x:c r="G2927" s="44" t="n">
        <x:v>402.5809022342393</x:v>
      </x:c>
      <x:c r="H2927" s="44" t="n">
        <x:v>11154.919625034821</x:v>
      </x:c>
      <x:c r="I2927" s="44" t="n">
        <x:v>14188</x:v>
      </x:c>
      <x:c r="J2927" s="44" t="n">
        <x:v>2460</x:v>
      </x:c>
      <x:c r="K2927" s="44" t="n">
        <x:v>147.04422867230903</x:v>
      </x:c>
      <x:c r="L2927" s="44" t="n">
        <x:v>60.834895043167535</x:v>
      </x:c>
    </x:row>
    <x:row r="2928" ht="15" hidden="0" customHeight="1">
      <x:c r="A2928" s="27" t="str">
        <x:v>37041</x:v>
      </x:c>
      <x:c r="B2928" s="27" t="str">
        <x:v>SCA-29</x:v>
      </x:c>
      <x:c r="C2928" s="43" t="n">
        <x:v>14082</x:v>
      </x:c>
      <x:c r="D2928" s="43" t="n">
        <x:v>152.21663024269705</x:v>
      </x:c>
      <x:c r="E2928" s="43" t="n">
        <x:v>2191.3929518912964</x:v>
      </x:c>
      <x:c r="F2928" s="43" t="n">
        <x:v>74.27220727197226</x:v>
      </x:c>
      <x:c r="G2928" s="43" t="n">
        <x:v>682.8879911861917</x:v>
      </x:c>
      <x:c r="H2928" s="43" t="n">
        <x:v>10981.230219407842</x:v>
      </x:c>
      <x:c r="I2928" s="43" t="n">
        <x:v>14082</x:v>
      </x:c>
      <x:c r="J2928" s="43" t="n">
        <x:v>2207</x:v>
      </x:c>
      <x:c r="K2928" s="43" t="n">
        <x:v>135.18079785253195</x:v>
      </x:c>
      <x:c r="L2928" s="43" t="n">
        <x:v>60.90859058055969</x:v>
      </x:c>
    </x:row>
    <x:row r="2929" ht="15" hidden="0" customHeight="1">
      <x:c r="A2929" s="29" t="str">
        <x:v>51690</x:v>
      </x:c>
      <x:c r="B2929" s="29" t="str">
        <x:v>SCA-29</x:v>
      </x:c>
      <x:c r="C2929" s="44" t="n">
        <x:v>13849</x:v>
      </x:c>
      <x:c r="D2929" s="44" t="n">
        <x:v>155.72866270670778</x:v>
      </x:c>
      <x:c r="E2929" s="44" t="n">
        <x:v>2356.0449169435215</x:v>
      </x:c>
      <x:c r="F2929" s="44" t="n">
        <x:v>96.61020094955067</x:v>
      </x:c>
      <x:c r="G2929" s="44" t="n">
        <x:v>545.9196239806705</x:v>
      </x:c>
      <x:c r="H2929" s="44" t="n">
        <x:v>10694.69659541955</x:v>
      </x:c>
      <x:c r="I2929" s="44" t="n">
        <x:v>13849</x:v>
      </x:c>
      <x:c r="J2929" s="44" t="n">
        <x:v>2347</x:v>
      </x:c>
      <x:c r="K2929" s="44" t="n">
        <x:v>154.1703254502784</x:v>
      </x:c>
      <x:c r="L2929" s="44" t="n">
        <x:v>57.560124500727724</x:v>
      </x:c>
    </x:row>
    <x:row r="2930" ht="15" hidden="0" customHeight="1">
      <x:c r="A2930" s="27" t="str">
        <x:v>51007</x:v>
      </x:c>
      <x:c r="B2930" s="27" t="str">
        <x:v>SCA-29</x:v>
      </x:c>
      <x:c r="C2930" s="43" t="n">
        <x:v>13632</x:v>
      </x:c>
      <x:c r="D2930" s="43" t="n">
        <x:v>150.15811748913723</x:v>
      </x:c>
      <x:c r="E2930" s="43" t="n">
        <x:v>2243.997663796331</x:v>
      </x:c>
      <x:c r="F2930" s="43" t="n">
        <x:v>95.09641557832873</x:v>
      </x:c>
      <x:c r="G2930" s="43" t="n">
        <x:v>142.5069262448521</x:v>
      </x:c>
      <x:c r="H2930" s="43" t="n">
        <x:v>11000.24087689135</x:v>
      </x:c>
      <x:c r="I2930" s="43" t="n">
        <x:v>13632</x:v>
      </x:c>
      <x:c r="J2930" s="43" t="n">
        <x:v>2290</x:v>
      </x:c>
      <x:c r="K2930" s="43" t="n">
        <x:v>151.7546304092855</x:v>
      </x:c>
      <x:c r="L2930" s="43" t="n">
        <x:v>56.65821483095677</x:v>
      </x:c>
    </x:row>
    <x:row r="2931" ht="15" hidden="0" customHeight="1">
      <x:c r="A2931" s="29" t="str">
        <x:v>37143</x:v>
      </x:c>
      <x:c r="B2931" s="29" t="str">
        <x:v>SCA-29</x:v>
      </x:c>
      <x:c r="C2931" s="44" t="n">
        <x:v>13490</x:v>
      </x:c>
      <x:c r="D2931" s="44" t="n">
        <x:v>169.73165977033656</x:v>
      </x:c>
      <x:c r="E2931" s="44" t="n">
        <x:v>2673.207236393914</x:v>
      </x:c>
      <x:c r="F2931" s="44" t="n">
        <x:v>71.14984207491163</x:v>
      </x:c>
      <x:c r="G2931" s="44" t="n">
        <x:v>399.17129664673377</x:v>
      </x:c>
      <x:c r="H2931" s="44" t="n">
        <x:v>10176.739965114104</x:v>
      </x:c>
      <x:c r="I2931" s="44" t="n">
        <x:v>13490</x:v>
      </x:c>
      <x:c r="J2931" s="44" t="n">
        <x:v>2727</x:v>
      </x:c>
      <x:c r="K2931" s="44" t="n">
        <x:v>129.49786699550177</x:v>
      </x:c>
      <x:c r="L2931" s="44" t="n">
        <x:v>58.348024920590134</x:v>
      </x:c>
    </x:row>
    <x:row r="2932" ht="15" hidden="0" customHeight="1">
      <x:c r="A2932" s="27" t="str">
        <x:v>51735</x:v>
      </x:c>
      <x:c r="B2932" s="27" t="str">
        <x:v>SCA-29</x:v>
      </x:c>
      <x:c r="C2932" s="43" t="n">
        <x:v>13292</x:v>
      </x:c>
      <x:c r="D2932" s="43" t="n">
        <x:v>118.27864998393001</x:v>
      </x:c>
      <x:c r="E2932" s="43" t="n">
        <x:v>1512.805572267353</x:v>
      </x:c>
      <x:c r="F2932" s="43" t="n">
        <x:v>92.72458596443263</x:v>
      </x:c>
      <x:c r="G2932" s="43" t="n">
        <x:v>68.75267433443256</x:v>
      </x:c>
      <x:c r="H2932" s="43" t="n">
        <x:v>11499.438517449851</x:v>
      </x:c>
      <x:c r="I2932" s="43" t="n">
        <x:v>13292</x:v>
      </x:c>
      <x:c r="J2932" s="43" t="n">
        <x:v>1474</x:v>
      </x:c>
      <x:c r="K2932" s="43" t="n">
        <x:v>147.96967043722293</x:v>
      </x:c>
      <x:c r="L2932" s="43" t="n">
        <x:v>55.2450844727903</x:v>
      </x:c>
    </x:row>
    <x:row r="2933" ht="15" hidden="0" customHeight="1">
      <x:c r="A2933" s="29" t="str">
        <x:v>37137</x:v>
      </x:c>
      <x:c r="B2933" s="29" t="str">
        <x:v>SCA-29</x:v>
      </x:c>
      <x:c r="C2933" s="44" t="n">
        <x:v>12758</x:v>
      </x:c>
      <x:c r="D2933" s="44" t="n">
        <x:v>163.36379142930568</x:v>
      </x:c>
      <x:c r="E2933" s="44" t="n">
        <x:v>2596.364912280702</x:v>
      </x:c>
      <x:c r="F2933" s="44" t="n">
        <x:v>67.28907970287048</x:v>
      </x:c>
      <x:c r="G2933" s="44" t="n">
        <x:v>185.9707602339181</x:v>
      </x:c>
      <x:c r="H2933" s="44" t="n">
        <x:v>9745.011456353204</x:v>
      </x:c>
      <x:c r="I2933" s="44" t="n">
        <x:v>12758</x:v>
      </x:c>
      <x:c r="J2933" s="44" t="n">
        <x:v>2465</x:v>
      </x:c>
      <x:c r="K2933" s="44" t="n">
        <x:v>122.4709997871469</x:v>
      </x:c>
      <x:c r="L2933" s="44" t="n">
        <x:v>55.18192008427642</x:v>
      </x:c>
    </x:row>
    <x:row r="2934" ht="15" hidden="0" customHeight="1">
      <x:c r="A2934" s="27" t="str">
        <x:v>51133</x:v>
      </x:c>
      <x:c r="B2934" s="27" t="str">
        <x:v>SCA-29</x:v>
      </x:c>
      <x:c r="C2934" s="43" t="n">
        <x:v>12557</x:v>
      </x:c>
      <x:c r="D2934" s="43" t="n">
        <x:v>133.8655062481289</x:v>
      </x:c>
      <x:c r="E2934" s="43" t="n">
        <x:v>1960.2066506024096</x:v>
      </x:c>
      <x:c r="F2934" s="43" t="n">
        <x:v>87.59724841674544</x:v>
      </x:c>
      <x:c r="G2934" s="43" t="n">
        <x:v>330.76942251765684</x:v>
      </x:c>
      <x:c r="H2934" s="43" t="n">
        <x:v>10044.561172215059</x:v>
      </x:c>
      <x:c r="I2934" s="43" t="n">
        <x:v>12557</x:v>
      </x:c>
      <x:c r="J2934" s="43" t="n">
        <x:v>1957</x:v>
      </x:c>
      <x:c r="K2934" s="43" t="n">
        <x:v>139.7874775564406</x:v>
      </x:c>
      <x:c r="L2934" s="43" t="n">
        <x:v>52.19022913969515</x:v>
      </x:c>
    </x:row>
    <x:row r="2935" ht="15" hidden="0" customHeight="1">
      <x:c r="A2935" s="29" t="str">
        <x:v>54063</x:v>
      </x:c>
      <x:c r="B2935" s="29" t="str">
        <x:v>SCA-29</x:v>
      </x:c>
      <x:c r="C2935" s="44" t="n">
        <x:v>12491</x:v>
      </x:c>
      <x:c r="D2935" s="44" t="n">
        <x:v>163.11748448053783</x:v>
      </x:c>
      <x:c r="E2935" s="44" t="n">
        <x:v>2151.218736156352</x:v>
      </x:c>
      <x:c r="F2935" s="44" t="n">
        <x:v>146.0395946182269</x:v>
      </x:c>
      <x:c r="G2935" s="44" t="n">
        <x:v>343.8324918566775</x:v>
      </x:c>
      <x:c r="H2935" s="44" t="n">
        <x:v>9686.791692888208</x:v>
      </x:c>
      <x:c r="I2935" s="44" t="n">
        <x:v>12491</x:v>
      </x:c>
      <x:c r="J2935" s="44" t="n">
        <x:v>2203</x:v>
      </x:c>
      <x:c r="K2935" s="44" t="n">
        <x:v>219.52296509225005</x:v>
      </x:c>
      <x:c r="L2935" s="44" t="n">
        <x:v>73.48337047402316</x:v>
      </x:c>
    </x:row>
    <x:row r="2936" ht="15" hidden="0" customHeight="1">
      <x:c r="A2936" s="27" t="str">
        <x:v>51111</x:v>
      </x:c>
      <x:c r="B2936" s="27" t="str">
        <x:v>SCA-29</x:v>
      </x:c>
      <x:c r="C2936" s="43" t="n">
        <x:v>12058</x:v>
      </x:c>
      <x:c r="D2936" s="43" t="n">
        <x:v>167.01192419457388</x:v>
      </x:c>
      <x:c r="E2936" s="43" t="n">
        <x:v>2805.496120050623</x:v>
      </x:c>
      <x:c r="F2936" s="43" t="n">
        <x:v>84.11623965988026</x:v>
      </x:c>
      <x:c r="G2936" s="43" t="n">
        <x:v>726.1967546555777</x:v>
      </x:c>
      <x:c r="H2936" s="43" t="n">
        <x:v>8275.178961439346</x:v>
      </x:c>
      <x:c r="I2936" s="43" t="n">
        <x:v>12058</x:v>
      </x:c>
      <x:c r="J2936" s="43" t="n">
        <x:v>2681</x:v>
      </x:c>
      <x:c r="K2936" s="43" t="n">
        <x:v>134.23249218567815</x:v>
      </x:c>
      <x:c r="L2936" s="43" t="n">
        <x:v>50.11625252579789</x:v>
      </x:c>
    </x:row>
    <x:row r="2937" ht="15" hidden="0" customHeight="1">
      <x:c r="A2937" s="29" t="str">
        <x:v>51131</x:v>
      </x:c>
      <x:c r="B2937" s="29" t="str">
        <x:v>SCA-29</x:v>
      </x:c>
      <x:c r="C2937" s="44" t="n">
        <x:v>11879</x:v>
      </x:c>
      <x:c r="D2937" s="44" t="n">
        <x:v>140.44360596973527</x:v>
      </x:c>
      <x:c r="E2937" s="44" t="n">
        <x:v>2185.711800356506</x:v>
      </x:c>
      <x:c r="F2937" s="44" t="n">
        <x:v>82.86754112785849</x:v>
      </x:c>
      <x:c r="G2937" s="44" t="n">
        <x:v>632.9266615737205</x:v>
      </x:c>
      <x:c r="H2937" s="44" t="n">
        <x:v>8837.05039097218</x:v>
      </x:c>
      <x:c r="I2937" s="44" t="n">
        <x:v>11879</x:v>
      </x:c>
      <x:c r="J2937" s="44" t="n">
        <x:v>2258</x:v>
      </x:c>
      <x:c r="K2937" s="44" t="n">
        <x:v>132.23982208273932</x:v>
      </x:c>
      <x:c r="L2937" s="44" t="n">
        <x:v>49.372280954880836</x:v>
      </x:c>
    </x:row>
    <x:row r="2938" ht="15" hidden="0" customHeight="1">
      <x:c r="A2938" s="27" t="str">
        <x:v>54089</x:v>
      </x:c>
      <x:c r="B2938" s="27" t="str">
        <x:v>SCA-29</x:v>
      </x:c>
      <x:c r="C2938" s="43" t="n">
        <x:v>11532</x:v>
      </x:c>
      <x:c r="D2938" s="43" t="n">
        <x:v>194.87798981854368</x:v>
      </x:c>
      <x:c r="E2938" s="43" t="n">
        <x:v>3048.871813338232</x:v>
      </x:c>
      <x:c r="F2938" s="43" t="n">
        <x:v>134.82736411315287</x:v>
      </x:c>
      <x:c r="G2938" s="43" t="n">
        <x:v>617.7218445710088</x:v>
      </x:c>
      <x:c r="H2938" s="43" t="n">
        <x:v>7535.700988159062</x:v>
      </x:c>
      <x:c r="I2938" s="43" t="n">
        <x:v>11532</x:v>
      </x:c>
      <x:c r="J2938" s="43" t="n">
        <x:v>2998</x:v>
      </x:c>
      <x:c r="K2938" s="43" t="n">
        <x:v>202.66902837593688</x:v>
      </x:c>
      <x:c r="L2938" s="43" t="n">
        <x:v>67.84166426278401</x:v>
      </x:c>
    </x:row>
    <x:row r="2939" ht="15" hidden="0" customHeight="1">
      <x:c r="A2939" s="29" t="str">
        <x:v>37005</x:v>
      </x:c>
      <x:c r="B2939" s="29" t="str">
        <x:v>SCA-29</x:v>
      </x:c>
      <x:c r="C2939" s="44" t="n">
        <x:v>11479</x:v>
      </x:c>
      <x:c r="D2939" s="44" t="n">
        <x:v>126.41835517713949</x:v>
      </x:c>
      <x:c r="E2939" s="44" t="n">
        <x:v>1842.4432319220005</x:v>
      </x:c>
      <x:c r="F2939" s="44" t="n">
        <x:v>60.54329408286958</x:v>
      </x:c>
      <x:c r="G2939" s="44" t="n">
        <x:v>374.7630224790106</x:v>
      </x:c>
      <x:c r="H2939" s="44" t="n">
        <x:v>9074.83209633898</x:v>
      </x:c>
      <x:c r="I2939" s="44" t="n">
        <x:v>11479</x:v>
      </x:c>
      <x:c r="J2939" s="44" t="n">
        <x:v>1852</x:v>
      </x:c>
      <x:c r="K2939" s="44" t="n">
        <x:v>110.19318126325906</x:v>
      </x:c>
      <x:c r="L2939" s="44" t="n">
        <x:v>49.649887180389484</x:v>
      </x:c>
    </x:row>
    <x:row r="2940" ht="15" hidden="0" customHeight="1">
      <x:c r="A2940" s="27" t="str">
        <x:v>51037</x:v>
      </x:c>
      <x:c r="B2940" s="27" t="str">
        <x:v>SCA-29</x:v>
      </x:c>
      <x:c r="C2940" s="43" t="n">
        <x:v>11401</x:v>
      </x:c>
      <x:c r="D2940" s="43" t="n">
        <x:v>144.7183491615282</x:v>
      </x:c>
      <x:c r="E2940" s="43" t="n">
        <x:v>2335.9863177503767</x:v>
      </x:c>
      <x:c r="F2940" s="43" t="n">
        <x:v>79.53302772949868</x:v>
      </x:c>
      <x:c r="G2940" s="43" t="n">
        <x:v>477.447795617848</x:v>
      </x:c>
      <x:c r="H2940" s="43" t="n">
        <x:v>8363.314509740749</x:v>
      </x:c>
      <x:c r="I2940" s="43" t="n">
        <x:v>11401</x:v>
      </x:c>
      <x:c r="J2940" s="43" t="n">
        <x:v>2406</x:v>
      </x:c>
      <x:c r="K2940" s="43" t="n">
        <x:v>126.91861365142783</x:v>
      </x:c>
      <x:c r="L2940" s="43" t="n">
        <x:v>47.38558592192915</x:v>
      </x:c>
    </x:row>
    <x:row r="2941" ht="15" hidden="0" customHeight="1">
      <x:c r="A2941" s="29" t="str">
        <x:v>37029</x:v>
      </x:c>
      <x:c r="B2941" s="29" t="str">
        <x:v>SCA-29</x:v>
      </x:c>
      <x:c r="C2941" s="44" t="n">
        <x:v>11315</x:v>
      </x:c>
      <x:c r="D2941" s="44" t="n">
        <x:v>107.47145273199044</x:v>
      </x:c>
      <x:c r="E2941" s="44" t="n">
        <x:v>1404.7418746533554</x:v>
      </x:c>
      <x:c r="F2941" s="44" t="n">
        <x:v>59.678314535035234</x:v>
      </x:c>
      <x:c r="G2941" s="44" t="n">
        <x:v>54.85274542429285</x:v>
      </x:c>
      <x:c r="H2941" s="44" t="n">
        <x:v>9688.255612655326</x:v>
      </x:c>
      <x:c r="I2941" s="44" t="n">
        <x:v>11315</x:v>
      </x:c>
      <x:c r="J2941" s="44" t="n">
        <x:v>1399</x:v>
      </x:c>
      <x:c r="K2941" s="44" t="n">
        <x:v>108.61885582313585</x:v>
      </x:c>
      <x:c r="L2941" s="44" t="n">
        <x:v>48.94054128810062</x:v>
      </x:c>
    </x:row>
    <x:row r="2942" ht="15" hidden="0" customHeight="1">
      <x:c r="A2942" s="27" t="str">
        <x:v>51081</x:v>
      </x:c>
      <x:c r="B2942" s="27" t="str">
        <x:v>SCA-29</x:v>
      </x:c>
      <x:c r="C2942" s="43" t="n">
        <x:v>11181</x:v>
      </x:c>
      <x:c r="D2942" s="43" t="n">
        <x:v>107.88210797584281</x:v>
      </x:c>
      <x:c r="E2942" s="43" t="n">
        <x:v>1473.8616125031008</x:v>
      </x:c>
      <x:c r="F2942" s="43" t="n">
        <x:v>77.99831444991884</x:v>
      </x:c>
      <x:c r="G2942" s="43" t="n">
        <x:v>230.3380054577028</x:v>
      </x:c>
      <x:c r="H2942" s="43" t="n">
        <x:v>9290.919959613435</x:v>
      </x:c>
      <x:c r="I2942" s="43" t="n">
        <x:v>11181</x:v>
      </x:c>
      <x:c r="J2942" s="43" t="n">
        <x:v>1107</x:v>
      </x:c>
      <x:c r="K2942" s="43" t="n">
        <x:v>124.4695219047991</x:v>
      </x:c>
      <x:c r="L2942" s="43" t="n">
        <x:v>46.47120745488026</x:v>
      </x:c>
    </x:row>
    <x:row r="2943" ht="15" hidden="0" customHeight="1">
      <x:c r="A2943" s="29" t="str">
        <x:v>51103</x:v>
      </x:c>
      <x:c r="B2943" s="29" t="str">
        <x:v>SCA-29</x:v>
      </x:c>
      <x:c r="C2943" s="44" t="n">
        <x:v>10995</x:v>
      </x:c>
      <x:c r="D2943" s="44" t="n">
        <x:v>126.93954783433217</x:v>
      </x:c>
      <x:c r="E2943" s="44" t="n">
        <x:v>1949.7937394564199</x:v>
      </x:c>
      <x:c r="F2943" s="44" t="n">
        <x:v>76.70078413172861</x:v>
      </x:c>
      <x:c r="G2943" s="44" t="n">
        <x:v>254.3662605435801</x:v>
      </x:c>
      <x:c r="H2943" s="44" t="n">
        <x:v>8587.19966803394</x:v>
      </x:c>
      <x:c r="I2943" s="44" t="n">
        <x:v>10995</x:v>
      </x:c>
      <x:c r="J2943" s="44" t="n">
        <x:v>1971</x:v>
      </x:c>
      <x:c r="K2943" s="44" t="n">
        <x:v>122.39892615537663</x:v>
      </x:c>
      <x:c r="L2943" s="44" t="n">
        <x:v>45.69814202364802</x:v>
      </x:c>
    </x:row>
    <x:row r="2944" ht="15" hidden="0" customHeight="1">
      <x:c r="A2944" s="27" t="str">
        <x:v>51119</x:v>
      </x:c>
      <x:c r="B2944" s="27" t="str">
        <x:v>SCA-29</x:v>
      </x:c>
      <x:c r="C2944" s="43" t="n">
        <x:v>10841</x:v>
      </x:c>
      <x:c r="D2944" s="43" t="n">
        <x:v>125.93276150736017</x:v>
      </x:c>
      <x:c r="E2944" s="43" t="n">
        <x:v>1940.9924258555134</x:v>
      </x:c>
      <x:c r="F2944" s="43" t="n">
        <x:v>75.62648483602274</x:v>
      </x:c>
      <x:c r="G2944" s="43" t="n">
        <x:v>138.29467680608366</x:v>
      </x:c>
      <x:c r="H2944" s="43" t="n">
        <x:v>8560.15365099502</x:v>
      </x:c>
      <x:c r="I2944" s="43" t="n">
        <x:v>10841</x:v>
      </x:c>
      <x:c r="J2944" s="43" t="n">
        <x:v>1962</x:v>
      </x:c>
      <x:c r="K2944" s="43" t="n">
        <x:v>120.68456193273653</x:v>
      </x:c>
      <x:c r="L2944" s="43" t="n">
        <x:v>45.05807709671379</x:v>
      </x:c>
    </x:row>
    <x:row r="2945" ht="15" hidden="0" customHeight="1">
      <x:c r="A2945" s="29" t="str">
        <x:v>51183</x:v>
      </x:c>
      <x:c r="B2945" s="29" t="str">
        <x:v>SCA-29</x:v>
      </x:c>
      <x:c r="C2945" s="44" t="n">
        <x:v>10755</x:v>
      </x:c>
      <x:c r="D2945" s="44" t="n">
        <x:v>120.29788775025372</x:v>
      </x:c>
      <x:c r="E2945" s="44" t="n">
        <x:v>1814.3339882121807</x:v>
      </x:c>
      <x:c r="F2945" s="44" t="n">
        <x:v>75.02655146309607</x:v>
      </x:c>
      <x:c r="G2945" s="44" t="n">
        <x:v>480.5518445754202</x:v>
      </x:c>
      <x:c r="H2945" s="44" t="n">
        <x:v>8264.78972799905</x:v>
      </x:c>
      <x:c r="I2945" s="44" t="n">
        <x:v>10755</x:v>
      </x:c>
      <x:c r="J2945" s="44" t="n">
        <x:v>1610</x:v>
      </x:c>
      <x:c r="K2945" s="44" t="n">
        <x:v>119.72718970450893</x:v>
      </x:c>
      <x:c r="L2945" s="44" t="n">
        <x:v>44.70063824141286</x:v>
      </x:c>
    </x:row>
    <x:row r="2946" ht="15" hidden="0" customHeight="1">
      <x:c r="A2946" s="27" t="str">
        <x:v>51057</x:v>
      </x:c>
      <x:c r="B2946" s="27" t="str">
        <x:v>SCA-29</x:v>
      </x:c>
      <x:c r="C2946" s="43" t="n">
        <x:v>10654</x:v>
      </x:c>
      <x:c r="D2946" s="43" t="n">
        <x:v>117.62997491446018</x:v>
      </x:c>
      <x:c r="E2946" s="43" t="n">
        <x:v>1760.3788683537102</x:v>
      </x:c>
      <x:c r="F2946" s="43" t="n">
        <x:v>74.32197854837986</x:v>
      </x:c>
      <x:c r="G2946" s="43" t="n">
        <x:v>278.99677755662964</x:v>
      </x:c>
      <x:c r="H2946" s="43" t="n">
        <x:v>8422.67240062682</x:v>
      </x:c>
      <x:c r="I2946" s="43" t="n">
        <x:v>10654</x:v>
      </x:c>
      <x:c r="J2946" s="43" t="n">
        <x:v>1816</x:v>
      </x:c>
      <x:c r="K2946" s="43" t="n">
        <x:v>118.6028339481021</x:v>
      </x:c>
      <x:c r="L2946" s="43" t="n">
        <x:v>44.280855399722235</x:v>
      </x:c>
    </x:row>
    <x:row r="2947" ht="15" hidden="0" customHeight="1">
      <x:c r="A2947" s="29" t="str">
        <x:v>37187</x:v>
      </x:c>
      <x:c r="B2947" s="29" t="str">
        <x:v>SCA-29</x:v>
      </x:c>
      <x:c r="C2947" s="44" t="n">
        <x:v>10638</x:v>
      </x:c>
      <x:c r="D2947" s="44" t="n">
        <x:v>158.84657385594477</x:v>
      </x:c>
      <x:c r="E2947" s="44" t="n">
        <x:v>2708.0219283228294</x:v>
      </x:c>
      <x:c r="F2947" s="44" t="n">
        <x:v>56.1076367674507</x:v>
      </x:c>
      <x:c r="G2947" s="44" t="n">
        <x:v>620.1982880255856</x:v>
      </x:c>
      <x:c r="H2947" s="44" t="n">
        <x:v>7094.825573028189</x:v>
      </x:c>
      <x:c r="I2947" s="44" t="n">
        <x:v>10638</x:v>
      </x:c>
      <x:c r="J2947" s="44" t="n">
        <x:v>2819</x:v>
      </x:c>
      <x:c r="K2947" s="44" t="n">
        <x:v>102.11996360994424</x:v>
      </x:c>
      <x:c r="L2947" s="44" t="n">
        <x:v>46.012326842493536</x:v>
      </x:c>
    </x:row>
    <x:row r="2948" ht="15" hidden="0" customHeight="1">
      <x:c r="A2948" s="27" t="str">
        <x:v>51049</x:v>
      </x:c>
      <x:c r="B2948" s="27" t="str">
        <x:v>SCA-29</x:v>
      </x:c>
      <x:c r="C2948" s="43" t="n">
        <x:v>10352</x:v>
      </x:c>
      <x:c r="D2948" s="43" t="n">
        <x:v>112.1092891334836</x:v>
      </x:c>
      <x:c r="E2948" s="43" t="n">
        <x:v>1658.0070238337748</x:v>
      </x:c>
      <x:c r="F2948" s="43" t="n">
        <x:v>72.21523577368391</x:v>
      </x:c>
      <x:c r="G2948" s="43" t="n">
        <x:v>393.253208392748</x:v>
      </x:c>
      <x:c r="H2948" s="43" t="n">
        <x:v>8116.415242866309</x:v>
      </x:c>
      <x:c r="I2948" s="43" t="n">
        <x:v>10352</x:v>
      </x:c>
      <x:c r="J2948" s="43" t="n">
        <x:v>1638</x:v>
      </x:c>
      <x:c r="K2948" s="43" t="n">
        <x:v>115.24089891409358</x:v>
      </x:c>
      <x:c r="L2948" s="43" t="n">
        <x:v>43.02566314040966</x:v>
      </x:c>
    </x:row>
    <x:row r="2949" ht="15" hidden="0" customHeight="1">
      <x:c r="A2949" s="29" t="str">
        <x:v>37073</x:v>
      </x:c>
      <x:c r="B2949" s="29" t="str">
        <x:v>SCA-29</x:v>
      </x:c>
      <x:c r="C2949" s="44" t="n">
        <x:v>10234</x:v>
      </x:c>
      <x:c r="D2949" s="44" t="n">
        <x:v>116.86116841407856</x:v>
      </x:c>
      <x:c r="E2949" s="44" t="n">
        <x:v>1742.310110959704</x:v>
      </x:c>
      <x:c r="F2949" s="44" t="n">
        <x:v>53.97683349107827</x:v>
      </x:c>
      <x:c r="G2949" s="44" t="n">
        <x:v>94.60580105119719</x:v>
      </x:c>
      <x:c r="H2949" s="44" t="n">
        <x:v>8226.246086083942</x:v>
      </x:c>
      <x:c r="I2949" s="44" t="n">
        <x:v>10234</x:v>
      </x:c>
      <x:c r="J2949" s="44" t="n">
        <x:v>1822</x:v>
      </x:c>
      <x:c r="K2949" s="44" t="n">
        <x:v>98.24174728183581</x:v>
      </x:c>
      <x:c r="L2949" s="44" t="n">
        <x:v>44.264913790757554</x:v>
      </x:c>
    </x:row>
    <x:row r="2950" ht="15" hidden="0" customHeight="1">
      <x:c r="A2950" s="27" t="str">
        <x:v>37103</x:v>
      </x:c>
      <x:c r="B2950" s="27" t="str">
        <x:v>SCA-29</x:v>
      </x:c>
      <x:c r="C2950" s="43" t="n">
        <x:v>9575</x:v>
      </x:c>
      <x:c r="D2950" s="43" t="n">
        <x:v>120.71798532616495</x:v>
      </x:c>
      <x:c r="E2950" s="43" t="n">
        <x:v>1903.2823426573425</x:v>
      </x:c>
      <x:c r="F2950" s="43" t="n">
        <x:v>50.50109250313408</x:v>
      </x:c>
      <x:c r="G2950" s="43" t="n">
        <x:v>415.5013111888112</x:v>
      </x:c>
      <x:c r="H2950" s="43" t="n">
        <x:v>7084.997268324548</x:v>
      </x:c>
      <x:c r="I2950" s="43" t="n">
        <x:v>9575</x:v>
      </x:c>
      <x:c r="J2950" s="43" t="n">
        <x:v>1895</x:v>
      </x:c>
      <x:c r="K2950" s="43" t="n">
        <x:v>91.91564688524309</x:v>
      </x:c>
      <x:c r="L2950" s="43" t="n">
        <x:v>41.41455438210901</x:v>
      </x:c>
    </x:row>
    <x:row r="2951" ht="15" hidden="0" customHeight="1">
      <x:c r="A2951" s="29" t="str">
        <x:v>51159</x:v>
      </x:c>
      <x:c r="B2951" s="29" t="str">
        <x:v>SCA-29</x:v>
      </x:c>
      <x:c r="C2951" s="44" t="n">
        <x:v>9294</x:v>
      </x:c>
      <x:c r="D2951" s="44" t="n">
        <x:v>105.2025530937641</x:v>
      </x:c>
      <x:c r="E2951" s="44" t="n">
        <x:v>1597.7812590409858</x:v>
      </x:c>
      <x:c r="F2951" s="44" t="n">
        <x:v>64.83466009279545</x:v>
      </x:c>
      <x:c r="G2951" s="44" t="n">
        <x:v>177.31904634342354</x:v>
      </x:c>
      <x:c r="H2951" s="44" t="n">
        <x:v>7348.8624814290315</x:v>
      </x:c>
      <x:c r="I2951" s="44" t="n">
        <x:v>9294</x:v>
      </x:c>
      <x:c r="J2951" s="44" t="n">
        <x:v>1337</x:v>
      </x:c>
      <x:c r="K2951" s="44" t="n">
        <x:v>103.4629940598518</x:v>
      </x:c>
      <x:c r="L2951" s="44" t="n">
        <x:v>38.628333967056356</x:v>
      </x:c>
    </x:row>
    <x:row r="2952" ht="15" hidden="0" customHeight="1">
      <x:c r="A2952" s="27" t="str">
        <x:v>51115</x:v>
      </x:c>
      <x:c r="B2952" s="27" t="str">
        <x:v>SCA-29</x:v>
      </x:c>
      <x:c r="C2952" s="43" t="n">
        <x:v>8529</x:v>
      </x:c>
      <x:c r="D2952" s="43" t="n">
        <x:v>109.23924166472372</x:v>
      </x:c>
      <x:c r="E2952" s="43" t="n">
        <x:v>1770.970824085006</x:v>
      </x:c>
      <x:c r="F2952" s="43" t="n">
        <x:v>59.49804346152918</x:v>
      </x:c>
      <x:c r="G2952" s="43" t="n">
        <x:v>144.98583234946872</x:v>
      </x:c>
      <x:c r="H2952" s="43" t="n">
        <x:v>6444.306058439273</x:v>
      </x:c>
      <x:c r="I2952" s="43" t="n">
        <x:v>8529</x:v>
      </x:c>
      <x:c r="J2952" s="43" t="n">
        <x:v>1832</x:v>
      </x:c>
      <x:c r="K2952" s="43" t="n">
        <x:v>94.94683412271098</x:v>
      </x:c>
      <x:c r="L2952" s="43" t="n">
        <x:v>35.4487906611818</x:v>
      </x:c>
    </x:row>
    <x:row r="2953" ht="15" hidden="0" customHeight="1">
      <x:c r="A2953" s="29" t="str">
        <x:v>51620</x:v>
      </x:c>
      <x:c r="B2953" s="29" t="str">
        <x:v>SCA-29</x:v>
      </x:c>
      <x:c r="C2953" s="44" t="n">
        <x:v>8478</x:v>
      </x:c>
      <x:c r="D2953" s="44" t="n">
        <x:v>111.88236858867374</x:v>
      </x:c>
      <x:c r="E2953" s="44" t="n">
        <x:v>1839.4931395492056</x:v>
      </x:c>
      <x:c r="F2953" s="44" t="n">
        <x:v>59.14226901944477</x:v>
      </x:c>
      <x:c r="G2953" s="44" t="n">
        <x:v>466.71412735558573</x:v>
      </x:c>
      <x:c r="H2953" s="44" t="n">
        <x:v>6000.768095487091</x:v>
      </x:c>
      <x:c r="I2953" s="44" t="n">
        <x:v>8478</x:v>
      </x:c>
      <x:c r="J2953" s="44" t="n">
        <x:v>1835</x:v>
      </x:c>
      <x:c r="K2953" s="44" t="n">
        <x:v>94.3790901269016</x:v>
      </x:c>
      <x:c r="L2953" s="44" t="n">
        <x:v>35.236821107456834</x:v>
      </x:c>
    </x:row>
    <x:row r="2954" ht="15" hidden="0" customHeight="1">
      <x:c r="A2954" s="27" t="str">
        <x:v>51678</x:v>
      </x:c>
      <x:c r="B2954" s="27" t="str">
        <x:v>SCA-29</x:v>
      </x:c>
      <x:c r="C2954" s="43" t="n">
        <x:v>7769</x:v>
      </x:c>
      <x:c r="D2954" s="43" t="n">
        <x:v>74.17199194010489</x:v>
      </x:c>
      <x:c r="E2954" s="43" t="n">
        <x:v>1005.1671181440256</x:v>
      </x:c>
      <x:c r="F2954" s="43" t="n">
        <x:v>54.19630667752611</x:v>
      </x:c>
      <x:c r="G2954" s="43" t="n">
        <x:v>488.8534263108489</x:v>
      </x:c>
      <x:c r="H2954" s="43" t="n">
        <x:v>6146.611156927494</x:v>
      </x:c>
      <x:c r="I2954" s="43" t="n">
        <x:v>7769</x:v>
      </x:c>
      <x:c r="J2954" s="43" t="n">
        <x:v>1005</x:v>
      </x:c>
      <x:c r="K2954" s="43" t="n">
        <x:v>86.48633536162993</x:v>
      </x:c>
      <x:c r="L2954" s="43" t="n">
        <x:v>32.29002868410382</x:v>
      </x:c>
    </x:row>
    <x:row r="2955" ht="15" hidden="0" customHeight="1">
      <x:c r="A2955" s="29" t="str">
        <x:v>51097</x:v>
      </x:c>
      <x:c r="B2955" s="29" t="str">
        <x:v>SCA-29</x:v>
      </x:c>
      <x:c r="C2955" s="44" t="n">
        <x:v>6743</x:v>
      </x:c>
      <x:c r="D2955" s="44" t="n">
        <x:v>68.51391510093352</x:v>
      </x:c>
      <x:c r="E2955" s="44" t="n">
        <x:v>971.7171620612397</x:v>
      </x:c>
      <x:c r="F2955" s="44" t="n">
        <x:v>47.03896201912197</x:v>
      </x:c>
      <x:c r="G2955" s="44" t="n">
        <x:v>171.67737117251679</x:v>
      </x:c>
      <x:c r="H2955" s="44" t="n">
        <x:v>5484.052589646188</x:v>
      </x:c>
      <x:c r="I2955" s="44" t="n">
        <x:v>6743</x:v>
      </x:c>
      <x:c r="J2955" s="44" t="n">
        <x:v>1005</x:v>
      </x:c>
      <x:c r="K2955" s="44" t="n">
        <x:v>75.0646620341705</x:v>
      </x:c>
      <x:c r="L2955" s="44" t="n">
        <x:v>28.02570001504853</x:v>
      </x:c>
    </x:row>
    <x:row r="2956" ht="15" hidden="0" customHeight="1">
      <x:c r="A2956" s="27" t="str">
        <x:v>51530</x:v>
      </x:c>
      <x:c r="B2956" s="27" t="str">
        <x:v>SCA-29</x:v>
      </x:c>
      <x:c r="C2956" s="43" t="n">
        <x:v>6672</x:v>
      </x:c>
      <x:c r="D2956" s="43" t="n">
        <x:v>83.46310743761302</x:v>
      </x:c>
      <x:c r="E2956" s="43" t="n">
        <x:v>1337.5800549954172</x:v>
      </x:c>
      <x:c r="F2956" s="43" t="n">
        <x:v>46.54366818798485</x:v>
      </x:c>
      <x:c r="G2956" s="43" t="n">
        <x:v>185.13382218148487</x:v>
      </x:c>
      <x:c r="H2956" s="43" t="n">
        <x:v>5019.2793471975</x:v>
      </x:c>
      <x:c r="I2956" s="43" t="n">
        <x:v>6672</x:v>
      </x:c>
      <x:c r="J2956" s="43" t="n">
        <x:v>1367</x:v>
      </x:c>
      <x:c r="K2956" s="43" t="n">
        <x:v>74.27427333412214</x:v>
      </x:c>
      <x:c r="L2956" s="43" t="n">
        <x:v>27.730605146137297</x:v>
      </x:c>
    </x:row>
    <x:row r="2957" ht="15" hidden="0" customHeight="1">
      <x:c r="A2957" s="29" t="str">
        <x:v>51640</x:v>
      </x:c>
      <x:c r="B2957" s="29" t="str">
        <x:v>SCA-29</x:v>
      </x:c>
      <x:c r="C2957" s="44" t="n">
        <x:v>6670</x:v>
      </x:c>
      <x:c r="D2957" s="44" t="n">
        <x:v>69.16536245345213</x:v>
      </x:c>
      <x:c r="E2957" s="44" t="n">
        <x:v>994.633676132003</x:v>
      </x:c>
      <x:c r="F2957" s="44" t="n">
        <x:v>46.52971624907957</x:v>
      </x:c>
      <x:c r="G2957" s="44" t="n">
        <x:v>252.97751343054492</x:v>
      </x:c>
      <x:c r="H2957" s="44" t="n">
        <x:v>5306.69373173492</x:v>
      </x:c>
      <x:c r="I2957" s="44" t="n">
        <x:v>6670</x:v>
      </x:c>
      <x:c r="J2957" s="44" t="n">
        <x:v>1012</x:v>
      </x:c>
      <x:c r="K2957" s="44" t="n">
        <x:v>74.25200886369824</x:v>
      </x:c>
      <x:c r="L2957" s="44" t="n">
        <x:v>27.72229261461867</x:v>
      </x:c>
    </x:row>
    <x:row r="2958" ht="15" hidden="0" customHeight="1">
      <x:c r="A2958" s="27" t="str">
        <x:v>51036</x:v>
      </x:c>
      <x:c r="B2958" s="27" t="str">
        <x:v>SCA-29</x:v>
      </x:c>
      <x:c r="C2958" s="43" t="n">
        <x:v>6623</x:v>
      </x:c>
      <x:c r="D2958" s="43" t="n">
        <x:v>78.59007803329652</x:v>
      </x:c>
      <x:c r="E2958" s="43" t="n">
        <x:v>1225.5151178247734</x:v>
      </x:c>
      <x:c r="F2958" s="43" t="n">
        <x:v>46.20184568480569</x:v>
      </x:c>
      <x:c r="G2958" s="43" t="n">
        <x:v>234.1027190332326</x:v>
      </x:c>
      <x:c r="H2958" s="43" t="n">
        <x:v>5038.590239423892</x:v>
      </x:c>
      <x:c r="I2958" s="43" t="n">
        <x:v>6623</x:v>
      </x:c>
      <x:c r="J2958" s="43" t="n">
        <x:v>1276</x:v>
      </x:c>
      <x:c r="K2958" s="43" t="n">
        <x:v>73.72879380873664</x:v>
      </x:c>
      <x:c r="L2958" s="43" t="n">
        <x:v>27.52694812393095</x:v>
      </x:c>
    </x:row>
    <x:row r="2959" ht="15" hidden="0" customHeight="1">
      <x:c r="A2959" s="29" t="str">
        <x:v>51181</x:v>
      </x:c>
      <x:c r="B2959" s="29" t="str">
        <x:v>SCA-29</x:v>
      </x:c>
      <x:c r="C2959" s="44" t="n">
        <x:v>6603</x:v>
      </x:c>
      <x:c r="D2959" s="44" t="n">
        <x:v>74.16963932250616</x:v>
      </x:c>
      <x:c r="E2959" s="44" t="n">
        <x:v>1121.4195963302752</x:v>
      </x:c>
      <x:c r="F2959" s="44" t="n">
        <x:v>46.06232629575298</x:v>
      </x:c>
      <x:c r="G2959" s="44" t="n">
        <x:v>113.58623853211007</x:v>
      </x:c>
      <x:c r="H2959" s="44" t="n">
        <x:v>5247.762199519356</x:v>
      </x:c>
      <x:c r="I2959" s="44" t="n">
        <x:v>6603</x:v>
      </x:c>
      <x:c r="J2959" s="44" t="n">
        <x:v>1157</x:v>
      </x:c>
      <x:c r="K2959" s="44" t="n">
        <x:v>73.50614910449767</x:v>
      </x:c>
      <x:c r="L2959" s="44" t="n">
        <x:v>27.443822808744688</x:v>
      </x:c>
    </x:row>
    <x:row r="2960" ht="15" hidden="0" customHeight="1">
      <x:c r="A2960" s="27" t="str">
        <x:v>51021</x:v>
      </x:c>
      <x:c r="B2960" s="27" t="str">
        <x:v>SCA-29</x:v>
      </x:c>
      <x:c r="C2960" s="43" t="n">
        <x:v>6151</x:v>
      </x:c>
      <x:c r="D2960" s="43" t="n">
        <x:v>64.90788477484402</x:v>
      </x:c>
      <x:c r="E2960" s="43" t="n">
        <x:v>944.224658143413</x:v>
      </x:c>
      <x:c r="F2960" s="43" t="n">
        <x:v>42.90918810316168</x:v>
      </x:c>
      <x:c r="G2960" s="43" t="n">
        <x:v>217.1649064294979</x:v>
      </x:c>
      <x:c r="H2960" s="43" t="n">
        <x:v>4881.793362549083</x:v>
      </x:c>
      <x:c r="I2960" s="43" t="n">
        <x:v>6151</x:v>
      </x:c>
      <x:c r="J2960" s="43" t="n">
        <x:v>863</x:v>
      </x:c>
      <x:c r="K2960" s="43" t="n">
        <x:v>68.47437878869682</x:v>
      </x:c>
      <x:c r="L2960" s="43" t="n">
        <x:v>25.565190685535146</x:v>
      </x:c>
    </x:row>
    <x:row r="2961" ht="15" hidden="0" customHeight="1">
      <x:c r="A2961" s="29" t="str">
        <x:v>51580</x:v>
      </x:c>
      <x:c r="B2961" s="29" t="str">
        <x:v>SCA-29</x:v>
      </x:c>
      <x:c r="C2961" s="44" t="n">
        <x:v>5680</x:v>
      </x:c>
      <x:c r="D2961" s="44" t="n">
        <x:v>57.937148362693264</x:v>
      </x:c>
      <x:c r="E2961" s="44" t="n">
        <x:v>823.9094123950705</x:v>
      </x:c>
      <x:c r="F2961" s="44" t="n">
        <x:v>39.62350649097031</x:v>
      </x:c>
      <x:c r="G2961" s="44" t="n">
        <x:v>244.483657796035</x:v>
      </x:c>
      <x:c r="H2961" s="44" t="n">
        <x:v>4514.046274955231</x:v>
      </x:c>
      <x:c r="I2961" s="44" t="n">
        <x:v>5680</x:v>
      </x:c>
      <x:c r="J2961" s="44" t="n">
        <x:v>846</x:v>
      </x:c>
      <x:c r="K2961" s="44" t="n">
        <x:v>63.23109600386896</x:v>
      </x:c>
      <x:c r="L2961" s="44" t="n">
        <x:v>23.607589512898656</x:v>
      </x:c>
    </x:row>
    <x:row r="2962" ht="15" hidden="0" customHeight="1">
      <x:c r="A2962" s="27" t="str">
        <x:v>51595</x:v>
      </x:c>
      <x:c r="B2962" s="27" t="str">
        <x:v>SCA-29</x:v>
      </x:c>
      <x:c r="C2962" s="43" t="n">
        <x:v>5447</x:v>
      </x:c>
      <x:c r="D2962" s="43" t="n">
        <x:v>71.62657828378916</x:v>
      </x:c>
      <x:c r="E2962" s="43" t="n">
        <x:v>1175.697568627451</x:v>
      </x:c>
      <x:c r="F2962" s="43" t="n">
        <x:v>37.99810560850621</x:v>
      </x:c>
      <x:c r="G2962" s="43" t="n">
        <x:v>323.2431372549019</x:v>
      </x:c>
      <x:c r="H2962" s="43" t="n">
        <x:v>3838.4346102253517</x:v>
      </x:c>
      <x:c r="I2962" s="43" t="n">
        <x:v>5447</x:v>
      </x:c>
      <x:c r="J2962" s="43" t="n">
        <x:v>1204</x:v>
      </x:c>
      <x:c r="K2962" s="43" t="n">
        <x:v>60.6372851994849</x:v>
      </x:c>
      <x:c r="L2962" s="43" t="n">
        <x:v>22.639179590978696</x:v>
      </x:c>
    </x:row>
    <x:row r="2963" ht="15" hidden="0" customHeight="1">
      <x:c r="A2963" s="29" t="str">
        <x:v>51045</x:v>
      </x:c>
      <x:c r="B2963" s="29" t="str">
        <x:v>SCA-29</x:v>
      </x:c>
      <x:c r="C2963" s="44" t="n">
        <x:v>4800</x:v>
      </x:c>
      <x:c r="D2963" s="44" t="n">
        <x:v>46.175241207617</x:v>
      </x:c>
      <x:c r="E2963" s="44" t="n">
        <x:v>629.4039735099337</x:v>
      </x:c>
      <x:c r="F2963" s="44" t="n">
        <x:v>33.48465337265096</x:v>
      </x:c>
      <x:c r="G2963" s="44" t="n">
        <x:v>98.42880794701988</x:v>
      </x:c>
      <x:c r="H2963" s="44" t="n">
        <x:v>3992.507323962778</x:v>
      </x:c>
      <x:c r="I2963" s="44" t="n">
        <x:v>4800</x:v>
      </x:c>
      <x:c r="J2963" s="44" t="n">
        <x:v>660</x:v>
      </x:c>
      <x:c r="K2963" s="44" t="n">
        <x:v>53.43472901735405</x:v>
      </x:c>
      <x:c r="L2963" s="44" t="n">
        <x:v>19.95007564470309</x:v>
      </x:c>
    </x:row>
    <x:row r="2964" ht="15" hidden="0" customHeight="1">
      <x:c r="A2964" s="27" t="str">
        <x:v>37095</x:v>
      </x:c>
      <x:c r="B2964" s="27" t="str">
        <x:v>SCA-29</x:v>
      </x:c>
      <x:c r="C2964" s="43" t="n">
        <x:v>4554</x:v>
      </x:c>
      <x:c r="D2964" s="43" t="n">
        <x:v>54.88044023692504</x:v>
      </x:c>
      <x:c r="E2964" s="43" t="n">
        <x:v>844.3947812739831</x:v>
      </x:c>
      <x:c r="F2964" s="43" t="n">
        <x:v>24.0190052490102</x:v>
      </x:c>
      <x:c r="G2964" s="43" t="n">
        <x:v>330.407521105142</x:v>
      </x:c>
      <x:c r="H2964" s="43" t="n">
        <x:v>3300.2982521349395</x:v>
      </x:c>
      <x:c r="I2964" s="43" t="n">
        <x:v>4554</x:v>
      </x:c>
      <x:c r="J2964" s="43" t="n">
        <x:v>755</x:v>
      </x:c>
      <x:c r="K2964" s="43" t="n">
        <x:v>43.71632959951928</x:v>
      </x:c>
      <x:c r="L2964" s="43" t="n">
        <x:v>19.697324350509078</x:v>
      </x:c>
    </x:row>
    <x:row r="2965" ht="15" hidden="0" customHeight="1">
      <x:c r="A2965" s="29" t="str">
        <x:v>37177</x:v>
      </x:c>
      <x:c r="B2965" s="29" t="str">
        <x:v>SCA-29</x:v>
      </x:c>
      <x:c r="C2965" s="44" t="n">
        <x:v>3537</x:v>
      </x:c>
      <x:c r="D2965" s="44" t="n">
        <x:v>48.12526576102036</x:v>
      </x:c>
      <x:c r="E2965" s="44" t="n">
        <x:v>787.8420239680427</x:v>
      </x:c>
      <x:c r="F2965" s="44" t="n">
        <x:v>18.65507719933005</x:v>
      </x:c>
      <x:c r="G2965" s="44" t="n">
        <x:v>235.76864181091875</x:v>
      </x:c>
      <x:c r="H2965" s="44" t="n">
        <x:v>2446.6089912606885</x:v>
      </x:c>
      <x:c r="I2965" s="44" t="n">
        <x:v>3537</x:v>
      </x:c>
      <x:c r="J2965" s="44" t="n">
        <x:v>697</x:v>
      </x:c>
      <x:c r="K2965" s="44" t="n">
        <x:v>33.953591961681965</x:v>
      </x:c>
      <x:c r="L2965" s="44" t="n">
        <x:v>15.298514762351912</x:v>
      </x:c>
    </x:row>
    <x:row r="2966" ht="15" hidden="0" customHeight="1">
      <x:c r="A2966" s="27" t="str">
        <x:v>36047</x:v>
      </x:c>
      <x:c r="B2966" s="27" t="str">
        <x:v>SCA-30</x:v>
      </x:c>
      <x:c r="C2966" s="43" t="n">
        <x:v>2653963</x:v>
      </x:c>
      <x:c r="D2966" s="43" t="n">
        <x:v>26261.482620578852</x:v>
      </x:c>
      <x:c r="E2966" s="43" t="n">
        <x:v>292426.9207445044</x:v>
      </x:c>
      <x:c r="F2966" s="43" t="n">
        <x:v>8879.890604072078</x:v>
      </x:c>
      <x:c r="G2966" s="43" t="n">
        <x:v>1051539.8320864944</x:v>
      </x:c>
      <x:c r="H2966" s="43" t="n">
        <x:v>1274854.8739443503</x:v>
      </x:c>
      <x:c r="I2966" s="43" t="n">
        <x:v>2653963</x:v>
      </x:c>
      <x:c r="J2966" s="43" t="n">
        <x:v>300417</x:v>
      </x:c>
      <x:c r="K2966" s="43" t="n">
        <x:v>22956.918193629917</x:v>
      </x:c>
      <x:c r="L2966" s="43" t="n">
        <x:v>14077.02758955784</x:v>
      </x:c>
    </x:row>
    <x:row r="2967" ht="15" hidden="0" customHeight="1">
      <x:c r="A2967" s="29" t="str">
        <x:v>36081</x:v>
      </x:c>
      <x:c r="B2967" s="29" t="str">
        <x:v>SCA-30</x:v>
      </x:c>
      <x:c r="C2967" s="44" t="n">
        <x:v>2358182</x:v>
      </x:c>
      <x:c r="D2967" s="44" t="n">
        <x:v>22834.022262227838</x:v>
      </x:c>
      <x:c r="E2967" s="44" t="n">
        <x:v>247820.70119226494</x:v>
      </x:c>
      <x:c r="F2967" s="44" t="n">
        <x:v>7890.237423992687</x:v>
      </x:c>
      <x:c r="G2967" s="44" t="n">
        <x:v>595746.0052180208</x:v>
      </x:c>
      <x:c r="H2967" s="44" t="n">
        <x:v>1483891.0339034938</x:v>
      </x:c>
      <x:c r="I2967" s="44" t="n">
        <x:v>2358182</x:v>
      </x:c>
      <x:c r="J2967" s="44" t="n">
        <x:v>252838</x:v>
      </x:c>
      <x:c r="K2967" s="44" t="n">
        <x:v>20398.39713654282</x:v>
      </x:c>
      <x:c r="L2967" s="44" t="n">
        <x:v>12508.159712550132</x:v>
      </x:c>
    </x:row>
    <x:row r="2968" ht="15" hidden="0" customHeight="1">
      <x:c r="A2968" s="27" t="str">
        <x:v>36061</x:v>
      </x:c>
      <x:c r="B2968" s="27" t="str">
        <x:v>SCA-30</x:v>
      </x:c>
      <x:c r="C2968" s="43" t="n">
        <x:v>1664862</x:v>
      </x:c>
      <x:c r="D2968" s="43" t="n">
        <x:v>16740.444829160428</x:v>
      </x:c>
      <x:c r="E2968" s="43" t="n">
        <x:v>189834.2625574809</x:v>
      </x:c>
      <x:c r="F2968" s="43" t="n">
        <x:v>5570.459132578957</x:v>
      </x:c>
      <x:c r="G2968" s="43" t="n">
        <x:v>925208.6773232995</x:v>
      </x:c>
      <x:c r="H2968" s="43" t="n">
        <x:v>527508.1561574802</x:v>
      </x:c>
      <x:c r="I2968" s="43" t="n">
        <x:v>1664862</x:v>
      </x:c>
      <x:c r="J2968" s="43" t="n">
        <x:v>192619</x:v>
      </x:c>
      <x:c r="K2968" s="43" t="n">
        <x:v>14401.143021844347</x:v>
      </x:c>
      <x:c r="L2968" s="43" t="n">
        <x:v>8830.68388926539</x:v>
      </x:c>
    </x:row>
    <x:row r="2969" ht="15" hidden="0" customHeight="1">
      <x:c r="A2969" s="29" t="str">
        <x:v>42101</x:v>
      </x:c>
      <x:c r="B2969" s="29" t="str">
        <x:v>SCA-30</x:v>
      </x:c>
      <x:c r="C2969" s="44" t="n">
        <x:v>1574281</x:v>
      </x:c>
      <x:c r="D2969" s="44" t="n">
        <x:v>21962.21822478249</x:v>
      </x:c>
      <x:c r="E2969" s="44" t="n">
        <x:v>263120.385604051</x:v>
      </x:c>
      <x:c r="F2969" s="44" t="n">
        <x:v>10264.006629187583</x:v>
      </x:c>
      <x:c r="G2969" s="44" t="n">
        <x:v>267510.37110062514</x:v>
      </x:c>
      <x:c r="H2969" s="44" t="n">
        <x:v>1011424.0184413538</x:v>
      </x:c>
      <x:c r="I2969" s="44" t="n">
        <x:v>1574281</x:v>
      </x:c>
      <x:c r="J2969" s="44" t="n">
        <x:v>272919</x:v>
      </x:c>
      <x:c r="K2969" s="44" t="n">
        <x:v>21262.875453801276</x:v>
      </x:c>
      <x:c r="L2969" s="44" t="n">
        <x:v>10998.868824613694</x:v>
      </x:c>
    </x:row>
    <x:row r="2970" ht="15" hidden="0" customHeight="1">
      <x:c r="A2970" s="27" t="str">
        <x:v>36103</x:v>
      </x:c>
      <x:c r="B2970" s="27" t="str">
        <x:v>SCA-30</x:v>
      </x:c>
      <x:c r="C2970" s="43" t="n">
        <x:v>1546090</x:v>
      </x:c>
      <x:c r="D2970" s="43" t="n">
        <x:v>14708.368332297068</x:v>
      </x:c>
      <x:c r="E2970" s="43" t="n">
        <x:v>156184.0651886885</x:v>
      </x:c>
      <x:c r="F2970" s="43" t="n">
        <x:v>5173.060085634124</x:v>
      </x:c>
      <x:c r="G2970" s="43" t="n">
        <x:v>42772.34545410905</x:v>
      </x:c>
      <x:c r="H2970" s="43" t="n">
        <x:v>1327252.160939271</x:v>
      </x:c>
      <x:c r="I2970" s="43" t="n">
        <x:v>1546090</x:v>
      </x:c>
      <x:c r="J2970" s="43" t="n">
        <x:v>160018</x:v>
      </x:c>
      <x:c r="K2970" s="43" t="n">
        <x:v>13373.75903506917</x:v>
      </x:c>
      <x:c r="L2970" s="43" t="n">
        <x:v>8200.698949435046</x:v>
      </x:c>
    </x:row>
    <x:row r="2971" ht="15" hidden="0" customHeight="1">
      <x:c r="A2971" s="29" t="str">
        <x:v>36005</x:v>
      </x:c>
      <x:c r="B2971" s="29" t="str">
        <x:v>SCA-30</x:v>
      </x:c>
      <x:c r="C2971" s="44" t="n">
        <x:v>1406332</x:v>
      </x:c>
      <x:c r="D2971" s="44" t="n">
        <x:v>17435.45593871656</x:v>
      </x:c>
      <x:c r="E2971" s="44" t="n">
        <x:v>239425.31755331295</x:v>
      </x:c>
      <x:c r="F2971" s="44" t="n">
        <x:v>4705.444014481699</x:v>
      </x:c>
      <x:c r="G2971" s="44" t="n">
        <x:v>584427.9407987118</x:v>
      </x:c>
      <x:c r="H2971" s="44" t="n">
        <x:v>560337.8416947768</x:v>
      </x:c>
      <x:c r="I2971" s="44" t="n">
        <x:v>1406332</x:v>
      </x:c>
      <x:c r="J2971" s="44" t="n">
        <x:v>246272</x:v>
      </x:c>
      <x:c r="K2971" s="44" t="n">
        <x:v>12164.845055143553</x:v>
      </x:c>
      <x:c r="L2971" s="44" t="n">
        <x:v>7459.401040661854</x:v>
      </x:c>
    </x:row>
    <x:row r="2972" ht="15" hidden="0" customHeight="1">
      <x:c r="A2972" s="27" t="str">
        <x:v>36059</x:v>
      </x:c>
      <x:c r="B2972" s="27" t="str">
        <x:v>SCA-30</x:v>
      </x:c>
      <x:c r="C2972" s="43" t="n">
        <x:v>1398939</x:v>
      </x:c>
      <x:c r="D2972" s="43" t="n">
        <x:v>12682.386401179023</x:v>
      </x:c>
      <x:c r="E2972" s="43" t="n">
        <x:v>126292.77524659235</x:v>
      </x:c>
      <x:c r="F2972" s="43" t="n">
        <x:v>4680.707787474802</x:v>
      </x:c>
      <x:c r="G2972" s="43" t="n">
        <x:v>54121.19779086732</x:v>
      </x:c>
      <x:c r="H2972" s="43" t="n">
        <x:v>1201161.9327738865</x:v>
      </x:c>
      <x:c r="I2972" s="43" t="n">
        <x:v>1398939</x:v>
      </x:c>
      <x:c r="J2972" s="43" t="n">
        <x:v>129876</x:v>
      </x:c>
      <x:c r="K2972" s="43" t="n">
        <x:v>12100.895220045812</x:v>
      </x:c>
      <x:c r="L2972" s="43" t="n">
        <x:v>7420.18743257101</x:v>
      </x:c>
    </x:row>
    <x:row r="2973" ht="15" hidden="0" customHeight="1">
      <x:c r="A2973" s="29" t="str">
        <x:v>36119</x:v>
      </x:c>
      <x:c r="B2973" s="29" t="str">
        <x:v>SCA-30</x:v>
      </x:c>
      <x:c r="C2973" s="44" t="n">
        <x:v>1015743</x:v>
      </x:c>
      <x:c r="D2973" s="44" t="n">
        <x:v>9717.401096117728</x:v>
      </x:c>
      <x:c r="E2973" s="44" t="n">
        <x:v>103913.85920924126</x:v>
      </x:c>
      <x:c r="F2973" s="44" t="n">
        <x:v>3398.572897154929</x:v>
      </x:c>
      <x:c r="G2973" s="44" t="n">
        <x:v>91447.44363961295</x:v>
      </x:c>
      <x:c r="H2973" s="44" t="n">
        <x:v>807265.7231578731</x:v>
      </x:c>
      <x:c r="I2973" s="44" t="n">
        <x:v>1015743</x:v>
      </x:c>
      <x:c r="J2973" s="44" t="n">
        <x:v>105426</x:v>
      </x:c>
      <x:c r="K2973" s="44" t="n">
        <x:v>8786.229859554272</x:v>
      </x:c>
      <x:c r="L2973" s="44" t="n">
        <x:v>5387.656962399344</x:v>
      </x:c>
    </x:row>
    <x:row r="2974" ht="15" hidden="0" customHeight="1">
      <x:c r="A2974" s="27" t="str">
        <x:v>34003</x:v>
      </x:c>
      <x:c r="B2974" s="27" t="str">
        <x:v>SCA-30</x:v>
      </x:c>
      <x:c r="C2974" s="43" t="n">
        <x:v>977026</x:v>
      </x:c>
      <x:c r="D2974" s="43" t="n">
        <x:v>7835.52405916716</x:v>
      </x:c>
      <x:c r="E2974" s="43" t="n">
        <x:v>83861.66649364337</x:v>
      </x:c>
      <x:c r="F2974" s="43" t="n">
        <x:v>3915.8170585464663</x:v>
      </x:c>
      <x:c r="G2974" s="43" t="n">
        <x:v>44021.562567244146</x:v>
      </x:c>
      <x:c r="H2974" s="43" t="n">
        <x:v>837391.4298213989</x:v>
      </x:c>
      <x:c r="I2974" s="43" t="n">
        <x:v>977026</x:v>
      </x:c>
      <x:c r="J2974" s="43" t="n">
        <x:v>85512</x:v>
      </x:c>
      <x:c r="K2974" s="43" t="n">
        <x:v>8257.105013811819</x:v>
      </x:c>
      <x:c r="L2974" s="43" t="n">
        <x:v>4341.287955265353</x:v>
      </x:c>
    </x:row>
    <x:row r="2975" ht="15" hidden="0" customHeight="1">
      <x:c r="A2975" s="29" t="str">
        <x:v>24033</x:v>
      </x:c>
      <x:c r="B2975" s="29" t="str">
        <x:v>SCA-30</x:v>
      </x:c>
      <x:c r="C2975" s="44" t="n">
        <x:v>970374</x:v>
      </x:c>
      <x:c r="D2975" s="44" t="n">
        <x:v>8583.668041898376</x:v>
      </x:c>
      <x:c r="E2975" s="44" t="n">
        <x:v>97714.11128869651</x:v>
      </x:c>
      <x:c r="F2975" s="44" t="n">
        <x:v>4580.1071264617485</x:v>
      </x:c>
      <x:c r="G2975" s="44" t="n">
        <x:v>54748.76626409264</x:v>
      </x:c>
      <x:c r="H2975" s="44" t="n">
        <x:v>804747.3472788507</x:v>
      </x:c>
      <x:c r="I2975" s="44" t="n">
        <x:v>970374</x:v>
      </x:c>
      <x:c r="J2975" s="44" t="n">
        <x:v>99654</x:v>
      </x:c>
      <x:c r="K2975" s="44" t="n">
        <x:v>9092.353864664436</x:v>
      </x:c>
      <x:c r="L2975" s="44" t="n">
        <x:v>4512.246738202687</x:v>
      </x:c>
    </x:row>
    <x:row r="2976" ht="15" hidden="0" customHeight="1">
      <x:c r="A2976" s="27" t="str">
        <x:v>34013</x:v>
      </x:c>
      <x:c r="B2976" s="27" t="str">
        <x:v>SCA-30</x:v>
      </x:c>
      <x:c r="C2976" s="43" t="n">
        <x:v>896379</x:v>
      </x:c>
      <x:c r="D2976" s="43" t="n">
        <x:v>8346.710448061924</x:v>
      </x:c>
      <x:c r="E2976" s="43" t="n">
        <x:v>104730.40675295061</x:v>
      </x:c>
      <x:c r="F2976" s="43" t="n">
        <x:v>3592.5923968480083</x:v>
      </x:c>
      <x:c r="G2976" s="43" t="n">
        <x:v>110956.71214520479</x:v>
      </x:c>
      <x:c r="H2976" s="43" t="n">
        <x:v>668752.5782569346</x:v>
      </x:c>
      <x:c r="I2976" s="43" t="n">
        <x:v>896379</x:v>
      </x:c>
      <x:c r="J2976" s="43" t="n">
        <x:v>103758</x:v>
      </x:c>
      <x:c r="K2976" s="43" t="n">
        <x:v>7575.535896870323</x:v>
      </x:c>
      <x:c r="L2976" s="43" t="n">
        <x:v>3982.9435000223148</x:v>
      </x:c>
    </x:row>
    <x:row r="2977" ht="15" hidden="0" customHeight="1">
      <x:c r="A2977" s="29" t="str">
        <x:v>34023</x:v>
      </x:c>
      <x:c r="B2977" s="29" t="str">
        <x:v>SCA-30</x:v>
      </x:c>
      <x:c r="C2977" s="44" t="n">
        <x:v>883335</x:v>
      </x:c>
      <x:c r="D2977" s="44" t="n">
        <x:v>7451.269403680059</x:v>
      </x:c>
      <x:c r="E2977" s="44" t="n">
        <x:v>84630.84530652637</x:v>
      </x:c>
      <x:c r="F2977" s="44" t="n">
        <x:v>3540.313421967422</x:v>
      </x:c>
      <x:c r="G2977" s="44" t="n">
        <x:v>45724.29159157595</x:v>
      </x:c>
      <x:c r="H2977" s="44" t="n">
        <x:v>741988.2802762502</x:v>
      </x:c>
      <x:c r="I2977" s="44" t="n">
        <x:v>883335</x:v>
      </x:c>
      <x:c r="J2977" s="44" t="n">
        <x:v>86223</x:v>
      </x:c>
      <x:c r="K2977" s="44" t="n">
        <x:v>7465.2976045422165</x:v>
      </x:c>
      <x:c r="L2977" s="44" t="n">
        <x:v>3924.984182574794</x:v>
      </x:c>
    </x:row>
    <x:row r="2978" ht="15" hidden="0" customHeight="1">
      <x:c r="A2978" s="27" t="str">
        <x:v>42091</x:v>
      </x:c>
      <x:c r="B2978" s="27" t="str">
        <x:v>SCA-30</x:v>
      </x:c>
      <x:c r="C2978" s="43" t="n">
        <x:v>877643</x:v>
      </x:c>
      <x:c r="D2978" s="43" t="n">
        <x:v>9885.140197639712</x:v>
      </x:c>
      <x:c r="E2978" s="43" t="n">
        <x:v>90081.62832897059</x:v>
      </x:c>
      <x:c r="F2978" s="43" t="n">
        <x:v>5722.062052492584</x:v>
      </x:c>
      <x:c r="G2978" s="43" t="n">
        <x:v>27734.6899862328</x:v>
      </x:c>
      <x:c r="H2978" s="43" t="n">
        <x:v>744219.4794346644</x:v>
      </x:c>
      <x:c r="I2978" s="43" t="n">
        <x:v>877643</x:v>
      </x:c>
      <x:c r="J2978" s="43" t="n">
        <x:v>91329</x:v>
      </x:c>
      <x:c r="K2978" s="43" t="n">
        <x:v>11853.801069758521</x:v>
      </x:c>
      <x:c r="L2978" s="43" t="n">
        <x:v>6131.739017265937</x:v>
      </x:c>
    </x:row>
    <x:row r="2979" ht="15" hidden="0" customHeight="1">
      <x:c r="A2979" s="29" t="str">
        <x:v>24005</x:v>
      </x:c>
      <x:c r="B2979" s="29" t="str">
        <x:v>SCA-30</x:v>
      </x:c>
      <x:c r="C2979" s="44" t="n">
        <x:v>847650</x:v>
      </x:c>
      <x:c r="D2979" s="44" t="n">
        <x:v>8058.205413705817</x:v>
      </x:c>
      <x:c r="E2979" s="44" t="n">
        <x:v>98799.02979631012</x:v>
      </x:c>
      <x:c r="F2979" s="44" t="n">
        <x:v>4000.8572011876868</x:v>
      </x:c>
      <x:c r="G2979" s="44" t="n">
        <x:v>37797.695052907235</x:v>
      </x:c>
      <x:c r="H2979" s="44" t="n">
        <x:v>698994.2125358891</x:v>
      </x:c>
      <x:c r="I2979" s="44" t="n">
        <x:v>847650</x:v>
      </x:c>
      <x:c r="J2979" s="44" t="n">
        <x:v>102464</x:v>
      </x:c>
      <x:c r="K2979" s="44" t="n">
        <x:v>7942.436373380581</x:v>
      </x:c>
      <x:c r="L2979" s="44" t="n">
        <x:v>3941.5791721928945</x:v>
      </x:c>
    </x:row>
    <x:row r="2980" ht="15" hidden="0" customHeight="1">
      <x:c r="A2980" s="27" t="str">
        <x:v>34017</x:v>
      </x:c>
      <x:c r="B2980" s="27" t="str">
        <x:v>SCA-30</x:v>
      </x:c>
      <x:c r="C2980" s="43" t="n">
        <x:v>735033</x:v>
      </x:c>
      <x:c r="D2980" s="43" t="n">
        <x:v>5848.554391112014</x:v>
      </x:c>
      <x:c r="E2980" s="43" t="n">
        <x:v>61980.74056349898</x:v>
      </x:c>
      <x:c r="F2980" s="43" t="n">
        <x:v>2945.9346629409915</x:v>
      </x:c>
      <x:c r="G2980" s="43" t="n">
        <x:v>176752.05804529553</x:v>
      </x:c>
      <x:c r="H2980" s="43" t="n">
        <x:v>487505.7123371525</x:v>
      </x:c>
      <x:c r="I2980" s="43" t="n">
        <x:v>735033</x:v>
      </x:c>
      <x:c r="J2980" s="43" t="n">
        <x:v>62741</x:v>
      </x:c>
      <x:c r="K2980" s="43" t="n">
        <x:v>6211.958197240548</x:v>
      </x:c>
      <x:c r="L2980" s="43" t="n">
        <x:v>3266.023534299556</x:v>
      </x:c>
    </x:row>
    <x:row r="2981" ht="15" hidden="0" customHeight="1">
      <x:c r="A2981" s="29" t="str">
        <x:v>34029</x:v>
      </x:c>
      <x:c r="B2981" s="29" t="str">
        <x:v>SCA-30</x:v>
      </x:c>
      <x:c r="C2981" s="44" t="n">
        <x:v>673746</x:v>
      </x:c>
      <x:c r="D2981" s="44" t="n">
        <x:v>6315.4219731788935</x:v>
      </x:c>
      <x:c r="E2981" s="44" t="n">
        <x:v>79721.26205179073</x:v>
      </x:c>
      <x:c r="F2981" s="44" t="n">
        <x:v>2700.30283731185</x:v>
      </x:c>
      <x:c r="G2981" s="44" t="n">
        <x:v>20961.64299675923</x:v>
      </x:c>
      <x:c r="H2981" s="44" t="n">
        <x:v>564047.3701409593</x:v>
      </x:c>
      <x:c r="I2981" s="44" t="n">
        <x:v>673746</x:v>
      </x:c>
      <x:c r="J2981" s="44" t="n">
        <x:v>80021</x:v>
      </x:c>
      <x:c r="K2981" s="44" t="n">
        <x:v>5694.005558332796</x:v>
      </x:c>
      <x:c r="L2981" s="44" t="n">
        <x:v>2993.702721020946</x:v>
      </x:c>
    </x:row>
    <x:row r="2982" ht="15" hidden="0" customHeight="1">
      <x:c r="A2982" s="27" t="str">
        <x:v>34025</x:v>
      </x:c>
      <x:c r="B2982" s="27" t="str">
        <x:v>SCA-30</x:v>
      </x:c>
      <x:c r="C2982" s="43" t="n">
        <x:v>651035</x:v>
      </x:c>
      <x:c r="D2982" s="43" t="n">
        <x:v>5582.764144399312</x:v>
      </x:c>
      <x:c r="E2982" s="43" t="n">
        <x:v>64559.39515197433</x:v>
      </x:c>
      <x:c r="F2982" s="43" t="n">
        <x:v>2609.279547024131</x:v>
      </x:c>
      <x:c r="G2982" s="43" t="n">
        <x:v>25187.964480082064</x:v>
      </x:c>
      <x:c r="H2982" s="43" t="n">
        <x:v>553095.5966765202</x:v>
      </x:c>
      <x:c r="I2982" s="43" t="n">
        <x:v>651035</x:v>
      </x:c>
      <x:c r="J2982" s="43" t="n">
        <x:v>66260</x:v>
      </x:c>
      <x:c r="K2982" s="43" t="n">
        <x:v>5502.068893424513</x:v>
      </x:c>
      <x:c r="L2982" s="43" t="n">
        <x:v>2892.7893464003814</x:v>
      </x:c>
    </x:row>
    <x:row r="2983" ht="15" hidden="0" customHeight="1">
      <x:c r="A2983" s="29" t="str">
        <x:v>42017</x:v>
      </x:c>
      <x:c r="B2983" s="29" t="str">
        <x:v>SCA-30</x:v>
      </x:c>
      <x:c r="C2983" s="44" t="n">
        <x:v>647828</x:v>
      </x:c>
      <x:c r="D2983" s="44" t="n">
        <x:v>7500.187084724784</x:v>
      </x:c>
      <x:c r="E2983" s="44" t="n">
        <x:v>71377.75527010657</x:v>
      </x:c>
      <x:c r="F2983" s="44" t="n">
        <x:v>4223.712848324622</x:v>
      </x:c>
      <x:c r="G2983" s="44" t="n">
        <x:v>17967.49423432777</x:v>
      </x:c>
      <x:c r="H2983" s="44" t="n">
        <x:v>546758.8505625163</x:v>
      </x:c>
      <x:c r="I2983" s="44" t="n">
        <x:v>647828</x:v>
      </x:c>
      <x:c r="J2983" s="44" t="n">
        <x:v>73622</x:v>
      </x:c>
      <x:c r="K2983" s="44" t="n">
        <x:v>8749.826796794965</x:v>
      </x:c>
      <x:c r="L2983" s="44" t="n">
        <x:v>4526.113948470343</x:v>
      </x:c>
    </x:row>
    <x:row r="2984" ht="15" hidden="0" customHeight="1">
      <x:c r="A2984" s="27" t="str">
        <x:v>09190</x:v>
      </x:c>
      <x:c r="B2984" s="27" t="str">
        <x:v>SCA-30</x:v>
      </x:c>
      <x:c r="C2984" s="43" t="n">
        <x:v>640482</x:v>
      </x:c>
      <x:c r="D2984" s="43" t="n">
        <x:v>6056.887128463871</x:v>
      </x:c>
      <x:c r="E2984" s="43" t="n">
        <x:v>58208.332409569484</x:v>
      </x:c>
      <x:c r="F2984" s="43" t="n">
        <x:v>2450.242463804743</x:v>
      </x:c>
      <x:c r="G2984" s="43" t="n">
        <x:v>22688.051863365505</x:v>
      </x:c>
      <x:c r="H2984" s="43" t="n">
        <x:v>551078.4861347964</x:v>
      </x:c>
      <x:c r="I2984" s="43" t="n">
        <x:v>640482</x:v>
      </x:c>
      <x:c r="J2984" s="43" t="n">
        <x:v>58957</x:v>
      </x:c>
      <x:c r="K2984" s="43" t="n">
        <x:v>6081.782408536552</x:v>
      </x:c>
      <x:c r="L2984" s="43" t="n">
        <x:v>3631.539944731809</x:v>
      </x:c>
    </x:row>
    <x:row r="2985" ht="15" hidden="0" customHeight="1">
      <x:c r="A2985" s="29" t="str">
        <x:v>24003</x:v>
      </x:c>
      <x:c r="B2985" s="29" t="str">
        <x:v>SCA-30</x:v>
      </x:c>
      <x:c r="C2985" s="44" t="n">
        <x:v>603380</x:v>
      </x:c>
      <x:c r="D2985" s="44" t="n">
        <x:v>5400.88608975931</x:v>
      </x:c>
      <x:c r="E2985" s="44" t="n">
        <x:v>62283.94416752379</x:v>
      </x:c>
      <x:c r="F2985" s="44" t="n">
        <x:v>2847.917440043209</x:v>
      </x:c>
      <x:c r="G2985" s="44" t="n">
        <x:v>13322.403887681494</x:v>
      </x:c>
      <x:c r="H2985" s="44" t="n">
        <x:v>519524.84841499216</x:v>
      </x:c>
      <x:c r="I2985" s="44" t="n">
        <x:v>603380</x:v>
      </x:c>
      <x:c r="J2985" s="44" t="n">
        <x:v>61993</x:v>
      </x:c>
      <x:c r="K2985" s="44" t="n">
        <x:v>5653.6391894890285</x:v>
      </x:c>
      <x:c r="L2985" s="44" t="n">
        <x:v>2805.7217494458196</x:v>
      </x:c>
    </x:row>
    <x:row r="2986" ht="15" hidden="0" customHeight="1">
      <x:c r="A2986" s="27" t="str">
        <x:v>34039</x:v>
      </x:c>
      <x:c r="B2986" s="27" t="str">
        <x:v>SCA-30</x:v>
      </x:c>
      <x:c r="C2986" s="43" t="n">
        <x:v>601863</x:v>
      </x:c>
      <x:c r="D2986" s="43" t="n">
        <x:v>4867.789912388317</x:v>
      </x:c>
      <x:c r="E2986" s="43" t="n">
        <x:v>52643.75885975365</x:v>
      </x:c>
      <x:c r="F2986" s="43" t="n">
        <x:v>2412.2033623546877</x:v>
      </x:c>
      <x:c r="G2986" s="43" t="n">
        <x:v>39050.35099313625</x:v>
      </x:c>
      <x:c r="H2986" s="43" t="n">
        <x:v>502888.89687236707</x:v>
      </x:c>
      <x:c r="I2986" s="43" t="n">
        <x:v>601863</x:v>
      </x:c>
      <x:c r="J2986" s="43" t="n">
        <x:v>52527</x:v>
      </x:c>
      <x:c r="K2986" s="43" t="n">
        <x:v>5086.503322253269</x:v>
      </x:c>
      <x:c r="L2986" s="43" t="n">
        <x:v>2674.299959898581</x:v>
      </x:c>
    </x:row>
    <x:row r="2987" ht="15" hidden="0" customHeight="1">
      <x:c r="A2987" s="29" t="str">
        <x:v>10003</x:v>
      </x:c>
      <x:c r="B2987" s="29" t="str">
        <x:v>SCA-30</x:v>
      </x:c>
      <x:c r="C2987" s="44" t="n">
        <x:v>588026</x:v>
      </x:c>
      <x:c r="D2987" s="44" t="n">
        <x:v>5652.8031666906545</x:v>
      </x:c>
      <x:c r="E2987" s="44" t="n">
        <x:v>72980.80259452337</x:v>
      </x:c>
      <x:c r="F2987" s="44" t="n">
        <x:v>2946.489972982528</x:v>
      </x:c>
      <x:c r="G2987" s="44" t="n">
        <x:v>25299.122536487237</x:v>
      </x:c>
      <x:c r="H2987" s="44" t="n">
        <x:v>481146.7817293162</x:v>
      </x:c>
      <x:c r="I2987" s="44" t="n">
        <x:v>588026</x:v>
      </x:c>
      <x:c r="J2987" s="44" t="n">
        <x:v>73779</x:v>
      </x:c>
      <x:c r="K2987" s="44" t="n">
        <x:v>5558.426364901376</x:v>
      </x:c>
      <x:c r="L2987" s="44" t="n">
        <x:v>2611.9363919188477</x:v>
      </x:c>
    </x:row>
    <x:row r="2988" ht="15" hidden="0" customHeight="1">
      <x:c r="A2988" s="27" t="str">
        <x:v>42045</x:v>
      </x:c>
      <x:c r="B2988" s="27" t="str">
        <x:v>SCA-30</x:v>
      </x:c>
      <x:c r="C2988" s="43" t="n">
        <x:v>580937</x:v>
      </x:c>
      <x:c r="D2988" s="43" t="n">
        <x:v>6961.637294504847</x:v>
      </x:c>
      <x:c r="E2988" s="43" t="n">
        <x:v>69668.73329372502</x:v>
      </x:c>
      <x:c r="F2988" s="43" t="n">
        <x:v>3787.5965085904913</x:v>
      </x:c>
      <x:c r="G2988" s="43" t="n">
        <x:v>31742.592780039366</x:v>
      </x:c>
      <x:c r="H2988" s="43" t="n">
        <x:v>468776.4401231403</x:v>
      </x:c>
      <x:c r="I2988" s="43" t="n">
        <x:v>580937</x:v>
      </x:c>
      <x:c r="J2988" s="43" t="n">
        <x:v>71531</x:v>
      </x:c>
      <x:c r="K2988" s="43" t="n">
        <x:v>7846.369915856796</x:v>
      </x:c>
      <x:c r="L2988" s="43" t="n">
        <x:v>4058.7734072663047</x:v>
      </x:c>
    </x:row>
    <x:row r="2989" ht="15" hidden="0" customHeight="1">
      <x:c r="A2989" s="29" t="str">
        <x:v>09170</x:v>
      </x:c>
      <x:c r="B2989" s="29" t="str">
        <x:v>SCA-30</x:v>
      </x:c>
      <x:c r="C2989" s="44" t="n">
        <x:v>578741</x:v>
      </x:c>
      <x:c r="D2989" s="44" t="n">
        <x:v>6039.251975750772</x:v>
      </x:c>
      <x:c r="E2989" s="44" t="n">
        <x:v>66186.82023021812</x:v>
      </x:c>
      <x:c r="F2989" s="44" t="n">
        <x:v>2214.044694066064</x:v>
      </x:c>
      <x:c r="G2989" s="44" t="n">
        <x:v>40256.26346987994</x:v>
      </x:c>
      <x:c r="H2989" s="44" t="n">
        <x:v>464044.61963008513</x:v>
      </x:c>
      <x:c r="I2989" s="44" t="n">
        <x:v>578741</x:v>
      </x:c>
      <x:c r="J2989" s="44" t="n">
        <x:v>67425</x:v>
      </x:c>
      <x:c r="K2989" s="44" t="n">
        <x:v>5495.512493557747</x:v>
      </x:c>
      <x:c r="L2989" s="44" t="n">
        <x:v>3281.467799491683</x:v>
      </x:c>
    </x:row>
    <x:row r="2990" ht="15" hidden="0" customHeight="1">
      <x:c r="A2990" s="27" t="str">
        <x:v>24510</x:v>
      </x:c>
      <x:c r="B2990" s="27" t="str">
        <x:v>SCA-30</x:v>
      </x:c>
      <x:c r="C2990" s="43" t="n">
        <x:v>569997</x:v>
      </x:c>
      <x:c r="D2990" s="43" t="n">
        <x:v>6417.452797384974</x:v>
      </x:c>
      <x:c r="E2990" s="43" t="n">
        <x:v>90407.09425704308</x:v>
      </x:c>
      <x:c r="F2990" s="43" t="n">
        <x:v>2690.351680652838</x:v>
      </x:c>
      <x:c r="G2990" s="43" t="n">
        <x:v>97350.1301086513</x:v>
      </x:c>
      <x:c r="H2990" s="43" t="n">
        <x:v>373131.9711562678</x:v>
      </x:c>
      <x:c r="I2990" s="43" t="n">
        <x:v>569997</x:v>
      </x:c>
      <x:c r="J2990" s="43" t="n">
        <x:v>93534</x:v>
      </x:c>
      <x:c r="K2990" s="43" t="n">
        <x:v>5340.842217327684</x:v>
      </x:c>
      <x:c r="L2990" s="43" t="n">
        <x:v>2650.490536674846</x:v>
      </x:c>
    </x:row>
    <x:row r="2991" ht="15" hidden="0" customHeight="1">
      <x:c r="A2991" s="29" t="str">
        <x:v>42071</x:v>
      </x:c>
      <x:c r="B2991" s="29" t="str">
        <x:v>SCA-30</x:v>
      </x:c>
      <x:c r="C2991" s="44" t="n">
        <x:v>563159</x:v>
      </x:c>
      <x:c r="D2991" s="44" t="n">
        <x:v>6589.591133758008</x:v>
      </x:c>
      <x:c r="E2991" s="44" t="n">
        <x:v>63720.6112694199</x:v>
      </x:c>
      <x:c r="F2991" s="44" t="n">
        <x:v>3671.687398429283</x:v>
      </x:c>
      <x:c r="G2991" s="44" t="n">
        <x:v>39874.35446494626</x:v>
      </x:c>
      <x:c r="H2991" s="44" t="n">
        <x:v>449302.75573344657</x:v>
      </x:c>
      <x:c r="I2991" s="44" t="n">
        <x:v>563159</x:v>
      </x:c>
      <x:c r="J2991" s="44" t="n">
        <x:v>65001</x:v>
      </x:c>
      <x:c r="K2991" s="44" t="n">
        <x:v>7606.253062628129</x:v>
      </x:c>
      <x:c r="L2991" s="44" t="n">
        <x:v>3934.5656641988458</x:v>
      </x:c>
    </x:row>
    <x:row r="2992" ht="15" hidden="0" customHeight="1">
      <x:c r="A2992" s="27" t="str">
        <x:v>42029</x:v>
      </x:c>
      <x:c r="B2992" s="27" t="str">
        <x:v>SCA-30</x:v>
      </x:c>
      <x:c r="C2992" s="43" t="n">
        <x:v>557116</x:v>
      </x:c>
      <x:c r="D2992" s="43" t="n">
        <x:v>6028.067040832779</x:v>
      </x:c>
      <x:c r="E2992" s="43" t="n">
        <x:v>51257.313351541976</x:v>
      </x:c>
      <x:c r="F2992" s="43" t="n">
        <x:v>3632.288211079515</x:v>
      </x:c>
      <x:c r="G2992" s="43" t="n">
        <x:v>15446.698961224443</x:v>
      </x:c>
      <x:c r="H2992" s="43" t="n">
        <x:v>480751.6324353213</x:v>
      </x:c>
      <x:c r="I2992" s="43" t="n">
        <x:v>557116</x:v>
      </x:c>
      <x:c r="J2992" s="43" t="n">
        <x:v>52072</x:v>
      </x:c>
      <x:c r="K2992" s="43" t="n">
        <x:v>7524.633862264712</x:v>
      </x:c>
      <x:c r="L2992" s="43" t="n">
        <x:v>3892.345651185197</x:v>
      </x:c>
    </x:row>
    <x:row r="2993" ht="15" hidden="0" customHeight="1">
      <x:c r="A2993" s="29" t="str">
        <x:v>34007</x:v>
      </x:c>
      <x:c r="B2993" s="29" t="str">
        <x:v>SCA-30</x:v>
      </x:c>
      <x:c r="C2993" s="44" t="n">
        <x:v>535799</x:v>
      </x:c>
      <x:c r="D2993" s="44" t="n">
        <x:v>5457.264946034824</x:v>
      </x:c>
      <x:c r="E2993" s="44" t="n">
        <x:v>73836.28266239955</x:v>
      </x:c>
      <x:c r="F2993" s="44" t="n">
        <x:v>2147.425825056998</x:v>
      </x:c>
      <x:c r="G2993" s="44" t="n">
        <x:v>32244.99522438683</x:v>
      </x:c>
      <x:c r="H2993" s="44" t="n">
        <x:v>422113.0313421218</x:v>
      </x:c>
      <x:c r="I2993" s="44" t="n">
        <x:v>535799</x:v>
      </x:c>
      <x:c r="J2993" s="44" t="n">
        <x:v>74996</x:v>
      </x:c>
      <x:c r="K2993" s="44" t="n">
        <x:v>4528.178993491841</x:v>
      </x:c>
      <x:c r="L2993" s="44" t="n">
        <x:v>2380.753168434843</x:v>
      </x:c>
    </x:row>
    <x:row r="2994" ht="15" hidden="0" customHeight="1">
      <x:c r="A2994" s="27" t="str">
        <x:v>34031</x:v>
      </x:c>
      <x:c r="B2994" s="27" t="str">
        <x:v>SCA-30</x:v>
      </x:c>
      <x:c r="C2994" s="43" t="n">
        <x:v>531624</x:v>
      </x:c>
      <x:c r="D2994" s="43" t="n">
        <x:v>4402.161935502581</x:v>
      </x:c>
      <x:c r="E2994" s="43" t="n">
        <x:v>48959.03607723087</x:v>
      </x:c>
      <x:c r="F2994" s="43" t="n">
        <x:v>2130.692865832338</x:v>
      </x:c>
      <x:c r="G2994" s="43" t="n">
        <x:v>48330.19536541443</x:v>
      </x:c>
      <x:c r="H2994" s="43" t="n">
        <x:v>427801.9137560198</x:v>
      </x:c>
      <x:c r="I2994" s="43" t="n">
        <x:v>531624</x:v>
      </x:c>
      <x:c r="J2994" s="43" t="n">
        <x:v>49700</x:v>
      </x:c>
      <x:c r="K2994" s="43" t="n">
        <x:v>4492.894964783633</x:v>
      </x:c>
      <x:c r="L2994" s="43" t="n">
        <x:v>2362.2020989512953</x:v>
      </x:c>
    </x:row>
    <x:row r="2995" ht="15" hidden="0" customHeight="1">
      <x:c r="A2995" s="29" t="str">
        <x:v>34027</x:v>
      </x:c>
      <x:c r="B2995" s="29" t="str">
        <x:v>SCA-30</x:v>
      </x:c>
      <x:c r="C2995" s="44" t="n">
        <x:v>524251</x:v>
      </x:c>
      <x:c r="D2995" s="44" t="n">
        <x:v>4212.831082840867</x:v>
      </x:c>
      <x:c r="E2995" s="44" t="n">
        <x:v>45201.3588102965</x:v>
      </x:c>
      <x:c r="F2995" s="44" t="n">
        <x:v>2101.1426602363126</x:v>
      </x:c>
      <x:c r="G2995" s="44" t="n">
        <x:v>14098.335813514408</x:v>
      </x:c>
      <x:c r="H2995" s="44" t="n">
        <x:v>458637.33163311187</x:v>
      </x:c>
      <x:c r="I2995" s="44" t="n">
        <x:v>524251</x:v>
      </x:c>
      <x:c r="J2995" s="44" t="n">
        <x:v>45857</x:v>
      </x:c>
      <x:c r="K2995" s="44" t="n">
        <x:v>4430.583792648159</x:v>
      </x:c>
      <x:c r="L2995" s="44" t="n">
        <x:v>2329.4411324118464</x:v>
      </x:c>
    </x:row>
    <x:row r="2996" ht="15" hidden="0" customHeight="1">
      <x:c r="A2996" s="27" t="str">
        <x:v>36085</x:v>
      </x:c>
      <x:c r="B2996" s="27" t="str">
        <x:v>SCA-30</x:v>
      </x:c>
      <x:c r="C2996" s="43" t="n">
        <x:v>501290</x:v>
      </x:c>
      <x:c r="D2996" s="43" t="n">
        <x:v>4886.140514029174</x:v>
      </x:c>
      <x:c r="E2996" s="43" t="n">
        <x:v>53453.31168518891</x:v>
      </x:c>
      <x:c r="F2996" s="43" t="n">
        <x:v>1677.2654181370622</x:v>
      </x:c>
      <x:c r="G2996" s="43" t="n">
        <x:v>48623.78072546998</x:v>
      </x:c>
      <x:c r="H2996" s="43" t="n">
        <x:v>392649.5016571749</x:v>
      </x:c>
      <x:c r="I2996" s="43" t="n">
        <x:v>501290</x:v>
      </x:c>
      <x:c r="J2996" s="43" t="n">
        <x:v>54601</x:v>
      </x:c>
      <x:c r="K2996" s="43" t="n">
        <x:v>4336.1846119500315</x:v>
      </x:c>
      <x:c r="L2996" s="43" t="n">
        <x:v>2658.9191938129693</x:v>
      </x:c>
    </x:row>
    <x:row r="2997" ht="15" hidden="0" customHeight="1">
      <x:c r="A2997" s="29" t="str">
        <x:v>34005</x:v>
      </x:c>
      <x:c r="B2997" s="29" t="str">
        <x:v>SCA-30</x:v>
      </x:c>
      <x:c r="C2997" s="44" t="n">
        <x:v>481439</x:v>
      </x:c>
      <x:c r="D2997" s="44" t="n">
        <x:v>4420.564864597345</x:v>
      </x:c>
      <x:c r="E2997" s="44" t="n">
        <x:v>54752.4788614368</x:v>
      </x:c>
      <x:c r="F2997" s="44" t="n">
        <x:v>1929.5566841103023</x:v>
      </x:c>
      <x:c r="G2997" s="44" t="n">
        <x:v>12368.372125143342</x:v>
      </x:c>
      <x:c r="H2997" s="44" t="n">
        <x:v>407968.0274647122</x:v>
      </x:c>
      <x:c r="I2997" s="44" t="n">
        <x:v>481439</x:v>
      </x:c>
      <x:c r="J2997" s="44" t="n">
        <x:v>53822</x:v>
      </x:c>
      <x:c r="K2997" s="44" t="n">
        <x:v>4068.7682628144476</x:v>
      </x:c>
      <x:c r="L2997" s="44" t="n">
        <x:v>2139.2115787041453</x:v>
      </x:c>
    </x:row>
    <x:row r="2998" ht="15" hidden="0" customHeight="1">
      <x:c r="A2998" s="27" t="str">
        <x:v>42133</x:v>
      </x:c>
      <x:c r="B2998" s="27" t="str">
        <x:v>SCA-30</x:v>
      </x:c>
      <x:c r="C2998" s="43" t="n">
        <x:v>473197</x:v>
      </x:c>
      <x:c r="D2998" s="43" t="n">
        <x:v>5950.885178160099</x:v>
      </x:c>
      <x:c r="E2998" s="43" t="n">
        <x:v>63476.34870204237</x:v>
      </x:c>
      <x:c r="F2998" s="43" t="n">
        <x:v>3085.1526156459217</x:v>
      </x:c>
      <x:c r="G2998" s="43" t="n">
        <x:v>14893.37389496317</x:v>
      </x:c>
      <x:c r="H2998" s="43" t="n">
        <x:v>385791.23960918846</x:v>
      </x:c>
      <x:c r="I2998" s="43" t="n">
        <x:v>473197</x:v>
      </x:c>
      <x:c r="J2998" s="43" t="n">
        <x:v>64079</x:v>
      </x:c>
      <x:c r="K2998" s="43" t="n">
        <x:v>6391.189931220922</x:v>
      </x:c>
      <x:c r="L2998" s="43" t="n">
        <x:v>3306.037315575</x:v>
      </x:c>
    </x:row>
    <x:row r="2999" ht="15" hidden="0" customHeight="1">
      <x:c r="A2999" s="29" t="str">
        <x:v>36067</x:v>
      </x:c>
      <x:c r="B2999" s="29" t="str">
        <x:v>SCA-30</x:v>
      </x:c>
      <x:c r="C2999" s="44" t="n">
        <x:v>466584</x:v>
      </x:c>
      <x:c r="D2999" s="44" t="n">
        <x:v>5087.539383389933</x:v>
      </x:c>
      <x:c r="E2999" s="44" t="n">
        <x:v>62704.947525313124</x:v>
      </x:c>
      <x:c r="F2999" s="44" t="n">
        <x:v>1561.142667629642</x:v>
      </x:c>
      <x:c r="G2999" s="44" t="n">
        <x:v>35857.20694192523</x:v>
      </x:c>
      <x:c r="H2999" s="44" t="n">
        <x:v>361373.1634817421</x:v>
      </x:c>
      <x:c r="I2999" s="44" t="n">
        <x:v>466584</x:v>
      </x:c>
      <x:c r="J2999" s="44" t="n">
        <x:v>65217</x:v>
      </x:c>
      <x:c r="K2999" s="44" t="n">
        <x:v>4035.975904131528</x:v>
      </x:c>
      <x:c r="L2999" s="44" t="n">
        <x:v>2474.833236501886</x:v>
      </x:c>
    </x:row>
    <x:row r="3000" ht="15" hidden="0" customHeight="1">
      <x:c r="A3000" s="27" t="str">
        <x:v>09140</x:v>
      </x:c>
      <x:c r="B3000" s="27" t="str">
        <x:v>SCA-30</x:v>
      </x:c>
      <x:c r="C3000" s="43" t="n">
        <x:v>463349</x:v>
      </x:c>
      <x:c r="D3000" s="43" t="n">
        <x:v>5177.789107469562</x:v>
      </x:c>
      <x:c r="E3000" s="43" t="n">
        <x:v>61214.285039533854</x:v>
      </x:c>
      <x:c r="F3000" s="43" t="n">
        <x:v>1772.5984420506175</x:v>
      </x:c>
      <x:c r="G3000" s="43" t="n">
        <x:v>23223.53248376645</x:v>
      </x:c>
      <x:c r="H3000" s="43" t="n">
        <x:v>371960.79492717946</x:v>
      </x:c>
      <x:c r="I3000" s="43" t="n">
        <x:v>463349</x:v>
      </x:c>
      <x:c r="J3000" s="43" t="n">
        <x:v>61927</x:v>
      </x:c>
      <x:c r="K3000" s="43" t="n">
        <x:v>4399.792339539601</x:v>
      </x:c>
      <x:c r="L3000" s="43" t="n">
        <x:v>2627.1938974889836</x:v>
      </x:c>
    </x:row>
    <x:row r="3001" ht="15" hidden="0" customHeight="1">
      <x:c r="A3001" s="29" t="str">
        <x:v>42011</x:v>
      </x:c>
      <x:c r="B3001" s="29" t="str">
        <x:v>SCA-30</x:v>
      </x:c>
      <x:c r="C3001" s="44" t="n">
        <x:v>440072</x:v>
      </x:c>
      <x:c r="D3001" s="44" t="n">
        <x:v>5453.847381517756</x:v>
      </x:c>
      <x:c r="E3001" s="44" t="n">
        <x:v>57101.78716360432</x:v>
      </x:c>
      <x:c r="F3001" s="44" t="n">
        <x:v>2869.184043585509</x:v>
      </x:c>
      <x:c r="G3001" s="44" t="n">
        <x:v>22209.9037074508</x:v>
      </x:c>
      <x:c r="H3001" s="44" t="n">
        <x:v>352437.2777038416</x:v>
      </x:c>
      <x:c r="I3001" s="44" t="n">
        <x:v>440072</x:v>
      </x:c>
      <x:c r="J3001" s="44" t="n">
        <x:v>57981</x:v>
      </x:c>
      <x:c r="K3001" s="44" t="n">
        <x:v>5943.790293286418</x:v>
      </x:c>
      <x:c r="L3001" s="44" t="n">
        <x:v>3074.6062497009093</x:v>
      </x:c>
    </x:row>
    <x:row r="3002" ht="15" hidden="0" customHeight="1">
      <x:c r="A3002" s="27" t="str">
        <x:v>36071</x:v>
      </x:c>
      <x:c r="B3002" s="27" t="str">
        <x:v>SCA-30</x:v>
      </x:c>
      <x:c r="C3002" s="43" t="n">
        <x:v>417669</x:v>
      </x:c>
      <x:c r="D3002" s="43" t="n">
        <x:v>4156.7719417341405</x:v>
      </x:c>
      <x:c r="E3002" s="43" t="n">
        <x:v>46593.393169362476</x:v>
      </x:c>
      <x:c r="F3002" s="43" t="n">
        <x:v>1397.478046495818</x:v>
      </x:c>
      <x:c r="G3002" s="43" t="n">
        <x:v>26560.722909471846</x:v>
      </x:c>
      <x:c r="H3002" s="43" t="n">
        <x:v>338960.6339329357</x:v>
      </x:c>
      <x:c r="I3002" s="43" t="n">
        <x:v>417669</x:v>
      </x:c>
      <x:c r="J3002" s="43" t="n">
        <x:v>46367</x:v>
      </x:c>
      <x:c r="K3002" s="43" t="n">
        <x:v>3612.8586061731885</x:v>
      </x:c>
      <x:c r="L3002" s="43" t="n">
        <x:v>2215.3805596773705</x:v>
      </x:c>
    </x:row>
    <x:row r="3003" ht="15" hidden="0" customHeight="1">
      <x:c r="A3003" s="29" t="str">
        <x:v>34021</x:v>
      </x:c>
      <x:c r="B3003" s="29" t="str">
        <x:v>SCA-30</x:v>
      </x:c>
      <x:c r="C3003" s="44" t="n">
        <x:v>399289</x:v>
      </x:c>
      <x:c r="D3003" s="44" t="n">
        <x:v>3488.8427766383425</x:v>
      </x:c>
      <x:c r="E3003" s="44" t="n">
        <x:v>41151.696916591514</x:v>
      </x:c>
      <x:c r="F3003" s="44" t="n">
        <x:v>1600.3081570909674</x:v>
      </x:c>
      <x:c r="G3003" s="44" t="n">
        <x:v>25062.29950216019</x:v>
      </x:c>
      <x:c r="H3003" s="44" t="n">
        <x:v>327985.852647519</x:v>
      </x:c>
      <x:c r="I3003" s="44" t="n">
        <x:v>399289</x:v>
      </x:c>
      <x:c r="J3003" s="44" t="n">
        <x:v>40951</x:v>
      </x:c>
      <x:c r="K3003" s="44" t="n">
        <x:v>3374.4968955379973</x:v>
      </x:c>
      <x:c r="L3003" s="44" t="n">
        <x:v>1774.1887384470297</x:v>
      </x:c>
    </x:row>
    <x:row r="3004" ht="15" hidden="0" customHeight="1">
      <x:c r="A3004" s="27" t="str">
        <x:v>42077</x:v>
      </x:c>
      <x:c r="B3004" s="27" t="str">
        <x:v>SCA-30</x:v>
      </x:c>
      <x:c r="C3004" s="43" t="n">
        <x:v>384383</x:v>
      </x:c>
      <x:c r="D3004" s="43" t="n">
        <x:v>4710.288244713584</x:v>
      </x:c>
      <x:c r="E3004" s="43" t="n">
        <x:v>48594.20791227681</x:v>
      </x:c>
      <x:c r="F3004" s="43" t="n">
        <x:v>2506.102570092005</x:v>
      </x:c>
      <x:c r="G3004" s="43" t="n">
        <x:v>19879.983103463925</x:v>
      </x:c>
      <x:c r="H3004" s="43" t="n">
        <x:v>308692.4181694537</x:v>
      </x:c>
      <x:c r="I3004" s="43" t="n">
        <x:v>384383</x:v>
      </x:c>
      <x:c r="J3004" s="43" t="n">
        <x:v>49335</x:v>
      </x:c>
      <x:c r="K3004" s="43" t="n">
        <x:v>5191.632151794055</x:v>
      </x:c>
      <x:c r="L3004" s="43" t="n">
        <x:v>2685.52958170205</x:v>
      </x:c>
    </x:row>
    <x:row r="3005" ht="15" hidden="0" customHeight="1">
      <x:c r="A3005" s="29" t="str">
        <x:v>36087</x:v>
      </x:c>
      <x:c r="B3005" s="29" t="str">
        <x:v>SCA-30</x:v>
      </x:c>
      <x:c r="C3005" s="44" t="n">
        <x:v>357397</x:v>
      </x:c>
      <x:c r="D3005" s="44" t="n">
        <x:v>3188.1724461491194</x:v>
      </x:c>
      <x:c r="E3005" s="44" t="n">
        <x:v>31019.612076949536</x:v>
      </x:c>
      <x:c r="F3005" s="44" t="n">
        <x:v>1195.8140570247392</x:v>
      </x:c>
      <x:c r="G3005" s="44" t="n">
        <x:v>23828.541460488825</x:v>
      </x:c>
      <x:c r="H3005" s="44" t="n">
        <x:v>298164.8599593878</x:v>
      </x:c>
      <x:c r="I3005" s="44" t="n">
        <x:v>357397</x:v>
      </x:c>
      <x:c r="J3005" s="44" t="n">
        <x:v>30750</x:v>
      </x:c>
      <x:c r="K3005" s="44" t="n">
        <x:v>3091.502666634294</x:v>
      </x:c>
      <x:c r="L3005" s="44" t="n">
        <x:v>1895.688609609555</x:v>
      </x:c>
    </x:row>
    <x:row r="3006" ht="15" hidden="0" customHeight="1">
      <x:c r="A3006" s="27" t="str">
        <x:v>34035</x:v>
      </x:c>
      <x:c r="B3006" s="27" t="str">
        <x:v>SCA-30</x:v>
      </x:c>
      <x:c r="C3006" s="43" t="n">
        <x:v>356486</x:v>
      </x:c>
      <x:c r="D3006" s="43" t="n">
        <x:v>2810.2048241237603</x:v>
      </x:c>
      <x:c r="E3006" s="43" t="n">
        <x:v>29428.935577320146</x:v>
      </x:c>
      <x:c r="F3006" s="43" t="n">
        <x:v>1428.7582520147832</x:v>
      </x:c>
      <x:c r="G3006" s="43" t="n">
        <x:v>9614.444335653463</x:v>
      </x:c>
      <x:c r="H3006" s="43" t="n">
        <x:v>313203.65701088787</x:v>
      </x:c>
      <x:c r="I3006" s="43" t="n">
        <x:v>356486</x:v>
      </x:c>
      <x:c r="J3006" s="43" t="n">
        <x:v>29861</x:v>
      </x:c>
      <x:c r="K3006" s="43" t="n">
        <x:v>3012.7574270835376</x:v>
      </x:c>
      <x:c r="L3006" s="43" t="n">
        <x:v>1583.9991750687543</x:v>
      </x:c>
    </x:row>
    <x:row r="3007" ht="15" hidden="0" customHeight="1">
      <x:c r="A3007" s="29" t="str">
        <x:v>09120</x:v>
      </x:c>
      <x:c r="B3007" s="29" t="str">
        <x:v>SCA-30</x:v>
      </x:c>
      <x:c r="C3007" s="44" t="n">
        <x:v>337697</x:v>
      </x:c>
      <x:c r="D3007" s="44" t="n">
        <x:v>3607.2112423276926</x:v>
      </x:c>
      <x:c r="E3007" s="44" t="n">
        <x:v>40619.17341723616</x:v>
      </x:c>
      <x:c r="F3007" s="44" t="n">
        <x:v>1291.9013013628332</x:v>
      </x:c>
      <x:c r="G3007" s="44" t="n">
        <x:v>20948.31760766867</x:v>
      </x:c>
      <x:c r="H3007" s="44" t="n">
        <x:v>271230.39643140463</x:v>
      </x:c>
      <x:c r="I3007" s="44" t="n">
        <x:v>337697</x:v>
      </x:c>
      <x:c r="J3007" s="44" t="n">
        <x:v>40977</x:v>
      </x:c>
      <x:c r="K3007" s="44" t="n">
        <x:v>3206.6469846390187</x:v>
      </x:c>
      <x:c r="L3007" s="44" t="n">
        <x:v>1914.7456832761854</x:v>
      </x:c>
    </x:row>
    <x:row r="3008" ht="15" hidden="0" customHeight="1">
      <x:c r="A3008" s="27" t="str">
        <x:v>42079</x:v>
      </x:c>
      <x:c r="B3008" s="27" t="str">
        <x:v>SCA-30</x:v>
      </x:c>
      <x:c r="C3008" s="43" t="n">
        <x:v>332126</x:v>
      </x:c>
      <x:c r="D3008" s="43" t="n">
        <x:v>4457.940256824713</x:v>
      </x:c>
      <x:c r="E3008" s="43" t="n">
        <x:v>51300.224113137905</x:v>
      </x:c>
      <x:c r="F3008" s="43" t="n">
        <x:v>2165.397070615446</x:v>
      </x:c>
      <x:c r="G3008" s="43" t="n">
        <x:v>17726.492279969003</x:v>
      </x:c>
      <x:c r="H3008" s="43" t="n">
        <x:v>256475.9462794529</x:v>
      </x:c>
      <x:c r="I3008" s="43" t="n">
        <x:v>332126</x:v>
      </x:c>
      <x:c r="J3008" s="43" t="n">
        <x:v>51697</x:v>
      </x:c>
      <x:c r="K3008" s="43" t="n">
        <x:v>4485.8279893927465</x:v>
      </x:c>
      <x:c r="L3008" s="43" t="n">
        <x:v>2320.4309187773006</x:v>
      </x:c>
    </x:row>
    <x:row r="3009" ht="15" hidden="0" customHeight="1">
      <x:c r="A3009" s="29" t="str">
        <x:v>42095</x:v>
      </x:c>
      <x:c r="B3009" s="29" t="str">
        <x:v>SCA-30</x:v>
      </x:c>
      <x:c r="C3009" s="44" t="n">
        <x:v>324411</x:v>
      </x:c>
      <x:c r="D3009" s="44" t="n">
        <x:v>3876.1474591102315</x:v>
      </x:c>
      <x:c r="E3009" s="44" t="n">
        <x:v>38630.835493492115</x:v>
      </x:c>
      <x:c r="F3009" s="44" t="n">
        <x:v>2115.096767718961</x:v>
      </x:c>
      <x:c r="G3009" s="44" t="n">
        <x:v>11060.288965622254</x:v>
      </x:c>
      <x:c r="H3009" s="44" t="n">
        <x:v>268728.6313140564</x:v>
      </x:c>
      <x:c r="I3009" s="44" t="n">
        <x:v>324411</x:v>
      </x:c>
      <x:c r="J3009" s="44" t="n">
        <x:v>39102</x:v>
      </x:c>
      <x:c r="K3009" s="44" t="n">
        <x:v>4381.626081267021</x:v>
      </x:c>
      <x:c r="L3009" s="44" t="n">
        <x:v>2266.5293135480597</x:v>
      </x:c>
    </x:row>
    <x:row r="3010" ht="15" hidden="0" customHeight="1">
      <x:c r="A3010" s="27" t="str">
        <x:v>36001</x:v>
      </x:c>
      <x:c r="B3010" s="27" t="str">
        <x:v>SCA-30</x:v>
      </x:c>
      <x:c r="C3010" s="43" t="n">
        <x:v>321225</x:v>
      </x:c>
      <x:c r="D3010" s="43" t="n">
        <x:v>3359.163109003036</x:v>
      </x:c>
      <x:c r="E3010" s="43" t="n">
        <x:v>39728.072303675435</x:v>
      </x:c>
      <x:c r="F3010" s="43" t="n">
        <x:v>1074.7862194360107</x:v>
      </x:c>
      <x:c r="G3010" s="43" t="n">
        <x:v>23583.879337662627</x:v>
      </x:c>
      <x:c r="H3010" s="43" t="n">
        <x:v>253479.0990302229</x:v>
      </x:c>
      <x:c r="I3010" s="43" t="n">
        <x:v>321225</x:v>
      </x:c>
      <x:c r="J3010" s="43" t="n">
        <x:v>40411</x:v>
      </x:c>
      <x:c r="K3010" s="43" t="n">
        <x:v>2778.61298245257</x:v>
      </x:c>
      <x:c r="L3010" s="43" t="n">
        <x:v>1703.8267630165594</x:v>
      </x:c>
    </x:row>
    <x:row r="3011" ht="15" hidden="0" customHeight="1">
      <x:c r="A3011" s="29" t="str">
        <x:v>34015</x:v>
      </x:c>
      <x:c r="B3011" s="29" t="str">
        <x:v>SCA-30</x:v>
      </x:c>
      <x:c r="C3011" s="44" t="n">
        <x:v>312638</x:v>
      </x:c>
      <x:c r="D3011" s="44" t="n">
        <x:v>3049.11141021501</x:v>
      </x:c>
      <x:c r="E3011" s="44" t="n">
        <x:v>39838.68288258812</x:v>
      </x:c>
      <x:c r="F3011" s="44" t="n">
        <x:v>1253.0200972644027</x:v>
      </x:c>
      <x:c r="G3011" s="44" t="n">
        <x:v>8017.412868650252</x:v>
      </x:c>
      <x:c r="H3011" s="44" t="n">
        <x:v>260479.7727412822</x:v>
      </x:c>
      <x:c r="I3011" s="44" t="n">
        <x:v>312638</x:v>
      </x:c>
      <x:c r="J3011" s="44" t="n">
        <x:v>40570</x:v>
      </x:c>
      <x:c r="K3011" s="44" t="n">
        <x:v>2642.1863873715743</x:v>
      </x:c>
      <x:c r="L3011" s="44" t="n">
        <x:v>1389.1662901071716</x:v>
      </x:c>
    </x:row>
    <x:row r="3012" ht="15" hidden="0" customHeight="1">
      <x:c r="A3012" s="27" t="str">
        <x:v>36027</x:v>
      </x:c>
      <x:c r="B3012" s="27" t="str">
        <x:v>SCA-30</x:v>
      </x:c>
      <x:c r="C3012" s="43" t="n">
        <x:v>300708</x:v>
      </x:c>
      <x:c r="D3012" s="43" t="n">
        <x:v>3199.214186850606</x:v>
      </x:c>
      <x:c r="E3012" s="43" t="n">
        <x:v>38501.1058729229</x:v>
      </x:c>
      <x:c r="F3012" s="43" t="n">
        <x:v>1006.138421586626</x:v>
      </x:c>
      <x:c r="G3012" s="43" t="n">
        <x:v>12253.719932313235</x:v>
      </x:c>
      <x:c r="H3012" s="43" t="n">
        <x:v>245747.82158632664</x:v>
      </x:c>
      <x:c r="I3012" s="43" t="n">
        <x:v>300708</x:v>
      </x:c>
      <x:c r="J3012" s="43" t="n">
        <x:v>38935</x:v>
      </x:c>
      <x:c r="K3012" s="43" t="n">
        <x:v>2601.1398637321113</x:v>
      </x:c>
      <x:c r="L3012" s="43" t="n">
        <x:v>1595.0014421454853</x:v>
      </x:c>
    </x:row>
    <x:row r="3013" ht="15" hidden="0" customHeight="1">
      <x:c r="A3013" s="29" t="str">
        <x:v>42043</x:v>
      </x:c>
      <x:c r="B3013" s="29" t="str">
        <x:v>SCA-30</x:v>
      </x:c>
      <x:c r="C3013" s="44" t="n">
        <x:v>293351</x:v>
      </x:c>
      <x:c r="D3013" s="44" t="n">
        <x:v>3694.3636813116273</x:v>
      </x:c>
      <x:c r="E3013" s="44" t="n">
        <x:v>39476.11459976506</x:v>
      </x:c>
      <x:c r="F3013" s="44" t="n">
        <x:v>1912.5915949432197</x:v>
      </x:c>
      <x:c r="G3013" s="44" t="n">
        <x:v>17629.818509817083</x:v>
      </x:c>
      <x:c r="H3013" s="44" t="n">
        <x:v>230638.11161416303</x:v>
      </x:c>
      <x:c r="I3013" s="44" t="n">
        <x:v>293351</x:v>
      </x:c>
      <x:c r="J3013" s="44" t="n">
        <x:v>40095</x:v>
      </x:c>
      <x:c r="K3013" s="44" t="n">
        <x:v>3962.1171679313024</x:v>
      </x:c>
      <x:c r="L3013" s="44" t="n">
        <x:v>2049.525572988083</x:v>
      </x:c>
    </x:row>
    <x:row r="3014" ht="15" hidden="0" customHeight="1">
      <x:c r="A3014" s="27" t="str">
        <x:v>34001</x:v>
      </x:c>
      <x:c r="B3014" s="27" t="str">
        <x:v>SCA-30</x:v>
      </x:c>
      <x:c r="C3014" s="43" t="n">
        <x:v>278657</x:v>
      </x:c>
      <x:c r="D3014" s="43" t="n">
        <x:v>2866.2358668773336</x:v>
      </x:c>
      <x:c r="E3014" s="43" t="n">
        <x:v>39073.433533715164</x:v>
      </x:c>
      <x:c r="F3014" s="43" t="n">
        <x:v>1116.8278368061672</x:v>
      </x:c>
      <x:c r="G3014" s="43" t="n">
        <x:v>19218.704839978775</x:v>
      </x:c>
      <x:c r="H3014" s="43" t="n">
        <x:v>216381.79792262256</x:v>
      </x:c>
      <x:c r="I3014" s="43" t="n">
        <x:v>278657</x:v>
      </x:c>
      <x:c r="J3014" s="43" t="n">
        <x:v>39911</x:v>
      </x:c>
      <x:c r="K3014" s="43" t="n">
        <x:v>2355.003973112036</x:v>
      </x:c>
      <x:c r="L3014" s="43" t="n">
        <x:v>1238.1761363058686</x:v>
      </x:c>
    </x:row>
    <x:row r="3015" ht="15" hidden="0" customHeight="1">
      <x:c r="A3015" s="29" t="str">
        <x:v>10005</x:v>
      </x:c>
      <x:c r="B3015" s="29" t="str">
        <x:v>SCA-30</x:v>
      </x:c>
      <x:c r="C3015" s="44" t="n">
        <x:v>277140</x:v>
      </x:c>
      <x:c r="D3015" s="44" t="n">
        <x:v>2878.4670451441875</x:v>
      </x:c>
      <x:c r="E3015" s="44" t="n">
        <x:v>39538.717445755115</x:v>
      </x:c>
      <x:c r="F3015" s="44" t="n">
        <x:v>1388.6974914585032</x:v>
      </x:c>
      <x:c r="G3015" s="44" t="n">
        <x:v>4930.817064152704</x:v>
      </x:c>
      <x:c r="H3015" s="44" t="n">
        <x:v>228403.3009534895</x:v>
      </x:c>
      <x:c r="I3015" s="44" t="n">
        <x:v>277140</x:v>
      </x:c>
      <x:c r="J3015" s="44" t="n">
        <x:v>37581</x:v>
      </x:c>
      <x:c r="K3015" s="44" t="n">
        <x:v>2619.717976362894</x:v>
      </x:c>
      <x:c r="L3015" s="44" t="n">
        <x:v>1231.020484904391</x:v>
      </x:c>
    </x:row>
    <x:row r="3016" ht="15" hidden="0" customHeight="1">
      <x:c r="A3016" s="27" t="str">
        <x:v>24025</x:v>
      </x:c>
      <x:c r="B3016" s="27" t="str">
        <x:v>SCA-30</x:v>
      </x:c>
      <x:c r="C3016" s="43" t="n">
        <x:v>266446</x:v>
      </x:c>
      <x:c r="D3016" s="43" t="n">
        <x:v>2439.604171818304</x:v>
      </x:c>
      <x:c r="E3016" s="43" t="n">
        <x:v>28815.07618836107</x:v>
      </x:c>
      <x:c r="F3016" s="43" t="n">
        <x:v>1257.609152159092</x:v>
      </x:c>
      <x:c r="G3016" s="43" t="n">
        <x:v>6908.446989944785</x:v>
      </x:c>
      <x:c r="H3016" s="43" t="n">
        <x:v>227025.26349771678</x:v>
      </x:c>
      <x:c r="I3016" s="43" t="n">
        <x:v>266446</x:v>
      </x:c>
      <x:c r="J3016" s="43" t="n">
        <x:v>29420</x:v>
      </x:c>
      <x:c r="K3016" s="43" t="n">
        <x:v>2496.5851494623516</x:v>
      </x:c>
      <x:c r="L3016" s="43" t="n">
        <x:v>1238.9759973032596</x:v>
      </x:c>
    </x:row>
    <x:row r="3017" ht="15" hidden="0" customHeight="1">
      <x:c r="A3017" s="29" t="str">
        <x:v>36065</x:v>
      </x:c>
      <x:c r="B3017" s="29" t="str">
        <x:v>SCA-30</x:v>
      </x:c>
      <x:c r="C3017" s="44" t="n">
        <x:v>226392</x:v>
      </x:c>
      <x:c r="D3017" s="44" t="n">
        <x:v>2616.6136442191228</x:v>
      </x:c>
      <x:c r="E3017" s="44" t="n">
        <x:v>33979.09647117947</x:v>
      </x:c>
      <x:c r="F3017" s="44" t="n">
        <x:v>757.4846347281728</x:v>
      </x:c>
      <x:c r="G3017" s="44" t="n">
        <x:v>16455.5222290027</x:v>
      </x:c>
      <x:c r="H3017" s="44" t="n">
        <x:v>172583.28302087053</x:v>
      </x:c>
      <x:c r="I3017" s="44" t="n">
        <x:v>226392</x:v>
      </x:c>
      <x:c r="J3017" s="44" t="n">
        <x:v>34843</x:v>
      </x:c>
      <x:c r="K3017" s="44" t="n">
        <x:v>1958.3025926481507</x:v>
      </x:c>
      <x:c r="L3017" s="44" t="n">
        <x:v>1200.817957919978</x:v>
      </x:c>
    </x:row>
    <x:row r="3018" ht="15" hidden="0" customHeight="1">
      <x:c r="A3018" s="27" t="str">
        <x:v>42069</x:v>
      </x:c>
      <x:c r="B3018" s="27" t="str">
        <x:v>SCA-30</x:v>
      </x:c>
      <x:c r="C3018" s="43" t="n">
        <x:v>216502</x:v>
      </x:c>
      <x:c r="D3018" s="43" t="n">
        <x:v>2935.133590054843</x:v>
      </x:c>
      <x:c r="E3018" s="43" t="n">
        <x:v>34140.506479114425</x:v>
      </x:c>
      <x:c r="F3018" s="43" t="n">
        <x:v>1411.551027569011</x:v>
      </x:c>
      <x:c r="G3018" s="43" t="n">
        <x:v>11021.296333322356</x:v>
      </x:c>
      <x:c r="H3018" s="43" t="n">
        <x:v>166993.51256993937</x:v>
      </x:c>
      <x:c r="I3018" s="43" t="n">
        <x:v>216502</x:v>
      </x:c>
      <x:c r="J3018" s="43" t="n">
        <x:v>34916</x:v>
      </x:c>
      <x:c r="K3018" s="43" t="n">
        <x:v>2924.1635143274193</x:v>
      </x:c>
      <x:c r="L3018" s="43" t="n">
        <x:v>1512.6124867584083</x:v>
      </x:c>
    </x:row>
    <x:row r="3019" ht="15" hidden="0" customHeight="1">
      <x:c r="A3019" s="29" t="str">
        <x:v>36007</x:v>
      </x:c>
      <x:c r="B3019" s="29" t="str">
        <x:v>SCA-30</x:v>
      </x:c>
      <x:c r="C3019" s="44" t="n">
        <x:v>195736</x:v>
      </x:c>
      <x:c r="D3019" s="44" t="n">
        <x:v>2298.3359962734003</x:v>
      </x:c>
      <x:c r="E3019" s="44" t="n">
        <x:v>30242.932159111933</x:v>
      </x:c>
      <x:c r="F3019" s="44" t="n">
        <x:v>654.912772815089</x:v>
      </x:c>
      <x:c r="G3019" s="44" t="n">
        <x:v>15267.834204440333</x:v>
      </x:c>
      <x:c r="H3019" s="44" t="n">
        <x:v>147271.98486735925</x:v>
      </x:c>
      <x:c r="I3019" s="44" t="n">
        <x:v>195736</x:v>
      </x:c>
      <x:c r="J3019" s="44" t="n">
        <x:v>31317</x:v>
      </x:c>
      <x:c r="K3019" s="44" t="n">
        <x:v>1693.126595792159</x:v>
      </x:c>
      <x:c r="L3019" s="44" t="n">
        <x:v>1038.2138229770699</x:v>
      </x:c>
    </x:row>
    <x:row r="3020" ht="15" hidden="0" customHeight="1">
      <x:c r="A3020" s="27" t="str">
        <x:v>10001</x:v>
      </x:c>
      <x:c r="B3020" s="27" t="str">
        <x:v>SCA-30</x:v>
      </x:c>
      <x:c r="C3020" s="43" t="n">
        <x:v>194786</x:v>
      </x:c>
      <x:c r="D3020" s="43" t="n">
        <x:v>2159.6876376642836</x:v>
      </x:c>
      <x:c r="E3020" s="43" t="n">
        <x:v>31067.354468906073</x:v>
      </x:c>
      <x:c r="F3020" s="43" t="n">
        <x:v>976.0367668731903</x:v>
      </x:c>
      <x:c r="G3020" s="43" t="n">
        <x:v>6774.6921693196455</x:v>
      </x:c>
      <x:c r="H3020" s="43" t="n">
        <x:v>153808.2289572368</x:v>
      </x:c>
      <x:c r="I3020" s="43" t="n">
        <x:v>194786</x:v>
      </x:c>
      <x:c r="J3020" s="43" t="n">
        <x:v>30571</x:v>
      </x:c>
      <x:c r="K3020" s="43" t="n">
        <x:v>1841.2513016663877</x:v>
      </x:c>
      <x:c r="L3020" s="43" t="n">
        <x:v>865.2145347931973</x:v>
      </x:c>
    </x:row>
    <x:row r="3021" ht="15" hidden="0" customHeight="1">
      <x:c r="A3021" s="29" t="str">
        <x:v>36111</x:v>
      </x:c>
      <x:c r="B3021" s="29" t="str">
        <x:v>SCA-30</x:v>
      </x:c>
      <x:c r="C3021" s="44" t="n">
        <x:v>183330</x:v>
      </x:c>
      <x:c r="D3021" s="44" t="n">
        <x:v>2021.2572660684018</x:v>
      </x:c>
      <x:c r="E3021" s="44" t="n">
        <x:v>25172.32256485615</x:v>
      </x:c>
      <x:c r="F3021" s="44" t="n">
        <x:v>613.4035570369798</x:v>
      </x:c>
      <x:c r="G3021" s="44" t="n">
        <x:v>7256.417518284882</x:v>
      </x:c>
      <x:c r="H3021" s="44" t="n">
        <x:v>148266.59909375358</x:v>
      </x:c>
      <x:c r="I3021" s="44" t="n">
        <x:v>183330</x:v>
      </x:c>
      <x:c r="J3021" s="44" t="n">
        <x:v>25598</x:v>
      </x:c>
      <x:c r="K3021" s="44" t="n">
        <x:v>1585.8140495697087</x:v>
      </x:c>
      <x:c r="L3021" s="44" t="n">
        <x:v>972.4104925327289</x:v>
      </x:c>
    </x:row>
    <x:row r="3022" ht="15" hidden="0" customHeight="1">
      <x:c r="A3022" s="27" t="str">
        <x:v>09130</x:v>
      </x:c>
      <x:c r="B3022" s="27" t="str">
        <x:v>SCA-30</x:v>
      </x:c>
      <x:c r="C3022" s="43" t="n">
        <x:v>177311</x:v>
      </x:c>
      <x:c r="D3022" s="43" t="n">
        <x:v>1838.373825293735</x:v>
      </x:c>
      <x:c r="E3022" s="43" t="n">
        <x:v>19992.44438650042</x:v>
      </x:c>
      <x:c r="F3022" s="43" t="n">
        <x:v>678.3249825907407</x:v>
      </x:c>
      <x:c r="G3022" s="43" t="n">
        <x:v>5336.328823701864</x:v>
      </x:c>
      <x:c r="H3022" s="43" t="n">
        <x:v>149465.52798191324</x:v>
      </x:c>
      <x:c r="I3022" s="43" t="n">
        <x:v>177311</x:v>
      </x:c>
      <x:c r="J3022" s="43" t="n">
        <x:v>20432</x:v>
      </x:c>
      <x:c r="K3022" s="43" t="n">
        <x:v>1683.6802917802913</x:v>
      </x:c>
      <x:c r="L3022" s="43" t="n">
        <x:v>1005.3553091895507</x:v>
      </x:c>
    </x:row>
    <x:row r="3023" ht="15" hidden="0" customHeight="1">
      <x:c r="A3023" s="29" t="str">
        <x:v>42089</x:v>
      </x:c>
      <x:c r="B3023" s="29" t="str">
        <x:v>SCA-30</x:v>
      </x:c>
      <x:c r="C3023" s="44" t="n">
        <x:v>167179</x:v>
      </x:c>
      <x:c r="D3023" s="44" t="n">
        <x:v>2198.5448859958246</x:v>
      </x:c>
      <x:c r="E3023" s="44" t="n">
        <x:v>24732.77719197983</x:v>
      </x:c>
      <x:c r="F3023" s="44" t="n">
        <x:v>1089.9746387468</x:v>
      </x:c>
      <x:c r="G3023" s="44" t="n">
        <x:v>4983.16075759395</x:v>
      </x:c>
      <x:c r="H3023" s="44" t="n">
        <x:v>134174.5425256836</x:v>
      </x:c>
      <x:c r="I3023" s="44" t="n">
        <x:v>167179</x:v>
      </x:c>
      <x:c r="J3023" s="44" t="n">
        <x:v>25671</x:v>
      </x:c>
      <x:c r="K3023" s="44" t="n">
        <x:v>2257.987141743465</x:v>
      </x:c>
      <x:c r="L3023" s="44" t="n">
        <x:v>1168.012502996665</x:v>
      </x:c>
    </x:row>
    <x:row r="3024" ht="15" hidden="0" customHeight="1">
      <x:c r="A3024" s="27" t="str">
        <x:v>36093</x:v>
      </x:c>
      <x:c r="B3024" s="27" t="str">
        <x:v>SCA-30</x:v>
      </x:c>
      <x:c r="C3024" s="43" t="n">
        <x:v>162581</x:v>
      </x:c>
      <x:c r="D3024" s="43" t="n">
        <x:v>1713.0163163401335</x:v>
      </x:c>
      <x:c r="E3024" s="43" t="n">
        <x:v>20415.880999924477</x:v>
      </x:c>
      <x:c r="F3024" s="43" t="n">
        <x:v>543.9795107545367</x:v>
      </x:c>
      <x:c r="G3024" s="43" t="n">
        <x:v>12230.431160788461</x:v>
      </x:c>
      <x:c r="H3024" s="43" t="n">
        <x:v>127677.69201219239</x:v>
      </x:c>
      <x:c r="I3024" s="43" t="n">
        <x:v>162581</x:v>
      </x:c>
      <x:c r="J3024" s="43" t="n">
        <x:v>20784</x:v>
      </x:c>
      <x:c r="K3024" s="43" t="n">
        <x:v>1406.3341187644837</x:v>
      </x:c>
      <x:c r="L3024" s="43" t="n">
        <x:v>862.354608009947</x:v>
      </x:c>
    </x:row>
    <x:row r="3025" ht="15" hidden="0" customHeight="1">
      <x:c r="A3025" s="29" t="str">
        <x:v>34011</x:v>
      </x:c>
      <x:c r="B3025" s="29" t="str">
        <x:v>SCA-30</x:v>
      </x:c>
      <x:c r="C3025" s="44" t="n">
        <x:v>157148</x:v>
      </x:c>
      <x:c r="D3025" s="44" t="n">
        <x:v>1629.3635722603735</x:v>
      </x:c>
      <x:c r="E3025" s="44" t="n">
        <x:v>22346.324964712683</x:v>
      </x:c>
      <x:c r="F3025" s="44" t="n">
        <x:v>629.8325931105827</x:v>
      </x:c>
      <x:c r="G3025" s="44" t="n">
        <x:v>8582.64868136857</x:v>
      </x:c>
      <x:c r="H3025" s="44" t="n">
        <x:v>123959.83018854778</x:v>
      </x:c>
      <x:c r="I3025" s="44" t="n">
        <x:v>157148</x:v>
      </x:c>
      <x:c r="J3025" s="44" t="n">
        <x:v>21534</x:v>
      </x:c>
      <x:c r="K3025" s="44" t="n">
        <x:v>1328.099291841261</x:v>
      </x:c>
      <x:c r="L3025" s="44" t="n">
        <x:v>698.2666987306783</x:v>
      </x:c>
    </x:row>
    <x:row r="3026" ht="15" hidden="0" customHeight="1">
      <x:c r="A3026" s="27" t="str">
        <x:v>34037</x:v>
      </x:c>
      <x:c r="B3026" s="27" t="str">
        <x:v>SCA-30</x:v>
      </x:c>
      <x:c r="C3026" s="43" t="n">
        <x:v>148063</x:v>
      </x:c>
      <x:c r="D3026" s="43" t="n">
        <x:v>1353.227472090729</x:v>
      </x:c>
      <x:c r="E3026" s="43" t="n">
        <x:v>16687.890941525715</x:v>
      </x:c>
      <x:c r="F3026" s="43" t="n">
        <x:v>593.4208722588401</x:v>
      </x:c>
      <x:c r="G3026" s="43" t="n">
        <x:v>3059.518301691405</x:v>
      </x:c>
      <x:c r="H3026" s="43" t="n">
        <x:v>126368.9424124333</x:v>
      </x:c>
      <x:c r="I3026" s="43" t="n">
        <x:v>148063</x:v>
      </x:c>
      <x:c r="J3026" s="43" t="n">
        <x:v>17006</x:v>
      </x:c>
      <x:c r="K3026" s="43" t="n">
        <x:v>1251.319555119331</x:v>
      </x:c>
      <x:c r="L3026" s="43" t="n">
        <x:v>657.8986828604909</x:v>
      </x:c>
    </x:row>
    <x:row r="3027" ht="15" hidden="0" customHeight="1">
      <x:c r="A3027" s="29" t="str">
        <x:v>42075</x:v>
      </x:c>
      <x:c r="B3027" s="29" t="str">
        <x:v>SCA-30</x:v>
      </x:c>
      <x:c r="C3027" s="44" t="n">
        <x:v>146380</x:v>
      </x:c>
      <x:c r="D3027" s="44" t="n">
        <x:v>1875.2099578750021</x:v>
      </x:c>
      <x:c r="E3027" s="44" t="n">
        <x:v>20460.28106768431</x:v>
      </x:c>
      <x:c r="F3027" s="44" t="n">
        <x:v>954.3691948136824</x:v>
      </x:c>
      <x:c r="G3027" s="44" t="n">
        <x:v>5291.732121357206</x:v>
      </x:c>
      <x:c r="H3027" s="44" t="n">
        <x:v>117798.4076582698</x:v>
      </x:c>
      <x:c r="I3027" s="44" t="n">
        <x:v>146380</x:v>
      </x:c>
      <x:c r="J3027" s="44" t="n">
        <x:v>20679</x:v>
      </x:c>
      <x:c r="K3027" s="44" t="n">
        <x:v>1977.0674415351714</x:v>
      </x:c>
      <x:c r="L3027" s="44" t="n">
        <x:v>1022.698246721489</x:v>
      </x:c>
    </x:row>
    <x:row r="3028" ht="15" hidden="0" customHeight="1">
      <x:c r="A3028" s="27" t="str">
        <x:v>42107</x:v>
      </x:c>
      <x:c r="B3028" s="27" t="str">
        <x:v>SCA-30</x:v>
      </x:c>
      <x:c r="C3028" s="43" t="n">
        <x:v>145085</x:v>
      </x:c>
      <x:c r="D3028" s="43" t="n">
        <x:v>2062.0267218071212</x:v>
      </x:c>
      <x:c r="E3028" s="43" t="n">
        <x:v>25161.026874579446</x:v>
      </x:c>
      <x:c r="F3028" s="43" t="n">
        <x:v>945.9260461097355</x:v>
      </x:c>
      <x:c r="G3028" s="43" t="n">
        <x:v>6309.825085573858</x:v>
      </x:c>
      <x:c r="H3028" s="43" t="n">
        <x:v>110606.19527192984</x:v>
      </x:c>
      <x:c r="I3028" s="43" t="n">
        <x:v>145085</x:v>
      </x:c>
      <x:c r="J3028" s="43" t="n">
        <x:v>24699</x:v>
      </x:c>
      <x:c r="K3028" s="43" t="n">
        <x:v>1959.5766481427129</x:v>
      </x:c>
      <x:c r="L3028" s="43" t="n">
        <x:v>1013.6506020329774</x:v>
      </x:c>
    </x:row>
    <x:row r="3029" ht="15" hidden="0" customHeight="1">
      <x:c r="A3029" s="29" t="str">
        <x:v>34019</x:v>
      </x:c>
      <x:c r="B3029" s="29" t="str">
        <x:v>SCA-30</x:v>
      </x:c>
      <x:c r="C3029" s="44" t="n">
        <x:v>131781</x:v>
      </x:c>
      <x:c r="D3029" s="44" t="n">
        <x:v>1078.3524515019371</x:v>
      </x:c>
      <x:c r="E3029" s="44" t="n">
        <x:v>11827.217230615557</x:v>
      </x:c>
      <x:c r="F3029" s="44" t="n">
        <x:v>528.1643352298832</x:v>
      </x:c>
      <x:c r="G3029" s="44" t="n">
        <x:v>2677.8347484080414</x:v>
      </x:c>
      <x:c r="H3029" s="44" t="n">
        <x:v>115669.43123424458</x:v>
      </x:c>
      <x:c r="I3029" s="44" t="n">
        <x:v>131781</x:v>
      </x:c>
      <x:c r="J3029" s="44" t="n">
        <x:v>11980</x:v>
      </x:c>
      <x:c r="K3029" s="44" t="n">
        <x:v>1113.7160687895055</x:v>
      </x:c>
      <x:c r="L3029" s="44" t="n">
        <x:v>585.5517335596222</x:v>
      </x:c>
    </x:row>
    <x:row r="3030" ht="15" hidden="0" customHeight="1">
      <x:c r="A3030" s="27" t="str">
        <x:v>36075</x:v>
      </x:c>
      <x:c r="B3030" s="27" t="str">
        <x:v>SCA-30</x:v>
      </x:c>
      <x:c r="C3030" s="43" t="n">
        <x:v>118569</x:v>
      </x:c>
      <x:c r="D3030" s="43" t="n">
        <x:v>1385.7725164329656</x:v>
      </x:c>
      <x:c r="E3030" s="43" t="n">
        <x:v>18164.74367514874</x:v>
      </x:c>
      <x:c r="F3030" s="43" t="n">
        <x:v>396.7198295659066</x:v>
      </x:c>
      <x:c r="G3030" s="43" t="n">
        <x:v>6004.358577538007</x:v>
      </x:c>
      <x:c r="H3030" s="43" t="n">
        <x:v>92617.40540131438</x:v>
      </x:c>
      <x:c r="I3030" s="43" t="n">
        <x:v>118569</x:v>
      </x:c>
      <x:c r="J3030" s="43" t="n">
        <x:v>18695</x:v>
      </x:c>
      <x:c r="K3030" s="43" t="n">
        <x:v>1025.628026201008</x:v>
      </x:c>
      <x:c r="L3030" s="43" t="n">
        <x:v>628.9081966351014</x:v>
      </x:c>
    </x:row>
    <x:row r="3031" ht="15" hidden="0" customHeight="1">
      <x:c r="A3031" s="29" t="str">
        <x:v>09160</x:v>
      </x:c>
      <x:c r="B3031" s="29" t="str">
        <x:v>SCA-30</x:v>
      </x:c>
      <x:c r="C3031" s="44" t="n">
        <x:v>114690</x:v>
      </x:c>
      <x:c r="D3031" s="44" t="n">
        <x:v>1212.3782467938788</x:v>
      </x:c>
      <x:c r="E3031" s="44" t="n">
        <x:v>13490.032619249097</x:v>
      </x:c>
      <x:c r="F3031" s="44" t="n">
        <x:v>438.76066489575976</x:v>
      </x:c>
      <x:c r="G3031" s="44" t="n">
        <x:v>3274.306907762882</x:v>
      </x:c>
      <x:c r="H3031" s="44" t="n">
        <x:v>96274.52156129839</x:v>
      </x:c>
      <x:c r="I3031" s="44" t="n">
        <x:v>114690</x:v>
      </x:c>
      <x:c r="J3031" s="44" t="n">
        <x:v>13755</x:v>
      </x:c>
      <x:c r="K3031" s="44" t="n">
        <x:v>1089.0542192209261</x:v>
      </x:c>
      <x:c r="L3031" s="44" t="n">
        <x:v>650.2935543251664</x:v>
      </x:c>
    </x:row>
    <x:row r="3032" ht="15" hidden="0" customHeight="1">
      <x:c r="A3032" s="27" t="str">
        <x:v>34041</x:v>
      </x:c>
      <x:c r="B3032" s="27" t="str">
        <x:v>SCA-30</x:v>
      </x:c>
      <x:c r="C3032" s="43" t="n">
        <x:v>112953</x:v>
      </x:c>
      <x:c r="D3032" s="43" t="n">
        <x:v>1020.1400248647102</x:v>
      </x:c>
      <x:c r="E3032" s="43" t="n">
        <x:v>12437.953451123243</x:v>
      </x:c>
      <x:c r="F3032" s="43" t="n">
        <x:v>452.7036989947033</x:v>
      </x:c>
      <x:c r="G3032" s="43" t="n">
        <x:v>3754.9814594442378</x:v>
      </x:c>
      <x:c r="H3032" s="43" t="n">
        <x:v>95287.2213655731</x:v>
      </x:c>
      <x:c r="I3032" s="43" t="n">
        <x:v>112953</x:v>
      </x:c>
      <x:c r="J3032" s="43" t="n">
        <x:v>12627</x:v>
      </x:c>
      <x:c r="K3032" s="43" t="n">
        <x:v>954.5956633959448</x:v>
      </x:c>
      <x:c r="L3032" s="43" t="n">
        <x:v>501.8919644012415</x:v>
      </x:c>
    </x:row>
    <x:row r="3033" ht="15" hidden="0" customHeight="1">
      <x:c r="A3033" s="29" t="str">
        <x:v>24015</x:v>
      </x:c>
      <x:c r="B3033" s="29" t="str">
        <x:v>SCA-30</x:v>
      </x:c>
      <x:c r="C3033" s="44" t="n">
        <x:v>107131</x:v>
      </x:c>
      <x:c r="D3033" s="44" t="n">
        <x:v>1060.2935729771295</x:v>
      </x:c>
      <x:c r="E3033" s="44" t="n">
        <x:v>13491.205912946149</x:v>
      </x:c>
      <x:c r="F3033" s="44" t="n">
        <x:v>505.6518997468744</x:v>
      </x:c>
      <x:c r="G3033" s="44" t="n">
        <x:v>2519.1464341885617</x:v>
      </x:c>
      <x:c r="H3033" s="44" t="n">
        <x:v>89554.70218014129</x:v>
      </x:c>
      <x:c r="I3033" s="44" t="n">
        <x:v>107131</x:v>
      </x:c>
      <x:c r="J3033" s="44" t="n">
        <x:v>13595</x:v>
      </x:c>
      <x:c r="K3033" s="44" t="n">
        <x:v>1003.8118930179144</x:v>
      </x:c>
      <x:c r="L3033" s="44" t="n">
        <x:v>498.1599932710399</x:v>
      </x:c>
    </x:row>
    <x:row r="3034" ht="15" hidden="0" customHeight="1">
      <x:c r="A3034" s="27" t="str">
        <x:v>24045</x:v>
      </x:c>
      <x:c r="B3034" s="27" t="str">
        <x:v>SCA-30</x:v>
      </x:c>
      <x:c r="C3034" s="43" t="n">
        <x:v>106899</x:v>
      </x:c>
      <x:c r="D3034" s="43" t="n">
        <x:v>1005.7224870926989</x:v>
      </x:c>
      <x:c r="E3034" s="43" t="n">
        <x:v>12207.391095547773</x:v>
      </x:c>
      <x:c r="F3034" s="43" t="n">
        <x:v>504.55687365040114</x:v>
      </x:c>
      <x:c r="G3034" s="43" t="n">
        <x:v>3927.2638482702896</x:v>
      </x:c>
      <x:c r="H3034" s="43" t="n">
        <x:v>89254.06569543884</x:v>
      </x:c>
      <x:c r="I3034" s="43" t="n">
        <x:v>106899</x:v>
      </x:c>
      <x:c r="J3034" s="43" t="n">
        <x:v>12365</x:v>
      </x:c>
      <x:c r="K3034" s="43" t="n">
        <x:v>1001.6380650952761</x:v>
      </x:c>
      <x:c r="L3034" s="43" t="n">
        <x:v>497.08119144487495</x:v>
      </x:c>
    </x:row>
    <x:row r="3035" ht="15" hidden="0" customHeight="1">
      <x:c r="A3035" s="29" t="str">
        <x:v>36109</x:v>
      </x:c>
      <x:c r="B3035" s="29" t="str">
        <x:v>SCA-30</x:v>
      </x:c>
      <x:c r="C3035" s="44" t="n">
        <x:v>104047</x:v>
      </x:c>
      <x:c r="D3035" s="44" t="n">
        <x:v>1051.6277157602512</x:v>
      </x:c>
      <x:c r="E3035" s="44" t="n">
        <x:v>11993.914529703685</x:v>
      </x:c>
      <x:c r="F3035" s="44" t="n">
        <x:v>348.1306927345587</x:v>
      </x:c>
      <x:c r="G3035" s="44" t="n">
        <x:v>8935.177191038303</x:v>
      </x:c>
      <x:c r="H3035" s="44" t="n">
        <x:v>81718.1498707632</x:v>
      </x:c>
      <x:c r="I3035" s="44" t="n">
        <x:v>104047</x:v>
      </x:c>
      <x:c r="J3035" s="44" t="n">
        <x:v>12461</x:v>
      </x:c>
      <x:c r="K3035" s="44" t="n">
        <x:v>900.0119697571564</x:v>
      </x:c>
      <x:c r="L3035" s="44" t="n">
        <x:v>551.8812770225977</x:v>
      </x:c>
    </x:row>
    <x:row r="3036" ht="15" hidden="0" customHeight="1">
      <x:c r="A3036" s="27" t="str">
        <x:v>36079</x:v>
      </x:c>
      <x:c r="B3036" s="27" t="str">
        <x:v>SCA-30</x:v>
      </x:c>
      <x:c r="C3036" s="43" t="n">
        <x:v>99028</x:v>
      </x:c>
      <x:c r="D3036" s="43" t="n">
        <x:v>925.4929105691602</x:v>
      </x:c>
      <x:c r="E3036" s="43" t="n">
        <x:v>9605.596339730067</x:v>
      </x:c>
      <x:c r="F3036" s="43" t="n">
        <x:v>331.33762857283614</x:v>
      </x:c>
      <x:c r="G3036" s="43" t="n">
        <x:v>2575.0697513670716</x:v>
      </x:c>
      <x:c r="H3036" s="43" t="n">
        <x:v>85590.50336976087</x:v>
      </x:c>
      <x:c r="I3036" s="43" t="n">
        <x:v>99028</x:v>
      </x:c>
      <x:c r="J3036" s="43" t="n">
        <x:v>9867</x:v>
      </x:c>
      <x:c r="K3036" s="43" t="n">
        <x:v>856.5973583199101</x:v>
      </x:c>
      <x:c r="L3036" s="43" t="n">
        <x:v>525.259729747074</x:v>
      </x:c>
    </x:row>
    <x:row r="3037" ht="15" hidden="0" customHeight="1">
      <x:c r="A3037" s="29" t="str">
        <x:v>24009</x:v>
      </x:c>
      <x:c r="B3037" s="29" t="str">
        <x:v>SCA-30</x:v>
      </x:c>
      <x:c r="C3037" s="44" t="n">
        <x:v>94484</x:v>
      </x:c>
      <x:c r="D3037" s="44" t="n">
        <x:v>847.7877277317775</x:v>
      </x:c>
      <x:c r="E3037" s="44" t="n">
        <x:v>9802.473216248249</x:v>
      </x:c>
      <x:c r="F3037" s="44" t="n">
        <x:v>445.9588176688697</x:v>
      </x:c>
      <x:c r="G3037" s="44" t="n">
        <x:v>1368.2202348884816</x:v>
      </x:c>
      <x:c r="H3037" s="44" t="n">
        <x:v>82019.56000346263</x:v>
      </x:c>
      <x:c r="I3037" s="44" t="n">
        <x:v>94484</x:v>
      </x:c>
      <x:c r="J3037" s="44" t="n">
        <x:v>10030</x:v>
      </x:c>
      <x:c r="K3037" s="44" t="n">
        <x:v>885.3101613903036</x:v>
      </x:c>
      <x:c r="L3037" s="44" t="n">
        <x:v>439.3513437214339</x:v>
      </x:c>
    </x:row>
    <x:row r="3038" ht="15" hidden="0" customHeight="1">
      <x:c r="A3038" s="27" t="str">
        <x:v>34009</x:v>
      </x:c>
      <x:c r="B3038" s="27" t="str">
        <x:v>SCA-30</x:v>
      </x:c>
      <x:c r="C3038" s="43" t="n">
        <x:v>93390</x:v>
      </x:c>
      <x:c r="D3038" s="43" t="n">
        <x:v>973.5767813275121</x:v>
      </x:c>
      <x:c r="E3038" s="43" t="n">
        <x:v>13406.651111705827</x:v>
      </x:c>
      <x:c r="F3038" s="43" t="n">
        <x:v>374.2972603570985</x:v>
      </x:c>
      <x:c r="G3038" s="43" t="n">
        <x:v>3980.1667826366215</x:v>
      </x:c>
      <x:c r="H3038" s="43" t="n">
        <x:v>74655.30806397295</x:v>
      </x:c>
      <x:c r="I3038" s="43" t="n">
        <x:v>93390</x:v>
      </x:c>
      <x:c r="J3038" s="43" t="n">
        <x:v>13969</x:v>
      </x:c>
      <x:c r="K3038" s="43" t="n">
        <x:v>789.2635786968676</x:v>
      </x:c>
      <x:c r="L3038" s="43" t="n">
        <x:v>414.9663183397692</x:v>
      </x:c>
    </x:row>
    <x:row r="3039" ht="15" hidden="0" customHeight="1">
      <x:c r="A3039" s="29" t="str">
        <x:v>36117</x:v>
      </x:c>
      <x:c r="B3039" s="29" t="str">
        <x:v>SCA-30</x:v>
      </x:c>
      <x:c r="C3039" s="44" t="n">
        <x:v>91250</x:v>
      </x:c>
      <x:c r="D3039" s="44" t="n">
        <x:v>1019.4359859024723</x:v>
      </x:c>
      <x:c r="E3039" s="44" t="n">
        <x:v>12850.367121831288</x:v>
      </x:c>
      <x:c r="F3039" s="44" t="n">
        <x:v>305.31323067487267</x:v>
      </x:c>
      <x:c r="G3039" s="44" t="n">
        <x:v>4442.73931027609</x:v>
      </x:c>
      <x:c r="H3039" s="44" t="n">
        <x:v>72632.14435131528</x:v>
      </x:c>
      <x:c r="I3039" s="44" t="n">
        <x:v>91250</x:v>
      </x:c>
      <x:c r="J3039" s="44" t="n">
        <x:v>13246</x:v>
      </x:c>
      <x:c r="K3039" s="44" t="n">
        <x:v>789.317253167708</x:v>
      </x:c>
      <x:c r="L3039" s="44" t="n">
        <x:v>484.00402249283536</x:v>
      </x:c>
    </x:row>
    <x:row r="3040" ht="15" hidden="0" customHeight="1">
      <x:c r="A3040" s="27" t="str">
        <x:v>42097</x:v>
      </x:c>
      <x:c r="B3040" s="27" t="str">
        <x:v>SCA-30</x:v>
      </x:c>
      <x:c r="C3040" s="43" t="n">
        <x:v>89920</x:v>
      </x:c>
      <x:c r="D3040" s="43" t="n">
        <x:v>1237.6549713962304</x:v>
      </x:c>
      <x:c r="E3040" s="43" t="n">
        <x:v>14626.08143753801</x:v>
      </x:c>
      <x:c r="F3040" s="43" t="n">
        <x:v>586.2609509335041</x:v>
      </x:c>
      <x:c r="G3040" s="43" t="n">
        <x:v>4882.89776130535</x:v>
      </x:c>
      <x:c r="H3040" s="43" t="n">
        <x:v>68587.1048788269</x:v>
      </x:c>
      <x:c r="I3040" s="43" t="n">
        <x:v>89920</x:v>
      </x:c>
      <x:c r="J3040" s="43" t="n">
        <x:v>14766</x:v>
      </x:c>
      <x:c r="K3040" s="43" t="n">
        <x:v>1214.4958624323174</x:v>
      </x:c>
      <x:c r="L3040" s="43" t="n">
        <x:v>628.2349114988133</x:v>
      </x:c>
    </x:row>
    <x:row r="3041" ht="15" hidden="0" customHeight="1">
      <x:c r="A3041" s="29" t="str">
        <x:v>36105</x:v>
      </x:c>
      <x:c r="B3041" s="29" t="str">
        <x:v>SCA-30</x:v>
      </x:c>
      <x:c r="C3041" s="44" t="n">
        <x:v>80586</x:v>
      </x:c>
      <x:c r="D3041" s="44" t="n">
        <x:v>940.1849123233015</x:v>
      </x:c>
      <x:c r="E3041" s="44" t="n">
        <x:v>12305.86522991175</x:v>
      </x:c>
      <x:c r="F3041" s="44" t="n">
        <x:v>269.63256994153744</x:v>
      </x:c>
      <x:c r="G3041" s="44" t="n">
        <x:v>4411.111685245393</x:v>
      </x:c>
      <x:c r="H3041" s="44" t="n">
        <x:v>62659.20560257801</x:v>
      </x:c>
      <x:c r="I3041" s="44" t="n">
        <x:v>80586</x:v>
      </x:c>
      <x:c r="J3041" s="44" t="n">
        <x:v>12329</x:v>
      </x:c>
      <x:c r="K3041" s="44" t="n">
        <x:v>697.0730976851827</x:v>
      </x:c>
      <x:c r="L3041" s="44" t="n">
        <x:v>427.44052774364525</x:v>
      </x:c>
    </x:row>
    <x:row r="3042" ht="15" hidden="0" customHeight="1">
      <x:c r="A3042" s="27" t="str">
        <x:v>36015</x:v>
      </x:c>
      <x:c r="B3042" s="27" t="str">
        <x:v>SCA-30</x:v>
      </x:c>
      <x:c r="C3042" s="43" t="n">
        <x:v>80415</x:v>
      </x:c>
      <x:c r="D3042" s="43" t="n">
        <x:v>957.6922873662044</x:v>
      </x:c>
      <x:c r="E3042" s="43" t="n">
        <x:v>12747.810477607836</x:v>
      </x:c>
      <x:c r="F3042" s="43" t="n">
        <x:v>269.0604213119987</x:v>
      </x:c>
      <x:c r="G3042" s="43" t="n">
        <x:v>4762.930491114418</x:v>
      </x:c>
      <x:c r="H3042" s="43" t="n">
        <x:v>61677.50632259955</x:v>
      </x:c>
      <x:c r="I3042" s="43" t="n">
        <x:v>80415</x:v>
      </x:c>
      <x:c r="J3042" s="43" t="n">
        <x:v>13204</x:v>
      </x:c>
      <x:c r="K3042" s="43" t="n">
        <x:v>695.5939387778766</x:v>
      </x:c>
      <x:c r="L3042" s="43" t="n">
        <x:v>426.5335174658779</x:v>
      </x:c>
    </x:row>
    <x:row r="3043" ht="15" hidden="0" customHeight="1">
      <x:c r="A3043" s="29" t="str">
        <x:v>36011</x:v>
      </x:c>
      <x:c r="B3043" s="29" t="str">
        <x:v>SCA-30</x:v>
      </x:c>
      <x:c r="C3043" s="44" t="n">
        <x:v>74365</x:v>
      </x:c>
      <x:c r="D3043" s="44" t="n">
        <x:v>819.949790661913</x:v>
      </x:c>
      <x:c r="E3043" s="44" t="n">
        <x:v>10212.153669756453</x:v>
      </x:c>
      <x:c r="F3043" s="44" t="n">
        <x:v>248.8177358809524</x:v>
      </x:c>
      <x:c r="G3043" s="44" t="n">
        <x:v>3956.9823453839676</x:v>
      </x:c>
      <x:c r="H3043" s="44" t="n">
        <x:v>59127.096458316715</x:v>
      </x:c>
      <x:c r="I3043" s="44" t="n">
        <x:v>74365</x:v>
      </x:c>
      <x:c r="J3043" s="44" t="n">
        <x:v>10355</x:v>
      </x:c>
      <x:c r="K3043" s="44" t="n">
        <x:v>643.2611236363464</x:v>
      </x:c>
      <x:c r="L3043" s="44" t="n">
        <x:v>394.443387755394</x:v>
      </x:c>
    </x:row>
    <x:row r="3044" ht="15" hidden="0" customHeight="1">
      <x:c r="A3044" s="27" t="str">
        <x:v>36053</x:v>
      </x:c>
      <x:c r="B3044" s="27" t="str">
        <x:v>SCA-30</x:v>
      </x:c>
      <x:c r="C3044" s="43" t="n">
        <x:v>67120</x:v>
      </x:c>
      <x:c r="D3044" s="43" t="n">
        <x:v>712.8469079187244</x:v>
      </x:c>
      <x:c r="E3044" s="43" t="n">
        <x:v>8563.970724260249</x:v>
      </x:c>
      <x:c r="F3044" s="43" t="n">
        <x:v>224.57670183997215</x:v>
      </x:c>
      <x:c r="G3044" s="43" t="n">
        <x:v>2312.100107763459</x:v>
      </x:c>
      <x:c r="H3044" s="43" t="n">
        <x:v>55306.50555821759</x:v>
      </x:c>
      <x:c r="I3044" s="43" t="n">
        <x:v>67120</x:v>
      </x:c>
      <x:c r="J3044" s="43" t="n">
        <x:v>8880</x:v>
      </x:c>
      <x:c r="K3044" s="43" t="n">
        <x:v>580.5914962478528</x:v>
      </x:c>
      <x:c r="L3044" s="43" t="n">
        <x:v>356.01479440788063</x:v>
      </x:c>
    </x:row>
    <x:row r="3045" ht="15" hidden="0" customHeight="1">
      <x:c r="A3045" s="29" t="str">
        <x:v>34033</x:v>
      </x:c>
      <x:c r="B3045" s="29" t="str">
        <x:v>SCA-30</x:v>
      </x:c>
      <x:c r="C3045" s="44" t="n">
        <x:v>66280</x:v>
      </x:c>
      <x:c r="D3045" s="44" t="n">
        <x:v>711.4889276147225</x:v>
      </x:c>
      <x:c r="E3045" s="44" t="n">
        <x:v>10007.576837874467</x:v>
      </x:c>
      <x:c r="F3045" s="44" t="n">
        <x:v>265.64324249350557</x:v>
      </x:c>
      <x:c r="G3045" s="44" t="n">
        <x:v>2970.5858297892228</x:v>
      </x:c>
      <x:c r="H3045" s="44" t="n">
        <x:v>52324.705162228085</x:v>
      </x:c>
      <x:c r="I3045" s="44" t="n">
        <x:v>66280</x:v>
      </x:c>
      <x:c r="J3045" s="44" t="n">
        <x:v>10096</x:v>
      </x:c>
      <x:c r="K3045" s="44" t="n">
        <x:v>560.1498018634585</x:v>
      </x:c>
      <x:c r="L3045" s="44" t="n">
        <x:v>294.5065593699529</x:v>
      </x:c>
    </x:row>
    <x:row r="3046" ht="15" hidden="0" customHeight="1">
      <x:c r="A3046" s="27" t="str">
        <x:v>42037</x:v>
      </x:c>
      <x:c r="B3046" s="27" t="str">
        <x:v>SCA-30</x:v>
      </x:c>
      <x:c r="C3046" s="43" t="n">
        <x:v>66193</x:v>
      </x:c>
      <x:c r="D3046" s="43" t="n">
        <x:v>861.3888440716416</x:v>
      </x:c>
      <x:c r="E3046" s="43" t="n">
        <x:v>9574.198762121281</x:v>
      </x:c>
      <x:c r="F3046" s="43" t="n">
        <x:v>431.56551518173296</x:v>
      </x:c>
      <x:c r="G3046" s="43" t="n">
        <x:v>2558.614616681359</x:v>
      </x:c>
      <x:c r="H3046" s="43" t="n">
        <x:v>52767.23226194399</x:v>
      </x:c>
      <x:c r="I3046" s="43" t="n">
        <x:v>66193</x:v>
      </x:c>
      <x:c r="J3046" s="43" t="n">
        <x:v>9742</x:v>
      </x:c>
      <x:c r="K3046" s="43" t="n">
        <x:v>894.0294108316546</x:v>
      </x:c>
      <x:c r="L3046" s="43" t="n">
        <x:v>462.4638956499216</x:v>
      </x:c>
    </x:row>
    <x:row r="3047" ht="15" hidden="0" customHeight="1">
      <x:c r="A3047" s="29" t="str">
        <x:v>42025</x:v>
      </x:c>
      <x:c r="B3047" s="29" t="str">
        <x:v>SCA-30</x:v>
      </x:c>
      <x:c r="C3047" s="44" t="n">
        <x:v>65868</x:v>
      </x:c>
      <x:c r="D3047" s="44" t="n">
        <x:v>911.9829831256296</x:v>
      </x:c>
      <x:c r="E3047" s="44" t="n">
        <x:v>10842.953565494514</x:v>
      </x:c>
      <x:c r="F3047" s="44" t="n">
        <x:v>429.44657824831006</x:v>
      </x:c>
      <x:c r="G3047" s="44" t="n">
        <x:v>2260.629302742926</x:v>
      </x:c>
      <x:c r="H3047" s="44" t="n">
        <x:v>51422.98757038862</x:v>
      </x:c>
      <x:c r="I3047" s="44" t="n">
        <x:v>65868</x:v>
      </x:c>
      <x:c r="J3047" s="44" t="n">
        <x:v>11084</x:v>
      </x:c>
      <x:c r="K3047" s="44" t="n">
        <x:v>889.639829478335</x:v>
      </x:c>
      <x:c r="L3047" s="44" t="n">
        <x:v>460.1932512300249</x:v>
      </x:c>
    </x:row>
    <x:row r="3048" ht="15" hidden="0" customHeight="1">
      <x:c r="A3048" s="27" t="str">
        <x:v>42103</x:v>
      </x:c>
      <x:c r="B3048" s="27" t="str">
        <x:v>SCA-30</x:v>
      </x:c>
      <x:c r="C3048" s="43" t="n">
        <x:v>62808</x:v>
      </x:c>
      <x:c r="D3048" s="43" t="n">
        <x:v>829.4703648208861</x:v>
      </x:c>
      <x:c r="E3048" s="43" t="n">
        <x:v>9375.74649909518</x:v>
      </x:c>
      <x:c r="F3048" s="43" t="n">
        <x:v>409.49597204438965</x:v>
      </x:c>
      <x:c r="G3048" s="43" t="n">
        <x:v>1676.3401291650757</x:v>
      </x:c>
      <x:c r="H3048" s="43" t="n">
        <x:v>50516.947034874465</x:v>
      </x:c>
      <x:c r="I3048" s="43" t="n">
        <x:v>62808</x:v>
      </x:c>
      <x:c r="J3048" s="43" t="n">
        <x:v>9366</x:v>
      </x:c>
      <x:c r="K3048" s="43" t="n">
        <x:v>848.3102327363099</x:v>
      </x:c>
      <x:c r="L3048" s="43" t="n">
        <x:v>438.81426069192025</x:v>
      </x:c>
    </x:row>
    <x:row r="3049" ht="15" hidden="0" customHeight="1">
      <x:c r="A3049" s="29" t="str">
        <x:v>36077</x:v>
      </x:c>
      <x:c r="B3049" s="29" t="str">
        <x:v>SCA-30</x:v>
      </x:c>
      <x:c r="C3049" s="44" t="n">
        <x:v>60589</x:v>
      </x:c>
      <x:c r="D3049" s="44" t="n">
        <x:v>653.8832769938733</x:v>
      </x:c>
      <x:c r="E3049" s="44" t="n">
        <x:v>7980.237845095242</x:v>
      </x:c>
      <x:c r="F3049" s="44" t="n">
        <x:v>202.7246392696971</x:v>
      </x:c>
      <x:c r="G3049" s="44" t="n">
        <x:v>2335.602416715616</x:v>
      </x:c>
      <x:c r="H3049" s="44" t="n">
        <x:v>49416.55182192557</x:v>
      </x:c>
      <x:c r="I3049" s="44" t="n">
        <x:v>60589</x:v>
      </x:c>
      <x:c r="J3049" s="44" t="n">
        <x:v>8175</x:v>
      </x:c>
      <x:c r="K3049" s="44" t="n">
        <x:v>524.0980060512686</x:v>
      </x:c>
      <x:c r="L3049" s="44" t="n">
        <x:v>321.3733667815715</x:v>
      </x:c>
    </x:row>
    <x:row r="3050" ht="15" hidden="0" customHeight="1">
      <x:c r="A3050" s="27" t="str">
        <x:v>42015</x:v>
      </x:c>
      <x:c r="B3050" s="27" t="str">
        <x:v>SCA-30</x:v>
      </x:c>
      <x:c r="C3050" s="43" t="n">
        <x:v>59600</x:v>
      </x:c>
      <x:c r="D3050" s="43" t="n">
        <x:v>784.5292320637211</x:v>
      </x:c>
      <x:c r="E3050" s="43" t="n">
        <x:v>8835.071482697651</x:v>
      </x:c>
      <x:c r="F3050" s="43" t="n">
        <x:v>388.5804345600182</x:v>
      </x:c>
      <x:c r="G3050" s="43" t="n">
        <x:v>2035.7432432432436</x:v>
      </x:c>
      <x:c r="H3050" s="43" t="n">
        <x:v>47556.07560743536</x:v>
      </x:c>
      <x:c r="I3050" s="43" t="n">
        <x:v>59600</x:v>
      </x:c>
      <x:c r="J3050" s="43" t="n">
        <x:v>9170</x:v>
      </x:c>
      <x:c r="K3050" s="43" t="n">
        <x:v>804.9816881780039</x:v>
      </x:c>
      <x:c r="L3050" s="43" t="n">
        <x:v>416.4012536179857</x:v>
      </x:c>
    </x:row>
    <x:row r="3051" ht="15" hidden="0" customHeight="1">
      <x:c r="A3051" s="29" t="str">
        <x:v>24047</x:v>
      </x:c>
      <x:c r="B3051" s="29" t="str">
        <x:v>SCA-30</x:v>
      </x:c>
      <x:c r="C3051" s="44" t="n">
        <x:v>54459</x:v>
      </x:c>
      <x:c r="D3051" s="44" t="n">
        <x:v>588.0033209723883</x:v>
      </x:c>
      <x:c r="E3051" s="44" t="n">
        <x:v>8034.44501529052</x:v>
      </x:c>
      <x:c r="F3051" s="44" t="n">
        <x:v>257.0432163268805</x:v>
      </x:c>
      <x:c r="G3051" s="44" t="n">
        <x:v>1890.2575886283837</x:v>
      </x:c>
      <x:c r="H3051" s="44" t="n">
        <x:v>43689.25085878183</x:v>
      </x:c>
      <x:c r="I3051" s="44" t="n">
        <x:v>54459</x:v>
      </x:c>
      <x:c r="J3051" s="44" t="n">
        <x:v>8141</x:v>
      </x:c>
      <x:c r="K3051" s="44" t="n">
        <x:v>510.27799499549707</x:v>
      </x:c>
      <x:c r="L3051" s="44" t="n">
        <x:v>253.2347786686166</x:v>
      </x:c>
    </x:row>
    <x:row r="3052" ht="15" hidden="0" customHeight="1">
      <x:c r="A3052" s="27" t="str">
        <x:v>24035</x:v>
      </x:c>
      <x:c r="B3052" s="27" t="str">
        <x:v>SCA-30</x:v>
      </x:c>
      <x:c r="C3052" s="43" t="n">
        <x:v>54448</x:v>
      </x:c>
      <x:c r="D3052" s="43" t="n">
        <x:v>482.24014836131147</x:v>
      </x:c>
      <x:c r="E3052" s="43" t="n">
        <x:v>5497.356474702728</x:v>
      </x:c>
      <x:c r="F3052" s="43" t="n">
        <x:v>256.9912969860994</x:v>
      </x:c>
      <x:c r="G3052" s="43" t="n">
        <x:v>923.0149316079894</x:v>
      </x:c>
      <x:c r="H3052" s="43" t="n">
        <x:v>47288.39714834187</x:v>
      </x:c>
      <x:c r="I3052" s="43" t="n">
        <x:v>54448</x:v>
      </x:c>
      <x:c r="J3052" s="43" t="n">
        <x:v>5413</x:v>
      </x:c>
      <x:c r="K3052" s="43" t="n">
        <x:v>510.1749255681306</x:v>
      </x:c>
      <x:c r="L3052" s="43" t="n">
        <x:v>253.1836285820312</x:v>
      </x:c>
    </x:row>
    <x:row r="3053" ht="15" hidden="0" customHeight="1">
      <x:c r="A3053" s="29" t="str">
        <x:v>42127</x:v>
      </x:c>
      <x:c r="B3053" s="29" t="str">
        <x:v>SCA-30</x:v>
      </x:c>
      <x:c r="C3053" s="44" t="n">
        <x:v>51703</x:v>
      </x:c>
      <x:c r="D3053" s="44" t="n">
        <x:v>702.5990194733039</x:v>
      </x:c>
      <x:c r="E3053" s="44" t="n">
        <x:v>8192.90236703283</x:v>
      </x:c>
      <x:c r="F3053" s="44" t="n">
        <x:v>337.09352698081574</x:v>
      </x:c>
      <x:c r="G3053" s="44" t="n">
        <x:v>1600.5734500093092</x:v>
      </x:c>
      <x:c r="H3053" s="44" t="n">
        <x:v>40869.83163650374</x:v>
      </x:c>
      <x:c r="I3053" s="44" t="n">
        <x:v>51703</x:v>
      </x:c>
      <x:c r="J3053" s="44" t="n">
        <x:v>7979</x:v>
      </x:c>
      <x:c r="K3053" s="44" t="n">
        <x:v>698.3216144944183</x:v>
      </x:c>
      <x:c r="L3053" s="44" t="n">
        <x:v>361.2280875136026</x:v>
      </x:c>
    </x:row>
    <x:row r="3054" ht="15" hidden="0" customHeight="1">
      <x:c r="A3054" s="27" t="str">
        <x:v>36057</x:v>
      </x:c>
      <x:c r="B3054" s="27" t="str">
        <x:v>SCA-30</x:v>
      </x:c>
      <x:c r="C3054" s="43" t="n">
        <x:v>50046</x:v>
      </x:c>
      <x:c r="D3054" s="43" t="n">
        <x:v>585.3178911030607</x:v>
      </x:c>
      <x:c r="E3054" s="43" t="n">
        <x:v>7676.789195435267</x:v>
      </x:c>
      <x:c r="F3054" s="43" t="n">
        <x:v>167.44883224498278</x:v>
      </x:c>
      <x:c r="G3054" s="43" t="n">
        <x:v>3591.074187137618</x:v>
      </x:c>
      <x:c r="H3054" s="43" t="n">
        <x:v>38025.36989407907</x:v>
      </x:c>
      <x:c r="I3054" s="43" t="n">
        <x:v>50046</x:v>
      </x:c>
      <x:c r="J3054" s="43" t="n">
        <x:v>7799</x:v>
      </x:c>
      <x:c r="K3054" s="43" t="n">
        <x:v>432.9005068715739</x:v>
      </x:c>
      <x:c r="L3054" s="43" t="n">
        <x:v>265.4516746265911</x:v>
      </x:c>
    </x:row>
    <x:row r="3055" ht="15" hidden="0" customHeight="1">
      <x:c r="A3055" s="29" t="str">
        <x:v>36107</x:v>
      </x:c>
      <x:c r="B3055" s="29" t="str">
        <x:v>SCA-30</x:v>
      </x:c>
      <x:c r="C3055" s="44" t="n">
        <x:v>47453</x:v>
      </x:c>
      <x:c r="D3055" s="44" t="n">
        <x:v>555.318850390518</x:v>
      </x:c>
      <x:c r="E3055" s="44" t="n">
        <x:v>7286.900309597523</x:v>
      </x:c>
      <x:c r="F3055" s="44" t="n">
        <x:v>158.77291764618883</x:v>
      </x:c>
      <x:c r="G3055" s="44" t="n">
        <x:v>2016.5190918472651</x:v>
      </x:c>
      <x:c r="H3055" s="44" t="n">
        <x:v>37435.4888305185</x:v>
      </x:c>
      <x:c r="I3055" s="44" t="n">
        <x:v>47453</x:v>
      </x:c>
      <x:c r="J3055" s="44" t="n">
        <x:v>7595</x:v>
      </x:c>
      <x:c r="K3055" s="44" t="n">
        <x:v>410.4709218034767</x:v>
      </x:c>
      <x:c r="L3055" s="44" t="n">
        <x:v>251.69800415728787</x:v>
      </x:c>
    </x:row>
    <x:row r="3056" ht="15" hidden="0" customHeight="1">
      <x:c r="A3056" s="27" t="str">
        <x:v>36039</x:v>
      </x:c>
      <x:c r="B3056" s="27" t="str">
        <x:v>SCA-30</x:v>
      </x:c>
      <x:c r="C3056" s="43" t="n">
        <x:v>47238</x:v>
      </x:c>
      <x:c r="D3056" s="43" t="n">
        <x:v>534.7890923369832</x:v>
      </x:c>
      <x:c r="E3056" s="43" t="n">
        <x:v>6821.555549255848</x:v>
      </x:c>
      <x:c r="F3056" s="43" t="n">
        <x:v>158.05354948624256</x:v>
      </x:c>
      <x:c r="G3056" s="43" t="n">
        <x:v>1687.6802799433026</x:v>
      </x:c>
      <x:c r="H3056" s="43" t="n">
        <x:v>38035.921528977626</x:v>
      </x:c>
      <x:c r="I3056" s="43" t="n">
        <x:v>47238</x:v>
      </x:c>
      <x:c r="J3056" s="43" t="n">
        <x:v>6792</x:v>
      </x:c>
      <x:c r="K3056" s="43" t="n">
        <x:v>408.6111606042322</x:v>
      </x:c>
      <x:c r="L3056" s="43" t="n">
        <x:v>250.55761111798967</x:v>
      </x:c>
    </x:row>
    <x:row r="3057" ht="15" hidden="0" customHeight="1">
      <x:c r="A3057" s="29" t="str">
        <x:v>36023</x:v>
      </x:c>
      <x:c r="B3057" s="29" t="str">
        <x:v>SCA-30</x:v>
      </x:c>
      <x:c r="C3057" s="44" t="n">
        <x:v>45850</x:v>
      </x:c>
      <x:c r="D3057" s="44" t="n">
        <x:v>503.11953016345853</x:v>
      </x:c>
      <x:c r="E3057" s="44" t="n">
        <x:v>6238.178024184747</x:v>
      </x:c>
      <x:c r="F3057" s="44" t="n">
        <x:v>153.40944248156615</x:v>
      </x:c>
      <x:c r="G3057" s="44" t="n">
        <x:v>3844.641801632689</x:v>
      </x:c>
      <x:c r="H3057" s="44" t="n">
        <x:v>35110.65120153754</x:v>
      </x:c>
      <x:c r="I3057" s="44" t="n">
        <x:v>45850</x:v>
      </x:c>
      <x:c r="J3057" s="44" t="n">
        <x:v>6493</x:v>
      </x:c>
      <x:c r="K3057" s="44" t="n">
        <x:v>396.60488830399356</x:v>
      </x:c>
      <x:c r="L3057" s="44" t="n">
        <x:v>243.19544582242742</x:v>
      </x:c>
    </x:row>
    <x:row r="3058" ht="15" hidden="0" customHeight="1">
      <x:c r="A3058" s="27" t="str">
        <x:v>36017</x:v>
      </x:c>
      <x:c r="B3058" s="27" t="str">
        <x:v>SCA-30</x:v>
      </x:c>
      <x:c r="C3058" s="43" t="n">
        <x:v>45715</x:v>
      </x:c>
      <x:c r="D3058" s="43" t="n">
        <x:v>554.330863914706</x:v>
      </x:c>
      <x:c r="E3058" s="43" t="n">
        <x:v>7484.435492109226</x:v>
      </x:c>
      <x:c r="F3058" s="43" t="n">
        <x:v>152.95774619508825</x:v>
      </x:c>
      <x:c r="G3058" s="43" t="n">
        <x:v>2125.9031279331193</x:v>
      </x:c>
      <x:c r="H3058" s="43" t="n">
        <x:v>35397.37276984786</x:v>
      </x:c>
      <x:c r="I3058" s="43" t="n">
        <x:v>45715</x:v>
      </x:c>
      <x:c r="J3058" s="43" t="n">
        <x:v>7813</x:v>
      </x:c>
      <x:c r="K3058" s="43" t="n">
        <x:v>395.43713127190983</x:v>
      </x:c>
      <x:c r="L3058" s="43" t="n">
        <x:v>242.4793850768216</x:v>
      </x:c>
    </x:row>
    <x:row r="3059" ht="15" hidden="0" customHeight="1">
      <x:c r="A3059" s="29" t="str">
        <x:v>36025</x:v>
      </x:c>
      <x:c r="B3059" s="29" t="str">
        <x:v>SCA-30</x:v>
      </x:c>
      <x:c r="C3059" s="44" t="n">
        <x:v>44305</x:v>
      </x:c>
      <x:c r="D3059" s="44" t="n">
        <x:v>546.2508723044278</x:v>
      </x:c>
      <x:c r="E3059" s="44" t="n">
        <x:v>7470.008253694414</x:v>
      </x:c>
      <x:c r="F3059" s="44" t="n">
        <x:v>148.24002942520804</x:v>
      </x:c>
      <x:c r="G3059" s="44" t="n">
        <x:v>2261.248677729099</x:v>
      </x:c>
      <x:c r="H3059" s="44" t="n">
        <x:v>33879.252166846854</x:v>
      </x:c>
      <x:c r="I3059" s="44" t="n">
        <x:v>44305</x:v>
      </x:c>
      <x:c r="J3059" s="44" t="n">
        <x:v>7737</x:v>
      </x:c>
      <x:c r="K3059" s="44" t="n">
        <x:v>383.24055782570196</x:v>
      </x:c>
      <x:c r="L3059" s="44" t="n">
        <x:v>235.00052840049392</x:v>
      </x:c>
    </x:row>
    <x:row r="3060" ht="15" hidden="0" customHeight="1">
      <x:c r="A3060" s="27" t="str">
        <x:v>24041</x:v>
      </x:c>
      <x:c r="B3060" s="27" t="str">
        <x:v>SCA-30</x:v>
      </x:c>
      <x:c r="C3060" s="43" t="n">
        <x:v>38238</x:v>
      </x:c>
      <x:c r="D3060" s="43" t="n">
        <x:v>411.93714525066457</x:v>
      </x:c>
      <x:c r="E3060" s="43" t="n">
        <x:v>5619.123462336971</x:v>
      </x:c>
      <x:c r="F3060" s="43" t="n">
        <x:v>180.48106843510266</x:v>
      </x:c>
      <x:c r="G3060" s="43" t="n">
        <x:v>1424.1056294916154</x:v>
      </x:c>
      <x:c r="H3060" s="43" t="n">
        <x:v>30602.352694485646</x:v>
      </x:c>
      <x:c r="I3060" s="43" t="n">
        <x:v>38238</x:v>
      </x:c>
      <x:c r="J3060" s="43" t="n">
        <x:v>5751</x:v>
      </x:c>
      <x:c r="K3060" s="43" t="n">
        <x:v>358.28806942172673</x:v>
      </x:c>
      <x:c r="L3060" s="43" t="n">
        <x:v>177.80700098662408</x:v>
      </x:c>
    </x:row>
    <x:row r="3061" ht="15" hidden="0" customHeight="1">
      <x:c r="A3061" s="29" t="str">
        <x:v>42115</x:v>
      </x:c>
      <x:c r="B3061" s="29" t="str">
        <x:v>SCA-30</x:v>
      </x:c>
      <x:c r="C3061" s="44" t="n">
        <x:v>38237</x:v>
      </x:c>
      <x:c r="D3061" s="44" t="n">
        <x:v>516.8592218781324</x:v>
      </x:c>
      <x:c r="E3061" s="44" t="n">
        <x:v>5993.103982286889</x:v>
      </x:c>
      <x:c r="F3061" s="44" t="n">
        <x:v>249.29782007166807</x:v>
      </x:c>
      <x:c r="G3061" s="44" t="n">
        <x:v>992.7844377668828</x:v>
      </x:c>
      <x:c r="H3061" s="44" t="n">
        <x:v>30484.954537996426</x:v>
      </x:c>
      <x:c r="I3061" s="44" t="n">
        <x:v>38237</x:v>
      </x:c>
      <x:c r="J3061" s="44" t="n">
        <x:v>6194</x:v>
      </x:c>
      <x:c r="K3061" s="44" t="n">
        <x:v>516.4443760211801</x:v>
      </x:c>
      <x:c r="L3061" s="44" t="n">
        <x:v>267.14655594951205</x:v>
      </x:c>
    </x:row>
    <x:row r="3062" ht="15" hidden="0" customHeight="1">
      <x:c r="A3062" s="27" t="str">
        <x:v>24011</x:v>
      </x:c>
      <x:c r="B3062" s="27" t="str">
        <x:v>SCA-30</x:v>
      </x:c>
      <x:c r="C3062" s="43" t="n">
        <x:v>34116</x:v>
      </x:c>
      <x:c r="D3062" s="43" t="n">
        <x:v>362.4779837238618</x:v>
      </x:c>
      <x:c r="E3062" s="43" t="n">
        <x:v>4892.119564395644</x:v>
      </x:c>
      <x:c r="F3062" s="43" t="n">
        <x:v>161.0254754624186</x:v>
      </x:c>
      <x:c r="G3062" s="43" t="n">
        <x:v>1003.3163231632317</x:v>
      </x:c>
      <x:c r="H3062" s="43" t="n">
        <x:v>27697.060653254845</x:v>
      </x:c>
      <x:c r="I3062" s="43" t="n">
        <x:v>34116</x:v>
      </x:c>
      <x:c r="J3062" s="43" t="n">
        <x:v>4979</x:v>
      </x:c>
      <x:c r="K3062" s="43" t="n">
        <x:v>319.66514400312855</x:v>
      </x:c>
      <x:c r="L3062" s="43" t="n">
        <x:v>158.63966854070995</x:v>
      </x:c>
    </x:row>
    <x:row r="3063" ht="15" hidden="0" customHeight="1">
      <x:c r="A3063" s="29" t="str">
        <x:v>24019</x:v>
      </x:c>
      <x:c r="B3063" s="29" t="str">
        <x:v>SCA-30</x:v>
      </x:c>
      <x:c r="C3063" s="44" t="n">
        <x:v>33628</x:v>
      </x:c>
      <x:c r="D3063" s="44" t="n">
        <x:v>381.1445320833325</x:v>
      </x:c>
      <x:c r="E3063" s="44" t="n">
        <x:v>5394.577617212786</x:v>
      </x:c>
      <x:c r="F3063" s="44" t="n">
        <x:v>158.722144707768</x:v>
      </x:c>
      <x:c r="G3063" s="44" t="n">
        <x:v>2461.6260287907276</x:v>
      </x:c>
      <x:c r="H3063" s="44" t="n">
        <x:v>25231.929677205386</x:v>
      </x:c>
      <x:c r="I3063" s="44" t="n">
        <x:v>33628</x:v>
      </x:c>
      <x:c r="J3063" s="44" t="n">
        <x:v>5421</x:v>
      </x:c>
      <x:c r="K3063" s="44" t="n">
        <x:v>315.09260940723436</x:v>
      </x:c>
      <x:c r="L3063" s="44" t="n">
        <x:v>156.37046469946637</x:v>
      </x:c>
    </x:row>
    <x:row r="3064" ht="15" hidden="0" customHeight="1">
      <x:c r="A3064" s="27" t="str">
        <x:v>36099</x:v>
      </x:c>
      <x:c r="B3064" s="27" t="str">
        <x:v>SCA-30</x:v>
      </x:c>
      <x:c r="C3064" s="43" t="n">
        <x:v>32883</x:v>
      </x:c>
      <x:c r="D3064" s="43" t="n">
        <x:v>399.4632781018809</x:v>
      </x:c>
      <x:c r="E3064" s="43" t="n">
        <x:v>5401.123030399491</x:v>
      </x:c>
      <x:c r="F3064" s="43" t="n">
        <x:v>110.02317769075984</x:v>
      </x:c>
      <x:c r="G3064" s="43" t="n">
        <x:v>1831.4620404265481</x:v>
      </x:c>
      <x:c r="H3064" s="43" t="n">
        <x:v>25140.928473381322</x:v>
      </x:c>
      <x:c r="I3064" s="43" t="n">
        <x:v>32883</x:v>
      </x:c>
      <x:c r="J3064" s="43" t="n">
        <x:v>5375</x:v>
      </x:c>
      <x:c r="K3064" s="43" t="n">
        <x:v>284.4396628593287</x:v>
      </x:c>
      <x:c r="L3064" s="43" t="n">
        <x:v>174.41648516856884</x:v>
      </x:c>
    </x:row>
    <x:row r="3065" ht="15" hidden="0" customHeight="1">
      <x:c r="A3065" s="29" t="str">
        <x:v>36095</x:v>
      </x:c>
      <x:c r="B3065" s="29" t="str">
        <x:v>SCA-30</x:v>
      </x:c>
      <x:c r="C3065" s="44" t="n">
        <x:v>30176</x:v>
      </x:c>
      <x:c r="D3065" s="44" t="n">
        <x:v>360.31109559718413</x:v>
      </x:c>
      <x:c r="E3065" s="44" t="n">
        <x:v>4806.070905994323</x:v>
      </x:c>
      <x:c r="F3065" s="44" t="n">
        <x:v>100.96583067227351</x:v>
      </x:c>
      <x:c r="G3065" s="44" t="n">
        <x:v>1066.3915344798797</x:v>
      </x:c>
      <x:c r="H3065" s="44" t="n">
        <x:v>23842.260633256337</x:v>
      </x:c>
      <x:c r="I3065" s="44" t="n">
        <x:v>30176</x:v>
      </x:c>
      <x:c r="J3065" s="44" t="n">
        <x:v>4968</x:v>
      </x:c>
      <x:c r="K3065" s="44" t="n">
        <x:v>261.0239718530275</x:v>
      </x:c>
      <x:c r="L3065" s="44" t="n">
        <x:v>160.05814118075398</x:v>
      </x:c>
    </x:row>
    <x:row r="3066" ht="15" hidden="0" customHeight="1">
      <x:c r="A3066" s="27" t="str">
        <x:v>42131</x:v>
      </x:c>
      <x:c r="B3066" s="27" t="str">
        <x:v>SCA-30</x:v>
      </x:c>
      <x:c r="C3066" s="43" t="n">
        <x:v>25790</x:v>
      </x:c>
      <x:c r="D3066" s="43" t="n">
        <x:v>328.25288533630174</x:v>
      </x:c>
      <x:c r="E3066" s="43" t="n">
        <x:v>3553.644416873449</x:v>
      </x:c>
      <x:c r="F3066" s="43" t="n">
        <x:v>168.1457954245448</x:v>
      </x:c>
      <x:c r="G3066" s="43" t="n">
        <x:v>709.583010235732</x:v>
      </x:c>
      <x:c r="H3066" s="43" t="n">
        <x:v>21030.37389212997</x:v>
      </x:c>
      <x:c r="I3066" s="43" t="n">
        <x:v>25790</x:v>
      </x:c>
      <x:c r="J3066" s="43" t="n">
        <x:v>3702</x:v>
      </x:c>
      <x:c r="K3066" s="43" t="n">
        <x:v>348.33016339111947</x:v>
      </x:c>
      <x:c r="L3066" s="43" t="n">
        <x:v>180.18436796657468</x:v>
      </x:c>
    </x:row>
    <x:row r="3067" ht="15" hidden="0" customHeight="1">
      <x:c r="A3067" s="29" t="str">
        <x:v>24039</x:v>
      </x:c>
      <x:c r="B3067" s="29" t="str">
        <x:v>SCA-30</x:v>
      </x:c>
      <x:c r="C3067" s="44" t="n">
        <x:v>24973</x:v>
      </x:c>
      <x:c r="D3067" s="44" t="n">
        <x:v>266.4785207508961</x:v>
      </x:c>
      <x:c r="E3067" s="44" t="n">
        <x:v>3608.49298028169</x:v>
      </x:c>
      <x:c r="F3067" s="44" t="n">
        <x:v>117.87106339321666</x:v>
      </x:c>
      <x:c r="G3067" s="44" t="n">
        <x:v>914.8938028169015</x:v>
      </x:c>
      <x:c r="H3067" s="44" t="n">
        <x:v>20065.2636327573</x:v>
      </x:c>
      <x:c r="I3067" s="44" t="n">
        <x:v>24973</x:v>
      </x:c>
      <x:c r="J3067" s="44" t="n">
        <x:v>3206</x:v>
      </x:c>
      <x:c r="K3067" s="44" t="n">
        <x:v>233.99570996570904</x:v>
      </x:c>
      <x:c r="L3067" s="44" t="n">
        <x:v>116.12464657249237</x:v>
      </x:c>
    </x:row>
    <x:row r="3068" ht="15" hidden="0" customHeight="1">
      <x:c r="A3068" s="27" t="str">
        <x:v>36123</x:v>
      </x:c>
      <x:c r="B3068" s="27" t="str">
        <x:v>SCA-30</x:v>
      </x:c>
      <x:c r="C3068" s="43" t="n">
        <x:v>24547</x:v>
      </x:c>
      <x:c r="D3068" s="43" t="n">
        <x:v>243.43255760680344</x:v>
      </x:c>
      <x:c r="E3068" s="43" t="n">
        <x:v>2717.555938583457</x:v>
      </x:c>
      <x:c r="F3068" s="43" t="n">
        <x:v>82.13176847535453</x:v>
      </x:c>
      <x:c r="G3068" s="43" t="n">
        <x:v>3357.7987039788673</x:v>
      </x:c>
      <x:c r="H3068" s="43" t="n">
        <x:v>18146.08103135552</x:v>
      </x:c>
      <x:c r="I3068" s="43" t="n">
        <x:v>24547</x:v>
      </x:c>
      <x:c r="J3068" s="43" t="n">
        <x:v>2794</x:v>
      </x:c>
      <x:c r="K3068" s="43" t="n">
        <x:v>212.3328286411806</x:v>
      </x:c>
      <x:c r="L3068" s="43" t="n">
        <x:v>130.20106016582608</x:v>
      </x:c>
    </x:row>
    <x:row r="3069" ht="15" hidden="0" customHeight="1">
      <x:c r="A3069" s="29" t="str">
        <x:v>24029</x:v>
      </x:c>
      <x:c r="B3069" s="29" t="str">
        <x:v>SCA-30</x:v>
      </x:c>
      <x:c r="C3069" s="44" t="n">
        <x:v>19565</x:v>
      </x:c>
      <x:c r="D3069" s="44" t="n">
        <x:v>210.59451557137638</x:v>
      </x:c>
      <x:c r="E3069" s="44" t="n">
        <x:v>2870.81067761807</x:v>
      </x:c>
      <x:c r="F3069" s="44" t="n">
        <x:v>92.34562748921972</x:v>
      </x:c>
      <x:c r="G3069" s="44" t="n">
        <x:v>784.8883799294478</x:v>
      </x:c>
      <x:c r="H3069" s="44" t="n">
        <x:v>15606.360799391887</x:v>
      </x:c>
      <x:c r="I3069" s="44" t="n">
        <x:v>19565</x:v>
      </x:c>
      <x:c r="J3069" s="44" t="n">
        <x:v>2903</x:v>
      </x:c>
      <x:c r="K3069" s="44" t="n">
        <x:v>183.32303149317653</x:v>
      </x:c>
      <x:c r="L3069" s="44" t="n">
        <x:v>90.9774040039568</x:v>
      </x:c>
    </x:row>
    <x:row r="3070" ht="15" hidden="0" customHeight="1">
      <x:c r="A3070" s="27" t="str">
        <x:v>42093</x:v>
      </x:c>
      <x:c r="B3070" s="27" t="str">
        <x:v>SCA-30</x:v>
      </x:c>
      <x:c r="C3070" s="43" t="n">
        <x:v>17868</x:v>
      </x:c>
      <x:c r="D3070" s="43" t="n">
        <x:v>221.14866140249214</x:v>
      </x:c>
      <x:c r="E3070" s="43" t="n">
        <x:v>2311.490987896254</x:v>
      </x:c>
      <x:c r="F3070" s="43" t="n">
        <x:v>116.49589269661753</x:v>
      </x:c>
      <x:c r="G3070" s="43" t="n">
        <x:v>959.1240345821325</x:v>
      </x:c>
      <x:c r="H3070" s="43" t="n">
        <x:v>14259.740423422505</x:v>
      </x:c>
      <x:c r="I3070" s="43" t="n">
        <x:v>17868</x:v>
      </x:c>
      <x:c r="J3070" s="43" t="n">
        <x:v>2338</x:v>
      </x:c>
      <x:c r="K3070" s="43" t="n">
        <x:v>241.33242960343244</x:v>
      </x:c>
      <x:c r="L3070" s="43" t="n">
        <x:v>124.83653690681491</x:v>
      </x:c>
    </x:row>
    <x:row r="3071" ht="15" hidden="0" customHeight="1">
      <x:c r="A3071" s="29" t="str">
        <x:v>36097</x:v>
      </x:c>
      <x:c r="B3071" s="29" t="str">
        <x:v>SCA-30</x:v>
      </x:c>
      <x:c r="C3071" s="44" t="n">
        <x:v>16924</x:v>
      </x:c>
      <x:c r="D3071" s="44" t="n">
        <x:v>192.3125036081955</x:v>
      </x:c>
      <x:c r="E3071" s="44" t="n">
        <x:v>2461.0801650618982</x:v>
      </x:c>
      <x:c r="F3071" s="44" t="n">
        <x:v>56.62598483223613</x:v>
      </x:c>
      <x:c r="G3071" s="44" t="n">
        <x:v>764.9419704264099</x:v>
      </x:c>
      <x:c r="H3071" s="44" t="n">
        <x:v>13449.039376071261</x:v>
      </x:c>
      <x:c r="I3071" s="44" t="n">
        <x:v>16924</x:v>
      </x:c>
      <x:c r="J3071" s="44" t="n">
        <x:v>2643</x:v>
      </x:c>
      <x:c r="K3071" s="44" t="n">
        <x:v>146.39348156285251</x:v>
      </x:c>
      <x:c r="L3071" s="44" t="n">
        <x:v>89.76749673061639</x:v>
      </x:c>
    </x:row>
    <x:row r="3072" ht="15" hidden="0" customHeight="1">
      <x:c r="A3072" s="27" t="str">
        <x:v>42113</x:v>
      </x:c>
      <x:c r="B3072" s="27" t="str">
        <x:v>SCA-30</x:v>
      </x:c>
      <x:c r="C3072" s="43" t="n">
        <x:v>5856</x:v>
      </x:c>
      <x:c r="D3072" s="43" t="n">
        <x:v>76.17237229428477</x:v>
      </x:c>
      <x:c r="E3072" s="43" t="n">
        <x:v>846.2124755244755</x:v>
      </x:c>
      <x:c r="F3072" s="43" t="n">
        <x:v>38.17998363730649</x:v>
      </x:c>
      <x:c r="G3072" s="43" t="n">
        <x:v>198.7772727272727</x:v>
      </x:c>
      <x:c r="H3072" s="43" t="n">
        <x:v>4696.65789581666</x:v>
      </x:c>
      <x:c r="I3072" s="43" t="n">
        <x:v>5856</x:v>
      </x:c>
      <x:c r="J3072" s="43" t="n">
        <x:v>861</x:v>
      </x:c>
      <x:c r="K3072" s="43" t="n">
        <x:v>79.0935027847381</x:v>
      </x:c>
      <x:c r="L3072" s="43" t="n">
        <x:v>40.913519147431614</x:v>
      </x:c>
    </x:row>
    <x:row r="3073" ht="15" hidden="0" customHeight="1">
      <x:c r="A3073" s="29" t="str">
        <x:v>25017</x:v>
      </x:c>
      <x:c r="B3073" s="29" t="str">
        <x:v>SCA-31</x:v>
      </x:c>
      <x:c r="C3073" s="44" t="n">
        <x:v>1669979</x:v>
      </x:c>
      <x:c r="D3073" s="44" t="n">
        <x:v>15607.749422347633</x:v>
      </x:c>
      <x:c r="E3073" s="44" t="n">
        <x:v>158582.88981683637</x:v>
      </x:c>
      <x:c r="F3073" s="44" t="n">
        <x:v>4989.034453445571</x:v>
      </x:c>
      <x:c r="G3073" s="44" t="n">
        <x:v>98399.98746110845</x:v>
      </x:c>
      <x:c r="H3073" s="44" t="n">
        <x:v>1392399.3388462618</x:v>
      </x:c>
      <x:c r="I3073" s="44" t="n">
        <x:v>1669979</x:v>
      </x:c>
      <x:c r="J3073" s="44" t="n">
        <x:v>160649</x:v>
      </x:c>
      <x:c r="K3073" s="44" t="n">
        <x:v>13989.163466758355</x:v>
      </x:c>
      <x:c r="L3073" s="44" t="n">
        <x:v>9000.129013312784</x:v>
      </x:c>
    </x:row>
    <x:row r="3074" ht="15" hidden="0" customHeight="1">
      <x:c r="A3074" s="27" t="str">
        <x:v>09110</x:v>
      </x:c>
      <x:c r="B3074" s="27" t="str">
        <x:v>SCA-31</x:v>
      </x:c>
      <x:c r="C3074" s="43" t="n">
        <x:v>994115</x:v>
      </x:c>
      <x:c r="D3074" s="43" t="n">
        <x:v>10560.454338155083</x:v>
      </x:c>
      <x:c r="E3074" s="43" t="n">
        <x:v>118171.47398065263</x:v>
      </x:c>
      <x:c r="F3074" s="43" t="n">
        <x:v>3803.1088881580617</x:v>
      </x:c>
      <x:c r="G3074" s="43" t="n">
        <x:v>55135.565896008935</x:v>
      </x:c>
      <x:c r="H3074" s="43" t="n">
        <x:v>806444.3968970253</x:v>
      </x:c>
      <x:c r="I3074" s="43" t="n">
        <x:v>994115</x:v>
      </x:c>
      <x:c r="J3074" s="43" t="n">
        <x:v>119348</x:v>
      </x:c>
      <x:c r="K3074" s="43" t="n">
        <x:v>9439.751810452619</x:v>
      </x:c>
      <x:c r="L3074" s="43" t="n">
        <x:v>5636.642922294557</x:v>
      </x:c>
    </x:row>
    <x:row r="3075" ht="15" hidden="0" customHeight="1">
      <x:c r="A3075" s="29" t="str">
        <x:v>25027</x:v>
      </x:c>
      <x:c r="B3075" s="29" t="str">
        <x:v>SCA-31</x:v>
      </x:c>
      <x:c r="C3075" s="44" t="n">
        <x:v>888502</x:v>
      </x:c>
      <x:c r="D3075" s="44" t="n">
        <x:v>9556.487107621846</x:v>
      </x:c>
      <x:c r="E3075" s="44" t="n">
        <x:v>114432.57892339182</x:v>
      </x:c>
      <x:c r="F3075" s="44" t="n">
        <x:v>2654.384929364559</x:v>
      </x:c>
      <x:c r="G3075" s="44" t="n">
        <x:v>41786.78198713575</x:v>
      </x:c>
      <x:c r="H3075" s="44" t="n">
        <x:v>720071.7670524861</x:v>
      </x:c>
      <x:c r="I3075" s="44" t="n">
        <x:v>888502</x:v>
      </x:c>
      <x:c r="J3075" s="44" t="n">
        <x:v>115030</x:v>
      </x:c>
      <x:c r="K3075" s="44" t="n">
        <x:v>7442.847915178414</x:v>
      </x:c>
      <x:c r="L3075" s="44" t="n">
        <x:v>4788.462985813855</x:v>
      </x:c>
    </x:row>
    <x:row r="3076" ht="15" hidden="0" customHeight="1">
      <x:c r="A3076" s="27" t="str">
        <x:v>25009</x:v>
      </x:c>
      <x:c r="B3076" s="27" t="str">
        <x:v>SCA-31</x:v>
      </x:c>
      <x:c r="C3076" s="43" t="n">
        <x:v>826653</x:v>
      </x:c>
      <x:c r="D3076" s="43" t="n">
        <x:v>8520.14387141821</x:v>
      </x:c>
      <x:c r="E3076" s="43" t="n">
        <x:v>97560.18766231272</x:v>
      </x:c>
      <x:c r="F3076" s="43" t="n">
        <x:v>2469.612071795</x:v>
      </x:c>
      <x:c r="G3076" s="43" t="n">
        <x:v>42345.97823253082</x:v>
      </x:c>
      <x:c r="H3076" s="43" t="n">
        <x:v>675757.0781619432</x:v>
      </x:c>
      <x:c r="I3076" s="43" t="n">
        <x:v>826653</x:v>
      </x:c>
      <x:c r="J3076" s="43" t="n">
        <x:v>99210</x:v>
      </x:c>
      <x:c r="K3076" s="43" t="n">
        <x:v>6924.7481239501785</x:v>
      </x:c>
      <x:c r="L3076" s="43" t="n">
        <x:v>4455.136052155179</x:v>
      </x:c>
    </x:row>
    <x:row r="3077" ht="15" hidden="0" customHeight="1">
      <x:c r="A3077" s="29" t="str">
        <x:v>25025</x:v>
      </x:c>
      <x:c r="B3077" s="29" t="str">
        <x:v>SCA-31</x:v>
      </x:c>
      <x:c r="C3077" s="44" t="n">
        <x:v>791891</x:v>
      </x:c>
      <x:c r="D3077" s="44" t="n">
        <x:v>8260.004141777748</x:v>
      </x:c>
      <x:c r="E3077" s="44" t="n">
        <x:v>95813.11801694162</x:v>
      </x:c>
      <x:c r="F3077" s="44" t="n">
        <x:v>2365.761175663566</x:v>
      </x:c>
      <x:c r="G3077" s="44" t="n">
        <x:v>157175.324373341</x:v>
      </x:c>
      <x:c r="H3077" s="44" t="n">
        <x:v>528276.792292276</x:v>
      </x:c>
      <x:c r="I3077" s="44" t="n">
        <x:v>791891</x:v>
      </x:c>
      <x:c r="J3077" s="44" t="n">
        <x:v>98333</x:v>
      </x:c>
      <x:c r="K3077" s="44" t="n">
        <x:v>6633.552066735414</x:v>
      </x:c>
      <x:c r="L3077" s="44" t="n">
        <x:v>4267.790891071848</x:v>
      </x:c>
    </x:row>
    <x:row r="3078" ht="15" hidden="0" customHeight="1">
      <x:c r="A3078" s="27" t="str">
        <x:v>25021</x:v>
      </x:c>
      <x:c r="B3078" s="27" t="str">
        <x:v>SCA-31</x:v>
      </x:c>
      <x:c r="C3078" s="43" t="n">
        <x:v>739749</x:v>
      </x:c>
      <x:c r="D3078" s="43" t="n">
        <x:v>6906.530299576231</x:v>
      </x:c>
      <x:c r="E3078" s="43" t="n">
        <x:v>70074.04225830715</x:v>
      </x:c>
      <x:c r="F3078" s="43" t="n">
        <x:v>2209.987818949764</x:v>
      </x:c>
      <x:c r="G3078" s="43" t="n">
        <x:v>36526.24704106013</x:v>
      </x:c>
      <x:c r="H3078" s="43" t="n">
        <x:v>624032.1925821067</x:v>
      </x:c>
      <x:c r="I3078" s="43" t="n">
        <x:v>739749</x:v>
      </x:c>
      <x:c r="J3078" s="43" t="n">
        <x:v>71364</x:v>
      </x:c>
      <x:c r="K3078" s="43" t="n">
        <x:v>6196.766357763197</x:v>
      </x:c>
      <x:c r="L3078" s="43" t="n">
        <x:v>3986.7785388134334</x:v>
      </x:c>
    </x:row>
    <x:row r="3079" ht="15" hidden="0" customHeight="1">
      <x:c r="A3079" s="29" t="str">
        <x:v>44007</x:v>
      </x:c>
      <x:c r="B3079" s="29" t="str">
        <x:v>SCA-31</x:v>
      </x:c>
      <x:c r="C3079" s="44" t="n">
        <x:v>678179</x:v>
      </x:c>
      <x:c r="D3079" s="44" t="n">
        <x:v>9233.668204308708</x:v>
      </x:c>
      <x:c r="E3079" s="44" t="n">
        <x:v>94018.41903956604</x:v>
      </x:c>
      <x:c r="F3079" s="44" t="n">
        <x:v>2228.1773024348313</x:v>
      </x:c>
      <x:c r="G3079" s="44" t="n">
        <x:v>41135.48212942033</x:v>
      </x:c>
      <x:c r="H3079" s="44" t="n">
        <x:v>531563.2533242701</x:v>
      </x:c>
      <x:c r="I3079" s="44" t="n">
        <x:v>678179</x:v>
      </x:c>
      <x:c r="J3079" s="44" t="n">
        <x:v>94615</x:v>
      </x:c>
      <x:c r="K3079" s="44" t="n">
        <x:v>7544.4113800949535</x:v>
      </x:c>
      <x:c r="L3079" s="44" t="n">
        <x:v>5316.234077660122</x:v>
      </x:c>
    </x:row>
    <x:row r="3080" ht="15" hidden="0" customHeight="1">
      <x:c r="A3080" s="27" t="str">
        <x:v>25005</x:v>
      </x:c>
      <x:c r="B3080" s="27" t="str">
        <x:v>SCA-31</x:v>
      </x:c>
      <x:c r="C3080" s="43" t="n">
        <x:v>593640</x:v>
      </x:c>
      <x:c r="D3080" s="43" t="n">
        <x:v>6744.77575109091</x:v>
      </x:c>
      <x:c r="E3080" s="43" t="n">
        <x:v>85090.37217691544</x:v>
      </x:c>
      <x:c r="F3080" s="43" t="n">
        <x:v>1773.489614506187</x:v>
      </x:c>
      <x:c r="G3080" s="43" t="n">
        <x:v>31538.09218953393</x:v>
      </x:c>
      <x:c r="H3080" s="43" t="n">
        <x:v>468493.2702679535</x:v>
      </x:c>
      <x:c r="I3080" s="43" t="n">
        <x:v>593640</x:v>
      </x:c>
      <x:c r="J3080" s="43" t="n">
        <x:v>86141</x:v>
      </x:c>
      <x:c r="K3080" s="43" t="n">
        <x:v>4972.833191558953</x:v>
      </x:c>
      <x:c r="L3080" s="43" t="n">
        <x:v>3199.3435770527662</x:v>
      </x:c>
    </x:row>
    <x:row r="3081" ht="15" hidden="0" customHeight="1">
      <x:c r="A3081" s="29" t="str">
        <x:v>25023</x:v>
      </x:c>
      <x:c r="B3081" s="29" t="str">
        <x:v>SCA-31</x:v>
      </x:c>
      <x:c r="C3081" s="44" t="n">
        <x:v>546829</x:v>
      </x:c>
      <x:c r="D3081" s="44" t="n">
        <x:v>5528.13107203038</x:v>
      </x:c>
      <x:c r="E3081" s="44" t="n">
        <x:v>61945.65921584506</x:v>
      </x:c>
      <x:c r="F3081" s="44" t="n">
        <x:v>1633.642531518772</x:v>
      </x:c>
      <x:c r="G3081" s="44" t="n">
        <x:v>19115.991076935887</x:v>
      </x:c>
      <x:c r="H3081" s="44" t="n">
        <x:v>458605.57610366994</x:v>
      </x:c>
      <x:c r="I3081" s="44" t="n">
        <x:v>546829</x:v>
      </x:c>
      <x:c r="J3081" s="44" t="n">
        <x:v>62366</x:v>
      </x:c>
      <x:c r="K3081" s="44" t="n">
        <x:v>4580.704469555608</x:v>
      </x:c>
      <x:c r="L3081" s="44" t="n">
        <x:v>2947.0619380368357</x:v>
      </x:c>
    </x:row>
    <x:row r="3082" ht="15" hidden="0" customHeight="1">
      <x:c r="A3082" s="27" t="str">
        <x:v>25013</x:v>
      </x:c>
      <x:c r="B3082" s="27" t="str">
        <x:v>SCA-31</x:v>
      </x:c>
      <x:c r="C3082" s="43" t="n">
        <x:v>464338</x:v>
      </x:c>
      <x:c r="D3082" s="43" t="n">
        <x:v>5637.149774447279</x:v>
      </x:c>
      <x:c r="E3082" s="43" t="n">
        <x:v>75231.88980074206</x:v>
      </x:c>
      <x:c r="F3082" s="43" t="n">
        <x:v>1387.2020426867698</x:v>
      </x:c>
      <x:c r="G3082" s="43" t="n">
        <x:v>30007.80091874595</x:v>
      </x:c>
      <x:c r="H3082" s="43" t="n">
        <x:v>352073.95746337797</x:v>
      </x:c>
      <x:c r="I3082" s="43" t="n">
        <x:v>464338</x:v>
      </x:c>
      <x:c r="J3082" s="43" t="n">
        <x:v>77373</x:v>
      </x:c>
      <x:c r="K3082" s="43" t="n">
        <x:v>3889.689742103129</x:v>
      </x:c>
      <x:c r="L3082" s="43" t="n">
        <x:v>2502.487699416359</x:v>
      </x:c>
    </x:row>
    <x:row r="3083" ht="15" hidden="0" customHeight="1">
      <x:c r="A3083" s="29" t="str">
        <x:v>33011</x:v>
      </x:c>
      <x:c r="B3083" s="29" t="str">
        <x:v>SCA-31</x:v>
      </x:c>
      <x:c r="C3083" s="44" t="n">
        <x:v>433415</x:v>
      </x:c>
      <x:c r="D3083" s="44" t="n">
        <x:v>5078.877788982197</x:v>
      </x:c>
      <x:c r="E3083" s="44" t="n">
        <x:v>49296.17561682431</x:v>
      </x:c>
      <x:c r="F3083" s="44" t="n">
        <x:v>1507.929779018517</x:v>
      </x:c>
      <x:c r="G3083" s="44" t="n">
        <x:v>12398.16485267482</x:v>
      </x:c>
      <x:c r="H3083" s="44" t="n">
        <x:v>365133.8519625002</x:v>
      </x:c>
      <x:c r="I3083" s="44" t="n">
        <x:v>433415</x:v>
      </x:c>
      <x:c r="J3083" s="44" t="n">
        <x:v>50041</x:v>
      </x:c>
      <x:c r="K3083" s="44" t="n">
        <x:v>4532.800250633035</x:v>
      </x:c>
      <x:c r="L3083" s="44" t="n">
        <x:v>3024.870471614518</x:v>
      </x:c>
    </x:row>
    <x:row r="3084" ht="15" hidden="0" customHeight="1">
      <x:c r="A3084" s="27" t="str">
        <x:v>33015</x:v>
      </x:c>
      <x:c r="B3084" s="27" t="str">
        <x:v>SCA-31</x:v>
      </x:c>
      <x:c r="C3084" s="43" t="n">
        <x:v>324077</x:v>
      </x:c>
      <x:c r="D3084" s="43" t="n">
        <x:v>3750.7316032317467</x:v>
      </x:c>
      <x:c r="E3084" s="43" t="n">
        <x:v>35734.75158830787</x:v>
      </x:c>
      <x:c r="F3084" s="43" t="n">
        <x:v>1127.5229491249352</x:v>
      </x:c>
      <x:c r="G3084" s="43" t="n">
        <x:v>5583.90149796306</x:v>
      </x:c>
      <x:c r="H3084" s="43" t="n">
        <x:v>277880.0923613724</x:v>
      </x:c>
      <x:c r="I3084" s="43" t="n">
        <x:v>324077</x:v>
      </x:c>
      <x:c r="J3084" s="43" t="n">
        <x:v>36399</x:v>
      </x:c>
      <x:c r="K3084" s="43" t="n">
        <x:v>3389.30656951052</x:v>
      </x:c>
      <x:c r="L3084" s="43" t="n">
        <x:v>2261.783620385585</x:v>
      </x:c>
    </x:row>
    <x:row r="3085" ht="15" hidden="0" customHeight="1">
      <x:c r="A3085" s="29" t="str">
        <x:v>23005</x:v>
      </x:c>
      <x:c r="B3085" s="29" t="str">
        <x:v>SCA-31</x:v>
      </x:c>
      <x:c r="C3085" s="44" t="n">
        <x:v>317222</x:v>
      </x:c>
      <x:c r="D3085" s="44" t="n">
        <x:v>4011.465908037998</x:v>
      </x:c>
      <x:c r="E3085" s="44" t="n">
        <x:v>35903.62369843695</x:v>
      </x:c>
      <x:c r="F3085" s="44" t="n">
        <x:v>1044.3648679905205</x:v>
      </x:c>
      <x:c r="G3085" s="44" t="n">
        <x:v>11498.650127247325</x:v>
      </x:c>
      <x:c r="H3085" s="44" t="n">
        <x:v>264763.8953982872</x:v>
      </x:c>
      <x:c r="I3085" s="44" t="n">
        <x:v>317222</x:v>
      </x:c>
      <x:c r="J3085" s="44" t="n">
        <x:v>35949</x:v>
      </x:c>
      <x:c r="K3085" s="44" t="n">
        <x:v>3559.846455260312</x:v>
      </x:c>
      <x:c r="L3085" s="44" t="n">
        <x:v>2515.4815872697914</x:v>
      </x:c>
    </x:row>
    <x:row r="3086" ht="15" hidden="0" customHeight="1">
      <x:c r="A3086" s="27" t="str">
        <x:v>09180</x:v>
      </x:c>
      <x:c r="B3086" s="27" t="str">
        <x:v>SCA-31</x:v>
      </x:c>
      <x:c r="C3086" s="43" t="n">
        <x:v>284015</x:v>
      </x:c>
      <x:c r="D3086" s="43" t="n">
        <x:v>3288.801420595359</x:v>
      </x:c>
      <x:c r="E3086" s="43" t="n">
        <x:v>40282.398346098795</x:v>
      </x:c>
      <x:c r="F3086" s="43" t="n">
        <x:v>1086.5342247830606</x:v>
      </x:c>
      <x:c r="G3086" s="43" t="n">
        <x:v>11914.146249320429</x:v>
      </x:c>
      <x:c r="H3086" s="43" t="n">
        <x:v>227443.11975920232</x:v>
      </x:c>
      <x:c r="I3086" s="43" t="n">
        <x:v>284015</x:v>
      </x:c>
      <x:c r="J3086" s="43" t="n">
        <x:v>39948</x:v>
      </x:c>
      <x:c r="K3086" s="43" t="n">
        <x:v>2696.9023809576365</x:v>
      </x:c>
      <x:c r="L3086" s="43" t="n">
        <x:v>1610.368156174576</x:v>
      </x:c>
    </x:row>
    <x:row r="3087" ht="15" hidden="0" customHeight="1">
      <x:c r="A3087" s="29" t="str">
        <x:v>36091</x:v>
      </x:c>
      <x:c r="B3087" s="29" t="str">
        <x:v>SCA-31</x:v>
      </x:c>
      <x:c r="C3087" s="44" t="n">
        <x:v>241343</x:v>
      </x:c>
      <x:c r="D3087" s="44" t="n">
        <x:v>2392.1727690761277</x:v>
      </x:c>
      <x:c r="E3087" s="44" t="n">
        <x:v>26689.2578308493</x:v>
      </x:c>
      <x:c r="F3087" s="44" t="n">
        <x:v>807.509161980995</x:v>
      </x:c>
      <x:c r="G3087" s="44" t="n">
        <x:v>6430.768661913867</x:v>
      </x:c>
      <x:c r="H3087" s="44" t="n">
        <x:v>205023.2915761797</x:v>
      </x:c>
      <x:c r="I3087" s="44" t="n">
        <x:v>241343</x:v>
      </x:c>
      <x:c r="J3087" s="44" t="n">
        <x:v>27291</x:v>
      </x:c>
      <x:c r="K3087" s="44" t="n">
        <x:v>2087.6295214384018</x:v>
      </x:c>
      <x:c r="L3087" s="44" t="n">
        <x:v>1280.1203594574067</x:v>
      </x:c>
    </x:row>
    <x:row r="3088" ht="15" hidden="0" customHeight="1">
      <x:c r="A3088" s="27" t="str">
        <x:v>25001</x:v>
      </x:c>
      <x:c r="B3088" s="27" t="str">
        <x:v>SCA-31</x:v>
      </x:c>
      <x:c r="C3088" s="43" t="n">
        <x:v>233539</x:v>
      </x:c>
      <x:c r="D3088" s="43" t="n">
        <x:v>2642.885302021544</x:v>
      </x:c>
      <x:c r="E3088" s="43" t="n">
        <x:v>33222.192482342565</x:v>
      </x:c>
      <x:c r="F3088" s="43" t="n">
        <x:v>697.6938735296822</x:v>
      </x:c>
      <x:c r="G3088" s="43" t="n">
        <x:v>6587.52872770449</x:v>
      </x:c>
      <x:c r="H3088" s="43" t="n">
        <x:v>190388.6996144017</x:v>
      </x:c>
      <x:c r="I3088" s="43" t="n">
        <x:v>233539</x:v>
      </x:c>
      <x:c r="J3088" s="43" t="n">
        <x:v>33946</x:v>
      </x:c>
      <x:c r="K3088" s="43" t="n">
        <x:v>1956.3211554536192</x:v>
      </x:c>
      <x:c r="L3088" s="43" t="n">
        <x:v>1258.627281923937</x:v>
      </x:c>
    </x:row>
    <x:row r="3089" ht="15" hidden="0" customHeight="1">
      <x:c r="A3089" s="29" t="str">
        <x:v>23031</x:v>
      </x:c>
      <x:c r="B3089" s="29" t="str">
        <x:v>SCA-31</x:v>
      </x:c>
      <x:c r="C3089" s="44" t="n">
        <x:v>222434</x:v>
      </x:c>
      <x:c r="D3089" s="44" t="n">
        <x:v>3038.518468852967</x:v>
      </x:c>
      <x:c r="E3089" s="44" t="n">
        <x:v>30592.299979979234</x:v>
      </x:c>
      <x:c r="F3089" s="44" t="n">
        <x:v>732.301842389883</x:v>
      </x:c>
      <x:c r="G3089" s="44" t="n">
        <x:v>5692.148172290328</x:v>
      </x:c>
      <x:c r="H3089" s="44" t="n">
        <x:v>182378.7315364876</x:v>
      </x:c>
      <x:c r="I3089" s="44" t="n">
        <x:v>222434</x:v>
      </x:c>
      <x:c r="J3089" s="44" t="n">
        <x:v>30770</x:v>
      </x:c>
      <x:c r="K3089" s="44" t="n">
        <x:v>2496.1411454103823</x:v>
      </x:c>
      <x:c r="L3089" s="44" t="n">
        <x:v>1763.8393030204993</x:v>
      </x:c>
    </x:row>
    <x:row r="3090" ht="15" hidden="0" customHeight="1">
      <x:c r="A3090" s="27" t="str">
        <x:v>44003</x:v>
      </x:c>
      <x:c r="B3090" s="27" t="str">
        <x:v>SCA-31</x:v>
      </x:c>
      <x:c r="C3090" s="43" t="n">
        <x:v>173495</x:v>
      </x:c>
      <x:c r="D3090" s="43" t="n">
        <x:v>2388.1339117484654</x:v>
      </x:c>
      <x:c r="E3090" s="43" t="n">
        <x:v>24674.626734193298</x:v>
      </x:c>
      <x:c r="F3090" s="43" t="n">
        <x:v>570.022989632429</x:v>
      </x:c>
      <x:c r="G3090" s="43" t="n">
        <x:v>5841.157111177775</x:v>
      </x:c>
      <x:c r="H3090" s="43" t="n">
        <x:v>140021.05925324804</x:v>
      </x:c>
      <x:c r="I3090" s="43" t="n">
        <x:v>173495</x:v>
      </x:c>
      <x:c r="J3090" s="43" t="n">
        <x:v>25186</x:v>
      </x:c>
      <x:c r="K3090" s="43" t="n">
        <x:v>1930.0474541228407</x:v>
      </x:c>
      <x:c r="L3090" s="43" t="n">
        <x:v>1360.0244644904117</x:v>
      </x:c>
    </x:row>
    <x:row r="3091" ht="15" hidden="0" customHeight="1">
      <x:c r="A3091" s="29" t="str">
        <x:v>50007</x:v>
      </x:c>
      <x:c r="B3091" s="29" t="str">
        <x:v>SCA-31</x:v>
      </x:c>
      <x:c r="C3091" s="44" t="n">
        <x:v>169115</x:v>
      </x:c>
      <x:c r="D3091" s="44" t="n">
        <x:v>1715.8920751907754</x:v>
      </x:c>
      <x:c r="E3091" s="44" t="n">
        <x:v>18551.413977001674</x:v>
      </x:c>
      <x:c r="F3091" s="44" t="n">
        <x:v>375.8076265712263</x:v>
      </x:c>
      <x:c r="G3091" s="44" t="n">
        <x:v>5922.448728446485</x:v>
      </x:c>
      <x:c r="H3091" s="44" t="n">
        <x:v>142549.43759278985</x:v>
      </x:c>
      <x:c r="I3091" s="44" t="n">
        <x:v>169115</x:v>
      </x:c>
      <x:c r="J3091" s="44" t="n">
        <x:v>19258</x:v>
      </x:c>
      <x:c r="K3091" s="44" t="n">
        <x:v>1318.724119386932</x:v>
      </x:c>
      <x:c r="L3091" s="44" t="n">
        <x:v>942.9164928157057</x:v>
      </x:c>
    </x:row>
    <x:row r="3092" ht="15" hidden="0" customHeight="1">
      <x:c r="A3092" s="27" t="str">
        <x:v>25015</x:v>
      </x:c>
      <x:c r="B3092" s="27" t="str">
        <x:v>SCA-31</x:v>
      </x:c>
      <x:c r="C3092" s="43" t="n">
        <x:v>164065</x:v>
      </x:c>
      <x:c r="D3092" s="43" t="n">
        <x:v>1712.9856533377513</x:v>
      </x:c>
      <x:c r="E3092" s="43" t="n">
        <x:v>19890.701406034386</x:v>
      </x:c>
      <x:c r="F3092" s="43" t="n">
        <x:v>490.14145543419875</x:v>
      </x:c>
      <x:c r="G3092" s="43" t="n">
        <x:v>5535.400834794067</x:v>
      </x:c>
      <x:c r="H3092" s="43" t="n">
        <x:v>136435.7706503996</x:v>
      </x:c>
      <x:c r="I3092" s="43" t="n">
        <x:v>164065</x:v>
      </x:c>
      <x:c r="J3092" s="43" t="n">
        <x:v>20317</x:v>
      </x:c>
      <x:c r="K3092" s="43" t="n">
        <x:v>1374.3478835205171</x:v>
      </x:c>
      <x:c r="L3092" s="43" t="n">
        <x:v>884.2064280863184</x:v>
      </x:c>
    </x:row>
    <x:row r="3093" ht="15" hidden="0" customHeight="1">
      <x:c r="A3093" s="29" t="str">
        <x:v>36083</x:v>
      </x:c>
      <x:c r="B3093" s="29" t="str">
        <x:v>SCA-31</x:v>
      </x:c>
      <x:c r="C3093" s="44" t="n">
        <x:v>160510</x:v>
      </x:c>
      <x:c r="D3093" s="44" t="n">
        <x:v>1791.7260152388333</x:v>
      </x:c>
      <x:c r="E3093" s="44" t="n">
        <x:v>22568.55142756433</x:v>
      </x:c>
      <x:c r="F3093" s="44" t="n">
        <x:v>537.050155130124</x:v>
      </x:c>
      <x:c r="G3093" s="44" t="n">
        <x:v>9375.66816997331</x:v>
      </x:c>
      <x:c r="H3093" s="44" t="n">
        <x:v>126237.0042320934</x:v>
      </x:c>
      <x:c r="I3093" s="44" t="n">
        <x:v>160510</x:v>
      </x:c>
      <x:c r="J3093" s="44" t="n">
        <x:v>23269</x:v>
      </x:c>
      <x:c r="K3093" s="44" t="n">
        <x:v>1388.4198608871104</x:v>
      </x:c>
      <x:c r="L3093" s="44" t="n">
        <x:v>851.3697057569864</x:v>
      </x:c>
    </x:row>
    <x:row r="3094" ht="15" hidden="0" customHeight="1">
      <x:c r="A3094" s="27" t="str">
        <x:v>33013</x:v>
      </x:c>
      <x:c r="B3094" s="27" t="str">
        <x:v>SCA-31</x:v>
      </x:c>
      <x:c r="C3094" s="43" t="n">
        <x:v>158078</x:v>
      </x:c>
      <x:c r="D3094" s="43" t="n">
        <x:v>2030.5302958139723</x:v>
      </x:c>
      <x:c r="E3094" s="43" t="n">
        <x:v>22254.70629756698</x:v>
      </x:c>
      <x:c r="F3094" s="43" t="n">
        <x:v>549.9821732235596</x:v>
      </x:c>
      <x:c r="G3094" s="43" t="n">
        <x:v>3442.8444792185</x:v>
      </x:c>
      <x:c r="H3094" s="43" t="n">
        <x:v>129799.93675417698</x:v>
      </x:c>
      <x:c r="I3094" s="43" t="n">
        <x:v>158078</x:v>
      </x:c>
      <x:c r="J3094" s="43" t="n">
        <x:v>22398</x:v>
      </x:c>
      <x:c r="K3094" s="43" t="n">
        <x:v>1653.2330399722412</x:v>
      </x:c>
      <x:c r="L3094" s="43" t="n">
        <x:v>1103.2508667486816</x:v>
      </x:c>
    </x:row>
    <x:row r="3095" ht="15" hidden="0" customHeight="1">
      <x:c r="A3095" s="29" t="str">
        <x:v>23019</x:v>
      </x:c>
      <x:c r="B3095" s="29" t="str">
        <x:v>SCA-31</x:v>
      </x:c>
      <x:c r="C3095" s="44" t="n">
        <x:v>157967</x:v>
      </x:c>
      <x:c r="D3095" s="44" t="n">
        <x:v>2402.5490273188916</x:v>
      </x:c>
      <x:c r="E3095" s="44" t="n">
        <x:v>27597.959358271968</x:v>
      </x:c>
      <x:c r="F3095" s="44" t="n">
        <x:v>520.0622437972731</x:v>
      </x:c>
      <x:c r="G3095" s="44" t="n">
        <x:v>6278.661993127148</x:v>
      </x:c>
      <x:c r="H3095" s="44" t="n">
        <x:v>121167.76737748472</x:v>
      </x:c>
      <x:c r="I3095" s="44" t="n">
        <x:v>157967</x:v>
      </x:c>
      <x:c r="J3095" s="44" t="n">
        <x:v>27803</x:v>
      </x:c>
      <x:c r="K3095" s="44" t="n">
        <x:v>1772.6962978548327</x:v>
      </x:c>
      <x:c r="L3095" s="44" t="n">
        <x:v>1252.6340540575595</x:v>
      </x:c>
    </x:row>
    <x:row r="3096" ht="15" hidden="0" customHeight="1">
      <x:c r="A3096" s="27" t="str">
        <x:v>33017</x:v>
      </x:c>
      <x:c r="B3096" s="27" t="str">
        <x:v>SCA-31</x:v>
      </x:c>
      <x:c r="C3096" s="43" t="n">
        <x:v>135043</x:v>
      </x:c>
      <x:c r="D3096" s="43" t="n">
        <x:v>1681.3341553582868</x:v>
      </x:c>
      <x:c r="E3096" s="43" t="n">
        <x:v>17732.354986128626</x:v>
      </x:c>
      <x:c r="F3096" s="43" t="n">
        <x:v>469.8392098750563</x:v>
      </x:c>
      <x:c r="G3096" s="43" t="n">
        <x:v>3265.12904581757</x:v>
      </x:c>
      <x:c r="H3096" s="43" t="n">
        <x:v>111894.34260282046</x:v>
      </x:c>
      <x:c r="I3096" s="43" t="n">
        <x:v>135043</x:v>
      </x:c>
      <x:c r="J3096" s="43" t="n">
        <x:v>17897</x:v>
      </x:c>
      <x:c r="K3096" s="43" t="n">
        <x:v>1412.325240811317</x:v>
      </x:c>
      <x:c r="L3096" s="43" t="n">
        <x:v>942.4860309362606</x:v>
      </x:c>
    </x:row>
    <x:row r="3097" ht="15" hidden="0" customHeight="1">
      <x:c r="A3097" s="29" t="str">
        <x:v>44009</x:v>
      </x:c>
      <x:c r="B3097" s="29" t="str">
        <x:v>SCA-31</x:v>
      </x:c>
      <x:c r="C3097" s="44" t="n">
        <x:v>129795</x:v>
      </x:c>
      <x:c r="D3097" s="44" t="n">
        <x:v>1575.8716394627459</x:v>
      </x:c>
      <x:c r="E3097" s="44" t="n">
        <x:v>13401.858228083496</x:v>
      </x:c>
      <x:c r="F3097" s="44" t="n">
        <x:v>426.44533813274813</x:v>
      </x:c>
      <x:c r="G3097" s="44" t="n">
        <x:v>2969.6064366408905</x:v>
      </x:c>
      <x:c r="H3097" s="44" t="n">
        <x:v>111421.21835768012</x:v>
      </x:c>
      <x:c r="I3097" s="44" t="n">
        <x:v>129795</x:v>
      </x:c>
      <x:c r="J3097" s="44" t="n">
        <x:v>13881</x:v>
      </x:c>
      <x:c r="K3097" s="44" t="n">
        <x:v>1443.9062180920148</x:v>
      </x:c>
      <x:c r="L3097" s="44" t="n">
        <x:v>1017.4608799592667</x:v>
      </x:c>
    </x:row>
    <x:row r="3098" ht="15" hidden="0" customHeight="1">
      <x:c r="A3098" s="27" t="str">
        <x:v>23011</x:v>
      </x:c>
      <x:c r="B3098" s="27" t="str">
        <x:v>SCA-31</x:v>
      </x:c>
      <x:c r="C3098" s="43" t="n">
        <x:v>129067</x:v>
      </x:c>
      <x:c r="D3098" s="43" t="n">
        <x:v>1897.7387292771073</x:v>
      </x:c>
      <x:c r="E3098" s="43" t="n">
        <x:v>20982.56588669832</x:v>
      </x:c>
      <x:c r="F3098" s="43" t="n">
        <x:v>424.91706255219526</x:v>
      </x:c>
      <x:c r="G3098" s="43" t="n">
        <x:v>4995.144385283254</x:v>
      </x:c>
      <x:c r="H3098" s="43" t="n">
        <x:v>100766.63393618912</x:v>
      </x:c>
      <x:c r="I3098" s="43" t="n">
        <x:v>129067</x:v>
      </x:c>
      <x:c r="J3098" s="43" t="n">
        <x:v>21182</x:v>
      </x:c>
      <x:c r="K3098" s="43" t="n">
        <x:v>1448.3822132168723</x:v>
      </x:c>
      <x:c r="L3098" s="43" t="n">
        <x:v>1023.465150664677</x:v>
      </x:c>
    </x:row>
    <x:row r="3099" ht="15" hidden="0" customHeight="1">
      <x:c r="A3099" s="29" t="str">
        <x:v>25003</x:v>
      </x:c>
      <x:c r="B3099" s="29" t="str">
        <x:v>SCA-31</x:v>
      </x:c>
      <x:c r="C3099" s="44" t="n">
        <x:v>128224</x:v>
      </x:c>
      <x:c r="D3099" s="44" t="n">
        <x:v>1512.8779942743229</x:v>
      </x:c>
      <x:c r="E3099" s="44" t="n">
        <x:v>19723.96449148959</x:v>
      </x:c>
      <x:c r="F3099" s="44" t="n">
        <x:v>383.0670647706378</x:v>
      </x:c>
      <x:c r="G3099" s="44" t="n">
        <x:v>6696.716956610243</x:v>
      </x:c>
      <x:c r="H3099" s="44" t="n">
        <x:v>99907.37349285521</x:v>
      </x:c>
      <x:c r="I3099" s="44" t="n">
        <x:v>128224</x:v>
      </x:c>
      <x:c r="J3099" s="44" t="n">
        <x:v>20466</x:v>
      </x:c>
      <x:c r="K3099" s="44" t="n">
        <x:v>1074.1132052328942</x:v>
      </x:c>
      <x:c r="L3099" s="44" t="n">
        <x:v>691.0461404622564</x:v>
      </x:c>
    </x:row>
    <x:row r="3100" ht="15" hidden="0" customHeight="1">
      <x:c r="A3100" s="27" t="str">
        <x:v>23001</x:v>
      </x:c>
      <x:c r="B3100" s="27" t="str">
        <x:v>SCA-31</x:v>
      </x:c>
      <x:c r="C3100" s="43" t="n">
        <x:v>116487</x:v>
      </x:c>
      <x:c r="D3100" s="43" t="n">
        <x:v>1737.225601031047</x:v>
      </x:c>
      <x:c r="E3100" s="43" t="n">
        <x:v>19524.39182306206</x:v>
      </x:c>
      <x:c r="F3100" s="43" t="n">
        <x:v>383.50092483374976</x:v>
      </x:c>
      <x:c r="G3100" s="43" t="n">
        <x:v>5387.013554863646</x:v>
      </x:c>
      <x:c r="H3100" s="43" t="n">
        <x:v>89454.8680962095</x:v>
      </x:c>
      <x:c r="I3100" s="43" t="n">
        <x:v>116487</x:v>
      </x:c>
      <x:c r="J3100" s="43" t="n">
        <x:v>19514</x:v>
      </x:c>
      <x:c r="K3100" s="43" t="n">
        <x:v>1307.210199903878</x:v>
      </x:c>
      <x:c r="L3100" s="43" t="n">
        <x:v>923.7092750701282</x:v>
      </x:c>
    </x:row>
    <x:row r="3101" ht="15" hidden="0" customHeight="1">
      <x:c r="A3101" s="29" t="str">
        <x:v>36045</x:v>
      </x:c>
      <x:c r="B3101" s="29" t="str">
        <x:v>SCA-31</x:v>
      </x:c>
      <x:c r="C3101" s="44" t="n">
        <x:v>111540</x:v>
      </x:c>
      <x:c r="D3101" s="44" t="n">
        <x:v>1254.3987438370382</x:v>
      </x:c>
      <x:c r="E3101" s="44" t="n">
        <x:v>15906.562640555541</x:v>
      </x:c>
      <x:c r="F3101" s="44" t="n">
        <x:v>373.2015095832909</x:v>
      </x:c>
      <x:c r="G3101" s="44" t="n">
        <x:v>6193.442794742908</x:v>
      </x:c>
      <x:c r="H3101" s="44" t="n">
        <x:v>87812.39431128121</x:v>
      </x:c>
      <x:c r="I3101" s="44" t="n">
        <x:v>111540</x:v>
      </x:c>
      <x:c r="J3101" s="44" t="n">
        <x:v>15338</x:v>
      </x:c>
      <x:c r="K3101" s="44" t="n">
        <x:v>964.8268100638483</x:v>
      </x:c>
      <x:c r="L3101" s="44" t="n">
        <x:v>591.6253004805574</x:v>
      </x:c>
    </x:row>
    <x:row r="3102" ht="15" hidden="0" customHeight="1">
      <x:c r="A3102" s="27" t="str">
        <x:v>36089</x:v>
      </x:c>
      <x:c r="B3102" s="27" t="str">
        <x:v>SCA-31</x:v>
      </x:c>
      <x:c r="C3102" s="43" t="n">
        <x:v>105488</x:v>
      </x:c>
      <x:c r="D3102" s="43" t="n">
        <x:v>1305.1687458733443</x:v>
      </x:c>
      <x:c r="E3102" s="43" t="n">
        <x:v>17895.460401854714</x:v>
      </x:c>
      <x:c r="F3102" s="43" t="n">
        <x:v>352.9521323554079</x:v>
      </x:c>
      <x:c r="G3102" s="43" t="n">
        <x:v>6061.038639876352</x:v>
      </x:c>
      <x:c r="H3102" s="43" t="n">
        <x:v>79873.38008004018</x:v>
      </x:c>
      <x:c r="I3102" s="43" t="n">
        <x:v>105488</x:v>
      </x:c>
      <x:c r="J3102" s="43" t="n">
        <x:v>18522</x:v>
      </x:c>
      <x:c r="K3102" s="43" t="n">
        <x:v>912.4766948181391</x:v>
      </x:c>
      <x:c r="L3102" s="43" t="n">
        <x:v>559.5245624627312</x:v>
      </x:c>
    </x:row>
    <x:row r="3103" ht="15" hidden="0" customHeight="1">
      <x:c r="A3103" s="29" t="str">
        <x:v>09150</x:v>
      </x:c>
      <x:c r="B3103" s="29" t="str">
        <x:v>SCA-31</x:v>
      </x:c>
      <x:c r="C3103" s="44" t="n">
        <x:v>98096</x:v>
      </x:c>
      <x:c r="D3103" s="44" t="n">
        <x:v>1114.6152508132072</x:v>
      </x:c>
      <x:c r="E3103" s="44" t="n">
        <x:v>13401.836591302157</x:v>
      </x:c>
      <x:c r="F3103" s="44" t="n">
        <x:v>375.27828218340267</x:v>
      </x:c>
      <x:c r="G3103" s="44" t="n">
        <x:v>2275.874878148486</x:v>
      </x:c>
      <x:c r="H3103" s="44" t="n">
        <x:v>80928.39499755275</x:v>
      </x:c>
      <x:c r="I3103" s="44" t="n">
        <x:v>98096</x:v>
      </x:c>
      <x:c r="J3103" s="44" t="n">
        <x:v>13577</x:v>
      </x:c>
      <x:c r="K3103" s="44" t="n">
        <x:v>931.4836750256864</x:v>
      </x:c>
      <x:c r="L3103" s="44" t="n">
        <x:v>556.2053928422837</x:v>
      </x:c>
    </x:row>
    <x:row r="3104" ht="15" hidden="0" customHeight="1">
      <x:c r="A3104" s="27" t="str">
        <x:v>33009</x:v>
      </x:c>
      <x:c r="B3104" s="27" t="str">
        <x:v>SCA-31</x:v>
      </x:c>
      <x:c r="C3104" s="43" t="n">
        <x:v>93225</x:v>
      </x:c>
      <x:c r="D3104" s="43" t="n">
        <x:v>1172.128211331237</x:v>
      </x:c>
      <x:c r="E3104" s="43" t="n">
        <x:v>12515.915637319315</x:v>
      </x:c>
      <x:c r="F3104" s="43" t="n">
        <x:v>324.34676614561386</x:v>
      </x:c>
      <x:c r="G3104" s="43" t="n">
        <x:v>2832.047552562418</x:v>
      </x:c>
      <x:c r="H3104" s="43" t="n">
        <x:v>76380.56183264143</x:v>
      </x:c>
      <x:c r="I3104" s="43" t="n">
        <x:v>93225</x:v>
      </x:c>
      <x:c r="J3104" s="43" t="n">
        <x:v>12771</x:v>
      </x:c>
      <x:c r="K3104" s="43" t="n">
        <x:v>974.978492588546</x:v>
      </x:c>
      <x:c r="L3104" s="43" t="n">
        <x:v>650.6317264429322</x:v>
      </x:c>
    </x:row>
    <x:row r="3105" ht="15" hidden="0" customHeight="1">
      <x:c r="A3105" s="29" t="str">
        <x:v>44005</x:v>
      </x:c>
      <x:c r="B3105" s="29" t="str">
        <x:v>SCA-31</x:v>
      </x:c>
      <x:c r="C3105" s="44" t="n">
        <x:v>83051</x:v>
      </x:c>
      <x:c r="D3105" s="44" t="n">
        <x:v>1057.8008078554356</x:v>
      </x:c>
      <x:c r="E3105" s="44" t="n">
        <x:v>9762.36908616188</x:v>
      </x:c>
      <x:c r="F3105" s="44" t="n">
        <x:v>272.8665339748285</x:v>
      </x:c>
      <x:c r="G3105" s="44" t="n">
        <x:v>3341.7315138676786</x:v>
      </x:c>
      <x:c r="H3105" s="44" t="n">
        <x:v>68616.23205814019</x:v>
      </x:c>
      <x:c r="I3105" s="44" t="n">
        <x:v>83051</x:v>
      </x:c>
      <x:c r="J3105" s="44" t="n">
        <x:v>9942</x:v>
      </x:c>
      <x:c r="K3105" s="44" t="n">
        <x:v>923.9019632401859</x:v>
      </x:c>
      <x:c r="L3105" s="44" t="n">
        <x:v>651.0354292653574</x:v>
      </x:c>
    </x:row>
    <x:row r="3106" ht="15" hidden="0" customHeight="1">
      <x:c r="A3106" s="27" t="str">
        <x:v>33005</x:v>
      </x:c>
      <x:c r="B3106" s="27" t="str">
        <x:v>SCA-31</x:v>
      </x:c>
      <x:c r="C3106" s="43" t="n">
        <x:v>78269</x:v>
      </x:c>
      <x:c r="D3106" s="43" t="n">
        <x:v>999.0460015712714</x:v>
      </x:c>
      <x:c r="E3106" s="43" t="n">
        <x:v>10867.068421437143</x:v>
      </x:c>
      <x:c r="F3106" s="43" t="n">
        <x:v>272.3121162719341</x:v>
      </x:c>
      <x:c r="G3106" s="43" t="n">
        <x:v>1643.1702499608618</x:v>
      </x:c>
      <x:c r="H3106" s="43" t="n">
        <x:v>64487.403210758785</x:v>
      </x:c>
      <x:c r="I3106" s="43" t="n">
        <x:v>78269</x:v>
      </x:c>
      <x:c r="J3106" s="43" t="n">
        <x:v>11086</x:v>
      </x:c>
      <x:c r="K3106" s="43" t="n">
        <x:v>818.5636002833244</x:v>
      </x:c>
      <x:c r="L3106" s="43" t="n">
        <x:v>546.2514840113903</x:v>
      </x:c>
    </x:row>
    <x:row r="3107" ht="15" hidden="0" customHeight="1">
      <x:c r="A3107" s="29" t="str">
        <x:v>36019</x:v>
      </x:c>
      <x:c r="B3107" s="29" t="str">
        <x:v>SCA-31</x:v>
      </x:c>
      <x:c r="C3107" s="44" t="n">
        <x:v>78138</x:v>
      </x:c>
      <x:c r="D3107" s="44" t="n">
        <x:v>966.7380884319107</x:v>
      </x:c>
      <x:c r="E3107" s="44" t="n">
        <x:v>13254.771093006031</x:v>
      </x:c>
      <x:c r="F3107" s="44" t="n">
        <x:v>261.441810613405</x:v>
      </x:c>
      <x:c r="G3107" s="44" t="n">
        <x:v>4530.615067188657</x:v>
      </x:c>
      <x:c r="H3107" s="44" t="n">
        <x:v>59124.43394076</x:v>
      </x:c>
      <x:c r="I3107" s="44" t="n">
        <x:v>78138</x:v>
      </x:c>
      <x:c r="J3107" s="44" t="n">
        <x:v>13360</x:v>
      </x:c>
      <x:c r="K3107" s="44" t="n">
        <x:v>675.8977701700644</x:v>
      </x:c>
      <x:c r="L3107" s="44" t="n">
        <x:v>414.4559595566594</x:v>
      </x:c>
    </x:row>
    <x:row r="3108" ht="15" hidden="0" customHeight="1">
      <x:c r="A3108" s="27" t="str">
        <x:v>25011</x:v>
      </x:c>
      <x:c r="B3108" s="27" t="str">
        <x:v>SCA-31</x:v>
      </x:c>
      <x:c r="C3108" s="43" t="n">
        <x:v>70698</x:v>
      </x:c>
      <x:c r="D3108" s="43" t="n">
        <x:v>877.1980675134645</x:v>
      </x:c>
      <x:c r="E3108" s="43" t="n">
        <x:v>11908.3350955414</x:v>
      </x:c>
      <x:c r="F3108" s="43" t="n">
        <x:v>211.20909771302212</x:v>
      </x:c>
      <x:c r="G3108" s="43" t="n">
        <x:v>3058.227010350319</x:v>
      </x:c>
      <x:c r="H3108" s="43" t="n">
        <x:v>54643.03072888179</x:v>
      </x:c>
      <x:c r="I3108" s="43" t="n">
        <x:v>70698</x:v>
      </x:c>
      <x:c r="J3108" s="43" t="n">
        <x:v>12341</x:v>
      </x:c>
      <x:c r="K3108" s="43" t="n">
        <x:v>592.2265362455948</x:v>
      </x:c>
      <x:c r="L3108" s="43" t="n">
        <x:v>381.0174385325727</x:v>
      </x:c>
    </x:row>
    <x:row r="3109" ht="15" hidden="0" customHeight="1">
      <x:c r="A3109" s="29" t="str">
        <x:v>23003</x:v>
      </x:c>
      <x:c r="B3109" s="29" t="str">
        <x:v>SCA-31</x:v>
      </x:c>
      <x:c r="C3109" s="44" t="n">
        <x:v>66609</x:v>
      </x:c>
      <x:c r="D3109" s="44" t="n">
        <x:v>1077.0658418813405</x:v>
      </x:c>
      <x:c r="E3109" s="44" t="n">
        <x:v>13173.00319247687</x:v>
      </x:c>
      <x:c r="F3109" s="44" t="n">
        <x:v>219.29153555548032</x:v>
      </x:c>
      <x:c r="G3109" s="44" t="n">
        <x:v>3163.2706203549224</x:v>
      </x:c>
      <x:c r="H3109" s="44" t="n">
        <x:v>48976.36880973139</x:v>
      </x:c>
      <x:c r="I3109" s="44" t="n">
        <x:v>66609</x:v>
      </x:c>
      <x:c r="J3109" s="44" t="n">
        <x:v>13582</x:v>
      </x:c>
      <x:c r="K3109" s="44" t="n">
        <x:v>747.4822444169513</x:v>
      </x:c>
      <x:c r="L3109" s="44" t="n">
        <x:v>528.190708861471</x:v>
      </x:c>
    </x:row>
    <x:row r="3110" ht="15" hidden="0" customHeight="1">
      <x:c r="A3110" s="27" t="str">
        <x:v>33001</x:v>
      </x:c>
      <x:c r="B3110" s="27" t="str">
        <x:v>SCA-31</x:v>
      </x:c>
      <x:c r="C3110" s="43" t="n">
        <x:v>65147</x:v>
      </x:c>
      <x:c r="D3110" s="43" t="n">
        <x:v>846.2926917727996</x:v>
      </x:c>
      <x:c r="E3110" s="43" t="n">
        <x:v>9398.920317410531</x:v>
      </x:c>
      <x:c r="F3110" s="43" t="n">
        <x:v>226.65828666225053</x:v>
      </x:c>
      <x:c r="G3110" s="43" t="n">
        <x:v>1349.349245679516</x:v>
      </x:c>
      <x:c r="H3110" s="43" t="n">
        <x:v>53325.779458474906</x:v>
      </x:c>
      <x:c r="I3110" s="43" t="n">
        <x:v>65147</x:v>
      </x:c>
      <x:c r="J3110" s="43" t="n">
        <x:v>9583</x:v>
      </x:c>
      <x:c r="K3110" s="43" t="n">
        <x:v>681.3292985429446</x:v>
      </x:c>
      <x:c r="L3110" s="43" t="n">
        <x:v>454.67101188069404</x:v>
      </x:c>
    </x:row>
    <x:row r="3111" ht="15" hidden="0" customHeight="1">
      <x:c r="A3111" s="29" t="str">
        <x:v>36113</x:v>
      </x:c>
      <x:c r="B3111" s="29" t="str">
        <x:v>SCA-31</x:v>
      </x:c>
      <x:c r="C3111" s="44" t="n">
        <x:v>65020</x:v>
      </x:c>
      <x:c r="D3111" s="44" t="n">
        <x:v>781.3027638508157</x:v>
      </x:c>
      <x:c r="E3111" s="44" t="n">
        <x:v>10474.24061165662</x:v>
      </x:c>
      <x:c r="F3111" s="44" t="n">
        <x:v>217.55031516142708</x:v>
      </x:c>
      <x:c r="G3111" s="44" t="n">
        <x:v>2679.2524856257614</x:v>
      </x:c>
      <x:c r="H3111" s="44" t="n">
        <x:v>50867.653823705376</x:v>
      </x:c>
      <x:c r="I3111" s="44" t="n">
        <x:v>65020</x:v>
      </x:c>
      <x:c r="J3111" s="44" t="n">
        <x:v>10886</x:v>
      </x:c>
      <x:c r="K3111" s="44" t="n">
        <x:v>562.4263868598836</x:v>
      </x:c>
      <x:c r="L3111" s="44" t="n">
        <x:v>344.8760716984565</x:v>
      </x:c>
    </x:row>
    <x:row r="3112" ht="15" hidden="0" customHeight="1">
      <x:c r="A3112" s="27" t="str">
        <x:v>23017</x:v>
      </x:c>
      <x:c r="B3112" s="27" t="str">
        <x:v>SCA-31</x:v>
      </x:c>
      <x:c r="C3112" s="43" t="n">
        <x:v>60346</x:v>
      </x:c>
      <x:c r="D3112" s="43" t="n">
        <x:v>926.3241195225517</x:v>
      </x:c>
      <x:c r="E3112" s="43" t="n">
        <x:v>10747.133904543822</x:v>
      </x:c>
      <x:c r="F3112" s="43" t="n">
        <x:v>198.67235665797443</x:v>
      </x:c>
      <x:c r="G3112" s="43" t="n">
        <x:v>2098.120063569097</x:v>
      </x:c>
      <x:c r="H3112" s="43" t="n">
        <x:v>46375.749555706556</x:v>
      </x:c>
      <x:c r="I3112" s="43" t="n">
        <x:v>60346</x:v>
      </x:c>
      <x:c r="J3112" s="43" t="n">
        <x:v>10856</x:v>
      </x:c>
      <x:c r="K3112" s="43" t="n">
        <x:v>677.1992301578667</x:v>
      </x:c>
      <x:c r="L3112" s="43" t="n">
        <x:v>478.5268734998923</x:v>
      </x:c>
    </x:row>
    <x:row r="3113" ht="15" hidden="0" customHeight="1">
      <x:c r="A3113" s="29" t="str">
        <x:v>36021</x:v>
      </x:c>
      <x:c r="B3113" s="29" t="str">
        <x:v>SCA-31</x:v>
      </x:c>
      <x:c r="C3113" s="44" t="n">
        <x:v>60168</x:v>
      </x:c>
      <x:c r="D3113" s="44" t="n">
        <x:v>702.5559876396464</x:v>
      </x:c>
      <x:c r="E3113" s="44" t="n">
        <x:v>9201.97606928714</x:v>
      </x:c>
      <x:c r="F3113" s="44" t="n">
        <x:v>201.31601603556976</x:v>
      </x:c>
      <x:c r="G3113" s="44" t="n">
        <x:v>2352.669678547635</x:v>
      </x:c>
      <x:c r="H3113" s="44" t="n">
        <x:v>47709.48224849001</x:v>
      </x:c>
      <x:c r="I3113" s="44" t="n">
        <x:v>60168</x:v>
      </x:c>
      <x:c r="J3113" s="44" t="n">
        <x:v>9565</x:v>
      </x:c>
      <x:c r="K3113" s="44" t="n">
        <x:v>520.4563341215853</x:v>
      </x:c>
      <x:c r="L3113" s="44" t="n">
        <x:v>319.14031808601555</x:v>
      </x:c>
    </x:row>
    <x:row r="3114" ht="15" hidden="0" customHeight="1">
      <x:c r="A3114" s="27" t="str">
        <x:v>50021</x:v>
      </x:c>
      <x:c r="B3114" s="27" t="str">
        <x:v>SCA-31</x:v>
      </x:c>
      <x:c r="C3114" s="43" t="n">
        <x:v>59653</x:v>
      </x:c>
      <x:c r="D3114" s="43" t="n">
        <x:v>696.3649441521204</x:v>
      </x:c>
      <x:c r="E3114" s="43" t="n">
        <x:v>8730.337578715154</x:v>
      </x:c>
      <x:c r="F3114" s="43" t="n">
        <x:v>132.56099309850316</x:v>
      </x:c>
      <x:c r="G3114" s="43" t="n">
        <x:v>1731.968363526974</x:v>
      </x:c>
      <x:c r="H3114" s="43" t="n">
        <x:v>48361.76812050725</x:v>
      </x:c>
      <x:c r="I3114" s="43" t="n">
        <x:v>59653</x:v>
      </x:c>
      <x:c r="J3114" s="43" t="n">
        <x:v>9122</x:v>
      </x:c>
      <x:c r="K3114" s="43" t="n">
        <x:v>465.1618714708255</x:v>
      </x:c>
      <x:c r="L3114" s="43" t="n">
        <x:v>332.6008783723223</x:v>
      </x:c>
    </x:row>
    <x:row r="3115" ht="15" hidden="0" customHeight="1">
      <x:c r="A3115" s="29" t="str">
        <x:v>50023</x:v>
      </x:c>
      <x:c r="B3115" s="29" t="str">
        <x:v>SCA-31</x:v>
      </x:c>
      <x:c r="C3115" s="44" t="n">
        <x:v>59652</x:v>
      </x:c>
      <x:c r="D3115" s="44" t="n">
        <x:v>658.0702538821648</x:v>
      </x:c>
      <x:c r="E3115" s="44" t="n">
        <x:v>7811.3988264799455</x:v>
      </x:c>
      <x:c r="F3115" s="44" t="n">
        <x:v>132.55877089688545</x:v>
      </x:c>
      <x:c r="G3115" s="44" t="n">
        <x:v>2113.647009812997</x:v>
      </x:c>
      <x:c r="H3115" s="44" t="n">
        <x:v>48936.325138928005</x:v>
      </x:c>
      <x:c r="I3115" s="44" t="n">
        <x:v>59652</x:v>
      </x:c>
      <x:c r="J3115" s="44" t="n">
        <x:v>8104</x:v>
      </x:c>
      <x:c r="K3115" s="44" t="n">
        <x:v>465.15407367571925</x:v>
      </x:c>
      <x:c r="L3115" s="44" t="n">
        <x:v>332.5953027788338</x:v>
      </x:c>
    </x:row>
    <x:row r="3116" ht="15" hidden="0" customHeight="1">
      <x:c r="A3116" s="27" t="str">
        <x:v>36115</x:v>
      </x:c>
      <x:c r="B3116" s="27" t="str">
        <x:v>SCA-31</x:v>
      </x:c>
      <x:c r="C3116" s="43" t="n">
        <x:v>59353</x:v>
      </x:c>
      <x:c r="D3116" s="43" t="n">
        <x:v>670.0361449652369</x:v>
      </x:c>
      <x:c r="E3116" s="43" t="n">
        <x:v>8525.249090909092</x:v>
      </x:c>
      <x:c r="F3116" s="43" t="n">
        <x:v>198.5891088246106</x:v>
      </x:c>
      <x:c r="G3116" s="43" t="n">
        <x:v>2786.2660984848485</x:v>
      </x:c>
      <x:c r="H3116" s="43" t="n">
        <x:v>47172.85955681621</x:v>
      </x:c>
      <x:c r="I3116" s="43" t="n">
        <x:v>59353</x:v>
      </x:c>
      <x:c r="J3116" s="43" t="n">
        <x:v>8690</x:v>
      </x:c>
      <x:c r="K3116" s="43" t="n">
        <x:v>513.4065416686353</x:v>
      </x:c>
      <x:c r="L3116" s="43" t="n">
        <x:v>314.8174328440247</x:v>
      </x:c>
    </x:row>
    <x:row r="3117" ht="15" hidden="0" customHeight="1">
      <x:c r="A3117" s="29" t="str">
        <x:v>36043</x:v>
      </x:c>
      <x:c r="B3117" s="29" t="str">
        <x:v>SCA-31</x:v>
      </x:c>
      <x:c r="C3117" s="44" t="n">
        <x:v>59219</x:v>
      </x:c>
      <x:c r="D3117" s="44" t="n">
        <x:v>689.365686654684</x:v>
      </x:c>
      <x:c r="E3117" s="44" t="n">
        <x:v>9006.216249662255</x:v>
      </x:c>
      <x:c r="F3117" s="44" t="n">
        <x:v>198.14075843655104</x:v>
      </x:c>
      <x:c r="G3117" s="44" t="n">
        <x:v>3303.6222051472573</x:v>
      </x:c>
      <x:c r="H3117" s="44" t="n">
        <x:v>46021.655100099255</x:v>
      </x:c>
      <x:c r="I3117" s="44" t="n">
        <x:v>59219</x:v>
      </x:c>
      <x:c r="J3117" s="44" t="n">
        <x:v>9381</x:v>
      </x:c>
      <x:c r="K3117" s="44" t="n">
        <x:v>512.2474346886411</x:v>
      </x:c>
      <x:c r="L3117" s="44" t="n">
        <x:v>314.10667625209004</x:v>
      </x:c>
    </x:row>
    <x:row r="3118" ht="15" hidden="0" customHeight="1">
      <x:c r="A3118" s="27" t="str">
        <x:v>50027</x:v>
      </x:c>
      <x:c r="B3118" s="27" t="str">
        <x:v>SCA-31</x:v>
      </x:c>
      <x:c r="C3118" s="43" t="n">
        <x:v>57312</x:v>
      </x:c>
      <x:c r="D3118" s="43" t="n">
        <x:v>673.8221968591898</x:v>
      </x:c>
      <x:c r="E3118" s="43" t="n">
        <x:v>8502.570788245372</x:v>
      </x:c>
      <x:c r="F3118" s="43" t="n">
        <x:v>127.358819111552</x:v>
      </x:c>
      <x:c r="G3118" s="43" t="n">
        <x:v>1709.1027481076167</x:v>
      </x:c>
      <x:c r="H3118" s="43" t="n">
        <x:v>46299.14544767627</x:v>
      </x:c>
      <x:c r="I3118" s="43" t="n">
        <x:v>57312</x:v>
      </x:c>
      <x:c r="J3118" s="43" t="n">
        <x:v>8840</x:v>
      </x:c>
      <x:c r="K3118" s="43" t="n">
        <x:v>446.9072331271847</x:v>
      </x:c>
      <x:c r="L3118" s="43" t="n">
        <x:v>319.5484140156327</x:v>
      </x:c>
    </x:row>
    <x:row r="3119" ht="15" hidden="0" customHeight="1">
      <x:c r="A3119" s="29" t="str">
        <x:v>23009</x:v>
      </x:c>
      <x:c r="B3119" s="29" t="str">
        <x:v>SCA-31</x:v>
      </x:c>
      <x:c r="C3119" s="44" t="n">
        <x:v>57171</x:v>
      </x:c>
      <x:c r="D3119" s="44" t="n">
        <x:v>799.7826758337496</x:v>
      </x:c>
      <x:c r="E3119" s="44" t="n">
        <x:v>8314.383907865087</x:v>
      </x:c>
      <x:c r="F3119" s="44" t="n">
        <x:v>188.21955560423316</x:v>
      </x:c>
      <x:c r="G3119" s="44" t="n">
        <x:v>2144.6098304660395</x:v>
      </x:c>
      <x:c r="H3119" s="44" t="n">
        <x:v>45724.00403023089</x:v>
      </x:c>
      <x:c r="I3119" s="44" t="n">
        <x:v>57171</x:v>
      </x:c>
      <x:c r="J3119" s="44" t="n">
        <x:v>8471</x:v>
      </x:c>
      <x:c r="K3119" s="44" t="n">
        <x:v>641.5695686102707</x:v>
      </x:c>
      <x:c r="L3119" s="44" t="n">
        <x:v>453.35001300603756</x:v>
      </x:c>
    </x:row>
    <x:row r="3120" ht="15" hidden="0" customHeight="1">
      <x:c r="A3120" s="27" t="str">
        <x:v>33003</x:v>
      </x:c>
      <x:c r="B3120" s="27" t="str">
        <x:v>SCA-31</x:v>
      </x:c>
      <x:c r="C3120" s="43" t="n">
        <x:v>52784</x:v>
      </x:c>
      <x:c r="D3120" s="43" t="n">
        <x:v>747.9995916447339</x:v>
      </x:c>
      <x:c r="E3120" s="43" t="n">
        <x:v>9110.684957687294</x:v>
      </x:c>
      <x:c r="F3120" s="43" t="n">
        <x:v>183.64515638755785</x:v>
      </x:c>
      <x:c r="G3120" s="43" t="n">
        <x:v>819.384841351672</x:v>
      </x:c>
      <x:c r="H3120" s="43" t="n">
        <x:v>41922.28545292874</x:v>
      </x:c>
      <x:c r="I3120" s="43" t="n">
        <x:v>52784</x:v>
      </x:c>
      <x:c r="J3120" s="43" t="n">
        <x:v>9242</x:v>
      </x:c>
      <x:c r="K3120" s="43" t="n">
        <x:v>552.0328747953212</x:v>
      </x:c>
      <x:c r="L3120" s="43" t="n">
        <x:v>368.3877184077633</x:v>
      </x:c>
    </x:row>
    <x:row r="3121" ht="15" hidden="0" customHeight="1">
      <x:c r="A3121" s="29" t="str">
        <x:v>36035</x:v>
      </x:c>
      <x:c r="B3121" s="29" t="str">
        <x:v>SCA-31</x:v>
      </x:c>
      <x:c r="C3121" s="44" t="n">
        <x:v>52216</x:v>
      </x:c>
      <x:c r="D3121" s="44" t="n">
        <x:v>621.2523255270197</x:v>
      </x:c>
      <x:c r="E3121" s="44" t="n">
        <x:v>8262.975298416564</x:v>
      </x:c>
      <x:c r="F3121" s="44" t="n">
        <x:v>174.70943181281262</x:v>
      </x:c>
      <x:c r="G3121" s="44" t="n">
        <x:v>3183.2137637028018</x:v>
      </x:c>
      <x:c r="H3121" s="44" t="n">
        <x:v>39973.849180540805</x:v>
      </x:c>
      <x:c r="I3121" s="44" t="n">
        <x:v>52216</x:v>
      </x:c>
      <x:c r="J3121" s="44" t="n">
        <x:v>8526</x:v>
      </x:c>
      <x:c r="K3121" s="44" t="n">
        <x:v>451.6711199058087</x:v>
      </x:c>
      <x:c r="L3121" s="44" t="n">
        <x:v>276.9616880929961</x:v>
      </x:c>
    </x:row>
    <x:row r="3122" ht="15" hidden="0" customHeight="1">
      <x:c r="A3122" s="27" t="str">
        <x:v>23025</x:v>
      </x:c>
      <x:c r="B3122" s="27" t="str">
        <x:v>SCA-31</x:v>
      </x:c>
      <x:c r="C3122" s="43" t="n">
        <x:v>51620</x:v>
      </x:c>
      <x:c r="D3122" s="43" t="n">
        <x:v>810.1392661450782</x:v>
      </x:c>
      <x:c r="E3122" s="43" t="n">
        <x:v>9619.37107137896</x:v>
      </x:c>
      <x:c r="F3122" s="43" t="n">
        <x:v>169.94443791940864</x:v>
      </x:c>
      <x:c r="G3122" s="43" t="n">
        <x:v>1667.3775921258905</x:v>
      </x:c>
      <x:c r="H3122" s="43" t="n">
        <x:v>39353.16763243066</x:v>
      </x:c>
      <x:c r="I3122" s="43" t="n">
        <x:v>51620</x:v>
      </x:c>
      <x:c r="J3122" s="43" t="n">
        <x:v>9782</x:v>
      </x:c>
      <x:c r="K3122" s="43" t="n">
        <x:v>579.2765760903635</x:v>
      </x:c>
      <x:c r="L3122" s="43" t="n">
        <x:v>409.33213817095486</x:v>
      </x:c>
    </x:row>
    <x:row r="3123" ht="15" hidden="0" customHeight="1">
      <x:c r="A3123" s="29" t="str">
        <x:v>50011</x:v>
      </x:c>
      <x:c r="B3123" s="29" t="str">
        <x:v>SCA-31</x:v>
      </x:c>
      <x:c r="C3123" s="44" t="n">
        <x:v>51177</x:v>
      </x:c>
      <x:c r="D3123" s="44" t="n">
        <x:v>594.6977950222174</x:v>
      </x:c>
      <x:c r="E3123" s="44" t="n">
        <x:v>7424.5355294117635</x:v>
      </x:c>
      <x:c r="F3123" s="44" t="n">
        <x:v>113.72561218718408</x:v>
      </x:c>
      <x:c r="G3123" s="44" t="n">
        <x:v>1896.8213585434173</x:v>
      </x:c>
      <x:c r="H3123" s="44" t="n">
        <x:v>41147.21970483542</x:v>
      </x:c>
      <x:c r="I3123" s="44" t="n">
        <x:v>51177</x:v>
      </x:c>
      <x:c r="J3123" s="44" t="n">
        <x:v>7553</x:v>
      </x:c>
      <x:c r="K3123" s="44" t="n">
        <x:v>399.06776015057807</x:v>
      </x:c>
      <x:c r="L3123" s="44" t="n">
        <x:v>285.342147963394</x:v>
      </x:c>
    </x:row>
    <x:row r="3124" ht="15" hidden="0" customHeight="1">
      <x:c r="A3124" s="27" t="str">
        <x:v>44001</x:v>
      </x:c>
      <x:c r="B3124" s="27" t="str">
        <x:v>SCA-31</x:v>
      </x:c>
      <x:c r="C3124" s="43" t="n">
        <x:v>50001</x:v>
      </x:c>
      <x:c r="D3124" s="43" t="n">
        <x:v>629.2662965260754</x:v>
      </x:c>
      <x:c r="E3124" s="43" t="n">
        <x:v>5695.422627760761</x:v>
      </x:c>
      <x:c r="F3124" s="43" t="n">
        <x:v>164.27977465985242</x:v>
      </x:c>
      <x:c r="G3124" s="43" t="n">
        <x:v>1441.8848944059325</x:v>
      </x:c>
      <x:c r="H3124" s="43" t="n">
        <x:v>42070.14640664738</x:v>
      </x:c>
      <x:c r="I3124" s="43" t="n">
        <x:v>50001</x:v>
      </x:c>
      <x:c r="J3124" s="43" t="n">
        <x:v>5888</x:v>
      </x:c>
      <x:c r="K3124" s="43" t="n">
        <x:v>556.2367950292295</x:v>
      </x:c>
      <x:c r="L3124" s="43" t="n">
        <x:v>391.95702036937706</x:v>
      </x:c>
    </x:row>
    <x:row r="3125" ht="15" hidden="0" customHeight="1">
      <x:c r="A3125" s="29" t="str">
        <x:v>36033</x:v>
      </x:c>
      <x:c r="B3125" s="29" t="str">
        <x:v>SCA-31</x:v>
      </x:c>
      <x:c r="C3125" s="44" t="n">
        <x:v>46500</x:v>
      </x:c>
      <x:c r="D3125" s="44" t="n">
        <x:v>584.9784073979175</x:v>
      </x:c>
      <x:c r="E3125" s="44" t="n">
        <x:v>8120.046280541755</x:v>
      </x:c>
      <x:c r="F3125" s="44" t="n">
        <x:v>155.58427645349676</x:v>
      </x:c>
      <x:c r="G3125" s="44" t="n">
        <x:v>2957.429047845913</x:v>
      </x:c>
      <x:c r="H3125" s="44" t="n">
        <x:v>34681.961987760915</x:v>
      </x:c>
      <x:c r="I3125" s="44" t="n">
        <x:v>46500</x:v>
      </x:c>
      <x:c r="J3125" s="44" t="n">
        <x:v>8018</x:v>
      </x:c>
      <x:c r="K3125" s="44" t="n">
        <x:v>402.2274221621745</x:v>
      </x:c>
      <x:c r="L3125" s="44" t="n">
        <x:v>246.64314570867774</x:v>
      </x:c>
    </x:row>
    <x:row r="3126" ht="15" hidden="0" customHeight="1">
      <x:c r="A3126" s="27" t="str">
        <x:v>50025</x:v>
      </x:c>
      <x:c r="B3126" s="27" t="str">
        <x:v>SCA-31</x:v>
      </x:c>
      <x:c r="C3126" s="43" t="n">
        <x:v>45204</x:v>
      </x:c>
      <x:c r="D3126" s="43" t="n">
        <x:v>536.6062985123389</x:v>
      </x:c>
      <x:c r="E3126" s="43" t="n">
        <x:v>6829.612090944933</x:v>
      </x:c>
      <x:c r="F3126" s="43" t="n">
        <x:v>100.45240192487782</x:v>
      </x:c>
      <x:c r="G3126" s="43" t="n">
        <x:v>1301.8487974766724</x:v>
      </x:c>
      <x:c r="H3126" s="43" t="n">
        <x:v>36435.48041114118</x:v>
      </x:c>
      <x:c r="I3126" s="43" t="n">
        <x:v>45204</x:v>
      </x:c>
      <x:c r="J3126" s="43" t="n">
        <x:v>7185</x:v>
      </x:c>
      <x:c r="K3126" s="43" t="n">
        <x:v>352.49152998117773</x:v>
      </x:c>
      <x:c r="L3126" s="43" t="n">
        <x:v>252.03912805629992</x:v>
      </x:c>
    </x:row>
    <x:row r="3127" ht="15" hidden="0" customHeight="1">
      <x:c r="A3127" s="29" t="str">
        <x:v>33019</x:v>
      </x:c>
      <x:c r="B3127" s="29" t="str">
        <x:v>SCA-31</x:v>
      </x:c>
      <x:c r="C3127" s="44" t="n">
        <x:v>43961</x:v>
      </x:c>
      <x:c r="D3127" s="44" t="n">
        <x:v>596.0748270338715</x:v>
      </x:c>
      <x:c r="E3127" s="44" t="n">
        <x:v>6942.340640148011</x:v>
      </x:c>
      <x:c r="F3127" s="44" t="n">
        <x:v>152.9483313116367</x:v>
      </x:c>
      <x:c r="G3127" s="44" t="n">
        <x:v>976.2812095282145</x:v>
      </x:c>
      <x:c r="H3127" s="44" t="n">
        <x:v>35293.35499197827</x:v>
      </x:c>
      <x:c r="I3127" s="44" t="n">
        <x:v>43961</x:v>
      </x:c>
      <x:c r="J3127" s="44" t="n">
        <x:v>7113</x:v>
      </x:c>
      <x:c r="K3127" s="44" t="n">
        <x:v>459.75896500600777</x:v>
      </x:c>
      <x:c r="L3127" s="44" t="n">
        <x:v>306.81063369437106</x:v>
      </x:c>
    </x:row>
    <x:row r="3128" ht="15" hidden="0" customHeight="1">
      <x:c r="A3128" s="27" t="str">
        <x:v>23013</x:v>
      </x:c>
      <x:c r="B3128" s="27" t="str">
        <x:v>SCA-31</x:v>
      </x:c>
      <x:c r="C3128" s="43" t="n">
        <x:v>41117</x:v>
      </x:c>
      <x:c r="D3128" s="43" t="n">
        <x:v>539.7110505106268</x:v>
      </x:c>
      <x:c r="E3128" s="43" t="n">
        <x:v>5127.95423580786</x:v>
      </x:c>
      <x:c r="F3128" s="43" t="n">
        <x:v>135.36624281155224</x:v>
      </x:c>
      <x:c r="G3128" s="43" t="n">
        <x:v>1174.6179039301312</x:v>
      </x:c>
      <x:c r="H3128" s="43" t="n">
        <x:v>34139.35056693983</x:v>
      </x:c>
      <x:c r="I3128" s="43" t="n">
        <x:v>41117</x:v>
      </x:c>
      <x:c r="J3128" s="43" t="n">
        <x:v>5117</x:v>
      </x:c>
      <x:c r="K3128" s="43" t="n">
        <x:v>461.41253349685155</x:v>
      </x:c>
      <x:c r="L3128" s="43" t="n">
        <x:v>326.0462906852993</x:v>
      </x:c>
    </x:row>
    <x:row r="3129" ht="15" hidden="0" customHeight="1">
      <x:c r="A3129" s="29" t="str">
        <x:v>23027</x:v>
      </x:c>
      <x:c r="B3129" s="29" t="str">
        <x:v>SCA-31</x:v>
      </x:c>
      <x:c r="C3129" s="44" t="n">
        <x:v>40693</x:v>
      </x:c>
      <x:c r="D3129" s="44" t="n">
        <x:v>596.8929321582624</x:v>
      </x:c>
      <x:c r="E3129" s="44" t="n">
        <x:v>6581.0122244488975</x:v>
      </x:c>
      <x:c r="F3129" s="44" t="n">
        <x:v>133.97034119051722</x:v>
      </x:c>
      <x:c r="G3129" s="44" t="n">
        <x:v>1481.3850826653306</x:v>
      </x:c>
      <x:c r="H3129" s="44" t="n">
        <x:v>31899.73941953699</x:v>
      </x:c>
      <x:c r="I3129" s="44" t="n">
        <x:v>40693</x:v>
      </x:c>
      <x:c r="J3129" s="44" t="n">
        <x:v>6725</x:v>
      </x:c>
      <x:c r="K3129" s="44" t="n">
        <x:v>456.65443066340885</x:v>
      </x:c>
      <x:c r="L3129" s="44" t="n">
        <x:v>322.6840894728916</x:v>
      </x:c>
    </x:row>
    <x:row r="3130" ht="15" hidden="0" customHeight="1">
      <x:c r="A3130" s="27" t="str">
        <x:v>50001</x:v>
      </x:c>
      <x:c r="B3130" s="27" t="str">
        <x:v>SCA-31</x:v>
      </x:c>
      <x:c r="C3130" s="43" t="n">
        <x:v>38048</x:v>
      </x:c>
      <x:c r="D3130" s="43" t="n">
        <x:v>444.3713059552798</x:v>
      </x:c>
      <x:c r="E3130" s="43" t="n">
        <x:v>5573.546997672614</x:v>
      </x:c>
      <x:c r="F3130" s="43" t="n">
        <x:v>84.55032714887511</x:v>
      </x:c>
      <x:c r="G3130" s="43" t="n">
        <x:v>854.612089029186</x:v>
      </x:c>
      <x:c r="H3130" s="43" t="n">
        <x:v>31090.919280194048</x:v>
      </x:c>
      <x:c r="I3130" s="43" t="n">
        <x:v>38048</x:v>
      </x:c>
      <x:c r="J3130" s="43" t="n">
        <x:v>5704</x:v>
      </x:c>
      <x:c r="K3130" s="43" t="n">
        <x:v>296.6905082011293</x:v>
      </x:c>
      <x:c r="L3130" s="43" t="n">
        <x:v>212.1401810522542</x:v>
      </x:c>
    </x:row>
    <x:row r="3131" ht="15" hidden="0" customHeight="1">
      <x:c r="A3131" s="29" t="str">
        <x:v>23023</x:v>
      </x:c>
      <x:c r="B3131" s="29" t="str">
        <x:v>SCA-31</x:v>
      </x:c>
      <x:c r="C3131" s="44" t="n">
        <x:v>37979</x:v>
      </x:c>
      <x:c r="D3131" s="44" t="n">
        <x:v>509.36924330942065</x:v>
      </x:c>
      <x:c r="E3131" s="44" t="n">
        <x:v>4996.953923612987</x:v>
      </x:c>
      <x:c r="F3131" s="44" t="n">
        <x:v>125.03525392757115</x:v>
      </x:c>
      <x:c r="G3131" s="44" t="n">
        <x:v>1038.5559397115228</x:v>
      </x:c>
      <x:c r="H3131" s="44" t="n">
        <x:v>31309.0856394385</x:v>
      </x:c>
      <x:c r="I3131" s="44" t="n">
        <x:v>37979</x:v>
      </x:c>
      <x:c r="J3131" s="44" t="n">
        <x:v>5074</x:v>
      </x:c>
      <x:c r="K3131" s="44" t="n">
        <x:v>426.1980837531173</x:v>
      </x:c>
      <x:c r="L3131" s="44" t="n">
        <x:v>301.16282982554617</x:v>
      </x:c>
    </x:row>
    <x:row r="3132" ht="15" hidden="0" customHeight="1">
      <x:c r="A3132" s="27" t="str">
        <x:v>50003</x:v>
      </x:c>
      <x:c r="B3132" s="27" t="str">
        <x:v>SCA-31</x:v>
      </x:c>
      <x:c r="C3132" s="43" t="n">
        <x:v>36630</x:v>
      </x:c>
      <x:c r="D3132" s="43" t="n">
        <x:v>443.9382072539653</x:v>
      </x:c>
      <x:c r="E3132" s="43" t="n">
        <x:v>5752.901226443314</x:v>
      </x:c>
      <x:c r="F3132" s="43" t="n">
        <x:v>81.39924525502775</x:v>
      </x:c>
      <x:c r="G3132" s="43" t="n">
        <x:v>1505.5230739945066</x:v>
      </x:c>
      <x:c r="H3132" s="43" t="n">
        <x:v>28846.23824705319</x:v>
      </x:c>
      <x:c r="I3132" s="43" t="n">
        <x:v>36630</x:v>
      </x:c>
      <x:c r="J3132" s="43" t="n">
        <x:v>6016</x:v>
      </x:c>
      <x:c r="K3132" s="43" t="n">
        <x:v>285.63323474052163</x:v>
      </x:c>
      <x:c r="L3132" s="43" t="n">
        <x:v>204.23398948549388</x:v>
      </x:c>
    </x:row>
    <x:row r="3133" ht="15" hidden="0" customHeight="1">
      <x:c r="A3133" s="29" t="str">
        <x:v>23015</x:v>
      </x:c>
      <x:c r="B3133" s="29" t="str">
        <x:v>SCA-31</x:v>
      </x:c>
      <x:c r="C3133" s="44" t="n">
        <x:v>36595</x:v>
      </x:c>
      <x:c r="D3133" s="44" t="n">
        <x:v>530.2314137795873</x:v>
      </x:c>
      <x:c r="E3133" s="44" t="n">
        <x:v>5761.039589121832</x:v>
      </x:c>
      <x:c r="F3133" s="44" t="n">
        <x:v>120.47882033438128</x:v>
      </x:c>
      <x:c r="G3133" s="44" t="n">
        <x:v>848.553787432292</x:v>
      </x:c>
      <x:c r="H3133" s="44" t="n">
        <x:v>29334.696389331908</x:v>
      </x:c>
      <x:c r="I3133" s="44" t="n">
        <x:v>36595</x:v>
      </x:c>
      <x:c r="J3133" s="44" t="n">
        <x:v>5843</x:v>
      </x:c>
      <x:c r="K3133" s="44" t="n">
        <x:v>410.666917900559</x:v>
      </x:c>
      <x:c r="L3133" s="44" t="n">
        <x:v>290.1880975661777</x:v>
      </x:c>
    </x:row>
    <x:row r="3134" ht="15" hidden="0" customHeight="1">
      <x:c r="A3134" s="27" t="str">
        <x:v>36031</x:v>
      </x:c>
      <x:c r="B3134" s="27" t="str">
        <x:v>SCA-31</x:v>
      </x:c>
      <x:c r="C3134" s="43" t="n">
        <x:v>36438</x:v>
      </x:c>
      <x:c r="D3134" s="43" t="n">
        <x:v>451.1416745464457</x:v>
      </x:c>
      <x:c r="E3134" s="43" t="n">
        <x:v>6188.854153846154</x:v>
      </x:c>
      <x:c r="F3134" s="43" t="n">
        <x:v>121.9178465680111</x:v>
      </x:c>
      <x:c r="G3134" s="43" t="n">
        <x:v>1446.1461538461538</x:v>
      </x:c>
      <x:c r="H3134" s="43" t="n">
        <x:v>28229.940171193237</x:v>
      </x:c>
      <x:c r="I3134" s="43" t="n">
        <x:v>36438</x:v>
      </x:c>
      <x:c r="J3134" s="43" t="n">
        <x:v>6256</x:v>
      </x:c>
      <x:c r="K3134" s="43" t="n">
        <x:v>315.1905980375337</x:v>
      </x:c>
      <x:c r="L3134" s="43" t="n">
        <x:v>193.27275146952258</x:v>
      </x:c>
    </x:row>
    <x:row r="3135" ht="15" hidden="0" customHeight="1">
      <x:c r="A3135" s="29" t="str">
        <x:v>33007</x:v>
      </x:c>
      <x:c r="B3135" s="29" t="str">
        <x:v>SCA-31</x:v>
      </x:c>
      <x:c r="C3135" s="44" t="n">
        <x:v>31343</x:v>
      </x:c>
      <x:c r="D3135" s="44" t="n">
        <x:v>493.14046092768217</x:v>
      </x:c>
      <x:c r="E3135" s="44" t="n">
        <x:v>6585.427325652737</x:v>
      </x:c>
      <x:c r="F3135" s="44" t="n">
        <x:v>109.04800956076133</x:v>
      </x:c>
      <x:c r="G3135" s="44" t="n">
        <x:v>1317.7782739109687</x:v>
      </x:c>
      <x:c r="H3135" s="44" t="n">
        <x:v>22837.60592994785</x:v>
      </x:c>
      <x:c r="I3135" s="44" t="n">
        <x:v>31343</x:v>
      </x:c>
      <x:c r="J3135" s="44" t="n">
        <x:v>6421</x:v>
      </x:c>
      <x:c r="K3135" s="44" t="n">
        <x:v>327.79566525291284</x:v>
      </x:c>
      <x:c r="L3135" s="44" t="n">
        <x:v>218.7476556921515</x:v>
      </x:c>
    </x:row>
    <x:row r="3136" ht="15" hidden="0" customHeight="1">
      <x:c r="A3136" s="27" t="str">
        <x:v>23029</x:v>
      </x:c>
      <x:c r="B3136" s="27" t="str">
        <x:v>SCA-31</x:v>
      </x:c>
      <x:c r="C3136" s="43" t="n">
        <x:v>31334</x:v>
      </x:c>
      <x:c r="D3136" s="43" t="n">
        <x:v>531.647956528825</x:v>
      </x:c>
      <x:c r="E3136" s="43" t="n">
        <x:v>6796.274761055057</x:v>
      </x:c>
      <x:c r="F3136" s="43" t="n">
        <x:v>103.15844668281193</x:v>
      </x:c>
      <x:c r="G3136" s="43" t="n">
        <x:v>947.0683093793596</x:v>
      </x:c>
      <x:c r="H3136" s="43" t="n">
        <x:v>22955.85052635395</x:v>
      </x:c>
      <x:c r="I3136" s="43" t="n">
        <x:v>31334</x:v>
      </x:c>
      <x:c r="J3136" s="43" t="n">
        <x:v>6964</x:v>
      </x:c>
      <x:c r="K3136" s="43" t="n">
        <x:v>351.6282881676763</x:v>
      </x:c>
      <x:c r="L3136" s="43" t="n">
        <x:v>248.4698414848644</x:v>
      </x:c>
    </x:row>
    <x:row r="3137" ht="15" hidden="0" customHeight="1">
      <x:c r="A3137" s="29" t="str">
        <x:v>23007</x:v>
      </x:c>
      <x:c r="B3137" s="29" t="str">
        <x:v>SCA-31</x:v>
      </x:c>
      <x:c r="C3137" s="44" t="n">
        <x:v>30824</x:v>
      </x:c>
      <x:c r="D3137" s="44" t="n">
        <x:v>485.19158270270293</x:v>
      </x:c>
      <x:c r="E3137" s="44" t="n">
        <x:v>5778.381560076877</x:v>
      </x:c>
      <x:c r="F3137" s="44" t="n">
        <x:v>101.47941407260467</x:v>
      </x:c>
      <x:c r="G3137" s="44" t="n">
        <x:v>1213.5257472330836</x:v>
      </x:c>
      <x:c r="H3137" s="44" t="n">
        <x:v>23245.421695914734</x:v>
      </x:c>
      <x:c r="I3137" s="44" t="n">
        <x:v>30824</x:v>
      </x:c>
      <x:c r="J3137" s="44" t="n">
        <x:v>5893</x:v>
      </x:c>
      <x:c r="K3137" s="44" t="n">
        <x:v>345.9050984387711</x:v>
      </x:c>
      <x:c r="L3137" s="44" t="n">
        <x:v>244.42568436616645</x:v>
      </x:c>
    </x:row>
    <x:row r="3138" ht="15" hidden="0" customHeight="1">
      <x:c r="A3138" s="27" t="str">
        <x:v>50005</x:v>
      </x:c>
      <x:c r="B3138" s="27" t="str">
        <x:v>SCA-31</x:v>
      </x:c>
      <x:c r="C3138" s="43" t="n">
        <x:v>30414</x:v>
      </x:c>
      <x:c r="D3138" s="43" t="n">
        <x:v>384.3153563781883</x:v>
      </x:c>
      <x:c r="E3138" s="43" t="n">
        <x:v>5153.742144420131</x:v>
      </x:c>
      <x:c r="F3138" s="43" t="n">
        <x:v>67.5860399996291</x:v>
      </x:c>
      <x:c r="G3138" s="43" t="n">
        <x:v>884.4245076586434</x:v>
      </x:c>
      <x:c r="H3138" s="43" t="n">
        <x:v>23923.931951543407</x:v>
      </x:c>
      <x:c r="I3138" s="43" t="n">
        <x:v>30414</x:v>
      </x:c>
      <x:c r="J3138" s="43" t="n">
        <x:v>5324</x:v>
      </x:c>
      <x:c r="K3138" s="43" t="n">
        <x:v>237.1621403603119</x:v>
      </x:c>
      <x:c r="L3138" s="43" t="n">
        <x:v>169.5761003606828</x:v>
      </x:c>
    </x:row>
    <x:row r="3139" ht="15" hidden="0" customHeight="1">
      <x:c r="A3139" s="29" t="str">
        <x:v>50017</x:v>
      </x:c>
      <x:c r="B3139" s="29" t="str">
        <x:v>SCA-31</x:v>
      </x:c>
      <x:c r="C3139" s="44" t="n">
        <x:v>30002</x:v>
      </x:c>
      <x:c r="D3139" s="44" t="n">
        <x:v>372.8729280768558</x:v>
      </x:c>
      <x:c r="E3139" s="44" t="n">
        <x:v>4934.255333602911</x:v>
      </x:c>
      <x:c r="F3139" s="44" t="n">
        <x:v>66.67049293315159</x:v>
      </x:c>
      <x:c r="G3139" s="44" t="n">
        <x:v>658.3887316349911</x:v>
      </x:c>
      <x:c r="H3139" s="44" t="n">
        <x:v>23969.812513752087</x:v>
      </x:c>
      <x:c r="I3139" s="44" t="n">
        <x:v>30002</x:v>
      </x:c>
      <x:c r="J3139" s="44" t="n">
        <x:v>5084</x:v>
      </x:c>
      <x:c r="K3139" s="44" t="n">
        <x:v>233.94944877655283</x:v>
      </x:c>
      <x:c r="L3139" s="44" t="n">
        <x:v>167.27895584340123</x:v>
      </x:c>
    </x:row>
    <x:row r="3140" ht="15" hidden="0" customHeight="1">
      <x:c r="A3140" s="27" t="str">
        <x:v>50019</x:v>
      </x:c>
      <x:c r="B3140" s="27" t="str">
        <x:v>SCA-31</x:v>
      </x:c>
      <x:c r="C3140" s="43" t="n">
        <x:v>27600</x:v>
      </x:c>
      <x:c r="D3140" s="43" t="n">
        <x:v>344.64973397630337</x:v>
      </x:c>
      <x:c r="E3140" s="43" t="n">
        <x:v>4578.320488617435</x:v>
      </x:c>
      <x:c r="F3140" s="43" t="n">
        <x:v>61.332764647522936</x:v>
      </x:c>
      <x:c r="G3140" s="43" t="n">
        <x:v>913.6502498611882</x:v>
      </x:c>
      <x:c r="H3140" s="43" t="n">
        <x:v>21702.046762897553</x:v>
      </x:c>
      <x:c r="I3140" s="43" t="n">
        <x:v>27600</x:v>
      </x:c>
      <x:c r="J3140" s="43" t="n">
        <x:v>4668</x:v>
      </x:c>
      <x:c r="K3140" s="43" t="n">
        <x:v>215.21914493143316</x:v>
      </x:c>
      <x:c r="L3140" s="43" t="n">
        <x:v>153.88638028391023</x:v>
      </x:c>
    </x:row>
    <x:row r="3141" ht="15" hidden="0" customHeight="1">
      <x:c r="A3141" s="29" t="str">
        <x:v>36049</x:v>
      </x:c>
      <x:c r="B3141" s="29" t="str">
        <x:v>SCA-31</x:v>
      </x:c>
      <x:c r="C3141" s="44" t="n">
        <x:v>26479</x:v>
      </x:c>
      <x:c r="D3141" s="44" t="n">
        <x:v>300.115385157273</x:v>
      </x:c>
      <x:c r="E3141" s="44" t="n">
        <x:v>3832.0008023706405</x:v>
      </x:c>
      <x:c r="F3141" s="44" t="n">
        <x:v>88.59604421961595</x:v>
      </x:c>
      <x:c r="G3141" s="44" t="n">
        <x:v>891.7141554593115</x:v>
      </x:c>
      <x:c r="H3141" s="44" t="n">
        <x:v>21366.57361279316</x:v>
      </x:c>
      <x:c r="I3141" s="44" t="n">
        <x:v>26479</x:v>
      </x:c>
      <x:c r="J3141" s="44" t="n">
        <x:v>3968</x:v>
      </x:c>
      <x:c r="K3141" s="44" t="n">
        <x:v>229.04472927811224</x:v>
      </x:c>
      <x:c r="L3141" s="44" t="n">
        <x:v>140.4486850584963</x:v>
      </x:c>
    </x:row>
    <x:row r="3142" ht="15" hidden="0" customHeight="1">
      <x:c r="A3142" s="27" t="str">
        <x:v>50015</x:v>
      </x:c>
      <x:c r="B3142" s="27" t="str">
        <x:v>SCA-31</x:v>
      </x:c>
      <x:c r="C3142" s="43" t="n">
        <x:v>26294</x:v>
      </x:c>
      <x:c r="D3142" s="43" t="n">
        <x:v>281.6464418340683</x:v>
      </x:c>
      <x:c r="E3142" s="43" t="n">
        <x:v>3241.0028795088256</x:v>
      </x:c>
      <x:c r="F3142" s="43" t="n">
        <x:v>58.430569334853914</x:v>
      </x:c>
      <x:c r="G3142" s="43" t="n">
        <x:v>681.5943207981582</x:v>
      </x:c>
      <x:c r="H3142" s="43" t="n">
        <x:v>22031.325788524093</x:v>
      </x:c>
      <x:c r="I3142" s="43" t="n">
        <x:v>26294</x:v>
      </x:c>
      <x:c r="J3142" s="43" t="n">
        <x:v>3346</x:v>
      </x:c>
      <x:c r="K3142" s="43" t="n">
        <x:v>205.03522452272114</x:v>
      </x:c>
      <x:c r="L3142" s="43" t="n">
        <x:v>146.60465518786722</x:v>
      </x:c>
    </x:row>
    <x:row r="3143" ht="15" hidden="0" customHeight="1">
      <x:c r="A3143" s="29" t="str">
        <x:v>25007</x:v>
      </x:c>
      <x:c r="B3143" s="29" t="str">
        <x:v>SCA-31</x:v>
      </x:c>
      <x:c r="C3143" s="44" t="n">
        <x:v>21219</x:v>
      </x:c>
      <x:c r="D3143" s="44" t="n">
        <x:v>208.79944643747328</x:v>
      </x:c>
      <x:c r="E3143" s="44" t="n">
        <x:v>2266.619447004608</x:v>
      </x:c>
      <x:c r="F3143" s="44" t="n">
        <x:v>63.3914091540442</x:v>
      </x:c>
      <x:c r="G3143" s="44" t="n">
        <x:v>305.72273425499236</x:v>
      </x:c>
      <x:c r="H3143" s="44" t="n">
        <x:v>18374.46696314888</x:v>
      </x:c>
      <x:c r="I3143" s="44" t="n">
        <x:v>21219</x:v>
      </x:c>
      <x:c r="J3143" s="44" t="n">
        <x:v>2318</x:v>
      </x:c>
      <x:c r="K3143" s="44" t="n">
        <x:v>177.74837863299211</x:v>
      </x:c>
      <x:c r="L3143" s="44" t="n">
        <x:v>114.35696947894792</x:v>
      </x:c>
    </x:row>
    <x:row r="3144" ht="15" hidden="0" customHeight="1">
      <x:c r="A3144" s="27" t="str">
        <x:v>23021</x:v>
      </x:c>
      <x:c r="B3144" s="27" t="str">
        <x:v>SCA-31</x:v>
      </x:c>
      <x:c r="C3144" s="43" t="n">
        <x:v>17409</x:v>
      </x:c>
      <x:c r="D3144" s="43" t="n">
        <x:v>283.2563546279422</x:v>
      </x:c>
      <x:c r="E3144" s="43" t="n">
        <x:v>3484.988686157097</x:v>
      </x:c>
      <x:c r="F3144" s="43" t="n">
        <x:v>57.31427198254525</x:v>
      </x:c>
      <x:c r="G3144" s="43" t="n">
        <x:v>527.9144064811553</x:v>
      </x:c>
      <x:c r="H3144" s="43" t="n">
        <x:v>13055.52628075126</x:v>
      </x:c>
      <x:c r="I3144" s="43" t="n">
        <x:v>17409</x:v>
      </x:c>
      <x:c r="J3144" s="43" t="n">
        <x:v>3552</x:v>
      </x:c>
      <x:c r="K3144" s="43" t="n">
        <x:v>195.36276468727507</x:v>
      </x:c>
      <x:c r="L3144" s="43" t="n">
        <x:v>138.04849270472982</x:v>
      </x:c>
    </x:row>
    <x:row r="3145" ht="15" hidden="0" customHeight="1">
      <x:c r="A3145" s="29" t="str">
        <x:v>25019</x:v>
      </x:c>
      <x:c r="B3145" s="29" t="str">
        <x:v>SCA-31</x:v>
      </x:c>
      <x:c r="C3145" s="44" t="n">
        <x:v>14758</x:v>
      </x:c>
      <x:c r="D3145" s="44" t="n">
        <x:v>136.83420188787403</x:v>
      </x:c>
      <x:c r="E3145" s="44" t="n">
        <x:v>1375.15031730636</x:v>
      </x:c>
      <x:c r="F3145" s="44" t="n">
        <x:v>44.08927924479873</x:v>
      </x:c>
      <x:c r="G3145" s="44" t="n">
        <x:v>379.68522239157545</x:v>
      </x:c>
      <x:c r="H3145" s="44" t="n">
        <x:v>12822.240979169392</x:v>
      </x:c>
      <x:c r="I3145" s="44" t="n">
        <x:v>14758</x:v>
      </x:c>
      <x:c r="J3145" s="44" t="n">
        <x:v>1401</x:v>
      </x:c>
      <x:c r="K3145" s="44" t="n">
        <x:v>123.62555124490775</x:v>
      </x:c>
      <x:c r="L3145" s="44" t="n">
        <x:v>79.53627200010902</x:v>
      </x:c>
    </x:row>
    <x:row r="3146" ht="15" hidden="0" customHeight="1">
      <x:c r="A3146" s="27" t="str">
        <x:v>50013</x:v>
      </x:c>
      <x:c r="B3146" s="27" t="str">
        <x:v>SCA-31</x:v>
      </x:c>
      <x:c r="C3146" s="43" t="n">
        <x:v>7511</x:v>
      </x:c>
      <x:c r="D3146" s="43" t="n">
        <x:v>82.75007728852792</x:v>
      </x:c>
      <x:c r="E3146" s="43" t="n">
        <x:v>980.9230703051485</x:v>
      </x:c>
      <x:c r="F3146" s="43" t="n">
        <x:v>16.69095635027336</x:v>
      </x:c>
      <x:c r="G3146" s="43" t="n">
        <x:v>71.27671730071246</x:v>
      </x:c>
      <x:c r="H3146" s="43" t="n">
        <x:v>6359.359178755338</x:v>
      </x:c>
      <x:c r="I3146" s="43" t="n">
        <x:v>7511</x:v>
      </x:c>
      <x:c r="J3146" s="43" t="n">
        <x:v>1012</x:v>
      </x:c>
      <x:c r="K3146" s="43" t="n">
        <x:v>58.56923904275342</x:v>
      </x:c>
      <x:c r="L3146" s="43" t="n">
        <x:v>41.87828269248006</x:v>
      </x:c>
    </x:row>
    <x:row r="3147" ht="15" hidden="0" customHeight="1">
      <x:c r="A3147" s="29" t="str">
        <x:v>50009</x:v>
      </x:c>
      <x:c r="B3147" s="29" t="str">
        <x:v>SCA-31</x:v>
      </x:c>
      <x:c r="C3147" s="44" t="n">
        <x:v>6051</x:v>
      </x:c>
      <x:c r="D3147" s="44" t="n">
        <x:v>87.48860516241146</x:v>
      </x:c>
      <x:c r="E3147" s="44" t="n">
        <x:v>1290.016535117057</x:v>
      </x:c>
      <x:c r="F3147" s="44" t="n">
        <x:v>13.446541988484107</x:v>
      </x:c>
      <x:c r="G3147" s="44" t="n">
        <x:v>133.414381270903</x:v>
      </x:c>
      <x:c r="H3147" s="44" t="n">
        <x:v>4526.633936461144</x:v>
      </x:c>
      <x:c r="I3147" s="44" t="n">
        <x:v>6051</x:v>
      </x:c>
      <x:c r="J3147" s="44" t="n">
        <x:v>1328</x:v>
      </x:c>
      <x:c r="K3147" s="44" t="n">
        <x:v>47.18445818768486</x:v>
      </x:c>
      <x:c r="L3147" s="44" t="n">
        <x:v>33.737916199200754</x:v>
      </x:c>
    </x:row>
    <x:row r="3148" ht="15" hidden="0" customHeight="1">
      <x:c r="A3148" s="27" t="str">
        <x:v>36041</x:v>
      </x:c>
      <x:c r="B3148" s="27" t="str">
        <x:v>SCA-31</x:v>
      </x:c>
      <x:c r="C3148" s="43" t="n">
        <x:v>5006</x:v>
      </x:c>
      <x:c r="D3148" s="43" t="n">
        <x:v>57.9164342852761</x:v>
      </x:c>
      <x:c r="E3148" s="43" t="n">
        <x:v>752.7321841794569</x:v>
      </x:c>
      <x:c r="F3148" s="43" t="n">
        <x:v>16.74956748228397</x:v>
      </x:c>
      <x:c r="G3148" s="43" t="n">
        <x:v>108.37288469106652</x:v>
      </x:c>
      <x:c r="H3148" s="43" t="n">
        <x:v>4070.2289293619165</x:v>
      </x:c>
      <x:c r="I3148" s="43" t="n">
        <x:v>5006</x:v>
      </x:c>
      <x:c r="J3148" s="43" t="n">
        <x:v>796</x:v>
      </x:c>
      <x:c r="K3148" s="43" t="n">
        <x:v>43.3021607600827</x:v>
      </x:c>
      <x:c r="L3148" s="43" t="n">
        <x:v>26.552593277798728</x:v>
      </x:c>
    </x:row>
    <x:row r="3149" ht="15" hidden="0" customHeight="1">
      <x:c r="A3149" s="29" t="str">
        <x:v>72127</x:v>
      </x:c>
      <x:c r="B3149" s="29" t="str">
        <x:v>SCA-32</x:v>
      </x:c>
      <x:c r="C3149" s="44" t="n">
        <x:v>331937</x:v>
      </x:c>
      <x:c r="D3149" s="44" t="n">
        <x:v>3971.2233870764767</x:v>
      </x:c>
      <x:c r="E3149" s="44" t="n">
        <x:v>67308.62432128977</x:v>
      </x:c>
      <x:c r="F3149" s="44" t="n">
        <x:v>1231.97002760095</x:v>
      </x:c>
      <x:c r="G3149" s="44" t="n">
        <x:v>38710.352139412695</x:v>
      </x:c>
      <x:c r="H3149" s="44" t="n">
        <x:v>220714.83012462012</x:v>
      </x:c>
      <x:c r="I3149" s="44" t="n">
        <x:v>331937</x:v>
      </x:c>
      <x:c r="J3149" s="44" t="n">
        <x:v>70434</x:v>
      </x:c>
      <x:c r="K3149" s="44" t="n">
        <x:v>2398.667401290353</x:v>
      </x:c>
      <x:c r="L3149" s="44" t="n">
        <x:v>1166.697373689403</x:v>
      </x:c>
    </x:row>
    <x:row r="3150" ht="15" hidden="0" customHeight="1">
      <x:c r="A3150" s="27" t="str">
        <x:v>72021</x:v>
      </x:c>
      <x:c r="B3150" s="27" t="str">
        <x:v>SCA-32</x:v>
      </x:c>
      <x:c r="C3150" s="43" t="n">
        <x:v>179473</x:v>
      </x:c>
      <x:c r="D3150" s="43" t="n">
        <x:v>2255.3778809206615</x:v>
      </x:c>
      <x:c r="E3150" s="43" t="n">
        <x:v>38989.52077612342</x:v>
      </x:c>
      <x:c r="F3150" s="43" t="n">
        <x:v>666.1063899584116</x:v>
      </x:c>
      <x:c r="G3150" s="43" t="n">
        <x:v>10603.995427137372</x:v>
      </x:c>
      <x:c r="H3150" s="43" t="n">
        <x:v>126957.99952586016</x:v>
      </x:c>
      <x:c r="I3150" s="43" t="n">
        <x:v>179473</x:v>
      </x:c>
      <x:c r="J3150" s="43" t="n">
        <x:v>40307</x:v>
      </x:c>
      <x:c r="K3150" s="43" t="n">
        <x:v>1296.9209052072638</x:v>
      </x:c>
      <x:c r="L3150" s="43" t="n">
        <x:v>630.8145152488522</x:v>
      </x:c>
    </x:row>
    <x:row r="3151" ht="15" hidden="0" customHeight="1">
      <x:c r="A3151" s="29" t="str">
        <x:v>72031</x:v>
      </x:c>
      <x:c r="B3151" s="29" t="str">
        <x:v>SCA-32</x:v>
      </x:c>
      <x:c r="C3151" s="44" t="n">
        <x:v>150153</x:v>
      </x:c>
      <x:c r="D3151" s="44" t="n">
        <x:v>1692.5393514152104</x:v>
      </x:c>
      <x:c r="E3151" s="44" t="n">
        <x:v>27954.701568487446</x:v>
      </x:c>
      <x:c r="F3151" s="44" t="n">
        <x:v>557.2864596425388</x:v>
      </x:c>
      <x:c r="G3151" s="44" t="n">
        <x:v>7649.584738254855</x:v>
      </x:c>
      <x:c r="H3151" s="44" t="n">
        <x:v>112298.88788219995</x:v>
      </x:c>
      <x:c r="I3151" s="44" t="n">
        <x:v>150153</x:v>
      </x:c>
      <x:c r="J3151" s="44" t="n">
        <x:v>29333</x:v>
      </x:c>
      <x:c r="K3151" s="44" t="n">
        <x:v>1085.046579037439</x:v>
      </x:c>
      <x:c r="L3151" s="44" t="n">
        <x:v>527.7601193949001</x:v>
      </x:c>
    </x:row>
    <x:row r="3152" ht="15" hidden="0" customHeight="1">
      <x:c r="A3152" s="27" t="str">
        <x:v>72113</x:v>
      </x:c>
      <x:c r="B3152" s="27" t="str">
        <x:v>SCA-32</x:v>
      </x:c>
      <x:c r="C3152" s="43" t="n">
        <x:v>133283</x:v>
      </x:c>
      <x:c r="D3152" s="43" t="n">
        <x:v>1876.7826769524424</x:v>
      </x:c>
      <x:c r="E3152" s="43" t="n">
        <x:v>33799.61995550612</x:v>
      </x:c>
      <x:c r="F3152" s="43" t="n">
        <x:v>494.6741736797566</x:v>
      </x:c>
      <x:c r="G3152" s="43" t="n">
        <x:v>9960.340378197996</x:v>
      </x:c>
      <x:c r="H3152" s="43" t="n">
        <x:v>87151.58281566369</x:v>
      </x:c>
      <x:c r="I3152" s="43" t="n">
        <x:v>133283</x:v>
      </x:c>
      <x:c r="J3152" s="43" t="n">
        <x:v>34197</x:v>
      </x:c>
      <x:c r="K3152" s="43" t="n">
        <x:v>963.1393524861106</x:v>
      </x:c>
      <x:c r="L3152" s="43" t="n">
        <x:v>468.465178806354</x:v>
      </x:c>
    </x:row>
    <x:row r="3153" ht="15" hidden="0" customHeight="1">
      <x:c r="A3153" s="29" t="str">
        <x:v>72025</x:v>
      </x:c>
      <x:c r="B3153" s="29" t="str">
        <x:v>SCA-32</x:v>
      </x:c>
      <x:c r="C3153" s="44" t="n">
        <x:v>123377</x:v>
      </x:c>
      <x:c r="D3153" s="44" t="n">
        <x:v>1656.8234276370183</x:v>
      </x:c>
      <x:c r="E3153" s="44" t="n">
        <x:v>29356.224311905313</x:v>
      </x:c>
      <x:c r="F3153" s="44" t="n">
        <x:v>457.9084768956832</x:v>
      </x:c>
      <x:c r="G3153" s="44" t="n">
        <x:v>6673.797400789046</x:v>
      </x:c>
      <x:c r="H3153" s="44" t="n">
        <x:v>85232.24638277294</x:v>
      </x:c>
      <x:c r="I3153" s="44" t="n">
        <x:v>123377</x:v>
      </x:c>
      <x:c r="J3153" s="44" t="n">
        <x:v>30972</x:v>
      </x:c>
      <x:c r="K3153" s="44" t="n">
        <x:v>891.5558915366466</x:v>
      </x:c>
      <x:c r="L3153" s="44" t="n">
        <x:v>433.64741464096346</x:v>
      </x:c>
    </x:row>
    <x:row r="3154" ht="15" hidden="0" customHeight="1">
      <x:c r="A3154" s="27" t="str">
        <x:v>72061</x:v>
      </x:c>
      <x:c r="B3154" s="27" t="str">
        <x:v>SCA-32</x:v>
      </x:c>
      <x:c r="C3154" s="43" t="n">
        <x:v>86972</x:v>
      </x:c>
      <x:c r="D3154" s="43" t="n">
        <x:v>1039.789769416033</x:v>
      </x:c>
      <x:c r="E3154" s="43" t="n">
        <x:v>17618.381273998497</x:v>
      </x:c>
      <x:c r="F3154" s="43" t="n">
        <x:v>322.792871058393</x:v>
      </x:c>
      <x:c r="G3154" s="43" t="n">
        <x:v>3748.463151062425</x:v>
      </x:c>
      <x:c r="H3154" s="43" t="n">
        <x:v>64242.57293446465</x:v>
      </x:c>
      <x:c r="I3154" s="43" t="n">
        <x:v>86972</x:v>
      </x:c>
      <x:c r="J3154" s="43" t="n">
        <x:v>18531</x:v>
      </x:c>
      <x:c r="K3154" s="43" t="n">
        <x:v>628.4834207244886</x:v>
      </x:c>
      <x:c r="L3154" s="43" t="n">
        <x:v>305.6905496660956</x:v>
      </x:c>
    </x:row>
    <x:row r="3155" ht="15" hidden="0" customHeight="1">
      <x:c r="A3155" s="29" t="str">
        <x:v>72013</x:v>
      </x:c>
      <x:c r="B3155" s="29" t="str">
        <x:v>SCA-32</x:v>
      </x:c>
      <x:c r="C3155" s="44" t="n">
        <x:v>85009</x:v>
      </x:c>
      <x:c r="D3155" s="44" t="n">
        <x:v>1008.7759798606323</x:v>
      </x:c>
      <x:c r="E3155" s="44" t="n">
        <x:v>17039.640321171995</x:v>
      </x:c>
      <x:c r="F3155" s="44" t="n">
        <x:v>315.5072802258535</x:v>
      </x:c>
      <x:c r="G3155" s="44" t="n">
        <x:v>4764.6243837160155</x:v>
      </x:c>
      <x:c r="H3155" s="44" t="n">
        <x:v>61880.452035025504</x:v>
      </x:c>
      <x:c r="I3155" s="44" t="n">
        <x:v>85009</x:v>
      </x:c>
      <x:c r="J3155" s="44" t="n">
        <x:v>17787</x:v>
      </x:c>
      <x:c r="K3155" s="44" t="n">
        <x:v>614.2982467043192</x:v>
      </x:c>
      <x:c r="L3155" s="44" t="n">
        <x:v>298.79096647846575</x:v>
      </x:c>
    </x:row>
    <x:row r="3156" ht="15" hidden="0" customHeight="1">
      <x:c r="A3156" s="27" t="str">
        <x:v>72137</x:v>
      </x:c>
      <x:c r="B3156" s="27" t="str">
        <x:v>SCA-32</x:v>
      </x:c>
      <x:c r="C3156" s="43" t="n">
        <x:v>72974</x:v>
      </x:c>
      <x:c r="D3156" s="43" t="n">
        <x:v>1146.6036381084307</x:v>
      </x:c>
      <x:c r="E3156" s="43" t="n">
        <x:v>21362.723481276582</x:v>
      </x:c>
      <x:c r="F3156" s="43" t="n">
        <x:v>270.83989068453263</x:v>
      </x:c>
      <x:c r="G3156" s="43" t="n">
        <x:v>2580.0553238924895</x:v>
      </x:c>
      <x:c r="H3156" s="43" t="n">
        <x:v>47613.77766603796</x:v>
      </x:c>
      <x:c r="I3156" s="43" t="n">
        <x:v>72974</x:v>
      </x:c>
      <x:c r="J3156" s="43" t="n">
        <x:v>22158</x:v>
      </x:c>
      <x:c r="K3156" s="43" t="n">
        <x:v>527.3300504064392</x:v>
      </x:c>
      <x:c r="L3156" s="43" t="n">
        <x:v>256.4901597219066</x:v>
      </x:c>
    </x:row>
    <x:row r="3157" ht="15" hidden="0" customHeight="1">
      <x:c r="A3157" s="29" t="str">
        <x:v>72097</x:v>
      </x:c>
      <x:c r="B3157" s="29" t="str">
        <x:v>SCA-32</x:v>
      </x:c>
      <x:c r="C3157" s="44" t="n">
        <x:v>70927</x:v>
      </x:c>
      <x:c r="D3157" s="44" t="n">
        <x:v>939.4967529068817</x:v>
      </x:c>
      <x:c r="E3157" s="44" t="n">
        <x:v>16564.8341013614</x:v>
      </x:c>
      <x:c r="F3157" s="44" t="n">
        <x:v>263.24253743226143</x:v>
      </x:c>
      <x:c r="G3157" s="44" t="n">
        <x:v>6298.568899439423</x:v>
      </x:c>
      <x:c r="H3157" s="44" t="n">
        <x:v>46860.857708860036</x:v>
      </x:c>
      <x:c r="I3157" s="44" t="n">
        <x:v>70927</x:v>
      </x:c>
      <x:c r="J3157" s="44" t="n">
        <x:v>17012</x:v>
      </x:c>
      <x:c r="K3157" s="44" t="n">
        <x:v>512.5378694490848</x:v>
      </x:c>
      <x:c r="L3157" s="44" t="n">
        <x:v>249.29533201682338</x:v>
      </x:c>
    </x:row>
    <x:row r="3158" ht="15" hidden="0" customHeight="1">
      <x:c r="A3158" s="27" t="str">
        <x:v>72139</x:v>
      </x:c>
      <x:c r="B3158" s="27" t="str">
        <x:v>SCA-32</x:v>
      </x:c>
      <x:c r="C3158" s="43" t="n">
        <x:v>65717</x:v>
      </x:c>
      <x:c r="D3158" s="43" t="n">
        <x:v>818.4141807152946</x:v>
      </x:c>
      <x:c r="E3158" s="43" t="n">
        <x:v>14098.344921886712</x:v>
      </x:c>
      <x:c r="F3158" s="43" t="n">
        <x:v>243.9058444941408</x:v>
      </x:c>
      <x:c r="G3158" s="43" t="n">
        <x:v>2221.6524183633696</x:v>
      </x:c>
      <x:c r="H3158" s="43" t="n">
        <x:v>48334.682634540484</x:v>
      </x:c>
      <x:c r="I3158" s="43" t="n">
        <x:v>65717</x:v>
      </x:c>
      <x:c r="J3158" s="43" t="n">
        <x:v>14905</x:v>
      </x:c>
      <x:c r="K3158" s="43" t="n">
        <x:v>474.88898679748905</x:v>
      </x:c>
      <x:c r="L3158" s="43" t="n">
        <x:v>230.98314230334825</x:v>
      </x:c>
    </x:row>
    <x:row r="3159" ht="15" hidden="0" customHeight="1">
      <x:c r="A3159" s="29" t="str">
        <x:v>72135</x:v>
      </x:c>
      <x:c r="B3159" s="29" t="str">
        <x:v>SCA-32</x:v>
      </x:c>
      <x:c r="C3159" s="44" t="n">
        <x:v>64864</x:v>
      </x:c>
      <x:c r="D3159" s="44" t="n">
        <x:v>691.7585247807546</x:v>
      </x:c>
      <x:c r="E3159" s="44" t="n">
        <x:v>11130.564486139949</x:v>
      </x:c>
      <x:c r="F3159" s="44" t="n">
        <x:v>240.739971350913</x:v>
      </x:c>
      <x:c r="G3159" s="44" t="n">
        <x:v>1711.0776511419954</x:v>
      </x:c>
      <x:c r="H3159" s="44" t="n">
        <x:v>51089.85936658639</x:v>
      </x:c>
      <x:c r="I3159" s="44" t="n">
        <x:v>64864</x:v>
      </x:c>
      <x:c r="J3159" s="44" t="n">
        <x:v>11794</x:v>
      </x:c>
      <x:c r="K3159" s="44" t="n">
        <x:v>468.72497587583626</x:v>
      </x:c>
      <x:c r="L3159" s="44" t="n">
        <x:v>227.98500452492326</x:v>
      </x:c>
    </x:row>
    <x:row r="3160" ht="15" hidden="0" customHeight="1">
      <x:c r="A3160" s="27" t="str">
        <x:v>72005</x:v>
      </x:c>
      <x:c r="B3160" s="27" t="str">
        <x:v>SCA-32</x:v>
      </x:c>
      <x:c r="C3160" s="43" t="n">
        <x:v>53362</x:v>
      </x:c>
      <x:c r="D3160" s="43" t="n">
        <x:v>722.3560927498919</x:v>
      </x:c>
      <x:c r="E3160" s="43" t="n">
        <x:v>12835.163957327342</x:v>
      </x:c>
      <x:c r="F3160" s="43" t="n">
        <x:v>198.05078859193725</x:v>
      </x:c>
      <x:c r="G3160" s="43" t="n">
        <x:v>3969.450673778776</x:v>
      </x:c>
      <x:c r="H3160" s="43" t="n">
        <x:v>35636.97848755205</x:v>
      </x:c>
      <x:c r="I3160" s="43" t="n">
        <x:v>53362</x:v>
      </x:c>
      <x:c r="J3160" s="43" t="n">
        <x:v>13387</x:v>
      </x:c>
      <x:c r="K3160" s="43" t="n">
        <x:v>385.6083831198565</x:v>
      </x:c>
      <x:c r="L3160" s="43" t="n">
        <x:v>187.55759452791926</x:v>
      </x:c>
    </x:row>
    <x:row r="3161" ht="15" hidden="0" customHeight="1">
      <x:c r="A3161" s="29" t="str">
        <x:v>72145</x:v>
      </x:c>
      <x:c r="B3161" s="29" t="str">
        <x:v>SCA-32</x:v>
      </x:c>
      <x:c r="C3161" s="44" t="n">
        <x:v>52738</x:v>
      </x:c>
      <x:c r="D3161" s="44" t="n">
        <x:v>648.1327386079288</x:v>
      </x:c>
      <x:c r="E3161" s="44" t="n">
        <x:v>11106.441337603335</x:v>
      </x:c>
      <x:c r="F3161" s="44" t="n">
        <x:v>195.7348391882161</x:v>
      </x:c>
      <x:c r="G3161" s="44" t="n">
        <x:v>3104.1695650554857</x:v>
      </x:c>
      <x:c r="H3161" s="44" t="n">
        <x:v>37683.52151954504</x:v>
      </x:c>
      <x:c r="I3161" s="44" t="n">
        <x:v>52738</x:v>
      </x:c>
      <x:c r="J3161" s="44" t="n">
        <x:v>11782</x:v>
      </x:c>
      <x:c r="K3161" s="44" t="n">
        <x:v>381.0991887293391</x:v>
      </x:c>
      <x:c r="L3161" s="44" t="n">
        <x:v>185.364349541123</x:v>
      </x:c>
    </x:row>
    <x:row r="3162" ht="15" hidden="0" customHeight="1">
      <x:c r="A3162" s="27" t="str">
        <x:v>72069</x:v>
      </x:c>
      <x:c r="B3162" s="27" t="str">
        <x:v>SCA-32</x:v>
      </x:c>
      <x:c r="C3162" s="43" t="n">
        <x:v>49306</x:v>
      </x:c>
      <x:c r="D3162" s="43" t="n">
        <x:v>347.0116581472396</x:v>
      </x:c>
      <x:c r="E3162" s="43" t="n">
        <x:v>4169.043744803904</x:v>
      </x:c>
      <x:c r="F3162" s="43" t="n">
        <x:v>182.9971174677497</x:v>
      </x:c>
      <x:c r="G3162" s="43" t="n">
        <x:v>3499.502229049943</x:v>
      </x:c>
      <x:c r="H3162" s="43" t="n">
        <x:v>41107.445250531164</x:v>
      </x:c>
      <x:c r="I3162" s="43" t="n">
        <x:v>49306</x:v>
      </x:c>
      <x:c r="J3162" s="43" t="n">
        <x:v>4386</x:v>
      </x:c>
      <x:c r="K3162" s="43" t="n">
        <x:v>356.2986195814933</x:v>
      </x:c>
      <x:c r="L3162" s="43" t="n">
        <x:v>173.30150211374362</x:v>
      </x:c>
    </x:row>
    <x:row r="3163" ht="15" hidden="0" customHeight="1">
      <x:c r="A3163" s="29" t="str">
        <x:v>72023</x:v>
      </x:c>
      <x:c r="B3163" s="29" t="str">
        <x:v>SCA-32</x:v>
      </x:c>
      <x:c r="C3163" s="44" t="n">
        <x:v>45761</x:v>
      </x:c>
      <x:c r="D3163" s="44" t="n">
        <x:v>582.2586094199075</x:v>
      </x:c>
      <x:c r="E3163" s="44" t="n">
        <x:v>10114.01109373996</x:v>
      </x:c>
      <x:c r="F3163" s="44" t="n">
        <x:v>169.8400010635966</x:v>
      </x:c>
      <x:c r="G3163" s="44" t="n">
        <x:v>2122.26352986529</x:v>
      </x:c>
      <x:c r="H3163" s="44" t="n">
        <x:v>32772.62676591124</x:v>
      </x:c>
      <x:c r="I3163" s="44" t="n">
        <x:v>45761</x:v>
      </x:c>
      <x:c r="J3163" s="44" t="n">
        <x:v>10750</x:v>
      </x:c>
      <x:c r="K3163" s="44" t="n">
        <x:v>330.6814815776724</x:v>
      </x:c>
      <x:c r="L3163" s="44" t="n">
        <x:v>160.8414805140758</x:v>
      </x:c>
    </x:row>
    <x:row r="3164" ht="15" hidden="0" customHeight="1">
      <x:c r="A3164" s="27" t="str">
        <x:v>72119</x:v>
      </x:c>
      <x:c r="B3164" s="27" t="str">
        <x:v>SCA-32</x:v>
      </x:c>
      <x:c r="C3164" s="43" t="n">
        <x:v>45678</x:v>
      </x:c>
      <x:c r="D3164" s="43" t="n">
        <x:v>587.2904283993073</x:v>
      </x:c>
      <x:c r="E3164" s="43" t="n">
        <x:v>10241.77626208802</x:v>
      </x:c>
      <x:c r="F3164" s="43" t="n">
        <x:v>169.53195010124264</x:v>
      </x:c>
      <x:c r="G3164" s="43" t="n">
        <x:v>2349.141065280793</x:v>
      </x:c>
      <x:c r="H3164" s="43" t="n">
        <x:v>32330.260294130636</x:v>
      </x:c>
      <x:c r="I3164" s="43" t="n">
        <x:v>45678</x:v>
      </x:c>
      <x:c r="J3164" s="43" t="n">
        <x:v>10651</x:v>
      </x:c>
      <x:c r="K3164" s="43" t="n">
        <x:v>330.08170091354907</x:v>
      </x:c>
      <x:c r="L3164" s="43" t="n">
        <x:v>160.54975081230643</x:v>
      </x:c>
    </x:row>
    <x:row r="3165" ht="15" hidden="0" customHeight="1">
      <x:c r="A3165" s="29" t="str">
        <x:v>72075</x:v>
      </x:c>
      <x:c r="B3165" s="29" t="str">
        <x:v>SCA-32</x:v>
      </x:c>
      <x:c r="C3165" s="44" t="n">
        <x:v>44956</x:v>
      </x:c>
      <x:c r="D3165" s="44" t="n">
        <x:v>647.4775595089209</x:v>
      </x:c>
      <x:c r="E3165" s="44" t="n">
        <x:v>11747.172134890548</x:v>
      </x:c>
      <x:c r="F3165" s="44" t="n">
        <x:v>166.85227787450114</x:v>
      </x:c>
      <x:c r="G3165" s="44" t="n">
        <x:v>2119.014670114162</x:v>
      </x:c>
      <x:c r="H3165" s="44" t="n">
        <x:v>30275.483357611865</x:v>
      </x:c>
      <x:c r="I3165" s="44" t="n">
        <x:v>44956</x:v>
      </x:c>
      <x:c r="J3165" s="44" t="n">
        <x:v>12422</x:v>
      </x:c>
      <x:c r="K3165" s="44" t="n">
        <x:v>324.86433176298243</x:v>
      </x:c>
      <x:c r="L3165" s="44" t="n">
        <x:v>158.0120538884813</x:v>
      </x:c>
    </x:row>
    <x:row r="3166" ht="15" hidden="0" customHeight="1">
      <x:c r="A3166" s="27" t="str">
        <x:v>72071</x:v>
      </x:c>
      <x:c r="B3166" s="27" t="str">
        <x:v>SCA-32</x:v>
      </x:c>
      <x:c r="C3166" s="43" t="n">
        <x:v>41632</x:v>
      </x:c>
      <x:c r="D3166" s="43" t="n">
        <x:v>538.8546196777379</x:v>
      </x:c>
      <x:c r="E3166" s="43" t="n">
        <x:v>9420.619514946418</x:v>
      </x:c>
      <x:c r="F3166" s="43" t="n">
        <x:v>154.51539355083264</x:v>
      </x:c>
      <x:c r="G3166" s="43" t="n">
        <x:v>1650.8629441624366</x:v>
      </x:c>
      <x:c r="H3166" s="43" t="n">
        <x:v>29867.147527662575</x:v>
      </x:c>
      <x:c r="I3166" s="43" t="n">
        <x:v>41632</x:v>
      </x:c>
      <x:c r="J3166" s="43" t="n">
        <x:v>10030</x:v>
      </x:c>
      <x:c r="K3166" s="43" t="n">
        <x:v>300.8442001058031</x:v>
      </x:c>
      <x:c r="L3166" s="43" t="n">
        <x:v>146.32880655497047</x:v>
      </x:c>
    </x:row>
    <x:row r="3167" ht="15" hidden="0" customHeight="1">
      <x:c r="A3167" s="29" t="str">
        <x:v>72029</x:v>
      </x:c>
      <x:c r="B3167" s="29" t="str">
        <x:v>SCA-32</x:v>
      </x:c>
      <x:c r="C3167" s="44" t="n">
        <x:v>41066</x:v>
      </x:c>
      <x:c r="D3167" s="44" t="n">
        <x:v>455.72806129175643</x:v>
      </x:c>
      <x:c r="E3167" s="44" t="n">
        <x:v>7473.327369933889</x:v>
      </x:c>
      <x:c r="F3167" s="44" t="n">
        <x:v>152.41470867502144</x:v>
      </x:c>
      <x:c r="G3167" s="44" t="n">
        <x:v>1758.236634090256</x:v>
      </x:c>
      <x:c r="H3167" s="44" t="n">
        <x:v>31226.29322600908</x:v>
      </x:c>
      <x:c r="I3167" s="44" t="n">
        <x:v>41066</x:v>
      </x:c>
      <x:c r="J3167" s="44" t="n">
        <x:v>7914</x:v>
      </x:c>
      <x:c r="K3167" s="44" t="n">
        <x:v>296.75412955286583</x:v>
      </x:c>
      <x:c r="L3167" s="44" t="n">
        <x:v>144.3394208778444</x:v>
      </x:c>
    </x:row>
    <x:row r="3168" ht="15" hidden="0" customHeight="1">
      <x:c r="A3168" s="27" t="str">
        <x:v>72035</x:v>
      </x:c>
      <x:c r="B3168" s="27" t="str">
        <x:v>SCA-32</x:v>
      </x:c>
      <x:c r="C3168" s="43" t="n">
        <x:v>40367</x:v>
      </x:c>
      <x:c r="D3168" s="43" t="n">
        <x:v>672.8040013710457</x:v>
      </x:c>
      <x:c r="E3168" s="43" t="n">
        <x:v>12742.114479751082</x:v>
      </x:c>
      <x:c r="F3168" s="43" t="n">
        <x:v>149.8203999679684</x:v>
      </x:c>
      <x:c r="G3168" s="43" t="n">
        <x:v>2316.2798833819243</x:v>
      </x:c>
      <x:c r="H3168" s="43" t="n">
        <x:v>24485.98123552798</x:v>
      </x:c>
      <x:c r="I3168" s="43" t="n">
        <x:v>40367</x:v>
      </x:c>
      <x:c r="J3168" s="43" t="n">
        <x:v>13421</x:v>
      </x:c>
      <x:c r="K3168" s="43" t="n">
        <x:v>291.7029646827189</x:v>
      </x:c>
      <x:c r="L3168" s="43" t="n">
        <x:v>141.88256471475052</x:v>
      </x:c>
    </x:row>
    <x:row r="3169" ht="15" hidden="0" customHeight="1">
      <x:c r="A3169" s="29" t="str">
        <x:v>72063</x:v>
      </x:c>
      <x:c r="B3169" s="29" t="str">
        <x:v>SCA-32</x:v>
      </x:c>
      <x:c r="C3169" s="44" t="n">
        <x:v>39371</x:v>
      </x:c>
      <x:c r="D3169" s="44" t="n">
        <x:v>493.11921236124675</x:v>
      </x:c>
      <x:c r="E3169" s="44" t="n">
        <x:v>8513.697697625488</x:v>
      </x:c>
      <x:c r="F3169" s="44" t="n">
        <x:v>146.12378841972122</x:v>
      </x:c>
      <x:c r="G3169" s="44" t="n">
        <x:v>1604.1137035367199</x:v>
      </x:c>
      <x:c r="H3169" s="44" t="n">
        <x:v>28613.945598056824</x:v>
      </x:c>
      <x:c r="I3169" s="44" t="n">
        <x:v>39371</x:v>
      </x:c>
      <x:c r="J3169" s="44" t="n">
        <x:v>8993</x:v>
      </x:c>
      <x:c r="K3169" s="44" t="n">
        <x:v>284.50559671323924</x:v>
      </x:c>
      <x:c r="L3169" s="44" t="n">
        <x:v>138.38180829351802</x:v>
      </x:c>
    </x:row>
    <x:row r="3170" ht="15" hidden="0" customHeight="1">
      <x:c r="A3170" s="27" t="str">
        <x:v>72041</x:v>
      </x:c>
      <x:c r="B3170" s="27" t="str">
        <x:v>SCA-32</x:v>
      </x:c>
      <x:c r="C3170" s="43" t="n">
        <x:v>38772</x:v>
      </x:c>
      <x:c r="D3170" s="43" t="n">
        <x:v>693.4863607061203</x:v>
      </x:c>
      <x:c r="E3170" s="43" t="n">
        <x:v>13373.038248175184</x:v>
      </x:c>
      <x:c r="F3170" s="43" t="n">
        <x:v>143.90062545044395</x:v>
      </x:c>
      <x:c r="G3170" s="43" t="n">
        <x:v>1469.476885644769</x:v>
      </x:c>
      <x:c r="H3170" s="43" t="n">
        <x:v>23092.097880023484</x:v>
      </x:c>
      <x:c r="I3170" s="43" t="n">
        <x:v>38772</x:v>
      </x:c>
      <x:c r="J3170" s="43" t="n">
        <x:v>14176</x:v>
      </x:c>
      <x:c r="K3170" s="43" t="n">
        <x:v>280.17705914926495</x:v>
      </x:c>
      <x:c r="L3170" s="43" t="n">
        <x:v>136.276433698821</x:v>
      </x:c>
    </x:row>
    <x:row r="3171" ht="15" hidden="0" customHeight="1">
      <x:c r="A3171" s="29" t="str">
        <x:v>72091</x:v>
      </x:c>
      <x:c r="B3171" s="29" t="str">
        <x:v>SCA-32</x:v>
      </x:c>
      <x:c r="C3171" s="44" t="n">
        <x:v>38307</x:v>
      </x:c>
      <x:c r="D3171" s="44" t="n">
        <x:v>450.2313370376809</x:v>
      </x:c>
      <x:c r="E3171" s="44" t="n">
        <x:v>7574.143023165723</x:v>
      </x:c>
      <x:c r="F3171" s="44" t="n">
        <x:v>142.1747977697864</x:v>
      </x:c>
      <x:c r="G3171" s="44" t="n">
        <x:v>2802.56209808631</x:v>
      </x:c>
      <x:c r="H3171" s="44" t="n">
        <x:v>27337.8887439405</x:v>
      </x:c>
      <x:c r="I3171" s="44" t="n">
        <x:v>38307</x:v>
      </x:c>
      <x:c r="J3171" s="44" t="n">
        <x:v>7975</x:v>
      </x:c>
      <x:c r="K3171" s="44" t="n">
        <x:v>276.8168421755621</x:v>
      </x:c>
      <x:c r="L3171" s="44" t="n">
        <x:v>134.6420444057757</x:v>
      </x:c>
    </x:row>
    <x:row r="3172" ht="15" hidden="0" customHeight="1">
      <x:c r="A3172" s="27" t="str">
        <x:v>72131</x:v>
      </x:c>
      <x:c r="B3172" s="27" t="str">
        <x:v>SCA-32</x:v>
      </x:c>
      <x:c r="C3172" s="43" t="n">
        <x:v>38161</x:v>
      </x:c>
      <x:c r="D3172" s="43" t="n">
        <x:v>595.8691292583031</x:v>
      </x:c>
      <x:c r="E3172" s="43" t="n">
        <x:v>11081.765950617284</x:v>
      </x:c>
      <x:c r="F3172" s="43" t="n">
        <x:v>141.63292499263366</x:v>
      </x:c>
      <x:c r="G3172" s="43" t="n">
        <x:v>1321.074742798354</x:v>
      </x:c>
      <x:c r="H3172" s="43" t="n">
        <x:v>25020.65725233343</x:v>
      </x:c>
      <x:c r="I3172" s="43" t="n">
        <x:v>38161</x:v>
      </x:c>
      <x:c r="J3172" s="43" t="n">
        <x:v>11761</x:v>
      </x:c>
      <x:c r="K3172" s="43" t="n">
        <x:v>275.76180630855</x:v>
      </x:c>
      <x:c r="L3172" s="43" t="n">
        <x:v>134.12888131591632</x:v>
      </x:c>
    </x:row>
    <x:row r="3173" ht="15" hidden="0" customHeight="1">
      <x:c r="A3173" s="29" t="str">
        <x:v>72065</x:v>
      </x:c>
      <x:c r="B3173" s="29" t="str">
        <x:v>SCA-32</x:v>
      </x:c>
      <x:c r="C3173" s="44" t="n">
        <x:v>37315</x:v>
      </x:c>
      <x:c r="D3173" s="44" t="n">
        <x:v>541.126583403331</x:v>
      </x:c>
      <x:c r="E3173" s="44" t="n">
        <x:v>9839.309667745245</x:v>
      </x:c>
      <x:c r="F3173" s="44" t="n">
        <x:v>138.49303205105016</x:v>
      </x:c>
      <x:c r="G3173" s="44" t="n">
        <x:v>1166.3319390734748</x:v>
      </x:c>
      <x:c r="H3173" s="44" t="n">
        <x:v>25629.738777726896</x:v>
      </x:c>
      <x:c r="I3173" s="44" t="n">
        <x:v>37315</x:v>
      </x:c>
      <x:c r="J3173" s="44" t="n">
        <x:v>10441</x:v>
      </x:c>
      <x:c r="K3173" s="44" t="n">
        <x:v>269.64837929832925</x:v>
      </x:c>
      <x:c r="L3173" s="44" t="n">
        <x:v>131.15534724727908</x:v>
      </x:c>
    </x:row>
    <x:row r="3174" ht="15" hidden="0" customHeight="1">
      <x:c r="A3174" s="27" t="str">
        <x:v>72003</x:v>
      </x:c>
      <x:c r="B3174" s="27" t="str">
        <x:v>SCA-32</x:v>
      </x:c>
      <x:c r="C3174" s="43" t="n">
        <x:v>37005</x:v>
      </x:c>
      <x:c r="D3174" s="43" t="n">
        <x:v>549.4990558053861</x:v>
      </x:c>
      <x:c r="E3174" s="43" t="n">
        <x:v>10066.399234083294</x:v>
      </x:c>
      <x:c r="F3174" s="43" t="n">
        <x:v>137.3424802639451</x:v>
      </x:c>
      <x:c r="G3174" s="43" t="n">
        <x:v>1586.9935508749536</x:v>
      </x:c>
      <x:c r="H3174" s="43" t="n">
        <x:v>24664.76567897242</x:v>
      </x:c>
      <x:c r="I3174" s="43" t="n">
        <x:v>37005</x:v>
      </x:c>
      <x:c r="J3174" s="43" t="n">
        <x:v>10655</x:v>
      </x:c>
      <x:c r="K3174" s="43" t="n">
        <x:v>267.408234649194</x:v>
      </x:c>
      <x:c r="L3174" s="43" t="n">
        <x:v>130.0657543852489</x:v>
      </x:c>
    </x:row>
    <x:row r="3175" ht="15" hidden="0" customHeight="1">
      <x:c r="A3175" s="29" t="str">
        <x:v>72129</x:v>
      </x:c>
      <x:c r="B3175" s="29" t="str">
        <x:v>SCA-32</x:v>
      </x:c>
      <x:c r="C3175" s="44" t="n">
        <x:v>36573</x:v>
      </x:c>
      <x:c r="D3175" s="44" t="n">
        <x:v>320.55805462623124</x:v>
      </x:c>
      <x:c r="E3175" s="44" t="n">
        <x:v>4608.256814794961</x:v>
      </x:c>
      <x:c r="F3175" s="44" t="n">
        <x:v>135.73913067675355</x:v>
      </x:c>
      <x:c r="G3175" s="44" t="n">
        <x:v>2322.598646475476</x:v>
      </x:c>
      <x:c r="H3175" s="44" t="n">
        <x:v>29185.84735342658</x:v>
      </x:c>
      <x:c r="I3175" s="44" t="n">
        <x:v>36573</x:v>
      </x:c>
      <x:c r="J3175" s="44" t="n">
        <x:v>4897</x:v>
      </x:c>
      <x:c r="K3175" s="44" t="n">
        <x:v>264.2864846865281</x:v>
      </x:c>
      <x:c r="L3175" s="44" t="n">
        <x:v>128.54735400977458</x:v>
      </x:c>
    </x:row>
    <x:row r="3176" ht="15" hidden="0" customHeight="1">
      <x:c r="A3176" s="27" t="str">
        <x:v>72099</x:v>
      </x:c>
      <x:c r="B3176" s="27" t="str">
        <x:v>SCA-32</x:v>
      </x:c>
      <x:c r="C3176" s="43" t="n">
        <x:v>36327</x:v>
      </x:c>
      <x:c r="D3176" s="43" t="n">
        <x:v>451.04130977139243</x:v>
      </x:c>
      <x:c r="E3176" s="43" t="n">
        <x:v>7760.606410076977</x:v>
      </x:c>
      <x:c r="F3176" s="43" t="n">
        <x:v>134.82611216182502</x:v>
      </x:c>
      <x:c r="G3176" s="43" t="n">
        <x:v>1555.710986703989</x:v>
      </x:c>
      <x:c r="H3176" s="43" t="n">
        <x:v>26424.815181285816</x:v>
      </x:c>
      <x:c r="I3176" s="43" t="n">
        <x:v>36327</x:v>
      </x:c>
      <x:c r="J3176" s="43" t="n">
        <x:v>8268</x:v>
      </x:c>
      <x:c r="K3176" s="43" t="n">
        <x:v>262.5088215133434</x:v>
      </x:c>
      <x:c r="L3176" s="43" t="n">
        <x:v>127.68270935151835</x:v>
      </x:c>
    </x:row>
    <x:row r="3177" ht="15" hidden="0" customHeight="1">
      <x:c r="A3177" s="29" t="str">
        <x:v>72077</x:v>
      </x:c>
      <x:c r="B3177" s="29" t="str">
        <x:v>SCA-32</x:v>
      </x:c>
      <x:c r="C3177" s="44" t="n">
        <x:v>35727</x:v>
      </x:c>
      <x:c r="D3177" s="44" t="n">
        <x:v>562.2198430524423</x:v>
      </x:c>
      <x:c r="E3177" s="44" t="n">
        <x:v>10479.504554671317</x:v>
      </x:c>
      <x:c r="F3177" s="44" t="n">
        <x:v>132.59923773517005</x:v>
      </x:c>
      <x:c r="G3177" s="44" t="n">
        <x:v>1551.7631772593484</x:v>
      </x:c>
      <x:c r="H3177" s="44" t="n">
        <x:v>23000.91318728172</x:v>
      </x:c>
      <x:c r="I3177" s="44" t="n">
        <x:v>35727</x:v>
      </x:c>
      <x:c r="J3177" s="44" t="n">
        <x:v>11211</x:v>
      </x:c>
      <x:c r="K3177" s="44" t="n">
        <x:v>258.1730576763074</x:v>
      </x:c>
      <x:c r="L3177" s="44" t="n">
        <x:v>125.57381994113734</x:v>
      </x:c>
    </x:row>
    <x:row r="3178" ht="15" hidden="0" customHeight="1">
      <x:c r="A3178" s="27" t="str">
        <x:v>72057</x:v>
      </x:c>
      <x:c r="B3178" s="27" t="str">
        <x:v>SCA-32</x:v>
      </x:c>
      <x:c r="C3178" s="43" t="n">
        <x:v>35465</x:v>
      </x:c>
      <x:c r="D3178" s="43" t="n">
        <x:v>466.086560817376</x:v>
      </x:c>
      <x:c r="E3178" s="43" t="n">
        <x:v>8194.40694205052</x:v>
      </x:c>
      <x:c r="F3178" s="43" t="n">
        <x:v>131.62683590219734</x:v>
      </x:c>
      <x:c r="G3178" s="43" t="n">
        <x:v>2634.068915304606</x:v>
      </x:c>
      <x:c r="H3178" s="43" t="n">
        <x:v>24038.8107459253</x:v>
      </x:c>
      <x:c r="I3178" s="43" t="n">
        <x:v>35465</x:v>
      </x:c>
      <x:c r="J3178" s="43" t="n">
        <x:v>8099</x:v>
      </x:c>
      <x:c r="K3178" s="43" t="n">
        <x:v>256.279774134135</x:v>
      </x:c>
      <x:c r="L3178" s="43" t="n">
        <x:v>124.65293823193764</x:v>
      </x:c>
    </x:row>
    <x:row r="3179" ht="15" hidden="0" customHeight="1">
      <x:c r="A3179" s="29" t="str">
        <x:v>72051</x:v>
      </x:c>
      <x:c r="B3179" s="29" t="str">
        <x:v>SCA-32</x:v>
      </x:c>
      <x:c r="C3179" s="44" t="n">
        <x:v>34741</x:v>
      </x:c>
      <x:c r="D3179" s="44" t="n">
        <x:v>335.0432172947221</x:v>
      </x:c>
      <x:c r="E3179" s="44" t="n">
        <x:v>5110.44013483146</x:v>
      </x:c>
      <x:c r="F3179" s="44" t="n">
        <x:v>128.93974076070037</x:v>
      </x:c>
      <x:c r="G3179" s="44" t="n">
        <x:v>1353.5613061797753</x:v>
      </x:c>
      <x:c r="H3179" s="44" t="n">
        <x:v>27813.01560093334</x:v>
      </x:c>
      <x:c r="I3179" s="44" t="n">
        <x:v>34741</x:v>
      </x:c>
      <x:c r="J3179" s="44" t="n">
        <x:v>5455</x:v>
      </x:c>
      <x:c r="K3179" s="44" t="n">
        <x:v>251.0479524374449</x:v>
      </x:c>
      <x:c r="L3179" s="44" t="n">
        <x:v>122.10821167674455</x:v>
      </x:c>
    </x:row>
    <x:row r="3180" ht="15" hidden="0" customHeight="1">
      <x:c r="A3180" s="27" t="str">
        <x:v>72143</x:v>
      </x:c>
      <x:c r="B3180" s="27" t="str">
        <x:v>SCA-32</x:v>
      </x:c>
      <x:c r="C3180" s="43" t="n">
        <x:v>34330</x:v>
      </x:c>
      <x:c r="D3180" s="43" t="n">
        <x:v>428.5894878235493</x:v>
      </x:c>
      <x:c r="E3180" s="43" t="n">
        <x:v>7390.220769429977</x:v>
      </x:c>
      <x:c r="F3180" s="43" t="n">
        <x:v>127.41433177844172</x:v>
      </x:c>
      <x:c r="G3180" s="43" t="n">
        <x:v>1939.788795211924</x:v>
      </x:c>
      <x:c r="H3180" s="43" t="n">
        <x:v>24443.98661575611</x:v>
      </x:c>
      <x:c r="I3180" s="43" t="n">
        <x:v>34330</x:v>
      </x:c>
      <x:c r="J3180" s="43" t="n">
        <x:v>7793</x:v>
      </x:c>
      <x:c r="K3180" s="43" t="n">
        <x:v>248.07795420907527</x:v>
      </x:c>
      <x:c r="L3180" s="43" t="n">
        <x:v>120.66362243063355</x:v>
      </x:c>
    </x:row>
    <x:row r="3181" ht="15" hidden="0" customHeight="1">
      <x:c r="A3181" s="29" t="str">
        <x:v>72085</x:v>
      </x:c>
      <x:c r="B3181" s="29" t="str">
        <x:v>SCA-32</x:v>
      </x:c>
      <x:c r="C3181" s="44" t="n">
        <x:v>34086</x:v>
      </x:c>
      <x:c r="D3181" s="44" t="n">
        <x:v>305.5837124347584</x:v>
      </x:c>
      <x:c r="E3181" s="44" t="n">
        <x:v>4458.664920744314</x:v>
      </x:c>
      <x:c r="F3181" s="44" t="n">
        <x:v>126.50873617826868</x:v>
      </x:c>
      <x:c r="G3181" s="44" t="n">
        <x:v>1356.5090024121298</x:v>
      </x:c>
      <x:c r="H3181" s="44" t="n">
        <x:v>27838.733628230526</x:v>
      </x:c>
      <x:c r="I3181" s="44" t="n">
        <x:v>34086</x:v>
      </x:c>
      <x:c r="J3181" s="44" t="n">
        <x:v>4745</x:v>
      </x:c>
      <x:c r="K3181" s="44" t="n">
        <x:v>246.31474358201396</x:v>
      </x:c>
      <x:c r="L3181" s="44" t="n">
        <x:v>119.80600740374528</x:v>
      </x:c>
    </x:row>
    <x:row r="3182" ht="15" hidden="0" customHeight="1">
      <x:c r="A3182" s="27" t="str">
        <x:v>72043</x:v>
      </x:c>
      <x:c r="B3182" s="27" t="str">
        <x:v>SCA-32</x:v>
      </x:c>
      <x:c r="C3182" s="43" t="n">
        <x:v>33598</x:v>
      </x:c>
      <x:c r="D3182" s="43" t="n">
        <x:v>528.3270827512215</x:v>
      </x:c>
      <x:c r="E3182" s="43" t="n">
        <x:v>9845.671329630068</x:v>
      </x:c>
      <x:c r="F3182" s="43" t="n">
        <x:v>124.69754497792265</x:v>
      </x:c>
      <x:c r="G3182" s="43" t="n">
        <x:v>1402.6931509277863</x:v>
      </x:c>
      <x:c r="H3182" s="43" t="n">
        <x:v>21696.610891713</x:v>
      </x:c>
      <x:c r="I3182" s="43" t="n">
        <x:v>33598</x:v>
      </x:c>
      <x:c r="J3182" s="43" t="n">
        <x:v>10331</x:v>
      </x:c>
      <x:c r="K3182" s="43" t="n">
        <x:v>242.78832232789136</x:v>
      </x:c>
      <x:c r="L3182" s="43" t="n">
        <x:v>118.09077734996872</x:v>
      </x:c>
    </x:row>
    <x:row r="3183" ht="15" hidden="0" customHeight="1">
      <x:c r="A3183" s="29" t="str">
        <x:v>72047</x:v>
      </x:c>
      <x:c r="B3183" s="29" t="str">
        <x:v>SCA-32</x:v>
      </x:c>
      <x:c r="C3183" s="44" t="n">
        <x:v>33549</x:v>
      </x:c>
      <x:c r="D3183" s="44" t="n">
        <x:v>422.5112443168705</x:v>
      </x:c>
      <x:c r="E3183" s="44" t="n">
        <x:v>7310.224630449989</x:v>
      </x:c>
      <x:c r="F3183" s="44" t="n">
        <x:v>124.51568356641249</x:v>
      </x:c>
      <x:c r="G3183" s="44" t="n">
        <x:v>1841.3432035439498</x:v>
      </x:c>
      <x:c r="H3183" s="44" t="n">
        <x:v>23850.40523812278</x:v>
      </x:c>
      <x:c r="I3183" s="44" t="n">
        <x:v>33549</x:v>
      </x:c>
      <x:c r="J3183" s="44" t="n">
        <x:v>7788</x:v>
      </x:c>
      <x:c r="K3183" s="44" t="n">
        <x:v>242.43423494786677</x:v>
      </x:c>
      <x:c r="L3183" s="44" t="n">
        <x:v>117.91855138145428</x:v>
      </x:c>
    </x:row>
    <x:row r="3184" ht="15" hidden="0" customHeight="1">
      <x:c r="A3184" s="27" t="str">
        <x:v>72153</x:v>
      </x:c>
      <x:c r="B3184" s="27" t="str">
        <x:v>SCA-32</x:v>
      </x:c>
      <x:c r="C3184" s="43" t="n">
        <x:v>33149</x:v>
      </x:c>
      <x:c r="D3184" s="43" t="n">
        <x:v>482.259796532077</x:v>
      </x:c>
      <x:c r="E3184" s="43" t="n">
        <x:v>8777.932114181041</x:v>
      </x:c>
      <x:c r="F3184" s="43" t="n">
        <x:v>123.03110061530919</x:v>
      </x:c>
      <x:c r="G3184" s="43" t="n">
        <x:v>1419.3619294764158</x:v>
      </x:c>
      <x:c r="H3184" s="43" t="n">
        <x:v>22346.415059195155</x:v>
      </x:c>
      <x:c r="I3184" s="43" t="n">
        <x:v>33149</x:v>
      </x:c>
      <x:c r="J3184" s="43" t="n">
        <x:v>9035</x:v>
      </x:c>
      <x:c r="K3184" s="43" t="n">
        <x:v>239.54372572317612</x:v>
      </x:c>
      <x:c r="L3184" s="43" t="n">
        <x:v>116.51262510786694</x:v>
      </x:c>
    </x:row>
    <x:row r="3185" ht="15" hidden="0" customHeight="1">
      <x:c r="A3185" s="29" t="str">
        <x:v>72027</x:v>
      </x:c>
      <x:c r="B3185" s="29" t="str">
        <x:v>SCA-32</x:v>
      </x:c>
      <x:c r="C3185" s="44" t="n">
        <x:v>31834</x:v>
      </x:c>
      <x:c r="D3185" s="44" t="n">
        <x:v>530.7231113694763</x:v>
      </x:c>
      <x:c r="E3185" s="44" t="n">
        <x:v>10051.979253264666</x:v>
      </x:c>
      <x:c r="F3185" s="44" t="n">
        <x:v>118.15053416355704</x:v>
      </x:c>
      <x:c r="G3185" s="44" t="n">
        <x:v>1374.7091533321075</x:v>
      </x:c>
      <x:c r="H3185" s="44" t="n">
        <x:v>19758.437947870196</x:v>
      </x:c>
      <x:c r="I3185" s="44" t="n">
        <x:v>31834</x:v>
      </x:c>
      <x:c r="J3185" s="44" t="n">
        <x:v>10730</x:v>
      </x:c>
      <x:c r="K3185" s="44" t="n">
        <x:v>230.04117664700559</x:v>
      </x:c>
      <x:c r="L3185" s="44" t="n">
        <x:v>111.89064248344854</x:v>
      </x:c>
    </x:row>
    <x:row r="3186" ht="15" hidden="0" customHeight="1">
      <x:c r="A3186" s="27" t="str">
        <x:v>72053</x:v>
      </x:c>
      <x:c r="B3186" s="27" t="str">
        <x:v>SCA-32</x:v>
      </x:c>
      <x:c r="C3186" s="43" t="n">
        <x:v>31115</x:v>
      </x:c>
      <x:c r="D3186" s="43" t="n">
        <x:v>370.58761109107036</x:v>
      </x:c>
      <x:c r="E3186" s="43" t="n">
        <x:v>6269.378906025482</x:v>
      </x:c>
      <x:c r="F3186" s="43" t="n">
        <x:v>115.48199630894885</x:v>
      </x:c>
      <x:c r="G3186" s="43" t="n">
        <x:v>1890.3477344573237</x:v>
      </x:c>
      <x:c r="H3186" s="43" t="n">
        <x:v>22469.203752117177</x:v>
      </x:c>
      <x:c r="I3186" s="43" t="n">
        <x:v>31115</x:v>
      </x:c>
      <x:c r="J3186" s="43" t="n">
        <x:v>6573</x:v>
      </x:c>
      <x:c r="K3186" s="43" t="n">
        <x:v>224.84548631562416</x:v>
      </x:c>
      <x:c r="L3186" s="43" t="n">
        <x:v>109.3634900066753</x:v>
      </x:c>
    </x:row>
    <x:row r="3187" ht="15" hidden="0" customHeight="1">
      <x:c r="A3187" s="29" t="str">
        <x:v>72125</x:v>
      </x:c>
      <x:c r="B3187" s="29" t="str">
        <x:v>SCA-32</x:v>
      </x:c>
      <x:c r="C3187" s="44" t="n">
        <x:v>30902</x:v>
      </x:c>
      <x:c r="D3187" s="44" t="n">
        <x:v>289.9378279006586</x:v>
      </x:c>
      <x:c r="E3187" s="44" t="n">
        <x:v>4351.751847232045</x:v>
      </x:c>
      <x:c r="F3187" s="44" t="n">
        <x:v>114.69145588748633</x:v>
      </x:c>
      <x:c r="G3187" s="44" t="n">
        <x:v>2170.8156625731367</x:v>
      </x:c>
      <x:c r="H3187" s="44" t="n">
        <x:v>23974.803206406676</x:v>
      </x:c>
      <x:c r="I3187" s="44" t="n">
        <x:v>30902</x:v>
      </x:c>
      <x:c r="J3187" s="44" t="n">
        <x:v>4563</x:v>
      </x:c>
      <x:c r="K3187" s="44" t="n">
        <x:v>223.30629015347637</x:v>
      </x:c>
      <x:c r="L3187" s="44" t="n">
        <x:v>108.61483426599004</x:v>
      </x:c>
    </x:row>
    <x:row r="3188" ht="15" hidden="0" customHeight="1">
      <x:c r="A3188" s="27" t="str">
        <x:v>72151</x:v>
      </x:c>
      <x:c r="B3188" s="27" t="str">
        <x:v>SCA-32</x:v>
      </x:c>
      <x:c r="C3188" s="43" t="n">
        <x:v>29504</x:v>
      </x:c>
      <x:c r="D3188" s="43" t="n">
        <x:v>254.55681171845924</x:v>
      </x:c>
      <x:c r="E3188" s="43" t="n">
        <x:v>3620.5365546877665</x:v>
      </x:c>
      <x:c r="F3188" s="43" t="n">
        <x:v>109.50283847338024</x:v>
      </x:c>
      <x:c r="G3188" s="43" t="n">
        <x:v>2265.4707376965316</x:v>
      </x:c>
      <x:c r="H3188" s="43" t="n">
        <x:v>23253.933057423863</x:v>
      </x:c>
      <x:c r="I3188" s="43" t="n">
        <x:v>29504</x:v>
      </x:c>
      <x:c r="J3188" s="43" t="n">
        <x:v>3748</x:v>
      </x:c>
      <x:c r="K3188" s="43" t="n">
        <x:v>213.20396041318253</x:v>
      </x:c>
      <x:c r="L3188" s="43" t="n">
        <x:v>103.70112193980229</x:v>
      </x:c>
    </x:row>
    <x:row r="3189" ht="15" hidden="0" customHeight="1">
      <x:c r="A3189" s="29" t="str">
        <x:v>72105</x:v>
      </x:c>
      <x:c r="B3189" s="29" t="str">
        <x:v>SCA-32</x:v>
      </x:c>
      <x:c r="C3189" s="44" t="n">
        <x:v>28382</x:v>
      </x:c>
      <x:c r="D3189" s="44" t="n">
        <x:v>387.5979421831617</x:v>
      </x:c>
      <x:c r="E3189" s="44" t="n">
        <x:v>6908.170642578526</x:v>
      </x:c>
      <x:c r="F3189" s="44" t="n">
        <x:v>105.33858329553547</x:v>
      </x:c>
      <x:c r="G3189" s="44" t="n">
        <x:v>1279.4300964894273</x:v>
      </x:c>
      <x:c r="H3189" s="44" t="n">
        <x:v>19701.46273545335</x:v>
      </x:c>
      <x:c r="I3189" s="44" t="n">
        <x:v>28382</x:v>
      </x:c>
      <x:c r="J3189" s="44" t="n">
        <x:v>7410</x:v>
      </x:c>
      <x:c r="K3189" s="44" t="n">
        <x:v>205.09608203792527</x:v>
      </x:c>
      <x:c r="L3189" s="44" t="n">
        <x:v>99.7574987423898</x:v>
      </x:c>
    </x:row>
    <x:row r="3190" ht="15" hidden="0" customHeight="1">
      <x:c r="A3190" s="27" t="str">
        <x:v>72019</x:v>
      </x:c>
      <x:c r="B3190" s="27" t="str">
        <x:v>SCA-32</x:v>
      </x:c>
      <x:c r="C3190" s="43" t="n">
        <x:v>28081</x:v>
      </x:c>
      <x:c r="D3190" s="43" t="n">
        <x:v>326.30261752561694</x:v>
      </x:c>
      <x:c r="E3190" s="43" t="n">
        <x:v>5462.47387929844</x:v>
      </x:c>
      <x:c r="F3190" s="43" t="n">
        <x:v>104.22143462483021</x:v>
      </x:c>
      <x:c r="G3190" s="43" t="n">
        <x:v>1124.689183123878</x:v>
      </x:c>
      <x:c r="H3190" s="43" t="n">
        <x:v>21063.312885427236</x:v>
      </x:c>
      <x:c r="I3190" s="43" t="n">
        <x:v>28081</x:v>
      </x:c>
      <x:c r="J3190" s="43" t="n">
        <x:v>5869</x:v>
      </x:c>
      <x:c r="K3190" s="43" t="n">
        <x:v>202.92097384634553</x:v>
      </x:c>
      <x:c r="L3190" s="43" t="n">
        <x:v>98.69953922151532</x:v>
      </x:c>
    </x:row>
    <x:row r="3191" ht="15" hidden="0" customHeight="1">
      <x:c r="A3191" s="29" t="str">
        <x:v>72101</x:v>
      </x:c>
      <x:c r="B3191" s="29" t="str">
        <x:v>SCA-32</x:v>
      </x:c>
      <x:c r="C3191" s="44" t="n">
        <x:v>27867</x:v>
      </x:c>
      <x:c r="D3191" s="44" t="n">
        <x:v>329.7055106607021</x:v>
      </x:c>
      <x:c r="E3191" s="44" t="n">
        <x:v>5562.195407893345</x:v>
      </x:c>
      <x:c r="F3191" s="44" t="n">
        <x:v>103.42718274598997</x:v>
      </x:c>
      <x:c r="G3191" s="44" t="n">
        <x:v>1470.1106761189292</x:v>
      </x:c>
      <x:c r="H3191" s="44" t="n">
        <x:v>20401.561222581036</x:v>
      </x:c>
      <x:c r="I3191" s="44" t="n">
        <x:v>27867</x:v>
      </x:c>
      <x:c r="J3191" s="44" t="n">
        <x:v>5895</x:v>
      </x:c>
      <x:c r="K3191" s="44" t="n">
        <x:v>201.37455141113605</x:v>
      </x:c>
      <x:c r="L3191" s="44" t="n">
        <x:v>97.94736866514609</x:v>
      </x:c>
    </x:row>
    <x:row r="3192" ht="15" hidden="0" customHeight="1">
      <x:c r="A3192" s="27" t="str">
        <x:v>72141</x:v>
      </x:c>
      <x:c r="B3192" s="27" t="str">
        <x:v>SCA-32</x:v>
      </x:c>
      <x:c r="C3192" s="43" t="n">
        <x:v>27442</x:v>
      </x:c>
      <x:c r="D3192" s="43" t="n">
        <x:v>323.7258222985568</x:v>
      </x:c>
      <x:c r="E3192" s="43" t="n">
        <x:v>5454.534007178334</x:v>
      </x:c>
      <x:c r="F3192" s="43" t="n">
        <x:v>101.84981336044268</x:v>
      </x:c>
      <x:c r="G3192" s="43" t="n">
        <x:v>1637.4462531269262</x:v>
      </x:c>
      <x:c r="H3192" s="43" t="n">
        <x:v>19924.44410403574</x:v>
      </x:c>
      <x:c r="I3192" s="43" t="n">
        <x:v>27442</x:v>
      </x:c>
      <x:c r="J3192" s="43" t="n">
        <x:v>5711</x:v>
      </x:c>
      <x:c r="K3192" s="43" t="n">
        <x:v>198.30338535990222</x:v>
      </x:c>
      <x:c r="L3192" s="43" t="n">
        <x:v>96.45357199945954</x:v>
      </x:c>
    </x:row>
    <x:row r="3193" ht="15" hidden="0" customHeight="1">
      <x:c r="A3193" s="29" t="str">
        <x:v>72081</x:v>
      </x:c>
      <x:c r="B3193" s="29" t="str">
        <x:v>SCA-32</x:v>
      </x:c>
      <x:c r="C3193" s="44" t="n">
        <x:v>27280</x:v>
      </x:c>
      <x:c r="D3193" s="44" t="n">
        <x:v>378.3878159356718</x:v>
      </x:c>
      <x:c r="E3193" s="44" t="n">
        <x:v>6780.087457848363</x:v>
      </x:c>
      <x:c r="F3193" s="44" t="n">
        <x:v>101.24855726524585</x:v>
      </x:c>
      <x:c r="G3193" s="44" t="n">
        <x:v>1559.2898944849342</x:v>
      </x:c>
      <x:c r="H3193" s="44" t="n">
        <x:v>18460.986274465788</x:v>
      </x:c>
      <x:c r="I3193" s="44" t="n">
        <x:v>27280</x:v>
      </x:c>
      <x:c r="J3193" s="44" t="n">
        <x:v>7140</x:v>
      </x:c>
      <x:c r="K3193" s="44" t="n">
        <x:v>197.13272912390252</x:v>
      </x:c>
      <x:c r="L3193" s="44" t="n">
        <x:v>95.88417185865667</x:v>
      </x:c>
    </x:row>
    <x:row r="3194" ht="15" hidden="0" customHeight="1">
      <x:c r="A3194" s="27" t="str">
        <x:v>72123</x:v>
      </x:c>
      <x:c r="B3194" s="27" t="str">
        <x:v>SCA-32</x:v>
      </x:c>
      <x:c r="C3194" s="43" t="n">
        <x:v>24986</x:v>
      </x:c>
      <x:c r="D3194" s="43" t="n">
        <x:v>402.1495522229302</x:v>
      </x:c>
      <x:c r="E3194" s="43" t="n">
        <x:v>7543.880821039127</x:v>
      </x:c>
      <x:c r="F3194" s="43" t="n">
        <x:v>92.73447404066835</x:v>
      </x:c>
      <x:c r="G3194" s="43" t="n">
        <x:v>1380.5879570237332</x:v>
      </x:c>
      <x:c r="H3194" s="43" t="n">
        <x:v>15566.647195673542</x:v>
      </x:c>
      <x:c r="I3194" s="43" t="n">
        <x:v>24986</x:v>
      </x:c>
      <x:c r="J3194" s="43" t="n">
        <x:v>7845</x:v>
      </x:c>
      <x:c r="K3194" s="43" t="n">
        <x:v>180.5556587203016</x:v>
      </x:c>
      <x:c r="L3194" s="43" t="n">
        <x:v>87.82118467963326</x:v>
      </x:c>
    </x:row>
    <x:row r="3195" ht="15" hidden="0" customHeight="1">
      <x:c r="A3195" s="29" t="str">
        <x:v>72011</x:v>
      </x:c>
      <x:c r="B3195" s="29" t="str">
        <x:v>SCA-32</x:v>
      </x:c>
      <x:c r="C3195" s="44" t="n">
        <x:v>24796</x:v>
      </x:c>
      <x:c r="D3195" s="44" t="n">
        <x:v>333.5845907742248</x:v>
      </x:c>
      <x:c r="E3195" s="44" t="n">
        <x:v>5914.349305789094</x:v>
      </x:c>
      <x:c r="F3195" s="44" t="n">
        <x:v>92.0292971388943</x:v>
      </x:c>
      <x:c r="G3195" s="44" t="n">
        <x:v>889.4491952918568</x:v>
      </x:c>
      <x:c r="H3195" s="44" t="n">
        <x:v>17566.587611005933</x:v>
      </x:c>
      <x:c r="I3195" s="44" t="n">
        <x:v>24796</x:v>
      </x:c>
      <x:c r="J3195" s="44" t="n">
        <x:v>6206</x:v>
      </x:c>
      <x:c r="K3195" s="44" t="n">
        <x:v>179.18266683857357</x:v>
      </x:c>
      <x:c r="L3195" s="44" t="n">
        <x:v>87.15336969967927</x:v>
      </x:c>
    </x:row>
    <x:row r="3196" ht="15" hidden="0" customHeight="1">
      <x:c r="A3196" s="27" t="str">
        <x:v>72009</x:v>
      </x:c>
      <x:c r="B3196" s="27" t="str">
        <x:v>SCA-32</x:v>
      </x:c>
      <x:c r="C3196" s="43" t="n">
        <x:v>23913</x:v>
      </x:c>
      <x:c r="D3196" s="43" t="n">
        <x:v>429.42955009095635</x:v>
      </x:c>
      <x:c r="E3196" s="43" t="n">
        <x:v>8289.114303365306</x:v>
      </x:c>
      <x:c r="F3196" s="43" t="n">
        <x:v>88.75208027433372</x:v>
      </x:c>
      <x:c r="G3196" s="43" t="n">
        <x:v>1443.0019509022925</x:v>
      </x:c>
      <x:c r="H3196" s="43" t="n">
        <x:v>13662.702115367108</x:v>
      </x:c>
      <x:c r="I3196" s="43" t="n">
        <x:v>23913</x:v>
      </x:c>
      <x:c r="J3196" s="43" t="n">
        <x:v>8884</x:v>
      </x:c>
      <x:c r="K3196" s="43" t="n">
        <x:v>172.80186772506894</x:v>
      </x:c>
      <x:c r="L3196" s="43" t="n">
        <x:v>84.04978745073522</x:v>
      </x:c>
    </x:row>
    <x:row r="3197" ht="15" hidden="0" customHeight="1">
      <x:c r="A3197" s="29" t="str">
        <x:v>72007</x:v>
      </x:c>
      <x:c r="B3197" s="29" t="str">
        <x:v>SCA-32</x:v>
      </x:c>
      <x:c r="C3197" s="44" t="n">
        <x:v>23480</x:v>
      </x:c>
      <x:c r="D3197" s="44" t="n">
        <x:v>350.37453750931127</x:v>
      </x:c>
      <x:c r="E3197" s="44" t="n">
        <x:v>6428.319965993624</x:v>
      </x:c>
      <x:c r="F3197" s="44" t="n">
        <x:v>87.14501922976439</x:v>
      </x:c>
      <x:c r="G3197" s="44" t="n">
        <x:v>1345.6374070138152</x:v>
      </x:c>
      <x:c r="H3197" s="44" t="n">
        <x:v>15268.523070253486</x:v>
      </x:c>
      <x:c r="I3197" s="44" t="n">
        <x:v>23480</x:v>
      </x:c>
      <x:c r="J3197" s="44" t="n">
        <x:v>6709</x:v>
      </x:c>
      <x:c r="K3197" s="44" t="n">
        <x:v>169.6728914893413</x:v>
      </x:c>
      <x:c r="L3197" s="44" t="n">
        <x:v>82.52787225957692</x:v>
      </x:c>
    </x:row>
    <x:row r="3198" ht="15" hidden="0" customHeight="1">
      <x:c r="A3198" s="27" t="str">
        <x:v>72087</x:v>
      </x:c>
      <x:c r="B3198" s="27" t="str">
        <x:v>SCA-32</x:v>
      </x:c>
      <x:c r="C3198" s="43" t="n">
        <x:v>22988</x:v>
      </x:c>
      <x:c r="D3198" s="43" t="n">
        <x:v>279.30006403365377</x:v>
      </x:c>
      <x:c r="E3198" s="43" t="n">
        <x:v>4764.035546174142</x:v>
      </x:c>
      <x:c r="F3198" s="43" t="n">
        <x:v>85.31898219990731</x:v>
      </x:c>
      <x:c r="G3198" s="43" t="n">
        <x:v>2527.6265831134565</x:v>
      </x:c>
      <x:c r="H3198" s="43" t="n">
        <x:v>15331.718824478841</x:v>
      </x:c>
      <x:c r="I3198" s="43" t="n">
        <x:v>22988</x:v>
      </x:c>
      <x:c r="J3198" s="43" t="n">
        <x:v>4909</x:v>
      </x:c>
      <x:c r="K3198" s="43" t="n">
        <x:v>166.1175651429718</x:v>
      </x:c>
      <x:c r="L3198" s="43" t="n">
        <x:v>80.7985829430645</x:v>
      </x:c>
    </x:row>
    <x:row r="3199" ht="15" hidden="0" customHeight="1">
      <x:c r="A3199" s="29" t="str">
        <x:v>72115</x:v>
      </x:c>
      <x:c r="B3199" s="29" t="str">
        <x:v>SCA-32</x:v>
      </x:c>
      <x:c r="C3199" s="44" t="n">
        <x:v>22838</x:v>
      </x:c>
      <x:c r="D3199" s="44" t="n">
        <x:v>363.5185135437394</x:v>
      </x:c>
      <x:c r="E3199" s="44" t="n">
        <x:v>6797.9316708784845</x:v>
      </x:c>
      <x:c r="F3199" s="44" t="n">
        <x:v>84.76226359324357</x:v>
      </x:c>
      <x:c r="G3199" s="44" t="n">
        <x:v>823.7868676917805</x:v>
      </x:c>
      <x:c r="H3199" s="44" t="n">
        <x:v>14768.00068429275</x:v>
      </x:c>
      <x:c r="I3199" s="44" t="n">
        <x:v>22838</x:v>
      </x:c>
      <x:c r="J3199" s="44" t="n">
        <x:v>7239</x:v>
      </x:c>
      <x:c r="K3199" s="44" t="n">
        <x:v>165.03362418371282</x:v>
      </x:c>
      <x:c r="L3199" s="44" t="n">
        <x:v>80.27136059046924</x:v>
      </x:c>
    </x:row>
    <x:row r="3200" ht="15" hidden="0" customHeight="1">
      <x:c r="A3200" s="27" t="str">
        <x:v>72103</x:v>
      </x:c>
      <x:c r="B3200" s="27" t="str">
        <x:v>SCA-32</x:v>
      </x:c>
      <x:c r="C3200" s="43" t="n">
        <x:v>22599</x:v>
      </x:c>
      <x:c r="D3200" s="43" t="n">
        <x:v>155.30987892338572</x:v>
      </x:c>
      <x:c r="E3200" s="43" t="n">
        <x:v>1821.0854227532377</x:v>
      </x:c>
      <x:c r="F3200" s="43" t="n">
        <x:v>83.87522527995934</x:v>
      </x:c>
      <x:c r="G3200" s="43" t="n">
        <x:v>1400.1974447303012</x:v>
      </x:c>
      <x:c r="H3200" s="43" t="n">
        <x:v>19138.53202831312</x:v>
      </x:c>
      <x:c r="I3200" s="43" t="n">
        <x:v>22599</x:v>
      </x:c>
      <x:c r="J3200" s="43" t="n">
        <x:v>1925</x:v>
      </x:c>
      <x:c r="K3200" s="43" t="n">
        <x:v>163.30654492196015</x:v>
      </x:c>
      <x:c r="L3200" s="43" t="n">
        <x:v>79.43131964200082</x:v>
      </x:c>
    </x:row>
    <x:row r="3201" ht="15" hidden="0" customHeight="1">
      <x:c r="A3201" s="29" t="str">
        <x:v>72079</x:v>
      </x:c>
      <x:c r="B3201" s="29" t="str">
        <x:v>SCA-32</x:v>
      </x:c>
      <x:c r="C3201" s="44" t="n">
        <x:v>22572</x:v>
      </x:c>
      <x:c r="D3201" s="44" t="n">
        <x:v>325.8803136859612</x:v>
      </x:c>
      <x:c r="E3201" s="44" t="n">
        <x:v>5917.053457618259</x:v>
      </x:c>
      <x:c r="F3201" s="44" t="n">
        <x:v>83.77501593075986</x:v>
      </x:c>
      <x:c r="G3201" s="44" t="n">
        <x:v>1268.140103667567</x:v>
      </x:c>
      <x:c r="H3201" s="44" t="n">
        <x:v>14977.15110909745</x:v>
      </x:c>
      <x:c r="I3201" s="44" t="n">
        <x:v>22572</x:v>
      </x:c>
      <x:c r="J3201" s="44" t="n">
        <x:v>6269</x:v>
      </x:c>
      <x:c r="K3201" s="44" t="n">
        <x:v>163.11143554929353</x:v>
      </x:c>
      <x:c r="L3201" s="44" t="n">
        <x:v>79.33641961853367</x:v>
      </x:c>
    </x:row>
    <x:row r="3202" ht="15" hidden="0" customHeight="1">
      <x:c r="A3202" s="27" t="str">
        <x:v>72033</x:v>
      </x:c>
      <x:c r="B3202" s="27" t="str">
        <x:v>SCA-32</x:v>
      </x:c>
      <x:c r="C3202" s="43" t="n">
        <x:v>22390</x:v>
      </x:c>
      <x:c r="D3202" s="43" t="n">
        <x:v>232.82397804851928</x:v>
      </x:c>
      <x:c r="E3202" s="43" t="n">
        <x:v>3699.054117227228</x:v>
      </x:c>
      <x:c r="F3202" s="43" t="n">
        <x:v>83.09953068800787</x:v>
      </x:c>
      <x:c r="G3202" s="43" t="n">
        <x:v>2504.0021411365865</x:v>
      </x:c>
      <x:c r="H3202" s="43" t="n">
        <x:v>15871.020232899657</x:v>
      </x:c>
      <x:c r="I3202" s="43" t="n">
        <x:v>22390</x:v>
      </x:c>
      <x:c r="J3202" s="43" t="n">
        <x:v>3858</x:v>
      </x:c>
      <x:c r="K3202" s="43" t="n">
        <x:v>161.7962538520593</x:v>
      </x:c>
      <x:c r="L3202" s="43" t="n">
        <x:v>78.69672316405142</x:v>
      </x:c>
    </x:row>
    <x:row r="3203" ht="15" hidden="0" customHeight="1">
      <x:c r="A3203" s="29" t="str">
        <x:v>72121</x:v>
      </x:c>
      <x:c r="B3203" s="29" t="str">
        <x:v>SCA-32</x:v>
      </x:c>
      <x:c r="C3203" s="44" t="n">
        <x:v>22034</x:v>
      </x:c>
      <x:c r="D3203" s="44" t="n">
        <x:v>313.21043531798466</x:v>
      </x:c>
      <x:c r="E3203" s="44" t="n">
        <x:v>5658.359676898222</x:v>
      </x:c>
      <x:c r="F3203" s="44" t="n">
        <x:v>81.7782518615259</x:v>
      </x:c>
      <x:c r="G3203" s="44" t="n">
        <x:v>876.0683898761444</x:v>
      </x:c>
      <x:c r="H3203" s="44" t="n">
        <x:v>15104.583246046122</x:v>
      </x:c>
      <x:c r="I3203" s="44" t="n">
        <x:v>22034</x:v>
      </x:c>
      <x:c r="J3203" s="44" t="n">
        <x:v>5961</x:v>
      </x:c>
      <x:c r="K3203" s="44" t="n">
        <x:v>159.2237006420846</x:v>
      </x:c>
      <x:c r="L3203" s="44" t="n">
        <x:v>77.44544878055869</x:v>
      </x:c>
    </x:row>
    <x:row r="3204" ht="15" hidden="0" customHeight="1">
      <x:c r="A3204" s="27" t="str">
        <x:v>72017</x:v>
      </x:c>
      <x:c r="B3204" s="27" t="str">
        <x:v>SCA-32</x:v>
      </x:c>
      <x:c r="C3204" s="43" t="n">
        <x:v>21915</x:v>
      </x:c>
      <x:c r="D3204" s="43" t="n">
        <x:v>258.1577735290673</x:v>
      </x:c>
      <x:c r="E3204" s="43" t="n">
        <x:v>4347.13410755762</x:v>
      </x:c>
      <x:c r="F3204" s="43" t="n">
        <x:v>81.33658843357267</x:v>
      </x:c>
      <x:c r="G3204" s="43" t="n">
        <x:v>858.4279078077541</x:v>
      </x:c>
      <x:c r="H3204" s="43" t="n">
        <x:v>16369.943622671988</x:v>
      </x:c>
      <x:c r="I3204" s="43" t="n">
        <x:v>21915</x:v>
      </x:c>
      <x:c r="J3204" s="43" t="n">
        <x:v>4626</x:v>
      </x:c>
      <x:c r="K3204" s="43" t="n">
        <x:v>158.36377414773912</x:v>
      </x:c>
      <x:c r="L3204" s="43" t="n">
        <x:v>77.02718571416645</x:v>
      </x:c>
    </x:row>
    <x:row r="3205" ht="15" hidden="0" customHeight="1">
      <x:c r="A3205" s="29" t="str">
        <x:v>72149</x:v>
      </x:c>
      <x:c r="B3205" s="29" t="str">
        <x:v>SCA-32</x:v>
      </x:c>
      <x:c r="C3205" s="44" t="n">
        <x:v>21412</x:v>
      </x:c>
      <x:c r="D3205" s="44" t="n">
        <x:v>271.55341563426424</x:v>
      </x:c>
      <x:c r="E3205" s="44" t="n">
        <x:v>4711.0603730192115</x:v>
      </x:c>
      <x:c r="F3205" s="44" t="n">
        <x:v>79.46972537256026</x:v>
      </x:c>
      <x:c r="G3205" s="44" t="n">
        <x:v>998.9734960033657</x:v>
      </x:c>
      <x:c r="H3205" s="44" t="n">
        <x:v>15350.9429899706</x:v>
      </x:c>
      <x:c r="I3205" s="44" t="n">
        <x:v>21412</x:v>
      </x:c>
      <x:c r="J3205" s="44" t="n">
        <x:v>4903</x:v>
      </x:c>
      <x:c r="K3205" s="44" t="n">
        <x:v>154.72895879769064</x:v>
      </x:c>
      <x:c r="L3205" s="44" t="n">
        <x:v>75.25923342513038</x:v>
      </x:c>
    </x:row>
    <x:row r="3206" ht="15" hidden="0" customHeight="1">
      <x:c r="A3206" s="27" t="str">
        <x:v>72107</x:v>
      </x:c>
      <x:c r="B3206" s="27" t="str">
        <x:v>SCA-32</x:v>
      </x:c>
      <x:c r="C3206" s="43" t="n">
        <x:v>20783</x:v>
      </x:c>
      <x:c r="D3206" s="43" t="n">
        <x:v>257.34198531700997</x:v>
      </x:c>
      <x:c r="E3206" s="43" t="n">
        <x:v>4423.045702970297</x:v>
      </x:c>
      <x:c r="F3206" s="43" t="n">
        <x:v>77.13521868195032</x:v>
      </x:c>
      <x:c r="G3206" s="43" t="n">
        <x:v>1191.595851013673</x:v>
      </x:c>
      <x:c r="H3206" s="43" t="n">
        <x:v>14833.881242017069</x:v>
      </x:c>
      <x:c r="I3206" s="43" t="n">
        <x:v>20783</x:v>
      </x:c>
      <x:c r="J3206" s="43" t="n">
        <x:v>4702</x:v>
      </x:c>
      <x:c r="K3206" s="43" t="n">
        <x:v>150.1836330418646</x:v>
      </x:c>
      <x:c r="L3206" s="43" t="n">
        <x:v>73.04841435991428</x:v>
      </x:c>
    </x:row>
    <x:row r="3207" ht="15" hidden="0" customHeight="1">
      <x:c r="A3207" s="29" t="str">
        <x:v>72111</x:v>
      </x:c>
      <x:c r="B3207" s="29" t="str">
        <x:v>SCA-32</x:v>
      </x:c>
      <x:c r="C3207" s="44" t="n">
        <x:v>19723</x:v>
      </x:c>
      <x:c r="D3207" s="44" t="n">
        <x:v>203.09592814309374</x:v>
      </x:c>
      <x:c r="E3207" s="44" t="n">
        <x:v>3210.5572417964618</x:v>
      </x:c>
      <x:c r="F3207" s="44" t="n">
        <x:v>73.20107386152652</x:v>
      </x:c>
      <x:c r="G3207" s="44" t="n">
        <x:v>993.2002621099854</x:v>
      </x:c>
      <x:c r="H3207" s="44" t="n">
        <x:v>15242.945494088932</x:v>
      </x:c>
      <x:c r="I3207" s="44" t="n">
        <x:v>19723</x:v>
      </x:c>
      <x:c r="J3207" s="44" t="n">
        <x:v>3364</x:v>
      </x:c>
      <x:c r="K3207" s="44" t="n">
        <x:v>142.52378359643436</x:v>
      </x:c>
      <x:c r="L3207" s="44" t="n">
        <x:v>69.32270973490783</x:v>
      </x:c>
    </x:row>
    <x:row r="3208" ht="15" hidden="0" customHeight="1">
      <x:c r="A3208" s="27" t="str">
        <x:v>72133</x:v>
      </x:c>
      <x:c r="B3208" s="27" t="str">
        <x:v>SCA-32</x:v>
      </x:c>
      <x:c r="C3208" s="43" t="n">
        <x:v>19674</x:v>
      </x:c>
      <x:c r="D3208" s="43" t="n">
        <x:v>296.4124301868565</x:v>
      </x:c>
      <x:c r="E3208" s="43" t="n">
        <x:v>5454.286714091115</x:v>
      </x:c>
      <x:c r="F3208" s="43" t="n">
        <x:v>73.01921245001638</x:v>
      </x:c>
      <x:c r="G3208" s="43" t="n">
        <x:v>832.1219918268503</x:v>
      </x:c>
      <x:c r="H3208" s="43" t="n">
        <x:v>13018.159651445161</x:v>
      </x:c>
      <x:c r="I3208" s="43" t="n">
        <x:v>19674</x:v>
      </x:c>
      <x:c r="J3208" s="43" t="n">
        <x:v>5724</x:v>
      </x:c>
      <x:c r="K3208" s="43" t="n">
        <x:v>142.16969621640976</x:v>
      </x:c>
      <x:c r="L3208" s="43" t="n">
        <x:v>69.15048376639338</x:v>
      </x:c>
    </x:row>
    <x:row r="3209" ht="15" hidden="0" customHeight="1">
      <x:c r="A3209" s="29" t="str">
        <x:v>72045</x:v>
      </x:c>
      <x:c r="B3209" s="29" t="str">
        <x:v>SCA-32</x:v>
      </x:c>
      <x:c r="C3209" s="44" t="n">
        <x:v>18328</x:v>
      </x:c>
      <x:c r="D3209" s="44" t="n">
        <x:v>263.22974860456685</x:v>
      </x:c>
      <x:c r="E3209" s="44" t="n">
        <x:v>4771.444961971076</x:v>
      </x:c>
      <x:c r="F3209" s="44" t="n">
        <x:v>68.02359081955373</x:v>
      </x:c>
      <x:c r="G3209" s="44" t="n">
        <x:v>1163.9196036422068</x:v>
      </x:c>
      <x:c r="H3209" s="44" t="n">
        <x:v>12061.382094962597</x:v>
      </x:c>
      <x:c r="I3209" s="44" t="n">
        <x:v>18328</x:v>
      </x:c>
      <x:c r="J3209" s="44" t="n">
        <x:v>5063</x:v>
      </x:c>
      <x:c r="K3209" s="44" t="n">
        <x:v>132.4431326753257</x:v>
      </x:c>
      <x:c r="L3209" s="44" t="n">
        <x:v>64.41954185577197</x:v>
      </x:c>
    </x:row>
    <x:row r="3210" ht="15" hidden="0" customHeight="1">
      <x:c r="A3210" s="27" t="str">
        <x:v>72001</x:v>
      </x:c>
      <x:c r="B3210" s="27" t="str">
        <x:v>SCA-32</x:v>
      </x:c>
      <x:c r="C3210" s="43" t="n">
        <x:v>17427</x:v>
      </x:c>
      <x:c r="D3210" s="43" t="n">
        <x:v>205.99644522577174</x:v>
      </x:c>
      <x:c r="E3210" s="43" t="n">
        <x:v>3473.8500552301252</x:v>
      </x:c>
      <x:c r="F3210" s="43" t="n">
        <x:v>64.67956772219353</x:v>
      </x:c>
      <x:c r="G3210" s="43" t="n">
        <x:v>775.7175453277546</x:v>
      </x:c>
      <x:c r="H3210" s="43" t="n">
        <x:v>12906.756386494155</x:v>
      </x:c>
      <x:c r="I3210" s="43" t="n">
        <x:v>17427</x:v>
      </x:c>
      <x:c r="J3210" s="43" t="n">
        <x:v>3722</x:v>
      </x:c>
      <x:c r="K3210" s="43" t="n">
        <x:v>125.93226064671</x:v>
      </x:c>
      <x:c r="L3210" s="43" t="n">
        <x:v>61.25269292451649</x:v>
      </x:c>
    </x:row>
    <x:row r="3211" ht="15" hidden="0" customHeight="1">
      <x:c r="A3211" s="29" t="str">
        <x:v>72089</x:v>
      </x:c>
      <x:c r="B3211" s="29" t="str">
        <x:v>SCA-32</x:v>
      </x:c>
      <x:c r="C3211" s="44" t="n">
        <x:v>17203</x:v>
      </x:c>
      <x:c r="D3211" s="44" t="n">
        <x:v>239.08961185769436</x:v>
      </x:c>
      <x:c r="E3211" s="44" t="n">
        <x:v>4286.981703513282</x:v>
      </x:c>
      <x:c r="F3211" s="44" t="n">
        <x:v>63.84820126957567</x:v>
      </x:c>
      <x:c r="G3211" s="44" t="n">
        <x:v>1079.5280205655527</x:v>
      </x:c>
      <x:c r="H3211" s="44" t="n">
        <x:v>11533.552462793894</x:v>
      </x:c>
      <x:c r="I3211" s="44" t="n">
        <x:v>17203</x:v>
      </x:c>
      <x:c r="J3211" s="44" t="n">
        <x:v>4544</x:v>
      </x:c>
      <x:c r="K3211" s="44" t="n">
        <x:v>124.31357548088324</x:v>
      </x:c>
      <x:c r="L3211" s="44" t="n">
        <x:v>60.46537421130758</x:v>
      </x:c>
    </x:row>
    <x:row r="3212" ht="15" hidden="0" customHeight="1">
      <x:c r="A3212" s="27" t="str">
        <x:v>72059</x:v>
      </x:c>
      <x:c r="B3212" s="27" t="str">
        <x:v>SCA-32</x:v>
      </x:c>
      <x:c r="C3212" s="43" t="n">
        <x:v>17170</x:v>
      </x:c>
      <x:c r="D3212" s="43" t="n">
        <x:v>177.31988476735927</x:v>
      </x:c>
      <x:c r="E3212" s="43" t="n">
        <x:v>2807.2919873669434</x:v>
      </x:c>
      <x:c r="F3212" s="43" t="n">
        <x:v>63.725723176109646</x:v>
      </x:c>
      <x:c r="G3212" s="43" t="n">
        <x:v>1050.799450228097</x:v>
      </x:c>
      <x:c r="H3212" s="43" t="n">
        <x:v>13070.862954461492</x:v>
      </x:c>
      <x:c r="I3212" s="43" t="n">
        <x:v>17170</x:v>
      </x:c>
      <x:c r="J3212" s="43" t="n">
        <x:v>2912</x:v>
      </x:c>
      <x:c r="K3212" s="43" t="n">
        <x:v>124.07510846984627</x:v>
      </x:c>
      <x:c r="L3212" s="43" t="n">
        <x:v>60.349385293736624</x:v>
      </x:c>
    </x:row>
    <x:row r="3213" ht="15" hidden="0" customHeight="1">
      <x:c r="A3213" s="29" t="str">
        <x:v>72039</x:v>
      </x:c>
      <x:c r="B3213" s="29" t="str">
        <x:v>SCA-32</x:v>
      </x:c>
      <x:c r="C3213" s="44" t="n">
        <x:v>16467</x:v>
      </x:c>
      <x:c r="D3213" s="44" t="n">
        <x:v>220.36045759358169</x:v>
      </x:c>
      <x:c r="E3213" s="44" t="n">
        <x:v>3899.5677054161947</x:v>
      </x:c>
      <x:c r="F3213" s="44" t="n">
        <x:v>61.116568639545584</x:v>
      </x:c>
      <x:c r="G3213" s="44" t="n">
        <x:v>797.0144789370195</x:v>
      </x:c>
      <x:c r="H3213" s="44" t="n">
        <x:v>11488.940789413658</x:v>
      </x:c>
      <x:c r="I3213" s="44" t="n">
        <x:v>16467</x:v>
      </x:c>
      <x:c r="J3213" s="44" t="n">
        <x:v>4140</x:v>
      </x:c>
      <x:c r="K3213" s="44" t="n">
        <x:v>118.99503850745245</x:v>
      </x:c>
      <x:c r="L3213" s="44" t="n">
        <x:v>57.878469867906865</x:v>
      </x:c>
    </x:row>
    <x:row r="3214" ht="15" hidden="0" customHeight="1">
      <x:c r="A3214" s="27" t="str">
        <x:v>72109</x:v>
      </x:c>
      <x:c r="B3214" s="27" t="str">
        <x:v>SCA-32</x:v>
      </x:c>
      <x:c r="C3214" s="43" t="n">
        <x:v>15461</x:v>
      </x:c>
      <x:c r="D3214" s="43" t="n">
        <x:v>153.9019595026336</x:v>
      </x:c>
      <x:c r="E3214" s="43" t="n">
        <x:v>2389.425461107173</x:v>
      </x:c>
      <x:c r="F3214" s="43" t="n">
        <x:v>57.38284251752075</x:v>
      </x:c>
      <x:c r="G3214" s="43" t="n">
        <x:v>1071.002996713282</x:v>
      </x:c>
      <x:c r="H3214" s="43" t="n">
        <x:v>11789.28674015939</x:v>
      </x:c>
      <x:c r="I3214" s="43" t="n">
        <x:v>15461</x:v>
      </x:c>
      <x:c r="J3214" s="43" t="n">
        <x:v>2498</x:v>
      </x:c>
      <x:c r="K3214" s="43" t="n">
        <x:v>111.72540780735545</x:v>
      </x:c>
      <x:c r="L3214" s="43" t="n">
        <x:v>54.3425652898347</x:v>
      </x:c>
    </x:row>
    <x:row r="3215" ht="15" hidden="0" customHeight="1">
      <x:c r="A3215" s="29" t="str">
        <x:v>72015</x:v>
      </x:c>
      <x:c r="B3215" s="29" t="str">
        <x:v>SCA-32</x:v>
      </x:c>
      <x:c r="C3215" s="44" t="n">
        <x:v>15357</x:v>
      </x:c>
      <x:c r="D3215" s="44" t="n">
        <x:v>205.61767696149752</x:v>
      </x:c>
      <x:c r="E3215" s="44" t="n">
        <x:v>3639.375660067092</x:v>
      </x:c>
      <x:c r="F3215" s="44" t="n">
        <x:v>56.996850950233885</x:v>
      </x:c>
      <x:c r="G3215" s="44" t="n">
        <x:v>951.216865092416</x:v>
      </x:c>
      <x:c r="H3215" s="44" t="n">
        <x:v>10503.79294692876</x:v>
      </x:c>
      <x:c r="I3215" s="44" t="n">
        <x:v>15357</x:v>
      </x:c>
      <x:c r="J3215" s="44" t="n">
        <x:v>3753</x:v>
      </x:c>
      <x:c r="K3215" s="44" t="n">
        <x:v>110.97387540893588</x:v>
      </x:c>
      <x:c r="L3215" s="44" t="n">
        <x:v>53.977024458702</x:v>
      </x:c>
    </x:row>
    <x:row r="3216" ht="15" hidden="0" customHeight="1">
      <x:c r="A3216" s="27" t="str">
        <x:v>72067</x:v>
      </x:c>
      <x:c r="B3216" s="27" t="str">
        <x:v>SCA-32</x:v>
      </x:c>
      <x:c r="C3216" s="43" t="n">
        <x:v>15146</x:v>
      </x:c>
      <x:c r="D3216" s="43" t="n">
        <x:v>230.25086710960713</x:v>
      </x:c>
      <x:c r="E3216" s="43" t="n">
        <x:v>4248.371250245338</x:v>
      </x:c>
      <x:c r="F3216" s="43" t="n">
        <x:v>56.213733443526884</x:v>
      </x:c>
      <x:c r="G3216" s="43" t="n">
        <x:v>793.1102060843964</x:v>
      </x:c>
      <x:c r="H3216" s="43" t="n">
        <x:v>9818.053943117131</x:v>
      </x:c>
      <x:c r="I3216" s="43" t="n">
        <x:v>15146</x:v>
      </x:c>
      <x:c r="J3216" s="43" t="n">
        <x:v>4466</x:v>
      </x:c>
      <x:c r="K3216" s="43" t="n">
        <x:v>109.44913179291156</x:v>
      </x:c>
      <x:c r="L3216" s="43" t="n">
        <x:v>53.235398349384674</x:v>
      </x:c>
    </x:row>
    <x:row r="3217" ht="15" hidden="0" customHeight="1">
      <x:c r="A3217" s="29" t="str">
        <x:v>72117</x:v>
      </x:c>
      <x:c r="B3217" s="29" t="str">
        <x:v>SCA-32</x:v>
      </x:c>
      <x:c r="C3217" s="44" t="n">
        <x:v>14741</x:v>
      </x:c>
      <x:c r="D3217" s="44" t="n">
        <x:v>248.9094744265542</x:v>
      </x:c>
      <x:c r="E3217" s="44" t="n">
        <x:v>4730.341834300241</x:v>
      </x:c>
      <x:c r="F3217" s="44" t="n">
        <x:v>54.710593205534785</x:v>
      </x:c>
      <x:c r="G3217" s="44" t="n">
        <x:v>513.279642787302</x:v>
      </x:c>
      <x:c r="H3217" s="44" t="n">
        <x:v>9193.758455280367</x:v>
      </x:c>
      <x:c r="I3217" s="44" t="n">
        <x:v>14741</x:v>
      </x:c>
      <x:c r="J3217" s="44" t="n">
        <x:v>5128</x:v>
      </x:c>
      <x:c r="K3217" s="44" t="n">
        <x:v>106.52249120291228</x:v>
      </x:c>
      <x:c r="L3217" s="44" t="n">
        <x:v>51.81189799737749</x:v>
      </x:c>
    </x:row>
    <x:row r="3218" ht="15" hidden="0" customHeight="1">
      <x:c r="A3218" s="27" t="str">
        <x:v>72073</x:v>
      </x:c>
      <x:c r="B3218" s="27" t="str">
        <x:v>SCA-32</x:v>
      </x:c>
      <x:c r="C3218" s="43" t="n">
        <x:v>14345</x:v>
      </x:c>
      <x:c r="D3218" s="43" t="n">
        <x:v>191.9937057765577</x:v>
      </x:c>
      <x:c r="E3218" s="43" t="n">
        <x:v>3397.76819496076</x:v>
      </x:c>
      <x:c r="F3218" s="43" t="n">
        <x:v>53.24085608394251</x:v>
      </x:c>
      <x:c r="G3218" s="43" t="n">
        <x:v>938.1977832851437</x:v>
      </x:c>
      <x:c r="H3218" s="43" t="n">
        <x:v>9763.799459893597</x:v>
      </x:c>
      <x:c r="I3218" s="43" t="n">
        <x:v>14345</x:v>
      </x:c>
      <x:c r="J3218" s="43" t="n">
        <x:v>3584</x:v>
      </x:c>
      <x:c r="K3218" s="43" t="n">
        <x:v>103.66088707046853</x:v>
      </x:c>
      <x:c r="L3218" s="43" t="n">
        <x:v>50.42003098652602</x:v>
      </x:c>
    </x:row>
    <x:row r="3219" ht="15" hidden="0" customHeight="1">
      <x:c r="A3219" s="29" t="str">
        <x:v>72055</x:v>
      </x:c>
      <x:c r="B3219" s="29" t="str">
        <x:v>SCA-32</x:v>
      </x:c>
      <x:c r="C3219" s="44" t="n">
        <x:v>13357</x:v>
      </x:c>
      <x:c r="D3219" s="44" t="n">
        <x:v>195.13668469904803</x:v>
      </x:c>
      <x:c r="E3219" s="44" t="n">
        <x:v>3556.542998598785</x:v>
      </x:c>
      <x:c r="F3219" s="44" t="n">
        <x:v>49.573936194717334</x:v>
      </x:c>
      <x:c r="G3219" s="44" t="n">
        <x:v>824.167951113187</x:v>
      </x:c>
      <x:c r="H3219" s="44" t="n">
        <x:v>8731.578429394263</x:v>
      </x:c>
      <x:c r="I3219" s="44" t="n">
        <x:v>13357</x:v>
      </x:c>
      <x:c r="J3219" s="44" t="n">
        <x:v>3563</x:v>
      </x:c>
      <x:c r="K3219" s="44" t="n">
        <x:v>96.52132928548262</x:v>
      </x:c>
      <x:c r="L3219" s="44" t="n">
        <x:v>46.94739309076529</x:v>
      </x:c>
    </x:row>
    <x:row r="3220" ht="15" hidden="0" customHeight="1">
      <x:c r="A3220" s="27" t="str">
        <x:v>72054</x:v>
      </x:c>
      <x:c r="B3220" s="27" t="str">
        <x:v>SCA-32</x:v>
      </x:c>
      <x:c r="C3220" s="43" t="n">
        <x:v>11349</x:v>
      </x:c>
      <x:c r="D3220" s="43" t="n">
        <x:v>132.071880886586</x:v>
      </x:c>
      <x:c r="E3220" s="43" t="n">
        <x:v>2212.3737045414996</x:v>
      </x:c>
      <x:c r="F3220" s="43" t="n">
        <x:v>42.121329780178705</x:v>
      </x:c>
      <x:c r="G3220" s="43" t="n">
        <x:v>659.8642770140943</x:v>
      </x:c>
      <x:c r="H3220" s="43" t="n">
        <x:v>8302.568807777641</x:v>
      </x:c>
      <x:c r="I3220" s="43" t="n">
        <x:v>11349</x:v>
      </x:c>
      <x:c r="J3220" s="43" t="n">
        <x:v>2334</x:v>
      </x:c>
      <x:c r="K3220" s="43" t="n">
        <x:v>82.01097297753554</x:v>
      </x:c>
      <x:c r="L3220" s="43" t="n">
        <x:v>39.88964319735684</x:v>
      </x:c>
    </x:row>
    <x:row r="3221" ht="15" hidden="0" customHeight="1">
      <x:c r="A3221" s="29" t="str">
        <x:v>72037</x:v>
      </x:c>
      <x:c r="B3221" s="29" t="str">
        <x:v>SCA-32</x:v>
      </x:c>
      <x:c r="C3221" s="44" t="n">
        <x:v>10975</x:v>
      </x:c>
      <x:c r="D3221" s="44" t="n">
        <x:v>92.6835655662281</x:v>
      </x:c>
      <x:c r="E3221" s="44" t="n">
        <x:v>1298.6031224322103</x:v>
      </x:c>
      <x:c r="F3221" s="44" t="n">
        <x:v>40.73324472089711</x:v>
      </x:c>
      <x:c r="G3221" s="44" t="n">
        <x:v>576.4605587510271</x:v>
      </x:c>
      <x:c r="H3221" s="44" t="n">
        <x:v>8966.519508529638</x:v>
      </x:c>
      <x:c r="I3221" s="44" t="n">
        <x:v>10975</x:v>
      </x:c>
      <x:c r="J3221" s="44" t="n">
        <x:v>1350</x:v>
      </x:c>
      <x:c r="K3221" s="44" t="n">
        <x:v>79.30834685244979</x:v>
      </x:c>
      <x:c r="L3221" s="44" t="n">
        <x:v>38.575102131552676</x:v>
      </x:c>
    </x:row>
    <x:row r="3222" ht="15" hidden="0" customHeight="1">
      <x:c r="A3222" s="27" t="str">
        <x:v>72095</x:v>
      </x:c>
      <x:c r="B3222" s="27" t="str">
        <x:v>SCA-32</x:v>
      </x:c>
      <x:c r="C3222" s="43" t="n">
        <x:v>10245</x:v>
      </x:c>
      <x:c r="D3222" s="43" t="n">
        <x:v>103.67146055344091</x:v>
      </x:c>
      <x:c r="E3222" s="43" t="n">
        <x:v>1623.892172908443</x:v>
      </x:c>
      <x:c r="F3222" s="43" t="n">
        <x:v>38.02388083513357</x:v>
      </x:c>
      <x:c r="G3222" s="43" t="n">
        <x:v>915.456628477905</x:v>
      </x:c>
      <x:c r="H3222" s="43" t="n">
        <x:v>7563.955857225078</x:v>
      </x:c>
      <x:c r="I3222" s="43" t="n">
        <x:v>10245</x:v>
      </x:c>
      <x:c r="J3222" s="43" t="n">
        <x:v>1715</x:v>
      </x:c>
      <x:c r="K3222" s="43" t="n">
        <x:v>74.03316751738934</x:v>
      </x:c>
      <x:c r="L3222" s="43" t="n">
        <x:v>36.00928668225578</x:v>
      </x:c>
    </x:row>
    <x:row r="3223" ht="15" hidden="0" customHeight="1">
      <x:c r="A3223" s="29" t="str">
        <x:v>72083</x:v>
      </x:c>
      <x:c r="B3223" s="29" t="str">
        <x:v>SCA-32</x:v>
      </x:c>
      <x:c r="C3223" s="44" t="n">
        <x:v>8573</x:v>
      </x:c>
      <x:c r="D3223" s="44" t="n">
        <x:v>57.973230876676624</x:v>
      </x:c>
      <x:c r="E3223" s="44" t="n">
        <x:v>668.1771844323824</x:v>
      </x:c>
      <x:c r="F3223" s="44" t="n">
        <x:v>31.818324099521725</x:v>
      </x:c>
      <x:c r="G3223" s="44" t="n">
        <x:v>377.63205912922973</x:v>
      </x:c>
      <x:c r="H3223" s="44" t="n">
        <x:v>7437.39920146219</x:v>
      </x:c>
      <x:c r="I3223" s="44" t="n">
        <x:v>8573</x:v>
      </x:c>
      <x:c r="J3223" s="44" t="n">
        <x:v>703</x:v>
      </x:c>
      <x:c r="K3223" s="44" t="n">
        <x:v>61.950838958182416</x:v>
      </x:c>
      <x:c r="L3223" s="44" t="n">
        <x:v>30.13251485866069</x:v>
      </x:c>
    </x:row>
    <x:row r="3224" ht="15" hidden="0" customHeight="1">
      <x:c r="A3224" s="27" t="str">
        <x:v>72147</x:v>
      </x:c>
      <x:c r="B3224" s="27" t="str">
        <x:v>SCA-32</x:v>
      </x:c>
      <x:c r="C3224" s="43" t="n">
        <x:v>7948</x:v>
      </x:c>
      <x:c r="D3224" s="43" t="n">
        <x:v>71.07023388757437</x:v>
      </x:c>
      <x:c r="E3224" s="43" t="n">
        <x:v>1035.2274919534539</x:v>
      </x:c>
      <x:c r="F3224" s="43" t="n">
        <x:v>29.4986632384228</x:v>
      </x:c>
      <x:c r="G3224" s="43" t="n">
        <x:v>563.5384996286209</x:v>
      </x:c>
      <x:c r="H3224" s="43" t="n">
        <x:v>6248.665111291929</x:v>
      </x:c>
      <x:c r="I3224" s="43" t="n">
        <x:v>7948</x:v>
      </x:c>
      <x:c r="J3224" s="43" t="n">
        <x:v>1096</x:v>
      </x:c>
      <x:c r="K3224" s="43" t="n">
        <x:v>57.43441829460327</x:v>
      </x:c>
      <x:c r="L3224" s="43" t="n">
        <x:v>27.93575505618047</x:v>
      </x:c>
    </x:row>
    <x:row r="3225" ht="15" hidden="0" customHeight="1">
      <x:c r="A3225" s="29" t="str">
        <x:v>72093</x:v>
      </x:c>
      <x:c r="B3225" s="29" t="str">
        <x:v>SCA-32</x:v>
      </x:c>
      <x:c r="C3225" s="44" t="n">
        <x:v>4594</x:v>
      </x:c>
      <x:c r="D3225" s="44" t="n">
        <x:v>30.22010254645695</x:v>
      </x:c>
      <x:c r="E3225" s="44" t="n">
        <x:v>337.75294306335206</x:v>
      </x:c>
      <x:c r="F3225" s="44" t="n">
        <x:v>17.05043519342153</x:v>
      </x:c>
      <x:c r="G3225" s="44" t="n">
        <x:v>205.9218123496391</x:v>
      </x:c>
      <x:c r="H3225" s="44" t="n">
        <x:v>4003.05470684713</x:v>
      </x:c>
      <x:c r="I3225" s="44" t="n">
        <x:v>4594</x:v>
      </x:c>
      <x:c r="J3225" s="44" t="n">
        <x:v>382</x:v>
      </x:c>
      <x:c r="K3225" s="44" t="n">
        <x:v>33.197498445572144</x:v>
      </x:c>
      <x:c r="L3225" s="44" t="n">
        <x:v>16.147063252150613</x:v>
      </x:c>
    </x:row>
    <x:row r="3226" ht="15" hidden="0" customHeight="1">
      <x:c r="A3226" s="27" t="str">
        <x:v>72049</x:v>
      </x:c>
      <x:c r="B3226" s="27" t="str">
        <x:v>SCA-32</x:v>
      </x:c>
      <x:c r="C3226" s="43" t="n">
        <x:v>1611</x:v>
      </x:c>
      <x:c r="D3226" s="43" t="n">
        <x:v>9.890226754688445</x:v>
      </x:c>
      <x:c r="E3226" s="43" t="n">
        <x:v>101.4686085075703</x:v>
      </x:c>
      <x:c r="F3226" s="43" t="n">
        <x:v>5.9791578355685875</x:v>
      </x:c>
      <x:c r="G3226" s="43" t="n">
        <x:v>132.21629416005769</x:v>
      </x:c>
      <x:c r="H3226" s="43" t="n">
        <x:v>1361.445712742115</x:v>
      </x:c>
      <x:c r="I3226" s="43" t="n">
        <x:v>1611</x:v>
      </x:c>
      <x:c r="J3226" s="43" t="n">
        <x:v>91</x:v>
      </x:c>
      <x:c r="K3226" s="43" t="n">
        <x:v>11.641525902441604</x:v>
      </x:c>
      <x:c r="L3226" s="43" t="n">
        <x:v>5.662368066873016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9" customHeight="1">
      <x:c r="A1" s="83" t="str">
        <x:v>Service-catchment cohort profile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</x:row>
    <x:row r="2" ht="31" customHeight="1">
      <x:c r="A2" s="84" t="str">
        <x:v>Cohort shares shape transport compatibility and equity constraints; they do not predict willingness or order people to move.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</x:row>
    <x:row r="4" ht="32" customHeight="1">
      <x:c r="A4" s="86" t="str">
        <x:v>SCA</x:v>
      </x:c>
      <x:c r="B4" s="87" t="str">
        <x:v>Population</x:v>
      </x:c>
      <x:c r="C4" s="87" t="str">
        <x:v>Clinical people</x:v>
      </x:c>
      <x:c r="D4" s="87" t="str">
        <x:v>Clinical share</x:v>
      </x:c>
      <x:c r="E4" s="87" t="str">
        <x:v>Accessible people</x:v>
      </x:c>
      <x:c r="F4" s="87" t="str">
        <x:v>Accessible share</x:v>
      </x:c>
      <x:c r="G4" s="87" t="str">
        <x:v>Custodial people</x:v>
      </x:c>
      <x:c r="H4" s="87" t="str">
        <x:v>Custodial share</x:v>
      </x:c>
      <x:c r="I4" s="87" t="str">
        <x:v>No-vehicle people</x:v>
      </x:c>
      <x:c r="J4" s="87" t="str">
        <x:v>No-vehicle share</x:v>
      </x:c>
      <x:c r="K4" s="87" t="str">
        <x:v>General people</x:v>
      </x:c>
      <x:c r="L4" s="87" t="str">
        <x:v>General share</x:v>
      </x:c>
      <x:c r="M4" s="88" t="str">
        <x:v>Place index</x:v>
      </x:c>
    </x:row>
    <x:row r="5" ht="15" hidden="0" customHeight="1">
      <x:c r="A5" s="28" t="str">
        <x:v>SCA-01</x:v>
      </x:c>
      <x:c r="B5" s="42" t="n">
        <x:v>1432820</x:v>
      </x:c>
      <x:c r="C5" s="42" t="n">
        <x:v>12631.260117345777</x:v>
      </x:c>
      <x:c r="D5" s="45" t="n">
        <x:v>0.008815664296524181</x:v>
      </x:c>
      <x:c r="E5" s="42" t="n">
        <x:v>177328.45477490747</x:v>
      </x:c>
      <x:c r="F5" s="45" t="n">
        <x:v>0.12376185059875454</x:v>
      </x:c>
      <x:c r="G5" s="42" t="n">
        <x:v>4113.35885167464</x:v>
      </x:c>
      <x:c r="H5" s="45" t="n">
        <x:v>0.002870813397129186</x:v>
      </x:c>
      <x:c r="I5" s="42" t="n">
        <x:v>60687.893605386256</x:v>
      </x:c>
      <x:c r="J5" s="45" t="n">
        <x:v>0.04235556008806846</x:v>
      </x:c>
      <x:c r="K5" s="42" t="n">
        <x:v>1178059.0326506859</x:v>
      </x:c>
      <x:c r="L5" s="45" t="n">
        <x:v>0.8221961116195237</x:v>
      </x:c>
      <x:c r="M5" s="48" t="n">
        <x:v>1.0569420306943211</x:v>
      </x:c>
    </x:row>
    <x:row r="6" ht="15" hidden="0" customHeight="1">
      <x:c r="A6" s="27" t="str">
        <x:v>SCA-02</x:v>
      </x:c>
      <x:c r="B6" s="43" t="n">
        <x:v>737270</x:v>
      </x:c>
      <x:c r="C6" s="43" t="n">
        <x:v>5819.338016028168</x:v>
      </x:c>
      <x:c r="D6" s="46" t="n">
        <x:v>0.00789308939198417</x:v>
      </x:c>
      <x:c r="E6" s="43" t="n">
        <x:v>96540.63284257629</x:v>
      </x:c>
      <x:c r="F6" s="46" t="n">
        <x:v>0.13094338958939916</x:v>
      </x:c>
      <x:c r="G6" s="43" t="n">
        <x:v>5614.911132979751</x:v>
      </x:c>
      <x:c r="H6" s="46" t="n">
        <x:v>0.007615813925671399</x:v>
      </x:c>
      <x:c r="I6" s="43" t="n">
        <x:v>45541.99800648063</x:v>
      </x:c>
      <x:c r="J6" s="46" t="n">
        <x:v>0.06177112591924348</x:v>
      </x:c>
      <x:c r="K6" s="43" t="n">
        <x:v>583753.1200019349</x:v>
      </x:c>
      <x:c r="L6" s="46" t="n">
        <x:v>0.7917765811737018</x:v>
      </x:c>
      <x:c r="M6" s="49" t="n">
        <x:v>1.0614235511253325</x:v>
      </x:c>
    </x:row>
    <x:row r="7" ht="15" hidden="0" customHeight="1">
      <x:c r="A7" s="29" t="str">
        <x:v>SCA-03</x:v>
      </x:c>
      <x:c r="B7" s="44" t="n">
        <x:v>11968308</x:v>
      </x:c>
      <x:c r="C7" s="44" t="n">
        <x:v>108432.92531300247</x:v>
      </x:c>
      <x:c r="D7" s="47" t="n">
        <x:v>0.009060004581516658</x:v>
      </x:c>
      <x:c r="E7" s="44" t="n">
        <x:v>1612450.3938002044</x:v>
      </x:c>
      <x:c r="F7" s="47" t="n">
        <x:v>0.13472667931007493</x:v>
      </x:c>
      <x:c r="G7" s="44" t="n">
        <x:v>50266.37706444496</x:v>
      </x:c>
      <x:c r="H7" s="47" t="n">
        <x:v>0.00419995684138852</x:v>
      </x:c>
      <x:c r="I7" s="44" t="n">
        <x:v>435528.43921255594</x:v>
      </x:c>
      <x:c r="J7" s="47" t="n">
        <x:v>0.036390142968626464</x:v>
      </x:c>
      <x:c r="K7" s="44" t="n">
        <x:v>9761629.864609795</x:v>
      </x:c>
      <x:c r="L7" s="47" t="n">
        <x:v>0.8156232162983935</x:v>
      </x:c>
      <x:c r="M7" s="50" t="n">
        <x:v>1.0606933480051832</x:v>
      </x:c>
    </x:row>
    <x:row r="8" ht="15" hidden="0" customHeight="1">
      <x:c r="A8" s="27" t="str">
        <x:v>SCA-04</x:v>
      </x:c>
      <x:c r="B8" s="43" t="n">
        <x:v>16200470</x:v>
      </x:c>
      <x:c r="C8" s="43" t="n">
        <x:v>126868.7175461846</x:v>
      </x:c>
      <x:c r="D8" s="46" t="n">
        <x:v>0.007831175116906149</x:v>
      </x:c>
      <x:c r="E8" s="43" t="n">
        <x:v>1897480.6686157216</x:v>
      </x:c>
      <x:c r="F8" s="46" t="n">
        <x:v>0.11712503826220604</x:v>
      </x:c>
      <x:c r="G8" s="43" t="n">
        <x:v>78813.63918845505</x:v>
      </x:c>
      <x:c r="H8" s="46" t="n">
        <x:v>0.004864898313965893</x:v>
      </x:c>
      <x:c r="I8" s="43" t="n">
        <x:v>659660.0236898094</x:v>
      </x:c>
      <x:c r="J8" s="46" t="n">
        <x:v>0.0407185732074322</x:v>
      </x:c>
      <x:c r="K8" s="43" t="n">
        <x:v>13437646.950959835</x:v>
      </x:c>
      <x:c r="L8" s="46" t="n">
        <x:v>0.8294603150994897</x:v>
      </x:c>
      <x:c r="M8" s="49" t="n">
        <x:v>1.0538697754922146</x:v>
      </x:c>
    </x:row>
    <x:row r="9" ht="15" hidden="0" customHeight="1">
      <x:c r="A9" s="29" t="str">
        <x:v>SCA-05</x:v>
      </x:c>
      <x:c r="B9" s="44" t="n">
        <x:v>15966265</x:v>
      </x:c>
      <x:c r="C9" s="44" t="n">
        <x:v>118875.7959788564</x:v>
      </x:c>
      <x:c r="D9" s="47" t="n">
        <x:v>0.00744543548405694</x:v>
      </x:c>
      <x:c r="E9" s="44" t="n">
        <x:v>1704512.4352800127</x:v>
      </x:c>
      <x:c r="F9" s="47" t="n">
        <x:v>0.10675711791580637</x:v>
      </x:c>
      <x:c r="G9" s="44" t="n">
        <x:v>76531.02317673179</x:v>
      </x:c>
      <x:c r="H9" s="47" t="n">
        <x:v>0.004793295312130405</x:v>
      </x:c>
      <x:c r="I9" s="44" t="n">
        <x:v>647588.0713270684</x:v>
      </x:c>
      <x:c r="J9" s="47" t="n">
        <x:v>0.040559772202645276</x:v>
      </x:c>
      <x:c r="K9" s="44" t="n">
        <x:v>13418757.674237333</x:v>
      </x:c>
      <x:c r="L9" s="47" t="n">
        <x:v>0.840444379085361</x:v>
      </x:c>
      <x:c r="M9" s="50" t="n">
        <x:v>1.0498250630372796</x:v>
      </x:c>
    </x:row>
    <x:row r="10" ht="15" hidden="0" customHeight="1">
      <x:c r="A10" s="27" t="str">
        <x:v>SCA-06</x:v>
      </x:c>
      <x:c r="B10" s="43" t="n">
        <x:v>6008575</x:v>
      </x:c>
      <x:c r="C10" s="43" t="n">
        <x:v>46029.458935305316</x:v>
      </x:c>
      <x:c r="D10" s="46" t="n">
        <x:v>0.007660628174784422</x:v>
      </x:c>
      <x:c r="E10" s="43" t="n">
        <x:v>672490.1839014757</x:v>
      </x:c>
      <x:c r="F10" s="46" t="n">
        <x:v>0.11192174249326597</x:v>
      </x:c>
      <x:c r="G10" s="43" t="n">
        <x:v>28800.874380083962</x:v>
      </x:c>
      <x:c r="H10" s="46" t="n">
        <x:v>0.004793295312130407</x:v>
      </x:c>
      <x:c r="I10" s="43" t="n">
        <x:v>161929.85984218738</x:v>
      </x:c>
      <x:c r="J10" s="46" t="n">
        <x:v>0.0269497942261164</x:v>
      </x:c>
      <x:c r="K10" s="43" t="n">
        <x:v>5099324.622940948</x:v>
      </x:c>
      <x:c r="L10" s="46" t="n">
        <x:v>0.8486745397937028</x:v>
      </x:c>
      <x:c r="M10" s="49" t="n">
        <x:v>1.050486876532465</x:v>
      </x:c>
    </x:row>
    <x:row r="11" ht="15" hidden="0" customHeight="1">
      <x:c r="A11" s="29" t="str">
        <x:v>SCA-07</x:v>
      </x:c>
      <x:c r="B11" s="44" t="n">
        <x:v>5229370</x:v>
      </x:c>
      <x:c r="C11" s="44" t="n">
        <x:v>40334.721777927494</x:v>
      </x:c>
      <x:c r="D11" s="47" t="n">
        <x:v>0.007713113009392622</x:v>
      </x:c>
      <x:c r="E11" s="44" t="n">
        <x:v>675828.1894755414</x:v>
      </x:c>
      <x:c r="F11" s="47" t="n">
        <x:v>0.12923701889052436</x:v>
      </x:c>
      <x:c r="G11" s="44" t="n">
        <x:v>28580.645195576035</x:v>
      </x:c>
      <x:c r="H11" s="47" t="n">
        <x:v>0.005465408872498224</x:v>
      </x:c>
      <x:c r="I11" s="44" t="n">
        <x:v>168617.48871452594</x:v>
      </x:c>
      <x:c r="J11" s="47" t="n">
        <x:v>0.032244321727956896</x:v>
      </x:c>
      <x:c r="K11" s="44" t="n">
        <x:v>4316008.954836429</x:v>
      </x:c>
      <x:c r="L11" s="47" t="n">
        <x:v>0.8253401374996279</x:v>
      </x:c>
      <x:c r="M11" s="50" t="n">
        <x:v>1.0572635835683715</x:v>
      </x:c>
    </x:row>
    <x:row r="12" ht="15" hidden="0" customHeight="1">
      <x:c r="A12" s="27" t="str">
        <x:v>SCA-08</x:v>
      </x:c>
      <x:c r="B12" s="43" t="n">
        <x:v>2652387</x:v>
      </x:c>
      <x:c r="C12" s="43" t="n">
        <x:v>28089.232186203306</x:v>
      </x:c>
      <x:c r="D12" s="46" t="n">
        <x:v>0.010590171112361548</x:v>
      </x:c>
      <x:c r="E12" s="43" t="n">
        <x:v>371989.298311418</x:v>
      </x:c>
      <x:c r="F12" s="46" t="n">
        <x:v>0.14024699197794968</x:v>
      </x:c>
      <x:c r="G12" s="43" t="n">
        <x:v>16477.91182532667</x:v>
      </x:c>
      <x:c r="H12" s="46" t="n">
        <x:v>0.0062124840098095315</x:v>
      </x:c>
      <x:c r="I12" s="43" t="n">
        <x:v>56533.77188911355</x:v>
      </x:c>
      <x:c r="J12" s="46" t="n">
        <x:v>0.021314299869933596</x:v>
      </x:c>
      <x:c r="K12" s="43" t="n">
        <x:v>2179296.785787938</x:v>
      </x:c>
      <x:c r="L12" s="46" t="n">
        <x:v>0.8216360530299457</x:v>
      </x:c>
      <x:c r="M12" s="49" t="n">
        <x:v>1.0630505450935992</x:v>
      </x:c>
    </x:row>
    <x:row r="13" ht="15" hidden="0" customHeight="1">
      <x:c r="A13" s="29" t="str">
        <x:v>SCA-09</x:v>
      </x:c>
      <x:c r="B13" s="44" t="n">
        <x:v>7395716</x:v>
      </x:c>
      <x:c r="C13" s="44" t="n">
        <x:v>62093.754176933864</x:v>
      </x:c>
      <x:c r="D13" s="47" t="n">
        <x:v>0.008395908411969018</x:v>
      </x:c>
      <x:c r="E13" s="44" t="n">
        <x:v>963592.197403716</x:v>
      </x:c>
      <x:c r="F13" s="47" t="n">
        <x:v>0.13029058949853076</x:v>
      </x:c>
      <x:c r="G13" s="44" t="n">
        <x:v>64435.0492866221</x:v>
      </x:c>
      <x:c r="H13" s="47" t="n">
        <x:v>0.008712482913976428</x:v>
      </x:c>
      <x:c r="I13" s="44" t="n">
        <x:v>222890.09637583562</x:v>
      </x:c>
      <x:c r="J13" s="47" t="n">
        <x:v>0.030137730596447403</x:v>
      </x:c>
      <x:c r="K13" s="44" t="n">
        <x:v>6082704.902756893</x:v>
      </x:c>
      <x:c r="L13" s="47" t="n">
        <x:v>0.8224632885790764</x:v>
      </x:c>
      <x:c r="M13" s="50" t="n">
        <x:v>1.0587538843788948</x:v>
      </x:c>
    </x:row>
    <x:row r="14" ht="15" hidden="0" customHeight="1">
      <x:c r="A14" s="27" t="str">
        <x:v>SCA-10</x:v>
      </x:c>
      <x:c r="B14" s="43" t="n">
        <x:v>4127033</x:v>
      </x:c>
      <x:c r="C14" s="43" t="n">
        <x:v>29839.783881022584</x:v>
      </x:c>
      <x:c r="D14" s="46" t="n">
        <x:v>0.007230323547454695</x:v>
      </x:c>
      <x:c r="E14" s="43" t="n">
        <x:v>446650.3953902362</x:v>
      </x:c>
      <x:c r="F14" s="46" t="n">
        <x:v>0.10822554493512321</x:v>
      </x:c>
      <x:c r="G14" s="43" t="n">
        <x:v>17312.837243443355</x:v>
      </x:c>
      <x:c r="H14" s="46" t="n">
        <x:v>0.004194983961466593</x:v>
      </x:c>
      <x:c r="I14" s="43" t="n">
        <x:v>83111.93984324418</x:v>
      </x:c>
      <x:c r="J14" s="46" t="n">
        <x:v>0.020138423861220445</x:v>
      </x:c>
      <x:c r="K14" s="43" t="n">
        <x:v>3550118.0436420524</x:v>
      </x:c>
      <x:c r="L14" s="46" t="n">
        <x:v>0.860210723694735</x:v>
      </x:c>
      <x:c r="M14" s="49" t="n">
        <x:v>1.0479621034531632</x:v>
      </x:c>
    </x:row>
    <x:row r="15" ht="15" hidden="0" customHeight="1">
      <x:c r="A15" s="29" t="str">
        <x:v>SCA-11</x:v>
      </x:c>
      <x:c r="B15" s="44" t="n">
        <x:v>3517787</x:v>
      </x:c>
      <x:c r="C15" s="44" t="n">
        <x:v>32370.93194101406</x:v>
      </x:c>
      <x:c r="D15" s="47" t="n">
        <x:v>0.009202072763647725</x:v>
      </x:c>
      <x:c r="E15" s="44" t="n">
        <x:v>505751.2443863281</x:v>
      </x:c>
      <x:c r="F15" s="47" t="n">
        <x:v>0.14376971783292386</x:v>
      </x:c>
      <x:c r="G15" s="44" t="n">
        <x:v>28513.25650076775</x:v>
      </x:c>
      <x:c r="H15" s="47" t="n">
        <x:v>0.0081054528033584</x:v>
      </x:c>
      <x:c r="I15" s="44" t="n">
        <x:v>103709.60884329853</x:v>
      </x:c>
      <x:c r="J15" s="47" t="n">
        <x:v>0.029481491870684173</x:v>
      </x:c>
      <x:c r="K15" s="44" t="n">
        <x:v>2847441.958328594</x:v>
      </x:c>
      <x:c r="L15" s="47" t="n">
        <x:v>0.8094412647293858</x:v>
      </x:c>
      <x:c r="M15" s="50" t="n">
        <x:v>1.0640907137529112</x:v>
      </x:c>
    </x:row>
    <x:row r="16" ht="15" hidden="0" customHeight="1">
      <x:c r="A16" s="27" t="str">
        <x:v>SCA-12</x:v>
      </x:c>
      <x:c r="B16" s="43" t="n">
        <x:v>7465186</x:v>
      </x:c>
      <x:c r="C16" s="43" t="n">
        <x:v>65007.552150498435</x:v>
      </x:c>
      <x:c r="D16" s="46" t="n">
        <x:v>0.008708095438010313</x:v>
      </x:c>
      <x:c r="E16" s="43" t="n">
        <x:v>874597.08245291</x:v>
      </x:c>
      <x:c r="F16" s="46" t="n">
        <x:v>0.11715677043450896</x:v>
      </x:c>
      <x:c r="G16" s="43" t="n">
        <x:v>44100.422068834436</x:v>
      </x:c>
      <x:c r="H16" s="46" t="n">
        <x:v>0.0059074780010617885</x:v>
      </x:c>
      <x:c r="I16" s="43" t="n">
        <x:v>206627.9636703677</x:v>
      </x:c>
      <x:c r="J16" s="46" t="n">
        <x:v>0.027678876811692</x:v>
      </x:c>
      <x:c r="K16" s="43" t="n">
        <x:v>6274852.979657387</x:v>
      </x:c>
      <x:c r="L16" s="46" t="n">
        <x:v>0.8405487793147269</x:v>
      </x:c>
      <x:c r="M16" s="49" t="n">
        <x:v>1.05366234837147</x:v>
      </x:c>
    </x:row>
    <x:row r="17" ht="15" hidden="0" customHeight="1">
      <x:c r="A17" s="29" t="str">
        <x:v>SCA-13</x:v>
      </x:c>
      <x:c r="B17" s="44" t="n">
        <x:v>6759014</x:v>
      </x:c>
      <x:c r="C17" s="44" t="n">
        <x:v>60194.3406951971</x:v>
      </x:c>
      <x:c r="D17" s="47" t="n">
        <x:v>0.00890578724873141</x:v>
      </x:c>
      <x:c r="E17" s="44" t="n">
        <x:v>875329.8037407179</x:v>
      </x:c>
      <x:c r="F17" s="47" t="n">
        <x:v>0.12950554677660348</x:v>
      </x:c>
      <x:c r="G17" s="44" t="n">
        <x:v>58301.83406016821</x:v>
      </x:c>
      <x:c r="H17" s="47" t="n">
        <x:v>0.008625789806052804</x:v>
      </x:c>
      <x:c r="I17" s="44" t="n">
        <x:v>186787.26704645468</x:v>
      </x:c>
      <x:c r="J17" s="47" t="n">
        <x:v>0.027635283348496485</x:v>
      </x:c>
      <x:c r="K17" s="44" t="n">
        <x:v>5578400.7544574635</x:v>
      </x:c>
      <x:c r="L17" s="47" t="n">
        <x:v>0.8253275928201158</x:v>
      </x:c>
      <x:c r="M17" s="50" t="n">
        <x:v>1.0587214149166029</x:v>
      </x:c>
    </x:row>
    <x:row r="18" ht="15" hidden="0" customHeight="1">
      <x:c r="A18" s="27" t="str">
        <x:v>SCA-14</x:v>
      </x:c>
      <x:c r="B18" s="43" t="n">
        <x:v>2179728</x:v>
      </x:c>
      <x:c r="C18" s="43" t="n">
        <x:v>19386.588712056568</x:v>
      </x:c>
      <x:c r="D18" s="46" t="n">
        <x:v>0.00889404031698293</x:v>
      </x:c>
      <x:c r="E18" s="43" t="n">
        <x:v>281672.343679162</x:v>
      </x:c>
      <x:c r="F18" s="46" t="n">
        <x:v>0.1292236204146398</x:v>
      </x:c>
      <x:c r="G18" s="43" t="n">
        <x:v>18801.875562367884</x:v>
      </x:c>
      <x:c r="H18" s="46" t="n">
        <x:v>0.008625789806052813</x:v>
      </x:c>
      <x:c r="I18" s="43" t="n">
        <x:v>68894.12031517847</x:v>
      </x:c>
      <x:c r="J18" s="46" t="n">
        <x:v>0.03160675107865682</x:v>
      </x:c>
      <x:c r="K18" s="43" t="n">
        <x:v>1790973.071731235</x:v>
      </x:c>
      <x:c r="L18" s="46" t="n">
        <x:v>0.8216497983836676</x:v>
      </x:c>
      <x:c r="M18" s="49" t="n">
        <x:v>1.059008140531183</x:v>
      </x:c>
    </x:row>
    <x:row r="19" ht="15" hidden="0" customHeight="1">
      <x:c r="A19" s="29" t="str">
        <x:v>SCA-15</x:v>
      </x:c>
      <x:c r="B19" s="44" t="n">
        <x:v>13192386</x:v>
      </x:c>
      <x:c r="C19" s="44" t="n">
        <x:v>118575.50500930796</x:v>
      </x:c>
      <x:c r="D19" s="47" t="n">
        <x:v>0.008988177347851104</x:v>
      </x:c>
      <x:c r="E19" s="44" t="n">
        <x:v>1628217.300834282</x:v>
      </x:c>
      <x:c r="F19" s="47" t="n">
        <x:v>0.12342098698706079</x:v>
      </x:c>
      <x:c r="G19" s="44" t="n">
        <x:v>117338.54184196488</x:v>
      </x:c>
      <x:c r="H19" s="47" t="n">
        <x:v>0.008894413932549044</x:v>
      </x:c>
      <x:c r="I19" s="44" t="n">
        <x:v>352198.35330642306</x:v>
      </x:c>
      <x:c r="J19" s="47" t="n">
        <x:v>0.026697092800834002</x:v>
      </x:c>
      <x:c r="K19" s="44" t="n">
        <x:v>10976056.299008014</x:v>
      </x:c>
      <x:c r="L19" s="47" t="n">
        <x:v>0.831999328931705</x:v>
      </x:c>
      <x:c r="M19" s="50" t="n">
        <x:v>1.0566341148599154</x:v>
      </x:c>
    </x:row>
    <x:row r="20" ht="15" hidden="0" customHeight="1">
      <x:c r="A20" s="27" t="str">
        <x:v>SCA-16</x:v>
      </x:c>
      <x:c r="B20" s="43" t="n">
        <x:v>10177969</x:v>
      </x:c>
      <x:c r="C20" s="43" t="n">
        <x:v>122670.81146627091</x:v>
      </x:c>
      <x:c r="D20" s="46" t="n">
        <x:v>0.0120525825404136</x:v>
      </x:c>
      <x:c r="E20" s="43" t="n">
        <x:v>1376200.3993534807</x:v>
      </x:c>
      <x:c r="F20" s="46" t="n">
        <x:v>0.1352136560205165</x:v>
      </x:c>
      <x:c r="G20" s="43" t="n">
        <x:v>76517.25848878137</x:v>
      </x:c>
      <x:c r="H20" s="46" t="n">
        <x:v>0.0075179300004530715</x:v>
      </x:c>
      <x:c r="I20" s="43" t="n">
        <x:v>293301.3377133496</x:v>
      </x:c>
      <x:c r="J20" s="46" t="n">
        <x:v>0.028817275599223136</x:v>
      </x:c>
      <x:c r="K20" s="43" t="n">
        <x:v>8309279.192978121</x:v>
      </x:c>
      <x:c r="L20" s="46" t="n">
        <x:v>0.8163985558393937</x:v>
      </x:c>
      <x:c r="M20" s="49" t="n">
        <x:v>1.0637626757076073</x:v>
      </x:c>
    </x:row>
    <x:row r="21" ht="15" hidden="0" customHeight="1">
      <x:c r="A21" s="29" t="str">
        <x:v>SCA-17</x:v>
      </x:c>
      <x:c r="B21" s="44" t="n">
        <x:v>12843509</x:v>
      </x:c>
      <x:c r="C21" s="44" t="n">
        <x:v>117038.08550890672</x:v>
      </x:c>
      <x:c r="D21" s="47" t="n">
        <x:v>0.009112625335405352</x:v>
      </x:c>
      <x:c r="E21" s="44" t="n">
        <x:v>1580233.5898613157</x:v>
      </x:c>
      <x:c r="F21" s="47" t="n">
        <x:v>0.12303752735029927</x:v>
      </x:c>
      <x:c r="G21" s="44" t="n">
        <x:v>121127.293281269</x:v>
      </x:c>
      <x:c r="H21" s="47" t="n">
        <x:v>0.009431012450045306</x:v>
      </x:c>
      <x:c r="I21" s="44" t="n">
        <x:v>473179.99007352366</x:v>
      </x:c>
      <x:c r="J21" s="47" t="n">
        <x:v>0.03684195573604716</x:v>
      </x:c>
      <x:c r="K21" s="44" t="n">
        <x:v>10551930.041274993</x:v>
      </x:c>
      <x:c r="L21" s="47" t="n">
        <x:v>0.821576879128203</x:v>
      </x:c>
      <x:c r="M21" s="50" t="n">
        <x:v>1.0577461579716239</x:v>
      </x:c>
    </x:row>
    <x:row r="22" ht="15" hidden="0" customHeight="1">
      <x:c r="A22" s="27" t="str">
        <x:v>SCA-18</x:v>
      </x:c>
      <x:c r="B22" s="43" t="n">
        <x:v>11004680</x:v>
      </x:c>
      <x:c r="C22" s="43" t="n">
        <x:v>131241.71132320375</x:v>
      </x:c>
      <x:c r="D22" s="46" t="n">
        <x:v>0.011925990698793961</x:v>
      </x:c>
      <x:c r="E22" s="43" t="n">
        <x:v>1274460.5045350615</x:v>
      </x:c>
      <x:c r="F22" s="46" t="n">
        <x:v>0.11581077364676332</x:v>
      </x:c>
      <x:c r="G22" s="43" t="n">
        <x:v>46222.86523965107</x:v>
      </x:c>
      <x:c r="H22" s="46" t="n">
        <x:v>0.004200291624986018</x:v>
      </x:c>
      <x:c r="I22" s="43" t="n">
        <x:v>355092.0832433209</x:v>
      </x:c>
      <x:c r="J22" s="46" t="n">
        <x:v>0.03226737017735376</x:v>
      </x:c>
      <x:c r="K22" s="43" t="n">
        <x:v>9197662.835658748</x:v>
      </x:c>
      <x:c r="L22" s="46" t="n">
        <x:v>0.8357955738521029</x:v>
      </x:c>
      <x:c r="M22" s="49" t="n">
        <x:v>1.0565265568178936</x:v>
      </x:c>
    </x:row>
    <x:row r="23" ht="15" hidden="0" customHeight="1">
      <x:c r="A23" s="29" t="str">
        <x:v>SCA-19</x:v>
      </x:c>
      <x:c r="B23" s="44" t="n">
        <x:v>6677653</x:v>
      </x:c>
      <x:c r="C23" s="44" t="n">
        <x:v>87665.2256432777</x:v>
      </x:c>
      <x:c r="D23" s="47" t="n">
        <x:v>0.013128149312831586</x:v>
      </x:c>
      <x:c r="E23" s="44" t="n">
        <x:v>980626.8006919492</x:v>
      </x:c>
      <x:c r="F23" s="47" t="n">
        <x:v>0.14685201532513745</x:v>
      </x:c>
      <x:c r="G23" s="44" t="n">
        <x:v>37934.805165439044</x:v>
      </x:c>
      <x:c r="H23" s="47" t="n">
        <x:v>0.005680859003221503</x:v>
      </x:c>
      <x:c r="I23" s="44" t="n">
        <x:v>243293.99628605662</x:v>
      </x:c>
      <x:c r="J23" s="47" t="n">
        <x:v>0.036434057937131024</x:v>
      </x:c>
      <x:c r="K23" s="44" t="n">
        <x:v>5328132.172213272</x:v>
      </x:c>
      <x:c r="L23" s="47" t="n">
        <x:v>0.7979049184216785</x:v>
      </x:c>
      <x:c r="M23" s="50" t="n">
        <x:v>1.0693059322709872</x:v>
      </x:c>
    </x:row>
    <x:row r="24" ht="15" hidden="0" customHeight="1">
      <x:c r="A24" s="27" t="str">
        <x:v>SCA-20</x:v>
      </x:c>
      <x:c r="B24" s="43" t="n">
        <x:v>8490774</x:v>
      </x:c>
      <x:c r="C24" s="43" t="n">
        <x:v>109268.35097583782</x:v>
      </x:c>
      <x:c r="D24" s="46" t="n">
        <x:v>0.01286906835299559</x:v>
      </x:c>
      <x:c r="E24" s="43" t="n">
        <x:v>1450490.2471586464</x:v>
      </x:c>
      <x:c r="F24" s="46" t="n">
        <x:v>0.17083133376988313</x:v>
      </x:c>
      <x:c r="G24" s="43" t="n">
        <x:v>76784.5299585456</x:v>
      </x:c>
      <x:c r="H24" s="46" t="n">
        <x:v>0.009043289805917053</x:v>
      </x:c>
      <x:c r="I24" s="43" t="n">
        <x:v>293387.849879349</x:v>
      </x:c>
      <x:c r="J24" s="46" t="n">
        <x:v>0.034553722649943205</x:v>
      </x:c>
      <x:c r="K24" s="43" t="n">
        <x:v>6560843.022027625</x:v>
      </x:c>
      <x:c r="L24" s="46" t="n">
        <x:v>0.772702585421261</x:v>
      </x:c>
      <x:c r="M24" s="49" t="n">
        <x:v>1.0779240653986324</x:v>
      </x:c>
    </x:row>
    <x:row r="25" ht="15" hidden="0" customHeight="1">
      <x:c r="A25" s="29" t="str">
        <x:v>SCA-21</x:v>
      </x:c>
      <x:c r="B25" s="44" t="n">
        <x:v>19593580</x:v>
      </x:c>
      <x:c r="C25" s="44" t="n">
        <x:v>214399.44269873318</x:v>
      </x:c>
      <x:c r="D25" s="47" t="n">
        <x:v>0.010942331248231987</x:v>
      </x:c>
      <x:c r="E25" s="44" t="n">
        <x:v>2238834.5229318324</x:v>
      </x:c>
      <x:c r="F25" s="47" t="n">
        <x:v>0.1142636783544321</x:v>
      </x:c>
      <x:c r="G25" s="44" t="n">
        <x:v>104286.82682381697</x:v>
      </x:c>
      <x:c r="H25" s="47" t="n">
        <x:v>0.005322499860863457</x:v>
      </x:c>
      <x:c r="I25" s="44" t="n">
        <x:v>1025245.053592215</x:v>
      </x:c>
      <x:c r="J25" s="47" t="n">
        <x:v>0.05232556039234359</x:v>
      </x:c>
      <x:c r="K25" s="44" t="n">
        <x:v>16010814.15395339</x:v>
      </x:c>
      <x:c r="L25" s="47" t="n">
        <x:v>0.8171459301441288</x:v>
      </x:c>
      <x:c r="M25" s="50" t="n">
        <x:v>1.0572316746836903</x:v>
      </x:c>
    </x:row>
    <x:row r="26" ht="15" hidden="0" customHeight="1">
      <x:c r="A26" s="27" t="str">
        <x:v>SCA-22</x:v>
      </x:c>
      <x:c r="B26" s="43" t="n">
        <x:v>14732006</x:v>
      </x:c>
      <x:c r="C26" s="43" t="n">
        <x:v>179970.30163814157</x:v>
      </x:c>
      <x:c r="D26" s="46" t="n">
        <x:v>0.012216279414910734</x:v>
      </x:c>
      <x:c r="E26" s="43" t="n">
        <x:v>2186490.7152872165</x:v>
      </x:c>
      <x:c r="F26" s="46" t="n">
        <x:v>0.1484177182175472</x:v>
      </x:c>
      <x:c r="G26" s="43" t="n">
        <x:v>105849.37939907153</x:v>
      </x:c>
      <x:c r="H26" s="46" t="n">
        <x:v>0.007184994317750852</x:v>
      </x:c>
      <x:c r="I26" s="43" t="n">
        <x:v>497880.13159431476</x:v>
      </x:c>
      <x:c r="J26" s="46" t="n">
        <x:v>0.03379581379442246</x:v>
      </x:c>
      <x:c r="K26" s="43" t="n">
        <x:v>11761815.472081266</x:v>
      </x:c>
      <x:c r="L26" s="46" t="n">
        <x:v>0.7983851942553687</x:v>
      </x:c>
      <x:c r="M26" s="49" t="n">
        <x:v>1.0689790610340446</x:v>
      </x:c>
    </x:row>
    <x:row r="27" ht="15" hidden="0" customHeight="1">
      <x:c r="A27" s="29" t="str">
        <x:v>SCA-23</x:v>
      </x:c>
      <x:c r="B27" s="44" t="n">
        <x:v>20869310</x:v>
      </x:c>
      <x:c r="C27" s="44" t="n">
        <x:v>207945.97124473823</x:v>
      </x:c>
      <x:c r="D27" s="47" t="n">
        <x:v>0.009964199642668503</x:v>
      </x:c>
      <x:c r="E27" s="44" t="n">
        <x:v>2882610.8512913547</x:v>
      </x:c>
      <x:c r="F27" s="47" t="n">
        <x:v>0.13812679246661028</x:v>
      </x:c>
      <x:c r="G27" s="44" t="n">
        <x:v>161802.85694705174</x:v>
      </x:c>
      <x:c r="H27" s="47" t="n">
        <x:v>0.007753148376589918</x:v>
      </x:c>
      <x:c r="I27" s="44" t="n">
        <x:v>609641.1844741418</x:v>
      </x:c>
      <x:c r="J27" s="47" t="n">
        <x:v>0.029212330665179722</x:v>
      </x:c>
      <x:c r="K27" s="44" t="n">
        <x:v>17007309.136042714</x:v>
      </x:c>
      <x:c r="L27" s="47" t="n">
        <x:v>0.8149435288489516</x:v>
      </x:c>
      <x:c r="M27" s="50" t="n">
        <x:v>1.062780439747818</x:v>
      </x:c>
    </x:row>
    <x:row r="28" ht="15" hidden="0" customHeight="1">
      <x:c r="A28" s="27" t="str">
        <x:v>SCA-24</x:v>
      </x:c>
      <x:c r="B28" s="43" t="n">
        <x:v>11816161</x:v>
      </x:c>
      <x:c r="C28" s="43" t="n">
        <x:v>127778.81410413228</x:v>
      </x:c>
      <x:c r="D28" s="46" t="n">
        <x:v>0.010813902595278818</x:v>
      </x:c>
      <x:c r="E28" s="43" t="n">
        <x:v>1619251.9222551049</x:v>
      </x:c>
      <x:c r="F28" s="46" t="n">
        <x:v>0.13703705647334236</x:v>
      </x:c>
      <x:c r="G28" s="43" t="n">
        <x:v>67179.27445640332</x:v>
      </x:c>
      <x:c r="H28" s="46" t="n">
        <x:v>0.005685372301240932</x:v>
      </x:c>
      <x:c r="I28" s="43" t="n">
        <x:v>451888.44343178265</x:v>
      </x:c>
      <x:c r="J28" s="46" t="n">
        <x:v>0.03824325374643955</x:v>
      </x:c>
      <x:c r="K28" s="43" t="n">
        <x:v>9550062.545752572</x:v>
      </x:c>
      <x:c r="L28" s="46" t="n">
        <x:v>0.8082204148836983</x:v>
      </x:c>
      <x:c r="M28" s="49" t="n">
        <x:v>1.0637382721958408</x:v>
      </x:c>
    </x:row>
    <x:row r="29" ht="15" hidden="0" customHeight="1">
      <x:c r="A29" s="29" t="str">
        <x:v>SCA-25</x:v>
      </x:c>
      <x:c r="B29" s="44" t="n">
        <x:v>6408394</x:v>
      </x:c>
      <x:c r="C29" s="44" t="n">
        <x:v>69088.53399506844</x:v>
      </x:c>
      <x:c r="D29" s="47" t="n">
        <x:v>0.010780943555447503</x:v>
      </x:c>
      <x:c r="E29" s="44" t="n">
        <x:v>948084.4294749027</x:v>
      </x:c>
      <x:c r="F29" s="47" t="n">
        <x:v>0.14794415410084066</x:v>
      </x:c>
      <x:c r="G29" s="44" t="n">
        <x:v>44799.77022338564</x:v>
      </x:c>
      <x:c r="H29" s="47" t="n">
        <x:v>0.006990795232531839</x:v>
      </x:c>
      <x:c r="I29" s="44" t="n">
        <x:v>207604.38257867357</x:v>
      </x:c>
      <x:c r="J29" s="47" t="n">
        <x:v>0.03239569579814749</x:v>
      </x:c>
      <x:c r="K29" s="44" t="n">
        <x:v>5138816.88372797</x:v>
      </x:c>
      <x:c r="L29" s="47" t="n">
        <x:v>0.8018884113130325</x:v>
      </x:c>
      <x:c r="M29" s="50" t="n">
        <x:v>1.0671991261170628</x:v>
      </x:c>
    </x:row>
    <x:row r="30" ht="15" hidden="0" customHeight="1">
      <x:c r="A30" s="27" t="str">
        <x:v>SCA-26</x:v>
      </x:c>
      <x:c r="B30" s="43" t="n">
        <x:v>10737083</x:v>
      </x:c>
      <x:c r="C30" s="43" t="n">
        <x:v>116187.13840527563</x:v>
      </x:c>
      <x:c r="D30" s="46" t="n">
        <x:v>0.01082110834062432</x:v>
      </x:c>
      <x:c r="E30" s="43" t="n">
        <x:v>1493941.5354677618</x:v>
      </x:c>
      <x:c r="F30" s="46" t="n">
        <x:v>0.13913849184808957</x:v>
      </x:c>
      <x:c r="G30" s="43" t="n">
        <x:v>69539.80885861522</x:v>
      </x:c>
      <x:c r="H30" s="46" t="n">
        <x:v>0.006476601592687249</x:v>
      </x:c>
      <x:c r="I30" s="43" t="n">
        <x:v>295019.60590301146</x:v>
      </x:c>
      <x:c r="J30" s="46" t="n">
        <x:v>0.027476699761286315</x:v>
      </x:c>
      <x:c r="K30" s="43" t="n">
        <x:v>8762394.91136534</x:v>
      </x:c>
      <x:c r="L30" s="46" t="n">
        <x:v>0.8160870984573125</x:v>
      </x:c>
      <x:c r="M30" s="49" t="n">
        <x:v>1.0635625707821217</x:v>
      </x:c>
    </x:row>
    <x:row r="31" ht="15" hidden="0" customHeight="1">
      <x:c r="A31" s="29" t="str">
        <x:v>SCA-27</x:v>
      </x:c>
      <x:c r="B31" s="44" t="n">
        <x:v>7505606</x:v>
      </x:c>
      <x:c r="C31" s="44" t="n">
        <x:v>71930.4562215605</x:v>
      </x:c>
      <x:c r="D31" s="47" t="n">
        <x:v>0.009583564101494337</x:v>
      </x:c>
      <x:c r="E31" s="44" t="n">
        <x:v>821394.2320504652</x:v>
      </x:c>
      <x:c r="F31" s="47" t="n">
        <x:v>0.1094374301089699</x:v>
      </x:c>
      <x:c r="G31" s="44" t="n">
        <x:v>48610.81977368297</x:v>
      </x:c>
      <x:c r="H31" s="47" t="n">
        <x:v>0.0064766015926872485</x:v>
      </x:c>
      <x:c r="I31" s="44" t="n">
        <x:v>304798.05752394814</x:v>
      </x:c>
      <x:c r="J31" s="47" t="n">
        <x:v>0.04060938684017628</x:v>
      </x:c>
      <x:c r="K31" s="44" t="n">
        <x:v>6258872.434430343</x:v>
      </x:c>
      <x:c r="L31" s="47" t="n">
        <x:v>0.8338930173566722</x:v>
      </x:c>
      <x:c r="M31" s="50" t="n">
        <x:v>1.053242923642189</x:v>
      </x:c>
    </x:row>
    <x:row r="32" ht="15" hidden="0" customHeight="1">
      <x:c r="A32" s="27" t="str">
        <x:v>SCA-28</x:v>
      </x:c>
      <x:c r="B32" s="43" t="n">
        <x:v>21305157</x:v>
      </x:c>
      <x:c r="C32" s="43" t="n">
        <x:v>243274.2909869644</x:v>
      </x:c>
      <x:c r="D32" s="46" t="n">
        <x:v>0.011418563636351724</x:v>
      </x:c>
      <x:c r="E32" s="43" t="n">
        <x:v>2771381.7157955547</x:v>
      </x:c>
      <x:c r="F32" s="46" t="n">
        <x:v>0.13008032354774737</x:v>
      </x:c>
      <x:c r="G32" s="43" t="n">
        <x:v>129635.14674659536</x:v>
      </x:c>
      <x:c r="H32" s="46" t="n">
        <x:v>0.006084683945140388</x:v>
      </x:c>
      <x:c r="I32" s="43" t="n">
        <x:v>1131163.072091563</x:v>
      </x:c>
      <x:c r="J32" s="46" t="n">
        <x:v>0.053093392932592</x:v>
      </x:c>
      <x:c r="K32" s="43" t="n">
        <x:v>17029702.77437932</x:v>
      </x:c>
      <x:c r="L32" s="46" t="n">
        <x:v>0.7993230359381684</x:v>
      </x:c>
      <x:c r="M32" s="49" t="n">
        <x:v>1.0634729529603504</x:v>
      </x:c>
    </x:row>
    <x:row r="33" ht="15" hidden="0" customHeight="1">
      <x:c r="A33" s="29" t="str">
        <x:v>SCA-29</x:v>
      </x:c>
      <x:c r="B33" s="44" t="n">
        <x:v>19271685</x:v>
      </x:c>
      <x:c r="C33" s="44" t="n">
        <x:v>190107.45119455684</x:v>
      </x:c>
      <x:c r="D33" s="47" t="n">
        <x:v>0.009864599343262247</x:v>
      </x:c>
      <x:c r="E33" s="44" t="n">
        <x:v>2581413.9624184472</x:v>
      </x:c>
      <x:c r="F33" s="47" t="n">
        <x:v>0.13394853446486116</x:v>
      </x:c>
      <x:c r="G33" s="44" t="n">
        <x:v>114345.68529695056</x:v>
      </x:c>
      <x:c r="H33" s="47" t="n">
        <x:v>0.005933351717659903</x:v>
      </x:c>
      <x:c r="I33" s="44" t="n">
        <x:v>601999.552415426</x:v>
      </x:c>
      <x:c r="J33" s="47" t="n">
        <x:v>0.031237515163589802</x:v>
      </x:c>
      <x:c r="K33" s="44" t="n">
        <x:v>15783818.348674616</x:v>
      </x:c>
      <x:c r="L33" s="47" t="n">
        <x:v>0.8190159993106269</x:v>
      </x:c>
      <x:c r="M33" s="50" t="n">
        <x:v>1.0610570082658548</x:v>
      </x:c>
    </x:row>
    <x:row r="34" ht="15" hidden="0" customHeight="1">
      <x:c r="A34" s="27" t="str">
        <x:v>SCA-30</x:v>
      </x:c>
      <x:c r="B34" s="43" t="n">
        <x:v>41291847</x:v>
      </x:c>
      <x:c r="C34" s="43" t="n">
        <x:v>423319.3531260251</x:v>
      </x:c>
      <x:c r="D34" s="46" t="n">
        <x:v>0.01025188708865518</x:v>
      </x:c>
      <x:c r="E34" s="43" t="n">
        <x:v>4830767.685055266</x:v>
      </x:c>
      <x:c r="F34" s="46" t="n">
        <x:v>0.11699083562562038</x:v>
      </x:c>
      <x:c r="G34" s="43" t="n">
        <x:v>178659.80620000622</x:v>
      </x:c>
      <x:c r="H34" s="46" t="n">
        <x:v>0.0043267574395499</x:v>
      </x:c>
      <x:c r="I34" s="43" t="n">
        <x:v>5215333.062696625</x:v>
      </x:c>
      <x:c r="J34" s="46" t="n">
        <x:v>0.12630418452089645</x:v>
      </x:c>
      <x:c r="K34" s="43" t="n">
        <x:v>30643767.092922077</x:v>
      </x:c>
      <x:c r="L34" s="46" t="n">
        <x:v>0.742126335325278</x:v>
      </x:c>
      <x:c r="M34" s="49" t="n">
        <x:v>1.0646944494976218</x:v>
      </x:c>
    </x:row>
    <x:row r="35" ht="15" hidden="0" customHeight="1">
      <x:c r="A35" s="29" t="str">
        <x:v>SCA-31</x:v>
      </x:c>
      <x:c r="B35" s="44" t="n">
        <x:v>14227128</x:v>
      </x:c>
      <x:c r="C35" s="44" t="n">
        <x:v>161160.7851664597</x:v>
      </x:c>
      <x:c r="D35" s="47" t="n">
        <x:v>0.011327710354926145</x:v>
      </x:c>
      <x:c r="E35" s="44" t="n">
        <x:v>1811979.2609374917</x:v>
      </x:c>
      <x:c r="F35" s="47" t="n">
        <x:v>0.1273608602479356</x:v>
      </x:c>
      <x:c r="G35" s="44" t="n">
        <x:v>45019.60984372595</x:v>
      </x:c>
      <x:c r="H35" s="47" t="n">
        <x:v>0.0031643498142229372</x:v>
      </x:c>
      <x:c r="I35" s="44" t="n">
        <x:v>759978.5435248247</x:v>
      </x:c>
      <x:c r="J35" s="47" t="n">
        <x:v>0.053417565620048166</x:v>
      </x:c>
      <x:c r="K35" s="44" t="n">
        <x:v>11448989.800527498</x:v>
      </x:c>
      <x:c r="L35" s="47" t="n">
        <x:v>0.8047295139628672</x:v>
      </x:c>
      <x:c r="M35" s="50" t="n">
        <x:v>1.061878637966553</x:v>
      </x:c>
    </x:row>
    <x:row r="36" ht="15" hidden="0" customHeight="1">
      <x:c r="A36" s="27" t="str">
        <x:v>SCA-32</x:v>
      </x:c>
      <x:c r="B36" s="43" t="n">
        <x:v>3184835</x:v>
      </x:c>
      <x:c r="C36" s="43" t="n">
        <x:v>40418.106562197136</x:v>
      </x:c>
      <x:c r="D36" s="46" t="n">
        <x:v>0.012690800798847397</x:v>
      </x:c>
      <x:c r="E36" s="43" t="n">
        <x:v>701375.9652802987</x:v>
      </x:c>
      <x:c r="F36" s="46" t="n">
        <x:v>0.22022364275709697</x:v>
      </x:c>
      <x:c r="G36" s="43" t="n">
        <x:v>11820.379357692787</x:v>
      </x:c>
      <x:c r="H36" s="46" t="n">
        <x:v>0.0037114573777582796</x:v>
      </x:c>
      <x:c r="I36" s="43" t="n">
        <x:v>192633.556753596</x:v>
      </x:c>
      <x:c r="J36" s="46" t="n">
        <x:v>0.060484626912727366</x:v>
      </x:c>
      <x:c r="K36" s="43" t="n">
        <x:v>2238586.9920462146</x:v>
      </x:c>
      <x:c r="L36" s="46" t="n">
        <x:v>0.70288947215357</x:v>
      </x:c>
      <x:c r="M36" s="49" t="n">
        <x:v>1.0965598299306558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9" customHeight="1">
      <x:c r="A1" s="83" t="str">
        <x:v>National movement-place demand</x:v>
      </x:c>
      <x:c r="B1" s="83"/>
      <x:c r="C1" s="83"/>
      <x:c r="D1" s="83"/>
      <x:c r="E1" s="83"/>
      <x:c r="F1" s="83"/>
      <x:c r="G1" s="83"/>
      <x:c r="H1" s="83"/>
    </x:row>
    <x:row r="2" ht="31" customHeight="1">
      <x:c r="A2" s="84" t="str">
        <x:v>A 2.5M-person campaign requires more than 2.5M nominal seats once accessible, clinical and custody burdens are recognized.</x:v>
      </x:c>
      <x:c r="B2" s="84"/>
      <x:c r="C2" s="84"/>
      <x:c r="D2" s="84"/>
      <x:c r="E2" s="84"/>
      <x:c r="F2" s="84"/>
      <x:c r="G2" s="84"/>
      <x:c r="H2" s="84"/>
    </x:row>
    <x:row r="3">
      <x:c r="A3" s="85"/>
      <x:c r="B3" s="85"/>
      <x:c r="C3" s="85"/>
      <x:c r="D3" s="85"/>
      <x:c r="E3" s="85"/>
      <x:c r="F3" s="85"/>
      <x:c r="G3" s="85"/>
      <x:c r="H3" s="85"/>
    </x:row>
    <x:row r="4" ht="32" customHeight="1">
      <x:c r="A4" s="86" t="str">
        <x:v>Cohort</x:v>
      </x:c>
      <x:c r="B4" s="87" t="str">
        <x:v>People</x:v>
      </x:c>
      <x:c r="C4" s="87" t="str">
        <x:v>Share</x:v>
      </x:c>
      <x:c r="D4" s="87" t="str">
        <x:v>Places/person</x:v>
      </x:c>
      <x:c r="E4" s="87" t="str">
        <x:v>Demand CDE</x:v>
      </x:c>
      <x:c r="F4" s="87" t="str">
        <x:v>Movement-place CDE</x:v>
      </x:c>
      <x:c r="G4" s="87" t="str">
        <x:v>Additional places</x:v>
      </x:c>
      <x:c r="H4" s="88" t="str">
        <x:v>Priority</x:v>
      </x:c>
    </x:row>
    <x:row r="5" ht="32.400001525878906" hidden="0" customHeight="1">
      <x:c r="A5" s="28" t="str">
        <x:v>Clinical-continuity movement</x:v>
      </x:c>
      <x:c r="B5" s="42" t="n">
        <x:v>3488014.736698234</x:v>
      </x:c>
      <x:c r="C5" s="45" t="n">
        <x:f>B5/SUM(B$5:B$9)</x:f>
        <x:v>0.010111075893293934</x:v>
      </x:c>
      <x:c r="D5" s="39" t="n">
        <x:v>2</x:v>
      </x:c>
      <x:c r="E5" s="51" t="n">
        <x:f>C5*Controls!C8</x:f>
        <x:v>25.277689733234837</x:v>
      </x:c>
      <x:c r="F5" s="51" t="n">
        <x:f>E5*D5</x:f>
        <x:v>50.555379466469674</x:v>
      </x:c>
      <x:c r="G5" s="51" t="n">
        <x:f>F5-E5</x:f>
        <x:v>25.277689733234837</x:v>
      </x:c>
      <x:c r="H5" s="28" t="n">
        <x:v>1</x:v>
      </x:c>
    </x:row>
    <x:row r="6" ht="32.400001525878906" hidden="0" customHeight="1">
      <x:c r="A6" s="27" t="str">
        <x:v>Accessible-support movement</x:v>
      </x:c>
      <x:c r="B6" s="43" t="n">
        <x:v>44333968.96473535</x:v>
      </x:c>
      <x:c r="C6" s="46" t="n">
        <x:f>B6/SUM(B$5:B$9)</x:f>
        <x:v>0.12851554786655098</x:v>
      </x:c>
      <x:c r="D6" s="40" t="n">
        <x:v>1.35</x:v>
      </x:c>
      <x:c r="E6" s="52" t="n">
        <x:f>C6*Controls!C8</x:f>
        <x:v>321.2888696663774</x:v>
      </x:c>
      <x:c r="F6" s="52" t="n">
        <x:f>E6*D6</x:f>
        <x:v>433.73997404960954</x:v>
      </x:c>
      <x:c r="G6" s="52" t="n">
        <x:f>F6-E6</x:f>
        <x:v>112.45110438323212</x:v>
      </x:c>
      <x:c r="H6" s="27" t="n">
        <x:v>2</x:v>
      </x:c>
    </x:row>
    <x:row r="7" ht="32.400001525878906" hidden="0" customHeight="1">
      <x:c r="A7" s="29" t="str">
        <x:v>Institutional/custodial continuity</x:v>
      </x:c>
      <x:c r="B7" s="44" t="n">
        <x:v>2078138.6734401258</x:v>
      </x:c>
      <x:c r="C7" s="47" t="n">
        <x:f>B7/SUM(B$5:B$9)</x:f>
        <x:v>0.006024119572336591</x:v>
      </x:c>
      <x:c r="D7" s="41" t="n">
        <x:v>1.2</x:v>
      </x:c>
      <x:c r="E7" s="53" t="n">
        <x:f>C7*Controls!C8</x:f>
        <x:v>15.060298930841478</x:v>
      </x:c>
      <x:c r="F7" s="53" t="n">
        <x:f>E7*D7</x:f>
        <x:v>18.072358717009774</x:v>
      </x:c>
      <x:c r="G7" s="53" t="n">
        <x:f>F7-E7</x:f>
        <x:v>3.0120597861682956</x:v>
      </x:c>
      <x:c r="H7" s="29" t="n">
        <x:v>3</x:v>
      </x:c>
    </x:row>
    <x:row r="8" ht="32.400001525878906" hidden="0" customHeight="1">
      <x:c r="A8" s="27" t="str">
        <x:v>No-household-vehicle movement</x:v>
      </x:c>
      <x:c r="B8" s="43" t="n">
        <x:v>16411746.799463652</x:v>
      </x:c>
      <x:c r="C8" s="46" t="n">
        <x:f>B8/SUM(B$5:B$9)</x:f>
        <x:v>0.04757445995998874</x:v>
      </x:c>
      <x:c r="D8" s="40" t="n">
        <x:v>1.1</x:v>
      </x:c>
      <x:c r="E8" s="52" t="n">
        <x:f>C8*Controls!C8</x:f>
        <x:v>118.93614989997185</x:v>
      </x:c>
      <x:c r="F8" s="52" t="n">
        <x:f>E8*D8</x:f>
        <x:v>130.82976488996906</x:v>
      </x:c>
      <x:c r="G8" s="52" t="n">
        <x:f>F8-E8</x:f>
        <x:v>11.893614989997204</x:v>
      </x:c>
      <x:c r="H8" s="27" t="n">
        <x:v>4</x:v>
      </x:c>
    </x:row>
    <x:row r="9" ht="32.400001525878906" hidden="0" customHeight="1">
      <x:c r="A9" s="29" t="str">
        <x:v>General household movement</x:v>
      </x:c>
      <x:c r="B9" s="44" t="n">
        <x:v>278657822.8256627</x:v>
      </x:c>
      <x:c r="C9" s="47" t="n">
        <x:f>B9/SUM(B$5:B$9)</x:f>
        <x:v>0.8077747967078297</x:v>
      </x:c>
      <x:c r="D9" s="41" t="n">
        <x:v>1</x:v>
      </x:c>
      <x:c r="E9" s="53" t="n">
        <x:f>C9*Controls!C8</x:f>
        <x:v>2019.4369917695742</x:v>
      </x:c>
      <x:c r="F9" s="53" t="n">
        <x:f>E9*D9</x:f>
        <x:v>2019.4369917695742</x:v>
      </x:c>
      <x:c r="G9" s="53" t="n">
        <x:f>F9-E9</x:f>
        <x:v>0</x:v>
      </x:c>
      <x:c r="H9" s="29" t="n">
        <x:v>5</x:v>
      </x:c>
    </x:row>
    <x:row r="10">
      <x:c r="A10" s="85"/>
      <x:c r="B10" s="85"/>
      <x:c r="C10" s="85"/>
      <x:c r="D10" s="85"/>
      <x:c r="E10" s="85"/>
      <x:c r="F10" s="85"/>
      <x:c r="G10" s="85"/>
      <x:c r="H10" s="85"/>
    </x:row>
    <x:row r="11" ht="23" customHeight="1">
      <x:c r="A11" s="89" t="str">
        <x:v>National totals</x:v>
      </x:c>
      <x:c r="B11" s="89"/>
      <x:c r="C11" s="89"/>
      <x:c r="D11" s="89"/>
      <x:c r="E11" s="89"/>
      <x:c r="F11" s="89"/>
      <x:c r="G11" s="89"/>
      <x:c r="H11" s="89"/>
    </x:row>
    <x:row r="12" ht="28" customHeight="1">
      <x:c r="A12" s="93" t="str">
        <x:v>People</x:v>
      </x:c>
      <x:c r="B12" s="94" t="n">
        <x:f>SUM(B5:B9)</x:f>
        <x:v>344969692.00000006</x:v>
      </x:c>
      <x:c r="C12" s="94" t="str">
        <x:v>Movement-place CDE</x:v>
      </x:c>
      <x:c r="D12" s="94" t="n">
        <x:f>SUM(F5:F9)</x:f>
        <x:v>2652.634468892632</x:v>
      </x:c>
      <x:c r="E12" s="94" t="str">
        <x:v>Demand-place multiplier</x:v>
      </x:c>
      <x:c r="F12" s="94" t="n">
        <x:f>D12/Controls!C8</x:f>
        <x:v>1.0610537875570527</x:v>
      </x:c>
      <x:c r="G12" s="94" t="str">
        <x:v>Extra places</x:v>
      </x:c>
      <x:c r="H12" s="94" t="n">
        <x:f>SUM(G5:G9)</x:f>
        <x:v>152.63446889263247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42" hidden="0" customWidth="1"/>
    <x:col min="5" max="5" width="42" hidden="0" customWidth="1"/>
    <x:col min="6" max="6" width="70" hidden="0" customWidth="1"/>
  </x:cols>
  <x:sheetData>
    <x:row r="1" ht="29" customHeight="1">
      <x:c r="A1" s="83" t="str">
        <x:v>Federal network services used</x:v>
      </x:c>
      <x:c r="B1" s="83"/>
      <x:c r="C1" s="83"/>
      <x:c r="D1" s="83"/>
      <x:c r="E1" s="83"/>
      <x:c r="F1" s="83"/>
    </x:row>
    <x:row r="2" ht="31" customHeight="1">
      <x:c r="A2" s="84" t="str">
        <x:v>Live federal feature services were read on 2026-09-05. Edit dates are provenance, not proof of completeness or availability.</x:v>
      </x:c>
      <x:c r="B2" s="84"/>
      <x:c r="C2" s="84"/>
      <x:c r="D2" s="84"/>
      <x:c r="E2" s="84"/>
      <x:c r="F2" s="84"/>
    </x:row>
    <x:row r="3">
      <x:c r="A3" s="85"/>
      <x:c r="B3" s="85"/>
      <x:c r="C3" s="85"/>
      <x:c r="D3" s="85"/>
      <x:c r="E3" s="85"/>
      <x:c r="F3" s="85"/>
    </x:row>
    <x:row r="4" ht="32" customHeight="1">
      <x:c r="A4" s="86" t="str">
        <x:v>Key</x:v>
      </x:c>
      <x:c r="B4" s="87" t="str">
        <x:v>Layer</x:v>
      </x:c>
      <x:c r="C4" s="87" t="str">
        <x:v>Last edit UTC</x:v>
      </x:c>
      <x:c r="D4" s="87" t="str">
        <x:v>Model role</x:v>
      </x:c>
      <x:c r="E4" s="87" t="str">
        <x:v>Current limitation</x:v>
      </x:c>
      <x:c r="F4" s="88" t="str">
        <x:v>URL</x:v>
      </x:c>
    </x:row>
    <x:row r="5" ht="118.80000305175781" hidden="0" customHeight="1">
      <x:c r="A5" s="28" t="str">
        <x:v>highway</x:v>
      </x:c>
      <x:c r="B5" s="28" t="str">
        <x:v>National Highway Planning Network</x:v>
      </x:c>
      <x:c r="C5" s="28" t="str">
        <x:v>2024-07-08</x:v>
      </x:c>
      <x:c r="D5" s="28" t="str">
        <x:v>major-road coverage gate</x:v>
      </x:c>
      <x:c r="E5" s="28" t="str">
        <x:v>2014-vintage NHPN service; coverage only</x:v>
      </x:c>
      <x:c r="F5" s="28" t="str">
        <x:v>https://services.arcgis.com/xOi1kZaI0eWDREZv/arcgis/rest/services/NTAD_National_Highway_Planning_Network/FeatureServer/0</x:v>
      </x:c>
    </x:row>
    <x:row r="6" ht="118.80000305175781" hidden="0" customHeight="1">
      <x:c r="A6" s="27" t="str">
        <x:v>rail</x:v>
      </x:c>
      <x:c r="B6" s="27" t="str">
        <x:v>North American Rail Network Lines</x:v>
      </x:c>
      <x:c r="C6" s="27" t="str">
        <x:v>2026-07-22</x:v>
      </x:c>
      <x:c r="D6" s="27" t="str">
        <x:v>rail coverage and shared-node topology</x:v>
      </x:c>
      <x:c r="E6" s="27" t="str">
        <x:v>presence/topology only; no disaster operability</x:v>
      </x:c>
      <x:c r="F6" s="27" t="str">
        <x:v>https://services.arcgis.com/xOi1kZaI0eWDREZv/arcgis/rest/services/NTAD_North_American_Rail_Network_Lines/FeatureServer/0</x:v>
      </x:c>
    </x:row>
    <x:row r="7" ht="97.19999694824219" hidden="0" customHeight="1">
      <x:c r="A7" s="29" t="str">
        <x:v>airports</x:v>
      </x:c>
      <x:c r="B7" s="29" t="str">
        <x:v>Aviation Facilities</x:v>
      </x:c>
      <x:c r="C7" s="29" t="str">
        <x:v>2026-08-06</x:v>
      </x:c>
      <x:c r="D7" s="29" t="str">
        <x:v>primary-airport attribute join</x:v>
      </x:c>
      <x:c r="E7" s="29" t="str">
        <x:v>presence/topology only; no disaster operability</x:v>
      </x:c>
      <x:c r="F7" s="29" t="str">
        <x:v>https://services.arcgis.com/xOi1kZaI0eWDREZv/arcgis/rest/services/NTAD_Aviation_Facilities/FeatureServer/0</x:v>
      </x:c>
    </x:row>
    <x:row r="8" ht="118.80000305175781" hidden="0" customHeight="1">
      <x:c r="A8" s="27" t="str">
        <x:v>primary_air</x:v>
      </x:c>
      <x:c r="B8" s="27" t="str">
        <x:v>BETA - Hazard Exposure: Primary Airport Parcels</x:v>
      </x:c>
      <x:c r="C8" s="27" t="str">
        <x:v>2025-10-23</x:v>
      </x:c>
      <x:c r="D8" s="27" t="str">
        <x:v>primary-airport endpoint gate</x:v>
      </x:c>
      <x:c r="E8" s="27" t="str">
        <x:v>presence/topology only; no disaster operability</x:v>
      </x:c>
      <x:c r="F8" s="27" t="str">
        <x:v>https://services.arcgis.com/xOi1kZaI0eWDREZv/arcgis/rest/services/NTAD_Hazard_Exposure_Primary_Airport_Parcels/FeatureServer/0</x:v>
      </x:c>
    </x:row>
    <x:row r="9" ht="118.80000305175781" hidden="0" customHeight="1">
      <x:c r="A9" s="29" t="str">
        <x:v>ipcd</x:v>
      </x:c>
      <x:c r="B9" s="29" t="str">
        <x:v>Intermodal Passenger Connectivity Database (IPCD)</x:v>
      </x:c>
      <x:c r="C9" s="29" t="str">
        <x:v>2025-04-30</x:v>
      </x:c>
      <x:c r="D9" s="29" t="str">
        <x:v>existing passenger/intermodal node count</x:v>
      </x:c>
      <x:c r="E9" s="29" t="str">
        <x:v>presence/topology only; no disaster operability</x:v>
      </x:c>
      <x:c r="F9" s="29" t="str">
        <x:v>https://services.arcgis.com/xOi1kZaI0eWDREZv/arcgis/rest/services/NTAD_Intermodal_Passenger_Connectivity_Database/FeatureServer/0</x:v>
      </x:c>
    </x:row>
    <x:row r="10" ht="97.19999694824219" hidden="0" customHeight="1">
      <x:c r="A10" s="27" t="str">
        <x:v>ferry</x:v>
      </x:c>
      <x:c r="B10" s="27" t="str">
        <x:v>Ferry Terminals</x:v>
      </x:c>
      <x:c r="C10" s="27" t="str">
        <x:v>2024-10-30</x:v>
      </x:c>
      <x:c r="D10" s="27" t="str">
        <x:v>water terminal count</x:v>
      </x:c>
      <x:c r="E10" s="27" t="str">
        <x:v>presence/topology only; no disaster operability</x:v>
      </x:c>
      <x:c r="F10" s="27" t="str">
        <x:v>https://services.arcgis.com/xOi1kZaI0eWDREZv/arcgis/rest/services/NTAD_Ferry_Terminals/FeatureServer/0</x:v>
      </x:c>
    </x:row>
    <x:row r="11" ht="97.19999694824219" hidden="0" customHeight="1">
      <x:c r="A11" s="29" t="str">
        <x:v>ports</x:v>
      </x:c>
      <x:c r="B11" s="29" t="str">
        <x:v>Principal_Ports</x:v>
      </x:c>
      <x:c r="C11" s="29" t="str">
        <x:v>2026-07-14</x:v>
      </x:c>
      <x:c r="D11" s="29" t="str">
        <x:v>principal-port count</x:v>
      </x:c>
      <x:c r="E11" s="29" t="str">
        <x:v>presence/topology only; no disaster operability</x:v>
      </x:c>
      <x:c r="F11" s="29" t="str">
        <x:v>https://services7.arcgis.com/n1YM8pTrFmm7L4hs/ArcGIS/rest/services/Principal_Ports/FeatureServer/0</x:v>
      </x:c>
    </x:row>
    <x:row r="12" ht="97.19999694824219" hidden="0" customHeight="1">
      <x:c r="A12" s="27" t="str">
        <x:v>water_nodes</x:v>
      </x:c>
      <x:c r="B12" s="27" t="str">
        <x:v>Waterway_Network_Node</x:v>
      </x:c>
      <x:c r="C12" s="27" t="str">
        <x:v>2025-10-09</x:v>
      </x:c>
      <x:c r="D12" s="27" t="str">
        <x:v>coordinate-assigned waterway nodes</x:v>
      </x:c>
      <x:c r="E12" s="27" t="str">
        <x:v>presence/topology only; no disaster operability</x:v>
      </x:c>
      <x:c r="F12" s="27" t="str">
        <x:v>https://services7.arcgis.com/n1YM8pTrFmm7L4hs/ArcGIS/rest/services/Waterway_Networks/FeatureServer/0</x:v>
      </x:c>
    </x:row>
    <x:row r="13" ht="97.19999694824219" hidden="0" customHeight="1">
      <x:c r="A13" s="29" t="str">
        <x:v>water_lines</x:v>
      </x:c>
      <x:c r="B13" s="29" t="str">
        <x:v>Waterway_Network</x:v>
      </x:c>
      <x:c r="C13" s="29" t="str">
        <x:v>2025-10-09</x:v>
      </x:c>
      <x:c r="D13" s="29" t="str">
        <x:v>navigable-waterway topology</x:v>
      </x:c>
      <x:c r="E13" s="29" t="str">
        <x:v>presence/topology only; no disaster operability</x:v>
      </x:c>
      <x:c r="F13" s="29" t="str">
        <x:v>https://services7.arcgis.com/n1YM8pTrFmm7L4hs/ArcGIS/rest/services/Waterway_Networks/FeatureServer/1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9" customHeight="1">
      <x:c r="A1" s="83" t="str">
        <x:v>Observed multimodal footprint by catchment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</x:row>
    <x:row r="2" ht="31" customHeight="1">
      <x:c r="A2" s="84" t="str">
        <x:v>Counts and lengths are screening evidence. A route receives no reliability or throughput credit from presence alone.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</x:row>
    <x:row r="4" ht="32" customHeight="1">
      <x:c r="A4" s="86" t="str">
        <x:v>SCA</x:v>
      </x:c>
      <x:c r="B4" s="87" t="str">
        <x:v>Reference</x:v>
      </x:c>
      <x:c r="C4" s="87" t="str">
        <x:v>Highway km</x:v>
      </x:c>
      <x:c r="D4" s="87" t="str">
        <x:v>Rail km</x:v>
      </x:c>
      <x:c r="E4" s="87" t="str">
        <x:v>Passenger rail km</x:v>
      </x:c>
      <x:c r="F4" s="87" t="str">
        <x:v>Primary airports</x:v>
      </x:c>
      <x:c r="G4" s="87" t="str">
        <x:v>IPCD facilities</x:v>
      </x:c>
      <x:c r="H4" s="87" t="str">
        <x:v>Multimodal nodes</x:v>
      </x:c>
      <x:c r="I4" s="87" t="str">
        <x:v>Ferry terminals</x:v>
      </x:c>
      <x:c r="J4" s="87" t="str">
        <x:v>Principal ports</x:v>
      </x:c>
      <x:c r="K4" s="87" t="str">
        <x:v>Waterway nodes</x:v>
      </x:c>
      <x:c r="L4" s="87" t="str">
        <x:v>Water port nodes</x:v>
      </x:c>
      <x:c r="M4" s="87" t="str">
        <x:v>Waterway km</x:v>
      </x:c>
      <x:c r="N4" s="87" t="str">
        <x:v>Road gate</x:v>
      </x:c>
      <x:c r="O4" s="87" t="str">
        <x:v>Rail gate</x:v>
      </x:c>
      <x:c r="P4" s="87" t="str">
        <x:v>Air gate</x:v>
      </x:c>
      <x:c r="Q4" s="88" t="str">
        <x:v>Water gate</x:v>
      </x:c>
    </x:row>
    <x:row r="5" ht="21.600000381469727" hidden="0" customHeight="1">
      <x:c r="A5" s="28" t="str">
        <x:v>SCA-01</x:v>
      </x:c>
      <x:c r="B5" s="28" t="str">
        <x:v>Honolulu County, HI</x:v>
      </x:c>
      <x:c r="C5" s="60" t="n">
        <x:v>1932.0330000000004</x:v>
      </x:c>
      <x:c r="D5" s="60" t="n">
        <x:v>6.937703304369024</x:v>
      </x:c>
      <x:c r="E5" s="60" t="n">
        <x:v>6.937703304369024</x:v>
      </x:c>
      <x:c r="F5" s="60" t="n">
        <x:v>12</x:v>
      </x:c>
      <x:c r="G5" s="60" t="n">
        <x:v>148</x:v>
      </x:c>
      <x:c r="H5" s="60" t="n">
        <x:v>67</x:v>
      </x:c>
      <x:c r="I5" s="60" t="n">
        <x:v>10</x:v>
      </x:c>
      <x:c r="J5" s="60" t="n">
        <x:v>6</x:v>
      </x:c>
      <x:c r="K5" s="60" t="n">
        <x:v>109</x:v>
      </x:c>
      <x:c r="L5" s="60" t="n">
        <x:v>12</x:v>
      </x:c>
      <x:c r="M5" s="60" t="n">
        <x:v>27460.993166323962</x:v>
      </x:c>
      <x:c r="N5" s="28" t="str">
        <x:v>YES</x:v>
      </x:c>
      <x:c r="O5" s="28" t="str">
        <x:v>YES</x:v>
      </x:c>
      <x:c r="P5" s="28" t="str">
        <x:v>YES</x:v>
      </x:c>
      <x:c r="Q5" s="28" t="str">
        <x:v>YES</x:v>
      </x:c>
    </x:row>
    <x:row r="6" ht="32.400001525878906" hidden="0" customHeight="1">
      <x:c r="A6" s="27" t="str">
        <x:v>SCA-02</x:v>
      </x:c>
      <x:c r="B6" s="27" t="str">
        <x:v>Anchorage Municipality, AK</x:v>
      </x:c>
      <x:c r="C6" s="61" t="n">
        <x:v>4826.512</x:v>
      </x:c>
      <x:c r="D6" s="61" t="n">
        <x:v>1120.2021299394426</x:v>
      </x:c>
      <x:c r="E6" s="61" t="n">
        <x:v>800.250677195644</x:v>
      </x:c>
      <x:c r="F6" s="61" t="n">
        <x:v>23</x:v>
      </x:c>
      <x:c r="G6" s="61" t="n">
        <x:v>308</x:v>
      </x:c>
      <x:c r="H6" s="61" t="n">
        <x:v>25</x:v>
      </x:c>
      <x:c r="I6" s="61" t="n">
        <x:v>54</x:v>
      </x:c>
      <x:c r="J6" s="61" t="n">
        <x:v>4</x:v>
      </x:c>
      <x:c r="K6" s="61" t="n">
        <x:v>304</x:v>
      </x:c>
      <x:c r="L6" s="61" t="n">
        <x:v>52</x:v>
      </x:c>
      <x:c r="M6" s="61" t="n">
        <x:v>38315.26196281477</x:v>
      </x:c>
      <x:c r="N6" s="27" t="str">
        <x:v>YES</x:v>
      </x:c>
      <x:c r="O6" s="27" t="str">
        <x:v>YES</x:v>
      </x:c>
      <x:c r="P6" s="27" t="str">
        <x:v>YES</x:v>
      </x:c>
      <x:c r="Q6" s="27" t="str">
        <x:v>YES</x:v>
      </x:c>
    </x:row>
    <x:row r="7" ht="21.600000381469727" hidden="0" customHeight="1">
      <x:c r="A7" s="29" t="str">
        <x:v>SCA-03</x:v>
      </x:c>
      <x:c r="B7" s="29" t="str">
        <x:v>King County, WA</x:v>
      </x:c>
      <x:c r="C7" s="62" t="n">
        <x:v>1447.4429999999998</x:v>
      </x:c>
      <x:c r="D7" s="62" t="n">
        <x:v>12496.781500963365</x:v>
      </x:c>
      <x:c r="E7" s="62" t="n">
        <x:v>2473.914745383655</x:v>
      </x:c>
      <x:c r="F7" s="62" t="n">
        <x:v>15</x:v>
      </x:c>
      <x:c r="G7" s="62" t="n">
        <x:v>657</x:v>
      </x:c>
      <x:c r="H7" s="62" t="n">
        <x:v>353</x:v>
      </x:c>
      <x:c r="I7" s="62" t="n">
        <x:v>71</x:v>
      </x:c>
      <x:c r="J7" s="62" t="n">
        <x:v>10</x:v>
      </x:c>
      <x:c r="K7" s="62" t="n">
        <x:v>371</x:v>
      </x:c>
      <x:c r="L7" s="62" t="n">
        <x:v>38</x:v>
      </x:c>
      <x:c r="M7" s="62" t="n">
        <x:v>21117.216699045464</x:v>
      </x:c>
      <x:c r="N7" s="29" t="str">
        <x:v>YES</x:v>
      </x:c>
      <x:c r="O7" s="29" t="str">
        <x:v>YES</x:v>
      </x:c>
      <x:c r="P7" s="29" t="str">
        <x:v>YES</x:v>
      </x:c>
      <x:c r="Q7" s="29" t="str">
        <x:v>YES</x:v>
      </x:c>
    </x:row>
    <x:row r="8" ht="21.600000381469727" hidden="0" customHeight="1">
      <x:c r="A8" s="27" t="str">
        <x:v>SCA-04</x:v>
      </x:c>
      <x:c r="B8" s="27" t="str">
        <x:v>Santa Clara County, CA</x:v>
      </x:c>
      <x:c r="C8" s="61" t="n">
        <x:v>22244.161999999986</x:v>
      </x:c>
      <x:c r="D8" s="61" t="n">
        <x:v>9285.312887041415</x:v>
      </x:c>
      <x:c r="E8" s="61" t="n">
        <x:v>2384.927336135009</x:v>
      </x:c>
      <x:c r="F8" s="61" t="n">
        <x:v>12</x:v>
      </x:c>
      <x:c r="G8" s="61" t="n">
        <x:v>1106</x:v>
      </x:c>
      <x:c r="H8" s="61" t="n">
        <x:v>683</x:v>
      </x:c>
      <x:c r="I8" s="61" t="n">
        <x:v>58</x:v>
      </x:c>
      <x:c r="J8" s="61" t="n">
        <x:v>6</x:v>
      </x:c>
      <x:c r="K8" s="61" t="n">
        <x:v>144</x:v>
      </x:c>
      <x:c r="L8" s="61" t="n">
        <x:v>15</x:v>
      </x:c>
      <x:c r="M8" s="61" t="n">
        <x:v>7247.600412588647</x:v>
      </x:c>
      <x:c r="N8" s="27" t="str">
        <x:v>YES</x:v>
      </x:c>
      <x:c r="O8" s="27" t="str">
        <x:v>YES</x:v>
      </x:c>
      <x:c r="P8" s="27" t="str">
        <x:v>YES</x:v>
      </x:c>
      <x:c r="Q8" s="27" t="str">
        <x:v>YES</x:v>
      </x:c>
    </x:row>
    <x:row r="9" ht="21.600000381469727" hidden="0" customHeight="1">
      <x:c r="A9" s="29" t="str">
        <x:v>SCA-05</x:v>
      </x:c>
      <x:c r="B9" s="29" t="str">
        <x:v>Los Angeles County, CA</x:v>
      </x:c>
      <x:c r="C9" s="62" t="n">
        <x:v>11608.232000000016</x:v>
      </x:c>
      <x:c r="D9" s="62" t="n">
        <x:v>4120.123151739837</x:v>
      </x:c>
      <x:c r="E9" s="62" t="n">
        <x:v>1046.2328224653818</x:v>
      </x:c>
      <x:c r="F9" s="62" t="n">
        <x:v>10</x:v>
      </x:c>
      <x:c r="G9" s="62" t="n">
        <x:v>676</x:v>
      </x:c>
      <x:c r="H9" s="62" t="n">
        <x:v>479</x:v>
      </x:c>
      <x:c r="I9" s="62" t="n">
        <x:v>24</x:v>
      </x:c>
      <x:c r="J9" s="62" t="n">
        <x:v>3</x:v>
      </x:c>
      <x:c r="K9" s="62" t="n">
        <x:v>127</x:v>
      </x:c>
      <x:c r="L9" s="62" t="n">
        <x:v>8</x:v>
      </x:c>
      <x:c r="M9" s="62" t="n">
        <x:v>6156.400587249746</x:v>
      </x:c>
      <x:c r="N9" s="29" t="str">
        <x:v>YES</x:v>
      </x:c>
      <x:c r="O9" s="29" t="str">
        <x:v>YES</x:v>
      </x:c>
      <x:c r="P9" s="29" t="str">
        <x:v>YES</x:v>
      </x:c>
      <x:c r="Q9" s="29" t="str">
        <x:v>YES</x:v>
      </x:c>
    </x:row>
    <x:row r="10" ht="21.600000381469727" hidden="0" customHeight="1">
      <x:c r="A10" s="27" t="str">
        <x:v>SCA-06</x:v>
      </x:c>
      <x:c r="B10" s="27" t="str">
        <x:v>San Diego County, CA</x:v>
      </x:c>
      <x:c r="C10" s="61" t="n">
        <x:v>4328.759999999998</x:v>
      </x:c>
      <x:c r="D10" s="61" t="n">
        <x:v>1340.5730148777625</x:v>
      </x:c>
      <x:c r="E10" s="61" t="n">
        <x:v>578.1112278039735</x:v>
      </x:c>
      <x:c r="F10" s="61" t="n">
        <x:v>2</x:v>
      </x:c>
      <x:c r="G10" s="61" t="n">
        <x:v>163</x:v>
      </x:c>
      <x:c r="H10" s="61" t="n">
        <x:v>109</x:v>
      </x:c>
      <x:c r="I10" s="61" t="n">
        <x:v>0</x:v>
      </x:c>
      <x:c r="J10" s="61" t="n">
        <x:v>1</x:v>
      </x:c>
      <x:c r="K10" s="61" t="n">
        <x:v>13</x:v>
      </x:c>
      <x:c r="L10" s="61" t="n">
        <x:v>2</x:v>
      </x:c>
      <x:c r="M10" s="61" t="n">
        <x:v>5105.305768726944</x:v>
      </x:c>
      <x:c r="N10" s="27" t="str">
        <x:v>YES</x:v>
      </x:c>
      <x:c r="O10" s="27" t="str">
        <x:v>YES</x:v>
      </x:c>
      <x:c r="P10" s="27" t="str">
        <x:v>YES</x:v>
      </x:c>
      <x:c r="Q10" s="27" t="str">
        <x:v>YES</x:v>
      </x:c>
    </x:row>
    <x:row r="11" ht="21.600000381469727" hidden="0" customHeight="1">
      <x:c r="A11" s="29" t="str">
        <x:v>SCA-07</x:v>
      </x:c>
      <x:c r="B11" s="29" t="str">
        <x:v>Clark County, NV</x:v>
      </x:c>
      <x:c r="C11" s="62" t="n">
        <x:v>7425.164000000006</x:v>
      </x:c>
      <x:c r="D11" s="62" t="n">
        <x:v>2725.5231199562345</x:v>
      </x:c>
      <x:c r="E11" s="62" t="n">
        <x:v>721.260382309826</x:v>
      </x:c>
      <x:c r="F11" s="62" t="n">
        <x:v>6</x:v>
      </x:c>
      <x:c r="G11" s="62" t="n">
        <x:v>70</x:v>
      </x:c>
      <x:c r="H11" s="62" t="n">
        <x:v>19</x:v>
      </x:c>
      <x:c r="I11" s="62" t="n">
        <x:v>2</x:v>
      </x:c>
      <x:c r="J11" s="62" t="n">
        <x:v>0</x:v>
      </x:c>
      <x:c r="K11" s="62" t="n">
        <x:v>0</x:v>
      </x:c>
      <x:c r="L11" s="62" t="n">
        <x:v>0</x:v>
      </x:c>
      <x:c r="M11" s="62" t="n">
        <x:v>0</x:v>
      </x:c>
      <x:c r="N11" s="29" t="str">
        <x:v>YES</x:v>
      </x:c>
      <x:c r="O11" s="29" t="str">
        <x:v>YES</x:v>
      </x:c>
      <x:c r="P11" s="29" t="str">
        <x:v>YES</x:v>
      </x:c>
      <x:c r="Q11" s="29" t="str">
        <x:v>YES</x:v>
      </x:c>
    </x:row>
    <x:row r="12" ht="21.600000381469727" hidden="0" customHeight="1">
      <x:c r="A12" s="27" t="str">
        <x:v>SCA-08</x:v>
      </x:c>
      <x:c r="B12" s="27" t="str">
        <x:v>Ada County, ID</x:v>
      </x:c>
      <x:c r="C12" s="61" t="n">
        <x:v>16537.532</x:v>
      </x:c>
      <x:c r="D12" s="61" t="n">
        <x:v>9153.811075401083</x:v>
      </x:c>
      <x:c r="E12" s="61" t="n">
        <x:v>1643.5339192246336</x:v>
      </x:c>
      <x:c r="F12" s="61" t="n">
        <x:v>12</x:v>
      </x:c>
      <x:c r="G12" s="61" t="n">
        <x:v>95</x:v>
      </x:c>
      <x:c r="H12" s="61" t="n">
        <x:v>5</x:v>
      </x:c>
      <x:c r="I12" s="61" t="n">
        <x:v>2</x:v>
      </x:c>
      <x:c r="J12" s="61" t="n">
        <x:v>0</x:v>
      </x:c>
      <x:c r="K12" s="61" t="n">
        <x:v>14</x:v>
      </x:c>
      <x:c r="L12" s="61" t="n">
        <x:v>2</x:v>
      </x:c>
      <x:c r="M12" s="61" t="n">
        <x:v>410.0447565208051</x:v>
      </x:c>
      <x:c r="N12" s="27" t="str">
        <x:v>YES</x:v>
      </x:c>
      <x:c r="O12" s="27" t="str">
        <x:v>YES</x:v>
      </x:c>
      <x:c r="P12" s="27" t="str">
        <x:v>YES</x:v>
      </x:c>
      <x:c r="Q12" s="27" t="str">
        <x:v>YES</x:v>
      </x:c>
    </x:row>
    <x:row r="13" ht="21.600000381469727" hidden="0" customHeight="1">
      <x:c r="A13" s="29" t="str">
        <x:v>SCA-09</x:v>
      </x:c>
      <x:c r="B13" s="29" t="str">
        <x:v>Maricopa County, AZ</x:v>
      </x:c>
      <x:c r="C13" s="62" t="n">
        <x:v>11088.053000000002</x:v>
      </x:c>
      <x:c r="D13" s="62" t="n">
        <x:v>4061.620315062089</x:v>
      </x:c>
      <x:c r="E13" s="62" t="n">
        <x:v>1197.1413677402406</x:v>
      </x:c>
      <x:c r="F13" s="62" t="n">
        <x:v>6</x:v>
      </x:c>
      <x:c r="G13" s="62" t="n">
        <x:v>165</x:v>
      </x:c>
      <x:c r="H13" s="62" t="n">
        <x:v>72</x:v>
      </x:c>
      <x:c r="I13" s="62" t="n">
        <x:v>0</x:v>
      </x:c>
      <x:c r="J13" s="62" t="n">
        <x:v>0</x:v>
      </x:c>
      <x:c r="K13" s="62" t="n">
        <x:v>0</x:v>
      </x:c>
      <x:c r="L13" s="62" t="n">
        <x:v>0</x:v>
      </x:c>
      <x:c r="M13" s="62" t="n">
        <x:v>0</x:v>
      </x:c>
      <x:c r="N13" s="29" t="str">
        <x:v>YES</x:v>
      </x:c>
      <x:c r="O13" s="29" t="str">
        <x:v>YES</x:v>
      </x:c>
      <x:c r="P13" s="29" t="str">
        <x:v>YES</x:v>
      </x:c>
      <x:c r="Q13" s="29" t="str">
        <x:v>NO</x:v>
      </x:c>
    </x:row>
    <x:row r="14" ht="21.600000381469727" hidden="0" customHeight="1">
      <x:c r="A14" s="27" t="str">
        <x:v>SCA-10</x:v>
      </x:c>
      <x:c r="B14" s="27" t="str">
        <x:v>Salt Lake County, UT</x:v>
      </x:c>
      <x:c r="C14" s="61" t="n">
        <x:v>4598.581</x:v>
      </x:c>
      <x:c r="D14" s="61" t="n">
        <x:v>8131.876052301935</x:v>
      </x:c>
      <x:c r="E14" s="61" t="n">
        <x:v>801.8613868323766</x:v>
      </x:c>
      <x:c r="F14" s="61" t="n">
        <x:v>12</x:v>
      </x:c>
      <x:c r="G14" s="61" t="n">
        <x:v>195</x:v>
      </x:c>
      <x:c r="H14" s="61" t="n">
        <x:v>80</x:v>
      </x:c>
      <x:c r="I14" s="61" t="n">
        <x:v>4</x:v>
      </x:c>
      <x:c r="J14" s="61" t="n">
        <x:v>0</x:v>
      </x:c>
      <x:c r="K14" s="61" t="n">
        <x:v>0</x:v>
      </x:c>
      <x:c r="L14" s="61" t="n">
        <x:v>0</x:v>
      </x:c>
      <x:c r="M14" s="61" t="n">
        <x:v>0</x:v>
      </x:c>
      <x:c r="N14" s="27" t="str">
        <x:v>YES</x:v>
      </x:c>
      <x:c r="O14" s="27" t="str">
        <x:v>YES</x:v>
      </x:c>
      <x:c r="P14" s="27" t="str">
        <x:v>YES</x:v>
      </x:c>
      <x:c r="Q14" s="27" t="str">
        <x:v>YES</x:v>
      </x:c>
    </x:row>
    <x:row r="15" ht="21.600000381469727" hidden="0" customHeight="1">
      <x:c r="A15" s="29" t="str">
        <x:v>SCA-11</x:v>
      </x:c>
      <x:c r="B15" s="29" t="str">
        <x:v>El Paso County, TX</x:v>
      </x:c>
      <x:c r="C15" s="62" t="n">
        <x:v>8727.557999999995</x:v>
      </x:c>
      <x:c r="D15" s="62" t="n">
        <x:v>6556.955331495493</x:v>
      </x:c>
      <x:c r="E15" s="62" t="n">
        <x:v>1205.8083768513486</x:v>
      </x:c>
      <x:c r="F15" s="62" t="n">
        <x:v>9</x:v>
      </x:c>
      <x:c r="G15" s="62" t="n">
        <x:v>82</x:v>
      </x:c>
      <x:c r="H15" s="62" t="n">
        <x:v>25</x:v>
      </x:c>
      <x:c r="I15" s="62" t="n">
        <x:v>0</x:v>
      </x:c>
      <x:c r="J15" s="62" t="n">
        <x:v>0</x:v>
      </x:c>
      <x:c r="K15" s="62" t="n">
        <x:v>0</x:v>
      </x:c>
      <x:c r="L15" s="62" t="n">
        <x:v>0</x:v>
      </x:c>
      <x:c r="M15" s="62" t="n">
        <x:v>0</x:v>
      </x:c>
      <x:c r="N15" s="29" t="str">
        <x:v>YES</x:v>
      </x:c>
      <x:c r="O15" s="29" t="str">
        <x:v>YES</x:v>
      </x:c>
      <x:c r="P15" s="29" t="str">
        <x:v>YES</x:v>
      </x:c>
      <x:c r="Q15" s="29" t="str">
        <x:v>NO</x:v>
      </x:c>
    </x:row>
    <x:row r="16" ht="21.600000381469727" hidden="0" customHeight="1">
      <x:c r="A16" s="27" t="str">
        <x:v>SCA-12</x:v>
      </x:c>
      <x:c r="B16" s="27" t="str">
        <x:v>El Paso County, CO</x:v>
      </x:c>
      <x:c r="C16" s="61" t="n">
        <x:v>26220.426999999978</x:v>
      </x:c>
      <x:c r="D16" s="61" t="n">
        <x:v>14879.417606007346</x:v>
      </x:c>
      <x:c r="E16" s="61" t="n">
        <x:v>1960.412999747397</x:v>
      </x:c>
      <x:c r="F16" s="61" t="n">
        <x:v>19</x:v>
      </x:c>
      <x:c r="G16" s="61" t="n">
        <x:v>282</x:v>
      </x:c>
      <x:c r="H16" s="61" t="n">
        <x:v>118</x:v>
      </x:c>
      <x:c r="I16" s="61" t="n">
        <x:v>0</x:v>
      </x:c>
      <x:c r="J16" s="61" t="n">
        <x:v>0</x:v>
      </x:c>
      <x:c r="K16" s="61" t="n">
        <x:v>0</x:v>
      </x:c>
      <x:c r="L16" s="61" t="n">
        <x:v>0</x:v>
      </x:c>
      <x:c r="M16" s="61" t="n">
        <x:v>0</x:v>
      </x:c>
      <x:c r="N16" s="27" t="str">
        <x:v>YES</x:v>
      </x:c>
      <x:c r="O16" s="27" t="str">
        <x:v>YES</x:v>
      </x:c>
      <x:c r="P16" s="27" t="str">
        <x:v>YES</x:v>
      </x:c>
      <x:c r="Q16" s="27" t="str">
        <x:v>NO</x:v>
      </x:c>
    </x:row>
    <x:row r="17" ht="21.600000381469727" hidden="0" customHeight="1">
      <x:c r="A17" s="29" t="str">
        <x:v>SCA-13</x:v>
      </x:c>
      <x:c r="B17" s="29" t="str">
        <x:v>Bexar County, TX</x:v>
      </x:c>
      <x:c r="C17" s="62" t="n">
        <x:v>0</x:v>
      </x:c>
      <x:c r="D17" s="62" t="n">
        <x:v>3826.7299639789926</x:v>
      </x:c>
      <x:c r="E17" s="62" t="n">
        <x:v>958.9570568167858</x:v>
      </x:c>
      <x:c r="F17" s="62" t="n">
        <x:v>6</x:v>
      </x:c>
      <x:c r="G17" s="62" t="n">
        <x:v>184</x:v>
      </x:c>
      <x:c r="H17" s="62" t="n">
        <x:v>90</x:v>
      </x:c>
      <x:c r="I17" s="62" t="n">
        <x:v>0</x:v>
      </x:c>
      <x:c r="J17" s="62" t="n">
        <x:v>2</x:v>
      </x:c>
      <x:c r="K17" s="62" t="n">
        <x:v>27</x:v>
      </x:c>
      <x:c r="L17" s="62" t="n">
        <x:v>3</x:v>
      </x:c>
      <x:c r="M17" s="62" t="n">
        <x:v>360.6700830675149</x:v>
      </x:c>
      <x:c r="N17" s="29" t="str">
        <x:v>NO</x:v>
      </x:c>
      <x:c r="O17" s="29" t="str">
        <x:v>YES</x:v>
      </x:c>
      <x:c r="P17" s="29" t="str">
        <x:v>YES</x:v>
      </x:c>
      <x:c r="Q17" s="29" t="str">
        <x:v>YES</x:v>
      </x:c>
    </x:row>
    <x:row r="18" ht="21.600000381469727" hidden="0" customHeight="1">
      <x:c r="A18" s="27" t="str">
        <x:v>SCA-14</x:v>
      </x:c>
      <x:c r="B18" s="27" t="str">
        <x:v>Hidalgo County, TX</x:v>
      </x:c>
      <x:c r="C18" s="61" t="n">
        <x:v>0</x:v>
      </x:c>
      <x:c r="D18" s="61" t="n">
        <x:v>1180.0788667850238</x:v>
      </x:c>
      <x:c r="E18" s="61" t="n">
        <x:v>0</x:v>
      </x:c>
      <x:c r="F18" s="61" t="n">
        <x:v>5</x:v>
      </x:c>
      <x:c r="G18" s="61" t="n">
        <x:v>45</x:v>
      </x:c>
      <x:c r="H18" s="61" t="n">
        <x:v>6</x:v>
      </x:c>
      <x:c r="I18" s="61" t="n">
        <x:v>4</x:v>
      </x:c>
      <x:c r="J18" s="61" t="n">
        <x:v>3</x:v>
      </x:c>
      <x:c r="K18" s="61" t="n">
        <x:v>164</x:v>
      </x:c>
      <x:c r="L18" s="61" t="n">
        <x:v>6</x:v>
      </x:c>
      <x:c r="M18" s="61" t="n">
        <x:v>3644.7779537468004</x:v>
      </x:c>
      <x:c r="N18" s="27" t="str">
        <x:v>NO</x:v>
      </x:c>
      <x:c r="O18" s="27" t="str">
        <x:v>YES</x:v>
      </x:c>
      <x:c r="P18" s="27" t="str">
        <x:v>YES</x:v>
      </x:c>
      <x:c r="Q18" s="27" t="str">
        <x:v>YES</x:v>
      </x:c>
    </x:row>
    <x:row r="19" ht="21.600000381469727" hidden="0" customHeight="1">
      <x:c r="A19" s="29" t="str">
        <x:v>SCA-15</x:v>
      </x:c>
      <x:c r="B19" s="29" t="str">
        <x:v>Dallas County, TX</x:v>
      </x:c>
      <x:c r="C19" s="62" t="n">
        <x:v>3927.8950000000004</x:v>
      </x:c>
      <x:c r="D19" s="62" t="n">
        <x:v>12520.107625119841</x:v>
      </x:c>
      <x:c r="E19" s="62" t="n">
        <x:v>1217.1706167725706</x:v>
      </x:c>
      <x:c r="F19" s="62" t="n">
        <x:v>11</x:v>
      </x:c>
      <x:c r="G19" s="62" t="n">
        <x:v>228</x:v>
      </x:c>
      <x:c r="H19" s="62" t="n">
        <x:v>116</x:v>
      </x:c>
      <x:c r="I19" s="62" t="n">
        <x:v>4</x:v>
      </x:c>
      <x:c r="J19" s="62" t="n">
        <x:v>0</x:v>
      </x:c>
      <x:c r="K19" s="62" t="n">
        <x:v>12</x:v>
      </x:c>
      <x:c r="L19" s="62" t="n">
        <x:v>3</x:v>
      </x:c>
      <x:c r="M19" s="62" t="n">
        <x:v>713.888904847346</x:v>
      </x:c>
      <x:c r="N19" s="29" t="str">
        <x:v>YES</x:v>
      </x:c>
      <x:c r="O19" s="29" t="str">
        <x:v>YES</x:v>
      </x:c>
      <x:c r="P19" s="29" t="str">
        <x:v>YES</x:v>
      </x:c>
      <x:c r="Q19" s="29" t="str">
        <x:v>YES</x:v>
      </x:c>
    </x:row>
    <x:row r="20" ht="21.600000381469727" hidden="0" customHeight="1">
      <x:c r="A20" s="27" t="str">
        <x:v>SCA-16</x:v>
      </x:c>
      <x:c r="B20" s="27" t="str">
        <x:v>Oklahoma County, OK</x:v>
      </x:c>
      <x:c r="C20" s="61" t="n">
        <x:v>28727.686999999994</x:v>
      </x:c>
      <x:c r="D20" s="61" t="n">
        <x:v>21435.459570231204</x:v>
      </x:c>
      <x:c r="E20" s="61" t="n">
        <x:v>1534.7633550612939</x:v>
      </x:c>
      <x:c r="F20" s="61" t="n">
        <x:v>14</x:v>
      </x:c>
      <x:c r="G20" s="61" t="n">
        <x:v>244</x:v>
      </x:c>
      <x:c r="H20" s="61" t="n">
        <x:v>85</x:v>
      </x:c>
      <x:c r="I20" s="61" t="n">
        <x:v>1</x:v>
      </x:c>
      <x:c r="J20" s="61" t="n">
        <x:v>1</x:v>
      </x:c>
      <x:c r="K20" s="61" t="n">
        <x:v>24</x:v>
      </x:c>
      <x:c r="L20" s="61" t="n">
        <x:v>6</x:v>
      </x:c>
      <x:c r="M20" s="61" t="n">
        <x:v>1249.2532738040254</x:v>
      </x:c>
      <x:c r="N20" s="27" t="str">
        <x:v>YES</x:v>
      </x:c>
      <x:c r="O20" s="27" t="str">
        <x:v>YES</x:v>
      </x:c>
      <x:c r="P20" s="27" t="str">
        <x:v>YES</x:v>
      </x:c>
      <x:c r="Q20" s="27" t="str">
        <x:v>YES</x:v>
      </x:c>
    </x:row>
    <x:row r="21" ht="21.600000381469727" hidden="0" customHeight="1">
      <x:c r="A21" s="29" t="str">
        <x:v>SCA-17</x:v>
      </x:c>
      <x:c r="B21" s="29" t="str">
        <x:v>Harris County, TX</x:v>
      </x:c>
      <x:c r="C21" s="62" t="n">
        <x:v>8445.041</x:v>
      </x:c>
      <x:c r="D21" s="62" t="n">
        <x:v>10252.407901492821</x:v>
      </x:c>
      <x:c r="E21" s="62" t="n">
        <x:v>1018.3821696861626</x:v>
      </x:c>
      <x:c r="F21" s="62" t="n">
        <x:v>9</x:v>
      </x:c>
      <x:c r="G21" s="62" t="n">
        <x:v>429</x:v>
      </x:c>
      <x:c r="H21" s="62" t="n">
        <x:v>190</x:v>
      </x:c>
      <x:c r="I21" s="62" t="n">
        <x:v>28</x:v>
      </x:c>
      <x:c r="J21" s="62" t="n">
        <x:v>18</x:v>
      </x:c>
      <x:c r="K21" s="62" t="n">
        <x:v>497</x:v>
      </x:c>
      <x:c r="L21" s="62" t="n">
        <x:v>30</x:v>
      </x:c>
      <x:c r="M21" s="62" t="n">
        <x:v>15244.559331183102</x:v>
      </x:c>
      <x:c r="N21" s="29" t="str">
        <x:v>YES</x:v>
      </x:c>
      <x:c r="O21" s="29" t="str">
        <x:v>YES</x:v>
      </x:c>
      <x:c r="P21" s="29" t="str">
        <x:v>YES</x:v>
      </x:c>
      <x:c r="Q21" s="29" t="str">
        <x:v>YES</x:v>
      </x:c>
    </x:row>
    <x:row r="22" ht="21.600000381469727" hidden="0" customHeight="1">
      <x:c r="A22" s="27" t="str">
        <x:v>SCA-18</x:v>
      </x:c>
      <x:c r="B22" s="27" t="str">
        <x:v>Hennepin County, MN</x:v>
      </x:c>
      <x:c r="C22" s="61" t="n">
        <x:v>38256.526000000005</x:v>
      </x:c>
      <x:c r="D22" s="61" t="n">
        <x:v>30839.369863920678</x:v>
      </x:c>
      <x:c r="E22" s="61" t="n">
        <x:v>1747.8603056645914</x:v>
      </x:c>
      <x:c r="F22" s="61" t="n">
        <x:v>26</x:v>
      </x:c>
      <x:c r="G22" s="61" t="n">
        <x:v>436</x:v>
      </x:c>
      <x:c r="H22" s="61" t="n">
        <x:v>194</x:v>
      </x:c>
      <x:c r="I22" s="61" t="n">
        <x:v>25</x:v>
      </x:c>
      <x:c r="J22" s="61" t="n">
        <x:v>5</x:v>
      </x:c>
      <x:c r="K22" s="61" t="n">
        <x:v>224</x:v>
      </x:c>
      <x:c r="L22" s="61" t="n">
        <x:v>18</x:v>
      </x:c>
      <x:c r="M22" s="61" t="n">
        <x:v>5625.252757203679</x:v>
      </x:c>
      <x:c r="N22" s="27" t="str">
        <x:v>YES</x:v>
      </x:c>
      <x:c r="O22" s="27" t="str">
        <x:v>YES</x:v>
      </x:c>
      <x:c r="P22" s="27" t="str">
        <x:v>YES</x:v>
      </x:c>
      <x:c r="Q22" s="27" t="str">
        <x:v>YES</x:v>
      </x:c>
    </x:row>
    <x:row r="23" ht="21.600000381469727" hidden="0" customHeight="1">
      <x:c r="A23" s="29" t="str">
        <x:v>SCA-19</x:v>
      </x:c>
      <x:c r="B23" s="29" t="str">
        <x:v>St. Louis County, MO</x:v>
      </x:c>
      <x:c r="C23" s="62" t="n">
        <x:v>24752.62100000001</x:v>
      </x:c>
      <x:c r="D23" s="62" t="n">
        <x:v>14544.027292463177</x:v>
      </x:c>
      <x:c r="E23" s="62" t="n">
        <x:v>2119.0613238360284</x:v>
      </x:c>
      <x:c r="F23" s="62" t="n">
        <x:v>8</x:v>
      </x:c>
      <x:c r="G23" s="62" t="n">
        <x:v>108</x:v>
      </x:c>
      <x:c r="H23" s="62" t="n">
        <x:v>41</x:v>
      </x:c>
      <x:c r="I23" s="62" t="n">
        <x:v>21</x:v>
      </x:c>
      <x:c r="J23" s="62" t="n">
        <x:v>18</x:v>
      </x:c>
      <x:c r="K23" s="62" t="n">
        <x:v>54</x:v>
      </x:c>
      <x:c r="L23" s="62" t="n">
        <x:v>16</x:v>
      </x:c>
      <x:c r="M23" s="62" t="n">
        <x:v>1532.1276752984295</x:v>
      </x:c>
      <x:c r="N23" s="29" t="str">
        <x:v>YES</x:v>
      </x:c>
      <x:c r="O23" s="29" t="str">
        <x:v>YES</x:v>
      </x:c>
      <x:c r="P23" s="29" t="str">
        <x:v>YES</x:v>
      </x:c>
      <x:c r="Q23" s="29" t="str">
        <x:v>YES</x:v>
      </x:c>
    </x:row>
    <x:row r="24" ht="21.600000381469727" hidden="0" customHeight="1">
      <x:c r="A24" s="27" t="str">
        <x:v>SCA-20</x:v>
      </x:c>
      <x:c r="B24" s="27" t="str">
        <x:v>Shelby County, TN</x:v>
      </x:c>
      <x:c r="C24" s="61" t="n">
        <x:v>30870.647000000008</x:v>
      </x:c>
      <x:c r="D24" s="61" t="n">
        <x:v>14821.955954235893</x:v>
      </x:c>
      <x:c r="E24" s="61" t="n">
        <x:v>1730.7235172118617</x:v>
      </x:c>
      <x:c r="F24" s="61" t="n">
        <x:v>11</x:v>
      </x:c>
      <x:c r="G24" s="61" t="n">
        <x:v>165</x:v>
      </x:c>
      <x:c r="H24" s="61" t="n">
        <x:v>35</x:v>
      </x:c>
      <x:c r="I24" s="61" t="n">
        <x:v>8</x:v>
      </x:c>
      <x:c r="J24" s="61" t="n">
        <x:v>10</x:v>
      </x:c>
      <x:c r="K24" s="61" t="n">
        <x:v>199</x:v>
      </x:c>
      <x:c r="L24" s="61" t="n">
        <x:v>27</x:v>
      </x:c>
      <x:c r="M24" s="61" t="n">
        <x:v>7093.553790383092</x:v>
      </x:c>
      <x:c r="N24" s="27" t="str">
        <x:v>YES</x:v>
      </x:c>
      <x:c r="O24" s="27" t="str">
        <x:v>YES</x:v>
      </x:c>
      <x:c r="P24" s="27" t="str">
        <x:v>YES</x:v>
      </x:c>
      <x:c r="Q24" s="27" t="str">
        <x:v>YES</x:v>
      </x:c>
    </x:row>
    <x:row r="25" ht="21.600000381469727" hidden="0" customHeight="1">
      <x:c r="A25" s="29" t="str">
        <x:v>SCA-21</x:v>
      </x:c>
      <x:c r="B25" s="29" t="str">
        <x:v>Cook County, IL</x:v>
      </x:c>
      <x:c r="C25" s="62" t="n">
        <x:v>21933.315000000002</x:v>
      </x:c>
      <x:c r="D25" s="62" t="n">
        <x:v>19555.610741936973</x:v>
      </x:c>
      <x:c r="E25" s="62" t="n">
        <x:v>2696.2559975364693</x:v>
      </x:c>
      <x:c r="F25" s="62" t="n">
        <x:v>18</x:v>
      </x:c>
      <x:c r="G25" s="62" t="n">
        <x:v>1432</x:v>
      </x:c>
      <x:c r="H25" s="62" t="n">
        <x:v>1051</x:v>
      </x:c>
      <x:c r="I25" s="62" t="n">
        <x:v>31</x:v>
      </x:c>
      <x:c r="J25" s="62" t="n">
        <x:v>8</x:v>
      </x:c>
      <x:c r="K25" s="62" t="n">
        <x:v>297</x:v>
      </x:c>
      <x:c r="L25" s="62" t="n">
        <x:v>37</x:v>
      </x:c>
      <x:c r="M25" s="62" t="n">
        <x:v>6582.104303779576</x:v>
      </x:c>
      <x:c r="N25" s="29" t="str">
        <x:v>YES</x:v>
      </x:c>
      <x:c r="O25" s="29" t="str">
        <x:v>YES</x:v>
      </x:c>
      <x:c r="P25" s="29" t="str">
        <x:v>YES</x:v>
      </x:c>
      <x:c r="Q25" s="29" t="str">
        <x:v>YES</x:v>
      </x:c>
    </x:row>
    <x:row r="26" ht="21.600000381469727" hidden="0" customHeight="1">
      <x:c r="A26" s="27" t="str">
        <x:v>SCA-22</x:v>
      </x:c>
      <x:c r="B26" s="27" t="str">
        <x:v>Marion County, IN</x:v>
      </x:c>
      <x:c r="C26" s="61" t="n">
        <x:v>19485.609999999993</x:v>
      </x:c>
      <x:c r="D26" s="61" t="n">
        <x:v>15228.21432203376</x:v>
      </x:c>
      <x:c r="E26" s="61" t="n">
        <x:v>789.4788435360045</x:v>
      </x:c>
      <x:c r="F26" s="61" t="n">
        <x:v>10</x:v>
      </x:c>
      <x:c r="G26" s="61" t="n">
        <x:v>344</x:v>
      </x:c>
      <x:c r="H26" s="61" t="n">
        <x:v>176</x:v>
      </x:c>
      <x:c r="I26" s="61" t="n">
        <x:v>16</x:v>
      </x:c>
      <x:c r="J26" s="61" t="n">
        <x:v>7</x:v>
      </x:c>
      <x:c r="K26" s="61" t="n">
        <x:v>100</x:v>
      </x:c>
      <x:c r="L26" s="61" t="n">
        <x:v>19</x:v>
      </x:c>
      <x:c r="M26" s="61" t="n">
        <x:v>2968.338454199712</x:v>
      </x:c>
      <x:c r="N26" s="27" t="str">
        <x:v>YES</x:v>
      </x:c>
      <x:c r="O26" s="27" t="str">
        <x:v>YES</x:v>
      </x:c>
      <x:c r="P26" s="27" t="str">
        <x:v>YES</x:v>
      </x:c>
      <x:c r="Q26" s="27" t="str">
        <x:v>YES</x:v>
      </x:c>
    </x:row>
    <x:row r="27" ht="21.600000381469727" hidden="0" customHeight="1">
      <x:c r="A27" s="29" t="str">
        <x:v>SCA-23</x:v>
      </x:c>
      <x:c r="B27" s="29" t="str">
        <x:v>Fulton County, GA</x:v>
      </x:c>
      <x:c r="C27" s="62" t="n">
        <x:v>35784.08899999999</x:v>
      </x:c>
      <x:c r="D27" s="62" t="n">
        <x:v>18902.068426883456</x:v>
      </x:c>
      <x:c r="E27" s="62" t="n">
        <x:v>945.4839196416834</x:v>
      </x:c>
      <x:c r="F27" s="62" t="n">
        <x:v>14</x:v>
      </x:c>
      <x:c r="G27" s="62" t="n">
        <x:v>302</x:v>
      </x:c>
      <x:c r="H27" s="62" t="n">
        <x:v>138</x:v>
      </x:c>
      <x:c r="I27" s="62" t="n">
        <x:v>5</x:v>
      </x:c>
      <x:c r="J27" s="62" t="n">
        <x:v>2</x:v>
      </x:c>
      <x:c r="K27" s="62" t="n">
        <x:v>76</x:v>
      </x:c>
      <x:c r="L27" s="62" t="n">
        <x:v>13</x:v>
      </x:c>
      <x:c r="M27" s="62" t="n">
        <x:v>3013.3357214842254</x:v>
      </x:c>
      <x:c r="N27" s="29" t="str">
        <x:v>YES</x:v>
      </x:c>
      <x:c r="O27" s="29" t="str">
        <x:v>YES</x:v>
      </x:c>
      <x:c r="P27" s="29" t="str">
        <x:v>YES</x:v>
      </x:c>
      <x:c r="Q27" s="29" t="str">
        <x:v>YES</x:v>
      </x:c>
    </x:row>
    <x:row r="28" ht="21.600000381469727" hidden="0" customHeight="1">
      <x:c r="A28" s="27" t="str">
        <x:v>SCA-24</x:v>
      </x:c>
      <x:c r="B28" s="27" t="str">
        <x:v>Wayne County, MI</x:v>
      </x:c>
      <x:c r="C28" s="61" t="n">
        <x:v>14753.917000000001</x:v>
      </x:c>
      <x:c r="D28" s="61" t="n">
        <x:v>11547.854861596586</x:v>
      </x:c>
      <x:c r="E28" s="61" t="n">
        <x:v>925.4781572202015</x:v>
      </x:c>
      <x:c r="F28" s="61" t="n">
        <x:v>13</x:v>
      </x:c>
      <x:c r="G28" s="61" t="n">
        <x:v>365</x:v>
      </x:c>
      <x:c r="H28" s="61" t="n">
        <x:v>184</x:v>
      </x:c>
      <x:c r="I28" s="61" t="n">
        <x:v>36</x:v>
      </x:c>
      <x:c r="J28" s="61" t="n">
        <x:v>12</x:v>
      </x:c>
      <x:c r="K28" s="61" t="n">
        <x:v>336</x:v>
      </x:c>
      <x:c r="L28" s="61" t="n">
        <x:v>37</x:v>
      </x:c>
      <x:c r="M28" s="61" t="n">
        <x:v>8381.994642697679</x:v>
      </x:c>
      <x:c r="N28" s="27" t="str">
        <x:v>YES</x:v>
      </x:c>
      <x:c r="O28" s="27" t="str">
        <x:v>YES</x:v>
      </x:c>
      <x:c r="P28" s="27" t="str">
        <x:v>YES</x:v>
      </x:c>
      <x:c r="Q28" s="27" t="str">
        <x:v>YES</x:v>
      </x:c>
    </x:row>
    <x:row r="29" ht="21.600000381469727" hidden="0" customHeight="1">
      <x:c r="A29" s="29" t="str">
        <x:v>SCA-25</x:v>
      </x:c>
      <x:c r="B29" s="29" t="str">
        <x:v>Duval County, FL</x:v>
      </x:c>
      <x:c r="C29" s="62" t="n">
        <x:v>15374.636999999999</x:v>
      </x:c>
      <x:c r="D29" s="62" t="n">
        <x:v>5857.185684080369</x:v>
      </x:c>
      <x:c r="E29" s="62" t="n">
        <x:v>708.8738181343628</x:v>
      </x:c>
      <x:c r="F29" s="62" t="n">
        <x:v>10</x:v>
      </x:c>
      <x:c r="G29" s="62" t="n">
        <x:v>66</x:v>
      </x:c>
      <x:c r="H29" s="62" t="n">
        <x:v>8</x:v>
      </x:c>
      <x:c r="I29" s="62" t="n">
        <x:v>14</x:v>
      </x:c>
      <x:c r="J29" s="62" t="n">
        <x:v>4</x:v>
      </x:c>
      <x:c r="K29" s="62" t="n">
        <x:v>251</x:v>
      </x:c>
      <x:c r="L29" s="62" t="n">
        <x:v>15</x:v>
      </x:c>
      <x:c r="M29" s="62" t="n">
        <x:v>16217.37554424805</x:v>
      </x:c>
      <x:c r="N29" s="29" t="str">
        <x:v>YES</x:v>
      </x:c>
      <x:c r="O29" s="29" t="str">
        <x:v>YES</x:v>
      </x:c>
      <x:c r="P29" s="29" t="str">
        <x:v>YES</x:v>
      </x:c>
      <x:c r="Q29" s="29" t="str">
        <x:v>YES</x:v>
      </x:c>
    </x:row>
    <x:row r="30" ht="21.600000381469727" hidden="0" customHeight="1">
      <x:c r="A30" s="27" t="str">
        <x:v>SCA-26</x:v>
      </x:c>
      <x:c r="B30" s="27" t="str">
        <x:v>Hillsborough County, FL</x:v>
      </x:c>
      <x:c r="C30" s="61" t="n">
        <x:v>7999.209000000001</x:v>
      </x:c>
      <x:c r="D30" s="61" t="n">
        <x:v>2608.067892897631</x:v>
      </x:c>
      <x:c r="E30" s="61" t="n">
        <x:v>547.8431056785797</x:v>
      </x:c>
      <x:c r="F30" s="61" t="n">
        <x:v>9</x:v>
      </x:c>
      <x:c r="G30" s="61" t="n">
        <x:v>234</x:v>
      </x:c>
      <x:c r="H30" s="61" t="n">
        <x:v>100</x:v>
      </x:c>
      <x:c r="I30" s="61" t="n">
        <x:v>29</x:v>
      </x:c>
      <x:c r="J30" s="61" t="n">
        <x:v>3</x:v>
      </x:c>
      <x:c r="K30" s="61" t="n">
        <x:v>178</x:v>
      </x:c>
      <x:c r="L30" s="61" t="n">
        <x:v>12</x:v>
      </x:c>
      <x:c r="M30" s="61" t="n">
        <x:v>5819.500562119453</x:v>
      </x:c>
      <x:c r="N30" s="27" t="str">
        <x:v>YES</x:v>
      </x:c>
      <x:c r="O30" s="27" t="str">
        <x:v>YES</x:v>
      </x:c>
      <x:c r="P30" s="27" t="str">
        <x:v>YES</x:v>
      </x:c>
      <x:c r="Q30" s="27" t="str">
        <x:v>YES</x:v>
      </x:c>
    </x:row>
    <x:row r="31" ht="21.600000381469727" hidden="0" customHeight="1">
      <x:c r="A31" s="29" t="str">
        <x:v>SCA-27</x:v>
      </x:c>
      <x:c r="B31" s="29" t="str">
        <x:v>Miami-Dade County, FL</x:v>
      </x:c>
      <x:c r="C31" s="62" t="n">
        <x:v>3694.470000000001</x:v>
      </x:c>
      <x:c r="D31" s="62" t="n">
        <x:v>1069.7167506131773</x:v>
      </x:c>
      <x:c r="E31" s="62" t="n">
        <x:v>404.5519097898528</x:v>
      </x:c>
      <x:c r="F31" s="62" t="n">
        <x:v>6</x:v>
      </x:c>
      <x:c r="G31" s="62" t="n">
        <x:v>292</x:v>
      </x:c>
      <x:c r="H31" s="62" t="n">
        <x:v>221</x:v>
      </x:c>
      <x:c r="I31" s="62" t="n">
        <x:v>4</x:v>
      </x:c>
      <x:c r="J31" s="62" t="n">
        <x:v>3</x:v>
      </x:c>
      <x:c r="K31" s="62" t="n">
        <x:v>112</x:v>
      </x:c>
      <x:c r="L31" s="62" t="n">
        <x:v>8</x:v>
      </x:c>
      <x:c r="M31" s="62" t="n">
        <x:v>7849.414535743501</x:v>
      </x:c>
      <x:c r="N31" s="29" t="str">
        <x:v>YES</x:v>
      </x:c>
      <x:c r="O31" s="29" t="str">
        <x:v>YES</x:v>
      </x:c>
      <x:c r="P31" s="29" t="str">
        <x:v>YES</x:v>
      </x:c>
      <x:c r="Q31" s="29" t="str">
        <x:v>YES</x:v>
      </x:c>
    </x:row>
    <x:row r="32" ht="21.600000381469727" hidden="0" customHeight="1">
      <x:c r="A32" s="27" t="str">
        <x:v>SCA-28</x:v>
      </x:c>
      <x:c r="B32" s="27" t="str">
        <x:v>Franklin County, OH</x:v>
      </x:c>
      <x:c r="C32" s="61" t="n">
        <x:v>8892.262999999999</x:v>
      </x:c>
      <x:c r="D32" s="61" t="n">
        <x:v>20271.475835302554</x:v>
      </x:c>
      <x:c r="E32" s="61" t="n">
        <x:v>2310.374450265643</x:v>
      </x:c>
      <x:c r="F32" s="61" t="n">
        <x:v>15</x:v>
      </x:c>
      <x:c r="G32" s="61" t="n">
        <x:v>1337</x:v>
      </x:c>
      <x:c r="H32" s="61" t="n">
        <x:v>918</x:v>
      </x:c>
      <x:c r="I32" s="61" t="n">
        <x:v>12</x:v>
      </x:c>
      <x:c r="J32" s="61" t="n">
        <x:v>2</x:v>
      </x:c>
      <x:c r="K32" s="61" t="n">
        <x:v>240</x:v>
      </x:c>
      <x:c r="L32" s="61" t="n">
        <x:v>23</x:v>
      </x:c>
      <x:c r="M32" s="61" t="n">
        <x:v>4845.461178316113</x:v>
      </x:c>
      <x:c r="N32" s="27" t="str">
        <x:v>YES</x:v>
      </x:c>
      <x:c r="O32" s="27" t="str">
        <x:v>YES</x:v>
      </x:c>
      <x:c r="P32" s="27" t="str">
        <x:v>YES</x:v>
      </x:c>
      <x:c r="Q32" s="27" t="str">
        <x:v>YES</x:v>
      </x:c>
    </x:row>
    <x:row r="33" ht="21.600000381469727" hidden="0" customHeight="1">
      <x:c r="A33" s="29" t="str">
        <x:v>SCA-29</x:v>
      </x:c>
      <x:c r="B33" s="29" t="str">
        <x:v>Wake County, NC</x:v>
      </x:c>
      <x:c r="C33" s="62" t="n">
        <x:v>15988.224999999995</x:v>
      </x:c>
      <x:c r="D33" s="62" t="n">
        <x:v>15219.695616540394</x:v>
      </x:c>
      <x:c r="E33" s="62" t="n">
        <x:v>2599.096213660515</x:v>
      </x:c>
      <x:c r="F33" s="62" t="n">
        <x:v>18</x:v>
      </x:c>
      <x:c r="G33" s="62" t="n">
        <x:v>339</x:v>
      </x:c>
      <x:c r="H33" s="62" t="n">
        <x:v>121</x:v>
      </x:c>
      <x:c r="I33" s="62" t="n">
        <x:v>49</x:v>
      </x:c>
      <x:c r="J33" s="62" t="n">
        <x:v>4</x:v>
      </x:c>
      <x:c r="K33" s="62" t="n">
        <x:v>505</x:v>
      </x:c>
      <x:c r="L33" s="62" t="n">
        <x:v>22</x:v>
      </x:c>
      <x:c r="M33" s="62" t="n">
        <x:v>20700.50922501903</x:v>
      </x:c>
      <x:c r="N33" s="29" t="str">
        <x:v>YES</x:v>
      </x:c>
      <x:c r="O33" s="29" t="str">
        <x:v>YES</x:v>
      </x:c>
      <x:c r="P33" s="29" t="str">
        <x:v>YES</x:v>
      </x:c>
      <x:c r="Q33" s="29" t="str">
        <x:v>YES</x:v>
      </x:c>
    </x:row>
    <x:row r="34" ht="21.600000381469727" hidden="0" customHeight="1">
      <x:c r="A34" s="27" t="str">
        <x:v>SCA-30</x:v>
      </x:c>
      <x:c r="B34" s="27" t="str">
        <x:v>Kings County, NY</x:v>
      </x:c>
      <x:c r="C34" s="61" t="n">
        <x:v>25194.174999999996</x:v>
      </x:c>
      <x:c r="D34" s="61" t="n">
        <x:v>13330.302425595868</x:v>
      </x:c>
      <x:c r="E34" s="61" t="n">
        <x:v>3327.7414522624667</x:v>
      </x:c>
      <x:c r="F34" s="61" t="n">
        <x:v>20</x:v>
      </x:c>
      <x:c r="G34" s="61" t="n">
        <x:v>3674</x:v>
      </x:c>
      <x:c r="H34" s="61" t="n">
        <x:v>2117</x:v>
      </x:c>
      <x:c r="I34" s="61" t="n">
        <x:v>116</x:v>
      </x:c>
      <x:c r="J34" s="61" t="n">
        <x:v>8</x:v>
      </x:c>
      <x:c r="K34" s="61" t="n">
        <x:v>792</x:v>
      </x:c>
      <x:c r="L34" s="61" t="n">
        <x:v>49</x:v>
      </x:c>
      <x:c r="M34" s="61" t="n">
        <x:v>20128.129552283644</x:v>
      </x:c>
      <x:c r="N34" s="27" t="str">
        <x:v>YES</x:v>
      </x:c>
      <x:c r="O34" s="27" t="str">
        <x:v>YES</x:v>
      </x:c>
      <x:c r="P34" s="27" t="str">
        <x:v>YES</x:v>
      </x:c>
      <x:c r="Q34" s="27" t="str">
        <x:v>YES</x:v>
      </x:c>
    </x:row>
    <x:row r="35" ht="21.600000381469727" hidden="0" customHeight="1">
      <x:c r="A35" s="29" t="str">
        <x:v>SCA-31</x:v>
      </x:c>
      <x:c r="B35" s="29" t="str">
        <x:v>Middlesex County, MA</x:v>
      </x:c>
      <x:c r="C35" s="62" t="n">
        <x:v>21572.402999999995</x:v>
      </x:c>
      <x:c r="D35" s="62" t="n">
        <x:v>9197.608599091674</x:v>
      </x:c>
      <x:c r="E35" s="62" t="n">
        <x:v>2735.0657887257084</x:v>
      </x:c>
      <x:c r="F35" s="62" t="n">
        <x:v>20</x:v>
      </x:c>
      <x:c r="G35" s="62" t="n">
        <x:v>1317</x:v>
      </x:c>
      <x:c r="H35" s="62" t="n">
        <x:v>713</x:v>
      </x:c>
      <x:c r="I35" s="62" t="n">
        <x:v>191</x:v>
      </x:c>
      <x:c r="J35" s="62" t="n">
        <x:v>6</x:v>
      </x:c>
      <x:c r="K35" s="62" t="n">
        <x:v>1024</x:v>
      </x:c>
      <x:c r="L35" s="62" t="n">
        <x:v>46</x:v>
      </x:c>
      <x:c r="M35" s="62" t="n">
        <x:v>35040.23068440509</x:v>
      </x:c>
      <x:c r="N35" s="29" t="str">
        <x:v>YES</x:v>
      </x:c>
      <x:c r="O35" s="29" t="str">
        <x:v>YES</x:v>
      </x:c>
      <x:c r="P35" s="29" t="str">
        <x:v>YES</x:v>
      </x:c>
      <x:c r="Q35" s="29" t="str">
        <x:v>YES</x:v>
      </x:c>
    </x:row>
    <x:row r="36" ht="32.400001525878906" hidden="0" customHeight="1">
      <x:c r="A36" s="27" t="str">
        <x:v>SCA-32</x:v>
      </x:c>
      <x:c r="B36" s="27" t="str">
        <x:v>San Juan Municipio, PR</x:v>
      </x:c>
      <x:c r="C36" s="61" t="n">
        <x:v>0</x:v>
      </x:c>
      <x:c r="D36" s="61" t="n">
        <x:v>0</x:v>
      </x:c>
      <x:c r="E36" s="61" t="n">
        <x:v>0</x:v>
      </x:c>
      <x:c r="F36" s="61" t="n">
        <x:v>9</x:v>
      </x:c>
      <x:c r="G36" s="61" t="n">
        <x:v>0</x:v>
      </x:c>
      <x:c r="H36" s="61" t="n">
        <x:v>0</x:v>
      </x:c>
      <x:c r="I36" s="61" t="n">
        <x:v>26</x:v>
      </x:c>
      <x:c r="J36" s="61" t="n">
        <x:v>4</x:v>
      </x:c>
      <x:c r="K36" s="61" t="n">
        <x:v>61</x:v>
      </x:c>
      <x:c r="L36" s="61" t="n">
        <x:v>10</x:v>
      </x:c>
      <x:c r="M36" s="61" t="n">
        <x:v>36277.92883162824</x:v>
      </x:c>
      <x:c r="N36" s="27" t="str">
        <x:v>NO</x:v>
      </x:c>
      <x:c r="O36" s="27" t="str">
        <x:v>NO</x:v>
      </x:c>
      <x:c r="P36" s="27" t="str">
        <x:v>YES</x:v>
      </x:c>
      <x:c r="Q36" s="27" t="str">
        <x:v>YES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50" hidden="0" customWidth="1"/>
  </x:cols>
  <x:sheetData>
    <x:row r="1" ht="29" customHeight="1">
      <x:c r="A1" s="83" t="str">
        <x:v>Catchment network edges</x:v>
      </x:c>
      <x:c r="B1" s="83"/>
      <x:c r="C1" s="83"/>
      <x:c r="D1" s="83"/>
      <x:c r="E1" s="83"/>
    </x:row>
    <x:row r="2" ht="31" customHeight="1">
      <x:c r="A2" s="84" t="str">
        <x:v>Road edges require NHPN coverage on shared-boundary catchments. Rail edges are inferred from NARN FRA nodes shared by links assigned to different catchments.</x:v>
      </x:c>
      <x:c r="B2" s="84"/>
      <x:c r="C2" s="84"/>
      <x:c r="D2" s="84"/>
      <x:c r="E2" s="84"/>
    </x:row>
    <x:row r="3">
      <x:c r="A3" s="85"/>
      <x:c r="B3" s="85"/>
      <x:c r="C3" s="85"/>
      <x:c r="D3" s="85"/>
      <x:c r="E3" s="85"/>
    </x:row>
    <x:row r="4" ht="32" customHeight="1">
      <x:c r="A4" s="86" t="str">
        <x:v>Mode</x:v>
      </x:c>
      <x:c r="B4" s="87" t="str">
        <x:v>From</x:v>
      </x:c>
      <x:c r="C4" s="87" t="str">
        <x:v>To</x:v>
      </x:c>
      <x:c r="D4" s="87" t="str">
        <x:v>Screen km</x:v>
      </x:c>
      <x:c r="E4" s="88" t="str">
        <x:v>Construction rule</x:v>
      </x:c>
    </x:row>
    <x:row r="5" ht="43.20000076293945" hidden="0" customHeight="1">
      <x:c r="A5" s="28" t="str">
        <x:v>ROAD</x:v>
      </x:c>
      <x:c r="B5" s="28" t="str">
        <x:v>SCA-03</x:v>
      </x:c>
      <x:c r="C5" s="28" t="str">
        <x:v>SCA-04</x:v>
      </x:c>
      <x:c r="D5" s="60" t="n">
        <x:v>1089.1382340922758</x:v>
      </x:c>
      <x:c r="E5" s="28" t="str">
        <x:v>NHPN coverage + Census adjacency</x:v>
      </x:c>
    </x:row>
    <x:row r="6" ht="43.20000076293945" hidden="0" customHeight="1">
      <x:c r="A6" s="27" t="str">
        <x:v>ROAD</x:v>
      </x:c>
      <x:c r="B6" s="27" t="str">
        <x:v>SCA-03</x:v>
      </x:c>
      <x:c r="C6" s="27" t="str">
        <x:v>SCA-08</x:v>
      </x:c>
      <x:c r="D6" s="61" t="n">
        <x:v>644.65487507251</x:v>
      </x:c>
      <x:c r="E6" s="27" t="str">
        <x:v>NHPN coverage + Census adjacency</x:v>
      </x:c>
    </x:row>
    <x:row r="7" ht="43.20000076293945" hidden="0" customHeight="1">
      <x:c r="A7" s="29" t="str">
        <x:v>ROAD</x:v>
      </x:c>
      <x:c r="B7" s="29" t="str">
        <x:v>SCA-04</x:v>
      </x:c>
      <x:c r="C7" s="29" t="str">
        <x:v>SCA-05</x:v>
      </x:c>
      <x:c r="D7" s="62" t="n">
        <x:v>589.3331503114186</x:v>
      </x:c>
      <x:c r="E7" s="29" t="str">
        <x:v>NHPN coverage + Census adjacency</x:v>
      </x:c>
    </x:row>
    <x:row r="8" ht="43.20000076293945" hidden="0" customHeight="1">
      <x:c r="A8" s="27" t="str">
        <x:v>ROAD</x:v>
      </x:c>
      <x:c r="B8" s="27" t="str">
        <x:v>SCA-04</x:v>
      </x:c>
      <x:c r="C8" s="27" t="str">
        <x:v>SCA-07</x:v>
      </x:c>
      <x:c r="D8" s="61" t="n">
        <x:v>700.6041866526447</x:v>
      </x:c>
      <x:c r="E8" s="27" t="str">
        <x:v>NHPN coverage + Census adjacency</x:v>
      </x:c>
    </x:row>
    <x:row r="9" ht="43.20000076293945" hidden="0" customHeight="1">
      <x:c r="A9" s="29" t="str">
        <x:v>ROAD</x:v>
      </x:c>
      <x:c r="B9" s="29" t="str">
        <x:v>SCA-04</x:v>
      </x:c>
      <x:c r="C9" s="29" t="str">
        <x:v>SCA-08</x:v>
      </x:c>
      <x:c r="D9" s="62" t="n">
        <x:v>1055.1636743112826</x:v>
      </x:c>
      <x:c r="E9" s="29" t="str">
        <x:v>NHPN coverage + Census adjacency</x:v>
      </x:c>
    </x:row>
    <x:row r="10" ht="43.20000076293945" hidden="0" customHeight="1">
      <x:c r="A10" s="27" t="str">
        <x:v>ROAD</x:v>
      </x:c>
      <x:c r="B10" s="27" t="str">
        <x:v>SCA-05</x:v>
      </x:c>
      <x:c r="C10" s="27" t="str">
        <x:v>SCA-06</x:v>
      </x:c>
      <x:c r="D10" s="61" t="n">
        <x:v>240.75737228012326</x:v>
      </x:c>
      <x:c r="E10" s="27" t="str">
        <x:v>NHPN coverage + Census adjacency</x:v>
      </x:c>
    </x:row>
    <x:row r="11" ht="43.20000076293945" hidden="0" customHeight="1">
      <x:c r="A11" s="29" t="str">
        <x:v>ROAD</x:v>
      </x:c>
      <x:c r="B11" s="29" t="str">
        <x:v>SCA-05</x:v>
      </x:c>
      <x:c r="C11" s="29" t="str">
        <x:v>SCA-07</x:v>
      </x:c>
      <x:c r="D11" s="62" t="n">
        <x:v>360.20109461621297</x:v>
      </x:c>
      <x:c r="E11" s="29" t="str">
        <x:v>NHPN coverage + Census adjacency</x:v>
      </x:c>
    </x:row>
    <x:row r="12" ht="43.20000076293945" hidden="0" customHeight="1">
      <x:c r="A12" s="27" t="str">
        <x:v>ROAD</x:v>
      </x:c>
      <x:c r="B12" s="27" t="str">
        <x:v>SCA-06</x:v>
      </x:c>
      <x:c r="C12" s="27" t="str">
        <x:v>SCA-07</x:v>
      </x:c>
      <x:c r="D12" s="61" t="n">
        <x:v>322.58414406801626</x:v>
      </x:c>
      <x:c r="E12" s="27" t="str">
        <x:v>NHPN coverage + Census adjacency</x:v>
      </x:c>
    </x:row>
    <x:row r="13" ht="43.20000076293945" hidden="0" customHeight="1">
      <x:c r="A13" s="29" t="str">
        <x:v>ROAD</x:v>
      </x:c>
      <x:c r="B13" s="29" t="str">
        <x:v>SCA-06</x:v>
      </x:c>
      <x:c r="C13" s="29" t="str">
        <x:v>SCA-09</x:v>
      </x:c>
      <x:c r="D13" s="62" t="n">
        <x:v>449.719451761831</x:v>
      </x:c>
      <x:c r="E13" s="29" t="str">
        <x:v>NHPN coverage + Census adjacency</x:v>
      </x:c>
    </x:row>
    <x:row r="14" ht="43.20000076293945" hidden="0" customHeight="1">
      <x:c r="A14" s="27" t="str">
        <x:v>ROAD</x:v>
      </x:c>
      <x:c r="B14" s="27" t="str">
        <x:v>SCA-07</x:v>
      </x:c>
      <x:c r="C14" s="27" t="str">
        <x:v>SCA-08</x:v>
      </x:c>
      <x:c r="D14" s="61" t="n">
        <x:v>1154.381024963696</x:v>
      </x:c>
      <x:c r="E14" s="27" t="str">
        <x:v>NHPN coverage + Census adjacency</x:v>
      </x:c>
    </x:row>
    <x:row r="15" ht="43.20000076293945" hidden="0" customHeight="1">
      <x:c r="A15" s="29" t="str">
        <x:v>ROAD</x:v>
      </x:c>
      <x:c r="B15" s="29" t="str">
        <x:v>SCA-07</x:v>
      </x:c>
      <x:c r="C15" s="29" t="str">
        <x:v>SCA-09</x:v>
      </x:c>
      <x:c r="D15" s="62" t="n">
        <x:v>462.13619267402527</x:v>
      </x:c>
      <x:c r="E15" s="29" t="str">
        <x:v>NHPN coverage + Census adjacency</x:v>
      </x:c>
    </x:row>
    <x:row r="16" ht="43.20000076293945" hidden="0" customHeight="1">
      <x:c r="A16" s="27" t="str">
        <x:v>ROAD</x:v>
      </x:c>
      <x:c r="B16" s="27" t="str">
        <x:v>SCA-07</x:v>
      </x:c>
      <x:c r="C16" s="27" t="str">
        <x:v>SCA-10</x:v>
      </x:c>
      <x:c r="D16" s="61" t="n">
        <x:v>814.1993026094544</x:v>
      </x:c>
      <x:c r="E16" s="27" t="str">
        <x:v>NHPN coverage + Census adjacency</x:v>
      </x:c>
    </x:row>
    <x:row r="17" ht="43.20000076293945" hidden="0" customHeight="1">
      <x:c r="A17" s="29" t="str">
        <x:v>ROAD</x:v>
      </x:c>
      <x:c r="B17" s="29" t="str">
        <x:v>SCA-08</x:v>
      </x:c>
      <x:c r="C17" s="29" t="str">
        <x:v>SCA-10</x:v>
      </x:c>
      <x:c r="D17" s="62" t="n">
        <x:v>556.5297166239362</x:v>
      </x:c>
      <x:c r="E17" s="29" t="str">
        <x:v>NHPN coverage + Census adjacency</x:v>
      </x:c>
    </x:row>
    <x:row r="18" ht="43.20000076293945" hidden="0" customHeight="1">
      <x:c r="A18" s="27" t="str">
        <x:v>ROAD</x:v>
      </x:c>
      <x:c r="B18" s="27" t="str">
        <x:v>SCA-08</x:v>
      </x:c>
      <x:c r="C18" s="27" t="str">
        <x:v>SCA-12</x:v>
      </x:c>
      <x:c r="D18" s="61" t="n">
        <x:v>1171.8343946623772</x:v>
      </x:c>
      <x:c r="E18" s="27" t="str">
        <x:v>NHPN coverage + Census adjacency</x:v>
      </x:c>
    </x:row>
    <x:row r="19" ht="43.20000076293945" hidden="0" customHeight="1">
      <x:c r="A19" s="29" t="str">
        <x:v>ROAD</x:v>
      </x:c>
      <x:c r="B19" s="29" t="str">
        <x:v>SCA-08</x:v>
      </x:c>
      <x:c r="C19" s="29" t="str">
        <x:v>SCA-18</x:v>
      </x:c>
      <x:c r="D19" s="62" t="n">
        <x:v>1903.9325673959372</x:v>
      </x:c>
      <x:c r="E19" s="29" t="str">
        <x:v>NHPN coverage + Census adjacency</x:v>
      </x:c>
    </x:row>
    <x:row r="20" ht="43.20000076293945" hidden="0" customHeight="1">
      <x:c r="A20" s="27" t="str">
        <x:v>ROAD</x:v>
      </x:c>
      <x:c r="B20" s="27" t="str">
        <x:v>SCA-09</x:v>
      </x:c>
      <x:c r="C20" s="27" t="str">
        <x:v>SCA-10</x:v>
      </x:c>
      <x:c r="D20" s="61" t="n">
        <x:v>1029.8175444495755</x:v>
      </x:c>
      <x:c r="E20" s="27" t="str">
        <x:v>NHPN coverage + Census adjacency</x:v>
      </x:c>
    </x:row>
    <x:row r="21" ht="43.20000076293945" hidden="0" customHeight="1">
      <x:c r="A21" s="29" t="str">
        <x:v>ROAD</x:v>
      </x:c>
      <x:c r="B21" s="29" t="str">
        <x:v>SCA-09</x:v>
      </x:c>
      <x:c r="C21" s="29" t="str">
        <x:v>SCA-11</x:v>
      </x:c>
      <x:c r="D21" s="62" t="n">
        <x:v>751.7523514696105</x:v>
      </x:c>
      <x:c r="E21" s="29" t="str">
        <x:v>NHPN coverage + Census adjacency</x:v>
      </x:c>
    </x:row>
    <x:row r="22" ht="43.20000076293945" hidden="0" customHeight="1">
      <x:c r="A22" s="27" t="str">
        <x:v>ROAD</x:v>
      </x:c>
      <x:c r="B22" s="27" t="str">
        <x:v>SCA-09</x:v>
      </x:c>
      <x:c r="C22" s="27" t="str">
        <x:v>SCA-12</x:v>
      </x:c>
      <x:c r="D22" s="61" t="n">
        <x:v>1096.0763414588143</x:v>
      </x:c>
      <x:c r="E22" s="27" t="str">
        <x:v>NHPN coverage + Census adjacency</x:v>
      </x:c>
    </x:row>
    <x:row r="23" ht="43.20000076293945" hidden="0" customHeight="1">
      <x:c r="A23" s="29" t="str">
        <x:v>ROAD</x:v>
      </x:c>
      <x:c r="B23" s="29" t="str">
        <x:v>SCA-10</x:v>
      </x:c>
      <x:c r="C23" s="29" t="str">
        <x:v>SCA-12</x:v>
      </x:c>
      <x:c r="D23" s="62" t="n">
        <x:v>676.2579622464422</x:v>
      </x:c>
      <x:c r="E23" s="29" t="str">
        <x:v>NHPN coverage + Census adjacency</x:v>
      </x:c>
    </x:row>
    <x:row r="24" ht="43.20000076293945" hidden="0" customHeight="1">
      <x:c r="A24" s="27" t="str">
        <x:v>ROAD</x:v>
      </x:c>
      <x:c r="B24" s="27" t="str">
        <x:v>SCA-11</x:v>
      </x:c>
      <x:c r="C24" s="27" t="str">
        <x:v>SCA-12</x:v>
      </x:c>
      <x:c r="D24" s="61" t="n">
        <x:v>800.139186020009</x:v>
      </x:c>
      <x:c r="E24" s="27" t="str">
        <x:v>NHPN coverage + Census adjacency</x:v>
      </x:c>
    </x:row>
    <x:row r="25" ht="43.20000076293945" hidden="0" customHeight="1">
      <x:c r="A25" s="29" t="str">
        <x:v>ROAD</x:v>
      </x:c>
      <x:c r="B25" s="29" t="str">
        <x:v>SCA-11</x:v>
      </x:c>
      <x:c r="C25" s="29" t="str">
        <x:v>SCA-15</x:v>
      </x:c>
      <x:c r="D25" s="62" t="n">
        <x:v>905.3776684644371</x:v>
      </x:c>
      <x:c r="E25" s="29" t="str">
        <x:v>NHPN coverage + Census adjacency</x:v>
      </x:c>
    </x:row>
    <x:row r="26" ht="43.20000076293945" hidden="0" customHeight="1">
      <x:c r="A26" s="27" t="str">
        <x:v>ROAD</x:v>
      </x:c>
      <x:c r="B26" s="27" t="str">
        <x:v>SCA-12</x:v>
      </x:c>
      <x:c r="C26" s="27" t="str">
        <x:v>SCA-15</x:v>
      </x:c>
      <x:c r="D26" s="61" t="n">
        <x:v>1175.6494045863742</x:v>
      </x:c>
      <x:c r="E26" s="27" t="str">
        <x:v>NHPN coverage + Census adjacency</x:v>
      </x:c>
    </x:row>
    <x:row r="27" ht="43.20000076293945" hidden="0" customHeight="1">
      <x:c r="A27" s="29" t="str">
        <x:v>ROAD</x:v>
      </x:c>
      <x:c r="B27" s="29" t="str">
        <x:v>SCA-12</x:v>
      </x:c>
      <x:c r="C27" s="29" t="str">
        <x:v>SCA-16</x:v>
      </x:c>
      <x:c r="D27" s="62" t="n">
        <x:v>892.117241993101</x:v>
      </x:c>
      <x:c r="E27" s="29" t="str">
        <x:v>NHPN coverage + Census adjacency</x:v>
      </x:c>
    </x:row>
    <x:row r="28" ht="43.20000076293945" hidden="0" customHeight="1">
      <x:c r="A28" s="27" t="str">
        <x:v>ROAD</x:v>
      </x:c>
      <x:c r="B28" s="27" t="str">
        <x:v>SCA-12</x:v>
      </x:c>
      <x:c r="C28" s="27" t="str">
        <x:v>SCA-18</x:v>
      </x:c>
      <x:c r="D28" s="61" t="n">
        <x:v>1231.454291671457</x:v>
      </x:c>
      <x:c r="E28" s="27" t="str">
        <x:v>NHPN coverage + Census adjacency</x:v>
      </x:c>
    </x:row>
    <x:row r="29" ht="43.20000076293945" hidden="0" customHeight="1">
      <x:c r="A29" s="29" t="str">
        <x:v>ROAD</x:v>
      </x:c>
      <x:c r="B29" s="29" t="str">
        <x:v>SCA-15</x:v>
      </x:c>
      <x:c r="C29" s="29" t="str">
        <x:v>SCA-16</x:v>
      </x:c>
      <x:c r="D29" s="62" t="n">
        <x:v>650.0266869489054</x:v>
      </x:c>
      <x:c r="E29" s="29" t="str">
        <x:v>NHPN coverage + Census adjacency</x:v>
      </x:c>
    </x:row>
    <x:row r="30" ht="43.20000076293945" hidden="0" customHeight="1">
      <x:c r="A30" s="27" t="str">
        <x:v>ROAD</x:v>
      </x:c>
      <x:c r="B30" s="27" t="str">
        <x:v>SCA-15</x:v>
      </x:c>
      <x:c r="C30" s="27" t="str">
        <x:v>SCA-17</x:v>
      </x:c>
      <x:c r="D30" s="61" t="n">
        <x:v>468.812392822971</x:v>
      </x:c>
      <x:c r="E30" s="27" t="str">
        <x:v>NHPN coverage + Census adjacency</x:v>
      </x:c>
    </x:row>
    <x:row r="31" ht="43.20000076293945" hidden="0" customHeight="1">
      <x:c r="A31" s="29" t="str">
        <x:v>ROAD</x:v>
      </x:c>
      <x:c r="B31" s="29" t="str">
        <x:v>SCA-15</x:v>
      </x:c>
      <x:c r="C31" s="29" t="str">
        <x:v>SCA-20</x:v>
      </x:c>
      <x:c r="D31" s="62" t="n">
        <x:v>722.9933446804496</x:v>
      </x:c>
      <x:c r="E31" s="29" t="str">
        <x:v>NHPN coverage + Census adjacency</x:v>
      </x:c>
    </x:row>
    <x:row r="32" ht="43.20000076293945" hidden="0" customHeight="1">
      <x:c r="A32" s="27" t="str">
        <x:v>ROAD</x:v>
      </x:c>
      <x:c r="B32" s="27" t="str">
        <x:v>SCA-16</x:v>
      </x:c>
      <x:c r="C32" s="27" t="str">
        <x:v>SCA-18</x:v>
      </x:c>
      <x:c r="D32" s="61" t="n">
        <x:v>871.6972650281631</x:v>
      </x:c>
      <x:c r="E32" s="27" t="str">
        <x:v>NHPN coverage + Census adjacency</x:v>
      </x:c>
    </x:row>
    <x:row r="33" ht="43.20000076293945" hidden="0" customHeight="1">
      <x:c r="A33" s="29" t="str">
        <x:v>ROAD</x:v>
      </x:c>
      <x:c r="B33" s="29" t="str">
        <x:v>SCA-16</x:v>
      </x:c>
      <x:c r="C33" s="29" t="str">
        <x:v>SCA-19</x:v>
      </x:c>
      <x:c r="D33" s="62" t="n">
        <x:v>521.4851739290159</x:v>
      </x:c>
      <x:c r="E33" s="29" t="str">
        <x:v>NHPN coverage + Census adjacency</x:v>
      </x:c>
    </x:row>
    <x:row r="34" ht="43.20000076293945" hidden="0" customHeight="1">
      <x:c r="A34" s="27" t="str">
        <x:v>ROAD</x:v>
      </x:c>
      <x:c r="B34" s="27" t="str">
        <x:v>SCA-16</x:v>
      </x:c>
      <x:c r="C34" s="27" t="str">
        <x:v>SCA-20</x:v>
      </x:c>
      <x:c r="D34" s="61" t="n">
        <x:v>809.125688550762</x:v>
      </x:c>
      <x:c r="E34" s="27" t="str">
        <x:v>NHPN coverage + Census adjacency</x:v>
      </x:c>
    </x:row>
    <x:row r="35" ht="43.20000076293945" hidden="0" customHeight="1">
      <x:c r="A35" s="29" t="str">
        <x:v>ROAD</x:v>
      </x:c>
      <x:c r="B35" s="29" t="str">
        <x:v>SCA-17</x:v>
      </x:c>
      <x:c r="C35" s="29" t="str">
        <x:v>SCA-20</x:v>
      </x:c>
      <x:c r="D35" s="62" t="n">
        <x:v>690.2900245636336</x:v>
      </x:c>
      <x:c r="E35" s="29" t="str">
        <x:v>NHPN coverage + Census adjacency</x:v>
      </x:c>
    </x:row>
    <x:row r="36" ht="43.20000076293945" hidden="0" customHeight="1">
      <x:c r="A36" s="27" t="str">
        <x:v>ROAD</x:v>
      </x:c>
      <x:c r="B36" s="27" t="str">
        <x:v>SCA-18</x:v>
      </x:c>
      <x:c r="C36" s="27" t="str">
        <x:v>SCA-19</x:v>
      </x:c>
      <x:c r="D36" s="61" t="n">
        <x:v>819.8756982586646</x:v>
      </x:c>
      <x:c r="E36" s="27" t="str">
        <x:v>NHPN coverage + Census adjacency</x:v>
      </x:c>
    </x:row>
    <x:row r="37" ht="43.20000076293945" hidden="0" customHeight="1">
      <x:c r="A37" s="29" t="str">
        <x:v>ROAD</x:v>
      </x:c>
      <x:c r="B37" s="29" t="str">
        <x:v>SCA-18</x:v>
      </x:c>
      <x:c r="C37" s="29" t="str">
        <x:v>SCA-21</x:v>
      </x:c>
      <x:c r="D37" s="62" t="n">
        <x:v>641.6015461058649</x:v>
      </x:c>
      <x:c r="E37" s="29" t="str">
        <x:v>NHPN coverage + Census adjacency</x:v>
      </x:c>
    </x:row>
    <x:row r="38" ht="43.20000076293945" hidden="0" customHeight="1">
      <x:c r="A38" s="27" t="str">
        <x:v>ROAD</x:v>
      </x:c>
      <x:c r="B38" s="27" t="str">
        <x:v>SCA-19</x:v>
      </x:c>
      <x:c r="C38" s="27" t="str">
        <x:v>SCA-20</x:v>
      </x:c>
      <x:c r="D38" s="61" t="n">
        <x:v>601.5460798157927</x:v>
      </x:c>
      <x:c r="E38" s="27" t="str">
        <x:v>NHPN coverage + Census adjacency</x:v>
      </x:c>
    </x:row>
    <x:row r="39" ht="43.20000076293945" hidden="0" customHeight="1">
      <x:c r="A39" s="29" t="str">
        <x:v>ROAD</x:v>
      </x:c>
      <x:c r="B39" s="29" t="str">
        <x:v>SCA-19</x:v>
      </x:c>
      <x:c r="C39" s="29" t="str">
        <x:v>SCA-21</x:v>
      </x:c>
      <x:c r="D39" s="62" t="n">
        <x:v>525.5273611751038</x:v>
      </x:c>
      <x:c r="E39" s="29" t="str">
        <x:v>NHPN coverage + Census adjacency</x:v>
      </x:c>
    </x:row>
    <x:row r="40" ht="43.20000076293945" hidden="0" customHeight="1">
      <x:c r="A40" s="27" t="str">
        <x:v>ROAD</x:v>
      </x:c>
      <x:c r="B40" s="27" t="str">
        <x:v>SCA-19</x:v>
      </x:c>
      <x:c r="C40" s="27" t="str">
        <x:v>SCA-22</x:v>
      </x:c>
      <x:c r="D40" s="61" t="n">
        <x:v>557.5826308603289</x:v>
      </x:c>
      <x:c r="E40" s="27" t="str">
        <x:v>NHPN coverage + Census adjacency</x:v>
      </x:c>
    </x:row>
    <x:row r="41" ht="43.20000076293945" hidden="0" customHeight="1">
      <x:c r="A41" s="29" t="str">
        <x:v>ROAD</x:v>
      </x:c>
      <x:c r="B41" s="29" t="str">
        <x:v>SCA-20</x:v>
      </x:c>
      <x:c r="C41" s="29" t="str">
        <x:v>SCA-22</x:v>
      </x:c>
      <x:c r="D41" s="62" t="n">
        <x:v>729.489881041236</x:v>
      </x:c>
      <x:c r="E41" s="29" t="str">
        <x:v>NHPN coverage + Census adjacency</x:v>
      </x:c>
    </x:row>
    <x:row r="42" ht="43.20000076293945" hidden="0" customHeight="1">
      <x:c r="A42" s="27" t="str">
        <x:v>ROAD</x:v>
      </x:c>
      <x:c r="B42" s="27" t="str">
        <x:v>SCA-20</x:v>
      </x:c>
      <x:c r="C42" s="27" t="str">
        <x:v>SCA-23</x:v>
      </x:c>
      <x:c r="D42" s="61" t="n">
        <x:v>579.4989938491954</x:v>
      </x:c>
      <x:c r="E42" s="27" t="str">
        <x:v>NHPN coverage + Census adjacency</x:v>
      </x:c>
    </x:row>
    <x:row r="43" ht="43.20000076293945" hidden="0" customHeight="1">
      <x:c r="A43" s="29" t="str">
        <x:v>ROAD</x:v>
      </x:c>
      <x:c r="B43" s="29" t="str">
        <x:v>SCA-21</x:v>
      </x:c>
      <x:c r="C43" s="29" t="str">
        <x:v>SCA-22</x:v>
      </x:c>
      <x:c r="D43" s="62" t="n">
        <x:v>549.329737241581</x:v>
      </x:c>
      <x:c r="E43" s="29" t="str">
        <x:v>NHPN coverage + Census adjacency</x:v>
      </x:c>
    </x:row>
    <x:row r="44" ht="43.20000076293945" hidden="0" customHeight="1">
      <x:c r="A44" s="27" t="str">
        <x:v>ROAD</x:v>
      </x:c>
      <x:c r="B44" s="27" t="str">
        <x:v>SCA-21</x:v>
      </x:c>
      <x:c r="C44" s="27" t="str">
        <x:v>SCA-24</x:v>
      </x:c>
      <x:c r="D44" s="61" t="n">
        <x:v>397.24005316303743</x:v>
      </x:c>
      <x:c r="E44" s="27" t="str">
        <x:v>NHPN coverage + Census adjacency</x:v>
      </x:c>
    </x:row>
    <x:row r="45" ht="43.20000076293945" hidden="0" customHeight="1">
      <x:c r="A45" s="29" t="str">
        <x:v>ROAD</x:v>
      </x:c>
      <x:c r="B45" s="29" t="str">
        <x:v>SCA-22</x:v>
      </x:c>
      <x:c r="C45" s="29" t="str">
        <x:v>SCA-23</x:v>
      </x:c>
      <x:c r="D45" s="62" t="n">
        <x:v>588.9128931834357</x:v>
      </x:c>
      <x:c r="E45" s="29" t="str">
        <x:v>NHPN coverage + Census adjacency</x:v>
      </x:c>
    </x:row>
    <x:row r="46" ht="43.20000076293945" hidden="0" customHeight="1">
      <x:c r="A46" s="27" t="str">
        <x:v>ROAD</x:v>
      </x:c>
      <x:c r="B46" s="27" t="str">
        <x:v>SCA-22</x:v>
      </x:c>
      <x:c r="C46" s="27" t="str">
        <x:v>SCA-24</x:v>
      </x:c>
      <x:c r="D46" s="61" t="n">
        <x:v>535.8124778138437</x:v>
      </x:c>
      <x:c r="E46" s="27" t="str">
        <x:v>NHPN coverage + Census adjacency</x:v>
      </x:c>
    </x:row>
    <x:row r="47" ht="43.20000076293945" hidden="0" customHeight="1">
      <x:c r="A47" s="29" t="str">
        <x:v>ROAD</x:v>
      </x:c>
      <x:c r="B47" s="29" t="str">
        <x:v>SCA-22</x:v>
      </x:c>
      <x:c r="C47" s="29" t="str">
        <x:v>SCA-28</x:v>
      </x:c>
      <x:c r="D47" s="62" t="n">
        <x:v>644.6549752643382</x:v>
      </x:c>
      <x:c r="E47" s="29" t="str">
        <x:v>NHPN coverage + Census adjacency</x:v>
      </x:c>
    </x:row>
    <x:row r="48" ht="43.20000076293945" hidden="0" customHeight="1">
      <x:c r="A48" s="27" t="str">
        <x:v>ROAD</x:v>
      </x:c>
      <x:c r="B48" s="27" t="str">
        <x:v>SCA-22</x:v>
      </x:c>
      <x:c r="C48" s="27" t="str">
        <x:v>SCA-29</x:v>
      </x:c>
      <x:c r="D48" s="61" t="n">
        <x:v>717.5425247141446</x:v>
      </x:c>
      <x:c r="E48" s="27" t="str">
        <x:v>NHPN coverage + Census adjacency</x:v>
      </x:c>
    </x:row>
    <x:row r="49" ht="43.20000076293945" hidden="0" customHeight="1">
      <x:c r="A49" s="29" t="str">
        <x:v>ROAD</x:v>
      </x:c>
      <x:c r="B49" s="29" t="str">
        <x:v>SCA-23</x:v>
      </x:c>
      <x:c r="C49" s="29" t="str">
        <x:v>SCA-25</x:v>
      </x:c>
      <x:c r="D49" s="62" t="n">
        <x:v>494.58417991943935</x:v>
      </x:c>
      <x:c r="E49" s="29" t="str">
        <x:v>NHPN coverage + Census adjacency</x:v>
      </x:c>
    </x:row>
    <x:row r="50" ht="43.20000076293945" hidden="0" customHeight="1">
      <x:c r="A50" s="27" t="str">
        <x:v>ROAD</x:v>
      </x:c>
      <x:c r="B50" s="27" t="str">
        <x:v>SCA-23</x:v>
      </x:c>
      <x:c r="C50" s="27" t="str">
        <x:v>SCA-29</x:v>
      </x:c>
      <x:c r="D50" s="61" t="n">
        <x:v>635.454949023049</x:v>
      </x:c>
      <x:c r="E50" s="27" t="str">
        <x:v>NHPN coverage + Census adjacency</x:v>
      </x:c>
    </x:row>
    <x:row r="51" ht="43.20000076293945" hidden="0" customHeight="1">
      <x:c r="A51" s="29" t="str">
        <x:v>ROAD</x:v>
      </x:c>
      <x:c r="B51" s="29" t="str">
        <x:v>SCA-24</x:v>
      </x:c>
      <x:c r="C51" s="29" t="str">
        <x:v>SCA-28</x:v>
      </x:c>
      <x:c r="D51" s="62" t="n">
        <x:v>495.8154965586643</x:v>
      </x:c>
      <x:c r="E51" s="29" t="str">
        <x:v>NHPN coverage + Census adjacency</x:v>
      </x:c>
    </x:row>
    <x:row r="52" ht="43.20000076293945" hidden="0" customHeight="1">
      <x:c r="A52" s="27" t="str">
        <x:v>ROAD</x:v>
      </x:c>
      <x:c r="B52" s="27" t="str">
        <x:v>SCA-25</x:v>
      </x:c>
      <x:c r="C52" s="27" t="str">
        <x:v>SCA-26</x:v>
      </x:c>
      <x:c r="D52" s="61" t="n">
        <x:v>328.49945576482247</x:v>
      </x:c>
      <x:c r="E52" s="27" t="str">
        <x:v>NHPN coverage + Census adjacency</x:v>
      </x:c>
    </x:row>
    <x:row r="53" ht="43.20000076293945" hidden="0" customHeight="1">
      <x:c r="A53" s="29" t="str">
        <x:v>ROAD</x:v>
      </x:c>
      <x:c r="B53" s="29" t="str">
        <x:v>SCA-25</x:v>
      </x:c>
      <x:c r="C53" s="29" t="str">
        <x:v>SCA-29</x:v>
      </x:c>
      <x:c r="D53" s="62" t="n">
        <x:v>752.6041945304078</x:v>
      </x:c>
      <x:c r="E53" s="29" t="str">
        <x:v>NHPN coverage + Census adjacency</x:v>
      </x:c>
    </x:row>
    <x:row r="54" ht="43.20000076293945" hidden="0" customHeight="1">
      <x:c r="A54" s="27" t="str">
        <x:v>ROAD</x:v>
      </x:c>
      <x:c r="B54" s="27" t="str">
        <x:v>SCA-26</x:v>
      </x:c>
      <x:c r="C54" s="27" t="str">
        <x:v>SCA-27</x:v>
      </x:c>
      <x:c r="D54" s="61" t="n">
        <x:v>279.62826411954865</x:v>
      </x:c>
      <x:c r="E54" s="27" t="str">
        <x:v>NHPN coverage + Census adjacency</x:v>
      </x:c>
    </x:row>
    <x:row r="55" ht="43.20000076293945" hidden="0" customHeight="1">
      <x:c r="A55" s="29" t="str">
        <x:v>ROAD</x:v>
      </x:c>
      <x:c r="B55" s="29" t="str">
        <x:v>SCA-28</x:v>
      </x:c>
      <x:c r="C55" s="29" t="str">
        <x:v>SCA-29</x:v>
      </x:c>
      <x:c r="D55" s="62" t="n">
        <x:v>576.2552915773059</x:v>
      </x:c>
      <x:c r="E55" s="29" t="str">
        <x:v>NHPN coverage + Census adjacency</x:v>
      </x:c>
    </x:row>
    <x:row r="56" ht="43.20000076293945" hidden="0" customHeight="1">
      <x:c r="A56" s="27" t="str">
        <x:v>ROAD</x:v>
      </x:c>
      <x:c r="B56" s="27" t="str">
        <x:v>SCA-28</x:v>
      </x:c>
      <x:c r="C56" s="27" t="str">
        <x:v>SCA-30</x:v>
      </x:c>
      <x:c r="D56" s="61" t="n">
        <x:v>463.56371593124004</x:v>
      </x:c>
      <x:c r="E56" s="27" t="str">
        <x:v>NHPN coverage + Census adjacency</x:v>
      </x:c>
    </x:row>
    <x:row r="57" ht="43.20000076293945" hidden="0" customHeight="1">
      <x:c r="A57" s="29" t="str">
        <x:v>ROAD</x:v>
      </x:c>
      <x:c r="B57" s="29" t="str">
        <x:v>SCA-29</x:v>
      </x:c>
      <x:c r="C57" s="29" t="str">
        <x:v>SCA-30</x:v>
      </x:c>
      <x:c r="D57" s="62" t="n">
        <x:v>751.0293219451112</x:v>
      </x:c>
      <x:c r="E57" s="29" t="str">
        <x:v>NHPN coverage + Census adjacency</x:v>
      </x:c>
    </x:row>
    <x:row r="58" ht="43.20000076293945" hidden="0" customHeight="1">
      <x:c r="A58" s="27" t="str">
        <x:v>ROAD</x:v>
      </x:c>
      <x:c r="B58" s="27" t="str">
        <x:v>SCA-30</x:v>
      </x:c>
      <x:c r="C58" s="27" t="str">
        <x:v>SCA-31</x:v>
      </x:c>
      <x:c r="D58" s="61" t="n">
        <x:v>393.0821451865061</x:v>
      </x:c>
      <x:c r="E58" s="27" t="str">
        <x:v>NHPN coverage + Census adjacency</x:v>
      </x:c>
    </x:row>
    <x:row r="59" ht="54" hidden="0" customHeight="1">
      <x:c r="A59" s="29" t="str">
        <x:v>RAIL</x:v>
      </x:c>
      <x:c r="B59" s="29" t="str">
        <x:v>SCA-03</x:v>
      </x:c>
      <x:c r="C59" s="29" t="str">
        <x:v>SCA-04</x:v>
      </x:c>
      <x:c r="D59" s="62" t="n">
        <x:v>1155.4336048631092</x:v>
      </x:c>
      <x:c r="E59" s="29" t="str">
        <x:v>shared NARN node across SCA-assigned links</x:v>
      </x:c>
    </x:row>
    <x:row r="60" ht="54" hidden="0" customHeight="1">
      <x:c r="A60" s="27" t="str">
        <x:v>RAIL</x:v>
      </x:c>
      <x:c r="B60" s="27" t="str">
        <x:v>SCA-03</x:v>
      </x:c>
      <x:c r="C60" s="27" t="str">
        <x:v>SCA-08</x:v>
      </x:c>
      <x:c r="D60" s="61" t="n">
        <x:v>683.8947370334456</x:v>
      </x:c>
      <x:c r="E60" s="27" t="str">
        <x:v>shared NARN node across SCA-assigned links</x:v>
      </x:c>
    </x:row>
    <x:row r="61" ht="54" hidden="0" customHeight="1">
      <x:c r="A61" s="29" t="str">
        <x:v>RAIL</x:v>
      </x:c>
      <x:c r="B61" s="29" t="str">
        <x:v>SCA-04</x:v>
      </x:c>
      <x:c r="C61" s="29" t="str">
        <x:v>SCA-05</x:v>
      </x:c>
      <x:c r="D61" s="62" t="n">
        <x:v>625.2056029390706</x:v>
      </x:c>
      <x:c r="E61" s="29" t="str">
        <x:v>shared NARN node across SCA-assigned links</x:v>
      </x:c>
    </x:row>
    <x:row r="62" ht="54" hidden="0" customHeight="1">
      <x:c r="A62" s="27" t="str">
        <x:v>RAIL</x:v>
      </x:c>
      <x:c r="B62" s="27" t="str">
        <x:v>SCA-04</x:v>
      </x:c>
      <x:c r="C62" s="27" t="str">
        <x:v>SCA-08</x:v>
      </x:c>
      <x:c r="D62" s="61" t="n">
        <x:v>1119.391028399795</x:v>
      </x:c>
      <x:c r="E62" s="27" t="str">
        <x:v>shared NARN node across SCA-assigned links</x:v>
      </x:c>
    </x:row>
    <x:row r="63" ht="54" hidden="0" customHeight="1">
      <x:c r="A63" s="29" t="str">
        <x:v>RAIL</x:v>
      </x:c>
      <x:c r="B63" s="29" t="str">
        <x:v>SCA-05</x:v>
      </x:c>
      <x:c r="C63" s="29" t="str">
        <x:v>SCA-06</x:v>
      </x:c>
      <x:c r="D63" s="62" t="n">
        <x:v>255.4121688536962</x:v>
      </x:c>
      <x:c r="E63" s="29" t="str">
        <x:v>shared NARN node across SCA-assigned links</x:v>
      </x:c>
    </x:row>
    <x:row r="64" ht="54" hidden="0" customHeight="1">
      <x:c r="A64" s="27" t="str">
        <x:v>RAIL</x:v>
      </x:c>
      <x:c r="B64" s="27" t="str">
        <x:v>SCA-05</x:v>
      </x:c>
      <x:c r="C64" s="27" t="str">
        <x:v>SCA-07</x:v>
      </x:c>
      <x:c r="D64" s="61" t="n">
        <x:v>382.1263786363302</x:v>
      </x:c>
      <x:c r="E64" s="27" t="str">
        <x:v>shared NARN node across SCA-assigned links</x:v>
      </x:c>
    </x:row>
    <x:row r="65" ht="54" hidden="0" customHeight="1">
      <x:c r="A65" s="29" t="str">
        <x:v>RAIL</x:v>
      </x:c>
      <x:c r="B65" s="29" t="str">
        <x:v>SCA-06</x:v>
      </x:c>
      <x:c r="C65" s="29" t="str">
        <x:v>SCA-07</x:v>
      </x:c>
      <x:c r="D65" s="62" t="n">
        <x:v>342.2197006634609</x:v>
      </x:c>
      <x:c r="E65" s="29" t="str">
        <x:v>shared NARN node across SCA-assigned links</x:v>
      </x:c>
    </x:row>
    <x:row r="66" ht="54" hidden="0" customHeight="1">
      <x:c r="A66" s="27" t="str">
        <x:v>RAIL</x:v>
      </x:c>
      <x:c r="B66" s="27" t="str">
        <x:v>SCA-06</x:v>
      </x:c>
      <x:c r="C66" s="27" t="str">
        <x:v>SCA-09</x:v>
      </x:c>
      <x:c r="D66" s="61" t="n">
        <x:v>477.09367926037726</x:v>
      </x:c>
      <x:c r="E66" s="27" t="str">
        <x:v>shared NARN node across SCA-assigned links</x:v>
      </x:c>
    </x:row>
    <x:row r="67" ht="54" hidden="0" customHeight="1">
      <x:c r="A67" s="29" t="str">
        <x:v>RAIL</x:v>
      </x:c>
      <x:c r="B67" s="29" t="str">
        <x:v>SCA-07</x:v>
      </x:c>
      <x:c r="C67" s="29" t="str">
        <x:v>SCA-09</x:v>
      </x:c>
      <x:c r="D67" s="62" t="n">
        <x:v>490.26622179331383</x:v>
      </x:c>
      <x:c r="E67" s="29" t="str">
        <x:v>shared NARN node across SCA-assigned links</x:v>
      </x:c>
    </x:row>
    <x:row r="68" ht="54" hidden="0" customHeight="1">
      <x:c r="A68" s="27" t="str">
        <x:v>RAIL</x:v>
      </x:c>
      <x:c r="B68" s="27" t="str">
        <x:v>SCA-07</x:v>
      </x:c>
      <x:c r="C68" s="27" t="str">
        <x:v>SCA-10</x:v>
      </x:c>
      <x:c r="D68" s="61" t="n">
        <x:v>863.7592601595951</x:v>
      </x:c>
      <x:c r="E68" s="27" t="str">
        <x:v>shared NARN node across SCA-assigned links</x:v>
      </x:c>
    </x:row>
    <x:row r="69" ht="54" hidden="0" customHeight="1">
      <x:c r="A69" s="29" t="str">
        <x:v>RAIL</x:v>
      </x:c>
      <x:c r="B69" s="29" t="str">
        <x:v>SCA-08</x:v>
      </x:c>
      <x:c r="C69" s="29" t="str">
        <x:v>SCA-10</x:v>
      </x:c>
      <x:c r="D69" s="62" t="n">
        <x:v>590.4054385053931</x:v>
      </x:c>
      <x:c r="E69" s="29" t="str">
        <x:v>shared NARN node across SCA-assigned links</x:v>
      </x:c>
    </x:row>
    <x:row r="70" ht="54" hidden="0" customHeight="1">
      <x:c r="A70" s="27" t="str">
        <x:v>RAIL</x:v>
      </x:c>
      <x:c r="B70" s="27" t="str">
        <x:v>SCA-08</x:v>
      </x:c>
      <x:c r="C70" s="27" t="str">
        <x:v>SCA-12</x:v>
      </x:c>
      <x:c r="D70" s="61" t="n">
        <x:v>1243.163444772261</x:v>
      </x:c>
      <x:c r="E70" s="27" t="str">
        <x:v>shared NARN node across SCA-assigned links</x:v>
      </x:c>
    </x:row>
    <x:row r="71" ht="54" hidden="0" customHeight="1">
      <x:c r="A71" s="29" t="str">
        <x:v>RAIL</x:v>
      </x:c>
      <x:c r="B71" s="29" t="str">
        <x:v>SCA-08</x:v>
      </x:c>
      <x:c r="C71" s="29" t="str">
        <x:v>SCA-18</x:v>
      </x:c>
      <x:c r="D71" s="62" t="n">
        <x:v>2019.8241149765597</x:v>
      </x:c>
      <x:c r="E71" s="29" t="str">
        <x:v>shared NARN node across SCA-assigned links</x:v>
      </x:c>
    </x:row>
    <x:row r="72" ht="54" hidden="0" customHeight="1">
      <x:c r="A72" s="27" t="str">
        <x:v>RAIL</x:v>
      </x:c>
      <x:c r="B72" s="27" t="str">
        <x:v>SCA-09</x:v>
      </x:c>
      <x:c r="C72" s="27" t="str">
        <x:v>SCA-11</x:v>
      </x:c>
      <x:c r="D72" s="61" t="n">
        <x:v>797.5111902547173</x:v>
      </x:c>
      <x:c r="E72" s="27" t="str">
        <x:v>shared NARN node across SCA-assigned links</x:v>
      </x:c>
    </x:row>
    <x:row r="73" ht="54" hidden="0" customHeight="1">
      <x:c r="A73" s="29" t="str">
        <x:v>RAIL</x:v>
      </x:c>
      <x:c r="B73" s="29" t="str">
        <x:v>SCA-10</x:v>
      </x:c>
      <x:c r="C73" s="29" t="str">
        <x:v>SCA-12</x:v>
      </x:c>
      <x:c r="D73" s="62" t="n">
        <x:v>717.4214903831823</x:v>
      </x:c>
      <x:c r="E73" s="29" t="str">
        <x:v>shared NARN node across SCA-assigned links</x:v>
      </x:c>
    </x:row>
    <x:row r="74" ht="54" hidden="0" customHeight="1">
      <x:c r="A74" s="27" t="str">
        <x:v>RAIL</x:v>
      </x:c>
      <x:c r="B74" s="27" t="str">
        <x:v>SCA-11</x:v>
      </x:c>
      <x:c r="C74" s="27" t="str">
        <x:v>SCA-12</x:v>
      </x:c>
      <x:c r="D74" s="61" t="n">
        <x:v>848.8433103864445</x:v>
      </x:c>
      <x:c r="E74" s="27" t="str">
        <x:v>shared NARN node across SCA-assigned links</x:v>
      </x:c>
    </x:row>
    <x:row r="75" ht="54" hidden="0" customHeight="1">
      <x:c r="A75" s="29" t="str">
        <x:v>RAIL</x:v>
      </x:c>
      <x:c r="B75" s="29" t="str">
        <x:v>SCA-11</x:v>
      </x:c>
      <x:c r="C75" s="29" t="str">
        <x:v>SCA-13</x:v>
      </x:c>
      <x:c r="D75" s="62" t="n">
        <x:v>921.4190301142012</x:v>
      </x:c>
      <x:c r="E75" s="29" t="str">
        <x:v>shared NARN node across SCA-assigned links</x:v>
      </x:c>
    </x:row>
    <x:row r="76" ht="54" hidden="0" customHeight="1">
      <x:c r="A76" s="27" t="str">
        <x:v>RAIL</x:v>
      </x:c>
      <x:c r="B76" s="27" t="str">
        <x:v>SCA-11</x:v>
      </x:c>
      <x:c r="C76" s="27" t="str">
        <x:v>SCA-15</x:v>
      </x:c>
      <x:c r="D76" s="61" t="n">
        <x:v>960.4876135014028</x:v>
      </x:c>
      <x:c r="E76" s="27" t="str">
        <x:v>shared NARN node across SCA-assigned links</x:v>
      </x:c>
    </x:row>
    <x:row r="77" ht="54" hidden="0" customHeight="1">
      <x:c r="A77" s="29" t="str">
        <x:v>RAIL</x:v>
      </x:c>
      <x:c r="B77" s="29" t="str">
        <x:v>SCA-12</x:v>
      </x:c>
      <x:c r="C77" s="29" t="str">
        <x:v>SCA-15</x:v>
      </x:c>
      <x:c r="D77" s="62" t="n">
        <x:v>1247.2106726916318</x:v>
      </x:c>
      <x:c r="E77" s="29" t="str">
        <x:v>shared NARN node across SCA-assigned links</x:v>
      </x:c>
    </x:row>
    <x:row r="78" ht="54" hidden="0" customHeight="1">
      <x:c r="A78" s="27" t="str">
        <x:v>RAIL</x:v>
      </x:c>
      <x:c r="B78" s="27" t="str">
        <x:v>SCA-12</x:v>
      </x:c>
      <x:c r="C78" s="27" t="str">
        <x:v>SCA-16</x:v>
      </x:c>
      <x:c r="D78" s="61" t="n">
        <x:v>946.4200306361591</x:v>
      </x:c>
      <x:c r="E78" s="27" t="str">
        <x:v>shared NARN node across SCA-assigned links</x:v>
      </x:c>
    </x:row>
    <x:row r="79" ht="54" hidden="0" customHeight="1">
      <x:c r="A79" s="29" t="str">
        <x:v>RAIL</x:v>
      </x:c>
      <x:c r="B79" s="29" t="str">
        <x:v>SCA-12</x:v>
      </x:c>
      <x:c r="C79" s="29" t="str">
        <x:v>SCA-18</x:v>
      </x:c>
      <x:c r="D79" s="62" t="n">
        <x:v>1306.412378990589</x:v>
      </x:c>
      <x:c r="E79" s="29" t="str">
        <x:v>shared NARN node across SCA-assigned links</x:v>
      </x:c>
    </x:row>
    <x:row r="80" ht="54" hidden="0" customHeight="1">
      <x:c r="A80" s="27" t="str">
        <x:v>RAIL</x:v>
      </x:c>
      <x:c r="B80" s="27" t="str">
        <x:v>SCA-13</x:v>
      </x:c>
      <x:c r="C80" s="27" t="str">
        <x:v>SCA-14</x:v>
      </x:c>
      <x:c r="D80" s="61" t="n">
        <x:v>428.129628475718</x:v>
      </x:c>
      <x:c r="E80" s="27" t="str">
        <x:v>shared NARN node across SCA-assigned links</x:v>
      </x:c>
    </x:row>
    <x:row r="81" ht="54" hidden="0" customHeight="1">
      <x:c r="A81" s="29" t="str">
        <x:v>RAIL</x:v>
      </x:c>
      <x:c r="B81" s="29" t="str">
        <x:v>SCA-13</x:v>
      </x:c>
      <x:c r="C81" s="29" t="str">
        <x:v>SCA-15</x:v>
      </x:c>
      <x:c r="D81" s="62" t="n">
        <x:v>448.57023795299875</x:v>
      </x:c>
      <x:c r="E81" s="29" t="str">
        <x:v>shared NARN node across SCA-assigned links</x:v>
      </x:c>
    </x:row>
    <x:row r="82" ht="54" hidden="0" customHeight="1">
      <x:c r="A82" s="27" t="str">
        <x:v>RAIL</x:v>
      </x:c>
      <x:c r="B82" s="27" t="str">
        <x:v>SCA-13</x:v>
      </x:c>
      <x:c r="C82" s="27" t="str">
        <x:v>SCA-17</x:v>
      </x:c>
      <x:c r="D82" s="61" t="n">
        <x:v>458.6517234378048</x:v>
      </x:c>
      <x:c r="E82" s="27" t="str">
        <x:v>shared NARN node across SCA-assigned links</x:v>
      </x:c>
    </x:row>
    <x:row r="83" ht="54" hidden="0" customHeight="1">
      <x:c r="A83" s="29" t="str">
        <x:v>RAIL</x:v>
      </x:c>
      <x:c r="B83" s="29" t="str">
        <x:v>SCA-15</x:v>
      </x:c>
      <x:c r="C83" s="29" t="str">
        <x:v>SCA-16</x:v>
      </x:c>
      <x:c r="D83" s="62" t="n">
        <x:v>689.5935287631871</x:v>
      </x:c>
      <x:c r="E83" s="29" t="str">
        <x:v>shared NARN node across SCA-assigned links</x:v>
      </x:c>
    </x:row>
    <x:row r="84" ht="54" hidden="0" customHeight="1">
      <x:c r="A84" s="27" t="str">
        <x:v>RAIL</x:v>
      </x:c>
      <x:c r="B84" s="27" t="str">
        <x:v>SCA-15</x:v>
      </x:c>
      <x:c r="C84" s="27" t="str">
        <x:v>SCA-17</x:v>
      </x:c>
      <x:c r="D84" s="61" t="n">
        <x:v>497.3487993426299</x:v>
      </x:c>
      <x:c r="E84" s="27" t="str">
        <x:v>shared NARN node across SCA-assigned links</x:v>
      </x:c>
    </x:row>
    <x:row r="85" ht="54" hidden="0" customHeight="1">
      <x:c r="A85" s="29" t="str">
        <x:v>RAIL</x:v>
      </x:c>
      <x:c r="B85" s="29" t="str">
        <x:v>SCA-15</x:v>
      </x:c>
      <x:c r="C85" s="29" t="str">
        <x:v>SCA-20</x:v>
      </x:c>
      <x:c r="D85" s="62" t="n">
        <x:v>767.0016352262161</x:v>
      </x:c>
      <x:c r="E85" s="29" t="str">
        <x:v>shared NARN node across SCA-assigned links</x:v>
      </x:c>
    </x:row>
    <x:row r="86" ht="54" hidden="0" customHeight="1">
      <x:c r="A86" s="27" t="str">
        <x:v>RAIL</x:v>
      </x:c>
      <x:c r="B86" s="27" t="str">
        <x:v>SCA-16</x:v>
      </x:c>
      <x:c r="C86" s="27" t="str">
        <x:v>SCA-18</x:v>
      </x:c>
      <x:c r="D86" s="61" t="n">
        <x:v>924.7570985516164</x:v>
      </x:c>
      <x:c r="E86" s="27" t="str">
        <x:v>shared NARN node across SCA-assigned links</x:v>
      </x:c>
    </x:row>
    <x:row r="87" ht="54" hidden="0" customHeight="1">
      <x:c r="A87" s="29" t="str">
        <x:v>RAIL</x:v>
      </x:c>
      <x:c r="B87" s="29" t="str">
        <x:v>SCA-16</x:v>
      </x:c>
      <x:c r="C87" s="29" t="str">
        <x:v>SCA-19</x:v>
      </x:c>
      <x:c r="D87" s="62" t="n">
        <x:v>553.2277497333909</x:v>
      </x:c>
      <x:c r="E87" s="29" t="str">
        <x:v>shared NARN node across SCA-assigned links</x:v>
      </x:c>
    </x:row>
    <x:row r="88" ht="54" hidden="0" customHeight="1">
      <x:c r="A88" s="27" t="str">
        <x:v>RAIL</x:v>
      </x:c>
      <x:c r="B88" s="27" t="str">
        <x:v>SCA-16</x:v>
      </x:c>
      <x:c r="C88" s="27" t="str">
        <x:v>SCA-20</x:v>
      </x:c>
      <x:c r="D88" s="61" t="n">
        <x:v>858.3768174190695</x:v>
      </x:c>
      <x:c r="E88" s="27" t="str">
        <x:v>shared NARN node across SCA-assigned links</x:v>
      </x:c>
    </x:row>
    <x:row r="89" ht="54" hidden="0" customHeight="1">
      <x:c r="A89" s="29" t="str">
        <x:v>RAIL</x:v>
      </x:c>
      <x:c r="B89" s="29" t="str">
        <x:v>SCA-17</x:v>
      </x:c>
      <x:c r="C89" s="29" t="str">
        <x:v>SCA-20</x:v>
      </x:c>
      <x:c r="D89" s="62" t="n">
        <x:v>732.307678232724</x:v>
      </x:c>
      <x:c r="E89" s="29" t="str">
        <x:v>shared NARN node across SCA-assigned links</x:v>
      </x:c>
    </x:row>
    <x:row r="90" ht="54" hidden="0" customHeight="1">
      <x:c r="A90" s="27" t="str">
        <x:v>RAIL</x:v>
      </x:c>
      <x:c r="B90" s="27" t="str">
        <x:v>SCA-18</x:v>
      </x:c>
      <x:c r="C90" s="27" t="str">
        <x:v>SCA-19</x:v>
      </x:c>
      <x:c r="D90" s="61" t="n">
        <x:v>869.7811755439747</x:v>
      </x:c>
      <x:c r="E90" s="27" t="str">
        <x:v>shared NARN node across SCA-assigned links</x:v>
      </x:c>
    </x:row>
    <x:row r="91" ht="54" hidden="0" customHeight="1">
      <x:c r="A91" s="29" t="str">
        <x:v>RAIL</x:v>
      </x:c>
      <x:c r="B91" s="29" t="str">
        <x:v>SCA-18</x:v>
      </x:c>
      <x:c r="C91" s="29" t="str">
        <x:v>SCA-21</x:v>
      </x:c>
      <x:c r="D91" s="62" t="n">
        <x:v>680.655553260135</x:v>
      </x:c>
      <x:c r="E91" s="29" t="str">
        <x:v>shared NARN node across SCA-assigned links</x:v>
      </x:c>
    </x:row>
    <x:row r="92" ht="54" hidden="0" customHeight="1">
      <x:c r="A92" s="27" t="str">
        <x:v>RAIL</x:v>
      </x:c>
      <x:c r="B92" s="27" t="str">
        <x:v>SCA-19</x:v>
      </x:c>
      <x:c r="C92" s="27" t="str">
        <x:v>SCA-20</x:v>
      </x:c>
      <x:c r="D92" s="61" t="n">
        <x:v>638.1619281524065</x:v>
      </x:c>
      <x:c r="E92" s="27" t="str">
        <x:v>shared NARN node across SCA-assigned links</x:v>
      </x:c>
    </x:row>
    <x:row r="93" ht="54" hidden="0" customHeight="1">
      <x:c r="A93" s="29" t="str">
        <x:v>RAIL</x:v>
      </x:c>
      <x:c r="B93" s="29" t="str">
        <x:v>SCA-19</x:v>
      </x:c>
      <x:c r="C93" s="29" t="str">
        <x:v>SCA-21</x:v>
      </x:c>
      <x:c r="D93" s="62" t="n">
        <x:v>557.5159831596751</x:v>
      </x:c>
      <x:c r="E93" s="29" t="str">
        <x:v>shared NARN node across SCA-assigned links</x:v>
      </x:c>
    </x:row>
    <x:row r="94" ht="54" hidden="0" customHeight="1">
      <x:c r="A94" s="27" t="str">
        <x:v>RAIL</x:v>
      </x:c>
      <x:c r="B94" s="27" t="str">
        <x:v>SCA-19</x:v>
      </x:c>
      <x:c r="C94" s="27" t="str">
        <x:v>SCA-22</x:v>
      </x:c>
      <x:c r="D94" s="61" t="n">
        <x:v>591.5224431735664</x:v>
      </x:c>
      <x:c r="E94" s="27" t="str">
        <x:v>shared NARN node across SCA-assigned links</x:v>
      </x:c>
    </x:row>
    <x:row r="95" ht="54" hidden="0" customHeight="1">
      <x:c r="A95" s="29" t="str">
        <x:v>RAIL</x:v>
      </x:c>
      <x:c r="B95" s="29" t="str">
        <x:v>SCA-20</x:v>
      </x:c>
      <x:c r="C95" s="29" t="str">
        <x:v>SCA-22</x:v>
      </x:c>
      <x:c r="D95" s="62" t="n">
        <x:v>773.8936129307025</x:v>
      </x:c>
      <x:c r="E95" s="29" t="str">
        <x:v>shared NARN node across SCA-assigned links</x:v>
      </x:c>
    </x:row>
    <x:row r="96" ht="54" hidden="0" customHeight="1">
      <x:c r="A96" s="27" t="str">
        <x:v>RAIL</x:v>
      </x:c>
      <x:c r="B96" s="27" t="str">
        <x:v>SCA-20</x:v>
      </x:c>
      <x:c r="C96" s="27" t="str">
        <x:v>SCA-23</x:v>
      </x:c>
      <x:c r="D96" s="61" t="n">
        <x:v>614.7728456487116</x:v>
      </x:c>
      <x:c r="E96" s="27" t="str">
        <x:v>shared NARN node across SCA-assigned links</x:v>
      </x:c>
    </x:row>
    <x:row r="97" ht="54" hidden="0" customHeight="1">
      <x:c r="A97" s="29" t="str">
        <x:v>RAIL</x:v>
      </x:c>
      <x:c r="B97" s="29" t="str">
        <x:v>SCA-21</x:v>
      </x:c>
      <x:c r="C97" s="29" t="str">
        <x:v>SCA-22</x:v>
      </x:c>
      <x:c r="D97" s="62" t="n">
        <x:v>582.7671995084598</x:v>
      </x:c>
      <x:c r="E97" s="29" t="str">
        <x:v>shared NARN node across SCA-assigned links</x:v>
      </x:c>
    </x:row>
    <x:row r="98" ht="54" hidden="0" customHeight="1">
      <x:c r="A98" s="27" t="str">
        <x:v>RAIL</x:v>
      </x:c>
      <x:c r="B98" s="27" t="str">
        <x:v>SCA-21</x:v>
      </x:c>
      <x:c r="C98" s="27" t="str">
        <x:v>SCA-24</x:v>
      </x:c>
      <x:c r="D98" s="61" t="n">
        <x:v>421.41988248600495</x:v>
      </x:c>
      <x:c r="E98" s="27" t="str">
        <x:v>shared NARN node across SCA-assigned links</x:v>
      </x:c>
    </x:row>
    <x:row r="99" ht="54" hidden="0" customHeight="1">
      <x:c r="A99" s="29" t="str">
        <x:v>RAIL</x:v>
      </x:c>
      <x:c r="B99" s="29" t="str">
        <x:v>SCA-22</x:v>
      </x:c>
      <x:c r="C99" s="29" t="str">
        <x:v>SCA-23</x:v>
      </x:c>
      <x:c r="D99" s="62" t="n">
        <x:v>624.7597649424274</x:v>
      </x:c>
      <x:c r="E99" s="29" t="str">
        <x:v>shared NARN node across SCA-assigned links</x:v>
      </x:c>
    </x:row>
    <x:row r="100" ht="54" hidden="0" customHeight="1">
      <x:c r="A100" s="27" t="str">
        <x:v>RAIL</x:v>
      </x:c>
      <x:c r="B100" s="27" t="str">
        <x:v>SCA-22</x:v>
      </x:c>
      <x:c r="C100" s="27" t="str">
        <x:v>SCA-24</x:v>
      </x:c>
      <x:c r="D100" s="61" t="n">
        <x:v>568.4271503764254</x:v>
      </x:c>
      <x:c r="E100" s="27" t="str">
        <x:v>shared NARN node across SCA-assigned links</x:v>
      </x:c>
    </x:row>
    <x:row r="101" ht="54" hidden="0" customHeight="1">
      <x:c r="A101" s="29" t="str">
        <x:v>RAIL</x:v>
      </x:c>
      <x:c r="B101" s="29" t="str">
        <x:v>SCA-22</x:v>
      </x:c>
      <x:c r="C101" s="29" t="str">
        <x:v>SCA-28</x:v>
      </x:c>
      <x:c r="D101" s="62" t="n">
        <x:v>683.8948433239068</x:v>
      </x:c>
      <x:c r="E101" s="29" t="str">
        <x:v>shared NARN node across SCA-assigned links</x:v>
      </x:c>
    </x:row>
    <x:row r="102" ht="54" hidden="0" customHeight="1">
      <x:c r="A102" s="27" t="str">
        <x:v>RAIL</x:v>
      </x:c>
      <x:c r="B102" s="27" t="str">
        <x:v>SCA-22</x:v>
      </x:c>
      <x:c r="C102" s="27" t="str">
        <x:v>SCA-29</x:v>
      </x:c>
      <x:c r="D102" s="61" t="n">
        <x:v>761.2190262184838</x:v>
      </x:c>
      <x:c r="E102" s="27" t="str">
        <x:v>shared NARN node across SCA-assigned links</x:v>
      </x:c>
    </x:row>
    <x:row r="103" ht="54" hidden="0" customHeight="1">
      <x:c r="A103" s="29" t="str">
        <x:v>RAIL</x:v>
      </x:c>
      <x:c r="B103" s="29" t="str">
        <x:v>SCA-23</x:v>
      </x:c>
      <x:c r="C103" s="29" t="str">
        <x:v>SCA-25</x:v>
      </x:c>
      <x:c r="D103" s="62" t="n">
        <x:v>524.6893039145359</x:v>
      </x:c>
      <x:c r="E103" s="29" t="str">
        <x:v>shared NARN node across SCA-assigned links</x:v>
      </x:c>
    </x:row>
    <x:row r="104" ht="54" hidden="0" customHeight="1">
      <x:c r="A104" s="27" t="str">
        <x:v>RAIL</x:v>
      </x:c>
      <x:c r="B104" s="27" t="str">
        <x:v>SCA-23</x:v>
      </x:c>
      <x:c r="C104" s="27" t="str">
        <x:v>SCA-29</x:v>
      </x:c>
      <x:c r="D104" s="61" t="n">
        <x:v>674.1348154853216</x:v>
      </x:c>
      <x:c r="E104" s="27" t="str">
        <x:v>shared NARN node across SCA-assigned links</x:v>
      </x:c>
    </x:row>
    <x:row r="105" ht="54" hidden="0" customHeight="1">
      <x:c r="A105" s="29" t="str">
        <x:v>RAIL</x:v>
      </x:c>
      <x:c r="B105" s="29" t="str">
        <x:v>SCA-24</x:v>
      </x:c>
      <x:c r="C105" s="29" t="str">
        <x:v>SCA-28</x:v>
      </x:c>
      <x:c r="D105" s="62" t="n">
        <x:v>525.9955702622349</x:v>
      </x:c>
      <x:c r="E105" s="29" t="str">
        <x:v>shared NARN node across SCA-assigned links</x:v>
      </x:c>
    </x:row>
    <x:row r="106" ht="54" hidden="0" customHeight="1">
      <x:c r="A106" s="27" t="str">
        <x:v>RAIL</x:v>
      </x:c>
      <x:c r="B106" s="27" t="str">
        <x:v>SCA-25</x:v>
      </x:c>
      <x:c r="C106" s="27" t="str">
        <x:v>SCA-26</x:v>
      </x:c>
      <x:c r="D106" s="61" t="n">
        <x:v>348.4950748113763</x:v>
      </x:c>
      <x:c r="E106" s="27" t="str">
        <x:v>shared NARN node across SCA-assigned links</x:v>
      </x:c>
    </x:row>
    <x:row r="107" ht="54" hidden="0" customHeight="1">
      <x:c r="A107" s="29" t="str">
        <x:v>RAIL</x:v>
      </x:c>
      <x:c r="B107" s="29" t="str">
        <x:v>SCA-25</x:v>
      </x:c>
      <x:c r="C107" s="29" t="str">
        <x:v>SCA-29</x:v>
      </x:c>
      <x:c r="D107" s="62" t="n">
        <x:v>798.4148846322594</x:v>
      </x:c>
      <x:c r="E107" s="29" t="str">
        <x:v>shared NARN node across SCA-assigned links</x:v>
      </x:c>
    </x:row>
    <x:row r="108" ht="54" hidden="0" customHeight="1">
      <x:c r="A108" s="27" t="str">
        <x:v>RAIL</x:v>
      </x:c>
      <x:c r="B108" s="27" t="str">
        <x:v>SCA-26</x:v>
      </x:c>
      <x:c r="C108" s="27" t="str">
        <x:v>SCA-27</x:v>
      </x:c>
      <x:c r="D108" s="61" t="n">
        <x:v>296.6491149789997</x:v>
      </x:c>
      <x:c r="E108" s="27" t="str">
        <x:v>shared NARN node across SCA-assigned links</x:v>
      </x:c>
    </x:row>
    <x:row r="109" ht="54" hidden="0" customHeight="1">
      <x:c r="A109" s="29" t="str">
        <x:v>RAIL</x:v>
      </x:c>
      <x:c r="B109" s="29" t="str">
        <x:v>SCA-28</x:v>
      </x:c>
      <x:c r="C109" s="29" t="str">
        <x:v>SCA-29</x:v>
      </x:c>
      <x:c r="D109" s="62" t="n">
        <x:v>611.3317006298374</x:v>
      </x:c>
      <x:c r="E109" s="29" t="str">
        <x:v>shared NARN node across SCA-assigned links</x:v>
      </x:c>
    </x:row>
    <x:row r="110" ht="54" hidden="0" customHeight="1">
      <x:c r="A110" s="27" t="str">
        <x:v>RAIL</x:v>
      </x:c>
      <x:c r="B110" s="27" t="str">
        <x:v>SCA-28</x:v>
      </x:c>
      <x:c r="C110" s="27" t="str">
        <x:v>SCA-30</x:v>
      </x:c>
      <x:c r="D110" s="61" t="n">
        <x:v>491.78063777053296</x:v>
      </x:c>
      <x:c r="E110" s="27" t="str">
        <x:v>shared NARN node across SCA-assigned links</x:v>
      </x:c>
    </x:row>
    <x:row r="111" ht="54" hidden="0" customHeight="1">
      <x:c r="A111" s="29" t="str">
        <x:v>RAIL</x:v>
      </x:c>
      <x:c r="B111" s="29" t="str">
        <x:v>SCA-29</x:v>
      </x:c>
      <x:c r="C111" s="29" t="str">
        <x:v>SCA-30</x:v>
      </x:c>
      <x:c r="D111" s="62" t="n">
        <x:v>796.7441502374221</x:v>
      </x:c>
      <x:c r="E111" s="29" t="str">
        <x:v>shared NARN node across SCA-assigned links</x:v>
      </x:c>
    </x:row>
    <x:row r="112" ht="54" hidden="0" customHeight="1">
      <x:c r="A112" s="27" t="str">
        <x:v>RAIL</x:v>
      </x:c>
      <x:c r="B112" s="27" t="str">
        <x:v>SCA-30</x:v>
      </x:c>
      <x:c r="C112" s="27" t="str">
        <x:v>SCA-31</x:v>
      </x:c>
      <x:c r="D112" s="61" t="n">
        <x:v>417.00888445872795</x:v>
      </x:c>
      <x:c r="E112" s="27" t="str">
        <x:v>shared NARN node across SCA-assigned links</x:v>
      </x:c>
    </x:row>
    <x:row r="113" ht="21.600000381469727" hidden="0" customHeight="1">
      <x:c r="A113" s="29" t="str">
        <x:v>WATER</x:v>
      </x:c>
      <x:c r="B113" s="29" t="str">
        <x:v>SCA-01</x:v>
      </x:c>
      <x:c r="C113" s="29" t="str">
        <x:v>SCA-02</x:v>
      </x:c>
      <x:c r="D113" s="62" t="n">
        <x:v>5850.464811273067</x:v>
      </x:c>
      <x:c r="E113" s="29" t="str">
        <x:v>USACE node topology</x:v>
      </x:c>
    </x:row>
    <x:row r="114" ht="21.600000381469727" hidden="0" customHeight="1">
      <x:c r="A114" s="27" t="str">
        <x:v>WATER</x:v>
      </x:c>
      <x:c r="B114" s="27" t="str">
        <x:v>SCA-01</x:v>
      </x:c>
      <x:c r="C114" s="27" t="str">
        <x:v>SCA-03</x:v>
      </x:c>
      <x:c r="D114" s="61" t="n">
        <x:v>5509.894216991276</x:v>
      </x:c>
      <x:c r="E114" s="27" t="str">
        <x:v>USACE node topology</x:v>
      </x:c>
    </x:row>
    <x:row r="115" ht="21.600000381469727" hidden="0" customHeight="1">
      <x:c r="A115" s="29" t="str">
        <x:v>WATER</x:v>
      </x:c>
      <x:c r="B115" s="29" t="str">
        <x:v>SCA-01</x:v>
      </x:c>
      <x:c r="C115" s="29" t="str">
        <x:v>SCA-04</x:v>
      </x:c>
      <x:c r="D115" s="62" t="n">
        <x:v>5036.615853277086</x:v>
      </x:c>
      <x:c r="E115" s="29" t="str">
        <x:v>USACE node topology</x:v>
      </x:c>
    </x:row>
    <x:row r="116" ht="21.600000381469727" hidden="0" customHeight="1">
      <x:c r="A116" s="27" t="str">
        <x:v>WATER</x:v>
      </x:c>
      <x:c r="B116" s="27" t="str">
        <x:v>SCA-01</x:v>
      </x:c>
      <x:c r="C116" s="27" t="str">
        <x:v>SCA-05</x:v>
      </x:c>
      <x:c r="D116" s="61" t="n">
        <x:v>5258.972940529681</x:v>
      </x:c>
      <x:c r="E116" s="27" t="str">
        <x:v>USACE node topology</x:v>
      </x:c>
    </x:row>
    <x:row r="117" ht="21.600000381469727" hidden="0" customHeight="1">
      <x:c r="A117" s="29" t="str">
        <x:v>WATER</x:v>
      </x:c>
      <x:c r="B117" s="29" t="str">
        <x:v>SCA-01</x:v>
      </x:c>
      <x:c r="C117" s="29" t="str">
        <x:v>SCA-32</x:v>
      </x:c>
      <x:c r="D117" s="62" t="n">
        <x:v>12054.536103503728</x:v>
      </x:c>
      <x:c r="E117" s="29" t="str">
        <x:v>USACE node topology</x:v>
      </x:c>
    </x:row>
    <x:row r="118" ht="21.600000381469727" hidden="0" customHeight="1">
      <x:c r="A118" s="27" t="str">
        <x:v>WATER</x:v>
      </x:c>
      <x:c r="B118" s="27" t="str">
        <x:v>SCA-02</x:v>
      </x:c>
      <x:c r="C118" s="27" t="str">
        <x:v>SCA-03</x:v>
      </x:c>
      <x:c r="D118" s="61" t="n">
        <x:v>2916.600063243157</x:v>
      </x:c>
      <x:c r="E118" s="27" t="str">
        <x:v>USACE node topology</x:v>
      </x:c>
    </x:row>
    <x:row r="119" ht="21.600000381469727" hidden="0" customHeight="1">
      <x:c r="A119" s="29" t="str">
        <x:v>WATER</x:v>
      </x:c>
      <x:c r="B119" s="29" t="str">
        <x:v>SCA-02</x:v>
      </x:c>
      <x:c r="C119" s="29" t="str">
        <x:v>SCA-04</x:v>
      </x:c>
      <x:c r="D119" s="62" t="n">
        <x:v>3977.441483283247</x:v>
      </x:c>
      <x:c r="E119" s="29" t="str">
        <x:v>USACE node topology</x:v>
      </x:c>
    </x:row>
    <x:row r="120" ht="21.600000381469727" hidden="0" customHeight="1">
      <x:c r="A120" s="27" t="str">
        <x:v>WATER</x:v>
      </x:c>
      <x:c r="B120" s="27" t="str">
        <x:v>SCA-02</x:v>
      </x:c>
      <x:c r="C120" s="27" t="str">
        <x:v>SCA-31</x:v>
      </x:c>
      <x:c r="D120" s="61" t="n">
        <x:v>6618.435247959618</x:v>
      </x:c>
      <x:c r="E120" s="27" t="str">
        <x:v>USACE node topology</x:v>
      </x:c>
    </x:row>
    <x:row r="121" ht="21.600000381469727" hidden="0" customHeight="1">
      <x:c r="A121" s="29" t="str">
        <x:v>WATER</x:v>
      </x:c>
      <x:c r="B121" s="29" t="str">
        <x:v>SCA-03</x:v>
      </x:c>
      <x:c r="C121" s="29" t="str">
        <x:v>SCA-04</x:v>
      </x:c>
      <x:c r="D121" s="62" t="n">
        <x:v>1212.258208380967</x:v>
      </x:c>
      <x:c r="E121" s="29" t="str">
        <x:v>USACE node topology</x:v>
      </x:c>
    </x:row>
    <x:row r="122" ht="21.600000381469727" hidden="0" customHeight="1">
      <x:c r="A122" s="27" t="str">
        <x:v>WATER</x:v>
      </x:c>
      <x:c r="B122" s="27" t="str">
        <x:v>SCA-03</x:v>
      </x:c>
      <x:c r="C122" s="27" t="str">
        <x:v>SCA-08</x:v>
      </x:c>
      <x:c r="D122" s="61" t="n">
        <x:v>717.5289044285331</x:v>
      </x:c>
      <x:c r="E122" s="27" t="str">
        <x:v>USACE node topology</x:v>
      </x:c>
    </x:row>
    <x:row r="123" ht="21.600000381469727" hidden="0" customHeight="1">
      <x:c r="A123" s="29" t="str">
        <x:v>WATER</x:v>
      </x:c>
      <x:c r="B123" s="29" t="str">
        <x:v>SCA-04</x:v>
      </x:c>
      <x:c r="C123" s="29" t="str">
        <x:v>SCA-05</x:v>
      </x:c>
      <x:c r="D123" s="62" t="n">
        <x:v>655.9534194770577</x:v>
      </x:c>
      <x:c r="E123" s="29" t="str">
        <x:v>USACE node topology</x:v>
      </x:c>
    </x:row>
    <x:row r="124" ht="21.600000381469727" hidden="0" customHeight="1">
      <x:c r="A124" s="27" t="str">
        <x:v>WATER</x:v>
      </x:c>
      <x:c r="B124" s="27" t="str">
        <x:v>SCA-05</x:v>
      </x:c>
      <x:c r="C124" s="27" t="str">
        <x:v>SCA-06</x:v>
      </x:c>
      <x:c r="D124" s="61" t="n">
        <x:v>267.9734230596157</x:v>
      </x:c>
      <x:c r="E124" s="27" t="str">
        <x:v>USACE node topology</x:v>
      </x:c>
    </x:row>
    <x:row r="125" ht="21.600000381469727" hidden="0" customHeight="1">
      <x:c r="A125" s="29" t="str">
        <x:v>WATER</x:v>
      </x:c>
      <x:c r="B125" s="29" t="str">
        <x:v>SCA-06</x:v>
      </x:c>
      <x:c r="C125" s="29" t="str">
        <x:v>SCA-27</x:v>
      </x:c>
      <x:c r="D125" s="62" t="n">
        <x:v>4525.276578392936</x:v>
      </x:c>
      <x:c r="E125" s="29" t="str">
        <x:v>USACE node topology</x:v>
      </x:c>
    </x:row>
    <x:row r="126" ht="21.600000381469727" hidden="0" customHeight="1">
      <x:c r="A126" s="27" t="str">
        <x:v>WATER</x:v>
      </x:c>
      <x:c r="B126" s="27" t="str">
        <x:v>SCA-06</x:v>
      </x:c>
      <x:c r="C126" s="27" t="str">
        <x:v>SCA-32</x:v>
      </x:c>
      <x:c r="D126" s="61" t="n">
        <x:v>6690.862768533373</x:v>
      </x:c>
      <x:c r="E126" s="27" t="str">
        <x:v>USACE node topology</x:v>
      </x:c>
    </x:row>
    <x:row r="127" ht="21.600000381469727" hidden="0" customHeight="1">
      <x:c r="A127" s="29" t="str">
        <x:v>WATER</x:v>
      </x:c>
      <x:c r="B127" s="29" t="str">
        <x:v>SCA-13</x:v>
      </x:c>
      <x:c r="C127" s="29" t="str">
        <x:v>SCA-14</x:v>
      </x:c>
      <x:c r="D127" s="62" t="n">
        <x:v>449.18518397452385</x:v>
      </x:c>
      <x:c r="E127" s="29" t="str">
        <x:v>USACE node topology</x:v>
      </x:c>
    </x:row>
    <x:row r="128" ht="21.600000381469727" hidden="0" customHeight="1">
      <x:c r="A128" s="27" t="str">
        <x:v>WATER</x:v>
      </x:c>
      <x:c r="B128" s="27" t="str">
        <x:v>SCA-13</x:v>
      </x:c>
      <x:c r="C128" s="27" t="str">
        <x:v>SCA-17</x:v>
      </x:c>
      <x:c r="D128" s="61" t="n">
        <x:v>481.2083655740903</x:v>
      </x:c>
      <x:c r="E128" s="27" t="str">
        <x:v>USACE node topology</x:v>
      </x:c>
    </x:row>
    <x:row r="129" ht="21.600000381469727" hidden="0" customHeight="1">
      <x:c r="A129" s="29" t="str">
        <x:v>WATER</x:v>
      </x:c>
      <x:c r="B129" s="29" t="str">
        <x:v>SCA-14</x:v>
      </x:c>
      <x:c r="C129" s="29" t="str">
        <x:v>SCA-17</x:v>
      </x:c>
      <x:c r="D129" s="62" t="n">
        <x:v>662.0418096800692</x:v>
      </x:c>
      <x:c r="E129" s="29" t="str">
        <x:v>USACE node topology</x:v>
      </x:c>
    </x:row>
    <x:row r="130" ht="21.600000381469727" hidden="0" customHeight="1">
      <x:c r="A130" s="27" t="str">
        <x:v>WATER</x:v>
      </x:c>
      <x:c r="B130" s="27" t="str">
        <x:v>SCA-14</x:v>
      </x:c>
      <x:c r="C130" s="27" t="str">
        <x:v>SCA-27</x:v>
      </x:c>
      <x:c r="D130" s="61" t="n">
        <x:v>2236.912247017462</x:v>
      </x:c>
      <x:c r="E130" s="27" t="str">
        <x:v>USACE node topology</x:v>
      </x:c>
    </x:row>
    <x:row r="131" ht="21.600000381469727" hidden="0" customHeight="1">
      <x:c r="A131" s="29" t="str">
        <x:v>WATER</x:v>
      </x:c>
      <x:c r="B131" s="29" t="str">
        <x:v>SCA-15</x:v>
      </x:c>
      <x:c r="C131" s="29" t="str">
        <x:v>SCA-16</x:v>
      </x:c>
      <x:c r="D131" s="62" t="n">
        <x:v>723.5079646039995</x:v>
      </x:c>
      <x:c r="E131" s="29" t="str">
        <x:v>USACE node topology</x:v>
      </x:c>
    </x:row>
    <x:row r="132" ht="21.600000381469727" hidden="0" customHeight="1">
      <x:c r="A132" s="27" t="str">
        <x:v>WATER</x:v>
      </x:c>
      <x:c r="B132" s="27" t="str">
        <x:v>SCA-15</x:v>
      </x:c>
      <x:c r="C132" s="27" t="str">
        <x:v>SCA-17</x:v>
      </x:c>
      <x:c r="D132" s="61" t="n">
        <x:v>521.8085763594806</x:v>
      </x:c>
      <x:c r="E132" s="27" t="str">
        <x:v>USACE node topology</x:v>
      </x:c>
    </x:row>
    <x:row r="133" ht="21.600000381469727" hidden="0" customHeight="1">
      <x:c r="A133" s="29" t="str">
        <x:v>WATER</x:v>
      </x:c>
      <x:c r="B133" s="29" t="str">
        <x:v>SCA-16</x:v>
      </x:c>
      <x:c r="C133" s="29" t="str">
        <x:v>SCA-18</x:v>
      </x:c>
      <x:c r="D133" s="62" t="n">
        <x:v>970.2369558574337</x:v>
      </x:c>
      <x:c r="E133" s="29" t="str">
        <x:v>USACE node topology</x:v>
      </x:c>
    </x:row>
    <x:row r="134" ht="21.600000381469727" hidden="0" customHeight="1">
      <x:c r="A134" s="27" t="str">
        <x:v>WATER</x:v>
      </x:c>
      <x:c r="B134" s="27" t="str">
        <x:v>SCA-16</x:v>
      </x:c>
      <x:c r="C134" s="27" t="str">
        <x:v>SCA-19</x:v>
      </x:c>
      <x:c r="D134" s="61" t="n">
        <x:v>580.4356718514265</x:v>
      </x:c>
      <x:c r="E134" s="27" t="str">
        <x:v>USACE node topology</x:v>
      </x:c>
    </x:row>
    <x:row r="135" ht="21.600000381469727" hidden="0" customHeight="1">
      <x:c r="A135" s="29" t="str">
        <x:v>WATER</x:v>
      </x:c>
      <x:c r="B135" s="29" t="str">
        <x:v>SCA-16</x:v>
      </x:c>
      <x:c r="C135" s="29" t="str">
        <x:v>SCA-20</x:v>
      </x:c>
      <x:c r="D135" s="62" t="n">
        <x:v>900.5920707347615</x:v>
      </x:c>
      <x:c r="E135" s="29" t="str">
        <x:v>USACE node topology</x:v>
      </x:c>
    </x:row>
    <x:row r="136" ht="21.600000381469727" hidden="0" customHeight="1">
      <x:c r="A136" s="27" t="str">
        <x:v>WATER</x:v>
      </x:c>
      <x:c r="B136" s="27" t="str">
        <x:v>SCA-17</x:v>
      </x:c>
      <x:c r="C136" s="27" t="str">
        <x:v>SCA-20</x:v>
      </x:c>
      <x:c r="D136" s="61" t="n">
        <x:v>768.3228099490875</x:v>
      </x:c>
      <x:c r="E136" s="27" t="str">
        <x:v>USACE node topology</x:v>
      </x:c>
    </x:row>
    <x:row r="137" ht="21.600000381469727" hidden="0" customHeight="1">
      <x:c r="A137" s="29" t="str">
        <x:v>WATER</x:v>
      </x:c>
      <x:c r="B137" s="29" t="str">
        <x:v>SCA-17</x:v>
      </x:c>
      <x:c r="C137" s="29" t="str">
        <x:v>SCA-26</x:v>
      </x:c>
      <x:c r="D137" s="62" t="n">
        <x:v>1566.987641103571</x:v>
      </x:c>
      <x:c r="E137" s="29" t="str">
        <x:v>USACE node topology</x:v>
      </x:c>
    </x:row>
    <x:row r="138" ht="21.600000381469727" hidden="0" customHeight="1">
      <x:c r="A138" s="27" t="str">
        <x:v>WATER</x:v>
      </x:c>
      <x:c r="B138" s="27" t="str">
        <x:v>SCA-17</x:v>
      </x:c>
      <x:c r="C138" s="27" t="str">
        <x:v>SCA-27</x:v>
      </x:c>
      <x:c r="D138" s="61" t="n">
        <x:v>1807.697893890051</x:v>
      </x:c>
      <x:c r="E138" s="27" t="str">
        <x:v>USACE node topology</x:v>
      </x:c>
    </x:row>
    <x:row r="139" ht="21.600000381469727" hidden="0" customHeight="1">
      <x:c r="A139" s="29" t="str">
        <x:v>WATER</x:v>
      </x:c>
      <x:c r="B139" s="29" t="str">
        <x:v>SCA-18</x:v>
      </x:c>
      <x:c r="C139" s="29" t="str">
        <x:v>SCA-21</x:v>
      </x:c>
      <x:c r="D139" s="62" t="n">
        <x:v>714.1304165352236</x:v>
      </x:c>
      <x:c r="E139" s="29" t="str">
        <x:v>USACE node topology</x:v>
      </x:c>
    </x:row>
    <x:row r="140" ht="21.600000381469727" hidden="0" customHeight="1">
      <x:c r="A140" s="27" t="str">
        <x:v>WATER</x:v>
      </x:c>
      <x:c r="B140" s="27" t="str">
        <x:v>SCA-18</x:v>
      </x:c>
      <x:c r="C140" s="27" t="str">
        <x:v>SCA-24</x:v>
      </x:c>
      <x:c r="D140" s="61" t="n">
        <x:v>1096.8164429613876</x:v>
      </x:c>
      <x:c r="E140" s="27" t="str">
        <x:v>USACE node topology</x:v>
      </x:c>
    </x:row>
    <x:row r="141" ht="21.600000381469727" hidden="0" customHeight="1">
      <x:c r="A141" s="29" t="str">
        <x:v>WATER</x:v>
      </x:c>
      <x:c r="B141" s="29" t="str">
        <x:v>SCA-19</x:v>
      </x:c>
      <x:c r="C141" s="29" t="str">
        <x:v>SCA-20</x:v>
      </x:c>
      <x:c r="D141" s="62" t="n">
        <x:v>669.5469410123609</x:v>
      </x:c>
      <x:c r="E141" s="29" t="str">
        <x:v>USACE node topology</x:v>
      </x:c>
    </x:row>
    <x:row r="142" ht="21.600000381469727" hidden="0" customHeight="1">
      <x:c r="A142" s="27" t="str">
        <x:v>WATER</x:v>
      </x:c>
      <x:c r="B142" s="27" t="str">
        <x:v>SCA-19</x:v>
      </x:c>
      <x:c r="C142" s="27" t="str">
        <x:v>SCA-21</x:v>
      </x:c>
      <x:c r="D142" s="61" t="n">
        <x:v>584.9348020035936</x:v>
      </x:c>
      <x:c r="E142" s="27" t="str">
        <x:v>USACE node topology</x:v>
      </x:c>
    </x:row>
    <x:row r="143" ht="21.600000381469727" hidden="0" customHeight="1">
      <x:c r="A143" s="29" t="str">
        <x:v>WATER</x:v>
      </x:c>
      <x:c r="B143" s="29" t="str">
        <x:v>SCA-19</x:v>
      </x:c>
      <x:c r="C143" s="29" t="str">
        <x:v>SCA-22</x:v>
      </x:c>
      <x:c r="D143" s="62" t="n">
        <x:v>620.6137108706271</x:v>
      </x:c>
      <x:c r="E143" s="29" t="str">
        <x:v>USACE node topology</x:v>
      </x:c>
    </x:row>
    <x:row r="144" ht="21.600000381469727" hidden="0" customHeight="1">
      <x:c r="A144" s="27" t="str">
        <x:v>WATER</x:v>
      </x:c>
      <x:c r="B144" s="27" t="str">
        <x:v>SCA-20</x:v>
      </x:c>
      <x:c r="C144" s="27" t="str">
        <x:v>SCA-22</x:v>
      </x:c>
      <x:c r="D144" s="61" t="n">
        <x:v>811.9539545502453</x:v>
      </x:c>
      <x:c r="E144" s="27" t="str">
        <x:v>USACE node topology</x:v>
      </x:c>
    </x:row>
    <x:row r="145" ht="21.600000381469727" hidden="0" customHeight="1">
      <x:c r="A145" s="29" t="str">
        <x:v>WATER</x:v>
      </x:c>
      <x:c r="B145" s="29" t="str">
        <x:v>SCA-20</x:v>
      </x:c>
      <x:c r="C145" s="29" t="str">
        <x:v>SCA-23</x:v>
      </x:c>
      <x:c r="D145" s="62" t="n">
        <x:v>645.0075757625827</x:v>
      </x:c>
      <x:c r="E145" s="29" t="str">
        <x:v>USACE node topology</x:v>
      </x:c>
    </x:row>
    <x:row r="146" ht="21.600000381469727" hidden="0" customHeight="1">
      <x:c r="A146" s="27" t="str">
        <x:v>WATER</x:v>
      </x:c>
      <x:c r="B146" s="27" t="str">
        <x:v>SCA-20</x:v>
      </x:c>
      <x:c r="C146" s="27" t="str">
        <x:v>SCA-25</x:v>
      </x:c>
      <x:c r="D146" s="61" t="n">
        <x:v>1077.0049353517759</x:v>
      </x:c>
      <x:c r="E146" s="27" t="str">
        <x:v>USACE node topology</x:v>
      </x:c>
    </x:row>
    <x:row r="147" ht="21.600000381469727" hidden="0" customHeight="1">
      <x:c r="A147" s="29" t="str">
        <x:v>WATER</x:v>
      </x:c>
      <x:c r="B147" s="29" t="str">
        <x:v>SCA-20</x:v>
      </x:c>
      <x:c r="C147" s="29" t="str">
        <x:v>SCA-27</x:v>
      </x:c>
      <x:c r="D147" s="62" t="n">
        <x:v>1621.861671935984</x:v>
      </x:c>
      <x:c r="E147" s="29" t="str">
        <x:v>USACE node topology</x:v>
      </x:c>
    </x:row>
    <x:row r="148" ht="21.600000381469727" hidden="0" customHeight="1">
      <x:c r="A148" s="27" t="str">
        <x:v>WATER</x:v>
      </x:c>
      <x:c r="B148" s="27" t="str">
        <x:v>SCA-21</x:v>
      </x:c>
      <x:c r="C148" s="27" t="str">
        <x:v>SCA-24</x:v>
      </x:c>
      <x:c r="D148" s="61" t="n">
        <x:v>442.14545047712</x:v>
      </x:c>
      <x:c r="E148" s="27" t="str">
        <x:v>USACE node topology</x:v>
      </x:c>
    </x:row>
    <x:row r="149" ht="21.600000381469727" hidden="0" customHeight="1">
      <x:c r="A149" s="29" t="str">
        <x:v>WATER</x:v>
      </x:c>
      <x:c r="B149" s="29" t="str">
        <x:v>SCA-22</x:v>
      </x:c>
      <x:c r="C149" s="29" t="str">
        <x:v>SCA-28</x:v>
      </x:c>
      <x:c r="D149" s="62" t="n">
        <x:v>717.5290159463941</x:v>
      </x:c>
      <x:c r="E149" s="29" t="str">
        <x:v>USACE node topology</x:v>
      </x:c>
    </x:row>
    <x:row r="150" ht="21.600000381469727" hidden="0" customHeight="1">
      <x:c r="A150" s="27" t="str">
        <x:v>WATER</x:v>
      </x:c>
      <x:c r="B150" s="27" t="str">
        <x:v>SCA-22</x:v>
      </x:c>
      <x:c r="C150" s="27" t="str">
        <x:v>SCA-29</x:v>
      </x:c>
      <x:c r="D150" s="61" t="n">
        <x:v>798.6560275079174</x:v>
      </x:c>
      <x:c r="E150" s="27" t="str">
        <x:v>USACE node topology</x:v>
      </x:c>
    </x:row>
    <x:row r="151" ht="21.600000381469727" hidden="0" customHeight="1">
      <x:c r="A151" s="29" t="str">
        <x:v>WATER</x:v>
      </x:c>
      <x:c r="B151" s="29" t="str">
        <x:v>SCA-23</x:v>
      </x:c>
      <x:c r="C151" s="29" t="str">
        <x:v>SCA-25</x:v>
      </x:c>
      <x:c r="D151" s="62" t="n">
        <x:v>550.4936959103328</x:v>
      </x:c>
      <x:c r="E151" s="29" t="str">
        <x:v>USACE node topology</x:v>
      </x:c>
    </x:row>
    <x:row r="152" ht="21.600000381469727" hidden="0" customHeight="1">
      <x:c r="A152" s="27" t="str">
        <x:v>WATER</x:v>
      </x:c>
      <x:c r="B152" s="27" t="str">
        <x:v>SCA-24</x:v>
      </x:c>
      <x:c r="C152" s="27" t="str">
        <x:v>SCA-28</x:v>
      </x:c>
      <x:c r="D152" s="61" t="n">
        <x:v>551.8642048652956</x:v>
      </x:c>
      <x:c r="E152" s="27" t="str">
        <x:v>USACE node topology</x:v>
      </x:c>
    </x:row>
    <x:row r="153" ht="21.600000381469727" hidden="0" customHeight="1">
      <x:c r="A153" s="29" t="str">
        <x:v>WATER</x:v>
      </x:c>
      <x:c r="B153" s="29" t="str">
        <x:v>SCA-25</x:v>
      </x:c>
      <x:c r="C153" s="29" t="str">
        <x:v>SCA-26</x:v>
      </x:c>
      <x:c r="D153" s="62" t="n">
        <x:v>365.6341768512801</x:v>
      </x:c>
      <x:c r="E153" s="29" t="str">
        <x:v>USACE node topology</x:v>
      </x:c>
    </x:row>
    <x:row r="154" ht="21.600000381469727" hidden="0" customHeight="1">
      <x:c r="A154" s="27" t="str">
        <x:v>WATER</x:v>
      </x:c>
      <x:c r="B154" s="27" t="str">
        <x:v>SCA-25</x:v>
      </x:c>
      <x:c r="C154" s="27" t="str">
        <x:v>SCA-27</x:v>
      </x:c>
      <x:c r="D154" s="61" t="n">
        <x:v>655.0068969917631</x:v>
      </x:c>
      <x:c r="E154" s="27" t="str">
        <x:v>USACE node topology</x:v>
      </x:c>
    </x:row>
    <x:row r="155" ht="21.600000381469727" hidden="0" customHeight="1">
      <x:c r="A155" s="29" t="str">
        <x:v>WATER</x:v>
      </x:c>
      <x:c r="B155" s="29" t="str">
        <x:v>SCA-25</x:v>
      </x:c>
      <x:c r="C155" s="29" t="str">
        <x:v>SCA-29</x:v>
      </x:c>
      <x:c r="D155" s="62" t="n">
        <x:v>837.6811904338459</x:v>
      </x:c>
      <x:c r="E155" s="29" t="str">
        <x:v>USACE node topology</x:v>
      </x:c>
    </x:row>
    <x:row r="156" ht="21.600000381469727" hidden="0" customHeight="1">
      <x:c r="A156" s="27" t="str">
        <x:v>WATER</x:v>
      </x:c>
      <x:c r="B156" s="27" t="str">
        <x:v>SCA-25</x:v>
      </x:c>
      <x:c r="C156" s="27" t="str">
        <x:v>SCA-32</x:v>
      </x:c>
      <x:c r="D156" s="61" t="n">
        <x:v>2679.826484737385</x:v>
      </x:c>
      <x:c r="E156" s="27" t="str">
        <x:v>USACE node topology</x:v>
      </x:c>
    </x:row>
    <x:row r="157" ht="21.600000381469727" hidden="0" customHeight="1">
      <x:c r="A157" s="29" t="str">
        <x:v>WATER</x:v>
      </x:c>
      <x:c r="B157" s="29" t="str">
        <x:v>SCA-26</x:v>
      </x:c>
      <x:c r="C157" s="29" t="str">
        <x:v>SCA-27</x:v>
      </x:c>
      <x:c r="D157" s="62" t="n">
        <x:v>311.2384157156718</x:v>
      </x:c>
      <x:c r="E157" s="29" t="str">
        <x:v>USACE node topology</x:v>
      </x:c>
    </x:row>
    <x:row r="158" ht="21.600000381469727" hidden="0" customHeight="1">
      <x:c r="A158" s="27" t="str">
        <x:v>WATER</x:v>
      </x:c>
      <x:c r="B158" s="27" t="str">
        <x:v>SCA-27</x:v>
      </x:c>
      <x:c r="C158" s="27" t="str">
        <x:v>SCA-29</x:v>
      </x:c>
      <x:c r="D158" s="61" t="n">
        <x:v>1392.155575788962</x:v>
      </x:c>
      <x:c r="E158" s="27" t="str">
        <x:v>USACE node topology</x:v>
      </x:c>
    </x:row>
    <x:row r="159" ht="21.600000381469727" hidden="0" customHeight="1">
      <x:c r="A159" s="29" t="str">
        <x:v>WATER</x:v>
      </x:c>
      <x:c r="B159" s="29" t="str">
        <x:v>SCA-27</x:v>
      </x:c>
      <x:c r="C159" s="29" t="str">
        <x:v>SCA-32</x:v>
      </x:c>
      <x:c r="D159" s="62" t="n">
        <x:v>2175.282645422214</x:v>
      </x:c>
      <x:c r="E159" s="29" t="str">
        <x:v>USACE node topology</x:v>
      </x:c>
    </x:row>
    <x:row r="160" ht="21.600000381469727" hidden="0" customHeight="1">
      <x:c r="A160" s="27" t="str">
        <x:v>WATER</x:v>
      </x:c>
      <x:c r="B160" s="27" t="str">
        <x:v>SCA-28</x:v>
      </x:c>
      <x:c r="C160" s="27" t="str">
        <x:v>SCA-29</x:v>
      </x:c>
      <x:c r="D160" s="61" t="n">
        <x:v>641.3971941034359</x:v>
      </x:c>
      <x:c r="E160" s="27" t="str">
        <x:v>USACE node topology</x:v>
      </x:c>
    </x:row>
    <x:row r="161" ht="21.600000381469727" hidden="0" customHeight="1">
      <x:c r="A161" s="29" t="str">
        <x:v>WATER</x:v>
      </x:c>
      <x:c r="B161" s="29" t="str">
        <x:v>SCA-28</x:v>
      </x:c>
      <x:c r="C161" s="29" t="str">
        <x:v>SCA-30</x:v>
      </x:c>
      <x:c r="D161" s="62" t="n">
        <x:v>515.9665707756411</x:v>
      </x:c>
      <x:c r="E161" s="29" t="str">
        <x:v>USACE node topology</x:v>
      </x:c>
    </x:row>
    <x:row r="162" ht="21.600000381469727" hidden="0" customHeight="1">
      <x:c r="A162" s="27" t="str">
        <x:v>WATER</x:v>
      </x:c>
      <x:c r="B162" s="27" t="str">
        <x:v>SCA-29</x:v>
      </x:c>
      <x:c r="C162" s="27" t="str">
        <x:v>SCA-30</x:v>
      </x:c>
      <x:c r="D162" s="61" t="n">
        <x:v>835.9282887736889</x:v>
      </x:c>
      <x:c r="E162" s="27" t="str">
        <x:v>USACE node topology</x:v>
      </x:c>
    </x:row>
    <x:row r="163" ht="21.600000381469727" hidden="0" customHeight="1">
      <x:c r="A163" s="29" t="str">
        <x:v>WATER</x:v>
      </x:c>
      <x:c r="B163" s="29" t="str">
        <x:v>SCA-29</x:v>
      </x:c>
      <x:c r="C163" s="29" t="str">
        <x:v>SCA-31</x:v>
      </x:c>
      <x:c r="D163" s="62" t="n">
        <x:v>1270.1462350917857</x:v>
      </x:c>
      <x:c r="E163" s="29" t="str">
        <x:v>USACE node topology</x:v>
      </x:c>
    </x:row>
    <x:row r="164" ht="21.600000381469727" hidden="0" customHeight="1">
      <x:c r="A164" s="27" t="str">
        <x:v>WATER</x:v>
      </x:c>
      <x:c r="B164" s="27" t="str">
        <x:v>SCA-29</x:v>
      </x:c>
      <x:c r="C164" s="27" t="str">
        <x:v>SCA-32</x:v>
      </x:c>
      <x:c r="D164" s="61" t="n">
        <x:v>2969.8142200065795</x:v>
      </x:c>
      <x:c r="E164" s="27" t="str">
        <x:v>USACE node topology</x:v>
      </x:c>
    </x:row>
    <x:row r="165" ht="21.600000381469727" hidden="0" customHeight="1">
      <x:c r="A165" s="29" t="str">
        <x:v>WATER</x:v>
      </x:c>
      <x:c r="B165" s="29" t="str">
        <x:v>SCA-30</x:v>
      </x:c>
      <x:c r="C165" s="29" t="str">
        <x:v>SCA-31</x:v>
      </x:c>
      <x:c r="D165" s="62" t="n">
        <x:v>437.5175181206326</x:v>
      </x:c>
      <x:c r="E165" s="29" t="str">
        <x:v>USACE node topology</x:v>
      </x:c>
    </x:row>
    <x:row r="166" ht="21.600000381469727" hidden="0" customHeight="1">
      <x:c r="A166" s="27" t="str">
        <x:v>WATER</x:v>
      </x:c>
      <x:c r="B166" s="27" t="str">
        <x:v>SCA-30</x:v>
      </x:c>
      <x:c r="C166" s="27" t="str">
        <x:v>SCA-32</x:v>
      </x:c>
      <x:c r="D166" s="61" t="n">
        <x:v>3333.124047346193</x:v>
      </x:c>
      <x:c r="E166" s="27" t="str">
        <x:v>USACE node topology</x:v>
      </x:c>
    </x:row>
    <x:row r="167" ht="21.600000381469727" hidden="0" customHeight="1">
      <x:c r="A167" s="29" t="str">
        <x:v>WATER</x:v>
      </x:c>
      <x:c r="B167" s="29" t="str">
        <x:v>SCA-31</x:v>
      </x:c>
      <x:c r="C167" s="29" t="str">
        <x:v>SCA-32</x:v>
      </x:c>
      <x:c r="D167" s="62" t="n">
        <x:v>3528.5900490166287</x:v>
      </x:c>
      <x:c r="E167" s="29" t="str">
        <x:v>USACE node topology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5" hidden="0" customWidth="1"/>
    <x:col min="9" max="9" width="48" hidden="0" customWidth="1"/>
    <x:col min="10" max="10" width="48" hidden="0" customWidth="1"/>
  </x:cols>
  <x:sheetData>
    <x:row r="1" ht="29" customHeight="1">
      <x:c r="A1" s="83" t="str">
        <x:v>Actual-layer-gated origin-destination paths</x:v>
      </x:c>
      <x:c r="B1" s="83"/>
      <x:c r="C1" s="83"/>
      <x:c r="D1" s="83"/>
      <x:c r="E1" s="83"/>
      <x:c r="F1" s="83"/>
      <x:c r="G1" s="83"/>
      <x:c r="H1" s="83"/>
      <x:c r="I1" s="83"/>
      <x:c r="J1" s="83"/>
    </x:row>
    <x:row r="2" ht="31" customHeight="1">
      <x:c r="A2" s="84" t="str">
        <x:v>Every ordered pair is tested by mode. Distance and time remain screening values; site access, damage and legal availability are not observed.</x:v>
      </x:c>
      <x:c r="B2" s="84"/>
      <x:c r="C2" s="84"/>
      <x:c r="D2" s="84"/>
      <x:c r="E2" s="84"/>
      <x:c r="F2" s="84"/>
      <x:c r="G2" s="84"/>
      <x:c r="H2" s="84"/>
      <x:c r="I2" s="84"/>
      <x:c r="J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</x:row>
    <x:row r="4" ht="32" customHeight="1">
      <x:c r="A4" s="86" t="str">
        <x:v>Origin</x:v>
      </x:c>
      <x:c r="B4" s="87" t="str">
        <x:v>Destination</x:v>
      </x:c>
      <x:c r="C4" s="87" t="str">
        <x:v>Mode</x:v>
      </x:c>
      <x:c r="D4" s="87" t="str">
        <x:v>Existing gate</x:v>
      </x:c>
      <x:c r="E4" s="87" t="str">
        <x:v>Deployable gate</x:v>
      </x:c>
      <x:c r="F4" s="87" t="str">
        <x:v>Distance km</x:v>
      </x:c>
      <x:c r="G4" s="87" t="str">
        <x:v>Hours</x:v>
      </x:c>
      <x:c r="H4" s="87" t="str">
        <x:v>Within 72h</x:v>
      </x:c>
      <x:c r="I4" s="87" t="str">
        <x:v>Basis</x:v>
      </x:c>
      <x:c r="J4" s="88" t="str">
        <x:v>Failure boundary</x:v>
      </x:c>
    </x:row>
    <x:row r="5" ht="54" hidden="0" customHeight="1">
      <x:c r="A5" s="28" t="str">
        <x:v>SCA-01</x:v>
      </x:c>
      <x:c r="B5" s="28" t="str">
        <x:v>SCA-02</x:v>
      </x:c>
      <x:c r="C5" s="28" t="str">
        <x:v>Road</x:v>
      </x:c>
      <x:c r="D5" s="28" t="str">
        <x:v>NO</x:v>
      </x:c>
      <x:c r="E5" s="28" t="str">
        <x:v>NO</x:v>
      </x:c>
      <x:c r="F5" s="60"/>
      <x:c r="G5" s="60"/>
      <x:c r="H5" s="28" t="str">
        <x:v>NO</x:v>
      </x:c>
      <x:c r="I5" s="28" t="str">
        <x:v>no screened path</x:v>
      </x:c>
      <x:c r="J5" s="28" t="str">
        <x:v>presence does not prove operability or capacity</x:v>
      </x:c>
    </x:row>
    <x:row r="6" ht="54" hidden="0" customHeight="1">
      <x:c r="A6" s="27" t="str">
        <x:v>SCA-01</x:v>
      </x:c>
      <x:c r="B6" s="27" t="str">
        <x:v>SCA-02</x:v>
      </x:c>
      <x:c r="C6" s="27" t="str">
        <x:v>Rail</x:v>
      </x:c>
      <x:c r="D6" s="27" t="str">
        <x:v>NO</x:v>
      </x:c>
      <x:c r="E6" s="27" t="str">
        <x:v>NO</x:v>
      </x:c>
      <x:c r="F6" s="61"/>
      <x:c r="G6" s="61"/>
      <x:c r="H6" s="27" t="str">
        <x:v>NO</x:v>
      </x:c>
      <x:c r="I6" s="27" t="str">
        <x:v>no screened path</x:v>
      </x:c>
      <x:c r="J6" s="27" t="str">
        <x:v>presence does not prove operability or capacity</x:v>
      </x:c>
    </x:row>
    <x:row r="7" ht="54" hidden="0" customHeight="1">
      <x:c r="A7" s="29" t="str">
        <x:v>SCA-01</x:v>
      </x:c>
      <x:c r="B7" s="29" t="str">
        <x:v>SCA-02</x:v>
      </x:c>
      <x:c r="C7" s="29" t="str">
        <x:v>Air</x:v>
      </x:c>
      <x:c r="D7" s="29" t="str">
        <x:v>YES</x:v>
      </x:c>
      <x:c r="E7" s="29" t="str">
        <x:v>YES</x:v>
      </x:c>
      <x:c r="F7" s="62" t="n">
        <x:v>4570.675633807084</x:v>
      </x:c>
      <x:c r="G7" s="62" t="n">
        <x:v>31.031808667395513</x:v>
      </x:c>
      <x:c r="H7" s="29" t="str">
        <x:v>YES</x:v>
      </x:c>
      <x:c r="I7" s="29" t="str">
        <x:v>primary-airport endpoints; great-circle screen</x:v>
      </x:c>
      <x:c r="J7" s="29" t="str">
        <x:v>presence does not prove operability or capacity</x:v>
      </x:c>
    </x:row>
    <x:row r="8" ht="75.5999984741211" hidden="0" customHeight="1">
      <x:c r="A8" s="27" t="str">
        <x:v>SCA-01</x:v>
      </x:c>
      <x:c r="B8" s="27" t="str">
        <x:v>SCA-02</x:v>
      </x:c>
      <x:c r="C8" s="27" t="str">
        <x:v>Water</x:v>
      </x:c>
      <x:c r="D8" s="27" t="str">
        <x:v>YES</x:v>
      </x:c>
      <x:c r="E8" s="27" t="str">
        <x:v>YES</x:v>
      </x:c>
      <x:c r="F8" s="61" t="n">
        <x:v>5850.464811273067</x:v>
      </x:c>
      <x:c r="G8" s="61" t="n">
        <x:v>197.15613746494478</x:v>
      </x:c>
      <x:c r="H8" s="27" t="str">
        <x:v>NO</x:v>
      </x:c>
      <x:c r="I8" s="27" t="str">
        <x:v>USACE waterway node topology; deployable terminal required</x:v>
      </x:c>
      <x:c r="J8" s="27" t="str">
        <x:v>presence does not prove operability or capacity</x:v>
      </x:c>
    </x:row>
    <x:row r="9" ht="54" hidden="0" customHeight="1">
      <x:c r="A9" s="29" t="str">
        <x:v>SCA-01</x:v>
      </x:c>
      <x:c r="B9" s="29" t="str">
        <x:v>SCA-03</x:v>
      </x:c>
      <x:c r="C9" s="29" t="str">
        <x:v>Road</x:v>
      </x:c>
      <x:c r="D9" s="29" t="str">
        <x:v>NO</x:v>
      </x:c>
      <x:c r="E9" s="29" t="str">
        <x:v>NO</x:v>
      </x:c>
      <x:c r="F9" s="62"/>
      <x:c r="G9" s="62"/>
      <x:c r="H9" s="29" t="str">
        <x:v>NO</x:v>
      </x:c>
      <x:c r="I9" s="29" t="str">
        <x:v>no screened path</x:v>
      </x:c>
      <x:c r="J9" s="29" t="str">
        <x:v>presence does not prove operability or capacity</x:v>
      </x:c>
    </x:row>
    <x:row r="10" ht="54" hidden="0" customHeight="1">
      <x:c r="A10" s="27" t="str">
        <x:v>SCA-01</x:v>
      </x:c>
      <x:c r="B10" s="27" t="str">
        <x:v>SCA-03</x:v>
      </x:c>
      <x:c r="C10" s="27" t="str">
        <x:v>Rail</x:v>
      </x:c>
      <x:c r="D10" s="27" t="str">
        <x:v>NO</x:v>
      </x:c>
      <x:c r="E10" s="27" t="str">
        <x:v>NO</x:v>
      </x:c>
      <x:c r="F10" s="61"/>
      <x:c r="G10" s="61"/>
      <x:c r="H10" s="27" t="str">
        <x:v>NO</x:v>
      </x:c>
      <x:c r="I10" s="27" t="str">
        <x:v>no screened path</x:v>
      </x:c>
      <x:c r="J10" s="27" t="str">
        <x:v>presence does not prove operability or capacity</x:v>
      </x:c>
    </x:row>
    <x:row r="11" ht="54" hidden="0" customHeight="1">
      <x:c r="A11" s="29" t="str">
        <x:v>SCA-01</x:v>
      </x:c>
      <x:c r="B11" s="29" t="str">
        <x:v>SCA-03</x:v>
      </x:c>
      <x:c r="C11" s="29" t="str">
        <x:v>Air</x:v>
      </x:c>
      <x:c r="D11" s="29" t="str">
        <x:v>YES</x:v>
      </x:c>
      <x:c r="E11" s="29" t="str">
        <x:v>YES</x:v>
      </x:c>
      <x:c r="F11" s="62" t="n">
        <x:v>4304.604857024435</x:v>
      </x:c>
      <x:c r="G11" s="62" t="n">
        <x:v>30.622469010806824</x:v>
      </x:c>
      <x:c r="H11" s="29" t="str">
        <x:v>YES</x:v>
      </x:c>
      <x:c r="I11" s="29" t="str">
        <x:v>primary-airport endpoints; great-circle screen</x:v>
      </x:c>
      <x:c r="J11" s="29" t="str">
        <x:v>presence does not prove operability or capacity</x:v>
      </x:c>
    </x:row>
    <x:row r="12" ht="75.5999984741211" hidden="0" customHeight="1">
      <x:c r="A12" s="27" t="str">
        <x:v>SCA-01</x:v>
      </x:c>
      <x:c r="B12" s="27" t="str">
        <x:v>SCA-03</x:v>
      </x:c>
      <x:c r="C12" s="27" t="str">
        <x:v>Water</x:v>
      </x:c>
      <x:c r="D12" s="27" t="str">
        <x:v>YES</x:v>
      </x:c>
      <x:c r="E12" s="27" t="str">
        <x:v>YES</x:v>
      </x:c>
      <x:c r="F12" s="61" t="n">
        <x:v>5509.894216991276</x:v>
      </x:c>
      <x:c r="G12" s="61" t="n">
        <x:v>187.4255490568936</x:v>
      </x:c>
      <x:c r="H12" s="27" t="str">
        <x:v>NO</x:v>
      </x:c>
      <x:c r="I12" s="27" t="str">
        <x:v>USACE waterway node topology; deployable terminal required</x:v>
      </x:c>
      <x:c r="J12" s="27" t="str">
        <x:v>presence does not prove operability or capacity</x:v>
      </x:c>
    </x:row>
    <x:row r="13" ht="54" hidden="0" customHeight="1">
      <x:c r="A13" s="29" t="str">
        <x:v>SCA-01</x:v>
      </x:c>
      <x:c r="B13" s="29" t="str">
        <x:v>SCA-04</x:v>
      </x:c>
      <x:c r="C13" s="29" t="str">
        <x:v>Road</x:v>
      </x:c>
      <x:c r="D13" s="29" t="str">
        <x:v>NO</x:v>
      </x:c>
      <x:c r="E13" s="29" t="str">
        <x:v>NO</x:v>
      </x:c>
      <x:c r="F13" s="62"/>
      <x:c r="G13" s="62"/>
      <x:c r="H13" s="29" t="str">
        <x:v>NO</x:v>
      </x:c>
      <x:c r="I13" s="29" t="str">
        <x:v>no screened path</x:v>
      </x:c>
      <x:c r="J13" s="29" t="str">
        <x:v>presence does not prove operability or capacity</x:v>
      </x:c>
    </x:row>
    <x:row r="14" ht="54" hidden="0" customHeight="1">
      <x:c r="A14" s="27" t="str">
        <x:v>SCA-01</x:v>
      </x:c>
      <x:c r="B14" s="27" t="str">
        <x:v>SCA-04</x:v>
      </x:c>
      <x:c r="C14" s="27" t="str">
        <x:v>Rail</x:v>
      </x:c>
      <x:c r="D14" s="27" t="str">
        <x:v>NO</x:v>
      </x:c>
      <x:c r="E14" s="27" t="str">
        <x:v>NO</x:v>
      </x:c>
      <x:c r="F14" s="61"/>
      <x:c r="G14" s="61"/>
      <x:c r="H14" s="27" t="str">
        <x:v>NO</x:v>
      </x:c>
      <x:c r="I14" s="27" t="str">
        <x:v>no screened path</x:v>
      </x:c>
      <x:c r="J14" s="27" t="str">
        <x:v>presence does not prove operability or capacity</x:v>
      </x:c>
    </x:row>
    <x:row r="15" ht="54" hidden="0" customHeight="1">
      <x:c r="A15" s="29" t="str">
        <x:v>SCA-01</x:v>
      </x:c>
      <x:c r="B15" s="29" t="str">
        <x:v>SCA-04</x:v>
      </x:c>
      <x:c r="C15" s="29" t="str">
        <x:v>Air</x:v>
      </x:c>
      <x:c r="D15" s="29" t="str">
        <x:v>YES</x:v>
      </x:c>
      <x:c r="E15" s="29" t="str">
        <x:v>YES</x:v>
      </x:c>
      <x:c r="F15" s="62" t="n">
        <x:v>3934.8561353727237</x:v>
      </x:c>
      <x:c r="G15" s="62" t="n">
        <x:v>30.053624823650345</x:v>
      </x:c>
      <x:c r="H15" s="29" t="str">
        <x:v>YES</x:v>
      </x:c>
      <x:c r="I15" s="29" t="str">
        <x:v>primary-airport endpoints; great-circle screen</x:v>
      </x:c>
      <x:c r="J15" s="29" t="str">
        <x:v>presence does not prove operability or capacity</x:v>
      </x:c>
    </x:row>
    <x:row r="16" ht="75.5999984741211" hidden="0" customHeight="1">
      <x:c r="A16" s="27" t="str">
        <x:v>SCA-01</x:v>
      </x:c>
      <x:c r="B16" s="27" t="str">
        <x:v>SCA-04</x:v>
      </x:c>
      <x:c r="C16" s="27" t="str">
        <x:v>Water</x:v>
      </x:c>
      <x:c r="D16" s="27" t="str">
        <x:v>YES</x:v>
      </x:c>
      <x:c r="E16" s="27" t="str">
        <x:v>YES</x:v>
      </x:c>
      <x:c r="F16" s="61" t="n">
        <x:v>5036.615853277086</x:v>
      </x:c>
      <x:c r="G16" s="61" t="n">
        <x:v>173.90331009363103</x:v>
      </x:c>
      <x:c r="H16" s="27" t="str">
        <x:v>NO</x:v>
      </x:c>
      <x:c r="I16" s="27" t="str">
        <x:v>USACE waterway node topology; deployable terminal required</x:v>
      </x:c>
      <x:c r="J16" s="27" t="str">
        <x:v>presence does not prove operability or capacity</x:v>
      </x:c>
    </x:row>
    <x:row r="17" ht="54" hidden="0" customHeight="1">
      <x:c r="A17" s="29" t="str">
        <x:v>SCA-01</x:v>
      </x:c>
      <x:c r="B17" s="29" t="str">
        <x:v>SCA-05</x:v>
      </x:c>
      <x:c r="C17" s="29" t="str">
        <x:v>Road</x:v>
      </x:c>
      <x:c r="D17" s="29" t="str">
        <x:v>NO</x:v>
      </x:c>
      <x:c r="E17" s="29" t="str">
        <x:v>NO</x:v>
      </x:c>
      <x:c r="F17" s="62"/>
      <x:c r="G17" s="62"/>
      <x:c r="H17" s="29" t="str">
        <x:v>NO</x:v>
      </x:c>
      <x:c r="I17" s="29" t="str">
        <x:v>no screened path</x:v>
      </x:c>
      <x:c r="J17" s="29" t="str">
        <x:v>presence does not prove operability or capacity</x:v>
      </x:c>
    </x:row>
    <x:row r="18" ht="54" hidden="0" customHeight="1">
      <x:c r="A18" s="27" t="str">
        <x:v>SCA-01</x:v>
      </x:c>
      <x:c r="B18" s="27" t="str">
        <x:v>SCA-05</x:v>
      </x:c>
      <x:c r="C18" s="27" t="str">
        <x:v>Rail</x:v>
      </x:c>
      <x:c r="D18" s="27" t="str">
        <x:v>NO</x:v>
      </x:c>
      <x:c r="E18" s="27" t="str">
        <x:v>NO</x:v>
      </x:c>
      <x:c r="F18" s="61"/>
      <x:c r="G18" s="61"/>
      <x:c r="H18" s="27" t="str">
        <x:v>NO</x:v>
      </x:c>
      <x:c r="I18" s="27" t="str">
        <x:v>no screened path</x:v>
      </x:c>
      <x:c r="J18" s="27" t="str">
        <x:v>presence does not prove operability or capacity</x:v>
      </x:c>
    </x:row>
    <x:row r="19" ht="54" hidden="0" customHeight="1">
      <x:c r="A19" s="29" t="str">
        <x:v>SCA-01</x:v>
      </x:c>
      <x:c r="B19" s="29" t="str">
        <x:v>SCA-05</x:v>
      </x:c>
      <x:c r="C19" s="29" t="str">
        <x:v>Air</x:v>
      </x:c>
      <x:c r="D19" s="29" t="str">
        <x:v>YES</x:v>
      </x:c>
      <x:c r="E19" s="29" t="str">
        <x:v>YES</x:v>
      </x:c>
      <x:c r="F19" s="62" t="n">
        <x:v>4108.572609788814</x:v>
      </x:c>
      <x:c r="G19" s="62" t="n">
        <x:v>30.320880938136636</x:v>
      </x:c>
      <x:c r="H19" s="29" t="str">
        <x:v>YES</x:v>
      </x:c>
      <x:c r="I19" s="29" t="str">
        <x:v>primary-airport endpoints; great-circle screen</x:v>
      </x:c>
      <x:c r="J19" s="29" t="str">
        <x:v>presence does not prove operability or capacity</x:v>
      </x:c>
    </x:row>
    <x:row r="20" ht="75.5999984741211" hidden="0" customHeight="1">
      <x:c r="A20" s="27" t="str">
        <x:v>SCA-01</x:v>
      </x:c>
      <x:c r="B20" s="27" t="str">
        <x:v>SCA-05</x:v>
      </x:c>
      <x:c r="C20" s="27" t="str">
        <x:v>Water</x:v>
      </x:c>
      <x:c r="D20" s="27" t="str">
        <x:v>YES</x:v>
      </x:c>
      <x:c r="E20" s="27" t="str">
        <x:v>YES</x:v>
      </x:c>
      <x:c r="F20" s="61" t="n">
        <x:v>5258.972940529681</x:v>
      </x:c>
      <x:c r="G20" s="61" t="n">
        <x:v>180.25636972941948</x:v>
      </x:c>
      <x:c r="H20" s="27" t="str">
        <x:v>NO</x:v>
      </x:c>
      <x:c r="I20" s="27" t="str">
        <x:v>USACE waterway node topology; deployable terminal required</x:v>
      </x:c>
      <x:c r="J20" s="27" t="str">
        <x:v>presence does not prove operability or capacity</x:v>
      </x:c>
    </x:row>
    <x:row r="21" ht="54" hidden="0" customHeight="1">
      <x:c r="A21" s="29" t="str">
        <x:v>SCA-01</x:v>
      </x:c>
      <x:c r="B21" s="29" t="str">
        <x:v>SCA-06</x:v>
      </x:c>
      <x:c r="C21" s="29" t="str">
        <x:v>Road</x:v>
      </x:c>
      <x:c r="D21" s="29" t="str">
        <x:v>NO</x:v>
      </x:c>
      <x:c r="E21" s="29" t="str">
        <x:v>NO</x:v>
      </x:c>
      <x:c r="F21" s="62"/>
      <x:c r="G21" s="62"/>
      <x:c r="H21" s="29" t="str">
        <x:v>NO</x:v>
      </x:c>
      <x:c r="I21" s="29" t="str">
        <x:v>no screened path</x:v>
      </x:c>
      <x:c r="J21" s="29" t="str">
        <x:v>presence does not prove operability or capacity</x:v>
      </x:c>
    </x:row>
    <x:row r="22" ht="54" hidden="0" customHeight="1">
      <x:c r="A22" s="27" t="str">
        <x:v>SCA-01</x:v>
      </x:c>
      <x:c r="B22" s="27" t="str">
        <x:v>SCA-06</x:v>
      </x:c>
      <x:c r="C22" s="27" t="str">
        <x:v>Rail</x:v>
      </x:c>
      <x:c r="D22" s="27" t="str">
        <x:v>NO</x:v>
      </x:c>
      <x:c r="E22" s="27" t="str">
        <x:v>NO</x:v>
      </x:c>
      <x:c r="F22" s="61"/>
      <x:c r="G22" s="61"/>
      <x:c r="H22" s="27" t="str">
        <x:v>NO</x:v>
      </x:c>
      <x:c r="I22" s="27" t="str">
        <x:v>no screened path</x:v>
      </x:c>
      <x:c r="J22" s="27" t="str">
        <x:v>presence does not prove operability or capacity</x:v>
      </x:c>
    </x:row>
    <x:row r="23" ht="54" hidden="0" customHeight="1">
      <x:c r="A23" s="29" t="str">
        <x:v>SCA-01</x:v>
      </x:c>
      <x:c r="B23" s="29" t="str">
        <x:v>SCA-06</x:v>
      </x:c>
      <x:c r="C23" s="29" t="str">
        <x:v>Air</x:v>
      </x:c>
      <x:c r="D23" s="29" t="str">
        <x:v>YES</x:v>
      </x:c>
      <x:c r="E23" s="29" t="str">
        <x:v>YES</x:v>
      </x:c>
      <x:c r="F23" s="62" t="n">
        <x:v>4270.009072663751</x:v>
      </x:c>
      <x:c r="G23" s="62" t="n">
        <x:v>30.569244727175</x:v>
      </x:c>
      <x:c r="H23" s="29" t="str">
        <x:v>YES</x:v>
      </x:c>
      <x:c r="I23" s="29" t="str">
        <x:v>primary-airport endpoints; great-circle screen</x:v>
      </x:c>
      <x:c r="J23" s="29" t="str">
        <x:v>presence does not prove operability or capacity</x:v>
      </x:c>
    </x:row>
    <x:row r="24" ht="75.5999984741211" hidden="0" customHeight="1">
      <x:c r="A24" s="27" t="str">
        <x:v>SCA-01</x:v>
      </x:c>
      <x:c r="B24" s="27" t="str">
        <x:v>SCA-06</x:v>
      </x:c>
      <x:c r="C24" s="27" t="str">
        <x:v>Water</x:v>
      </x:c>
      <x:c r="D24" s="27" t="str">
        <x:v>YES</x:v>
      </x:c>
      <x:c r="E24" s="27" t="str">
        <x:v>YES</x:v>
      </x:c>
      <x:c r="F24" s="61" t="n">
        <x:v>5526.946363589297</x:v>
      </x:c>
      <x:c r="G24" s="61" t="n">
        <x:v>187.91275324540848</x:v>
      </x:c>
      <x:c r="H24" s="27" t="str">
        <x:v>NO</x:v>
      </x:c>
      <x:c r="I24" s="27" t="str">
        <x:v>USACE waterway node topology; deployable terminal required</x:v>
      </x:c>
      <x:c r="J24" s="27" t="str">
        <x:v>presence does not prove operability or capacity</x:v>
      </x:c>
    </x:row>
    <x:row r="25" ht="54" hidden="0" customHeight="1">
      <x:c r="A25" s="29" t="str">
        <x:v>SCA-01</x:v>
      </x:c>
      <x:c r="B25" s="29" t="str">
        <x:v>SCA-07</x:v>
      </x:c>
      <x:c r="C25" s="29" t="str">
        <x:v>Road</x:v>
      </x:c>
      <x:c r="D25" s="29" t="str">
        <x:v>NO</x:v>
      </x:c>
      <x:c r="E25" s="29" t="str">
        <x:v>NO</x:v>
      </x:c>
      <x:c r="F25" s="62"/>
      <x:c r="G25" s="62"/>
      <x:c r="H25" s="29" t="str">
        <x:v>NO</x:v>
      </x:c>
      <x:c r="I25" s="29" t="str">
        <x:v>no screened path</x:v>
      </x:c>
      <x:c r="J25" s="29" t="str">
        <x:v>presence does not prove operability or capacity</x:v>
      </x:c>
    </x:row>
    <x:row r="26" ht="54" hidden="0" customHeight="1">
      <x:c r="A26" s="27" t="str">
        <x:v>SCA-01</x:v>
      </x:c>
      <x:c r="B26" s="27" t="str">
        <x:v>SCA-07</x:v>
      </x:c>
      <x:c r="C26" s="27" t="str">
        <x:v>Rail</x:v>
      </x:c>
      <x:c r="D26" s="27" t="str">
        <x:v>NO</x:v>
      </x:c>
      <x:c r="E26" s="27" t="str">
        <x:v>NO</x:v>
      </x:c>
      <x:c r="F26" s="61"/>
      <x:c r="G26" s="61"/>
      <x:c r="H26" s="27" t="str">
        <x:v>NO</x:v>
      </x:c>
      <x:c r="I26" s="27" t="str">
        <x:v>no screened path</x:v>
      </x:c>
      <x:c r="J26" s="27" t="str">
        <x:v>presence does not prove operability or capacity</x:v>
      </x:c>
    </x:row>
    <x:row r="27" ht="54" hidden="0" customHeight="1">
      <x:c r="A27" s="29" t="str">
        <x:v>SCA-01</x:v>
      </x:c>
      <x:c r="B27" s="29" t="str">
        <x:v>SCA-07</x:v>
      </x:c>
      <x:c r="C27" s="29" t="str">
        <x:v>Air</x:v>
      </x:c>
      <x:c r="D27" s="29" t="str">
        <x:v>YES</x:v>
      </x:c>
      <x:c r="E27" s="29" t="str">
        <x:v>YES</x:v>
      </x:c>
      <x:c r="F27" s="62" t="n">
        <x:v>4402.492809401731</x:v>
      </x:c>
      <x:c r="G27" s="62" t="n">
        <x:v>30.773065860618047</x:v>
      </x:c>
      <x:c r="H27" s="29" t="str">
        <x:v>YES</x:v>
      </x:c>
      <x:c r="I27" s="29" t="str">
        <x:v>primary-airport endpoints; great-circle screen</x:v>
      </x:c>
      <x:c r="J27" s="29" t="str">
        <x:v>presence does not prove operability or capacity</x:v>
      </x:c>
    </x:row>
    <x:row r="28" ht="64.80000305175781" hidden="0" customHeight="1">
      <x:c r="A28" s="27" t="str">
        <x:v>SCA-01</x:v>
      </x:c>
      <x:c r="B28" s="27" t="str">
        <x:v>SCA-07</x:v>
      </x:c>
      <x:c r="C28" s="27" t="str">
        <x:v>Water</x:v>
      </x:c>
      <x:c r="D28" s="27" t="str">
        <x:v>YES</x:v>
      </x:c>
      <x:c r="E28" s="27" t="str">
        <x:v>YES</x:v>
      </x:c>
      <x:c r="F28" s="61" t="n">
        <x:v>5503.116011752164</x:v>
      </x:c>
      <x:c r="G28" s="61" t="n">
        <x:v>187.23188605006183</x:v>
      </x:c>
      <x:c r="H28" s="27" t="str">
        <x:v>NO</x:v>
      </x:c>
      <x:c r="I28" s="27" t="str">
        <x:v>observed water terminals; maritime great-circle screen</x:v>
      </x:c>
      <x:c r="J28" s="27" t="str">
        <x:v>presence does not prove operability or capacity</x:v>
      </x:c>
    </x:row>
    <x:row r="29" ht="54" hidden="0" customHeight="1">
      <x:c r="A29" s="29" t="str">
        <x:v>SCA-01</x:v>
      </x:c>
      <x:c r="B29" s="29" t="str">
        <x:v>SCA-08</x:v>
      </x:c>
      <x:c r="C29" s="29" t="str">
        <x:v>Road</x:v>
      </x:c>
      <x:c r="D29" s="29" t="str">
        <x:v>NO</x:v>
      </x:c>
      <x:c r="E29" s="29" t="str">
        <x:v>NO</x:v>
      </x:c>
      <x:c r="F29" s="62"/>
      <x:c r="G29" s="62"/>
      <x:c r="H29" s="29" t="str">
        <x:v>NO</x:v>
      </x:c>
      <x:c r="I29" s="29" t="str">
        <x:v>no screened path</x:v>
      </x:c>
      <x:c r="J29" s="29" t="str">
        <x:v>presence does not prove operability or capacity</x:v>
      </x:c>
    </x:row>
    <x:row r="30" ht="54" hidden="0" customHeight="1">
      <x:c r="A30" s="27" t="str">
        <x:v>SCA-01</x:v>
      </x:c>
      <x:c r="B30" s="27" t="str">
        <x:v>SCA-08</x:v>
      </x:c>
      <x:c r="C30" s="27" t="str">
        <x:v>Rail</x:v>
      </x:c>
      <x:c r="D30" s="27" t="str">
        <x:v>NO</x:v>
      </x:c>
      <x:c r="E30" s="27" t="str">
        <x:v>NO</x:v>
      </x:c>
      <x:c r="F30" s="61"/>
      <x:c r="G30" s="61"/>
      <x:c r="H30" s="27" t="str">
        <x:v>NO</x:v>
      </x:c>
      <x:c r="I30" s="27" t="str">
        <x:v>no screened path</x:v>
      </x:c>
      <x:c r="J30" s="27" t="str">
        <x:v>presence does not prove operability or capacity</x:v>
      </x:c>
    </x:row>
    <x:row r="31" ht="54" hidden="0" customHeight="1">
      <x:c r="A31" s="29" t="str">
        <x:v>SCA-01</x:v>
      </x:c>
      <x:c r="B31" s="29" t="str">
        <x:v>SCA-08</x:v>
      </x:c>
      <x:c r="C31" s="29" t="str">
        <x:v>Air</x:v>
      </x:c>
      <x:c r="D31" s="29" t="str">
        <x:v>YES</x:v>
      </x:c>
      <x:c r="E31" s="29" t="str">
        <x:v>YES</x:v>
      </x:c>
      <x:c r="F31" s="62" t="n">
        <x:v>4693.275004038506</x:v>
      </x:c>
      <x:c r="G31" s="62" t="n">
        <x:v>31.22042308313616</x:v>
      </x:c>
      <x:c r="H31" s="29" t="str">
        <x:v>YES</x:v>
      </x:c>
      <x:c r="I31" s="29" t="str">
        <x:v>primary-airport endpoints; great-circle screen</x:v>
      </x:c>
      <x:c r="J31" s="29" t="str">
        <x:v>presence does not prove operability or capacity</x:v>
      </x:c>
    </x:row>
    <x:row r="32" ht="75.5999984741211" hidden="0" customHeight="1">
      <x:c r="A32" s="27" t="str">
        <x:v>SCA-01</x:v>
      </x:c>
      <x:c r="B32" s="27" t="str">
        <x:v>SCA-08</x:v>
      </x:c>
      <x:c r="C32" s="27" t="str">
        <x:v>Water</x:v>
      </x:c>
      <x:c r="D32" s="27" t="str">
        <x:v>YES</x:v>
      </x:c>
      <x:c r="E32" s="27" t="str">
        <x:v>YES</x:v>
      </x:c>
      <x:c r="F32" s="61" t="n">
        <x:v>6227.423121419809</x:v>
      </x:c>
      <x:c r="G32" s="61" t="n">
        <x:v>207.92637489770883</x:v>
      </x:c>
      <x:c r="H32" s="27" t="str">
        <x:v>NO</x:v>
      </x:c>
      <x:c r="I32" s="27" t="str">
        <x:v>USACE waterway node topology; deployable terminal required</x:v>
      </x:c>
      <x:c r="J32" s="27" t="str">
        <x:v>presence does not prove operability or capacity</x:v>
      </x:c>
    </x:row>
    <x:row r="33" ht="54" hidden="0" customHeight="1">
      <x:c r="A33" s="29" t="str">
        <x:v>SCA-01</x:v>
      </x:c>
      <x:c r="B33" s="29" t="str">
        <x:v>SCA-09</x:v>
      </x:c>
      <x:c r="C33" s="29" t="str">
        <x:v>Road</x:v>
      </x:c>
      <x:c r="D33" s="29" t="str">
        <x:v>NO</x:v>
      </x:c>
      <x:c r="E33" s="29" t="str">
        <x:v>NO</x:v>
      </x:c>
      <x:c r="F33" s="62"/>
      <x:c r="G33" s="62"/>
      <x:c r="H33" s="29" t="str">
        <x:v>NO</x:v>
      </x:c>
      <x:c r="I33" s="29" t="str">
        <x:v>no screened path</x:v>
      </x:c>
      <x:c r="J33" s="29" t="str">
        <x:v>presence does not prove operability or capacity</x:v>
      </x:c>
    </x:row>
    <x:row r="34" ht="54" hidden="0" customHeight="1">
      <x:c r="A34" s="27" t="str">
        <x:v>SCA-01</x:v>
      </x:c>
      <x:c r="B34" s="27" t="str">
        <x:v>SCA-09</x:v>
      </x:c>
      <x:c r="C34" s="27" t="str">
        <x:v>Rail</x:v>
      </x:c>
      <x:c r="D34" s="27" t="str">
        <x:v>NO</x:v>
      </x:c>
      <x:c r="E34" s="27" t="str">
        <x:v>NO</x:v>
      </x:c>
      <x:c r="F34" s="61"/>
      <x:c r="G34" s="61"/>
      <x:c r="H34" s="27" t="str">
        <x:v>NO</x:v>
      </x:c>
      <x:c r="I34" s="27" t="str">
        <x:v>no screened path</x:v>
      </x:c>
      <x:c r="J34" s="27" t="str">
        <x:v>presence does not prove operability or capacity</x:v>
      </x:c>
    </x:row>
    <x:row r="35" ht="54" hidden="0" customHeight="1">
      <x:c r="A35" s="29" t="str">
        <x:v>SCA-01</x:v>
      </x:c>
      <x:c r="B35" s="29" t="str">
        <x:v>SCA-09</x:v>
      </x:c>
      <x:c r="C35" s="29" t="str">
        <x:v>Air</x:v>
      </x:c>
      <x:c r="D35" s="29" t="str">
        <x:v>YES</x:v>
      </x:c>
      <x:c r="E35" s="29" t="str">
        <x:v>YES</x:v>
      </x:c>
      <x:c r="F35" s="62" t="n">
        <x:v>4657.369970125367</x:v>
      </x:c>
      <x:c r="G35" s="62" t="n">
        <x:v>31.16518456942364</x:v>
      </x:c>
      <x:c r="H35" s="29" t="str">
        <x:v>YES</x:v>
      </x:c>
      <x:c r="I35" s="29" t="str">
        <x:v>primary-airport endpoints; great-circle screen</x:v>
      </x:c>
      <x:c r="J35" s="29" t="str">
        <x:v>presence does not prove operability or capacity</x:v>
      </x:c>
    </x:row>
    <x:row r="36" ht="54" hidden="0" customHeight="1">
      <x:c r="A36" s="27" t="str">
        <x:v>SCA-01</x:v>
      </x:c>
      <x:c r="B36" s="27" t="str">
        <x:v>SCA-09</x:v>
      </x:c>
      <x:c r="C36" s="27" t="str">
        <x:v>Water</x:v>
      </x:c>
      <x:c r="D36" s="27" t="str">
        <x:v>NO</x:v>
      </x:c>
      <x:c r="E36" s="27" t="str">
        <x:v>NO</x:v>
      </x:c>
      <x:c r="F36" s="61"/>
      <x:c r="G36" s="61"/>
      <x:c r="H36" s="27" t="str">
        <x:v>NO</x:v>
      </x:c>
      <x:c r="I36" s="27" t="str">
        <x:v>no screened path</x:v>
      </x:c>
      <x:c r="J36" s="27" t="str">
        <x:v>presence does not prove operability or capacity</x:v>
      </x:c>
    </x:row>
    <x:row r="37" ht="54" hidden="0" customHeight="1">
      <x:c r="A37" s="29" t="str">
        <x:v>SCA-01</x:v>
      </x:c>
      <x:c r="B37" s="29" t="str">
        <x:v>SCA-10</x:v>
      </x:c>
      <x:c r="C37" s="29" t="str">
        <x:v>Road</x:v>
      </x:c>
      <x:c r="D37" s="29" t="str">
        <x:v>NO</x:v>
      </x:c>
      <x:c r="E37" s="29" t="str">
        <x:v>NO</x:v>
      </x:c>
      <x:c r="F37" s="62"/>
      <x:c r="G37" s="62"/>
      <x:c r="H37" s="29" t="str">
        <x:v>NO</x:v>
      </x:c>
      <x:c r="I37" s="29" t="str">
        <x:v>no screened path</x:v>
      </x:c>
      <x:c r="J37" s="29" t="str">
        <x:v>presence does not prove operability or capacity</x:v>
      </x:c>
    </x:row>
    <x:row r="38" ht="54" hidden="0" customHeight="1">
      <x:c r="A38" s="27" t="str">
        <x:v>SCA-01</x:v>
      </x:c>
      <x:c r="B38" s="27" t="str">
        <x:v>SCA-10</x:v>
      </x:c>
      <x:c r="C38" s="27" t="str">
        <x:v>Rail</x:v>
      </x:c>
      <x:c r="D38" s="27" t="str">
        <x:v>NO</x:v>
      </x:c>
      <x:c r="E38" s="27" t="str">
        <x:v>NO</x:v>
      </x:c>
      <x:c r="F38" s="61"/>
      <x:c r="G38" s="61"/>
      <x:c r="H38" s="27" t="str">
        <x:v>NO</x:v>
      </x:c>
      <x:c r="I38" s="27" t="str">
        <x:v>no screened path</x:v>
      </x:c>
      <x:c r="J38" s="27" t="str">
        <x:v>presence does not prove operability or capacity</x:v>
      </x:c>
    </x:row>
    <x:row r="39" ht="54" hidden="0" customHeight="1">
      <x:c r="A39" s="29" t="str">
        <x:v>SCA-01</x:v>
      </x:c>
      <x:c r="B39" s="29" t="str">
        <x:v>SCA-10</x:v>
      </x:c>
      <x:c r="C39" s="29" t="str">
        <x:v>Air</x:v>
      </x:c>
      <x:c r="D39" s="29" t="str">
        <x:v>YES</x:v>
      </x:c>
      <x:c r="E39" s="29" t="str">
        <x:v>YES</x:v>
      </x:c>
      <x:c r="F39" s="62" t="n">
        <x:v>4865.7096860601905</x:v>
      </x:c>
      <x:c r="G39" s="62" t="n">
        <x:v>31.48570720932337</x:v>
      </x:c>
      <x:c r="H39" s="29" t="str">
        <x:v>YES</x:v>
      </x:c>
      <x:c r="I39" s="29" t="str">
        <x:v>primary-airport endpoints; great-circle screen</x:v>
      </x:c>
      <x:c r="J39" s="29" t="str">
        <x:v>presence does not prove operability or capacity</x:v>
      </x:c>
    </x:row>
    <x:row r="40" ht="54" hidden="0" customHeight="1">
      <x:c r="A40" s="27" t="str">
        <x:v>SCA-01</x:v>
      </x:c>
      <x:c r="B40" s="27" t="str">
        <x:v>SCA-10</x:v>
      </x:c>
      <x:c r="C40" s="27" t="str">
        <x:v>Water</x:v>
      </x:c>
      <x:c r="D40" s="27" t="str">
        <x:v>NO</x:v>
      </x:c>
      <x:c r="E40" s="27" t="str">
        <x:v>NO</x:v>
      </x:c>
      <x:c r="F40" s="61"/>
      <x:c r="G40" s="61"/>
      <x:c r="H40" s="27" t="str">
        <x:v>NO</x:v>
      </x:c>
      <x:c r="I40" s="27" t="str">
        <x:v>no screened path</x:v>
      </x:c>
      <x:c r="J40" s="27" t="str">
        <x:v>presence does not prove operability or capacity</x:v>
      </x:c>
    </x:row>
    <x:row r="41" ht="54" hidden="0" customHeight="1">
      <x:c r="A41" s="29" t="str">
        <x:v>SCA-01</x:v>
      </x:c>
      <x:c r="B41" s="29" t="str">
        <x:v>SCA-11</x:v>
      </x:c>
      <x:c r="C41" s="29" t="str">
        <x:v>Road</x:v>
      </x:c>
      <x:c r="D41" s="29" t="str">
        <x:v>NO</x:v>
      </x:c>
      <x:c r="E41" s="29" t="str">
        <x:v>NO</x:v>
      </x:c>
      <x:c r="F41" s="62"/>
      <x:c r="G41" s="62"/>
      <x:c r="H41" s="29" t="str">
        <x:v>NO</x:v>
      </x:c>
      <x:c r="I41" s="29" t="str">
        <x:v>no screened path</x:v>
      </x:c>
      <x:c r="J41" s="29" t="str">
        <x:v>presence does not prove operability or capacity</x:v>
      </x:c>
    </x:row>
    <x:row r="42" ht="54" hidden="0" customHeight="1">
      <x:c r="A42" s="27" t="str">
        <x:v>SCA-01</x:v>
      </x:c>
      <x:c r="B42" s="27" t="str">
        <x:v>SCA-11</x:v>
      </x:c>
      <x:c r="C42" s="27" t="str">
        <x:v>Rail</x:v>
      </x:c>
      <x:c r="D42" s="27" t="str">
        <x:v>NO</x:v>
      </x:c>
      <x:c r="E42" s="27" t="str">
        <x:v>NO</x:v>
      </x:c>
      <x:c r="F42" s="61"/>
      <x:c r="G42" s="61"/>
      <x:c r="H42" s="27" t="str">
        <x:v>NO</x:v>
      </x:c>
      <x:c r="I42" s="27" t="str">
        <x:v>no screened path</x:v>
      </x:c>
      <x:c r="J42" s="27" t="str">
        <x:v>presence does not prove operability or capacity</x:v>
      </x:c>
    </x:row>
    <x:row r="43" ht="54" hidden="0" customHeight="1">
      <x:c r="A43" s="29" t="str">
        <x:v>SCA-01</x:v>
      </x:c>
      <x:c r="B43" s="29" t="str">
        <x:v>SCA-11</x:v>
      </x:c>
      <x:c r="C43" s="29" t="str">
        <x:v>Air</x:v>
      </x:c>
      <x:c r="D43" s="29" t="str">
        <x:v>YES</x:v>
      </x:c>
      <x:c r="E43" s="29" t="str">
        <x:v>YES</x:v>
      </x:c>
      <x:c r="F43" s="62" t="n">
        <x:v>5310.149123530014</x:v>
      </x:c>
      <x:c r="G43" s="62" t="n">
        <x:v>32.16946019004617</x:v>
      </x:c>
      <x:c r="H43" s="29" t="str">
        <x:v>YES</x:v>
      </x:c>
      <x:c r="I43" s="29" t="str">
        <x:v>primary-airport endpoints; great-circle screen</x:v>
      </x:c>
      <x:c r="J43" s="29" t="str">
        <x:v>presence does not prove operability or capacity</x:v>
      </x:c>
    </x:row>
    <x:row r="44" ht="54" hidden="0" customHeight="1">
      <x:c r="A44" s="27" t="str">
        <x:v>SCA-01</x:v>
      </x:c>
      <x:c r="B44" s="27" t="str">
        <x:v>SCA-11</x:v>
      </x:c>
      <x:c r="C44" s="27" t="str">
        <x:v>Water</x:v>
      </x:c>
      <x:c r="D44" s="27" t="str">
        <x:v>NO</x:v>
      </x:c>
      <x:c r="E44" s="27" t="str">
        <x:v>NO</x:v>
      </x:c>
      <x:c r="F44" s="61"/>
      <x:c r="G44" s="61"/>
      <x:c r="H44" s="27" t="str">
        <x:v>NO</x:v>
      </x:c>
      <x:c r="I44" s="27" t="str">
        <x:v>no screened path</x:v>
      </x:c>
      <x:c r="J44" s="27" t="str">
        <x:v>presence does not prove operability or capacity</x:v>
      </x:c>
    </x:row>
    <x:row r="45" ht="54" hidden="0" customHeight="1">
      <x:c r="A45" s="29" t="str">
        <x:v>SCA-01</x:v>
      </x:c>
      <x:c r="B45" s="29" t="str">
        <x:v>SCA-12</x:v>
      </x:c>
      <x:c r="C45" s="29" t="str">
        <x:v>Road</x:v>
      </x:c>
      <x:c r="D45" s="29" t="str">
        <x:v>NO</x:v>
      </x:c>
      <x:c r="E45" s="29" t="str">
        <x:v>NO</x:v>
      </x:c>
      <x:c r="F45" s="62"/>
      <x:c r="G45" s="62"/>
      <x:c r="H45" s="29" t="str">
        <x:v>NO</x:v>
      </x:c>
      <x:c r="I45" s="29" t="str">
        <x:v>no screened path</x:v>
      </x:c>
      <x:c r="J45" s="29" t="str">
        <x:v>presence does not prove operability or capacity</x:v>
      </x:c>
    </x:row>
    <x:row r="46" ht="54" hidden="0" customHeight="1">
      <x:c r="A46" s="27" t="str">
        <x:v>SCA-01</x:v>
      </x:c>
      <x:c r="B46" s="27" t="str">
        <x:v>SCA-12</x:v>
      </x:c>
      <x:c r="C46" s="27" t="str">
        <x:v>Rail</x:v>
      </x:c>
      <x:c r="D46" s="27" t="str">
        <x:v>NO</x:v>
      </x:c>
      <x:c r="E46" s="27" t="str">
        <x:v>NO</x:v>
      </x:c>
      <x:c r="F46" s="61"/>
      <x:c r="G46" s="61"/>
      <x:c r="H46" s="27" t="str">
        <x:v>NO</x:v>
      </x:c>
      <x:c r="I46" s="27" t="str">
        <x:v>no screened path</x:v>
      </x:c>
      <x:c r="J46" s="27" t="str">
        <x:v>presence does not prove operability or capacity</x:v>
      </x:c>
    </x:row>
    <x:row r="47" ht="54" hidden="0" customHeight="1">
      <x:c r="A47" s="29" t="str">
        <x:v>SCA-01</x:v>
      </x:c>
      <x:c r="B47" s="29" t="str">
        <x:v>SCA-12</x:v>
      </x:c>
      <x:c r="C47" s="29" t="str">
        <x:v>Air</x:v>
      </x:c>
      <x:c r="D47" s="29" t="str">
        <x:v>YES</x:v>
      </x:c>
      <x:c r="E47" s="29" t="str">
        <x:v>YES</x:v>
      </x:c>
      <x:c r="F47" s="62" t="n">
        <x:v>5378.273403955796</x:v>
      </x:c>
      <x:c r="G47" s="62" t="n">
        <x:v>32.27426677531661</x:v>
      </x:c>
      <x:c r="H47" s="29" t="str">
        <x:v>YES</x:v>
      </x:c>
      <x:c r="I47" s="29" t="str">
        <x:v>primary-airport endpoints; great-circle screen</x:v>
      </x:c>
      <x:c r="J47" s="29" t="str">
        <x:v>presence does not prove operability or capacity</x:v>
      </x:c>
    </x:row>
    <x:row r="48" ht="54" hidden="0" customHeight="1">
      <x:c r="A48" s="27" t="str">
        <x:v>SCA-01</x:v>
      </x:c>
      <x:c r="B48" s="27" t="str">
        <x:v>SCA-12</x:v>
      </x:c>
      <x:c r="C48" s="27" t="str">
        <x:v>Water</x:v>
      </x:c>
      <x:c r="D48" s="27" t="str">
        <x:v>NO</x:v>
      </x:c>
      <x:c r="E48" s="27" t="str">
        <x:v>NO</x:v>
      </x:c>
      <x:c r="F48" s="61"/>
      <x:c r="G48" s="61"/>
      <x:c r="H48" s="27" t="str">
        <x:v>NO</x:v>
      </x:c>
      <x:c r="I48" s="27" t="str">
        <x:v>no screened path</x:v>
      </x:c>
      <x:c r="J48" s="27" t="str">
        <x:v>presence does not prove operability or capacity</x:v>
      </x:c>
    </x:row>
    <x:row r="49" ht="54" hidden="0" customHeight="1">
      <x:c r="A49" s="29" t="str">
        <x:v>SCA-01</x:v>
      </x:c>
      <x:c r="B49" s="29" t="str">
        <x:v>SCA-13</x:v>
      </x:c>
      <x:c r="C49" s="29" t="str">
        <x:v>Road</x:v>
      </x:c>
      <x:c r="D49" s="29" t="str">
        <x:v>NO</x:v>
      </x:c>
      <x:c r="E49" s="29" t="str">
        <x:v>NO</x:v>
      </x:c>
      <x:c r="F49" s="62"/>
      <x:c r="G49" s="62"/>
      <x:c r="H49" s="29" t="str">
        <x:v>NO</x:v>
      </x:c>
      <x:c r="I49" s="29" t="str">
        <x:v>no screened path</x:v>
      </x:c>
      <x:c r="J49" s="29" t="str">
        <x:v>presence does not prove operability or capacity</x:v>
      </x:c>
    </x:row>
    <x:row r="50" ht="54" hidden="0" customHeight="1">
      <x:c r="A50" s="27" t="str">
        <x:v>SCA-01</x:v>
      </x:c>
      <x:c r="B50" s="27" t="str">
        <x:v>SCA-13</x:v>
      </x:c>
      <x:c r="C50" s="27" t="str">
        <x:v>Rail</x:v>
      </x:c>
      <x:c r="D50" s="27" t="str">
        <x:v>NO</x:v>
      </x:c>
      <x:c r="E50" s="27" t="str">
        <x:v>NO</x:v>
      </x:c>
      <x:c r="F50" s="61"/>
      <x:c r="G50" s="61"/>
      <x:c r="H50" s="27" t="str">
        <x:v>NO</x:v>
      </x:c>
      <x:c r="I50" s="27" t="str">
        <x:v>no screened path</x:v>
      </x:c>
      <x:c r="J50" s="27" t="str">
        <x:v>presence does not prove operability or capacity</x:v>
      </x:c>
    </x:row>
    <x:row r="51" ht="54" hidden="0" customHeight="1">
      <x:c r="A51" s="29" t="str">
        <x:v>SCA-01</x:v>
      </x:c>
      <x:c r="B51" s="29" t="str">
        <x:v>SCA-13</x:v>
      </x:c>
      <x:c r="C51" s="29" t="str">
        <x:v>Air</x:v>
      </x:c>
      <x:c r="D51" s="29" t="str">
        <x:v>YES</x:v>
      </x:c>
      <x:c r="E51" s="29" t="str">
        <x:v>YES</x:v>
      </x:c>
      <x:c r="F51" s="62" t="n">
        <x:v>5988.256665815937</x:v>
      </x:c>
      <x:c r="G51" s="62" t="n">
        <x:v>33.21270256279375</x:v>
      </x:c>
      <x:c r="H51" s="29" t="str">
        <x:v>YES</x:v>
      </x:c>
      <x:c r="I51" s="29" t="str">
        <x:v>primary-airport endpoints; great-circle screen</x:v>
      </x:c>
      <x:c r="J51" s="29" t="str">
        <x:v>presence does not prove operability or capacity</x:v>
      </x:c>
    </x:row>
    <x:row r="52" ht="75.5999984741211" hidden="0" customHeight="1">
      <x:c r="A52" s="27" t="str">
        <x:v>SCA-01</x:v>
      </x:c>
      <x:c r="B52" s="27" t="str">
        <x:v>SCA-13</x:v>
      </x:c>
      <x:c r="C52" s="27" t="str">
        <x:v>Water</x:v>
      </x:c>
      <x:c r="D52" s="27" t="str">
        <x:v>YES</x:v>
      </x:c>
      <x:c r="E52" s="27" t="str">
        <x:v>YES</x:v>
      </x:c>
      <x:c r="F52" s="61" t="n">
        <x:v>12341.129201446372</x:v>
      </x:c>
      <x:c r="G52" s="61" t="n">
        <x:v>382.6036914698964</x:v>
      </x:c>
      <x:c r="H52" s="27" t="str">
        <x:v>NO</x:v>
      </x:c>
      <x:c r="I52" s="27" t="str">
        <x:v>USACE waterway node topology; deployable terminal required</x:v>
      </x:c>
      <x:c r="J52" s="27" t="str">
        <x:v>presence does not prove operability or capacity</x:v>
      </x:c>
    </x:row>
    <x:row r="53" ht="54" hidden="0" customHeight="1">
      <x:c r="A53" s="29" t="str">
        <x:v>SCA-01</x:v>
      </x:c>
      <x:c r="B53" s="29" t="str">
        <x:v>SCA-14</x:v>
      </x:c>
      <x:c r="C53" s="29" t="str">
        <x:v>Road</x:v>
      </x:c>
      <x:c r="D53" s="29" t="str">
        <x:v>NO</x:v>
      </x:c>
      <x:c r="E53" s="29" t="str">
        <x:v>NO</x:v>
      </x:c>
      <x:c r="F53" s="62"/>
      <x:c r="G53" s="62"/>
      <x:c r="H53" s="29" t="str">
        <x:v>NO</x:v>
      </x:c>
      <x:c r="I53" s="29" t="str">
        <x:v>no screened path</x:v>
      </x:c>
      <x:c r="J53" s="29" t="str">
        <x:v>presence does not prove operability or capacity</x:v>
      </x:c>
    </x:row>
    <x:row r="54" ht="54" hidden="0" customHeight="1">
      <x:c r="A54" s="27" t="str">
        <x:v>SCA-01</x:v>
      </x:c>
      <x:c r="B54" s="27" t="str">
        <x:v>SCA-14</x:v>
      </x:c>
      <x:c r="C54" s="27" t="str">
        <x:v>Rail</x:v>
      </x:c>
      <x:c r="D54" s="27" t="str">
        <x:v>NO</x:v>
      </x:c>
      <x:c r="E54" s="27" t="str">
        <x:v>NO</x:v>
      </x:c>
      <x:c r="F54" s="61"/>
      <x:c r="G54" s="61"/>
      <x:c r="H54" s="27" t="str">
        <x:v>NO</x:v>
      </x:c>
      <x:c r="I54" s="27" t="str">
        <x:v>no screened path</x:v>
      </x:c>
      <x:c r="J54" s="27" t="str">
        <x:v>presence does not prove operability or capacity</x:v>
      </x:c>
    </x:row>
    <x:row r="55" ht="54" hidden="0" customHeight="1">
      <x:c r="A55" s="29" t="str">
        <x:v>SCA-01</x:v>
      </x:c>
      <x:c r="B55" s="29" t="str">
        <x:v>SCA-14</x:v>
      </x:c>
      <x:c r="C55" s="29" t="str">
        <x:v>Air</x:v>
      </x:c>
      <x:c r="D55" s="29" t="str">
        <x:v>YES</x:v>
      </x:c>
      <x:c r="E55" s="29" t="str">
        <x:v>YES</x:v>
      </x:c>
      <x:c r="F55" s="62" t="n">
        <x:v>6035.925502715564</x:v>
      </x:c>
      <x:c r="G55" s="62" t="n">
        <x:v>33.286039234947026</x:v>
      </x:c>
      <x:c r="H55" s="29" t="str">
        <x:v>YES</x:v>
      </x:c>
      <x:c r="I55" s="29" t="str">
        <x:v>primary-airport endpoints; great-circle screen</x:v>
      </x:c>
      <x:c r="J55" s="29" t="str">
        <x:v>presence does not prove operability or capacity</x:v>
      </x:c>
    </x:row>
    <x:row r="56" ht="75.5999984741211" hidden="0" customHeight="1">
      <x:c r="A56" s="27" t="str">
        <x:v>SCA-01</x:v>
      </x:c>
      <x:c r="B56" s="27" t="str">
        <x:v>SCA-14</x:v>
      </x:c>
      <x:c r="C56" s="27" t="str">
        <x:v>Water</x:v>
      </x:c>
      <x:c r="D56" s="27" t="str">
        <x:v>YES</x:v>
      </x:c>
      <x:c r="E56" s="27" t="str">
        <x:v>YES</x:v>
      </x:c>
      <x:c r="F56" s="61" t="n">
        <x:v>12289.135188999695</x:v>
      </x:c>
      <x:c r="G56" s="61" t="n">
        <x:v>381.1181482571341</x:v>
      </x:c>
      <x:c r="H56" s="27" t="str">
        <x:v>NO</x:v>
      </x:c>
      <x:c r="I56" s="27" t="str">
        <x:v>USACE waterway node topology; deployable terminal required</x:v>
      </x:c>
      <x:c r="J56" s="27" t="str">
        <x:v>presence does not prove operability or capacity</x:v>
      </x:c>
    </x:row>
    <x:row r="57" ht="54" hidden="0" customHeight="1">
      <x:c r="A57" s="29" t="str">
        <x:v>SCA-01</x:v>
      </x:c>
      <x:c r="B57" s="29" t="str">
        <x:v>SCA-15</x:v>
      </x:c>
      <x:c r="C57" s="29" t="str">
        <x:v>Road</x:v>
      </x:c>
      <x:c r="D57" s="29" t="str">
        <x:v>NO</x:v>
      </x:c>
      <x:c r="E57" s="29" t="str">
        <x:v>NO</x:v>
      </x:c>
      <x:c r="F57" s="62"/>
      <x:c r="G57" s="62"/>
      <x:c r="H57" s="29" t="str">
        <x:v>NO</x:v>
      </x:c>
      <x:c r="I57" s="29" t="str">
        <x:v>no screened path</x:v>
      </x:c>
      <x:c r="J57" s="29" t="str">
        <x:v>presence does not prove operability or capacity</x:v>
      </x:c>
    </x:row>
    <x:row r="58" ht="54" hidden="0" customHeight="1">
      <x:c r="A58" s="27" t="str">
        <x:v>SCA-01</x:v>
      </x:c>
      <x:c r="B58" s="27" t="str">
        <x:v>SCA-15</x:v>
      </x:c>
      <x:c r="C58" s="27" t="str">
        <x:v>Rail</x:v>
      </x:c>
      <x:c r="D58" s="27" t="str">
        <x:v>NO</x:v>
      </x:c>
      <x:c r="E58" s="27" t="str">
        <x:v>NO</x:v>
      </x:c>
      <x:c r="F58" s="61"/>
      <x:c r="G58" s="61"/>
      <x:c r="H58" s="27" t="str">
        <x:v>NO</x:v>
      </x:c>
      <x:c r="I58" s="27" t="str">
        <x:v>no screened path</x:v>
      </x:c>
      <x:c r="J58" s="27" t="str">
        <x:v>presence does not prove operability or capacity</x:v>
      </x:c>
    </x:row>
    <x:row r="59" ht="54" hidden="0" customHeight="1">
      <x:c r="A59" s="29" t="str">
        <x:v>SCA-01</x:v>
      </x:c>
      <x:c r="B59" s="29" t="str">
        <x:v>SCA-15</x:v>
      </x:c>
      <x:c r="C59" s="29" t="str">
        <x:v>Air</x:v>
      </x:c>
      <x:c r="D59" s="29" t="str">
        <x:v>YES</x:v>
      </x:c>
      <x:c r="E59" s="29" t="str">
        <x:v>YES</x:v>
      </x:c>
      <x:c r="F59" s="62" t="n">
        <x:v>6097.431833149939</x:v>
      </x:c>
      <x:c r="G59" s="62" t="n">
        <x:v>33.380664358692215</x:v>
      </x:c>
      <x:c r="H59" s="29" t="str">
        <x:v>YES</x:v>
      </x:c>
      <x:c r="I59" s="29" t="str">
        <x:v>primary-airport endpoints; great-circle screen</x:v>
      </x:c>
      <x:c r="J59" s="29" t="str">
        <x:v>presence does not prove operability or capacity</x:v>
      </x:c>
    </x:row>
    <x:row r="60" ht="75.5999984741211" hidden="0" customHeight="1">
      <x:c r="A60" s="27" t="str">
        <x:v>SCA-01</x:v>
      </x:c>
      <x:c r="B60" s="27" t="str">
        <x:v>SCA-15</x:v>
      </x:c>
      <x:c r="C60" s="27" t="str">
        <x:v>Water</x:v>
      </x:c>
      <x:c r="D60" s="27" t="str">
        <x:v>YES</x:v>
      </x:c>
      <x:c r="E60" s="27" t="str">
        <x:v>YES</x:v>
      </x:c>
      <x:c r="F60" s="61" t="n">
        <x:v>12381.729412231763</x:v>
      </x:c>
      <x:c r="G60" s="61" t="n">
        <x:v>383.7636974923361</x:v>
      </x:c>
      <x:c r="H60" s="27" t="str">
        <x:v>NO</x:v>
      </x:c>
      <x:c r="I60" s="27" t="str">
        <x:v>USACE waterway node topology; deployable terminal required</x:v>
      </x:c>
      <x:c r="J60" s="27" t="str">
        <x:v>presence does not prove operability or capacity</x:v>
      </x:c>
    </x:row>
    <x:row r="61" ht="54" hidden="0" customHeight="1">
      <x:c r="A61" s="29" t="str">
        <x:v>SCA-01</x:v>
      </x:c>
      <x:c r="B61" s="29" t="str">
        <x:v>SCA-16</x:v>
      </x:c>
      <x:c r="C61" s="29" t="str">
        <x:v>Road</x:v>
      </x:c>
      <x:c r="D61" s="29" t="str">
        <x:v>NO</x:v>
      </x:c>
      <x:c r="E61" s="29" t="str">
        <x:v>NO</x:v>
      </x:c>
      <x:c r="F61" s="62"/>
      <x:c r="G61" s="62"/>
      <x:c r="H61" s="29" t="str">
        <x:v>NO</x:v>
      </x:c>
      <x:c r="I61" s="29" t="str">
        <x:v>no screened path</x:v>
      </x:c>
      <x:c r="J61" s="29" t="str">
        <x:v>presence does not prove operability or capacity</x:v>
      </x:c>
    </x:row>
    <x:row r="62" ht="54" hidden="0" customHeight="1">
      <x:c r="A62" s="27" t="str">
        <x:v>SCA-01</x:v>
      </x:c>
      <x:c r="B62" s="27" t="str">
        <x:v>SCA-16</x:v>
      </x:c>
      <x:c r="C62" s="27" t="str">
        <x:v>Rail</x:v>
      </x:c>
      <x:c r="D62" s="27" t="str">
        <x:v>NO</x:v>
      </x:c>
      <x:c r="E62" s="27" t="str">
        <x:v>NO</x:v>
      </x:c>
      <x:c r="F62" s="61"/>
      <x:c r="G62" s="61"/>
      <x:c r="H62" s="27" t="str">
        <x:v>NO</x:v>
      </x:c>
      <x:c r="I62" s="27" t="str">
        <x:v>no screened path</x:v>
      </x:c>
      <x:c r="J62" s="27" t="str">
        <x:v>presence does not prove operability or capacity</x:v>
      </x:c>
    </x:row>
    <x:row r="63" ht="54" hidden="0" customHeight="1">
      <x:c r="A63" s="29" t="str">
        <x:v>SCA-01</x:v>
      </x:c>
      <x:c r="B63" s="29" t="str">
        <x:v>SCA-16</x:v>
      </x:c>
      <x:c r="C63" s="29" t="str">
        <x:v>Air</x:v>
      </x:c>
      <x:c r="D63" s="29" t="str">
        <x:v>YES</x:v>
      </x:c>
      <x:c r="E63" s="29" t="str">
        <x:v>YES</x:v>
      </x:c>
      <x:c r="F63" s="62" t="n">
        <x:v>6130.902692526253</x:v>
      </x:c>
      <x:c r="G63" s="62" t="n">
        <x:v>33.43215798850193</x:v>
      </x:c>
      <x:c r="H63" s="29" t="str">
        <x:v>YES</x:v>
      </x:c>
      <x:c r="I63" s="29" t="str">
        <x:v>primary-airport endpoints; great-circle screen</x:v>
      </x:c>
      <x:c r="J63" s="29" t="str">
        <x:v>presence does not prove operability or capacity</x:v>
      </x:c>
    </x:row>
    <x:row r="64" ht="75.5999984741211" hidden="0" customHeight="1">
      <x:c r="A64" s="27" t="str">
        <x:v>SCA-01</x:v>
      </x:c>
      <x:c r="B64" s="27" t="str">
        <x:v>SCA-16</x:v>
      </x:c>
      <x:c r="C64" s="27" t="str">
        <x:v>Water</x:v>
      </x:c>
      <x:c r="D64" s="27" t="str">
        <x:v>YES</x:v>
      </x:c>
      <x:c r="E64" s="27" t="str">
        <x:v>YES</x:v>
      </x:c>
      <x:c r="F64" s="61" t="n">
        <x:v>12574.676684652977</x:v>
      </x:c>
      <x:c r="G64" s="61" t="n">
        <x:v>389.2764767043708</x:v>
      </x:c>
      <x:c r="H64" s="27" t="str">
        <x:v>NO</x:v>
      </x:c>
      <x:c r="I64" s="27" t="str">
        <x:v>USACE waterway node topology; deployable terminal required</x:v>
      </x:c>
      <x:c r="J64" s="27" t="str">
        <x:v>presence does not prove operability or capacity</x:v>
      </x:c>
    </x:row>
    <x:row r="65" ht="54" hidden="0" customHeight="1">
      <x:c r="A65" s="29" t="str">
        <x:v>SCA-01</x:v>
      </x:c>
      <x:c r="B65" s="29" t="str">
        <x:v>SCA-17</x:v>
      </x:c>
      <x:c r="C65" s="29" t="str">
        <x:v>Road</x:v>
      </x:c>
      <x:c r="D65" s="29" t="str">
        <x:v>NO</x:v>
      </x:c>
      <x:c r="E65" s="29" t="str">
        <x:v>NO</x:v>
      </x:c>
      <x:c r="F65" s="62"/>
      <x:c r="G65" s="62"/>
      <x:c r="H65" s="29" t="str">
        <x:v>NO</x:v>
      </x:c>
      <x:c r="I65" s="29" t="str">
        <x:v>no screened path</x:v>
      </x:c>
      <x:c r="J65" s="29" t="str">
        <x:v>presence does not prove operability or capacity</x:v>
      </x:c>
    </x:row>
    <x:row r="66" ht="54" hidden="0" customHeight="1">
      <x:c r="A66" s="27" t="str">
        <x:v>SCA-01</x:v>
      </x:c>
      <x:c r="B66" s="27" t="str">
        <x:v>SCA-17</x:v>
      </x:c>
      <x:c r="C66" s="27" t="str">
        <x:v>Rail</x:v>
      </x:c>
      <x:c r="D66" s="27" t="str">
        <x:v>NO</x:v>
      </x:c>
      <x:c r="E66" s="27" t="str">
        <x:v>NO</x:v>
      </x:c>
      <x:c r="F66" s="61"/>
      <x:c r="G66" s="61"/>
      <x:c r="H66" s="27" t="str">
        <x:v>NO</x:v>
      </x:c>
      <x:c r="I66" s="27" t="str">
        <x:v>no screened path</x:v>
      </x:c>
      <x:c r="J66" s="27" t="str">
        <x:v>presence does not prove operability or capacity</x:v>
      </x:c>
    </x:row>
    <x:row r="67" ht="54" hidden="0" customHeight="1">
      <x:c r="A67" s="29" t="str">
        <x:v>SCA-01</x:v>
      </x:c>
      <x:c r="B67" s="29" t="str">
        <x:v>SCA-17</x:v>
      </x:c>
      <x:c r="C67" s="29" t="str">
        <x:v>Air</x:v>
      </x:c>
      <x:c r="D67" s="29" t="str">
        <x:v>YES</x:v>
      </x:c>
      <x:c r="E67" s="29" t="str">
        <x:v>YES</x:v>
      </x:c>
      <x:c r="F67" s="62" t="n">
        <x:v>6361.227462330317</x:v>
      </x:c>
      <x:c r="G67" s="62" t="n">
        <x:v>33.78650378820049</x:v>
      </x:c>
      <x:c r="H67" s="29" t="str">
        <x:v>YES</x:v>
      </x:c>
      <x:c r="I67" s="29" t="str">
        <x:v>primary-airport endpoints; great-circle screen</x:v>
      </x:c>
      <x:c r="J67" s="29" t="str">
        <x:v>presence does not prove operability or capacity</x:v>
      </x:c>
    </x:row>
    <x:row r="68" ht="75.5999984741211" hidden="0" customHeight="1">
      <x:c r="A68" s="27" t="str">
        <x:v>SCA-01</x:v>
      </x:c>
      <x:c r="B68" s="27" t="str">
        <x:v>SCA-17</x:v>
      </x:c>
      <x:c r="C68" s="27" t="str">
        <x:v>Water</x:v>
      </x:c>
      <x:c r="D68" s="27" t="str">
        <x:v>YES</x:v>
      </x:c>
      <x:c r="E68" s="27" t="str">
        <x:v>YES</x:v>
      </x:c>
      <x:c r="F68" s="61" t="n">
        <x:v>11859.920835872283</x:v>
      </x:c>
      <x:c r="G68" s="61" t="n">
        <x:v>368.85488102492235</x:v>
      </x:c>
      <x:c r="H68" s="27" t="str">
        <x:v>NO</x:v>
      </x:c>
      <x:c r="I68" s="27" t="str">
        <x:v>USACE waterway node topology; deployable terminal required</x:v>
      </x:c>
      <x:c r="J68" s="27" t="str">
        <x:v>presence does not prove operability or capacity</x:v>
      </x:c>
    </x:row>
    <x:row r="69" ht="54" hidden="0" customHeight="1">
      <x:c r="A69" s="29" t="str">
        <x:v>SCA-01</x:v>
      </x:c>
      <x:c r="B69" s="29" t="str">
        <x:v>SCA-18</x:v>
      </x:c>
      <x:c r="C69" s="29" t="str">
        <x:v>Road</x:v>
      </x:c>
      <x:c r="D69" s="29" t="str">
        <x:v>NO</x:v>
      </x:c>
      <x:c r="E69" s="29" t="str">
        <x:v>NO</x:v>
      </x:c>
      <x:c r="F69" s="62"/>
      <x:c r="G69" s="62"/>
      <x:c r="H69" s="29" t="str">
        <x:v>NO</x:v>
      </x:c>
      <x:c r="I69" s="29" t="str">
        <x:v>no screened path</x:v>
      </x:c>
      <x:c r="J69" s="29" t="str">
        <x:v>presence does not prove operability or capacity</x:v>
      </x:c>
    </x:row>
    <x:row r="70" ht="54" hidden="0" customHeight="1">
      <x:c r="A70" s="27" t="str">
        <x:v>SCA-01</x:v>
      </x:c>
      <x:c r="B70" s="27" t="str">
        <x:v>SCA-18</x:v>
      </x:c>
      <x:c r="C70" s="27" t="str">
        <x:v>Rail</x:v>
      </x:c>
      <x:c r="D70" s="27" t="str">
        <x:v>NO</x:v>
      </x:c>
      <x:c r="E70" s="27" t="str">
        <x:v>NO</x:v>
      </x:c>
      <x:c r="F70" s="61"/>
      <x:c r="G70" s="61"/>
      <x:c r="H70" s="27" t="str">
        <x:v>NO</x:v>
      </x:c>
      <x:c r="I70" s="27" t="str">
        <x:v>no screened path</x:v>
      </x:c>
      <x:c r="J70" s="27" t="str">
        <x:v>presence does not prove operability or capacity</x:v>
      </x:c>
    </x:row>
    <x:row r="71" ht="54" hidden="0" customHeight="1">
      <x:c r="A71" s="29" t="str">
        <x:v>SCA-01</x:v>
      </x:c>
      <x:c r="B71" s="29" t="str">
        <x:v>SCA-18</x:v>
      </x:c>
      <x:c r="C71" s="29" t="str">
        <x:v>Air</x:v>
      </x:c>
      <x:c r="D71" s="29" t="str">
        <x:v>YES</x:v>
      </x:c>
      <x:c r="E71" s="29" t="str">
        <x:v>YES</x:v>
      </x:c>
      <x:c r="F71" s="62" t="n">
        <x:v>6318.649373998175</x:v>
      </x:c>
      <x:c r="G71" s="62" t="n">
        <x:v>33.72099903692027</x:v>
      </x:c>
      <x:c r="H71" s="29" t="str">
        <x:v>YES</x:v>
      </x:c>
      <x:c r="I71" s="29" t="str">
        <x:v>primary-airport endpoints; great-circle screen</x:v>
      </x:c>
      <x:c r="J71" s="29" t="str">
        <x:v>presence does not prove operability or capacity</x:v>
      </x:c>
    </x:row>
    <x:row r="72" ht="75.5999984741211" hidden="0" customHeight="1">
      <x:c r="A72" s="27" t="str">
        <x:v>SCA-01</x:v>
      </x:c>
      <x:c r="B72" s="27" t="str">
        <x:v>SCA-18</x:v>
      </x:c>
      <x:c r="C72" s="27" t="str">
        <x:v>Water</x:v>
      </x:c>
      <x:c r="D72" s="27" t="str">
        <x:v>YES</x:v>
      </x:c>
      <x:c r="E72" s="27" t="str">
        <x:v>YES</x:v>
      </x:c>
      <x:c r="F72" s="61" t="n">
        <x:v>13544.913640510411</x:v>
      </x:c>
      <x:c r="G72" s="61" t="n">
        <x:v>416.99753258601174</x:v>
      </x:c>
      <x:c r="H72" s="27" t="str">
        <x:v>NO</x:v>
      </x:c>
      <x:c r="I72" s="27" t="str">
        <x:v>USACE waterway node topology; deployable terminal required</x:v>
      </x:c>
      <x:c r="J72" s="27" t="str">
        <x:v>presence does not prove operability or capacity</x:v>
      </x:c>
    </x:row>
    <x:row r="73" ht="54" hidden="0" customHeight="1">
      <x:c r="A73" s="29" t="str">
        <x:v>SCA-01</x:v>
      </x:c>
      <x:c r="B73" s="29" t="str">
        <x:v>SCA-19</x:v>
      </x:c>
      <x:c r="C73" s="29" t="str">
        <x:v>Road</x:v>
      </x:c>
      <x:c r="D73" s="29" t="str">
        <x:v>NO</x:v>
      </x:c>
      <x:c r="E73" s="29" t="str">
        <x:v>NO</x:v>
      </x:c>
      <x:c r="F73" s="62"/>
      <x:c r="G73" s="62"/>
      <x:c r="H73" s="29" t="str">
        <x:v>NO</x:v>
      </x:c>
      <x:c r="I73" s="29" t="str">
        <x:v>no screened path</x:v>
      </x:c>
      <x:c r="J73" s="29" t="str">
        <x:v>presence does not prove operability or capacity</x:v>
      </x:c>
    </x:row>
    <x:row r="74" ht="54" hidden="0" customHeight="1">
      <x:c r="A74" s="27" t="str">
        <x:v>SCA-01</x:v>
      </x:c>
      <x:c r="B74" s="27" t="str">
        <x:v>SCA-19</x:v>
      </x:c>
      <x:c r="C74" s="27" t="str">
        <x:v>Rail</x:v>
      </x:c>
      <x:c r="D74" s="27" t="str">
        <x:v>NO</x:v>
      </x:c>
      <x:c r="E74" s="27" t="str">
        <x:v>NO</x:v>
      </x:c>
      <x:c r="F74" s="61"/>
      <x:c r="G74" s="61"/>
      <x:c r="H74" s="27" t="str">
        <x:v>NO</x:v>
      </x:c>
      <x:c r="I74" s="27" t="str">
        <x:v>no screened path</x:v>
      </x:c>
      <x:c r="J74" s="27" t="str">
        <x:v>presence does not prove operability or capacity</x:v>
      </x:c>
    </x:row>
    <x:row r="75" ht="54" hidden="0" customHeight="1">
      <x:c r="A75" s="29" t="str">
        <x:v>SCA-01</x:v>
      </x:c>
      <x:c r="B75" s="29" t="str">
        <x:v>SCA-19</x:v>
      </x:c>
      <x:c r="C75" s="29" t="str">
        <x:v>Air</x:v>
      </x:c>
      <x:c r="D75" s="29" t="str">
        <x:v>YES</x:v>
      </x:c>
      <x:c r="E75" s="29" t="str">
        <x:v>YES</x:v>
      </x:c>
      <x:c r="F75" s="62" t="n">
        <x:v>6576.204953120168</x:v>
      </x:c>
      <x:c r="G75" s="62" t="n">
        <x:v>34.11723838941565</x:v>
      </x:c>
      <x:c r="H75" s="29" t="str">
        <x:v>YES</x:v>
      </x:c>
      <x:c r="I75" s="29" t="str">
        <x:v>primary-airport endpoints; great-circle screen</x:v>
      </x:c>
      <x:c r="J75" s="29" t="str">
        <x:v>presence does not prove operability or capacity</x:v>
      </x:c>
    </x:row>
    <x:row r="76" ht="75.5999984741211" hidden="0" customHeight="1">
      <x:c r="A76" s="27" t="str">
        <x:v>SCA-01</x:v>
      </x:c>
      <x:c r="B76" s="27" t="str">
        <x:v>SCA-19</x:v>
      </x:c>
      <x:c r="C76" s="27" t="str">
        <x:v>Water</x:v>
      </x:c>
      <x:c r="D76" s="27" t="str">
        <x:v>YES</x:v>
      </x:c>
      <x:c r="E76" s="27" t="str">
        <x:v>YES</x:v>
      </x:c>
      <x:c r="F76" s="61" t="n">
        <x:v>12343.631554930576</x:v>
      </x:c>
      <x:c r="G76" s="61" t="n">
        <x:v>382.67518728373074</x:v>
      </x:c>
      <x:c r="H76" s="27" t="str">
        <x:v>NO</x:v>
      </x:c>
      <x:c r="I76" s="27" t="str">
        <x:v>USACE waterway node topology; deployable terminal required</x:v>
      </x:c>
      <x:c r="J76" s="27" t="str">
        <x:v>presence does not prove operability or capacity</x:v>
      </x:c>
    </x:row>
    <x:row r="77" ht="54" hidden="0" customHeight="1">
      <x:c r="A77" s="29" t="str">
        <x:v>SCA-01</x:v>
      </x:c>
      <x:c r="B77" s="29" t="str">
        <x:v>SCA-20</x:v>
      </x:c>
      <x:c r="C77" s="29" t="str">
        <x:v>Road</x:v>
      </x:c>
      <x:c r="D77" s="29" t="str">
        <x:v>NO</x:v>
      </x:c>
      <x:c r="E77" s="29" t="str">
        <x:v>NO</x:v>
      </x:c>
      <x:c r="F77" s="62"/>
      <x:c r="G77" s="62"/>
      <x:c r="H77" s="29" t="str">
        <x:v>NO</x:v>
      </x:c>
      <x:c r="I77" s="29" t="str">
        <x:v>no screened path</x:v>
      </x:c>
      <x:c r="J77" s="29" t="str">
        <x:v>presence does not prove operability or capacity</x:v>
      </x:c>
    </x:row>
    <x:row r="78" ht="54" hidden="0" customHeight="1">
      <x:c r="A78" s="27" t="str">
        <x:v>SCA-01</x:v>
      </x:c>
      <x:c r="B78" s="27" t="str">
        <x:v>SCA-20</x:v>
      </x:c>
      <x:c r="C78" s="27" t="str">
        <x:v>Rail</x:v>
      </x:c>
      <x:c r="D78" s="27" t="str">
        <x:v>NO</x:v>
      </x:c>
      <x:c r="E78" s="27" t="str">
        <x:v>NO</x:v>
      </x:c>
      <x:c r="F78" s="61"/>
      <x:c r="G78" s="61"/>
      <x:c r="H78" s="27" t="str">
        <x:v>NO</x:v>
      </x:c>
      <x:c r="I78" s="27" t="str">
        <x:v>no screened path</x:v>
      </x:c>
      <x:c r="J78" s="27" t="str">
        <x:v>presence does not prove operability or capacity</x:v>
      </x:c>
    </x:row>
    <x:row r="79" ht="54" hidden="0" customHeight="1">
      <x:c r="A79" s="29" t="str">
        <x:v>SCA-01</x:v>
      </x:c>
      <x:c r="B79" s="29" t="str">
        <x:v>SCA-20</x:v>
      </x:c>
      <x:c r="C79" s="29" t="str">
        <x:v>Air</x:v>
      </x:c>
      <x:c r="D79" s="29" t="str">
        <x:v>YES</x:v>
      </x:c>
      <x:c r="E79" s="29" t="str">
        <x:v>YES</x:v>
      </x:c>
      <x:c r="F79" s="62" t="n">
        <x:v>6702.35136076878</x:v>
      </x:c>
      <x:c r="G79" s="62" t="n">
        <x:v>34.31130978579812</x:v>
      </x:c>
      <x:c r="H79" s="29" t="str">
        <x:v>YES</x:v>
      </x:c>
      <x:c r="I79" s="29" t="str">
        <x:v>primary-airport endpoints; great-circle screen</x:v>
      </x:c>
      <x:c r="J79" s="29" t="str">
        <x:v>presence does not prove operability or capacity</x:v>
      </x:c>
    </x:row>
    <x:row r="80" ht="75.5999984741211" hidden="0" customHeight="1">
      <x:c r="A80" s="27" t="str">
        <x:v>SCA-01</x:v>
      </x:c>
      <x:c r="B80" s="27" t="str">
        <x:v>SCA-20</x:v>
      </x:c>
      <x:c r="C80" s="27" t="str">
        <x:v>Water</x:v>
      </x:c>
      <x:c r="D80" s="27" t="str">
        <x:v>YES</x:v>
      </x:c>
      <x:c r="E80" s="27" t="str">
        <x:v>YES</x:v>
      </x:c>
      <x:c r="F80" s="61" t="n">
        <x:v>11674.084613918216</x:v>
      </x:c>
      <x:c r="G80" s="61" t="n">
        <x:v>363.5452746833776</x:v>
      </x:c>
      <x:c r="H80" s="27" t="str">
        <x:v>NO</x:v>
      </x:c>
      <x:c r="I80" s="27" t="str">
        <x:v>USACE waterway node topology; deployable terminal required</x:v>
      </x:c>
      <x:c r="J80" s="27" t="str">
        <x:v>presence does not prove operability or capacity</x:v>
      </x:c>
    </x:row>
    <x:row r="81" ht="54" hidden="0" customHeight="1">
      <x:c r="A81" s="29" t="str">
        <x:v>SCA-01</x:v>
      </x:c>
      <x:c r="B81" s="29" t="str">
        <x:v>SCA-21</x:v>
      </x:c>
      <x:c r="C81" s="29" t="str">
        <x:v>Road</x:v>
      </x:c>
      <x:c r="D81" s="29" t="str">
        <x:v>NO</x:v>
      </x:c>
      <x:c r="E81" s="29" t="str">
        <x:v>NO</x:v>
      </x:c>
      <x:c r="F81" s="62"/>
      <x:c r="G81" s="62"/>
      <x:c r="H81" s="29" t="str">
        <x:v>NO</x:v>
      </x:c>
      <x:c r="I81" s="29" t="str">
        <x:v>no screened path</x:v>
      </x:c>
      <x:c r="J81" s="29" t="str">
        <x:v>presence does not prove operability or capacity</x:v>
      </x:c>
    </x:row>
    <x:row r="82" ht="54" hidden="0" customHeight="1">
      <x:c r="A82" s="27" t="str">
        <x:v>SCA-01</x:v>
      </x:c>
      <x:c r="B82" s="27" t="str">
        <x:v>SCA-21</x:v>
      </x:c>
      <x:c r="C82" s="27" t="str">
        <x:v>Rail</x:v>
      </x:c>
      <x:c r="D82" s="27" t="str">
        <x:v>NO</x:v>
      </x:c>
      <x:c r="E82" s="27" t="str">
        <x:v>NO</x:v>
      </x:c>
      <x:c r="F82" s="61"/>
      <x:c r="G82" s="61"/>
      <x:c r="H82" s="27" t="str">
        <x:v>NO</x:v>
      </x:c>
      <x:c r="I82" s="27" t="str">
        <x:v>no screened path</x:v>
      </x:c>
      <x:c r="J82" s="27" t="str">
        <x:v>presence does not prove operability or capacity</x:v>
      </x:c>
    </x:row>
    <x:row r="83" ht="54" hidden="0" customHeight="1">
      <x:c r="A83" s="29" t="str">
        <x:v>SCA-01</x:v>
      </x:c>
      <x:c r="B83" s="29" t="str">
        <x:v>SCA-21</x:v>
      </x:c>
      <x:c r="C83" s="29" t="str">
        <x:v>Air</x:v>
      </x:c>
      <x:c r="D83" s="29" t="str">
        <x:v>YES</x:v>
      </x:c>
      <x:c r="E83" s="29" t="str">
        <x:v>YES</x:v>
      </x:c>
      <x:c r="F83" s="62" t="n">
        <x:v>6801.653544887236</x:v>
      </x:c>
      <x:c r="G83" s="62" t="n">
        <x:v>34.464082376749595</x:v>
      </x:c>
      <x:c r="H83" s="29" t="str">
        <x:v>YES</x:v>
      </x:c>
      <x:c r="I83" s="29" t="str">
        <x:v>primary-airport endpoints; great-circle screen</x:v>
      </x:c>
      <x:c r="J83" s="29" t="str">
        <x:v>presence does not prove operability or capacity</x:v>
      </x:c>
    </x:row>
    <x:row r="84" ht="75.5999984741211" hidden="0" customHeight="1">
      <x:c r="A84" s="27" t="str">
        <x:v>SCA-01</x:v>
      </x:c>
      <x:c r="B84" s="27" t="str">
        <x:v>SCA-21</x:v>
      </x:c>
      <x:c r="C84" s="27" t="str">
        <x:v>Water</x:v>
      </x:c>
      <x:c r="D84" s="27" t="str">
        <x:v>YES</x:v>
      </x:c>
      <x:c r="E84" s="27" t="str">
        <x:v>YES</x:v>
      </x:c>
      <x:c r="F84" s="61" t="n">
        <x:v>12928.56635693417</x:v>
      </x:c>
      <x:c r="G84" s="61" t="n">
        <x:v>399.38761019811915</x:v>
      </x:c>
      <x:c r="H84" s="27" t="str">
        <x:v>NO</x:v>
      </x:c>
      <x:c r="I84" s="27" t="str">
        <x:v>USACE waterway node topology; deployable terminal required</x:v>
      </x:c>
      <x:c r="J84" s="27" t="str">
        <x:v>presence does not prove operability or capacity</x:v>
      </x:c>
    </x:row>
    <x:row r="85" ht="54" hidden="0" customHeight="1">
      <x:c r="A85" s="29" t="str">
        <x:v>SCA-01</x:v>
      </x:c>
      <x:c r="B85" s="29" t="str">
        <x:v>SCA-22</x:v>
      </x:c>
      <x:c r="C85" s="29" t="str">
        <x:v>Road</x:v>
      </x:c>
      <x:c r="D85" s="29" t="str">
        <x:v>NO</x:v>
      </x:c>
      <x:c r="E85" s="29" t="str">
        <x:v>NO</x:v>
      </x:c>
      <x:c r="F85" s="62"/>
      <x:c r="G85" s="62"/>
      <x:c r="H85" s="29" t="str">
        <x:v>NO</x:v>
      </x:c>
      <x:c r="I85" s="29" t="str">
        <x:v>no screened path</x:v>
      </x:c>
      <x:c r="J85" s="29" t="str">
        <x:v>presence does not prove operability or capacity</x:v>
      </x:c>
    </x:row>
    <x:row r="86" ht="54" hidden="0" customHeight="1">
      <x:c r="A86" s="27" t="str">
        <x:v>SCA-01</x:v>
      </x:c>
      <x:c r="B86" s="27" t="str">
        <x:v>SCA-22</x:v>
      </x:c>
      <x:c r="C86" s="27" t="str">
        <x:v>Rail</x:v>
      </x:c>
      <x:c r="D86" s="27" t="str">
        <x:v>NO</x:v>
      </x:c>
      <x:c r="E86" s="27" t="str">
        <x:v>NO</x:v>
      </x:c>
      <x:c r="F86" s="61"/>
      <x:c r="G86" s="61"/>
      <x:c r="H86" s="27" t="str">
        <x:v>NO</x:v>
      </x:c>
      <x:c r="I86" s="27" t="str">
        <x:v>no screened path</x:v>
      </x:c>
      <x:c r="J86" s="27" t="str">
        <x:v>presence does not prove operability or capacity</x:v>
      </x:c>
    </x:row>
    <x:row r="87" ht="54" hidden="0" customHeight="1">
      <x:c r="A87" s="29" t="str">
        <x:v>SCA-01</x:v>
      </x:c>
      <x:c r="B87" s="29" t="str">
        <x:v>SCA-22</x:v>
      </x:c>
      <x:c r="C87" s="29" t="str">
        <x:v>Air</x:v>
      </x:c>
      <x:c r="D87" s="29" t="str">
        <x:v>YES</x:v>
      </x:c>
      <x:c r="E87" s="29" t="str">
        <x:v>YES</x:v>
      </x:c>
      <x:c r="F87" s="62" t="n">
        <x:v>7061.036501807717</x:v>
      </x:c>
      <x:c r="G87" s="62" t="n">
        <x:v>34.863133079704184</x:v>
      </x:c>
      <x:c r="H87" s="29" t="str">
        <x:v>YES</x:v>
      </x:c>
      <x:c r="I87" s="29" t="str">
        <x:v>primary-airport endpoints; great-circle screen</x:v>
      </x:c>
      <x:c r="J87" s="29" t="str">
        <x:v>presence does not prove operability or capacity</x:v>
      </x:c>
    </x:row>
    <x:row r="88" ht="75.5999984741211" hidden="0" customHeight="1">
      <x:c r="A88" s="27" t="str">
        <x:v>SCA-01</x:v>
      </x:c>
      <x:c r="B88" s="27" t="str">
        <x:v>SCA-22</x:v>
      </x:c>
      <x:c r="C88" s="27" t="str">
        <x:v>Water</x:v>
      </x:c>
      <x:c r="D88" s="27" t="str">
        <x:v>YES</x:v>
      </x:c>
      <x:c r="E88" s="27" t="str">
        <x:v>YES</x:v>
      </x:c>
      <x:c r="F88" s="61" t="n">
        <x:v>12243.034545279112</x:v>
      </x:c>
      <x:c r="G88" s="61" t="n">
        <x:v>379.80098700797464</x:v>
      </x:c>
      <x:c r="H88" s="27" t="str">
        <x:v>NO</x:v>
      </x:c>
      <x:c r="I88" s="27" t="str">
        <x:v>USACE waterway node topology; deployable terminal required</x:v>
      </x:c>
      <x:c r="J88" s="27" t="str">
        <x:v>presence does not prove operability or capacity</x:v>
      </x:c>
    </x:row>
    <x:row r="89" ht="54" hidden="0" customHeight="1">
      <x:c r="A89" s="29" t="str">
        <x:v>SCA-01</x:v>
      </x:c>
      <x:c r="B89" s="29" t="str">
        <x:v>SCA-23</x:v>
      </x:c>
      <x:c r="C89" s="29" t="str">
        <x:v>Road</x:v>
      </x:c>
      <x:c r="D89" s="29" t="str">
        <x:v>NO</x:v>
      </x:c>
      <x:c r="E89" s="29" t="str">
        <x:v>NO</x:v>
      </x:c>
      <x:c r="F89" s="62"/>
      <x:c r="G89" s="62"/>
      <x:c r="H89" s="29" t="str">
        <x:v>NO</x:v>
      </x:c>
      <x:c r="I89" s="29" t="str">
        <x:v>no screened path</x:v>
      </x:c>
      <x:c r="J89" s="29" t="str">
        <x:v>presence does not prove operability or capacity</x:v>
      </x:c>
    </x:row>
    <x:row r="90" ht="54" hidden="0" customHeight="1">
      <x:c r="A90" s="27" t="str">
        <x:v>SCA-01</x:v>
      </x:c>
      <x:c r="B90" s="27" t="str">
        <x:v>SCA-23</x:v>
      </x:c>
      <x:c r="C90" s="27" t="str">
        <x:v>Rail</x:v>
      </x:c>
      <x:c r="D90" s="27" t="str">
        <x:v>NO</x:v>
      </x:c>
      <x:c r="E90" s="27" t="str">
        <x:v>NO</x:v>
      </x:c>
      <x:c r="F90" s="61"/>
      <x:c r="G90" s="61"/>
      <x:c r="H90" s="27" t="str">
        <x:v>NO</x:v>
      </x:c>
      <x:c r="I90" s="27" t="str">
        <x:v>no screened path</x:v>
      </x:c>
      <x:c r="J90" s="27" t="str">
        <x:v>presence does not prove operability or capacity</x:v>
      </x:c>
    </x:row>
    <x:row r="91" ht="54" hidden="0" customHeight="1">
      <x:c r="A91" s="29" t="str">
        <x:v>SCA-01</x:v>
      </x:c>
      <x:c r="B91" s="29" t="str">
        <x:v>SCA-23</x:v>
      </x:c>
      <x:c r="C91" s="29" t="str">
        <x:v>Air</x:v>
      </x:c>
      <x:c r="D91" s="29" t="str">
        <x:v>YES</x:v>
      </x:c>
      <x:c r="E91" s="29" t="str">
        <x:v>YES</x:v>
      </x:c>
      <x:c r="F91" s="62" t="n">
        <x:v>7204.5326635431775</x:v>
      </x:c>
      <x:c r="G91" s="62" t="n">
        <x:v>35.08389640545104</x:v>
      </x:c>
      <x:c r="H91" s="29" t="str">
        <x:v>YES</x:v>
      </x:c>
      <x:c r="I91" s="29" t="str">
        <x:v>primary-airport endpoints; great-circle screen</x:v>
      </x:c>
      <x:c r="J91" s="29" t="str">
        <x:v>presence does not prove operability or capacity</x:v>
      </x:c>
    </x:row>
    <x:row r="92" ht="75.5999984741211" hidden="0" customHeight="1">
      <x:c r="A92" s="27" t="str">
        <x:v>SCA-01</x:v>
      </x:c>
      <x:c r="B92" s="27" t="str">
        <x:v>SCA-23</x:v>
      </x:c>
      <x:c r="C92" s="27" t="str">
        <x:v>Water</x:v>
      </x:c>
      <x:c r="D92" s="27" t="str">
        <x:v>YES</x:v>
      </x:c>
      <x:c r="E92" s="27" t="str">
        <x:v>YES</x:v>
      </x:c>
      <x:c r="F92" s="61" t="n">
        <x:v>11257.723534884328</x:v>
      </x:c>
      <x:c r="G92" s="61" t="n">
        <x:v>351.64924385383796</x:v>
      </x:c>
      <x:c r="H92" s="27" t="str">
        <x:v>NO</x:v>
      </x:c>
      <x:c r="I92" s="27" t="str">
        <x:v>USACE waterway node topology; deployable terminal required</x:v>
      </x:c>
      <x:c r="J92" s="27" t="str">
        <x:v>presence does not prove operability or capacity</x:v>
      </x:c>
    </x:row>
    <x:row r="93" ht="54" hidden="0" customHeight="1">
      <x:c r="A93" s="29" t="str">
        <x:v>SCA-01</x:v>
      </x:c>
      <x:c r="B93" s="29" t="str">
        <x:v>SCA-24</x:v>
      </x:c>
      <x:c r="C93" s="29" t="str">
        <x:v>Road</x:v>
      </x:c>
      <x:c r="D93" s="29" t="str">
        <x:v>NO</x:v>
      </x:c>
      <x:c r="E93" s="29" t="str">
        <x:v>NO</x:v>
      </x:c>
      <x:c r="F93" s="62"/>
      <x:c r="G93" s="62"/>
      <x:c r="H93" s="29" t="str">
        <x:v>NO</x:v>
      </x:c>
      <x:c r="I93" s="29" t="str">
        <x:v>no screened path</x:v>
      </x:c>
      <x:c r="J93" s="29" t="str">
        <x:v>presence does not prove operability or capacity</x:v>
      </x:c>
    </x:row>
    <x:row r="94" ht="54" hidden="0" customHeight="1">
      <x:c r="A94" s="27" t="str">
        <x:v>SCA-01</x:v>
      </x:c>
      <x:c r="B94" s="27" t="str">
        <x:v>SCA-24</x:v>
      </x:c>
      <x:c r="C94" s="27" t="str">
        <x:v>Rail</x:v>
      </x:c>
      <x:c r="D94" s="27" t="str">
        <x:v>NO</x:v>
      </x:c>
      <x:c r="E94" s="27" t="str">
        <x:v>NO</x:v>
      </x:c>
      <x:c r="F94" s="61"/>
      <x:c r="G94" s="61"/>
      <x:c r="H94" s="27" t="str">
        <x:v>NO</x:v>
      </x:c>
      <x:c r="I94" s="27" t="str">
        <x:v>no screened path</x:v>
      </x:c>
      <x:c r="J94" s="27" t="str">
        <x:v>presence does not prove operability or capacity</x:v>
      </x:c>
    </x:row>
    <x:row r="95" ht="54" hidden="0" customHeight="1">
      <x:c r="A95" s="29" t="str">
        <x:v>SCA-01</x:v>
      </x:c>
      <x:c r="B95" s="29" t="str">
        <x:v>SCA-24</x:v>
      </x:c>
      <x:c r="C95" s="29" t="str">
        <x:v>Air</x:v>
      </x:c>
      <x:c r="D95" s="29" t="str">
        <x:v>YES</x:v>
      </x:c>
      <x:c r="E95" s="29" t="str">
        <x:v>YES</x:v>
      </x:c>
      <x:c r="F95" s="62" t="n">
        <x:v>7143.230474659723</x:v>
      </x:c>
      <x:c r="G95" s="62" t="n">
        <x:v>34.989585345630346</x:v>
      </x:c>
      <x:c r="H95" s="29" t="str">
        <x:v>YES</x:v>
      </x:c>
      <x:c r="I95" s="29" t="str">
        <x:v>primary-airport endpoints; great-circle screen</x:v>
      </x:c>
      <x:c r="J95" s="29" t="str">
        <x:v>presence does not prove operability or capacity</x:v>
      </x:c>
    </x:row>
    <x:row r="96" ht="75.5999984741211" hidden="0" customHeight="1">
      <x:c r="A96" s="27" t="str">
        <x:v>SCA-01</x:v>
      </x:c>
      <x:c r="B96" s="27" t="str">
        <x:v>SCA-24</x:v>
      </x:c>
      <x:c r="C96" s="27" t="str">
        <x:v>Water</x:v>
      </x:c>
      <x:c r="D96" s="27" t="str">
        <x:v>YES</x:v>
      </x:c>
      <x:c r="E96" s="27" t="str">
        <x:v>YES</x:v>
      </x:c>
      <x:c r="F96" s="61" t="n">
        <x:v>12637.639916739927</x:v>
      </x:c>
      <x:c r="G96" s="61" t="n">
        <x:v>391.07542619256935</x:v>
      </x:c>
      <x:c r="H96" s="27" t="str">
        <x:v>NO</x:v>
      </x:c>
      <x:c r="I96" s="27" t="str">
        <x:v>USACE waterway node topology; deployable terminal required</x:v>
      </x:c>
      <x:c r="J96" s="27" t="str">
        <x:v>presence does not prove operability or capacity</x:v>
      </x:c>
    </x:row>
    <x:row r="97" ht="54" hidden="0" customHeight="1">
      <x:c r="A97" s="29" t="str">
        <x:v>SCA-01</x:v>
      </x:c>
      <x:c r="B97" s="29" t="str">
        <x:v>SCA-25</x:v>
      </x:c>
      <x:c r="C97" s="29" t="str">
        <x:v>Road</x:v>
      </x:c>
      <x:c r="D97" s="29" t="str">
        <x:v>NO</x:v>
      </x:c>
      <x:c r="E97" s="29" t="str">
        <x:v>NO</x:v>
      </x:c>
      <x:c r="F97" s="62"/>
      <x:c r="G97" s="62"/>
      <x:c r="H97" s="29" t="str">
        <x:v>NO</x:v>
      </x:c>
      <x:c r="I97" s="29" t="str">
        <x:v>no screened path</x:v>
      </x:c>
      <x:c r="J97" s="29" t="str">
        <x:v>presence does not prove operability or capacity</x:v>
      </x:c>
    </x:row>
    <x:row r="98" ht="54" hidden="0" customHeight="1">
      <x:c r="A98" s="27" t="str">
        <x:v>SCA-01</x:v>
      </x:c>
      <x:c r="B98" s="27" t="str">
        <x:v>SCA-25</x:v>
      </x:c>
      <x:c r="C98" s="27" t="str">
        <x:v>Rail</x:v>
      </x:c>
      <x:c r="D98" s="27" t="str">
        <x:v>NO</x:v>
      </x:c>
      <x:c r="E98" s="27" t="str">
        <x:v>NO</x:v>
      </x:c>
      <x:c r="F98" s="61"/>
      <x:c r="G98" s="61"/>
      <x:c r="H98" s="27" t="str">
        <x:v>NO</x:v>
      </x:c>
      <x:c r="I98" s="27" t="str">
        <x:v>no screened path</x:v>
      </x:c>
      <x:c r="J98" s="27" t="str">
        <x:v>presence does not prove operability or capacity</x:v>
      </x:c>
    </x:row>
    <x:row r="99" ht="54" hidden="0" customHeight="1">
      <x:c r="A99" s="29" t="str">
        <x:v>SCA-01</x:v>
      </x:c>
      <x:c r="B99" s="29" t="str">
        <x:v>SCA-25</x:v>
      </x:c>
      <x:c r="C99" s="29" t="str">
        <x:v>Air</x:v>
      </x:c>
      <x:c r="D99" s="29" t="str">
        <x:v>YES</x:v>
      </x:c>
      <x:c r="E99" s="29" t="str">
        <x:v>YES</x:v>
      </x:c>
      <x:c r="F99" s="62" t="n">
        <x:v>7501.685157546965</x:v>
      </x:c>
      <x:c r="G99" s="62" t="n">
        <x:v>35.54105408853379</x:v>
      </x:c>
      <x:c r="H99" s="29" t="str">
        <x:v>YES</x:v>
      </x:c>
      <x:c r="I99" s="29" t="str">
        <x:v>primary-airport endpoints; great-circle screen</x:v>
      </x:c>
      <x:c r="J99" s="29" t="str">
        <x:v>presence does not prove operability or capacity</x:v>
      </x:c>
    </x:row>
    <x:row r="100" ht="75.5999984741211" hidden="0" customHeight="1">
      <x:c r="A100" s="27" t="str">
        <x:v>SCA-01</x:v>
      </x:c>
      <x:c r="B100" s="27" t="str">
        <x:v>SCA-25</x:v>
      </x:c>
      <x:c r="C100" s="27" t="str">
        <x:v>Water</x:v>
      </x:c>
      <x:c r="D100" s="27" t="str">
        <x:v>YES</x:v>
      </x:c>
      <x:c r="E100" s="27" t="str">
        <x:v>YES</x:v>
      </x:c>
      <x:c r="F100" s="61" t="n">
        <x:v>10707.229838973995</x:v>
      </x:c>
      <x:c r="G100" s="61" t="n">
        <x:v>335.9208525421142</x:v>
      </x:c>
      <x:c r="H100" s="27" t="str">
        <x:v>NO</x:v>
      </x:c>
      <x:c r="I100" s="27" t="str">
        <x:v>USACE waterway node topology; deployable terminal required</x:v>
      </x:c>
      <x:c r="J100" s="27" t="str">
        <x:v>presence does not prove operability or capacity</x:v>
      </x:c>
    </x:row>
    <x:row r="101" ht="54" hidden="0" customHeight="1">
      <x:c r="A101" s="29" t="str">
        <x:v>SCA-01</x:v>
      </x:c>
      <x:c r="B101" s="29" t="str">
        <x:v>SCA-26</x:v>
      </x:c>
      <x:c r="C101" s="29" t="str">
        <x:v>Road</x:v>
      </x:c>
      <x:c r="D101" s="29" t="str">
        <x:v>NO</x:v>
      </x:c>
      <x:c r="E101" s="29" t="str">
        <x:v>NO</x:v>
      </x:c>
      <x:c r="F101" s="62"/>
      <x:c r="G101" s="62"/>
      <x:c r="H101" s="29" t="str">
        <x:v>NO</x:v>
      </x:c>
      <x:c r="I101" s="29" t="str">
        <x:v>no screened path</x:v>
      </x:c>
      <x:c r="J101" s="29" t="str">
        <x:v>presence does not prove operability or capacity</x:v>
      </x:c>
    </x:row>
    <x:row r="102" ht="54" hidden="0" customHeight="1">
      <x:c r="A102" s="27" t="str">
        <x:v>SCA-01</x:v>
      </x:c>
      <x:c r="B102" s="27" t="str">
        <x:v>SCA-26</x:v>
      </x:c>
      <x:c r="C102" s="27" t="str">
        <x:v>Rail</x:v>
      </x:c>
      <x:c r="D102" s="27" t="str">
        <x:v>NO</x:v>
      </x:c>
      <x:c r="E102" s="27" t="str">
        <x:v>NO</x:v>
      </x:c>
      <x:c r="F102" s="61"/>
      <x:c r="G102" s="61"/>
      <x:c r="H102" s="27" t="str">
        <x:v>NO</x:v>
      </x:c>
      <x:c r="I102" s="27" t="str">
        <x:v>no screened path</x:v>
      </x:c>
      <x:c r="J102" s="27" t="str">
        <x:v>presence does not prove operability or capacity</x:v>
      </x:c>
    </x:row>
    <x:row r="103" ht="54" hidden="0" customHeight="1">
      <x:c r="A103" s="29" t="str">
        <x:v>SCA-01</x:v>
      </x:c>
      <x:c r="B103" s="29" t="str">
        <x:v>SCA-26</x:v>
      </x:c>
      <x:c r="C103" s="29" t="str">
        <x:v>Air</x:v>
      </x:c>
      <x:c r="D103" s="29" t="str">
        <x:v>YES</x:v>
      </x:c>
      <x:c r="E103" s="29" t="str">
        <x:v>YES</x:v>
      </x:c>
      <x:c r="F103" s="62" t="n">
        <x:v>7585.4049826908</x:v>
      </x:c>
      <x:c r="G103" s="62" t="n">
        <x:v>35.669853819524306</x:v>
      </x:c>
      <x:c r="H103" s="29" t="str">
        <x:v>YES</x:v>
      </x:c>
      <x:c r="I103" s="29" t="str">
        <x:v>primary-airport endpoints; great-circle screen</x:v>
      </x:c>
      <x:c r="J103" s="29" t="str">
        <x:v>presence does not prove operability or capacity</x:v>
      </x:c>
    </x:row>
    <x:row r="104" ht="75.5999984741211" hidden="0" customHeight="1">
      <x:c r="A104" s="27" t="str">
        <x:v>SCA-01</x:v>
      </x:c>
      <x:c r="B104" s="27" t="str">
        <x:v>SCA-26</x:v>
      </x:c>
      <x:c r="C104" s="27" t="str">
        <x:v>Water</x:v>
      </x:c>
      <x:c r="D104" s="27" t="str">
        <x:v>YES</x:v>
      </x:c>
      <x:c r="E104" s="27" t="str">
        <x:v>YES</x:v>
      </x:c>
      <x:c r="F104" s="61" t="n">
        <x:v>10363.461357697905</x:v>
      </x:c>
      <x:c r="G104" s="61" t="n">
        <x:v>326.0988959342258</x:v>
      </x:c>
      <x:c r="H104" s="27" t="str">
        <x:v>NO</x:v>
      </x:c>
      <x:c r="I104" s="27" t="str">
        <x:v>USACE waterway node topology; deployable terminal required</x:v>
      </x:c>
      <x:c r="J104" s="27" t="str">
        <x:v>presence does not prove operability or capacity</x:v>
      </x:c>
    </x:row>
    <x:row r="105" ht="54" hidden="0" customHeight="1">
      <x:c r="A105" s="29" t="str">
        <x:v>SCA-01</x:v>
      </x:c>
      <x:c r="B105" s="29" t="str">
        <x:v>SCA-27</x:v>
      </x:c>
      <x:c r="C105" s="29" t="str">
        <x:v>Road</x:v>
      </x:c>
      <x:c r="D105" s="29" t="str">
        <x:v>NO</x:v>
      </x:c>
      <x:c r="E105" s="29" t="str">
        <x:v>NO</x:v>
      </x:c>
      <x:c r="F105" s="62"/>
      <x:c r="G105" s="62"/>
      <x:c r="H105" s="29" t="str">
        <x:v>NO</x:v>
      </x:c>
      <x:c r="I105" s="29" t="str">
        <x:v>no screened path</x:v>
      </x:c>
      <x:c r="J105" s="29" t="str">
        <x:v>presence does not prove operability or capacity</x:v>
      </x:c>
    </x:row>
    <x:row r="106" ht="54" hidden="0" customHeight="1">
      <x:c r="A106" s="27" t="str">
        <x:v>SCA-01</x:v>
      </x:c>
      <x:c r="B106" s="27" t="str">
        <x:v>SCA-27</x:v>
      </x:c>
      <x:c r="C106" s="27" t="str">
        <x:v>Rail</x:v>
      </x:c>
      <x:c r="D106" s="27" t="str">
        <x:v>NO</x:v>
      </x:c>
      <x:c r="E106" s="27" t="str">
        <x:v>NO</x:v>
      </x:c>
      <x:c r="F106" s="61"/>
      <x:c r="G106" s="61"/>
      <x:c r="H106" s="27" t="str">
        <x:v>NO</x:v>
      </x:c>
      <x:c r="I106" s="27" t="str">
        <x:v>no screened path</x:v>
      </x:c>
      <x:c r="J106" s="27" t="str">
        <x:v>presence does not prove operability or capacity</x:v>
      </x:c>
    </x:row>
    <x:row r="107" ht="54" hidden="0" customHeight="1">
      <x:c r="A107" s="29" t="str">
        <x:v>SCA-01</x:v>
      </x:c>
      <x:c r="B107" s="29" t="str">
        <x:v>SCA-27</x:v>
      </x:c>
      <x:c r="C107" s="29" t="str">
        <x:v>Air</x:v>
      </x:c>
      <x:c r="D107" s="29" t="str">
        <x:v>YES</x:v>
      </x:c>
      <x:c r="E107" s="29" t="str">
        <x:v>YES</x:v>
      </x:c>
      <x:c r="F107" s="62" t="n">
        <x:v>7763.595806930106</x:v>
      </x:c>
      <x:c r="G107" s="62" t="n">
        <x:v>35.94399354912324</x:v>
      </x:c>
      <x:c r="H107" s="29" t="str">
        <x:v>YES</x:v>
      </x:c>
      <x:c r="I107" s="29" t="str">
        <x:v>primary-airport endpoints; great-circle screen</x:v>
      </x:c>
      <x:c r="J107" s="29" t="str">
        <x:v>presence does not prove operability or capacity</x:v>
      </x:c>
    </x:row>
    <x:row r="108" ht="75.5999984741211" hidden="0" customHeight="1">
      <x:c r="A108" s="27" t="str">
        <x:v>SCA-01</x:v>
      </x:c>
      <x:c r="B108" s="27" t="str">
        <x:v>SCA-27</x:v>
      </x:c>
      <x:c r="C108" s="27" t="str">
        <x:v>Water</x:v>
      </x:c>
      <x:c r="D108" s="27" t="str">
        <x:v>YES</x:v>
      </x:c>
      <x:c r="E108" s="27" t="str">
        <x:v>YES</x:v>
      </x:c>
      <x:c r="F108" s="61" t="n">
        <x:v>10052.222941982232</x:v>
      </x:c>
      <x:c r="G108" s="61" t="n">
        <x:v>317.2063697709209</x:v>
      </x:c>
      <x:c r="H108" s="27" t="str">
        <x:v>NO</x:v>
      </x:c>
      <x:c r="I108" s="27" t="str">
        <x:v>USACE waterway node topology; deployable terminal required</x:v>
      </x:c>
      <x:c r="J108" s="27" t="str">
        <x:v>presence does not prove operability or capacity</x:v>
      </x:c>
    </x:row>
    <x:row r="109" ht="54" hidden="0" customHeight="1">
      <x:c r="A109" s="29" t="str">
        <x:v>SCA-01</x:v>
      </x:c>
      <x:c r="B109" s="29" t="str">
        <x:v>SCA-28</x:v>
      </x:c>
      <x:c r="C109" s="29" t="str">
        <x:v>Road</x:v>
      </x:c>
      <x:c r="D109" s="29" t="str">
        <x:v>NO</x:v>
      </x:c>
      <x:c r="E109" s="29" t="str">
        <x:v>NO</x:v>
      </x:c>
      <x:c r="F109" s="62"/>
      <x:c r="G109" s="62"/>
      <x:c r="H109" s="29" t="str">
        <x:v>NO</x:v>
      </x:c>
      <x:c r="I109" s="29" t="str">
        <x:v>no screened path</x:v>
      </x:c>
      <x:c r="J109" s="29" t="str">
        <x:v>presence does not prove operability or capacity</x:v>
      </x:c>
    </x:row>
    <x:row r="110" ht="54" hidden="0" customHeight="1">
      <x:c r="A110" s="27" t="str">
        <x:v>SCA-01</x:v>
      </x:c>
      <x:c r="B110" s="27" t="str">
        <x:v>SCA-28</x:v>
      </x:c>
      <x:c r="C110" s="27" t="str">
        <x:v>Rail</x:v>
      </x:c>
      <x:c r="D110" s="27" t="str">
        <x:v>NO</x:v>
      </x:c>
      <x:c r="E110" s="27" t="str">
        <x:v>NO</x:v>
      </x:c>
      <x:c r="F110" s="61"/>
      <x:c r="G110" s="61"/>
      <x:c r="H110" s="27" t="str">
        <x:v>NO</x:v>
      </x:c>
      <x:c r="I110" s="27" t="str">
        <x:v>no screened path</x:v>
      </x:c>
      <x:c r="J110" s="27" t="str">
        <x:v>presence does not prove operability or capacity</x:v>
      </x:c>
    </x:row>
    <x:row r="111" ht="54" hidden="0" customHeight="1">
      <x:c r="A111" s="29" t="str">
        <x:v>SCA-01</x:v>
      </x:c>
      <x:c r="B111" s="29" t="str">
        <x:v>SCA-28</x:v>
      </x:c>
      <x:c r="C111" s="29" t="str">
        <x:v>Air</x:v>
      </x:c>
      <x:c r="D111" s="29" t="str">
        <x:v>YES</x:v>
      </x:c>
      <x:c r="E111" s="29" t="str">
        <x:v>YES</x:v>
      </x:c>
      <x:c r="F111" s="62" t="n">
        <x:v>7538.539640031522</x:v>
      </x:c>
      <x:c r="G111" s="62" t="n">
        <x:v>35.59775329235619</x:v>
      </x:c>
      <x:c r="H111" s="29" t="str">
        <x:v>YES</x:v>
      </x:c>
      <x:c r="I111" s="29" t="str">
        <x:v>primary-airport endpoints; great-circle screen</x:v>
      </x:c>
      <x:c r="J111" s="29" t="str">
        <x:v>presence does not prove operability or capacity</x:v>
      </x:c>
    </x:row>
    <x:row r="112" ht="75.5999984741211" hidden="0" customHeight="1">
      <x:c r="A112" s="27" t="str">
        <x:v>SCA-01</x:v>
      </x:c>
      <x:c r="B112" s="27" t="str">
        <x:v>SCA-28</x:v>
      </x:c>
      <x:c r="C112" s="27" t="str">
        <x:v>Water</x:v>
      </x:c>
      <x:c r="D112" s="27" t="str">
        <x:v>YES</x:v>
      </x:c>
      <x:c r="E112" s="27" t="str">
        <x:v>YES</x:v>
      </x:c>
      <x:c r="F112" s="61" t="n">
        <x:v>12085.77571187463</x:v>
      </x:c>
      <x:c r="G112" s="61" t="n">
        <x:v>375.3078774821323</x:v>
      </x:c>
      <x:c r="H112" s="27" t="str">
        <x:v>NO</x:v>
      </x:c>
      <x:c r="I112" s="27" t="str">
        <x:v>USACE waterway node topology; deployable terminal required</x:v>
      </x:c>
      <x:c r="J112" s="27" t="str">
        <x:v>presence does not prove operability or capacity</x:v>
      </x:c>
    </x:row>
    <x:row r="113" ht="54" hidden="0" customHeight="1">
      <x:c r="A113" s="29" t="str">
        <x:v>SCA-01</x:v>
      </x:c>
      <x:c r="B113" s="29" t="str">
        <x:v>SCA-29</x:v>
      </x:c>
      <x:c r="C113" s="29" t="str">
        <x:v>Road</x:v>
      </x:c>
      <x:c r="D113" s="29" t="str">
        <x:v>NO</x:v>
      </x:c>
      <x:c r="E113" s="29" t="str">
        <x:v>NO</x:v>
      </x:c>
      <x:c r="F113" s="62"/>
      <x:c r="G113" s="62"/>
      <x:c r="H113" s="29" t="str">
        <x:v>NO</x:v>
      </x:c>
      <x:c r="I113" s="29" t="str">
        <x:v>no screened path</x:v>
      </x:c>
      <x:c r="J113" s="29" t="str">
        <x:v>presence does not prove operability or capacity</x:v>
      </x:c>
    </x:row>
    <x:row r="114" ht="54" hidden="0" customHeight="1">
      <x:c r="A114" s="27" t="str">
        <x:v>SCA-01</x:v>
      </x:c>
      <x:c r="B114" s="27" t="str">
        <x:v>SCA-29</x:v>
      </x:c>
      <x:c r="C114" s="27" t="str">
        <x:v>Rail</x:v>
      </x:c>
      <x:c r="D114" s="27" t="str">
        <x:v>NO</x:v>
      </x:c>
      <x:c r="E114" s="27" t="str">
        <x:v>NO</x:v>
      </x:c>
      <x:c r="F114" s="61"/>
      <x:c r="G114" s="61"/>
      <x:c r="H114" s="27" t="str">
        <x:v>NO</x:v>
      </x:c>
      <x:c r="I114" s="27" t="str">
        <x:v>no screened path</x:v>
      </x:c>
      <x:c r="J114" s="27" t="str">
        <x:v>presence does not prove operability or capacity</x:v>
      </x:c>
    </x:row>
    <x:row r="115" ht="54" hidden="0" customHeight="1">
      <x:c r="A115" s="29" t="str">
        <x:v>SCA-01</x:v>
      </x:c>
      <x:c r="B115" s="29" t="str">
        <x:v>SCA-29</x:v>
      </x:c>
      <x:c r="C115" s="29" t="str">
        <x:v>Air</x:v>
      </x:c>
      <x:c r="D115" s="29" t="str">
        <x:v>YES</x:v>
      </x:c>
      <x:c r="E115" s="29" t="str">
        <x:v>YES</x:v>
      </x:c>
      <x:c r="F115" s="62" t="n">
        <x:v>7657.181911806671</x:v>
      </x:c>
      <x:c r="G115" s="62" t="n">
        <x:v>35.780279864317954</x:v>
      </x:c>
      <x:c r="H115" s="29" t="str">
        <x:v>YES</x:v>
      </x:c>
      <x:c r="I115" s="29" t="str">
        <x:v>primary-airport endpoints; great-circle screen</x:v>
      </x:c>
      <x:c r="J115" s="29" t="str">
        <x:v>presence does not prove operability or capacity</x:v>
      </x:c>
    </x:row>
    <x:row r="116" ht="75.5999984741211" hidden="0" customHeight="1">
      <x:c r="A116" s="27" t="str">
        <x:v>SCA-01</x:v>
      </x:c>
      <x:c r="B116" s="27" t="str">
        <x:v>SCA-29</x:v>
      </x:c>
      <x:c r="C116" s="27" t="str">
        <x:v>Water</x:v>
      </x:c>
      <x:c r="D116" s="27" t="str">
        <x:v>YES</x:v>
      </x:c>
      <x:c r="E116" s="27" t="str">
        <x:v>YES</x:v>
      </x:c>
      <x:c r="F116" s="61" t="n">
        <x:v>11444.378517771194</x:v>
      </x:c>
      <x:c r="G116" s="61" t="n">
        <x:v>356.98224336489125</x:v>
      </x:c>
      <x:c r="H116" s="27" t="str">
        <x:v>NO</x:v>
      </x:c>
      <x:c r="I116" s="27" t="str">
        <x:v>USACE waterway node topology; deployable terminal required</x:v>
      </x:c>
      <x:c r="J116" s="27" t="str">
        <x:v>presence does not prove operability or capacity</x:v>
      </x:c>
    </x:row>
    <x:row r="117" ht="54" hidden="0" customHeight="1">
      <x:c r="A117" s="29" t="str">
        <x:v>SCA-01</x:v>
      </x:c>
      <x:c r="B117" s="29" t="str">
        <x:v>SCA-30</x:v>
      </x:c>
      <x:c r="C117" s="29" t="str">
        <x:v>Road</x:v>
      </x:c>
      <x:c r="D117" s="29" t="str">
        <x:v>NO</x:v>
      </x:c>
      <x:c r="E117" s="29" t="str">
        <x:v>NO</x:v>
      </x:c>
      <x:c r="F117" s="62"/>
      <x:c r="G117" s="62"/>
      <x:c r="H117" s="29" t="str">
        <x:v>NO</x:v>
      </x:c>
      <x:c r="I117" s="29" t="str">
        <x:v>no screened path</x:v>
      </x:c>
      <x:c r="J117" s="29" t="str">
        <x:v>presence does not prove operability or capacity</x:v>
      </x:c>
    </x:row>
    <x:row r="118" ht="54" hidden="0" customHeight="1">
      <x:c r="A118" s="27" t="str">
        <x:v>SCA-01</x:v>
      </x:c>
      <x:c r="B118" s="27" t="str">
        <x:v>SCA-30</x:v>
      </x:c>
      <x:c r="C118" s="27" t="str">
        <x:v>Rail</x:v>
      </x:c>
      <x:c r="D118" s="27" t="str">
        <x:v>NO</x:v>
      </x:c>
      <x:c r="E118" s="27" t="str">
        <x:v>NO</x:v>
      </x:c>
      <x:c r="F118" s="61"/>
      <x:c r="G118" s="61"/>
      <x:c r="H118" s="27" t="str">
        <x:v>NO</x:v>
      </x:c>
      <x:c r="I118" s="27" t="str">
        <x:v>no screened path</x:v>
      </x:c>
      <x:c r="J118" s="27" t="str">
        <x:v>presence does not prove operability or capacity</x:v>
      </x:c>
    </x:row>
    <x:row r="119" ht="54" hidden="0" customHeight="1">
      <x:c r="A119" s="29" t="str">
        <x:v>SCA-01</x:v>
      </x:c>
      <x:c r="B119" s="29" t="str">
        <x:v>SCA-30</x:v>
      </x:c>
      <x:c r="C119" s="29" t="str">
        <x:v>Air</x:v>
      </x:c>
      <x:c r="D119" s="29" t="str">
        <x:v>YES</x:v>
      </x:c>
      <x:c r="E119" s="29" t="str">
        <x:v>YES</x:v>
      </x:c>
      <x:c r="F119" s="62" t="n">
        <x:v>7928.7604943503875</x:v>
      </x:c>
      <x:c r="G119" s="62" t="n">
        <x:v>36.198093068231366</x:v>
      </x:c>
      <x:c r="H119" s="29" t="str">
        <x:v>YES</x:v>
      </x:c>
      <x:c r="I119" s="29" t="str">
        <x:v>primary-airport endpoints; great-circle screen</x:v>
      </x:c>
      <x:c r="J119" s="29" t="str">
        <x:v>presence does not prove operability or capacity</x:v>
      </x:c>
    </x:row>
    <x:row r="120" ht="75.5999984741211" hidden="0" customHeight="1">
      <x:c r="A120" s="27" t="str">
        <x:v>SCA-01</x:v>
      </x:c>
      <x:c r="B120" s="27" t="str">
        <x:v>SCA-30</x:v>
      </x:c>
      <x:c r="C120" s="27" t="str">
        <x:v>Water</x:v>
      </x:c>
      <x:c r="D120" s="27" t="str">
        <x:v>YES</x:v>
      </x:c>
      <x:c r="E120" s="27" t="str">
        <x:v>YES</x:v>
      </x:c>
      <x:c r="F120" s="61" t="n">
        <x:v>12280.306806544882</x:v>
      </x:c>
      <x:c r="G120" s="61" t="n">
        <x:v>380.86590875842523</x:v>
      </x:c>
      <x:c r="H120" s="27" t="str">
        <x:v>NO</x:v>
      </x:c>
      <x:c r="I120" s="27" t="str">
        <x:v>USACE waterway node topology; deployable terminal required</x:v>
      </x:c>
      <x:c r="J120" s="27" t="str">
        <x:v>presence does not prove operability or capacity</x:v>
      </x:c>
    </x:row>
    <x:row r="121" ht="54" hidden="0" customHeight="1">
      <x:c r="A121" s="29" t="str">
        <x:v>SCA-01</x:v>
      </x:c>
      <x:c r="B121" s="29" t="str">
        <x:v>SCA-31</x:v>
      </x:c>
      <x:c r="C121" s="29" t="str">
        <x:v>Road</x:v>
      </x:c>
      <x:c r="D121" s="29" t="str">
        <x:v>NO</x:v>
      </x:c>
      <x:c r="E121" s="29" t="str">
        <x:v>NO</x:v>
      </x:c>
      <x:c r="F121" s="62"/>
      <x:c r="G121" s="62"/>
      <x:c r="H121" s="29" t="str">
        <x:v>NO</x:v>
      </x:c>
      <x:c r="I121" s="29" t="str">
        <x:v>no screened path</x:v>
      </x:c>
      <x:c r="J121" s="29" t="str">
        <x:v>presence does not prove operability or capacity</x:v>
      </x:c>
    </x:row>
    <x:row r="122" ht="54" hidden="0" customHeight="1">
      <x:c r="A122" s="27" t="str">
        <x:v>SCA-01</x:v>
      </x:c>
      <x:c r="B122" s="27" t="str">
        <x:v>SCA-31</x:v>
      </x:c>
      <x:c r="C122" s="27" t="str">
        <x:v>Rail</x:v>
      </x:c>
      <x:c r="D122" s="27" t="str">
        <x:v>NO</x:v>
      </x:c>
      <x:c r="E122" s="27" t="str">
        <x:v>NO</x:v>
      </x:c>
      <x:c r="F122" s="61"/>
      <x:c r="G122" s="61"/>
      <x:c r="H122" s="27" t="str">
        <x:v>NO</x:v>
      </x:c>
      <x:c r="I122" s="27" t="str">
        <x:v>no screened path</x:v>
      </x:c>
      <x:c r="J122" s="27" t="str">
        <x:v>presence does not prove operability or capacity</x:v>
      </x:c>
    </x:row>
    <x:row r="123" ht="54" hidden="0" customHeight="1">
      <x:c r="A123" s="29" t="str">
        <x:v>SCA-01</x:v>
      </x:c>
      <x:c r="B123" s="29" t="str">
        <x:v>SCA-31</x:v>
      </x:c>
      <x:c r="C123" s="29" t="str">
        <x:v>Air</x:v>
      </x:c>
      <x:c r="D123" s="29" t="str">
        <x:v>YES</x:v>
      </x:c>
      <x:c r="E123" s="29" t="str">
        <x:v>YES</x:v>
      </x:c>
      <x:c r="F123" s="62" t="n">
        <x:v>8122.918699332193</x:v>
      </x:c>
      <x:c r="G123" s="62" t="n">
        <x:v>36.4967979989726</x:v>
      </x:c>
      <x:c r="H123" s="29" t="str">
        <x:v>YES</x:v>
      </x:c>
      <x:c r="I123" s="29" t="str">
        <x:v>primary-airport endpoints; great-circle screen</x:v>
      </x:c>
      <x:c r="J123" s="29" t="str">
        <x:v>presence does not prove operability or capacity</x:v>
      </x:c>
    </x:row>
    <x:row r="124" ht="75.5999984741211" hidden="0" customHeight="1">
      <x:c r="A124" s="27" t="str">
        <x:v>SCA-01</x:v>
      </x:c>
      <x:c r="B124" s="27" t="str">
        <x:v>SCA-31</x:v>
      </x:c>
      <x:c r="C124" s="27" t="str">
        <x:v>Water</x:v>
      </x:c>
      <x:c r="D124" s="27" t="str">
        <x:v>YES</x:v>
      </x:c>
      <x:c r="E124" s="27" t="str">
        <x:v>YES</x:v>
      </x:c>
      <x:c r="F124" s="61" t="n">
        <x:v>12468.900059232685</x:v>
      </x:c>
      <x:c r="G124" s="61" t="n">
        <x:v>386.25428740664813</x:v>
      </x:c>
      <x:c r="H124" s="27" t="str">
        <x:v>NO</x:v>
      </x:c>
      <x:c r="I124" s="27" t="str">
        <x:v>USACE waterway node topology; deployable terminal required</x:v>
      </x:c>
      <x:c r="J124" s="27" t="str">
        <x:v>presence does not prove operability or capacity</x:v>
      </x:c>
    </x:row>
    <x:row r="125" ht="54" hidden="0" customHeight="1">
      <x:c r="A125" s="29" t="str">
        <x:v>SCA-01</x:v>
      </x:c>
      <x:c r="B125" s="29" t="str">
        <x:v>SCA-32</x:v>
      </x:c>
      <x:c r="C125" s="29" t="str">
        <x:v>Road</x:v>
      </x:c>
      <x:c r="D125" s="29" t="str">
        <x:v>NO</x:v>
      </x:c>
      <x:c r="E125" s="29" t="str">
        <x:v>NO</x:v>
      </x:c>
      <x:c r="F125" s="62"/>
      <x:c r="G125" s="62"/>
      <x:c r="H125" s="29" t="str">
        <x:v>NO</x:v>
      </x:c>
      <x:c r="I125" s="29" t="str">
        <x:v>no screened path</x:v>
      </x:c>
      <x:c r="J125" s="29" t="str">
        <x:v>presence does not prove operability or capacity</x:v>
      </x:c>
    </x:row>
    <x:row r="126" ht="54" hidden="0" customHeight="1">
      <x:c r="A126" s="27" t="str">
        <x:v>SCA-01</x:v>
      </x:c>
      <x:c r="B126" s="27" t="str">
        <x:v>SCA-32</x:v>
      </x:c>
      <x:c r="C126" s="27" t="str">
        <x:v>Rail</x:v>
      </x:c>
      <x:c r="D126" s="27" t="str">
        <x:v>NO</x:v>
      </x:c>
      <x:c r="E126" s="27" t="str">
        <x:v>NO</x:v>
      </x:c>
      <x:c r="F126" s="61"/>
      <x:c r="G126" s="61"/>
      <x:c r="H126" s="27" t="str">
        <x:v>NO</x:v>
      </x:c>
      <x:c r="I126" s="27" t="str">
        <x:v>no screened path</x:v>
      </x:c>
      <x:c r="J126" s="27" t="str">
        <x:v>presence does not prove operability or capacity</x:v>
      </x:c>
    </x:row>
    <x:row r="127" ht="54" hidden="0" customHeight="1">
      <x:c r="A127" s="29" t="str">
        <x:v>SCA-01</x:v>
      </x:c>
      <x:c r="B127" s="29" t="str">
        <x:v>SCA-32</x:v>
      </x:c>
      <x:c r="C127" s="29" t="str">
        <x:v>Air</x:v>
      </x:c>
      <x:c r="D127" s="29" t="str">
        <x:v>YES</x:v>
      </x:c>
      <x:c r="E127" s="29" t="str">
        <x:v>YES</x:v>
      </x:c>
      <x:c r="F127" s="62" t="n">
        <x:v>9417.606330862287</x:v>
      </x:c>
      <x:c r="G127" s="62" t="n">
        <x:v>38.48862512440352</x:v>
      </x:c>
      <x:c r="H127" s="29" t="str">
        <x:v>YES</x:v>
      </x:c>
      <x:c r="I127" s="29" t="str">
        <x:v>primary-airport endpoints; great-circle screen</x:v>
      </x:c>
      <x:c r="J127" s="29" t="str">
        <x:v>presence does not prove operability or capacity</x:v>
      </x:c>
    </x:row>
    <x:row r="128" ht="75.5999984741211" hidden="0" customHeight="1">
      <x:c r="A128" s="27" t="str">
        <x:v>SCA-01</x:v>
      </x:c>
      <x:c r="B128" s="27" t="str">
        <x:v>SCA-32</x:v>
      </x:c>
      <x:c r="C128" s="27" t="str">
        <x:v>Water</x:v>
      </x:c>
      <x:c r="D128" s="27" t="str">
        <x:v>YES</x:v>
      </x:c>
      <x:c r="E128" s="27" t="str">
        <x:v>YES</x:v>
      </x:c>
      <x:c r="F128" s="61" t="n">
        <x:v>12054.536103503728</x:v>
      </x:c>
      <x:c r="G128" s="61" t="n">
        <x:v>374.4153172429636</x:v>
      </x:c>
      <x:c r="H128" s="27" t="str">
        <x:v>NO</x:v>
      </x:c>
      <x:c r="I128" s="27" t="str">
        <x:v>USACE waterway node topology; deployable terminal required</x:v>
      </x:c>
      <x:c r="J128" s="27" t="str">
        <x:v>presence does not prove operability or capacity</x:v>
      </x:c>
    </x:row>
    <x:row r="129" ht="54" hidden="0" customHeight="1">
      <x:c r="A129" s="29" t="str">
        <x:v>SCA-02</x:v>
      </x:c>
      <x:c r="B129" s="29" t="str">
        <x:v>SCA-01</x:v>
      </x:c>
      <x:c r="C129" s="29" t="str">
        <x:v>Road</x:v>
      </x:c>
      <x:c r="D129" s="29" t="str">
        <x:v>NO</x:v>
      </x:c>
      <x:c r="E129" s="29" t="str">
        <x:v>NO</x:v>
      </x:c>
      <x:c r="F129" s="62"/>
      <x:c r="G129" s="62"/>
      <x:c r="H129" s="29" t="str">
        <x:v>NO</x:v>
      </x:c>
      <x:c r="I129" s="29" t="str">
        <x:v>no screened path</x:v>
      </x:c>
      <x:c r="J129" s="29" t="str">
        <x:v>presence does not prove operability or capacity</x:v>
      </x:c>
    </x:row>
    <x:row r="130" ht="54" hidden="0" customHeight="1">
      <x:c r="A130" s="27" t="str">
        <x:v>SCA-02</x:v>
      </x:c>
      <x:c r="B130" s="27" t="str">
        <x:v>SCA-01</x:v>
      </x:c>
      <x:c r="C130" s="27" t="str">
        <x:v>Rail</x:v>
      </x:c>
      <x:c r="D130" s="27" t="str">
        <x:v>NO</x:v>
      </x:c>
      <x:c r="E130" s="27" t="str">
        <x:v>NO</x:v>
      </x:c>
      <x:c r="F130" s="61"/>
      <x:c r="G130" s="61"/>
      <x:c r="H130" s="27" t="str">
        <x:v>NO</x:v>
      </x:c>
      <x:c r="I130" s="27" t="str">
        <x:v>no screened path</x:v>
      </x:c>
      <x:c r="J130" s="27" t="str">
        <x:v>presence does not prove operability or capacity</x:v>
      </x:c>
    </x:row>
    <x:row r="131" ht="54" hidden="0" customHeight="1">
      <x:c r="A131" s="29" t="str">
        <x:v>SCA-02</x:v>
      </x:c>
      <x:c r="B131" s="29" t="str">
        <x:v>SCA-01</x:v>
      </x:c>
      <x:c r="C131" s="29" t="str">
        <x:v>Air</x:v>
      </x:c>
      <x:c r="D131" s="29" t="str">
        <x:v>YES</x:v>
      </x:c>
      <x:c r="E131" s="29" t="str">
        <x:v>YES</x:v>
      </x:c>
      <x:c r="F131" s="62" t="n">
        <x:v>4570.675633807084</x:v>
      </x:c>
      <x:c r="G131" s="62" t="n">
        <x:v>31.031808667395513</x:v>
      </x:c>
      <x:c r="H131" s="29" t="str">
        <x:v>YES</x:v>
      </x:c>
      <x:c r="I131" s="29" t="str">
        <x:v>primary-airport endpoints; great-circle screen</x:v>
      </x:c>
      <x:c r="J131" s="29" t="str">
        <x:v>presence does not prove operability or capacity</x:v>
      </x:c>
    </x:row>
    <x:row r="132" ht="75.5999984741211" hidden="0" customHeight="1">
      <x:c r="A132" s="27" t="str">
        <x:v>SCA-02</x:v>
      </x:c>
      <x:c r="B132" s="27" t="str">
        <x:v>SCA-01</x:v>
      </x:c>
      <x:c r="C132" s="27" t="str">
        <x:v>Water</x:v>
      </x:c>
      <x:c r="D132" s="27" t="str">
        <x:v>YES</x:v>
      </x:c>
      <x:c r="E132" s="27" t="str">
        <x:v>YES</x:v>
      </x:c>
      <x:c r="F132" s="61" t="n">
        <x:v>5850.464811273067</x:v>
      </x:c>
      <x:c r="G132" s="61" t="n">
        <x:v>197.15613746494478</x:v>
      </x:c>
      <x:c r="H132" s="27" t="str">
        <x:v>NO</x:v>
      </x:c>
      <x:c r="I132" s="27" t="str">
        <x:v>USACE waterway node topology; deployable terminal required</x:v>
      </x:c>
      <x:c r="J132" s="27" t="str">
        <x:v>presence does not prove operability or capacity</x:v>
      </x:c>
    </x:row>
    <x:row r="133" ht="54" hidden="0" customHeight="1">
      <x:c r="A133" s="29" t="str">
        <x:v>SCA-02</x:v>
      </x:c>
      <x:c r="B133" s="29" t="str">
        <x:v>SCA-03</x:v>
      </x:c>
      <x:c r="C133" s="29" t="str">
        <x:v>Road</x:v>
      </x:c>
      <x:c r="D133" s="29" t="str">
        <x:v>NO</x:v>
      </x:c>
      <x:c r="E133" s="29" t="str">
        <x:v>NO</x:v>
      </x:c>
      <x:c r="F133" s="62"/>
      <x:c r="G133" s="62"/>
      <x:c r="H133" s="29" t="str">
        <x:v>NO</x:v>
      </x:c>
      <x:c r="I133" s="29" t="str">
        <x:v>no screened path</x:v>
      </x:c>
      <x:c r="J133" s="29" t="str">
        <x:v>presence does not prove operability or capacity</x:v>
      </x:c>
    </x:row>
    <x:row r="134" ht="54" hidden="0" customHeight="1">
      <x:c r="A134" s="27" t="str">
        <x:v>SCA-02</x:v>
      </x:c>
      <x:c r="B134" s="27" t="str">
        <x:v>SCA-03</x:v>
      </x:c>
      <x:c r="C134" s="27" t="str">
        <x:v>Rail</x:v>
      </x:c>
      <x:c r="D134" s="27" t="str">
        <x:v>NO</x:v>
      </x:c>
      <x:c r="E134" s="27" t="str">
        <x:v>NO</x:v>
      </x:c>
      <x:c r="F134" s="61"/>
      <x:c r="G134" s="61"/>
      <x:c r="H134" s="27" t="str">
        <x:v>NO</x:v>
      </x:c>
      <x:c r="I134" s="27" t="str">
        <x:v>no screened path</x:v>
      </x:c>
      <x:c r="J134" s="27" t="str">
        <x:v>presence does not prove operability or capacity</x:v>
      </x:c>
    </x:row>
    <x:row r="135" ht="54" hidden="0" customHeight="1">
      <x:c r="A135" s="29" t="str">
        <x:v>SCA-02</x:v>
      </x:c>
      <x:c r="B135" s="29" t="str">
        <x:v>SCA-03</x:v>
      </x:c>
      <x:c r="C135" s="29" t="str">
        <x:v>Air</x:v>
      </x:c>
      <x:c r="D135" s="29" t="str">
        <x:v>YES</x:v>
      </x:c>
      <x:c r="E135" s="29" t="str">
        <x:v>YES</x:v>
      </x:c>
      <x:c r="F135" s="62" t="n">
        <x:v>2278.593799408716</x:v>
      </x:c>
      <x:c r="G135" s="62" t="n">
        <x:v>27.505528922167255</x:v>
      </x:c>
      <x:c r="H135" s="29" t="str">
        <x:v>YES</x:v>
      </x:c>
      <x:c r="I135" s="29" t="str">
        <x:v>primary-airport endpoints; great-circle screen</x:v>
      </x:c>
      <x:c r="J135" s="29" t="str">
        <x:v>presence does not prove operability or capacity</x:v>
      </x:c>
    </x:row>
    <x:row r="136" ht="75.5999984741211" hidden="0" customHeight="1">
      <x:c r="A136" s="27" t="str">
        <x:v>SCA-02</x:v>
      </x:c>
      <x:c r="B136" s="27" t="str">
        <x:v>SCA-03</x:v>
      </x:c>
      <x:c r="C136" s="27" t="str">
        <x:v>Water</x:v>
      </x:c>
      <x:c r="D136" s="27" t="str">
        <x:v>YES</x:v>
      </x:c>
      <x:c r="E136" s="27" t="str">
        <x:v>YES</x:v>
      </x:c>
      <x:c r="F136" s="61" t="n">
        <x:v>2916.600063243157</x:v>
      </x:c>
      <x:c r="G136" s="61" t="n">
        <x:v>113.33143037837591</x:v>
      </x:c>
      <x:c r="H136" s="27" t="str">
        <x:v>NO</x:v>
      </x:c>
      <x:c r="I136" s="27" t="str">
        <x:v>USACE waterway node topology; deployable terminal required</x:v>
      </x:c>
      <x:c r="J136" s="27" t="str">
        <x:v>presence does not prove operability or capacity</x:v>
      </x:c>
    </x:row>
    <x:row r="137" ht="54" hidden="0" customHeight="1">
      <x:c r="A137" s="29" t="str">
        <x:v>SCA-02</x:v>
      </x:c>
      <x:c r="B137" s="29" t="str">
        <x:v>SCA-04</x:v>
      </x:c>
      <x:c r="C137" s="29" t="str">
        <x:v>Road</x:v>
      </x:c>
      <x:c r="D137" s="29" t="str">
        <x:v>NO</x:v>
      </x:c>
      <x:c r="E137" s="29" t="str">
        <x:v>NO</x:v>
      </x:c>
      <x:c r="F137" s="62"/>
      <x:c r="G137" s="62"/>
      <x:c r="H137" s="29" t="str">
        <x:v>NO</x:v>
      </x:c>
      <x:c r="I137" s="29" t="str">
        <x:v>no screened path</x:v>
      </x:c>
      <x:c r="J137" s="29" t="str">
        <x:v>presence does not prove operability or capacity</x:v>
      </x:c>
    </x:row>
    <x:row r="138" ht="54" hidden="0" customHeight="1">
      <x:c r="A138" s="27" t="str">
        <x:v>SCA-02</x:v>
      </x:c>
      <x:c r="B138" s="27" t="str">
        <x:v>SCA-04</x:v>
      </x:c>
      <x:c r="C138" s="27" t="str">
        <x:v>Rail</x:v>
      </x:c>
      <x:c r="D138" s="27" t="str">
        <x:v>NO</x:v>
      </x:c>
      <x:c r="E138" s="27" t="str">
        <x:v>NO</x:v>
      </x:c>
      <x:c r="F138" s="61"/>
      <x:c r="G138" s="61"/>
      <x:c r="H138" s="27" t="str">
        <x:v>NO</x:v>
      </x:c>
      <x:c r="I138" s="27" t="str">
        <x:v>no screened path</x:v>
      </x:c>
      <x:c r="J138" s="27" t="str">
        <x:v>presence does not prove operability or capacity</x:v>
      </x:c>
    </x:row>
    <x:row r="139" ht="54" hidden="0" customHeight="1">
      <x:c r="A139" s="29" t="str">
        <x:v>SCA-02</x:v>
      </x:c>
      <x:c r="B139" s="29" t="str">
        <x:v>SCA-04</x:v>
      </x:c>
      <x:c r="C139" s="29" t="str">
        <x:v>Air</x:v>
      </x:c>
      <x:c r="D139" s="29" t="str">
        <x:v>YES</x:v>
      </x:c>
      <x:c r="E139" s="29" t="str">
        <x:v>YES</x:v>
      </x:c>
      <x:c r="F139" s="62" t="n">
        <x:v>3107.376158815037</x:v>
      </x:c>
      <x:c r="G139" s="62" t="n">
        <x:v>28.78057870586929</x:v>
      </x:c>
      <x:c r="H139" s="29" t="str">
        <x:v>YES</x:v>
      </x:c>
      <x:c r="I139" s="29" t="str">
        <x:v>primary-airport endpoints; great-circle screen</x:v>
      </x:c>
      <x:c r="J139" s="29" t="str">
        <x:v>presence does not prove operability or capacity</x:v>
      </x:c>
    </x:row>
    <x:row r="140" ht="75.5999984741211" hidden="0" customHeight="1">
      <x:c r="A140" s="27" t="str">
        <x:v>SCA-02</x:v>
      </x:c>
      <x:c r="B140" s="27" t="str">
        <x:v>SCA-04</x:v>
      </x:c>
      <x:c r="C140" s="27" t="str">
        <x:v>Water</x:v>
      </x:c>
      <x:c r="D140" s="27" t="str">
        <x:v>YES</x:v>
      </x:c>
      <x:c r="E140" s="27" t="str">
        <x:v>YES</x:v>
      </x:c>
      <x:c r="F140" s="61" t="n">
        <x:v>3977.441483283247</x:v>
      </x:c>
      <x:c r="G140" s="61" t="n">
        <x:v>143.6411852366642</x:v>
      </x:c>
      <x:c r="H140" s="27" t="str">
        <x:v>NO</x:v>
      </x:c>
      <x:c r="I140" s="27" t="str">
        <x:v>USACE waterway node topology; deployable terminal required</x:v>
      </x:c>
      <x:c r="J140" s="27" t="str">
        <x:v>presence does not prove operability or capacity</x:v>
      </x:c>
    </x:row>
    <x:row r="141" ht="54" hidden="0" customHeight="1">
      <x:c r="A141" s="29" t="str">
        <x:v>SCA-02</x:v>
      </x:c>
      <x:c r="B141" s="29" t="str">
        <x:v>SCA-05</x:v>
      </x:c>
      <x:c r="C141" s="29" t="str">
        <x:v>Road</x:v>
      </x:c>
      <x:c r="D141" s="29" t="str">
        <x:v>NO</x:v>
      </x:c>
      <x:c r="E141" s="29" t="str">
        <x:v>NO</x:v>
      </x:c>
      <x:c r="F141" s="62"/>
      <x:c r="G141" s="62"/>
      <x:c r="H141" s="29" t="str">
        <x:v>NO</x:v>
      </x:c>
      <x:c r="I141" s="29" t="str">
        <x:v>no screened path</x:v>
      </x:c>
      <x:c r="J141" s="29" t="str">
        <x:v>presence does not prove operability or capacity</x:v>
      </x:c>
    </x:row>
    <x:row r="142" ht="54" hidden="0" customHeight="1">
      <x:c r="A142" s="27" t="str">
        <x:v>SCA-02</x:v>
      </x:c>
      <x:c r="B142" s="27" t="str">
        <x:v>SCA-05</x:v>
      </x:c>
      <x:c r="C142" s="27" t="str">
        <x:v>Rail</x:v>
      </x:c>
      <x:c r="D142" s="27" t="str">
        <x:v>NO</x:v>
      </x:c>
      <x:c r="E142" s="27" t="str">
        <x:v>NO</x:v>
      </x:c>
      <x:c r="F142" s="61"/>
      <x:c r="G142" s="61"/>
      <x:c r="H142" s="27" t="str">
        <x:v>NO</x:v>
      </x:c>
      <x:c r="I142" s="27" t="str">
        <x:v>no screened path</x:v>
      </x:c>
      <x:c r="J142" s="27" t="str">
        <x:v>presence does not prove operability or capacity</x:v>
      </x:c>
    </x:row>
    <x:row r="143" ht="54" hidden="0" customHeight="1">
      <x:c r="A143" s="29" t="str">
        <x:v>SCA-02</x:v>
      </x:c>
      <x:c r="B143" s="29" t="str">
        <x:v>SCA-05</x:v>
      </x:c>
      <x:c r="C143" s="29" t="str">
        <x:v>Air</x:v>
      </x:c>
      <x:c r="D143" s="29" t="str">
        <x:v>YES</x:v>
      </x:c>
      <x:c r="E143" s="29" t="str">
        <x:v>YES</x:v>
      </x:c>
      <x:c r="F143" s="62" t="n">
        <x:v>3613.3846358317523</x:v>
      </x:c>
      <x:c r="G143" s="62" t="n">
        <x:v>29.559053285895004</x:v>
      </x:c>
      <x:c r="H143" s="29" t="str">
        <x:v>YES</x:v>
      </x:c>
      <x:c r="I143" s="29" t="str">
        <x:v>primary-airport endpoints; great-circle screen</x:v>
      </x:c>
      <x:c r="J143" s="29" t="str">
        <x:v>presence does not prove operability or capacity</x:v>
      </x:c>
    </x:row>
    <x:row r="144" ht="75.5999984741211" hidden="0" customHeight="1">
      <x:c r="A144" s="27" t="str">
        <x:v>SCA-02</x:v>
      </x:c>
      <x:c r="B144" s="27" t="str">
        <x:v>SCA-05</x:v>
      </x:c>
      <x:c r="C144" s="27" t="str">
        <x:v>Water</x:v>
      </x:c>
      <x:c r="D144" s="27" t="str">
        <x:v>YES</x:v>
      </x:c>
      <x:c r="E144" s="27" t="str">
        <x:v>YES</x:v>
      </x:c>
      <x:c r="F144" s="61" t="n">
        <x:v>4633.394902760305</x:v>
      </x:c>
      <x:c r="G144" s="61" t="n">
        <x:v>162.38271150743728</x:v>
      </x:c>
      <x:c r="H144" s="27" t="str">
        <x:v>NO</x:v>
      </x:c>
      <x:c r="I144" s="27" t="str">
        <x:v>USACE waterway node topology; deployable terminal required</x:v>
      </x:c>
      <x:c r="J144" s="27" t="str">
        <x:v>presence does not prove operability or capacity</x:v>
      </x:c>
    </x:row>
    <x:row r="145" ht="54" hidden="0" customHeight="1">
      <x:c r="A145" s="29" t="str">
        <x:v>SCA-02</x:v>
      </x:c>
      <x:c r="B145" s="29" t="str">
        <x:v>SCA-06</x:v>
      </x:c>
      <x:c r="C145" s="29" t="str">
        <x:v>Road</x:v>
      </x:c>
      <x:c r="D145" s="29" t="str">
        <x:v>NO</x:v>
      </x:c>
      <x:c r="E145" s="29" t="str">
        <x:v>NO</x:v>
      </x:c>
      <x:c r="F145" s="62"/>
      <x:c r="G145" s="62"/>
      <x:c r="H145" s="29" t="str">
        <x:v>NO</x:v>
      </x:c>
      <x:c r="I145" s="29" t="str">
        <x:v>no screened path</x:v>
      </x:c>
      <x:c r="J145" s="29" t="str">
        <x:v>presence does not prove operability or capacity</x:v>
      </x:c>
    </x:row>
    <x:row r="146" ht="54" hidden="0" customHeight="1">
      <x:c r="A146" s="27" t="str">
        <x:v>SCA-02</x:v>
      </x:c>
      <x:c r="B146" s="27" t="str">
        <x:v>SCA-06</x:v>
      </x:c>
      <x:c r="C146" s="27" t="str">
        <x:v>Rail</x:v>
      </x:c>
      <x:c r="D146" s="27" t="str">
        <x:v>NO</x:v>
      </x:c>
      <x:c r="E146" s="27" t="str">
        <x:v>NO</x:v>
      </x:c>
      <x:c r="F146" s="61"/>
      <x:c r="G146" s="61"/>
      <x:c r="H146" s="27" t="str">
        <x:v>NO</x:v>
      </x:c>
      <x:c r="I146" s="27" t="str">
        <x:v>no screened path</x:v>
      </x:c>
      <x:c r="J146" s="27" t="str">
        <x:v>presence does not prove operability or capacity</x:v>
      </x:c>
    </x:row>
    <x:row r="147" ht="54" hidden="0" customHeight="1">
      <x:c r="A147" s="29" t="str">
        <x:v>SCA-02</x:v>
      </x:c>
      <x:c r="B147" s="29" t="str">
        <x:v>SCA-06</x:v>
      </x:c>
      <x:c r="C147" s="29" t="str">
        <x:v>Air</x:v>
      </x:c>
      <x:c r="D147" s="29" t="str">
        <x:v>YES</x:v>
      </x:c>
      <x:c r="E147" s="29" t="str">
        <x:v>YES</x:v>
      </x:c>
      <x:c r="F147" s="62" t="n">
        <x:v>3785.714985140878</x:v>
      </x:c>
      <x:c r="G147" s="62" t="n">
        <x:v>29.824176900216735</x:v>
      </x:c>
      <x:c r="H147" s="29" t="str">
        <x:v>YES</x:v>
      </x:c>
      <x:c r="I147" s="29" t="str">
        <x:v>primary-airport endpoints; great-circle screen</x:v>
      </x:c>
      <x:c r="J147" s="29" t="str">
        <x:v>presence does not prove operability or capacity</x:v>
      </x:c>
    </x:row>
    <x:row r="148" ht="75.5999984741211" hidden="0" customHeight="1">
      <x:c r="A148" s="27" t="str">
        <x:v>SCA-02</x:v>
      </x:c>
      <x:c r="B148" s="27" t="str">
        <x:v>SCA-06</x:v>
      </x:c>
      <x:c r="C148" s="27" t="str">
        <x:v>Water</x:v>
      </x:c>
      <x:c r="D148" s="27" t="str">
        <x:v>YES</x:v>
      </x:c>
      <x:c r="E148" s="27" t="str">
        <x:v>YES</x:v>
      </x:c>
      <x:c r="F148" s="61" t="n">
        <x:v>4901.368325819921</x:v>
      </x:c>
      <x:c r="G148" s="61" t="n">
        <x:v>170.0390950234263</x:v>
      </x:c>
      <x:c r="H148" s="27" t="str">
        <x:v>NO</x:v>
      </x:c>
      <x:c r="I148" s="27" t="str">
        <x:v>USACE waterway node topology; deployable terminal required</x:v>
      </x:c>
      <x:c r="J148" s="27" t="str">
        <x:v>presence does not prove operability or capacity</x:v>
      </x:c>
    </x:row>
    <x:row r="149" ht="54" hidden="0" customHeight="1">
      <x:c r="A149" s="29" t="str">
        <x:v>SCA-02</x:v>
      </x:c>
      <x:c r="B149" s="29" t="str">
        <x:v>SCA-07</x:v>
      </x:c>
      <x:c r="C149" s="29" t="str">
        <x:v>Road</x:v>
      </x:c>
      <x:c r="D149" s="29" t="str">
        <x:v>NO</x:v>
      </x:c>
      <x:c r="E149" s="29" t="str">
        <x:v>NO</x:v>
      </x:c>
      <x:c r="F149" s="62"/>
      <x:c r="G149" s="62"/>
      <x:c r="H149" s="29" t="str">
        <x:v>NO</x:v>
      </x:c>
      <x:c r="I149" s="29" t="str">
        <x:v>no screened path</x:v>
      </x:c>
      <x:c r="J149" s="29" t="str">
        <x:v>presence does not prove operability or capacity</x:v>
      </x:c>
    </x:row>
    <x:row r="150" ht="54" hidden="0" customHeight="1">
      <x:c r="A150" s="27" t="str">
        <x:v>SCA-02</x:v>
      </x:c>
      <x:c r="B150" s="27" t="str">
        <x:v>SCA-07</x:v>
      </x:c>
      <x:c r="C150" s="27" t="str">
        <x:v>Rail</x:v>
      </x:c>
      <x:c r="D150" s="27" t="str">
        <x:v>NO</x:v>
      </x:c>
      <x:c r="E150" s="27" t="str">
        <x:v>NO</x:v>
      </x:c>
      <x:c r="F150" s="61"/>
      <x:c r="G150" s="61"/>
      <x:c r="H150" s="27" t="str">
        <x:v>NO</x:v>
      </x:c>
      <x:c r="I150" s="27" t="str">
        <x:v>no screened path</x:v>
      </x:c>
      <x:c r="J150" s="27" t="str">
        <x:v>presence does not prove operability or capacity</x:v>
      </x:c>
    </x:row>
    <x:row r="151" ht="54" hidden="0" customHeight="1">
      <x:c r="A151" s="29" t="str">
        <x:v>SCA-02</x:v>
      </x:c>
      <x:c r="B151" s="29" t="str">
        <x:v>SCA-07</x:v>
      </x:c>
      <x:c r="C151" s="29" t="str">
        <x:v>Air</x:v>
      </x:c>
      <x:c r="D151" s="29" t="str">
        <x:v>YES</x:v>
      </x:c>
      <x:c r="E151" s="29" t="str">
        <x:v>YES</x:v>
      </x:c>
      <x:c r="F151" s="62" t="n">
        <x:v>3589.3963351239922</x:v>
      </x:c>
      <x:c r="G151" s="62" t="n">
        <x:v>29.522148207883063</x:v>
      </x:c>
      <x:c r="H151" s="29" t="str">
        <x:v>YES</x:v>
      </x:c>
      <x:c r="I151" s="29" t="str">
        <x:v>primary-airport endpoints; great-circle screen</x:v>
      </x:c>
      <x:c r="J151" s="29" t="str">
        <x:v>presence does not prove operability or capacity</x:v>
      </x:c>
    </x:row>
    <x:row r="152" ht="64.80000305175781" hidden="0" customHeight="1">
      <x:c r="A152" s="27" t="str">
        <x:v>SCA-02</x:v>
      </x:c>
      <x:c r="B152" s="27" t="str">
        <x:v>SCA-07</x:v>
      </x:c>
      <x:c r="C152" s="27" t="str">
        <x:v>Water</x:v>
      </x:c>
      <x:c r="D152" s="27" t="str">
        <x:v>YES</x:v>
      </x:c>
      <x:c r="E152" s="27" t="str">
        <x:v>YES</x:v>
      </x:c>
      <x:c r="F152" s="61" t="n">
        <x:v>4486.74541890499</x:v>
      </x:c>
      <x:c r="G152" s="61" t="n">
        <x:v>158.1927262544283</x:v>
      </x:c>
      <x:c r="H152" s="27" t="str">
        <x:v>NO</x:v>
      </x:c>
      <x:c r="I152" s="27" t="str">
        <x:v>observed water terminals; maritime great-circle screen</x:v>
      </x:c>
      <x:c r="J152" s="27" t="str">
        <x:v>presence does not prove operability or capacity</x:v>
      </x:c>
    </x:row>
    <x:row r="153" ht="54" hidden="0" customHeight="1">
      <x:c r="A153" s="29" t="str">
        <x:v>SCA-02</x:v>
      </x:c>
      <x:c r="B153" s="29" t="str">
        <x:v>SCA-08</x:v>
      </x:c>
      <x:c r="C153" s="29" t="str">
        <x:v>Road</x:v>
      </x:c>
      <x:c r="D153" s="29" t="str">
        <x:v>NO</x:v>
      </x:c>
      <x:c r="E153" s="29" t="str">
        <x:v>NO</x:v>
      </x:c>
      <x:c r="F153" s="62"/>
      <x:c r="G153" s="62"/>
      <x:c r="H153" s="29" t="str">
        <x:v>NO</x:v>
      </x:c>
      <x:c r="I153" s="29" t="str">
        <x:v>no screened path</x:v>
      </x:c>
      <x:c r="J153" s="29" t="str">
        <x:v>presence does not prove operability or capacity</x:v>
      </x:c>
    </x:row>
    <x:row r="154" ht="54" hidden="0" customHeight="1">
      <x:c r="A154" s="27" t="str">
        <x:v>SCA-02</x:v>
      </x:c>
      <x:c r="B154" s="27" t="str">
        <x:v>SCA-08</x:v>
      </x:c>
      <x:c r="C154" s="27" t="str">
        <x:v>Rail</x:v>
      </x:c>
      <x:c r="D154" s="27" t="str">
        <x:v>NO</x:v>
      </x:c>
      <x:c r="E154" s="27" t="str">
        <x:v>NO</x:v>
      </x:c>
      <x:c r="F154" s="61"/>
      <x:c r="G154" s="61"/>
      <x:c r="H154" s="27" t="str">
        <x:v>NO</x:v>
      </x:c>
      <x:c r="I154" s="27" t="str">
        <x:v>no screened path</x:v>
      </x:c>
      <x:c r="J154" s="27" t="str">
        <x:v>presence does not prove operability or capacity</x:v>
      </x:c>
    </x:row>
    <x:row r="155" ht="54" hidden="0" customHeight="1">
      <x:c r="A155" s="29" t="str">
        <x:v>SCA-02</x:v>
      </x:c>
      <x:c r="B155" s="29" t="str">
        <x:v>SCA-08</x:v>
      </x:c>
      <x:c r="C155" s="29" t="str">
        <x:v>Air</x:v>
      </x:c>
      <x:c r="D155" s="29" t="str">
        <x:v>YES</x:v>
      </x:c>
      <x:c r="E155" s="29" t="str">
        <x:v>YES</x:v>
      </x:c>
      <x:c r="F155" s="62" t="n">
        <x:v>2752.077415677977</x:v>
      </x:c>
      <x:c r="G155" s="62" t="n">
        <x:v>28.233965254889196</x:v>
      </x:c>
      <x:c r="H155" s="29" t="str">
        <x:v>YES</x:v>
      </x:c>
      <x:c r="I155" s="29" t="str">
        <x:v>primary-airport endpoints; great-circle screen</x:v>
      </x:c>
      <x:c r="J155" s="29" t="str">
        <x:v>presence does not prove operability or capacity</x:v>
      </x:c>
    </x:row>
    <x:row r="156" ht="75.5999984741211" hidden="0" customHeight="1">
      <x:c r="A156" s="27" t="str">
        <x:v>SCA-02</x:v>
      </x:c>
      <x:c r="B156" s="27" t="str">
        <x:v>SCA-08</x:v>
      </x:c>
      <x:c r="C156" s="27" t="str">
        <x:v>Water</x:v>
      </x:c>
      <x:c r="D156" s="27" t="str">
        <x:v>YES</x:v>
      </x:c>
      <x:c r="E156" s="27" t="str">
        <x:v>YES</x:v>
      </x:c>
      <x:c r="F156" s="61" t="n">
        <x:v>3634.12896767169</x:v>
      </x:c>
      <x:c r="G156" s="61" t="n">
        <x:v>133.83225621919115</x:v>
      </x:c>
      <x:c r="H156" s="27" t="str">
        <x:v>NO</x:v>
      </x:c>
      <x:c r="I156" s="27" t="str">
        <x:v>USACE waterway node topology; deployable terminal required</x:v>
      </x:c>
      <x:c r="J156" s="27" t="str">
        <x:v>presence does not prove operability or capacity</x:v>
      </x:c>
    </x:row>
    <x:row r="157" ht="54" hidden="0" customHeight="1">
      <x:c r="A157" s="29" t="str">
        <x:v>SCA-02</x:v>
      </x:c>
      <x:c r="B157" s="29" t="str">
        <x:v>SCA-09</x:v>
      </x:c>
      <x:c r="C157" s="29" t="str">
        <x:v>Road</x:v>
      </x:c>
      <x:c r="D157" s="29" t="str">
        <x:v>NO</x:v>
      </x:c>
      <x:c r="E157" s="29" t="str">
        <x:v>NO</x:v>
      </x:c>
      <x:c r="F157" s="62"/>
      <x:c r="G157" s="62"/>
      <x:c r="H157" s="29" t="str">
        <x:v>NO</x:v>
      </x:c>
      <x:c r="I157" s="29" t="str">
        <x:v>no screened path</x:v>
      </x:c>
      <x:c r="J157" s="29" t="str">
        <x:v>presence does not prove operability or capacity</x:v>
      </x:c>
    </x:row>
    <x:row r="158" ht="54" hidden="0" customHeight="1">
      <x:c r="A158" s="27" t="str">
        <x:v>SCA-02</x:v>
      </x:c>
      <x:c r="B158" s="27" t="str">
        <x:v>SCA-09</x:v>
      </x:c>
      <x:c r="C158" s="27" t="str">
        <x:v>Rail</x:v>
      </x:c>
      <x:c r="D158" s="27" t="str">
        <x:v>NO</x:v>
      </x:c>
      <x:c r="E158" s="27" t="str">
        <x:v>NO</x:v>
      </x:c>
      <x:c r="F158" s="61"/>
      <x:c r="G158" s="61"/>
      <x:c r="H158" s="27" t="str">
        <x:v>NO</x:v>
      </x:c>
      <x:c r="I158" s="27" t="str">
        <x:v>no screened path</x:v>
      </x:c>
      <x:c r="J158" s="27" t="str">
        <x:v>presence does not prove operability or capacity</x:v>
      </x:c>
    </x:row>
    <x:row r="159" ht="54" hidden="0" customHeight="1">
      <x:c r="A159" s="29" t="str">
        <x:v>SCA-02</x:v>
      </x:c>
      <x:c r="B159" s="29" t="str">
        <x:v>SCA-09</x:v>
      </x:c>
      <x:c r="C159" s="29" t="str">
        <x:v>Air</x:v>
      </x:c>
      <x:c r="D159" s="29" t="str">
        <x:v>YES</x:v>
      </x:c>
      <x:c r="E159" s="29" t="str">
        <x:v>YES</x:v>
      </x:c>
      <x:c r="F159" s="62" t="n">
        <x:v>3968.5360348648437</x:v>
      </x:c>
      <x:c r="G159" s="62" t="n">
        <x:v>30.10544005363822</x:v>
      </x:c>
      <x:c r="H159" s="29" t="str">
        <x:v>YES</x:v>
      </x:c>
      <x:c r="I159" s="29" t="str">
        <x:v>primary-airport endpoints; great-circle screen</x:v>
      </x:c>
      <x:c r="J159" s="29" t="str">
        <x:v>presence does not prove operability or capacity</x:v>
      </x:c>
    </x:row>
    <x:row r="160" ht="54" hidden="0" customHeight="1">
      <x:c r="A160" s="27" t="str">
        <x:v>SCA-02</x:v>
      </x:c>
      <x:c r="B160" s="27" t="str">
        <x:v>SCA-09</x:v>
      </x:c>
      <x:c r="C160" s="27" t="str">
        <x:v>Water</x:v>
      </x:c>
      <x:c r="D160" s="27" t="str">
        <x:v>NO</x:v>
      </x:c>
      <x:c r="E160" s="27" t="str">
        <x:v>NO</x:v>
      </x:c>
      <x:c r="F160" s="61"/>
      <x:c r="G160" s="61"/>
      <x:c r="H160" s="27" t="str">
        <x:v>NO</x:v>
      </x:c>
      <x:c r="I160" s="27" t="str">
        <x:v>no screened path</x:v>
      </x:c>
      <x:c r="J160" s="27" t="str">
        <x:v>presence does not prove operability or capacity</x:v>
      </x:c>
    </x:row>
    <x:row r="161" ht="54" hidden="0" customHeight="1">
      <x:c r="A161" s="29" t="str">
        <x:v>SCA-02</x:v>
      </x:c>
      <x:c r="B161" s="29" t="str">
        <x:v>SCA-10</x:v>
      </x:c>
      <x:c r="C161" s="29" t="str">
        <x:v>Road</x:v>
      </x:c>
      <x:c r="D161" s="29" t="str">
        <x:v>NO</x:v>
      </x:c>
      <x:c r="E161" s="29" t="str">
        <x:v>NO</x:v>
      </x:c>
      <x:c r="F161" s="62"/>
      <x:c r="G161" s="62"/>
      <x:c r="H161" s="29" t="str">
        <x:v>NO</x:v>
      </x:c>
      <x:c r="I161" s="29" t="str">
        <x:v>no screened path</x:v>
      </x:c>
      <x:c r="J161" s="29" t="str">
        <x:v>presence does not prove operability or capacity</x:v>
      </x:c>
    </x:row>
    <x:row r="162" ht="54" hidden="0" customHeight="1">
      <x:c r="A162" s="27" t="str">
        <x:v>SCA-02</x:v>
      </x:c>
      <x:c r="B162" s="27" t="str">
        <x:v>SCA-10</x:v>
      </x:c>
      <x:c r="C162" s="27" t="str">
        <x:v>Rail</x:v>
      </x:c>
      <x:c r="D162" s="27" t="str">
        <x:v>NO</x:v>
      </x:c>
      <x:c r="E162" s="27" t="str">
        <x:v>NO</x:v>
      </x:c>
      <x:c r="F162" s="61"/>
      <x:c r="G162" s="61"/>
      <x:c r="H162" s="27" t="str">
        <x:v>NO</x:v>
      </x:c>
      <x:c r="I162" s="27" t="str">
        <x:v>no screened path</x:v>
      </x:c>
      <x:c r="J162" s="27" t="str">
        <x:v>presence does not prove operability or capacity</x:v>
      </x:c>
    </x:row>
    <x:row r="163" ht="54" hidden="0" customHeight="1">
      <x:c r="A163" s="29" t="str">
        <x:v>SCA-02</x:v>
      </x:c>
      <x:c r="B163" s="29" t="str">
        <x:v>SCA-10</x:v>
      </x:c>
      <x:c r="C163" s="29" t="str">
        <x:v>Air</x:v>
      </x:c>
      <x:c r="D163" s="29" t="str">
        <x:v>YES</x:v>
      </x:c>
      <x:c r="E163" s="29" t="str">
        <x:v>YES</x:v>
      </x:c>
      <x:c r="F163" s="62" t="n">
        <x:v>3235.771782450301</x:v>
      </x:c>
      <x:c r="G163" s="62" t="n">
        <x:v>28.978110434538927</x:v>
      </x:c>
      <x:c r="H163" s="29" t="str">
        <x:v>YES</x:v>
      </x:c>
      <x:c r="I163" s="29" t="str">
        <x:v>primary-airport endpoints; great-circle screen</x:v>
      </x:c>
      <x:c r="J163" s="29" t="str">
        <x:v>presence does not prove operability or capacity</x:v>
      </x:c>
    </x:row>
    <x:row r="164" ht="54" hidden="0" customHeight="1">
      <x:c r="A164" s="27" t="str">
        <x:v>SCA-02</x:v>
      </x:c>
      <x:c r="B164" s="27" t="str">
        <x:v>SCA-10</x:v>
      </x:c>
      <x:c r="C164" s="27" t="str">
        <x:v>Water</x:v>
      </x:c>
      <x:c r="D164" s="27" t="str">
        <x:v>NO</x:v>
      </x:c>
      <x:c r="E164" s="27" t="str">
        <x:v>NO</x:v>
      </x:c>
      <x:c r="F164" s="61"/>
      <x:c r="G164" s="61"/>
      <x:c r="H164" s="27" t="str">
        <x:v>NO</x:v>
      </x:c>
      <x:c r="I164" s="27" t="str">
        <x:v>no screened path</x:v>
      </x:c>
      <x:c r="J164" s="27" t="str">
        <x:v>presence does not prove operability or capacity</x:v>
      </x:c>
    </x:row>
    <x:row r="165" ht="54" hidden="0" customHeight="1">
      <x:c r="A165" s="29" t="str">
        <x:v>SCA-02</x:v>
      </x:c>
      <x:c r="B165" s="29" t="str">
        <x:v>SCA-11</x:v>
      </x:c>
      <x:c r="C165" s="29" t="str">
        <x:v>Road</x:v>
      </x:c>
      <x:c r="D165" s="29" t="str">
        <x:v>NO</x:v>
      </x:c>
      <x:c r="E165" s="29" t="str">
        <x:v>NO</x:v>
      </x:c>
      <x:c r="F165" s="62"/>
      <x:c r="G165" s="62"/>
      <x:c r="H165" s="29" t="str">
        <x:v>NO</x:v>
      </x:c>
      <x:c r="I165" s="29" t="str">
        <x:v>no screened path</x:v>
      </x:c>
      <x:c r="J165" s="29" t="str">
        <x:v>presence does not prove operability or capacity</x:v>
      </x:c>
    </x:row>
    <x:row r="166" ht="54" hidden="0" customHeight="1">
      <x:c r="A166" s="27" t="str">
        <x:v>SCA-02</x:v>
      </x:c>
      <x:c r="B166" s="27" t="str">
        <x:v>SCA-11</x:v>
      </x:c>
      <x:c r="C166" s="27" t="str">
        <x:v>Rail</x:v>
      </x:c>
      <x:c r="D166" s="27" t="str">
        <x:v>NO</x:v>
      </x:c>
      <x:c r="E166" s="27" t="str">
        <x:v>NO</x:v>
      </x:c>
      <x:c r="F166" s="61"/>
      <x:c r="G166" s="61"/>
      <x:c r="H166" s="27" t="str">
        <x:v>NO</x:v>
      </x:c>
      <x:c r="I166" s="27" t="str">
        <x:v>no screened path</x:v>
      </x:c>
      <x:c r="J166" s="27" t="str">
        <x:v>presence does not prove operability or capacity</x:v>
      </x:c>
    </x:row>
    <x:row r="167" ht="54" hidden="0" customHeight="1">
      <x:c r="A167" s="29" t="str">
        <x:v>SCA-02</x:v>
      </x:c>
      <x:c r="B167" s="29" t="str">
        <x:v>SCA-11</x:v>
      </x:c>
      <x:c r="C167" s="29" t="str">
        <x:v>Air</x:v>
      </x:c>
      <x:c r="D167" s="29" t="str">
        <x:v>YES</x:v>
      </x:c>
      <x:c r="E167" s="29" t="str">
        <x:v>YES</x:v>
      </x:c>
      <x:c r="F167" s="62" t="n">
        <x:v>4286.898730560334</x:v>
      </x:c>
      <x:c r="G167" s="62" t="n">
        <x:v>30.595228816246667</x:v>
      </x:c>
      <x:c r="H167" s="29" t="str">
        <x:v>YES</x:v>
      </x:c>
      <x:c r="I167" s="29" t="str">
        <x:v>primary-airport endpoints; great-circle screen</x:v>
      </x:c>
      <x:c r="J167" s="29" t="str">
        <x:v>presence does not prove operability or capacity</x:v>
      </x:c>
    </x:row>
    <x:row r="168" ht="54" hidden="0" customHeight="1">
      <x:c r="A168" s="27" t="str">
        <x:v>SCA-02</x:v>
      </x:c>
      <x:c r="B168" s="27" t="str">
        <x:v>SCA-11</x:v>
      </x:c>
      <x:c r="C168" s="27" t="str">
        <x:v>Water</x:v>
      </x:c>
      <x:c r="D168" s="27" t="str">
        <x:v>NO</x:v>
      </x:c>
      <x:c r="E168" s="27" t="str">
        <x:v>NO</x:v>
      </x:c>
      <x:c r="F168" s="61"/>
      <x:c r="G168" s="61"/>
      <x:c r="H168" s="27" t="str">
        <x:v>NO</x:v>
      </x:c>
      <x:c r="I168" s="27" t="str">
        <x:v>no screened path</x:v>
      </x:c>
      <x:c r="J168" s="27" t="str">
        <x:v>presence does not prove operability or capacity</x:v>
      </x:c>
    </x:row>
    <x:row r="169" ht="54" hidden="0" customHeight="1">
      <x:c r="A169" s="29" t="str">
        <x:v>SCA-02</x:v>
      </x:c>
      <x:c r="B169" s="29" t="str">
        <x:v>SCA-12</x:v>
      </x:c>
      <x:c r="C169" s="29" t="str">
        <x:v>Road</x:v>
      </x:c>
      <x:c r="D169" s="29" t="str">
        <x:v>NO</x:v>
      </x:c>
      <x:c r="E169" s="29" t="str">
        <x:v>NO</x:v>
      </x:c>
      <x:c r="F169" s="62"/>
      <x:c r="G169" s="62"/>
      <x:c r="H169" s="29" t="str">
        <x:v>NO</x:v>
      </x:c>
      <x:c r="I169" s="29" t="str">
        <x:v>no screened path</x:v>
      </x:c>
      <x:c r="J169" s="29" t="str">
        <x:v>presence does not prove operability or capacity</x:v>
      </x:c>
    </x:row>
    <x:row r="170" ht="54" hidden="0" customHeight="1">
      <x:c r="A170" s="27" t="str">
        <x:v>SCA-02</x:v>
      </x:c>
      <x:c r="B170" s="27" t="str">
        <x:v>SCA-12</x:v>
      </x:c>
      <x:c r="C170" s="27" t="str">
        <x:v>Rail</x:v>
      </x:c>
      <x:c r="D170" s="27" t="str">
        <x:v>NO</x:v>
      </x:c>
      <x:c r="E170" s="27" t="str">
        <x:v>NO</x:v>
      </x:c>
      <x:c r="F170" s="61"/>
      <x:c r="G170" s="61"/>
      <x:c r="H170" s="27" t="str">
        <x:v>NO</x:v>
      </x:c>
      <x:c r="I170" s="27" t="str">
        <x:v>no screened path</x:v>
      </x:c>
      <x:c r="J170" s="27" t="str">
        <x:v>presence does not prove operability or capacity</x:v>
      </x:c>
    </x:row>
    <x:row r="171" ht="54" hidden="0" customHeight="1">
      <x:c r="A171" s="29" t="str">
        <x:v>SCA-02</x:v>
      </x:c>
      <x:c r="B171" s="29" t="str">
        <x:v>SCA-12</x:v>
      </x:c>
      <x:c r="C171" s="29" t="str">
        <x:v>Air</x:v>
      </x:c>
      <x:c r="D171" s="29" t="str">
        <x:v>YES</x:v>
      </x:c>
      <x:c r="E171" s="29" t="str">
        <x:v>YES</x:v>
      </x:c>
      <x:c r="F171" s="62" t="n">
        <x:v>3715.1995298326333</x:v>
      </x:c>
      <x:c r="G171" s="62" t="n">
        <x:v>29.7156915843579</x:v>
      </x:c>
      <x:c r="H171" s="29" t="str">
        <x:v>YES</x:v>
      </x:c>
      <x:c r="I171" s="29" t="str">
        <x:v>primary-airport endpoints; great-circle screen</x:v>
      </x:c>
      <x:c r="J171" s="29" t="str">
        <x:v>presence does not prove operability or capacity</x:v>
      </x:c>
    </x:row>
    <x:row r="172" ht="54" hidden="0" customHeight="1">
      <x:c r="A172" s="27" t="str">
        <x:v>SCA-02</x:v>
      </x:c>
      <x:c r="B172" s="27" t="str">
        <x:v>SCA-12</x:v>
      </x:c>
      <x:c r="C172" s="27" t="str">
        <x:v>Water</x:v>
      </x:c>
      <x:c r="D172" s="27" t="str">
        <x:v>NO</x:v>
      </x:c>
      <x:c r="E172" s="27" t="str">
        <x:v>NO</x:v>
      </x:c>
      <x:c r="F172" s="61"/>
      <x:c r="G172" s="61"/>
      <x:c r="H172" s="27" t="str">
        <x:v>NO</x:v>
      </x:c>
      <x:c r="I172" s="27" t="str">
        <x:v>no screened path</x:v>
      </x:c>
      <x:c r="J172" s="27" t="str">
        <x:v>presence does not prove operability or capacity</x:v>
      </x:c>
    </x:row>
    <x:row r="173" ht="54" hidden="0" customHeight="1">
      <x:c r="A173" s="29" t="str">
        <x:v>SCA-02</x:v>
      </x:c>
      <x:c r="B173" s="29" t="str">
        <x:v>SCA-13</x:v>
      </x:c>
      <x:c r="C173" s="29" t="str">
        <x:v>Road</x:v>
      </x:c>
      <x:c r="D173" s="29" t="str">
        <x:v>NO</x:v>
      </x:c>
      <x:c r="E173" s="29" t="str">
        <x:v>NO</x:v>
      </x:c>
      <x:c r="F173" s="62"/>
      <x:c r="G173" s="62"/>
      <x:c r="H173" s="29" t="str">
        <x:v>NO</x:v>
      </x:c>
      <x:c r="I173" s="29" t="str">
        <x:v>no screened path</x:v>
      </x:c>
      <x:c r="J173" s="29" t="str">
        <x:v>presence does not prove operability or capacity</x:v>
      </x:c>
    </x:row>
    <x:row r="174" ht="54" hidden="0" customHeight="1">
      <x:c r="A174" s="27" t="str">
        <x:v>SCA-02</x:v>
      </x:c>
      <x:c r="B174" s="27" t="str">
        <x:v>SCA-13</x:v>
      </x:c>
      <x:c r="C174" s="27" t="str">
        <x:v>Rail</x:v>
      </x:c>
      <x:c r="D174" s="27" t="str">
        <x:v>NO</x:v>
      </x:c>
      <x:c r="E174" s="27" t="str">
        <x:v>NO</x:v>
      </x:c>
      <x:c r="F174" s="61"/>
      <x:c r="G174" s="61"/>
      <x:c r="H174" s="27" t="str">
        <x:v>NO</x:v>
      </x:c>
      <x:c r="I174" s="27" t="str">
        <x:v>no screened path</x:v>
      </x:c>
      <x:c r="J174" s="27" t="str">
        <x:v>presence does not prove operability or capacity</x:v>
      </x:c>
    </x:row>
    <x:row r="175" ht="54" hidden="0" customHeight="1">
      <x:c r="A175" s="29" t="str">
        <x:v>SCA-02</x:v>
      </x:c>
      <x:c r="B175" s="29" t="str">
        <x:v>SCA-13</x:v>
      </x:c>
      <x:c r="C175" s="29" t="str">
        <x:v>Air</x:v>
      </x:c>
      <x:c r="D175" s="29" t="str">
        <x:v>YES</x:v>
      </x:c>
      <x:c r="E175" s="29" t="str">
        <x:v>YES</x:v>
      </x:c>
      <x:c r="F175" s="62" t="n">
        <x:v>4934.627653250319</x:v>
      </x:c>
      <x:c r="G175" s="62" t="n">
        <x:v>31.591734851154335</x:v>
      </x:c>
      <x:c r="H175" s="29" t="str">
        <x:v>YES</x:v>
      </x:c>
      <x:c r="I175" s="29" t="str">
        <x:v>primary-airport endpoints; great-circle screen</x:v>
      </x:c>
      <x:c r="J175" s="29" t="str">
        <x:v>presence does not prove operability or capacity</x:v>
      </x:c>
    </x:row>
    <x:row r="176" ht="75.5999984741211" hidden="0" customHeight="1">
      <x:c r="A176" s="27" t="str">
        <x:v>SCA-02</x:v>
      </x:c>
      <x:c r="B176" s="27" t="str">
        <x:v>SCA-13</x:v>
      </x:c>
      <x:c r="C176" s="27" t="str">
        <x:v>Water</x:v>
      </x:c>
      <x:c r="D176" s="27" t="str">
        <x:v>YES</x:v>
      </x:c>
      <x:c r="E176" s="27" t="str">
        <x:v>YES</x:v>
      </x:c>
      <x:c r="F176" s="61" t="n">
        <x:v>10350.93348287571</x:v>
      </x:c>
      <x:c r="G176" s="61" t="n">
        <x:v>325.7409566535917</x:v>
      </x:c>
      <x:c r="H176" s="27" t="str">
        <x:v>NO</x:v>
      </x:c>
      <x:c r="I176" s="27" t="str">
        <x:v>USACE waterway node topology; deployable terminal required</x:v>
      </x:c>
      <x:c r="J176" s="27" t="str">
        <x:v>presence does not prove operability or capacity</x:v>
      </x:c>
    </x:row>
    <x:row r="177" ht="54" hidden="0" customHeight="1">
      <x:c r="A177" s="29" t="str">
        <x:v>SCA-02</x:v>
      </x:c>
      <x:c r="B177" s="29" t="str">
        <x:v>SCA-14</x:v>
      </x:c>
      <x:c r="C177" s="29" t="str">
        <x:v>Road</x:v>
      </x:c>
      <x:c r="D177" s="29" t="str">
        <x:v>NO</x:v>
      </x:c>
      <x:c r="E177" s="29" t="str">
        <x:v>NO</x:v>
      </x:c>
      <x:c r="F177" s="62"/>
      <x:c r="G177" s="62"/>
      <x:c r="H177" s="29" t="str">
        <x:v>NO</x:v>
      </x:c>
      <x:c r="I177" s="29" t="str">
        <x:v>no screened path</x:v>
      </x:c>
      <x:c r="J177" s="29" t="str">
        <x:v>presence does not prove operability or capacity</x:v>
      </x:c>
    </x:row>
    <x:row r="178" ht="54" hidden="0" customHeight="1">
      <x:c r="A178" s="27" t="str">
        <x:v>SCA-02</x:v>
      </x:c>
      <x:c r="B178" s="27" t="str">
        <x:v>SCA-14</x:v>
      </x:c>
      <x:c r="C178" s="27" t="str">
        <x:v>Rail</x:v>
      </x:c>
      <x:c r="D178" s="27" t="str">
        <x:v>NO</x:v>
      </x:c>
      <x:c r="E178" s="27" t="str">
        <x:v>NO</x:v>
      </x:c>
      <x:c r="F178" s="61"/>
      <x:c r="G178" s="61"/>
      <x:c r="H178" s="27" t="str">
        <x:v>NO</x:v>
      </x:c>
      <x:c r="I178" s="27" t="str">
        <x:v>no screened path</x:v>
      </x:c>
      <x:c r="J178" s="27" t="str">
        <x:v>presence does not prove operability or capacity</x:v>
      </x:c>
    </x:row>
    <x:row r="179" ht="54" hidden="0" customHeight="1">
      <x:c r="A179" s="29" t="str">
        <x:v>SCA-02</x:v>
      </x:c>
      <x:c r="B179" s="29" t="str">
        <x:v>SCA-14</x:v>
      </x:c>
      <x:c r="C179" s="29" t="str">
        <x:v>Air</x:v>
      </x:c>
      <x:c r="D179" s="29" t="str">
        <x:v>YES</x:v>
      </x:c>
      <x:c r="E179" s="29" t="str">
        <x:v>YES</x:v>
      </x:c>
      <x:c r="F179" s="62" t="n">
        <x:v>5242.810885578182</x:v>
      </x:c>
      <x:c r="G179" s="62" t="n">
        <x:v>32.06586290088951</x:v>
      </x:c>
      <x:c r="H179" s="29" t="str">
        <x:v>YES</x:v>
      </x:c>
      <x:c r="I179" s="29" t="str">
        <x:v>primary-airport endpoints; great-circle screen</x:v>
      </x:c>
      <x:c r="J179" s="29" t="str">
        <x:v>presence does not prove operability or capacity</x:v>
      </x:c>
    </x:row>
    <x:row r="180" ht="75.5999984741211" hidden="0" customHeight="1">
      <x:c r="A180" s="27" t="str">
        <x:v>SCA-02</x:v>
      </x:c>
      <x:c r="B180" s="27" t="str">
        <x:v>SCA-14</x:v>
      </x:c>
      <x:c r="C180" s="27" t="str">
        <x:v>Water</x:v>
      </x:c>
      <x:c r="D180" s="27" t="str">
        <x:v>YES</x:v>
      </x:c>
      <x:c r="E180" s="27" t="str">
        <x:v>YES</x:v>
      </x:c>
      <x:c r="F180" s="61" t="n">
        <x:v>10531.766926981689</x:v>
      </x:c>
      <x:c r="G180" s="61" t="n">
        <x:v>330.9076264851911</x:v>
      </x:c>
      <x:c r="H180" s="27" t="str">
        <x:v>NO</x:v>
      </x:c>
      <x:c r="I180" s="27" t="str">
        <x:v>USACE waterway node topology; deployable terminal required</x:v>
      </x:c>
      <x:c r="J180" s="27" t="str">
        <x:v>presence does not prove operability or capacity</x:v>
      </x:c>
    </x:row>
    <x:row r="181" ht="54" hidden="0" customHeight="1">
      <x:c r="A181" s="29" t="str">
        <x:v>SCA-02</x:v>
      </x:c>
      <x:c r="B181" s="29" t="str">
        <x:v>SCA-15</x:v>
      </x:c>
      <x:c r="C181" s="29" t="str">
        <x:v>Road</x:v>
      </x:c>
      <x:c r="D181" s="29" t="str">
        <x:v>NO</x:v>
      </x:c>
      <x:c r="E181" s="29" t="str">
        <x:v>NO</x:v>
      </x:c>
      <x:c r="F181" s="62"/>
      <x:c r="G181" s="62"/>
      <x:c r="H181" s="29" t="str">
        <x:v>NO</x:v>
      </x:c>
      <x:c r="I181" s="29" t="str">
        <x:v>no screened path</x:v>
      </x:c>
      <x:c r="J181" s="29" t="str">
        <x:v>presence does not prove operability or capacity</x:v>
      </x:c>
    </x:row>
    <x:row r="182" ht="54" hidden="0" customHeight="1">
      <x:c r="A182" s="27" t="str">
        <x:v>SCA-02</x:v>
      </x:c>
      <x:c r="B182" s="27" t="str">
        <x:v>SCA-15</x:v>
      </x:c>
      <x:c r="C182" s="27" t="str">
        <x:v>Rail</x:v>
      </x:c>
      <x:c r="D182" s="27" t="str">
        <x:v>NO</x:v>
      </x:c>
      <x:c r="E182" s="27" t="str">
        <x:v>NO</x:v>
      </x:c>
      <x:c r="F182" s="61"/>
      <x:c r="G182" s="61"/>
      <x:c r="H182" s="27" t="str">
        <x:v>NO</x:v>
      </x:c>
      <x:c r="I182" s="27" t="str">
        <x:v>no screened path</x:v>
      </x:c>
      <x:c r="J182" s="27" t="str">
        <x:v>presence does not prove operability or capacity</x:v>
      </x:c>
    </x:row>
    <x:row r="183" ht="54" hidden="0" customHeight="1">
      <x:c r="A183" s="29" t="str">
        <x:v>SCA-02</x:v>
      </x:c>
      <x:c r="B183" s="29" t="str">
        <x:v>SCA-15</x:v>
      </x:c>
      <x:c r="C183" s="29" t="str">
        <x:v>Air</x:v>
      </x:c>
      <x:c r="D183" s="29" t="str">
        <x:v>YES</x:v>
      </x:c>
      <x:c r="E183" s="29" t="str">
        <x:v>YES</x:v>
      </x:c>
      <x:c r="F183" s="62" t="n">
        <x:v>4715.990016365284</x:v>
      </x:c>
      <x:c r="G183" s="62" t="n">
        <x:v>31.25536925594659</x:v>
      </x:c>
      <x:c r="H183" s="29" t="str">
        <x:v>YES</x:v>
      </x:c>
      <x:c r="I183" s="29" t="str">
        <x:v>primary-airport endpoints; great-circle screen</x:v>
      </x:c>
      <x:c r="J183" s="29" t="str">
        <x:v>presence does not prove operability or capacity</x:v>
      </x:c>
    </x:row>
    <x:row r="184" ht="75.5999984741211" hidden="0" customHeight="1">
      <x:c r="A184" s="27" t="str">
        <x:v>SCA-02</x:v>
      </x:c>
      <x:c r="B184" s="27" t="str">
        <x:v>SCA-15</x:v>
      </x:c>
      <x:c r="C184" s="27" t="str">
        <x:v>Water</x:v>
      </x:c>
      <x:c r="D184" s="27" t="str">
        <x:v>YES</x:v>
      </x:c>
      <x:c r="E184" s="27" t="str">
        <x:v>YES</x:v>
      </x:c>
      <x:c r="F184" s="61" t="n">
        <x:v>10214.00570012834</x:v>
      </x:c>
      <x:c r="G184" s="61" t="n">
        <x:v>321.82873428938115</x:v>
      </x:c>
      <x:c r="H184" s="27" t="str">
        <x:v>NO</x:v>
      </x:c>
      <x:c r="I184" s="27" t="str">
        <x:v>USACE waterway node topology; deployable terminal required</x:v>
      </x:c>
      <x:c r="J184" s="27" t="str">
        <x:v>presence does not prove operability or capacity</x:v>
      </x:c>
    </x:row>
    <x:row r="185" ht="54" hidden="0" customHeight="1">
      <x:c r="A185" s="29" t="str">
        <x:v>SCA-02</x:v>
      </x:c>
      <x:c r="B185" s="29" t="str">
        <x:v>SCA-16</x:v>
      </x:c>
      <x:c r="C185" s="29" t="str">
        <x:v>Road</x:v>
      </x:c>
      <x:c r="D185" s="29" t="str">
        <x:v>NO</x:v>
      </x:c>
      <x:c r="E185" s="29" t="str">
        <x:v>NO</x:v>
      </x:c>
      <x:c r="F185" s="62"/>
      <x:c r="G185" s="62"/>
      <x:c r="H185" s="29" t="str">
        <x:v>NO</x:v>
      </x:c>
      <x:c r="I185" s="29" t="str">
        <x:v>no screened path</x:v>
      </x:c>
      <x:c r="J185" s="29" t="str">
        <x:v>presence does not prove operability or capacity</x:v>
      </x:c>
    </x:row>
    <x:row r="186" ht="54" hidden="0" customHeight="1">
      <x:c r="A186" s="27" t="str">
        <x:v>SCA-02</x:v>
      </x:c>
      <x:c r="B186" s="27" t="str">
        <x:v>SCA-16</x:v>
      </x:c>
      <x:c r="C186" s="27" t="str">
        <x:v>Rail</x:v>
      </x:c>
      <x:c r="D186" s="27" t="str">
        <x:v>NO</x:v>
      </x:c>
      <x:c r="E186" s="27" t="str">
        <x:v>NO</x:v>
      </x:c>
      <x:c r="F186" s="61"/>
      <x:c r="G186" s="61"/>
      <x:c r="H186" s="27" t="str">
        <x:v>NO</x:v>
      </x:c>
      <x:c r="I186" s="27" t="str">
        <x:v>no screened path</x:v>
      </x:c>
      <x:c r="J186" s="27" t="str">
        <x:v>presence does not prove operability or capacity</x:v>
      </x:c>
    </x:row>
    <x:row r="187" ht="54" hidden="0" customHeight="1">
      <x:c r="A187" s="29" t="str">
        <x:v>SCA-02</x:v>
      </x:c>
      <x:c r="B187" s="29" t="str">
        <x:v>SCA-16</x:v>
      </x:c>
      <x:c r="C187" s="29" t="str">
        <x:v>Air</x:v>
      </x:c>
      <x:c r="D187" s="29" t="str">
        <x:v>YES</x:v>
      </x:c>
      <x:c r="E187" s="29" t="str">
        <x:v>YES</x:v>
      </x:c>
      <x:c r="F187" s="62" t="n">
        <x:v>4283.097259139278</x:v>
      </x:c>
      <x:c r="G187" s="62" t="n">
        <x:v>30.589380398675814</x:v>
      </x:c>
      <x:c r="H187" s="29" t="str">
        <x:v>YES</x:v>
      </x:c>
      <x:c r="I187" s="29" t="str">
        <x:v>primary-airport endpoints; great-circle screen</x:v>
      </x:c>
      <x:c r="J187" s="29" t="str">
        <x:v>presence does not prove operability or capacity</x:v>
      </x:c>
    </x:row>
    <x:row r="188" ht="75.5999984741211" hidden="0" customHeight="1">
      <x:c r="A188" s="27" t="str">
        <x:v>SCA-02</x:v>
      </x:c>
      <x:c r="B188" s="27" t="str">
        <x:v>SCA-16</x:v>
      </x:c>
      <x:c r="C188" s="27" t="str">
        <x:v>Water</x:v>
      </x:c>
      <x:c r="D188" s="27" t="str">
        <x:v>YES</x:v>
      </x:c>
      <x:c r="E188" s="27" t="str">
        <x:v>YES</x:v>
      </x:c>
      <x:c r="F188" s="61" t="n">
        <x:v>9490.49773552434</x:v>
      </x:c>
      <x:c r="G188" s="61" t="n">
        <x:v>301.1570781578383</x:v>
      </x:c>
      <x:c r="H188" s="27" t="str">
        <x:v>NO</x:v>
      </x:c>
      <x:c r="I188" s="27" t="str">
        <x:v>USACE waterway node topology; deployable terminal required</x:v>
      </x:c>
      <x:c r="J188" s="27" t="str">
        <x:v>presence does not prove operability or capacity</x:v>
      </x:c>
    </x:row>
    <x:row r="189" ht="54" hidden="0" customHeight="1">
      <x:c r="A189" s="29" t="str">
        <x:v>SCA-02</x:v>
      </x:c>
      <x:c r="B189" s="29" t="str">
        <x:v>SCA-17</x:v>
      </x:c>
      <x:c r="C189" s="29" t="str">
        <x:v>Road</x:v>
      </x:c>
      <x:c r="D189" s="29" t="str">
        <x:v>NO</x:v>
      </x:c>
      <x:c r="E189" s="29" t="str">
        <x:v>NO</x:v>
      </x:c>
      <x:c r="F189" s="62"/>
      <x:c r="G189" s="62"/>
      <x:c r="H189" s="29" t="str">
        <x:v>NO</x:v>
      </x:c>
      <x:c r="I189" s="29" t="str">
        <x:v>no screened path</x:v>
      </x:c>
      <x:c r="J189" s="29" t="str">
        <x:v>presence does not prove operability or capacity</x:v>
      </x:c>
    </x:row>
    <x:row r="190" ht="54" hidden="0" customHeight="1">
      <x:c r="A190" s="27" t="str">
        <x:v>SCA-02</x:v>
      </x:c>
      <x:c r="B190" s="27" t="str">
        <x:v>SCA-17</x:v>
      </x:c>
      <x:c r="C190" s="27" t="str">
        <x:v>Rail</x:v>
      </x:c>
      <x:c r="D190" s="27" t="str">
        <x:v>NO</x:v>
      </x:c>
      <x:c r="E190" s="27" t="str">
        <x:v>NO</x:v>
      </x:c>
      <x:c r="F190" s="61"/>
      <x:c r="G190" s="61"/>
      <x:c r="H190" s="27" t="str">
        <x:v>NO</x:v>
      </x:c>
      <x:c r="I190" s="27" t="str">
        <x:v>no screened path</x:v>
      </x:c>
      <x:c r="J190" s="27" t="str">
        <x:v>presence does not prove operability or capacity</x:v>
      </x:c>
    </x:row>
    <x:row r="191" ht="54" hidden="0" customHeight="1">
      <x:c r="A191" s="29" t="str">
        <x:v>SCA-02</x:v>
      </x:c>
      <x:c r="B191" s="29" t="str">
        <x:v>SCA-17</x:v>
      </x:c>
      <x:c r="C191" s="29" t="str">
        <x:v>Air</x:v>
      </x:c>
      <x:c r="D191" s="29" t="str">
        <x:v>YES</x:v>
      </x:c>
      <x:c r="E191" s="29" t="str">
        <x:v>YES</x:v>
      </x:c>
      <x:c r="F191" s="62" t="n">
        <x:v>5123.190302118322</x:v>
      </x:c>
      <x:c r="G191" s="62" t="n">
        <x:v>31.881831234028187</x:v>
      </x:c>
      <x:c r="H191" s="29" t="str">
        <x:v>YES</x:v>
      </x:c>
      <x:c r="I191" s="29" t="str">
        <x:v>primary-airport endpoints; great-circle screen</x:v>
      </x:c>
      <x:c r="J191" s="29" t="str">
        <x:v>presence does not prove operability or capacity</x:v>
      </x:c>
    </x:row>
    <x:row r="192" ht="75.5999984741211" hidden="0" customHeight="1">
      <x:c r="A192" s="27" t="str">
        <x:v>SCA-02</x:v>
      </x:c>
      <x:c r="B192" s="27" t="str">
        <x:v>SCA-17</x:v>
      </x:c>
      <x:c r="C192" s="27" t="str">
        <x:v>Water</x:v>
      </x:c>
      <x:c r="D192" s="27" t="str">
        <x:v>YES</x:v>
      </x:c>
      <x:c r="E192" s="27" t="str">
        <x:v>YES</x:v>
      </x:c>
      <x:c r="F192" s="61" t="n">
        <x:v>9869.72511730162</x:v>
      </x:c>
      <x:c r="G192" s="61" t="n">
        <x:v>311.99214620861767</x:v>
      </x:c>
      <x:c r="H192" s="27" t="str">
        <x:v>NO</x:v>
      </x:c>
      <x:c r="I192" s="27" t="str">
        <x:v>USACE waterway node topology; deployable terminal required</x:v>
      </x:c>
      <x:c r="J192" s="27" t="str">
        <x:v>presence does not prove operability or capacity</x:v>
      </x:c>
    </x:row>
    <x:row r="193" ht="54" hidden="0" customHeight="1">
      <x:c r="A193" s="29" t="str">
        <x:v>SCA-02</x:v>
      </x:c>
      <x:c r="B193" s="29" t="str">
        <x:v>SCA-18</x:v>
      </x:c>
      <x:c r="C193" s="29" t="str">
        <x:v>Road</x:v>
      </x:c>
      <x:c r="D193" s="29" t="str">
        <x:v>NO</x:v>
      </x:c>
      <x:c r="E193" s="29" t="str">
        <x:v>NO</x:v>
      </x:c>
      <x:c r="F193" s="62"/>
      <x:c r="G193" s="62"/>
      <x:c r="H193" s="29" t="str">
        <x:v>NO</x:v>
      </x:c>
      <x:c r="I193" s="29" t="str">
        <x:v>no screened path</x:v>
      </x:c>
      <x:c r="J193" s="29" t="str">
        <x:v>presence does not prove operability or capacity</x:v>
      </x:c>
    </x:row>
    <x:row r="194" ht="54" hidden="0" customHeight="1">
      <x:c r="A194" s="27" t="str">
        <x:v>SCA-02</x:v>
      </x:c>
      <x:c r="B194" s="27" t="str">
        <x:v>SCA-18</x:v>
      </x:c>
      <x:c r="C194" s="27" t="str">
        <x:v>Rail</x:v>
      </x:c>
      <x:c r="D194" s="27" t="str">
        <x:v>NO</x:v>
      </x:c>
      <x:c r="E194" s="27" t="str">
        <x:v>NO</x:v>
      </x:c>
      <x:c r="F194" s="61"/>
      <x:c r="G194" s="61"/>
      <x:c r="H194" s="27" t="str">
        <x:v>NO</x:v>
      </x:c>
      <x:c r="I194" s="27" t="str">
        <x:v>no screened path</x:v>
      </x:c>
      <x:c r="J194" s="27" t="str">
        <x:v>presence does not prove operability or capacity</x:v>
      </x:c>
    </x:row>
    <x:row r="195" ht="54" hidden="0" customHeight="1">
      <x:c r="A195" s="29" t="str">
        <x:v>SCA-02</x:v>
      </x:c>
      <x:c r="B195" s="29" t="str">
        <x:v>SCA-18</x:v>
      </x:c>
      <x:c r="C195" s="29" t="str">
        <x:v>Air</x:v>
      </x:c>
      <x:c r="D195" s="29" t="str">
        <x:v>YES</x:v>
      </x:c>
      <x:c r="E195" s="29" t="str">
        <x:v>YES</x:v>
      </x:c>
      <x:c r="F195" s="62" t="n">
        <x:v>3821.1774753958557</x:v>
      </x:c>
      <x:c r="G195" s="62" t="n">
        <x:v>29.878734577532086</x:v>
      </x:c>
      <x:c r="H195" s="29" t="str">
        <x:v>YES</x:v>
      </x:c>
      <x:c r="I195" s="29" t="str">
        <x:v>primary-airport endpoints; great-circle screen</x:v>
      </x:c>
      <x:c r="J195" s="29" t="str">
        <x:v>presence does not prove operability or capacity</x:v>
      </x:c>
    </x:row>
    <x:row r="196" ht="75.5999984741211" hidden="0" customHeight="1">
      <x:c r="A196" s="27" t="str">
        <x:v>SCA-02</x:v>
      </x:c>
      <x:c r="B196" s="27" t="str">
        <x:v>SCA-18</x:v>
      </x:c>
      <x:c r="C196" s="27" t="str">
        <x:v>Water</x:v>
      </x:c>
      <x:c r="D196" s="27" t="str">
        <x:v>YES</x:v>
      </x:c>
      <x:c r="E196" s="27" t="str">
        <x:v>YES</x:v>
      </x:c>
      <x:c r="F196" s="61" t="n">
        <x:v>9220.599984682574</x:v>
      </x:c>
      <x:c r="G196" s="61" t="n">
        <x:v>293.4457138480736</x:v>
      </x:c>
      <x:c r="H196" s="27" t="str">
        <x:v>NO</x:v>
      </x:c>
      <x:c r="I196" s="27" t="str">
        <x:v>USACE waterway node topology; deployable terminal required</x:v>
      </x:c>
      <x:c r="J196" s="27" t="str">
        <x:v>presence does not prove operability or capacity</x:v>
      </x:c>
    </x:row>
    <x:row r="197" ht="54" hidden="0" customHeight="1">
      <x:c r="A197" s="29" t="str">
        <x:v>SCA-02</x:v>
      </x:c>
      <x:c r="B197" s="29" t="str">
        <x:v>SCA-19</x:v>
      </x:c>
      <x:c r="C197" s="29" t="str">
        <x:v>Road</x:v>
      </x:c>
      <x:c r="D197" s="29" t="str">
        <x:v>NO</x:v>
      </x:c>
      <x:c r="E197" s="29" t="str">
        <x:v>NO</x:v>
      </x:c>
      <x:c r="F197" s="62"/>
      <x:c r="G197" s="62"/>
      <x:c r="H197" s="29" t="str">
        <x:v>NO</x:v>
      </x:c>
      <x:c r="I197" s="29" t="str">
        <x:v>no screened path</x:v>
      </x:c>
      <x:c r="J197" s="29" t="str">
        <x:v>presence does not prove operability or capacity</x:v>
      </x:c>
    </x:row>
    <x:row r="198" ht="54" hidden="0" customHeight="1">
      <x:c r="A198" s="27" t="str">
        <x:v>SCA-02</x:v>
      </x:c>
      <x:c r="B198" s="27" t="str">
        <x:v>SCA-19</x:v>
      </x:c>
      <x:c r="C198" s="27" t="str">
        <x:v>Rail</x:v>
      </x:c>
      <x:c r="D198" s="27" t="str">
        <x:v>NO</x:v>
      </x:c>
      <x:c r="E198" s="27" t="str">
        <x:v>NO</x:v>
      </x:c>
      <x:c r="F198" s="61"/>
      <x:c r="G198" s="61"/>
      <x:c r="H198" s="27" t="str">
        <x:v>NO</x:v>
      </x:c>
      <x:c r="I198" s="27" t="str">
        <x:v>no screened path</x:v>
      </x:c>
      <x:c r="J198" s="27" t="str">
        <x:v>presence does not prove operability or capacity</x:v>
      </x:c>
    </x:row>
    <x:row r="199" ht="54" hidden="0" customHeight="1">
      <x:c r="A199" s="29" t="str">
        <x:v>SCA-02</x:v>
      </x:c>
      <x:c r="B199" s="29" t="str">
        <x:v>SCA-19</x:v>
      </x:c>
      <x:c r="C199" s="29" t="str">
        <x:v>Air</x:v>
      </x:c>
      <x:c r="D199" s="29" t="str">
        <x:v>YES</x:v>
      </x:c>
      <x:c r="E199" s="29" t="str">
        <x:v>YES</x:v>
      </x:c>
      <x:c r="F199" s="62" t="n">
        <x:v>4495.298066022545</x:v>
      </x:c>
      <x:c r="G199" s="62" t="n">
        <x:v>30.915843178496225</x:v>
      </x:c>
      <x:c r="H199" s="29" t="str">
        <x:v>YES</x:v>
      </x:c>
      <x:c r="I199" s="29" t="str">
        <x:v>primary-airport endpoints; great-circle screen</x:v>
      </x:c>
      <x:c r="J199" s="29" t="str">
        <x:v>presence does not prove operability or capacity</x:v>
      </x:c>
    </x:row>
    <x:row r="200" ht="75.5999984741211" hidden="0" customHeight="1">
      <x:c r="A200" s="27" t="str">
        <x:v>SCA-02</x:v>
      </x:c>
      <x:c r="B200" s="27" t="str">
        <x:v>SCA-19</x:v>
      </x:c>
      <x:c r="C200" s="27" t="str">
        <x:v>Water</x:v>
      </x:c>
      <x:c r="D200" s="27" t="str">
        <x:v>YES</x:v>
      </x:c>
      <x:c r="E200" s="27" t="str">
        <x:v>YES</x:v>
      </x:c>
      <x:c r="F200" s="61" t="n">
        <x:v>8910.062063672915</x:v>
      </x:c>
      <x:c r="G200" s="61" t="n">
        <x:v>284.57320181922614</x:v>
      </x:c>
      <x:c r="H200" s="27" t="str">
        <x:v>NO</x:v>
      </x:c>
      <x:c r="I200" s="27" t="str">
        <x:v>USACE waterway node topology; deployable terminal required</x:v>
      </x:c>
      <x:c r="J200" s="27" t="str">
        <x:v>presence does not prove operability or capacity</x:v>
      </x:c>
    </x:row>
    <x:row r="201" ht="54" hidden="0" customHeight="1">
      <x:c r="A201" s="29" t="str">
        <x:v>SCA-02</x:v>
      </x:c>
      <x:c r="B201" s="29" t="str">
        <x:v>SCA-20</x:v>
      </x:c>
      <x:c r="C201" s="29" t="str">
        <x:v>Road</x:v>
      </x:c>
      <x:c r="D201" s="29" t="str">
        <x:v>NO</x:v>
      </x:c>
      <x:c r="E201" s="29" t="str">
        <x:v>NO</x:v>
      </x:c>
      <x:c r="F201" s="62"/>
      <x:c r="G201" s="62"/>
      <x:c r="H201" s="29" t="str">
        <x:v>NO</x:v>
      </x:c>
      <x:c r="I201" s="29" t="str">
        <x:v>no screened path</x:v>
      </x:c>
      <x:c r="J201" s="29" t="str">
        <x:v>presence does not prove operability or capacity</x:v>
      </x:c>
    </x:row>
    <x:row r="202" ht="54" hidden="0" customHeight="1">
      <x:c r="A202" s="27" t="str">
        <x:v>SCA-02</x:v>
      </x:c>
      <x:c r="B202" s="27" t="str">
        <x:v>SCA-20</x:v>
      </x:c>
      <x:c r="C202" s="27" t="str">
        <x:v>Rail</x:v>
      </x:c>
      <x:c r="D202" s="27" t="str">
        <x:v>NO</x:v>
      </x:c>
      <x:c r="E202" s="27" t="str">
        <x:v>NO</x:v>
      </x:c>
      <x:c r="F202" s="61"/>
      <x:c r="G202" s="61"/>
      <x:c r="H202" s="27" t="str">
        <x:v>NO</x:v>
      </x:c>
      <x:c r="I202" s="27" t="str">
        <x:v>no screened path</x:v>
      </x:c>
      <x:c r="J202" s="27" t="str">
        <x:v>presence does not prove operability or capacity</x:v>
      </x:c>
    </x:row>
    <x:row r="203" ht="54" hidden="0" customHeight="1">
      <x:c r="A203" s="29" t="str">
        <x:v>SCA-02</x:v>
      </x:c>
      <x:c r="B203" s="29" t="str">
        <x:v>SCA-20</x:v>
      </x:c>
      <x:c r="C203" s="29" t="str">
        <x:v>Air</x:v>
      </x:c>
      <x:c r="D203" s="29" t="str">
        <x:v>YES</x:v>
      </x:c>
      <x:c r="E203" s="29" t="str">
        <x:v>YES</x:v>
      </x:c>
      <x:c r="F203" s="62" t="n">
        <x:v>4961.790969845168</x:v>
      </x:c>
      <x:c r="G203" s="62" t="n">
        <x:v>31.633524568992566</x:v>
      </x:c>
      <x:c r="H203" s="29" t="str">
        <x:v>YES</x:v>
      </x:c>
      <x:c r="I203" s="29" t="str">
        <x:v>primary-airport endpoints; great-circle screen</x:v>
      </x:c>
      <x:c r="J203" s="29" t="str">
        <x:v>presence does not prove operability or capacity</x:v>
      </x:c>
    </x:row>
    <x:row r="204" ht="75.5999984741211" hidden="0" customHeight="1">
      <x:c r="A204" s="27" t="str">
        <x:v>SCA-02</x:v>
      </x:c>
      <x:c r="B204" s="27" t="str">
        <x:v>SCA-20</x:v>
      </x:c>
      <x:c r="C204" s="27" t="str">
        <x:v>Water</x:v>
      </x:c>
      <x:c r="D204" s="27" t="str">
        <x:v>YES</x:v>
      </x:c>
      <x:c r="E204" s="27" t="str">
        <x:v>YES</x:v>
      </x:c>
      <x:c r="F204" s="61" t="n">
        <x:v>9101.402307352531</x:v>
      </x:c>
      <x:c r="G204" s="61" t="n">
        <x:v>290.04006592435803</x:v>
      </x:c>
      <x:c r="H204" s="27" t="str">
        <x:v>NO</x:v>
      </x:c>
      <x:c r="I204" s="27" t="str">
        <x:v>USACE waterway node topology; deployable terminal required</x:v>
      </x:c>
      <x:c r="J204" s="27" t="str">
        <x:v>presence does not prove operability or capacity</x:v>
      </x:c>
    </x:row>
    <x:row r="205" ht="54" hidden="0" customHeight="1">
      <x:c r="A205" s="29" t="str">
        <x:v>SCA-02</x:v>
      </x:c>
      <x:c r="B205" s="29" t="str">
        <x:v>SCA-21</x:v>
      </x:c>
      <x:c r="C205" s="29" t="str">
        <x:v>Road</x:v>
      </x:c>
      <x:c r="D205" s="29" t="str">
        <x:v>NO</x:v>
      </x:c>
      <x:c r="E205" s="29" t="str">
        <x:v>NO</x:v>
      </x:c>
      <x:c r="F205" s="62"/>
      <x:c r="G205" s="62"/>
      <x:c r="H205" s="29" t="str">
        <x:v>NO</x:v>
      </x:c>
      <x:c r="I205" s="29" t="str">
        <x:v>no screened path</x:v>
      </x:c>
      <x:c r="J205" s="29" t="str">
        <x:v>presence does not prove operability or capacity</x:v>
      </x:c>
    </x:row>
    <x:row r="206" ht="54" hidden="0" customHeight="1">
      <x:c r="A206" s="27" t="str">
        <x:v>SCA-02</x:v>
      </x:c>
      <x:c r="B206" s="27" t="str">
        <x:v>SCA-21</x:v>
      </x:c>
      <x:c r="C206" s="27" t="str">
        <x:v>Rail</x:v>
      </x:c>
      <x:c r="D206" s="27" t="str">
        <x:v>NO</x:v>
      </x:c>
      <x:c r="E206" s="27" t="str">
        <x:v>NO</x:v>
      </x:c>
      <x:c r="F206" s="61"/>
      <x:c r="G206" s="61"/>
      <x:c r="H206" s="27" t="str">
        <x:v>NO</x:v>
      </x:c>
      <x:c r="I206" s="27" t="str">
        <x:v>no screened path</x:v>
      </x:c>
      <x:c r="J206" s="27" t="str">
        <x:v>presence does not prove operability or capacity</x:v>
      </x:c>
    </x:row>
    <x:row r="207" ht="54" hidden="0" customHeight="1">
      <x:c r="A207" s="29" t="str">
        <x:v>SCA-02</x:v>
      </x:c>
      <x:c r="B207" s="29" t="str">
        <x:v>SCA-21</x:v>
      </x:c>
      <x:c r="C207" s="29" t="str">
        <x:v>Air</x:v>
      </x:c>
      <x:c r="D207" s="29" t="str">
        <x:v>YES</x:v>
      </x:c>
      <x:c r="E207" s="29" t="str">
        <x:v>YES</x:v>
      </x:c>
      <x:c r="F207" s="62" t="n">
        <x:v>4350.6332246754155</x:v>
      </x:c>
      <x:c r="G207" s="62" t="n">
        <x:v>30.693281884116026</x:v>
      </x:c>
      <x:c r="H207" s="29" t="str">
        <x:v>YES</x:v>
      </x:c>
      <x:c r="I207" s="29" t="str">
        <x:v>primary-airport endpoints; great-circle screen</x:v>
      </x:c>
      <x:c r="J207" s="29" t="str">
        <x:v>presence does not prove operability or capacity</x:v>
      </x:c>
    </x:row>
    <x:row r="208" ht="75.5999984741211" hidden="0" customHeight="1">
      <x:c r="A208" s="27" t="str">
        <x:v>SCA-02</x:v>
      </x:c>
      <x:c r="B208" s="27" t="str">
        <x:v>SCA-21</x:v>
      </x:c>
      <x:c r="C208" s="27" t="str">
        <x:v>Water</x:v>
      </x:c>
      <x:c r="D208" s="27" t="str">
        <x:v>YES</x:v>
      </x:c>
      <x:c r="E208" s="27" t="str">
        <x:v>YES</x:v>
      </x:c>
      <x:c r="F208" s="61" t="n">
        <x:v>8565.928992198307</x:v>
      </x:c>
      <x:c r="G208" s="61" t="n">
        <x:v>274.74082834852305</x:v>
      </x:c>
      <x:c r="H208" s="27" t="str">
        <x:v>NO</x:v>
      </x:c>
      <x:c r="I208" s="27" t="str">
        <x:v>USACE waterway node topology; deployable terminal required</x:v>
      </x:c>
      <x:c r="J208" s="27" t="str">
        <x:v>presence does not prove operability or capacity</x:v>
      </x:c>
    </x:row>
    <x:row r="209" ht="54" hidden="0" customHeight="1">
      <x:c r="A209" s="29" t="str">
        <x:v>SCA-02</x:v>
      </x:c>
      <x:c r="B209" s="29" t="str">
        <x:v>SCA-22</x:v>
      </x:c>
      <x:c r="C209" s="29" t="str">
        <x:v>Road</x:v>
      </x:c>
      <x:c r="D209" s="29" t="str">
        <x:v>NO</x:v>
      </x:c>
      <x:c r="E209" s="29" t="str">
        <x:v>NO</x:v>
      </x:c>
      <x:c r="F209" s="62"/>
      <x:c r="G209" s="62"/>
      <x:c r="H209" s="29" t="str">
        <x:v>NO</x:v>
      </x:c>
      <x:c r="I209" s="29" t="str">
        <x:v>no screened path</x:v>
      </x:c>
      <x:c r="J209" s="29" t="str">
        <x:v>presence does not prove operability or capacity</x:v>
      </x:c>
    </x:row>
    <x:row r="210" ht="54" hidden="0" customHeight="1">
      <x:c r="A210" s="27" t="str">
        <x:v>SCA-02</x:v>
      </x:c>
      <x:c r="B210" s="27" t="str">
        <x:v>SCA-22</x:v>
      </x:c>
      <x:c r="C210" s="27" t="str">
        <x:v>Rail</x:v>
      </x:c>
      <x:c r="D210" s="27" t="str">
        <x:v>NO</x:v>
      </x:c>
      <x:c r="E210" s="27" t="str">
        <x:v>NO</x:v>
      </x:c>
      <x:c r="F210" s="61"/>
      <x:c r="G210" s="61"/>
      <x:c r="H210" s="27" t="str">
        <x:v>NO</x:v>
      </x:c>
      <x:c r="I210" s="27" t="str">
        <x:v>no screened path</x:v>
      </x:c>
      <x:c r="J210" s="27" t="str">
        <x:v>presence does not prove operability or capacity</x:v>
      </x:c>
    </x:row>
    <x:row r="211" ht="54" hidden="0" customHeight="1">
      <x:c r="A211" s="29" t="str">
        <x:v>SCA-02</x:v>
      </x:c>
      <x:c r="B211" s="29" t="str">
        <x:v>SCA-22</x:v>
      </x:c>
      <x:c r="C211" s="29" t="str">
        <x:v>Air</x:v>
      </x:c>
      <x:c r="D211" s="29" t="str">
        <x:v>YES</x:v>
      </x:c>
      <x:c r="E211" s="29" t="str">
        <x:v>YES</x:v>
      </x:c>
      <x:c r="F211" s="62" t="n">
        <x:v>4819.638575513851</x:v>
      </x:c>
      <x:c r="G211" s="62" t="n">
        <x:v>31.414828577713617</x:v>
      </x:c>
      <x:c r="H211" s="29" t="str">
        <x:v>YES</x:v>
      </x:c>
      <x:c r="I211" s="29" t="str">
        <x:v>primary-airport endpoints; great-circle screen</x:v>
      </x:c>
      <x:c r="J211" s="29" t="str">
        <x:v>presence does not prove operability or capacity</x:v>
      </x:c>
    </x:row>
    <x:row r="212" ht="75.5999984741211" hidden="0" customHeight="1">
      <x:c r="A212" s="27" t="str">
        <x:v>SCA-02</x:v>
      </x:c>
      <x:c r="B212" s="27" t="str">
        <x:v>SCA-22</x:v>
      </x:c>
      <x:c r="C212" s="27" t="str">
        <x:v>Water</x:v>
      </x:c>
      <x:c r="D212" s="27" t="str">
        <x:v>YES</x:v>
      </x:c>
      <x:c r="E212" s="27" t="str">
        <x:v>YES</x:v>
      </x:c>
      <x:c r="F212" s="61" t="n">
        <x:v>8289.448352802287</x:v>
      </x:c>
      <x:c r="G212" s="61" t="n">
        <x:v>266.8413815086368</x:v>
      </x:c>
      <x:c r="H212" s="27" t="str">
        <x:v>NO</x:v>
      </x:c>
      <x:c r="I212" s="27" t="str">
        <x:v>USACE waterway node topology; deployable terminal required</x:v>
      </x:c>
      <x:c r="J212" s="27" t="str">
        <x:v>presence does not prove operability or capacity</x:v>
      </x:c>
    </x:row>
    <x:row r="213" ht="54" hidden="0" customHeight="1">
      <x:c r="A213" s="29" t="str">
        <x:v>SCA-02</x:v>
      </x:c>
      <x:c r="B213" s="29" t="str">
        <x:v>SCA-23</x:v>
      </x:c>
      <x:c r="C213" s="29" t="str">
        <x:v>Road</x:v>
      </x:c>
      <x:c r="D213" s="29" t="str">
        <x:v>NO</x:v>
      </x:c>
      <x:c r="E213" s="29" t="str">
        <x:v>NO</x:v>
      </x:c>
      <x:c r="F213" s="62"/>
      <x:c r="G213" s="62"/>
      <x:c r="H213" s="29" t="str">
        <x:v>NO</x:v>
      </x:c>
      <x:c r="I213" s="29" t="str">
        <x:v>no screened path</x:v>
      </x:c>
      <x:c r="J213" s="29" t="str">
        <x:v>presence does not prove operability or capacity</x:v>
      </x:c>
    </x:row>
    <x:row r="214" ht="54" hidden="0" customHeight="1">
      <x:c r="A214" s="27" t="str">
        <x:v>SCA-02</x:v>
      </x:c>
      <x:c r="B214" s="27" t="str">
        <x:v>SCA-23</x:v>
      </x:c>
      <x:c r="C214" s="27" t="str">
        <x:v>Rail</x:v>
      </x:c>
      <x:c r="D214" s="27" t="str">
        <x:v>NO</x:v>
      </x:c>
      <x:c r="E214" s="27" t="str">
        <x:v>NO</x:v>
      </x:c>
      <x:c r="F214" s="61"/>
      <x:c r="G214" s="61"/>
      <x:c r="H214" s="27" t="str">
        <x:v>NO</x:v>
      </x:c>
      <x:c r="I214" s="27" t="str">
        <x:v>no screened path</x:v>
      </x:c>
      <x:c r="J214" s="27" t="str">
        <x:v>presence does not prove operability or capacity</x:v>
      </x:c>
    </x:row>
    <x:row r="215" ht="54" hidden="0" customHeight="1">
      <x:c r="A215" s="29" t="str">
        <x:v>SCA-02</x:v>
      </x:c>
      <x:c r="B215" s="29" t="str">
        <x:v>SCA-23</x:v>
      </x:c>
      <x:c r="C215" s="29" t="str">
        <x:v>Air</x:v>
      </x:c>
      <x:c r="D215" s="29" t="str">
        <x:v>YES</x:v>
      </x:c>
      <x:c r="E215" s="29" t="str">
        <x:v>YES</x:v>
      </x:c>
      <x:c r="F215" s="62" t="n">
        <x:v>5271.748507830711</x:v>
      </x:c>
      <x:c r="G215" s="62" t="n">
        <x:v>32.11038231973956</x:v>
      </x:c>
      <x:c r="H215" s="29" t="str">
        <x:v>YES</x:v>
      </x:c>
      <x:c r="I215" s="29" t="str">
        <x:v>primary-airport endpoints; great-circle screen</x:v>
      </x:c>
      <x:c r="J215" s="29" t="str">
        <x:v>presence does not prove operability or capacity</x:v>
      </x:c>
    </x:row>
    <x:row r="216" ht="75.5999984741211" hidden="0" customHeight="1">
      <x:c r="A216" s="27" t="str">
        <x:v>SCA-02</x:v>
      </x:c>
      <x:c r="B216" s="27" t="str">
        <x:v>SCA-23</x:v>
      </x:c>
      <x:c r="C216" s="27" t="str">
        <x:v>Water</x:v>
      </x:c>
      <x:c r="D216" s="27" t="str">
        <x:v>YES</x:v>
      </x:c>
      <x:c r="E216" s="27" t="str">
        <x:v>YES</x:v>
      </x:c>
      <x:c r="F216" s="61" t="n">
        <x:v>9276.756369395582</x:v>
      </x:c>
      <x:c r="G216" s="61" t="n">
        <x:v>295.0501819827309</x:v>
      </x:c>
      <x:c r="H216" s="27" t="str">
        <x:v>NO</x:v>
      </x:c>
      <x:c r="I216" s="27" t="str">
        <x:v>USACE waterway node topology; deployable terminal required</x:v>
      </x:c>
      <x:c r="J216" s="27" t="str">
        <x:v>presence does not prove operability or capacity</x:v>
      </x:c>
    </x:row>
    <x:row r="217" ht="54" hidden="0" customHeight="1">
      <x:c r="A217" s="29" t="str">
        <x:v>SCA-02</x:v>
      </x:c>
      <x:c r="B217" s="29" t="str">
        <x:v>SCA-24</x:v>
      </x:c>
      <x:c r="C217" s="29" t="str">
        <x:v>Road</x:v>
      </x:c>
      <x:c r="D217" s="29" t="str">
        <x:v>NO</x:v>
      </x:c>
      <x:c r="E217" s="29" t="str">
        <x:v>NO</x:v>
      </x:c>
      <x:c r="F217" s="62"/>
      <x:c r="G217" s="62"/>
      <x:c r="H217" s="29" t="str">
        <x:v>NO</x:v>
      </x:c>
      <x:c r="I217" s="29" t="str">
        <x:v>no screened path</x:v>
      </x:c>
      <x:c r="J217" s="29" t="str">
        <x:v>presence does not prove operability or capacity</x:v>
      </x:c>
    </x:row>
    <x:row r="218" ht="54" hidden="0" customHeight="1">
      <x:c r="A218" s="27" t="str">
        <x:v>SCA-02</x:v>
      </x:c>
      <x:c r="B218" s="27" t="str">
        <x:v>SCA-24</x:v>
      </x:c>
      <x:c r="C218" s="27" t="str">
        <x:v>Rail</x:v>
      </x:c>
      <x:c r="D218" s="27" t="str">
        <x:v>NO</x:v>
      </x:c>
      <x:c r="E218" s="27" t="str">
        <x:v>NO</x:v>
      </x:c>
      <x:c r="F218" s="61"/>
      <x:c r="G218" s="61"/>
      <x:c r="H218" s="27" t="str">
        <x:v>NO</x:v>
      </x:c>
      <x:c r="I218" s="27" t="str">
        <x:v>no screened path</x:v>
      </x:c>
      <x:c r="J218" s="27" t="str">
        <x:v>presence does not prove operability or capacity</x:v>
      </x:c>
    </x:row>
    <x:row r="219" ht="54" hidden="0" customHeight="1">
      <x:c r="A219" s="29" t="str">
        <x:v>SCA-02</x:v>
      </x:c>
      <x:c r="B219" s="29" t="str">
        <x:v>SCA-24</x:v>
      </x:c>
      <x:c r="C219" s="29" t="str">
        <x:v>Air</x:v>
      </x:c>
      <x:c r="D219" s="29" t="str">
        <x:v>YES</x:v>
      </x:c>
      <x:c r="E219" s="29" t="str">
        <x:v>YES</x:v>
      </x:c>
      <x:c r="F219" s="62" t="n">
        <x:v>4554.499746410032</x:v>
      </x:c>
      <x:c r="G219" s="62" t="n">
        <x:v>31.006922686784662</x:v>
      </x:c>
      <x:c r="H219" s="29" t="str">
        <x:v>YES</x:v>
      </x:c>
      <x:c r="I219" s="29" t="str">
        <x:v>primary-airport endpoints; great-circle screen</x:v>
      </x:c>
      <x:c r="J219" s="29" t="str">
        <x:v>presence does not prove operability or capacity</x:v>
      </x:c>
    </x:row>
    <x:row r="220" ht="75.5999984741211" hidden="0" customHeight="1">
      <x:c r="A220" s="27" t="str">
        <x:v>SCA-02</x:v>
      </x:c>
      <x:c r="B220" s="27" t="str">
        <x:v>SCA-24</x:v>
      </x:c>
      <x:c r="C220" s="27" t="str">
        <x:v>Water</x:v>
      </x:c>
      <x:c r="D220" s="27" t="str">
        <x:v>YES</x:v>
      </x:c>
      <x:c r="E220" s="27" t="str">
        <x:v>YES</x:v>
      </x:c>
      <x:c r="F220" s="61" t="n">
        <x:v>8123.783541721187</x:v>
      </x:c>
      <x:c r="G220" s="61" t="n">
        <x:v>262.1081011920339</x:v>
      </x:c>
      <x:c r="H220" s="27" t="str">
        <x:v>NO</x:v>
      </x:c>
      <x:c r="I220" s="27" t="str">
        <x:v>USACE waterway node topology; deployable terminal required</x:v>
      </x:c>
      <x:c r="J220" s="27" t="str">
        <x:v>presence does not prove operability or capacity</x:v>
      </x:c>
    </x:row>
    <x:row r="221" ht="54" hidden="0" customHeight="1">
      <x:c r="A221" s="29" t="str">
        <x:v>SCA-02</x:v>
      </x:c>
      <x:c r="B221" s="29" t="str">
        <x:v>SCA-25</x:v>
      </x:c>
      <x:c r="C221" s="29" t="str">
        <x:v>Road</x:v>
      </x:c>
      <x:c r="D221" s="29" t="str">
        <x:v>NO</x:v>
      </x:c>
      <x:c r="E221" s="29" t="str">
        <x:v>NO</x:v>
      </x:c>
      <x:c r="F221" s="62"/>
      <x:c r="G221" s="62"/>
      <x:c r="H221" s="29" t="str">
        <x:v>NO</x:v>
      </x:c>
      <x:c r="I221" s="29" t="str">
        <x:v>no screened path</x:v>
      </x:c>
      <x:c r="J221" s="29" t="str">
        <x:v>presence does not prove operability or capacity</x:v>
      </x:c>
    </x:row>
    <x:row r="222" ht="54" hidden="0" customHeight="1">
      <x:c r="A222" s="27" t="str">
        <x:v>SCA-02</x:v>
      </x:c>
      <x:c r="B222" s="27" t="str">
        <x:v>SCA-25</x:v>
      </x:c>
      <x:c r="C222" s="27" t="str">
        <x:v>Rail</x:v>
      </x:c>
      <x:c r="D222" s="27" t="str">
        <x:v>NO</x:v>
      </x:c>
      <x:c r="E222" s="27" t="str">
        <x:v>NO</x:v>
      </x:c>
      <x:c r="F222" s="61"/>
      <x:c r="G222" s="61"/>
      <x:c r="H222" s="27" t="str">
        <x:v>NO</x:v>
      </x:c>
      <x:c r="I222" s="27" t="str">
        <x:v>no screened path</x:v>
      </x:c>
      <x:c r="J222" s="27" t="str">
        <x:v>presence does not prove operability or capacity</x:v>
      </x:c>
    </x:row>
    <x:row r="223" ht="54" hidden="0" customHeight="1">
      <x:c r="A223" s="29" t="str">
        <x:v>SCA-02</x:v>
      </x:c>
      <x:c r="B223" s="29" t="str">
        <x:v>SCA-25</x:v>
      </x:c>
      <x:c r="C223" s="29" t="str">
        <x:v>Air</x:v>
      </x:c>
      <x:c r="D223" s="29" t="str">
        <x:v>YES</x:v>
      </x:c>
      <x:c r="E223" s="29" t="str">
        <x:v>YES</x:v>
      </x:c>
      <x:c r="F223" s="62" t="n">
        <x:v>5701.727367291284</x:v>
      </x:c>
      <x:c r="G223" s="62" t="n">
        <x:v>32.7718882573712</x:v>
      </x:c>
      <x:c r="H223" s="29" t="str">
        <x:v>YES</x:v>
      </x:c>
      <x:c r="I223" s="29" t="str">
        <x:v>primary-airport endpoints; great-circle screen</x:v>
      </x:c>
      <x:c r="J223" s="29" t="str">
        <x:v>presence does not prove operability or capacity</x:v>
      </x:c>
    </x:row>
    <x:row r="224" ht="75.5999984741211" hidden="0" customHeight="1">
      <x:c r="A224" s="27" t="str">
        <x:v>SCA-02</x:v>
      </x:c>
      <x:c r="B224" s="27" t="str">
        <x:v>SCA-25</x:v>
      </x:c>
      <x:c r="C224" s="27" t="str">
        <x:v>Water</x:v>
      </x:c>
      <x:c r="D224" s="27" t="str">
        <x:v>YES</x:v>
      </x:c>
      <x:c r="E224" s="27" t="str">
        <x:v>YES</x:v>
      </x:c>
      <x:c r="F224" s="61" t="n">
        <x:v>8726.26267348525</x:v>
      </x:c>
      <x:c r="G224" s="61" t="n">
        <x:v>279.3217906710071</x:v>
      </x:c>
      <x:c r="H224" s="27" t="str">
        <x:v>NO</x:v>
      </x:c>
      <x:c r="I224" s="27" t="str">
        <x:v>USACE waterway node topology; deployable terminal required</x:v>
      </x:c>
      <x:c r="J224" s="27" t="str">
        <x:v>presence does not prove operability or capacity</x:v>
      </x:c>
    </x:row>
    <x:row r="225" ht="54" hidden="0" customHeight="1">
      <x:c r="A225" s="29" t="str">
        <x:v>SCA-02</x:v>
      </x:c>
      <x:c r="B225" s="29" t="str">
        <x:v>SCA-26</x:v>
      </x:c>
      <x:c r="C225" s="29" t="str">
        <x:v>Road</x:v>
      </x:c>
      <x:c r="D225" s="29" t="str">
        <x:v>NO</x:v>
      </x:c>
      <x:c r="E225" s="29" t="str">
        <x:v>NO</x:v>
      </x:c>
      <x:c r="F225" s="62"/>
      <x:c r="G225" s="62"/>
      <x:c r="H225" s="29" t="str">
        <x:v>NO</x:v>
      </x:c>
      <x:c r="I225" s="29" t="str">
        <x:v>no screened path</x:v>
      </x:c>
      <x:c r="J225" s="29" t="str">
        <x:v>presence does not prove operability or capacity</x:v>
      </x:c>
    </x:row>
    <x:row r="226" ht="54" hidden="0" customHeight="1">
      <x:c r="A226" s="27" t="str">
        <x:v>SCA-02</x:v>
      </x:c>
      <x:c r="B226" s="27" t="str">
        <x:v>SCA-26</x:v>
      </x:c>
      <x:c r="C226" s="27" t="str">
        <x:v>Rail</x:v>
      </x:c>
      <x:c r="D226" s="27" t="str">
        <x:v>NO</x:v>
      </x:c>
      <x:c r="E226" s="27" t="str">
        <x:v>NO</x:v>
      </x:c>
      <x:c r="F226" s="61"/>
      <x:c r="G226" s="61"/>
      <x:c r="H226" s="27" t="str">
        <x:v>NO</x:v>
      </x:c>
      <x:c r="I226" s="27" t="str">
        <x:v>no screened path</x:v>
      </x:c>
      <x:c r="J226" s="27" t="str">
        <x:v>presence does not prove operability or capacity</x:v>
      </x:c>
    </x:row>
    <x:row r="227" ht="54" hidden="0" customHeight="1">
      <x:c r="A227" s="29" t="str">
        <x:v>SCA-02</x:v>
      </x:c>
      <x:c r="B227" s="29" t="str">
        <x:v>SCA-26</x:v>
      </x:c>
      <x:c r="C227" s="29" t="str">
        <x:v>Air</x:v>
      </x:c>
      <x:c r="D227" s="29" t="str">
        <x:v>YES</x:v>
      </x:c>
      <x:c r="E227" s="29" t="str">
        <x:v>YES</x:v>
      </x:c>
      <x:c r="F227" s="62" t="n">
        <x:v>5952.864404219491</x:v>
      </x:c>
      <x:c r="G227" s="62" t="n">
        <x:v>33.15825292956845</x:v>
      </x:c>
      <x:c r="H227" s="29" t="str">
        <x:v>YES</x:v>
      </x:c>
      <x:c r="I227" s="29" t="str">
        <x:v>primary-airport endpoints; great-circle screen</x:v>
      </x:c>
      <x:c r="J227" s="29" t="str">
        <x:v>presence does not prove operability or capacity</x:v>
      </x:c>
    </x:row>
    <x:row r="228" ht="75.5999984741211" hidden="0" customHeight="1">
      <x:c r="A228" s="27" t="str">
        <x:v>SCA-02</x:v>
      </x:c>
      <x:c r="B228" s="27" t="str">
        <x:v>SCA-26</x:v>
      </x:c>
      <x:c r="C228" s="27" t="str">
        <x:v>Water</x:v>
      </x:c>
      <x:c r="D228" s="27" t="str">
        <x:v>YES</x:v>
      </x:c>
      <x:c r="E228" s="27" t="str">
        <x:v>YES</x:v>
      </x:c>
      <x:c r="F228" s="61" t="n">
        <x:v>9091.896850336529</x:v>
      </x:c>
      <x:c r="G228" s="61" t="n">
        <x:v>289.76848143818654</x:v>
      </x:c>
      <x:c r="H228" s="27" t="str">
        <x:v>NO</x:v>
      </x:c>
      <x:c r="I228" s="27" t="str">
        <x:v>USACE waterway node topology; deployable terminal required</x:v>
      </x:c>
      <x:c r="J228" s="27" t="str">
        <x:v>presence does not prove operability or capacity</x:v>
      </x:c>
    </x:row>
    <x:row r="229" ht="54" hidden="0" customHeight="1">
      <x:c r="A229" s="29" t="str">
        <x:v>SCA-02</x:v>
      </x:c>
      <x:c r="B229" s="29" t="str">
        <x:v>SCA-27</x:v>
      </x:c>
      <x:c r="C229" s="29" t="str">
        <x:v>Road</x:v>
      </x:c>
      <x:c r="D229" s="29" t="str">
        <x:v>NO</x:v>
      </x:c>
      <x:c r="E229" s="29" t="str">
        <x:v>NO</x:v>
      </x:c>
      <x:c r="F229" s="62"/>
      <x:c r="G229" s="62"/>
      <x:c r="H229" s="29" t="str">
        <x:v>NO</x:v>
      </x:c>
      <x:c r="I229" s="29" t="str">
        <x:v>no screened path</x:v>
      </x:c>
      <x:c r="J229" s="29" t="str">
        <x:v>presence does not prove operability or capacity</x:v>
      </x:c>
    </x:row>
    <x:row r="230" ht="54" hidden="0" customHeight="1">
      <x:c r="A230" s="27" t="str">
        <x:v>SCA-02</x:v>
      </x:c>
      <x:c r="B230" s="27" t="str">
        <x:v>SCA-27</x:v>
      </x:c>
      <x:c r="C230" s="27" t="str">
        <x:v>Rail</x:v>
      </x:c>
      <x:c r="D230" s="27" t="str">
        <x:v>NO</x:v>
      </x:c>
      <x:c r="E230" s="27" t="str">
        <x:v>NO</x:v>
      </x:c>
      <x:c r="F230" s="61"/>
      <x:c r="G230" s="61"/>
      <x:c r="H230" s="27" t="str">
        <x:v>NO</x:v>
      </x:c>
      <x:c r="I230" s="27" t="str">
        <x:v>no screened path</x:v>
      </x:c>
      <x:c r="J230" s="27" t="str">
        <x:v>presence does not prove operability or capacity</x:v>
      </x:c>
    </x:row>
    <x:row r="231" ht="54" hidden="0" customHeight="1">
      <x:c r="A231" s="29" t="str">
        <x:v>SCA-02</x:v>
      </x:c>
      <x:c r="B231" s="29" t="str">
        <x:v>SCA-27</x:v>
      </x:c>
      <x:c r="C231" s="29" t="str">
        <x:v>Air</x:v>
      </x:c>
      <x:c r="D231" s="29" t="str">
        <x:v>YES</x:v>
      </x:c>
      <x:c r="E231" s="29" t="str">
        <x:v>YES</x:v>
      </x:c>
      <x:c r="F231" s="62" t="n">
        <x:v>6195.958388706716</x:v>
      </x:c>
      <x:c r="G231" s="62" t="n">
        <x:v>33.53224367493341</x:v>
      </x:c>
      <x:c r="H231" s="29" t="str">
        <x:v>YES</x:v>
      </x:c>
      <x:c r="I231" s="29" t="str">
        <x:v>primary-airport endpoints; great-circle screen</x:v>
      </x:c>
      <x:c r="J231" s="29" t="str">
        <x:v>presence does not prove operability or capacity</x:v>
      </x:c>
    </x:row>
    <x:row r="232" ht="75.5999984741211" hidden="0" customHeight="1">
      <x:c r="A232" s="27" t="str">
        <x:v>SCA-02</x:v>
      </x:c>
      <x:c r="B232" s="27" t="str">
        <x:v>SCA-27</x:v>
      </x:c>
      <x:c r="C232" s="27" t="str">
        <x:v>Water</x:v>
      </x:c>
      <x:c r="D232" s="27" t="str">
        <x:v>YES</x:v>
      </x:c>
      <x:c r="E232" s="27" t="str">
        <x:v>YES</x:v>
      </x:c>
      <x:c r="F232" s="61" t="n">
        <x:v>9280.737058840366</x:v>
      </x:c>
      <x:c r="G232" s="61" t="n">
        <x:v>295.1639159668676</x:v>
      </x:c>
      <x:c r="H232" s="27" t="str">
        <x:v>NO</x:v>
      </x:c>
      <x:c r="I232" s="27" t="str">
        <x:v>USACE waterway node topology; deployable terminal required</x:v>
      </x:c>
      <x:c r="J232" s="27" t="str">
        <x:v>presence does not prove operability or capacity</x:v>
      </x:c>
    </x:row>
    <x:row r="233" ht="54" hidden="0" customHeight="1">
      <x:c r="A233" s="29" t="str">
        <x:v>SCA-02</x:v>
      </x:c>
      <x:c r="B233" s="29" t="str">
        <x:v>SCA-28</x:v>
      </x:c>
      <x:c r="C233" s="29" t="str">
        <x:v>Road</x:v>
      </x:c>
      <x:c r="D233" s="29" t="str">
        <x:v>NO</x:v>
      </x:c>
      <x:c r="E233" s="29" t="str">
        <x:v>NO</x:v>
      </x:c>
      <x:c r="F233" s="62"/>
      <x:c r="G233" s="62"/>
      <x:c r="H233" s="29" t="str">
        <x:v>NO</x:v>
      </x:c>
      <x:c r="I233" s="29" t="str">
        <x:v>no screened path</x:v>
      </x:c>
      <x:c r="J233" s="29" t="str">
        <x:v>presence does not prove operability or capacity</x:v>
      </x:c>
    </x:row>
    <x:row r="234" ht="54" hidden="0" customHeight="1">
      <x:c r="A234" s="27" t="str">
        <x:v>SCA-02</x:v>
      </x:c>
      <x:c r="B234" s="27" t="str">
        <x:v>SCA-28</x:v>
      </x:c>
      <x:c r="C234" s="27" t="str">
        <x:v>Rail</x:v>
      </x:c>
      <x:c r="D234" s="27" t="str">
        <x:v>NO</x:v>
      </x:c>
      <x:c r="E234" s="27" t="str">
        <x:v>NO</x:v>
      </x:c>
      <x:c r="F234" s="61"/>
      <x:c r="G234" s="61"/>
      <x:c r="H234" s="27" t="str">
        <x:v>NO</x:v>
      </x:c>
      <x:c r="I234" s="27" t="str">
        <x:v>no screened path</x:v>
      </x:c>
      <x:c r="J234" s="27" t="str">
        <x:v>presence does not prove operability or capacity</x:v>
      </x:c>
    </x:row>
    <x:row r="235" ht="54" hidden="0" customHeight="1">
      <x:c r="A235" s="29" t="str">
        <x:v>SCA-02</x:v>
      </x:c>
      <x:c r="B235" s="29" t="str">
        <x:v>SCA-28</x:v>
      </x:c>
      <x:c r="C235" s="29" t="str">
        <x:v>Air</x:v>
      </x:c>
      <x:c r="D235" s="29" t="str">
        <x:v>YES</x:v>
      </x:c>
      <x:c r="E235" s="29" t="str">
        <x:v>YES</x:v>
      </x:c>
      <x:c r="F235" s="62" t="n">
        <x:v>4961.364543861344</x:v>
      </x:c>
      <x:c r="G235" s="62" t="n">
        <x:v>31.63286852901745</x:v>
      </x:c>
      <x:c r="H235" s="29" t="str">
        <x:v>YES</x:v>
      </x:c>
      <x:c r="I235" s="29" t="str">
        <x:v>primary-airport endpoints; great-circle screen</x:v>
      </x:c>
      <x:c r="J235" s="29" t="str">
        <x:v>presence does not prove operability or capacity</x:v>
      </x:c>
    </x:row>
    <x:row r="236" ht="75.5999984741211" hidden="0" customHeight="1">
      <x:c r="A236" s="27" t="str">
        <x:v>SCA-02</x:v>
      </x:c>
      <x:c r="B236" s="27" t="str">
        <x:v>SCA-28</x:v>
      </x:c>
      <x:c r="C236" s="27" t="str">
        <x:v>Water</x:v>
      </x:c>
      <x:c r="D236" s="27" t="str">
        <x:v>YES</x:v>
      </x:c>
      <x:c r="E236" s="27" t="str">
        <x:v>YES</x:v>
      </x:c>
      <x:c r="F236" s="61" t="n">
        <x:v>7571.919336855892</x:v>
      </x:c>
      <x:c r="G236" s="61" t="n">
        <x:v>246.34055248159692</x:v>
      </x:c>
      <x:c r="H236" s="27" t="str">
        <x:v>NO</x:v>
      </x:c>
      <x:c r="I236" s="27" t="str">
        <x:v>USACE waterway node topology; deployable terminal required</x:v>
      </x:c>
      <x:c r="J236" s="27" t="str">
        <x:v>presence does not prove operability or capacity</x:v>
      </x:c>
    </x:row>
    <x:row r="237" ht="54" hidden="0" customHeight="1">
      <x:c r="A237" s="29" t="str">
        <x:v>SCA-02</x:v>
      </x:c>
      <x:c r="B237" s="29" t="str">
        <x:v>SCA-29</x:v>
      </x:c>
      <x:c r="C237" s="29" t="str">
        <x:v>Road</x:v>
      </x:c>
      <x:c r="D237" s="29" t="str">
        <x:v>NO</x:v>
      </x:c>
      <x:c r="E237" s="29" t="str">
        <x:v>NO</x:v>
      </x:c>
      <x:c r="F237" s="62"/>
      <x:c r="G237" s="62"/>
      <x:c r="H237" s="29" t="str">
        <x:v>NO</x:v>
      </x:c>
      <x:c r="I237" s="29" t="str">
        <x:v>no screened path</x:v>
      </x:c>
      <x:c r="J237" s="29" t="str">
        <x:v>presence does not prove operability or capacity</x:v>
      </x:c>
    </x:row>
    <x:row r="238" ht="54" hidden="0" customHeight="1">
      <x:c r="A238" s="27" t="str">
        <x:v>SCA-02</x:v>
      </x:c>
      <x:c r="B238" s="27" t="str">
        <x:v>SCA-29</x:v>
      </x:c>
      <x:c r="C238" s="27" t="str">
        <x:v>Rail</x:v>
      </x:c>
      <x:c r="D238" s="27" t="str">
        <x:v>NO</x:v>
      </x:c>
      <x:c r="E238" s="27" t="str">
        <x:v>NO</x:v>
      </x:c>
      <x:c r="F238" s="61"/>
      <x:c r="G238" s="61"/>
      <x:c r="H238" s="27" t="str">
        <x:v>NO</x:v>
      </x:c>
      <x:c r="I238" s="27" t="str">
        <x:v>no screened path</x:v>
      </x:c>
      <x:c r="J238" s="27" t="str">
        <x:v>presence does not prove operability or capacity</x:v>
      </x:c>
    </x:row>
    <x:row r="239" ht="54" hidden="0" customHeight="1">
      <x:c r="A239" s="29" t="str">
        <x:v>SCA-02</x:v>
      </x:c>
      <x:c r="B239" s="29" t="str">
        <x:v>SCA-29</x:v>
      </x:c>
      <x:c r="C239" s="29" t="str">
        <x:v>Air</x:v>
      </x:c>
      <x:c r="D239" s="29" t="str">
        <x:v>YES</x:v>
      </x:c>
      <x:c r="E239" s="29" t="str">
        <x:v>YES</x:v>
      </x:c>
      <x:c r="F239" s="62" t="n">
        <x:v>5376.233544625213</x:v>
      </x:c>
      <x:c r="G239" s="62" t="n">
        <x:v>32.271128530192634</x:v>
      </x:c>
      <x:c r="H239" s="29" t="str">
        <x:v>YES</x:v>
      </x:c>
      <x:c r="I239" s="29" t="str">
        <x:v>primary-airport endpoints; great-circle screen</x:v>
      </x:c>
      <x:c r="J239" s="29" t="str">
        <x:v>presence does not prove operability or capacity</x:v>
      </x:c>
    </x:row>
    <x:row r="240" ht="75.5999984741211" hidden="0" customHeight="1">
      <x:c r="A240" s="27" t="str">
        <x:v>SCA-02</x:v>
      </x:c>
      <x:c r="B240" s="27" t="str">
        <x:v>SCA-29</x:v>
      </x:c>
      <x:c r="C240" s="27" t="str">
        <x:v>Water</x:v>
      </x:c>
      <x:c r="D240" s="27" t="str">
        <x:v>YES</x:v>
      </x:c>
      <x:c r="E240" s="27" t="str">
        <x:v>YES</x:v>
      </x:c>
      <x:c r="F240" s="61" t="n">
        <x:v>7888.581483051404</x:v>
      </x:c>
      <x:c r="G240" s="61" t="n">
        <x:v>255.38804237289725</x:v>
      </x:c>
      <x:c r="H240" s="27" t="str">
        <x:v>NO</x:v>
      </x:c>
      <x:c r="I240" s="27" t="str">
        <x:v>USACE waterway node topology; deployable terminal required</x:v>
      </x:c>
      <x:c r="J240" s="27" t="str">
        <x:v>presence does not prove operability or capacity</x:v>
      </x:c>
    </x:row>
    <x:row r="241" ht="54" hidden="0" customHeight="1">
      <x:c r="A241" s="29" t="str">
        <x:v>SCA-02</x:v>
      </x:c>
      <x:c r="B241" s="29" t="str">
        <x:v>SCA-30</x:v>
      </x:c>
      <x:c r="C241" s="29" t="str">
        <x:v>Road</x:v>
      </x:c>
      <x:c r="D241" s="29" t="str">
        <x:v>NO</x:v>
      </x:c>
      <x:c r="E241" s="29" t="str">
        <x:v>NO</x:v>
      </x:c>
      <x:c r="F241" s="62"/>
      <x:c r="G241" s="62"/>
      <x:c r="H241" s="29" t="str">
        <x:v>NO</x:v>
      </x:c>
      <x:c r="I241" s="29" t="str">
        <x:v>no screened path</x:v>
      </x:c>
      <x:c r="J241" s="29" t="str">
        <x:v>presence does not prove operability or capacity</x:v>
      </x:c>
    </x:row>
    <x:row r="242" ht="54" hidden="0" customHeight="1">
      <x:c r="A242" s="27" t="str">
        <x:v>SCA-02</x:v>
      </x:c>
      <x:c r="B242" s="27" t="str">
        <x:v>SCA-30</x:v>
      </x:c>
      <x:c r="C242" s="27" t="str">
        <x:v>Rail</x:v>
      </x:c>
      <x:c r="D242" s="27" t="str">
        <x:v>NO</x:v>
      </x:c>
      <x:c r="E242" s="27" t="str">
        <x:v>NO</x:v>
      </x:c>
      <x:c r="F242" s="61"/>
      <x:c r="G242" s="61"/>
      <x:c r="H242" s="27" t="str">
        <x:v>NO</x:v>
      </x:c>
      <x:c r="I242" s="27" t="str">
        <x:v>no screened path</x:v>
      </x:c>
      <x:c r="J242" s="27" t="str">
        <x:v>presence does not prove operability or capacity</x:v>
      </x:c>
    </x:row>
    <x:row r="243" ht="54" hidden="0" customHeight="1">
      <x:c r="A243" s="29" t="str">
        <x:v>SCA-02</x:v>
      </x:c>
      <x:c r="B243" s="29" t="str">
        <x:v>SCA-30</x:v>
      </x:c>
      <x:c r="C243" s="29" t="str">
        <x:v>Air</x:v>
      </x:c>
      <x:c r="D243" s="29" t="str">
        <x:v>YES</x:v>
      </x:c>
      <x:c r="E243" s="29" t="str">
        <x:v>YES</x:v>
      </x:c>
      <x:c r="F243" s="62" t="n">
        <x:v>5192.239378477204</x:v>
      </x:c>
      <x:c r="G243" s="62" t="n">
        <x:v>31.98806058227262</x:v>
      </x:c>
      <x:c r="H243" s="29" t="str">
        <x:v>YES</x:v>
      </x:c>
      <x:c r="I243" s="29" t="str">
        <x:v>primary-airport endpoints; great-circle screen</x:v>
      </x:c>
      <x:c r="J243" s="29" t="str">
        <x:v>presence does not prove operability or capacity</x:v>
      </x:c>
    </x:row>
    <x:row r="244" ht="75.5999984741211" hidden="0" customHeight="1">
      <x:c r="A244" s="27" t="str">
        <x:v>SCA-02</x:v>
      </x:c>
      <x:c r="B244" s="27" t="str">
        <x:v>SCA-30</x:v>
      </x:c>
      <x:c r="C244" s="27" t="str">
        <x:v>Water</x:v>
      </x:c>
      <x:c r="D244" s="27" t="str">
        <x:v>YES</x:v>
      </x:c>
      <x:c r="E244" s="27" t="str">
        <x:v>YES</x:v>
      </x:c>
      <x:c r="F244" s="61" t="n">
        <x:v>7055.9527660802505</x:v>
      </x:c>
      <x:c r="G244" s="61" t="n">
        <x:v>231.59865045943573</x:v>
      </x:c>
      <x:c r="H244" s="27" t="str">
        <x:v>NO</x:v>
      </x:c>
      <x:c r="I244" s="27" t="str">
        <x:v>USACE waterway node topology; deployable terminal required</x:v>
      </x:c>
      <x:c r="J244" s="27" t="str">
        <x:v>presence does not prove operability or capacity</x:v>
      </x:c>
    </x:row>
    <x:row r="245" ht="54" hidden="0" customHeight="1">
      <x:c r="A245" s="29" t="str">
        <x:v>SCA-02</x:v>
      </x:c>
      <x:c r="B245" s="29" t="str">
        <x:v>SCA-31</x:v>
      </x:c>
      <x:c r="C245" s="29" t="str">
        <x:v>Road</x:v>
      </x:c>
      <x:c r="D245" s="29" t="str">
        <x:v>NO</x:v>
      </x:c>
      <x:c r="E245" s="29" t="str">
        <x:v>NO</x:v>
      </x:c>
      <x:c r="F245" s="62"/>
      <x:c r="G245" s="62"/>
      <x:c r="H245" s="29" t="str">
        <x:v>NO</x:v>
      </x:c>
      <x:c r="I245" s="29" t="str">
        <x:v>no screened path</x:v>
      </x:c>
      <x:c r="J245" s="29" t="str">
        <x:v>presence does not prove operability or capacity</x:v>
      </x:c>
    </x:row>
    <x:row r="246" ht="54" hidden="0" customHeight="1">
      <x:c r="A246" s="27" t="str">
        <x:v>SCA-02</x:v>
      </x:c>
      <x:c r="B246" s="27" t="str">
        <x:v>SCA-31</x:v>
      </x:c>
      <x:c r="C246" s="27" t="str">
        <x:v>Rail</x:v>
      </x:c>
      <x:c r="D246" s="27" t="str">
        <x:v>NO</x:v>
      </x:c>
      <x:c r="E246" s="27" t="str">
        <x:v>NO</x:v>
      </x:c>
      <x:c r="F246" s="61"/>
      <x:c r="G246" s="61"/>
      <x:c r="H246" s="27" t="str">
        <x:v>NO</x:v>
      </x:c>
      <x:c r="I246" s="27" t="str">
        <x:v>no screened path</x:v>
      </x:c>
      <x:c r="J246" s="27" t="str">
        <x:v>presence does not prove operability or capacity</x:v>
      </x:c>
    </x:row>
    <x:row r="247" ht="54" hidden="0" customHeight="1">
      <x:c r="A247" s="29" t="str">
        <x:v>SCA-02</x:v>
      </x:c>
      <x:c r="B247" s="29" t="str">
        <x:v>SCA-31</x:v>
      </x:c>
      <x:c r="C247" s="29" t="str">
        <x:v>Air</x:v>
      </x:c>
      <x:c r="D247" s="29" t="str">
        <x:v>YES</x:v>
      </x:c>
      <x:c r="E247" s="29" t="str">
        <x:v>YES</x:v>
      </x:c>
      <x:c r="F247" s="62" t="n">
        <x:v>5170.652537468452</x:v>
      </x:c>
      <x:c r="G247" s="62" t="n">
        <x:v>31.95485005764377</x:v>
      </x:c>
      <x:c r="H247" s="29" t="str">
        <x:v>YES</x:v>
      </x:c>
      <x:c r="I247" s="29" t="str">
        <x:v>primary-airport endpoints; great-circle screen</x:v>
      </x:c>
      <x:c r="J247" s="29" t="str">
        <x:v>presence does not prove operability or capacity</x:v>
      </x:c>
    </x:row>
    <x:row r="248" ht="75.5999984741211" hidden="0" customHeight="1">
      <x:c r="A248" s="27" t="str">
        <x:v>SCA-02</x:v>
      </x:c>
      <x:c r="B248" s="27" t="str">
        <x:v>SCA-31</x:v>
      </x:c>
      <x:c r="C248" s="27" t="str">
        <x:v>Water</x:v>
      </x:c>
      <x:c r="D248" s="27" t="str">
        <x:v>YES</x:v>
      </x:c>
      <x:c r="E248" s="27" t="str">
        <x:v>YES</x:v>
      </x:c>
      <x:c r="F248" s="61" t="n">
        <x:v>6618.435247959618</x:v>
      </x:c>
      <x:c r="G248" s="61" t="n">
        <x:v>219.09814994170338</x:v>
      </x:c>
      <x:c r="H248" s="27" t="str">
        <x:v>NO</x:v>
      </x:c>
      <x:c r="I248" s="27" t="str">
        <x:v>USACE waterway node topology; deployable terminal required</x:v>
      </x:c>
      <x:c r="J248" s="27" t="str">
        <x:v>presence does not prove operability or capacity</x:v>
      </x:c>
    </x:row>
    <x:row r="249" ht="54" hidden="0" customHeight="1">
      <x:c r="A249" s="29" t="str">
        <x:v>SCA-02</x:v>
      </x:c>
      <x:c r="B249" s="29" t="str">
        <x:v>SCA-32</x:v>
      </x:c>
      <x:c r="C249" s="29" t="str">
        <x:v>Road</x:v>
      </x:c>
      <x:c r="D249" s="29" t="str">
        <x:v>NO</x:v>
      </x:c>
      <x:c r="E249" s="29" t="str">
        <x:v>NO</x:v>
      </x:c>
      <x:c r="F249" s="62"/>
      <x:c r="G249" s="62"/>
      <x:c r="H249" s="29" t="str">
        <x:v>NO</x:v>
      </x:c>
      <x:c r="I249" s="29" t="str">
        <x:v>no screened path</x:v>
      </x:c>
      <x:c r="J249" s="29" t="str">
        <x:v>presence does not prove operability or capacity</x:v>
      </x:c>
    </x:row>
    <x:row r="250" ht="54" hidden="0" customHeight="1">
      <x:c r="A250" s="27" t="str">
        <x:v>SCA-02</x:v>
      </x:c>
      <x:c r="B250" s="27" t="str">
        <x:v>SCA-32</x:v>
      </x:c>
      <x:c r="C250" s="27" t="str">
        <x:v>Rail</x:v>
      </x:c>
      <x:c r="D250" s="27" t="str">
        <x:v>NO</x:v>
      </x:c>
      <x:c r="E250" s="27" t="str">
        <x:v>NO</x:v>
      </x:c>
      <x:c r="F250" s="61"/>
      <x:c r="G250" s="61"/>
      <x:c r="H250" s="27" t="str">
        <x:v>NO</x:v>
      </x:c>
      <x:c r="I250" s="27" t="str">
        <x:v>no screened path</x:v>
      </x:c>
      <x:c r="J250" s="27" t="str">
        <x:v>presence does not prove operability or capacity</x:v>
      </x:c>
    </x:row>
    <x:row r="251" ht="54" hidden="0" customHeight="1">
      <x:c r="A251" s="29" t="str">
        <x:v>SCA-02</x:v>
      </x:c>
      <x:c r="B251" s="29" t="str">
        <x:v>SCA-32</x:v>
      </x:c>
      <x:c r="C251" s="29" t="str">
        <x:v>Air</x:v>
      </x:c>
      <x:c r="D251" s="29" t="str">
        <x:v>YES</x:v>
      </x:c>
      <x:c r="E251" s="29" t="str">
        <x:v>YES</x:v>
      </x:c>
      <x:c r="F251" s="62" t="n">
        <x:v>7696.397227731494</x:v>
      </x:c>
      <x:c r="G251" s="62" t="n">
        <x:v>35.84061111958691</x:v>
      </x:c>
      <x:c r="H251" s="29" t="str">
        <x:v>YES</x:v>
      </x:c>
      <x:c r="I251" s="29" t="str">
        <x:v>primary-airport endpoints; great-circle screen</x:v>
      </x:c>
      <x:c r="J251" s="29" t="str">
        <x:v>presence does not prove operability or capacity</x:v>
      </x:c>
    </x:row>
    <x:row r="252" ht="75.5999984741211" hidden="0" customHeight="1">
      <x:c r="A252" s="27" t="str">
        <x:v>SCA-02</x:v>
      </x:c>
      <x:c r="B252" s="27" t="str">
        <x:v>SCA-32</x:v>
      </x:c>
      <x:c r="C252" s="27" t="str">
        <x:v>Water</x:v>
      </x:c>
      <x:c r="D252" s="27" t="str">
        <x:v>YES</x:v>
      </x:c>
      <x:c r="E252" s="27" t="str">
        <x:v>YES</x:v>
      </x:c>
      <x:c r="F252" s="61" t="n">
        <x:v>10147.025296976248</x:v>
      </x:c>
      <x:c r="G252" s="61" t="n">
        <x:v>319.9150084850356</x:v>
      </x:c>
      <x:c r="H252" s="27" t="str">
        <x:v>NO</x:v>
      </x:c>
      <x:c r="I252" s="27" t="str">
        <x:v>USACE waterway node topology; deployable terminal required</x:v>
      </x:c>
      <x:c r="J252" s="27" t="str">
        <x:v>presence does not prove operability or capacity</x:v>
      </x:c>
    </x:row>
    <x:row r="253" ht="54" hidden="0" customHeight="1">
      <x:c r="A253" s="29" t="str">
        <x:v>SCA-03</x:v>
      </x:c>
      <x:c r="B253" s="29" t="str">
        <x:v>SCA-01</x:v>
      </x:c>
      <x:c r="C253" s="29" t="str">
        <x:v>Road</x:v>
      </x:c>
      <x:c r="D253" s="29" t="str">
        <x:v>NO</x:v>
      </x:c>
      <x:c r="E253" s="29" t="str">
        <x:v>NO</x:v>
      </x:c>
      <x:c r="F253" s="62"/>
      <x:c r="G253" s="62"/>
      <x:c r="H253" s="29" t="str">
        <x:v>NO</x:v>
      </x:c>
      <x:c r="I253" s="29" t="str">
        <x:v>no screened path</x:v>
      </x:c>
      <x:c r="J253" s="29" t="str">
        <x:v>presence does not prove operability or capacity</x:v>
      </x:c>
    </x:row>
    <x:row r="254" ht="54" hidden="0" customHeight="1">
      <x:c r="A254" s="27" t="str">
        <x:v>SCA-03</x:v>
      </x:c>
      <x:c r="B254" s="27" t="str">
        <x:v>SCA-01</x:v>
      </x:c>
      <x:c r="C254" s="27" t="str">
        <x:v>Rail</x:v>
      </x:c>
      <x:c r="D254" s="27" t="str">
        <x:v>NO</x:v>
      </x:c>
      <x:c r="E254" s="27" t="str">
        <x:v>NO</x:v>
      </x:c>
      <x:c r="F254" s="61"/>
      <x:c r="G254" s="61"/>
      <x:c r="H254" s="27" t="str">
        <x:v>NO</x:v>
      </x:c>
      <x:c r="I254" s="27" t="str">
        <x:v>no screened path</x:v>
      </x:c>
      <x:c r="J254" s="27" t="str">
        <x:v>presence does not prove operability or capacity</x:v>
      </x:c>
    </x:row>
    <x:row r="255" ht="54" hidden="0" customHeight="1">
      <x:c r="A255" s="29" t="str">
        <x:v>SCA-03</x:v>
      </x:c>
      <x:c r="B255" s="29" t="str">
        <x:v>SCA-01</x:v>
      </x:c>
      <x:c r="C255" s="29" t="str">
        <x:v>Air</x:v>
      </x:c>
      <x:c r="D255" s="29" t="str">
        <x:v>YES</x:v>
      </x:c>
      <x:c r="E255" s="29" t="str">
        <x:v>YES</x:v>
      </x:c>
      <x:c r="F255" s="62" t="n">
        <x:v>4304.604857024435</x:v>
      </x:c>
      <x:c r="G255" s="62" t="n">
        <x:v>30.622469010806824</x:v>
      </x:c>
      <x:c r="H255" s="29" t="str">
        <x:v>YES</x:v>
      </x:c>
      <x:c r="I255" s="29" t="str">
        <x:v>primary-airport endpoints; great-circle screen</x:v>
      </x:c>
      <x:c r="J255" s="29" t="str">
        <x:v>presence does not prove operability or capacity</x:v>
      </x:c>
    </x:row>
    <x:row r="256" ht="75.5999984741211" hidden="0" customHeight="1">
      <x:c r="A256" s="27" t="str">
        <x:v>SCA-03</x:v>
      </x:c>
      <x:c r="B256" s="27" t="str">
        <x:v>SCA-01</x:v>
      </x:c>
      <x:c r="C256" s="27" t="str">
        <x:v>Water</x:v>
      </x:c>
      <x:c r="D256" s="27" t="str">
        <x:v>YES</x:v>
      </x:c>
      <x:c r="E256" s="27" t="str">
        <x:v>YES</x:v>
      </x:c>
      <x:c r="F256" s="61" t="n">
        <x:v>5509.894216991276</x:v>
      </x:c>
      <x:c r="G256" s="61" t="n">
        <x:v>187.4255490568936</x:v>
      </x:c>
      <x:c r="H256" s="27" t="str">
        <x:v>NO</x:v>
      </x:c>
      <x:c r="I256" s="27" t="str">
        <x:v>USACE waterway node topology; deployable terminal required</x:v>
      </x:c>
      <x:c r="J256" s="27" t="str">
        <x:v>presence does not prove operability or capacity</x:v>
      </x:c>
    </x:row>
    <x:row r="257" ht="54" hidden="0" customHeight="1">
      <x:c r="A257" s="29" t="str">
        <x:v>SCA-03</x:v>
      </x:c>
      <x:c r="B257" s="29" t="str">
        <x:v>SCA-02</x:v>
      </x:c>
      <x:c r="C257" s="29" t="str">
        <x:v>Road</x:v>
      </x:c>
      <x:c r="D257" s="29" t="str">
        <x:v>NO</x:v>
      </x:c>
      <x:c r="E257" s="29" t="str">
        <x:v>NO</x:v>
      </x:c>
      <x:c r="F257" s="62"/>
      <x:c r="G257" s="62"/>
      <x:c r="H257" s="29" t="str">
        <x:v>NO</x:v>
      </x:c>
      <x:c r="I257" s="29" t="str">
        <x:v>no screened path</x:v>
      </x:c>
      <x:c r="J257" s="29" t="str">
        <x:v>presence does not prove operability or capacity</x:v>
      </x:c>
    </x:row>
    <x:row r="258" ht="54" hidden="0" customHeight="1">
      <x:c r="A258" s="27" t="str">
        <x:v>SCA-03</x:v>
      </x:c>
      <x:c r="B258" s="27" t="str">
        <x:v>SCA-02</x:v>
      </x:c>
      <x:c r="C258" s="27" t="str">
        <x:v>Rail</x:v>
      </x:c>
      <x:c r="D258" s="27" t="str">
        <x:v>NO</x:v>
      </x:c>
      <x:c r="E258" s="27" t="str">
        <x:v>NO</x:v>
      </x:c>
      <x:c r="F258" s="61"/>
      <x:c r="G258" s="61"/>
      <x:c r="H258" s="27" t="str">
        <x:v>NO</x:v>
      </x:c>
      <x:c r="I258" s="27" t="str">
        <x:v>no screened path</x:v>
      </x:c>
      <x:c r="J258" s="27" t="str">
        <x:v>presence does not prove operability or capacity</x:v>
      </x:c>
    </x:row>
    <x:row r="259" ht="54" hidden="0" customHeight="1">
      <x:c r="A259" s="29" t="str">
        <x:v>SCA-03</x:v>
      </x:c>
      <x:c r="B259" s="29" t="str">
        <x:v>SCA-02</x:v>
      </x:c>
      <x:c r="C259" s="29" t="str">
        <x:v>Air</x:v>
      </x:c>
      <x:c r="D259" s="29" t="str">
        <x:v>YES</x:v>
      </x:c>
      <x:c r="E259" s="29" t="str">
        <x:v>YES</x:v>
      </x:c>
      <x:c r="F259" s="62" t="n">
        <x:v>2278.593799408716</x:v>
      </x:c>
      <x:c r="G259" s="62" t="n">
        <x:v>27.505528922167255</x:v>
      </x:c>
      <x:c r="H259" s="29" t="str">
        <x:v>YES</x:v>
      </x:c>
      <x:c r="I259" s="29" t="str">
        <x:v>primary-airport endpoints; great-circle screen</x:v>
      </x:c>
      <x:c r="J259" s="29" t="str">
        <x:v>presence does not prove operability or capacity</x:v>
      </x:c>
    </x:row>
    <x:row r="260" ht="75.5999984741211" hidden="0" customHeight="1">
      <x:c r="A260" s="27" t="str">
        <x:v>SCA-03</x:v>
      </x:c>
      <x:c r="B260" s="27" t="str">
        <x:v>SCA-02</x:v>
      </x:c>
      <x:c r="C260" s="27" t="str">
        <x:v>Water</x:v>
      </x:c>
      <x:c r="D260" s="27" t="str">
        <x:v>YES</x:v>
      </x:c>
      <x:c r="E260" s="27" t="str">
        <x:v>YES</x:v>
      </x:c>
      <x:c r="F260" s="61" t="n">
        <x:v>2916.600063243157</x:v>
      </x:c>
      <x:c r="G260" s="61" t="n">
        <x:v>113.33143037837591</x:v>
      </x:c>
      <x:c r="H260" s="27" t="str">
        <x:v>NO</x:v>
      </x:c>
      <x:c r="I260" s="27" t="str">
        <x:v>USACE waterway node topology; deployable terminal required</x:v>
      </x:c>
      <x:c r="J260" s="27" t="str">
        <x:v>presence does not prove operability or capacity</x:v>
      </x:c>
    </x:row>
    <x:row r="261" ht="54" hidden="0" customHeight="1">
      <x:c r="A261" s="29" t="str">
        <x:v>SCA-03</x:v>
      </x:c>
      <x:c r="B261" s="29" t="str">
        <x:v>SCA-04</x:v>
      </x:c>
      <x:c r="C261" s="29" t="str">
        <x:v>Road</x:v>
      </x:c>
      <x:c r="D261" s="29" t="str">
        <x:v>YES</x:v>
      </x:c>
      <x:c r="E261" s="29" t="str">
        <x:v>YES</x:v>
      </x:c>
      <x:c r="F261" s="62" t="n">
        <x:v>1089.1382340922758</x:v>
      </x:c>
      <x:c r="G261" s="62" t="n">
        <x:v>39.80251334713229</x:v>
      </x:c>
      <x:c r="H261" s="29" t="str">
        <x:v>YES</x:v>
      </x:c>
      <x:c r="I261" s="29" t="str">
        <x:v>NHPN-gated shared-boundary SCA path</x:v>
      </x:c>
      <x:c r="J261" s="29" t="str">
        <x:v>presence does not prove operability or capacity</x:v>
      </x:c>
    </x:row>
    <x:row r="262" ht="64.80000305175781" hidden="0" customHeight="1">
      <x:c r="A262" s="27" t="str">
        <x:v>SCA-03</x:v>
      </x:c>
      <x:c r="B262" s="27" t="str">
        <x:v>SCA-04</x:v>
      </x:c>
      <x:c r="C262" s="27" t="str">
        <x:v>Rail</x:v>
      </x:c>
      <x:c r="D262" s="27" t="str">
        <x:v>YES</x:v>
      </x:c>
      <x:c r="E262" s="27" t="str">
        <x:v>YES</x:v>
      </x:c>
      <x:c r="F262" s="61" t="n">
        <x:v>1155.4336048631092</x:v>
      </x:c>
      <x:c r="G262" s="61" t="n">
        <x:v>42.506194355187276</x:v>
      </x:c>
      <x:c r="H262" s="27" t="str">
        <x:v>YES</x:v>
      </x:c>
      <x:c r="I262" s="27" t="str">
        <x:v>NARN shared-node topology; deployable terminal required</x:v>
      </x:c>
      <x:c r="J262" s="27" t="str">
        <x:v>presence does not prove operability or capacity</x:v>
      </x:c>
    </x:row>
    <x:row r="263" ht="54" hidden="0" customHeight="1">
      <x:c r="A263" s="29" t="str">
        <x:v>SCA-03</x:v>
      </x:c>
      <x:c r="B263" s="29" t="str">
        <x:v>SCA-04</x:v>
      </x:c>
      <x:c r="C263" s="29" t="str">
        <x:v>Air</x:v>
      </x:c>
      <x:c r="D263" s="29" t="str">
        <x:v>YES</x:v>
      </x:c>
      <x:c r="E263" s="29" t="str">
        <x:v>YES</x:v>
      </x:c>
      <x:c r="F263" s="62" t="n">
        <x:v>947.0767252976306</x:v>
      </x:c>
      <x:c r="G263" s="62" t="n">
        <x:v>25.457041115842507</x:v>
      </x:c>
      <x:c r="H263" s="29" t="str">
        <x:v>YES</x:v>
      </x:c>
      <x:c r="I263" s="29" t="str">
        <x:v>primary-airport endpoints; great-circle screen</x:v>
      </x:c>
      <x:c r="J263" s="29" t="str">
        <x:v>presence does not prove operability or capacity</x:v>
      </x:c>
    </x:row>
    <x:row r="264" ht="75.5999984741211" hidden="0" customHeight="1">
      <x:c r="A264" s="27" t="str">
        <x:v>SCA-03</x:v>
      </x:c>
      <x:c r="B264" s="27" t="str">
        <x:v>SCA-04</x:v>
      </x:c>
      <x:c r="C264" s="27" t="str">
        <x:v>Water</x:v>
      </x:c>
      <x:c r="D264" s="27" t="str">
        <x:v>YES</x:v>
      </x:c>
      <x:c r="E264" s="27" t="str">
        <x:v>YES</x:v>
      </x:c>
      <x:c r="F264" s="61" t="n">
        <x:v>1212.258208380967</x:v>
      </x:c>
      <x:c r="G264" s="61" t="n">
        <x:v>64.63594881088477</x:v>
      </x:c>
      <x:c r="H264" s="27" t="str">
        <x:v>YES</x:v>
      </x:c>
      <x:c r="I264" s="27" t="str">
        <x:v>USACE waterway node topology; deployable terminal required</x:v>
      </x:c>
      <x:c r="J264" s="27" t="str">
        <x:v>presence does not prove operability or capacity</x:v>
      </x:c>
    </x:row>
    <x:row r="265" ht="54" hidden="0" customHeight="1">
      <x:c r="A265" s="29" t="str">
        <x:v>SCA-03</x:v>
      </x:c>
      <x:c r="B265" s="29" t="str">
        <x:v>SCA-05</x:v>
      </x:c>
      <x:c r="C265" s="29" t="str">
        <x:v>Road</x:v>
      </x:c>
      <x:c r="D265" s="29" t="str">
        <x:v>YES</x:v>
      </x:c>
      <x:c r="E265" s="29" t="str">
        <x:v>YES</x:v>
      </x:c>
      <x:c r="F265" s="62" t="n">
        <x:v>1678.4713844036944</x:v>
      </x:c>
      <x:c r="G265" s="62" t="n">
        <x:v>50.51766153461263</x:v>
      </x:c>
      <x:c r="H265" s="29" t="str">
        <x:v>YES</x:v>
      </x:c>
      <x:c r="I265" s="29" t="str">
        <x:v>NHPN-gated shared-boundary SCA path</x:v>
      </x:c>
      <x:c r="J265" s="29" t="str">
        <x:v>presence does not prove operability or capacity</x:v>
      </x:c>
    </x:row>
    <x:row r="266" ht="64.80000305175781" hidden="0" customHeight="1">
      <x:c r="A266" s="27" t="str">
        <x:v>SCA-03</x:v>
      </x:c>
      <x:c r="B266" s="27" t="str">
        <x:v>SCA-05</x:v>
      </x:c>
      <x:c r="C266" s="27" t="str">
        <x:v>Rail</x:v>
      </x:c>
      <x:c r="D266" s="27" t="str">
        <x:v>YES</x:v>
      </x:c>
      <x:c r="E266" s="27" t="str">
        <x:v>YES</x:v>
      </x:c>
      <x:c r="F266" s="61" t="n">
        <x:v>1780.6392078021797</x:v>
      </x:c>
      <x:c r="G266" s="61" t="n">
        <x:v>51.437702968602565</x:v>
      </x:c>
      <x:c r="H266" s="27" t="str">
        <x:v>YES</x:v>
      </x:c>
      <x:c r="I266" s="27" t="str">
        <x:v>NARN shared-node topology; deployable terminal required</x:v>
      </x:c>
      <x:c r="J266" s="27" t="str">
        <x:v>presence does not prove operability or capacity</x:v>
      </x:c>
    </x:row>
    <x:row r="267" ht="54" hidden="0" customHeight="1">
      <x:c r="A267" s="29" t="str">
        <x:v>SCA-03</x:v>
      </x:c>
      <x:c r="B267" s="29" t="str">
        <x:v>SCA-05</x:v>
      </x:c>
      <x:c r="C267" s="29" t="str">
        <x:v>Air</x:v>
      </x:c>
      <x:c r="D267" s="29" t="str">
        <x:v>YES</x:v>
      </x:c>
      <x:c r="E267" s="29" t="str">
        <x:v>YES</x:v>
      </x:c>
      <x:c r="F267" s="62" t="n">
        <x:v>1399.8387701003294</x:v>
      </x:c>
      <x:c r="G267" s="62" t="n">
        <x:v>26.153598107846662</x:v>
      </x:c>
      <x:c r="H267" s="29" t="str">
        <x:v>YES</x:v>
      </x:c>
      <x:c r="I267" s="29" t="str">
        <x:v>primary-airport endpoints; great-circle screen</x:v>
      </x:c>
      <x:c r="J267" s="29" t="str">
        <x:v>presence does not prove operability or capacity</x:v>
      </x:c>
    </x:row>
    <x:row r="268" ht="75.5999984741211" hidden="0" customHeight="1">
      <x:c r="A268" s="27" t="str">
        <x:v>SCA-03</x:v>
      </x:c>
      <x:c r="B268" s="27" t="str">
        <x:v>SCA-05</x:v>
      </x:c>
      <x:c r="C268" s="27" t="str">
        <x:v>Water</x:v>
      </x:c>
      <x:c r="D268" s="27" t="str">
        <x:v>YES</x:v>
      </x:c>
      <x:c r="E268" s="27" t="str">
        <x:v>YES</x:v>
      </x:c>
      <x:c r="F268" s="61" t="n">
        <x:v>1868.2116278580247</x:v>
      </x:c>
      <x:c r="G268" s="61" t="n">
        <x:v>83.37747508165785</x:v>
      </x:c>
      <x:c r="H268" s="27" t="str">
        <x:v>NO</x:v>
      </x:c>
      <x:c r="I268" s="27" t="str">
        <x:v>USACE waterway node topology; deployable terminal required</x:v>
      </x:c>
      <x:c r="J268" s="27" t="str">
        <x:v>presence does not prove operability or capacity</x:v>
      </x:c>
    </x:row>
    <x:row r="269" ht="54" hidden="0" customHeight="1">
      <x:c r="A269" s="29" t="str">
        <x:v>SCA-03</x:v>
      </x:c>
      <x:c r="B269" s="29" t="str">
        <x:v>SCA-06</x:v>
      </x:c>
      <x:c r="C269" s="29" t="str">
        <x:v>Road</x:v>
      </x:c>
      <x:c r="D269" s="29" t="str">
        <x:v>YES</x:v>
      </x:c>
      <x:c r="E269" s="29" t="str">
        <x:v>YES</x:v>
      </x:c>
      <x:c r="F269" s="62" t="n">
        <x:v>1919.2287566838177</x:v>
      </x:c>
      <x:c r="G269" s="62" t="n">
        <x:v>54.89506830334214</x:v>
      </x:c>
      <x:c r="H269" s="29" t="str">
        <x:v>YES</x:v>
      </x:c>
      <x:c r="I269" s="29" t="str">
        <x:v>NHPN-gated shared-boundary SCA path</x:v>
      </x:c>
      <x:c r="J269" s="29" t="str">
        <x:v>presence does not prove operability or capacity</x:v>
      </x:c>
    </x:row>
    <x:row r="270" ht="64.80000305175781" hidden="0" customHeight="1">
      <x:c r="A270" s="27" t="str">
        <x:v>SCA-03</x:v>
      </x:c>
      <x:c r="B270" s="27" t="str">
        <x:v>SCA-06</x:v>
      </x:c>
      <x:c r="C270" s="27" t="str">
        <x:v>Rail</x:v>
      </x:c>
      <x:c r="D270" s="27" t="str">
        <x:v>YES</x:v>
      </x:c>
      <x:c r="E270" s="27" t="str">
        <x:v>YES</x:v>
      </x:c>
      <x:c r="F270" s="61" t="n">
        <x:v>2036.0513766558759</x:v>
      </x:c>
      <x:c r="G270" s="61" t="n">
        <x:v>55.086448237941084</x:v>
      </x:c>
      <x:c r="H270" s="27" t="str">
        <x:v>YES</x:v>
      </x:c>
      <x:c r="I270" s="27" t="str">
        <x:v>NARN shared-node topology; deployable terminal required</x:v>
      </x:c>
      <x:c r="J270" s="27" t="str">
        <x:v>presence does not prove operability or capacity</x:v>
      </x:c>
    </x:row>
    <x:row r="271" ht="54" hidden="0" customHeight="1">
      <x:c r="A271" s="29" t="str">
        <x:v>SCA-03</x:v>
      </x:c>
      <x:c r="B271" s="29" t="str">
        <x:v>SCA-06</x:v>
      </x:c>
      <x:c r="C271" s="29" t="str">
        <x:v>Air</x:v>
      </x:c>
      <x:c r="D271" s="29" t="str">
        <x:v>YES</x:v>
      </x:c>
      <x:c r="E271" s="29" t="str">
        <x:v>YES</x:v>
      </x:c>
      <x:c r="F271" s="62" t="n">
        <x:v>1543.8507692931296</x:v>
      </x:c>
      <x:c r="G271" s="62" t="n">
        <x:v>26.37515502968174</x:v>
      </x:c>
      <x:c r="H271" s="29" t="str">
        <x:v>YES</x:v>
      </x:c>
      <x:c r="I271" s="29" t="str">
        <x:v>primary-airport endpoints; great-circle screen</x:v>
      </x:c>
      <x:c r="J271" s="29" t="str">
        <x:v>presence does not prove operability or capacity</x:v>
      </x:c>
    </x:row>
    <x:row r="272" ht="75.5999984741211" hidden="0" customHeight="1">
      <x:c r="A272" s="27" t="str">
        <x:v>SCA-03</x:v>
      </x:c>
      <x:c r="B272" s="27" t="str">
        <x:v>SCA-06</x:v>
      </x:c>
      <x:c r="C272" s="27" t="str">
        <x:v>Water</x:v>
      </x:c>
      <x:c r="D272" s="27" t="str">
        <x:v>YES</x:v>
      </x:c>
      <x:c r="E272" s="27" t="str">
        <x:v>YES</x:v>
      </x:c>
      <x:c r="F272" s="61" t="n">
        <x:v>2136.18505091764</x:v>
      </x:c>
      <x:c r="G272" s="61" t="n">
        <x:v>91.03385859764686</x:v>
      </x:c>
      <x:c r="H272" s="27" t="str">
        <x:v>NO</x:v>
      </x:c>
      <x:c r="I272" s="27" t="str">
        <x:v>USACE waterway node topology; deployable terminal required</x:v>
      </x:c>
      <x:c r="J272" s="27" t="str">
        <x:v>presence does not prove operability or capacity</x:v>
      </x:c>
    </x:row>
    <x:row r="273" ht="54" hidden="0" customHeight="1">
      <x:c r="A273" s="29" t="str">
        <x:v>SCA-03</x:v>
      </x:c>
      <x:c r="B273" s="29" t="str">
        <x:v>SCA-07</x:v>
      </x:c>
      <x:c r="C273" s="29" t="str">
        <x:v>Road</x:v>
      </x:c>
      <x:c r="D273" s="29" t="str">
        <x:v>YES</x:v>
      </x:c>
      <x:c r="E273" s="29" t="str">
        <x:v>YES</x:v>
      </x:c>
      <x:c r="F273" s="62" t="n">
        <x:v>1789.7424207449203</x:v>
      </x:c>
      <x:c r="G273" s="62" t="n">
        <x:v>52.54077128627128</x:v>
      </x:c>
      <x:c r="H273" s="29" t="str">
        <x:v>YES</x:v>
      </x:c>
      <x:c r="I273" s="29" t="str">
        <x:v>NHPN-gated shared-boundary SCA path</x:v>
      </x:c>
      <x:c r="J273" s="29" t="str">
        <x:v>presence does not prove operability or capacity</x:v>
      </x:c>
    </x:row>
    <x:row r="274" ht="64.80000305175781" hidden="0" customHeight="1">
      <x:c r="A274" s="27" t="str">
        <x:v>SCA-03</x:v>
      </x:c>
      <x:c r="B274" s="27" t="str">
        <x:v>SCA-07</x:v>
      </x:c>
      <x:c r="C274" s="27" t="str">
        <x:v>Rail</x:v>
      </x:c>
      <x:c r="D274" s="27" t="str">
        <x:v>YES</x:v>
      </x:c>
      <x:c r="E274" s="27" t="str">
        <x:v>YES</x:v>
      </x:c>
      <x:c r="F274" s="61" t="n">
        <x:v>2138.059435698434</x:v>
      </x:c>
      <x:c r="G274" s="61" t="n">
        <x:v>56.543706224263346</x:v>
      </x:c>
      <x:c r="H274" s="27" t="str">
        <x:v>YES</x:v>
      </x:c>
      <x:c r="I274" s="27" t="str">
        <x:v>NARN shared-node topology; deployable terminal required</x:v>
      </x:c>
      <x:c r="J274" s="27" t="str">
        <x:v>presence does not prove operability or capacity</x:v>
      </x:c>
    </x:row>
    <x:row r="275" ht="54" hidden="0" customHeight="1">
      <x:c r="A275" s="29" t="str">
        <x:v>SCA-03</x:v>
      </x:c>
      <x:c r="B275" s="29" t="str">
        <x:v>SCA-07</x:v>
      </x:c>
      <x:c r="C275" s="29" t="str">
        <x:v>Air</x:v>
      </x:c>
      <x:c r="D275" s="29" t="str">
        <x:v>YES</x:v>
      </x:c>
      <x:c r="E275" s="29" t="str">
        <x:v>YES</x:v>
      </x:c>
      <x:c r="F275" s="62" t="n">
        <x:v>1321.4881703115059</x:v>
      </x:c>
      <x:c r="G275" s="62" t="n">
        <x:v>26.033058723556163</x:v>
      </x:c>
      <x:c r="H275" s="29" t="str">
        <x:v>YES</x:v>
      </x:c>
      <x:c r="I275" s="29" t="str">
        <x:v>primary-airport endpoints; great-circle screen</x:v>
      </x:c>
      <x:c r="J275" s="29" t="str">
        <x:v>presence does not prove operability or capacity</x:v>
      </x:c>
    </x:row>
    <x:row r="276" ht="64.80000305175781" hidden="0" customHeight="1">
      <x:c r="A276" s="27" t="str">
        <x:v>SCA-03</x:v>
      </x:c>
      <x:c r="B276" s="27" t="str">
        <x:v>SCA-07</x:v>
      </x:c>
      <x:c r="C276" s="27" t="str">
        <x:v>Water</x:v>
      </x:c>
      <x:c r="D276" s="27" t="str">
        <x:v>YES</x:v>
      </x:c>
      <x:c r="E276" s="27" t="str">
        <x:v>YES</x:v>
      </x:c>
      <x:c r="F276" s="61" t="n">
        <x:v>1651.8602128893824</x:v>
      </x:c>
      <x:c r="G276" s="61" t="n">
        <x:v>77.1960060825538</x:v>
      </x:c>
      <x:c r="H276" s="27" t="str">
        <x:v>NO</x:v>
      </x:c>
      <x:c r="I276" s="27" t="str">
        <x:v>observed water terminals; maritime great-circle screen</x:v>
      </x:c>
      <x:c r="J276" s="27" t="str">
        <x:v>presence does not prove operability or capacity</x:v>
      </x:c>
    </x:row>
    <x:row r="277" ht="54" hidden="0" customHeight="1">
      <x:c r="A277" s="29" t="str">
        <x:v>SCA-03</x:v>
      </x:c>
      <x:c r="B277" s="29" t="str">
        <x:v>SCA-08</x:v>
      </x:c>
      <x:c r="C277" s="29" t="str">
        <x:v>Road</x:v>
      </x:c>
      <x:c r="D277" s="29" t="str">
        <x:v>YES</x:v>
      </x:c>
      <x:c r="E277" s="29" t="str">
        <x:v>YES</x:v>
      </x:c>
      <x:c r="F277" s="62" t="n">
        <x:v>644.65487507251</x:v>
      </x:c>
      <x:c r="G277" s="62" t="n">
        <x:v>31.72099772859109</x:v>
      </x:c>
      <x:c r="H277" s="29" t="str">
        <x:v>YES</x:v>
      </x:c>
      <x:c r="I277" s="29" t="str">
        <x:v>NHPN-gated shared-boundary SCA path</x:v>
      </x:c>
      <x:c r="J277" s="29" t="str">
        <x:v>presence does not prove operability or capacity</x:v>
      </x:c>
    </x:row>
    <x:row r="278" ht="64.80000305175781" hidden="0" customHeight="1">
      <x:c r="A278" s="27" t="str">
        <x:v>SCA-03</x:v>
      </x:c>
      <x:c r="B278" s="27" t="str">
        <x:v>SCA-08</x:v>
      </x:c>
      <x:c r="C278" s="27" t="str">
        <x:v>Rail</x:v>
      </x:c>
      <x:c r="D278" s="27" t="str">
        <x:v>YES</x:v>
      </x:c>
      <x:c r="E278" s="27" t="str">
        <x:v>YES</x:v>
      </x:c>
      <x:c r="F278" s="61" t="n">
        <x:v>683.8947370334456</x:v>
      </x:c>
      <x:c r="G278" s="61" t="n">
        <x:v>35.769924814763506</x:v>
      </x:c>
      <x:c r="H278" s="27" t="str">
        <x:v>YES</x:v>
      </x:c>
      <x:c r="I278" s="27" t="str">
        <x:v>NARN shared-node topology; deployable terminal required</x:v>
      </x:c>
      <x:c r="J278" s="27" t="str">
        <x:v>presence does not prove operability or capacity</x:v>
      </x:c>
    </x:row>
    <x:row r="279" ht="54" hidden="0" customHeight="1">
      <x:c r="A279" s="29" t="str">
        <x:v>SCA-03</x:v>
      </x:c>
      <x:c r="B279" s="29" t="str">
        <x:v>SCA-08</x:v>
      </x:c>
      <x:c r="C279" s="29" t="str">
        <x:v>Air</x:v>
      </x:c>
      <x:c r="D279" s="29" t="str">
        <x:v>YES</x:v>
      </x:c>
      <x:c r="E279" s="29" t="str">
        <x:v>YES</x:v>
      </x:c>
      <x:c r="F279" s="62" t="n">
        <x:v>560.5694565847915</x:v>
      </x:c>
      <x:c r="G279" s="62" t="n">
        <x:v>24.862414548591985</x:v>
      </x:c>
      <x:c r="H279" s="29" t="str">
        <x:v>YES</x:v>
      </x:c>
      <x:c r="I279" s="29" t="str">
        <x:v>primary-airport endpoints; great-circle screen</x:v>
      </x:c>
      <x:c r="J279" s="29" t="str">
        <x:v>presence does not prove operability or capacity</x:v>
      </x:c>
    </x:row>
    <x:row r="280" ht="75.5999984741211" hidden="0" customHeight="1">
      <x:c r="A280" s="27" t="str">
        <x:v>SCA-03</x:v>
      </x:c>
      <x:c r="B280" s="27" t="str">
        <x:v>SCA-08</x:v>
      </x:c>
      <x:c r="C280" s="27" t="str">
        <x:v>Water</x:v>
      </x:c>
      <x:c r="D280" s="27" t="str">
        <x:v>YES</x:v>
      </x:c>
      <x:c r="E280" s="27" t="str">
        <x:v>YES</x:v>
      </x:c>
      <x:c r="F280" s="61" t="n">
        <x:v>717.5289044285331</x:v>
      </x:c>
      <x:c r="G280" s="61" t="n">
        <x:v>50.50082584081523</x:v>
      </x:c>
      <x:c r="H280" s="27" t="str">
        <x:v>YES</x:v>
      </x:c>
      <x:c r="I280" s="27" t="str">
        <x:v>USACE waterway node topology; deployable terminal required</x:v>
      </x:c>
      <x:c r="J280" s="27" t="str">
        <x:v>presence does not prove operability or capacity</x:v>
      </x:c>
    </x:row>
    <x:row r="281" ht="54" hidden="0" customHeight="1">
      <x:c r="A281" s="29" t="str">
        <x:v>SCA-03</x:v>
      </x:c>
      <x:c r="B281" s="29" t="str">
        <x:v>SCA-09</x:v>
      </x:c>
      <x:c r="C281" s="29" t="str">
        <x:v>Road</x:v>
      </x:c>
      <x:c r="D281" s="29" t="str">
        <x:v>YES</x:v>
      </x:c>
      <x:c r="E281" s="29" t="str">
        <x:v>YES</x:v>
      </x:c>
      <x:c r="F281" s="62" t="n">
        <x:v>2231.0021361460217</x:v>
      </x:c>
      <x:c r="G281" s="62" t="n">
        <x:v>60.56367520265494</x:v>
      </x:c>
      <x:c r="H281" s="29" t="str">
        <x:v>YES</x:v>
      </x:c>
      <x:c r="I281" s="29" t="str">
        <x:v>NHPN-gated shared-boundary SCA path</x:v>
      </x:c>
      <x:c r="J281" s="29" t="str">
        <x:v>presence does not prove operability or capacity</x:v>
      </x:c>
    </x:row>
    <x:row r="282" ht="64.80000305175781" hidden="0" customHeight="1">
      <x:c r="A282" s="27" t="str">
        <x:v>SCA-03</x:v>
      </x:c>
      <x:c r="B282" s="27" t="str">
        <x:v>SCA-09</x:v>
      </x:c>
      <x:c r="C282" s="27" t="str">
        <x:v>Rail</x:v>
      </x:c>
      <x:c r="D282" s="27" t="str">
        <x:v>YES</x:v>
      </x:c>
      <x:c r="E282" s="27" t="str">
        <x:v>YES</x:v>
      </x:c>
      <x:c r="F282" s="61" t="n">
        <x:v>2513.145055916253</x:v>
      </x:c>
      <x:c r="G282" s="61" t="n">
        <x:v>61.902072227375044</x:v>
      </x:c>
      <x:c r="H282" s="27" t="str">
        <x:v>YES</x:v>
      </x:c>
      <x:c r="I282" s="27" t="str">
        <x:v>NARN shared-node topology; deployable terminal required</x:v>
      </x:c>
      <x:c r="J282" s="27" t="str">
        <x:v>presence does not prove operability or capacity</x:v>
      </x:c>
    </x:row>
    <x:row r="283" ht="54" hidden="0" customHeight="1">
      <x:c r="A283" s="29" t="str">
        <x:v>SCA-03</x:v>
      </x:c>
      <x:c r="B283" s="29" t="str">
        <x:v>SCA-09</x:v>
      </x:c>
      <x:c r="C283" s="29" t="str">
        <x:v>Air</x:v>
      </x:c>
      <x:c r="D283" s="29" t="str">
        <x:v>YES</x:v>
      </x:c>
      <x:c r="E283" s="29" t="str">
        <x:v>YES</x:v>
      </x:c>
      <x:c r="F283" s="62" t="n">
        <x:v>1691.2805667204357</x:v>
      </x:c>
      <x:c r="G283" s="62" t="n">
        <x:v>26.601970102646824</x:v>
      </x:c>
      <x:c r="H283" s="29" t="str">
        <x:v>YES</x:v>
      </x:c>
      <x:c r="I283" s="29" t="str">
        <x:v>primary-airport endpoints; great-circle screen</x:v>
      </x:c>
      <x:c r="J283" s="29" t="str">
        <x:v>presence does not prove operability or capacity</x:v>
      </x:c>
    </x:row>
    <x:row r="284" ht="54" hidden="0" customHeight="1">
      <x:c r="A284" s="27" t="str">
        <x:v>SCA-03</x:v>
      </x:c>
      <x:c r="B284" s="27" t="str">
        <x:v>SCA-09</x:v>
      </x:c>
      <x:c r="C284" s="27" t="str">
        <x:v>Water</x:v>
      </x:c>
      <x:c r="D284" s="27" t="str">
        <x:v>NO</x:v>
      </x:c>
      <x:c r="E284" s="27" t="str">
        <x:v>NO</x:v>
      </x:c>
      <x:c r="F284" s="61"/>
      <x:c r="G284" s="61"/>
      <x:c r="H284" s="27" t="str">
        <x:v>NO</x:v>
      </x:c>
      <x:c r="I284" s="27" t="str">
        <x:v>no screened path</x:v>
      </x:c>
      <x:c r="J284" s="27" t="str">
        <x:v>presence does not prove operability or capacity</x:v>
      </x:c>
    </x:row>
    <x:row r="285" ht="54" hidden="0" customHeight="1">
      <x:c r="A285" s="29" t="str">
        <x:v>SCA-03</x:v>
      </x:c>
      <x:c r="B285" s="29" t="str">
        <x:v>SCA-10</x:v>
      </x:c>
      <x:c r="C285" s="29" t="str">
        <x:v>Road</x:v>
      </x:c>
      <x:c r="D285" s="29" t="str">
        <x:v>YES</x:v>
      </x:c>
      <x:c r="E285" s="29" t="str">
        <x:v>YES</x:v>
      </x:c>
      <x:c r="F285" s="62" t="n">
        <x:v>1201.1845916964462</x:v>
      </x:c>
      <x:c r="G285" s="62" t="n">
        <x:v>41.839719849026295</x:v>
      </x:c>
      <x:c r="H285" s="29" t="str">
        <x:v>YES</x:v>
      </x:c>
      <x:c r="I285" s="29" t="str">
        <x:v>NHPN-gated shared-boundary SCA path</x:v>
      </x:c>
      <x:c r="J285" s="29" t="str">
        <x:v>presence does not prove operability or capacity</x:v>
      </x:c>
    </x:row>
    <x:row r="286" ht="64.80000305175781" hidden="0" customHeight="1">
      <x:c r="A286" s="27" t="str">
        <x:v>SCA-03</x:v>
      </x:c>
      <x:c r="B286" s="27" t="str">
        <x:v>SCA-10</x:v>
      </x:c>
      <x:c r="C286" s="27" t="str">
        <x:v>Rail</x:v>
      </x:c>
      <x:c r="D286" s="27" t="str">
        <x:v>YES</x:v>
      </x:c>
      <x:c r="E286" s="27" t="str">
        <x:v>YES</x:v>
      </x:c>
      <x:c r="F286" s="61" t="n">
        <x:v>1274.3001755388386</x:v>
      </x:c>
      <x:c r="G286" s="61" t="n">
        <x:v>44.204288221983404</x:v>
      </x:c>
      <x:c r="H286" s="27" t="str">
        <x:v>YES</x:v>
      </x:c>
      <x:c r="I286" s="27" t="str">
        <x:v>NARN shared-node topology; deployable terminal required</x:v>
      </x:c>
      <x:c r="J286" s="27" t="str">
        <x:v>presence does not prove operability or capacity</x:v>
      </x:c>
    </x:row>
    <x:row r="287" ht="54" hidden="0" customHeight="1">
      <x:c r="A287" s="29" t="str">
        <x:v>SCA-03</x:v>
      </x:c>
      <x:c r="B287" s="29" t="str">
        <x:v>SCA-10</x:v>
      </x:c>
      <x:c r="C287" s="29" t="str">
        <x:v>Air</x:v>
      </x:c>
      <x:c r="D287" s="29" t="str">
        <x:v>YES</x:v>
      </x:c>
      <x:c r="E287" s="29" t="str">
        <x:v>YES</x:v>
      </x:c>
      <x:c r="F287" s="62" t="n">
        <x:v>1015.0891599111437</x:v>
      </x:c>
      <x:c r="G287" s="62" t="n">
        <x:v>25.56167563063253</x:v>
      </x:c>
      <x:c r="H287" s="29" t="str">
        <x:v>YES</x:v>
      </x:c>
      <x:c r="I287" s="29" t="str">
        <x:v>primary-airport endpoints; great-circle screen</x:v>
      </x:c>
      <x:c r="J287" s="29" t="str">
        <x:v>presence does not prove operability or capacity</x:v>
      </x:c>
    </x:row>
    <x:row r="288" ht="54" hidden="0" customHeight="1">
      <x:c r="A288" s="27" t="str">
        <x:v>SCA-03</x:v>
      </x:c>
      <x:c r="B288" s="27" t="str">
        <x:v>SCA-10</x:v>
      </x:c>
      <x:c r="C288" s="27" t="str">
        <x:v>Water</x:v>
      </x:c>
      <x:c r="D288" s="27" t="str">
        <x:v>NO</x:v>
      </x:c>
      <x:c r="E288" s="27" t="str">
        <x:v>NO</x:v>
      </x:c>
      <x:c r="F288" s="61"/>
      <x:c r="G288" s="61"/>
      <x:c r="H288" s="27" t="str">
        <x:v>NO</x:v>
      </x:c>
      <x:c r="I288" s="27" t="str">
        <x:v>no screened path</x:v>
      </x:c>
      <x:c r="J288" s="27" t="str">
        <x:v>presence does not prove operability or capacity</x:v>
      </x:c>
    </x:row>
    <x:row r="289" ht="54" hidden="0" customHeight="1">
      <x:c r="A289" s="29" t="str">
        <x:v>SCA-03</x:v>
      </x:c>
      <x:c r="B289" s="29" t="str">
        <x:v>SCA-11</x:v>
      </x:c>
      <x:c r="C289" s="29" t="str">
        <x:v>Road</x:v>
      </x:c>
      <x:c r="D289" s="29" t="str">
        <x:v>YES</x:v>
      </x:c>
      <x:c r="E289" s="29" t="str">
        <x:v>YES</x:v>
      </x:c>
      <x:c r="F289" s="62" t="n">
        <x:v>2616.628455754896</x:v>
      </x:c>
      <x:c r="G289" s="62" t="n">
        <x:v>67.5750628319072</x:v>
      </x:c>
      <x:c r="H289" s="29" t="str">
        <x:v>YES</x:v>
      </x:c>
      <x:c r="I289" s="29" t="str">
        <x:v>NHPN-gated shared-boundary SCA path</x:v>
      </x:c>
      <x:c r="J289" s="29" t="str">
        <x:v>presence does not prove operability or capacity</x:v>
      </x:c>
    </x:row>
    <x:row r="290" ht="64.80000305175781" hidden="0" customHeight="1">
      <x:c r="A290" s="27" t="str">
        <x:v>SCA-03</x:v>
      </x:c>
      <x:c r="B290" s="27" t="str">
        <x:v>SCA-11</x:v>
      </x:c>
      <x:c r="C290" s="27" t="str">
        <x:v>Rail</x:v>
      </x:c>
      <x:c r="D290" s="27" t="str">
        <x:v>YES</x:v>
      </x:c>
      <x:c r="E290" s="27" t="str">
        <x:v>YES</x:v>
      </x:c>
      <x:c r="F290" s="61" t="n">
        <x:v>2775.901492192151</x:v>
      </x:c>
      <x:c r="G290" s="61" t="n">
        <x:v>65.65573560274501</x:v>
      </x:c>
      <x:c r="H290" s="27" t="str">
        <x:v>YES</x:v>
      </x:c>
      <x:c r="I290" s="27" t="str">
        <x:v>NARN shared-node topology; deployable terminal required</x:v>
      </x:c>
      <x:c r="J290" s="27" t="str">
        <x:v>presence does not prove operability or capacity</x:v>
      </x:c>
    </x:row>
    <x:row r="291" ht="54" hidden="0" customHeight="1">
      <x:c r="A291" s="29" t="str">
        <x:v>SCA-03</x:v>
      </x:c>
      <x:c r="B291" s="29" t="str">
        <x:v>SCA-11</x:v>
      </x:c>
      <x:c r="C291" s="29" t="str">
        <x:v>Air</x:v>
      </x:c>
      <x:c r="D291" s="29" t="str">
        <x:v>YES</x:v>
      </x:c>
      <x:c r="E291" s="29" t="str">
        <x:v>YES</x:v>
      </x:c>
      <x:c r="F291" s="62" t="n">
        <x:v>2043.2427163853858</x:v>
      </x:c>
      <x:c r="G291" s="62" t="n">
        <x:v>27.143450332900592</x:v>
      </x:c>
      <x:c r="H291" s="29" t="str">
        <x:v>YES</x:v>
      </x:c>
      <x:c r="I291" s="29" t="str">
        <x:v>primary-airport endpoints; great-circle screen</x:v>
      </x:c>
      <x:c r="J291" s="29" t="str">
        <x:v>presence does not prove operability or capacity</x:v>
      </x:c>
    </x:row>
    <x:row r="292" ht="54" hidden="0" customHeight="1">
      <x:c r="A292" s="27" t="str">
        <x:v>SCA-03</x:v>
      </x:c>
      <x:c r="B292" s="27" t="str">
        <x:v>SCA-11</x:v>
      </x:c>
      <x:c r="C292" s="27" t="str">
        <x:v>Water</x:v>
      </x:c>
      <x:c r="D292" s="27" t="str">
        <x:v>NO</x:v>
      </x:c>
      <x:c r="E292" s="27" t="str">
        <x:v>NO</x:v>
      </x:c>
      <x:c r="F292" s="61"/>
      <x:c r="G292" s="61"/>
      <x:c r="H292" s="27" t="str">
        <x:v>NO</x:v>
      </x:c>
      <x:c r="I292" s="27" t="str">
        <x:v>no screened path</x:v>
      </x:c>
      <x:c r="J292" s="27" t="str">
        <x:v>presence does not prove operability or capacity</x:v>
      </x:c>
    </x:row>
    <x:row r="293" ht="54" hidden="0" customHeight="1">
      <x:c r="A293" s="29" t="str">
        <x:v>SCA-03</x:v>
      </x:c>
      <x:c r="B293" s="29" t="str">
        <x:v>SCA-12</x:v>
      </x:c>
      <x:c r="C293" s="29" t="str">
        <x:v>Road</x:v>
      </x:c>
      <x:c r="D293" s="29" t="str">
        <x:v>YES</x:v>
      </x:c>
      <x:c r="E293" s="29" t="str">
        <x:v>YES</x:v>
      </x:c>
      <x:c r="F293" s="62" t="n">
        <x:v>1816.4892697348873</x:v>
      </x:c>
      <x:c r="G293" s="62" t="n">
        <x:v>53.027077631543406</x:v>
      </x:c>
      <x:c r="H293" s="29" t="str">
        <x:v>YES</x:v>
      </x:c>
      <x:c r="I293" s="29" t="str">
        <x:v>NHPN-gated shared-boundary SCA path</x:v>
      </x:c>
      <x:c r="J293" s="29" t="str">
        <x:v>presence does not prove operability or capacity</x:v>
      </x:c>
    </x:row>
    <x:row r="294" ht="64.80000305175781" hidden="0" customHeight="1">
      <x:c r="A294" s="27" t="str">
        <x:v>SCA-03</x:v>
      </x:c>
      <x:c r="B294" s="27" t="str">
        <x:v>SCA-12</x:v>
      </x:c>
      <x:c r="C294" s="27" t="str">
        <x:v>Rail</x:v>
      </x:c>
      <x:c r="D294" s="27" t="str">
        <x:v>YES</x:v>
      </x:c>
      <x:c r="E294" s="27" t="str">
        <x:v>YES</x:v>
      </x:c>
      <x:c r="F294" s="61" t="n">
        <x:v>1927.0581818057067</x:v>
      </x:c>
      <x:c r="G294" s="61" t="n">
        <x:v>53.529402597224376</x:v>
      </x:c>
      <x:c r="H294" s="27" t="str">
        <x:v>YES</x:v>
      </x:c>
      <x:c r="I294" s="27" t="str">
        <x:v>NARN shared-node topology; deployable terminal required</x:v>
      </x:c>
      <x:c r="J294" s="27" t="str">
        <x:v>presence does not prove operability or capacity</x:v>
      </x:c>
    </x:row>
    <x:row r="295" ht="54" hidden="0" customHeight="1">
      <x:c r="A295" s="29" t="str">
        <x:v>SCA-03</x:v>
      </x:c>
      <x:c r="B295" s="29" t="str">
        <x:v>SCA-12</x:v>
      </x:c>
      <x:c r="C295" s="29" t="str">
        <x:v>Air</x:v>
      </x:c>
      <x:c r="D295" s="29" t="str">
        <x:v>YES</x:v>
      </x:c>
      <x:c r="E295" s="29" t="str">
        <x:v>YES</x:v>
      </x:c>
      <x:c r="F295" s="62" t="n">
        <x:v>1576.6409361833641</x:v>
      </x:c>
      <x:c r="G295" s="62" t="n">
        <x:v>26.425601440282097</x:v>
      </x:c>
      <x:c r="H295" s="29" t="str">
        <x:v>YES</x:v>
      </x:c>
      <x:c r="I295" s="29" t="str">
        <x:v>primary-airport endpoints; great-circle screen</x:v>
      </x:c>
      <x:c r="J295" s="29" t="str">
        <x:v>presence does not prove operability or capacity</x:v>
      </x:c>
    </x:row>
    <x:row r="296" ht="54" hidden="0" customHeight="1">
      <x:c r="A296" s="27" t="str">
        <x:v>SCA-03</x:v>
      </x:c>
      <x:c r="B296" s="27" t="str">
        <x:v>SCA-12</x:v>
      </x:c>
      <x:c r="C296" s="27" t="str">
        <x:v>Water</x:v>
      </x:c>
      <x:c r="D296" s="27" t="str">
        <x:v>NO</x:v>
      </x:c>
      <x:c r="E296" s="27" t="str">
        <x:v>NO</x:v>
      </x:c>
      <x:c r="F296" s="61"/>
      <x:c r="G296" s="61"/>
      <x:c r="H296" s="27" t="str">
        <x:v>NO</x:v>
      </x:c>
      <x:c r="I296" s="27" t="str">
        <x:v>no screened path</x:v>
      </x:c>
      <x:c r="J296" s="27" t="str">
        <x:v>presence does not prove operability or capacity</x:v>
      </x:c>
    </x:row>
    <x:row r="297" ht="54" hidden="0" customHeight="1">
      <x:c r="A297" s="29" t="str">
        <x:v>SCA-03</x:v>
      </x:c>
      <x:c r="B297" s="29" t="str">
        <x:v>SCA-13</x:v>
      </x:c>
      <x:c r="C297" s="29" t="str">
        <x:v>Road</x:v>
      </x:c>
      <x:c r="D297" s="29" t="str">
        <x:v>NO</x:v>
      </x:c>
      <x:c r="E297" s="29" t="str">
        <x:v>NO</x:v>
      </x:c>
      <x:c r="F297" s="62"/>
      <x:c r="G297" s="62"/>
      <x:c r="H297" s="29" t="str">
        <x:v>NO</x:v>
      </x:c>
      <x:c r="I297" s="29" t="str">
        <x:v>no screened path</x:v>
      </x:c>
      <x:c r="J297" s="29" t="str">
        <x:v>presence does not prove operability or capacity</x:v>
      </x:c>
    </x:row>
    <x:row r="298" ht="64.80000305175781" hidden="0" customHeight="1">
      <x:c r="A298" s="27" t="str">
        <x:v>SCA-03</x:v>
      </x:c>
      <x:c r="B298" s="27" t="str">
        <x:v>SCA-13</x:v>
      </x:c>
      <x:c r="C298" s="27" t="str">
        <x:v>Rail</x:v>
      </x:c>
      <x:c r="D298" s="27" t="str">
        <x:v>YES</x:v>
      </x:c>
      <x:c r="E298" s="27" t="str">
        <x:v>YES</x:v>
      </x:c>
      <x:c r="F298" s="61" t="n">
        <x:v>3622.8390924503374</x:v>
      </x:c>
      <x:c r="G298" s="61" t="n">
        <x:v>77.75484417786197</x:v>
      </x:c>
      <x:c r="H298" s="27" t="str">
        <x:v>NO</x:v>
      </x:c>
      <x:c r="I298" s="27" t="str">
        <x:v>NARN shared-node topology; deployable terminal required</x:v>
      </x:c>
      <x:c r="J298" s="27" t="str">
        <x:v>presence does not prove operability or capacity</x:v>
      </x:c>
    </x:row>
    <x:row r="299" ht="54" hidden="0" customHeight="1">
      <x:c r="A299" s="29" t="str">
        <x:v>SCA-03</x:v>
      </x:c>
      <x:c r="B299" s="29" t="str">
        <x:v>SCA-13</x:v>
      </x:c>
      <x:c r="C299" s="29" t="str">
        <x:v>Air</x:v>
      </x:c>
      <x:c r="D299" s="29" t="str">
        <x:v>YES</x:v>
      </x:c>
      <x:c r="E299" s="29" t="str">
        <x:v>YES</x:v>
      </x:c>
      <x:c r="F299" s="62" t="n">
        <x:v>2745.5649307899307</x:v>
      </x:c>
      <x:c r="G299" s="62" t="n">
        <x:v>28.223946047369125</x:v>
      </x:c>
      <x:c r="H299" s="29" t="str">
        <x:v>YES</x:v>
      </x:c>
      <x:c r="I299" s="29" t="str">
        <x:v>primary-airport endpoints; great-circle screen</x:v>
      </x:c>
      <x:c r="J299" s="29" t="str">
        <x:v>presence does not prove operability or capacity</x:v>
      </x:c>
    </x:row>
    <x:row r="300" ht="75.5999984741211" hidden="0" customHeight="1">
      <x:c r="A300" s="27" t="str">
        <x:v>SCA-03</x:v>
      </x:c>
      <x:c r="B300" s="27" t="str">
        <x:v>SCA-13</x:v>
      </x:c>
      <x:c r="C300" s="27" t="str">
        <x:v>Water</x:v>
      </x:c>
      <x:c r="D300" s="27" t="str">
        <x:v>YES</x:v>
      </x:c>
      <x:c r="E300" s="27" t="str">
        <x:v>YES</x:v>
      </x:c>
      <x:c r="F300" s="61" t="n">
        <x:v>8950.367888774717</x:v>
      </x:c>
      <x:c r="G300" s="61" t="n">
        <x:v>285.72479682213475</x:v>
      </x:c>
      <x:c r="H300" s="27" t="str">
        <x:v>NO</x:v>
      </x:c>
      <x:c r="I300" s="27" t="str">
        <x:v>USACE waterway node topology; deployable terminal required</x:v>
      </x:c>
      <x:c r="J300" s="27" t="str">
        <x:v>presence does not prove operability or capacity</x:v>
      </x:c>
    </x:row>
    <x:row r="301" ht="54" hidden="0" customHeight="1">
      <x:c r="A301" s="29" t="str">
        <x:v>SCA-03</x:v>
      </x:c>
      <x:c r="B301" s="29" t="str">
        <x:v>SCA-14</x:v>
      </x:c>
      <x:c r="C301" s="29" t="str">
        <x:v>Road</x:v>
      </x:c>
      <x:c r="D301" s="29" t="str">
        <x:v>NO</x:v>
      </x:c>
      <x:c r="E301" s="29" t="str">
        <x:v>NO</x:v>
      </x:c>
      <x:c r="F301" s="62"/>
      <x:c r="G301" s="62"/>
      <x:c r="H301" s="29" t="str">
        <x:v>NO</x:v>
      </x:c>
      <x:c r="I301" s="29" t="str">
        <x:v>no screened path</x:v>
      </x:c>
      <x:c r="J301" s="29" t="str">
        <x:v>presence does not prove operability or capacity</x:v>
      </x:c>
    </x:row>
    <x:row r="302" ht="64.80000305175781" hidden="0" customHeight="1">
      <x:c r="A302" s="27" t="str">
        <x:v>SCA-03</x:v>
      </x:c>
      <x:c r="B302" s="27" t="str">
        <x:v>SCA-14</x:v>
      </x:c>
      <x:c r="C302" s="27" t="str">
        <x:v>Rail</x:v>
      </x:c>
      <x:c r="D302" s="27" t="str">
        <x:v>YES</x:v>
      </x:c>
      <x:c r="E302" s="27" t="str">
        <x:v>YES</x:v>
      </x:c>
      <x:c r="F302" s="61" t="n">
        <x:v>4050.9687209260555</x:v>
      </x:c>
      <x:c r="G302" s="61" t="n">
        <x:v>83.87098172751507</x:v>
      </x:c>
      <x:c r="H302" s="27" t="str">
        <x:v>NO</x:v>
      </x:c>
      <x:c r="I302" s="27" t="str">
        <x:v>NARN shared-node topology; deployable terminal required</x:v>
      </x:c>
      <x:c r="J302" s="27" t="str">
        <x:v>presence does not prove operability or capacity</x:v>
      </x:c>
    </x:row>
    <x:row r="303" ht="54" hidden="0" customHeight="1">
      <x:c r="A303" s="29" t="str">
        <x:v>SCA-03</x:v>
      </x:c>
      <x:c r="B303" s="29" t="str">
        <x:v>SCA-14</x:v>
      </x:c>
      <x:c r="C303" s="29" t="str">
        <x:v>Air</x:v>
      </x:c>
      <x:c r="D303" s="29" t="str">
        <x:v>YES</x:v>
      </x:c>
      <x:c r="E303" s="29" t="str">
        <x:v>YES</x:v>
      </x:c>
      <x:c r="F303" s="62" t="n">
        <x:v>3023.171625429428</x:v>
      </x:c>
      <x:c r="G303" s="62" t="n">
        <x:v>28.65103326989143</x:v>
      </x:c>
      <x:c r="H303" s="29" t="str">
        <x:v>YES</x:v>
      </x:c>
      <x:c r="I303" s="29" t="str">
        <x:v>primary-airport endpoints; great-circle screen</x:v>
      </x:c>
      <x:c r="J303" s="29" t="str">
        <x:v>presence does not prove operability or capacity</x:v>
      </x:c>
    </x:row>
    <x:row r="304" ht="75.5999984741211" hidden="0" customHeight="1">
      <x:c r="A304" s="27" t="str">
        <x:v>SCA-03</x:v>
      </x:c>
      <x:c r="B304" s="27" t="str">
        <x:v>SCA-14</x:v>
      </x:c>
      <x:c r="C304" s="27" t="str">
        <x:v>Water</x:v>
      </x:c>
      <x:c r="D304" s="27" t="str">
        <x:v>YES</x:v>
      </x:c>
      <x:c r="E304" s="27" t="str">
        <x:v>YES</x:v>
      </x:c>
      <x:c r="F304" s="61" t="n">
        <x:v>8898.373876328038</x:v>
      </x:c>
      <x:c r="G304" s="61" t="n">
        <x:v>284.23925360937255</x:v>
      </x:c>
      <x:c r="H304" s="27" t="str">
        <x:v>NO</x:v>
      </x:c>
      <x:c r="I304" s="27" t="str">
        <x:v>USACE waterway node topology; deployable terminal required</x:v>
      </x:c>
      <x:c r="J304" s="27" t="str">
        <x:v>presence does not prove operability or capacity</x:v>
      </x:c>
    </x:row>
    <x:row r="305" ht="54" hidden="0" customHeight="1">
      <x:c r="A305" s="29" t="str">
        <x:v>SCA-03</x:v>
      </x:c>
      <x:c r="B305" s="29" t="str">
        <x:v>SCA-15</x:v>
      </x:c>
      <x:c r="C305" s="29" t="str">
        <x:v>Road</x:v>
      </x:c>
      <x:c r="D305" s="29" t="str">
        <x:v>YES</x:v>
      </x:c>
      <x:c r="E305" s="29" t="str">
        <x:v>YES</x:v>
      </x:c>
      <x:c r="F305" s="62" t="n">
        <x:v>2992.1386743212615</x:v>
      </x:c>
      <x:c r="G305" s="62" t="n">
        <x:v>74.40252135129566</x:v>
      </x:c>
      <x:c r="H305" s="29" t="str">
        <x:v>NO</x:v>
      </x:c>
      <x:c r="I305" s="29" t="str">
        <x:v>NHPN-gated shared-boundary SCA path</x:v>
      </x:c>
      <x:c r="J305" s="29" t="str">
        <x:v>presence does not prove operability or capacity</x:v>
      </x:c>
    </x:row>
    <x:row r="306" ht="64.80000305175781" hidden="0" customHeight="1">
      <x:c r="A306" s="27" t="str">
        <x:v>SCA-03</x:v>
      </x:c>
      <x:c r="B306" s="27" t="str">
        <x:v>SCA-15</x:v>
      </x:c>
      <x:c r="C306" s="27" t="str">
        <x:v>Rail</x:v>
      </x:c>
      <x:c r="D306" s="27" t="str">
        <x:v>YES</x:v>
      </x:c>
      <x:c r="E306" s="27" t="str">
        <x:v>YES</x:v>
      </x:c>
      <x:c r="F306" s="61" t="n">
        <x:v>3174.2688544973385</x:v>
      </x:c>
      <x:c r="G306" s="61" t="n">
        <x:v>71.34669792139056</x:v>
      </x:c>
      <x:c r="H306" s="27" t="str">
        <x:v>YES</x:v>
      </x:c>
      <x:c r="I306" s="27" t="str">
        <x:v>NARN shared-node topology; deployable terminal required</x:v>
      </x:c>
      <x:c r="J306" s="27" t="str">
        <x:v>presence does not prove operability or capacity</x:v>
      </x:c>
    </x:row>
    <x:row r="307" ht="54" hidden="0" customHeight="1">
      <x:c r="A307" s="29" t="str">
        <x:v>SCA-03</x:v>
      </x:c>
      <x:c r="B307" s="29" t="str">
        <x:v>SCA-15</x:v>
      </x:c>
      <x:c r="C307" s="29" t="str">
        <x:v>Air</x:v>
      </x:c>
      <x:c r="D307" s="29" t="str">
        <x:v>YES</x:v>
      </x:c>
      <x:c r="E307" s="29" t="str">
        <x:v>YES</x:v>
      </x:c>
      <x:c r="F307" s="62" t="n">
        <x:v>2595.4098520097514</x:v>
      </x:c>
      <x:c r="G307" s="62" t="n">
        <x:v>27.992938233861157</x:v>
      </x:c>
      <x:c r="H307" s="29" t="str">
        <x:v>YES</x:v>
      </x:c>
      <x:c r="I307" s="29" t="str">
        <x:v>primary-airport endpoints; great-circle screen</x:v>
      </x:c>
      <x:c r="J307" s="29" t="str">
        <x:v>presence does not prove operability or capacity</x:v>
      </x:c>
    </x:row>
    <x:row r="308" ht="75.5999984741211" hidden="0" customHeight="1">
      <x:c r="A308" s="27" t="str">
        <x:v>SCA-03</x:v>
      </x:c>
      <x:c r="B308" s="27" t="str">
        <x:v>SCA-15</x:v>
      </x:c>
      <x:c r="C308" s="27" t="str">
        <x:v>Water</x:v>
      </x:c>
      <x:c r="D308" s="27" t="str">
        <x:v>YES</x:v>
      </x:c>
      <x:c r="E308" s="27" t="str">
        <x:v>YES</x:v>
      </x:c>
      <x:c r="F308" s="61" t="n">
        <x:v>8990.968099560108</x:v>
      </x:c>
      <x:c r="G308" s="61" t="n">
        <x:v>286.88480284457455</x:v>
      </x:c>
      <x:c r="H308" s="27" t="str">
        <x:v>NO</x:v>
      </x:c>
      <x:c r="I308" s="27" t="str">
        <x:v>USACE waterway node topology; deployable terminal required</x:v>
      </x:c>
      <x:c r="J308" s="27" t="str">
        <x:v>presence does not prove operability or capacity</x:v>
      </x:c>
    </x:row>
    <x:row r="309" ht="54" hidden="0" customHeight="1">
      <x:c r="A309" s="29" t="str">
        <x:v>SCA-03</x:v>
      </x:c>
      <x:c r="B309" s="29" t="str">
        <x:v>SCA-16</x:v>
      </x:c>
      <x:c r="C309" s="29" t="str">
        <x:v>Road</x:v>
      </x:c>
      <x:c r="D309" s="29" t="str">
        <x:v>YES</x:v>
      </x:c>
      <x:c r="E309" s="29" t="str">
        <x:v>YES</x:v>
      </x:c>
      <x:c r="F309" s="62" t="n">
        <x:v>2708.606511727988</x:v>
      </x:c>
      <x:c r="G309" s="62" t="n">
        <x:v>69.24739112232706</x:v>
      </x:c>
      <x:c r="H309" s="29" t="str">
        <x:v>YES</x:v>
      </x:c>
      <x:c r="I309" s="29" t="str">
        <x:v>NHPN-gated shared-boundary SCA path</x:v>
      </x:c>
      <x:c r="J309" s="29" t="str">
        <x:v>presence does not prove operability or capacity</x:v>
      </x:c>
    </x:row>
    <x:row r="310" ht="64.80000305175781" hidden="0" customHeight="1">
      <x:c r="A310" s="27" t="str">
        <x:v>SCA-03</x:v>
      </x:c>
      <x:c r="B310" s="27" t="str">
        <x:v>SCA-16</x:v>
      </x:c>
      <x:c r="C310" s="27" t="str">
        <x:v>Rail</x:v>
      </x:c>
      <x:c r="D310" s="27" t="str">
        <x:v>YES</x:v>
      </x:c>
      <x:c r="E310" s="27" t="str">
        <x:v>YES</x:v>
      </x:c>
      <x:c r="F310" s="61" t="n">
        <x:v>2873.4782124418657</x:v>
      </x:c>
      <x:c r="G310" s="61" t="n">
        <x:v>67.04968874916952</x:v>
      </x:c>
      <x:c r="H310" s="27" t="str">
        <x:v>YES</x:v>
      </x:c>
      <x:c r="I310" s="27" t="str">
        <x:v>NARN shared-node topology; deployable terminal required</x:v>
      </x:c>
      <x:c r="J310" s="27" t="str">
        <x:v>presence does not prove operability or capacity</x:v>
      </x:c>
    </x:row>
    <x:row r="311" ht="54" hidden="0" customHeight="1">
      <x:c r="A311" s="29" t="str">
        <x:v>SCA-03</x:v>
      </x:c>
      <x:c r="B311" s="29" t="str">
        <x:v>SCA-16</x:v>
      </x:c>
      <x:c r="C311" s="29" t="str">
        <x:v>Air</x:v>
      </x:c>
      <x:c r="D311" s="29" t="str">
        <x:v>YES</x:v>
      </x:c>
      <x:c r="E311" s="29" t="str">
        <x:v>YES</x:v>
      </x:c>
      <x:c r="F311" s="62" t="n">
        <x:v>2293.5625196199285</x:v>
      </x:c>
      <x:c r="G311" s="62" t="n">
        <x:v>27.5285577224922</x:v>
      </x:c>
      <x:c r="H311" s="29" t="str">
        <x:v>YES</x:v>
      </x:c>
      <x:c r="I311" s="29" t="str">
        <x:v>primary-airport endpoints; great-circle screen</x:v>
      </x:c>
      <x:c r="J311" s="29" t="str">
        <x:v>presence does not prove operability or capacity</x:v>
      </x:c>
    </x:row>
    <x:row r="312" ht="75.5999984741211" hidden="0" customHeight="1">
      <x:c r="A312" s="27" t="str">
        <x:v>SCA-03</x:v>
      </x:c>
      <x:c r="B312" s="27" t="str">
        <x:v>SCA-16</x:v>
      </x:c>
      <x:c r="C312" s="27" t="str">
        <x:v>Water</x:v>
      </x:c>
      <x:c r="D312" s="27" t="str">
        <x:v>YES</x:v>
      </x:c>
      <x:c r="E312" s="27" t="str">
        <x:v>YES</x:v>
      </x:c>
      <x:c r="F312" s="61" t="n">
        <x:v>9183.915371981322</x:v>
      </x:c>
      <x:c r="G312" s="61" t="n">
        <x:v>292.3975820566092</x:v>
      </x:c>
      <x:c r="H312" s="27" t="str">
        <x:v>NO</x:v>
      </x:c>
      <x:c r="I312" s="27" t="str">
        <x:v>USACE waterway node topology; deployable terminal required</x:v>
      </x:c>
      <x:c r="J312" s="27" t="str">
        <x:v>presence does not prove operability or capacity</x:v>
      </x:c>
    </x:row>
    <x:row r="313" ht="54" hidden="0" customHeight="1">
      <x:c r="A313" s="29" t="str">
        <x:v>SCA-03</x:v>
      </x:c>
      <x:c r="B313" s="29" t="str">
        <x:v>SCA-17</x:v>
      </x:c>
      <x:c r="C313" s="29" t="str">
        <x:v>Road</x:v>
      </x:c>
      <x:c r="D313" s="29" t="str">
        <x:v>YES</x:v>
      </x:c>
      <x:c r="E313" s="29" t="str">
        <x:v>YES</x:v>
      </x:c>
      <x:c r="F313" s="62" t="n">
        <x:v>3460.9510671442326</x:v>
      </x:c>
      <x:c r="G313" s="62" t="n">
        <x:v>82.92638303898605</x:v>
      </x:c>
      <x:c r="H313" s="29" t="str">
        <x:v>NO</x:v>
      </x:c>
      <x:c r="I313" s="29" t="str">
        <x:v>NHPN-gated shared-boundary SCA path</x:v>
      </x:c>
      <x:c r="J313" s="29" t="str">
        <x:v>presence does not prove operability or capacity</x:v>
      </x:c>
    </x:row>
    <x:row r="314" ht="64.80000305175781" hidden="0" customHeight="1">
      <x:c r="A314" s="27" t="str">
        <x:v>SCA-03</x:v>
      </x:c>
      <x:c r="B314" s="27" t="str">
        <x:v>SCA-17</x:v>
      </x:c>
      <x:c r="C314" s="27" t="str">
        <x:v>Rail</x:v>
      </x:c>
      <x:c r="D314" s="27" t="str">
        <x:v>YES</x:v>
      </x:c>
      <x:c r="E314" s="27" t="str">
        <x:v>YES</x:v>
      </x:c>
      <x:c r="F314" s="61" t="n">
        <x:v>3671.617653839968</x:v>
      </x:c>
      <x:c r="G314" s="61" t="n">
        <x:v>78.4516807691424</x:v>
      </x:c>
      <x:c r="H314" s="27" t="str">
        <x:v>NO</x:v>
      </x:c>
      <x:c r="I314" s="27" t="str">
        <x:v>NARN shared-node topology; deployable terminal required</x:v>
      </x:c>
      <x:c r="J314" s="27" t="str">
        <x:v>presence does not prove operability or capacity</x:v>
      </x:c>
    </x:row>
    <x:row r="315" ht="54" hidden="0" customHeight="1">
      <x:c r="A315" s="29" t="str">
        <x:v>SCA-03</x:v>
      </x:c>
      <x:c r="B315" s="29" t="str">
        <x:v>SCA-17</x:v>
      </x:c>
      <x:c r="C315" s="29" t="str">
        <x:v>Air</x:v>
      </x:c>
      <x:c r="D315" s="29" t="str">
        <x:v>YES</x:v>
      </x:c>
      <x:c r="E315" s="29" t="str">
        <x:v>YES</x:v>
      </x:c>
      <x:c r="F315" s="62" t="n">
        <x:v>2995.834354345349</x:v>
      </x:c>
      <x:c r="G315" s="62" t="n">
        <x:v>28.608975929762074</x:v>
      </x:c>
      <x:c r="H315" s="29" t="str">
        <x:v>YES</x:v>
      </x:c>
      <x:c r="I315" s="29" t="str">
        <x:v>primary-airport endpoints; great-circle screen</x:v>
      </x:c>
      <x:c r="J315" s="29" t="str">
        <x:v>presence does not prove operability or capacity</x:v>
      </x:c>
    </x:row>
    <x:row r="316" ht="75.5999984741211" hidden="0" customHeight="1">
      <x:c r="A316" s="27" t="str">
        <x:v>SCA-03</x:v>
      </x:c>
      <x:c r="B316" s="27" t="str">
        <x:v>SCA-17</x:v>
      </x:c>
      <x:c r="C316" s="27" t="str">
        <x:v>Water</x:v>
      </x:c>
      <x:c r="D316" s="27" t="str">
        <x:v>YES</x:v>
      </x:c>
      <x:c r="E316" s="27" t="str">
        <x:v>YES</x:v>
      </x:c>
      <x:c r="F316" s="61" t="n">
        <x:v>8469.159523200628</x:v>
      </x:c>
      <x:c r="G316" s="61" t="n">
        <x:v>271.9759863771608</x:v>
      </x:c>
      <x:c r="H316" s="27" t="str">
        <x:v>NO</x:v>
      </x:c>
      <x:c r="I316" s="27" t="str">
        <x:v>USACE waterway node topology; deployable terminal required</x:v>
      </x:c>
      <x:c r="J316" s="27" t="str">
        <x:v>presence does not prove operability or capacity</x:v>
      </x:c>
    </x:row>
    <x:row r="317" ht="54" hidden="0" customHeight="1">
      <x:c r="A317" s="29" t="str">
        <x:v>SCA-03</x:v>
      </x:c>
      <x:c r="B317" s="29" t="str">
        <x:v>SCA-18</x:v>
      </x:c>
      <x:c r="C317" s="29" t="str">
        <x:v>Road</x:v>
      </x:c>
      <x:c r="D317" s="29" t="str">
        <x:v>YES</x:v>
      </x:c>
      <x:c r="E317" s="29" t="str">
        <x:v>YES</x:v>
      </x:c>
      <x:c r="F317" s="62" t="n">
        <x:v>2548.587442468447</x:v>
      </x:c>
      <x:c r="G317" s="62" t="n">
        <x:v>66.3379534994263</x:v>
      </x:c>
      <x:c r="H317" s="29" t="str">
        <x:v>YES</x:v>
      </x:c>
      <x:c r="I317" s="29" t="str">
        <x:v>NHPN-gated shared-boundary SCA path</x:v>
      </x:c>
      <x:c r="J317" s="29" t="str">
        <x:v>presence does not prove operability or capacity</x:v>
      </x:c>
    </x:row>
    <x:row r="318" ht="64.80000305175781" hidden="0" customHeight="1">
      <x:c r="A318" s="27" t="str">
        <x:v>SCA-03</x:v>
      </x:c>
      <x:c r="B318" s="27" t="str">
        <x:v>SCA-18</x:v>
      </x:c>
      <x:c r="C318" s="27" t="str">
        <x:v>Rail</x:v>
      </x:c>
      <x:c r="D318" s="27" t="str">
        <x:v>YES</x:v>
      </x:c>
      <x:c r="E318" s="27" t="str">
        <x:v>YES</x:v>
      </x:c>
      <x:c r="F318" s="61" t="n">
        <x:v>2703.7188520100053</x:v>
      </x:c>
      <x:c r="G318" s="61" t="n">
        <x:v>64.62455502871435</x:v>
      </x:c>
      <x:c r="H318" s="27" t="str">
        <x:v>YES</x:v>
      </x:c>
      <x:c r="I318" s="27" t="str">
        <x:v>NARN shared-node topology; deployable terminal required</x:v>
      </x:c>
      <x:c r="J318" s="27" t="str">
        <x:v>presence does not prove operability or capacity</x:v>
      </x:c>
    </x:row>
    <x:row r="319" ht="54" hidden="0" customHeight="1">
      <x:c r="A319" s="29" t="str">
        <x:v>SCA-03</x:v>
      </x:c>
      <x:c r="B319" s="29" t="str">
        <x:v>SCA-18</x:v>
      </x:c>
      <x:c r="C319" s="29" t="str">
        <x:v>Air</x:v>
      </x:c>
      <x:c r="D319" s="29" t="str">
        <x:v>YES</x:v>
      </x:c>
      <x:c r="E319" s="29" t="str">
        <x:v>YES</x:v>
      </x:c>
      <x:c r="F319" s="62" t="n">
        <x:v>2152.298482539406</x:v>
      </x:c>
      <x:c r="G319" s="62" t="n">
        <x:v>27.31122843467601</x:v>
      </x:c>
      <x:c r="H319" s="29" t="str">
        <x:v>YES</x:v>
      </x:c>
      <x:c r="I319" s="29" t="str">
        <x:v>primary-airport endpoints; great-circle screen</x:v>
      </x:c>
      <x:c r="J319" s="29" t="str">
        <x:v>presence does not prove operability or capacity</x:v>
      </x:c>
    </x:row>
    <x:row r="320" ht="75.5999984741211" hidden="0" customHeight="1">
      <x:c r="A320" s="27" t="str">
        <x:v>SCA-03</x:v>
      </x:c>
      <x:c r="B320" s="27" t="str">
        <x:v>SCA-18</x:v>
      </x:c>
      <x:c r="C320" s="27" t="str">
        <x:v>Water</x:v>
      </x:c>
      <x:c r="D320" s="27" t="str">
        <x:v>YES</x:v>
      </x:c>
      <x:c r="E320" s="27" t="str">
        <x:v>YES</x:v>
      </x:c>
      <x:c r="F320" s="61" t="n">
        <x:v>10154.152327838756</x:v>
      </x:c>
      <x:c r="G320" s="61" t="n">
        <x:v>320.1186379382502</x:v>
      </x:c>
      <x:c r="H320" s="27" t="str">
        <x:v>NO</x:v>
      </x:c>
      <x:c r="I320" s="27" t="str">
        <x:v>USACE waterway node topology; deployable terminal required</x:v>
      </x:c>
      <x:c r="J320" s="27" t="str">
        <x:v>presence does not prove operability or capacity</x:v>
      </x:c>
    </x:row>
    <x:row r="321" ht="54" hidden="0" customHeight="1">
      <x:c r="A321" s="29" t="str">
        <x:v>SCA-03</x:v>
      </x:c>
      <x:c r="B321" s="29" t="str">
        <x:v>SCA-19</x:v>
      </x:c>
      <x:c r="C321" s="29" t="str">
        <x:v>Road</x:v>
      </x:c>
      <x:c r="D321" s="29" t="str">
        <x:v>YES</x:v>
      </x:c>
      <x:c r="E321" s="29" t="str">
        <x:v>YES</x:v>
      </x:c>
      <x:c r="F321" s="62" t="n">
        <x:v>3230.091685657004</x:v>
      </x:c>
      <x:c r="G321" s="62" t="n">
        <x:v>78.72893973921825</x:v>
      </x:c>
      <x:c r="H321" s="29" t="str">
        <x:v>NO</x:v>
      </x:c>
      <x:c r="I321" s="29" t="str">
        <x:v>NHPN-gated shared-boundary SCA path</x:v>
      </x:c>
      <x:c r="J321" s="29" t="str">
        <x:v>presence does not prove operability or capacity</x:v>
      </x:c>
    </x:row>
    <x:row r="322" ht="64.80000305175781" hidden="0" customHeight="1">
      <x:c r="A322" s="27" t="str">
        <x:v>SCA-03</x:v>
      </x:c>
      <x:c r="B322" s="27" t="str">
        <x:v>SCA-19</x:v>
      </x:c>
      <x:c r="C322" s="27" t="str">
        <x:v>Rail</x:v>
      </x:c>
      <x:c r="D322" s="27" t="str">
        <x:v>YES</x:v>
      </x:c>
      <x:c r="E322" s="27" t="str">
        <x:v>YES</x:v>
      </x:c>
      <x:c r="F322" s="61" t="n">
        <x:v>3426.7059621752564</x:v>
      </x:c>
      <x:c r="G322" s="61" t="n">
        <x:v>74.95294231678938</x:v>
      </x:c>
      <x:c r="H322" s="27" t="str">
        <x:v>NO</x:v>
      </x:c>
      <x:c r="I322" s="27" t="str">
        <x:v>NARN shared-node topology; deployable terminal required</x:v>
      </x:c>
      <x:c r="J322" s="27" t="str">
        <x:v>presence does not prove operability or capacity</x:v>
      </x:c>
    </x:row>
    <x:row r="323" ht="54" hidden="0" customHeight="1">
      <x:c r="A323" s="29" t="str">
        <x:v>SCA-03</x:v>
      </x:c>
      <x:c r="B323" s="29" t="str">
        <x:v>SCA-19</x:v>
      </x:c>
      <x:c r="C323" s="29" t="str">
        <x:v>Air</x:v>
      </x:c>
      <x:c r="D323" s="29" t="str">
        <x:v>YES</x:v>
      </x:c>
      <x:c r="E323" s="29" t="str">
        <x:v>YES</x:v>
      </x:c>
      <x:c r="F323" s="62" t="n">
        <x:v>2642.2234291020027</x:v>
      </x:c>
      <x:c r="G323" s="62" t="n">
        <x:v>28.064959121695388</x:v>
      </x:c>
      <x:c r="H323" s="29" t="str">
        <x:v>YES</x:v>
      </x:c>
      <x:c r="I323" s="29" t="str">
        <x:v>primary-airport endpoints; great-circle screen</x:v>
      </x:c>
      <x:c r="J323" s="29" t="str">
        <x:v>presence does not prove operability or capacity</x:v>
      </x:c>
    </x:row>
    <x:row r="324" ht="75.5999984741211" hidden="0" customHeight="1">
      <x:c r="A324" s="27" t="str">
        <x:v>SCA-03</x:v>
      </x:c>
      <x:c r="B324" s="27" t="str">
        <x:v>SCA-19</x:v>
      </x:c>
      <x:c r="C324" s="27" t="str">
        <x:v>Water</x:v>
      </x:c>
      <x:c r="D324" s="27" t="str">
        <x:v>YES</x:v>
      </x:c>
      <x:c r="E324" s="27" t="str">
        <x:v>YES</x:v>
      </x:c>
      <x:c r="F324" s="61" t="n">
        <x:v>8952.870242258921</x:v>
      </x:c>
      <x:c r="G324" s="61" t="n">
        <x:v>285.79629263596917</x:v>
      </x:c>
      <x:c r="H324" s="27" t="str">
        <x:v>NO</x:v>
      </x:c>
      <x:c r="I324" s="27" t="str">
        <x:v>USACE waterway node topology; deployable terminal required</x:v>
      </x:c>
      <x:c r="J324" s="27" t="str">
        <x:v>presence does not prove operability or capacity</x:v>
      </x:c>
    </x:row>
    <x:row r="325" ht="54" hidden="0" customHeight="1">
      <x:c r="A325" s="29" t="str">
        <x:v>SCA-03</x:v>
      </x:c>
      <x:c r="B325" s="29" t="str">
        <x:v>SCA-20</x:v>
      </x:c>
      <x:c r="C325" s="29" t="str">
        <x:v>Road</x:v>
      </x:c>
      <x:c r="D325" s="29" t="str">
        <x:v>YES</x:v>
      </x:c>
      <x:c r="E325" s="29" t="str">
        <x:v>YES</x:v>
      </x:c>
      <x:c r="F325" s="62" t="n">
        <x:v>3517.73220027875</x:v>
      </x:c>
      <x:c r="G325" s="62" t="n">
        <x:v>83.95876727779546</x:v>
      </x:c>
      <x:c r="H325" s="29" t="str">
        <x:v>NO</x:v>
      </x:c>
      <x:c r="I325" s="29" t="str">
        <x:v>NHPN-gated shared-boundary SCA path</x:v>
      </x:c>
      <x:c r="J325" s="29" t="str">
        <x:v>presence does not prove operability or capacity</x:v>
      </x:c>
    </x:row>
    <x:row r="326" ht="64.80000305175781" hidden="0" customHeight="1">
      <x:c r="A326" s="27" t="str">
        <x:v>SCA-03</x:v>
      </x:c>
      <x:c r="B326" s="27" t="str">
        <x:v>SCA-20</x:v>
      </x:c>
      <x:c r="C326" s="27" t="str">
        <x:v>Rail</x:v>
      </x:c>
      <x:c r="D326" s="27" t="str">
        <x:v>YES</x:v>
      </x:c>
      <x:c r="E326" s="27" t="str">
        <x:v>YES</x:v>
      </x:c>
      <x:c r="F326" s="61" t="n">
        <x:v>3731.8550298609352</x:v>
      </x:c>
      <x:c r="G326" s="61" t="n">
        <x:v>79.31221471229907</x:v>
      </x:c>
      <x:c r="H326" s="27" t="str">
        <x:v>NO</x:v>
      </x:c>
      <x:c r="I326" s="27" t="str">
        <x:v>NARN shared-node topology; deployable terminal required</x:v>
      </x:c>
      <x:c r="J326" s="27" t="str">
        <x:v>presence does not prove operability or capacity</x:v>
      </x:c>
    </x:row>
    <x:row r="327" ht="54" hidden="0" customHeight="1">
      <x:c r="A327" s="29" t="str">
        <x:v>SCA-03</x:v>
      </x:c>
      <x:c r="B327" s="29" t="str">
        <x:v>SCA-20</x:v>
      </x:c>
      <x:c r="C327" s="29" t="str">
        <x:v>Air</x:v>
      </x:c>
      <x:c r="D327" s="29" t="str">
        <x:v>YES</x:v>
      </x:c>
      <x:c r="E327" s="29" t="str">
        <x:v>YES</x:v>
      </x:c>
      <x:c r="F327" s="62" t="n">
        <x:v>2995.094342787121</x:v>
      </x:c>
      <x:c r="G327" s="62" t="n">
        <x:v>28.607837450441725</x:v>
      </x:c>
      <x:c r="H327" s="29" t="str">
        <x:v>YES</x:v>
      </x:c>
      <x:c r="I327" s="29" t="str">
        <x:v>primary-airport endpoints; great-circle screen</x:v>
      </x:c>
      <x:c r="J327" s="29" t="str">
        <x:v>presence does not prove operability or capacity</x:v>
      </x:c>
    </x:row>
    <x:row r="328" ht="75.5999984741211" hidden="0" customHeight="1">
      <x:c r="A328" s="27" t="str">
        <x:v>SCA-03</x:v>
      </x:c>
      <x:c r="B328" s="27" t="str">
        <x:v>SCA-20</x:v>
      </x:c>
      <x:c r="C328" s="27" t="str">
        <x:v>Water</x:v>
      </x:c>
      <x:c r="D328" s="27" t="str">
        <x:v>YES</x:v>
      </x:c>
      <x:c r="E328" s="27" t="str">
        <x:v>YES</x:v>
      </x:c>
      <x:c r="F328" s="61" t="n">
        <x:v>8283.32330124656</x:v>
      </x:c>
      <x:c r="G328" s="61" t="n">
        <x:v>266.66638003561604</x:v>
      </x:c>
      <x:c r="H328" s="27" t="str">
        <x:v>NO</x:v>
      </x:c>
      <x:c r="I328" s="27" t="str">
        <x:v>USACE waterway node topology; deployable terminal required</x:v>
      </x:c>
      <x:c r="J328" s="27" t="str">
        <x:v>presence does not prove operability or capacity</x:v>
      </x:c>
    </x:row>
    <x:row r="329" ht="54" hidden="0" customHeight="1">
      <x:c r="A329" s="29" t="str">
        <x:v>SCA-03</x:v>
      </x:c>
      <x:c r="B329" s="29" t="str">
        <x:v>SCA-21</x:v>
      </x:c>
      <x:c r="C329" s="29" t="str">
        <x:v>Road</x:v>
      </x:c>
      <x:c r="D329" s="29" t="str">
        <x:v>YES</x:v>
      </x:c>
      <x:c r="E329" s="29" t="str">
        <x:v>YES</x:v>
      </x:c>
      <x:c r="F329" s="62" t="n">
        <x:v>3190.188988574312</x:v>
      </x:c>
      <x:c r="G329" s="62" t="n">
        <x:v>78.0034361558966</x:v>
      </x:c>
      <x:c r="H329" s="29" t="str">
        <x:v>NO</x:v>
      </x:c>
      <x:c r="I329" s="29" t="str">
        <x:v>NHPN-gated shared-boundary SCA path</x:v>
      </x:c>
      <x:c r="J329" s="29" t="str">
        <x:v>presence does not prove operability or capacity</x:v>
      </x:c>
    </x:row>
    <x:row r="330" ht="64.80000305175781" hidden="0" customHeight="1">
      <x:c r="A330" s="27" t="str">
        <x:v>SCA-03</x:v>
      </x:c>
      <x:c r="B330" s="27" t="str">
        <x:v>SCA-21</x:v>
      </x:c>
      <x:c r="C330" s="27" t="str">
        <x:v>Rail</x:v>
      </x:c>
      <x:c r="D330" s="27" t="str">
        <x:v>YES</x:v>
      </x:c>
      <x:c r="E330" s="27" t="str">
        <x:v>YES</x:v>
      </x:c>
      <x:c r="F330" s="61" t="n">
        <x:v>3384.3744052701404</x:v>
      </x:c>
      <x:c r="G330" s="61" t="n">
        <x:v>74.34820578957343</x:v>
      </x:c>
      <x:c r="H330" s="27" t="str">
        <x:v>NO</x:v>
      </x:c>
      <x:c r="I330" s="27" t="str">
        <x:v>NARN shared-node topology; deployable terminal required</x:v>
      </x:c>
      <x:c r="J330" s="27" t="str">
        <x:v>presence does not prove operability or capacity</x:v>
      </x:c>
    </x:row>
    <x:row r="331" ht="54" hidden="0" customHeight="1">
      <x:c r="A331" s="29" t="str">
        <x:v>SCA-03</x:v>
      </x:c>
      <x:c r="B331" s="29" t="str">
        <x:v>SCA-21</x:v>
      </x:c>
      <x:c r="C331" s="29" t="str">
        <x:v>Air</x:v>
      </x:c>
      <x:c r="D331" s="29" t="str">
        <x:v>YES</x:v>
      </x:c>
      <x:c r="E331" s="29" t="str">
        <x:v>YES</x:v>
      </x:c>
      <x:c r="F331" s="62" t="n">
        <x:v>2698.823162785475</x:v>
      </x:c>
      <x:c r="G331" s="62" t="n">
        <x:v>28.152035635054578</x:v>
      </x:c>
      <x:c r="H331" s="29" t="str">
        <x:v>YES</x:v>
      </x:c>
      <x:c r="I331" s="29" t="str">
        <x:v>primary-airport endpoints; great-circle screen</x:v>
      </x:c>
      <x:c r="J331" s="29" t="str">
        <x:v>presence does not prove operability or capacity</x:v>
      </x:c>
    </x:row>
    <x:row r="332" ht="75.5999984741211" hidden="0" customHeight="1">
      <x:c r="A332" s="27" t="str">
        <x:v>SCA-03</x:v>
      </x:c>
      <x:c r="B332" s="27" t="str">
        <x:v>SCA-21</x:v>
      </x:c>
      <x:c r="C332" s="27" t="str">
        <x:v>Water</x:v>
      </x:c>
      <x:c r="D332" s="27" t="str">
        <x:v>YES</x:v>
      </x:c>
      <x:c r="E332" s="27" t="str">
        <x:v>YES</x:v>
      </x:c>
      <x:c r="F332" s="61" t="n">
        <x:v>9537.805044262515</x:v>
      </x:c>
      <x:c r="G332" s="61" t="n">
        <x:v>302.5087155503576</x:v>
      </x:c>
      <x:c r="H332" s="27" t="str">
        <x:v>NO</x:v>
      </x:c>
      <x:c r="I332" s="27" t="str">
        <x:v>USACE waterway node topology; deployable terminal required</x:v>
      </x:c>
      <x:c r="J332" s="27" t="str">
        <x:v>presence does not prove operability or capacity</x:v>
      </x:c>
    </x:row>
    <x:row r="333" ht="54" hidden="0" customHeight="1">
      <x:c r="A333" s="29" t="str">
        <x:v>SCA-03</x:v>
      </x:c>
      <x:c r="B333" s="29" t="str">
        <x:v>SCA-22</x:v>
      </x:c>
      <x:c r="C333" s="29" t="str">
        <x:v>Road</x:v>
      </x:c>
      <x:c r="D333" s="29" t="str">
        <x:v>YES</x:v>
      </x:c>
      <x:c r="E333" s="29" t="str">
        <x:v>YES</x:v>
      </x:c>
      <x:c r="F333" s="62" t="n">
        <x:v>3739.518725815893</x:v>
      </x:c>
      <x:c r="G333" s="62" t="n">
        <x:v>87.99124956028896</x:v>
      </x:c>
      <x:c r="H333" s="29" t="str">
        <x:v>NO</x:v>
      </x:c>
      <x:c r="I333" s="29" t="str">
        <x:v>NHPN-gated shared-boundary SCA path</x:v>
      </x:c>
      <x:c r="J333" s="29" t="str">
        <x:v>presence does not prove operability or capacity</x:v>
      </x:c>
    </x:row>
    <x:row r="334" ht="64.80000305175781" hidden="0" customHeight="1">
      <x:c r="A334" s="27" t="str">
        <x:v>SCA-03</x:v>
      </x:c>
      <x:c r="B334" s="27" t="str">
        <x:v>SCA-22</x:v>
      </x:c>
      <x:c r="C334" s="27" t="str">
        <x:v>Rail</x:v>
      </x:c>
      <x:c r="D334" s="27" t="str">
        <x:v>YES</x:v>
      </x:c>
      <x:c r="E334" s="27" t="str">
        <x:v>YES</x:v>
      </x:c>
      <x:c r="F334" s="61" t="n">
        <x:v>3967.1416047786</x:v>
      </x:c>
      <x:c r="G334" s="61" t="n">
        <x:v>82.67345149683715</x:v>
      </x:c>
      <x:c r="H334" s="27" t="str">
        <x:v>NO</x:v>
      </x:c>
      <x:c r="I334" s="27" t="str">
        <x:v>NARN shared-node topology; deployable terminal required</x:v>
      </x:c>
      <x:c r="J334" s="27" t="str">
        <x:v>presence does not prove operability or capacity</x:v>
      </x:c>
    </x:row>
    <x:row r="335" ht="54" hidden="0" customHeight="1">
      <x:c r="A335" s="29" t="str">
        <x:v>SCA-03</x:v>
      </x:c>
      <x:c r="B335" s="29" t="str">
        <x:v>SCA-22</x:v>
      </x:c>
      <x:c r="C335" s="29" t="str">
        <x:v>Air</x:v>
      </x:c>
      <x:c r="D335" s="29" t="str">
        <x:v>YES</x:v>
      </x:c>
      <x:c r="E335" s="29" t="str">
        <x:v>YES</x:v>
      </x:c>
      <x:c r="F335" s="62" t="n">
        <x:v>3083.0217762193315</x:v>
      </x:c>
      <x:c r="G335" s="62" t="n">
        <x:v>28.743110424952818</x:v>
      </x:c>
      <x:c r="H335" s="29" t="str">
        <x:v>YES</x:v>
      </x:c>
      <x:c r="I335" s="29" t="str">
        <x:v>primary-airport endpoints; great-circle screen</x:v>
      </x:c>
      <x:c r="J335" s="29" t="str">
        <x:v>presence does not prove operability or capacity</x:v>
      </x:c>
    </x:row>
    <x:row r="336" ht="75.5999984741211" hidden="0" customHeight="1">
      <x:c r="A336" s="27" t="str">
        <x:v>SCA-03</x:v>
      </x:c>
      <x:c r="B336" s="27" t="str">
        <x:v>SCA-22</x:v>
      </x:c>
      <x:c r="C336" s="27" t="str">
        <x:v>Water</x:v>
      </x:c>
      <x:c r="D336" s="27" t="str">
        <x:v>YES</x:v>
      </x:c>
      <x:c r="E336" s="27" t="str">
        <x:v>YES</x:v>
      </x:c>
      <x:c r="F336" s="61" t="n">
        <x:v>8852.273232607457</x:v>
      </x:c>
      <x:c r="G336" s="61" t="n">
        <x:v>282.922092360213</x:v>
      </x:c>
      <x:c r="H336" s="27" t="str">
        <x:v>NO</x:v>
      </x:c>
      <x:c r="I336" s="27" t="str">
        <x:v>USACE waterway node topology; deployable terminal required</x:v>
      </x:c>
      <x:c r="J336" s="27" t="str">
        <x:v>presence does not prove operability or capacity</x:v>
      </x:c>
    </x:row>
    <x:row r="337" ht="54" hidden="0" customHeight="1">
      <x:c r="A337" s="29" t="str">
        <x:v>SCA-03</x:v>
      </x:c>
      <x:c r="B337" s="29" t="str">
        <x:v>SCA-23</x:v>
      </x:c>
      <x:c r="C337" s="29" t="str">
        <x:v>Road</x:v>
      </x:c>
      <x:c r="D337" s="29" t="str">
        <x:v>YES</x:v>
      </x:c>
      <x:c r="E337" s="29" t="str">
        <x:v>YES</x:v>
      </x:c>
      <x:c r="F337" s="62" t="n">
        <x:v>4097.231194127946</x:v>
      </x:c>
      <x:c r="G337" s="62" t="n">
        <x:v>94.49511262050811</x:v>
      </x:c>
      <x:c r="H337" s="29" t="str">
        <x:v>NO</x:v>
      </x:c>
      <x:c r="I337" s="29" t="str">
        <x:v>NHPN-gated shared-boundary SCA path</x:v>
      </x:c>
      <x:c r="J337" s="29" t="str">
        <x:v>presence does not prove operability or capacity</x:v>
      </x:c>
    </x:row>
    <x:row r="338" ht="64.80000305175781" hidden="0" customHeight="1">
      <x:c r="A338" s="27" t="str">
        <x:v>SCA-03</x:v>
      </x:c>
      <x:c r="B338" s="27" t="str">
        <x:v>SCA-23</x:v>
      </x:c>
      <x:c r="C338" s="27" t="str">
        <x:v>Rail</x:v>
      </x:c>
      <x:c r="D338" s="27" t="str">
        <x:v>YES</x:v>
      </x:c>
      <x:c r="E338" s="27" t="str">
        <x:v>YES</x:v>
      </x:c>
      <x:c r="F338" s="61" t="n">
        <x:v>4346.627875509646</x:v>
      </x:c>
      <x:c r="G338" s="61" t="n">
        <x:v>88.09468393585209</x:v>
      </x:c>
      <x:c r="H338" s="27" t="str">
        <x:v>NO</x:v>
      </x:c>
      <x:c r="I338" s="27" t="str">
        <x:v>NARN shared-node topology; deployable terminal required</x:v>
      </x:c>
      <x:c r="J338" s="27" t="str">
        <x:v>presence does not prove operability or capacity</x:v>
      </x:c>
    </x:row>
    <x:row r="339" ht="54" hidden="0" customHeight="1">
      <x:c r="A339" s="29" t="str">
        <x:v>SCA-03</x:v>
      </x:c>
      <x:c r="B339" s="29" t="str">
        <x:v>SCA-23</x:v>
      </x:c>
      <x:c r="C339" s="29" t="str">
        <x:v>Air</x:v>
      </x:c>
      <x:c r="D339" s="29" t="str">
        <x:v>YES</x:v>
      </x:c>
      <x:c r="E339" s="29" t="str">
        <x:v>YES</x:v>
      </x:c>
      <x:c r="F339" s="62" t="n">
        <x:v>3416.7173928728503</x:v>
      </x:c>
      <x:c r="G339" s="62" t="n">
        <x:v>29.25648829672746</x:v>
      </x:c>
      <x:c r="H339" s="29" t="str">
        <x:v>YES</x:v>
      </x:c>
      <x:c r="I339" s="29" t="str">
        <x:v>primary-airport endpoints; great-circle screen</x:v>
      </x:c>
      <x:c r="J339" s="29" t="str">
        <x:v>presence does not prove operability or capacity</x:v>
      </x:c>
    </x:row>
    <x:row r="340" ht="75.5999984741211" hidden="0" customHeight="1">
      <x:c r="A340" s="27" t="str">
        <x:v>SCA-03</x:v>
      </x:c>
      <x:c r="B340" s="27" t="str">
        <x:v>SCA-23</x:v>
      </x:c>
      <x:c r="C340" s="27" t="str">
        <x:v>Water</x:v>
      </x:c>
      <x:c r="D340" s="27" t="str">
        <x:v>YES</x:v>
      </x:c>
      <x:c r="E340" s="27" t="str">
        <x:v>YES</x:v>
      </x:c>
      <x:c r="F340" s="61" t="n">
        <x:v>7866.962222212672</x:v>
      </x:c>
      <x:c r="G340" s="61" t="n">
        <x:v>254.77034920607633</x:v>
      </x:c>
      <x:c r="H340" s="27" t="str">
        <x:v>NO</x:v>
      </x:c>
      <x:c r="I340" s="27" t="str">
        <x:v>USACE waterway node topology; deployable terminal required</x:v>
      </x:c>
      <x:c r="J340" s="27" t="str">
        <x:v>presence does not prove operability or capacity</x:v>
      </x:c>
    </x:row>
    <x:row r="341" ht="54" hidden="0" customHeight="1">
      <x:c r="A341" s="29" t="str">
        <x:v>SCA-03</x:v>
      </x:c>
      <x:c r="B341" s="29" t="str">
        <x:v>SCA-24</x:v>
      </x:c>
      <x:c r="C341" s="29" t="str">
        <x:v>Road</x:v>
      </x:c>
      <x:c r="D341" s="29" t="str">
        <x:v>YES</x:v>
      </x:c>
      <x:c r="E341" s="29" t="str">
        <x:v>YES</x:v>
      </x:c>
      <x:c r="F341" s="62" t="n">
        <x:v>3587.4290417373495</x:v>
      </x:c>
      <x:c r="G341" s="62" t="n">
        <x:v>85.22598257704271</x:v>
      </x:c>
      <x:c r="H341" s="29" t="str">
        <x:v>NO</x:v>
      </x:c>
      <x:c r="I341" s="29" t="str">
        <x:v>NHPN-gated shared-boundary SCA path</x:v>
      </x:c>
      <x:c r="J341" s="29" t="str">
        <x:v>presence does not prove operability or capacity</x:v>
      </x:c>
    </x:row>
    <x:row r="342" ht="64.80000305175781" hidden="0" customHeight="1">
      <x:c r="A342" s="27" t="str">
        <x:v>SCA-03</x:v>
      </x:c>
      <x:c r="B342" s="27" t="str">
        <x:v>SCA-24</x:v>
      </x:c>
      <x:c r="C342" s="27" t="str">
        <x:v>Rail</x:v>
      </x:c>
      <x:c r="D342" s="27" t="str">
        <x:v>YES</x:v>
      </x:c>
      <x:c r="E342" s="27" t="str">
        <x:v>YES</x:v>
      </x:c>
      <x:c r="F342" s="61" t="n">
        <x:v>3805.7942877561454</x:v>
      </x:c>
      <x:c r="G342" s="61" t="n">
        <x:v>80.36848982508779</x:v>
      </x:c>
      <x:c r="H342" s="27" t="str">
        <x:v>NO</x:v>
      </x:c>
      <x:c r="I342" s="27" t="str">
        <x:v>NARN shared-node topology; deployable terminal required</x:v>
      </x:c>
      <x:c r="J342" s="27" t="str">
        <x:v>presence does not prove operability or capacity</x:v>
      </x:c>
    </x:row>
    <x:row r="343" ht="54" hidden="0" customHeight="1">
      <x:c r="A343" s="29" t="str">
        <x:v>SCA-03</x:v>
      </x:c>
      <x:c r="B343" s="29" t="str">
        <x:v>SCA-24</x:v>
      </x:c>
      <x:c r="C343" s="29" t="str">
        <x:v>Air</x:v>
      </x:c>
      <x:c r="D343" s="29" t="str">
        <x:v>YES</x:v>
      </x:c>
      <x:c r="E343" s="29" t="str">
        <x:v>YES</x:v>
      </x:c>
      <x:c r="F343" s="62" t="n">
        <x:v>3008.983990049101</x:v>
      </x:c>
      <x:c r="G343" s="62" t="n">
        <x:v>28.62920613853708</x:v>
      </x:c>
      <x:c r="H343" s="29" t="str">
        <x:v>YES</x:v>
      </x:c>
      <x:c r="I343" s="29" t="str">
        <x:v>primary-airport endpoints; great-circle screen</x:v>
      </x:c>
      <x:c r="J343" s="29" t="str">
        <x:v>presence does not prove operability or capacity</x:v>
      </x:c>
    </x:row>
    <x:row r="344" ht="75.5999984741211" hidden="0" customHeight="1">
      <x:c r="A344" s="27" t="str">
        <x:v>SCA-03</x:v>
      </x:c>
      <x:c r="B344" s="27" t="str">
        <x:v>SCA-24</x:v>
      </x:c>
      <x:c r="C344" s="27" t="str">
        <x:v>Water</x:v>
      </x:c>
      <x:c r="D344" s="27" t="str">
        <x:v>YES</x:v>
      </x:c>
      <x:c r="E344" s="27" t="str">
        <x:v>YES</x:v>
      </x:c>
      <x:c r="F344" s="61" t="n">
        <x:v>9246.87860406827</x:v>
      </x:c>
      <x:c r="G344" s="61" t="n">
        <x:v>294.1965315448077</x:v>
      </x:c>
      <x:c r="H344" s="27" t="str">
        <x:v>NO</x:v>
      </x:c>
      <x:c r="I344" s="27" t="str">
        <x:v>USACE waterway node topology; deployable terminal required</x:v>
      </x:c>
      <x:c r="J344" s="27" t="str">
        <x:v>presence does not prove operability or capacity</x:v>
      </x:c>
    </x:row>
    <x:row r="345" ht="54" hidden="0" customHeight="1">
      <x:c r="A345" s="29" t="str">
        <x:v>SCA-03</x:v>
      </x:c>
      <x:c r="B345" s="29" t="str">
        <x:v>SCA-25</x:v>
      </x:c>
      <x:c r="C345" s="29" t="str">
        <x:v>Road</x:v>
      </x:c>
      <x:c r="D345" s="29" t="str">
        <x:v>YES</x:v>
      </x:c>
      <x:c r="E345" s="29" t="str">
        <x:v>YES</x:v>
      </x:c>
      <x:c r="F345" s="62" t="n">
        <x:v>4591.815374047385</x:v>
      </x:c>
      <x:c r="G345" s="62" t="n">
        <x:v>103.48755225540701</x:v>
      </x:c>
      <x:c r="H345" s="29" t="str">
        <x:v>NO</x:v>
      </x:c>
      <x:c r="I345" s="29" t="str">
        <x:v>NHPN-gated shared-boundary SCA path</x:v>
      </x:c>
      <x:c r="J345" s="29" t="str">
        <x:v>presence does not prove operability or capacity</x:v>
      </x:c>
    </x:row>
    <x:row r="346" ht="64.80000305175781" hidden="0" customHeight="1">
      <x:c r="A346" s="27" t="str">
        <x:v>SCA-03</x:v>
      </x:c>
      <x:c r="B346" s="27" t="str">
        <x:v>SCA-25</x:v>
      </x:c>
      <x:c r="C346" s="27" t="str">
        <x:v>Rail</x:v>
      </x:c>
      <x:c r="D346" s="27" t="str">
        <x:v>YES</x:v>
      </x:c>
      <x:c r="E346" s="27" t="str">
        <x:v>YES</x:v>
      </x:c>
      <x:c r="F346" s="61" t="n">
        <x:v>4871.3171794241825</x:v>
      </x:c>
      <x:c r="G346" s="61" t="n">
        <x:v>95.59024542034547</x:v>
      </x:c>
      <x:c r="H346" s="27" t="str">
        <x:v>NO</x:v>
      </x:c>
      <x:c r="I346" s="27" t="str">
        <x:v>NARN shared-node topology; deployable terminal required</x:v>
      </x:c>
      <x:c r="J346" s="27" t="str">
        <x:v>presence does not prove operability or capacity</x:v>
      </x:c>
    </x:row>
    <x:row r="347" ht="54" hidden="0" customHeight="1">
      <x:c r="A347" s="29" t="str">
        <x:v>SCA-03</x:v>
      </x:c>
      <x:c r="B347" s="29" t="str">
        <x:v>SCA-25</x:v>
      </x:c>
      <x:c r="C347" s="29" t="str">
        <x:v>Air</x:v>
      </x:c>
      <x:c r="D347" s="29" t="str">
        <x:v>YES</x:v>
      </x:c>
      <x:c r="E347" s="29" t="str">
        <x:v>YES</x:v>
      </x:c>
      <x:c r="F347" s="62" t="n">
        <x:v>3822.093500834457</x:v>
      </x:c>
      <x:c r="G347" s="62" t="n">
        <x:v>29.880143847437626</x:v>
      </x:c>
      <x:c r="H347" s="29" t="str">
        <x:v>YES</x:v>
      </x:c>
      <x:c r="I347" s="29" t="str">
        <x:v>primary-airport endpoints; great-circle screen</x:v>
      </x:c>
      <x:c r="J347" s="29" t="str">
        <x:v>presence does not prove operability or capacity</x:v>
      </x:c>
    </x:row>
    <x:row r="348" ht="75.5999984741211" hidden="0" customHeight="1">
      <x:c r="A348" s="27" t="str">
        <x:v>SCA-03</x:v>
      </x:c>
      <x:c r="B348" s="27" t="str">
        <x:v>SCA-25</x:v>
      </x:c>
      <x:c r="C348" s="27" t="str">
        <x:v>Water</x:v>
      </x:c>
      <x:c r="D348" s="27" t="str">
        <x:v>YES</x:v>
      </x:c>
      <x:c r="E348" s="27" t="str">
        <x:v>YES</x:v>
      </x:c>
      <x:c r="F348" s="61" t="n">
        <x:v>7316.468526302339</x:v>
      </x:c>
      <x:c r="G348" s="61" t="n">
        <x:v>239.04195789435255</x:v>
      </x:c>
      <x:c r="H348" s="27" t="str">
        <x:v>NO</x:v>
      </x:c>
      <x:c r="I348" s="27" t="str">
        <x:v>USACE waterway node topology; deployable terminal required</x:v>
      </x:c>
      <x:c r="J348" s="27" t="str">
        <x:v>presence does not prove operability or capacity</x:v>
      </x:c>
    </x:row>
    <x:row r="349" ht="54" hidden="0" customHeight="1">
      <x:c r="A349" s="29" t="str">
        <x:v>SCA-03</x:v>
      </x:c>
      <x:c r="B349" s="29" t="str">
        <x:v>SCA-26</x:v>
      </x:c>
      <x:c r="C349" s="29" t="str">
        <x:v>Road</x:v>
      </x:c>
      <x:c r="D349" s="29" t="str">
        <x:v>YES</x:v>
      </x:c>
      <x:c r="E349" s="29" t="str">
        <x:v>YES</x:v>
      </x:c>
      <x:c r="F349" s="62" t="n">
        <x:v>4920.314829812208</x:v>
      </x:c>
      <x:c r="G349" s="62" t="n">
        <x:v>109.46026963294923</x:v>
      </x:c>
      <x:c r="H349" s="29" t="str">
        <x:v>NO</x:v>
      </x:c>
      <x:c r="I349" s="29" t="str">
        <x:v>NHPN-gated shared-boundary SCA path</x:v>
      </x:c>
      <x:c r="J349" s="29" t="str">
        <x:v>presence does not prove operability or capacity</x:v>
      </x:c>
    </x:row>
    <x:row r="350" ht="64.80000305175781" hidden="0" customHeight="1">
      <x:c r="A350" s="27" t="str">
        <x:v>SCA-03</x:v>
      </x:c>
      <x:c r="B350" s="27" t="str">
        <x:v>SCA-26</x:v>
      </x:c>
      <x:c r="C350" s="27" t="str">
        <x:v>Rail</x:v>
      </x:c>
      <x:c r="D350" s="27" t="str">
        <x:v>YES</x:v>
      </x:c>
      <x:c r="E350" s="27" t="str">
        <x:v>YES</x:v>
      </x:c>
      <x:c r="F350" s="61" t="n">
        <x:v>5219.812254235559</x:v>
      </x:c>
      <x:c r="G350" s="61" t="n">
        <x:v>100.5687464890794</x:v>
      </x:c>
      <x:c r="H350" s="27" t="str">
        <x:v>NO</x:v>
      </x:c>
      <x:c r="I350" s="27" t="str">
        <x:v>NARN shared-node topology; deployable terminal required</x:v>
      </x:c>
      <x:c r="J350" s="27" t="str">
        <x:v>presence does not prove operability or capacity</x:v>
      </x:c>
    </x:row>
    <x:row r="351" ht="54" hidden="0" customHeight="1">
      <x:c r="A351" s="29" t="str">
        <x:v>SCA-03</x:v>
      </x:c>
      <x:c r="B351" s="29" t="str">
        <x:v>SCA-26</x:v>
      </x:c>
      <x:c r="C351" s="29" t="str">
        <x:v>Air</x:v>
      </x:c>
      <x:c r="D351" s="29" t="str">
        <x:v>YES</x:v>
      </x:c>
      <x:c r="E351" s="29" t="str">
        <x:v>YES</x:v>
      </x:c>
      <x:c r="F351" s="62" t="n">
        <x:v>4024.0929642234305</x:v>
      </x:c>
      <x:c r="G351" s="62" t="n">
        <x:v>30.19091225265143</x:v>
      </x:c>
      <x:c r="H351" s="29" t="str">
        <x:v>YES</x:v>
      </x:c>
      <x:c r="I351" s="29" t="str">
        <x:v>primary-airport endpoints; great-circle screen</x:v>
      </x:c>
      <x:c r="J351" s="29" t="str">
        <x:v>presence does not prove operability or capacity</x:v>
      </x:c>
    </x:row>
    <x:row r="352" ht="75.5999984741211" hidden="0" customHeight="1">
      <x:c r="A352" s="27" t="str">
        <x:v>SCA-03</x:v>
      </x:c>
      <x:c r="B352" s="27" t="str">
        <x:v>SCA-26</x:v>
      </x:c>
      <x:c r="C352" s="27" t="str">
        <x:v>Water</x:v>
      </x:c>
      <x:c r="D352" s="27" t="str">
        <x:v>YES</x:v>
      </x:c>
      <x:c r="E352" s="27" t="str">
        <x:v>YES</x:v>
      </x:c>
      <x:c r="F352" s="61" t="n">
        <x:v>6972.7000450262485</x:v>
      </x:c>
      <x:c r="G352" s="61" t="n">
        <x:v>229.22000128646425</x:v>
      </x:c>
      <x:c r="H352" s="27" t="str">
        <x:v>NO</x:v>
      </x:c>
      <x:c r="I352" s="27" t="str">
        <x:v>USACE waterway node topology; deployable terminal required</x:v>
      </x:c>
      <x:c r="J352" s="27" t="str">
        <x:v>presence does not prove operability or capacity</x:v>
      </x:c>
    </x:row>
    <x:row r="353" ht="54" hidden="0" customHeight="1">
      <x:c r="A353" s="29" t="str">
        <x:v>SCA-03</x:v>
      </x:c>
      <x:c r="B353" s="29" t="str">
        <x:v>SCA-27</x:v>
      </x:c>
      <x:c r="C353" s="29" t="str">
        <x:v>Road</x:v>
      </x:c>
      <x:c r="D353" s="29" t="str">
        <x:v>YES</x:v>
      </x:c>
      <x:c r="E353" s="29" t="str">
        <x:v>YES</x:v>
      </x:c>
      <x:c r="F353" s="62" t="n">
        <x:v>5199.943093931756</x:v>
      </x:c>
      <x:c r="G353" s="62" t="n">
        <x:v>114.54441988966829</x:v>
      </x:c>
      <x:c r="H353" s="29" t="str">
        <x:v>NO</x:v>
      </x:c>
      <x:c r="I353" s="29" t="str">
        <x:v>NHPN-gated shared-boundary SCA path</x:v>
      </x:c>
      <x:c r="J353" s="29" t="str">
        <x:v>presence does not prove operability or capacity</x:v>
      </x:c>
    </x:row>
    <x:row r="354" ht="64.80000305175781" hidden="0" customHeight="1">
      <x:c r="A354" s="27" t="str">
        <x:v>SCA-03</x:v>
      </x:c>
      <x:c r="B354" s="27" t="str">
        <x:v>SCA-27</x:v>
      </x:c>
      <x:c r="C354" s="27" t="str">
        <x:v>Rail</x:v>
      </x:c>
      <x:c r="D354" s="27" t="str">
        <x:v>YES</x:v>
      </x:c>
      <x:c r="E354" s="27" t="str">
        <x:v>YES</x:v>
      </x:c>
      <x:c r="F354" s="61" t="n">
        <x:v>5516.4613692145585</x:v>
      </x:c>
      <x:c r="G354" s="61" t="n">
        <x:v>104.8065909887794</x:v>
      </x:c>
      <x:c r="H354" s="27" t="str">
        <x:v>NO</x:v>
      </x:c>
      <x:c r="I354" s="27" t="str">
        <x:v>NARN shared-node topology; deployable terminal required</x:v>
      </x:c>
      <x:c r="J354" s="27" t="str">
        <x:v>presence does not prove operability or capacity</x:v>
      </x:c>
    </x:row>
    <x:row r="355" ht="54" hidden="0" customHeight="1">
      <x:c r="A355" s="29" t="str">
        <x:v>SCA-03</x:v>
      </x:c>
      <x:c r="B355" s="29" t="str">
        <x:v>SCA-27</x:v>
      </x:c>
      <x:c r="C355" s="29" t="str">
        <x:v>Air</x:v>
      </x:c>
      <x:c r="D355" s="29" t="str">
        <x:v>YES</x:v>
      </x:c>
      <x:c r="E355" s="29" t="str">
        <x:v>YES</x:v>
      </x:c>
      <x:c r="F355" s="62" t="n">
        <x:v>4259.9425174688995</x:v>
      </x:c>
      <x:c r="G355" s="62" t="n">
        <x:v>30.553757719182922</x:v>
      </x:c>
      <x:c r="H355" s="29" t="str">
        <x:v>YES</x:v>
      </x:c>
      <x:c r="I355" s="29" t="str">
        <x:v>primary-airport endpoints; great-circle screen</x:v>
      </x:c>
      <x:c r="J355" s="29" t="str">
        <x:v>presence does not prove operability or capacity</x:v>
      </x:c>
    </x:row>
    <x:row r="356" ht="75.5999984741211" hidden="0" customHeight="1">
      <x:c r="A356" s="27" t="str">
        <x:v>SCA-03</x:v>
      </x:c>
      <x:c r="B356" s="27" t="str">
        <x:v>SCA-27</x:v>
      </x:c>
      <x:c r="C356" s="27" t="str">
        <x:v>Water</x:v>
      </x:c>
      <x:c r="D356" s="27" t="str">
        <x:v>YES</x:v>
      </x:c>
      <x:c r="E356" s="27" t="str">
        <x:v>YES</x:v>
      </x:c>
      <x:c r="F356" s="61" t="n">
        <x:v>6661.461629310576</x:v>
      </x:c>
      <x:c r="G356" s="61" t="n">
        <x:v>220.32747512315933</x:v>
      </x:c>
      <x:c r="H356" s="27" t="str">
        <x:v>NO</x:v>
      </x:c>
      <x:c r="I356" s="27" t="str">
        <x:v>USACE waterway node topology; deployable terminal required</x:v>
      </x:c>
      <x:c r="J356" s="27" t="str">
        <x:v>presence does not prove operability or capacity</x:v>
      </x:c>
    </x:row>
    <x:row r="357" ht="54" hidden="0" customHeight="1">
      <x:c r="A357" s="29" t="str">
        <x:v>SCA-03</x:v>
      </x:c>
      <x:c r="B357" s="29" t="str">
        <x:v>SCA-28</x:v>
      </x:c>
      <x:c r="C357" s="29" t="str">
        <x:v>Road</x:v>
      </x:c>
      <x:c r="D357" s="29" t="str">
        <x:v>YES</x:v>
      </x:c>
      <x:c r="E357" s="29" t="str">
        <x:v>YES</x:v>
      </x:c>
      <x:c r="F357" s="62" t="n">
        <x:v>4083.2445382960136</x:v>
      </x:c>
      <x:c r="G357" s="62" t="n">
        <x:v>94.24080978720025</x:v>
      </x:c>
      <x:c r="H357" s="29" t="str">
        <x:v>NO</x:v>
      </x:c>
      <x:c r="I357" s="29" t="str">
        <x:v>NHPN-gated shared-boundary SCA path</x:v>
      </x:c>
      <x:c r="J357" s="29" t="str">
        <x:v>presence does not prove operability or capacity</x:v>
      </x:c>
    </x:row>
    <x:row r="358" ht="64.80000305175781" hidden="0" customHeight="1">
      <x:c r="A358" s="27" t="str">
        <x:v>SCA-03</x:v>
      </x:c>
      <x:c r="B358" s="27" t="str">
        <x:v>SCA-28</x:v>
      </x:c>
      <x:c r="C358" s="27" t="str">
        <x:v>Rail</x:v>
      </x:c>
      <x:c r="D358" s="27" t="str">
        <x:v>YES</x:v>
      </x:c>
      <x:c r="E358" s="27" t="str">
        <x:v>YES</x:v>
      </x:c>
      <x:c r="F358" s="61" t="n">
        <x:v>4331.78985801838</x:v>
      </x:c>
      <x:c r="G358" s="61" t="n">
        <x:v>87.88271225740543</x:v>
      </x:c>
      <x:c r="H358" s="27" t="str">
        <x:v>NO</x:v>
      </x:c>
      <x:c r="I358" s="27" t="str">
        <x:v>NARN shared-node topology; deployable terminal required</x:v>
      </x:c>
      <x:c r="J358" s="27" t="str">
        <x:v>presence does not prove operability or capacity</x:v>
      </x:c>
    </x:row>
    <x:row r="359" ht="54" hidden="0" customHeight="1">
      <x:c r="A359" s="29" t="str">
        <x:v>SCA-03</x:v>
      </x:c>
      <x:c r="B359" s="29" t="str">
        <x:v>SCA-28</x:v>
      </x:c>
      <x:c r="C359" s="29" t="str">
        <x:v>Air</x:v>
      </x:c>
      <x:c r="D359" s="29" t="str">
        <x:v>YES</x:v>
      </x:c>
      <x:c r="E359" s="29" t="str">
        <x:v>YES</x:v>
      </x:c>
      <x:c r="F359" s="62" t="n">
        <x:v>3436.7835009559035</x:v>
      </x:c>
      <x:c r="G359" s="62" t="n">
        <x:v>29.28735923223985</x:v>
      </x:c>
      <x:c r="H359" s="29" t="str">
        <x:v>YES</x:v>
      </x:c>
      <x:c r="I359" s="29" t="str">
        <x:v>primary-airport endpoints; great-circle screen</x:v>
      </x:c>
      <x:c r="J359" s="29" t="str">
        <x:v>presence does not prove operability or capacity</x:v>
      </x:c>
    </x:row>
    <x:row r="360" ht="75.5999984741211" hidden="0" customHeight="1">
      <x:c r="A360" s="27" t="str">
        <x:v>SCA-03</x:v>
      </x:c>
      <x:c r="B360" s="27" t="str">
        <x:v>SCA-28</x:v>
      </x:c>
      <x:c r="C360" s="27" t="str">
        <x:v>Water</x:v>
      </x:c>
      <x:c r="D360" s="27" t="str">
        <x:v>YES</x:v>
      </x:c>
      <x:c r="E360" s="27" t="str">
        <x:v>YES</x:v>
      </x:c>
      <x:c r="F360" s="61" t="n">
        <x:v>8695.014399202973</x:v>
      </x:c>
      <x:c r="G360" s="61" t="n">
        <x:v>278.4289828343707</x:v>
      </x:c>
      <x:c r="H360" s="27" t="str">
        <x:v>NO</x:v>
      </x:c>
      <x:c r="I360" s="27" t="str">
        <x:v>USACE waterway node topology; deployable terminal required</x:v>
      </x:c>
      <x:c r="J360" s="27" t="str">
        <x:v>presence does not prove operability or capacity</x:v>
      </x:c>
    </x:row>
    <x:row r="361" ht="54" hidden="0" customHeight="1">
      <x:c r="A361" s="29" t="str">
        <x:v>SCA-03</x:v>
      </x:c>
      <x:c r="B361" s="29" t="str">
        <x:v>SCA-29</x:v>
      </x:c>
      <x:c r="C361" s="29" t="str">
        <x:v>Road</x:v>
      </x:c>
      <x:c r="D361" s="29" t="str">
        <x:v>YES</x:v>
      </x:c>
      <x:c r="E361" s="29" t="str">
        <x:v>YES</x:v>
      </x:c>
      <x:c r="F361" s="62" t="n">
        <x:v>4457.061250530038</x:v>
      </x:c>
      <x:c r="G361" s="62" t="n">
        <x:v>101.03747728236432</x:v>
      </x:c>
      <x:c r="H361" s="29" t="str">
        <x:v>NO</x:v>
      </x:c>
      <x:c r="I361" s="29" t="str">
        <x:v>NHPN-gated shared-boundary SCA path</x:v>
      </x:c>
      <x:c r="J361" s="29" t="str">
        <x:v>presence does not prove operability or capacity</x:v>
      </x:c>
    </x:row>
    <x:row r="362" ht="64.80000305175781" hidden="0" customHeight="1">
      <x:c r="A362" s="27" t="str">
        <x:v>SCA-03</x:v>
      </x:c>
      <x:c r="B362" s="27" t="str">
        <x:v>SCA-29</x:v>
      </x:c>
      <x:c r="C362" s="27" t="str">
        <x:v>Rail</x:v>
      </x:c>
      <x:c r="D362" s="27" t="str">
        <x:v>YES</x:v>
      </x:c>
      <x:c r="E362" s="27" t="str">
        <x:v>YES</x:v>
      </x:c>
      <x:c r="F362" s="61" t="n">
        <x:v>4728.360630997084</x:v>
      </x:c>
      <x:c r="G362" s="61" t="n">
        <x:v>93.54800901424406</x:v>
      </x:c>
      <x:c r="H362" s="27" t="str">
        <x:v>NO</x:v>
      </x:c>
      <x:c r="I362" s="27" t="str">
        <x:v>NARN shared-node topology; deployable terminal required</x:v>
      </x:c>
      <x:c r="J362" s="27" t="str">
        <x:v>presence does not prove operability or capacity</x:v>
      </x:c>
    </x:row>
    <x:row r="363" ht="54" hidden="0" customHeight="1">
      <x:c r="A363" s="29" t="str">
        <x:v>SCA-03</x:v>
      </x:c>
      <x:c r="B363" s="29" t="str">
        <x:v>SCA-29</x:v>
      </x:c>
      <x:c r="C363" s="29" t="str">
        <x:v>Air</x:v>
      </x:c>
      <x:c r="D363" s="29" t="str">
        <x:v>YES</x:v>
      </x:c>
      <x:c r="E363" s="29" t="str">
        <x:v>YES</x:v>
      </x:c>
      <x:c r="F363" s="62" t="n">
        <x:v>3705.1947198738926</x:v>
      </x:c>
      <x:c r="G363" s="62" t="n">
        <x:v>29.70029956903676</x:v>
      </x:c>
      <x:c r="H363" s="29" t="str">
        <x:v>YES</x:v>
      </x:c>
      <x:c r="I363" s="29" t="str">
        <x:v>primary-airport endpoints; great-circle screen</x:v>
      </x:c>
      <x:c r="J363" s="29" t="str">
        <x:v>presence does not prove operability or capacity</x:v>
      </x:c>
    </x:row>
    <x:row r="364" ht="75.5999984741211" hidden="0" customHeight="1">
      <x:c r="A364" s="27" t="str">
        <x:v>SCA-03</x:v>
      </x:c>
      <x:c r="B364" s="27" t="str">
        <x:v>SCA-29</x:v>
      </x:c>
      <x:c r="C364" s="27" t="str">
        <x:v>Water</x:v>
      </x:c>
      <x:c r="D364" s="27" t="str">
        <x:v>YES</x:v>
      </x:c>
      <x:c r="E364" s="27" t="str">
        <x:v>YES</x:v>
      </x:c>
      <x:c r="F364" s="61" t="n">
        <x:v>8053.617205099538</x:v>
      </x:c>
      <x:c r="G364" s="61" t="n">
        <x:v>260.1033487171297</x:v>
      </x:c>
      <x:c r="H364" s="27" t="str">
        <x:v>NO</x:v>
      </x:c>
      <x:c r="I364" s="27" t="str">
        <x:v>USACE waterway node topology; deployable terminal required</x:v>
      </x:c>
      <x:c r="J364" s="27" t="str">
        <x:v>presence does not prove operability or capacity</x:v>
      </x:c>
    </x:row>
    <x:row r="365" ht="54" hidden="0" customHeight="1">
      <x:c r="A365" s="29" t="str">
        <x:v>SCA-03</x:v>
      </x:c>
      <x:c r="B365" s="29" t="str">
        <x:v>SCA-30</x:v>
      </x:c>
      <x:c r="C365" s="29" t="str">
        <x:v>Road</x:v>
      </x:c>
      <x:c r="D365" s="29" t="str">
        <x:v>YES</x:v>
      </x:c>
      <x:c r="E365" s="29" t="str">
        <x:v>YES</x:v>
      </x:c>
      <x:c r="F365" s="62" t="n">
        <x:v>4546.808254227253</x:v>
      </x:c>
      <x:c r="G365" s="62" t="n">
        <x:v>102.66924098595005</x:v>
      </x:c>
      <x:c r="H365" s="29" t="str">
        <x:v>NO</x:v>
      </x:c>
      <x:c r="I365" s="29" t="str">
        <x:v>NHPN-gated shared-boundary SCA path</x:v>
      </x:c>
      <x:c r="J365" s="29" t="str">
        <x:v>presence does not prove operability or capacity</x:v>
      </x:c>
    </x:row>
    <x:row r="366" ht="64.80000305175781" hidden="0" customHeight="1">
      <x:c r="A366" s="27" t="str">
        <x:v>SCA-03</x:v>
      </x:c>
      <x:c r="B366" s="27" t="str">
        <x:v>SCA-30</x:v>
      </x:c>
      <x:c r="C366" s="27" t="str">
        <x:v>Rail</x:v>
      </x:c>
      <x:c r="D366" s="27" t="str">
        <x:v>YES</x:v>
      </x:c>
      <x:c r="E366" s="27" t="str">
        <x:v>YES</x:v>
      </x:c>
      <x:c r="F366" s="61" t="n">
        <x:v>4823.570495788913</x:v>
      </x:c>
      <x:c r="G366" s="61" t="n">
        <x:v>94.9081499398416</x:v>
      </x:c>
      <x:c r="H366" s="27" t="str">
        <x:v>NO</x:v>
      </x:c>
      <x:c r="I366" s="27" t="str">
        <x:v>NARN shared-node topology; deployable terminal required</x:v>
      </x:c>
      <x:c r="J366" s="27" t="str">
        <x:v>presence does not prove operability or capacity</x:v>
      </x:c>
    </x:row>
    <x:row r="367" ht="54" hidden="0" customHeight="1">
      <x:c r="A367" s="29" t="str">
        <x:v>SCA-03</x:v>
      </x:c>
      <x:c r="B367" s="29" t="str">
        <x:v>SCA-30</x:v>
      </x:c>
      <x:c r="C367" s="29" t="str">
        <x:v>Air</x:v>
      </x:c>
      <x:c r="D367" s="29" t="str">
        <x:v>YES</x:v>
      </x:c>
      <x:c r="E367" s="29" t="str">
        <x:v>YES</x:v>
      </x:c>
      <x:c r="F367" s="62" t="n">
        <x:v>3786.8760403236406</x:v>
      </x:c>
      <x:c r="G367" s="62" t="n">
        <x:v>29.825963138959448</x:v>
      </x:c>
      <x:c r="H367" s="29" t="str">
        <x:v>YES</x:v>
      </x:c>
      <x:c r="I367" s="29" t="str">
        <x:v>primary-airport endpoints; great-circle screen</x:v>
      </x:c>
      <x:c r="J367" s="29" t="str">
        <x:v>presence does not prove operability or capacity</x:v>
      </x:c>
    </x:row>
    <x:row r="368" ht="75.5999984741211" hidden="0" customHeight="1">
      <x:c r="A368" s="27" t="str">
        <x:v>SCA-03</x:v>
      </x:c>
      <x:c r="B368" s="27" t="str">
        <x:v>SCA-30</x:v>
      </x:c>
      <x:c r="C368" s="27" t="str">
        <x:v>Water</x:v>
      </x:c>
      <x:c r="D368" s="27" t="str">
        <x:v>YES</x:v>
      </x:c>
      <x:c r="E368" s="27" t="str">
        <x:v>YES</x:v>
      </x:c>
      <x:c r="F368" s="61" t="n">
        <x:v>8889.545493873227</x:v>
      </x:c>
      <x:c r="G368" s="61" t="n">
        <x:v>283.9870141106636</x:v>
      </x:c>
      <x:c r="H368" s="27" t="str">
        <x:v>NO</x:v>
      </x:c>
      <x:c r="I368" s="27" t="str">
        <x:v>USACE waterway node topology; deployable terminal required</x:v>
      </x:c>
      <x:c r="J368" s="27" t="str">
        <x:v>presence does not prove operability or capacity</x:v>
      </x:c>
    </x:row>
    <x:row r="369" ht="54" hidden="0" customHeight="1">
      <x:c r="A369" s="29" t="str">
        <x:v>SCA-03</x:v>
      </x:c>
      <x:c r="B369" s="29" t="str">
        <x:v>SCA-31</x:v>
      </x:c>
      <x:c r="C369" s="29" t="str">
        <x:v>Road</x:v>
      </x:c>
      <x:c r="D369" s="29" t="str">
        <x:v>YES</x:v>
      </x:c>
      <x:c r="E369" s="29" t="str">
        <x:v>YES</x:v>
      </x:c>
      <x:c r="F369" s="62" t="n">
        <x:v>4939.890399413759</x:v>
      </x:c>
      <x:c r="G369" s="62" t="n">
        <x:v>109.81618908025017</x:v>
      </x:c>
      <x:c r="H369" s="29" t="str">
        <x:v>NO</x:v>
      </x:c>
      <x:c r="I369" s="29" t="str">
        <x:v>NHPN-gated shared-boundary SCA path</x:v>
      </x:c>
      <x:c r="J369" s="29" t="str">
        <x:v>presence does not prove operability or capacity</x:v>
      </x:c>
    </x:row>
    <x:row r="370" ht="64.80000305175781" hidden="0" customHeight="1">
      <x:c r="A370" s="27" t="str">
        <x:v>SCA-03</x:v>
      </x:c>
      <x:c r="B370" s="27" t="str">
        <x:v>SCA-31</x:v>
      </x:c>
      <x:c r="C370" s="27" t="str">
        <x:v>Rail</x:v>
      </x:c>
      <x:c r="D370" s="27" t="str">
        <x:v>YES</x:v>
      </x:c>
      <x:c r="E370" s="27" t="str">
        <x:v>YES</x:v>
      </x:c>
      <x:c r="F370" s="61" t="n">
        <x:v>5240.579380247641</x:v>
      </x:c>
      <x:c r="G370" s="61" t="n">
        <x:v>100.86541971782344</x:v>
      </x:c>
      <x:c r="H370" s="27" t="str">
        <x:v>NO</x:v>
      </x:c>
      <x:c r="I370" s="27" t="str">
        <x:v>NARN shared-node topology; deployable terminal required</x:v>
      </x:c>
      <x:c r="J370" s="27" t="str">
        <x:v>presence does not prove operability or capacity</x:v>
      </x:c>
    </x:row>
    <x:row r="371" ht="54" hidden="0" customHeight="1">
      <x:c r="A371" s="29" t="str">
        <x:v>SCA-03</x:v>
      </x:c>
      <x:c r="B371" s="29" t="str">
        <x:v>SCA-31</x:v>
      </x:c>
      <x:c r="C371" s="29" t="str">
        <x:v>Air</x:v>
      </x:c>
      <x:c r="D371" s="29" t="str">
        <x:v>YES</x:v>
      </x:c>
      <x:c r="E371" s="29" t="str">
        <x:v>YES</x:v>
      </x:c>
      <x:c r="F371" s="62" t="n">
        <x:v>3916.5561065731818</x:v>
      </x:c>
      <x:c r="G371" s="62" t="n">
        <x:v>30.02547093318951</x:v>
      </x:c>
      <x:c r="H371" s="29" t="str">
        <x:v>YES</x:v>
      </x:c>
      <x:c r="I371" s="29" t="str">
        <x:v>primary-airport endpoints; great-circle screen</x:v>
      </x:c>
      <x:c r="J371" s="29" t="str">
        <x:v>presence does not prove operability or capacity</x:v>
      </x:c>
    </x:row>
    <x:row r="372" ht="75.5999984741211" hidden="0" customHeight="1">
      <x:c r="A372" s="27" t="str">
        <x:v>SCA-03</x:v>
      </x:c>
      <x:c r="B372" s="27" t="str">
        <x:v>SCA-31</x:v>
      </x:c>
      <x:c r="C372" s="27" t="str">
        <x:v>Water</x:v>
      </x:c>
      <x:c r="D372" s="27" t="str">
        <x:v>YES</x:v>
      </x:c>
      <x:c r="E372" s="27" t="str">
        <x:v>YES</x:v>
      </x:c>
      <x:c r="F372" s="61" t="n">
        <x:v>9323.763440191324</x:v>
      </x:c>
      <x:c r="G372" s="61" t="n">
        <x:v>296.3932411483235</x:v>
      </x:c>
      <x:c r="H372" s="27" t="str">
        <x:v>NO</x:v>
      </x:c>
      <x:c r="I372" s="27" t="str">
        <x:v>USACE waterway node topology; deployable terminal required</x:v>
      </x:c>
      <x:c r="J372" s="27" t="str">
        <x:v>presence does not prove operability or capacity</x:v>
      </x:c>
    </x:row>
    <x:row r="373" ht="54" hidden="0" customHeight="1">
      <x:c r="A373" s="29" t="str">
        <x:v>SCA-03</x:v>
      </x:c>
      <x:c r="B373" s="29" t="str">
        <x:v>SCA-32</x:v>
      </x:c>
      <x:c r="C373" s="29" t="str">
        <x:v>Road</x:v>
      </x:c>
      <x:c r="D373" s="29" t="str">
        <x:v>NO</x:v>
      </x:c>
      <x:c r="E373" s="29" t="str">
        <x:v>NO</x:v>
      </x:c>
      <x:c r="F373" s="62"/>
      <x:c r="G373" s="62"/>
      <x:c r="H373" s="29" t="str">
        <x:v>NO</x:v>
      </x:c>
      <x:c r="I373" s="29" t="str">
        <x:v>no screened path</x:v>
      </x:c>
      <x:c r="J373" s="29" t="str">
        <x:v>presence does not prove operability or capacity</x:v>
      </x:c>
    </x:row>
    <x:row r="374" ht="54" hidden="0" customHeight="1">
      <x:c r="A374" s="27" t="str">
        <x:v>SCA-03</x:v>
      </x:c>
      <x:c r="B374" s="27" t="str">
        <x:v>SCA-32</x:v>
      </x:c>
      <x:c r="C374" s="27" t="str">
        <x:v>Rail</x:v>
      </x:c>
      <x:c r="D374" s="27" t="str">
        <x:v>NO</x:v>
      </x:c>
      <x:c r="E374" s="27" t="str">
        <x:v>NO</x:v>
      </x:c>
      <x:c r="F374" s="61"/>
      <x:c r="G374" s="61"/>
      <x:c r="H374" s="27" t="str">
        <x:v>NO</x:v>
      </x:c>
      <x:c r="I374" s="27" t="str">
        <x:v>no screened path</x:v>
      </x:c>
      <x:c r="J374" s="27" t="str">
        <x:v>presence does not prove operability or capacity</x:v>
      </x:c>
    </x:row>
    <x:row r="375" ht="54" hidden="0" customHeight="1">
      <x:c r="A375" s="29" t="str">
        <x:v>SCA-03</x:v>
      </x:c>
      <x:c r="B375" s="29" t="str">
        <x:v>SCA-32</x:v>
      </x:c>
      <x:c r="C375" s="29" t="str">
        <x:v>Air</x:v>
      </x:c>
      <x:c r="D375" s="29" t="str">
        <x:v>YES</x:v>
      </x:c>
      <x:c r="E375" s="29" t="str">
        <x:v>YES</x:v>
      </x:c>
      <x:c r="F375" s="62" t="n">
        <x:v>5914.6217403792525</x:v>
      </x:c>
      <x:c r="G375" s="62" t="n">
        <x:v>33.09941806212193</x:v>
      </x:c>
      <x:c r="H375" s="29" t="str">
        <x:v>YES</x:v>
      </x:c>
      <x:c r="I375" s="29" t="str">
        <x:v>primary-airport endpoints; great-circle screen</x:v>
      </x:c>
      <x:c r="J375" s="29" t="str">
        <x:v>presence does not prove operability or capacity</x:v>
      </x:c>
    </x:row>
    <x:row r="376" ht="75.5999984741211" hidden="0" customHeight="1">
      <x:c r="A376" s="27" t="str">
        <x:v>SCA-03</x:v>
      </x:c>
      <x:c r="B376" s="27" t="str">
        <x:v>SCA-32</x:v>
      </x:c>
      <x:c r="C376" s="27" t="str">
        <x:v>Water</x:v>
      </x:c>
      <x:c r="D376" s="27" t="str">
        <x:v>YES</x:v>
      </x:c>
      <x:c r="E376" s="27" t="str">
        <x:v>YES</x:v>
      </x:c>
      <x:c r="F376" s="61" t="n">
        <x:v>8827.047819451014</x:v>
      </x:c>
      <x:c r="G376" s="61" t="n">
        <x:v>282.201366270029</x:v>
      </x:c>
      <x:c r="H376" s="27" t="str">
        <x:v>NO</x:v>
      </x:c>
      <x:c r="I376" s="27" t="str">
        <x:v>USACE waterway node topology; deployable terminal required</x:v>
      </x:c>
      <x:c r="J376" s="27" t="str">
        <x:v>presence does not prove operability or capacity</x:v>
      </x:c>
    </x:row>
    <x:row r="377" ht="54" hidden="0" customHeight="1">
      <x:c r="A377" s="29" t="str">
        <x:v>SCA-04</x:v>
      </x:c>
      <x:c r="B377" s="29" t="str">
        <x:v>SCA-01</x:v>
      </x:c>
      <x:c r="C377" s="29" t="str">
        <x:v>Road</x:v>
      </x:c>
      <x:c r="D377" s="29" t="str">
        <x:v>NO</x:v>
      </x:c>
      <x:c r="E377" s="29" t="str">
        <x:v>NO</x:v>
      </x:c>
      <x:c r="F377" s="62"/>
      <x:c r="G377" s="62"/>
      <x:c r="H377" s="29" t="str">
        <x:v>NO</x:v>
      </x:c>
      <x:c r="I377" s="29" t="str">
        <x:v>no screened path</x:v>
      </x:c>
      <x:c r="J377" s="29" t="str">
        <x:v>presence does not prove operability or capacity</x:v>
      </x:c>
    </x:row>
    <x:row r="378" ht="54" hidden="0" customHeight="1">
      <x:c r="A378" s="27" t="str">
        <x:v>SCA-04</x:v>
      </x:c>
      <x:c r="B378" s="27" t="str">
        <x:v>SCA-01</x:v>
      </x:c>
      <x:c r="C378" s="27" t="str">
        <x:v>Rail</x:v>
      </x:c>
      <x:c r="D378" s="27" t="str">
        <x:v>NO</x:v>
      </x:c>
      <x:c r="E378" s="27" t="str">
        <x:v>NO</x:v>
      </x:c>
      <x:c r="F378" s="61"/>
      <x:c r="G378" s="61"/>
      <x:c r="H378" s="27" t="str">
        <x:v>NO</x:v>
      </x:c>
      <x:c r="I378" s="27" t="str">
        <x:v>no screened path</x:v>
      </x:c>
      <x:c r="J378" s="27" t="str">
        <x:v>presence does not prove operability or capacity</x:v>
      </x:c>
    </x:row>
    <x:row r="379" ht="54" hidden="0" customHeight="1">
      <x:c r="A379" s="29" t="str">
        <x:v>SCA-04</x:v>
      </x:c>
      <x:c r="B379" s="29" t="str">
        <x:v>SCA-01</x:v>
      </x:c>
      <x:c r="C379" s="29" t="str">
        <x:v>Air</x:v>
      </x:c>
      <x:c r="D379" s="29" t="str">
        <x:v>YES</x:v>
      </x:c>
      <x:c r="E379" s="29" t="str">
        <x:v>YES</x:v>
      </x:c>
      <x:c r="F379" s="62" t="n">
        <x:v>3934.8561353727237</x:v>
      </x:c>
      <x:c r="G379" s="62" t="n">
        <x:v>30.053624823650345</x:v>
      </x:c>
      <x:c r="H379" s="29" t="str">
        <x:v>YES</x:v>
      </x:c>
      <x:c r="I379" s="29" t="str">
        <x:v>primary-airport endpoints; great-circle screen</x:v>
      </x:c>
      <x:c r="J379" s="29" t="str">
        <x:v>presence does not prove operability or capacity</x:v>
      </x:c>
    </x:row>
    <x:row r="380" ht="75.5999984741211" hidden="0" customHeight="1">
      <x:c r="A380" s="27" t="str">
        <x:v>SCA-04</x:v>
      </x:c>
      <x:c r="B380" s="27" t="str">
        <x:v>SCA-01</x:v>
      </x:c>
      <x:c r="C380" s="27" t="str">
        <x:v>Water</x:v>
      </x:c>
      <x:c r="D380" s="27" t="str">
        <x:v>YES</x:v>
      </x:c>
      <x:c r="E380" s="27" t="str">
        <x:v>YES</x:v>
      </x:c>
      <x:c r="F380" s="61" t="n">
        <x:v>5036.615853277086</x:v>
      </x:c>
      <x:c r="G380" s="61" t="n">
        <x:v>173.90331009363103</x:v>
      </x:c>
      <x:c r="H380" s="27" t="str">
        <x:v>NO</x:v>
      </x:c>
      <x:c r="I380" s="27" t="str">
        <x:v>USACE waterway node topology; deployable terminal required</x:v>
      </x:c>
      <x:c r="J380" s="27" t="str">
        <x:v>presence does not prove operability or capacity</x:v>
      </x:c>
    </x:row>
    <x:row r="381" ht="54" hidden="0" customHeight="1">
      <x:c r="A381" s="29" t="str">
        <x:v>SCA-04</x:v>
      </x:c>
      <x:c r="B381" s="29" t="str">
        <x:v>SCA-02</x:v>
      </x:c>
      <x:c r="C381" s="29" t="str">
        <x:v>Road</x:v>
      </x:c>
      <x:c r="D381" s="29" t="str">
        <x:v>NO</x:v>
      </x:c>
      <x:c r="E381" s="29" t="str">
        <x:v>NO</x:v>
      </x:c>
      <x:c r="F381" s="62"/>
      <x:c r="G381" s="62"/>
      <x:c r="H381" s="29" t="str">
        <x:v>NO</x:v>
      </x:c>
      <x:c r="I381" s="29" t="str">
        <x:v>no screened path</x:v>
      </x:c>
      <x:c r="J381" s="29" t="str">
        <x:v>presence does not prove operability or capacity</x:v>
      </x:c>
    </x:row>
    <x:row r="382" ht="54" hidden="0" customHeight="1">
      <x:c r="A382" s="27" t="str">
        <x:v>SCA-04</x:v>
      </x:c>
      <x:c r="B382" s="27" t="str">
        <x:v>SCA-02</x:v>
      </x:c>
      <x:c r="C382" s="27" t="str">
        <x:v>Rail</x:v>
      </x:c>
      <x:c r="D382" s="27" t="str">
        <x:v>NO</x:v>
      </x:c>
      <x:c r="E382" s="27" t="str">
        <x:v>NO</x:v>
      </x:c>
      <x:c r="F382" s="61"/>
      <x:c r="G382" s="61"/>
      <x:c r="H382" s="27" t="str">
        <x:v>NO</x:v>
      </x:c>
      <x:c r="I382" s="27" t="str">
        <x:v>no screened path</x:v>
      </x:c>
      <x:c r="J382" s="27" t="str">
        <x:v>presence does not prove operability or capacity</x:v>
      </x:c>
    </x:row>
    <x:row r="383" ht="54" hidden="0" customHeight="1">
      <x:c r="A383" s="29" t="str">
        <x:v>SCA-04</x:v>
      </x:c>
      <x:c r="B383" s="29" t="str">
        <x:v>SCA-02</x:v>
      </x:c>
      <x:c r="C383" s="29" t="str">
        <x:v>Air</x:v>
      </x:c>
      <x:c r="D383" s="29" t="str">
        <x:v>YES</x:v>
      </x:c>
      <x:c r="E383" s="29" t="str">
        <x:v>YES</x:v>
      </x:c>
      <x:c r="F383" s="62" t="n">
        <x:v>3107.376158815037</x:v>
      </x:c>
      <x:c r="G383" s="62" t="n">
        <x:v>28.78057870586929</x:v>
      </x:c>
      <x:c r="H383" s="29" t="str">
        <x:v>YES</x:v>
      </x:c>
      <x:c r="I383" s="29" t="str">
        <x:v>primary-airport endpoints; great-circle screen</x:v>
      </x:c>
      <x:c r="J383" s="29" t="str">
        <x:v>presence does not prove operability or capacity</x:v>
      </x:c>
    </x:row>
    <x:row r="384" ht="75.5999984741211" hidden="0" customHeight="1">
      <x:c r="A384" s="27" t="str">
        <x:v>SCA-04</x:v>
      </x:c>
      <x:c r="B384" s="27" t="str">
        <x:v>SCA-02</x:v>
      </x:c>
      <x:c r="C384" s="27" t="str">
        <x:v>Water</x:v>
      </x:c>
      <x:c r="D384" s="27" t="str">
        <x:v>YES</x:v>
      </x:c>
      <x:c r="E384" s="27" t="str">
        <x:v>YES</x:v>
      </x:c>
      <x:c r="F384" s="61" t="n">
        <x:v>3977.441483283247</x:v>
      </x:c>
      <x:c r="G384" s="61" t="n">
        <x:v>143.6411852366642</x:v>
      </x:c>
      <x:c r="H384" s="27" t="str">
        <x:v>NO</x:v>
      </x:c>
      <x:c r="I384" s="27" t="str">
        <x:v>USACE waterway node topology; deployable terminal required</x:v>
      </x:c>
      <x:c r="J384" s="27" t="str">
        <x:v>presence does not prove operability or capacity</x:v>
      </x:c>
    </x:row>
    <x:row r="385" ht="54" hidden="0" customHeight="1">
      <x:c r="A385" s="29" t="str">
        <x:v>SCA-04</x:v>
      </x:c>
      <x:c r="B385" s="29" t="str">
        <x:v>SCA-03</x:v>
      </x:c>
      <x:c r="C385" s="29" t="str">
        <x:v>Road</x:v>
      </x:c>
      <x:c r="D385" s="29" t="str">
        <x:v>YES</x:v>
      </x:c>
      <x:c r="E385" s="29" t="str">
        <x:v>YES</x:v>
      </x:c>
      <x:c r="F385" s="62" t="n">
        <x:v>1089.1382340922758</x:v>
      </x:c>
      <x:c r="G385" s="62" t="n">
        <x:v>39.80251334713229</x:v>
      </x:c>
      <x:c r="H385" s="29" t="str">
        <x:v>YES</x:v>
      </x:c>
      <x:c r="I385" s="29" t="str">
        <x:v>NHPN-gated shared-boundary SCA path</x:v>
      </x:c>
      <x:c r="J385" s="29" t="str">
        <x:v>presence does not prove operability or capacity</x:v>
      </x:c>
    </x:row>
    <x:row r="386" ht="64.80000305175781" hidden="0" customHeight="1">
      <x:c r="A386" s="27" t="str">
        <x:v>SCA-04</x:v>
      </x:c>
      <x:c r="B386" s="27" t="str">
        <x:v>SCA-03</x:v>
      </x:c>
      <x:c r="C386" s="27" t="str">
        <x:v>Rail</x:v>
      </x:c>
      <x:c r="D386" s="27" t="str">
        <x:v>YES</x:v>
      </x:c>
      <x:c r="E386" s="27" t="str">
        <x:v>YES</x:v>
      </x:c>
      <x:c r="F386" s="61" t="n">
        <x:v>1155.4336048631092</x:v>
      </x:c>
      <x:c r="G386" s="61" t="n">
        <x:v>42.506194355187276</x:v>
      </x:c>
      <x:c r="H386" s="27" t="str">
        <x:v>YES</x:v>
      </x:c>
      <x:c r="I386" s="27" t="str">
        <x:v>NARN shared-node topology; deployable terminal required</x:v>
      </x:c>
      <x:c r="J386" s="27" t="str">
        <x:v>presence does not prove operability or capacity</x:v>
      </x:c>
    </x:row>
    <x:row r="387" ht="54" hidden="0" customHeight="1">
      <x:c r="A387" s="29" t="str">
        <x:v>SCA-04</x:v>
      </x:c>
      <x:c r="B387" s="29" t="str">
        <x:v>SCA-03</x:v>
      </x:c>
      <x:c r="C387" s="29" t="str">
        <x:v>Air</x:v>
      </x:c>
      <x:c r="D387" s="29" t="str">
        <x:v>YES</x:v>
      </x:c>
      <x:c r="E387" s="29" t="str">
        <x:v>YES</x:v>
      </x:c>
      <x:c r="F387" s="62" t="n">
        <x:v>947.0767252976306</x:v>
      </x:c>
      <x:c r="G387" s="62" t="n">
        <x:v>25.457041115842507</x:v>
      </x:c>
      <x:c r="H387" s="29" t="str">
        <x:v>YES</x:v>
      </x:c>
      <x:c r="I387" s="29" t="str">
        <x:v>primary-airport endpoints; great-circle screen</x:v>
      </x:c>
      <x:c r="J387" s="29" t="str">
        <x:v>presence does not prove operability or capacity</x:v>
      </x:c>
    </x:row>
    <x:row r="388" ht="75.5999984741211" hidden="0" customHeight="1">
      <x:c r="A388" s="27" t="str">
        <x:v>SCA-04</x:v>
      </x:c>
      <x:c r="B388" s="27" t="str">
        <x:v>SCA-03</x:v>
      </x:c>
      <x:c r="C388" s="27" t="str">
        <x:v>Water</x:v>
      </x:c>
      <x:c r="D388" s="27" t="str">
        <x:v>YES</x:v>
      </x:c>
      <x:c r="E388" s="27" t="str">
        <x:v>YES</x:v>
      </x:c>
      <x:c r="F388" s="61" t="n">
        <x:v>1212.258208380967</x:v>
      </x:c>
      <x:c r="G388" s="61" t="n">
        <x:v>64.63594881088477</x:v>
      </x:c>
      <x:c r="H388" s="27" t="str">
        <x:v>YES</x:v>
      </x:c>
      <x:c r="I388" s="27" t="str">
        <x:v>USACE waterway node topology; deployable terminal required</x:v>
      </x:c>
      <x:c r="J388" s="27" t="str">
        <x:v>presence does not prove operability or capacity</x:v>
      </x:c>
    </x:row>
    <x:row r="389" ht="54" hidden="0" customHeight="1">
      <x:c r="A389" s="29" t="str">
        <x:v>SCA-04</x:v>
      </x:c>
      <x:c r="B389" s="29" t="str">
        <x:v>SCA-05</x:v>
      </x:c>
      <x:c r="C389" s="29" t="str">
        <x:v>Road</x:v>
      </x:c>
      <x:c r="D389" s="29" t="str">
        <x:v>YES</x:v>
      </x:c>
      <x:c r="E389" s="29" t="str">
        <x:v>YES</x:v>
      </x:c>
      <x:c r="F389" s="62" t="n">
        <x:v>589.3331503114186</x:v>
      </x:c>
      <x:c r="G389" s="62" t="n">
        <x:v>30.715148187480338</x:v>
      </x:c>
      <x:c r="H389" s="29" t="str">
        <x:v>YES</x:v>
      </x:c>
      <x:c r="I389" s="29" t="str">
        <x:v>NHPN-gated shared-boundary SCA path</x:v>
      </x:c>
      <x:c r="J389" s="29" t="str">
        <x:v>presence does not prove operability or capacity</x:v>
      </x:c>
    </x:row>
    <x:row r="390" ht="64.80000305175781" hidden="0" customHeight="1">
      <x:c r="A390" s="27" t="str">
        <x:v>SCA-04</x:v>
      </x:c>
      <x:c r="B390" s="27" t="str">
        <x:v>SCA-05</x:v>
      </x:c>
      <x:c r="C390" s="27" t="str">
        <x:v>Rail</x:v>
      </x:c>
      <x:c r="D390" s="27" t="str">
        <x:v>YES</x:v>
      </x:c>
      <x:c r="E390" s="27" t="str">
        <x:v>YES</x:v>
      </x:c>
      <x:c r="F390" s="61" t="n">
        <x:v>625.2056029390706</x:v>
      </x:c>
      <x:c r="G390" s="61" t="n">
        <x:v>34.931508613415296</x:v>
      </x:c>
      <x:c r="H390" s="27" t="str">
        <x:v>YES</x:v>
      </x:c>
      <x:c r="I390" s="27" t="str">
        <x:v>NARN shared-node topology; deployable terminal required</x:v>
      </x:c>
      <x:c r="J390" s="27" t="str">
        <x:v>presence does not prove operability or capacity</x:v>
      </x:c>
    </x:row>
    <x:row r="391" ht="54" hidden="0" customHeight="1">
      <x:c r="A391" s="29" t="str">
        <x:v>SCA-04</x:v>
      </x:c>
      <x:c r="B391" s="29" t="str">
        <x:v>SCA-05</x:v>
      </x:c>
      <x:c r="C391" s="29" t="str">
        <x:v>Air</x:v>
      </x:c>
      <x:c r="D391" s="29" t="str">
        <x:v>YES</x:v>
      </x:c>
      <x:c r="E391" s="29" t="str">
        <x:v>YES</x:v>
      </x:c>
      <x:c r="F391" s="62" t="n">
        <x:v>512.4636089664513</x:v>
      </x:c>
      <x:c r="G391" s="62" t="n">
        <x:v>24.78840555225608</x:v>
      </x:c>
      <x:c r="H391" s="29" t="str">
        <x:v>YES</x:v>
      </x:c>
      <x:c r="I391" s="29" t="str">
        <x:v>primary-airport endpoints; great-circle screen</x:v>
      </x:c>
      <x:c r="J391" s="29" t="str">
        <x:v>presence does not prove operability or capacity</x:v>
      </x:c>
    </x:row>
    <x:row r="392" ht="75.5999984741211" hidden="0" customHeight="1">
      <x:c r="A392" s="27" t="str">
        <x:v>SCA-04</x:v>
      </x:c>
      <x:c r="B392" s="27" t="str">
        <x:v>SCA-05</x:v>
      </x:c>
      <x:c r="C392" s="27" t="str">
        <x:v>Water</x:v>
      </x:c>
      <x:c r="D392" s="27" t="str">
        <x:v>YES</x:v>
      </x:c>
      <x:c r="E392" s="27" t="str">
        <x:v>YES</x:v>
      </x:c>
      <x:c r="F392" s="61" t="n">
        <x:v>655.9534194770577</x:v>
      </x:c>
      <x:c r="G392" s="61" t="n">
        <x:v>48.74152627077308</x:v>
      </x:c>
      <x:c r="H392" s="27" t="str">
        <x:v>YES</x:v>
      </x:c>
      <x:c r="I392" s="27" t="str">
        <x:v>USACE waterway node topology; deployable terminal required</x:v>
      </x:c>
      <x:c r="J392" s="27" t="str">
        <x:v>presence does not prove operability or capacity</x:v>
      </x:c>
    </x:row>
    <x:row r="393" ht="54" hidden="0" customHeight="1">
      <x:c r="A393" s="29" t="str">
        <x:v>SCA-04</x:v>
      </x:c>
      <x:c r="B393" s="29" t="str">
        <x:v>SCA-06</x:v>
      </x:c>
      <x:c r="C393" s="29" t="str">
        <x:v>Road</x:v>
      </x:c>
      <x:c r="D393" s="29" t="str">
        <x:v>YES</x:v>
      </x:c>
      <x:c r="E393" s="29" t="str">
        <x:v>YES</x:v>
      </x:c>
      <x:c r="F393" s="62" t="n">
        <x:v>830.0905225915419</x:v>
      </x:c>
      <x:c r="G393" s="62" t="n">
        <x:v>35.09255495620985</x:v>
      </x:c>
      <x:c r="H393" s="29" t="str">
        <x:v>YES</x:v>
      </x:c>
      <x:c r="I393" s="29" t="str">
        <x:v>NHPN-gated shared-boundary SCA path</x:v>
      </x:c>
      <x:c r="J393" s="29" t="str">
        <x:v>presence does not prove operability or capacity</x:v>
      </x:c>
    </x:row>
    <x:row r="394" ht="64.80000305175781" hidden="0" customHeight="1">
      <x:c r="A394" s="27" t="str">
        <x:v>SCA-04</x:v>
      </x:c>
      <x:c r="B394" s="27" t="str">
        <x:v>SCA-06</x:v>
      </x:c>
      <x:c r="C394" s="27" t="str">
        <x:v>Rail</x:v>
      </x:c>
      <x:c r="D394" s="27" t="str">
        <x:v>YES</x:v>
      </x:c>
      <x:c r="E394" s="27" t="str">
        <x:v>YES</x:v>
      </x:c>
      <x:c r="F394" s="61" t="n">
        <x:v>880.6177717927667</x:v>
      </x:c>
      <x:c r="G394" s="61" t="n">
        <x:v>38.58025388275381</x:v>
      </x:c>
      <x:c r="H394" s="27" t="str">
        <x:v>YES</x:v>
      </x:c>
      <x:c r="I394" s="27" t="str">
        <x:v>NARN shared-node topology; deployable terminal required</x:v>
      </x:c>
      <x:c r="J394" s="27" t="str">
        <x:v>presence does not prove operability or capacity</x:v>
      </x:c>
    </x:row>
    <x:row r="395" ht="54" hidden="0" customHeight="1">
      <x:c r="A395" s="29" t="str">
        <x:v>SCA-04</x:v>
      </x:c>
      <x:c r="B395" s="29" t="str">
        <x:v>SCA-06</x:v>
      </x:c>
      <x:c r="C395" s="29" t="str">
        <x:v>Air</x:v>
      </x:c>
      <x:c r="D395" s="29" t="str">
        <x:v>YES</x:v>
      </x:c>
      <x:c r="E395" s="29" t="str">
        <x:v>YES</x:v>
      </x:c>
      <x:c r="F395" s="62" t="n">
        <x:v>705.5114387266485</x:v>
      </x:c>
      <x:c r="G395" s="62" t="n">
        <x:v>25.085402213425613</x:v>
      </x:c>
      <x:c r="H395" s="29" t="str">
        <x:v>YES</x:v>
      </x:c>
      <x:c r="I395" s="29" t="str">
        <x:v>primary-airport endpoints; great-circle screen</x:v>
      </x:c>
      <x:c r="J395" s="29" t="str">
        <x:v>presence does not prove operability or capacity</x:v>
      </x:c>
    </x:row>
    <x:row r="396" ht="75.5999984741211" hidden="0" customHeight="1">
      <x:c r="A396" s="27" t="str">
        <x:v>SCA-04</x:v>
      </x:c>
      <x:c r="B396" s="27" t="str">
        <x:v>SCA-06</x:v>
      </x:c>
      <x:c r="C396" s="27" t="str">
        <x:v>Water</x:v>
      </x:c>
      <x:c r="D396" s="27" t="str">
        <x:v>YES</x:v>
      </x:c>
      <x:c r="E396" s="27" t="str">
        <x:v>YES</x:v>
      </x:c>
      <x:c r="F396" s="61" t="n">
        <x:v>923.9268425366733</x:v>
      </x:c>
      <x:c r="G396" s="61" t="n">
        <x:v>56.3979097867621</x:v>
      </x:c>
      <x:c r="H396" s="27" t="str">
        <x:v>YES</x:v>
      </x:c>
      <x:c r="I396" s="27" t="str">
        <x:v>USACE waterway node topology; deployable terminal required</x:v>
      </x:c>
      <x:c r="J396" s="27" t="str">
        <x:v>presence does not prove operability or capacity</x:v>
      </x:c>
    </x:row>
    <x:row r="397" ht="54" hidden="0" customHeight="1">
      <x:c r="A397" s="29" t="str">
        <x:v>SCA-04</x:v>
      </x:c>
      <x:c r="B397" s="29" t="str">
        <x:v>SCA-07</x:v>
      </x:c>
      <x:c r="C397" s="29" t="str">
        <x:v>Road</x:v>
      </x:c>
      <x:c r="D397" s="29" t="str">
        <x:v>YES</x:v>
      </x:c>
      <x:c r="E397" s="29" t="str">
        <x:v>YES</x:v>
      </x:c>
      <x:c r="F397" s="62" t="n">
        <x:v>700.6041866526447</x:v>
      </x:c>
      <x:c r="G397" s="62" t="n">
        <x:v>32.73825793913899</x:v>
      </x:c>
      <x:c r="H397" s="29" t="str">
        <x:v>YES</x:v>
      </x:c>
      <x:c r="I397" s="29" t="str">
        <x:v>NHPN-gated shared-boundary SCA path</x:v>
      </x:c>
      <x:c r="J397" s="29" t="str">
        <x:v>presence does not prove operability or capacity</x:v>
      </x:c>
    </x:row>
    <x:row r="398" ht="64.80000305175781" hidden="0" customHeight="1">
      <x:c r="A398" s="27" t="str">
        <x:v>SCA-04</x:v>
      </x:c>
      <x:c r="B398" s="27" t="str">
        <x:v>SCA-07</x:v>
      </x:c>
      <x:c r="C398" s="27" t="str">
        <x:v>Rail</x:v>
      </x:c>
      <x:c r="D398" s="27" t="str">
        <x:v>YES</x:v>
      </x:c>
      <x:c r="E398" s="27" t="str">
        <x:v>YES</x:v>
      </x:c>
      <x:c r="F398" s="61" t="n">
        <x:v>1007.3319815754007</x:v>
      </x:c>
      <x:c r="G398" s="61" t="n">
        <x:v>40.39045687964858</x:v>
      </x:c>
      <x:c r="H398" s="27" t="str">
        <x:v>YES</x:v>
      </x:c>
      <x:c r="I398" s="27" t="str">
        <x:v>NARN shared-node topology; deployable terminal required</x:v>
      </x:c>
      <x:c r="J398" s="27" t="str">
        <x:v>presence does not prove operability or capacity</x:v>
      </x:c>
    </x:row>
    <x:row r="399" ht="54" hidden="0" customHeight="1">
      <x:c r="A399" s="29" t="str">
        <x:v>SCA-04</x:v>
      </x:c>
      <x:c r="B399" s="29" t="str">
        <x:v>SCA-07</x:v>
      </x:c>
      <x:c r="C399" s="29" t="str">
        <x:v>Air</x:v>
      </x:c>
      <x:c r="D399" s="29" t="str">
        <x:v>YES</x:v>
      </x:c>
      <x:c r="E399" s="29" t="str">
        <x:v>YES</x:v>
      </x:c>
      <x:c r="F399" s="62" t="n">
        <x:v>609.2210318718651</x:v>
      </x:c>
      <x:c r="G399" s="62" t="n">
        <x:v>24.937263125956715</x:v>
      </x:c>
      <x:c r="H399" s="29" t="str">
        <x:v>YES</x:v>
      </x:c>
      <x:c r="I399" s="29" t="str">
        <x:v>primary-airport endpoints; great-circle screen</x:v>
      </x:c>
      <x:c r="J399" s="29" t="str">
        <x:v>presence does not prove operability or capacity</x:v>
      </x:c>
    </x:row>
    <x:row r="400" ht="64.80000305175781" hidden="0" customHeight="1">
      <x:c r="A400" s="27" t="str">
        <x:v>SCA-04</x:v>
      </x:c>
      <x:c r="B400" s="27" t="str">
        <x:v>SCA-07</x:v>
      </x:c>
      <x:c r="C400" s="27" t="str">
        <x:v>Water</x:v>
      </x:c>
      <x:c r="D400" s="27" t="str">
        <x:v>YES</x:v>
      </x:c>
      <x:c r="E400" s="27" t="str">
        <x:v>YES</x:v>
      </x:c>
      <x:c r="F400" s="61" t="n">
        <x:v>761.5262898398314</x:v>
      </x:c>
      <x:c r="G400" s="61" t="n">
        <x:v>51.75789399542376</x:v>
      </x:c>
      <x:c r="H400" s="27" t="str">
        <x:v>YES</x:v>
      </x:c>
      <x:c r="I400" s="27" t="str">
        <x:v>observed water terminals; maritime great-circle screen</x:v>
      </x:c>
      <x:c r="J400" s="27" t="str">
        <x:v>presence does not prove operability or capacity</x:v>
      </x:c>
    </x:row>
    <x:row r="401" ht="54" hidden="0" customHeight="1">
      <x:c r="A401" s="29" t="str">
        <x:v>SCA-04</x:v>
      </x:c>
      <x:c r="B401" s="29" t="str">
        <x:v>SCA-08</x:v>
      </x:c>
      <x:c r="C401" s="29" t="str">
        <x:v>Road</x:v>
      </x:c>
      <x:c r="D401" s="29" t="str">
        <x:v>YES</x:v>
      </x:c>
      <x:c r="E401" s="29" t="str">
        <x:v>YES</x:v>
      </x:c>
      <x:c r="F401" s="62" t="n">
        <x:v>1055.1636743112826</x:v>
      </x:c>
      <x:c r="G401" s="62" t="n">
        <x:v>39.18479407838696</x:v>
      </x:c>
      <x:c r="H401" s="29" t="str">
        <x:v>YES</x:v>
      </x:c>
      <x:c r="I401" s="29" t="str">
        <x:v>NHPN-gated shared-boundary SCA path</x:v>
      </x:c>
      <x:c r="J401" s="29" t="str">
        <x:v>presence does not prove operability or capacity</x:v>
      </x:c>
    </x:row>
    <x:row r="402" ht="64.80000305175781" hidden="0" customHeight="1">
      <x:c r="A402" s="27" t="str">
        <x:v>SCA-04</x:v>
      </x:c>
      <x:c r="B402" s="27" t="str">
        <x:v>SCA-08</x:v>
      </x:c>
      <x:c r="C402" s="27" t="str">
        <x:v>Rail</x:v>
      </x:c>
      <x:c r="D402" s="27" t="str">
        <x:v>YES</x:v>
      </x:c>
      <x:c r="E402" s="27" t="str">
        <x:v>YES</x:v>
      </x:c>
      <x:c r="F402" s="61" t="n">
        <x:v>1119.391028399795</x:v>
      </x:c>
      <x:c r="G402" s="61" t="n">
        <x:v>41.99130040571136</x:v>
      </x:c>
      <x:c r="H402" s="27" t="str">
        <x:v>YES</x:v>
      </x:c>
      <x:c r="I402" s="27" t="str">
        <x:v>NARN shared-node topology; deployable terminal required</x:v>
      </x:c>
      <x:c r="J402" s="27" t="str">
        <x:v>presence does not prove operability or capacity</x:v>
      </x:c>
    </x:row>
    <x:row r="403" ht="54" hidden="0" customHeight="1">
      <x:c r="A403" s="29" t="str">
        <x:v>SCA-04</x:v>
      </x:c>
      <x:c r="B403" s="29" t="str">
        <x:v>SCA-08</x:v>
      </x:c>
      <x:c r="C403" s="29" t="str">
        <x:v>Air</x:v>
      </x:c>
      <x:c r="D403" s="29" t="str">
        <x:v>YES</x:v>
      </x:c>
      <x:c r="E403" s="29" t="str">
        <x:v>YES</x:v>
      </x:c>
      <x:c r="F403" s="62" t="n">
        <x:v>917.5336298358975</x:v>
      </x:c>
      <x:c r="G403" s="62" t="n">
        <x:v>25.411590199747536</x:v>
      </x:c>
      <x:c r="H403" s="29" t="str">
        <x:v>YES</x:v>
      </x:c>
      <x:c r="I403" s="29" t="str">
        <x:v>primary-airport endpoints; great-circle screen</x:v>
      </x:c>
      <x:c r="J403" s="29" t="str">
        <x:v>presence does not prove operability or capacity</x:v>
      </x:c>
    </x:row>
    <x:row r="404" ht="75.5999984741211" hidden="0" customHeight="1">
      <x:c r="A404" s="27" t="str">
        <x:v>SCA-04</x:v>
      </x:c>
      <x:c r="B404" s="27" t="str">
        <x:v>SCA-08</x:v>
      </x:c>
      <x:c r="C404" s="27" t="str">
        <x:v>Water</x:v>
      </x:c>
      <x:c r="D404" s="27" t="str">
        <x:v>YES</x:v>
      </x:c>
      <x:c r="E404" s="27" t="str">
        <x:v>YES</x:v>
      </x:c>
      <x:c r="F404" s="61" t="n">
        <x:v>1929.7871128095003</x:v>
      </x:c>
      <x:c r="G404" s="61" t="n">
        <x:v>85.13677465170001</x:v>
      </x:c>
      <x:c r="H404" s="27" t="str">
        <x:v>NO</x:v>
      </x:c>
      <x:c r="I404" s="27" t="str">
        <x:v>USACE waterway node topology; deployable terminal required</x:v>
      </x:c>
      <x:c r="J404" s="27" t="str">
        <x:v>presence does not prove operability or capacity</x:v>
      </x:c>
    </x:row>
    <x:row r="405" ht="54" hidden="0" customHeight="1">
      <x:c r="A405" s="29" t="str">
        <x:v>SCA-04</x:v>
      </x:c>
      <x:c r="B405" s="29" t="str">
        <x:v>SCA-09</x:v>
      </x:c>
      <x:c r="C405" s="29" t="str">
        <x:v>Road</x:v>
      </x:c>
      <x:c r="D405" s="29" t="str">
        <x:v>YES</x:v>
      </x:c>
      <x:c r="E405" s="29" t="str">
        <x:v>YES</x:v>
      </x:c>
      <x:c r="F405" s="62" t="n">
        <x:v>1162.7403793266699</x:v>
      </x:c>
      <x:c r="G405" s="62" t="n">
        <x:v>41.140734169575815</x:v>
      </x:c>
      <x:c r="H405" s="29" t="str">
        <x:v>YES</x:v>
      </x:c>
      <x:c r="I405" s="29" t="str">
        <x:v>NHPN-gated shared-boundary SCA path</x:v>
      </x:c>
      <x:c r="J405" s="29" t="str">
        <x:v>presence does not prove operability or capacity</x:v>
      </x:c>
    </x:row>
    <x:row r="406" ht="64.80000305175781" hidden="0" customHeight="1">
      <x:c r="A406" s="27" t="str">
        <x:v>SCA-04</x:v>
      </x:c>
      <x:c r="B406" s="27" t="str">
        <x:v>SCA-09</x:v>
      </x:c>
      <x:c r="C406" s="27" t="str">
        <x:v>Rail</x:v>
      </x:c>
      <x:c r="D406" s="27" t="str">
        <x:v>YES</x:v>
      </x:c>
      <x:c r="E406" s="27" t="str">
        <x:v>YES</x:v>
      </x:c>
      <x:c r="F406" s="61" t="n">
        <x:v>1357.711451053144</x:v>
      </x:c>
      <x:c r="G406" s="61" t="n">
        <x:v>45.39587787218777</x:v>
      </x:c>
      <x:c r="H406" s="27" t="str">
        <x:v>YES</x:v>
      </x:c>
      <x:c r="I406" s="27" t="str">
        <x:v>NARN shared-node topology; deployable terminal required</x:v>
      </x:c>
      <x:c r="J406" s="27" t="str">
        <x:v>presence does not prove operability or capacity</x:v>
      </x:c>
    </x:row>
    <x:row r="407" ht="54" hidden="0" customHeight="1">
      <x:c r="A407" s="29" t="str">
        <x:v>SCA-04</x:v>
      </x:c>
      <x:c r="B407" s="29" t="str">
        <x:v>SCA-09</x:v>
      </x:c>
      <x:c r="C407" s="29" t="str">
        <x:v>Air</x:v>
      </x:c>
      <x:c r="D407" s="29" t="str">
        <x:v>YES</x:v>
      </x:c>
      <x:c r="E407" s="29" t="str">
        <x:v>YES</x:v>
      </x:c>
      <x:c r="F407" s="62" t="n">
        <x:v>1003.1655928284499</x:v>
      </x:c>
      <x:c r="G407" s="62" t="n">
        <x:v>25.543331681274537</x:v>
      </x:c>
      <x:c r="H407" s="29" t="str">
        <x:v>YES</x:v>
      </x:c>
      <x:c r="I407" s="29" t="str">
        <x:v>primary-airport endpoints; great-circle screen</x:v>
      </x:c>
      <x:c r="J407" s="29" t="str">
        <x:v>presence does not prove operability or capacity</x:v>
      </x:c>
    </x:row>
    <x:row r="408" ht="54" hidden="0" customHeight="1">
      <x:c r="A408" s="27" t="str">
        <x:v>SCA-04</x:v>
      </x:c>
      <x:c r="B408" s="27" t="str">
        <x:v>SCA-09</x:v>
      </x:c>
      <x:c r="C408" s="27" t="str">
        <x:v>Water</x:v>
      </x:c>
      <x:c r="D408" s="27" t="str">
        <x:v>NO</x:v>
      </x:c>
      <x:c r="E408" s="27" t="str">
        <x:v>NO</x:v>
      </x:c>
      <x:c r="F408" s="61"/>
      <x:c r="G408" s="61"/>
      <x:c r="H408" s="27" t="str">
        <x:v>NO</x:v>
      </x:c>
      <x:c r="I408" s="27" t="str">
        <x:v>no screened path</x:v>
      </x:c>
      <x:c r="J408" s="27" t="str">
        <x:v>presence does not prove operability or capacity</x:v>
      </x:c>
    </x:row>
    <x:row r="409" ht="54" hidden="0" customHeight="1">
      <x:c r="A409" s="29" t="str">
        <x:v>SCA-04</x:v>
      </x:c>
      <x:c r="B409" s="29" t="str">
        <x:v>SCA-10</x:v>
      </x:c>
      <x:c r="C409" s="29" t="str">
        <x:v>Road</x:v>
      </x:c>
      <x:c r="D409" s="29" t="str">
        <x:v>YES</x:v>
      </x:c>
      <x:c r="E409" s="29" t="str">
        <x:v>YES</x:v>
      </x:c>
      <x:c r="F409" s="62" t="n">
        <x:v>1514.803489262099</x:v>
      </x:c>
      <x:c r="G409" s="62" t="n">
        <x:v>47.54188162294726</x:v>
      </x:c>
      <x:c r="H409" s="29" t="str">
        <x:v>YES</x:v>
      </x:c>
      <x:c r="I409" s="29" t="str">
        <x:v>NHPN-gated shared-boundary SCA path</x:v>
      </x:c>
      <x:c r="J409" s="29" t="str">
        <x:v>presence does not prove operability or capacity</x:v>
      </x:c>
    </x:row>
    <x:row r="410" ht="64.80000305175781" hidden="0" customHeight="1">
      <x:c r="A410" s="27" t="str">
        <x:v>SCA-04</x:v>
      </x:c>
      <x:c r="B410" s="27" t="str">
        <x:v>SCA-10</x:v>
      </x:c>
      <x:c r="C410" s="27" t="str">
        <x:v>Rail</x:v>
      </x:c>
      <x:c r="D410" s="27" t="str">
        <x:v>YES</x:v>
      </x:c>
      <x:c r="E410" s="27" t="str">
        <x:v>YES</x:v>
      </x:c>
      <x:c r="F410" s="61" t="n">
        <x:v>1709.796466905188</x:v>
      </x:c>
      <x:c r="G410" s="61" t="n">
        <x:v>50.42566381293126</x:v>
      </x:c>
      <x:c r="H410" s="27" t="str">
        <x:v>YES</x:v>
      </x:c>
      <x:c r="I410" s="27" t="str">
        <x:v>NARN shared-node topology; deployable terminal required</x:v>
      </x:c>
      <x:c r="J410" s="27" t="str">
        <x:v>presence does not prove operability or capacity</x:v>
      </x:c>
    </x:row>
    <x:row r="411" ht="54" hidden="0" customHeight="1">
      <x:c r="A411" s="29" t="str">
        <x:v>SCA-04</x:v>
      </x:c>
      <x:c r="B411" s="29" t="str">
        <x:v>SCA-10</x:v>
      </x:c>
      <x:c r="C411" s="29" t="str">
        <x:v>Air</x:v>
      </x:c>
      <x:c r="D411" s="29" t="str">
        <x:v>YES</x:v>
      </x:c>
      <x:c r="E411" s="29" t="str">
        <x:v>YES</x:v>
      </x:c>
      <x:c r="F411" s="62" t="n">
        <x:v>936.6289480187827</x:v>
      </x:c>
      <x:c r="G411" s="62" t="n">
        <x:v>25.44096761233659</x:v>
      </x:c>
      <x:c r="H411" s="29" t="str">
        <x:v>YES</x:v>
      </x:c>
      <x:c r="I411" s="29" t="str">
        <x:v>primary-airport endpoints; great-circle screen</x:v>
      </x:c>
      <x:c r="J411" s="29" t="str">
        <x:v>presence does not prove operability or capacity</x:v>
      </x:c>
    </x:row>
    <x:row r="412" ht="54" hidden="0" customHeight="1">
      <x:c r="A412" s="27" t="str">
        <x:v>SCA-04</x:v>
      </x:c>
      <x:c r="B412" s="27" t="str">
        <x:v>SCA-10</x:v>
      </x:c>
      <x:c r="C412" s="27" t="str">
        <x:v>Water</x:v>
      </x:c>
      <x:c r="D412" s="27" t="str">
        <x:v>NO</x:v>
      </x:c>
      <x:c r="E412" s="27" t="str">
        <x:v>NO</x:v>
      </x:c>
      <x:c r="F412" s="61"/>
      <x:c r="G412" s="61"/>
      <x:c r="H412" s="27" t="str">
        <x:v>NO</x:v>
      </x:c>
      <x:c r="I412" s="27" t="str">
        <x:v>no screened path</x:v>
      </x:c>
      <x:c r="J412" s="27" t="str">
        <x:v>presence does not prove operability or capacity</x:v>
      </x:c>
    </x:row>
    <x:row r="413" ht="54" hidden="0" customHeight="1">
      <x:c r="A413" s="29" t="str">
        <x:v>SCA-04</x:v>
      </x:c>
      <x:c r="B413" s="29" t="str">
        <x:v>SCA-11</x:v>
      </x:c>
      <x:c r="C413" s="29" t="str">
        <x:v>Road</x:v>
      </x:c>
      <x:c r="D413" s="29" t="str">
        <x:v>YES</x:v>
      </x:c>
      <x:c r="E413" s="29" t="str">
        <x:v>YES</x:v>
      </x:c>
      <x:c r="F413" s="62" t="n">
        <x:v>1914.4927307962803</x:v>
      </x:c>
      <x:c r="G413" s="62" t="n">
        <x:v>54.80895874175055</x:v>
      </x:c>
      <x:c r="H413" s="29" t="str">
        <x:v>YES</x:v>
      </x:c>
      <x:c r="I413" s="29" t="str">
        <x:v>NHPN-gated shared-boundary SCA path</x:v>
      </x:c>
      <x:c r="J413" s="29" t="str">
        <x:v>presence does not prove operability or capacity</x:v>
      </x:c>
    </x:row>
    <x:row r="414" ht="64.80000305175781" hidden="0" customHeight="1">
      <x:c r="A414" s="27" t="str">
        <x:v>SCA-04</x:v>
      </x:c>
      <x:c r="B414" s="27" t="str">
        <x:v>SCA-11</x:v>
      </x:c>
      <x:c r="C414" s="27" t="str">
        <x:v>Rail</x:v>
      </x:c>
      <x:c r="D414" s="27" t="str">
        <x:v>YES</x:v>
      </x:c>
      <x:c r="E414" s="27" t="str">
        <x:v>YES</x:v>
      </x:c>
      <x:c r="F414" s="61" t="n">
        <x:v>2155.2226413078615</x:v>
      </x:c>
      <x:c r="G414" s="61" t="n">
        <x:v>56.78889487582659</x:v>
      </x:c>
      <x:c r="H414" s="27" t="str">
        <x:v>YES</x:v>
      </x:c>
      <x:c r="I414" s="27" t="str">
        <x:v>NARN shared-node topology; deployable terminal required</x:v>
      </x:c>
      <x:c r="J414" s="27" t="str">
        <x:v>presence does not prove operability or capacity</x:v>
      </x:c>
    </x:row>
    <x:row r="415" ht="54" hidden="0" customHeight="1">
      <x:c r="A415" s="29" t="str">
        <x:v>SCA-04</x:v>
      </x:c>
      <x:c r="B415" s="29" t="str">
        <x:v>SCA-11</x:v>
      </x:c>
      <x:c r="C415" s="29" t="str">
        <x:v>Air</x:v>
      </x:c>
      <x:c r="D415" s="29" t="str">
        <x:v>YES</x:v>
      </x:c>
      <x:c r="E415" s="29" t="str">
        <x:v>YES</x:v>
      </x:c>
      <x:c r="F415" s="62" t="n">
        <x:v>1574.8146044969476</x:v>
      </x:c>
      <x:c r="G415" s="62" t="n">
        <x:v>26.422791699226075</x:v>
      </x:c>
      <x:c r="H415" s="29" t="str">
        <x:v>YES</x:v>
      </x:c>
      <x:c r="I415" s="29" t="str">
        <x:v>primary-airport endpoints; great-circle screen</x:v>
      </x:c>
      <x:c r="J415" s="29" t="str">
        <x:v>presence does not prove operability or capacity</x:v>
      </x:c>
    </x:row>
    <x:row r="416" ht="54" hidden="0" customHeight="1">
      <x:c r="A416" s="27" t="str">
        <x:v>SCA-04</x:v>
      </x:c>
      <x:c r="B416" s="27" t="str">
        <x:v>SCA-11</x:v>
      </x:c>
      <x:c r="C416" s="27" t="str">
        <x:v>Water</x:v>
      </x:c>
      <x:c r="D416" s="27" t="str">
        <x:v>NO</x:v>
      </x:c>
      <x:c r="E416" s="27" t="str">
        <x:v>NO</x:v>
      </x:c>
      <x:c r="F416" s="61"/>
      <x:c r="G416" s="61"/>
      <x:c r="H416" s="27" t="str">
        <x:v>NO</x:v>
      </x:c>
      <x:c r="I416" s="27" t="str">
        <x:v>no screened path</x:v>
      </x:c>
      <x:c r="J416" s="27" t="str">
        <x:v>presence does not prove operability or capacity</x:v>
      </x:c>
    </x:row>
    <x:row r="417" ht="54" hidden="0" customHeight="1">
      <x:c r="A417" s="29" t="str">
        <x:v>SCA-04</x:v>
      </x:c>
      <x:c r="B417" s="29" t="str">
        <x:v>SCA-12</x:v>
      </x:c>
      <x:c r="C417" s="29" t="str">
        <x:v>Road</x:v>
      </x:c>
      <x:c r="D417" s="29" t="str">
        <x:v>YES</x:v>
      </x:c>
      <x:c r="E417" s="29" t="str">
        <x:v>YES</x:v>
      </x:c>
      <x:c r="F417" s="62" t="n">
        <x:v>2191.0614515085413</x:v>
      </x:c>
      <x:c r="G417" s="62" t="n">
        <x:v>59.83748093651893</x:v>
      </x:c>
      <x:c r="H417" s="29" t="str">
        <x:v>YES</x:v>
      </x:c>
      <x:c r="I417" s="29" t="str">
        <x:v>NHPN-gated shared-boundary SCA path</x:v>
      </x:c>
      <x:c r="J417" s="29" t="str">
        <x:v>presence does not prove operability or capacity</x:v>
      </x:c>
    </x:row>
    <x:row r="418" ht="64.80000305175781" hidden="0" customHeight="1">
      <x:c r="A418" s="27" t="str">
        <x:v>SCA-04</x:v>
      </x:c>
      <x:c r="B418" s="27" t="str">
        <x:v>SCA-12</x:v>
      </x:c>
      <x:c r="C418" s="27" t="str">
        <x:v>Rail</x:v>
      </x:c>
      <x:c r="D418" s="27" t="str">
        <x:v>YES</x:v>
      </x:c>
      <x:c r="E418" s="27" t="str">
        <x:v>YES</x:v>
      </x:c>
      <x:c r="F418" s="61" t="n">
        <x:v>2362.554473172056</x:v>
      </x:c>
      <x:c r="G418" s="61" t="n">
        <x:v>59.75077818817223</x:v>
      </x:c>
      <x:c r="H418" s="27" t="str">
        <x:v>YES</x:v>
      </x:c>
      <x:c r="I418" s="27" t="str">
        <x:v>NARN shared-node topology; deployable terminal required</x:v>
      </x:c>
      <x:c r="J418" s="27" t="str">
        <x:v>presence does not prove operability or capacity</x:v>
      </x:c>
    </x:row>
    <x:row r="419" ht="54" hidden="0" customHeight="1">
      <x:c r="A419" s="29" t="str">
        <x:v>SCA-04</x:v>
      </x:c>
      <x:c r="B419" s="29" t="str">
        <x:v>SCA-12</x:v>
      </x:c>
      <x:c r="C419" s="29" t="str">
        <x:v>Air</x:v>
      </x:c>
      <x:c r="D419" s="29" t="str">
        <x:v>YES</x:v>
      </x:c>
      <x:c r="E419" s="29" t="str">
        <x:v>YES</x:v>
      </x:c>
      <x:c r="F419" s="62" t="n">
        <x:v>1451.8790481039712</x:v>
      </x:c>
      <x:c r="G419" s="62" t="n">
        <x:v>26.23366007400611</x:v>
      </x:c>
      <x:c r="H419" s="29" t="str">
        <x:v>YES</x:v>
      </x:c>
      <x:c r="I419" s="29" t="str">
        <x:v>primary-airport endpoints; great-circle screen</x:v>
      </x:c>
      <x:c r="J419" s="29" t="str">
        <x:v>presence does not prove operability or capacity</x:v>
      </x:c>
    </x:row>
    <x:row r="420" ht="54" hidden="0" customHeight="1">
      <x:c r="A420" s="27" t="str">
        <x:v>SCA-04</x:v>
      </x:c>
      <x:c r="B420" s="27" t="str">
        <x:v>SCA-12</x:v>
      </x:c>
      <x:c r="C420" s="27" t="str">
        <x:v>Water</x:v>
      </x:c>
      <x:c r="D420" s="27" t="str">
        <x:v>NO</x:v>
      </x:c>
      <x:c r="E420" s="27" t="str">
        <x:v>NO</x:v>
      </x:c>
      <x:c r="F420" s="61"/>
      <x:c r="G420" s="61"/>
      <x:c r="H420" s="27" t="str">
        <x:v>NO</x:v>
      </x:c>
      <x:c r="I420" s="27" t="str">
        <x:v>no screened path</x:v>
      </x:c>
      <x:c r="J420" s="27" t="str">
        <x:v>presence does not prove operability or capacity</x:v>
      </x:c>
    </x:row>
    <x:row r="421" ht="54" hidden="0" customHeight="1">
      <x:c r="A421" s="29" t="str">
        <x:v>SCA-04</x:v>
      </x:c>
      <x:c r="B421" s="29" t="str">
        <x:v>SCA-13</x:v>
      </x:c>
      <x:c r="C421" s="29" t="str">
        <x:v>Road</x:v>
      </x:c>
      <x:c r="D421" s="29" t="str">
        <x:v>NO</x:v>
      </x:c>
      <x:c r="E421" s="29" t="str">
        <x:v>NO</x:v>
      </x:c>
      <x:c r="F421" s="62"/>
      <x:c r="G421" s="62"/>
      <x:c r="H421" s="29" t="str">
        <x:v>NO</x:v>
      </x:c>
      <x:c r="I421" s="29" t="str">
        <x:v>no screened path</x:v>
      </x:c>
      <x:c r="J421" s="29" t="str">
        <x:v>presence does not prove operability or capacity</x:v>
      </x:c>
    </x:row>
    <x:row r="422" ht="64.80000305175781" hidden="0" customHeight="1">
      <x:c r="A422" s="27" t="str">
        <x:v>SCA-04</x:v>
      </x:c>
      <x:c r="B422" s="27" t="str">
        <x:v>SCA-13</x:v>
      </x:c>
      <x:c r="C422" s="27" t="str">
        <x:v>Rail</x:v>
      </x:c>
      <x:c r="D422" s="27" t="str">
        <x:v>YES</x:v>
      </x:c>
      <x:c r="E422" s="27" t="str">
        <x:v>YES</x:v>
      </x:c>
      <x:c r="F422" s="61" t="n">
        <x:v>3076.6416714220627</x:v>
      </x:c>
      <x:c r="G422" s="61" t="n">
        <x:v>69.95202387745803</x:v>
      </x:c>
      <x:c r="H422" s="27" t="str">
        <x:v>YES</x:v>
      </x:c>
      <x:c r="I422" s="27" t="str">
        <x:v>NARN shared-node topology; deployable terminal required</x:v>
      </x:c>
      <x:c r="J422" s="27" t="str">
        <x:v>presence does not prove operability or capacity</x:v>
      </x:c>
    </x:row>
    <x:row r="423" ht="54" hidden="0" customHeight="1">
      <x:c r="A423" s="29" t="str">
        <x:v>SCA-04</x:v>
      </x:c>
      <x:c r="B423" s="29" t="str">
        <x:v>SCA-13</x:v>
      </x:c>
      <x:c r="C423" s="29" t="str">
        <x:v>Air</x:v>
      </x:c>
      <x:c r="D423" s="29" t="str">
        <x:v>YES</x:v>
      </x:c>
      <x:c r="E423" s="29" t="str">
        <x:v>YES</x:v>
      </x:c>
      <x:c r="F423" s="62" t="n">
        <x:v>2329.8116443313156</x:v>
      </x:c>
      <x:c r="G423" s="62" t="n">
        <x:v>27.584325606663562</x:v>
      </x:c>
      <x:c r="H423" s="29" t="str">
        <x:v>YES</x:v>
      </x:c>
      <x:c r="I423" s="29" t="str">
        <x:v>primary-airport endpoints; great-circle screen</x:v>
      </x:c>
      <x:c r="J423" s="29" t="str">
        <x:v>presence does not prove operability or capacity</x:v>
      </x:c>
    </x:row>
    <x:row r="424" ht="75.5999984741211" hidden="0" customHeight="1">
      <x:c r="A424" s="27" t="str">
        <x:v>SCA-04</x:v>
      </x:c>
      <x:c r="B424" s="27" t="str">
        <x:v>SCA-13</x:v>
      </x:c>
      <x:c r="C424" s="27" t="str">
        <x:v>Water</x:v>
      </x:c>
      <x:c r="D424" s="27" t="str">
        <x:v>YES</x:v>
      </x:c>
      <x:c r="E424" s="27" t="str">
        <x:v>YES</x:v>
      </x:c>
      <x:c r="F424" s="61" t="n">
        <x:v>7738.109680393751</x:v>
      </x:c>
      <x:c r="G424" s="61" t="n">
        <x:v>251.08884801125</x:v>
      </x:c>
      <x:c r="H424" s="27" t="str">
        <x:v>NO</x:v>
      </x:c>
      <x:c r="I424" s="27" t="str">
        <x:v>USACE waterway node topology; deployable terminal required</x:v>
      </x:c>
      <x:c r="J424" s="27" t="str">
        <x:v>presence does not prove operability or capacity</x:v>
      </x:c>
    </x:row>
    <x:row r="425" ht="54" hidden="0" customHeight="1">
      <x:c r="A425" s="29" t="str">
        <x:v>SCA-04</x:v>
      </x:c>
      <x:c r="B425" s="29" t="str">
        <x:v>SCA-14</x:v>
      </x:c>
      <x:c r="C425" s="29" t="str">
        <x:v>Road</x:v>
      </x:c>
      <x:c r="D425" s="29" t="str">
        <x:v>NO</x:v>
      </x:c>
      <x:c r="E425" s="29" t="str">
        <x:v>NO</x:v>
      </x:c>
      <x:c r="F425" s="62"/>
      <x:c r="G425" s="62"/>
      <x:c r="H425" s="29" t="str">
        <x:v>NO</x:v>
      </x:c>
      <x:c r="I425" s="29" t="str">
        <x:v>no screened path</x:v>
      </x:c>
      <x:c r="J425" s="29" t="str">
        <x:v>presence does not prove operability or capacity</x:v>
      </x:c>
    </x:row>
    <x:row r="426" ht="64.80000305175781" hidden="0" customHeight="1">
      <x:c r="A426" s="27" t="str">
        <x:v>SCA-04</x:v>
      </x:c>
      <x:c r="B426" s="27" t="str">
        <x:v>SCA-14</x:v>
      </x:c>
      <x:c r="C426" s="27" t="str">
        <x:v>Rail</x:v>
      </x:c>
      <x:c r="D426" s="27" t="str">
        <x:v>YES</x:v>
      </x:c>
      <x:c r="E426" s="27" t="str">
        <x:v>YES</x:v>
      </x:c>
      <x:c r="F426" s="61" t="n">
        <x:v>3504.771299897781</x:v>
      </x:c>
      <x:c r="G426" s="61" t="n">
        <x:v>76.06816142711116</x:v>
      </x:c>
      <x:c r="H426" s="27" t="str">
        <x:v>NO</x:v>
      </x:c>
      <x:c r="I426" s="27" t="str">
        <x:v>NARN shared-node topology; deployable terminal required</x:v>
      </x:c>
      <x:c r="J426" s="27" t="str">
        <x:v>presence does not prove operability or capacity</x:v>
      </x:c>
    </x:row>
    <x:row r="427" ht="54" hidden="0" customHeight="1">
      <x:c r="A427" s="29" t="str">
        <x:v>SCA-04</x:v>
      </x:c>
      <x:c r="B427" s="29" t="str">
        <x:v>SCA-14</x:v>
      </x:c>
      <x:c r="C427" s="29" t="str">
        <x:v>Air</x:v>
      </x:c>
      <x:c r="D427" s="29" t="str">
        <x:v>YES</x:v>
      </x:c>
      <x:c r="E427" s="29" t="str">
        <x:v>YES</x:v>
      </x:c>
      <x:c r="F427" s="62" t="n">
        <x:v>2524.6210864844356</x:v>
      </x:c>
      <x:c r="G427" s="62" t="n">
        <x:v>27.884032440745287</x:v>
      </x:c>
      <x:c r="H427" s="29" t="str">
        <x:v>YES</x:v>
      </x:c>
      <x:c r="I427" s="29" t="str">
        <x:v>primary-airport endpoints; great-circle screen</x:v>
      </x:c>
      <x:c r="J427" s="29" t="str">
        <x:v>presence does not prove operability or capacity</x:v>
      </x:c>
    </x:row>
    <x:row r="428" ht="75.5999984741211" hidden="0" customHeight="1">
      <x:c r="A428" s="27" t="str">
        <x:v>SCA-04</x:v>
      </x:c>
      <x:c r="B428" s="27" t="str">
        <x:v>SCA-14</x:v>
      </x:c>
      <x:c r="C428" s="27" t="str">
        <x:v>Water</x:v>
      </x:c>
      <x:c r="D428" s="27" t="str">
        <x:v>YES</x:v>
      </x:c>
      <x:c r="E428" s="27" t="str">
        <x:v>YES</x:v>
      </x:c>
      <x:c r="F428" s="61" t="n">
        <x:v>7686.115667947071</x:v>
      </x:c>
      <x:c r="G428" s="61" t="n">
        <x:v>249.60330479848776</x:v>
      </x:c>
      <x:c r="H428" s="27" t="str">
        <x:v>NO</x:v>
      </x:c>
      <x:c r="I428" s="27" t="str">
        <x:v>USACE waterway node topology; deployable terminal required</x:v>
      </x:c>
      <x:c r="J428" s="27" t="str">
        <x:v>presence does not prove operability or capacity</x:v>
      </x:c>
    </x:row>
    <x:row r="429" ht="54" hidden="0" customHeight="1">
      <x:c r="A429" s="29" t="str">
        <x:v>SCA-04</x:v>
      </x:c>
      <x:c r="B429" s="29" t="str">
        <x:v>SCA-15</x:v>
      </x:c>
      <x:c r="C429" s="29" t="str">
        <x:v>Road</x:v>
      </x:c>
      <x:c r="D429" s="29" t="str">
        <x:v>YES</x:v>
      </x:c>
      <x:c r="E429" s="29" t="str">
        <x:v>YES</x:v>
      </x:c>
      <x:c r="F429" s="62" t="n">
        <x:v>2819.8703992607175</x:v>
      </x:c>
      <x:c r="G429" s="62" t="n">
        <x:v>71.2703708956494</x:v>
      </x:c>
      <x:c r="H429" s="29" t="str">
        <x:v>YES</x:v>
      </x:c>
      <x:c r="I429" s="29" t="str">
        <x:v>NHPN-gated shared-boundary SCA path</x:v>
      </x:c>
      <x:c r="J429" s="29" t="str">
        <x:v>presence does not prove operability or capacity</x:v>
      </x:c>
    </x:row>
    <x:row r="430" ht="64.80000305175781" hidden="0" customHeight="1">
      <x:c r="A430" s="27" t="str">
        <x:v>SCA-04</x:v>
      </x:c>
      <x:c r="B430" s="27" t="str">
        <x:v>SCA-15</x:v>
      </x:c>
      <x:c r="C430" s="27" t="str">
        <x:v>Rail</x:v>
      </x:c>
      <x:c r="D430" s="27" t="str">
        <x:v>YES</x:v>
      </x:c>
      <x:c r="E430" s="27" t="str">
        <x:v>YES</x:v>
      </x:c>
      <x:c r="F430" s="61" t="n">
        <x:v>3115.7102548092644</x:v>
      </x:c>
      <x:c r="G430" s="61" t="n">
        <x:v>70.5101464972752</x:v>
      </x:c>
      <x:c r="H430" s="27" t="str">
        <x:v>YES</x:v>
      </x:c>
      <x:c r="I430" s="27" t="str">
        <x:v>NARN shared-node topology; deployable terminal required</x:v>
      </x:c>
      <x:c r="J430" s="27" t="str">
        <x:v>presence does not prove operability or capacity</x:v>
      </x:c>
    </x:row>
    <x:row r="431" ht="54" hidden="0" customHeight="1">
      <x:c r="A431" s="29" t="str">
        <x:v>SCA-04</x:v>
      </x:c>
      <x:c r="B431" s="29" t="str">
        <x:v>SCA-15</x:v>
      </x:c>
      <x:c r="C431" s="29" t="str">
        <x:v>Air</x:v>
      </x:c>
      <x:c r="D431" s="29" t="str">
        <x:v>YES</x:v>
      </x:c>
      <x:c r="E431" s="29" t="str">
        <x:v>YES</x:v>
      </x:c>
      <x:c r="F431" s="62" t="n">
        <x:v>2309.039597877007</x:v>
      </x:c>
      <x:c r="G431" s="62" t="n">
        <x:v>27.55236861211847</x:v>
      </x:c>
      <x:c r="H431" s="29" t="str">
        <x:v>YES</x:v>
      </x:c>
      <x:c r="I431" s="29" t="str">
        <x:v>primary-airport endpoints; great-circle screen</x:v>
      </x:c>
      <x:c r="J431" s="29" t="str">
        <x:v>presence does not prove operability or capacity</x:v>
      </x:c>
    </x:row>
    <x:row r="432" ht="75.5999984741211" hidden="0" customHeight="1">
      <x:c r="A432" s="27" t="str">
        <x:v>SCA-04</x:v>
      </x:c>
      <x:c r="B432" s="27" t="str">
        <x:v>SCA-15</x:v>
      </x:c>
      <x:c r="C432" s="27" t="str">
        <x:v>Water</x:v>
      </x:c>
      <x:c r="D432" s="27" t="str">
        <x:v>YES</x:v>
      </x:c>
      <x:c r="E432" s="27" t="str">
        <x:v>YES</x:v>
      </x:c>
      <x:c r="F432" s="61" t="n">
        <x:v>7778.709891179142</x:v>
      </x:c>
      <x:c r="G432" s="61" t="n">
        <x:v>252.24885403368975</x:v>
      </x:c>
      <x:c r="H432" s="27" t="str">
        <x:v>NO</x:v>
      </x:c>
      <x:c r="I432" s="27" t="str">
        <x:v>USACE waterway node topology; deployable terminal required</x:v>
      </x:c>
      <x:c r="J432" s="27" t="str">
        <x:v>presence does not prove operability or capacity</x:v>
      </x:c>
    </x:row>
    <x:row r="433" ht="54" hidden="0" customHeight="1">
      <x:c r="A433" s="29" t="str">
        <x:v>SCA-04</x:v>
      </x:c>
      <x:c r="B433" s="29" t="str">
        <x:v>SCA-16</x:v>
      </x:c>
      <x:c r="C433" s="29" t="str">
        <x:v>Road</x:v>
      </x:c>
      <x:c r="D433" s="29" t="str">
        <x:v>YES</x:v>
      </x:c>
      <x:c r="E433" s="29" t="str">
        <x:v>YES</x:v>
      </x:c>
      <x:c r="F433" s="62" t="n">
        <x:v>3083.178693501642</x:v>
      </x:c>
      <x:c r="G433" s="62" t="n">
        <x:v>76.05779442730258</x:v>
      </x:c>
      <x:c r="H433" s="29" t="str">
        <x:v>NO</x:v>
      </x:c>
      <x:c r="I433" s="29" t="str">
        <x:v>NHPN-gated shared-boundary SCA path</x:v>
      </x:c>
      <x:c r="J433" s="29" t="str">
        <x:v>presence does not prove operability or capacity</x:v>
      </x:c>
    </x:row>
    <x:row r="434" ht="64.80000305175781" hidden="0" customHeight="1">
      <x:c r="A434" s="27" t="str">
        <x:v>SCA-04</x:v>
      </x:c>
      <x:c r="B434" s="27" t="str">
        <x:v>SCA-16</x:v>
      </x:c>
      <x:c r="C434" s="27" t="str">
        <x:v>Rail</x:v>
      </x:c>
      <x:c r="D434" s="27" t="str">
        <x:v>YES</x:v>
      </x:c>
      <x:c r="E434" s="27" t="str">
        <x:v>YES</x:v>
      </x:c>
      <x:c r="F434" s="61" t="n">
        <x:v>3308.974503808215</x:v>
      </x:c>
      <x:c r="G434" s="61" t="n">
        <x:v>73.27106434011736</x:v>
      </x:c>
      <x:c r="H434" s="27" t="str">
        <x:v>NO</x:v>
      </x:c>
      <x:c r="I434" s="27" t="str">
        <x:v>NARN shared-node topology; deployable terminal required</x:v>
      </x:c>
      <x:c r="J434" s="27" t="str">
        <x:v>presence does not prove operability or capacity</x:v>
      </x:c>
    </x:row>
    <x:row r="435" ht="54" hidden="0" customHeight="1">
      <x:c r="A435" s="29" t="str">
        <x:v>SCA-04</x:v>
      </x:c>
      <x:c r="B435" s="29" t="str">
        <x:v>SCA-16</x:v>
      </x:c>
      <x:c r="C435" s="29" t="str">
        <x:v>Air</x:v>
      </x:c>
      <x:c r="D435" s="29" t="str">
        <x:v>YES</x:v>
      </x:c>
      <x:c r="E435" s="29" t="str">
        <x:v>YES</x:v>
      </x:c>
      <x:c r="F435" s="62" t="n">
        <x:v>2220.9763076474305</x:v>
      </x:c>
      <x:c r="G435" s="62" t="n">
        <x:v>27.416886627149893</x:v>
      </x:c>
      <x:c r="H435" s="29" t="str">
        <x:v>YES</x:v>
      </x:c>
      <x:c r="I435" s="29" t="str">
        <x:v>primary-airport endpoints; great-circle screen</x:v>
      </x:c>
      <x:c r="J435" s="29" t="str">
        <x:v>presence does not prove operability or capacity</x:v>
      </x:c>
    </x:row>
    <x:row r="436" ht="75.5999984741211" hidden="0" customHeight="1">
      <x:c r="A436" s="27" t="str">
        <x:v>SCA-04</x:v>
      </x:c>
      <x:c r="B436" s="27" t="str">
        <x:v>SCA-16</x:v>
      </x:c>
      <x:c r="C436" s="27" t="str">
        <x:v>Water</x:v>
      </x:c>
      <x:c r="D436" s="27" t="str">
        <x:v>YES</x:v>
      </x:c>
      <x:c r="E436" s="27" t="str">
        <x:v>YES</x:v>
      </x:c>
      <x:c r="F436" s="61" t="n">
        <x:v>7971.6571636003555</x:v>
      </x:c>
      <x:c r="G436" s="61" t="n">
        <x:v>257.76163324572445</x:v>
      </x:c>
      <x:c r="H436" s="27" t="str">
        <x:v>NO</x:v>
      </x:c>
      <x:c r="I436" s="27" t="str">
        <x:v>USACE waterway node topology; deployable terminal required</x:v>
      </x:c>
      <x:c r="J436" s="27" t="str">
        <x:v>presence does not prove operability or capacity</x:v>
      </x:c>
    </x:row>
    <x:row r="437" ht="54" hidden="0" customHeight="1">
      <x:c r="A437" s="29" t="str">
        <x:v>SCA-04</x:v>
      </x:c>
      <x:c r="B437" s="29" t="str">
        <x:v>SCA-17</x:v>
      </x:c>
      <x:c r="C437" s="29" t="str">
        <x:v>Road</x:v>
      </x:c>
      <x:c r="D437" s="29" t="str">
        <x:v>YES</x:v>
      </x:c>
      <x:c r="E437" s="29" t="str">
        <x:v>YES</x:v>
      </x:c>
      <x:c r="F437" s="62" t="n">
        <x:v>3288.6827920836886</x:v>
      </x:c>
      <x:c r="G437" s="62" t="n">
        <x:v>79.79423258333979</x:v>
      </x:c>
      <x:c r="H437" s="29" t="str">
        <x:v>NO</x:v>
      </x:c>
      <x:c r="I437" s="29" t="str">
        <x:v>NHPN-gated shared-boundary SCA path</x:v>
      </x:c>
      <x:c r="J437" s="29" t="str">
        <x:v>presence does not prove operability or capacity</x:v>
      </x:c>
    </x:row>
    <x:row r="438" ht="64.80000305175781" hidden="0" customHeight="1">
      <x:c r="A438" s="27" t="str">
        <x:v>SCA-04</x:v>
      </x:c>
      <x:c r="B438" s="27" t="str">
        <x:v>SCA-17</x:v>
      </x:c>
      <x:c r="C438" s="27" t="str">
        <x:v>Rail</x:v>
      </x:c>
      <x:c r="D438" s="27" t="str">
        <x:v>YES</x:v>
      </x:c>
      <x:c r="E438" s="27" t="str">
        <x:v>YES</x:v>
      </x:c>
      <x:c r="F438" s="61" t="n">
        <x:v>3535.2933948598675</x:v>
      </x:c>
      <x:c r="G438" s="61" t="n">
        <x:v>76.50419135514096</x:v>
      </x:c>
      <x:c r="H438" s="27" t="str">
        <x:v>NO</x:v>
      </x:c>
      <x:c r="I438" s="27" t="str">
        <x:v>NARN shared-node topology; deployable terminal required</x:v>
      </x:c>
      <x:c r="J438" s="27" t="str">
        <x:v>presence does not prove operability or capacity</x:v>
      </x:c>
    </x:row>
    <x:row r="439" ht="54" hidden="0" customHeight="1">
      <x:c r="A439" s="29" t="str">
        <x:v>SCA-04</x:v>
      </x:c>
      <x:c r="B439" s="29" t="str">
        <x:v>SCA-17</x:v>
      </x:c>
      <x:c r="C439" s="29" t="str">
        <x:v>Air</x:v>
      </x:c>
      <x:c r="D439" s="29" t="str">
        <x:v>YES</x:v>
      </x:c>
      <x:c r="E439" s="29" t="str">
        <x:v>YES</x:v>
      </x:c>
      <x:c r="F439" s="62" t="n">
        <x:v>2658.6254428574425</x:v>
      </x:c>
      <x:c r="G439" s="62" t="n">
        <x:v>28.09019298901145</x:v>
      </x:c>
      <x:c r="H439" s="29" t="str">
        <x:v>YES</x:v>
      </x:c>
      <x:c r="I439" s="29" t="str">
        <x:v>primary-airport endpoints; great-circle screen</x:v>
      </x:c>
      <x:c r="J439" s="29" t="str">
        <x:v>presence does not prove operability or capacity</x:v>
      </x:c>
    </x:row>
    <x:row r="440" ht="75.5999984741211" hidden="0" customHeight="1">
      <x:c r="A440" s="27" t="str">
        <x:v>SCA-04</x:v>
      </x:c>
      <x:c r="B440" s="27" t="str">
        <x:v>SCA-17</x:v>
      </x:c>
      <x:c r="C440" s="27" t="str">
        <x:v>Water</x:v>
      </x:c>
      <x:c r="D440" s="27" t="str">
        <x:v>YES</x:v>
      </x:c>
      <x:c r="E440" s="27" t="str">
        <x:v>YES</x:v>
      </x:c>
      <x:c r="F440" s="61" t="n">
        <x:v>7256.901314819661</x:v>
      </x:c>
      <x:c r="G440" s="61" t="n">
        <x:v>237.34003756627604</x:v>
      </x:c>
      <x:c r="H440" s="27" t="str">
        <x:v>NO</x:v>
      </x:c>
      <x:c r="I440" s="27" t="str">
        <x:v>USACE waterway node topology; deployable terminal required</x:v>
      </x:c>
      <x:c r="J440" s="27" t="str">
        <x:v>presence does not prove operability or capacity</x:v>
      </x:c>
    </x:row>
    <x:row r="441" ht="54" hidden="0" customHeight="1">
      <x:c r="A441" s="29" t="str">
        <x:v>SCA-04</x:v>
      </x:c>
      <x:c r="B441" s="29" t="str">
        <x:v>SCA-18</x:v>
      </x:c>
      <x:c r="C441" s="29" t="str">
        <x:v>Road</x:v>
      </x:c>
      <x:c r="D441" s="29" t="str">
        <x:v>YES</x:v>
      </x:c>
      <x:c r="E441" s="29" t="str">
        <x:v>YES</x:v>
      </x:c>
      <x:c r="F441" s="62" t="n">
        <x:v>2959.0962417072196</x:v>
      </x:c>
      <x:c r="G441" s="62" t="n">
        <x:v>73.80174984922218</x:v>
      </x:c>
      <x:c r="H441" s="29" t="str">
        <x:v>NO</x:v>
      </x:c>
      <x:c r="I441" s="29" t="str">
        <x:v>NHPN-gated shared-boundary SCA path</x:v>
      </x:c>
      <x:c r="J441" s="29" t="str">
        <x:v>presence does not prove operability or capacity</x:v>
      </x:c>
    </x:row>
    <x:row r="442" ht="64.80000305175781" hidden="0" customHeight="1">
      <x:c r="A442" s="27" t="str">
        <x:v>SCA-04</x:v>
      </x:c>
      <x:c r="B442" s="27" t="str">
        <x:v>SCA-18</x:v>
      </x:c>
      <x:c r="C442" s="27" t="str">
        <x:v>Rail</x:v>
      </x:c>
      <x:c r="D442" s="27" t="str">
        <x:v>YES</x:v>
      </x:c>
      <x:c r="E442" s="27" t="str">
        <x:v>YES</x:v>
      </x:c>
      <x:c r="F442" s="61" t="n">
        <x:v>3139.2151433763547</x:v>
      </x:c>
      <x:c r="G442" s="61" t="n">
        <x:v>70.84593061966221</x:v>
      </x:c>
      <x:c r="H442" s="27" t="str">
        <x:v>YES</x:v>
      </x:c>
      <x:c r="I442" s="27" t="str">
        <x:v>NARN shared-node topology; deployable terminal required</x:v>
      </x:c>
      <x:c r="J442" s="27" t="str">
        <x:v>presence does not prove operability or capacity</x:v>
      </x:c>
    </x:row>
    <x:row r="443" ht="54" hidden="0" customHeight="1">
      <x:c r="A443" s="29" t="str">
        <x:v>SCA-04</x:v>
      </x:c>
      <x:c r="B443" s="29" t="str">
        <x:v>SCA-18</x:v>
      </x:c>
      <x:c r="C443" s="29" t="str">
        <x:v>Air</x:v>
      </x:c>
      <x:c r="D443" s="29" t="str">
        <x:v>YES</x:v>
      </x:c>
      <x:c r="E443" s="29" t="str">
        <x:v>YES</x:v>
      </x:c>
      <x:c r="F443" s="62" t="n">
        <x:v>2401.1905282186076</x:v>
      </x:c>
      <x:c r="G443" s="62" t="n">
        <x:v>27.694139274182472</x:v>
      </x:c>
      <x:c r="H443" s="29" t="str">
        <x:v>YES</x:v>
      </x:c>
      <x:c r="I443" s="29" t="str">
        <x:v>primary-airport endpoints; great-circle screen</x:v>
      </x:c>
      <x:c r="J443" s="29" t="str">
        <x:v>presence does not prove operability or capacity</x:v>
      </x:c>
    </x:row>
    <x:row r="444" ht="75.5999984741211" hidden="0" customHeight="1">
      <x:c r="A444" s="27" t="str">
        <x:v>SCA-04</x:v>
      </x:c>
      <x:c r="B444" s="27" t="str">
        <x:v>SCA-18</x:v>
      </x:c>
      <x:c r="C444" s="27" t="str">
        <x:v>Water</x:v>
      </x:c>
      <x:c r="D444" s="27" t="str">
        <x:v>YES</x:v>
      </x:c>
      <x:c r="E444" s="27" t="str">
        <x:v>YES</x:v>
      </x:c>
      <x:c r="F444" s="61" t="n">
        <x:v>8941.89411945779</x:v>
      </x:c>
      <x:c r="G444" s="61" t="n">
        <x:v>285.4826891273654</x:v>
      </x:c>
      <x:c r="H444" s="27" t="str">
        <x:v>NO</x:v>
      </x:c>
      <x:c r="I444" s="27" t="str">
        <x:v>USACE waterway node topology; deployable terminal required</x:v>
      </x:c>
      <x:c r="J444" s="27" t="str">
        <x:v>presence does not prove operability or capacity</x:v>
      </x:c>
    </x:row>
    <x:row r="445" ht="54" hidden="0" customHeight="1">
      <x:c r="A445" s="29" t="str">
        <x:v>SCA-04</x:v>
      </x:c>
      <x:c r="B445" s="29" t="str">
        <x:v>SCA-19</x:v>
      </x:c>
      <x:c r="C445" s="29" t="str">
        <x:v>Road</x:v>
      </x:c>
      <x:c r="D445" s="29" t="str">
        <x:v>YES</x:v>
      </x:c>
      <x:c r="E445" s="29" t="str">
        <x:v>YES</x:v>
      </x:c>
      <x:c r="F445" s="62" t="n">
        <x:v>3604.663867430658</x:v>
      </x:c>
      <x:c r="G445" s="62" t="n">
        <x:v>85.53934304419377</x:v>
      </x:c>
      <x:c r="H445" s="29" t="str">
        <x:v>NO</x:v>
      </x:c>
      <x:c r="I445" s="29" t="str">
        <x:v>NHPN-gated shared-boundary SCA path</x:v>
      </x:c>
      <x:c r="J445" s="29" t="str">
        <x:v>presence does not prove operability or capacity</x:v>
      </x:c>
    </x:row>
    <x:row r="446" ht="64.80000305175781" hidden="0" customHeight="1">
      <x:c r="A446" s="27" t="str">
        <x:v>SCA-04</x:v>
      </x:c>
      <x:c r="B446" s="27" t="str">
        <x:v>SCA-19</x:v>
      </x:c>
      <x:c r="C446" s="27" t="str">
        <x:v>Rail</x:v>
      </x:c>
      <x:c r="D446" s="27" t="str">
        <x:v>YES</x:v>
      </x:c>
      <x:c r="E446" s="27" t="str">
        <x:v>YES</x:v>
      </x:c>
      <x:c r="F446" s="61" t="n">
        <x:v>3862.202253541606</x:v>
      </x:c>
      <x:c r="G446" s="61" t="n">
        <x:v>81.17431790773722</x:v>
      </x:c>
      <x:c r="H446" s="27" t="str">
        <x:v>NO</x:v>
      </x:c>
      <x:c r="I446" s="27" t="str">
        <x:v>NARN shared-node topology; deployable terminal required</x:v>
      </x:c>
      <x:c r="J446" s="27" t="str">
        <x:v>presence does not prove operability or capacity</x:v>
      </x:c>
    </x:row>
    <x:row r="447" ht="54" hidden="0" customHeight="1">
      <x:c r="A447" s="29" t="str">
        <x:v>SCA-04</x:v>
      </x:c>
      <x:c r="B447" s="29" t="str">
        <x:v>SCA-19</x:v>
      </x:c>
      <x:c r="C447" s="29" t="str">
        <x:v>Air</x:v>
      </x:c>
      <x:c r="D447" s="29" t="str">
        <x:v>YES</x:v>
      </x:c>
      <x:c r="E447" s="29" t="str">
        <x:v>YES</x:v>
      </x:c>
      <x:c r="F447" s="62" t="n">
        <x:v>2654.9085690254196</x:v>
      </x:c>
      <x:c r="G447" s="62" t="n">
        <x:v>28.084474721577568</x:v>
      </x:c>
      <x:c r="H447" s="29" t="str">
        <x:v>YES</x:v>
      </x:c>
      <x:c r="I447" s="29" t="str">
        <x:v>primary-airport endpoints; great-circle screen</x:v>
      </x:c>
      <x:c r="J447" s="29" t="str">
        <x:v>presence does not prove operability or capacity</x:v>
      </x:c>
    </x:row>
    <x:row r="448" ht="75.5999984741211" hidden="0" customHeight="1">
      <x:c r="A448" s="27" t="str">
        <x:v>SCA-04</x:v>
      </x:c>
      <x:c r="B448" s="27" t="str">
        <x:v>SCA-19</x:v>
      </x:c>
      <x:c r="C448" s="27" t="str">
        <x:v>Water</x:v>
      </x:c>
      <x:c r="D448" s="27" t="str">
        <x:v>YES</x:v>
      </x:c>
      <x:c r="E448" s="27" t="str">
        <x:v>YES</x:v>
      </x:c>
      <x:c r="F448" s="61" t="n">
        <x:v>7740.612033877955</x:v>
      </x:c>
      <x:c r="G448" s="61" t="n">
        <x:v>251.16034382508442</x:v>
      </x:c>
      <x:c r="H448" s="27" t="str">
        <x:v>NO</x:v>
      </x:c>
      <x:c r="I448" s="27" t="str">
        <x:v>USACE waterway node topology; deployable terminal required</x:v>
      </x:c>
      <x:c r="J448" s="27" t="str">
        <x:v>presence does not prove operability or capacity</x:v>
      </x:c>
    </x:row>
    <x:row r="449" ht="54" hidden="0" customHeight="1">
      <x:c r="A449" s="29" t="str">
        <x:v>SCA-04</x:v>
      </x:c>
      <x:c r="B449" s="29" t="str">
        <x:v>SCA-20</x:v>
      </x:c>
      <x:c r="C449" s="29" t="str">
        <x:v>Road</x:v>
      </x:c>
      <x:c r="D449" s="29" t="str">
        <x:v>YES</x:v>
      </x:c>
      <x:c r="E449" s="29" t="str">
        <x:v>YES</x:v>
      </x:c>
      <x:c r="F449" s="62" t="n">
        <x:v>3542.863743941167</x:v>
      </x:c>
      <x:c r="G449" s="62" t="n">
        <x:v>84.41570443529395</x:v>
      </x:c>
      <x:c r="H449" s="29" t="str">
        <x:v>NO</x:v>
      </x:c>
      <x:c r="I449" s="29" t="str">
        <x:v>NHPN-gated shared-boundary SCA path</x:v>
      </x:c>
      <x:c r="J449" s="29" t="str">
        <x:v>presence does not prove operability or capacity</x:v>
      </x:c>
    </x:row>
    <x:row r="450" ht="64.80000305175781" hidden="0" customHeight="1">
      <x:c r="A450" s="27" t="str">
        <x:v>SCA-04</x:v>
      </x:c>
      <x:c r="B450" s="27" t="str">
        <x:v>SCA-20</x:v>
      </x:c>
      <x:c r="C450" s="27" t="str">
        <x:v>Rail</x:v>
      </x:c>
      <x:c r="D450" s="27" t="str">
        <x:v>YES</x:v>
      </x:c>
      <x:c r="E450" s="27" t="str">
        <x:v>YES</x:v>
      </x:c>
      <x:c r="F450" s="61" t="n">
        <x:v>3882.7118900354803</x:v>
      </x:c>
      <x:c r="G450" s="61" t="n">
        <x:v>81.46731271479257</x:v>
      </x:c>
      <x:c r="H450" s="27" t="str">
        <x:v>NO</x:v>
      </x:c>
      <x:c r="I450" s="27" t="str">
        <x:v>NARN shared-node topology; deployable terminal required</x:v>
      </x:c>
      <x:c r="J450" s="27" t="str">
        <x:v>presence does not prove operability or capacity</x:v>
      </x:c>
    </x:row>
    <x:row r="451" ht="54" hidden="0" customHeight="1">
      <x:c r="A451" s="29" t="str">
        <x:v>SCA-04</x:v>
      </x:c>
      <x:c r="B451" s="29" t="str">
        <x:v>SCA-20</x:v>
      </x:c>
      <x:c r="C451" s="29" t="str">
        <x:v>Air</x:v>
      </x:c>
      <x:c r="D451" s="29" t="str">
        <x:v>YES</x:v>
      </x:c>
      <x:c r="E451" s="29" t="str">
        <x:v>YES</x:v>
      </x:c>
      <x:c r="F451" s="62" t="n">
        <x:v>2853.0029461487047</x:v>
      </x:c>
      <x:c r="G451" s="62" t="n">
        <x:v>28.389235301767236</x:v>
      </x:c>
      <x:c r="H451" s="29" t="str">
        <x:v>YES</x:v>
      </x:c>
      <x:c r="I451" s="29" t="str">
        <x:v>primary-airport endpoints; great-circle screen</x:v>
      </x:c>
      <x:c r="J451" s="29" t="str">
        <x:v>presence does not prove operability or capacity</x:v>
      </x:c>
    </x:row>
    <x:row r="452" ht="75.5999984741211" hidden="0" customHeight="1">
      <x:c r="A452" s="27" t="str">
        <x:v>SCA-04</x:v>
      </x:c>
      <x:c r="B452" s="27" t="str">
        <x:v>SCA-20</x:v>
      </x:c>
      <x:c r="C452" s="27" t="str">
        <x:v>Water</x:v>
      </x:c>
      <x:c r="D452" s="27" t="str">
        <x:v>YES</x:v>
      </x:c>
      <x:c r="E452" s="27" t="str">
        <x:v>YES</x:v>
      </x:c>
      <x:c r="F452" s="61" t="n">
        <x:v>7071.065092865594</x:v>
      </x:c>
      <x:c r="G452" s="61" t="n">
        <x:v>232.03043122473127</x:v>
      </x:c>
      <x:c r="H452" s="27" t="str">
        <x:v>NO</x:v>
      </x:c>
      <x:c r="I452" s="27" t="str">
        <x:v>USACE waterway node topology; deployable terminal required</x:v>
      </x:c>
      <x:c r="J452" s="27" t="str">
        <x:v>presence does not prove operability or capacity</x:v>
      </x:c>
    </x:row>
    <x:row r="453" ht="54" hidden="0" customHeight="1">
      <x:c r="A453" s="29" t="str">
        <x:v>SCA-04</x:v>
      </x:c>
      <x:c r="B453" s="29" t="str">
        <x:v>SCA-21</x:v>
      </x:c>
      <x:c r="C453" s="29" t="str">
        <x:v>Road</x:v>
      </x:c>
      <x:c r="D453" s="29" t="str">
        <x:v>YES</x:v>
      </x:c>
      <x:c r="E453" s="29" t="str">
        <x:v>YES</x:v>
      </x:c>
      <x:c r="F453" s="62" t="n">
        <x:v>3600.6977878130847</x:v>
      </x:c>
      <x:c r="G453" s="62" t="n">
        <x:v>85.46723250569245</x:v>
      </x:c>
      <x:c r="H453" s="29" t="str">
        <x:v>NO</x:v>
      </x:c>
      <x:c r="I453" s="29" t="str">
        <x:v>NHPN-gated shared-boundary SCA path</x:v>
      </x:c>
      <x:c r="J453" s="29" t="str">
        <x:v>presence does not prove operability or capacity</x:v>
      </x:c>
    </x:row>
    <x:row r="454" ht="64.80000305175781" hidden="0" customHeight="1">
      <x:c r="A454" s="27" t="str">
        <x:v>SCA-04</x:v>
      </x:c>
      <x:c r="B454" s="27" t="str">
        <x:v>SCA-21</x:v>
      </x:c>
      <x:c r="C454" s="27" t="str">
        <x:v>Rail</x:v>
      </x:c>
      <x:c r="D454" s="27" t="str">
        <x:v>YES</x:v>
      </x:c>
      <x:c r="E454" s="27" t="str">
        <x:v>YES</x:v>
      </x:c>
      <x:c r="F454" s="61" t="n">
        <x:v>3819.87069663649</x:v>
      </x:c>
      <x:c r="G454" s="61" t="n">
        <x:v>80.56958138052129</x:v>
      </x:c>
      <x:c r="H454" s="27" t="str">
        <x:v>NO</x:v>
      </x:c>
      <x:c r="I454" s="27" t="str">
        <x:v>NARN shared-node topology; deployable terminal required</x:v>
      </x:c>
      <x:c r="J454" s="27" t="str">
        <x:v>presence does not prove operability or capacity</x:v>
      </x:c>
    </x:row>
    <x:row r="455" ht="54" hidden="0" customHeight="1">
      <x:c r="A455" s="29" t="str">
        <x:v>SCA-04</x:v>
      </x:c>
      <x:c r="B455" s="29" t="str">
        <x:v>SCA-21</x:v>
      </x:c>
      <x:c r="C455" s="29" t="str">
        <x:v>Air</x:v>
      </x:c>
      <x:c r="D455" s="29" t="str">
        <x:v>YES</x:v>
      </x:c>
      <x:c r="E455" s="29" t="str">
        <x:v>YES</x:v>
      </x:c>
      <x:c r="F455" s="62" t="n">
        <x:v>2867.4382104426472</x:v>
      </x:c>
      <x:c r="G455" s="62" t="n">
        <x:v>28.411443400680994</x:v>
      </x:c>
      <x:c r="H455" s="29" t="str">
        <x:v>YES</x:v>
      </x:c>
      <x:c r="I455" s="29" t="str">
        <x:v>primary-airport endpoints; great-circle screen</x:v>
      </x:c>
      <x:c r="J455" s="29" t="str">
        <x:v>presence does not prove operability or capacity</x:v>
      </x:c>
    </x:row>
    <x:row r="456" ht="75.5999984741211" hidden="0" customHeight="1">
      <x:c r="A456" s="27" t="str">
        <x:v>SCA-04</x:v>
      </x:c>
      <x:c r="B456" s="27" t="str">
        <x:v>SCA-21</x:v>
      </x:c>
      <x:c r="C456" s="27" t="str">
        <x:v>Water</x:v>
      </x:c>
      <x:c r="D456" s="27" t="str">
        <x:v>YES</x:v>
      </x:c>
      <x:c r="E456" s="27" t="str">
        <x:v>YES</x:v>
      </x:c>
      <x:c r="F456" s="61" t="n">
        <x:v>8325.546835881549</x:v>
      </x:c>
      <x:c r="G456" s="61" t="n">
        <x:v>267.8727667394728</x:v>
      </x:c>
      <x:c r="H456" s="27" t="str">
        <x:v>NO</x:v>
      </x:c>
      <x:c r="I456" s="27" t="str">
        <x:v>USACE waterway node topology; deployable terminal required</x:v>
      </x:c>
      <x:c r="J456" s="27" t="str">
        <x:v>presence does not prove operability or capacity</x:v>
      </x:c>
    </x:row>
    <x:row r="457" ht="54" hidden="0" customHeight="1">
      <x:c r="A457" s="29" t="str">
        <x:v>SCA-04</x:v>
      </x:c>
      <x:c r="B457" s="29" t="str">
        <x:v>SCA-22</x:v>
      </x:c>
      <x:c r="C457" s="29" t="str">
        <x:v>Road</x:v>
      </x:c>
      <x:c r="D457" s="29" t="str">
        <x:v>YES</x:v>
      </x:c>
      <x:c r="E457" s="29" t="str">
        <x:v>YES</x:v>
      </x:c>
      <x:c r="F457" s="62" t="n">
        <x:v>4150.027525054666</x:v>
      </x:c>
      <x:c r="G457" s="62" t="n">
        <x:v>95.45504591008483</x:v>
      </x:c>
      <x:c r="H457" s="29" t="str">
        <x:v>NO</x:v>
      </x:c>
      <x:c r="I457" s="29" t="str">
        <x:v>NHPN-gated shared-boundary SCA path</x:v>
      </x:c>
      <x:c r="J457" s="29" t="str">
        <x:v>presence does not prove operability or capacity</x:v>
      </x:c>
    </x:row>
    <x:row r="458" ht="64.80000305175781" hidden="0" customHeight="1">
      <x:c r="A458" s="27" t="str">
        <x:v>SCA-04</x:v>
      </x:c>
      <x:c r="B458" s="27" t="str">
        <x:v>SCA-22</x:v>
      </x:c>
      <x:c r="C458" s="27" t="str">
        <x:v>Rail</x:v>
      </x:c>
      <x:c r="D458" s="27" t="str">
        <x:v>YES</x:v>
      </x:c>
      <x:c r="E458" s="27" t="str">
        <x:v>YES</x:v>
      </x:c>
      <x:c r="F458" s="61" t="n">
        <x:v>4402.63789614495</x:v>
      </x:c>
      <x:c r="G458" s="61" t="n">
        <x:v>88.89482708778499</x:v>
      </x:c>
      <x:c r="H458" s="27" t="str">
        <x:v>NO</x:v>
      </x:c>
      <x:c r="I458" s="27" t="str">
        <x:v>NARN shared-node topology; deployable terminal required</x:v>
      </x:c>
      <x:c r="J458" s="27" t="str">
        <x:v>presence does not prove operability or capacity</x:v>
      </x:c>
    </x:row>
    <x:row r="459" ht="54" hidden="0" customHeight="1">
      <x:c r="A459" s="29" t="str">
        <x:v>SCA-04</x:v>
      </x:c>
      <x:c r="B459" s="29" t="str">
        <x:v>SCA-22</x:v>
      </x:c>
      <x:c r="C459" s="29" t="str">
        <x:v>Air</x:v>
      </x:c>
      <x:c r="D459" s="29" t="str">
        <x:v>YES</x:v>
      </x:c>
      <x:c r="E459" s="29" t="str">
        <x:v>YES</x:v>
      </x:c>
      <x:c r="F459" s="62" t="n">
        <x:v>3137.928308811481</x:v>
      </x:c>
      <x:c r="G459" s="62" t="n">
        <x:v>28.827582013556125</x:v>
      </x:c>
      <x:c r="H459" s="29" t="str">
        <x:v>YES</x:v>
      </x:c>
      <x:c r="I459" s="29" t="str">
        <x:v>primary-airport endpoints; great-circle screen</x:v>
      </x:c>
      <x:c r="J459" s="29" t="str">
        <x:v>presence does not prove operability or capacity</x:v>
      </x:c>
    </x:row>
    <x:row r="460" ht="75.5999984741211" hidden="0" customHeight="1">
      <x:c r="A460" s="27" t="str">
        <x:v>SCA-04</x:v>
      </x:c>
      <x:c r="B460" s="27" t="str">
        <x:v>SCA-22</x:v>
      </x:c>
      <x:c r="C460" s="27" t="str">
        <x:v>Water</x:v>
      </x:c>
      <x:c r="D460" s="27" t="str">
        <x:v>YES</x:v>
      </x:c>
      <x:c r="E460" s="27" t="str">
        <x:v>YES</x:v>
      </x:c>
      <x:c r="F460" s="61" t="n">
        <x:v>7640.015024226489</x:v>
      </x:c>
      <x:c r="G460" s="61" t="n">
        <x:v>248.28614354932824</x:v>
      </x:c>
      <x:c r="H460" s="27" t="str">
        <x:v>NO</x:v>
      </x:c>
      <x:c r="I460" s="27" t="str">
        <x:v>USACE waterway node topology; deployable terminal required</x:v>
      </x:c>
      <x:c r="J460" s="27" t="str">
        <x:v>presence does not prove operability or capacity</x:v>
      </x:c>
    </x:row>
    <x:row r="461" ht="54" hidden="0" customHeight="1">
      <x:c r="A461" s="29" t="str">
        <x:v>SCA-04</x:v>
      </x:c>
      <x:c r="B461" s="29" t="str">
        <x:v>SCA-23</x:v>
      </x:c>
      <x:c r="C461" s="29" t="str">
        <x:v>Road</x:v>
      </x:c>
      <x:c r="D461" s="29" t="str">
        <x:v>YES</x:v>
      </x:c>
      <x:c r="E461" s="29" t="str">
        <x:v>YES</x:v>
      </x:c>
      <x:c r="F461" s="62" t="n">
        <x:v>4122.362737790362</x:v>
      </x:c>
      <x:c r="G461" s="62" t="n">
        <x:v>94.95204977800658</x:v>
      </x:c>
      <x:c r="H461" s="29" t="str">
        <x:v>NO</x:v>
      </x:c>
      <x:c r="I461" s="29" t="str">
        <x:v>NHPN-gated shared-boundary SCA path</x:v>
      </x:c>
      <x:c r="J461" s="29" t="str">
        <x:v>presence does not prove operability or capacity</x:v>
      </x:c>
    </x:row>
    <x:row r="462" ht="64.80000305175781" hidden="0" customHeight="1">
      <x:c r="A462" s="27" t="str">
        <x:v>SCA-04</x:v>
      </x:c>
      <x:c r="B462" s="27" t="str">
        <x:v>SCA-23</x:v>
      </x:c>
      <x:c r="C462" s="27" t="str">
        <x:v>Rail</x:v>
      </x:c>
      <x:c r="D462" s="27" t="str">
        <x:v>YES</x:v>
      </x:c>
      <x:c r="E462" s="27" t="str">
        <x:v>YES</x:v>
      </x:c>
      <x:c r="F462" s="61" t="n">
        <x:v>4497.484735684192</x:v>
      </x:c>
      <x:c r="G462" s="61" t="n">
        <x:v>90.2497819383456</x:v>
      </x:c>
      <x:c r="H462" s="27" t="str">
        <x:v>NO</x:v>
      </x:c>
      <x:c r="I462" s="27" t="str">
        <x:v>NARN shared-node topology; deployable terminal required</x:v>
      </x:c>
      <x:c r="J462" s="27" t="str">
        <x:v>presence does not prove operability or capacity</x:v>
      </x:c>
    </x:row>
    <x:row r="463" ht="54" hidden="0" customHeight="1">
      <x:c r="A463" s="29" t="str">
        <x:v>SCA-04</x:v>
      </x:c>
      <x:c r="B463" s="29" t="str">
        <x:v>SCA-23</x:v>
      </x:c>
      <x:c r="C463" s="29" t="str">
        <x:v>Air</x:v>
      </x:c>
      <x:c r="D463" s="29" t="str">
        <x:v>YES</x:v>
      </x:c>
      <x:c r="E463" s="29" t="str">
        <x:v>YES</x:v>
      </x:c>
      <x:c r="F463" s="62" t="n">
        <x:v>3339.097138043137</x:v>
      </x:c>
      <x:c r="G463" s="62" t="n">
        <x:v>29.137072520066365</x:v>
      </x:c>
      <x:c r="H463" s="29" t="str">
        <x:v>YES</x:v>
      </x:c>
      <x:c r="I463" s="29" t="str">
        <x:v>primary-airport endpoints; great-circle screen</x:v>
      </x:c>
      <x:c r="J463" s="29" t="str">
        <x:v>presence does not prove operability or capacity</x:v>
      </x:c>
    </x:row>
    <x:row r="464" ht="75.5999984741211" hidden="0" customHeight="1">
      <x:c r="A464" s="27" t="str">
        <x:v>SCA-04</x:v>
      </x:c>
      <x:c r="B464" s="27" t="str">
        <x:v>SCA-23</x:v>
      </x:c>
      <x:c r="C464" s="27" t="str">
        <x:v>Water</x:v>
      </x:c>
      <x:c r="D464" s="27" t="str">
        <x:v>YES</x:v>
      </x:c>
      <x:c r="E464" s="27" t="str">
        <x:v>YES</x:v>
      </x:c>
      <x:c r="F464" s="61" t="n">
        <x:v>6654.704013831705</x:v>
      </x:c>
      <x:c r="G464" s="61" t="n">
        <x:v>220.1344003951916</x:v>
      </x:c>
      <x:c r="H464" s="27" t="str">
        <x:v>NO</x:v>
      </x:c>
      <x:c r="I464" s="27" t="str">
        <x:v>USACE waterway node topology; deployable terminal required</x:v>
      </x:c>
      <x:c r="J464" s="27" t="str">
        <x:v>presence does not prove operability or capacity</x:v>
      </x:c>
    </x:row>
    <x:row r="465" ht="54" hidden="0" customHeight="1">
      <x:c r="A465" s="29" t="str">
        <x:v>SCA-04</x:v>
      </x:c>
      <x:c r="B465" s="29" t="str">
        <x:v>SCA-24</x:v>
      </x:c>
      <x:c r="C465" s="29" t="str">
        <x:v>Road</x:v>
      </x:c>
      <x:c r="D465" s="29" t="str">
        <x:v>YES</x:v>
      </x:c>
      <x:c r="E465" s="29" t="str">
        <x:v>YES</x:v>
      </x:c>
      <x:c r="F465" s="62" t="n">
        <x:v>3997.937840976122</x:v>
      </x:c>
      <x:c r="G465" s="62" t="n">
        <x:v>92.68977892683858</x:v>
      </x:c>
      <x:c r="H465" s="29" t="str">
        <x:v>NO</x:v>
      </x:c>
      <x:c r="I465" s="29" t="str">
        <x:v>NHPN-gated shared-boundary SCA path</x:v>
      </x:c>
      <x:c r="J465" s="29" t="str">
        <x:v>presence does not prove operability or capacity</x:v>
      </x:c>
    </x:row>
    <x:row r="466" ht="64.80000305175781" hidden="0" customHeight="1">
      <x:c r="A466" s="27" t="str">
        <x:v>SCA-04</x:v>
      </x:c>
      <x:c r="B466" s="27" t="str">
        <x:v>SCA-24</x:v>
      </x:c>
      <x:c r="C466" s="27" t="str">
        <x:v>Rail</x:v>
      </x:c>
      <x:c r="D466" s="27" t="str">
        <x:v>YES</x:v>
      </x:c>
      <x:c r="E466" s="27" t="str">
        <x:v>YES</x:v>
      </x:c>
      <x:c r="F466" s="61" t="n">
        <x:v>4241.290579122495</x:v>
      </x:c>
      <x:c r="G466" s="61" t="n">
        <x:v>86.58986541603565</x:v>
      </x:c>
      <x:c r="H466" s="27" t="str">
        <x:v>NO</x:v>
      </x:c>
      <x:c r="I466" s="27" t="str">
        <x:v>NARN shared-node topology; deployable terminal required</x:v>
      </x:c>
      <x:c r="J466" s="27" t="str">
        <x:v>presence does not prove operability or capacity</x:v>
      </x:c>
    </x:row>
    <x:row r="467" ht="54" hidden="0" customHeight="1">
      <x:c r="A467" s="29" t="str">
        <x:v>SCA-04</x:v>
      </x:c>
      <x:c r="B467" s="29" t="str">
        <x:v>SCA-24</x:v>
      </x:c>
      <x:c r="C467" s="29" t="str">
        <x:v>Air</x:v>
      </x:c>
      <x:c r="D467" s="29" t="str">
        <x:v>YES</x:v>
      </x:c>
      <x:c r="E467" s="29" t="str">
        <x:v>YES</x:v>
      </x:c>
      <x:c r="F467" s="62" t="n">
        <x:v>3210.073391259644</x:v>
      </x:c>
      <x:c r="G467" s="62" t="n">
        <x:v>28.93857444809176</x:v>
      </x:c>
      <x:c r="H467" s="29" t="str">
        <x:v>YES</x:v>
      </x:c>
      <x:c r="I467" s="29" t="str">
        <x:v>primary-airport endpoints; great-circle screen</x:v>
      </x:c>
      <x:c r="J467" s="29" t="str">
        <x:v>presence does not prove operability or capacity</x:v>
      </x:c>
    </x:row>
    <x:row r="468" ht="75.5999984741211" hidden="0" customHeight="1">
      <x:c r="A468" s="27" t="str">
        <x:v>SCA-04</x:v>
      </x:c>
      <x:c r="B468" s="27" t="str">
        <x:v>SCA-24</x:v>
      </x:c>
      <x:c r="C468" s="27" t="str">
        <x:v>Water</x:v>
      </x:c>
      <x:c r="D468" s="27" t="str">
        <x:v>YES</x:v>
      </x:c>
      <x:c r="E468" s="27" t="str">
        <x:v>YES</x:v>
      </x:c>
      <x:c r="F468" s="61" t="n">
        <x:v>8034.620395687303</x:v>
      </x:c>
      <x:c r="G468" s="61" t="n">
        <x:v>259.56058273392296</x:v>
      </x:c>
      <x:c r="H468" s="27" t="str">
        <x:v>NO</x:v>
      </x:c>
      <x:c r="I468" s="27" t="str">
        <x:v>USACE waterway node topology; deployable terminal required</x:v>
      </x:c>
      <x:c r="J468" s="27" t="str">
        <x:v>presence does not prove operability or capacity</x:v>
      </x:c>
    </x:row>
    <x:row r="469" ht="54" hidden="0" customHeight="1">
      <x:c r="A469" s="29" t="str">
        <x:v>SCA-04</x:v>
      </x:c>
      <x:c r="B469" s="29" t="str">
        <x:v>SCA-25</x:v>
      </x:c>
      <x:c r="C469" s="29" t="str">
        <x:v>Road</x:v>
      </x:c>
      <x:c r="D469" s="29" t="str">
        <x:v>YES</x:v>
      </x:c>
      <x:c r="E469" s="29" t="str">
        <x:v>YES</x:v>
      </x:c>
      <x:c r="F469" s="62" t="n">
        <x:v>4616.946917709802</x:v>
      </x:c>
      <x:c r="G469" s="62" t="n">
        <x:v>103.94448941290548</x:v>
      </x:c>
      <x:c r="H469" s="29" t="str">
        <x:v>NO</x:v>
      </x:c>
      <x:c r="I469" s="29" t="str">
        <x:v>NHPN-gated shared-boundary SCA path</x:v>
      </x:c>
      <x:c r="J469" s="29" t="str">
        <x:v>presence does not prove operability or capacity</x:v>
      </x:c>
    </x:row>
    <x:row r="470" ht="64.80000305175781" hidden="0" customHeight="1">
      <x:c r="A470" s="27" t="str">
        <x:v>SCA-04</x:v>
      </x:c>
      <x:c r="B470" s="27" t="str">
        <x:v>SCA-25</x:v>
      </x:c>
      <x:c r="C470" s="27" t="str">
        <x:v>Rail</x:v>
      </x:c>
      <x:c r="D470" s="27" t="str">
        <x:v>YES</x:v>
      </x:c>
      <x:c r="E470" s="27" t="str">
        <x:v>YES</x:v>
      </x:c>
      <x:c r="F470" s="61" t="n">
        <x:v>5022.174039598728</x:v>
      </x:c>
      <x:c r="G470" s="61" t="n">
        <x:v>97.74534342283897</x:v>
      </x:c>
      <x:c r="H470" s="27" t="str">
        <x:v>NO</x:v>
      </x:c>
      <x:c r="I470" s="27" t="str">
        <x:v>NARN shared-node topology; deployable terminal required</x:v>
      </x:c>
      <x:c r="J470" s="27" t="str">
        <x:v>presence does not prove operability or capacity</x:v>
      </x:c>
    </x:row>
    <x:row r="471" ht="54" hidden="0" customHeight="1">
      <x:c r="A471" s="29" t="str">
        <x:v>SCA-04</x:v>
      </x:c>
      <x:c r="B471" s="29" t="str">
        <x:v>SCA-25</x:v>
      </x:c>
      <x:c r="C471" s="29" t="str">
        <x:v>Air</x:v>
      </x:c>
      <x:c r="D471" s="29" t="str">
        <x:v>YES</x:v>
      </x:c>
      <x:c r="E471" s="29" t="str">
        <x:v>YES</x:v>
      </x:c>
      <x:c r="F471" s="62" t="n">
        <x:v>3689.1858478762847</x:v>
      </x:c>
      <x:c r="G471" s="62" t="n">
        <x:v>29.675670535194286</x:v>
      </x:c>
      <x:c r="H471" s="29" t="str">
        <x:v>YES</x:v>
      </x:c>
      <x:c r="I471" s="29" t="str">
        <x:v>primary-airport endpoints; great-circle screen</x:v>
      </x:c>
      <x:c r="J471" s="29" t="str">
        <x:v>presence does not prove operability or capacity</x:v>
      </x:c>
    </x:row>
    <x:row r="472" ht="75.5999984741211" hidden="0" customHeight="1">
      <x:c r="A472" s="27" t="str">
        <x:v>SCA-04</x:v>
      </x:c>
      <x:c r="B472" s="27" t="str">
        <x:v>SCA-25</x:v>
      </x:c>
      <x:c r="C472" s="27" t="str">
        <x:v>Water</x:v>
      </x:c>
      <x:c r="D472" s="27" t="str">
        <x:v>YES</x:v>
      </x:c>
      <x:c r="E472" s="27" t="str">
        <x:v>YES</x:v>
      </x:c>
      <x:c r="F472" s="61" t="n">
        <x:v>6104.210317921373</x:v>
      </x:c>
      <x:c r="G472" s="61" t="n">
        <x:v>204.40600908346778</x:v>
      </x:c>
      <x:c r="H472" s="27" t="str">
        <x:v>NO</x:v>
      </x:c>
      <x:c r="I472" s="27" t="str">
        <x:v>USACE waterway node topology; deployable terminal required</x:v>
      </x:c>
      <x:c r="J472" s="27" t="str">
        <x:v>presence does not prove operability or capacity</x:v>
      </x:c>
    </x:row>
    <x:row r="473" ht="54" hidden="0" customHeight="1">
      <x:c r="A473" s="29" t="str">
        <x:v>SCA-04</x:v>
      </x:c>
      <x:c r="B473" s="29" t="str">
        <x:v>SCA-26</x:v>
      </x:c>
      <x:c r="C473" s="29" t="str">
        <x:v>Road</x:v>
      </x:c>
      <x:c r="D473" s="29" t="str">
        <x:v>YES</x:v>
      </x:c>
      <x:c r="E473" s="29" t="str">
        <x:v>YES</x:v>
      </x:c>
      <x:c r="F473" s="62" t="n">
        <x:v>4945.446373474624</x:v>
      </x:c>
      <x:c r="G473" s="62" t="n">
        <x:v>109.91720679044771</x:v>
      </x:c>
      <x:c r="H473" s="29" t="str">
        <x:v>NO</x:v>
      </x:c>
      <x:c r="I473" s="29" t="str">
        <x:v>NHPN-gated shared-boundary SCA path</x:v>
      </x:c>
      <x:c r="J473" s="29" t="str">
        <x:v>presence does not prove operability or capacity</x:v>
      </x:c>
    </x:row>
    <x:row r="474" ht="64.80000305175781" hidden="0" customHeight="1">
      <x:c r="A474" s="27" t="str">
        <x:v>SCA-04</x:v>
      </x:c>
      <x:c r="B474" s="27" t="str">
        <x:v>SCA-26</x:v>
      </x:c>
      <x:c r="C474" s="27" t="str">
        <x:v>Rail</x:v>
      </x:c>
      <x:c r="D474" s="27" t="str">
        <x:v>YES</x:v>
      </x:c>
      <x:c r="E474" s="27" t="str">
        <x:v>YES</x:v>
      </x:c>
      <x:c r="F474" s="61" t="n">
        <x:v>5370.669114410104</x:v>
      </x:c>
      <x:c r="G474" s="61" t="n">
        <x:v>102.72384449157292</x:v>
      </x:c>
      <x:c r="H474" s="27" t="str">
        <x:v>NO</x:v>
      </x:c>
      <x:c r="I474" s="27" t="str">
        <x:v>NARN shared-node topology; deployable terminal required</x:v>
      </x:c>
      <x:c r="J474" s="27" t="str">
        <x:v>presence does not prove operability or capacity</x:v>
      </x:c>
    </x:row>
    <x:row r="475" ht="54" hidden="0" customHeight="1">
      <x:c r="A475" s="29" t="str">
        <x:v>SCA-04</x:v>
      </x:c>
      <x:c r="B475" s="29" t="str">
        <x:v>SCA-26</x:v>
      </x:c>
      <x:c r="C475" s="29" t="str">
        <x:v>Air</x:v>
      </x:c>
      <x:c r="D475" s="29" t="str">
        <x:v>YES</x:v>
      </x:c>
      <x:c r="E475" s="29" t="str">
        <x:v>YES</x:v>
      </x:c>
      <x:c r="F475" s="62" t="n">
        <x:v>3832.7644257312195</x:v>
      </x:c>
      <x:c r="G475" s="62" t="n">
        <x:v>29.896560654971108</x:v>
      </x:c>
      <x:c r="H475" s="29" t="str">
        <x:v>YES</x:v>
      </x:c>
      <x:c r="I475" s="29" t="str">
        <x:v>primary-airport endpoints; great-circle screen</x:v>
      </x:c>
      <x:c r="J475" s="29" t="str">
        <x:v>presence does not prove operability or capacity</x:v>
      </x:c>
    </x:row>
    <x:row r="476" ht="75.5999984741211" hidden="0" customHeight="1">
      <x:c r="A476" s="27" t="str">
        <x:v>SCA-04</x:v>
      </x:c>
      <x:c r="B476" s="27" t="str">
        <x:v>SCA-26</x:v>
      </x:c>
      <x:c r="C476" s="27" t="str">
        <x:v>Water</x:v>
      </x:c>
      <x:c r="D476" s="27" t="str">
        <x:v>YES</x:v>
      </x:c>
      <x:c r="E476" s="27" t="str">
        <x:v>YES</x:v>
      </x:c>
      <x:c r="F476" s="61" t="n">
        <x:v>5760.441836645282</x:v>
      </x:c>
      <x:c r="G476" s="61" t="n">
        <x:v>194.58405247557948</x:v>
      </x:c>
      <x:c r="H476" s="27" t="str">
        <x:v>NO</x:v>
      </x:c>
      <x:c r="I476" s="27" t="str">
        <x:v>USACE waterway node topology; deployable terminal required</x:v>
      </x:c>
      <x:c r="J476" s="27" t="str">
        <x:v>presence does not prove operability or capacity</x:v>
      </x:c>
    </x:row>
    <x:row r="477" ht="54" hidden="0" customHeight="1">
      <x:c r="A477" s="29" t="str">
        <x:v>SCA-04</x:v>
      </x:c>
      <x:c r="B477" s="29" t="str">
        <x:v>SCA-27</x:v>
      </x:c>
      <x:c r="C477" s="29" t="str">
        <x:v>Road</x:v>
      </x:c>
      <x:c r="D477" s="29" t="str">
        <x:v>YES</x:v>
      </x:c>
      <x:c r="E477" s="29" t="str">
        <x:v>YES</x:v>
      </x:c>
      <x:c r="F477" s="62" t="n">
        <x:v>5225.074637594173</x:v>
      </x:c>
      <x:c r="G477" s="62" t="n">
        <x:v>115.00135704716678</x:v>
      </x:c>
      <x:c r="H477" s="29" t="str">
        <x:v>NO</x:v>
      </x:c>
      <x:c r="I477" s="29" t="str">
        <x:v>NHPN-gated shared-boundary SCA path</x:v>
      </x:c>
      <x:c r="J477" s="29" t="str">
        <x:v>presence does not prove operability or capacity</x:v>
      </x:c>
    </x:row>
    <x:row r="478" ht="64.80000305175781" hidden="0" customHeight="1">
      <x:c r="A478" s="27" t="str">
        <x:v>SCA-04</x:v>
      </x:c>
      <x:c r="B478" s="27" t="str">
        <x:v>SCA-27</x:v>
      </x:c>
      <x:c r="C478" s="27" t="str">
        <x:v>Rail</x:v>
      </x:c>
      <x:c r="D478" s="27" t="str">
        <x:v>YES</x:v>
      </x:c>
      <x:c r="E478" s="27" t="str">
        <x:v>YES</x:v>
      </x:c>
      <x:c r="F478" s="61" t="n">
        <x:v>5667.318229389104</x:v>
      </x:c>
      <x:c r="G478" s="61" t="n">
        <x:v>106.96168899127292</x:v>
      </x:c>
      <x:c r="H478" s="27" t="str">
        <x:v>NO</x:v>
      </x:c>
      <x:c r="I478" s="27" t="str">
        <x:v>NARN shared-node topology; deployable terminal required</x:v>
      </x:c>
      <x:c r="J478" s="27" t="str">
        <x:v>presence does not prove operability or capacity</x:v>
      </x:c>
    </x:row>
    <x:row r="479" ht="54" hidden="0" customHeight="1">
      <x:c r="A479" s="29" t="str">
        <x:v>SCA-04</x:v>
      </x:c>
      <x:c r="B479" s="29" t="str">
        <x:v>SCA-27</x:v>
      </x:c>
      <x:c r="C479" s="29" t="str">
        <x:v>Air</x:v>
      </x:c>
      <x:c r="D479" s="29" t="str">
        <x:v>YES</x:v>
      </x:c>
      <x:c r="E479" s="29" t="str">
        <x:v>YES</x:v>
      </x:c>
      <x:c r="F479" s="62" t="n">
        <x:v>4047.1504366864456</x:v>
      </x:c>
      <x:c r="G479" s="62" t="n">
        <x:v>30.226385287209915</x:v>
      </x:c>
      <x:c r="H479" s="29" t="str">
        <x:v>YES</x:v>
      </x:c>
      <x:c r="I479" s="29" t="str">
        <x:v>primary-airport endpoints; great-circle screen</x:v>
      </x:c>
      <x:c r="J479" s="29" t="str">
        <x:v>presence does not prove operability or capacity</x:v>
      </x:c>
    </x:row>
    <x:row r="480" ht="75.5999984741211" hidden="0" customHeight="1">
      <x:c r="A480" s="27" t="str">
        <x:v>SCA-04</x:v>
      </x:c>
      <x:c r="B480" s="27" t="str">
        <x:v>SCA-27</x:v>
      </x:c>
      <x:c r="C480" s="27" t="str">
        <x:v>Water</x:v>
      </x:c>
      <x:c r="D480" s="27" t="str">
        <x:v>YES</x:v>
      </x:c>
      <x:c r="E480" s="27" t="str">
        <x:v>YES</x:v>
      </x:c>
      <x:c r="F480" s="61" t="n">
        <x:v>5449.20342092961</x:v>
      </x:c>
      <x:c r="G480" s="61" t="n">
        <x:v>185.69152631227456</x:v>
      </x:c>
      <x:c r="H480" s="27" t="str">
        <x:v>NO</x:v>
      </x:c>
      <x:c r="I480" s="27" t="str">
        <x:v>USACE waterway node topology; deployable terminal required</x:v>
      </x:c>
      <x:c r="J480" s="27" t="str">
        <x:v>presence does not prove operability or capacity</x:v>
      </x:c>
    </x:row>
    <x:row r="481" ht="54" hidden="0" customHeight="1">
      <x:c r="A481" s="29" t="str">
        <x:v>SCA-04</x:v>
      </x:c>
      <x:c r="B481" s="29" t="str">
        <x:v>SCA-28</x:v>
      </x:c>
      <x:c r="C481" s="29" t="str">
        <x:v>Road</x:v>
      </x:c>
      <x:c r="D481" s="29" t="str">
        <x:v>YES</x:v>
      </x:c>
      <x:c r="E481" s="29" t="str">
        <x:v>YES</x:v>
      </x:c>
      <x:c r="F481" s="62" t="n">
        <x:v>4493.753337534787</x:v>
      </x:c>
      <x:c r="G481" s="62" t="n">
        <x:v>101.70460613699612</x:v>
      </x:c>
      <x:c r="H481" s="29" t="str">
        <x:v>NO</x:v>
      </x:c>
      <x:c r="I481" s="29" t="str">
        <x:v>NHPN-gated shared-boundary SCA path</x:v>
      </x:c>
      <x:c r="J481" s="29" t="str">
        <x:v>presence does not prove operability or capacity</x:v>
      </x:c>
    </x:row>
    <x:row r="482" ht="64.80000305175781" hidden="0" customHeight="1">
      <x:c r="A482" s="27" t="str">
        <x:v>SCA-04</x:v>
      </x:c>
      <x:c r="B482" s="27" t="str">
        <x:v>SCA-28</x:v>
      </x:c>
      <x:c r="C482" s="27" t="str">
        <x:v>Rail</x:v>
      </x:c>
      <x:c r="D482" s="27" t="str">
        <x:v>YES</x:v>
      </x:c>
      <x:c r="E482" s="27" t="str">
        <x:v>YES</x:v>
      </x:c>
      <x:c r="F482" s="61" t="n">
        <x:v>4767.2861493847295</x:v>
      </x:c>
      <x:c r="G482" s="61" t="n">
        <x:v>94.10408784835327</x:v>
      </x:c>
      <x:c r="H482" s="27" t="str">
        <x:v>NO</x:v>
      </x:c>
      <x:c r="I482" s="27" t="str">
        <x:v>NARN shared-node topology; deployable terminal required</x:v>
      </x:c>
      <x:c r="J482" s="27" t="str">
        <x:v>presence does not prove operability or capacity</x:v>
      </x:c>
    </x:row>
    <x:row r="483" ht="54" hidden="0" customHeight="1">
      <x:c r="A483" s="29" t="str">
        <x:v>SCA-04</x:v>
      </x:c>
      <x:c r="B483" s="29" t="str">
        <x:v>SCA-28</x:v>
      </x:c>
      <x:c r="C483" s="29" t="str">
        <x:v>Air</x:v>
      </x:c>
      <x:c r="D483" s="29" t="str">
        <x:v>YES</x:v>
      </x:c>
      <x:c r="E483" s="29" t="str">
        <x:v>YES</x:v>
      </x:c>
      <x:c r="F483" s="62" t="n">
        <x:v>3603.855812355198</x:v>
      </x:c>
      <x:c r="G483" s="62" t="n">
        <x:v>29.544393557469533</x:v>
      </x:c>
      <x:c r="H483" s="29" t="str">
        <x:v>YES</x:v>
      </x:c>
      <x:c r="I483" s="29" t="str">
        <x:v>primary-airport endpoints; great-circle screen</x:v>
      </x:c>
      <x:c r="J483" s="29" t="str">
        <x:v>presence does not prove operability or capacity</x:v>
      </x:c>
    </x:row>
    <x:row r="484" ht="75.5999984741211" hidden="0" customHeight="1">
      <x:c r="A484" s="27" t="str">
        <x:v>SCA-04</x:v>
      </x:c>
      <x:c r="B484" s="27" t="str">
        <x:v>SCA-28</x:v>
      </x:c>
      <x:c r="C484" s="27" t="str">
        <x:v>Water</x:v>
      </x:c>
      <x:c r="D484" s="27" t="str">
        <x:v>YES</x:v>
      </x:c>
      <x:c r="E484" s="27" t="str">
        <x:v>YES</x:v>
      </x:c>
      <x:c r="F484" s="61" t="n">
        <x:v>7482.756190822008</x:v>
      </x:c>
      <x:c r="G484" s="61" t="n">
        <x:v>243.79303402348594</x:v>
      </x:c>
      <x:c r="H484" s="27" t="str">
        <x:v>NO</x:v>
      </x:c>
      <x:c r="I484" s="27" t="str">
        <x:v>USACE waterway node topology; deployable terminal required</x:v>
      </x:c>
      <x:c r="J484" s="27" t="str">
        <x:v>presence does not prove operability or capacity</x:v>
      </x:c>
    </x:row>
    <x:row r="485" ht="54" hidden="0" customHeight="1">
      <x:c r="A485" s="29" t="str">
        <x:v>SCA-04</x:v>
      </x:c>
      <x:c r="B485" s="29" t="str">
        <x:v>SCA-29</x:v>
      </x:c>
      <x:c r="C485" s="29" t="str">
        <x:v>Road</x:v>
      </x:c>
      <x:c r="D485" s="29" t="str">
        <x:v>YES</x:v>
      </x:c>
      <x:c r="E485" s="29" t="str">
        <x:v>YES</x:v>
      </x:c>
      <x:c r="F485" s="62" t="n">
        <x:v>4757.8176868134115</x:v>
      </x:c>
      <x:c r="G485" s="62" t="n">
        <x:v>106.50577612388021</x:v>
      </x:c>
      <x:c r="H485" s="29" t="str">
        <x:v>NO</x:v>
      </x:c>
      <x:c r="I485" s="29" t="str">
        <x:v>NHPN-gated shared-boundary SCA path</x:v>
      </x:c>
      <x:c r="J485" s="29" t="str">
        <x:v>presence does not prove operability or capacity</x:v>
      </x:c>
    </x:row>
    <x:row r="486" ht="64.80000305175781" hidden="0" customHeight="1">
      <x:c r="A486" s="27" t="str">
        <x:v>SCA-04</x:v>
      </x:c>
      <x:c r="B486" s="27" t="str">
        <x:v>SCA-29</x:v>
      </x:c>
      <x:c r="C486" s="27" t="str">
        <x:v>Rail</x:v>
      </x:c>
      <x:c r="D486" s="27" t="str">
        <x:v>YES</x:v>
      </x:c>
      <x:c r="E486" s="27" t="str">
        <x:v>YES</x:v>
      </x:c>
      <x:c r="F486" s="61" t="n">
        <x:v>5163.856922363434</x:v>
      </x:c>
      <x:c r="G486" s="61" t="n">
        <x:v>99.76938460519192</x:v>
      </x:c>
      <x:c r="H486" s="27" t="str">
        <x:v>NO</x:v>
      </x:c>
      <x:c r="I486" s="27" t="str">
        <x:v>NARN shared-node topology; deployable terminal required</x:v>
      </x:c>
      <x:c r="J486" s="27" t="str">
        <x:v>presence does not prove operability or capacity</x:v>
      </x:c>
    </x:row>
    <x:row r="487" ht="54" hidden="0" customHeight="1">
      <x:c r="A487" s="29" t="str">
        <x:v>SCA-04</x:v>
      </x:c>
      <x:c r="B487" s="29" t="str">
        <x:v>SCA-29</x:v>
      </x:c>
      <x:c r="C487" s="29" t="str">
        <x:v>Air</x:v>
      </x:c>
      <x:c r="D487" s="29" t="str">
        <x:v>YES</x:v>
      </x:c>
      <x:c r="E487" s="29" t="str">
        <x:v>YES</x:v>
      </x:c>
      <x:c r="F487" s="62" t="n">
        <x:v>3747.2701166820643</x:v>
      </x:c>
      <x:c r="G487" s="62" t="n">
        <x:v>29.76503094874164</x:v>
      </x:c>
      <x:c r="H487" s="29" t="str">
        <x:v>YES</x:v>
      </x:c>
      <x:c r="I487" s="29" t="str">
        <x:v>primary-airport endpoints; great-circle screen</x:v>
      </x:c>
      <x:c r="J487" s="29" t="str">
        <x:v>presence does not prove operability or capacity</x:v>
      </x:c>
    </x:row>
    <x:row r="488" ht="75.5999984741211" hidden="0" customHeight="1">
      <x:c r="A488" s="27" t="str">
        <x:v>SCA-04</x:v>
      </x:c>
      <x:c r="B488" s="27" t="str">
        <x:v>SCA-29</x:v>
      </x:c>
      <x:c r="C488" s="27" t="str">
        <x:v>Water</x:v>
      </x:c>
      <x:c r="D488" s="27" t="str">
        <x:v>YES</x:v>
      </x:c>
      <x:c r="E488" s="27" t="str">
        <x:v>YES</x:v>
      </x:c>
      <x:c r="F488" s="61" t="n">
        <x:v>6841.358996718572</x:v>
      </x:c>
      <x:c r="G488" s="61" t="n">
        <x:v>225.4673999062449</x:v>
      </x:c>
      <x:c r="H488" s="27" t="str">
        <x:v>NO</x:v>
      </x:c>
      <x:c r="I488" s="27" t="str">
        <x:v>USACE waterway node topology; deployable terminal required</x:v>
      </x:c>
      <x:c r="J488" s="27" t="str">
        <x:v>presence does not prove operability or capacity</x:v>
      </x:c>
    </x:row>
    <x:row r="489" ht="54" hidden="0" customHeight="1">
      <x:c r="A489" s="29" t="str">
        <x:v>SCA-04</x:v>
      </x:c>
      <x:c r="B489" s="29" t="str">
        <x:v>SCA-30</x:v>
      </x:c>
      <x:c r="C489" s="29" t="str">
        <x:v>Road</x:v>
      </x:c>
      <x:c r="D489" s="29" t="str">
        <x:v>YES</x:v>
      </x:c>
      <x:c r="E489" s="29" t="str">
        <x:v>YES</x:v>
      </x:c>
      <x:c r="F489" s="62" t="n">
        <x:v>4957.317053466027</x:v>
      </x:c>
      <x:c r="G489" s="62" t="n">
        <x:v>110.13303733574594</x:v>
      </x:c>
      <x:c r="H489" s="29" t="str">
        <x:v>NO</x:v>
      </x:c>
      <x:c r="I489" s="29" t="str">
        <x:v>NHPN-gated shared-boundary SCA path</x:v>
      </x:c>
      <x:c r="J489" s="29" t="str">
        <x:v>presence does not prove operability or capacity</x:v>
      </x:c>
    </x:row>
    <x:row r="490" ht="64.80000305175781" hidden="0" customHeight="1">
      <x:c r="A490" s="27" t="str">
        <x:v>SCA-04</x:v>
      </x:c>
      <x:c r="B490" s="27" t="str">
        <x:v>SCA-30</x:v>
      </x:c>
      <x:c r="C490" s="27" t="str">
        <x:v>Rail</x:v>
      </x:c>
      <x:c r="D490" s="27" t="str">
        <x:v>YES</x:v>
      </x:c>
      <x:c r="E490" s="27" t="str">
        <x:v>YES</x:v>
      </x:c>
      <x:c r="F490" s="61" t="n">
        <x:v>5259.066787155262</x:v>
      </x:c>
      <x:c r="G490" s="61" t="n">
        <x:v>101.12952553078946</x:v>
      </x:c>
      <x:c r="H490" s="27" t="str">
        <x:v>NO</x:v>
      </x:c>
      <x:c r="I490" s="27" t="str">
        <x:v>NARN shared-node topology; deployable terminal required</x:v>
      </x:c>
      <x:c r="J490" s="27" t="str">
        <x:v>presence does not prove operability or capacity</x:v>
      </x:c>
    </x:row>
    <x:row r="491" ht="54" hidden="0" customHeight="1">
      <x:c r="A491" s="29" t="str">
        <x:v>SCA-04</x:v>
      </x:c>
      <x:c r="B491" s="29" t="str">
        <x:v>SCA-30</x:v>
      </x:c>
      <x:c r="C491" s="29" t="str">
        <x:v>Air</x:v>
      </x:c>
      <x:c r="D491" s="29" t="str">
        <x:v>YES</x:v>
      </x:c>
      <x:c r="E491" s="29" t="str">
        <x:v>YES</x:v>
      </x:c>
      <x:c r="F491" s="62" t="n">
        <x:v>3994.1778625840057</x:v>
      </x:c>
      <x:c r="G491" s="62" t="n">
        <x:v>30.144889019360008</x:v>
      </x:c>
      <x:c r="H491" s="29" t="str">
        <x:v>YES</x:v>
      </x:c>
      <x:c r="I491" s="29" t="str">
        <x:v>primary-airport endpoints; great-circle screen</x:v>
      </x:c>
      <x:c r="J491" s="29" t="str">
        <x:v>presence does not prove operability or capacity</x:v>
      </x:c>
    </x:row>
    <x:row r="492" ht="75.5999984741211" hidden="0" customHeight="1">
      <x:c r="A492" s="27" t="str">
        <x:v>SCA-04</x:v>
      </x:c>
      <x:c r="B492" s="27" t="str">
        <x:v>SCA-30</x:v>
      </x:c>
      <x:c r="C492" s="27" t="str">
        <x:v>Water</x:v>
      </x:c>
      <x:c r="D492" s="27" t="str">
        <x:v>YES</x:v>
      </x:c>
      <x:c r="E492" s="27" t="str">
        <x:v>YES</x:v>
      </x:c>
      <x:c r="F492" s="61" t="n">
        <x:v>7677.287285492261</x:v>
      </x:c>
      <x:c r="G492" s="61" t="n">
        <x:v>249.35106529977887</x:v>
      </x:c>
      <x:c r="H492" s="27" t="str">
        <x:v>NO</x:v>
      </x:c>
      <x:c r="I492" s="27" t="str">
        <x:v>USACE waterway node topology; deployable terminal required</x:v>
      </x:c>
      <x:c r="J492" s="27" t="str">
        <x:v>presence does not prove operability or capacity</x:v>
      </x:c>
    </x:row>
    <x:row r="493" ht="54" hidden="0" customHeight="1">
      <x:c r="A493" s="29" t="str">
        <x:v>SCA-04</x:v>
      </x:c>
      <x:c r="B493" s="29" t="str">
        <x:v>SCA-31</x:v>
      </x:c>
      <x:c r="C493" s="29" t="str">
        <x:v>Road</x:v>
      </x:c>
      <x:c r="D493" s="29" t="str">
        <x:v>YES</x:v>
      </x:c>
      <x:c r="E493" s="29" t="str">
        <x:v>YES</x:v>
      </x:c>
      <x:c r="F493" s="62" t="n">
        <x:v>5350.3991986525325</x:v>
      </x:c>
      <x:c r="G493" s="62" t="n">
        <x:v>117.27998543004604</x:v>
      </x:c>
      <x:c r="H493" s="29" t="str">
        <x:v>NO</x:v>
      </x:c>
      <x:c r="I493" s="29" t="str">
        <x:v>NHPN-gated shared-boundary SCA path</x:v>
      </x:c>
      <x:c r="J493" s="29" t="str">
        <x:v>presence does not prove operability or capacity</x:v>
      </x:c>
    </x:row>
    <x:row r="494" ht="64.80000305175781" hidden="0" customHeight="1">
      <x:c r="A494" s="27" t="str">
        <x:v>SCA-04</x:v>
      </x:c>
      <x:c r="B494" s="27" t="str">
        <x:v>SCA-31</x:v>
      </x:c>
      <x:c r="C494" s="27" t="str">
        <x:v>Rail</x:v>
      </x:c>
      <x:c r="D494" s="27" t="str">
        <x:v>YES</x:v>
      </x:c>
      <x:c r="E494" s="27" t="str">
        <x:v>YES</x:v>
      </x:c>
      <x:c r="F494" s="61" t="n">
        <x:v>5676.07567161399</x:v>
      </x:c>
      <x:c r="G494" s="61" t="n">
        <x:v>107.08679530877129</x:v>
      </x:c>
      <x:c r="H494" s="27" t="str">
        <x:v>NO</x:v>
      </x:c>
      <x:c r="I494" s="27" t="str">
        <x:v>NARN shared-node topology; deployable terminal required</x:v>
      </x:c>
      <x:c r="J494" s="27" t="str">
        <x:v>presence does not prove operability or capacity</x:v>
      </x:c>
    </x:row>
    <x:row r="495" ht="54" hidden="0" customHeight="1">
      <x:c r="A495" s="29" t="str">
        <x:v>SCA-04</x:v>
      </x:c>
      <x:c r="B495" s="29" t="str">
        <x:v>SCA-31</x:v>
      </x:c>
      <x:c r="C495" s="29" t="str">
        <x:v>Air</x:v>
      </x:c>
      <x:c r="D495" s="29" t="str">
        <x:v>YES</x:v>
      </x:c>
      <x:c r="E495" s="29" t="str">
        <x:v>YES</x:v>
      </x:c>
      <x:c r="F495" s="62" t="n">
        <x:v>4197.097350449586</x:v>
      </x:c>
      <x:c r="G495" s="62" t="n">
        <x:v>30.457072846845517</x:v>
      </x:c>
      <x:c r="H495" s="29" t="str">
        <x:v>YES</x:v>
      </x:c>
      <x:c r="I495" s="29" t="str">
        <x:v>primary-airport endpoints; great-circle screen</x:v>
      </x:c>
      <x:c r="J495" s="29" t="str">
        <x:v>presence does not prove operability or capacity</x:v>
      </x:c>
    </x:row>
    <x:row r="496" ht="75.5999984741211" hidden="0" customHeight="1">
      <x:c r="A496" s="27" t="str">
        <x:v>SCA-04</x:v>
      </x:c>
      <x:c r="B496" s="27" t="str">
        <x:v>SCA-31</x:v>
      </x:c>
      <x:c r="C496" s="27" t="str">
        <x:v>Water</x:v>
      </x:c>
      <x:c r="D496" s="27" t="str">
        <x:v>YES</x:v>
      </x:c>
      <x:c r="E496" s="27" t="str">
        <x:v>YES</x:v>
      </x:c>
      <x:c r="F496" s="61" t="n">
        <x:v>8111.505231810357</x:v>
      </x:c>
      <x:c r="G496" s="61" t="n">
        <x:v>261.7572923374388</x:v>
      </x:c>
      <x:c r="H496" s="27" t="str">
        <x:v>NO</x:v>
      </x:c>
      <x:c r="I496" s="27" t="str">
        <x:v>USACE waterway node topology; deployable terminal required</x:v>
      </x:c>
      <x:c r="J496" s="27" t="str">
        <x:v>presence does not prove operability or capacity</x:v>
      </x:c>
    </x:row>
    <x:row r="497" ht="54" hidden="0" customHeight="1">
      <x:c r="A497" s="29" t="str">
        <x:v>SCA-04</x:v>
      </x:c>
      <x:c r="B497" s="29" t="str">
        <x:v>SCA-32</x:v>
      </x:c>
      <x:c r="C497" s="29" t="str">
        <x:v>Road</x:v>
      </x:c>
      <x:c r="D497" s="29" t="str">
        <x:v>NO</x:v>
      </x:c>
      <x:c r="E497" s="29" t="str">
        <x:v>NO</x:v>
      </x:c>
      <x:c r="F497" s="62"/>
      <x:c r="G497" s="62"/>
      <x:c r="H497" s="29" t="str">
        <x:v>NO</x:v>
      </x:c>
      <x:c r="I497" s="29" t="str">
        <x:v>no screened path</x:v>
      </x:c>
      <x:c r="J497" s="29" t="str">
        <x:v>presence does not prove operability or capacity</x:v>
      </x:c>
    </x:row>
    <x:row r="498" ht="54" hidden="0" customHeight="1">
      <x:c r="A498" s="27" t="str">
        <x:v>SCA-04</x:v>
      </x:c>
      <x:c r="B498" s="27" t="str">
        <x:v>SCA-32</x:v>
      </x:c>
      <x:c r="C498" s="27" t="str">
        <x:v>Rail</x:v>
      </x:c>
      <x:c r="D498" s="27" t="str">
        <x:v>NO</x:v>
      </x:c>
      <x:c r="E498" s="27" t="str">
        <x:v>NO</x:v>
      </x:c>
      <x:c r="F498" s="61"/>
      <x:c r="G498" s="61"/>
      <x:c r="H498" s="27" t="str">
        <x:v>NO</x:v>
      </x:c>
      <x:c r="I498" s="27" t="str">
        <x:v>no screened path</x:v>
      </x:c>
      <x:c r="J498" s="27" t="str">
        <x:v>presence does not prove operability or capacity</x:v>
      </x:c>
    </x:row>
    <x:row r="499" ht="54" hidden="0" customHeight="1">
      <x:c r="A499" s="29" t="str">
        <x:v>SCA-04</x:v>
      </x:c>
      <x:c r="B499" s="29" t="str">
        <x:v>SCA-32</x:v>
      </x:c>
      <x:c r="C499" s="29" t="str">
        <x:v>Air</x:v>
      </x:c>
      <x:c r="D499" s="29" t="str">
        <x:v>YES</x:v>
      </x:c>
      <x:c r="E499" s="29" t="str">
        <x:v>YES</x:v>
      </x:c>
      <x:c r="F499" s="62" t="n">
        <x:v>5746.214437560357</x:v>
      </x:c>
      <x:c r="G499" s="62" t="n">
        <x:v>32.84032990393901</x:v>
      </x:c>
      <x:c r="H499" s="29" t="str">
        <x:v>YES</x:v>
      </x:c>
      <x:c r="I499" s="29" t="str">
        <x:v>primary-airport endpoints; great-circle screen</x:v>
      </x:c>
      <x:c r="J499" s="29" t="str">
        <x:v>presence does not prove operability or capacity</x:v>
      </x:c>
    </x:row>
    <x:row r="500" ht="75.5999984741211" hidden="0" customHeight="1">
      <x:c r="A500" s="27" t="str">
        <x:v>SCA-04</x:v>
      </x:c>
      <x:c r="B500" s="27" t="str">
        <x:v>SCA-32</x:v>
      </x:c>
      <x:c r="C500" s="27" t="str">
        <x:v>Water</x:v>
      </x:c>
      <x:c r="D500" s="27" t="str">
        <x:v>YES</x:v>
      </x:c>
      <x:c r="E500" s="27" t="str">
        <x:v>YES</x:v>
      </x:c>
      <x:c r="F500" s="61" t="n">
        <x:v>7614.789611070047</x:v>
      </x:c>
      <x:c r="G500" s="61" t="n">
        <x:v>247.5654174591442</x:v>
      </x:c>
      <x:c r="H500" s="27" t="str">
        <x:v>NO</x:v>
      </x:c>
      <x:c r="I500" s="27" t="str">
        <x:v>USACE waterway node topology; deployable terminal required</x:v>
      </x:c>
      <x:c r="J500" s="27" t="str">
        <x:v>presence does not prove operability or capacity</x:v>
      </x:c>
    </x:row>
    <x:row r="501" ht="54" hidden="0" customHeight="1">
      <x:c r="A501" s="29" t="str">
        <x:v>SCA-05</x:v>
      </x:c>
      <x:c r="B501" s="29" t="str">
        <x:v>SCA-01</x:v>
      </x:c>
      <x:c r="C501" s="29" t="str">
        <x:v>Road</x:v>
      </x:c>
      <x:c r="D501" s="29" t="str">
        <x:v>NO</x:v>
      </x:c>
      <x:c r="E501" s="29" t="str">
        <x:v>NO</x:v>
      </x:c>
      <x:c r="F501" s="62"/>
      <x:c r="G501" s="62"/>
      <x:c r="H501" s="29" t="str">
        <x:v>NO</x:v>
      </x:c>
      <x:c r="I501" s="29" t="str">
        <x:v>no screened path</x:v>
      </x:c>
      <x:c r="J501" s="29" t="str">
        <x:v>presence does not prove operability or capacity</x:v>
      </x:c>
    </x:row>
    <x:row r="502" ht="54" hidden="0" customHeight="1">
      <x:c r="A502" s="27" t="str">
        <x:v>SCA-05</x:v>
      </x:c>
      <x:c r="B502" s="27" t="str">
        <x:v>SCA-01</x:v>
      </x:c>
      <x:c r="C502" s="27" t="str">
        <x:v>Rail</x:v>
      </x:c>
      <x:c r="D502" s="27" t="str">
        <x:v>NO</x:v>
      </x:c>
      <x:c r="E502" s="27" t="str">
        <x:v>NO</x:v>
      </x:c>
      <x:c r="F502" s="61"/>
      <x:c r="G502" s="61"/>
      <x:c r="H502" s="27" t="str">
        <x:v>NO</x:v>
      </x:c>
      <x:c r="I502" s="27" t="str">
        <x:v>no screened path</x:v>
      </x:c>
      <x:c r="J502" s="27" t="str">
        <x:v>presence does not prove operability or capacity</x:v>
      </x:c>
    </x:row>
    <x:row r="503" ht="54" hidden="0" customHeight="1">
      <x:c r="A503" s="29" t="str">
        <x:v>SCA-05</x:v>
      </x:c>
      <x:c r="B503" s="29" t="str">
        <x:v>SCA-01</x:v>
      </x:c>
      <x:c r="C503" s="29" t="str">
        <x:v>Air</x:v>
      </x:c>
      <x:c r="D503" s="29" t="str">
        <x:v>YES</x:v>
      </x:c>
      <x:c r="E503" s="29" t="str">
        <x:v>YES</x:v>
      </x:c>
      <x:c r="F503" s="62" t="n">
        <x:v>4108.572609788814</x:v>
      </x:c>
      <x:c r="G503" s="62" t="n">
        <x:v>30.320880938136636</x:v>
      </x:c>
      <x:c r="H503" s="29" t="str">
        <x:v>YES</x:v>
      </x:c>
      <x:c r="I503" s="29" t="str">
        <x:v>primary-airport endpoints; great-circle screen</x:v>
      </x:c>
      <x:c r="J503" s="29" t="str">
        <x:v>presence does not prove operability or capacity</x:v>
      </x:c>
    </x:row>
    <x:row r="504" ht="75.5999984741211" hidden="0" customHeight="1">
      <x:c r="A504" s="27" t="str">
        <x:v>SCA-05</x:v>
      </x:c>
      <x:c r="B504" s="27" t="str">
        <x:v>SCA-01</x:v>
      </x:c>
      <x:c r="C504" s="27" t="str">
        <x:v>Water</x:v>
      </x:c>
      <x:c r="D504" s="27" t="str">
        <x:v>YES</x:v>
      </x:c>
      <x:c r="E504" s="27" t="str">
        <x:v>YES</x:v>
      </x:c>
      <x:c r="F504" s="61" t="n">
        <x:v>5258.972940529681</x:v>
      </x:c>
      <x:c r="G504" s="61" t="n">
        <x:v>180.25636972941948</x:v>
      </x:c>
      <x:c r="H504" s="27" t="str">
        <x:v>NO</x:v>
      </x:c>
      <x:c r="I504" s="27" t="str">
        <x:v>USACE waterway node topology; deployable terminal required</x:v>
      </x:c>
      <x:c r="J504" s="27" t="str">
        <x:v>presence does not prove operability or capacity</x:v>
      </x:c>
    </x:row>
    <x:row r="505" ht="54" hidden="0" customHeight="1">
      <x:c r="A505" s="29" t="str">
        <x:v>SCA-05</x:v>
      </x:c>
      <x:c r="B505" s="29" t="str">
        <x:v>SCA-02</x:v>
      </x:c>
      <x:c r="C505" s="29" t="str">
        <x:v>Road</x:v>
      </x:c>
      <x:c r="D505" s="29" t="str">
        <x:v>NO</x:v>
      </x:c>
      <x:c r="E505" s="29" t="str">
        <x:v>NO</x:v>
      </x:c>
      <x:c r="F505" s="62"/>
      <x:c r="G505" s="62"/>
      <x:c r="H505" s="29" t="str">
        <x:v>NO</x:v>
      </x:c>
      <x:c r="I505" s="29" t="str">
        <x:v>no screened path</x:v>
      </x:c>
      <x:c r="J505" s="29" t="str">
        <x:v>presence does not prove operability or capacity</x:v>
      </x:c>
    </x:row>
    <x:row r="506" ht="54" hidden="0" customHeight="1">
      <x:c r="A506" s="27" t="str">
        <x:v>SCA-05</x:v>
      </x:c>
      <x:c r="B506" s="27" t="str">
        <x:v>SCA-02</x:v>
      </x:c>
      <x:c r="C506" s="27" t="str">
        <x:v>Rail</x:v>
      </x:c>
      <x:c r="D506" s="27" t="str">
        <x:v>NO</x:v>
      </x:c>
      <x:c r="E506" s="27" t="str">
        <x:v>NO</x:v>
      </x:c>
      <x:c r="F506" s="61"/>
      <x:c r="G506" s="61"/>
      <x:c r="H506" s="27" t="str">
        <x:v>NO</x:v>
      </x:c>
      <x:c r="I506" s="27" t="str">
        <x:v>no screened path</x:v>
      </x:c>
      <x:c r="J506" s="27" t="str">
        <x:v>presence does not prove operability or capacity</x:v>
      </x:c>
    </x:row>
    <x:row r="507" ht="54" hidden="0" customHeight="1">
      <x:c r="A507" s="29" t="str">
        <x:v>SCA-05</x:v>
      </x:c>
      <x:c r="B507" s="29" t="str">
        <x:v>SCA-02</x:v>
      </x:c>
      <x:c r="C507" s="29" t="str">
        <x:v>Air</x:v>
      </x:c>
      <x:c r="D507" s="29" t="str">
        <x:v>YES</x:v>
      </x:c>
      <x:c r="E507" s="29" t="str">
        <x:v>YES</x:v>
      </x:c>
      <x:c r="F507" s="62" t="n">
        <x:v>3613.3846358317523</x:v>
      </x:c>
      <x:c r="G507" s="62" t="n">
        <x:v>29.559053285895004</x:v>
      </x:c>
      <x:c r="H507" s="29" t="str">
        <x:v>YES</x:v>
      </x:c>
      <x:c r="I507" s="29" t="str">
        <x:v>primary-airport endpoints; great-circle screen</x:v>
      </x:c>
      <x:c r="J507" s="29" t="str">
        <x:v>presence does not prove operability or capacity</x:v>
      </x:c>
    </x:row>
    <x:row r="508" ht="75.5999984741211" hidden="0" customHeight="1">
      <x:c r="A508" s="27" t="str">
        <x:v>SCA-05</x:v>
      </x:c>
      <x:c r="B508" s="27" t="str">
        <x:v>SCA-02</x:v>
      </x:c>
      <x:c r="C508" s="27" t="str">
        <x:v>Water</x:v>
      </x:c>
      <x:c r="D508" s="27" t="str">
        <x:v>YES</x:v>
      </x:c>
      <x:c r="E508" s="27" t="str">
        <x:v>YES</x:v>
      </x:c>
      <x:c r="F508" s="61" t="n">
        <x:v>4633.394902760305</x:v>
      </x:c>
      <x:c r="G508" s="61" t="n">
        <x:v>162.38271150743728</x:v>
      </x:c>
      <x:c r="H508" s="27" t="str">
        <x:v>NO</x:v>
      </x:c>
      <x:c r="I508" s="27" t="str">
        <x:v>USACE waterway node topology; deployable terminal required</x:v>
      </x:c>
      <x:c r="J508" s="27" t="str">
        <x:v>presence does not prove operability or capacity</x:v>
      </x:c>
    </x:row>
    <x:row r="509" ht="54" hidden="0" customHeight="1">
      <x:c r="A509" s="29" t="str">
        <x:v>SCA-05</x:v>
      </x:c>
      <x:c r="B509" s="29" t="str">
        <x:v>SCA-03</x:v>
      </x:c>
      <x:c r="C509" s="29" t="str">
        <x:v>Road</x:v>
      </x:c>
      <x:c r="D509" s="29" t="str">
        <x:v>YES</x:v>
      </x:c>
      <x:c r="E509" s="29" t="str">
        <x:v>YES</x:v>
      </x:c>
      <x:c r="F509" s="62" t="n">
        <x:v>1678.4713844036944</x:v>
      </x:c>
      <x:c r="G509" s="62" t="n">
        <x:v>50.51766153461263</x:v>
      </x:c>
      <x:c r="H509" s="29" t="str">
        <x:v>YES</x:v>
      </x:c>
      <x:c r="I509" s="29" t="str">
        <x:v>NHPN-gated shared-boundary SCA path</x:v>
      </x:c>
      <x:c r="J509" s="29" t="str">
        <x:v>presence does not prove operability or capacity</x:v>
      </x:c>
    </x:row>
    <x:row r="510" ht="64.80000305175781" hidden="0" customHeight="1">
      <x:c r="A510" s="27" t="str">
        <x:v>SCA-05</x:v>
      </x:c>
      <x:c r="B510" s="27" t="str">
        <x:v>SCA-03</x:v>
      </x:c>
      <x:c r="C510" s="27" t="str">
        <x:v>Rail</x:v>
      </x:c>
      <x:c r="D510" s="27" t="str">
        <x:v>YES</x:v>
      </x:c>
      <x:c r="E510" s="27" t="str">
        <x:v>YES</x:v>
      </x:c>
      <x:c r="F510" s="61" t="n">
        <x:v>1780.6392078021797</x:v>
      </x:c>
      <x:c r="G510" s="61" t="n">
        <x:v>51.437702968602565</x:v>
      </x:c>
      <x:c r="H510" s="27" t="str">
        <x:v>YES</x:v>
      </x:c>
      <x:c r="I510" s="27" t="str">
        <x:v>NARN shared-node topology; deployable terminal required</x:v>
      </x:c>
      <x:c r="J510" s="27" t="str">
        <x:v>presence does not prove operability or capacity</x:v>
      </x:c>
    </x:row>
    <x:row r="511" ht="54" hidden="0" customHeight="1">
      <x:c r="A511" s="29" t="str">
        <x:v>SCA-05</x:v>
      </x:c>
      <x:c r="B511" s="29" t="str">
        <x:v>SCA-03</x:v>
      </x:c>
      <x:c r="C511" s="29" t="str">
        <x:v>Air</x:v>
      </x:c>
      <x:c r="D511" s="29" t="str">
        <x:v>YES</x:v>
      </x:c>
      <x:c r="E511" s="29" t="str">
        <x:v>YES</x:v>
      </x:c>
      <x:c r="F511" s="62" t="n">
        <x:v>1399.8387701003294</x:v>
      </x:c>
      <x:c r="G511" s="62" t="n">
        <x:v>26.153598107846662</x:v>
      </x:c>
      <x:c r="H511" s="29" t="str">
        <x:v>YES</x:v>
      </x:c>
      <x:c r="I511" s="29" t="str">
        <x:v>primary-airport endpoints; great-circle screen</x:v>
      </x:c>
      <x:c r="J511" s="29" t="str">
        <x:v>presence does not prove operability or capacity</x:v>
      </x:c>
    </x:row>
    <x:row r="512" ht="75.5999984741211" hidden="0" customHeight="1">
      <x:c r="A512" s="27" t="str">
        <x:v>SCA-05</x:v>
      </x:c>
      <x:c r="B512" s="27" t="str">
        <x:v>SCA-03</x:v>
      </x:c>
      <x:c r="C512" s="27" t="str">
        <x:v>Water</x:v>
      </x:c>
      <x:c r="D512" s="27" t="str">
        <x:v>YES</x:v>
      </x:c>
      <x:c r="E512" s="27" t="str">
        <x:v>YES</x:v>
      </x:c>
      <x:c r="F512" s="61" t="n">
        <x:v>1868.2116278580247</x:v>
      </x:c>
      <x:c r="G512" s="61" t="n">
        <x:v>83.37747508165785</x:v>
      </x:c>
      <x:c r="H512" s="27" t="str">
        <x:v>NO</x:v>
      </x:c>
      <x:c r="I512" s="27" t="str">
        <x:v>USACE waterway node topology; deployable terminal required</x:v>
      </x:c>
      <x:c r="J512" s="27" t="str">
        <x:v>presence does not prove operability or capacity</x:v>
      </x:c>
    </x:row>
    <x:row r="513" ht="54" hidden="0" customHeight="1">
      <x:c r="A513" s="29" t="str">
        <x:v>SCA-05</x:v>
      </x:c>
      <x:c r="B513" s="29" t="str">
        <x:v>SCA-04</x:v>
      </x:c>
      <x:c r="C513" s="29" t="str">
        <x:v>Road</x:v>
      </x:c>
      <x:c r="D513" s="29" t="str">
        <x:v>YES</x:v>
      </x:c>
      <x:c r="E513" s="29" t="str">
        <x:v>YES</x:v>
      </x:c>
      <x:c r="F513" s="62" t="n">
        <x:v>589.3331503114186</x:v>
      </x:c>
      <x:c r="G513" s="62" t="n">
        <x:v>30.715148187480338</x:v>
      </x:c>
      <x:c r="H513" s="29" t="str">
        <x:v>YES</x:v>
      </x:c>
      <x:c r="I513" s="29" t="str">
        <x:v>NHPN-gated shared-boundary SCA path</x:v>
      </x:c>
      <x:c r="J513" s="29" t="str">
        <x:v>presence does not prove operability or capacity</x:v>
      </x:c>
    </x:row>
    <x:row r="514" ht="64.80000305175781" hidden="0" customHeight="1">
      <x:c r="A514" s="27" t="str">
        <x:v>SCA-05</x:v>
      </x:c>
      <x:c r="B514" s="27" t="str">
        <x:v>SCA-04</x:v>
      </x:c>
      <x:c r="C514" s="27" t="str">
        <x:v>Rail</x:v>
      </x:c>
      <x:c r="D514" s="27" t="str">
        <x:v>YES</x:v>
      </x:c>
      <x:c r="E514" s="27" t="str">
        <x:v>YES</x:v>
      </x:c>
      <x:c r="F514" s="61" t="n">
        <x:v>625.2056029390706</x:v>
      </x:c>
      <x:c r="G514" s="61" t="n">
        <x:v>34.931508613415296</x:v>
      </x:c>
      <x:c r="H514" s="27" t="str">
        <x:v>YES</x:v>
      </x:c>
      <x:c r="I514" s="27" t="str">
        <x:v>NARN shared-node topology; deployable terminal required</x:v>
      </x:c>
      <x:c r="J514" s="27" t="str">
        <x:v>presence does not prove operability or capacity</x:v>
      </x:c>
    </x:row>
    <x:row r="515" ht="54" hidden="0" customHeight="1">
      <x:c r="A515" s="29" t="str">
        <x:v>SCA-05</x:v>
      </x:c>
      <x:c r="B515" s="29" t="str">
        <x:v>SCA-04</x:v>
      </x:c>
      <x:c r="C515" s="29" t="str">
        <x:v>Air</x:v>
      </x:c>
      <x:c r="D515" s="29" t="str">
        <x:v>YES</x:v>
      </x:c>
      <x:c r="E515" s="29" t="str">
        <x:v>YES</x:v>
      </x:c>
      <x:c r="F515" s="62" t="n">
        <x:v>512.4636089664513</x:v>
      </x:c>
      <x:c r="G515" s="62" t="n">
        <x:v>24.78840555225608</x:v>
      </x:c>
      <x:c r="H515" s="29" t="str">
        <x:v>YES</x:v>
      </x:c>
      <x:c r="I515" s="29" t="str">
        <x:v>primary-airport endpoints; great-circle screen</x:v>
      </x:c>
      <x:c r="J515" s="29" t="str">
        <x:v>presence does not prove operability or capacity</x:v>
      </x:c>
    </x:row>
    <x:row r="516" ht="75.5999984741211" hidden="0" customHeight="1">
      <x:c r="A516" s="27" t="str">
        <x:v>SCA-05</x:v>
      </x:c>
      <x:c r="B516" s="27" t="str">
        <x:v>SCA-04</x:v>
      </x:c>
      <x:c r="C516" s="27" t="str">
        <x:v>Water</x:v>
      </x:c>
      <x:c r="D516" s="27" t="str">
        <x:v>YES</x:v>
      </x:c>
      <x:c r="E516" s="27" t="str">
        <x:v>YES</x:v>
      </x:c>
      <x:c r="F516" s="61" t="n">
        <x:v>655.9534194770577</x:v>
      </x:c>
      <x:c r="G516" s="61" t="n">
        <x:v>48.74152627077308</x:v>
      </x:c>
      <x:c r="H516" s="27" t="str">
        <x:v>YES</x:v>
      </x:c>
      <x:c r="I516" s="27" t="str">
        <x:v>USACE waterway node topology; deployable terminal required</x:v>
      </x:c>
      <x:c r="J516" s="27" t="str">
        <x:v>presence does not prove operability or capacity</x:v>
      </x:c>
    </x:row>
    <x:row r="517" ht="54" hidden="0" customHeight="1">
      <x:c r="A517" s="29" t="str">
        <x:v>SCA-05</x:v>
      </x:c>
      <x:c r="B517" s="29" t="str">
        <x:v>SCA-06</x:v>
      </x:c>
      <x:c r="C517" s="29" t="str">
        <x:v>Road</x:v>
      </x:c>
      <x:c r="D517" s="29" t="str">
        <x:v>YES</x:v>
      </x:c>
      <x:c r="E517" s="29" t="str">
        <x:v>YES</x:v>
      </x:c>
      <x:c r="F517" s="62" t="n">
        <x:v>240.75737228012326</x:v>
      </x:c>
      <x:c r="G517" s="62" t="n">
        <x:v>24.377406768729514</x:v>
      </x:c>
      <x:c r="H517" s="29" t="str">
        <x:v>YES</x:v>
      </x:c>
      <x:c r="I517" s="29" t="str">
        <x:v>NHPN-gated shared-boundary SCA path</x:v>
      </x:c>
      <x:c r="J517" s="29" t="str">
        <x:v>presence does not prove operability or capacity</x:v>
      </x:c>
    </x:row>
    <x:row r="518" ht="64.80000305175781" hidden="0" customHeight="1">
      <x:c r="A518" s="27" t="str">
        <x:v>SCA-05</x:v>
      </x:c>
      <x:c r="B518" s="27" t="str">
        <x:v>SCA-06</x:v>
      </x:c>
      <x:c r="C518" s="27" t="str">
        <x:v>Rail</x:v>
      </x:c>
      <x:c r="D518" s="27" t="str">
        <x:v>YES</x:v>
      </x:c>
      <x:c r="E518" s="27" t="str">
        <x:v>YES</x:v>
      </x:c>
      <x:c r="F518" s="61" t="n">
        <x:v>255.4121688536962</x:v>
      </x:c>
      <x:c r="G518" s="61" t="n">
        <x:v>29.648745269338516</x:v>
      </x:c>
      <x:c r="H518" s="27" t="str">
        <x:v>YES</x:v>
      </x:c>
      <x:c r="I518" s="27" t="str">
        <x:v>NARN shared-node topology; deployable terminal required</x:v>
      </x:c>
      <x:c r="J518" s="27" t="str">
        <x:v>presence does not prove operability or capacity</x:v>
      </x:c>
    </x:row>
    <x:row r="519" ht="54" hidden="0" customHeight="1">
      <x:c r="A519" s="29" t="str">
        <x:v>SCA-05</x:v>
      </x:c>
      <x:c r="B519" s="29" t="str">
        <x:v>SCA-06</x:v>
      </x:c>
      <x:c r="C519" s="29" t="str">
        <x:v>Air</x:v>
      </x:c>
      <x:c r="D519" s="29" t="str">
        <x:v>YES</x:v>
      </x:c>
      <x:c r="E519" s="29" t="str">
        <x:v>YES</x:v>
      </x:c>
      <x:c r="F519" s="62" t="n">
        <x:v>209.35423676532474</x:v>
      </x:c>
      <x:c r="G519" s="62" t="n">
        <x:v>24.322083441177423</x:v>
      </x:c>
      <x:c r="H519" s="29" t="str">
        <x:v>YES</x:v>
      </x:c>
      <x:c r="I519" s="29" t="str">
        <x:v>primary-airport endpoints; great-circle screen</x:v>
      </x:c>
      <x:c r="J519" s="29" t="str">
        <x:v>presence does not prove operability or capacity</x:v>
      </x:c>
    </x:row>
    <x:row r="520" ht="75.5999984741211" hidden="0" customHeight="1">
      <x:c r="A520" s="27" t="str">
        <x:v>SCA-05</x:v>
      </x:c>
      <x:c r="B520" s="27" t="str">
        <x:v>SCA-06</x:v>
      </x:c>
      <x:c r="C520" s="27" t="str">
        <x:v>Water</x:v>
      </x:c>
      <x:c r="D520" s="27" t="str">
        <x:v>YES</x:v>
      </x:c>
      <x:c r="E520" s="27" t="str">
        <x:v>YES</x:v>
      </x:c>
      <x:c r="F520" s="61" t="n">
        <x:v>267.9734230596157</x:v>
      </x:c>
      <x:c r="G520" s="61" t="n">
        <x:v>37.65638351598902</x:v>
      </x:c>
      <x:c r="H520" s="27" t="str">
        <x:v>YES</x:v>
      </x:c>
      <x:c r="I520" s="27" t="str">
        <x:v>USACE waterway node topology; deployable terminal required</x:v>
      </x:c>
      <x:c r="J520" s="27" t="str">
        <x:v>presence does not prove operability or capacity</x:v>
      </x:c>
    </x:row>
    <x:row r="521" ht="54" hidden="0" customHeight="1">
      <x:c r="A521" s="29" t="str">
        <x:v>SCA-05</x:v>
      </x:c>
      <x:c r="B521" s="29" t="str">
        <x:v>SCA-07</x:v>
      </x:c>
      <x:c r="C521" s="29" t="str">
        <x:v>Road</x:v>
      </x:c>
      <x:c r="D521" s="29" t="str">
        <x:v>YES</x:v>
      </x:c>
      <x:c r="E521" s="29" t="str">
        <x:v>YES</x:v>
      </x:c>
      <x:c r="F521" s="62" t="n">
        <x:v>360.20109461621297</x:v>
      </x:c>
      <x:c r="G521" s="62" t="n">
        <x:v>26.54911081120387</x:v>
      </x:c>
      <x:c r="H521" s="29" t="str">
        <x:v>YES</x:v>
      </x:c>
      <x:c r="I521" s="29" t="str">
        <x:v>NHPN-gated shared-boundary SCA path</x:v>
      </x:c>
      <x:c r="J521" s="29" t="str">
        <x:v>presence does not prove operability or capacity</x:v>
      </x:c>
    </x:row>
    <x:row r="522" ht="64.80000305175781" hidden="0" customHeight="1">
      <x:c r="A522" s="27" t="str">
        <x:v>SCA-05</x:v>
      </x:c>
      <x:c r="B522" s="27" t="str">
        <x:v>SCA-07</x:v>
      </x:c>
      <x:c r="C522" s="27" t="str">
        <x:v>Rail</x:v>
      </x:c>
      <x:c r="D522" s="27" t="str">
        <x:v>YES</x:v>
      </x:c>
      <x:c r="E522" s="27" t="str">
        <x:v>YES</x:v>
      </x:c>
      <x:c r="F522" s="61" t="n">
        <x:v>382.1263786363302</x:v>
      </x:c>
      <x:c r="G522" s="61" t="n">
        <x:v>31.45894826623329</x:v>
      </x:c>
      <x:c r="H522" s="27" t="str">
        <x:v>YES</x:v>
      </x:c>
      <x:c r="I522" s="27" t="str">
        <x:v>NARN shared-node topology; deployable terminal required</x:v>
      </x:c>
      <x:c r="J522" s="27" t="str">
        <x:v>presence does not prove operability or capacity</x:v>
      </x:c>
    </x:row>
    <x:row r="523" ht="54" hidden="0" customHeight="1">
      <x:c r="A523" s="29" t="str">
        <x:v>SCA-05</x:v>
      </x:c>
      <x:c r="B523" s="29" t="str">
        <x:v>SCA-07</x:v>
      </x:c>
      <x:c r="C523" s="29" t="str">
        <x:v>Air</x:v>
      </x:c>
      <x:c r="D523" s="29" t="str">
        <x:v>YES</x:v>
      </x:c>
      <x:c r="E523" s="29" t="str">
        <x:v>YES</x:v>
      </x:c>
      <x:c r="F523" s="62" t="n">
        <x:v>313.2183431445329</x:v>
      </x:c>
      <x:c r="G523" s="62" t="n">
        <x:v>24.48187437406851</x:v>
      </x:c>
      <x:c r="H523" s="29" t="str">
        <x:v>YES</x:v>
      </x:c>
      <x:c r="I523" s="29" t="str">
        <x:v>primary-airport endpoints; great-circle screen</x:v>
      </x:c>
      <x:c r="J523" s="29" t="str">
        <x:v>presence does not prove operability or capacity</x:v>
      </x:c>
    </x:row>
    <x:row r="524" ht="64.80000305175781" hidden="0" customHeight="1">
      <x:c r="A524" s="27" t="str">
        <x:v>SCA-05</x:v>
      </x:c>
      <x:c r="B524" s="27" t="str">
        <x:v>SCA-07</x:v>
      </x:c>
      <x:c r="C524" s="27" t="str">
        <x:v>Water</x:v>
      </x:c>
      <x:c r="D524" s="27" t="str">
        <x:v>YES</x:v>
      </x:c>
      <x:c r="E524" s="27" t="str">
        <x:v>YES</x:v>
      </x:c>
      <x:c r="F524" s="61" t="n">
        <x:v>391.5229289306661</x:v>
      </x:c>
      <x:c r="G524" s="61" t="n">
        <x:v>41.18636939801903</x:v>
      </x:c>
      <x:c r="H524" s="27" t="str">
        <x:v>YES</x:v>
      </x:c>
      <x:c r="I524" s="27" t="str">
        <x:v>observed water terminals; maritime great-circle screen</x:v>
      </x:c>
      <x:c r="J524" s="27" t="str">
        <x:v>presence does not prove operability or capacity</x:v>
      </x:c>
    </x:row>
    <x:row r="525" ht="54" hidden="0" customHeight="1">
      <x:c r="A525" s="29" t="str">
        <x:v>SCA-05</x:v>
      </x:c>
      <x:c r="B525" s="29" t="str">
        <x:v>SCA-08</x:v>
      </x:c>
      <x:c r="C525" s="29" t="str">
        <x:v>Road</x:v>
      </x:c>
      <x:c r="D525" s="29" t="str">
        <x:v>YES</x:v>
      </x:c>
      <x:c r="E525" s="29" t="str">
        <x:v>YES</x:v>
      </x:c>
      <x:c r="F525" s="62" t="n">
        <x:v>1514.582119579909</x:v>
      </x:c>
      <x:c r="G525" s="62" t="n">
        <x:v>47.5378567196347</x:v>
      </x:c>
      <x:c r="H525" s="29" t="str">
        <x:v>YES</x:v>
      </x:c>
      <x:c r="I525" s="29" t="str">
        <x:v>NHPN-gated shared-boundary SCA path</x:v>
      </x:c>
      <x:c r="J525" s="29" t="str">
        <x:v>presence does not prove operability or capacity</x:v>
      </x:c>
    </x:row>
    <x:row r="526" ht="64.80000305175781" hidden="0" customHeight="1">
      <x:c r="A526" s="27" t="str">
        <x:v>SCA-05</x:v>
      </x:c>
      <x:c r="B526" s="27" t="str">
        <x:v>SCA-08</x:v>
      </x:c>
      <x:c r="C526" s="27" t="str">
        <x:v>Rail</x:v>
      </x:c>
      <x:c r="D526" s="27" t="str">
        <x:v>YES</x:v>
      </x:c>
      <x:c r="E526" s="27" t="str">
        <x:v>YES</x:v>
      </x:c>
      <x:c r="F526" s="61" t="n">
        <x:v>1744.5966313388656</x:v>
      </x:c>
      <x:c r="G526" s="61" t="n">
        <x:v>50.922809019126646</x:v>
      </x:c>
      <x:c r="H526" s="27" t="str">
        <x:v>YES</x:v>
      </x:c>
      <x:c r="I526" s="27" t="str">
        <x:v>NARN shared-node topology; deployable terminal required</x:v>
      </x:c>
      <x:c r="J526" s="27" t="str">
        <x:v>presence does not prove operability or capacity</x:v>
      </x:c>
    </x:row>
    <x:row r="527" ht="54" hidden="0" customHeight="1">
      <x:c r="A527" s="29" t="str">
        <x:v>SCA-05</x:v>
      </x:c>
      <x:c r="B527" s="29" t="str">
        <x:v>SCA-08</x:v>
      </x:c>
      <x:c r="C527" s="29" t="str">
        <x:v>Air</x:v>
      </x:c>
      <x:c r="D527" s="29" t="str">
        <x:v>YES</x:v>
      </x:c>
      <x:c r="E527" s="29" t="str">
        <x:v>YES</x:v>
      </x:c>
      <x:c r="F527" s="62" t="n">
        <x:v>1196.7714680957508</x:v>
      </x:c>
      <x:c r="G527" s="62" t="n">
        <x:v>25.841186873993465</x:v>
      </x:c>
      <x:c r="H527" s="29" t="str">
        <x:v>YES</x:v>
      </x:c>
      <x:c r="I527" s="29" t="str">
        <x:v>primary-airport endpoints; great-circle screen</x:v>
      </x:c>
      <x:c r="J527" s="29" t="str">
        <x:v>presence does not prove operability or capacity</x:v>
      </x:c>
    </x:row>
    <x:row r="528" ht="75.5999984741211" hidden="0" customHeight="1">
      <x:c r="A528" s="27" t="str">
        <x:v>SCA-05</x:v>
      </x:c>
      <x:c r="B528" s="27" t="str">
        <x:v>SCA-08</x:v>
      </x:c>
      <x:c r="C528" s="27" t="str">
        <x:v>Water</x:v>
      </x:c>
      <x:c r="D528" s="27" t="str">
        <x:v>YES</x:v>
      </x:c>
      <x:c r="E528" s="27" t="str">
        <x:v>YES</x:v>
      </x:c>
      <x:c r="F528" s="61" t="n">
        <x:v>2585.740532286558</x:v>
      </x:c>
      <x:c r="G528" s="61" t="n">
        <x:v>103.87830092247309</x:v>
      </x:c>
      <x:c r="H528" s="27" t="str">
        <x:v>NO</x:v>
      </x:c>
      <x:c r="I528" s="27" t="str">
        <x:v>USACE waterway node topology; deployable terminal required</x:v>
      </x:c>
      <x:c r="J528" s="27" t="str">
        <x:v>presence does not prove operability or capacity</x:v>
      </x:c>
    </x:row>
    <x:row r="529" ht="54" hidden="0" customHeight="1">
      <x:c r="A529" s="29" t="str">
        <x:v>SCA-05</x:v>
      </x:c>
      <x:c r="B529" s="29" t="str">
        <x:v>SCA-09</x:v>
      </x:c>
      <x:c r="C529" s="29" t="str">
        <x:v>Road</x:v>
      </x:c>
      <x:c r="D529" s="29" t="str">
        <x:v>YES</x:v>
      </x:c>
      <x:c r="E529" s="29" t="str">
        <x:v>YES</x:v>
      </x:c>
      <x:c r="F529" s="62" t="n">
        <x:v>690.4768240419543</x:v>
      </x:c>
      <x:c r="G529" s="62" t="n">
        <x:v>32.55412407349008</x:v>
      </x:c>
      <x:c r="H529" s="29" t="str">
        <x:v>YES</x:v>
      </x:c>
      <x:c r="I529" s="29" t="str">
        <x:v>NHPN-gated shared-boundary SCA path</x:v>
      </x:c>
      <x:c r="J529" s="29" t="str">
        <x:v>presence does not prove operability or capacity</x:v>
      </x:c>
    </x:row>
    <x:row r="530" ht="64.80000305175781" hidden="0" customHeight="1">
      <x:c r="A530" s="27" t="str">
        <x:v>SCA-05</x:v>
      </x:c>
      <x:c r="B530" s="27" t="str">
        <x:v>SCA-09</x:v>
      </x:c>
      <x:c r="C530" s="27" t="str">
        <x:v>Rail</x:v>
      </x:c>
      <x:c r="D530" s="27" t="str">
        <x:v>YES</x:v>
      </x:c>
      <x:c r="E530" s="27" t="str">
        <x:v>YES</x:v>
      </x:c>
      <x:c r="F530" s="61" t="n">
        <x:v>732.5058481140734</x:v>
      </x:c>
      <x:c r="G530" s="61" t="n">
        <x:v>36.46436925877248</x:v>
      </x:c>
      <x:c r="H530" s="27" t="str">
        <x:v>YES</x:v>
      </x:c>
      <x:c r="I530" s="27" t="str">
        <x:v>NARN shared-node topology; deployable terminal required</x:v>
      </x:c>
      <x:c r="J530" s="27" t="str">
        <x:v>presence does not prove operability or capacity</x:v>
      </x:c>
    </x:row>
    <x:row r="531" ht="54" hidden="0" customHeight="1">
      <x:c r="A531" s="29" t="str">
        <x:v>SCA-05</x:v>
      </x:c>
      <x:c r="B531" s="29" t="str">
        <x:v>SCA-09</x:v>
      </x:c>
      <x:c r="C531" s="29" t="str">
        <x:v>Air</x:v>
      </x:c>
      <x:c r="D531" s="29" t="str">
        <x:v>YES</x:v>
      </x:c>
      <x:c r="E531" s="29" t="str">
        <x:v>YES</x:v>
      </x:c>
      <x:c r="F531" s="62" t="n">
        <x:v>581.1075323840885</x:v>
      </x:c>
      <x:c r="G531" s="62" t="n">
        <x:v>24.894011588283213</x:v>
      </x:c>
      <x:c r="H531" s="29" t="str">
        <x:v>YES</x:v>
      </x:c>
      <x:c r="I531" s="29" t="str">
        <x:v>primary-airport endpoints; great-circle screen</x:v>
      </x:c>
      <x:c r="J531" s="29" t="str">
        <x:v>presence does not prove operability or capacity</x:v>
      </x:c>
    </x:row>
    <x:row r="532" ht="54" hidden="0" customHeight="1">
      <x:c r="A532" s="27" t="str">
        <x:v>SCA-05</x:v>
      </x:c>
      <x:c r="B532" s="27" t="str">
        <x:v>SCA-09</x:v>
      </x:c>
      <x:c r="C532" s="27" t="str">
        <x:v>Water</x:v>
      </x:c>
      <x:c r="D532" s="27" t="str">
        <x:v>NO</x:v>
      </x:c>
      <x:c r="E532" s="27" t="str">
        <x:v>NO</x:v>
      </x:c>
      <x:c r="F532" s="61"/>
      <x:c r="G532" s="61"/>
      <x:c r="H532" s="27" t="str">
        <x:v>NO</x:v>
      </x:c>
      <x:c r="I532" s="27" t="str">
        <x:v>no screened path</x:v>
      </x:c>
      <x:c r="J532" s="27" t="str">
        <x:v>presence does not prove operability or capacity</x:v>
      </x:c>
    </x:row>
    <x:row r="533" ht="54" hidden="0" customHeight="1">
      <x:c r="A533" s="29" t="str">
        <x:v>SCA-05</x:v>
      </x:c>
      <x:c r="B533" s="29" t="str">
        <x:v>SCA-10</x:v>
      </x:c>
      <x:c r="C533" s="29" t="str">
        <x:v>Road</x:v>
      </x:c>
      <x:c r="D533" s="29" t="str">
        <x:v>YES</x:v>
      </x:c>
      <x:c r="E533" s="29" t="str">
        <x:v>YES</x:v>
      </x:c>
      <x:c r="F533" s="62" t="n">
        <x:v>1174.4003972256673</x:v>
      </x:c>
      <x:c r="G533" s="62" t="n">
        <x:v>41.35273449501213</x:v>
      </x:c>
      <x:c r="H533" s="29" t="str">
        <x:v>YES</x:v>
      </x:c>
      <x:c r="I533" s="29" t="str">
        <x:v>NHPN-gated shared-boundary SCA path</x:v>
      </x:c>
      <x:c r="J533" s="29" t="str">
        <x:v>presence does not prove operability or capacity</x:v>
      </x:c>
    </x:row>
    <x:row r="534" ht="64.80000305175781" hidden="0" customHeight="1">
      <x:c r="A534" s="27" t="str">
        <x:v>SCA-05</x:v>
      </x:c>
      <x:c r="B534" s="27" t="str">
        <x:v>SCA-10</x:v>
      </x:c>
      <x:c r="C534" s="27" t="str">
        <x:v>Rail</x:v>
      </x:c>
      <x:c r="D534" s="27" t="str">
        <x:v>YES</x:v>
      </x:c>
      <x:c r="E534" s="27" t="str">
        <x:v>YES</x:v>
      </x:c>
      <x:c r="F534" s="61" t="n">
        <x:v>1245.8856387959254</x:v>
      </x:c>
      <x:c r="G534" s="61" t="n">
        <x:v>43.79836626851322</x:v>
      </x:c>
      <x:c r="H534" s="27" t="str">
        <x:v>YES</x:v>
      </x:c>
      <x:c r="I534" s="27" t="str">
        <x:v>NARN shared-node topology; deployable terminal required</x:v>
      </x:c>
      <x:c r="J534" s="27" t="str">
        <x:v>presence does not prove operability or capacity</x:v>
      </x:c>
    </x:row>
    <x:row r="535" ht="54" hidden="0" customHeight="1">
      <x:c r="A535" s="29" t="str">
        <x:v>SCA-05</x:v>
      </x:c>
      <x:c r="B535" s="29" t="str">
        <x:v>SCA-10</x:v>
      </x:c>
      <x:c r="C535" s="29" t="str">
        <x:v>Air</x:v>
      </x:c>
      <x:c r="D535" s="29" t="str">
        <x:v>YES</x:v>
      </x:c>
      <x:c r="E535" s="29" t="str">
        <x:v>YES</x:v>
      </x:c>
      <x:c r="F535" s="62" t="n">
        <x:v>986.9438861874215</x:v>
      </x:c>
      <x:c r="G535" s="62" t="n">
        <x:v>25.51837520951911</x:v>
      </x:c>
      <x:c r="H535" s="29" t="str">
        <x:v>YES</x:v>
      </x:c>
      <x:c r="I535" s="29" t="str">
        <x:v>primary-airport endpoints; great-circle screen</x:v>
      </x:c>
      <x:c r="J535" s="29" t="str">
        <x:v>presence does not prove operability or capacity</x:v>
      </x:c>
    </x:row>
    <x:row r="536" ht="54" hidden="0" customHeight="1">
      <x:c r="A536" s="27" t="str">
        <x:v>SCA-05</x:v>
      </x:c>
      <x:c r="B536" s="27" t="str">
        <x:v>SCA-10</x:v>
      </x:c>
      <x:c r="C536" s="27" t="str">
        <x:v>Water</x:v>
      </x:c>
      <x:c r="D536" s="27" t="str">
        <x:v>NO</x:v>
      </x:c>
      <x:c r="E536" s="27" t="str">
        <x:v>NO</x:v>
      </x:c>
      <x:c r="F536" s="61"/>
      <x:c r="G536" s="61"/>
      <x:c r="H536" s="27" t="str">
        <x:v>NO</x:v>
      </x:c>
      <x:c r="I536" s="27" t="str">
        <x:v>no screened path</x:v>
      </x:c>
      <x:c r="J536" s="27" t="str">
        <x:v>presence does not prove operability or capacity</x:v>
      </x:c>
    </x:row>
    <x:row r="537" ht="54" hidden="0" customHeight="1">
      <x:c r="A537" s="29" t="str">
        <x:v>SCA-05</x:v>
      </x:c>
      <x:c r="B537" s="29" t="str">
        <x:v>SCA-11</x:v>
      </x:c>
      <x:c r="C537" s="29" t="str">
        <x:v>Road</x:v>
      </x:c>
      <x:c r="D537" s="29" t="str">
        <x:v>YES</x:v>
      </x:c>
      <x:c r="E537" s="29" t="str">
        <x:v>YES</x:v>
      </x:c>
      <x:c r="F537" s="62" t="n">
        <x:v>1442.2291755115648</x:v>
      </x:c>
      <x:c r="G537" s="62" t="n">
        <x:v>46.222348645664816</x:v>
      </x:c>
      <x:c r="H537" s="29" t="str">
        <x:v>YES</x:v>
      </x:c>
      <x:c r="I537" s="29" t="str">
        <x:v>NHPN-gated shared-boundary SCA path</x:v>
      </x:c>
      <x:c r="J537" s="29" t="str">
        <x:v>presence does not prove operability or capacity</x:v>
      </x:c>
    </x:row>
    <x:row r="538" ht="64.80000305175781" hidden="0" customHeight="1">
      <x:c r="A538" s="27" t="str">
        <x:v>SCA-05</x:v>
      </x:c>
      <x:c r="B538" s="27" t="str">
        <x:v>SCA-11</x:v>
      </x:c>
      <x:c r="C538" s="27" t="str">
        <x:v>Rail</x:v>
      </x:c>
      <x:c r="D538" s="27" t="str">
        <x:v>YES</x:v>
      </x:c>
      <x:c r="E538" s="27" t="str">
        <x:v>YES</x:v>
      </x:c>
      <x:c r="F538" s="61" t="n">
        <x:v>1530.0170383687907</x:v>
      </x:c>
      <x:c r="G538" s="61" t="n">
        <x:v>47.857386262411296</x:v>
      </x:c>
      <x:c r="H538" s="27" t="str">
        <x:v>YES</x:v>
      </x:c>
      <x:c r="I538" s="27" t="str">
        <x:v>NARN shared-node topology; deployable terminal required</x:v>
      </x:c>
      <x:c r="J538" s="27" t="str">
        <x:v>presence does not prove operability or capacity</x:v>
      </x:c>
    </x:row>
    <x:row r="539" ht="54" hidden="0" customHeight="1">
      <x:c r="A539" s="29" t="str">
        <x:v>SCA-05</x:v>
      </x:c>
      <x:c r="B539" s="29" t="str">
        <x:v>SCA-11</x:v>
      </x:c>
      <x:c r="C539" s="29" t="str">
        <x:v>Air</x:v>
      </x:c>
      <x:c r="D539" s="29" t="str">
        <x:v>YES</x:v>
      </x:c>
      <x:c r="E539" s="29" t="str">
        <x:v>YES</x:v>
      </x:c>
      <x:c r="F539" s="62" t="n">
        <x:v>1224.265088211578</x:v>
      </x:c>
      <x:c r="G539" s="62" t="n">
        <x:v>25.883484751094734</x:v>
      </x:c>
      <x:c r="H539" s="29" t="str">
        <x:v>YES</x:v>
      </x:c>
      <x:c r="I539" s="29" t="str">
        <x:v>primary-airport endpoints; great-circle screen</x:v>
      </x:c>
      <x:c r="J539" s="29" t="str">
        <x:v>presence does not prove operability or capacity</x:v>
      </x:c>
    </x:row>
    <x:row r="540" ht="54" hidden="0" customHeight="1">
      <x:c r="A540" s="27" t="str">
        <x:v>SCA-05</x:v>
      </x:c>
      <x:c r="B540" s="27" t="str">
        <x:v>SCA-11</x:v>
      </x:c>
      <x:c r="C540" s="27" t="str">
        <x:v>Water</x:v>
      </x:c>
      <x:c r="D540" s="27" t="str">
        <x:v>NO</x:v>
      </x:c>
      <x:c r="E540" s="27" t="str">
        <x:v>NO</x:v>
      </x:c>
      <x:c r="F540" s="61"/>
      <x:c r="G540" s="61"/>
      <x:c r="H540" s="27" t="str">
        <x:v>NO</x:v>
      </x:c>
      <x:c r="I540" s="27" t="str">
        <x:v>no screened path</x:v>
      </x:c>
      <x:c r="J540" s="27" t="str">
        <x:v>presence does not prove operability or capacity</x:v>
      </x:c>
    </x:row>
    <x:row r="541" ht="54" hidden="0" customHeight="1">
      <x:c r="A541" s="29" t="str">
        <x:v>SCA-05</x:v>
      </x:c>
      <x:c r="B541" s="29" t="str">
        <x:v>SCA-12</x:v>
      </x:c>
      <x:c r="C541" s="29" t="str">
        <x:v>Road</x:v>
      </x:c>
      <x:c r="D541" s="29" t="str">
        <x:v>YES</x:v>
      </x:c>
      <x:c r="E541" s="29" t="str">
        <x:v>YES</x:v>
      </x:c>
      <x:c r="F541" s="62" t="n">
        <x:v>1786.5531655007685</x:v>
      </x:c>
      <x:c r="G541" s="62" t="n">
        <x:v>52.4827848272867</x:v>
      </x:c>
      <x:c r="H541" s="29" t="str">
        <x:v>YES</x:v>
      </x:c>
      <x:c r="I541" s="29" t="str">
        <x:v>NHPN-gated shared-boundary SCA path</x:v>
      </x:c>
      <x:c r="J541" s="29" t="str">
        <x:v>presence does not prove operability or capacity</x:v>
      </x:c>
    </x:row>
    <x:row r="542" ht="64.80000305175781" hidden="0" customHeight="1">
      <x:c r="A542" s="27" t="str">
        <x:v>SCA-05</x:v>
      </x:c>
      <x:c r="B542" s="27" t="str">
        <x:v>SCA-12</x:v>
      </x:c>
      <x:c r="C542" s="27" t="str">
        <x:v>Rail</x:v>
      </x:c>
      <x:c r="D542" s="27" t="str">
        <x:v>YES</x:v>
      </x:c>
      <x:c r="E542" s="27" t="str">
        <x:v>YES</x:v>
      </x:c>
      <x:c r="F542" s="61" t="n">
        <x:v>1963.3071291791077</x:v>
      </x:c>
      <x:c r="G542" s="61" t="n">
        <x:v>54.047244702558686</x:v>
      </x:c>
      <x:c r="H542" s="27" t="str">
        <x:v>YES</x:v>
      </x:c>
      <x:c r="I542" s="27" t="str">
        <x:v>NARN shared-node topology; deployable terminal required</x:v>
      </x:c>
      <x:c r="J542" s="27" t="str">
        <x:v>presence does not prove operability or capacity</x:v>
      </x:c>
    </x:row>
    <x:row r="543" ht="54" hidden="0" customHeight="1">
      <x:c r="A543" s="29" t="str">
        <x:v>SCA-05</x:v>
      </x:c>
      <x:c r="B543" s="29" t="str">
        <x:v>SCA-12</x:v>
      </x:c>
      <x:c r="C543" s="29" t="str">
        <x:v>Air</x:v>
      </x:c>
      <x:c r="D543" s="29" t="str">
        <x:v>YES</x:v>
      </x:c>
      <x:c r="E543" s="29" t="str">
        <x:v>YES</x:v>
      </x:c>
      <x:c r="F543" s="62" t="n">
        <x:v>1328.3543189781176</x:v>
      </x:c>
      <x:c r="G543" s="62" t="n">
        <x:v>26.043622029197103</x:v>
      </x:c>
      <x:c r="H543" s="29" t="str">
        <x:v>YES</x:v>
      </x:c>
      <x:c r="I543" s="29" t="str">
        <x:v>primary-airport endpoints; great-circle screen</x:v>
      </x:c>
      <x:c r="J543" s="29" t="str">
        <x:v>presence does not prove operability or capacity</x:v>
      </x:c>
    </x:row>
    <x:row r="544" ht="54" hidden="0" customHeight="1">
      <x:c r="A544" s="27" t="str">
        <x:v>SCA-05</x:v>
      </x:c>
      <x:c r="B544" s="27" t="str">
        <x:v>SCA-12</x:v>
      </x:c>
      <x:c r="C544" s="27" t="str">
        <x:v>Water</x:v>
      </x:c>
      <x:c r="D544" s="27" t="str">
        <x:v>NO</x:v>
      </x:c>
      <x:c r="E544" s="27" t="str">
        <x:v>NO</x:v>
      </x:c>
      <x:c r="F544" s="61"/>
      <x:c r="G544" s="61"/>
      <x:c r="H544" s="27" t="str">
        <x:v>NO</x:v>
      </x:c>
      <x:c r="I544" s="27" t="str">
        <x:v>no screened path</x:v>
      </x:c>
      <x:c r="J544" s="27" t="str">
        <x:v>presence does not prove operability or capacity</x:v>
      </x:c>
    </x:row>
    <x:row r="545" ht="54" hidden="0" customHeight="1">
      <x:c r="A545" s="29" t="str">
        <x:v>SCA-05</x:v>
      </x:c>
      <x:c r="B545" s="29" t="str">
        <x:v>SCA-13</x:v>
      </x:c>
      <x:c r="C545" s="29" t="str">
        <x:v>Road</x:v>
      </x:c>
      <x:c r="D545" s="29" t="str">
        <x:v>NO</x:v>
      </x:c>
      <x:c r="E545" s="29" t="str">
        <x:v>NO</x:v>
      </x:c>
      <x:c r="F545" s="62"/>
      <x:c r="G545" s="62"/>
      <x:c r="H545" s="29" t="str">
        <x:v>NO</x:v>
      </x:c>
      <x:c r="I545" s="29" t="str">
        <x:v>no screened path</x:v>
      </x:c>
      <x:c r="J545" s="29" t="str">
        <x:v>presence does not prove operability or capacity</x:v>
      </x:c>
    </x:row>
    <x:row r="546" ht="64.80000305175781" hidden="0" customHeight="1">
      <x:c r="A546" s="27" t="str">
        <x:v>SCA-05</x:v>
      </x:c>
      <x:c r="B546" s="27" t="str">
        <x:v>SCA-13</x:v>
      </x:c>
      <x:c r="C546" s="27" t="str">
        <x:v>Rail</x:v>
      </x:c>
      <x:c r="D546" s="27" t="str">
        <x:v>YES</x:v>
      </x:c>
      <x:c r="E546" s="27" t="str">
        <x:v>YES</x:v>
      </x:c>
      <x:c r="F546" s="61" t="n">
        <x:v>2451.4360684829917</x:v>
      </x:c>
      <x:c r="G546" s="61" t="n">
        <x:v>61.020515264042736</x:v>
      </x:c>
      <x:c r="H546" s="27" t="str">
        <x:v>YES</x:v>
      </x:c>
      <x:c r="I546" s="27" t="str">
        <x:v>NARN shared-node topology; deployable terminal required</x:v>
      </x:c>
      <x:c r="J546" s="27" t="str">
        <x:v>presence does not prove operability or capacity</x:v>
      </x:c>
    </x:row>
    <x:row r="547" ht="54" hidden="0" customHeight="1">
      <x:c r="A547" s="29" t="str">
        <x:v>SCA-05</x:v>
      </x:c>
      <x:c r="B547" s="29" t="str">
        <x:v>SCA-13</x:v>
      </x:c>
      <x:c r="C547" s="29" t="str">
        <x:v>Air</x:v>
      </x:c>
      <x:c r="D547" s="29" t="str">
        <x:v>YES</x:v>
      </x:c>
      <x:c r="E547" s="29" t="str">
        <x:v>YES</x:v>
      </x:c>
      <x:c r="F547" s="62" t="n">
        <x:v>1957.802033758812</x:v>
      </x:c>
      <x:c r="G547" s="62" t="n">
        <x:v>27.01200312885971</x:v>
      </x:c>
      <x:c r="H547" s="29" t="str">
        <x:v>YES</x:v>
      </x:c>
      <x:c r="I547" s="29" t="str">
        <x:v>primary-airport endpoints; great-circle screen</x:v>
      </x:c>
      <x:c r="J547" s="29" t="str">
        <x:v>presence does not prove operability or capacity</x:v>
      </x:c>
    </x:row>
    <x:row r="548" ht="75.5999984741211" hidden="0" customHeight="1">
      <x:c r="A548" s="27" t="str">
        <x:v>SCA-05</x:v>
      </x:c>
      <x:c r="B548" s="27" t="str">
        <x:v>SCA-13</x:v>
      </x:c>
      <x:c r="C548" s="27" t="str">
        <x:v>Water</x:v>
      </x:c>
      <x:c r="D548" s="27" t="str">
        <x:v>YES</x:v>
      </x:c>
      <x:c r="E548" s="27" t="str">
        <x:v>YES</x:v>
      </x:c>
      <x:c r="F548" s="61" t="n">
        <x:v>7082.156260916694</x:v>
      </x:c>
      <x:c r="G548" s="61" t="n">
        <x:v>232.34732174047699</x:v>
      </x:c>
      <x:c r="H548" s="27" t="str">
        <x:v>NO</x:v>
      </x:c>
      <x:c r="I548" s="27" t="str">
        <x:v>USACE waterway node topology; deployable terminal required</x:v>
      </x:c>
      <x:c r="J548" s="27" t="str">
        <x:v>presence does not prove operability or capacity</x:v>
      </x:c>
    </x:row>
    <x:row r="549" ht="54" hidden="0" customHeight="1">
      <x:c r="A549" s="29" t="str">
        <x:v>SCA-05</x:v>
      </x:c>
      <x:c r="B549" s="29" t="str">
        <x:v>SCA-14</x:v>
      </x:c>
      <x:c r="C549" s="29" t="str">
        <x:v>Road</x:v>
      </x:c>
      <x:c r="D549" s="29" t="str">
        <x:v>NO</x:v>
      </x:c>
      <x:c r="E549" s="29" t="str">
        <x:v>NO</x:v>
      </x:c>
      <x:c r="F549" s="62"/>
      <x:c r="G549" s="62"/>
      <x:c r="H549" s="29" t="str">
        <x:v>NO</x:v>
      </x:c>
      <x:c r="I549" s="29" t="str">
        <x:v>no screened path</x:v>
      </x:c>
      <x:c r="J549" s="29" t="str">
        <x:v>presence does not prove operability or capacity</x:v>
      </x:c>
    </x:row>
    <x:row r="550" ht="64.80000305175781" hidden="0" customHeight="1">
      <x:c r="A550" s="27" t="str">
        <x:v>SCA-05</x:v>
      </x:c>
      <x:c r="B550" s="27" t="str">
        <x:v>SCA-14</x:v>
      </x:c>
      <x:c r="C550" s="27" t="str">
        <x:v>Rail</x:v>
      </x:c>
      <x:c r="D550" s="27" t="str">
        <x:v>YES</x:v>
      </x:c>
      <x:c r="E550" s="27" t="str">
        <x:v>YES</x:v>
      </x:c>
      <x:c r="F550" s="61" t="n">
        <x:v>2879.56569695871</x:v>
      </x:c>
      <x:c r="G550" s="61" t="n">
        <x:v>67.13665281369586</x:v>
      </x:c>
      <x:c r="H550" s="27" t="str">
        <x:v>YES</x:v>
      </x:c>
      <x:c r="I550" s="27" t="str">
        <x:v>NARN shared-node topology; deployable terminal required</x:v>
      </x:c>
      <x:c r="J550" s="27" t="str">
        <x:v>presence does not prove operability or capacity</x:v>
      </x:c>
    </x:row>
    <x:row r="551" ht="54" hidden="0" customHeight="1">
      <x:c r="A551" s="29" t="str">
        <x:v>SCA-05</x:v>
      </x:c>
      <x:c r="B551" s="29" t="str">
        <x:v>SCA-14</x:v>
      </x:c>
      <x:c r="C551" s="29" t="str">
        <x:v>Air</x:v>
      </x:c>
      <x:c r="D551" s="29" t="str">
        <x:v>YES</x:v>
      </x:c>
      <x:c r="E551" s="29" t="str">
        <x:v>YES</x:v>
      </x:c>
      <x:c r="F551" s="62" t="n">
        <x:v>2106.8794821241445</x:v>
      </x:c>
      <x:c r="G551" s="62" t="n">
        <x:v>27.24135304942176</x:v>
      </x:c>
      <x:c r="H551" s="29" t="str">
        <x:v>YES</x:v>
      </x:c>
      <x:c r="I551" s="29" t="str">
        <x:v>primary-airport endpoints; great-circle screen</x:v>
      </x:c>
      <x:c r="J551" s="29" t="str">
        <x:v>presence does not prove operability or capacity</x:v>
      </x:c>
    </x:row>
    <x:row r="552" ht="75.5999984741211" hidden="0" customHeight="1">
      <x:c r="A552" s="27" t="str">
        <x:v>SCA-05</x:v>
      </x:c>
      <x:c r="B552" s="27" t="str">
        <x:v>SCA-14</x:v>
      </x:c>
      <x:c r="C552" s="27" t="str">
        <x:v>Water</x:v>
      </x:c>
      <x:c r="D552" s="27" t="str">
        <x:v>YES</x:v>
      </x:c>
      <x:c r="E552" s="27" t="str">
        <x:v>YES</x:v>
      </x:c>
      <x:c r="F552" s="61" t="n">
        <x:v>7030.162248470015</x:v>
      </x:c>
      <x:c r="G552" s="61" t="n">
        <x:v>230.8617785277147</x:v>
      </x:c>
      <x:c r="H552" s="27" t="str">
        <x:v>NO</x:v>
      </x:c>
      <x:c r="I552" s="27" t="str">
        <x:v>USACE waterway node topology; deployable terminal required</x:v>
      </x:c>
      <x:c r="J552" s="27" t="str">
        <x:v>presence does not prove operability or capacity</x:v>
      </x:c>
    </x:row>
    <x:row r="553" ht="54" hidden="0" customHeight="1">
      <x:c r="A553" s="29" t="str">
        <x:v>SCA-05</x:v>
      </x:c>
      <x:c r="B553" s="29" t="str">
        <x:v>SCA-15</x:v>
      </x:c>
      <x:c r="C553" s="29" t="str">
        <x:v>Road</x:v>
      </x:c>
      <x:c r="D553" s="29" t="str">
        <x:v>YES</x:v>
      </x:c>
      <x:c r="E553" s="29" t="str">
        <x:v>YES</x:v>
      </x:c>
      <x:c r="F553" s="62" t="n">
        <x:v>2347.606843976002</x:v>
      </x:c>
      <x:c r="G553" s="62" t="n">
        <x:v>62.68376079956367</x:v>
      </x:c>
      <x:c r="H553" s="29" t="str">
        <x:v>YES</x:v>
      </x:c>
      <x:c r="I553" s="29" t="str">
        <x:v>NHPN-gated shared-boundary SCA path</x:v>
      </x:c>
      <x:c r="J553" s="29" t="str">
        <x:v>presence does not prove operability or capacity</x:v>
      </x:c>
    </x:row>
    <x:row r="554" ht="64.80000305175781" hidden="0" customHeight="1">
      <x:c r="A554" s="27" t="str">
        <x:v>SCA-05</x:v>
      </x:c>
      <x:c r="B554" s="27" t="str">
        <x:v>SCA-15</x:v>
      </x:c>
      <x:c r="C554" s="27" t="str">
        <x:v>Rail</x:v>
      </x:c>
      <x:c r="D554" s="27" t="str">
        <x:v>YES</x:v>
      </x:c>
      <x:c r="E554" s="27" t="str">
        <x:v>YES</x:v>
      </x:c>
      <x:c r="F554" s="61" t="n">
        <x:v>2490.504651870194</x:v>
      </x:c>
      <x:c r="G554" s="61" t="n">
        <x:v>61.57863788385991</x:v>
      </x:c>
      <x:c r="H554" s="27" t="str">
        <x:v>YES</x:v>
      </x:c>
      <x:c r="I554" s="27" t="str">
        <x:v>NARN shared-node topology; deployable terminal required</x:v>
      </x:c>
      <x:c r="J554" s="27" t="str">
        <x:v>presence does not prove operability or capacity</x:v>
      </x:c>
    </x:row>
    <x:row r="555" ht="54" hidden="0" customHeight="1">
      <x:c r="A555" s="29" t="str">
        <x:v>SCA-05</x:v>
      </x:c>
      <x:c r="B555" s="29" t="str">
        <x:v>SCA-15</x:v>
      </x:c>
      <x:c r="C555" s="29" t="str">
        <x:v>Air</x:v>
      </x:c>
      <x:c r="D555" s="29" t="str">
        <x:v>YES</x:v>
      </x:c>
      <x:c r="E555" s="29" t="str">
        <x:v>YES</x:v>
      </x:c>
      <x:c r="F555" s="62" t="n">
        <x:v>2004.0302773918909</x:v>
      </x:c>
      <x:c r="G555" s="62" t="n">
        <x:v>27.083123503679833</x:v>
      </x:c>
      <x:c r="H555" s="29" t="str">
        <x:v>YES</x:v>
      </x:c>
      <x:c r="I555" s="29" t="str">
        <x:v>primary-airport endpoints; great-circle screen</x:v>
      </x:c>
      <x:c r="J555" s="29" t="str">
        <x:v>presence does not prove operability or capacity</x:v>
      </x:c>
    </x:row>
    <x:row r="556" ht="75.5999984741211" hidden="0" customHeight="1">
      <x:c r="A556" s="27" t="str">
        <x:v>SCA-05</x:v>
      </x:c>
      <x:c r="B556" s="27" t="str">
        <x:v>SCA-15</x:v>
      </x:c>
      <x:c r="C556" s="27" t="str">
        <x:v>Water</x:v>
      </x:c>
      <x:c r="D556" s="27" t="str">
        <x:v>YES</x:v>
      </x:c>
      <x:c r="E556" s="27" t="str">
        <x:v>YES</x:v>
      </x:c>
      <x:c r="F556" s="61" t="n">
        <x:v>7122.756471702084</x:v>
      </x:c>
      <x:c r="G556" s="61" t="n">
        <x:v>233.5073277629167</x:v>
      </x:c>
      <x:c r="H556" s="27" t="str">
        <x:v>NO</x:v>
      </x:c>
      <x:c r="I556" s="27" t="str">
        <x:v>USACE waterway node topology; deployable terminal required</x:v>
      </x:c>
      <x:c r="J556" s="27" t="str">
        <x:v>presence does not prove operability or capacity</x:v>
      </x:c>
    </x:row>
    <x:row r="557" ht="54" hidden="0" customHeight="1">
      <x:c r="A557" s="29" t="str">
        <x:v>SCA-05</x:v>
      </x:c>
      <x:c r="B557" s="29" t="str">
        <x:v>SCA-16</x:v>
      </x:c>
      <x:c r="C557" s="29" t="str">
        <x:v>Road</x:v>
      </x:c>
      <x:c r="D557" s="29" t="str">
        <x:v>YES</x:v>
      </x:c>
      <x:c r="E557" s="29" t="str">
        <x:v>YES</x:v>
      </x:c>
      <x:c r="F557" s="62" t="n">
        <x:v>2678.6704074938693</x:v>
      </x:c>
      <x:c r="G557" s="62" t="n">
        <x:v>68.70309831807035</x:v>
      </x:c>
      <x:c r="H557" s="29" t="str">
        <x:v>YES</x:v>
      </x:c>
      <x:c r="I557" s="29" t="str">
        <x:v>NHPN-gated shared-boundary SCA path</x:v>
      </x:c>
      <x:c r="J557" s="29" t="str">
        <x:v>presence does not prove operability or capacity</x:v>
      </x:c>
    </x:row>
    <x:row r="558" ht="64.80000305175781" hidden="0" customHeight="1">
      <x:c r="A558" s="27" t="str">
        <x:v>SCA-05</x:v>
      </x:c>
      <x:c r="B558" s="27" t="str">
        <x:v>SCA-16</x:v>
      </x:c>
      <x:c r="C558" s="27" t="str">
        <x:v>Rail</x:v>
      </x:c>
      <x:c r="D558" s="27" t="str">
        <x:v>YES</x:v>
      </x:c>
      <x:c r="E558" s="27" t="str">
        <x:v>YES</x:v>
      </x:c>
      <x:c r="F558" s="61" t="n">
        <x:v>2909.727159815267</x:v>
      </x:c>
      <x:c r="G558" s="61" t="n">
        <x:v>67.56753085450381</x:v>
      </x:c>
      <x:c r="H558" s="27" t="str">
        <x:v>YES</x:v>
      </x:c>
      <x:c r="I558" s="27" t="str">
        <x:v>NARN shared-node topology; deployable terminal required</x:v>
      </x:c>
      <x:c r="J558" s="27" t="str">
        <x:v>presence does not prove operability or capacity</x:v>
      </x:c>
    </x:row>
    <x:row r="559" ht="54" hidden="0" customHeight="1">
      <x:c r="A559" s="29" t="str">
        <x:v>SCA-05</x:v>
      </x:c>
      <x:c r="B559" s="29" t="str">
        <x:v>SCA-16</x:v>
      </x:c>
      <x:c r="C559" s="29" t="str">
        <x:v>Air</x:v>
      </x:c>
      <x:c r="D559" s="29" t="str">
        <x:v>YES</x:v>
      </x:c>
      <x:c r="E559" s="29" t="str">
        <x:v>YES</x:v>
      </x:c>
      <x:c r="F559" s="62" t="n">
        <x:v>2036.6793447585796</x:v>
      </x:c>
      <x:c r="G559" s="62" t="n">
        <x:v>27.133352838090122</x:v>
      </x:c>
      <x:c r="H559" s="29" t="str">
        <x:v>YES</x:v>
      </x:c>
      <x:c r="I559" s="29" t="str">
        <x:v>primary-airport endpoints; great-circle screen</x:v>
      </x:c>
      <x:c r="J559" s="29" t="str">
        <x:v>presence does not prove operability or capacity</x:v>
      </x:c>
    </x:row>
    <x:row r="560" ht="75.5999984741211" hidden="0" customHeight="1">
      <x:c r="A560" s="27" t="str">
        <x:v>SCA-05</x:v>
      </x:c>
      <x:c r="B560" s="27" t="str">
        <x:v>SCA-16</x:v>
      </x:c>
      <x:c r="C560" s="27" t="str">
        <x:v>Water</x:v>
      </x:c>
      <x:c r="D560" s="27" t="str">
        <x:v>YES</x:v>
      </x:c>
      <x:c r="E560" s="27" t="str">
        <x:v>YES</x:v>
      </x:c>
      <x:c r="F560" s="61" t="n">
        <x:v>7315.703744123298</x:v>
      </x:c>
      <x:c r="G560" s="61" t="n">
        <x:v>239.02010697495137</x:v>
      </x:c>
      <x:c r="H560" s="27" t="str">
        <x:v>NO</x:v>
      </x:c>
      <x:c r="I560" s="27" t="str">
        <x:v>USACE waterway node topology; deployable terminal required</x:v>
      </x:c>
      <x:c r="J560" s="27" t="str">
        <x:v>presence does not prove operability or capacity</x:v>
      </x:c>
    </x:row>
    <x:row r="561" ht="54" hidden="0" customHeight="1">
      <x:c r="A561" s="29" t="str">
        <x:v>SCA-05</x:v>
      </x:c>
      <x:c r="B561" s="29" t="str">
        <x:v>SCA-17</x:v>
      </x:c>
      <x:c r="C561" s="29" t="str">
        <x:v>Road</x:v>
      </x:c>
      <x:c r="D561" s="29" t="str">
        <x:v>YES</x:v>
      </x:c>
      <x:c r="E561" s="29" t="str">
        <x:v>YES</x:v>
      </x:c>
      <x:c r="F561" s="62" t="n">
        <x:v>2816.419236798973</x:v>
      </x:c>
      <x:c r="G561" s="62" t="n">
        <x:v>71.20762248725406</x:v>
      </x:c>
      <x:c r="H561" s="29" t="str">
        <x:v>YES</x:v>
      </x:c>
      <x:c r="I561" s="29" t="str">
        <x:v>NHPN-gated shared-boundary SCA path</x:v>
      </x:c>
      <x:c r="J561" s="29" t="str">
        <x:v>presence does not prove operability or capacity</x:v>
      </x:c>
    </x:row>
    <x:row r="562" ht="64.80000305175781" hidden="0" customHeight="1">
      <x:c r="A562" s="27" t="str">
        <x:v>SCA-05</x:v>
      </x:c>
      <x:c r="B562" s="27" t="str">
        <x:v>SCA-17</x:v>
      </x:c>
      <x:c r="C562" s="27" t="str">
        <x:v>Rail</x:v>
      </x:c>
      <x:c r="D562" s="27" t="str">
        <x:v>YES</x:v>
      </x:c>
      <x:c r="E562" s="27" t="str">
        <x:v>YES</x:v>
      </x:c>
      <x:c r="F562" s="61" t="n">
        <x:v>2910.0877919207965</x:v>
      </x:c>
      <x:c r="G562" s="61" t="n">
        <x:v>67.57268274172566</x:v>
      </x:c>
      <x:c r="H562" s="27" t="str">
        <x:v>YES</x:v>
      </x:c>
      <x:c r="I562" s="27" t="str">
        <x:v>NARN shared-node topology; deployable terminal required</x:v>
      </x:c>
      <x:c r="J562" s="27" t="str">
        <x:v>presence does not prove operability or capacity</x:v>
      </x:c>
    </x:row>
    <x:row r="563" ht="54" hidden="0" customHeight="1">
      <x:c r="A563" s="29" t="str">
        <x:v>SCA-05</x:v>
      </x:c>
      <x:c r="B563" s="29" t="str">
        <x:v>SCA-17</x:v>
      </x:c>
      <x:c r="C563" s="29" t="str">
        <x:v>Air</x:v>
      </x:c>
      <x:c r="D563" s="29" t="str">
        <x:v>YES</x:v>
      </x:c>
      <x:c r="E563" s="29" t="str">
        <x:v>YES</x:v>
      </x:c>
      <x:c r="F563" s="62" t="n">
        <x:v>2311.7441811479594</x:v>
      </x:c>
      <x:c r="G563" s="62" t="n">
        <x:v>27.5565295094584</x:v>
      </x:c>
      <x:c r="H563" s="29" t="str">
        <x:v>YES</x:v>
      </x:c>
      <x:c r="I563" s="29" t="str">
        <x:v>primary-airport endpoints; great-circle screen</x:v>
      </x:c>
      <x:c r="J563" s="29" t="str">
        <x:v>presence does not prove operability or capacity</x:v>
      </x:c>
    </x:row>
    <x:row r="564" ht="75.5999984741211" hidden="0" customHeight="1">
      <x:c r="A564" s="27" t="str">
        <x:v>SCA-05</x:v>
      </x:c>
      <x:c r="B564" s="27" t="str">
        <x:v>SCA-17</x:v>
      </x:c>
      <x:c r="C564" s="27" t="str">
        <x:v>Water</x:v>
      </x:c>
      <x:c r="D564" s="27" t="str">
        <x:v>YES</x:v>
      </x:c>
      <x:c r="E564" s="27" t="str">
        <x:v>YES</x:v>
      </x:c>
      <x:c r="F564" s="61" t="n">
        <x:v>6600.947895342603</x:v>
      </x:c>
      <x:c r="G564" s="61" t="n">
        <x:v>218.59851129550296</x:v>
      </x:c>
      <x:c r="H564" s="27" t="str">
        <x:v>NO</x:v>
      </x:c>
      <x:c r="I564" s="27" t="str">
        <x:v>USACE waterway node topology; deployable terminal required</x:v>
      </x:c>
      <x:c r="J564" s="27" t="str">
        <x:v>presence does not prove operability or capacity</x:v>
      </x:c>
    </x:row>
    <x:row r="565" ht="54" hidden="0" customHeight="1">
      <x:c r="A565" s="29" t="str">
        <x:v>SCA-05</x:v>
      </x:c>
      <x:c r="B565" s="29" t="str">
        <x:v>SCA-18</x:v>
      </x:c>
      <x:c r="C565" s="29" t="str">
        <x:v>Road</x:v>
      </x:c>
      <x:c r="D565" s="29" t="str">
        <x:v>YES</x:v>
      </x:c>
      <x:c r="E565" s="29" t="str">
        <x:v>YES</x:v>
      </x:c>
      <x:c r="F565" s="62" t="n">
        <x:v>3018.0074571722253</x:v>
      </x:c>
      <x:c r="G565" s="62" t="n">
        <x:v>74.87286285767682</x:v>
      </x:c>
      <x:c r="H565" s="29" t="str">
        <x:v>NO</x:v>
      </x:c>
      <x:c r="I565" s="29" t="str">
        <x:v>NHPN-gated shared-boundary SCA path</x:v>
      </x:c>
      <x:c r="J565" s="29" t="str">
        <x:v>presence does not prove operability or capacity</x:v>
      </x:c>
    </x:row>
    <x:row r="566" ht="64.80000305175781" hidden="0" customHeight="1">
      <x:c r="A566" s="27" t="str">
        <x:v>SCA-05</x:v>
      </x:c>
      <x:c r="B566" s="27" t="str">
        <x:v>SCA-18</x:v>
      </x:c>
      <x:c r="C566" s="27" t="str">
        <x:v>Rail</x:v>
      </x:c>
      <x:c r="D566" s="27" t="str">
        <x:v>YES</x:v>
      </x:c>
      <x:c r="E566" s="27" t="str">
        <x:v>YES</x:v>
      </x:c>
      <x:c r="F566" s="61" t="n">
        <x:v>3269.719508169697</x:v>
      </x:c>
      <x:c r="G566" s="61" t="n">
        <x:v>72.71027868813852</x:v>
      </x:c>
      <x:c r="H566" s="27" t="str">
        <x:v>NO</x:v>
      </x:c>
      <x:c r="I566" s="27" t="str">
        <x:v>NARN shared-node topology; deployable terminal required</x:v>
      </x:c>
      <x:c r="J566" s="27" t="str">
        <x:v>presence does not prove operability or capacity</x:v>
      </x:c>
    </x:row>
    <x:row r="567" ht="54" hidden="0" customHeight="1">
      <x:c r="A567" s="29" t="str">
        <x:v>SCA-05</x:v>
      </x:c>
      <x:c r="B567" s="29" t="str">
        <x:v>SCA-18</x:v>
      </x:c>
      <x:c r="C567" s="29" t="str">
        <x:v>Air</x:v>
      </x:c>
      <x:c r="D567" s="29" t="str">
        <x:v>YES</x:v>
      </x:c>
      <x:c r="E567" s="29" t="str">
        <x:v>YES</x:v>
      </x:c>
      <x:c r="F567" s="62" t="n">
        <x:v>2378.2962362023613</x:v>
      </x:c>
      <x:c r="G567" s="62" t="n">
        <x:v>27.658917286465172</x:v>
      </x:c>
      <x:c r="H567" s="29" t="str">
        <x:v>YES</x:v>
      </x:c>
      <x:c r="I567" s="29" t="str">
        <x:v>primary-airport endpoints; great-circle screen</x:v>
      </x:c>
      <x:c r="J567" s="29" t="str">
        <x:v>presence does not prove operability or capacity</x:v>
      </x:c>
    </x:row>
    <x:row r="568" ht="75.5999984741211" hidden="0" customHeight="1">
      <x:c r="A568" s="27" t="str">
        <x:v>SCA-05</x:v>
      </x:c>
      <x:c r="B568" s="27" t="str">
        <x:v>SCA-18</x:v>
      </x:c>
      <x:c r="C568" s="27" t="str">
        <x:v>Water</x:v>
      </x:c>
      <x:c r="D568" s="27" t="str">
        <x:v>YES</x:v>
      </x:c>
      <x:c r="E568" s="27" t="str">
        <x:v>YES</x:v>
      </x:c>
      <x:c r="F568" s="61" t="n">
        <x:v>8285.940699980732</x:v>
      </x:c>
      <x:c r="G568" s="61" t="n">
        <x:v>266.7411628565924</x:v>
      </x:c>
      <x:c r="H568" s="27" t="str">
        <x:v>NO</x:v>
      </x:c>
      <x:c r="I568" s="27" t="str">
        <x:v>USACE waterway node topology; deployable terminal required</x:v>
      </x:c>
      <x:c r="J568" s="27" t="str">
        <x:v>presence does not prove operability or capacity</x:v>
      </x:c>
    </x:row>
    <x:row r="569" ht="54" hidden="0" customHeight="1">
      <x:c r="A569" s="29" t="str">
        <x:v>SCA-05</x:v>
      </x:c>
      <x:c r="B569" s="29" t="str">
        <x:v>SCA-19</x:v>
      </x:c>
      <x:c r="C569" s="29" t="str">
        <x:v>Road</x:v>
      </x:c>
      <x:c r="D569" s="29" t="str">
        <x:v>YES</x:v>
      </x:c>
      <x:c r="E569" s="29" t="str">
        <x:v>YES</x:v>
      </x:c>
      <x:c r="F569" s="62" t="n">
        <x:v>3200.155581422885</x:v>
      </x:c>
      <x:c r="G569" s="62" t="n">
        <x:v>78.18464693496155</x:v>
      </x:c>
      <x:c r="H569" s="29" t="str">
        <x:v>NO</x:v>
      </x:c>
      <x:c r="I569" s="29" t="str">
        <x:v>NHPN-gated shared-boundary SCA path</x:v>
      </x:c>
      <x:c r="J569" s="29" t="str">
        <x:v>presence does not prove operability or capacity</x:v>
      </x:c>
    </x:row>
    <x:row r="570" ht="64.80000305175781" hidden="0" customHeight="1">
      <x:c r="A570" s="27" t="str">
        <x:v>SCA-05</x:v>
      </x:c>
      <x:c r="B570" s="27" t="str">
        <x:v>SCA-19</x:v>
      </x:c>
      <x:c r="C570" s="27" t="str">
        <x:v>Rail</x:v>
      </x:c>
      <x:c r="D570" s="27" t="str">
        <x:v>YES</x:v>
      </x:c>
      <x:c r="E570" s="27" t="str">
        <x:v>YES</x:v>
      </x:c>
      <x:c r="F570" s="61" t="n">
        <x:v>3462.9549095486577</x:v>
      </x:c>
      <x:c r="G570" s="61" t="n">
        <x:v>75.47078442212367</x:v>
      </x:c>
      <x:c r="H570" s="27" t="str">
        <x:v>NO</x:v>
      </x:c>
      <x:c r="I570" s="27" t="str">
        <x:v>NARN shared-node topology; deployable terminal required</x:v>
      </x:c>
      <x:c r="J570" s="27" t="str">
        <x:v>presence does not prove operability or capacity</x:v>
      </x:c>
    </x:row>
    <x:row r="571" ht="54" hidden="0" customHeight="1">
      <x:c r="A571" s="29" t="str">
        <x:v>SCA-05</x:v>
      </x:c>
      <x:c r="B571" s="29" t="str">
        <x:v>SCA-19</x:v>
      </x:c>
      <x:c r="C571" s="29" t="str">
        <x:v>Air</x:v>
      </x:c>
      <x:c r="D571" s="29" t="str">
        <x:v>YES</x:v>
      </x:c>
      <x:c r="E571" s="29" t="str">
        <x:v>YES</x:v>
      </x:c>
      <x:c r="F571" s="62" t="n">
        <x:v>2488.5614986919595</x:v>
      </x:c>
      <x:c r="G571" s="62" t="n">
        <x:v>27.828556151833784</x:v>
      </x:c>
      <x:c r="H571" s="29" t="str">
        <x:v>YES</x:v>
      </x:c>
      <x:c r="I571" s="29" t="str">
        <x:v>primary-airport endpoints; great-circle screen</x:v>
      </x:c>
      <x:c r="J571" s="29" t="str">
        <x:v>presence does not prove operability or capacity</x:v>
      </x:c>
    </x:row>
    <x:row r="572" ht="75.5999984741211" hidden="0" customHeight="1">
      <x:c r="A572" s="27" t="str">
        <x:v>SCA-05</x:v>
      </x:c>
      <x:c r="B572" s="27" t="str">
        <x:v>SCA-19</x:v>
      </x:c>
      <x:c r="C572" s="27" t="str">
        <x:v>Water</x:v>
      </x:c>
      <x:c r="D572" s="27" t="str">
        <x:v>YES</x:v>
      </x:c>
      <x:c r="E572" s="27" t="str">
        <x:v>YES</x:v>
      </x:c>
      <x:c r="F572" s="61" t="n">
        <x:v>7084.658614400897</x:v>
      </x:c>
      <x:c r="G572" s="61" t="n">
        <x:v>232.41881755431135</x:v>
      </x:c>
      <x:c r="H572" s="27" t="str">
        <x:v>NO</x:v>
      </x:c>
      <x:c r="I572" s="27" t="str">
        <x:v>USACE waterway node topology; deployable terminal required</x:v>
      </x:c>
      <x:c r="J572" s="27" t="str">
        <x:v>presence does not prove operability or capacity</x:v>
      </x:c>
    </x:row>
    <x:row r="573" ht="54" hidden="0" customHeight="1">
      <x:c r="A573" s="29" t="str">
        <x:v>SCA-05</x:v>
      </x:c>
      <x:c r="B573" s="29" t="str">
        <x:v>SCA-20</x:v>
      </x:c>
      <x:c r="C573" s="29" t="str">
        <x:v>Road</x:v>
      </x:c>
      <x:c r="D573" s="29" t="str">
        <x:v>YES</x:v>
      </x:c>
      <x:c r="E573" s="29" t="str">
        <x:v>YES</x:v>
      </x:c>
      <x:c r="F573" s="62" t="n">
        <x:v>3070.600188656452</x:v>
      </x:c>
      <x:c r="G573" s="62" t="n">
        <x:v>75.82909433920821</x:v>
      </x:c>
      <x:c r="H573" s="29" t="str">
        <x:v>NO</x:v>
      </x:c>
      <x:c r="I573" s="29" t="str">
        <x:v>NHPN-gated shared-boundary SCA path</x:v>
      </x:c>
      <x:c r="J573" s="29" t="str">
        <x:v>presence does not prove operability or capacity</x:v>
      </x:c>
    </x:row>
    <x:row r="574" ht="64.80000305175781" hidden="0" customHeight="1">
      <x:c r="A574" s="27" t="str">
        <x:v>SCA-05</x:v>
      </x:c>
      <x:c r="B574" s="27" t="str">
        <x:v>SCA-20</x:v>
      </x:c>
      <x:c r="C574" s="27" t="str">
        <x:v>Rail</x:v>
      </x:c>
      <x:c r="D574" s="27" t="str">
        <x:v>YES</x:v>
      </x:c>
      <x:c r="E574" s="27" t="str">
        <x:v>YES</x:v>
      </x:c>
      <x:c r="F574" s="61" t="n">
        <x:v>3257.50628709641</x:v>
      </x:c>
      <x:c r="G574" s="61" t="n">
        <x:v>72.53580410137728</x:v>
      </x:c>
      <x:c r="H574" s="27" t="str">
        <x:v>NO</x:v>
      </x:c>
      <x:c r="I574" s="27" t="str">
        <x:v>NARN shared-node topology; deployable terminal required</x:v>
      </x:c>
      <x:c r="J574" s="27" t="str">
        <x:v>presence does not prove operability or capacity</x:v>
      </x:c>
    </x:row>
    <x:row r="575" ht="54" hidden="0" customHeight="1">
      <x:c r="A575" s="29" t="str">
        <x:v>SCA-05</x:v>
      </x:c>
      <x:c r="B575" s="29" t="str">
        <x:v>SCA-20</x:v>
      </x:c>
      <x:c r="C575" s="29" t="str">
        <x:v>Air</x:v>
      </x:c>
      <x:c r="D575" s="29" t="str">
        <x:v>YES</x:v>
      </x:c>
      <x:c r="E575" s="29" t="str">
        <x:v>YES</x:v>
      </x:c>
      <x:c r="F575" s="62" t="n">
        <x:v>2595.9587603730465</x:v>
      </x:c>
      <x:c r="G575" s="62" t="n">
        <x:v>27.993782708266224</x:v>
      </x:c>
      <x:c r="H575" s="29" t="str">
        <x:v>YES</x:v>
      </x:c>
      <x:c r="I575" s="29" t="str">
        <x:v>primary-airport endpoints; great-circle screen</x:v>
      </x:c>
      <x:c r="J575" s="29" t="str">
        <x:v>presence does not prove operability or capacity</x:v>
      </x:c>
    </x:row>
    <x:row r="576" ht="75.5999984741211" hidden="0" customHeight="1">
      <x:c r="A576" s="27" t="str">
        <x:v>SCA-05</x:v>
      </x:c>
      <x:c r="B576" s="27" t="str">
        <x:v>SCA-20</x:v>
      </x:c>
      <x:c r="C576" s="27" t="str">
        <x:v>Water</x:v>
      </x:c>
      <x:c r="D576" s="27" t="str">
        <x:v>YES</x:v>
      </x:c>
      <x:c r="E576" s="27" t="str">
        <x:v>YES</x:v>
      </x:c>
      <x:c r="F576" s="61" t="n">
        <x:v>6415.1116733885365</x:v>
      </x:c>
      <x:c r="G576" s="61" t="n">
        <x:v>213.2889049539582</x:v>
      </x:c>
      <x:c r="H576" s="27" t="str">
        <x:v>NO</x:v>
      </x:c>
      <x:c r="I576" s="27" t="str">
        <x:v>USACE waterway node topology; deployable terminal required</x:v>
      </x:c>
      <x:c r="J576" s="27" t="str">
        <x:v>presence does not prove operability or capacity</x:v>
      </x:c>
    </x:row>
    <x:row r="577" ht="54" hidden="0" customHeight="1">
      <x:c r="A577" s="29" t="str">
        <x:v>SCA-05</x:v>
      </x:c>
      <x:c r="B577" s="29" t="str">
        <x:v>SCA-21</x:v>
      </x:c>
      <x:c r="C577" s="29" t="str">
        <x:v>Road</x:v>
      </x:c>
      <x:c r="D577" s="29" t="str">
        <x:v>YES</x:v>
      </x:c>
      <x:c r="E577" s="29" t="str">
        <x:v>YES</x:v>
      </x:c>
      <x:c r="F577" s="62" t="n">
        <x:v>3659.6090032780903</x:v>
      </x:c>
      <x:c r="G577" s="62" t="n">
        <x:v>86.5383455141471</x:v>
      </x:c>
      <x:c r="H577" s="29" t="str">
        <x:v>NO</x:v>
      </x:c>
      <x:c r="I577" s="29" t="str">
        <x:v>NHPN-gated shared-boundary SCA path</x:v>
      </x:c>
      <x:c r="J577" s="29" t="str">
        <x:v>presence does not prove operability or capacity</x:v>
      </x:c>
    </x:row>
    <x:row r="578" ht="64.80000305175781" hidden="0" customHeight="1">
      <x:c r="A578" s="27" t="str">
        <x:v>SCA-05</x:v>
      </x:c>
      <x:c r="B578" s="27" t="str">
        <x:v>SCA-21</x:v>
      </x:c>
      <x:c r="C578" s="27" t="str">
        <x:v>Rail</x:v>
      </x:c>
      <x:c r="D578" s="27" t="str">
        <x:v>YES</x:v>
      </x:c>
      <x:c r="E578" s="27" t="str">
        <x:v>YES</x:v>
      </x:c>
      <x:c r="F578" s="61" t="n">
        <x:v>3950.375061429832</x:v>
      </x:c>
      <x:c r="G578" s="61" t="n">
        <x:v>82.43392944899759</x:v>
      </x:c>
      <x:c r="H578" s="27" t="str">
        <x:v>NO</x:v>
      </x:c>
      <x:c r="I578" s="27" t="str">
        <x:v>NARN shared-node topology; deployable terminal required</x:v>
      </x:c>
      <x:c r="J578" s="27" t="str">
        <x:v>presence does not prove operability or capacity</x:v>
      </x:c>
    </x:row>
    <x:row r="579" ht="54" hidden="0" customHeight="1">
      <x:c r="A579" s="29" t="str">
        <x:v>SCA-05</x:v>
      </x:c>
      <x:c r="B579" s="29" t="str">
        <x:v>SCA-21</x:v>
      </x:c>
      <x:c r="C579" s="29" t="str">
        <x:v>Air</x:v>
      </x:c>
      <x:c r="D579" s="29" t="str">
        <x:v>YES</x:v>
      </x:c>
      <x:c r="E579" s="29" t="str">
        <x:v>YES</x:v>
      </x:c>
      <x:c r="F579" s="62" t="n">
        <x:v>2773.623622558731</x:v>
      </x:c>
      <x:c r="G579" s="62" t="n">
        <x:v>28.26711326547497</x:v>
      </x:c>
      <x:c r="H579" s="29" t="str">
        <x:v>YES</x:v>
      </x:c>
      <x:c r="I579" s="29" t="str">
        <x:v>primary-airport endpoints; great-circle screen</x:v>
      </x:c>
      <x:c r="J579" s="29" t="str">
        <x:v>presence does not prove operability or capacity</x:v>
      </x:c>
    </x:row>
    <x:row r="580" ht="75.5999984741211" hidden="0" customHeight="1">
      <x:c r="A580" s="27" t="str">
        <x:v>SCA-05</x:v>
      </x:c>
      <x:c r="B580" s="27" t="str">
        <x:v>SCA-21</x:v>
      </x:c>
      <x:c r="C580" s="27" t="str">
        <x:v>Water</x:v>
      </x:c>
      <x:c r="D580" s="27" t="str">
        <x:v>YES</x:v>
      </x:c>
      <x:c r="E580" s="27" t="str">
        <x:v>YES</x:v>
      </x:c>
      <x:c r="F580" s="61" t="n">
        <x:v>7669.59341640449</x:v>
      </x:c>
      <x:c r="G580" s="61" t="n">
        <x:v>249.13124046869973</x:v>
      </x:c>
      <x:c r="H580" s="27" t="str">
        <x:v>NO</x:v>
      </x:c>
      <x:c r="I580" s="27" t="str">
        <x:v>USACE waterway node topology; deployable terminal required</x:v>
      </x:c>
      <x:c r="J580" s="27" t="str">
        <x:v>presence does not prove operability or capacity</x:v>
      </x:c>
    </x:row>
    <x:row r="581" ht="54" hidden="0" customHeight="1">
      <x:c r="A581" s="29" t="str">
        <x:v>SCA-05</x:v>
      </x:c>
      <x:c r="B581" s="29" t="str">
        <x:v>SCA-22</x:v>
      </x:c>
      <x:c r="C581" s="29" t="str">
        <x:v>Road</x:v>
      </x:c>
      <x:c r="D581" s="29" t="str">
        <x:v>YES</x:v>
      </x:c>
      <x:c r="E581" s="29" t="str">
        <x:v>YES</x:v>
      </x:c>
      <x:c r="F581" s="62" t="n">
        <x:v>3757.738212283214</x:v>
      </x:c>
      <x:c r="G581" s="62" t="n">
        <x:v>88.3225129506039</x:v>
      </x:c>
      <x:c r="H581" s="29" t="str">
        <x:v>NO</x:v>
      </x:c>
      <x:c r="I581" s="29" t="str">
        <x:v>NHPN-gated shared-boundary SCA path</x:v>
      </x:c>
      <x:c r="J581" s="29" t="str">
        <x:v>presence does not prove operability or capacity</x:v>
      </x:c>
    </x:row>
    <x:row r="582" ht="64.80000305175781" hidden="0" customHeight="1">
      <x:c r="A582" s="27" t="str">
        <x:v>SCA-05</x:v>
      </x:c>
      <x:c r="B582" s="27" t="str">
        <x:v>SCA-22</x:v>
      </x:c>
      <x:c r="C582" s="27" t="str">
        <x:v>Rail</x:v>
      </x:c>
      <x:c r="D582" s="27" t="str">
        <x:v>YES</x:v>
      </x:c>
      <x:c r="E582" s="27" t="str">
        <x:v>YES</x:v>
      </x:c>
      <x:c r="F582" s="61" t="n">
        <x:v>4031.3999000271124</x:v>
      </x:c>
      <x:c r="G582" s="61" t="n">
        <x:v>83.59142714324446</x:v>
      </x:c>
      <x:c r="H582" s="27" t="str">
        <x:v>NO</x:v>
      </x:c>
      <x:c r="I582" s="27" t="str">
        <x:v>NARN shared-node topology; deployable terminal required</x:v>
      </x:c>
      <x:c r="J582" s="27" t="str">
        <x:v>presence does not prove operability or capacity</x:v>
      </x:c>
    </x:row>
    <x:row r="583" ht="54" hidden="0" customHeight="1">
      <x:c r="A583" s="29" t="str">
        <x:v>SCA-05</x:v>
      </x:c>
      <x:c r="B583" s="29" t="str">
        <x:v>SCA-22</x:v>
      </x:c>
      <x:c r="C583" s="29" t="str">
        <x:v>Air</x:v>
      </x:c>
      <x:c r="D583" s="29" t="str">
        <x:v>YES</x:v>
      </x:c>
      <x:c r="E583" s="29" t="str">
        <x:v>YES</x:v>
      </x:c>
      <x:c r="F583" s="62" t="n">
        <x:v>2971.3705558164966</x:v>
      </x:c>
      <x:c r="G583" s="62" t="n">
        <x:v>28.571339316640763</x:v>
      </x:c>
      <x:c r="H583" s="29" t="str">
        <x:v>YES</x:v>
      </x:c>
      <x:c r="I583" s="29" t="str">
        <x:v>primary-airport endpoints; great-circle screen</x:v>
      </x:c>
      <x:c r="J583" s="29" t="str">
        <x:v>presence does not prove operability or capacity</x:v>
      </x:c>
    </x:row>
    <x:row r="584" ht="75.5999984741211" hidden="0" customHeight="1">
      <x:c r="A584" s="27" t="str">
        <x:v>SCA-05</x:v>
      </x:c>
      <x:c r="B584" s="27" t="str">
        <x:v>SCA-22</x:v>
      </x:c>
      <x:c r="C584" s="27" t="str">
        <x:v>Water</x:v>
      </x:c>
      <x:c r="D584" s="27" t="str">
        <x:v>YES</x:v>
      </x:c>
      <x:c r="E584" s="27" t="str">
        <x:v>YES</x:v>
      </x:c>
      <x:c r="F584" s="61" t="n">
        <x:v>6984.061604749431</x:v>
      </x:c>
      <x:c r="G584" s="61" t="n">
        <x:v>229.5446172785552</x:v>
      </x:c>
      <x:c r="H584" s="27" t="str">
        <x:v>NO</x:v>
      </x:c>
      <x:c r="I584" s="27" t="str">
        <x:v>USACE waterway node topology; deployable terminal required</x:v>
      </x:c>
      <x:c r="J584" s="27" t="str">
        <x:v>presence does not prove operability or capacity</x:v>
      </x:c>
    </x:row>
    <x:row r="585" ht="54" hidden="0" customHeight="1">
      <x:c r="A585" s="29" t="str">
        <x:v>SCA-05</x:v>
      </x:c>
      <x:c r="B585" s="29" t="str">
        <x:v>SCA-23</x:v>
      </x:c>
      <x:c r="C585" s="29" t="str">
        <x:v>Road</x:v>
      </x:c>
      <x:c r="D585" s="29" t="str">
        <x:v>YES</x:v>
      </x:c>
      <x:c r="E585" s="29" t="str">
        <x:v>YES</x:v>
      </x:c>
      <x:c r="F585" s="62" t="n">
        <x:v>3650.099182505647</x:v>
      </x:c>
      <x:c r="G585" s="62" t="n">
        <x:v>86.36543968192086</x:v>
      </x:c>
      <x:c r="H585" s="29" t="str">
        <x:v>NO</x:v>
      </x:c>
      <x:c r="I585" s="29" t="str">
        <x:v>NHPN-gated shared-boundary SCA path</x:v>
      </x:c>
      <x:c r="J585" s="29" t="str">
        <x:v>presence does not prove operability or capacity</x:v>
      </x:c>
    </x:row>
    <x:row r="586" ht="64.80000305175781" hidden="0" customHeight="1">
      <x:c r="A586" s="27" t="str">
        <x:v>SCA-05</x:v>
      </x:c>
      <x:c r="B586" s="27" t="str">
        <x:v>SCA-23</x:v>
      </x:c>
      <x:c r="C586" s="27" t="str">
        <x:v>Rail</x:v>
      </x:c>
      <x:c r="D586" s="27" t="str">
        <x:v>YES</x:v>
      </x:c>
      <x:c r="E586" s="27" t="str">
        <x:v>YES</x:v>
      </x:c>
      <x:c r="F586" s="61" t="n">
        <x:v>3872.2791327451214</x:v>
      </x:c>
      <x:c r="G586" s="61" t="n">
        <x:v>81.3182733249303</x:v>
      </x:c>
      <x:c r="H586" s="27" t="str">
        <x:v>NO</x:v>
      </x:c>
      <x:c r="I586" s="27" t="str">
        <x:v>NARN shared-node topology; deployable terminal required</x:v>
      </x:c>
      <x:c r="J586" s="27" t="str">
        <x:v>presence does not prove operability or capacity</x:v>
      </x:c>
    </x:row>
    <x:row r="587" ht="54" hidden="0" customHeight="1">
      <x:c r="A587" s="29" t="str">
        <x:v>SCA-05</x:v>
      </x:c>
      <x:c r="B587" s="29" t="str">
        <x:v>SCA-23</x:v>
      </x:c>
      <x:c r="C587" s="29" t="str">
        <x:v>Air</x:v>
      </x:c>
      <x:c r="D587" s="29" t="str">
        <x:v>YES</x:v>
      </x:c>
      <x:c r="E587" s="29" t="str">
        <x:v>YES</x:v>
      </x:c>
      <x:c r="F587" s="62" t="n">
        <x:v>3096.8400406041874</x:v>
      </x:c>
      <x:c r="G587" s="62" t="n">
        <x:v>28.764369293237213</x:v>
      </x:c>
      <x:c r="H587" s="29" t="str">
        <x:v>YES</x:v>
      </x:c>
      <x:c r="I587" s="29" t="str">
        <x:v>primary-airport endpoints; great-circle screen</x:v>
      </x:c>
      <x:c r="J587" s="29" t="str">
        <x:v>presence does not prove operability or capacity</x:v>
      </x:c>
    </x:row>
    <x:row r="588" ht="75.5999984741211" hidden="0" customHeight="1">
      <x:c r="A588" s="27" t="str">
        <x:v>SCA-05</x:v>
      </x:c>
      <x:c r="B588" s="27" t="str">
        <x:v>SCA-23</x:v>
      </x:c>
      <x:c r="C588" s="27" t="str">
        <x:v>Water</x:v>
      </x:c>
      <x:c r="D588" s="27" t="str">
        <x:v>YES</x:v>
      </x:c>
      <x:c r="E588" s="27" t="str">
        <x:v>YES</x:v>
      </x:c>
      <x:c r="F588" s="61" t="n">
        <x:v>5998.750594354648</x:v>
      </x:c>
      <x:c r="G588" s="61" t="n">
        <x:v>201.3928741244185</x:v>
      </x:c>
      <x:c r="H588" s="27" t="str">
        <x:v>NO</x:v>
      </x:c>
      <x:c r="I588" s="27" t="str">
        <x:v>USACE waterway node topology; deployable terminal required</x:v>
      </x:c>
      <x:c r="J588" s="27" t="str">
        <x:v>presence does not prove operability or capacity</x:v>
      </x:c>
    </x:row>
    <x:row r="589" ht="54" hidden="0" customHeight="1">
      <x:c r="A589" s="29" t="str">
        <x:v>SCA-05</x:v>
      </x:c>
      <x:c r="B589" s="29" t="str">
        <x:v>SCA-24</x:v>
      </x:c>
      <x:c r="C589" s="29" t="str">
        <x:v>Road</x:v>
      </x:c>
      <x:c r="D589" s="29" t="str">
        <x:v>YES</x:v>
      </x:c>
      <x:c r="E589" s="29" t="str">
        <x:v>YES</x:v>
      </x:c>
      <x:c r="F589" s="62" t="n">
        <x:v>4056.8490564411277</x:v>
      </x:c>
      <x:c r="G589" s="62" t="n">
        <x:v>93.76089193529323</x:v>
      </x:c>
      <x:c r="H589" s="29" t="str">
        <x:v>NO</x:v>
      </x:c>
      <x:c r="I589" s="29" t="str">
        <x:v>NHPN-gated shared-boundary SCA path</x:v>
      </x:c>
      <x:c r="J589" s="29" t="str">
        <x:v>presence does not prove operability or capacity</x:v>
      </x:c>
    </x:row>
    <x:row r="590" ht="64.80000305175781" hidden="0" customHeight="1">
      <x:c r="A590" s="27" t="str">
        <x:v>SCA-05</x:v>
      </x:c>
      <x:c r="B590" s="27" t="str">
        <x:v>SCA-24</x:v>
      </x:c>
      <x:c r="C590" s="27" t="str">
        <x:v>Rail</x:v>
      </x:c>
      <x:c r="D590" s="27" t="str">
        <x:v>YES</x:v>
      </x:c>
      <x:c r="E590" s="27" t="str">
        <x:v>YES</x:v>
      </x:c>
      <x:c r="F590" s="61" t="n">
        <x:v>4371.7949439158365</x:v>
      </x:c>
      <x:c r="G590" s="61" t="n">
        <x:v>88.45421348451194</x:v>
      </x:c>
      <x:c r="H590" s="27" t="str">
        <x:v>NO</x:v>
      </x:c>
      <x:c r="I590" s="27" t="str">
        <x:v>NARN shared-node topology; deployable terminal required</x:v>
      </x:c>
      <x:c r="J590" s="27" t="str">
        <x:v>presence does not prove operability or capacity</x:v>
      </x:c>
    </x:row>
    <x:row r="591" ht="54" hidden="0" customHeight="1">
      <x:c r="A591" s="29" t="str">
        <x:v>SCA-05</x:v>
      </x:c>
      <x:c r="B591" s="29" t="str">
        <x:v>SCA-24</x:v>
      </x:c>
      <x:c r="C591" s="29" t="str">
        <x:v>Air</x:v>
      </x:c>
      <x:c r="D591" s="29" t="str">
        <x:v>YES</x:v>
      </x:c>
      <x:c r="E591" s="29" t="str">
        <x:v>YES</x:v>
      </x:c>
      <x:c r="F591" s="62" t="n">
        <x:v>3118.651041248963</x:v>
      </x:c>
      <x:c r="G591" s="62" t="n">
        <x:v>28.79792467884456</x:v>
      </x:c>
      <x:c r="H591" s="29" t="str">
        <x:v>YES</x:v>
      </x:c>
      <x:c r="I591" s="29" t="str">
        <x:v>primary-airport endpoints; great-circle screen</x:v>
      </x:c>
      <x:c r="J591" s="29" t="str">
        <x:v>presence does not prove operability or capacity</x:v>
      </x:c>
    </x:row>
    <x:row r="592" ht="75.5999984741211" hidden="0" customHeight="1">
      <x:c r="A592" s="27" t="str">
        <x:v>SCA-05</x:v>
      </x:c>
      <x:c r="B592" s="27" t="str">
        <x:v>SCA-24</x:v>
      </x:c>
      <x:c r="C592" s="27" t="str">
        <x:v>Water</x:v>
      </x:c>
      <x:c r="D592" s="27" t="str">
        <x:v>YES</x:v>
      </x:c>
      <x:c r="E592" s="27" t="str">
        <x:v>YES</x:v>
      </x:c>
      <x:c r="F592" s="61" t="n">
        <x:v>7378.666976210246</x:v>
      </x:c>
      <x:c r="G592" s="61" t="n">
        <x:v>240.81905646314988</x:v>
      </x:c>
      <x:c r="H592" s="27" t="str">
        <x:v>NO</x:v>
      </x:c>
      <x:c r="I592" s="27" t="str">
        <x:v>USACE waterway node topology; deployable terminal required</x:v>
      </x:c>
      <x:c r="J592" s="27" t="str">
        <x:v>presence does not prove operability or capacity</x:v>
      </x:c>
    </x:row>
    <x:row r="593" ht="54" hidden="0" customHeight="1">
      <x:c r="A593" s="29" t="str">
        <x:v>SCA-05</x:v>
      </x:c>
      <x:c r="B593" s="29" t="str">
        <x:v>SCA-25</x:v>
      </x:c>
      <x:c r="C593" s="29" t="str">
        <x:v>Road</x:v>
      </x:c>
      <x:c r="D593" s="29" t="str">
        <x:v>YES</x:v>
      </x:c>
      <x:c r="E593" s="29" t="str">
        <x:v>YES</x:v>
      </x:c>
      <x:c r="F593" s="62" t="n">
        <x:v>4144.683362425087</x:v>
      </x:c>
      <x:c r="G593" s="62" t="n">
        <x:v>95.35787931681976</x:v>
      </x:c>
      <x:c r="H593" s="29" t="str">
        <x:v>NO</x:v>
      </x:c>
      <x:c r="I593" s="29" t="str">
        <x:v>NHPN-gated shared-boundary SCA path</x:v>
      </x:c>
      <x:c r="J593" s="29" t="str">
        <x:v>presence does not prove operability or capacity</x:v>
      </x:c>
    </x:row>
    <x:row r="594" ht="64.80000305175781" hidden="0" customHeight="1">
      <x:c r="A594" s="27" t="str">
        <x:v>SCA-05</x:v>
      </x:c>
      <x:c r="B594" s="27" t="str">
        <x:v>SCA-25</x:v>
      </x:c>
      <x:c r="C594" s="27" t="str">
        <x:v>Rail</x:v>
      </x:c>
      <x:c r="D594" s="27" t="str">
        <x:v>YES</x:v>
      </x:c>
      <x:c r="E594" s="27" t="str">
        <x:v>YES</x:v>
      </x:c>
      <x:c r="F594" s="61" t="n">
        <x:v>4396.9684366596575</x:v>
      </x:c>
      <x:c r="G594" s="61" t="n">
        <x:v>88.81383480942368</x:v>
      </x:c>
      <x:c r="H594" s="27" t="str">
        <x:v>NO</x:v>
      </x:c>
      <x:c r="I594" s="27" t="str">
        <x:v>NARN shared-node topology; deployable terminal required</x:v>
      </x:c>
      <x:c r="J594" s="27" t="str">
        <x:v>presence does not prove operability or capacity</x:v>
      </x:c>
    </x:row>
    <x:row r="595" ht="54" hidden="0" customHeight="1">
      <x:c r="A595" s="29" t="str">
        <x:v>SCA-05</x:v>
      </x:c>
      <x:c r="B595" s="29" t="str">
        <x:v>SCA-25</x:v>
      </x:c>
      <x:c r="C595" s="29" t="str">
        <x:v>Air</x:v>
      </x:c>
      <x:c r="D595" s="29" t="str">
        <x:v>YES</x:v>
      </x:c>
      <x:c r="E595" s="29" t="str">
        <x:v>YES</x:v>
      </x:c>
      <x:c r="F595" s="62" t="n">
        <x:v>3409.5467205855384</x:v>
      </x:c>
      <x:c r="G595" s="62" t="n">
        <x:v>29.245456493208522</x:v>
      </x:c>
      <x:c r="H595" s="29" t="str">
        <x:v>YES</x:v>
      </x:c>
      <x:c r="I595" s="29" t="str">
        <x:v>primary-airport endpoints; great-circle screen</x:v>
      </x:c>
      <x:c r="J595" s="29" t="str">
        <x:v>presence does not prove operability or capacity</x:v>
      </x:c>
    </x:row>
    <x:row r="596" ht="75.5999984741211" hidden="0" customHeight="1">
      <x:c r="A596" s="27" t="str">
        <x:v>SCA-05</x:v>
      </x:c>
      <x:c r="B596" s="27" t="str">
        <x:v>SCA-25</x:v>
      </x:c>
      <x:c r="C596" s="27" t="str">
        <x:v>Water</x:v>
      </x:c>
      <x:c r="D596" s="27" t="str">
        <x:v>YES</x:v>
      </x:c>
      <x:c r="E596" s="27" t="str">
        <x:v>YES</x:v>
      </x:c>
      <x:c r="F596" s="61" t="n">
        <x:v>5448.256898444315</x:v>
      </x:c>
      <x:c r="G596" s="61" t="n">
        <x:v>185.66448281269473</x:v>
      </x:c>
      <x:c r="H596" s="27" t="str">
        <x:v>NO</x:v>
      </x:c>
      <x:c r="I596" s="27" t="str">
        <x:v>USACE waterway node topology; deployable terminal required</x:v>
      </x:c>
      <x:c r="J596" s="27" t="str">
        <x:v>presence does not prove operability or capacity</x:v>
      </x:c>
    </x:row>
    <x:row r="597" ht="54" hidden="0" customHeight="1">
      <x:c r="A597" s="29" t="str">
        <x:v>SCA-05</x:v>
      </x:c>
      <x:c r="B597" s="29" t="str">
        <x:v>SCA-26</x:v>
      </x:c>
      <x:c r="C597" s="29" t="str">
        <x:v>Road</x:v>
      </x:c>
      <x:c r="D597" s="29" t="str">
        <x:v>YES</x:v>
      </x:c>
      <x:c r="E597" s="29" t="str">
        <x:v>YES</x:v>
      </x:c>
      <x:c r="F597" s="62" t="n">
        <x:v>4473.182818189909</x:v>
      </x:c>
      <x:c r="G597" s="62" t="n">
        <x:v>101.33059669436199</x:v>
      </x:c>
      <x:c r="H597" s="29" t="str">
        <x:v>NO</x:v>
      </x:c>
      <x:c r="I597" s="29" t="str">
        <x:v>NHPN-gated shared-boundary SCA path</x:v>
      </x:c>
      <x:c r="J597" s="29" t="str">
        <x:v>presence does not prove operability or capacity</x:v>
      </x:c>
    </x:row>
    <x:row r="598" ht="64.80000305175781" hidden="0" customHeight="1">
      <x:c r="A598" s="27" t="str">
        <x:v>SCA-05</x:v>
      </x:c>
      <x:c r="B598" s="27" t="str">
        <x:v>SCA-26</x:v>
      </x:c>
      <x:c r="C598" s="27" t="str">
        <x:v>Rail</x:v>
      </x:c>
      <x:c r="D598" s="27" t="str">
        <x:v>YES</x:v>
      </x:c>
      <x:c r="E598" s="27" t="str">
        <x:v>YES</x:v>
      </x:c>
      <x:c r="F598" s="61" t="n">
        <x:v>4745.463511471034</x:v>
      </x:c>
      <x:c r="G598" s="61" t="n">
        <x:v>93.79233587815763</x:v>
      </x:c>
      <x:c r="H598" s="27" t="str">
        <x:v>NO</x:v>
      </x:c>
      <x:c r="I598" s="27" t="str">
        <x:v>NARN shared-node topology; deployable terminal required</x:v>
      </x:c>
      <x:c r="J598" s="27" t="str">
        <x:v>presence does not prove operability or capacity</x:v>
      </x:c>
    </x:row>
    <x:row r="599" ht="54" hidden="0" customHeight="1">
      <x:c r="A599" s="29" t="str">
        <x:v>SCA-05</x:v>
      </x:c>
      <x:c r="B599" s="29" t="str">
        <x:v>SCA-26</x:v>
      </x:c>
      <x:c r="C599" s="29" t="str">
        <x:v>Air</x:v>
      </x:c>
      <x:c r="D599" s="29" t="str">
        <x:v>YES</x:v>
      </x:c>
      <x:c r="E599" s="29" t="str">
        <x:v>YES</x:v>
      </x:c>
      <x:c r="F599" s="62" t="n">
        <x:v>3521.8772834587367</x:v>
      </x:c>
      <x:c r="G599" s="62" t="n">
        <x:v>29.418272743782673</x:v>
      </x:c>
      <x:c r="H599" s="29" t="str">
        <x:v>YES</x:v>
      </x:c>
      <x:c r="I599" s="29" t="str">
        <x:v>primary-airport endpoints; great-circle screen</x:v>
      </x:c>
      <x:c r="J599" s="29" t="str">
        <x:v>presence does not prove operability or capacity</x:v>
      </x:c>
    </x:row>
    <x:row r="600" ht="75.5999984741211" hidden="0" customHeight="1">
      <x:c r="A600" s="27" t="str">
        <x:v>SCA-05</x:v>
      </x:c>
      <x:c r="B600" s="27" t="str">
        <x:v>SCA-26</x:v>
      </x:c>
      <x:c r="C600" s="27" t="str">
        <x:v>Water</x:v>
      </x:c>
      <x:c r="D600" s="27" t="str">
        <x:v>YES</x:v>
      </x:c>
      <x:c r="E600" s="27" t="str">
        <x:v>YES</x:v>
      </x:c>
      <x:c r="F600" s="61" t="n">
        <x:v>5104.488417168224</x:v>
      </x:c>
      <x:c r="G600" s="61" t="n">
        <x:v>175.8425262048064</x:v>
      </x:c>
      <x:c r="H600" s="27" t="str">
        <x:v>NO</x:v>
      </x:c>
      <x:c r="I600" s="27" t="str">
        <x:v>USACE waterway node topology; deployable terminal required</x:v>
      </x:c>
      <x:c r="J600" s="27" t="str">
        <x:v>presence does not prove operability or capacity</x:v>
      </x:c>
    </x:row>
    <x:row r="601" ht="54" hidden="0" customHeight="1">
      <x:c r="A601" s="29" t="str">
        <x:v>SCA-05</x:v>
      </x:c>
      <x:c r="B601" s="29" t="str">
        <x:v>SCA-27</x:v>
      </x:c>
      <x:c r="C601" s="29" t="str">
        <x:v>Road</x:v>
      </x:c>
      <x:c r="D601" s="29" t="str">
        <x:v>YES</x:v>
      </x:c>
      <x:c r="E601" s="29" t="str">
        <x:v>YES</x:v>
      </x:c>
      <x:c r="F601" s="62" t="n">
        <x:v>4752.811082309458</x:v>
      </x:c>
      <x:c r="G601" s="62" t="n">
        <x:v>106.41474695108104</x:v>
      </x:c>
      <x:c r="H601" s="29" t="str">
        <x:v>NO</x:v>
      </x:c>
      <x:c r="I601" s="29" t="str">
        <x:v>NHPN-gated shared-boundary SCA path</x:v>
      </x:c>
      <x:c r="J601" s="29" t="str">
        <x:v>presence does not prove operability or capacity</x:v>
      </x:c>
    </x:row>
    <x:row r="602" ht="64.80000305175781" hidden="0" customHeight="1">
      <x:c r="A602" s="27" t="str">
        <x:v>SCA-05</x:v>
      </x:c>
      <x:c r="B602" s="27" t="str">
        <x:v>SCA-27</x:v>
      </x:c>
      <x:c r="C602" s="27" t="str">
        <x:v>Rail</x:v>
      </x:c>
      <x:c r="D602" s="27" t="str">
        <x:v>YES</x:v>
      </x:c>
      <x:c r="E602" s="27" t="str">
        <x:v>YES</x:v>
      </x:c>
      <x:c r="F602" s="61" t="n">
        <x:v>5042.1126264500335</x:v>
      </x:c>
      <x:c r="G602" s="61" t="n">
        <x:v>98.03018037785762</x:v>
      </x:c>
      <x:c r="H602" s="27" t="str">
        <x:v>NO</x:v>
      </x:c>
      <x:c r="I602" s="27" t="str">
        <x:v>NARN shared-node topology; deployable terminal required</x:v>
      </x:c>
      <x:c r="J602" s="27" t="str">
        <x:v>presence does not prove operability or capacity</x:v>
      </x:c>
    </x:row>
    <x:row r="603" ht="54" hidden="0" customHeight="1">
      <x:c r="A603" s="29" t="str">
        <x:v>SCA-05</x:v>
      </x:c>
      <x:c r="B603" s="29" t="str">
        <x:v>SCA-27</x:v>
      </x:c>
      <x:c r="C603" s="29" t="str">
        <x:v>Air</x:v>
      </x:c>
      <x:c r="D603" s="29" t="str">
        <x:v>YES</x:v>
      </x:c>
      <x:c r="E603" s="29" t="str">
        <x:v>YES</x:v>
      </x:c>
      <x:c r="F603" s="62" t="n">
        <x:v>3721.9674139181325</x:v>
      </x:c>
      <x:c r="G603" s="62" t="n">
        <x:v>29.726103713720203</x:v>
      </x:c>
      <x:c r="H603" s="29" t="str">
        <x:v>YES</x:v>
      </x:c>
      <x:c r="I603" s="29" t="str">
        <x:v>primary-airport endpoints; great-circle screen</x:v>
      </x:c>
      <x:c r="J603" s="29" t="str">
        <x:v>presence does not prove operability or capacity</x:v>
      </x:c>
    </x:row>
    <x:row r="604" ht="75.5999984741211" hidden="0" customHeight="1">
      <x:c r="A604" s="27" t="str">
        <x:v>SCA-05</x:v>
      </x:c>
      <x:c r="B604" s="27" t="str">
        <x:v>SCA-27</x:v>
      </x:c>
      <x:c r="C604" s="27" t="str">
        <x:v>Water</x:v>
      </x:c>
      <x:c r="D604" s="27" t="str">
        <x:v>YES</x:v>
      </x:c>
      <x:c r="E604" s="27" t="str">
        <x:v>YES</x:v>
      </x:c>
      <x:c r="F604" s="61" t="n">
        <x:v>4793.250001452552</x:v>
      </x:c>
      <x:c r="G604" s="61" t="n">
        <x:v>166.95000004150148</x:v>
      </x:c>
      <x:c r="H604" s="27" t="str">
        <x:v>NO</x:v>
      </x:c>
      <x:c r="I604" s="27" t="str">
        <x:v>USACE waterway node topology; deployable terminal required</x:v>
      </x:c>
      <x:c r="J604" s="27" t="str">
        <x:v>presence does not prove operability or capacity</x:v>
      </x:c>
    </x:row>
    <x:row r="605" ht="54" hidden="0" customHeight="1">
      <x:c r="A605" s="29" t="str">
        <x:v>SCA-05</x:v>
      </x:c>
      <x:c r="B605" s="29" t="str">
        <x:v>SCA-28</x:v>
      </x:c>
      <x:c r="C605" s="29" t="str">
        <x:v>Road</x:v>
      </x:c>
      <x:c r="D605" s="29" t="str">
        <x:v>YES</x:v>
      </x:c>
      <x:c r="E605" s="29" t="str">
        <x:v>YES</x:v>
      </x:c>
      <x:c r="F605" s="62" t="n">
        <x:v>4402.393187547552</x:v>
      </x:c>
      <x:c r="G605" s="62" t="n">
        <x:v>100.04351250086458</x:v>
      </x:c>
      <x:c r="H605" s="29" t="str">
        <x:v>NO</x:v>
      </x:c>
      <x:c r="I605" s="29" t="str">
        <x:v>NHPN-gated shared-boundary SCA path</x:v>
      </x:c>
      <x:c r="J605" s="29" t="str">
        <x:v>presence does not prove operability or capacity</x:v>
      </x:c>
    </x:row>
    <x:row r="606" ht="64.80000305175781" hidden="0" customHeight="1">
      <x:c r="A606" s="27" t="str">
        <x:v>SCA-05</x:v>
      </x:c>
      <x:c r="B606" s="27" t="str">
        <x:v>SCA-28</x:v>
      </x:c>
      <x:c r="C606" s="27" t="str">
        <x:v>Rail</x:v>
      </x:c>
      <x:c r="D606" s="27" t="str">
        <x:v>YES</x:v>
      </x:c>
      <x:c r="E606" s="27" t="str">
        <x:v>YES</x:v>
      </x:c>
      <x:c r="F606" s="61" t="n">
        <x:v>4715.294743351019</x:v>
      </x:c>
      <x:c r="G606" s="61" t="n">
        <x:v>93.36135347644313</x:v>
      </x:c>
      <x:c r="H606" s="27" t="str">
        <x:v>NO</x:v>
      </x:c>
      <x:c r="I606" s="27" t="str">
        <x:v>NARN shared-node topology; deployable terminal required</x:v>
      </x:c>
      <x:c r="J606" s="27" t="str">
        <x:v>presence does not prove operability or capacity</x:v>
      </x:c>
    </x:row>
    <x:row r="607" ht="54" hidden="0" customHeight="1">
      <x:c r="A607" s="29" t="str">
        <x:v>SCA-05</x:v>
      </x:c>
      <x:c r="B607" s="29" t="str">
        <x:v>SCA-28</x:v>
      </x:c>
      <x:c r="C607" s="29" t="str">
        <x:v>Air</x:v>
      </x:c>
      <x:c r="D607" s="29" t="str">
        <x:v>YES</x:v>
      </x:c>
      <x:c r="E607" s="29" t="str">
        <x:v>YES</x:v>
      </x:c>
      <x:c r="F607" s="62" t="n">
        <x:v>3480.161900349882</x:v>
      </x:c>
      <x:c r="G607" s="62" t="n">
        <x:v>29.35409523130751</x:v>
      </x:c>
      <x:c r="H607" s="29" t="str">
        <x:v>YES</x:v>
      </x:c>
      <x:c r="I607" s="29" t="str">
        <x:v>primary-airport endpoints; great-circle screen</x:v>
      </x:c>
      <x:c r="J607" s="29" t="str">
        <x:v>presence does not prove operability or capacity</x:v>
      </x:c>
    </x:row>
    <x:row r="608" ht="75.5999984741211" hidden="0" customHeight="1">
      <x:c r="A608" s="27" t="str">
        <x:v>SCA-05</x:v>
      </x:c>
      <x:c r="B608" s="27" t="str">
        <x:v>SCA-28</x:v>
      </x:c>
      <x:c r="C608" s="27" t="str">
        <x:v>Water</x:v>
      </x:c>
      <x:c r="D608" s="27" t="str">
        <x:v>YES</x:v>
      </x:c>
      <x:c r="E608" s="27" t="str">
        <x:v>YES</x:v>
      </x:c>
      <x:c r="F608" s="61" t="n">
        <x:v>6826.80277134495</x:v>
      </x:c>
      <x:c r="G608" s="61" t="n">
        <x:v>225.05150775271287</x:v>
      </x:c>
      <x:c r="H608" s="27" t="str">
        <x:v>NO</x:v>
      </x:c>
      <x:c r="I608" s="27" t="str">
        <x:v>USACE waterway node topology; deployable terminal required</x:v>
      </x:c>
      <x:c r="J608" s="27" t="str">
        <x:v>presence does not prove operability or capacity</x:v>
      </x:c>
    </x:row>
    <x:row r="609" ht="54" hidden="0" customHeight="1">
      <x:c r="A609" s="29" t="str">
        <x:v>SCA-05</x:v>
      </x:c>
      <x:c r="B609" s="29" t="str">
        <x:v>SCA-29</x:v>
      </x:c>
      <x:c r="C609" s="29" t="str">
        <x:v>Road</x:v>
      </x:c>
      <x:c r="D609" s="29" t="str">
        <x:v>YES</x:v>
      </x:c>
      <x:c r="E609" s="29" t="str">
        <x:v>YES</x:v>
      </x:c>
      <x:c r="F609" s="62" t="n">
        <x:v>4285.554131528696</x:v>
      </x:c>
      <x:c r="G609" s="62" t="n">
        <x:v>97.91916602779447</x:v>
      </x:c>
      <x:c r="H609" s="29" t="str">
        <x:v>NO</x:v>
      </x:c>
      <x:c r="I609" s="29" t="str">
        <x:v>NHPN-gated shared-boundary SCA path</x:v>
      </x:c>
      <x:c r="J609" s="29" t="str">
        <x:v>presence does not prove operability or capacity</x:v>
      </x:c>
    </x:row>
    <x:row r="610" ht="64.80000305175781" hidden="0" customHeight="1">
      <x:c r="A610" s="27" t="str">
        <x:v>SCA-05</x:v>
      </x:c>
      <x:c r="B610" s="27" t="str">
        <x:v>SCA-29</x:v>
      </x:c>
      <x:c r="C610" s="27" t="str">
        <x:v>Rail</x:v>
      </x:c>
      <x:c r="D610" s="27" t="str">
        <x:v>YES</x:v>
      </x:c>
      <x:c r="E610" s="27" t="str">
        <x:v>YES</x:v>
      </x:c>
      <x:c r="F610" s="61" t="n">
        <x:v>4546.413948230443</x:v>
      </x:c>
      <x:c r="G610" s="61" t="n">
        <x:v>90.94877068900632</x:v>
      </x:c>
      <x:c r="H610" s="27" t="str">
        <x:v>NO</x:v>
      </x:c>
      <x:c r="I610" s="27" t="str">
        <x:v>NARN shared-node topology; deployable terminal required</x:v>
      </x:c>
      <x:c r="J610" s="27" t="str">
        <x:v>presence does not prove operability or capacity</x:v>
      </x:c>
    </x:row>
    <x:row r="611" ht="54" hidden="0" customHeight="1">
      <x:c r="A611" s="29" t="str">
        <x:v>SCA-05</x:v>
      </x:c>
      <x:c r="B611" s="29" t="str">
        <x:v>SCA-29</x:v>
      </x:c>
      <x:c r="C611" s="29" t="str">
        <x:v>Air</x:v>
      </x:c>
      <x:c r="D611" s="29" t="str">
        <x:v>YES</x:v>
      </x:c>
      <x:c r="E611" s="29" t="str">
        <x:v>YES</x:v>
      </x:c>
      <x:c r="F611" s="62" t="n">
        <x:v>3553.6721081520814</x:v>
      </x:c>
      <x:c r="G611" s="62" t="n">
        <x:v>29.46718785869551</x:v>
      </x:c>
      <x:c r="H611" s="29" t="str">
        <x:v>YES</x:v>
      </x:c>
      <x:c r="I611" s="29" t="str">
        <x:v>primary-airport endpoints; great-circle screen</x:v>
      </x:c>
      <x:c r="J611" s="29" t="str">
        <x:v>presence does not prove operability or capacity</x:v>
      </x:c>
    </x:row>
    <x:row r="612" ht="75.5999984741211" hidden="0" customHeight="1">
      <x:c r="A612" s="27" t="str">
        <x:v>SCA-05</x:v>
      </x:c>
      <x:c r="B612" s="27" t="str">
        <x:v>SCA-29</x:v>
      </x:c>
      <x:c r="C612" s="27" t="str">
        <x:v>Water</x:v>
      </x:c>
      <x:c r="D612" s="27" t="str">
        <x:v>YES</x:v>
      </x:c>
      <x:c r="E612" s="27" t="str">
        <x:v>YES</x:v>
      </x:c>
      <x:c r="F612" s="61" t="n">
        <x:v>6185.405577241514</x:v>
      </x:c>
      <x:c r="G612" s="61" t="n">
        <x:v>206.72587363547183</x:v>
      </x:c>
      <x:c r="H612" s="27" t="str">
        <x:v>NO</x:v>
      </x:c>
      <x:c r="I612" s="27" t="str">
        <x:v>USACE waterway node topology; deployable terminal required</x:v>
      </x:c>
      <x:c r="J612" s="27" t="str">
        <x:v>presence does not prove operability or capacity</x:v>
      </x:c>
    </x:row>
    <x:row r="613" ht="54" hidden="0" customHeight="1">
      <x:c r="A613" s="29" t="str">
        <x:v>SCA-05</x:v>
      </x:c>
      <x:c r="B613" s="29" t="str">
        <x:v>SCA-30</x:v>
      </x:c>
      <x:c r="C613" s="29" t="str">
        <x:v>Road</x:v>
      </x:c>
      <x:c r="D613" s="29" t="str">
        <x:v>YES</x:v>
      </x:c>
      <x:c r="E613" s="29" t="str">
        <x:v>YES</x:v>
      </x:c>
      <x:c r="F613" s="62" t="n">
        <x:v>4865.956903478792</x:v>
      </x:c>
      <x:c r="G613" s="62" t="n">
        <x:v>108.4719436996144</x:v>
      </x:c>
      <x:c r="H613" s="29" t="str">
        <x:v>NO</x:v>
      </x:c>
      <x:c r="I613" s="29" t="str">
        <x:v>NHPN-gated shared-boundary SCA path</x:v>
      </x:c>
      <x:c r="J613" s="29" t="str">
        <x:v>presence does not prove operability or capacity</x:v>
      </x:c>
    </x:row>
    <x:row r="614" ht="64.80000305175781" hidden="0" customHeight="1">
      <x:c r="A614" s="27" t="str">
        <x:v>SCA-05</x:v>
      </x:c>
      <x:c r="B614" s="27" t="str">
        <x:v>SCA-30</x:v>
      </x:c>
      <x:c r="C614" s="27" t="str">
        <x:v>Rail</x:v>
      </x:c>
      <x:c r="D614" s="27" t="str">
        <x:v>YES</x:v>
      </x:c>
      <x:c r="E614" s="27" t="str">
        <x:v>YES</x:v>
      </x:c>
      <x:c r="F614" s="61" t="n">
        <x:v>5207.075381121552</x:v>
      </x:c>
      <x:c r="G614" s="61" t="n">
        <x:v>100.3867911588793</x:v>
      </x:c>
      <x:c r="H614" s="27" t="str">
        <x:v>NO</x:v>
      </x:c>
      <x:c r="I614" s="27" t="str">
        <x:v>NARN shared-node topology; deployable terminal required</x:v>
      </x:c>
      <x:c r="J614" s="27" t="str">
        <x:v>presence does not prove operability or capacity</x:v>
      </x:c>
    </x:row>
    <x:row r="615" ht="54" hidden="0" customHeight="1">
      <x:c r="A615" s="29" t="str">
        <x:v>SCA-05</x:v>
      </x:c>
      <x:c r="B615" s="29" t="str">
        <x:v>SCA-30</x:v>
      </x:c>
      <x:c r="C615" s="29" t="str">
        <x:v>Air</x:v>
      </x:c>
      <x:c r="D615" s="29" t="str">
        <x:v>YES</x:v>
      </x:c>
      <x:c r="E615" s="29" t="str">
        <x:v>YES</x:v>
      </x:c>
      <x:c r="F615" s="62" t="n">
        <x:v>3880.785182935992</x:v>
      </x:c>
      <x:c r="G615" s="62" t="n">
        <x:v>29.97043874297845</x:v>
      </x:c>
      <x:c r="H615" s="29" t="str">
        <x:v>YES</x:v>
      </x:c>
      <x:c r="I615" s="29" t="str">
        <x:v>primary-airport endpoints; great-circle screen</x:v>
      </x:c>
      <x:c r="J615" s="29" t="str">
        <x:v>presence does not prove operability or capacity</x:v>
      </x:c>
    </x:row>
    <x:row r="616" ht="75.5999984741211" hidden="0" customHeight="1">
      <x:c r="A616" s="27" t="str">
        <x:v>SCA-05</x:v>
      </x:c>
      <x:c r="B616" s="27" t="str">
        <x:v>SCA-30</x:v>
      </x:c>
      <x:c r="C616" s="27" t="str">
        <x:v>Water</x:v>
      </x:c>
      <x:c r="D616" s="27" t="str">
        <x:v>YES</x:v>
      </x:c>
      <x:c r="E616" s="27" t="str">
        <x:v>YES</x:v>
      </x:c>
      <x:c r="F616" s="61" t="n">
        <x:v>7021.333866015203</x:v>
      </x:c>
      <x:c r="G616" s="61" t="n">
        <x:v>230.6095390290058</x:v>
      </x:c>
      <x:c r="H616" s="27" t="str">
        <x:v>NO</x:v>
      </x:c>
      <x:c r="I616" s="27" t="str">
        <x:v>USACE waterway node topology; deployable terminal required</x:v>
      </x:c>
      <x:c r="J616" s="27" t="str">
        <x:v>presence does not prove operability or capacity</x:v>
      </x:c>
    </x:row>
    <x:row r="617" ht="54" hidden="0" customHeight="1">
      <x:c r="A617" s="29" t="str">
        <x:v>SCA-05</x:v>
      </x:c>
      <x:c r="B617" s="29" t="str">
        <x:v>SCA-31</x:v>
      </x:c>
      <x:c r="C617" s="29" t="str">
        <x:v>Road</x:v>
      </x:c>
      <x:c r="D617" s="29" t="str">
        <x:v>YES</x:v>
      </x:c>
      <x:c r="E617" s="29" t="str">
        <x:v>YES</x:v>
      </x:c>
      <x:c r="F617" s="62" t="n">
        <x:v>5259.039048665298</x:v>
      </x:c>
      <x:c r="G617" s="62" t="n">
        <x:v>115.6188917939145</x:v>
      </x:c>
      <x:c r="H617" s="29" t="str">
        <x:v>NO</x:v>
      </x:c>
      <x:c r="I617" s="29" t="str">
        <x:v>NHPN-gated shared-boundary SCA path</x:v>
      </x:c>
      <x:c r="J617" s="29" t="str">
        <x:v>presence does not prove operability or capacity</x:v>
      </x:c>
    </x:row>
    <x:row r="618" ht="64.80000305175781" hidden="0" customHeight="1">
      <x:c r="A618" s="27" t="str">
        <x:v>SCA-05</x:v>
      </x:c>
      <x:c r="B618" s="27" t="str">
        <x:v>SCA-31</x:v>
      </x:c>
      <x:c r="C618" s="27" t="str">
        <x:v>Rail</x:v>
      </x:c>
      <x:c r="D618" s="27" t="str">
        <x:v>YES</x:v>
      </x:c>
      <x:c r="E618" s="27" t="str">
        <x:v>YES</x:v>
      </x:c>
      <x:c r="F618" s="61" t="n">
        <x:v>5624.08426558028</x:v>
      </x:c>
      <x:c r="G618" s="61" t="n">
        <x:v>106.34406093686114</x:v>
      </x:c>
      <x:c r="H618" s="27" t="str">
        <x:v>NO</x:v>
      </x:c>
      <x:c r="I618" s="27" t="str">
        <x:v>NARN shared-node topology; deployable terminal required</x:v>
      </x:c>
      <x:c r="J618" s="27" t="str">
        <x:v>presence does not prove operability or capacity</x:v>
      </x:c>
    </x:row>
    <x:row r="619" ht="54" hidden="0" customHeight="1">
      <x:c r="A619" s="29" t="str">
        <x:v>SCA-05</x:v>
      </x:c>
      <x:c r="B619" s="29" t="str">
        <x:v>SCA-31</x:v>
      </x:c>
      <x:c r="C619" s="29" t="str">
        <x:v>Air</x:v>
      </x:c>
      <x:c r="D619" s="29" t="str">
        <x:v>YES</x:v>
      </x:c>
      <x:c r="E619" s="29" t="str">
        <x:v>YES</x:v>
      </x:c>
      <x:c r="F619" s="62" t="n">
        <x:v>4118.448605768236</x:v>
      </x:c>
      <x:c r="G619" s="62" t="n">
        <x:v>30.33607477810498</x:v>
      </x:c>
      <x:c r="H619" s="29" t="str">
        <x:v>YES</x:v>
      </x:c>
      <x:c r="I619" s="29" t="str">
        <x:v>primary-airport endpoints; great-circle screen</x:v>
      </x:c>
      <x:c r="J619" s="29" t="str">
        <x:v>presence does not prove operability or capacity</x:v>
      </x:c>
    </x:row>
    <x:row r="620" ht="75.5999984741211" hidden="0" customHeight="1">
      <x:c r="A620" s="27" t="str">
        <x:v>SCA-05</x:v>
      </x:c>
      <x:c r="B620" s="27" t="str">
        <x:v>SCA-31</x:v>
      </x:c>
      <x:c r="C620" s="27" t="str">
        <x:v>Water</x:v>
      </x:c>
      <x:c r="D620" s="27" t="str">
        <x:v>YES</x:v>
      </x:c>
      <x:c r="E620" s="27" t="str">
        <x:v>YES</x:v>
      </x:c>
      <x:c r="F620" s="61" t="n">
        <x:v>7455.5518123332995</x:v>
      </x:c>
      <x:c r="G620" s="61" t="n">
        <x:v>243.0157660666657</x:v>
      </x:c>
      <x:c r="H620" s="27" t="str">
        <x:v>NO</x:v>
      </x:c>
      <x:c r="I620" s="27" t="str">
        <x:v>USACE waterway node topology; deployable terminal required</x:v>
      </x:c>
      <x:c r="J620" s="27" t="str">
        <x:v>presence does not prove operability or capacity</x:v>
      </x:c>
    </x:row>
    <x:row r="621" ht="54" hidden="0" customHeight="1">
      <x:c r="A621" s="29" t="str">
        <x:v>SCA-05</x:v>
      </x:c>
      <x:c r="B621" s="29" t="str">
        <x:v>SCA-32</x:v>
      </x:c>
      <x:c r="C621" s="29" t="str">
        <x:v>Road</x:v>
      </x:c>
      <x:c r="D621" s="29" t="str">
        <x:v>NO</x:v>
      </x:c>
      <x:c r="E621" s="29" t="str">
        <x:v>NO</x:v>
      </x:c>
      <x:c r="F621" s="62"/>
      <x:c r="G621" s="62"/>
      <x:c r="H621" s="29" t="str">
        <x:v>NO</x:v>
      </x:c>
      <x:c r="I621" s="29" t="str">
        <x:v>no screened path</x:v>
      </x:c>
      <x:c r="J621" s="29" t="str">
        <x:v>presence does not prove operability or capacity</x:v>
      </x:c>
    </x:row>
    <x:row r="622" ht="54" hidden="0" customHeight="1">
      <x:c r="A622" s="27" t="str">
        <x:v>SCA-05</x:v>
      </x:c>
      <x:c r="B622" s="27" t="str">
        <x:v>SCA-32</x:v>
      </x:c>
      <x:c r="C622" s="27" t="str">
        <x:v>Rail</x:v>
      </x:c>
      <x:c r="D622" s="27" t="str">
        <x:v>NO</x:v>
      </x:c>
      <x:c r="E622" s="27" t="str">
        <x:v>NO</x:v>
      </x:c>
      <x:c r="F622" s="61"/>
      <x:c r="G622" s="61"/>
      <x:c r="H622" s="27" t="str">
        <x:v>NO</x:v>
      </x:c>
      <x:c r="I622" s="27" t="str">
        <x:v>no screened path</x:v>
      </x:c>
      <x:c r="J622" s="27" t="str">
        <x:v>presence does not prove operability or capacity</x:v>
      </x:c>
    </x:row>
    <x:row r="623" ht="54" hidden="0" customHeight="1">
      <x:c r="A623" s="29" t="str">
        <x:v>SCA-05</x:v>
      </x:c>
      <x:c r="B623" s="29" t="str">
        <x:v>SCA-32</x:v>
      </x:c>
      <x:c r="C623" s="29" t="str">
        <x:v>Air</x:v>
      </x:c>
      <x:c r="D623" s="29" t="str">
        <x:v>YES</x:v>
      </x:c>
      <x:c r="E623" s="29" t="str">
        <x:v>YES</x:v>
      </x:c>
      <x:c r="F623" s="62" t="n">
        <x:v>5417.024433834811</x:v>
      </x:c>
      <x:c r="G623" s="62" t="n">
        <x:v>32.333883744361245</x:v>
      </x:c>
      <x:c r="H623" s="29" t="str">
        <x:v>YES</x:v>
      </x:c>
      <x:c r="I623" s="29" t="str">
        <x:v>primary-airport endpoints; great-circle screen</x:v>
      </x:c>
      <x:c r="J623" s="29" t="str">
        <x:v>presence does not prove operability or capacity</x:v>
      </x:c>
    </x:row>
    <x:row r="624" ht="75.5999984741211" hidden="0" customHeight="1">
      <x:c r="A624" s="27" t="str">
        <x:v>SCA-05</x:v>
      </x:c>
      <x:c r="B624" s="27" t="str">
        <x:v>SCA-32</x:v>
      </x:c>
      <x:c r="C624" s="27" t="str">
        <x:v>Water</x:v>
      </x:c>
      <x:c r="D624" s="27" t="str">
        <x:v>YES</x:v>
      </x:c>
      <x:c r="E624" s="27" t="str">
        <x:v>YES</x:v>
      </x:c>
      <x:c r="F624" s="61" t="n">
        <x:v>6958.836191592989</x:v>
      </x:c>
      <x:c r="G624" s="61" t="n">
        <x:v>228.8238911883711</x:v>
      </x:c>
      <x:c r="H624" s="27" t="str">
        <x:v>NO</x:v>
      </x:c>
      <x:c r="I624" s="27" t="str">
        <x:v>USACE waterway node topology; deployable terminal required</x:v>
      </x:c>
      <x:c r="J624" s="27" t="str">
        <x:v>presence does not prove operability or capacity</x:v>
      </x:c>
    </x:row>
    <x:row r="625" ht="54" hidden="0" customHeight="1">
      <x:c r="A625" s="29" t="str">
        <x:v>SCA-06</x:v>
      </x:c>
      <x:c r="B625" s="29" t="str">
        <x:v>SCA-01</x:v>
      </x:c>
      <x:c r="C625" s="29" t="str">
        <x:v>Road</x:v>
      </x:c>
      <x:c r="D625" s="29" t="str">
        <x:v>NO</x:v>
      </x:c>
      <x:c r="E625" s="29" t="str">
        <x:v>NO</x:v>
      </x:c>
      <x:c r="F625" s="62"/>
      <x:c r="G625" s="62"/>
      <x:c r="H625" s="29" t="str">
        <x:v>NO</x:v>
      </x:c>
      <x:c r="I625" s="29" t="str">
        <x:v>no screened path</x:v>
      </x:c>
      <x:c r="J625" s="29" t="str">
        <x:v>presence does not prove operability or capacity</x:v>
      </x:c>
    </x:row>
    <x:row r="626" ht="54" hidden="0" customHeight="1">
      <x:c r="A626" s="27" t="str">
        <x:v>SCA-06</x:v>
      </x:c>
      <x:c r="B626" s="27" t="str">
        <x:v>SCA-01</x:v>
      </x:c>
      <x:c r="C626" s="27" t="str">
        <x:v>Rail</x:v>
      </x:c>
      <x:c r="D626" s="27" t="str">
        <x:v>NO</x:v>
      </x:c>
      <x:c r="E626" s="27" t="str">
        <x:v>NO</x:v>
      </x:c>
      <x:c r="F626" s="61"/>
      <x:c r="G626" s="61"/>
      <x:c r="H626" s="27" t="str">
        <x:v>NO</x:v>
      </x:c>
      <x:c r="I626" s="27" t="str">
        <x:v>no screened path</x:v>
      </x:c>
      <x:c r="J626" s="27" t="str">
        <x:v>presence does not prove operability or capacity</x:v>
      </x:c>
    </x:row>
    <x:row r="627" ht="54" hidden="0" customHeight="1">
      <x:c r="A627" s="29" t="str">
        <x:v>SCA-06</x:v>
      </x:c>
      <x:c r="B627" s="29" t="str">
        <x:v>SCA-01</x:v>
      </x:c>
      <x:c r="C627" s="29" t="str">
        <x:v>Air</x:v>
      </x:c>
      <x:c r="D627" s="29" t="str">
        <x:v>YES</x:v>
      </x:c>
      <x:c r="E627" s="29" t="str">
        <x:v>YES</x:v>
      </x:c>
      <x:c r="F627" s="62" t="n">
        <x:v>4270.009072663751</x:v>
      </x:c>
      <x:c r="G627" s="62" t="n">
        <x:v>30.569244727175</x:v>
      </x:c>
      <x:c r="H627" s="29" t="str">
        <x:v>YES</x:v>
      </x:c>
      <x:c r="I627" s="29" t="str">
        <x:v>primary-airport endpoints; great-circle screen</x:v>
      </x:c>
      <x:c r="J627" s="29" t="str">
        <x:v>presence does not prove operability or capacity</x:v>
      </x:c>
    </x:row>
    <x:row r="628" ht="75.5999984741211" hidden="0" customHeight="1">
      <x:c r="A628" s="27" t="str">
        <x:v>SCA-06</x:v>
      </x:c>
      <x:c r="B628" s="27" t="str">
        <x:v>SCA-01</x:v>
      </x:c>
      <x:c r="C628" s="27" t="str">
        <x:v>Water</x:v>
      </x:c>
      <x:c r="D628" s="27" t="str">
        <x:v>YES</x:v>
      </x:c>
      <x:c r="E628" s="27" t="str">
        <x:v>YES</x:v>
      </x:c>
      <x:c r="F628" s="61" t="n">
        <x:v>5526.946363589297</x:v>
      </x:c>
      <x:c r="G628" s="61" t="n">
        <x:v>187.91275324540848</x:v>
      </x:c>
      <x:c r="H628" s="27" t="str">
        <x:v>NO</x:v>
      </x:c>
      <x:c r="I628" s="27" t="str">
        <x:v>USACE waterway node topology; deployable terminal required</x:v>
      </x:c>
      <x:c r="J628" s="27" t="str">
        <x:v>presence does not prove operability or capacity</x:v>
      </x:c>
    </x:row>
    <x:row r="629" ht="54" hidden="0" customHeight="1">
      <x:c r="A629" s="29" t="str">
        <x:v>SCA-06</x:v>
      </x:c>
      <x:c r="B629" s="29" t="str">
        <x:v>SCA-02</x:v>
      </x:c>
      <x:c r="C629" s="29" t="str">
        <x:v>Road</x:v>
      </x:c>
      <x:c r="D629" s="29" t="str">
        <x:v>NO</x:v>
      </x:c>
      <x:c r="E629" s="29" t="str">
        <x:v>NO</x:v>
      </x:c>
      <x:c r="F629" s="62"/>
      <x:c r="G629" s="62"/>
      <x:c r="H629" s="29" t="str">
        <x:v>NO</x:v>
      </x:c>
      <x:c r="I629" s="29" t="str">
        <x:v>no screened path</x:v>
      </x:c>
      <x:c r="J629" s="29" t="str">
        <x:v>presence does not prove operability or capacity</x:v>
      </x:c>
    </x:row>
    <x:row r="630" ht="54" hidden="0" customHeight="1">
      <x:c r="A630" s="27" t="str">
        <x:v>SCA-06</x:v>
      </x:c>
      <x:c r="B630" s="27" t="str">
        <x:v>SCA-02</x:v>
      </x:c>
      <x:c r="C630" s="27" t="str">
        <x:v>Rail</x:v>
      </x:c>
      <x:c r="D630" s="27" t="str">
        <x:v>NO</x:v>
      </x:c>
      <x:c r="E630" s="27" t="str">
        <x:v>NO</x:v>
      </x:c>
      <x:c r="F630" s="61"/>
      <x:c r="G630" s="61"/>
      <x:c r="H630" s="27" t="str">
        <x:v>NO</x:v>
      </x:c>
      <x:c r="I630" s="27" t="str">
        <x:v>no screened path</x:v>
      </x:c>
      <x:c r="J630" s="27" t="str">
        <x:v>presence does not prove operability or capacity</x:v>
      </x:c>
    </x:row>
    <x:row r="631" ht="54" hidden="0" customHeight="1">
      <x:c r="A631" s="29" t="str">
        <x:v>SCA-06</x:v>
      </x:c>
      <x:c r="B631" s="29" t="str">
        <x:v>SCA-02</x:v>
      </x:c>
      <x:c r="C631" s="29" t="str">
        <x:v>Air</x:v>
      </x:c>
      <x:c r="D631" s="29" t="str">
        <x:v>YES</x:v>
      </x:c>
      <x:c r="E631" s="29" t="str">
        <x:v>YES</x:v>
      </x:c>
      <x:c r="F631" s="62" t="n">
        <x:v>3785.714985140878</x:v>
      </x:c>
      <x:c r="G631" s="62" t="n">
        <x:v>29.824176900216735</x:v>
      </x:c>
      <x:c r="H631" s="29" t="str">
        <x:v>YES</x:v>
      </x:c>
      <x:c r="I631" s="29" t="str">
        <x:v>primary-airport endpoints; great-circle screen</x:v>
      </x:c>
      <x:c r="J631" s="29" t="str">
        <x:v>presence does not prove operability or capacity</x:v>
      </x:c>
    </x:row>
    <x:row r="632" ht="75.5999984741211" hidden="0" customHeight="1">
      <x:c r="A632" s="27" t="str">
        <x:v>SCA-06</x:v>
      </x:c>
      <x:c r="B632" s="27" t="str">
        <x:v>SCA-02</x:v>
      </x:c>
      <x:c r="C632" s="27" t="str">
        <x:v>Water</x:v>
      </x:c>
      <x:c r="D632" s="27" t="str">
        <x:v>YES</x:v>
      </x:c>
      <x:c r="E632" s="27" t="str">
        <x:v>YES</x:v>
      </x:c>
      <x:c r="F632" s="61" t="n">
        <x:v>4901.368325819921</x:v>
      </x:c>
      <x:c r="G632" s="61" t="n">
        <x:v>170.0390950234263</x:v>
      </x:c>
      <x:c r="H632" s="27" t="str">
        <x:v>NO</x:v>
      </x:c>
      <x:c r="I632" s="27" t="str">
        <x:v>USACE waterway node topology; deployable terminal required</x:v>
      </x:c>
      <x:c r="J632" s="27" t="str">
        <x:v>presence does not prove operability or capacity</x:v>
      </x:c>
    </x:row>
    <x:row r="633" ht="54" hidden="0" customHeight="1">
      <x:c r="A633" s="29" t="str">
        <x:v>SCA-06</x:v>
      </x:c>
      <x:c r="B633" s="29" t="str">
        <x:v>SCA-03</x:v>
      </x:c>
      <x:c r="C633" s="29" t="str">
        <x:v>Road</x:v>
      </x:c>
      <x:c r="D633" s="29" t="str">
        <x:v>YES</x:v>
      </x:c>
      <x:c r="E633" s="29" t="str">
        <x:v>YES</x:v>
      </x:c>
      <x:c r="F633" s="62" t="n">
        <x:v>1919.2287566838177</x:v>
      </x:c>
      <x:c r="G633" s="62" t="n">
        <x:v>54.89506830334214</x:v>
      </x:c>
      <x:c r="H633" s="29" t="str">
        <x:v>YES</x:v>
      </x:c>
      <x:c r="I633" s="29" t="str">
        <x:v>NHPN-gated shared-boundary SCA path</x:v>
      </x:c>
      <x:c r="J633" s="29" t="str">
        <x:v>presence does not prove operability or capacity</x:v>
      </x:c>
    </x:row>
    <x:row r="634" ht="64.80000305175781" hidden="0" customHeight="1">
      <x:c r="A634" s="27" t="str">
        <x:v>SCA-06</x:v>
      </x:c>
      <x:c r="B634" s="27" t="str">
        <x:v>SCA-03</x:v>
      </x:c>
      <x:c r="C634" s="27" t="str">
        <x:v>Rail</x:v>
      </x:c>
      <x:c r="D634" s="27" t="str">
        <x:v>YES</x:v>
      </x:c>
      <x:c r="E634" s="27" t="str">
        <x:v>YES</x:v>
      </x:c>
      <x:c r="F634" s="61" t="n">
        <x:v>2036.0513766558759</x:v>
      </x:c>
      <x:c r="G634" s="61" t="n">
        <x:v>55.086448237941084</x:v>
      </x:c>
      <x:c r="H634" s="27" t="str">
        <x:v>YES</x:v>
      </x:c>
      <x:c r="I634" s="27" t="str">
        <x:v>NARN shared-node topology; deployable terminal required</x:v>
      </x:c>
      <x:c r="J634" s="27" t="str">
        <x:v>presence does not prove operability or capacity</x:v>
      </x:c>
    </x:row>
    <x:row r="635" ht="54" hidden="0" customHeight="1">
      <x:c r="A635" s="29" t="str">
        <x:v>SCA-06</x:v>
      </x:c>
      <x:c r="B635" s="29" t="str">
        <x:v>SCA-03</x:v>
      </x:c>
      <x:c r="C635" s="29" t="str">
        <x:v>Air</x:v>
      </x:c>
      <x:c r="D635" s="29" t="str">
        <x:v>YES</x:v>
      </x:c>
      <x:c r="E635" s="29" t="str">
        <x:v>YES</x:v>
      </x:c>
      <x:c r="F635" s="62" t="n">
        <x:v>1543.8507692931296</x:v>
      </x:c>
      <x:c r="G635" s="62" t="n">
        <x:v>26.37515502968174</x:v>
      </x:c>
      <x:c r="H635" s="29" t="str">
        <x:v>YES</x:v>
      </x:c>
      <x:c r="I635" s="29" t="str">
        <x:v>primary-airport endpoints; great-circle screen</x:v>
      </x:c>
      <x:c r="J635" s="29" t="str">
        <x:v>presence does not prove operability or capacity</x:v>
      </x:c>
    </x:row>
    <x:row r="636" ht="75.5999984741211" hidden="0" customHeight="1">
      <x:c r="A636" s="27" t="str">
        <x:v>SCA-06</x:v>
      </x:c>
      <x:c r="B636" s="27" t="str">
        <x:v>SCA-03</x:v>
      </x:c>
      <x:c r="C636" s="27" t="str">
        <x:v>Water</x:v>
      </x:c>
      <x:c r="D636" s="27" t="str">
        <x:v>YES</x:v>
      </x:c>
      <x:c r="E636" s="27" t="str">
        <x:v>YES</x:v>
      </x:c>
      <x:c r="F636" s="61" t="n">
        <x:v>2136.18505091764</x:v>
      </x:c>
      <x:c r="G636" s="61" t="n">
        <x:v>91.03385859764686</x:v>
      </x:c>
      <x:c r="H636" s="27" t="str">
        <x:v>NO</x:v>
      </x:c>
      <x:c r="I636" s="27" t="str">
        <x:v>USACE waterway node topology; deployable terminal required</x:v>
      </x:c>
      <x:c r="J636" s="27" t="str">
        <x:v>presence does not prove operability or capacity</x:v>
      </x:c>
    </x:row>
    <x:row r="637" ht="54" hidden="0" customHeight="1">
      <x:c r="A637" s="29" t="str">
        <x:v>SCA-06</x:v>
      </x:c>
      <x:c r="B637" s="29" t="str">
        <x:v>SCA-04</x:v>
      </x:c>
      <x:c r="C637" s="29" t="str">
        <x:v>Road</x:v>
      </x:c>
      <x:c r="D637" s="29" t="str">
        <x:v>YES</x:v>
      </x:c>
      <x:c r="E637" s="29" t="str">
        <x:v>YES</x:v>
      </x:c>
      <x:c r="F637" s="62" t="n">
        <x:v>830.0905225915419</x:v>
      </x:c>
      <x:c r="G637" s="62" t="n">
        <x:v>35.09255495620985</x:v>
      </x:c>
      <x:c r="H637" s="29" t="str">
        <x:v>YES</x:v>
      </x:c>
      <x:c r="I637" s="29" t="str">
        <x:v>NHPN-gated shared-boundary SCA path</x:v>
      </x:c>
      <x:c r="J637" s="29" t="str">
        <x:v>presence does not prove operability or capacity</x:v>
      </x:c>
    </x:row>
    <x:row r="638" ht="64.80000305175781" hidden="0" customHeight="1">
      <x:c r="A638" s="27" t="str">
        <x:v>SCA-06</x:v>
      </x:c>
      <x:c r="B638" s="27" t="str">
        <x:v>SCA-04</x:v>
      </x:c>
      <x:c r="C638" s="27" t="str">
        <x:v>Rail</x:v>
      </x:c>
      <x:c r="D638" s="27" t="str">
        <x:v>YES</x:v>
      </x:c>
      <x:c r="E638" s="27" t="str">
        <x:v>YES</x:v>
      </x:c>
      <x:c r="F638" s="61" t="n">
        <x:v>880.6177717927667</x:v>
      </x:c>
      <x:c r="G638" s="61" t="n">
        <x:v>38.58025388275381</x:v>
      </x:c>
      <x:c r="H638" s="27" t="str">
        <x:v>YES</x:v>
      </x:c>
      <x:c r="I638" s="27" t="str">
        <x:v>NARN shared-node topology; deployable terminal required</x:v>
      </x:c>
      <x:c r="J638" s="27" t="str">
        <x:v>presence does not prove operability or capacity</x:v>
      </x:c>
    </x:row>
    <x:row r="639" ht="54" hidden="0" customHeight="1">
      <x:c r="A639" s="29" t="str">
        <x:v>SCA-06</x:v>
      </x:c>
      <x:c r="B639" s="29" t="str">
        <x:v>SCA-04</x:v>
      </x:c>
      <x:c r="C639" s="29" t="str">
        <x:v>Air</x:v>
      </x:c>
      <x:c r="D639" s="29" t="str">
        <x:v>YES</x:v>
      </x:c>
      <x:c r="E639" s="29" t="str">
        <x:v>YES</x:v>
      </x:c>
      <x:c r="F639" s="62" t="n">
        <x:v>705.5114387266485</x:v>
      </x:c>
      <x:c r="G639" s="62" t="n">
        <x:v>25.085402213425613</x:v>
      </x:c>
      <x:c r="H639" s="29" t="str">
        <x:v>YES</x:v>
      </x:c>
      <x:c r="I639" s="29" t="str">
        <x:v>primary-airport endpoints; great-circle screen</x:v>
      </x:c>
      <x:c r="J639" s="29" t="str">
        <x:v>presence does not prove operability or capacity</x:v>
      </x:c>
    </x:row>
    <x:row r="640" ht="75.5999984741211" hidden="0" customHeight="1">
      <x:c r="A640" s="27" t="str">
        <x:v>SCA-06</x:v>
      </x:c>
      <x:c r="B640" s="27" t="str">
        <x:v>SCA-04</x:v>
      </x:c>
      <x:c r="C640" s="27" t="str">
        <x:v>Water</x:v>
      </x:c>
      <x:c r="D640" s="27" t="str">
        <x:v>YES</x:v>
      </x:c>
      <x:c r="E640" s="27" t="str">
        <x:v>YES</x:v>
      </x:c>
      <x:c r="F640" s="61" t="n">
        <x:v>923.9268425366733</x:v>
      </x:c>
      <x:c r="G640" s="61" t="n">
        <x:v>56.3979097867621</x:v>
      </x:c>
      <x:c r="H640" s="27" t="str">
        <x:v>YES</x:v>
      </x:c>
      <x:c r="I640" s="27" t="str">
        <x:v>USACE waterway node topology; deployable terminal required</x:v>
      </x:c>
      <x:c r="J640" s="27" t="str">
        <x:v>presence does not prove operability or capacity</x:v>
      </x:c>
    </x:row>
    <x:row r="641" ht="54" hidden="0" customHeight="1">
      <x:c r="A641" s="29" t="str">
        <x:v>SCA-06</x:v>
      </x:c>
      <x:c r="B641" s="29" t="str">
        <x:v>SCA-05</x:v>
      </x:c>
      <x:c r="C641" s="29" t="str">
        <x:v>Road</x:v>
      </x:c>
      <x:c r="D641" s="29" t="str">
        <x:v>YES</x:v>
      </x:c>
      <x:c r="E641" s="29" t="str">
        <x:v>YES</x:v>
      </x:c>
      <x:c r="F641" s="62" t="n">
        <x:v>240.75737228012326</x:v>
      </x:c>
      <x:c r="G641" s="62" t="n">
        <x:v>24.377406768729514</x:v>
      </x:c>
      <x:c r="H641" s="29" t="str">
        <x:v>YES</x:v>
      </x:c>
      <x:c r="I641" s="29" t="str">
        <x:v>NHPN-gated shared-boundary SCA path</x:v>
      </x:c>
      <x:c r="J641" s="29" t="str">
        <x:v>presence does not prove operability or capacity</x:v>
      </x:c>
    </x:row>
    <x:row r="642" ht="64.80000305175781" hidden="0" customHeight="1">
      <x:c r="A642" s="27" t="str">
        <x:v>SCA-06</x:v>
      </x:c>
      <x:c r="B642" s="27" t="str">
        <x:v>SCA-05</x:v>
      </x:c>
      <x:c r="C642" s="27" t="str">
        <x:v>Rail</x:v>
      </x:c>
      <x:c r="D642" s="27" t="str">
        <x:v>YES</x:v>
      </x:c>
      <x:c r="E642" s="27" t="str">
        <x:v>YES</x:v>
      </x:c>
      <x:c r="F642" s="61" t="n">
        <x:v>255.4121688536962</x:v>
      </x:c>
      <x:c r="G642" s="61" t="n">
        <x:v>29.648745269338516</x:v>
      </x:c>
      <x:c r="H642" s="27" t="str">
        <x:v>YES</x:v>
      </x:c>
      <x:c r="I642" s="27" t="str">
        <x:v>NARN shared-node topology; deployable terminal required</x:v>
      </x:c>
      <x:c r="J642" s="27" t="str">
        <x:v>presence does not prove operability or capacity</x:v>
      </x:c>
    </x:row>
    <x:row r="643" ht="54" hidden="0" customHeight="1">
      <x:c r="A643" s="29" t="str">
        <x:v>SCA-06</x:v>
      </x:c>
      <x:c r="B643" s="29" t="str">
        <x:v>SCA-05</x:v>
      </x:c>
      <x:c r="C643" s="29" t="str">
        <x:v>Air</x:v>
      </x:c>
      <x:c r="D643" s="29" t="str">
        <x:v>YES</x:v>
      </x:c>
      <x:c r="E643" s="29" t="str">
        <x:v>YES</x:v>
      </x:c>
      <x:c r="F643" s="62" t="n">
        <x:v>209.35423676532474</x:v>
      </x:c>
      <x:c r="G643" s="62" t="n">
        <x:v>24.322083441177423</x:v>
      </x:c>
      <x:c r="H643" s="29" t="str">
        <x:v>YES</x:v>
      </x:c>
      <x:c r="I643" s="29" t="str">
        <x:v>primary-airport endpoints; great-circle screen</x:v>
      </x:c>
      <x:c r="J643" s="29" t="str">
        <x:v>presence does not prove operability or capacity</x:v>
      </x:c>
    </x:row>
    <x:row r="644" ht="75.5999984741211" hidden="0" customHeight="1">
      <x:c r="A644" s="27" t="str">
        <x:v>SCA-06</x:v>
      </x:c>
      <x:c r="B644" s="27" t="str">
        <x:v>SCA-05</x:v>
      </x:c>
      <x:c r="C644" s="27" t="str">
        <x:v>Water</x:v>
      </x:c>
      <x:c r="D644" s="27" t="str">
        <x:v>YES</x:v>
      </x:c>
      <x:c r="E644" s="27" t="str">
        <x:v>YES</x:v>
      </x:c>
      <x:c r="F644" s="61" t="n">
        <x:v>267.9734230596157</x:v>
      </x:c>
      <x:c r="G644" s="61" t="n">
        <x:v>37.65638351598902</x:v>
      </x:c>
      <x:c r="H644" s="27" t="str">
        <x:v>YES</x:v>
      </x:c>
      <x:c r="I644" s="27" t="str">
        <x:v>USACE waterway node topology; deployable terminal required</x:v>
      </x:c>
      <x:c r="J644" s="27" t="str">
        <x:v>presence does not prove operability or capacity</x:v>
      </x:c>
    </x:row>
    <x:row r="645" ht="54" hidden="0" customHeight="1">
      <x:c r="A645" s="29" t="str">
        <x:v>SCA-06</x:v>
      </x:c>
      <x:c r="B645" s="29" t="str">
        <x:v>SCA-07</x:v>
      </x:c>
      <x:c r="C645" s="29" t="str">
        <x:v>Road</x:v>
      </x:c>
      <x:c r="D645" s="29" t="str">
        <x:v>YES</x:v>
      </x:c>
      <x:c r="E645" s="29" t="str">
        <x:v>YES</x:v>
      </x:c>
      <x:c r="F645" s="62" t="n">
        <x:v>322.58414406801626</x:v>
      </x:c>
      <x:c r="G645" s="62" t="n">
        <x:v>25.865166255782114</x:v>
      </x:c>
      <x:c r="H645" s="29" t="str">
        <x:v>YES</x:v>
      </x:c>
      <x:c r="I645" s="29" t="str">
        <x:v>NHPN-gated shared-boundary SCA path</x:v>
      </x:c>
      <x:c r="J645" s="29" t="str">
        <x:v>presence does not prove operability or capacity</x:v>
      </x:c>
    </x:row>
    <x:row r="646" ht="64.80000305175781" hidden="0" customHeight="1">
      <x:c r="A646" s="27" t="str">
        <x:v>SCA-06</x:v>
      </x:c>
      <x:c r="B646" s="27" t="str">
        <x:v>SCA-07</x:v>
      </x:c>
      <x:c r="C646" s="27" t="str">
        <x:v>Rail</x:v>
      </x:c>
      <x:c r="D646" s="27" t="str">
        <x:v>YES</x:v>
      </x:c>
      <x:c r="E646" s="27" t="str">
        <x:v>YES</x:v>
      </x:c>
      <x:c r="F646" s="61" t="n">
        <x:v>342.2197006634609</x:v>
      </x:c>
      <x:c r="G646" s="61" t="n">
        <x:v>30.88885286662087</x:v>
      </x:c>
      <x:c r="H646" s="27" t="str">
        <x:v>YES</x:v>
      </x:c>
      <x:c r="I646" s="27" t="str">
        <x:v>NARN shared-node topology; deployable terminal required</x:v>
      </x:c>
      <x:c r="J646" s="27" t="str">
        <x:v>presence does not prove operability or capacity</x:v>
      </x:c>
    </x:row>
    <x:row r="647" ht="54" hidden="0" customHeight="1">
      <x:c r="A647" s="29" t="str">
        <x:v>SCA-06</x:v>
      </x:c>
      <x:c r="B647" s="29" t="str">
        <x:v>SCA-07</x:v>
      </x:c>
      <x:c r="C647" s="29" t="str">
        <x:v>Air</x:v>
      </x:c>
      <x:c r="D647" s="29" t="str">
        <x:v>YES</x:v>
      </x:c>
      <x:c r="E647" s="29" t="str">
        <x:v>YES</x:v>
      </x:c>
      <x:c r="F647" s="62" t="n">
        <x:v>280.50795136349257</x:v>
      </x:c>
      <x:c r="G647" s="62" t="n">
        <x:v>24.431550694405374</x:v>
      </x:c>
      <x:c r="H647" s="29" t="str">
        <x:v>YES</x:v>
      </x:c>
      <x:c r="I647" s="29" t="str">
        <x:v>primary-airport endpoints; great-circle screen</x:v>
      </x:c>
      <x:c r="J647" s="29" t="str">
        <x:v>presence does not prove operability or capacity</x:v>
      </x:c>
    </x:row>
    <x:row r="648" ht="64.80000305175781" hidden="0" customHeight="1">
      <x:c r="A648" s="27" t="str">
        <x:v>SCA-06</x:v>
      </x:c>
      <x:c r="B648" s="27" t="str">
        <x:v>SCA-07</x:v>
      </x:c>
      <x:c r="C648" s="27" t="str">
        <x:v>Water</x:v>
      </x:c>
      <x:c r="D648" s="27" t="str">
        <x:v>YES</x:v>
      </x:c>
      <x:c r="E648" s="27" t="str">
        <x:v>YES</x:v>
      </x:c>
      <x:c r="F648" s="61" t="n">
        <x:v>350.6349392043657</x:v>
      </x:c>
      <x:c r="G648" s="61" t="n">
        <x:v>40.01814112012474</x:v>
      </x:c>
      <x:c r="H648" s="27" t="str">
        <x:v>YES</x:v>
      </x:c>
      <x:c r="I648" s="27" t="str">
        <x:v>observed water terminals; maritime great-circle screen</x:v>
      </x:c>
      <x:c r="J648" s="27" t="str">
        <x:v>presence does not prove operability or capacity</x:v>
      </x:c>
    </x:row>
    <x:row r="649" ht="54" hidden="0" customHeight="1">
      <x:c r="A649" s="29" t="str">
        <x:v>SCA-06</x:v>
      </x:c>
      <x:c r="B649" s="29" t="str">
        <x:v>SCA-08</x:v>
      </x:c>
      <x:c r="C649" s="29" t="str">
        <x:v>Road</x:v>
      </x:c>
      <x:c r="D649" s="29" t="str">
        <x:v>YES</x:v>
      </x:c>
      <x:c r="E649" s="29" t="str">
        <x:v>YES</x:v>
      </x:c>
      <x:c r="F649" s="62" t="n">
        <x:v>1476.9651690317123</x:v>
      </x:c>
      <x:c r="G649" s="62" t="n">
        <x:v>46.85391216421295</x:v>
      </x:c>
      <x:c r="H649" s="29" t="str">
        <x:v>YES</x:v>
      </x:c>
      <x:c r="I649" s="29" t="str">
        <x:v>NHPN-gated shared-boundary SCA path</x:v>
      </x:c>
      <x:c r="J649" s="29" t="str">
        <x:v>presence does not prove operability or capacity</x:v>
      </x:c>
    </x:row>
    <x:row r="650" ht="64.80000305175781" hidden="0" customHeight="1">
      <x:c r="A650" s="27" t="str">
        <x:v>SCA-06</x:v>
      </x:c>
      <x:c r="B650" s="27" t="str">
        <x:v>SCA-08</x:v>
      </x:c>
      <x:c r="C650" s="27" t="str">
        <x:v>Rail</x:v>
      </x:c>
      <x:c r="D650" s="27" t="str">
        <x:v>YES</x:v>
      </x:c>
      <x:c r="E650" s="27" t="str">
        <x:v>YES</x:v>
      </x:c>
      <x:c r="F650" s="61" t="n">
        <x:v>1796.384399328449</x:v>
      </x:c>
      <x:c r="G650" s="61" t="n">
        <x:v>51.6626342761207</x:v>
      </x:c>
      <x:c r="H650" s="27" t="str">
        <x:v>YES</x:v>
      </x:c>
      <x:c r="I650" s="27" t="str">
        <x:v>NARN shared-node topology; deployable terminal required</x:v>
      </x:c>
      <x:c r="J650" s="27" t="str">
        <x:v>presence does not prove operability or capacity</x:v>
      </x:c>
    </x:row>
    <x:row r="651" ht="54" hidden="0" customHeight="1">
      <x:c r="A651" s="29" t="str">
        <x:v>SCA-06</x:v>
      </x:c>
      <x:c r="B651" s="29" t="str">
        <x:v>SCA-08</x:v>
      </x:c>
      <x:c r="C651" s="29" t="str">
        <x:v>Air</x:v>
      </x:c>
      <x:c r="D651" s="29" t="str">
        <x:v>YES</x:v>
      </x:c>
      <x:c r="E651" s="29" t="str">
        <x:v>YES</x:v>
      </x:c>
      <x:c r="F651" s="62" t="n">
        <x:v>1273.7415205602574</x:v>
      </x:c>
      <x:c r="G651" s="62" t="n">
        <x:v>25.959602339323474</x:v>
      </x:c>
      <x:c r="H651" s="29" t="str">
        <x:v>YES</x:v>
      </x:c>
      <x:c r="I651" s="29" t="str">
        <x:v>primary-airport endpoints; great-circle screen</x:v>
      </x:c>
      <x:c r="J651" s="29" t="str">
        <x:v>presence does not prove operability or capacity</x:v>
      </x:c>
    </x:row>
    <x:row r="652" ht="75.5999984741211" hidden="0" customHeight="1">
      <x:c r="A652" s="27" t="str">
        <x:v>SCA-06</x:v>
      </x:c>
      <x:c r="B652" s="27" t="str">
        <x:v>SCA-08</x:v>
      </x:c>
      <x:c r="C652" s="27" t="str">
        <x:v>Water</x:v>
      </x:c>
      <x:c r="D652" s="27" t="str">
        <x:v>YES</x:v>
      </x:c>
      <x:c r="E652" s="27" t="str">
        <x:v>YES</x:v>
      </x:c>
      <x:c r="F652" s="61" t="n">
        <x:v>2853.7139553461734</x:v>
      </x:c>
      <x:c r="G652" s="61" t="n">
        <x:v>111.5346844384621</x:v>
      </x:c>
      <x:c r="H652" s="27" t="str">
        <x:v>NO</x:v>
      </x:c>
      <x:c r="I652" s="27" t="str">
        <x:v>USACE waterway node topology; deployable terminal required</x:v>
      </x:c>
      <x:c r="J652" s="27" t="str">
        <x:v>presence does not prove operability or capacity</x:v>
      </x:c>
    </x:row>
    <x:row r="653" ht="54" hidden="0" customHeight="1">
      <x:c r="A653" s="29" t="str">
        <x:v>SCA-06</x:v>
      </x:c>
      <x:c r="B653" s="29" t="str">
        <x:v>SCA-09</x:v>
      </x:c>
      <x:c r="C653" s="29" t="str">
        <x:v>Road</x:v>
      </x:c>
      <x:c r="D653" s="29" t="str">
        <x:v>YES</x:v>
      </x:c>
      <x:c r="E653" s="29" t="str">
        <x:v>YES</x:v>
      </x:c>
      <x:c r="F653" s="62" t="n">
        <x:v>449.719451761831</x:v>
      </x:c>
      <x:c r="G653" s="62" t="n">
        <x:v>28.176717304760565</x:v>
      </x:c>
      <x:c r="H653" s="29" t="str">
        <x:v>YES</x:v>
      </x:c>
      <x:c r="I653" s="29" t="str">
        <x:v>NHPN-gated shared-boundary SCA path</x:v>
      </x:c>
      <x:c r="J653" s="29" t="str">
        <x:v>presence does not prove operability or capacity</x:v>
      </x:c>
    </x:row>
    <x:row r="654" ht="64.80000305175781" hidden="0" customHeight="1">
      <x:c r="A654" s="27" t="str">
        <x:v>SCA-06</x:v>
      </x:c>
      <x:c r="B654" s="27" t="str">
        <x:v>SCA-09</x:v>
      </x:c>
      <x:c r="C654" s="27" t="str">
        <x:v>Rail</x:v>
      </x:c>
      <x:c r="D654" s="27" t="str">
        <x:v>YES</x:v>
      </x:c>
      <x:c r="E654" s="27" t="str">
        <x:v>YES</x:v>
      </x:c>
      <x:c r="F654" s="61" t="n">
        <x:v>477.09367926037726</x:v>
      </x:c>
      <x:c r="G654" s="61" t="n">
        <x:v>32.81562398943396</x:v>
      </x:c>
      <x:c r="H654" s="27" t="str">
        <x:v>YES</x:v>
      </x:c>
      <x:c r="I654" s="27" t="str">
        <x:v>NARN shared-node topology; deployable terminal required</x:v>
      </x:c>
      <x:c r="J654" s="27" t="str">
        <x:v>presence does not prove operability or capacity</x:v>
      </x:c>
    </x:row>
    <x:row r="655" ht="54" hidden="0" customHeight="1">
      <x:c r="A655" s="29" t="str">
        <x:v>SCA-06</x:v>
      </x:c>
      <x:c r="B655" s="29" t="str">
        <x:v>SCA-09</x:v>
      </x:c>
      <x:c r="C655" s="29" t="str">
        <x:v>Air</x:v>
      </x:c>
      <x:c r="D655" s="29" t="str">
        <x:v>YES</x:v>
      </x:c>
      <x:c r="E655" s="29" t="str">
        <x:v>YES</x:v>
      </x:c>
      <x:c r="F655" s="62" t="n">
        <x:v>391.06039283637483</x:v>
      </x:c>
      <x:c r="G655" s="62" t="n">
        <x:v>24.601631373594422</x:v>
      </x:c>
      <x:c r="H655" s="29" t="str">
        <x:v>YES</x:v>
      </x:c>
      <x:c r="I655" s="29" t="str">
        <x:v>primary-airport endpoints; great-circle screen</x:v>
      </x:c>
      <x:c r="J655" s="29" t="str">
        <x:v>presence does not prove operability or capacity</x:v>
      </x:c>
    </x:row>
    <x:row r="656" ht="54" hidden="0" customHeight="1">
      <x:c r="A656" s="27" t="str">
        <x:v>SCA-06</x:v>
      </x:c>
      <x:c r="B656" s="27" t="str">
        <x:v>SCA-09</x:v>
      </x:c>
      <x:c r="C656" s="27" t="str">
        <x:v>Water</x:v>
      </x:c>
      <x:c r="D656" s="27" t="str">
        <x:v>NO</x:v>
      </x:c>
      <x:c r="E656" s="27" t="str">
        <x:v>NO</x:v>
      </x:c>
      <x:c r="F656" s="61"/>
      <x:c r="G656" s="61"/>
      <x:c r="H656" s="27" t="str">
        <x:v>NO</x:v>
      </x:c>
      <x:c r="I656" s="27" t="str">
        <x:v>no screened path</x:v>
      </x:c>
      <x:c r="J656" s="27" t="str">
        <x:v>presence does not prove operability or capacity</x:v>
      </x:c>
    </x:row>
    <x:row r="657" ht="54" hidden="0" customHeight="1">
      <x:c r="A657" s="29" t="str">
        <x:v>SCA-06</x:v>
      </x:c>
      <x:c r="B657" s="29" t="str">
        <x:v>SCA-10</x:v>
      </x:c>
      <x:c r="C657" s="29" t="str">
        <x:v>Road</x:v>
      </x:c>
      <x:c r="D657" s="29" t="str">
        <x:v>YES</x:v>
      </x:c>
      <x:c r="E657" s="29" t="str">
        <x:v>YES</x:v>
      </x:c>
      <x:c r="F657" s="62" t="n">
        <x:v>1136.7834466774707</x:v>
      </x:c>
      <x:c r="G657" s="62" t="n">
        <x:v>40.668789939590376</x:v>
      </x:c>
      <x:c r="H657" s="29" t="str">
        <x:v>YES</x:v>
      </x:c>
      <x:c r="I657" s="29" t="str">
        <x:v>NHPN-gated shared-boundary SCA path</x:v>
      </x:c>
      <x:c r="J657" s="29" t="str">
        <x:v>presence does not prove operability or capacity</x:v>
      </x:c>
    </x:row>
    <x:row r="658" ht="64.80000305175781" hidden="0" customHeight="1">
      <x:c r="A658" s="27" t="str">
        <x:v>SCA-06</x:v>
      </x:c>
      <x:c r="B658" s="27" t="str">
        <x:v>SCA-10</x:v>
      </x:c>
      <x:c r="C658" s="27" t="str">
        <x:v>Rail</x:v>
      </x:c>
      <x:c r="D658" s="27" t="str">
        <x:v>YES</x:v>
      </x:c>
      <x:c r="E658" s="27" t="str">
        <x:v>YES</x:v>
      </x:c>
      <x:c r="F658" s="61" t="n">
        <x:v>1205.978960823056</x:v>
      </x:c>
      <x:c r="G658" s="61" t="n">
        <x:v>43.2282708689008</x:v>
      </x:c>
      <x:c r="H658" s="27" t="str">
        <x:v>YES</x:v>
      </x:c>
      <x:c r="I658" s="27" t="str">
        <x:v>NARN shared-node topology; deployable terminal required</x:v>
      </x:c>
      <x:c r="J658" s="27" t="str">
        <x:v>presence does not prove operability or capacity</x:v>
      </x:c>
    </x:row>
    <x:row r="659" ht="54" hidden="0" customHeight="1">
      <x:c r="A659" s="29" t="str">
        <x:v>SCA-06</x:v>
      </x:c>
      <x:c r="B659" s="29" t="str">
        <x:v>SCA-10</x:v>
      </x:c>
      <x:c r="C659" s="29" t="str">
        <x:v>Air</x:v>
      </x:c>
      <x:c r="D659" s="29" t="str">
        <x:v>YES</x:v>
      </x:c>
      <x:c r="E659" s="29" t="str">
        <x:v>YES</x:v>
      </x:c>
      <x:c r="F659" s="62" t="n">
        <x:v>986.2827053752555</x:v>
      </x:c>
      <x:c r="G659" s="62" t="n">
        <x:v>25.517358008269625</x:v>
      </x:c>
      <x:c r="H659" s="29" t="str">
        <x:v>YES</x:v>
      </x:c>
      <x:c r="I659" s="29" t="str">
        <x:v>primary-airport endpoints; great-circle screen</x:v>
      </x:c>
      <x:c r="J659" s="29" t="str">
        <x:v>presence does not prove operability or capacity</x:v>
      </x:c>
    </x:row>
    <x:row r="660" ht="54" hidden="0" customHeight="1">
      <x:c r="A660" s="27" t="str">
        <x:v>SCA-06</x:v>
      </x:c>
      <x:c r="B660" s="27" t="str">
        <x:v>SCA-10</x:v>
      </x:c>
      <x:c r="C660" s="27" t="str">
        <x:v>Water</x:v>
      </x:c>
      <x:c r="D660" s="27" t="str">
        <x:v>NO</x:v>
      </x:c>
      <x:c r="E660" s="27" t="str">
        <x:v>NO</x:v>
      </x:c>
      <x:c r="F660" s="61"/>
      <x:c r="G660" s="61"/>
      <x:c r="H660" s="27" t="str">
        <x:v>NO</x:v>
      </x:c>
      <x:c r="I660" s="27" t="str">
        <x:v>no screened path</x:v>
      </x:c>
      <x:c r="J660" s="27" t="str">
        <x:v>presence does not prove operability or capacity</x:v>
      </x:c>
    </x:row>
    <x:row r="661" ht="54" hidden="0" customHeight="1">
      <x:c r="A661" s="29" t="str">
        <x:v>SCA-06</x:v>
      </x:c>
      <x:c r="B661" s="29" t="str">
        <x:v>SCA-11</x:v>
      </x:c>
      <x:c r="C661" s="29" t="str">
        <x:v>Road</x:v>
      </x:c>
      <x:c r="D661" s="29" t="str">
        <x:v>YES</x:v>
      </x:c>
      <x:c r="E661" s="29" t="str">
        <x:v>YES</x:v>
      </x:c>
      <x:c r="F661" s="62" t="n">
        <x:v>1201.4718032314415</x:v>
      </x:c>
      <x:c r="G661" s="62" t="n">
        <x:v>41.8449418769353</x:v>
      </x:c>
      <x:c r="H661" s="29" t="str">
        <x:v>YES</x:v>
      </x:c>
      <x:c r="I661" s="29" t="str">
        <x:v>NHPN-gated shared-boundary SCA path</x:v>
      </x:c>
      <x:c r="J661" s="29" t="str">
        <x:v>presence does not prove operability or capacity</x:v>
      </x:c>
    </x:row>
    <x:row r="662" ht="64.80000305175781" hidden="0" customHeight="1">
      <x:c r="A662" s="27" t="str">
        <x:v>SCA-06</x:v>
      </x:c>
      <x:c r="B662" s="27" t="str">
        <x:v>SCA-11</x:v>
      </x:c>
      <x:c r="C662" s="27" t="str">
        <x:v>Rail</x:v>
      </x:c>
      <x:c r="D662" s="27" t="str">
        <x:v>YES</x:v>
      </x:c>
      <x:c r="E662" s="27" t="str">
        <x:v>YES</x:v>
      </x:c>
      <x:c r="F662" s="61" t="n">
        <x:v>1274.6048695150946</x:v>
      </x:c>
      <x:c r="G662" s="61" t="n">
        <x:v>44.20864099307278</x:v>
      </x:c>
      <x:c r="H662" s="27" t="str">
        <x:v>YES</x:v>
      </x:c>
      <x:c r="I662" s="27" t="str">
        <x:v>NARN shared-node topology; deployable terminal required</x:v>
      </x:c>
      <x:c r="J662" s="27" t="str">
        <x:v>presence does not prove operability or capacity</x:v>
      </x:c>
    </x:row>
    <x:row r="663" ht="54" hidden="0" customHeight="1">
      <x:c r="A663" s="29" t="str">
        <x:v>SCA-06</x:v>
      </x:c>
      <x:c r="B663" s="29" t="str">
        <x:v>SCA-11</x:v>
      </x:c>
      <x:c r="C663" s="29" t="str">
        <x:v>Air</x:v>
      </x:c>
      <x:c r="D663" s="29" t="str">
        <x:v>YES</x:v>
      </x:c>
      <x:c r="E663" s="29" t="str">
        <x:v>YES</x:v>
      </x:c>
      <x:c r="F663" s="62" t="n">
        <x:v>1044.032957825022</x:v>
      </x:c>
      <x:c r="G663" s="62" t="n">
        <x:v>25.606204550500035</x:v>
      </x:c>
      <x:c r="H663" s="29" t="str">
        <x:v>YES</x:v>
      </x:c>
      <x:c r="I663" s="29" t="str">
        <x:v>primary-airport endpoints; great-circle screen</x:v>
      </x:c>
      <x:c r="J663" s="29" t="str">
        <x:v>presence does not prove operability or capacity</x:v>
      </x:c>
    </x:row>
    <x:row r="664" ht="54" hidden="0" customHeight="1">
      <x:c r="A664" s="27" t="str">
        <x:v>SCA-06</x:v>
      </x:c>
      <x:c r="B664" s="27" t="str">
        <x:v>SCA-11</x:v>
      </x:c>
      <x:c r="C664" s="27" t="str">
        <x:v>Water</x:v>
      </x:c>
      <x:c r="D664" s="27" t="str">
        <x:v>NO</x:v>
      </x:c>
      <x:c r="E664" s="27" t="str">
        <x:v>NO</x:v>
      </x:c>
      <x:c r="F664" s="61"/>
      <x:c r="G664" s="61"/>
      <x:c r="H664" s="27" t="str">
        <x:v>NO</x:v>
      </x:c>
      <x:c r="I664" s="27" t="str">
        <x:v>no screened path</x:v>
      </x:c>
      <x:c r="J664" s="27" t="str">
        <x:v>presence does not prove operability or capacity</x:v>
      </x:c>
    </x:row>
    <x:row r="665" ht="54" hidden="0" customHeight="1">
      <x:c r="A665" s="29" t="str">
        <x:v>SCA-06</x:v>
      </x:c>
      <x:c r="B665" s="29" t="str">
        <x:v>SCA-12</x:v>
      </x:c>
      <x:c r="C665" s="29" t="str">
        <x:v>Road</x:v>
      </x:c>
      <x:c r="D665" s="29" t="str">
        <x:v>YES</x:v>
      </x:c>
      <x:c r="E665" s="29" t="str">
        <x:v>YES</x:v>
      </x:c>
      <x:c r="F665" s="62" t="n">
        <x:v>1545.7957932206455</x:v>
      </x:c>
      <x:c r="G665" s="62" t="n">
        <x:v>48.10537805855719</x:v>
      </x:c>
      <x:c r="H665" s="29" t="str">
        <x:v>YES</x:v>
      </x:c>
      <x:c r="I665" s="29" t="str">
        <x:v>NHPN-gated shared-boundary SCA path</x:v>
      </x:c>
      <x:c r="J665" s="29" t="str">
        <x:v>presence does not prove operability or capacity</x:v>
      </x:c>
    </x:row>
    <x:row r="666" ht="64.80000305175781" hidden="0" customHeight="1">
      <x:c r="A666" s="27" t="str">
        <x:v>SCA-06</x:v>
      </x:c>
      <x:c r="B666" s="27" t="str">
        <x:v>SCA-12</x:v>
      </x:c>
      <x:c r="C666" s="27" t="str">
        <x:v>Rail</x:v>
      </x:c>
      <x:c r="D666" s="27" t="str">
        <x:v>YES</x:v>
      </x:c>
      <x:c r="E666" s="27" t="str">
        <x:v>YES</x:v>
      </x:c>
      <x:c r="F666" s="61" t="n">
        <x:v>1923.4004512062384</x:v>
      </x:c>
      <x:c r="G666" s="61" t="n">
        <x:v>53.47714930294626</x:v>
      </x:c>
      <x:c r="H666" s="27" t="str">
        <x:v>YES</x:v>
      </x:c>
      <x:c r="I666" s="27" t="str">
        <x:v>NARN shared-node topology; deployable terminal required</x:v>
      </x:c>
      <x:c r="J666" s="27" t="str">
        <x:v>presence does not prove operability or capacity</x:v>
      </x:c>
    </x:row>
    <x:row r="667" ht="54" hidden="0" customHeight="1">
      <x:c r="A667" s="29" t="str">
        <x:v>SCA-06</x:v>
      </x:c>
      <x:c r="B667" s="29" t="str">
        <x:v>SCA-12</x:v>
      </x:c>
      <x:c r="C667" s="29" t="str">
        <x:v>Air</x:v>
      </x:c>
      <x:c r="D667" s="29" t="str">
        <x:v>YES</x:v>
      </x:c>
      <x:c r="E667" s="29" t="str">
        <x:v>YES</x:v>
      </x:c>
      <x:c r="F667" s="62" t="n">
        <x:v>1235.1978098896939</x:v>
      </x:c>
      <x:c r="G667" s="62" t="n">
        <x:v>25.90030432290722</x:v>
      </x:c>
      <x:c r="H667" s="29" t="str">
        <x:v>YES</x:v>
      </x:c>
      <x:c r="I667" s="29" t="str">
        <x:v>primary-airport endpoints; great-circle screen</x:v>
      </x:c>
      <x:c r="J667" s="29" t="str">
        <x:v>presence does not prove operability or capacity</x:v>
      </x:c>
    </x:row>
    <x:row r="668" ht="54" hidden="0" customHeight="1">
      <x:c r="A668" s="27" t="str">
        <x:v>SCA-06</x:v>
      </x:c>
      <x:c r="B668" s="27" t="str">
        <x:v>SCA-12</x:v>
      </x:c>
      <x:c r="C668" s="27" t="str">
        <x:v>Water</x:v>
      </x:c>
      <x:c r="D668" s="27" t="str">
        <x:v>NO</x:v>
      </x:c>
      <x:c r="E668" s="27" t="str">
        <x:v>NO</x:v>
      </x:c>
      <x:c r="F668" s="61"/>
      <x:c r="G668" s="61"/>
      <x:c r="H668" s="27" t="str">
        <x:v>NO</x:v>
      </x:c>
      <x:c r="I668" s="27" t="str">
        <x:v>no screened path</x:v>
      </x:c>
      <x:c r="J668" s="27" t="str">
        <x:v>presence does not prove operability or capacity</x:v>
      </x:c>
    </x:row>
    <x:row r="669" ht="54" hidden="0" customHeight="1">
      <x:c r="A669" s="29" t="str">
        <x:v>SCA-06</x:v>
      </x:c>
      <x:c r="B669" s="29" t="str">
        <x:v>SCA-13</x:v>
      </x:c>
      <x:c r="C669" s="29" t="str">
        <x:v>Road</x:v>
      </x:c>
      <x:c r="D669" s="29" t="str">
        <x:v>NO</x:v>
      </x:c>
      <x:c r="E669" s="29" t="str">
        <x:v>NO</x:v>
      </x:c>
      <x:c r="F669" s="62"/>
      <x:c r="G669" s="62"/>
      <x:c r="H669" s="29" t="str">
        <x:v>NO</x:v>
      </x:c>
      <x:c r="I669" s="29" t="str">
        <x:v>no screened path</x:v>
      </x:c>
      <x:c r="J669" s="29" t="str">
        <x:v>presence does not prove operability or capacity</x:v>
      </x:c>
    </x:row>
    <x:row r="670" ht="64.80000305175781" hidden="0" customHeight="1">
      <x:c r="A670" s="27" t="str">
        <x:v>SCA-06</x:v>
      </x:c>
      <x:c r="B670" s="27" t="str">
        <x:v>SCA-13</x:v>
      </x:c>
      <x:c r="C670" s="27" t="str">
        <x:v>Rail</x:v>
      </x:c>
      <x:c r="D670" s="27" t="str">
        <x:v>YES</x:v>
      </x:c>
      <x:c r="E670" s="27" t="str">
        <x:v>YES</x:v>
      </x:c>
      <x:c r="F670" s="61" t="n">
        <x:v>2196.0238996292956</x:v>
      </x:c>
      <x:c r="G670" s="61" t="n">
        <x:v>57.37176999470422</x:v>
      </x:c>
      <x:c r="H670" s="27" t="str">
        <x:v>YES</x:v>
      </x:c>
      <x:c r="I670" s="27" t="str">
        <x:v>NARN shared-node topology; deployable terminal required</x:v>
      </x:c>
      <x:c r="J670" s="27" t="str">
        <x:v>presence does not prove operability or capacity</x:v>
      </x:c>
    </x:row>
    <x:row r="671" ht="54" hidden="0" customHeight="1">
      <x:c r="A671" s="29" t="str">
        <x:v>SCA-06</x:v>
      </x:c>
      <x:c r="B671" s="29" t="str">
        <x:v>SCA-13</x:v>
      </x:c>
      <x:c r="C671" s="29" t="str">
        <x:v>Air</x:v>
      </x:c>
      <x:c r="D671" s="29" t="str">
        <x:v>YES</x:v>
      </x:c>
      <x:c r="E671" s="29" t="str">
        <x:v>YES</x:v>
      </x:c>
      <x:c r="F671" s="62" t="n">
        <x:v>1764.3263283598988</x:v>
      </x:c>
      <x:c r="G671" s="62" t="n">
        <x:v>26.714348197476767</x:v>
      </x:c>
      <x:c r="H671" s="29" t="str">
        <x:v>YES</x:v>
      </x:c>
      <x:c r="I671" s="29" t="str">
        <x:v>primary-airport endpoints; great-circle screen</x:v>
      </x:c>
      <x:c r="J671" s="29" t="str">
        <x:v>presence does not prove operability or capacity</x:v>
      </x:c>
    </x:row>
    <x:row r="672" ht="75.5999984741211" hidden="0" customHeight="1">
      <x:c r="A672" s="27" t="str">
        <x:v>SCA-06</x:v>
      </x:c>
      <x:c r="B672" s="27" t="str">
        <x:v>SCA-13</x:v>
      </x:c>
      <x:c r="C672" s="27" t="str">
        <x:v>Water</x:v>
      </x:c>
      <x:c r="D672" s="27" t="str">
        <x:v>YES</x:v>
      </x:c>
      <x:c r="E672" s="27" t="str">
        <x:v>YES</x:v>
      </x:c>
      <x:c r="F672" s="61" t="n">
        <x:v>6814.182837857077</x:v>
      </x:c>
      <x:c r="G672" s="61" t="n">
        <x:v>224.69093822448792</x:v>
      </x:c>
      <x:c r="H672" s="27" t="str">
        <x:v>NO</x:v>
      </x:c>
      <x:c r="I672" s="27" t="str">
        <x:v>USACE waterway node topology; deployable terminal required</x:v>
      </x:c>
      <x:c r="J672" s="27" t="str">
        <x:v>presence does not prove operability or capacity</x:v>
      </x:c>
    </x:row>
    <x:row r="673" ht="54" hidden="0" customHeight="1">
      <x:c r="A673" s="29" t="str">
        <x:v>SCA-06</x:v>
      </x:c>
      <x:c r="B673" s="29" t="str">
        <x:v>SCA-14</x:v>
      </x:c>
      <x:c r="C673" s="29" t="str">
        <x:v>Road</x:v>
      </x:c>
      <x:c r="D673" s="29" t="str">
        <x:v>NO</x:v>
      </x:c>
      <x:c r="E673" s="29" t="str">
        <x:v>NO</x:v>
      </x:c>
      <x:c r="F673" s="62"/>
      <x:c r="G673" s="62"/>
      <x:c r="H673" s="29" t="str">
        <x:v>NO</x:v>
      </x:c>
      <x:c r="I673" s="29" t="str">
        <x:v>no screened path</x:v>
      </x:c>
      <x:c r="J673" s="29" t="str">
        <x:v>presence does not prove operability or capacity</x:v>
      </x:c>
    </x:row>
    <x:row r="674" ht="64.80000305175781" hidden="0" customHeight="1">
      <x:c r="A674" s="27" t="str">
        <x:v>SCA-06</x:v>
      </x:c>
      <x:c r="B674" s="27" t="str">
        <x:v>SCA-14</x:v>
      </x:c>
      <x:c r="C674" s="27" t="str">
        <x:v>Rail</x:v>
      </x:c>
      <x:c r="D674" s="27" t="str">
        <x:v>YES</x:v>
      </x:c>
      <x:c r="E674" s="27" t="str">
        <x:v>YES</x:v>
      </x:c>
      <x:c r="F674" s="61" t="n">
        <x:v>2624.1535281050137</x:v>
      </x:c>
      <x:c r="G674" s="61" t="n">
        <x:v>63.48790754435734</x:v>
      </x:c>
      <x:c r="H674" s="27" t="str">
        <x:v>YES</x:v>
      </x:c>
      <x:c r="I674" s="27" t="str">
        <x:v>NARN shared-node topology; deployable terminal required</x:v>
      </x:c>
      <x:c r="J674" s="27" t="str">
        <x:v>presence does not prove operability or capacity</x:v>
      </x:c>
    </x:row>
    <x:row r="675" ht="54" hidden="0" customHeight="1">
      <x:c r="A675" s="29" t="str">
        <x:v>SCA-06</x:v>
      </x:c>
      <x:c r="B675" s="29" t="str">
        <x:v>SCA-14</x:v>
      </x:c>
      <x:c r="C675" s="29" t="str">
        <x:v>Air</x:v>
      </x:c>
      <x:c r="D675" s="29" t="str">
        <x:v>YES</x:v>
      </x:c>
      <x:c r="E675" s="29" t="str">
        <x:v>YES</x:v>
      </x:c>
      <x:c r="F675" s="62" t="n">
        <x:v>1902.7221439115601</x:v>
      </x:c>
      <x:c r="G675" s="62" t="n">
        <x:v>26.927264836787018</x:v>
      </x:c>
      <x:c r="H675" s="29" t="str">
        <x:v>YES</x:v>
      </x:c>
      <x:c r="I675" s="29" t="str">
        <x:v>primary-airport endpoints; great-circle screen</x:v>
      </x:c>
      <x:c r="J675" s="29" t="str">
        <x:v>presence does not prove operability or capacity</x:v>
      </x:c>
    </x:row>
    <x:row r="676" ht="75.5999984741211" hidden="0" customHeight="1">
      <x:c r="A676" s="27" t="str">
        <x:v>SCA-06</x:v>
      </x:c>
      <x:c r="B676" s="27" t="str">
        <x:v>SCA-14</x:v>
      </x:c>
      <x:c r="C676" s="27" t="str">
        <x:v>Water</x:v>
      </x:c>
      <x:c r="D676" s="27" t="str">
        <x:v>YES</x:v>
      </x:c>
      <x:c r="E676" s="27" t="str">
        <x:v>YES</x:v>
      </x:c>
      <x:c r="F676" s="61" t="n">
        <x:v>6762.188825410398</x:v>
      </x:c>
      <x:c r="G676" s="61" t="n">
        <x:v>223.20539501172564</x:v>
      </x:c>
      <x:c r="H676" s="27" t="str">
        <x:v>NO</x:v>
      </x:c>
      <x:c r="I676" s="27" t="str">
        <x:v>USACE waterway node topology; deployable terminal required</x:v>
      </x:c>
      <x:c r="J676" s="27" t="str">
        <x:v>presence does not prove operability or capacity</x:v>
      </x:c>
    </x:row>
    <x:row r="677" ht="54" hidden="0" customHeight="1">
      <x:c r="A677" s="29" t="str">
        <x:v>SCA-06</x:v>
      </x:c>
      <x:c r="B677" s="29" t="str">
        <x:v>SCA-15</x:v>
      </x:c>
      <x:c r="C677" s="29" t="str">
        <x:v>Road</x:v>
      </x:c>
      <x:c r="D677" s="29" t="str">
        <x:v>YES</x:v>
      </x:c>
      <x:c r="E677" s="29" t="str">
        <x:v>YES</x:v>
      </x:c>
      <x:c r="F677" s="62" t="n">
        <x:v>2106.8494716958785</x:v>
      </x:c>
      <x:c r="G677" s="62" t="n">
        <x:v>58.30635403083416</x:v>
      </x:c>
      <x:c r="H677" s="29" t="str">
        <x:v>YES</x:v>
      </x:c>
      <x:c r="I677" s="29" t="str">
        <x:v>NHPN-gated shared-boundary SCA path</x:v>
      </x:c>
      <x:c r="J677" s="29" t="str">
        <x:v>presence does not prove operability or capacity</x:v>
      </x:c>
    </x:row>
    <x:row r="678" ht="64.80000305175781" hidden="0" customHeight="1">
      <x:c r="A678" s="27" t="str">
        <x:v>SCA-06</x:v>
      </x:c>
      <x:c r="B678" s="27" t="str">
        <x:v>SCA-15</x:v>
      </x:c>
      <x:c r="C678" s="27" t="str">
        <x:v>Rail</x:v>
      </x:c>
      <x:c r="D678" s="27" t="str">
        <x:v>YES</x:v>
      </x:c>
      <x:c r="E678" s="27" t="str">
        <x:v>YES</x:v>
      </x:c>
      <x:c r="F678" s="61" t="n">
        <x:v>2235.0924830164977</x:v>
      </x:c>
      <x:c r="G678" s="61" t="n">
        <x:v>57.92989261452139</x:v>
      </x:c>
      <x:c r="H678" s="27" t="str">
        <x:v>YES</x:v>
      </x:c>
      <x:c r="I678" s="27" t="str">
        <x:v>NARN shared-node topology; deployable terminal required</x:v>
      </x:c>
      <x:c r="J678" s="27" t="str">
        <x:v>presence does not prove operability or capacity</x:v>
      </x:c>
    </x:row>
    <x:row r="679" ht="54" hidden="0" customHeight="1">
      <x:c r="A679" s="29" t="str">
        <x:v>SCA-06</x:v>
      </x:c>
      <x:c r="B679" s="29" t="str">
        <x:v>SCA-15</x:v>
      </x:c>
      <x:c r="C679" s="29" t="str">
        <x:v>Air</x:v>
      </x:c>
      <x:c r="D679" s="29" t="str">
        <x:v>YES</x:v>
      </x:c>
      <x:c r="E679" s="29" t="str">
        <x:v>YES</x:v>
      </x:c>
      <x:c r="F679" s="62" t="n">
        <x:v>1829.8068215574203</x:v>
      </x:c>
      <x:c r="G679" s="62" t="n">
        <x:v>26.815087417780646</x:v>
      </x:c>
      <x:c r="H679" s="29" t="str">
        <x:v>YES</x:v>
      </x:c>
      <x:c r="I679" s="29" t="str">
        <x:v>primary-airport endpoints; great-circle screen</x:v>
      </x:c>
      <x:c r="J679" s="29" t="str">
        <x:v>presence does not prove operability or capacity</x:v>
      </x:c>
    </x:row>
    <x:row r="680" ht="75.5999984741211" hidden="0" customHeight="1">
      <x:c r="A680" s="27" t="str">
        <x:v>SCA-06</x:v>
      </x:c>
      <x:c r="B680" s="27" t="str">
        <x:v>SCA-15</x:v>
      </x:c>
      <x:c r="C680" s="27" t="str">
        <x:v>Water</x:v>
      </x:c>
      <x:c r="D680" s="27" t="str">
        <x:v>YES</x:v>
      </x:c>
      <x:c r="E680" s="27" t="str">
        <x:v>YES</x:v>
      </x:c>
      <x:c r="F680" s="61" t="n">
        <x:v>6854.783048642468</x:v>
      </x:c>
      <x:c r="G680" s="61" t="n">
        <x:v>225.85094424692767</x:v>
      </x:c>
      <x:c r="H680" s="27" t="str">
        <x:v>NO</x:v>
      </x:c>
      <x:c r="I680" s="27" t="str">
        <x:v>USACE waterway node topology; deployable terminal required</x:v>
      </x:c>
      <x:c r="J680" s="27" t="str">
        <x:v>presence does not prove operability or capacity</x:v>
      </x:c>
    </x:row>
    <x:row r="681" ht="54" hidden="0" customHeight="1">
      <x:c r="A681" s="29" t="str">
        <x:v>SCA-06</x:v>
      </x:c>
      <x:c r="B681" s="29" t="str">
        <x:v>SCA-16</x:v>
      </x:c>
      <x:c r="C681" s="29" t="str">
        <x:v>Road</x:v>
      </x:c>
      <x:c r="D681" s="29" t="str">
        <x:v>YES</x:v>
      </x:c>
      <x:c r="E681" s="29" t="str">
        <x:v>YES</x:v>
      </x:c>
      <x:c r="F681" s="62" t="n">
        <x:v>2437.9130352137463</x:v>
      </x:c>
      <x:c r="G681" s="62" t="n">
        <x:v>64.32569154934083</x:v>
      </x:c>
      <x:c r="H681" s="29" t="str">
        <x:v>YES</x:v>
      </x:c>
      <x:c r="I681" s="29" t="str">
        <x:v>NHPN-gated shared-boundary SCA path</x:v>
      </x:c>
      <x:c r="J681" s="29" t="str">
        <x:v>presence does not prove operability or capacity</x:v>
      </x:c>
    </x:row>
    <x:row r="682" ht="64.80000305175781" hidden="0" customHeight="1">
      <x:c r="A682" s="27" t="str">
        <x:v>SCA-06</x:v>
      </x:c>
      <x:c r="B682" s="27" t="str">
        <x:v>SCA-16</x:v>
      </x:c>
      <x:c r="C682" s="27" t="str">
        <x:v>Rail</x:v>
      </x:c>
      <x:c r="D682" s="27" t="str">
        <x:v>YES</x:v>
      </x:c>
      <x:c r="E682" s="27" t="str">
        <x:v>YES</x:v>
      </x:c>
      <x:c r="F682" s="61" t="n">
        <x:v>2869.8204818423974</x:v>
      </x:c>
      <x:c r="G682" s="61" t="n">
        <x:v>66.99743545489139</x:v>
      </x:c>
      <x:c r="H682" s="27" t="str">
        <x:v>YES</x:v>
      </x:c>
      <x:c r="I682" s="27" t="str">
        <x:v>NARN shared-node topology; deployable terminal required</x:v>
      </x:c>
      <x:c r="J682" s="27" t="str">
        <x:v>presence does not prove operability or capacity</x:v>
      </x:c>
    </x:row>
    <x:row r="683" ht="54" hidden="0" customHeight="1">
      <x:c r="A683" s="29" t="str">
        <x:v>SCA-06</x:v>
      </x:c>
      <x:c r="B683" s="29" t="str">
        <x:v>SCA-16</x:v>
      </x:c>
      <x:c r="C683" s="29" t="str">
        <x:v>Air</x:v>
      </x:c>
      <x:c r="D683" s="29" t="str">
        <x:v>YES</x:v>
      </x:c>
      <x:c r="E683" s="29" t="str">
        <x:v>YES</x:v>
      </x:c>
      <x:c r="F683" s="62" t="n">
        <x:v>1903.779295349256</x:v>
      </x:c>
      <x:c r="G683" s="62" t="n">
        <x:v>26.92889122361424</x:v>
      </x:c>
      <x:c r="H683" s="29" t="str">
        <x:v>YES</x:v>
      </x:c>
      <x:c r="I683" s="29" t="str">
        <x:v>primary-airport endpoints; great-circle screen</x:v>
      </x:c>
      <x:c r="J683" s="29" t="str">
        <x:v>presence does not prove operability or capacity</x:v>
      </x:c>
    </x:row>
    <x:row r="684" ht="75.5999984741211" hidden="0" customHeight="1">
      <x:c r="A684" s="27" t="str">
        <x:v>SCA-06</x:v>
      </x:c>
      <x:c r="B684" s="27" t="str">
        <x:v>SCA-16</x:v>
      </x:c>
      <x:c r="C684" s="27" t="str">
        <x:v>Water</x:v>
      </x:c>
      <x:c r="D684" s="27" t="str">
        <x:v>YES</x:v>
      </x:c>
      <x:c r="E684" s="27" t="str">
        <x:v>YES</x:v>
      </x:c>
      <x:c r="F684" s="61" t="n">
        <x:v>7047.730321063682</x:v>
      </x:c>
      <x:c r="G684" s="61" t="n">
        <x:v>231.36372345896234</x:v>
      </x:c>
      <x:c r="H684" s="27" t="str">
        <x:v>NO</x:v>
      </x:c>
      <x:c r="I684" s="27" t="str">
        <x:v>USACE waterway node topology; deployable terminal required</x:v>
      </x:c>
      <x:c r="J684" s="27" t="str">
        <x:v>presence does not prove operability or capacity</x:v>
      </x:c>
    </x:row>
    <x:row r="685" ht="54" hidden="0" customHeight="1">
      <x:c r="A685" s="29" t="str">
        <x:v>SCA-06</x:v>
      </x:c>
      <x:c r="B685" s="29" t="str">
        <x:v>SCA-17</x:v>
      </x:c>
      <x:c r="C685" s="29" t="str">
        <x:v>Road</x:v>
      </x:c>
      <x:c r="D685" s="29" t="str">
        <x:v>YES</x:v>
      </x:c>
      <x:c r="E685" s="29" t="str">
        <x:v>YES</x:v>
      </x:c>
      <x:c r="F685" s="62" t="n">
        <x:v>2575.6618645188496</x:v>
      </x:c>
      <x:c r="G685" s="62" t="n">
        <x:v>66.83021571852453</x:v>
      </x:c>
      <x:c r="H685" s="29" t="str">
        <x:v>YES</x:v>
      </x:c>
      <x:c r="I685" s="29" t="str">
        <x:v>NHPN-gated shared-boundary SCA path</x:v>
      </x:c>
      <x:c r="J685" s="29" t="str">
        <x:v>presence does not prove operability or capacity</x:v>
      </x:c>
    </x:row>
    <x:row r="686" ht="64.80000305175781" hidden="0" customHeight="1">
      <x:c r="A686" s="27" t="str">
        <x:v>SCA-06</x:v>
      </x:c>
      <x:c r="B686" s="27" t="str">
        <x:v>SCA-17</x:v>
      </x:c>
      <x:c r="C686" s="27" t="str">
        <x:v>Rail</x:v>
      </x:c>
      <x:c r="D686" s="27" t="str">
        <x:v>YES</x:v>
      </x:c>
      <x:c r="E686" s="27" t="str">
        <x:v>YES</x:v>
      </x:c>
      <x:c r="F686" s="61" t="n">
        <x:v>2654.6756230671003</x:v>
      </x:c>
      <x:c r="G686" s="61" t="n">
        <x:v>63.923937472387145</x:v>
      </x:c>
      <x:c r="H686" s="27" t="str">
        <x:v>YES</x:v>
      </x:c>
      <x:c r="I686" s="27" t="str">
        <x:v>NARN shared-node topology; deployable terminal required</x:v>
      </x:c>
      <x:c r="J686" s="27" t="str">
        <x:v>presence does not prove operability or capacity</x:v>
      </x:c>
    </x:row>
    <x:row r="687" ht="54" hidden="0" customHeight="1">
      <x:c r="A687" s="29" t="str">
        <x:v>SCA-06</x:v>
      </x:c>
      <x:c r="B687" s="29" t="str">
        <x:v>SCA-17</x:v>
      </x:c>
      <x:c r="C687" s="29" t="str">
        <x:v>Air</x:v>
      </x:c>
      <x:c r="D687" s="29" t="str">
        <x:v>YES</x:v>
      </x:c>
      <x:c r="E687" s="29" t="str">
        <x:v>YES</x:v>
      </x:c>
      <x:c r="F687" s="62" t="n">
        <x:v>2123.3849150163364</x:v>
      </x:c>
      <x:c r="G687" s="62" t="n">
        <x:v>27.266746023102055</x:v>
      </x:c>
      <x:c r="H687" s="29" t="str">
        <x:v>YES</x:v>
      </x:c>
      <x:c r="I687" s="29" t="str">
        <x:v>primary-airport endpoints; great-circle screen</x:v>
      </x:c>
      <x:c r="J687" s="29" t="str">
        <x:v>presence does not prove operability or capacity</x:v>
      </x:c>
    </x:row>
    <x:row r="688" ht="75.5999984741211" hidden="0" customHeight="1">
      <x:c r="A688" s="27" t="str">
        <x:v>SCA-06</x:v>
      </x:c>
      <x:c r="B688" s="27" t="str">
        <x:v>SCA-17</x:v>
      </x:c>
      <x:c r="C688" s="27" t="str">
        <x:v>Water</x:v>
      </x:c>
      <x:c r="D688" s="27" t="str">
        <x:v>YES</x:v>
      </x:c>
      <x:c r="E688" s="27" t="str">
        <x:v>YES</x:v>
      </x:c>
      <x:c r="F688" s="61" t="n">
        <x:v>6332.974472282987</x:v>
      </x:c>
      <x:c r="G688" s="61" t="n">
        <x:v>210.94212777951392</x:v>
      </x:c>
      <x:c r="H688" s="27" t="str">
        <x:v>NO</x:v>
      </x:c>
      <x:c r="I688" s="27" t="str">
        <x:v>USACE waterway node topology; deployable terminal required</x:v>
      </x:c>
      <x:c r="J688" s="27" t="str">
        <x:v>presence does not prove operability or capacity</x:v>
      </x:c>
    </x:row>
    <x:row r="689" ht="54" hidden="0" customHeight="1">
      <x:c r="A689" s="29" t="str">
        <x:v>SCA-06</x:v>
      </x:c>
      <x:c r="B689" s="29" t="str">
        <x:v>SCA-18</x:v>
      </x:c>
      <x:c r="C689" s="29" t="str">
        <x:v>Road</x:v>
      </x:c>
      <x:c r="D689" s="29" t="str">
        <x:v>YES</x:v>
      </x:c>
      <x:c r="E689" s="29" t="str">
        <x:v>YES</x:v>
      </x:c>
      <x:c r="F689" s="62" t="n">
        <x:v>2777.2500848921027</x:v>
      </x:c>
      <x:c r="G689" s="62" t="n">
        <x:v>70.49545608894732</x:v>
      </x:c>
      <x:c r="H689" s="29" t="str">
        <x:v>YES</x:v>
      </x:c>
      <x:c r="I689" s="29" t="str">
        <x:v>NHPN-gated shared-boundary SCA path</x:v>
      </x:c>
      <x:c r="J689" s="29" t="str">
        <x:v>presence does not prove operability or capacity</x:v>
      </x:c>
    </x:row>
    <x:row r="690" ht="64.80000305175781" hidden="0" customHeight="1">
      <x:c r="A690" s="27" t="str">
        <x:v>SCA-06</x:v>
      </x:c>
      <x:c r="B690" s="27" t="str">
        <x:v>SCA-18</x:v>
      </x:c>
      <x:c r="C690" s="27" t="str">
        <x:v>Rail</x:v>
      </x:c>
      <x:c r="D690" s="27" t="str">
        <x:v>YES</x:v>
      </x:c>
      <x:c r="E690" s="27" t="str">
        <x:v>YES</x:v>
      </x:c>
      <x:c r="F690" s="61" t="n">
        <x:v>3229.8128301968272</x:v>
      </x:c>
      <x:c r="G690" s="61" t="n">
        <x:v>72.1401832885261</x:v>
      </x:c>
      <x:c r="H690" s="27" t="str">
        <x:v>NO</x:v>
      </x:c>
      <x:c r="I690" s="27" t="str">
        <x:v>NARN shared-node topology; deployable terminal required</x:v>
      </x:c>
      <x:c r="J690" s="27" t="str">
        <x:v>presence does not prove operability or capacity</x:v>
      </x:c>
    </x:row>
    <x:row r="691" ht="54" hidden="0" customHeight="1">
      <x:c r="A691" s="29" t="str">
        <x:v>SCA-06</x:v>
      </x:c>
      <x:c r="B691" s="29" t="str">
        <x:v>SCA-18</x:v>
      </x:c>
      <x:c r="C691" s="29" t="str">
        <x:v>Air</x:v>
      </x:c>
      <x:c r="D691" s="29" t="str">
        <x:v>YES</x:v>
      </x:c>
      <x:c r="E691" s="29" t="str">
        <x:v>YES</x:v>
      </x:c>
      <x:c r="F691" s="62" t="n">
        <x:v>2302.0855192679555</x:v>
      </x:c>
      <x:c r="G691" s="62" t="n">
        <x:v>27.541670029643008</x:v>
      </x:c>
      <x:c r="H691" s="29" t="str">
        <x:v>YES</x:v>
      </x:c>
      <x:c r="I691" s="29" t="str">
        <x:v>primary-airport endpoints; great-circle screen</x:v>
      </x:c>
      <x:c r="J691" s="29" t="str">
        <x:v>presence does not prove operability or capacity</x:v>
      </x:c>
    </x:row>
    <x:row r="692" ht="75.5999984741211" hidden="0" customHeight="1">
      <x:c r="A692" s="27" t="str">
        <x:v>SCA-06</x:v>
      </x:c>
      <x:c r="B692" s="27" t="str">
        <x:v>SCA-18</x:v>
      </x:c>
      <x:c r="C692" s="27" t="str">
        <x:v>Water</x:v>
      </x:c>
      <x:c r="D692" s="27" t="str">
        <x:v>YES</x:v>
      </x:c>
      <x:c r="E692" s="27" t="str">
        <x:v>YES</x:v>
      </x:c>
      <x:c r="F692" s="61" t="n">
        <x:v>8017.967276921116</x:v>
      </x:c>
      <x:c r="G692" s="61" t="n">
        <x:v>259.0847793406033</x:v>
      </x:c>
      <x:c r="H692" s="27" t="str">
        <x:v>NO</x:v>
      </x:c>
      <x:c r="I692" s="27" t="str">
        <x:v>USACE waterway node topology; deployable terminal required</x:v>
      </x:c>
      <x:c r="J692" s="27" t="str">
        <x:v>presence does not prove operability or capacity</x:v>
      </x:c>
    </x:row>
    <x:row r="693" ht="54" hidden="0" customHeight="1">
      <x:c r="A693" s="29" t="str">
        <x:v>SCA-06</x:v>
      </x:c>
      <x:c r="B693" s="29" t="str">
        <x:v>SCA-19</x:v>
      </x:c>
      <x:c r="C693" s="29" t="str">
        <x:v>Road</x:v>
      </x:c>
      <x:c r="D693" s="29" t="str">
        <x:v>YES</x:v>
      </x:c>
      <x:c r="E693" s="29" t="str">
        <x:v>YES</x:v>
      </x:c>
      <x:c r="F693" s="62" t="n">
        <x:v>2959.3982091427624</x:v>
      </x:c>
      <x:c r="G693" s="62" t="n">
        <x:v>73.80724016623205</x:v>
      </x:c>
      <x:c r="H693" s="29" t="str">
        <x:v>NO</x:v>
      </x:c>
      <x:c r="I693" s="29" t="str">
        <x:v>NHPN-gated shared-boundary SCA path</x:v>
      </x:c>
      <x:c r="J693" s="29" t="str">
        <x:v>presence does not prove operability or capacity</x:v>
      </x:c>
    </x:row>
    <x:row r="694" ht="64.80000305175781" hidden="0" customHeight="1">
      <x:c r="A694" s="27" t="str">
        <x:v>SCA-06</x:v>
      </x:c>
      <x:c r="B694" s="27" t="str">
        <x:v>SCA-19</x:v>
      </x:c>
      <x:c r="C694" s="27" t="str">
        <x:v>Rail</x:v>
      </x:c>
      <x:c r="D694" s="27" t="str">
        <x:v>YES</x:v>
      </x:c>
      <x:c r="E694" s="27" t="str">
        <x:v>YES</x:v>
      </x:c>
      <x:c r="F694" s="61" t="n">
        <x:v>3423.048231575788</x:v>
      </x:c>
      <x:c r="G694" s="61" t="n">
        <x:v>74.90068902251126</x:v>
      </x:c>
      <x:c r="H694" s="27" t="str">
        <x:v>NO</x:v>
      </x:c>
      <x:c r="I694" s="27" t="str">
        <x:v>NARN shared-node topology; deployable terminal required</x:v>
      </x:c>
      <x:c r="J694" s="27" t="str">
        <x:v>presence does not prove operability or capacity</x:v>
      </x:c>
    </x:row>
    <x:row r="695" ht="54" hidden="0" customHeight="1">
      <x:c r="A695" s="29" t="str">
        <x:v>SCA-06</x:v>
      </x:c>
      <x:c r="B695" s="29" t="str">
        <x:v>SCA-19</x:v>
      </x:c>
      <x:c r="C695" s="29" t="str">
        <x:v>Air</x:v>
      </x:c>
      <x:c r="D695" s="29" t="str">
        <x:v>YES</x:v>
      </x:c>
      <x:c r="E695" s="29" t="str">
        <x:v>YES</x:v>
      </x:c>
      <x:c r="F695" s="62" t="n">
        <x:v>2357.23112003132</x:v>
      </x:c>
      <x:c r="G695" s="62" t="n">
        <x:v>27.6265094154328</x:v>
      </x:c>
      <x:c r="H695" s="29" t="str">
        <x:v>YES</x:v>
      </x:c>
      <x:c r="I695" s="29" t="str">
        <x:v>primary-airport endpoints; great-circle screen</x:v>
      </x:c>
      <x:c r="J695" s="29" t="str">
        <x:v>presence does not prove operability or capacity</x:v>
      </x:c>
    </x:row>
    <x:row r="696" ht="75.5999984741211" hidden="0" customHeight="1">
      <x:c r="A696" s="27" t="str">
        <x:v>SCA-06</x:v>
      </x:c>
      <x:c r="B696" s="27" t="str">
        <x:v>SCA-19</x:v>
      </x:c>
      <x:c r="C696" s="27" t="str">
        <x:v>Water</x:v>
      </x:c>
      <x:c r="D696" s="27" t="str">
        <x:v>YES</x:v>
      </x:c>
      <x:c r="E696" s="27" t="str">
        <x:v>YES</x:v>
      </x:c>
      <x:c r="F696" s="61" t="n">
        <x:v>6816.685191341281</x:v>
      </x:c>
      <x:c r="G696" s="61" t="n">
        <x:v>224.7624340383223</x:v>
      </x:c>
      <x:c r="H696" s="27" t="str">
        <x:v>NO</x:v>
      </x:c>
      <x:c r="I696" s="27" t="str">
        <x:v>USACE waterway node topology; deployable terminal required</x:v>
      </x:c>
      <x:c r="J696" s="27" t="str">
        <x:v>presence does not prove operability or capacity</x:v>
      </x:c>
    </x:row>
    <x:row r="697" ht="54" hidden="0" customHeight="1">
      <x:c r="A697" s="29" t="str">
        <x:v>SCA-06</x:v>
      </x:c>
      <x:c r="B697" s="29" t="str">
        <x:v>SCA-20</x:v>
      </x:c>
      <x:c r="C697" s="29" t="str">
        <x:v>Road</x:v>
      </x:c>
      <x:c r="D697" s="29" t="str">
        <x:v>YES</x:v>
      </x:c>
      <x:c r="E697" s="29" t="str">
        <x:v>YES</x:v>
      </x:c>
      <x:c r="F697" s="62" t="n">
        <x:v>2829.8428163763283</x:v>
      </x:c>
      <x:c r="G697" s="62" t="n">
        <x:v>71.4516875704787</x:v>
      </x:c>
      <x:c r="H697" s="29" t="str">
        <x:v>YES</x:v>
      </x:c>
      <x:c r="I697" s="29" t="str">
        <x:v>NHPN-gated shared-boundary SCA path</x:v>
      </x:c>
      <x:c r="J697" s="29" t="str">
        <x:v>presence does not prove operability or capacity</x:v>
      </x:c>
    </x:row>
    <x:row r="698" ht="64.80000305175781" hidden="0" customHeight="1">
      <x:c r="A698" s="27" t="str">
        <x:v>SCA-06</x:v>
      </x:c>
      <x:c r="B698" s="27" t="str">
        <x:v>SCA-20</x:v>
      </x:c>
      <x:c r="C698" s="27" t="str">
        <x:v>Rail</x:v>
      </x:c>
      <x:c r="D698" s="27" t="str">
        <x:v>YES</x:v>
      </x:c>
      <x:c r="E698" s="27" t="str">
        <x:v>YES</x:v>
      </x:c>
      <x:c r="F698" s="61" t="n">
        <x:v>3002.0941182427136</x:v>
      </x:c>
      <x:c r="G698" s="61" t="n">
        <x:v>68.88705883203878</x:v>
      </x:c>
      <x:c r="H698" s="27" t="str">
        <x:v>YES</x:v>
      </x:c>
      <x:c r="I698" s="27" t="str">
        <x:v>NARN shared-node topology; deployable terminal required</x:v>
      </x:c>
      <x:c r="J698" s="27" t="str">
        <x:v>presence does not prove operability or capacity</x:v>
      </x:c>
    </x:row>
    <x:row r="699" ht="54" hidden="0" customHeight="1">
      <x:c r="A699" s="29" t="str">
        <x:v>SCA-06</x:v>
      </x:c>
      <x:c r="B699" s="29" t="str">
        <x:v>SCA-20</x:v>
      </x:c>
      <x:c r="C699" s="29" t="str">
        <x:v>Air</x:v>
      </x:c>
      <x:c r="D699" s="29" t="str">
        <x:v>YES</x:v>
      </x:c>
      <x:c r="E699" s="29" t="str">
        <x:v>YES</x:v>
      </x:c>
      <x:c r="F699" s="62" t="n">
        <x:v>2432.9468291272347</x:v>
      </x:c>
      <x:c r="G699" s="62" t="n">
        <x:v>27.742995121734207</x:v>
      </x:c>
      <x:c r="H699" s="29" t="str">
        <x:v>YES</x:v>
      </x:c>
      <x:c r="I699" s="29" t="str">
        <x:v>primary-airport endpoints; great-circle screen</x:v>
      </x:c>
      <x:c r="J699" s="29" t="str">
        <x:v>presence does not prove operability or capacity</x:v>
      </x:c>
    </x:row>
    <x:row r="700" ht="75.5999984741211" hidden="0" customHeight="1">
      <x:c r="A700" s="27" t="str">
        <x:v>SCA-06</x:v>
      </x:c>
      <x:c r="B700" s="27" t="str">
        <x:v>SCA-20</x:v>
      </x:c>
      <x:c r="C700" s="27" t="str">
        <x:v>Water</x:v>
      </x:c>
      <x:c r="D700" s="27" t="str">
        <x:v>YES</x:v>
      </x:c>
      <x:c r="E700" s="27" t="str">
        <x:v>YES</x:v>
      </x:c>
      <x:c r="F700" s="61" t="n">
        <x:v>6147.138250328921</x:v>
      </x:c>
      <x:c r="G700" s="61" t="n">
        <x:v>205.63252143796916</x:v>
      </x:c>
      <x:c r="H700" s="27" t="str">
        <x:v>NO</x:v>
      </x:c>
      <x:c r="I700" s="27" t="str">
        <x:v>USACE waterway node topology; deployable terminal required</x:v>
      </x:c>
      <x:c r="J700" s="27" t="str">
        <x:v>presence does not prove operability or capacity</x:v>
      </x:c>
    </x:row>
    <x:row r="701" ht="54" hidden="0" customHeight="1">
      <x:c r="A701" s="29" t="str">
        <x:v>SCA-06</x:v>
      </x:c>
      <x:c r="B701" s="29" t="str">
        <x:v>SCA-21</x:v>
      </x:c>
      <x:c r="C701" s="29" t="str">
        <x:v>Road</x:v>
      </x:c>
      <x:c r="D701" s="29" t="str">
        <x:v>YES</x:v>
      </x:c>
      <x:c r="E701" s="29" t="str">
        <x:v>YES</x:v>
      </x:c>
      <x:c r="F701" s="62" t="n">
        <x:v>3418.8516309979677</x:v>
      </x:c>
      <x:c r="G701" s="62" t="n">
        <x:v>82.1609387454176</x:v>
      </x:c>
      <x:c r="H701" s="29" t="str">
        <x:v>NO</x:v>
      </x:c>
      <x:c r="I701" s="29" t="str">
        <x:v>NHPN-gated shared-boundary SCA path</x:v>
      </x:c>
      <x:c r="J701" s="29" t="str">
        <x:v>presence does not prove operability or capacity</x:v>
      </x:c>
    </x:row>
    <x:row r="702" ht="64.80000305175781" hidden="0" customHeight="1">
      <x:c r="A702" s="27" t="str">
        <x:v>SCA-06</x:v>
      </x:c>
      <x:c r="B702" s="27" t="str">
        <x:v>SCA-21</x:v>
      </x:c>
      <x:c r="C702" s="27" t="str">
        <x:v>Rail</x:v>
      </x:c>
      <x:c r="D702" s="27" t="str">
        <x:v>YES</x:v>
      </x:c>
      <x:c r="E702" s="27" t="str">
        <x:v>YES</x:v>
      </x:c>
      <x:c r="F702" s="61" t="n">
        <x:v>3910.4683834569623</x:v>
      </x:c>
      <x:c r="G702" s="61" t="n">
        <x:v>81.86383404938518</x:v>
      </x:c>
      <x:c r="H702" s="27" t="str">
        <x:v>NO</x:v>
      </x:c>
      <x:c r="I702" s="27" t="str">
        <x:v>NARN shared-node topology; deployable terminal required</x:v>
      </x:c>
      <x:c r="J702" s="27" t="str">
        <x:v>presence does not prove operability or capacity</x:v>
      </x:c>
    </x:row>
    <x:row r="703" ht="54" hidden="0" customHeight="1">
      <x:c r="A703" s="29" t="str">
        <x:v>SCA-06</x:v>
      </x:c>
      <x:c r="B703" s="29" t="str">
        <x:v>SCA-21</x:v>
      </x:c>
      <x:c r="C703" s="29" t="str">
        <x:v>Air</x:v>
      </x:c>
      <x:c r="D703" s="29" t="str">
        <x:v>YES</x:v>
      </x:c>
      <x:c r="E703" s="29" t="str">
        <x:v>YES</x:v>
      </x:c>
      <x:c r="F703" s="62" t="n">
        <x:v>2666.165624474246</x:v>
      </x:c>
      <x:c r="G703" s="62" t="n">
        <x:v>28.10179326842192</x:v>
      </x:c>
      <x:c r="H703" s="29" t="str">
        <x:v>YES</x:v>
      </x:c>
      <x:c r="I703" s="29" t="str">
        <x:v>primary-airport endpoints; great-circle screen</x:v>
      </x:c>
      <x:c r="J703" s="29" t="str">
        <x:v>presence does not prove operability or capacity</x:v>
      </x:c>
    </x:row>
    <x:row r="704" ht="75.5999984741211" hidden="0" customHeight="1">
      <x:c r="A704" s="27" t="str">
        <x:v>SCA-06</x:v>
      </x:c>
      <x:c r="B704" s="27" t="str">
        <x:v>SCA-21</x:v>
      </x:c>
      <x:c r="C704" s="27" t="str">
        <x:v>Water</x:v>
      </x:c>
      <x:c r="D704" s="27" t="str">
        <x:v>YES</x:v>
      </x:c>
      <x:c r="E704" s="27" t="str">
        <x:v>YES</x:v>
      </x:c>
      <x:c r="F704" s="61" t="n">
        <x:v>7401.619993344875</x:v>
      </x:c>
      <x:c r="G704" s="61" t="n">
        <x:v>241.47485695271072</x:v>
      </x:c>
      <x:c r="H704" s="27" t="str">
        <x:v>NO</x:v>
      </x:c>
      <x:c r="I704" s="27" t="str">
        <x:v>USACE waterway node topology; deployable terminal required</x:v>
      </x:c>
      <x:c r="J704" s="27" t="str">
        <x:v>presence does not prove operability or capacity</x:v>
      </x:c>
    </x:row>
    <x:row r="705" ht="54" hidden="0" customHeight="1">
      <x:c r="A705" s="29" t="str">
        <x:v>SCA-06</x:v>
      </x:c>
      <x:c r="B705" s="29" t="str">
        <x:v>SCA-22</x:v>
      </x:c>
      <x:c r="C705" s="29" t="str">
        <x:v>Road</x:v>
      </x:c>
      <x:c r="D705" s="29" t="str">
        <x:v>YES</x:v>
      </x:c>
      <x:c r="E705" s="29" t="str">
        <x:v>YES</x:v>
      </x:c>
      <x:c r="F705" s="62" t="n">
        <x:v>3516.9808400030915</x:v>
      </x:c>
      <x:c r="G705" s="62" t="n">
        <x:v>83.9451061818744</x:v>
      </x:c>
      <x:c r="H705" s="29" t="str">
        <x:v>NO</x:v>
      </x:c>
      <x:c r="I705" s="29" t="str">
        <x:v>NHPN-gated shared-boundary SCA path</x:v>
      </x:c>
      <x:c r="J705" s="29" t="str">
        <x:v>presence does not prove operability or capacity</x:v>
      </x:c>
    </x:row>
    <x:row r="706" ht="64.80000305175781" hidden="0" customHeight="1">
      <x:c r="A706" s="27" t="str">
        <x:v>SCA-06</x:v>
      </x:c>
      <x:c r="B706" s="27" t="str">
        <x:v>SCA-22</x:v>
      </x:c>
      <x:c r="C706" s="27" t="str">
        <x:v>Rail</x:v>
      </x:c>
      <x:c r="D706" s="27" t="str">
        <x:v>YES</x:v>
      </x:c>
      <x:c r="E706" s="27" t="str">
        <x:v>YES</x:v>
      </x:c>
      <x:c r="F706" s="61" t="n">
        <x:v>3775.9877311734163</x:v>
      </x:c>
      <x:c r="G706" s="61" t="n">
        <x:v>79.94268187390594</x:v>
      </x:c>
      <x:c r="H706" s="27" t="str">
        <x:v>NO</x:v>
      </x:c>
      <x:c r="I706" s="27" t="str">
        <x:v>NARN shared-node topology; deployable terminal required</x:v>
      </x:c>
      <x:c r="J706" s="27" t="str">
        <x:v>presence does not prove operability or capacity</x:v>
      </x:c>
    </x:row>
    <x:row r="707" ht="54" hidden="0" customHeight="1">
      <x:c r="A707" s="29" t="str">
        <x:v>SCA-06</x:v>
      </x:c>
      <x:c r="B707" s="29" t="str">
        <x:v>SCA-22</x:v>
      </x:c>
      <x:c r="C707" s="29" t="str">
        <x:v>Air</x:v>
      </x:c>
      <x:c r="D707" s="29" t="str">
        <x:v>YES</x:v>
      </x:c>
      <x:c r="E707" s="29" t="str">
        <x:v>YES</x:v>
      </x:c>
      <x:c r="F707" s="62" t="n">
        <x:v>2836.302885038354</x:v>
      </x:c>
      <x:c r="G707" s="62" t="n">
        <x:v>28.363542900059006</x:v>
      </x:c>
      <x:c r="H707" s="29" t="str">
        <x:v>YES</x:v>
      </x:c>
      <x:c r="I707" s="29" t="str">
        <x:v>primary-airport endpoints; great-circle screen</x:v>
      </x:c>
      <x:c r="J707" s="29" t="str">
        <x:v>presence does not prove operability or capacity</x:v>
      </x:c>
    </x:row>
    <x:row r="708" ht="75.5999984741211" hidden="0" customHeight="1">
      <x:c r="A708" s="27" t="str">
        <x:v>SCA-06</x:v>
      </x:c>
      <x:c r="B708" s="27" t="str">
        <x:v>SCA-22</x:v>
      </x:c>
      <x:c r="C708" s="27" t="str">
        <x:v>Water</x:v>
      </x:c>
      <x:c r="D708" s="27" t="str">
        <x:v>YES</x:v>
      </x:c>
      <x:c r="E708" s="27" t="str">
        <x:v>YES</x:v>
      </x:c>
      <x:c r="F708" s="61" t="n">
        <x:v>6716.088181689815</x:v>
      </x:c>
      <x:c r="G708" s="61" t="n">
        <x:v>221.88823376256616</x:v>
      </x:c>
      <x:c r="H708" s="27" t="str">
        <x:v>NO</x:v>
      </x:c>
      <x:c r="I708" s="27" t="str">
        <x:v>USACE waterway node topology; deployable terminal required</x:v>
      </x:c>
      <x:c r="J708" s="27" t="str">
        <x:v>presence does not prove operability or capacity</x:v>
      </x:c>
    </x:row>
    <x:row r="709" ht="54" hidden="0" customHeight="1">
      <x:c r="A709" s="29" t="str">
        <x:v>SCA-06</x:v>
      </x:c>
      <x:c r="B709" s="29" t="str">
        <x:v>SCA-23</x:v>
      </x:c>
      <x:c r="C709" s="29" t="str">
        <x:v>Road</x:v>
      </x:c>
      <x:c r="D709" s="29" t="str">
        <x:v>YES</x:v>
      </x:c>
      <x:c r="E709" s="29" t="str">
        <x:v>YES</x:v>
      </x:c>
      <x:c r="F709" s="62" t="n">
        <x:v>3409.3418102255237</x:v>
      </x:c>
      <x:c r="G709" s="62" t="n">
        <x:v>81.98803291319135</x:v>
      </x:c>
      <x:c r="H709" s="29" t="str">
        <x:v>NO</x:v>
      </x:c>
      <x:c r="I709" s="29" t="str">
        <x:v>NHPN-gated shared-boundary SCA path</x:v>
      </x:c>
      <x:c r="J709" s="29" t="str">
        <x:v>presence does not prove operability or capacity</x:v>
      </x:c>
    </x:row>
    <x:row r="710" ht="64.80000305175781" hidden="0" customHeight="1">
      <x:c r="A710" s="27" t="str">
        <x:v>SCA-06</x:v>
      </x:c>
      <x:c r="B710" s="27" t="str">
        <x:v>SCA-23</x:v>
      </x:c>
      <x:c r="C710" s="27" t="str">
        <x:v>Rail</x:v>
      </x:c>
      <x:c r="D710" s="27" t="str">
        <x:v>YES</x:v>
      </x:c>
      <x:c r="E710" s="27" t="str">
        <x:v>YES</x:v>
      </x:c>
      <x:c r="F710" s="61" t="n">
        <x:v>3616.8669638914253</x:v>
      </x:c>
      <x:c r="G710" s="61" t="n">
        <x:v>77.6695280555918</x:v>
      </x:c>
      <x:c r="H710" s="27" t="str">
        <x:v>NO</x:v>
      </x:c>
      <x:c r="I710" s="27" t="str">
        <x:v>NARN shared-node topology; deployable terminal required</x:v>
      </x:c>
      <x:c r="J710" s="27" t="str">
        <x:v>presence does not prove operability or capacity</x:v>
      </x:c>
    </x:row>
    <x:row r="711" ht="54" hidden="0" customHeight="1">
      <x:c r="A711" s="29" t="str">
        <x:v>SCA-06</x:v>
      </x:c>
      <x:c r="B711" s="29" t="str">
        <x:v>SCA-23</x:v>
      </x:c>
      <x:c r="C711" s="29" t="str">
        <x:v>Air</x:v>
      </x:c>
      <x:c r="D711" s="29" t="str">
        <x:v>YES</x:v>
      </x:c>
      <x:c r="E711" s="29" t="str">
        <x:v>YES</x:v>
      </x:c>
      <x:c r="F711" s="62" t="n">
        <x:v>2935.95211291449</x:v>
      </x:c>
      <x:c r="G711" s="62" t="n">
        <x:v>28.516849404483832</x:v>
      </x:c>
      <x:c r="H711" s="29" t="str">
        <x:v>YES</x:v>
      </x:c>
      <x:c r="I711" s="29" t="str">
        <x:v>primary-airport endpoints; great-circle screen</x:v>
      </x:c>
      <x:c r="J711" s="29" t="str">
        <x:v>presence does not prove operability or capacity</x:v>
      </x:c>
    </x:row>
    <x:row r="712" ht="75.5999984741211" hidden="0" customHeight="1">
      <x:c r="A712" s="27" t="str">
        <x:v>SCA-06</x:v>
      </x:c>
      <x:c r="B712" s="27" t="str">
        <x:v>SCA-23</x:v>
      </x:c>
      <x:c r="C712" s="27" t="str">
        <x:v>Water</x:v>
      </x:c>
      <x:c r="D712" s="27" t="str">
        <x:v>YES</x:v>
      </x:c>
      <x:c r="E712" s="27" t="str">
        <x:v>YES</x:v>
      </x:c>
      <x:c r="F712" s="61" t="n">
        <x:v>5730.777171295032</x:v>
      </x:c>
      <x:c r="G712" s="61" t="n">
        <x:v>193.73649060842948</x:v>
      </x:c>
      <x:c r="H712" s="27" t="str">
        <x:v>NO</x:v>
      </x:c>
      <x:c r="I712" s="27" t="str">
        <x:v>USACE waterway node topology; deployable terminal required</x:v>
      </x:c>
      <x:c r="J712" s="27" t="str">
        <x:v>presence does not prove operability or capacity</x:v>
      </x:c>
    </x:row>
    <x:row r="713" ht="54" hidden="0" customHeight="1">
      <x:c r="A713" s="29" t="str">
        <x:v>SCA-06</x:v>
      </x:c>
      <x:c r="B713" s="29" t="str">
        <x:v>SCA-24</x:v>
      </x:c>
      <x:c r="C713" s="29" t="str">
        <x:v>Road</x:v>
      </x:c>
      <x:c r="D713" s="29" t="str">
        <x:v>YES</x:v>
      </x:c>
      <x:c r="E713" s="29" t="str">
        <x:v>YES</x:v>
      </x:c>
      <x:c r="F713" s="62" t="n">
        <x:v>3816.091684161005</x:v>
      </x:c>
      <x:c r="G713" s="62" t="n">
        <x:v>89.38348516656373</x:v>
      </x:c>
      <x:c r="H713" s="29" t="str">
        <x:v>NO</x:v>
      </x:c>
      <x:c r="I713" s="29" t="str">
        <x:v>NHPN-gated shared-boundary SCA path</x:v>
      </x:c>
      <x:c r="J713" s="29" t="str">
        <x:v>presence does not prove operability or capacity</x:v>
      </x:c>
    </x:row>
    <x:row r="714" ht="64.80000305175781" hidden="0" customHeight="1">
      <x:c r="A714" s="27" t="str">
        <x:v>SCA-06</x:v>
      </x:c>
      <x:c r="B714" s="27" t="str">
        <x:v>SCA-24</x:v>
      </x:c>
      <x:c r="C714" s="27" t="str">
        <x:v>Rail</x:v>
      </x:c>
      <x:c r="D714" s="27" t="str">
        <x:v>YES</x:v>
      </x:c>
      <x:c r="E714" s="27" t="str">
        <x:v>YES</x:v>
      </x:c>
      <x:c r="F714" s="61" t="n">
        <x:v>4331.888265942967</x:v>
      </x:c>
      <x:c r="G714" s="61" t="n">
        <x:v>87.88411808489954</x:v>
      </x:c>
      <x:c r="H714" s="27" t="str">
        <x:v>NO</x:v>
      </x:c>
      <x:c r="I714" s="27" t="str">
        <x:v>NARN shared-node topology; deployable terminal required</x:v>
      </x:c>
      <x:c r="J714" s="27" t="str">
        <x:v>presence does not prove operability or capacity</x:v>
      </x:c>
    </x:row>
    <x:row r="715" ht="54" hidden="0" customHeight="1">
      <x:c r="A715" s="29" t="str">
        <x:v>SCA-06</x:v>
      </x:c>
      <x:c r="B715" s="29" t="str">
        <x:v>SCA-24</x:v>
      </x:c>
      <x:c r="C715" s="29" t="str">
        <x:v>Air</x:v>
      </x:c>
      <x:c r="D715" s="29" t="str">
        <x:v>YES</x:v>
      </x:c>
      <x:c r="E715" s="29" t="str">
        <x:v>YES</x:v>
      </x:c>
      <x:c r="F715" s="62" t="n">
        <x:v>3009.415905534592</x:v>
      </x:c>
      <x:c r="G715" s="62" t="n">
        <x:v>28.62987062389937</x:v>
      </x:c>
      <x:c r="H715" s="29" t="str">
        <x:v>YES</x:v>
      </x:c>
      <x:c r="I715" s="29" t="str">
        <x:v>primary-airport endpoints; great-circle screen</x:v>
      </x:c>
      <x:c r="J715" s="29" t="str">
        <x:v>presence does not prove operability or capacity</x:v>
      </x:c>
    </x:row>
    <x:row r="716" ht="75.5999984741211" hidden="0" customHeight="1">
      <x:c r="A716" s="27" t="str">
        <x:v>SCA-06</x:v>
      </x:c>
      <x:c r="B716" s="27" t="str">
        <x:v>SCA-24</x:v>
      </x:c>
      <x:c r="C716" s="27" t="str">
        <x:v>Water</x:v>
      </x:c>
      <x:c r="D716" s="27" t="str">
        <x:v>YES</x:v>
      </x:c>
      <x:c r="E716" s="27" t="str">
        <x:v>YES</x:v>
      </x:c>
      <x:c r="F716" s="61" t="n">
        <x:v>7110.69355315063</x:v>
      </x:c>
      <x:c r="G716" s="61" t="n">
        <x:v>233.16267294716084</x:v>
      </x:c>
      <x:c r="H716" s="27" t="str">
        <x:v>NO</x:v>
      </x:c>
      <x:c r="I716" s="27" t="str">
        <x:v>USACE waterway node topology; deployable terminal required</x:v>
      </x:c>
      <x:c r="J716" s="27" t="str">
        <x:v>presence does not prove operability or capacity</x:v>
      </x:c>
    </x:row>
    <x:row r="717" ht="54" hidden="0" customHeight="1">
      <x:c r="A717" s="29" t="str">
        <x:v>SCA-06</x:v>
      </x:c>
      <x:c r="B717" s="29" t="str">
        <x:v>SCA-25</x:v>
      </x:c>
      <x:c r="C717" s="29" t="str">
        <x:v>Road</x:v>
      </x:c>
      <x:c r="D717" s="29" t="str">
        <x:v>YES</x:v>
      </x:c>
      <x:c r="E717" s="29" t="str">
        <x:v>YES</x:v>
      </x:c>
      <x:c r="F717" s="62" t="n">
        <x:v>3903.925990144963</x:v>
      </x:c>
      <x:c r="G717" s="62" t="n">
        <x:v>90.98047254809023</x:v>
      </x:c>
      <x:c r="H717" s="29" t="str">
        <x:v>NO</x:v>
      </x:c>
      <x:c r="I717" s="29" t="str">
        <x:v>NHPN-gated shared-boundary SCA path</x:v>
      </x:c>
      <x:c r="J717" s="29" t="str">
        <x:v>presence does not prove operability or capacity</x:v>
      </x:c>
    </x:row>
    <x:row r="718" ht="64.80000305175781" hidden="0" customHeight="1">
      <x:c r="A718" s="27" t="str">
        <x:v>SCA-06</x:v>
      </x:c>
      <x:c r="B718" s="27" t="str">
        <x:v>SCA-25</x:v>
      </x:c>
      <x:c r="C718" s="27" t="str">
        <x:v>Rail</x:v>
      </x:c>
      <x:c r="D718" s="27" t="str">
        <x:v>YES</x:v>
      </x:c>
      <x:c r="E718" s="27" t="str">
        <x:v>YES</x:v>
      </x:c>
      <x:c r="F718" s="61" t="n">
        <x:v>4141.556267805961</x:v>
      </x:c>
      <x:c r="G718" s="61" t="n">
        <x:v>85.16508954008516</x:v>
      </x:c>
      <x:c r="H718" s="27" t="str">
        <x:v>NO</x:v>
      </x:c>
      <x:c r="I718" s="27" t="str">
        <x:v>NARN shared-node topology; deployable terminal required</x:v>
      </x:c>
      <x:c r="J718" s="27" t="str">
        <x:v>presence does not prove operability or capacity</x:v>
      </x:c>
    </x:row>
    <x:row r="719" ht="54" hidden="0" customHeight="1">
      <x:c r="A719" s="29" t="str">
        <x:v>SCA-06</x:v>
      </x:c>
      <x:c r="B719" s="29" t="str">
        <x:v>SCA-25</x:v>
      </x:c>
      <x:c r="C719" s="29" t="str">
        <x:v>Air</x:v>
      </x:c>
      <x:c r="D719" s="29" t="str">
        <x:v>YES</x:v>
      </x:c>
      <x:c r="E719" s="29" t="str">
        <x:v>YES</x:v>
      </x:c>
      <x:c r="F719" s="62" t="n">
        <x:v>3236.1610433857713</x:v>
      </x:c>
      <x:c r="G719" s="62" t="n">
        <x:v>28.978709297516573</x:v>
      </x:c>
      <x:c r="H719" s="29" t="str">
        <x:v>YES</x:v>
      </x:c>
      <x:c r="I719" s="29" t="str">
        <x:v>primary-airport endpoints; great-circle screen</x:v>
      </x:c>
      <x:c r="J719" s="29" t="str">
        <x:v>presence does not prove operability or capacity</x:v>
      </x:c>
    </x:row>
    <x:row r="720" ht="75.5999984741211" hidden="0" customHeight="1">
      <x:c r="A720" s="27" t="str">
        <x:v>SCA-06</x:v>
      </x:c>
      <x:c r="B720" s="27" t="str">
        <x:v>SCA-25</x:v>
      </x:c>
      <x:c r="C720" s="27" t="str">
        <x:v>Water</x:v>
      </x:c>
      <x:c r="D720" s="27" t="str">
        <x:v>YES</x:v>
      </x:c>
      <x:c r="E720" s="27" t="str">
        <x:v>YES</x:v>
      </x:c>
      <x:c r="F720" s="61" t="n">
        <x:v>5180.283475384699</x:v>
      </x:c>
      <x:c r="G720" s="61" t="n">
        <x:v>178.0080992967057</x:v>
      </x:c>
      <x:c r="H720" s="27" t="str">
        <x:v>NO</x:v>
      </x:c>
      <x:c r="I720" s="27" t="str">
        <x:v>USACE waterway node topology; deployable terminal required</x:v>
      </x:c>
      <x:c r="J720" s="27" t="str">
        <x:v>presence does not prove operability or capacity</x:v>
      </x:c>
    </x:row>
    <x:row r="721" ht="54" hidden="0" customHeight="1">
      <x:c r="A721" s="29" t="str">
        <x:v>SCA-06</x:v>
      </x:c>
      <x:c r="B721" s="29" t="str">
        <x:v>SCA-26</x:v>
      </x:c>
      <x:c r="C721" s="29" t="str">
        <x:v>Road</x:v>
      </x:c>
      <x:c r="D721" s="29" t="str">
        <x:v>YES</x:v>
      </x:c>
      <x:c r="E721" s="29" t="str">
        <x:v>YES</x:v>
      </x:c>
      <x:c r="F721" s="62" t="n">
        <x:v>4232.425445909786</x:v>
      </x:c>
      <x:c r="G721" s="62" t="n">
        <x:v>96.95318992563247</x:v>
      </x:c>
      <x:c r="H721" s="29" t="str">
        <x:v>NO</x:v>
      </x:c>
      <x:c r="I721" s="29" t="str">
        <x:v>NHPN-gated shared-boundary SCA path</x:v>
      </x:c>
      <x:c r="J721" s="29" t="str">
        <x:v>presence does not prove operability or capacity</x:v>
      </x:c>
    </x:row>
    <x:row r="722" ht="64.80000305175781" hidden="0" customHeight="1">
      <x:c r="A722" s="27" t="str">
        <x:v>SCA-06</x:v>
      </x:c>
      <x:c r="B722" s="27" t="str">
        <x:v>SCA-26</x:v>
      </x:c>
      <x:c r="C722" s="27" t="str">
        <x:v>Rail</x:v>
      </x:c>
      <x:c r="D722" s="27" t="str">
        <x:v>YES</x:v>
      </x:c>
      <x:c r="E722" s="27" t="str">
        <x:v>YES</x:v>
      </x:c>
      <x:c r="F722" s="61" t="n">
        <x:v>4490.0513426173375</x:v>
      </x:c>
      <x:c r="G722" s="61" t="n">
        <x:v>90.14359060881911</x:v>
      </x:c>
      <x:c r="H722" s="27" t="str">
        <x:v>NO</x:v>
      </x:c>
      <x:c r="I722" s="27" t="str">
        <x:v>NARN shared-node topology; deployable terminal required</x:v>
      </x:c>
      <x:c r="J722" s="27" t="str">
        <x:v>presence does not prove operability or capacity</x:v>
      </x:c>
    </x:row>
    <x:row r="723" ht="54" hidden="0" customHeight="1">
      <x:c r="A723" s="29" t="str">
        <x:v>SCA-06</x:v>
      </x:c>
      <x:c r="B723" s="29" t="str">
        <x:v>SCA-26</x:v>
      </x:c>
      <x:c r="C723" s="29" t="str">
        <x:v>Air</x:v>
      </x:c>
      <x:c r="D723" s="29" t="str">
        <x:v>YES</x:v>
      </x:c>
      <x:c r="E723" s="29" t="str">
        <x:v>YES</x:v>
      </x:c>
      <x:c r="F723" s="62" t="n">
        <x:v>3339.4454412562472</x:v>
      </x:c>
      <x:c r="G723" s="62" t="n">
        <x:v>29.13760837116346</x:v>
      </x:c>
      <x:c r="H723" s="29" t="str">
        <x:v>YES</x:v>
      </x:c>
      <x:c r="I723" s="29" t="str">
        <x:v>primary-airport endpoints; great-circle screen</x:v>
      </x:c>
      <x:c r="J723" s="29" t="str">
        <x:v>presence does not prove operability or capacity</x:v>
      </x:c>
    </x:row>
    <x:row r="724" ht="75.5999984741211" hidden="0" customHeight="1">
      <x:c r="A724" s="27" t="str">
        <x:v>SCA-06</x:v>
      </x:c>
      <x:c r="B724" s="27" t="str">
        <x:v>SCA-26</x:v>
      </x:c>
      <x:c r="C724" s="27" t="str">
        <x:v>Water</x:v>
      </x:c>
      <x:c r="D724" s="27" t="str">
        <x:v>YES</x:v>
      </x:c>
      <x:c r="E724" s="27" t="str">
        <x:v>YES</x:v>
      </x:c>
      <x:c r="F724" s="61" t="n">
        <x:v>4836.514994108608</x:v>
      </x:c>
      <x:c r="G724" s="61" t="n">
        <x:v>168.18614268881737</x:v>
      </x:c>
      <x:c r="H724" s="27" t="str">
        <x:v>NO</x:v>
      </x:c>
      <x:c r="I724" s="27" t="str">
        <x:v>USACE waterway node topology; deployable terminal required</x:v>
      </x:c>
      <x:c r="J724" s="27" t="str">
        <x:v>presence does not prove operability or capacity</x:v>
      </x:c>
    </x:row>
    <x:row r="725" ht="54" hidden="0" customHeight="1">
      <x:c r="A725" s="29" t="str">
        <x:v>SCA-06</x:v>
      </x:c>
      <x:c r="B725" s="29" t="str">
        <x:v>SCA-27</x:v>
      </x:c>
      <x:c r="C725" s="29" t="str">
        <x:v>Road</x:v>
      </x:c>
      <x:c r="D725" s="29" t="str">
        <x:v>YES</x:v>
      </x:c>
      <x:c r="E725" s="29" t="str">
        <x:v>YES</x:v>
      </x:c>
      <x:c r="F725" s="62" t="n">
        <x:v>4512.053710029334</x:v>
      </x:c>
      <x:c r="G725" s="62" t="n">
        <x:v>102.03734018235153</x:v>
      </x:c>
      <x:c r="H725" s="29" t="str">
        <x:v>NO</x:v>
      </x:c>
      <x:c r="I725" s="29" t="str">
        <x:v>NHPN-gated shared-boundary SCA path</x:v>
      </x:c>
      <x:c r="J725" s="29" t="str">
        <x:v>presence does not prove operability or capacity</x:v>
      </x:c>
    </x:row>
    <x:row r="726" ht="64.80000305175781" hidden="0" customHeight="1">
      <x:c r="A726" s="27" t="str">
        <x:v>SCA-06</x:v>
      </x:c>
      <x:c r="B726" s="27" t="str">
        <x:v>SCA-27</x:v>
      </x:c>
      <x:c r="C726" s="27" t="str">
        <x:v>Rail</x:v>
      </x:c>
      <x:c r="D726" s="27" t="str">
        <x:v>YES</x:v>
      </x:c>
      <x:c r="E726" s="27" t="str">
        <x:v>YES</x:v>
      </x:c>
      <x:c r="F726" s="61" t="n">
        <x:v>4786.700457596337</x:v>
      </x:c>
      <x:c r="G726" s="61" t="n">
        <x:v>94.3814351085191</x:v>
      </x:c>
      <x:c r="H726" s="27" t="str">
        <x:v>NO</x:v>
      </x:c>
      <x:c r="I726" s="27" t="str">
        <x:v>NARN shared-node topology; deployable terminal required</x:v>
      </x:c>
      <x:c r="J726" s="27" t="str">
        <x:v>presence does not prove operability or capacity</x:v>
      </x:c>
    </x:row>
    <x:row r="727" ht="54" hidden="0" customHeight="1">
      <x:c r="A727" s="29" t="str">
        <x:v>SCA-06</x:v>
      </x:c>
      <x:c r="B727" s="29" t="str">
        <x:v>SCA-27</x:v>
      </x:c>
      <x:c r="C727" s="29" t="str">
        <x:v>Air</x:v>
      </x:c>
      <x:c r="D727" s="29" t="str">
        <x:v>YES</x:v>
      </x:c>
      <x:c r="E727" s="29" t="str">
        <x:v>YES</x:v>
      </x:c>
      <x:c r="F727" s="62" t="n">
        <x:v>3535.372326869481</x:v>
      </x:c>
      <x:c r="G727" s="62" t="n">
        <x:v>29.43903434902997</x:v>
      </x:c>
      <x:c r="H727" s="29" t="str">
        <x:v>YES</x:v>
      </x:c>
      <x:c r="I727" s="29" t="str">
        <x:v>primary-airport endpoints; great-circle screen</x:v>
      </x:c>
      <x:c r="J727" s="29" t="str">
        <x:v>presence does not prove operability or capacity</x:v>
      </x:c>
    </x:row>
    <x:row r="728" ht="75.5999984741211" hidden="0" customHeight="1">
      <x:c r="A728" s="27" t="str">
        <x:v>SCA-06</x:v>
      </x:c>
      <x:c r="B728" s="27" t="str">
        <x:v>SCA-27</x:v>
      </x:c>
      <x:c r="C728" s="27" t="str">
        <x:v>Water</x:v>
      </x:c>
      <x:c r="D728" s="27" t="str">
        <x:v>YES</x:v>
      </x:c>
      <x:c r="E728" s="27" t="str">
        <x:v>YES</x:v>
      </x:c>
      <x:c r="F728" s="61" t="n">
        <x:v>4525.276578392936</x:v>
      </x:c>
      <x:c r="G728" s="61" t="n">
        <x:v>159.29361652551248</x:v>
      </x:c>
      <x:c r="H728" s="27" t="str">
        <x:v>NO</x:v>
      </x:c>
      <x:c r="I728" s="27" t="str">
        <x:v>USACE waterway node topology; deployable terminal required</x:v>
      </x:c>
      <x:c r="J728" s="27" t="str">
        <x:v>presence does not prove operability or capacity</x:v>
      </x:c>
    </x:row>
    <x:row r="729" ht="54" hidden="0" customHeight="1">
      <x:c r="A729" s="29" t="str">
        <x:v>SCA-06</x:v>
      </x:c>
      <x:c r="B729" s="29" t="str">
        <x:v>SCA-28</x:v>
      </x:c>
      <x:c r="C729" s="29" t="str">
        <x:v>Road</x:v>
      </x:c>
      <x:c r="D729" s="29" t="str">
        <x:v>YES</x:v>
      </x:c>
      <x:c r="E729" s="29" t="str">
        <x:v>YES</x:v>
      </x:c>
      <x:c r="F729" s="62" t="n">
        <x:v>4161.635815267429</x:v>
      </x:c>
      <x:c r="G729" s="62" t="n">
        <x:v>95.66610573213508</x:v>
      </x:c>
      <x:c r="H729" s="29" t="str">
        <x:v>NO</x:v>
      </x:c>
      <x:c r="I729" s="29" t="str">
        <x:v>NHPN-gated shared-boundary SCA path</x:v>
      </x:c>
      <x:c r="J729" s="29" t="str">
        <x:v>presence does not prove operability or capacity</x:v>
      </x:c>
    </x:row>
    <x:row r="730" ht="64.80000305175781" hidden="0" customHeight="1">
      <x:c r="A730" s="27" t="str">
        <x:v>SCA-06</x:v>
      </x:c>
      <x:c r="B730" s="27" t="str">
        <x:v>SCA-28</x:v>
      </x:c>
      <x:c r="C730" s="27" t="str">
        <x:v>Rail</x:v>
      </x:c>
      <x:c r="D730" s="27" t="str">
        <x:v>YES</x:v>
      </x:c>
      <x:c r="E730" s="27" t="str">
        <x:v>YES</x:v>
      </x:c>
      <x:c r="F730" s="61" t="n">
        <x:v>4459.882574497323</x:v>
      </x:c>
      <x:c r="G730" s="61" t="n">
        <x:v>89.71260820710461</x:v>
      </x:c>
      <x:c r="H730" s="27" t="str">
        <x:v>NO</x:v>
      </x:c>
      <x:c r="I730" s="27" t="str">
        <x:v>NARN shared-node topology; deployable terminal required</x:v>
      </x:c>
      <x:c r="J730" s="27" t="str">
        <x:v>presence does not prove operability or capacity</x:v>
      </x:c>
    </x:row>
    <x:row r="731" ht="54" hidden="0" customHeight="1">
      <x:c r="A731" s="29" t="str">
        <x:v>SCA-06</x:v>
      </x:c>
      <x:c r="B731" s="29" t="str">
        <x:v>SCA-28</x:v>
      </x:c>
      <x:c r="C731" s="29" t="str">
        <x:v>Air</x:v>
      </x:c>
      <x:c r="D731" s="29" t="str">
        <x:v>YES</x:v>
      </x:c>
      <x:c r="E731" s="29" t="str">
        <x:v>YES</x:v>
      </x:c>
      <x:c r="F731" s="62" t="n">
        <x:v>3357.1590785733724</x:v>
      </x:c>
      <x:c r="G731" s="62" t="n">
        <x:v>29.16486012088211</x:v>
      </x:c>
      <x:c r="H731" s="29" t="str">
        <x:v>YES</x:v>
      </x:c>
      <x:c r="I731" s="29" t="str">
        <x:v>primary-airport endpoints; great-circle screen</x:v>
      </x:c>
      <x:c r="J731" s="29" t="str">
        <x:v>presence does not prove operability or capacity</x:v>
      </x:c>
    </x:row>
    <x:row r="732" ht="75.5999984741211" hidden="0" customHeight="1">
      <x:c r="A732" s="27" t="str">
        <x:v>SCA-06</x:v>
      </x:c>
      <x:c r="B732" s="27" t="str">
        <x:v>SCA-28</x:v>
      </x:c>
      <x:c r="C732" s="27" t="str">
        <x:v>Water</x:v>
      </x:c>
      <x:c r="D732" s="27" t="str">
        <x:v>YES</x:v>
      </x:c>
      <x:c r="E732" s="27" t="str">
        <x:v>YES</x:v>
      </x:c>
      <x:c r="F732" s="61" t="n">
        <x:v>6558.829348285334</x:v>
      </x:c>
      <x:c r="G732" s="61" t="n">
        <x:v>217.39512423672383</x:v>
      </x:c>
      <x:c r="H732" s="27" t="str">
        <x:v>NO</x:v>
      </x:c>
      <x:c r="I732" s="27" t="str">
        <x:v>USACE waterway node topology; deployable terminal required</x:v>
      </x:c>
      <x:c r="J732" s="27" t="str">
        <x:v>presence does not prove operability or capacity</x:v>
      </x:c>
    </x:row>
    <x:row r="733" ht="54" hidden="0" customHeight="1">
      <x:c r="A733" s="29" t="str">
        <x:v>SCA-06</x:v>
      </x:c>
      <x:c r="B733" s="29" t="str">
        <x:v>SCA-29</x:v>
      </x:c>
      <x:c r="C733" s="29" t="str">
        <x:v>Road</x:v>
      </x:c>
      <x:c r="D733" s="29" t="str">
        <x:v>YES</x:v>
      </x:c>
      <x:c r="E733" s="29" t="str">
        <x:v>YES</x:v>
      </x:c>
      <x:c r="F733" s="62" t="n">
        <x:v>4044.796759248573</x:v>
      </x:c>
      <x:c r="G733" s="62" t="n">
        <x:v>93.54175925906496</x:v>
      </x:c>
      <x:c r="H733" s="29" t="str">
        <x:v>NO</x:v>
      </x:c>
      <x:c r="I733" s="29" t="str">
        <x:v>NHPN-gated shared-boundary SCA path</x:v>
      </x:c>
      <x:c r="J733" s="29" t="str">
        <x:v>presence does not prove operability or capacity</x:v>
      </x:c>
    </x:row>
    <x:row r="734" ht="64.80000305175781" hidden="0" customHeight="1">
      <x:c r="A734" s="27" t="str">
        <x:v>SCA-06</x:v>
      </x:c>
      <x:c r="B734" s="27" t="str">
        <x:v>SCA-29</x:v>
      </x:c>
      <x:c r="C734" s="27" t="str">
        <x:v>Rail</x:v>
      </x:c>
      <x:c r="D734" s="27" t="str">
        <x:v>YES</x:v>
      </x:c>
      <x:c r="E734" s="27" t="str">
        <x:v>YES</x:v>
      </x:c>
      <x:c r="F734" s="61" t="n">
        <x:v>4291.0017793767465</x:v>
      </x:c>
      <x:c r="G734" s="61" t="n">
        <x:v>87.3000254196678</x:v>
      </x:c>
      <x:c r="H734" s="27" t="str">
        <x:v>NO</x:v>
      </x:c>
      <x:c r="I734" s="27" t="str">
        <x:v>NARN shared-node topology; deployable terminal required</x:v>
      </x:c>
      <x:c r="J734" s="27" t="str">
        <x:v>presence does not prove operability or capacity</x:v>
      </x:c>
    </x:row>
    <x:row r="735" ht="54" hidden="0" customHeight="1">
      <x:c r="A735" s="29" t="str">
        <x:v>SCA-06</x:v>
      </x:c>
      <x:c r="B735" s="29" t="str">
        <x:v>SCA-29</x:v>
      </x:c>
      <x:c r="C735" s="29" t="str">
        <x:v>Air</x:v>
      </x:c>
      <x:c r="D735" s="29" t="str">
        <x:v>YES</x:v>
      </x:c>
      <x:c r="E735" s="29" t="str">
        <x:v>YES</x:v>
      </x:c>
      <x:c r="F735" s="62" t="n">
        <x:v>3406.495684504516</x:v>
      </x:c>
      <x:c r="G735" s="62" t="n">
        <x:v>29.24076259154541</x:v>
      </x:c>
      <x:c r="H735" s="29" t="str">
        <x:v>YES</x:v>
      </x:c>
      <x:c r="I735" s="29" t="str">
        <x:v>primary-airport endpoints; great-circle screen</x:v>
      </x:c>
      <x:c r="J735" s="29" t="str">
        <x:v>presence does not prove operability or capacity</x:v>
      </x:c>
    </x:row>
    <x:row r="736" ht="75.5999984741211" hidden="0" customHeight="1">
      <x:c r="A736" s="27" t="str">
        <x:v>SCA-06</x:v>
      </x:c>
      <x:c r="B736" s="27" t="str">
        <x:v>SCA-29</x:v>
      </x:c>
      <x:c r="C736" s="27" t="str">
        <x:v>Water</x:v>
      </x:c>
      <x:c r="D736" s="27" t="str">
        <x:v>YES</x:v>
      </x:c>
      <x:c r="E736" s="27" t="str">
        <x:v>YES</x:v>
      </x:c>
      <x:c r="F736" s="61" t="n">
        <x:v>5917.432154181898</x:v>
      </x:c>
      <x:c r="G736" s="61" t="n">
        <x:v>199.0694901194828</x:v>
      </x:c>
      <x:c r="H736" s="27" t="str">
        <x:v>NO</x:v>
      </x:c>
      <x:c r="I736" s="27" t="str">
        <x:v>USACE waterway node topology; deployable terminal required</x:v>
      </x:c>
      <x:c r="J736" s="27" t="str">
        <x:v>presence does not prove operability or capacity</x:v>
      </x:c>
    </x:row>
    <x:row r="737" ht="54" hidden="0" customHeight="1">
      <x:c r="A737" s="29" t="str">
        <x:v>SCA-06</x:v>
      </x:c>
      <x:c r="B737" s="29" t="str">
        <x:v>SCA-30</x:v>
      </x:c>
      <x:c r="C737" s="29" t="str">
        <x:v>Road</x:v>
      </x:c>
      <x:c r="D737" s="29" t="str">
        <x:v>YES</x:v>
      </x:c>
      <x:c r="E737" s="29" t="str">
        <x:v>YES</x:v>
      </x:c>
      <x:c r="F737" s="62" t="n">
        <x:v>4625.199531198669</x:v>
      </x:c>
      <x:c r="G737" s="62" t="n">
        <x:v>104.0945369308849</x:v>
      </x:c>
      <x:c r="H737" s="29" t="str">
        <x:v>NO</x:v>
      </x:c>
      <x:c r="I737" s="29" t="str">
        <x:v>NHPN-gated shared-boundary SCA path</x:v>
      </x:c>
      <x:c r="J737" s="29" t="str">
        <x:v>presence does not prove operability or capacity</x:v>
      </x:c>
    </x:row>
    <x:row r="738" ht="64.80000305175781" hidden="0" customHeight="1">
      <x:c r="A738" s="27" t="str">
        <x:v>SCA-06</x:v>
      </x:c>
      <x:c r="B738" s="27" t="str">
        <x:v>SCA-30</x:v>
      </x:c>
      <x:c r="C738" s="27" t="str">
        <x:v>Rail</x:v>
      </x:c>
      <x:c r="D738" s="27" t="str">
        <x:v>YES</x:v>
      </x:c>
      <x:c r="E738" s="27" t="str">
        <x:v>YES</x:v>
      </x:c>
      <x:c r="F738" s="61" t="n">
        <x:v>4951.663212267856</x:v>
      </x:c>
      <x:c r="G738" s="61" t="n">
        <x:v>96.7380458895408</x:v>
      </x:c>
      <x:c r="H738" s="27" t="str">
        <x:v>NO</x:v>
      </x:c>
      <x:c r="I738" s="27" t="str">
        <x:v>NARN shared-node topology; deployable terminal required</x:v>
      </x:c>
      <x:c r="J738" s="27" t="str">
        <x:v>presence does not prove operability or capacity</x:v>
      </x:c>
    </x:row>
    <x:row r="739" ht="54" hidden="0" customHeight="1">
      <x:c r="A739" s="29" t="str">
        <x:v>SCA-06</x:v>
      </x:c>
      <x:c r="B739" s="29" t="str">
        <x:v>SCA-30</x:v>
      </x:c>
      <x:c r="C739" s="29" t="str">
        <x:v>Air</x:v>
      </x:c>
      <x:c r="D739" s="29" t="str">
        <x:v>YES</x:v>
      </x:c>
      <x:c r="E739" s="29" t="str">
        <x:v>YES</x:v>
      </x:c>
      <x:c r="F739" s="62" t="n">
        <x:v>3759.50322470132</x:v>
      </x:c>
      <x:c r="G739" s="62" t="n">
        <x:v>29.783851114925106</x:v>
      </x:c>
      <x:c r="H739" s="29" t="str">
        <x:v>YES</x:v>
      </x:c>
      <x:c r="I739" s="29" t="str">
        <x:v>primary-airport endpoints; great-circle screen</x:v>
      </x:c>
      <x:c r="J739" s="29" t="str">
        <x:v>presence does not prove operability or capacity</x:v>
      </x:c>
    </x:row>
    <x:row r="740" ht="75.5999984741211" hidden="0" customHeight="1">
      <x:c r="A740" s="27" t="str">
        <x:v>SCA-06</x:v>
      </x:c>
      <x:c r="B740" s="27" t="str">
        <x:v>SCA-30</x:v>
      </x:c>
      <x:c r="C740" s="27" t="str">
        <x:v>Water</x:v>
      </x:c>
      <x:c r="D740" s="27" t="str">
        <x:v>YES</x:v>
      </x:c>
      <x:c r="E740" s="27" t="str">
        <x:v>YES</x:v>
      </x:c>
      <x:c r="F740" s="61" t="n">
        <x:v>6753.360442955587</x:v>
      </x:c>
      <x:c r="G740" s="61" t="n">
        <x:v>222.95315551301678</x:v>
      </x:c>
      <x:c r="H740" s="27" t="str">
        <x:v>NO</x:v>
      </x:c>
      <x:c r="I740" s="27" t="str">
        <x:v>USACE waterway node topology; deployable terminal required</x:v>
      </x:c>
      <x:c r="J740" s="27" t="str">
        <x:v>presence does not prove operability or capacity</x:v>
      </x:c>
    </x:row>
    <x:row r="741" ht="54" hidden="0" customHeight="1">
      <x:c r="A741" s="29" t="str">
        <x:v>SCA-06</x:v>
      </x:c>
      <x:c r="B741" s="29" t="str">
        <x:v>SCA-31</x:v>
      </x:c>
      <x:c r="C741" s="29" t="str">
        <x:v>Road</x:v>
      </x:c>
      <x:c r="D741" s="29" t="str">
        <x:v>YES</x:v>
      </x:c>
      <x:c r="E741" s="29" t="str">
        <x:v>YES</x:v>
      </x:c>
      <x:c r="F741" s="62" t="n">
        <x:v>5018.281676385175</x:v>
      </x:c>
      <x:c r="G741" s="62" t="n">
        <x:v>111.241485025185</x:v>
      </x:c>
      <x:c r="H741" s="29" t="str">
        <x:v>NO</x:v>
      </x:c>
      <x:c r="I741" s="29" t="str">
        <x:v>NHPN-gated shared-boundary SCA path</x:v>
      </x:c>
      <x:c r="J741" s="29" t="str">
        <x:v>presence does not prove operability or capacity</x:v>
      </x:c>
    </x:row>
    <x:row r="742" ht="64.80000305175781" hidden="0" customHeight="1">
      <x:c r="A742" s="27" t="str">
        <x:v>SCA-06</x:v>
      </x:c>
      <x:c r="B742" s="27" t="str">
        <x:v>SCA-31</x:v>
      </x:c>
      <x:c r="C742" s="27" t="str">
        <x:v>Rail</x:v>
      </x:c>
      <x:c r="D742" s="27" t="str">
        <x:v>YES</x:v>
      </x:c>
      <x:c r="E742" s="27" t="str">
        <x:v>YES</x:v>
      </x:c>
      <x:c r="F742" s="61" t="n">
        <x:v>5368.672096726584</x:v>
      </x:c>
      <x:c r="G742" s="61" t="n">
        <x:v>102.69531566752262</x:v>
      </x:c>
      <x:c r="H742" s="27" t="str">
        <x:v>NO</x:v>
      </x:c>
      <x:c r="I742" s="27" t="str">
        <x:v>NARN shared-node topology; deployable terminal required</x:v>
      </x:c>
      <x:c r="J742" s="27" t="str">
        <x:v>presence does not prove operability or capacity</x:v>
      </x:c>
    </x:row>
    <x:row r="743" ht="54" hidden="0" customHeight="1">
      <x:c r="A743" s="29" t="str">
        <x:v>SCA-06</x:v>
      </x:c>
      <x:c r="B743" s="29" t="str">
        <x:v>SCA-31</x:v>
      </x:c>
      <x:c r="C743" s="29" t="str">
        <x:v>Air</x:v>
      </x:c>
      <x:c r="D743" s="29" t="str">
        <x:v>YES</x:v>
      </x:c>
      <x:c r="E743" s="29" t="str">
        <x:v>YES</x:v>
      </x:c>
      <x:c r="F743" s="62" t="n">
        <x:v>4008.5042348513834</x:v>
      </x:c>
      <x:c r="G743" s="62" t="n">
        <x:v>30.16692959207905</x:v>
      </x:c>
      <x:c r="H743" s="29" t="str">
        <x:v>YES</x:v>
      </x:c>
      <x:c r="I743" s="29" t="str">
        <x:v>primary-airport endpoints; great-circle screen</x:v>
      </x:c>
      <x:c r="J743" s="29" t="str">
        <x:v>presence does not prove operability or capacity</x:v>
      </x:c>
    </x:row>
    <x:row r="744" ht="75.5999984741211" hidden="0" customHeight="1">
      <x:c r="A744" s="27" t="str">
        <x:v>SCA-06</x:v>
      </x:c>
      <x:c r="B744" s="27" t="str">
        <x:v>SCA-31</x:v>
      </x:c>
      <x:c r="C744" s="27" t="str">
        <x:v>Water</x:v>
      </x:c>
      <x:c r="D744" s="27" t="str">
        <x:v>YES</x:v>
      </x:c>
      <x:c r="E744" s="27" t="str">
        <x:v>YES</x:v>
      </x:c>
      <x:c r="F744" s="61" t="n">
        <x:v>7187.578389273684</x:v>
      </x:c>
      <x:c r="G744" s="61" t="n">
        <x:v>235.35938255067668</x:v>
      </x:c>
      <x:c r="H744" s="27" t="str">
        <x:v>NO</x:v>
      </x:c>
      <x:c r="I744" s="27" t="str">
        <x:v>USACE waterway node topology; deployable terminal required</x:v>
      </x:c>
      <x:c r="J744" s="27" t="str">
        <x:v>presence does not prove operability or capacity</x:v>
      </x:c>
    </x:row>
    <x:row r="745" ht="54" hidden="0" customHeight="1">
      <x:c r="A745" s="29" t="str">
        <x:v>SCA-06</x:v>
      </x:c>
      <x:c r="B745" s="29" t="str">
        <x:v>SCA-32</x:v>
      </x:c>
      <x:c r="C745" s="29" t="str">
        <x:v>Road</x:v>
      </x:c>
      <x:c r="D745" s="29" t="str">
        <x:v>NO</x:v>
      </x:c>
      <x:c r="E745" s="29" t="str">
        <x:v>NO</x:v>
      </x:c>
      <x:c r="F745" s="62"/>
      <x:c r="G745" s="62"/>
      <x:c r="H745" s="29" t="str">
        <x:v>NO</x:v>
      </x:c>
      <x:c r="I745" s="29" t="str">
        <x:v>no screened path</x:v>
      </x:c>
      <x:c r="J745" s="29" t="str">
        <x:v>presence does not prove operability or capacity</x:v>
      </x:c>
    </x:row>
    <x:row r="746" ht="54" hidden="0" customHeight="1">
      <x:c r="A746" s="27" t="str">
        <x:v>SCA-06</x:v>
      </x:c>
      <x:c r="B746" s="27" t="str">
        <x:v>SCA-32</x:v>
      </x:c>
      <x:c r="C746" s="27" t="str">
        <x:v>Rail</x:v>
      </x:c>
      <x:c r="D746" s="27" t="str">
        <x:v>NO</x:v>
      </x:c>
      <x:c r="E746" s="27" t="str">
        <x:v>NO</x:v>
      </x:c>
      <x:c r="F746" s="61"/>
      <x:c r="G746" s="61"/>
      <x:c r="H746" s="27" t="str">
        <x:v>NO</x:v>
      </x:c>
      <x:c r="I746" s="27" t="str">
        <x:v>no screened path</x:v>
      </x:c>
      <x:c r="J746" s="27" t="str">
        <x:v>presence does not prove operability or capacity</x:v>
      </x:c>
    </x:row>
    <x:row r="747" ht="54" hidden="0" customHeight="1">
      <x:c r="A747" s="29" t="str">
        <x:v>SCA-06</x:v>
      </x:c>
      <x:c r="B747" s="29" t="str">
        <x:v>SCA-32</x:v>
      </x:c>
      <x:c r="C747" s="29" t="str">
        <x:v>Air</x:v>
      </x:c>
      <x:c r="D747" s="29" t="str">
        <x:v>YES</x:v>
      </x:c>
      <x:c r="E747" s="29" t="str">
        <x:v>YES</x:v>
      </x:c>
      <x:c r="F747" s="62" t="n">
        <x:v>5227.236537916698</x:v>
      </x:c>
      <x:c r="G747" s="62" t="n">
        <x:v>32.04190236602569</x:v>
      </x:c>
      <x:c r="H747" s="29" t="str">
        <x:v>YES</x:v>
      </x:c>
      <x:c r="I747" s="29" t="str">
        <x:v>primary-airport endpoints; great-circle screen</x:v>
      </x:c>
      <x:c r="J747" s="29" t="str">
        <x:v>presence does not prove operability or capacity</x:v>
      </x:c>
    </x:row>
    <x:row r="748" ht="75.5999984741211" hidden="0" customHeight="1">
      <x:c r="A748" s="27" t="str">
        <x:v>SCA-06</x:v>
      </x:c>
      <x:c r="B748" s="27" t="str">
        <x:v>SCA-32</x:v>
      </x:c>
      <x:c r="C748" s="27" t="str">
        <x:v>Water</x:v>
      </x:c>
      <x:c r="D748" s="27" t="str">
        <x:v>YES</x:v>
      </x:c>
      <x:c r="E748" s="27" t="str">
        <x:v>YES</x:v>
      </x:c>
      <x:c r="F748" s="61" t="n">
        <x:v>6690.862768533373</x:v>
      </x:c>
      <x:c r="G748" s="61" t="n">
        <x:v>221.1675076723821</x:v>
      </x:c>
      <x:c r="H748" s="27" t="str">
        <x:v>NO</x:v>
      </x:c>
      <x:c r="I748" s="27" t="str">
        <x:v>USACE waterway node topology; deployable terminal required</x:v>
      </x:c>
      <x:c r="J748" s="27" t="str">
        <x:v>presence does not prove operability or capacity</x:v>
      </x:c>
    </x:row>
    <x:row r="749" ht="54" hidden="0" customHeight="1">
      <x:c r="A749" s="29" t="str">
        <x:v>SCA-07</x:v>
      </x:c>
      <x:c r="B749" s="29" t="str">
        <x:v>SCA-01</x:v>
      </x:c>
      <x:c r="C749" s="29" t="str">
        <x:v>Road</x:v>
      </x:c>
      <x:c r="D749" s="29" t="str">
        <x:v>NO</x:v>
      </x:c>
      <x:c r="E749" s="29" t="str">
        <x:v>NO</x:v>
      </x:c>
      <x:c r="F749" s="62"/>
      <x:c r="G749" s="62"/>
      <x:c r="H749" s="29" t="str">
        <x:v>NO</x:v>
      </x:c>
      <x:c r="I749" s="29" t="str">
        <x:v>no screened path</x:v>
      </x:c>
      <x:c r="J749" s="29" t="str">
        <x:v>presence does not prove operability or capacity</x:v>
      </x:c>
    </x:row>
    <x:row r="750" ht="54" hidden="0" customHeight="1">
      <x:c r="A750" s="27" t="str">
        <x:v>SCA-07</x:v>
      </x:c>
      <x:c r="B750" s="27" t="str">
        <x:v>SCA-01</x:v>
      </x:c>
      <x:c r="C750" s="27" t="str">
        <x:v>Rail</x:v>
      </x:c>
      <x:c r="D750" s="27" t="str">
        <x:v>NO</x:v>
      </x:c>
      <x:c r="E750" s="27" t="str">
        <x:v>NO</x:v>
      </x:c>
      <x:c r="F750" s="61"/>
      <x:c r="G750" s="61"/>
      <x:c r="H750" s="27" t="str">
        <x:v>NO</x:v>
      </x:c>
      <x:c r="I750" s="27" t="str">
        <x:v>no screened path</x:v>
      </x:c>
      <x:c r="J750" s="27" t="str">
        <x:v>presence does not prove operability or capacity</x:v>
      </x:c>
    </x:row>
    <x:row r="751" ht="54" hidden="0" customHeight="1">
      <x:c r="A751" s="29" t="str">
        <x:v>SCA-07</x:v>
      </x:c>
      <x:c r="B751" s="29" t="str">
        <x:v>SCA-01</x:v>
      </x:c>
      <x:c r="C751" s="29" t="str">
        <x:v>Air</x:v>
      </x:c>
      <x:c r="D751" s="29" t="str">
        <x:v>YES</x:v>
      </x:c>
      <x:c r="E751" s="29" t="str">
        <x:v>YES</x:v>
      </x:c>
      <x:c r="F751" s="62" t="n">
        <x:v>4402.492809401731</x:v>
      </x:c>
      <x:c r="G751" s="62" t="n">
        <x:v>30.773065860618047</x:v>
      </x:c>
      <x:c r="H751" s="29" t="str">
        <x:v>YES</x:v>
      </x:c>
      <x:c r="I751" s="29" t="str">
        <x:v>primary-airport endpoints; great-circle screen</x:v>
      </x:c>
      <x:c r="J751" s="29" t="str">
        <x:v>presence does not prove operability or capacity</x:v>
      </x:c>
    </x:row>
    <x:row r="752" ht="64.80000305175781" hidden="0" customHeight="1">
      <x:c r="A752" s="27" t="str">
        <x:v>SCA-07</x:v>
      </x:c>
      <x:c r="B752" s="27" t="str">
        <x:v>SCA-01</x:v>
      </x:c>
      <x:c r="C752" s="27" t="str">
        <x:v>Water</x:v>
      </x:c>
      <x:c r="D752" s="27" t="str">
        <x:v>YES</x:v>
      </x:c>
      <x:c r="E752" s="27" t="str">
        <x:v>YES</x:v>
      </x:c>
      <x:c r="F752" s="61" t="n">
        <x:v>5503.116011752164</x:v>
      </x:c>
      <x:c r="G752" s="61" t="n">
        <x:v>187.23188605006183</x:v>
      </x:c>
      <x:c r="H752" s="27" t="str">
        <x:v>NO</x:v>
      </x:c>
      <x:c r="I752" s="27" t="str">
        <x:v>observed water terminals; maritime great-circle screen</x:v>
      </x:c>
      <x:c r="J752" s="27" t="str">
        <x:v>presence does not prove operability or capacity</x:v>
      </x:c>
    </x:row>
    <x:row r="753" ht="54" hidden="0" customHeight="1">
      <x:c r="A753" s="29" t="str">
        <x:v>SCA-07</x:v>
      </x:c>
      <x:c r="B753" s="29" t="str">
        <x:v>SCA-02</x:v>
      </x:c>
      <x:c r="C753" s="29" t="str">
        <x:v>Road</x:v>
      </x:c>
      <x:c r="D753" s="29" t="str">
        <x:v>NO</x:v>
      </x:c>
      <x:c r="E753" s="29" t="str">
        <x:v>NO</x:v>
      </x:c>
      <x:c r="F753" s="62"/>
      <x:c r="G753" s="62"/>
      <x:c r="H753" s="29" t="str">
        <x:v>NO</x:v>
      </x:c>
      <x:c r="I753" s="29" t="str">
        <x:v>no screened path</x:v>
      </x:c>
      <x:c r="J753" s="29" t="str">
        <x:v>presence does not prove operability or capacity</x:v>
      </x:c>
    </x:row>
    <x:row r="754" ht="54" hidden="0" customHeight="1">
      <x:c r="A754" s="27" t="str">
        <x:v>SCA-07</x:v>
      </x:c>
      <x:c r="B754" s="27" t="str">
        <x:v>SCA-02</x:v>
      </x:c>
      <x:c r="C754" s="27" t="str">
        <x:v>Rail</x:v>
      </x:c>
      <x:c r="D754" s="27" t="str">
        <x:v>NO</x:v>
      </x:c>
      <x:c r="E754" s="27" t="str">
        <x:v>NO</x:v>
      </x:c>
      <x:c r="F754" s="61"/>
      <x:c r="G754" s="61"/>
      <x:c r="H754" s="27" t="str">
        <x:v>NO</x:v>
      </x:c>
      <x:c r="I754" s="27" t="str">
        <x:v>no screened path</x:v>
      </x:c>
      <x:c r="J754" s="27" t="str">
        <x:v>presence does not prove operability or capacity</x:v>
      </x:c>
    </x:row>
    <x:row r="755" ht="54" hidden="0" customHeight="1">
      <x:c r="A755" s="29" t="str">
        <x:v>SCA-07</x:v>
      </x:c>
      <x:c r="B755" s="29" t="str">
        <x:v>SCA-02</x:v>
      </x:c>
      <x:c r="C755" s="29" t="str">
        <x:v>Air</x:v>
      </x:c>
      <x:c r="D755" s="29" t="str">
        <x:v>YES</x:v>
      </x:c>
      <x:c r="E755" s="29" t="str">
        <x:v>YES</x:v>
      </x:c>
      <x:c r="F755" s="62" t="n">
        <x:v>3589.3963351239922</x:v>
      </x:c>
      <x:c r="G755" s="62" t="n">
        <x:v>29.522148207883063</x:v>
      </x:c>
      <x:c r="H755" s="29" t="str">
        <x:v>YES</x:v>
      </x:c>
      <x:c r="I755" s="29" t="str">
        <x:v>primary-airport endpoints; great-circle screen</x:v>
      </x:c>
      <x:c r="J755" s="29" t="str">
        <x:v>presence does not prove operability or capacity</x:v>
      </x:c>
    </x:row>
    <x:row r="756" ht="64.80000305175781" hidden="0" customHeight="1">
      <x:c r="A756" s="27" t="str">
        <x:v>SCA-07</x:v>
      </x:c>
      <x:c r="B756" s="27" t="str">
        <x:v>SCA-02</x:v>
      </x:c>
      <x:c r="C756" s="27" t="str">
        <x:v>Water</x:v>
      </x:c>
      <x:c r="D756" s="27" t="str">
        <x:v>YES</x:v>
      </x:c>
      <x:c r="E756" s="27" t="str">
        <x:v>YES</x:v>
      </x:c>
      <x:c r="F756" s="61" t="n">
        <x:v>4486.74541890499</x:v>
      </x:c>
      <x:c r="G756" s="61" t="n">
        <x:v>158.1927262544283</x:v>
      </x:c>
      <x:c r="H756" s="27" t="str">
        <x:v>NO</x:v>
      </x:c>
      <x:c r="I756" s="27" t="str">
        <x:v>observed water terminals; maritime great-circle screen</x:v>
      </x:c>
      <x:c r="J756" s="27" t="str">
        <x:v>presence does not prove operability or capacity</x:v>
      </x:c>
    </x:row>
    <x:row r="757" ht="54" hidden="0" customHeight="1">
      <x:c r="A757" s="29" t="str">
        <x:v>SCA-07</x:v>
      </x:c>
      <x:c r="B757" s="29" t="str">
        <x:v>SCA-03</x:v>
      </x:c>
      <x:c r="C757" s="29" t="str">
        <x:v>Road</x:v>
      </x:c>
      <x:c r="D757" s="29" t="str">
        <x:v>YES</x:v>
      </x:c>
      <x:c r="E757" s="29" t="str">
        <x:v>YES</x:v>
      </x:c>
      <x:c r="F757" s="62" t="n">
        <x:v>1789.7424207449203</x:v>
      </x:c>
      <x:c r="G757" s="62" t="n">
        <x:v>52.54077128627128</x:v>
      </x:c>
      <x:c r="H757" s="29" t="str">
        <x:v>YES</x:v>
      </x:c>
      <x:c r="I757" s="29" t="str">
        <x:v>NHPN-gated shared-boundary SCA path</x:v>
      </x:c>
      <x:c r="J757" s="29" t="str">
        <x:v>presence does not prove operability or capacity</x:v>
      </x:c>
    </x:row>
    <x:row r="758" ht="64.80000305175781" hidden="0" customHeight="1">
      <x:c r="A758" s="27" t="str">
        <x:v>SCA-07</x:v>
      </x:c>
      <x:c r="B758" s="27" t="str">
        <x:v>SCA-03</x:v>
      </x:c>
      <x:c r="C758" s="27" t="str">
        <x:v>Rail</x:v>
      </x:c>
      <x:c r="D758" s="27" t="str">
        <x:v>YES</x:v>
      </x:c>
      <x:c r="E758" s="27" t="str">
        <x:v>YES</x:v>
      </x:c>
      <x:c r="F758" s="61" t="n">
        <x:v>2138.059435698434</x:v>
      </x:c>
      <x:c r="G758" s="61" t="n">
        <x:v>56.543706224263346</x:v>
      </x:c>
      <x:c r="H758" s="27" t="str">
        <x:v>YES</x:v>
      </x:c>
      <x:c r="I758" s="27" t="str">
        <x:v>NARN shared-node topology; deployable terminal required</x:v>
      </x:c>
      <x:c r="J758" s="27" t="str">
        <x:v>presence does not prove operability or capacity</x:v>
      </x:c>
    </x:row>
    <x:row r="759" ht="54" hidden="0" customHeight="1">
      <x:c r="A759" s="29" t="str">
        <x:v>SCA-07</x:v>
      </x:c>
      <x:c r="B759" s="29" t="str">
        <x:v>SCA-03</x:v>
      </x:c>
      <x:c r="C759" s="29" t="str">
        <x:v>Air</x:v>
      </x:c>
      <x:c r="D759" s="29" t="str">
        <x:v>YES</x:v>
      </x:c>
      <x:c r="E759" s="29" t="str">
        <x:v>YES</x:v>
      </x:c>
      <x:c r="F759" s="62" t="n">
        <x:v>1321.4881703115059</x:v>
      </x:c>
      <x:c r="G759" s="62" t="n">
        <x:v>26.033058723556163</x:v>
      </x:c>
      <x:c r="H759" s="29" t="str">
        <x:v>YES</x:v>
      </x:c>
      <x:c r="I759" s="29" t="str">
        <x:v>primary-airport endpoints; great-circle screen</x:v>
      </x:c>
      <x:c r="J759" s="29" t="str">
        <x:v>presence does not prove operability or capacity</x:v>
      </x:c>
    </x:row>
    <x:row r="760" ht="64.80000305175781" hidden="0" customHeight="1">
      <x:c r="A760" s="27" t="str">
        <x:v>SCA-07</x:v>
      </x:c>
      <x:c r="B760" s="27" t="str">
        <x:v>SCA-03</x:v>
      </x:c>
      <x:c r="C760" s="27" t="str">
        <x:v>Water</x:v>
      </x:c>
      <x:c r="D760" s="27" t="str">
        <x:v>YES</x:v>
      </x:c>
      <x:c r="E760" s="27" t="str">
        <x:v>YES</x:v>
      </x:c>
      <x:c r="F760" s="61" t="n">
        <x:v>1651.8602128893824</x:v>
      </x:c>
      <x:c r="G760" s="61" t="n">
        <x:v>77.1960060825538</x:v>
      </x:c>
      <x:c r="H760" s="27" t="str">
        <x:v>NO</x:v>
      </x:c>
      <x:c r="I760" s="27" t="str">
        <x:v>observed water terminals; maritime great-circle screen</x:v>
      </x:c>
      <x:c r="J760" s="27" t="str">
        <x:v>presence does not prove operability or capacity</x:v>
      </x:c>
    </x:row>
    <x:row r="761" ht="54" hidden="0" customHeight="1">
      <x:c r="A761" s="29" t="str">
        <x:v>SCA-07</x:v>
      </x:c>
      <x:c r="B761" s="29" t="str">
        <x:v>SCA-04</x:v>
      </x:c>
      <x:c r="C761" s="29" t="str">
        <x:v>Road</x:v>
      </x:c>
      <x:c r="D761" s="29" t="str">
        <x:v>YES</x:v>
      </x:c>
      <x:c r="E761" s="29" t="str">
        <x:v>YES</x:v>
      </x:c>
      <x:c r="F761" s="62" t="n">
        <x:v>700.6041866526447</x:v>
      </x:c>
      <x:c r="G761" s="62" t="n">
        <x:v>32.73825793913899</x:v>
      </x:c>
      <x:c r="H761" s="29" t="str">
        <x:v>YES</x:v>
      </x:c>
      <x:c r="I761" s="29" t="str">
        <x:v>NHPN-gated shared-boundary SCA path</x:v>
      </x:c>
      <x:c r="J761" s="29" t="str">
        <x:v>presence does not prove operability or capacity</x:v>
      </x:c>
    </x:row>
    <x:row r="762" ht="64.80000305175781" hidden="0" customHeight="1">
      <x:c r="A762" s="27" t="str">
        <x:v>SCA-07</x:v>
      </x:c>
      <x:c r="B762" s="27" t="str">
        <x:v>SCA-04</x:v>
      </x:c>
      <x:c r="C762" s="27" t="str">
        <x:v>Rail</x:v>
      </x:c>
      <x:c r="D762" s="27" t="str">
        <x:v>YES</x:v>
      </x:c>
      <x:c r="E762" s="27" t="str">
        <x:v>YES</x:v>
      </x:c>
      <x:c r="F762" s="61" t="n">
        <x:v>1007.3319815754007</x:v>
      </x:c>
      <x:c r="G762" s="61" t="n">
        <x:v>40.39045687964858</x:v>
      </x:c>
      <x:c r="H762" s="27" t="str">
        <x:v>YES</x:v>
      </x:c>
      <x:c r="I762" s="27" t="str">
        <x:v>NARN shared-node topology; deployable terminal required</x:v>
      </x:c>
      <x:c r="J762" s="27" t="str">
        <x:v>presence does not prove operability or capacity</x:v>
      </x:c>
    </x:row>
    <x:row r="763" ht="54" hidden="0" customHeight="1">
      <x:c r="A763" s="29" t="str">
        <x:v>SCA-07</x:v>
      </x:c>
      <x:c r="B763" s="29" t="str">
        <x:v>SCA-04</x:v>
      </x:c>
      <x:c r="C763" s="29" t="str">
        <x:v>Air</x:v>
      </x:c>
      <x:c r="D763" s="29" t="str">
        <x:v>YES</x:v>
      </x:c>
      <x:c r="E763" s="29" t="str">
        <x:v>YES</x:v>
      </x:c>
      <x:c r="F763" s="62" t="n">
        <x:v>609.2210318718651</x:v>
      </x:c>
      <x:c r="G763" s="62" t="n">
        <x:v>24.937263125956715</x:v>
      </x:c>
      <x:c r="H763" s="29" t="str">
        <x:v>YES</x:v>
      </x:c>
      <x:c r="I763" s="29" t="str">
        <x:v>primary-airport endpoints; great-circle screen</x:v>
      </x:c>
      <x:c r="J763" s="29" t="str">
        <x:v>presence does not prove operability or capacity</x:v>
      </x:c>
    </x:row>
    <x:row r="764" ht="64.80000305175781" hidden="0" customHeight="1">
      <x:c r="A764" s="27" t="str">
        <x:v>SCA-07</x:v>
      </x:c>
      <x:c r="B764" s="27" t="str">
        <x:v>SCA-04</x:v>
      </x:c>
      <x:c r="C764" s="27" t="str">
        <x:v>Water</x:v>
      </x:c>
      <x:c r="D764" s="27" t="str">
        <x:v>YES</x:v>
      </x:c>
      <x:c r="E764" s="27" t="str">
        <x:v>YES</x:v>
      </x:c>
      <x:c r="F764" s="61" t="n">
        <x:v>761.5262898398314</x:v>
      </x:c>
      <x:c r="G764" s="61" t="n">
        <x:v>51.75789399542376</x:v>
      </x:c>
      <x:c r="H764" s="27" t="str">
        <x:v>YES</x:v>
      </x:c>
      <x:c r="I764" s="27" t="str">
        <x:v>observed water terminals; maritime great-circle screen</x:v>
      </x:c>
      <x:c r="J764" s="27" t="str">
        <x:v>presence does not prove operability or capacity</x:v>
      </x:c>
    </x:row>
    <x:row r="765" ht="54" hidden="0" customHeight="1">
      <x:c r="A765" s="29" t="str">
        <x:v>SCA-07</x:v>
      </x:c>
      <x:c r="B765" s="29" t="str">
        <x:v>SCA-05</x:v>
      </x:c>
      <x:c r="C765" s="29" t="str">
        <x:v>Road</x:v>
      </x:c>
      <x:c r="D765" s="29" t="str">
        <x:v>YES</x:v>
      </x:c>
      <x:c r="E765" s="29" t="str">
        <x:v>YES</x:v>
      </x:c>
      <x:c r="F765" s="62" t="n">
        <x:v>360.20109461621297</x:v>
      </x:c>
      <x:c r="G765" s="62" t="n">
        <x:v>26.54911081120387</x:v>
      </x:c>
      <x:c r="H765" s="29" t="str">
        <x:v>YES</x:v>
      </x:c>
      <x:c r="I765" s="29" t="str">
        <x:v>NHPN-gated shared-boundary SCA path</x:v>
      </x:c>
      <x:c r="J765" s="29" t="str">
        <x:v>presence does not prove operability or capacity</x:v>
      </x:c>
    </x:row>
    <x:row r="766" ht="64.80000305175781" hidden="0" customHeight="1">
      <x:c r="A766" s="27" t="str">
        <x:v>SCA-07</x:v>
      </x:c>
      <x:c r="B766" s="27" t="str">
        <x:v>SCA-05</x:v>
      </x:c>
      <x:c r="C766" s="27" t="str">
        <x:v>Rail</x:v>
      </x:c>
      <x:c r="D766" s="27" t="str">
        <x:v>YES</x:v>
      </x:c>
      <x:c r="E766" s="27" t="str">
        <x:v>YES</x:v>
      </x:c>
      <x:c r="F766" s="61" t="n">
        <x:v>382.1263786363302</x:v>
      </x:c>
      <x:c r="G766" s="61" t="n">
        <x:v>31.45894826623329</x:v>
      </x:c>
      <x:c r="H766" s="27" t="str">
        <x:v>YES</x:v>
      </x:c>
      <x:c r="I766" s="27" t="str">
        <x:v>NARN shared-node topology; deployable terminal required</x:v>
      </x:c>
      <x:c r="J766" s="27" t="str">
        <x:v>presence does not prove operability or capacity</x:v>
      </x:c>
    </x:row>
    <x:row r="767" ht="54" hidden="0" customHeight="1">
      <x:c r="A767" s="29" t="str">
        <x:v>SCA-07</x:v>
      </x:c>
      <x:c r="B767" s="29" t="str">
        <x:v>SCA-05</x:v>
      </x:c>
      <x:c r="C767" s="29" t="str">
        <x:v>Air</x:v>
      </x:c>
      <x:c r="D767" s="29" t="str">
        <x:v>YES</x:v>
      </x:c>
      <x:c r="E767" s="29" t="str">
        <x:v>YES</x:v>
      </x:c>
      <x:c r="F767" s="62" t="n">
        <x:v>313.2183431445329</x:v>
      </x:c>
      <x:c r="G767" s="62" t="n">
        <x:v>24.48187437406851</x:v>
      </x:c>
      <x:c r="H767" s="29" t="str">
        <x:v>YES</x:v>
      </x:c>
      <x:c r="I767" s="29" t="str">
        <x:v>primary-airport endpoints; great-circle screen</x:v>
      </x:c>
      <x:c r="J767" s="29" t="str">
        <x:v>presence does not prove operability or capacity</x:v>
      </x:c>
    </x:row>
    <x:row r="768" ht="64.80000305175781" hidden="0" customHeight="1">
      <x:c r="A768" s="27" t="str">
        <x:v>SCA-07</x:v>
      </x:c>
      <x:c r="B768" s="27" t="str">
        <x:v>SCA-05</x:v>
      </x:c>
      <x:c r="C768" s="27" t="str">
        <x:v>Water</x:v>
      </x:c>
      <x:c r="D768" s="27" t="str">
        <x:v>YES</x:v>
      </x:c>
      <x:c r="E768" s="27" t="str">
        <x:v>YES</x:v>
      </x:c>
      <x:c r="F768" s="61" t="n">
        <x:v>391.5229289306661</x:v>
      </x:c>
      <x:c r="G768" s="61" t="n">
        <x:v>41.18636939801903</x:v>
      </x:c>
      <x:c r="H768" s="27" t="str">
        <x:v>YES</x:v>
      </x:c>
      <x:c r="I768" s="27" t="str">
        <x:v>observed water terminals; maritime great-circle screen</x:v>
      </x:c>
      <x:c r="J768" s="27" t="str">
        <x:v>presence does not prove operability or capacity</x:v>
      </x:c>
    </x:row>
    <x:row r="769" ht="54" hidden="0" customHeight="1">
      <x:c r="A769" s="29" t="str">
        <x:v>SCA-07</x:v>
      </x:c>
      <x:c r="B769" s="29" t="str">
        <x:v>SCA-06</x:v>
      </x:c>
      <x:c r="C769" s="29" t="str">
        <x:v>Road</x:v>
      </x:c>
      <x:c r="D769" s="29" t="str">
        <x:v>YES</x:v>
      </x:c>
      <x:c r="E769" s="29" t="str">
        <x:v>YES</x:v>
      </x:c>
      <x:c r="F769" s="62" t="n">
        <x:v>322.58414406801626</x:v>
      </x:c>
      <x:c r="G769" s="62" t="n">
        <x:v>25.865166255782114</x:v>
      </x:c>
      <x:c r="H769" s="29" t="str">
        <x:v>YES</x:v>
      </x:c>
      <x:c r="I769" s="29" t="str">
        <x:v>NHPN-gated shared-boundary SCA path</x:v>
      </x:c>
      <x:c r="J769" s="29" t="str">
        <x:v>presence does not prove operability or capacity</x:v>
      </x:c>
    </x:row>
    <x:row r="770" ht="64.80000305175781" hidden="0" customHeight="1">
      <x:c r="A770" s="27" t="str">
        <x:v>SCA-07</x:v>
      </x:c>
      <x:c r="B770" s="27" t="str">
        <x:v>SCA-06</x:v>
      </x:c>
      <x:c r="C770" s="27" t="str">
        <x:v>Rail</x:v>
      </x:c>
      <x:c r="D770" s="27" t="str">
        <x:v>YES</x:v>
      </x:c>
      <x:c r="E770" s="27" t="str">
        <x:v>YES</x:v>
      </x:c>
      <x:c r="F770" s="61" t="n">
        <x:v>342.2197006634609</x:v>
      </x:c>
      <x:c r="G770" s="61" t="n">
        <x:v>30.88885286662087</x:v>
      </x:c>
      <x:c r="H770" s="27" t="str">
        <x:v>YES</x:v>
      </x:c>
      <x:c r="I770" s="27" t="str">
        <x:v>NARN shared-node topology; deployable terminal required</x:v>
      </x:c>
      <x:c r="J770" s="27" t="str">
        <x:v>presence does not prove operability or capacity</x:v>
      </x:c>
    </x:row>
    <x:row r="771" ht="54" hidden="0" customHeight="1">
      <x:c r="A771" s="29" t="str">
        <x:v>SCA-07</x:v>
      </x:c>
      <x:c r="B771" s="29" t="str">
        <x:v>SCA-06</x:v>
      </x:c>
      <x:c r="C771" s="29" t="str">
        <x:v>Air</x:v>
      </x:c>
      <x:c r="D771" s="29" t="str">
        <x:v>YES</x:v>
      </x:c>
      <x:c r="E771" s="29" t="str">
        <x:v>YES</x:v>
      </x:c>
      <x:c r="F771" s="62" t="n">
        <x:v>280.50795136349257</x:v>
      </x:c>
      <x:c r="G771" s="62" t="n">
        <x:v>24.431550694405374</x:v>
      </x:c>
      <x:c r="H771" s="29" t="str">
        <x:v>YES</x:v>
      </x:c>
      <x:c r="I771" s="29" t="str">
        <x:v>primary-airport endpoints; great-circle screen</x:v>
      </x:c>
      <x:c r="J771" s="29" t="str">
        <x:v>presence does not prove operability or capacity</x:v>
      </x:c>
    </x:row>
    <x:row r="772" ht="64.80000305175781" hidden="0" customHeight="1">
      <x:c r="A772" s="27" t="str">
        <x:v>SCA-07</x:v>
      </x:c>
      <x:c r="B772" s="27" t="str">
        <x:v>SCA-06</x:v>
      </x:c>
      <x:c r="C772" s="27" t="str">
        <x:v>Water</x:v>
      </x:c>
      <x:c r="D772" s="27" t="str">
        <x:v>YES</x:v>
      </x:c>
      <x:c r="E772" s="27" t="str">
        <x:v>YES</x:v>
      </x:c>
      <x:c r="F772" s="61" t="n">
        <x:v>350.6349392043657</x:v>
      </x:c>
      <x:c r="G772" s="61" t="n">
        <x:v>40.01814112012474</x:v>
      </x:c>
      <x:c r="H772" s="27" t="str">
        <x:v>YES</x:v>
      </x:c>
      <x:c r="I772" s="27" t="str">
        <x:v>observed water terminals; maritime great-circle screen</x:v>
      </x:c>
      <x:c r="J772" s="27" t="str">
        <x:v>presence does not prove operability or capacity</x:v>
      </x:c>
    </x:row>
    <x:row r="773" ht="54" hidden="0" customHeight="1">
      <x:c r="A773" s="29" t="str">
        <x:v>SCA-07</x:v>
      </x:c>
      <x:c r="B773" s="29" t="str">
        <x:v>SCA-08</x:v>
      </x:c>
      <x:c r="C773" s="29" t="str">
        <x:v>Road</x:v>
      </x:c>
      <x:c r="D773" s="29" t="str">
        <x:v>YES</x:v>
      </x:c>
      <x:c r="E773" s="29" t="str">
        <x:v>YES</x:v>
      </x:c>
      <x:c r="F773" s="62" t="n">
        <x:v>1154.381024963696</x:v>
      </x:c>
      <x:c r="G773" s="62" t="n">
        <x:v>40.988745908430836</x:v>
      </x:c>
      <x:c r="H773" s="29" t="str">
        <x:v>YES</x:v>
      </x:c>
      <x:c r="I773" s="29" t="str">
        <x:v>NHPN-gated shared-boundary SCA path</x:v>
      </x:c>
      <x:c r="J773" s="29" t="str">
        <x:v>presence does not prove operability or capacity</x:v>
      </x:c>
    </x:row>
    <x:row r="774" ht="64.80000305175781" hidden="0" customHeight="1">
      <x:c r="A774" s="27" t="str">
        <x:v>SCA-07</x:v>
      </x:c>
      <x:c r="B774" s="27" t="str">
        <x:v>SCA-08</x:v>
      </x:c>
      <x:c r="C774" s="27" t="str">
        <x:v>Rail</x:v>
      </x:c>
      <x:c r="D774" s="27" t="str">
        <x:v>YES</x:v>
      </x:c>
      <x:c r="E774" s="27" t="str">
        <x:v>YES</x:v>
      </x:c>
      <x:c r="F774" s="61" t="n">
        <x:v>1454.1646986649882</x:v>
      </x:c>
      <x:c r="G774" s="61" t="n">
        <x:v>46.77378140949983</x:v>
      </x:c>
      <x:c r="H774" s="27" t="str">
        <x:v>YES</x:v>
      </x:c>
      <x:c r="I774" s="27" t="str">
        <x:v>NARN shared-node topology; deployable terminal required</x:v>
      </x:c>
      <x:c r="J774" s="27" t="str">
        <x:v>presence does not prove operability or capacity</x:v>
      </x:c>
    </x:row>
    <x:row r="775" ht="54" hidden="0" customHeight="1">
      <x:c r="A775" s="29" t="str">
        <x:v>SCA-07</x:v>
      </x:c>
      <x:c r="B775" s="29" t="str">
        <x:v>SCA-08</x:v>
      </x:c>
      <x:c r="C775" s="29" t="str">
        <x:v>Air</x:v>
      </x:c>
      <x:c r="D775" s="29" t="str">
        <x:v>YES</x:v>
      </x:c>
      <x:c r="E775" s="29" t="str">
        <x:v>YES</x:v>
      </x:c>
      <x:c r="F775" s="62" t="n">
        <x:v>1003.809586924953</x:v>
      </x:c>
      <x:c r="G775" s="62" t="n">
        <x:v>25.544322441423006</x:v>
      </x:c>
      <x:c r="H775" s="29" t="str">
        <x:v>YES</x:v>
      </x:c>
      <x:c r="I775" s="29" t="str">
        <x:v>primary-airport endpoints; great-circle screen</x:v>
      </x:c>
      <x:c r="J775" s="29" t="str">
        <x:v>presence does not prove operability or capacity</x:v>
      </x:c>
    </x:row>
    <x:row r="776" ht="64.80000305175781" hidden="0" customHeight="1">
      <x:c r="A776" s="27" t="str">
        <x:v>SCA-07</x:v>
      </x:c>
      <x:c r="B776" s="27" t="str">
        <x:v>SCA-08</x:v>
      </x:c>
      <x:c r="C776" s="27" t="str">
        <x:v>Water</x:v>
      </x:c>
      <x:c r="D776" s="27" t="str">
        <x:v>YES</x:v>
      </x:c>
      <x:c r="E776" s="27" t="str">
        <x:v>YES</x:v>
      </x:c>
      <x:c r="F776" s="61" t="n">
        <x:v>1254.7619836561912</x:v>
      </x:c>
      <x:c r="G776" s="61" t="n">
        <x:v>65.85034239017689</x:v>
      </x:c>
      <x:c r="H776" s="27" t="str">
        <x:v>YES</x:v>
      </x:c>
      <x:c r="I776" s="27" t="str">
        <x:v>observed water terminals; maritime great-circle screen</x:v>
      </x:c>
      <x:c r="J776" s="27" t="str">
        <x:v>presence does not prove operability or capacity</x:v>
      </x:c>
    </x:row>
    <x:row r="777" ht="54" hidden="0" customHeight="1">
      <x:c r="A777" s="29" t="str">
        <x:v>SCA-07</x:v>
      </x:c>
      <x:c r="B777" s="29" t="str">
        <x:v>SCA-09</x:v>
      </x:c>
      <x:c r="C777" s="29" t="str">
        <x:v>Road</x:v>
      </x:c>
      <x:c r="D777" s="29" t="str">
        <x:v>YES</x:v>
      </x:c>
      <x:c r="E777" s="29" t="str">
        <x:v>YES</x:v>
      </x:c>
      <x:c r="F777" s="62" t="n">
        <x:v>462.13619267402527</x:v>
      </x:c>
      <x:c r="G777" s="62" t="n">
        <x:v>28.402476230436825</x:v>
      </x:c>
      <x:c r="H777" s="29" t="str">
        <x:v>YES</x:v>
      </x:c>
      <x:c r="I777" s="29" t="str">
        <x:v>NHPN-gated shared-boundary SCA path</x:v>
      </x:c>
      <x:c r="J777" s="29" t="str">
        <x:v>presence does not prove operability or capacity</x:v>
      </x:c>
    </x:row>
    <x:row r="778" ht="64.80000305175781" hidden="0" customHeight="1">
      <x:c r="A778" s="27" t="str">
        <x:v>SCA-07</x:v>
      </x:c>
      <x:c r="B778" s="27" t="str">
        <x:v>SCA-09</x:v>
      </x:c>
      <x:c r="C778" s="27" t="str">
        <x:v>Rail</x:v>
      </x:c>
      <x:c r="D778" s="27" t="str">
        <x:v>YES</x:v>
      </x:c>
      <x:c r="E778" s="27" t="str">
        <x:v>YES</x:v>
      </x:c>
      <x:c r="F778" s="61" t="n">
        <x:v>490.26622179331383</x:v>
      </x:c>
      <x:c r="G778" s="61" t="n">
        <x:v>33.00380316847591</x:v>
      </x:c>
      <x:c r="H778" s="27" t="str">
        <x:v>YES</x:v>
      </x:c>
      <x:c r="I778" s="27" t="str">
        <x:v>NARN shared-node topology; deployable terminal required</x:v>
      </x:c>
      <x:c r="J778" s="27" t="str">
        <x:v>presence does not prove operability or capacity</x:v>
      </x:c>
    </x:row>
    <x:row r="779" ht="54" hidden="0" customHeight="1">
      <x:c r="A779" s="29" t="str">
        <x:v>SCA-07</x:v>
      </x:c>
      <x:c r="B779" s="29" t="str">
        <x:v>SCA-09</x:v>
      </x:c>
      <x:c r="C779" s="29" t="str">
        <x:v>Air</x:v>
      </x:c>
      <x:c r="D779" s="29" t="str">
        <x:v>YES</x:v>
      </x:c>
      <x:c r="E779" s="29" t="str">
        <x:v>YES</x:v>
      </x:c>
      <x:c r="F779" s="62" t="n">
        <x:v>401.8575588469786</x:v>
      </x:c>
      <x:c r="G779" s="62" t="n">
        <x:v>24.618242398226123</x:v>
      </x:c>
      <x:c r="H779" s="29" t="str">
        <x:v>YES</x:v>
      </x:c>
      <x:c r="I779" s="29" t="str">
        <x:v>primary-airport endpoints; great-circle screen</x:v>
      </x:c>
      <x:c r="J779" s="29" t="str">
        <x:v>presence does not prove operability or capacity</x:v>
      </x:c>
    </x:row>
    <x:row r="780" ht="54" hidden="0" customHeight="1">
      <x:c r="A780" s="27" t="str">
        <x:v>SCA-07</x:v>
      </x:c>
      <x:c r="B780" s="27" t="str">
        <x:v>SCA-09</x:v>
      </x:c>
      <x:c r="C780" s="27" t="str">
        <x:v>Water</x:v>
      </x:c>
      <x:c r="D780" s="27" t="str">
        <x:v>NO</x:v>
      </x:c>
      <x:c r="E780" s="27" t="str">
        <x:v>NO</x:v>
      </x:c>
      <x:c r="F780" s="61"/>
      <x:c r="G780" s="61"/>
      <x:c r="H780" s="27" t="str">
        <x:v>NO</x:v>
      </x:c>
      <x:c r="I780" s="27" t="str">
        <x:v>no screened path</x:v>
      </x:c>
      <x:c r="J780" s="27" t="str">
        <x:v>presence does not prove operability or capacity</x:v>
      </x:c>
    </x:row>
    <x:row r="781" ht="54" hidden="0" customHeight="1">
      <x:c r="A781" s="29" t="str">
        <x:v>SCA-07</x:v>
      </x:c>
      <x:c r="B781" s="29" t="str">
        <x:v>SCA-10</x:v>
      </x:c>
      <x:c r="C781" s="29" t="str">
        <x:v>Road</x:v>
      </x:c>
      <x:c r="D781" s="29" t="str">
        <x:v>YES</x:v>
      </x:c>
      <x:c r="E781" s="29" t="str">
        <x:v>YES</x:v>
      </x:c>
      <x:c r="F781" s="62" t="n">
        <x:v>814.1993026094544</x:v>
      </x:c>
      <x:c r="G781" s="62" t="n">
        <x:v>34.80362368380826</x:v>
      </x:c>
      <x:c r="H781" s="29" t="str">
        <x:v>YES</x:v>
      </x:c>
      <x:c r="I781" s="29" t="str">
        <x:v>NHPN-gated shared-boundary SCA path</x:v>
      </x:c>
      <x:c r="J781" s="29" t="str">
        <x:v>presence does not prove operability or capacity</x:v>
      </x:c>
    </x:row>
    <x:row r="782" ht="64.80000305175781" hidden="0" customHeight="1">
      <x:c r="A782" s="27" t="str">
        <x:v>SCA-07</x:v>
      </x:c>
      <x:c r="B782" s="27" t="str">
        <x:v>SCA-10</x:v>
      </x:c>
      <x:c r="C782" s="27" t="str">
        <x:v>Rail</x:v>
      </x:c>
      <x:c r="D782" s="27" t="str">
        <x:v>YES</x:v>
      </x:c>
      <x:c r="E782" s="27" t="str">
        <x:v>YES</x:v>
      </x:c>
      <x:c r="F782" s="61" t="n">
        <x:v>863.7592601595951</x:v>
      </x:c>
      <x:c r="G782" s="61" t="n">
        <x:v>38.33941800227993</x:v>
      </x:c>
      <x:c r="H782" s="27" t="str">
        <x:v>YES</x:v>
      </x:c>
      <x:c r="I782" s="27" t="str">
        <x:v>NARN shared-node topology; deployable terminal required</x:v>
      </x:c>
      <x:c r="J782" s="27" t="str">
        <x:v>presence does not prove operability or capacity</x:v>
      </x:c>
    </x:row>
    <x:row r="783" ht="54" hidden="0" customHeight="1">
      <x:c r="A783" s="29" t="str">
        <x:v>SCA-07</x:v>
      </x:c>
      <x:c r="B783" s="29" t="str">
        <x:v>SCA-10</x:v>
      </x:c>
      <x:c r="C783" s="29" t="str">
        <x:v>Air</x:v>
      </x:c>
      <x:c r="D783" s="29" t="str">
        <x:v>YES</x:v>
      </x:c>
      <x:c r="E783" s="29" t="str">
        <x:v>YES</x:v>
      </x:c>
      <x:c r="F783" s="62" t="n">
        <x:v>707.9993935734386</x:v>
      </x:c>
      <x:c r="G783" s="62" t="n">
        <x:v>25.089229836266828</x:v>
      </x:c>
      <x:c r="H783" s="29" t="str">
        <x:v>YES</x:v>
      </x:c>
      <x:c r="I783" s="29" t="str">
        <x:v>primary-airport endpoints; great-circle screen</x:v>
      </x:c>
      <x:c r="J783" s="29" t="str">
        <x:v>presence does not prove operability or capacity</x:v>
      </x:c>
    </x:row>
    <x:row r="784" ht="54" hidden="0" customHeight="1">
      <x:c r="A784" s="27" t="str">
        <x:v>SCA-07</x:v>
      </x:c>
      <x:c r="B784" s="27" t="str">
        <x:v>SCA-10</x:v>
      </x:c>
      <x:c r="C784" s="27" t="str">
        <x:v>Water</x:v>
      </x:c>
      <x:c r="D784" s="27" t="str">
        <x:v>NO</x:v>
      </x:c>
      <x:c r="E784" s="27" t="str">
        <x:v>NO</x:v>
      </x:c>
      <x:c r="F784" s="61"/>
      <x:c r="G784" s="61"/>
      <x:c r="H784" s="27" t="str">
        <x:v>NO</x:v>
      </x:c>
      <x:c r="I784" s="27" t="str">
        <x:v>no screened path</x:v>
      </x:c>
      <x:c r="J784" s="27" t="str">
        <x:v>presence does not prove operability or capacity</x:v>
      </x:c>
    </x:row>
    <x:row r="785" ht="54" hidden="0" customHeight="1">
      <x:c r="A785" s="29" t="str">
        <x:v>SCA-07</x:v>
      </x:c>
      <x:c r="B785" s="29" t="str">
        <x:v>SCA-11</x:v>
      </x:c>
      <x:c r="C785" s="29" t="str">
        <x:v>Road</x:v>
      </x:c>
      <x:c r="D785" s="29" t="str">
        <x:v>YES</x:v>
      </x:c>
      <x:c r="E785" s="29" t="str">
        <x:v>YES</x:v>
      </x:c>
      <x:c r="F785" s="62" t="n">
        <x:v>1213.8885441436357</x:v>
      </x:c>
      <x:c r="G785" s="62" t="n">
        <x:v>42.070700802611555</x:v>
      </x:c>
      <x:c r="H785" s="29" t="str">
        <x:v>YES</x:v>
      </x:c>
      <x:c r="I785" s="29" t="str">
        <x:v>NHPN-gated shared-boundary SCA path</x:v>
      </x:c>
      <x:c r="J785" s="29" t="str">
        <x:v>presence does not prove operability or capacity</x:v>
      </x:c>
    </x:row>
    <x:row r="786" ht="64.80000305175781" hidden="0" customHeight="1">
      <x:c r="A786" s="27" t="str">
        <x:v>SCA-07</x:v>
      </x:c>
      <x:c r="B786" s="27" t="str">
        <x:v>SCA-11</x:v>
      </x:c>
      <x:c r="C786" s="27" t="str">
        <x:v>Rail</x:v>
      </x:c>
      <x:c r="D786" s="27" t="str">
        <x:v>YES</x:v>
      </x:c>
      <x:c r="E786" s="27" t="str">
        <x:v>YES</x:v>
      </x:c>
      <x:c r="F786" s="61" t="n">
        <x:v>1287.7774120480312</x:v>
      </x:c>
      <x:c r="G786" s="61" t="n">
        <x:v>44.39682017211473</x:v>
      </x:c>
      <x:c r="H786" s="27" t="str">
        <x:v>YES</x:v>
      </x:c>
      <x:c r="I786" s="27" t="str">
        <x:v>NARN shared-node topology; deployable terminal required</x:v>
      </x:c>
      <x:c r="J786" s="27" t="str">
        <x:v>presence does not prove operability or capacity</x:v>
      </x:c>
    </x:row>
    <x:row r="787" ht="54" hidden="0" customHeight="1">
      <x:c r="A787" s="29" t="str">
        <x:v>SCA-07</x:v>
      </x:c>
      <x:c r="B787" s="29" t="str">
        <x:v>SCA-11</x:v>
      </x:c>
      <x:c r="C787" s="29" t="str">
        <x:v>Air</x:v>
      </x:c>
      <x:c r="D787" s="29" t="str">
        <x:v>YES</x:v>
      </x:c>
      <x:c r="E787" s="29" t="str">
        <x:v>YES</x:v>
      </x:c>
      <x:c r="F787" s="62" t="n">
        <x:v>977.0074388923151</x:v>
      </x:c>
      <x:c r="G787" s="62" t="n">
        <x:v>25.50308836752664</x:v>
      </x:c>
      <x:c r="H787" s="29" t="str">
        <x:v>YES</x:v>
      </x:c>
      <x:c r="I787" s="29" t="str">
        <x:v>primary-airport endpoints; great-circle screen</x:v>
      </x:c>
      <x:c r="J787" s="29" t="str">
        <x:v>presence does not prove operability or capacity</x:v>
      </x:c>
    </x:row>
    <x:row r="788" ht="54" hidden="0" customHeight="1">
      <x:c r="A788" s="27" t="str">
        <x:v>SCA-07</x:v>
      </x:c>
      <x:c r="B788" s="27" t="str">
        <x:v>SCA-11</x:v>
      </x:c>
      <x:c r="C788" s="27" t="str">
        <x:v>Water</x:v>
      </x:c>
      <x:c r="D788" s="27" t="str">
        <x:v>NO</x:v>
      </x:c>
      <x:c r="E788" s="27" t="str">
        <x:v>NO</x:v>
      </x:c>
      <x:c r="F788" s="61"/>
      <x:c r="G788" s="61"/>
      <x:c r="H788" s="27" t="str">
        <x:v>NO</x:v>
      </x:c>
      <x:c r="I788" s="27" t="str">
        <x:v>no screened path</x:v>
      </x:c>
      <x:c r="J788" s="27" t="str">
        <x:v>presence does not prove operability or capacity</x:v>
      </x:c>
    </x:row>
    <x:row r="789" ht="54" hidden="0" customHeight="1">
      <x:c r="A789" s="29" t="str">
        <x:v>SCA-07</x:v>
      </x:c>
      <x:c r="B789" s="29" t="str">
        <x:v>SCA-12</x:v>
      </x:c>
      <x:c r="C789" s="29" t="str">
        <x:v>Road</x:v>
      </x:c>
      <x:c r="D789" s="29" t="str">
        <x:v>YES</x:v>
      </x:c>
      <x:c r="E789" s="29" t="str">
        <x:v>YES</x:v>
      </x:c>
      <x:c r="F789" s="62" t="n">
        <x:v>1490.4572648558965</x:v>
      </x:c>
      <x:c r="G789" s="62" t="n">
        <x:v>47.09922299737994</x:v>
      </x:c>
      <x:c r="H789" s="29" t="str">
        <x:v>YES</x:v>
      </x:c>
      <x:c r="I789" s="29" t="str">
        <x:v>NHPN-gated shared-boundary SCA path</x:v>
      </x:c>
      <x:c r="J789" s="29" t="str">
        <x:v>presence does not prove operability or capacity</x:v>
      </x:c>
    </x:row>
    <x:row r="790" ht="64.80000305175781" hidden="0" customHeight="1">
      <x:c r="A790" s="27" t="str">
        <x:v>SCA-07</x:v>
      </x:c>
      <x:c r="B790" s="27" t="str">
        <x:v>SCA-12</x:v>
      </x:c>
      <x:c r="C790" s="27" t="str">
        <x:v>Rail</x:v>
      </x:c>
      <x:c r="D790" s="27" t="str">
        <x:v>YES</x:v>
      </x:c>
      <x:c r="E790" s="27" t="str">
        <x:v>YES</x:v>
      </x:c>
      <x:c r="F790" s="61" t="n">
        <x:v>1581.1807505427773</x:v>
      </x:c>
      <x:c r="G790" s="61" t="n">
        <x:v>48.58829643632539</x:v>
      </x:c>
      <x:c r="H790" s="27" t="str">
        <x:v>YES</x:v>
      </x:c>
      <x:c r="I790" s="27" t="str">
        <x:v>NARN shared-node topology; deployable terminal required</x:v>
      </x:c>
      <x:c r="J790" s="27" t="str">
        <x:v>presence does not prove operability or capacity</x:v>
      </x:c>
    </x:row>
    <x:row r="791" ht="54" hidden="0" customHeight="1">
      <x:c r="A791" s="29" t="str">
        <x:v>SCA-07</x:v>
      </x:c>
      <x:c r="B791" s="29" t="str">
        <x:v>SCA-12</x:v>
      </x:c>
      <x:c r="C791" s="29" t="str">
        <x:v>Air</x:v>
      </x:c>
      <x:c r="D791" s="29" t="str">
        <x:v>YES</x:v>
      </x:c>
      <x:c r="E791" s="29" t="str">
        <x:v>YES</x:v>
      </x:c>
      <x:c r="F791" s="62" t="n">
        <x:v>1015.3082754783223</x:v>
      </x:c>
      <x:c r="G791" s="62" t="n">
        <x:v>25.56201273150511</x:v>
      </x:c>
      <x:c r="H791" s="29" t="str">
        <x:v>YES</x:v>
      </x:c>
      <x:c r="I791" s="29" t="str">
        <x:v>primary-airport endpoints; great-circle screen</x:v>
      </x:c>
      <x:c r="J791" s="29" t="str">
        <x:v>presence does not prove operability or capacity</x:v>
      </x:c>
    </x:row>
    <x:row r="792" ht="54" hidden="0" customHeight="1">
      <x:c r="A792" s="27" t="str">
        <x:v>SCA-07</x:v>
      </x:c>
      <x:c r="B792" s="27" t="str">
        <x:v>SCA-12</x:v>
      </x:c>
      <x:c r="C792" s="27" t="str">
        <x:v>Water</x:v>
      </x:c>
      <x:c r="D792" s="27" t="str">
        <x:v>NO</x:v>
      </x:c>
      <x:c r="E792" s="27" t="str">
        <x:v>NO</x:v>
      </x:c>
      <x:c r="F792" s="61"/>
      <x:c r="G792" s="61"/>
      <x:c r="H792" s="27" t="str">
        <x:v>NO</x:v>
      </x:c>
      <x:c r="I792" s="27" t="str">
        <x:v>no screened path</x:v>
      </x:c>
      <x:c r="J792" s="27" t="str">
        <x:v>presence does not prove operability or capacity</x:v>
      </x:c>
    </x:row>
    <x:row r="793" ht="54" hidden="0" customHeight="1">
      <x:c r="A793" s="29" t="str">
        <x:v>SCA-07</x:v>
      </x:c>
      <x:c r="B793" s="29" t="str">
        <x:v>SCA-13</x:v>
      </x:c>
      <x:c r="C793" s="29" t="str">
        <x:v>Road</x:v>
      </x:c>
      <x:c r="D793" s="29" t="str">
        <x:v>NO</x:v>
      </x:c>
      <x:c r="E793" s="29" t="str">
        <x:v>NO</x:v>
      </x:c>
      <x:c r="F793" s="62"/>
      <x:c r="G793" s="62"/>
      <x:c r="H793" s="29" t="str">
        <x:v>NO</x:v>
      </x:c>
      <x:c r="I793" s="29" t="str">
        <x:v>no screened path</x:v>
      </x:c>
      <x:c r="J793" s="29" t="str">
        <x:v>presence does not prove operability or capacity</x:v>
      </x:c>
    </x:row>
    <x:row r="794" ht="64.80000305175781" hidden="0" customHeight="1">
      <x:c r="A794" s="27" t="str">
        <x:v>SCA-07</x:v>
      </x:c>
      <x:c r="B794" s="27" t="str">
        <x:v>SCA-13</x:v>
      </x:c>
      <x:c r="C794" s="27" t="str">
        <x:v>Rail</x:v>
      </x:c>
      <x:c r="D794" s="27" t="str">
        <x:v>YES</x:v>
      </x:c>
      <x:c r="E794" s="27" t="str">
        <x:v>YES</x:v>
      </x:c>
      <x:c r="F794" s="61" t="n">
        <x:v>2209.1964421622324</x:v>
      </x:c>
      <x:c r="G794" s="61" t="n">
        <x:v>57.559949173746176</x:v>
      </x:c>
      <x:c r="H794" s="27" t="str">
        <x:v>YES</x:v>
      </x:c>
      <x:c r="I794" s="27" t="str">
        <x:v>NARN shared-node topology; deployable terminal required</x:v>
      </x:c>
      <x:c r="J794" s="27" t="str">
        <x:v>presence does not prove operability or capacity</x:v>
      </x:c>
    </x:row>
    <x:row r="795" ht="54" hidden="0" customHeight="1">
      <x:c r="A795" s="29" t="str">
        <x:v>SCA-07</x:v>
      </x:c>
      <x:c r="B795" s="29" t="str">
        <x:v>SCA-13</x:v>
      </x:c>
      <x:c r="C795" s="29" t="str">
        <x:v>Air</x:v>
      </x:c>
      <x:c r="D795" s="29" t="str">
        <x:v>YES</x:v>
      </x:c>
      <x:c r="E795" s="29" t="str">
        <x:v>YES</x:v>
      </x:c>
      <x:c r="F795" s="62" t="n">
        <x:v>1728.7980094869172</x:v>
      </x:c>
      <x:c r="G795" s="62" t="n">
        <x:v>26.65968924536449</x:v>
      </x:c>
      <x:c r="H795" s="29" t="str">
        <x:v>YES</x:v>
      </x:c>
      <x:c r="I795" s="29" t="str">
        <x:v>primary-airport endpoints; great-circle screen</x:v>
      </x:c>
      <x:c r="J795" s="29" t="str">
        <x:v>presence does not prove operability or capacity</x:v>
      </x:c>
    </x:row>
    <x:row r="796" ht="64.80000305175781" hidden="0" customHeight="1">
      <x:c r="A796" s="27" t="str">
        <x:v>SCA-07</x:v>
      </x:c>
      <x:c r="B796" s="27" t="str">
        <x:v>SCA-13</x:v>
      </x:c>
      <x:c r="C796" s="27" t="str">
        <x:v>Water</x:v>
      </x:c>
      <x:c r="D796" s="27" t="str">
        <x:v>YES</x:v>
      </x:c>
      <x:c r="E796" s="27" t="str">
        <x:v>YES</x:v>
      </x:c>
      <x:c r="F796" s="61" t="n">
        <x:v>2160.9975118586462</x:v>
      </x:c>
      <x:c r="G796" s="61" t="n">
        <x:v>91.74278605310417</x:v>
      </x:c>
      <x:c r="H796" s="27" t="str">
        <x:v>NO</x:v>
      </x:c>
      <x:c r="I796" s="27" t="str">
        <x:v>observed water terminals; maritime great-circle screen</x:v>
      </x:c>
      <x:c r="J796" s="27" t="str">
        <x:v>presence does not prove operability or capacity</x:v>
      </x:c>
    </x:row>
    <x:row r="797" ht="54" hidden="0" customHeight="1">
      <x:c r="A797" s="29" t="str">
        <x:v>SCA-07</x:v>
      </x:c>
      <x:c r="B797" s="29" t="str">
        <x:v>SCA-14</x:v>
      </x:c>
      <x:c r="C797" s="29" t="str">
        <x:v>Road</x:v>
      </x:c>
      <x:c r="D797" s="29" t="str">
        <x:v>NO</x:v>
      </x:c>
      <x:c r="E797" s="29" t="str">
        <x:v>NO</x:v>
      </x:c>
      <x:c r="F797" s="62"/>
      <x:c r="G797" s="62"/>
      <x:c r="H797" s="29" t="str">
        <x:v>NO</x:v>
      </x:c>
      <x:c r="I797" s="29" t="str">
        <x:v>no screened path</x:v>
      </x:c>
      <x:c r="J797" s="29" t="str">
        <x:v>presence does not prove operability or capacity</x:v>
      </x:c>
    </x:row>
    <x:row r="798" ht="64.80000305175781" hidden="0" customHeight="1">
      <x:c r="A798" s="27" t="str">
        <x:v>SCA-07</x:v>
      </x:c>
      <x:c r="B798" s="27" t="str">
        <x:v>SCA-14</x:v>
      </x:c>
      <x:c r="C798" s="27" t="str">
        <x:v>Rail</x:v>
      </x:c>
      <x:c r="D798" s="27" t="str">
        <x:v>YES</x:v>
      </x:c>
      <x:c r="E798" s="27" t="str">
        <x:v>YES</x:v>
      </x:c>
      <x:c r="F798" s="61" t="n">
        <x:v>2637.3260706379506</x:v>
      </x:c>
      <x:c r="G798" s="61" t="n">
        <x:v>63.676086723399294</x:v>
      </x:c>
      <x:c r="H798" s="27" t="str">
        <x:v>YES</x:v>
      </x:c>
      <x:c r="I798" s="27" t="str">
        <x:v>NARN shared-node topology; deployable terminal required</x:v>
      </x:c>
      <x:c r="J798" s="27" t="str">
        <x:v>presence does not prove operability or capacity</x:v>
      </x:c>
    </x:row>
    <x:row r="799" ht="54" hidden="0" customHeight="1">
      <x:c r="A799" s="29" t="str">
        <x:v>SCA-07</x:v>
      </x:c>
      <x:c r="B799" s="29" t="str">
        <x:v>SCA-14</x:v>
      </x:c>
      <x:c r="C799" s="29" t="str">
        <x:v>Air</x:v>
      </x:c>
      <x:c r="D799" s="29" t="str">
        <x:v>YES</x:v>
      </x:c>
      <x:c r="E799" s="29" t="str">
        <x:v>YES</x:v>
      </x:c>
      <x:c r="F799" s="62" t="n">
        <x:v>1915.5401338066551</x:v>
      </x:c>
      <x:c r="G799" s="62" t="n">
        <x:v>26.94698482124101</x:v>
      </x:c>
      <x:c r="H799" s="29" t="str">
        <x:v>YES</x:v>
      </x:c>
      <x:c r="I799" s="29" t="str">
        <x:v>primary-airport endpoints; great-circle screen</x:v>
      </x:c>
      <x:c r="J799" s="29" t="str">
        <x:v>presence does not prove operability or capacity</x:v>
      </x:c>
    </x:row>
    <x:row r="800" ht="64.80000305175781" hidden="0" customHeight="1">
      <x:c r="A800" s="27" t="str">
        <x:v>SCA-07</x:v>
      </x:c>
      <x:c r="B800" s="27" t="str">
        <x:v>SCA-14</x:v>
      </x:c>
      <x:c r="C800" s="27" t="str">
        <x:v>Water</x:v>
      </x:c>
      <x:c r="D800" s="27" t="str">
        <x:v>YES</x:v>
      </x:c>
      <x:c r="E800" s="27" t="str">
        <x:v>YES</x:v>
      </x:c>
      <x:c r="F800" s="61" t="n">
        <x:v>2394.425167258319</x:v>
      </x:c>
      <x:c r="G800" s="61" t="n">
        <x:v>98.41214763595197</x:v>
      </x:c>
      <x:c r="H800" s="27" t="str">
        <x:v>NO</x:v>
      </x:c>
      <x:c r="I800" s="27" t="str">
        <x:v>observed water terminals; maritime great-circle screen</x:v>
      </x:c>
      <x:c r="J800" s="27" t="str">
        <x:v>presence does not prove operability or capacity</x:v>
      </x:c>
    </x:row>
    <x:row r="801" ht="54" hidden="0" customHeight="1">
      <x:c r="A801" s="29" t="str">
        <x:v>SCA-07</x:v>
      </x:c>
      <x:c r="B801" s="29" t="str">
        <x:v>SCA-15</x:v>
      </x:c>
      <x:c r="C801" s="29" t="str">
        <x:v>Road</x:v>
      </x:c>
      <x:c r="D801" s="29" t="str">
        <x:v>YES</x:v>
      </x:c>
      <x:c r="E801" s="29" t="str">
        <x:v>YES</x:v>
      </x:c>
      <x:c r="F801" s="62" t="n">
        <x:v>2119.2662126080727</x:v>
      </x:c>
      <x:c r="G801" s="62" t="n">
        <x:v>58.53211295651041</x:v>
      </x:c>
      <x:c r="H801" s="29" t="str">
        <x:v>YES</x:v>
      </x:c>
      <x:c r="I801" s="29" t="str">
        <x:v>NHPN-gated shared-boundary SCA path</x:v>
      </x:c>
      <x:c r="J801" s="29" t="str">
        <x:v>presence does not prove operability or capacity</x:v>
      </x:c>
    </x:row>
    <x:row r="802" ht="64.80000305175781" hidden="0" customHeight="1">
      <x:c r="A802" s="27" t="str">
        <x:v>SCA-07</x:v>
      </x:c>
      <x:c r="B802" s="27" t="str">
        <x:v>SCA-15</x:v>
      </x:c>
      <x:c r="C802" s="27" t="str">
        <x:v>Rail</x:v>
      </x:c>
      <x:c r="D802" s="27" t="str">
        <x:v>YES</x:v>
      </x:c>
      <x:c r="E802" s="27" t="str">
        <x:v>YES</x:v>
      </x:c>
      <x:c r="F802" s="61" t="n">
        <x:v>2248.265025549434</x:v>
      </x:c>
      <x:c r="G802" s="61" t="n">
        <x:v>58.118071793563345</x:v>
      </x:c>
      <x:c r="H802" s="27" t="str">
        <x:v>YES</x:v>
      </x:c>
      <x:c r="I802" s="27" t="str">
        <x:v>NARN shared-node topology; deployable terminal required</x:v>
      </x:c>
      <x:c r="J802" s="27" t="str">
        <x:v>presence does not prove operability or capacity</x:v>
      </x:c>
    </x:row>
    <x:row r="803" ht="54" hidden="0" customHeight="1">
      <x:c r="A803" s="29" t="str">
        <x:v>SCA-07</x:v>
      </x:c>
      <x:c r="B803" s="29" t="str">
        <x:v>SCA-15</x:v>
      </x:c>
      <x:c r="C803" s="29" t="str">
        <x:v>Air</x:v>
      </x:c>
      <x:c r="D803" s="29" t="str">
        <x:v>YES</x:v>
      </x:c>
      <x:c r="E803" s="29" t="str">
        <x:v>YES</x:v>
      </x:c>
      <x:c r="F803" s="62" t="n">
        <x:v>1736.9679680827885</x:v>
      </x:c>
      <x:c r="G803" s="62" t="n">
        <x:v>26.67225841243506</x:v>
      </x:c>
      <x:c r="H803" s="29" t="str">
        <x:v>YES</x:v>
      </x:c>
      <x:c r="I803" s="29" t="str">
        <x:v>primary-airport endpoints; great-circle screen</x:v>
      </x:c>
      <x:c r="J803" s="29" t="str">
        <x:v>presence does not prove operability or capacity</x:v>
      </x:c>
    </x:row>
    <x:row r="804" ht="64.80000305175781" hidden="0" customHeight="1">
      <x:c r="A804" s="27" t="str">
        <x:v>SCA-07</x:v>
      </x:c>
      <x:c r="B804" s="27" t="str">
        <x:v>SCA-15</x:v>
      </x:c>
      <x:c r="C804" s="27" t="str">
        <x:v>Water</x:v>
      </x:c>
      <x:c r="D804" s="27" t="str">
        <x:v>YES</x:v>
      </x:c>
      <x:c r="E804" s="27" t="str">
        <x:v>YES</x:v>
      </x:c>
      <x:c r="F804" s="61" t="n">
        <x:v>2171.2099601034856</x:v>
      </x:c>
      <x:c r="G804" s="61" t="n">
        <x:v>92.03457028867102</x:v>
      </x:c>
      <x:c r="H804" s="27" t="str">
        <x:v>NO</x:v>
      </x:c>
      <x:c r="I804" s="27" t="str">
        <x:v>observed water terminals; maritime great-circle screen</x:v>
      </x:c>
      <x:c r="J804" s="27" t="str">
        <x:v>presence does not prove operability or capacity</x:v>
      </x:c>
    </x:row>
    <x:row r="805" ht="54" hidden="0" customHeight="1">
      <x:c r="A805" s="29" t="str">
        <x:v>SCA-07</x:v>
      </x:c>
      <x:c r="B805" s="29" t="str">
        <x:v>SCA-16</x:v>
      </x:c>
      <x:c r="C805" s="29" t="str">
        <x:v>Road</x:v>
      </x:c>
      <x:c r="D805" s="29" t="str">
        <x:v>YES</x:v>
      </x:c>
      <x:c r="E805" s="29" t="str">
        <x:v>YES</x:v>
      </x:c>
      <x:c r="F805" s="62" t="n">
        <x:v>2382.5745068489973</x:v>
      </x:c>
      <x:c r="G805" s="62" t="n">
        <x:v>63.319536488163585</x:v>
      </x:c>
      <x:c r="H805" s="29" t="str">
        <x:v>YES</x:v>
      </x:c>
      <x:c r="I805" s="29" t="str">
        <x:v>NHPN-gated shared-boundary SCA path</x:v>
      </x:c>
      <x:c r="J805" s="29" t="str">
        <x:v>presence does not prove operability or capacity</x:v>
      </x:c>
    </x:row>
    <x:row r="806" ht="64.80000305175781" hidden="0" customHeight="1">
      <x:c r="A806" s="27" t="str">
        <x:v>SCA-07</x:v>
      </x:c>
      <x:c r="B806" s="27" t="str">
        <x:v>SCA-16</x:v>
      </x:c>
      <x:c r="C806" s="27" t="str">
        <x:v>Rail</x:v>
      </x:c>
      <x:c r="D806" s="27" t="str">
        <x:v>YES</x:v>
      </x:c>
      <x:c r="E806" s="27" t="str">
        <x:v>YES</x:v>
      </x:c>
      <x:c r="F806" s="61" t="n">
        <x:v>2527.6007811789364</x:v>
      </x:c>
      <x:c r="G806" s="61" t="n">
        <x:v>62.10858258827052</x:v>
      </x:c>
      <x:c r="H806" s="27" t="str">
        <x:v>YES</x:v>
      </x:c>
      <x:c r="I806" s="27" t="str">
        <x:v>NARN shared-node topology; deployable terminal required</x:v>
      </x:c>
      <x:c r="J806" s="27" t="str">
        <x:v>presence does not prove operability or capacity</x:v>
      </x:c>
    </x:row>
    <x:row r="807" ht="54" hidden="0" customHeight="1">
      <x:c r="A807" s="29" t="str">
        <x:v>SCA-07</x:v>
      </x:c>
      <x:c r="B807" s="29" t="str">
        <x:v>SCA-16</x:v>
      </x:c>
      <x:c r="C807" s="29" t="str">
        <x:v>Air</x:v>
      </x:c>
      <x:c r="D807" s="29" t="str">
        <x:v>YES</x:v>
      </x:c>
      <x:c r="E807" s="29" t="str">
        <x:v>YES</x:v>
      </x:c>
      <x:c r="F807" s="62" t="n">
        <x:v>1732.6209048762141</x:v>
      </x:c>
      <x:c r="G807" s="62" t="n">
        <x:v>26.665570622886484</x:v>
      </x:c>
      <x:c r="H807" s="29" t="str">
        <x:v>YES</x:v>
      </x:c>
      <x:c r="I807" s="29" t="str">
        <x:v>primary-airport endpoints; great-circle screen</x:v>
      </x:c>
      <x:c r="J807" s="29" t="str">
        <x:v>presence does not prove operability or capacity</x:v>
      </x:c>
    </x:row>
    <x:row r="808" ht="54" hidden="0" customHeight="1">
      <x:c r="A808" s="27" t="str">
        <x:v>SCA-07</x:v>
      </x:c>
      <x:c r="B808" s="27" t="str">
        <x:v>SCA-16</x:v>
      </x:c>
      <x:c r="C808" s="27" t="str">
        <x:v>Water</x:v>
      </x:c>
      <x:c r="D808" s="27" t="str">
        <x:v>NO</x:v>
      </x:c>
      <x:c r="E808" s="27" t="str">
        <x:v>NO</x:v>
      </x:c>
      <x:c r="F808" s="61"/>
      <x:c r="G808" s="61"/>
      <x:c r="H808" s="27" t="str">
        <x:v>NO</x:v>
      </x:c>
      <x:c r="I808" s="27" t="str">
        <x:v>no screened path</x:v>
      </x:c>
      <x:c r="J808" s="27" t="str">
        <x:v>presence does not prove operability or capacity</x:v>
      </x:c>
    </x:row>
    <x:row r="809" ht="54" hidden="0" customHeight="1">
      <x:c r="A809" s="29" t="str">
        <x:v>SCA-07</x:v>
      </x:c>
      <x:c r="B809" s="29" t="str">
        <x:v>SCA-17</x:v>
      </x:c>
      <x:c r="C809" s="29" t="str">
        <x:v>Road</x:v>
      </x:c>
      <x:c r="D809" s="29" t="str">
        <x:v>YES</x:v>
      </x:c>
      <x:c r="E809" s="29" t="str">
        <x:v>YES</x:v>
      </x:c>
      <x:c r="F809" s="62" t="n">
        <x:v>2588.078605431044</x:v>
      </x:c>
      <x:c r="G809" s="62" t="n">
        <x:v>67.0559746442008</x:v>
      </x:c>
      <x:c r="H809" s="29" t="str">
        <x:v>YES</x:v>
      </x:c>
      <x:c r="I809" s="29" t="str">
        <x:v>NHPN-gated shared-boundary SCA path</x:v>
      </x:c>
      <x:c r="J809" s="29" t="str">
        <x:v>presence does not prove operability or capacity</x:v>
      </x:c>
    </x:row>
    <x:row r="810" ht="64.80000305175781" hidden="0" customHeight="1">
      <x:c r="A810" s="27" t="str">
        <x:v>SCA-07</x:v>
      </x:c>
      <x:c r="B810" s="27" t="str">
        <x:v>SCA-17</x:v>
      </x:c>
      <x:c r="C810" s="27" t="str">
        <x:v>Rail</x:v>
      </x:c>
      <x:c r="D810" s="27" t="str">
        <x:v>YES</x:v>
      </x:c>
      <x:c r="E810" s="27" t="str">
        <x:v>YES</x:v>
      </x:c>
      <x:c r="F810" s="61" t="n">
        <x:v>2667.848165600037</x:v>
      </x:c>
      <x:c r="G810" s="61" t="n">
        <x:v>64.1121166514291</x:v>
      </x:c>
      <x:c r="H810" s="27" t="str">
        <x:v>YES</x:v>
      </x:c>
      <x:c r="I810" s="27" t="str">
        <x:v>NARN shared-node topology; deployable terminal required</x:v>
      </x:c>
      <x:c r="J810" s="27" t="str">
        <x:v>presence does not prove operability or capacity</x:v>
      </x:c>
    </x:row>
    <x:row r="811" ht="54" hidden="0" customHeight="1">
      <x:c r="A811" s="29" t="str">
        <x:v>SCA-07</x:v>
      </x:c>
      <x:c r="B811" s="29" t="str">
        <x:v>SCA-17</x:v>
      </x:c>
      <x:c r="C811" s="29" t="str">
        <x:v>Air</x:v>
      </x:c>
      <x:c r="D811" s="29" t="str">
        <x:v>YES</x:v>
      </x:c>
      <x:c r="E811" s="29" t="str">
        <x:v>YES</x:v>
      </x:c>
      <x:c r="F811" s="62" t="n">
        <x:v>2067.6669003524116</x:v>
      </x:c>
      <x:c r="G811" s="62" t="n">
        <x:v>27.18102600054217</x:v>
      </x:c>
      <x:c r="H811" s="29" t="str">
        <x:v>YES</x:v>
      </x:c>
      <x:c r="I811" s="29" t="str">
        <x:v>primary-airport endpoints; great-circle screen</x:v>
      </x:c>
      <x:c r="J811" s="29" t="str">
        <x:v>presence does not prove operability or capacity</x:v>
      </x:c>
    </x:row>
    <x:row r="812" ht="64.80000305175781" hidden="0" customHeight="1">
      <x:c r="A812" s="27" t="str">
        <x:v>SCA-07</x:v>
      </x:c>
      <x:c r="B812" s="27" t="str">
        <x:v>SCA-17</x:v>
      </x:c>
      <x:c r="C812" s="27" t="str">
        <x:v>Water</x:v>
      </x:c>
      <x:c r="D812" s="27" t="str">
        <x:v>YES</x:v>
      </x:c>
      <x:c r="E812" s="27" t="str">
        <x:v>YES</x:v>
      </x:c>
      <x:c r="F812" s="61" t="n">
        <x:v>2584.5836254405144</x:v>
      </x:c>
      <x:c r="G812" s="61" t="n">
        <x:v>103.84524644115756</x:v>
      </x:c>
      <x:c r="H812" s="27" t="str">
        <x:v>NO</x:v>
      </x:c>
      <x:c r="I812" s="27" t="str">
        <x:v>observed water terminals; maritime great-circle screen</x:v>
      </x:c>
      <x:c r="J812" s="27" t="str">
        <x:v>presence does not prove operability or capacity</x:v>
      </x:c>
    </x:row>
    <x:row r="813" ht="54" hidden="0" customHeight="1">
      <x:c r="A813" s="29" t="str">
        <x:v>SCA-07</x:v>
      </x:c>
      <x:c r="B813" s="29" t="str">
        <x:v>SCA-18</x:v>
      </x:c>
      <x:c r="C813" s="29" t="str">
        <x:v>Road</x:v>
      </x:c>
      <x:c r="D813" s="29" t="str">
        <x:v>YES</x:v>
      </x:c>
      <x:c r="E813" s="29" t="str">
        <x:v>YES</x:v>
      </x:c>
      <x:c r="F813" s="62" t="n">
        <x:v>2721.9115565273532</x:v>
      </x:c>
      <x:c r="G813" s="62" t="n">
        <x:v>69.48930102777007</x:v>
      </x:c>
      <x:c r="H813" s="29" t="str">
        <x:v>YES</x:v>
      </x:c>
      <x:c r="I813" s="29" t="str">
        <x:v>NHPN-gated shared-boundary SCA path</x:v>
      </x:c>
      <x:c r="J813" s="29" t="str">
        <x:v>presence does not prove operability or capacity</x:v>
      </x:c>
    </x:row>
    <x:row r="814" ht="64.80000305175781" hidden="0" customHeight="1">
      <x:c r="A814" s="27" t="str">
        <x:v>SCA-07</x:v>
      </x:c>
      <x:c r="B814" s="27" t="str">
        <x:v>SCA-18</x:v>
      </x:c>
      <x:c r="C814" s="27" t="str">
        <x:v>Rail</x:v>
      </x:c>
      <x:c r="D814" s="27" t="str">
        <x:v>YES</x:v>
      </x:c>
      <x:c r="E814" s="27" t="str">
        <x:v>YES</x:v>
      </x:c>
      <x:c r="F814" s="61" t="n">
        <x:v>2887.5931295333667</x:v>
      </x:c>
      <x:c r="G814" s="61" t="n">
        <x:v>67.25133042190524</x:v>
      </x:c>
      <x:c r="H814" s="27" t="str">
        <x:v>YES</x:v>
      </x:c>
      <x:c r="I814" s="27" t="str">
        <x:v>NARN shared-node topology; deployable terminal required</x:v>
      </x:c>
      <x:c r="J814" s="27" t="str">
        <x:v>presence does not prove operability or capacity</x:v>
      </x:c>
    </x:row>
    <x:row r="815" ht="54" hidden="0" customHeight="1">
      <x:c r="A815" s="29" t="str">
        <x:v>SCA-07</x:v>
      </x:c>
      <x:c r="B815" s="29" t="str">
        <x:v>SCA-18</x:v>
      </x:c>
      <x:c r="C815" s="29" t="str">
        <x:v>Air</x:v>
      </x:c>
      <x:c r="D815" s="29" t="str">
        <x:v>YES</x:v>
      </x:c>
      <x:c r="E815" s="29" t="str">
        <x:v>YES</x:v>
      </x:c>
      <x:c r="F815" s="62" t="n">
        <x:v>2066.560303988381</x:v>
      </x:c>
      <x:c r="G815" s="62" t="n">
        <x:v>27.17932354459751</x:v>
      </x:c>
      <x:c r="H815" s="29" t="str">
        <x:v>YES</x:v>
      </x:c>
      <x:c r="I815" s="29" t="str">
        <x:v>primary-airport endpoints; great-circle screen</x:v>
      </x:c>
      <x:c r="J815" s="29" t="str">
        <x:v>presence does not prove operability or capacity</x:v>
      </x:c>
    </x:row>
    <x:row r="816" ht="64.80000305175781" hidden="0" customHeight="1">
      <x:c r="A816" s="27" t="str">
        <x:v>SCA-07</x:v>
      </x:c>
      <x:c r="B816" s="27" t="str">
        <x:v>SCA-18</x:v>
      </x:c>
      <x:c r="C816" s="27" t="str">
        <x:v>Water</x:v>
      </x:c>
      <x:c r="D816" s="27" t="str">
        <x:v>YES</x:v>
      </x:c>
      <x:c r="E816" s="27" t="str">
        <x:v>YES</x:v>
      </x:c>
      <x:c r="F816" s="61" t="n">
        <x:v>2583.200379985476</x:v>
      </x:c>
      <x:c r="G816" s="61" t="n">
        <x:v>103.80572514244217</x:v>
      </x:c>
      <x:c r="H816" s="27" t="str">
        <x:v>NO</x:v>
      </x:c>
      <x:c r="I816" s="27" t="str">
        <x:v>observed water terminals; maritime great-circle screen</x:v>
      </x:c>
      <x:c r="J816" s="27" t="str">
        <x:v>presence does not prove operability or capacity</x:v>
      </x:c>
    </x:row>
    <x:row r="817" ht="54" hidden="0" customHeight="1">
      <x:c r="A817" s="29" t="str">
        <x:v>SCA-07</x:v>
      </x:c>
      <x:c r="B817" s="29" t="str">
        <x:v>SCA-19</x:v>
      </x:c>
      <x:c r="C817" s="29" t="str">
        <x:v>Road</x:v>
      </x:c>
      <x:c r="D817" s="29" t="str">
        <x:v>YES</x:v>
      </x:c>
      <x:c r="E817" s="29" t="str">
        <x:v>YES</x:v>
      </x:c>
      <x:c r="F817" s="62" t="n">
        <x:v>2904.059680778013</x:v>
      </x:c>
      <x:c r="G817" s="62" t="n">
        <x:v>72.80108510505478</x:v>
      </x:c>
      <x:c r="H817" s="29" t="str">
        <x:v>NO</x:v>
      </x:c>
      <x:c r="I817" s="29" t="str">
        <x:v>NHPN-gated shared-boundary SCA path</x:v>
      </x:c>
      <x:c r="J817" s="29" t="str">
        <x:v>presence does not prove operability or capacity</x:v>
      </x:c>
    </x:row>
    <x:row r="818" ht="64.80000305175781" hidden="0" customHeight="1">
      <x:c r="A818" s="27" t="str">
        <x:v>SCA-07</x:v>
      </x:c>
      <x:c r="B818" s="27" t="str">
        <x:v>SCA-19</x:v>
      </x:c>
      <x:c r="C818" s="27" t="str">
        <x:v>Rail</x:v>
      </x:c>
      <x:c r="D818" s="27" t="str">
        <x:v>YES</x:v>
      </x:c>
      <x:c r="E818" s="27" t="str">
        <x:v>YES</x:v>
      </x:c>
      <x:c r="F818" s="61" t="n">
        <x:v>3080.828530912327</x:v>
      </x:c>
      <x:c r="G818" s="61" t="n">
        <x:v>70.01183615589039</x:v>
      </x:c>
      <x:c r="H818" s="27" t="str">
        <x:v>YES</x:v>
      </x:c>
      <x:c r="I818" s="27" t="str">
        <x:v>NARN shared-node topology; deployable terminal required</x:v>
      </x:c>
      <x:c r="J818" s="27" t="str">
        <x:v>presence does not prove operability or capacity</x:v>
      </x:c>
    </x:row>
    <x:row r="819" ht="54" hidden="0" customHeight="1">
      <x:c r="A819" s="29" t="str">
        <x:v>SCA-07</x:v>
      </x:c>
      <x:c r="B819" s="29" t="str">
        <x:v>SCA-19</x:v>
      </x:c>
      <x:c r="C819" s="29" t="str">
        <x:v>Air</x:v>
      </x:c>
      <x:c r="D819" s="29" t="str">
        <x:v>YES</x:v>
      </x:c>
      <x:c r="E819" s="29" t="str">
        <x:v>YES</x:v>
      </x:c>
      <x:c r="F819" s="62" t="n">
        <x:v>2182.904581818888</x:v>
      </x:c>
      <x:c r="G819" s="62" t="n">
        <x:v>27.35831474125983</x:v>
      </x:c>
      <x:c r="H819" s="29" t="str">
        <x:v>YES</x:v>
      </x:c>
      <x:c r="I819" s="29" t="str">
        <x:v>primary-airport endpoints; great-circle screen</x:v>
      </x:c>
      <x:c r="J819" s="29" t="str">
        <x:v>presence does not prove operability or capacity</x:v>
      </x:c>
    </x:row>
    <x:row r="820" ht="64.80000305175781" hidden="0" customHeight="1">
      <x:c r="A820" s="27" t="str">
        <x:v>SCA-07</x:v>
      </x:c>
      <x:c r="B820" s="27" t="str">
        <x:v>SCA-19</x:v>
      </x:c>
      <x:c r="C820" s="27" t="str">
        <x:v>Water</x:v>
      </x:c>
      <x:c r="D820" s="27" t="str">
        <x:v>YES</x:v>
      </x:c>
      <x:c r="E820" s="27" t="str">
        <x:v>YES</x:v>
      </x:c>
      <x:c r="F820" s="61" t="n">
        <x:v>2728.63072727361</x:v>
      </x:c>
      <x:c r="G820" s="61" t="n">
        <x:v>107.96087792210314</x:v>
      </x:c>
      <x:c r="H820" s="27" t="str">
        <x:v>NO</x:v>
      </x:c>
      <x:c r="I820" s="27" t="str">
        <x:v>observed water terminals; maritime great-circle screen</x:v>
      </x:c>
      <x:c r="J820" s="27" t="str">
        <x:v>presence does not prove operability or capacity</x:v>
      </x:c>
    </x:row>
    <x:row r="821" ht="54" hidden="0" customHeight="1">
      <x:c r="A821" s="29" t="str">
        <x:v>SCA-07</x:v>
      </x:c>
      <x:c r="B821" s="29" t="str">
        <x:v>SCA-20</x:v>
      </x:c>
      <x:c r="C821" s="29" t="str">
        <x:v>Road</x:v>
      </x:c>
      <x:c r="D821" s="29" t="str">
        <x:v>YES</x:v>
      </x:c>
      <x:c r="E821" s="29" t="str">
        <x:v>YES</x:v>
      </x:c>
      <x:c r="F821" s="62" t="n">
        <x:v>2842.259557288522</x:v>
      </x:c>
      <x:c r="G821" s="62" t="n">
        <x:v>71.67744649615494</x:v>
      </x:c>
      <x:c r="H821" s="29" t="str">
        <x:v>YES</x:v>
      </x:c>
      <x:c r="I821" s="29" t="str">
        <x:v>NHPN-gated shared-boundary SCA path</x:v>
      </x:c>
      <x:c r="J821" s="29" t="str">
        <x:v>presence does not prove operability or capacity</x:v>
      </x:c>
    </x:row>
    <x:row r="822" ht="64.80000305175781" hidden="0" customHeight="1">
      <x:c r="A822" s="27" t="str">
        <x:v>SCA-07</x:v>
      </x:c>
      <x:c r="B822" s="27" t="str">
        <x:v>SCA-20</x:v>
      </x:c>
      <x:c r="C822" s="27" t="str">
        <x:v>Rail</x:v>
      </x:c>
      <x:c r="D822" s="27" t="str">
        <x:v>YES</x:v>
      </x:c>
      <x:c r="E822" s="27" t="str">
        <x:v>YES</x:v>
      </x:c>
      <x:c r="F822" s="61" t="n">
        <x:v>3015.26666077565</x:v>
      </x:c>
      <x:c r="G822" s="61" t="n">
        <x:v>69.07523801108071</x:v>
      </x:c>
      <x:c r="H822" s="27" t="str">
        <x:v>YES</x:v>
      </x:c>
      <x:c r="I822" s="27" t="str">
        <x:v>NARN shared-node topology; deployable terminal required</x:v>
      </x:c>
      <x:c r="J822" s="27" t="str">
        <x:v>presence does not prove operability or capacity</x:v>
      </x:c>
    </x:row>
    <x:row r="823" ht="54" hidden="0" customHeight="1">
      <x:c r="A823" s="29" t="str">
        <x:v>SCA-07</x:v>
      </x:c>
      <x:c r="B823" s="29" t="str">
        <x:v>SCA-20</x:v>
      </x:c>
      <x:c r="C823" s="29" t="str">
        <x:v>Air</x:v>
      </x:c>
      <x:c r="D823" s="29" t="str">
        <x:v>YES</x:v>
      </x:c>
      <x:c r="E823" s="29" t="str">
        <x:v>YES</x:v>
      </x:c>
      <x:c r="F823" s="62" t="n">
        <x:v>2312.41962279493</x:v>
      </x:c>
      <x:c r="G823" s="62" t="n">
        <x:v>27.55756865045374</x:v>
      </x:c>
      <x:c r="H823" s="29" t="str">
        <x:v>YES</x:v>
      </x:c>
      <x:c r="I823" s="29" t="str">
        <x:v>primary-airport endpoints; great-circle screen</x:v>
      </x:c>
      <x:c r="J823" s="29" t="str">
        <x:v>presence does not prove operability or capacity</x:v>
      </x:c>
    </x:row>
    <x:row r="824" ht="64.80000305175781" hidden="0" customHeight="1">
      <x:c r="A824" s="27" t="str">
        <x:v>SCA-07</x:v>
      </x:c>
      <x:c r="B824" s="27" t="str">
        <x:v>SCA-20</x:v>
      </x:c>
      <x:c r="C824" s="27" t="str">
        <x:v>Water</x:v>
      </x:c>
      <x:c r="D824" s="27" t="str">
        <x:v>YES</x:v>
      </x:c>
      <x:c r="E824" s="27" t="str">
        <x:v>YES</x:v>
      </x:c>
      <x:c r="F824" s="61" t="n">
        <x:v>2890.5245284936627</x:v>
      </x:c>
      <x:c r="G824" s="61" t="n">
        <x:v>112.58641509981894</x:v>
      </x:c>
      <x:c r="H824" s="27" t="str">
        <x:v>NO</x:v>
      </x:c>
      <x:c r="I824" s="27" t="str">
        <x:v>observed water terminals; maritime great-circle screen</x:v>
      </x:c>
      <x:c r="J824" s="27" t="str">
        <x:v>presence does not prove operability or capacity</x:v>
      </x:c>
    </x:row>
    <x:row r="825" ht="54" hidden="0" customHeight="1">
      <x:c r="A825" s="29" t="str">
        <x:v>SCA-07</x:v>
      </x:c>
      <x:c r="B825" s="29" t="str">
        <x:v>SCA-21</x:v>
      </x:c>
      <x:c r="C825" s="29" t="str">
        <x:v>Road</x:v>
      </x:c>
      <x:c r="D825" s="29" t="str">
        <x:v>YES</x:v>
      </x:c>
      <x:c r="E825" s="29" t="str">
        <x:v>YES</x:v>
      </x:c>
      <x:c r="F825" s="62" t="n">
        <x:v>3363.5131026332183</x:v>
      </x:c>
      <x:c r="G825" s="62" t="n">
        <x:v>81.15478368424033</x:v>
      </x:c>
      <x:c r="H825" s="29" t="str">
        <x:v>NO</x:v>
      </x:c>
      <x:c r="I825" s="29" t="str">
        <x:v>NHPN-gated shared-boundary SCA path</x:v>
      </x:c>
      <x:c r="J825" s="29" t="str">
        <x:v>presence does not prove operability or capacity</x:v>
      </x:c>
    </x:row>
    <x:row r="826" ht="64.80000305175781" hidden="0" customHeight="1">
      <x:c r="A826" s="27" t="str">
        <x:v>SCA-07</x:v>
      </x:c>
      <x:c r="B826" s="27" t="str">
        <x:v>SCA-21</x:v>
      </x:c>
      <x:c r="C826" s="27" t="str">
        <x:v>Rail</x:v>
      </x:c>
      <x:c r="D826" s="27" t="str">
        <x:v>YES</x:v>
      </x:c>
      <x:c r="E826" s="27" t="str">
        <x:v>YES</x:v>
      </x:c>
      <x:c r="F826" s="61" t="n">
        <x:v>3568.2486827935018</x:v>
      </x:c>
      <x:c r="G826" s="61" t="n">
        <x:v>76.97498118276431</x:v>
      </x:c>
      <x:c r="H826" s="27" t="str">
        <x:v>NO</x:v>
      </x:c>
      <x:c r="I826" s="27" t="str">
        <x:v>NARN shared-node topology; deployable terminal required</x:v>
      </x:c>
      <x:c r="J826" s="27" t="str">
        <x:v>presence does not prove operability or capacity</x:v>
      </x:c>
    </x:row>
    <x:row r="827" ht="54" hidden="0" customHeight="1">
      <x:c r="A827" s="29" t="str">
        <x:v>SCA-07</x:v>
      </x:c>
      <x:c r="B827" s="29" t="str">
        <x:v>SCA-21</x:v>
      </x:c>
      <x:c r="C827" s="29" t="str">
        <x:v>Air</x:v>
      </x:c>
      <x:c r="D827" s="29" t="str">
        <x:v>YES</x:v>
      </x:c>
      <x:c r="E827" s="29" t="str">
        <x:v>YES</x:v>
      </x:c>
      <x:c r="F827" s="62" t="n">
        <x:v>2461.18386721968</x:v>
      </x:c>
      <x:c r="G827" s="62" t="n">
        <x:v>27.786436718799507</x:v>
      </x:c>
      <x:c r="H827" s="29" t="str">
        <x:v>YES</x:v>
      </x:c>
      <x:c r="I827" s="29" t="str">
        <x:v>primary-airport endpoints; great-circle screen</x:v>
      </x:c>
      <x:c r="J827" s="29" t="str">
        <x:v>presence does not prove operability or capacity</x:v>
      </x:c>
    </x:row>
    <x:row r="828" ht="64.80000305175781" hidden="0" customHeight="1">
      <x:c r="A828" s="27" t="str">
        <x:v>SCA-07</x:v>
      </x:c>
      <x:c r="B828" s="27" t="str">
        <x:v>SCA-21</x:v>
      </x:c>
      <x:c r="C828" s="27" t="str">
        <x:v>Water</x:v>
      </x:c>
      <x:c r="D828" s="27" t="str">
        <x:v>YES</x:v>
      </x:c>
      <x:c r="E828" s="27" t="str">
        <x:v>YES</x:v>
      </x:c>
      <x:c r="F828" s="61" t="n">
        <x:v>3076.4798340245998</x:v>
      </x:c>
      <x:c r="G828" s="61" t="n">
        <x:v>117.89942382927428</x:v>
      </x:c>
      <x:c r="H828" s="27" t="str">
        <x:v>NO</x:v>
      </x:c>
      <x:c r="I828" s="27" t="str">
        <x:v>observed water terminals; maritime great-circle screen</x:v>
      </x:c>
      <x:c r="J828" s="27" t="str">
        <x:v>presence does not prove operability or capacity</x:v>
      </x:c>
    </x:row>
    <x:row r="829" ht="54" hidden="0" customHeight="1">
      <x:c r="A829" s="29" t="str">
        <x:v>SCA-07</x:v>
      </x:c>
      <x:c r="B829" s="29" t="str">
        <x:v>SCA-22</x:v>
      </x:c>
      <x:c r="C829" s="29" t="str">
        <x:v>Road</x:v>
      </x:c>
      <x:c r="D829" s="29" t="str">
        <x:v>YES</x:v>
      </x:c>
      <x:c r="E829" s="29" t="str">
        <x:v>YES</x:v>
      </x:c>
      <x:c r="F829" s="62" t="n">
        <x:v>3461.642311638342</x:v>
      </x:c>
      <x:c r="G829" s="62" t="n">
        <x:v>82.93895112069713</x:v>
      </x:c>
      <x:c r="H829" s="29" t="str">
        <x:v>NO</x:v>
      </x:c>
      <x:c r="I829" s="29" t="str">
        <x:v>NHPN-gated shared-boundary SCA path</x:v>
      </x:c>
      <x:c r="J829" s="29" t="str">
        <x:v>presence does not prove operability or capacity</x:v>
      </x:c>
    </x:row>
    <x:row r="830" ht="64.80000305175781" hidden="0" customHeight="1">
      <x:c r="A830" s="27" t="str">
        <x:v>SCA-07</x:v>
      </x:c>
      <x:c r="B830" s="27" t="str">
        <x:v>SCA-22</x:v>
      </x:c>
      <x:c r="C830" s="27" t="str">
        <x:v>Rail</x:v>
      </x:c>
      <x:c r="D830" s="27" t="str">
        <x:v>YES</x:v>
      </x:c>
      <x:c r="E830" s="27" t="str">
        <x:v>YES</x:v>
      </x:c>
      <x:c r="F830" s="61" t="n">
        <x:v>3672.3509740858935</x:v>
      </x:c>
      <x:c r="G830" s="61" t="n">
        <x:v>78.46215677265562</x:v>
      </x:c>
      <x:c r="H830" s="27" t="str">
        <x:v>NO</x:v>
      </x:c>
      <x:c r="I830" s="27" t="str">
        <x:v>NARN shared-node topology; deployable terminal required</x:v>
      </x:c>
      <x:c r="J830" s="27" t="str">
        <x:v>presence does not prove operability or capacity</x:v>
      </x:c>
    </x:row>
    <x:row r="831" ht="54" hidden="0" customHeight="1">
      <x:c r="A831" s="29" t="str">
        <x:v>SCA-07</x:v>
      </x:c>
      <x:c r="B831" s="29" t="str">
        <x:v>SCA-22</x:v>
      </x:c>
      <x:c r="C831" s="29" t="str">
        <x:v>Air</x:v>
      </x:c>
      <x:c r="D831" s="29" t="str">
        <x:v>YES</x:v>
      </x:c>
      <x:c r="E831" s="29" t="str">
        <x:v>YES</x:v>
      </x:c>
      <x:c r="F831" s="62" t="n">
        <x:v>2666.7811991867484</x:v>
      </x:c>
      <x:c r="G831" s="62" t="n">
        <x:v>28.102740306441152</x:v>
      </x:c>
      <x:c r="H831" s="29" t="str">
        <x:v>YES</x:v>
      </x:c>
      <x:c r="I831" s="29" t="str">
        <x:v>primary-airport endpoints; great-circle screen</x:v>
      </x:c>
      <x:c r="J831" s="29" t="str">
        <x:v>presence does not prove operability or capacity</x:v>
      </x:c>
    </x:row>
    <x:row r="832" ht="64.80000305175781" hidden="0" customHeight="1">
      <x:c r="A832" s="27" t="str">
        <x:v>SCA-07</x:v>
      </x:c>
      <x:c r="B832" s="27" t="str">
        <x:v>SCA-22</x:v>
      </x:c>
      <x:c r="C832" s="27" t="str">
        <x:v>Water</x:v>
      </x:c>
      <x:c r="D832" s="27" t="str">
        <x:v>YES</x:v>
      </x:c>
      <x:c r="E832" s="27" t="str">
        <x:v>YES</x:v>
      </x:c>
      <x:c r="F832" s="61" t="n">
        <x:v>3333.4764989834357</x:v>
      </x:c>
      <x:c r="G832" s="61" t="n">
        <x:v>125.24218568524103</x:v>
      </x:c>
      <x:c r="H832" s="27" t="str">
        <x:v>NO</x:v>
      </x:c>
      <x:c r="I832" s="27" t="str">
        <x:v>observed water terminals; maritime great-circle screen</x:v>
      </x:c>
      <x:c r="J832" s="27" t="str">
        <x:v>presence does not prove operability or capacity</x:v>
      </x:c>
    </x:row>
    <x:row r="833" ht="54" hidden="0" customHeight="1">
      <x:c r="A833" s="29" t="str">
        <x:v>SCA-07</x:v>
      </x:c>
      <x:c r="B833" s="29" t="str">
        <x:v>SCA-23</x:v>
      </x:c>
      <x:c r="C833" s="29" t="str">
        <x:v>Road</x:v>
      </x:c>
      <x:c r="D833" s="29" t="str">
        <x:v>YES</x:v>
      </x:c>
      <x:c r="E833" s="29" t="str">
        <x:v>YES</x:v>
      </x:c>
      <x:c r="F833" s="62" t="n">
        <x:v>3421.7585511377174</x:v>
      </x:c>
      <x:c r="G833" s="62" t="n">
        <x:v>82.21379183886759</x:v>
      </x:c>
      <x:c r="H833" s="29" t="str">
        <x:v>NO</x:v>
      </x:c>
      <x:c r="I833" s="29" t="str">
        <x:v>NHPN-gated shared-boundary SCA path</x:v>
      </x:c>
      <x:c r="J833" s="29" t="str">
        <x:v>presence does not prove operability or capacity</x:v>
      </x:c>
    </x:row>
    <x:row r="834" ht="64.80000305175781" hidden="0" customHeight="1">
      <x:c r="A834" s="27" t="str">
        <x:v>SCA-07</x:v>
      </x:c>
      <x:c r="B834" s="27" t="str">
        <x:v>SCA-23</x:v>
      </x:c>
      <x:c r="C834" s="27" t="str">
        <x:v>Rail</x:v>
      </x:c>
      <x:c r="D834" s="27" t="str">
        <x:v>YES</x:v>
      </x:c>
      <x:c r="E834" s="27" t="str">
        <x:v>YES</x:v>
      </x:c>
      <x:c r="F834" s="61" t="n">
        <x:v>3630.0395064243617</x:v>
      </x:c>
      <x:c r="G834" s="61" t="n">
        <x:v>77.85770723463374</x:v>
      </x:c>
      <x:c r="H834" s="27" t="str">
        <x:v>NO</x:v>
      </x:c>
      <x:c r="I834" s="27" t="str">
        <x:v>NARN shared-node topology; deployable terminal required</x:v>
      </x:c>
      <x:c r="J834" s="27" t="str">
        <x:v>presence does not prove operability or capacity</x:v>
      </x:c>
    </x:row>
    <x:row r="835" ht="54" hidden="0" customHeight="1">
      <x:c r="A835" s="29" t="str">
        <x:v>SCA-07</x:v>
      </x:c>
      <x:c r="B835" s="29" t="str">
        <x:v>SCA-23</x:v>
      </x:c>
      <x:c r="C835" s="29" t="str">
        <x:v>Air</x:v>
      </x:c>
      <x:c r="D835" s="29" t="str">
        <x:v>YES</x:v>
      </x:c>
      <x:c r="E835" s="29" t="str">
        <x:v>YES</x:v>
      </x:c>
      <x:c r="F835" s="62" t="n">
        <x:v>2809.949164661699</x:v>
      </x:c>
      <x:c r="G835" s="62" t="n">
        <x:v>28.322998714864152</x:v>
      </x:c>
      <x:c r="H835" s="29" t="str">
        <x:v>YES</x:v>
      </x:c>
      <x:c r="I835" s="29" t="str">
        <x:v>primary-airport endpoints; great-circle screen</x:v>
      </x:c>
      <x:c r="J835" s="29" t="str">
        <x:v>presence does not prove operability or capacity</x:v>
      </x:c>
    </x:row>
    <x:row r="836" ht="64.80000305175781" hidden="0" customHeight="1">
      <x:c r="A836" s="27" t="str">
        <x:v>SCA-07</x:v>
      </x:c>
      <x:c r="B836" s="27" t="str">
        <x:v>SCA-23</x:v>
      </x:c>
      <x:c r="C836" s="27" t="str">
        <x:v>Water</x:v>
      </x:c>
      <x:c r="D836" s="27" t="str">
        <x:v>YES</x:v>
      </x:c>
      <x:c r="E836" s="27" t="str">
        <x:v>YES</x:v>
      </x:c>
      <x:c r="F836" s="61" t="n">
        <x:v>3512.4364558271236</x:v>
      </x:c>
      <x:c r="G836" s="61" t="n">
        <x:v>130.3553273093464</x:v>
      </x:c>
      <x:c r="H836" s="27" t="str">
        <x:v>NO</x:v>
      </x:c>
      <x:c r="I836" s="27" t="str">
        <x:v>observed water terminals; maritime great-circle screen</x:v>
      </x:c>
      <x:c r="J836" s="27" t="str">
        <x:v>presence does not prove operability or capacity</x:v>
      </x:c>
    </x:row>
    <x:row r="837" ht="54" hidden="0" customHeight="1">
      <x:c r="A837" s="29" t="str">
        <x:v>SCA-07</x:v>
      </x:c>
      <x:c r="B837" s="29" t="str">
        <x:v>SCA-24</x:v>
      </x:c>
      <x:c r="C837" s="29" t="str">
        <x:v>Road</x:v>
      </x:c>
      <x:c r="D837" s="29" t="str">
        <x:v>YES</x:v>
      </x:c>
      <x:c r="E837" s="29" t="str">
        <x:v>YES</x:v>
      </x:c>
      <x:c r="F837" s="62" t="n">
        <x:v>3760.7531557962557</x:v>
      </x:c>
      <x:c r="G837" s="62" t="n">
        <x:v>88.37733010538646</x:v>
      </x:c>
      <x:c r="H837" s="29" t="str">
        <x:v>NO</x:v>
      </x:c>
      <x:c r="I837" s="29" t="str">
        <x:v>NHPN-gated shared-boundary SCA path</x:v>
      </x:c>
      <x:c r="J837" s="29" t="str">
        <x:v>presence does not prove operability or capacity</x:v>
      </x:c>
    </x:row>
    <x:row r="838" ht="64.80000305175781" hidden="0" customHeight="1">
      <x:c r="A838" s="27" t="str">
        <x:v>SCA-07</x:v>
      </x:c>
      <x:c r="B838" s="27" t="str">
        <x:v>SCA-24</x:v>
      </x:c>
      <x:c r="C838" s="27" t="str">
        <x:v>Rail</x:v>
      </x:c>
      <x:c r="D838" s="27" t="str">
        <x:v>YES</x:v>
      </x:c>
      <x:c r="E838" s="27" t="str">
        <x:v>YES</x:v>
      </x:c>
      <x:c r="F838" s="61" t="n">
        <x:v>3989.6685652795068</x:v>
      </x:c>
      <x:c r="G838" s="61" t="n">
        <x:v>82.99526521827866</x:v>
      </x:c>
      <x:c r="H838" s="27" t="str">
        <x:v>NO</x:v>
      </x:c>
      <x:c r="I838" s="27" t="str">
        <x:v>NARN shared-node topology; deployable terminal required</x:v>
      </x:c>
      <x:c r="J838" s="27" t="str">
        <x:v>presence does not prove operability or capacity</x:v>
      </x:c>
    </x:row>
    <x:row r="839" ht="54" hidden="0" customHeight="1">
      <x:c r="A839" s="29" t="str">
        <x:v>SCA-07</x:v>
      </x:c>
      <x:c r="B839" s="29" t="str">
        <x:v>SCA-24</x:v>
      </x:c>
      <x:c r="C839" s="29" t="str">
        <x:v>Air</x:v>
      </x:c>
      <x:c r="D839" s="29" t="str">
        <x:v>YES</x:v>
      </x:c>
      <x:c r="E839" s="29" t="str">
        <x:v>YES</x:v>
      </x:c>
      <x:c r="F839" s="62" t="n">
        <x:v>2806.3401545947927</x:v>
      </x:c>
      <x:c r="G839" s="62" t="n">
        <x:v>28.317446391684296</x:v>
      </x:c>
      <x:c r="H839" s="29" t="str">
        <x:v>YES</x:v>
      </x:c>
      <x:c r="I839" s="29" t="str">
        <x:v>primary-airport endpoints; great-circle screen</x:v>
      </x:c>
      <x:c r="J839" s="29" t="str">
        <x:v>presence does not prove operability or capacity</x:v>
      </x:c>
    </x:row>
    <x:row r="840" ht="64.80000305175781" hidden="0" customHeight="1">
      <x:c r="A840" s="27" t="str">
        <x:v>SCA-07</x:v>
      </x:c>
      <x:c r="B840" s="27" t="str">
        <x:v>SCA-24</x:v>
      </x:c>
      <x:c r="C840" s="27" t="str">
        <x:v>Water</x:v>
      </x:c>
      <x:c r="D840" s="27" t="str">
        <x:v>YES</x:v>
      </x:c>
      <x:c r="E840" s="27" t="str">
        <x:v>YES</x:v>
      </x:c>
      <x:c r="F840" s="61" t="n">
        <x:v>3507.925193243491</x:v>
      </x:c>
      <x:c r="G840" s="61" t="n">
        <x:v>130.22643409267118</x:v>
      </x:c>
      <x:c r="H840" s="27" t="str">
        <x:v>NO</x:v>
      </x:c>
      <x:c r="I840" s="27" t="str">
        <x:v>observed water terminals; maritime great-circle screen</x:v>
      </x:c>
      <x:c r="J840" s="27" t="str">
        <x:v>presence does not prove operability or capacity</x:v>
      </x:c>
    </x:row>
    <x:row r="841" ht="54" hidden="0" customHeight="1">
      <x:c r="A841" s="29" t="str">
        <x:v>SCA-07</x:v>
      </x:c>
      <x:c r="B841" s="29" t="str">
        <x:v>SCA-25</x:v>
      </x:c>
      <x:c r="C841" s="29" t="str">
        <x:v>Road</x:v>
      </x:c>
      <x:c r="D841" s="29" t="str">
        <x:v>YES</x:v>
      </x:c>
      <x:c r="E841" s="29" t="str">
        <x:v>YES</x:v>
      </x:c>
      <x:c r="F841" s="62" t="n">
        <x:v>3916.342731057157</x:v>
      </x:c>
      <x:c r="G841" s="62" t="n">
        <x:v>91.2062314737665</x:v>
      </x:c>
      <x:c r="H841" s="29" t="str">
        <x:v>NO</x:v>
      </x:c>
      <x:c r="I841" s="29" t="str">
        <x:v>NHPN-gated shared-boundary SCA path</x:v>
      </x:c>
      <x:c r="J841" s="29" t="str">
        <x:v>presence does not prove operability or capacity</x:v>
      </x:c>
    </x:row>
    <x:row r="842" ht="64.80000305175781" hidden="0" customHeight="1">
      <x:c r="A842" s="27" t="str">
        <x:v>SCA-07</x:v>
      </x:c>
      <x:c r="B842" s="27" t="str">
        <x:v>SCA-25</x:v>
      </x:c>
      <x:c r="C842" s="27" t="str">
        <x:v>Rail</x:v>
      </x:c>
      <x:c r="D842" s="27" t="str">
        <x:v>YES</x:v>
      </x:c>
      <x:c r="E842" s="27" t="str">
        <x:v>YES</x:v>
      </x:c>
      <x:c r="F842" s="61" t="n">
        <x:v>4154.728810338897</x:v>
      </x:c>
      <x:c r="G842" s="61" t="n">
        <x:v>85.3532687191271</x:v>
      </x:c>
      <x:c r="H842" s="27" t="str">
        <x:v>NO</x:v>
      </x:c>
      <x:c r="I842" s="27" t="str">
        <x:v>NARN shared-node topology; deployable terminal required</x:v>
      </x:c>
      <x:c r="J842" s="27" t="str">
        <x:v>presence does not prove operability or capacity</x:v>
      </x:c>
    </x:row>
    <x:row r="843" ht="54" hidden="0" customHeight="1">
      <x:c r="A843" s="29" t="str">
        <x:v>SCA-07</x:v>
      </x:c>
      <x:c r="B843" s="29" t="str">
        <x:v>SCA-25</x:v>
      </x:c>
      <x:c r="C843" s="29" t="str">
        <x:v>Air</x:v>
      </x:c>
      <x:c r="D843" s="29" t="str">
        <x:v>YES</x:v>
      </x:c>
      <x:c r="E843" s="29" t="str">
        <x:v>YES</x:v>
      </x:c>
      <x:c r="F843" s="62" t="n">
        <x:v>3136.100309661999</x:v>
      </x:c>
      <x:c r="G843" s="62" t="n">
        <x:v>28.824769707172305</x:v>
      </x:c>
      <x:c r="H843" s="29" t="str">
        <x:v>YES</x:v>
      </x:c>
      <x:c r="I843" s="29" t="str">
        <x:v>primary-airport endpoints; great-circle screen</x:v>
      </x:c>
      <x:c r="J843" s="29" t="str">
        <x:v>presence does not prove operability or capacity</x:v>
      </x:c>
    </x:row>
    <x:row r="844" ht="64.80000305175781" hidden="0" customHeight="1">
      <x:c r="A844" s="27" t="str">
        <x:v>SCA-07</x:v>
      </x:c>
      <x:c r="B844" s="27" t="str">
        <x:v>SCA-25</x:v>
      </x:c>
      <x:c r="C844" s="27" t="str">
        <x:v>Water</x:v>
      </x:c>
      <x:c r="D844" s="27" t="str">
        <x:v>YES</x:v>
      </x:c>
      <x:c r="E844" s="27" t="str">
        <x:v>YES</x:v>
      </x:c>
      <x:c r="F844" s="61" t="n">
        <x:v>3920.1253870774985</x:v>
      </x:c>
      <x:c r="G844" s="61" t="n">
        <x:v>142.00358248792853</x:v>
      </x:c>
      <x:c r="H844" s="27" t="str">
        <x:v>NO</x:v>
      </x:c>
      <x:c r="I844" s="27" t="str">
        <x:v>observed water terminals; maritime great-circle screen</x:v>
      </x:c>
      <x:c r="J844" s="27" t="str">
        <x:v>presence does not prove operability or capacity</x:v>
      </x:c>
    </x:row>
    <x:row r="845" ht="54" hidden="0" customHeight="1">
      <x:c r="A845" s="29" t="str">
        <x:v>SCA-07</x:v>
      </x:c>
      <x:c r="B845" s="29" t="str">
        <x:v>SCA-26</x:v>
      </x:c>
      <x:c r="C845" s="29" t="str">
        <x:v>Road</x:v>
      </x:c>
      <x:c r="D845" s="29" t="str">
        <x:v>YES</x:v>
      </x:c>
      <x:c r="E845" s="29" t="str">
        <x:v>YES</x:v>
      </x:c>
      <x:c r="F845" s="62" t="n">
        <x:v>4244.842186821979</x:v>
      </x:c>
      <x:c r="G845" s="62" t="n">
        <x:v>97.17894885130872</x:v>
      </x:c>
      <x:c r="H845" s="29" t="str">
        <x:v>NO</x:v>
      </x:c>
      <x:c r="I845" s="29" t="str">
        <x:v>NHPN-gated shared-boundary SCA path</x:v>
      </x:c>
      <x:c r="J845" s="29" t="str">
        <x:v>presence does not prove operability or capacity</x:v>
      </x:c>
    </x:row>
    <x:row r="846" ht="64.80000305175781" hidden="0" customHeight="1">
      <x:c r="A846" s="27" t="str">
        <x:v>SCA-07</x:v>
      </x:c>
      <x:c r="B846" s="27" t="str">
        <x:v>SCA-26</x:v>
      </x:c>
      <x:c r="C846" s="27" t="str">
        <x:v>Rail</x:v>
      </x:c>
      <x:c r="D846" s="27" t="str">
        <x:v>YES</x:v>
      </x:c>
      <x:c r="E846" s="27" t="str">
        <x:v>YES</x:v>
      </x:c>
      <x:c r="F846" s="61" t="n">
        <x:v>4503.223885150273</x:v>
      </x:c>
      <x:c r="G846" s="61" t="n">
        <x:v>90.33176978786105</x:v>
      </x:c>
      <x:c r="H846" s="27" t="str">
        <x:v>NO</x:v>
      </x:c>
      <x:c r="I846" s="27" t="str">
        <x:v>NARN shared-node topology; deployable terminal required</x:v>
      </x:c>
      <x:c r="J846" s="27" t="str">
        <x:v>presence does not prove operability or capacity</x:v>
      </x:c>
    </x:row>
    <x:row r="847" ht="54" hidden="0" customHeight="1">
      <x:c r="A847" s="29" t="str">
        <x:v>SCA-07</x:v>
      </x:c>
      <x:c r="B847" s="29" t="str">
        <x:v>SCA-26</x:v>
      </x:c>
      <x:c r="C847" s="29" t="str">
        <x:v>Air</x:v>
      </x:c>
      <x:c r="D847" s="29" t="str">
        <x:v>YES</x:v>
      </x:c>
      <x:c r="E847" s="29" t="str">
        <x:v>YES</x:v>
      </x:c>
      <x:c r="F847" s="62" t="n">
        <x:v>3261.8048438838587</x:v>
      </x:c>
      <x:c r="G847" s="62" t="n">
        <x:v>29.01816129828286</x:v>
      </x:c>
      <x:c r="H847" s="29" t="str">
        <x:v>YES</x:v>
      </x:c>
      <x:c r="I847" s="29" t="str">
        <x:v>primary-airport endpoints; great-circle screen</x:v>
      </x:c>
      <x:c r="J847" s="29" t="str">
        <x:v>presence does not prove operability or capacity</x:v>
      </x:c>
    </x:row>
    <x:row r="848" ht="64.80000305175781" hidden="0" customHeight="1">
      <x:c r="A848" s="27" t="str">
        <x:v>SCA-07</x:v>
      </x:c>
      <x:c r="B848" s="27" t="str">
        <x:v>SCA-26</x:v>
      </x:c>
      <x:c r="C848" s="27" t="str">
        <x:v>Water</x:v>
      </x:c>
      <x:c r="D848" s="27" t="str">
        <x:v>YES</x:v>
      </x:c>
      <x:c r="E848" s="27" t="str">
        <x:v>YES</x:v>
      </x:c>
      <x:c r="F848" s="61" t="n">
        <x:v>4077.2560548548236</x:v>
      </x:c>
      <x:c r="G848" s="61" t="n">
        <x:v>146.49303013870923</x:v>
      </x:c>
      <x:c r="H848" s="27" t="str">
        <x:v>NO</x:v>
      </x:c>
      <x:c r="I848" s="27" t="str">
        <x:v>observed water terminals; maritime great-circle screen</x:v>
      </x:c>
      <x:c r="J848" s="27" t="str">
        <x:v>presence does not prove operability or capacity</x:v>
      </x:c>
    </x:row>
    <x:row r="849" ht="54" hidden="0" customHeight="1">
      <x:c r="A849" s="29" t="str">
        <x:v>SCA-07</x:v>
      </x:c>
      <x:c r="B849" s="29" t="str">
        <x:v>SCA-27</x:v>
      </x:c>
      <x:c r="C849" s="29" t="str">
        <x:v>Road</x:v>
      </x:c>
      <x:c r="D849" s="29" t="str">
        <x:v>YES</x:v>
      </x:c>
      <x:c r="E849" s="29" t="str">
        <x:v>YES</x:v>
      </x:c>
      <x:c r="F849" s="62" t="n">
        <x:v>4524.470450941528</x:v>
      </x:c>
      <x:c r="G849" s="62" t="n">
        <x:v>102.26309910802777</x:v>
      </x:c>
      <x:c r="H849" s="29" t="str">
        <x:v>NO</x:v>
      </x:c>
      <x:c r="I849" s="29" t="str">
        <x:v>NHPN-gated shared-boundary SCA path</x:v>
      </x:c>
      <x:c r="J849" s="29" t="str">
        <x:v>presence does not prove operability or capacity</x:v>
      </x:c>
    </x:row>
    <x:row r="850" ht="64.80000305175781" hidden="0" customHeight="1">
      <x:c r="A850" s="27" t="str">
        <x:v>SCA-07</x:v>
      </x:c>
      <x:c r="B850" s="27" t="str">
        <x:v>SCA-27</x:v>
      </x:c>
      <x:c r="C850" s="27" t="str">
        <x:v>Rail</x:v>
      </x:c>
      <x:c r="D850" s="27" t="str">
        <x:v>YES</x:v>
      </x:c>
      <x:c r="E850" s="27" t="str">
        <x:v>YES</x:v>
      </x:c>
      <x:c r="F850" s="61" t="n">
        <x:v>4799.873000129273</x:v>
      </x:c>
      <x:c r="G850" s="61" t="n">
        <x:v>94.56961428756105</x:v>
      </x:c>
      <x:c r="H850" s="27" t="str">
        <x:v>NO</x:v>
      </x:c>
      <x:c r="I850" s="27" t="str">
        <x:v>NARN shared-node topology; deployable terminal required</x:v>
      </x:c>
      <x:c r="J850" s="27" t="str">
        <x:v>presence does not prove operability or capacity</x:v>
      </x:c>
    </x:row>
    <x:row r="851" ht="54" hidden="0" customHeight="1">
      <x:c r="A851" s="29" t="str">
        <x:v>SCA-07</x:v>
      </x:c>
      <x:c r="B851" s="29" t="str">
        <x:v>SCA-27</x:v>
      </x:c>
      <x:c r="C851" s="29" t="str">
        <x:v>Air</x:v>
      </x:c>
      <x:c r="D851" s="29" t="str">
        <x:v>YES</x:v>
      </x:c>
      <x:c r="E851" s="29" t="str">
        <x:v>YES</x:v>
      </x:c>
      <x:c r="F851" s="62" t="n">
        <x:v>3469.0819331959547</x:v>
      </x:c>
      <x:c r="G851" s="62" t="n">
        <x:v>29.337049127993776</x:v>
      </x:c>
      <x:c r="H851" s="29" t="str">
        <x:v>YES</x:v>
      </x:c>
      <x:c r="I851" s="29" t="str">
        <x:v>primary-airport endpoints; great-circle screen</x:v>
      </x:c>
      <x:c r="J851" s="29" t="str">
        <x:v>presence does not prove operability or capacity</x:v>
      </x:c>
    </x:row>
    <x:row r="852" ht="64.80000305175781" hidden="0" customHeight="1">
      <x:c r="A852" s="27" t="str">
        <x:v>SCA-07</x:v>
      </x:c>
      <x:c r="B852" s="27" t="str">
        <x:v>SCA-27</x:v>
      </x:c>
      <x:c r="C852" s="27" t="str">
        <x:v>Water</x:v>
      </x:c>
      <x:c r="D852" s="27" t="str">
        <x:v>YES</x:v>
      </x:c>
      <x:c r="E852" s="27" t="str">
        <x:v>YES</x:v>
      </x:c>
      <x:c r="F852" s="61" t="n">
        <x:v>4336.352416494943</x:v>
      </x:c>
      <x:c r="G852" s="61" t="n">
        <x:v>153.89578332842694</x:v>
      </x:c>
      <x:c r="H852" s="27" t="str">
        <x:v>NO</x:v>
      </x:c>
      <x:c r="I852" s="27" t="str">
        <x:v>observed water terminals; maritime great-circle screen</x:v>
      </x:c>
      <x:c r="J852" s="27" t="str">
        <x:v>presence does not prove operability or capacity</x:v>
      </x:c>
    </x:row>
    <x:row r="853" ht="54" hidden="0" customHeight="1">
      <x:c r="A853" s="29" t="str">
        <x:v>SCA-07</x:v>
      </x:c>
      <x:c r="B853" s="29" t="str">
        <x:v>SCA-28</x:v>
      </x:c>
      <x:c r="C853" s="29" t="str">
        <x:v>Road</x:v>
      </x:c>
      <x:c r="D853" s="29" t="str">
        <x:v>YES</x:v>
      </x:c>
      <x:c r="E853" s="29" t="str">
        <x:v>YES</x:v>
      </x:c>
      <x:c r="F853" s="62" t="n">
        <x:v>4106.29728690268</x:v>
      </x:c>
      <x:c r="G853" s="62" t="n">
        <x:v>94.65995067095781</x:v>
      </x:c>
      <x:c r="H853" s="29" t="str">
        <x:v>NO</x:v>
      </x:c>
      <x:c r="I853" s="29" t="str">
        <x:v>NHPN-gated shared-boundary SCA path</x:v>
      </x:c>
      <x:c r="J853" s="29" t="str">
        <x:v>presence does not prove operability or capacity</x:v>
      </x:c>
    </x:row>
    <x:row r="854" ht="64.80000305175781" hidden="0" customHeight="1">
      <x:c r="A854" s="27" t="str">
        <x:v>SCA-07</x:v>
      </x:c>
      <x:c r="B854" s="27" t="str">
        <x:v>SCA-28</x:v>
      </x:c>
      <x:c r="C854" s="27" t="str">
        <x:v>Rail</x:v>
      </x:c>
      <x:c r="D854" s="27" t="str">
        <x:v>YES</x:v>
      </x:c>
      <x:c r="E854" s="27" t="str">
        <x:v>YES</x:v>
      </x:c>
      <x:c r="F854" s="61" t="n">
        <x:v>4356.2458174098</x:v>
      </x:c>
      <x:c r="G854" s="61" t="n">
        <x:v>88.23208310585429</x:v>
      </x:c>
      <x:c r="H854" s="27" t="str">
        <x:v>NO</x:v>
      </x:c>
      <x:c r="I854" s="27" t="str">
        <x:v>NARN shared-node topology; deployable terminal required</x:v>
      </x:c>
      <x:c r="J854" s="27" t="str">
        <x:v>presence does not prove operability or capacity</x:v>
      </x:c>
    </x:row>
    <x:row r="855" ht="54" hidden="0" customHeight="1">
      <x:c r="A855" s="29" t="str">
        <x:v>SCA-07</x:v>
      </x:c>
      <x:c r="B855" s="29" t="str">
        <x:v>SCA-28</x:v>
      </x:c>
      <x:c r="C855" s="29" t="str">
        <x:v>Air</x:v>
      </x:c>
      <x:c r="D855" s="29" t="str">
        <x:v>YES</x:v>
      </x:c>
      <x:c r="E855" s="29" t="str">
        <x:v>YES</x:v>
      </x:c>
      <x:c r="F855" s="62" t="n">
        <x:v>3170.626074380347</x:v>
      </x:c>
      <x:c r="G855" s="62" t="n">
        <x:v>28.877886268277457</x:v>
      </x:c>
      <x:c r="H855" s="29" t="str">
        <x:v>YES</x:v>
      </x:c>
      <x:c r="I855" s="29" t="str">
        <x:v>primary-airport endpoints; great-circle screen</x:v>
      </x:c>
      <x:c r="J855" s="29" t="str">
        <x:v>presence does not prove operability or capacity</x:v>
      </x:c>
    </x:row>
    <x:row r="856" ht="64.80000305175781" hidden="0" customHeight="1">
      <x:c r="A856" s="27" t="str">
        <x:v>SCA-07</x:v>
      </x:c>
      <x:c r="B856" s="27" t="str">
        <x:v>SCA-28</x:v>
      </x:c>
      <x:c r="C856" s="27" t="str">
        <x:v>Water</x:v>
      </x:c>
      <x:c r="D856" s="27" t="str">
        <x:v>YES</x:v>
      </x:c>
      <x:c r="E856" s="27" t="str">
        <x:v>YES</x:v>
      </x:c>
      <x:c r="F856" s="61" t="n">
        <x:v>3963.2825929754335</x:v>
      </x:c>
      <x:c r="G856" s="61" t="n">
        <x:v>143.23664551358382</x:v>
      </x:c>
      <x:c r="H856" s="27" t="str">
        <x:v>NO</x:v>
      </x:c>
      <x:c r="I856" s="27" t="str">
        <x:v>observed water terminals; maritime great-circle screen</x:v>
      </x:c>
      <x:c r="J856" s="27" t="str">
        <x:v>presence does not prove operability or capacity</x:v>
      </x:c>
    </x:row>
    <x:row r="857" ht="54" hidden="0" customHeight="1">
      <x:c r="A857" s="29" t="str">
        <x:v>SCA-07</x:v>
      </x:c>
      <x:c r="B857" s="29" t="str">
        <x:v>SCA-29</x:v>
      </x:c>
      <x:c r="C857" s="29" t="str">
        <x:v>Road</x:v>
      </x:c>
      <x:c r="D857" s="29" t="str">
        <x:v>YES</x:v>
      </x:c>
      <x:c r="E857" s="29" t="str">
        <x:v>YES</x:v>
      </x:c>
      <x:c r="F857" s="62" t="n">
        <x:v>4057.2135001607667</x:v>
      </x:c>
      <x:c r="G857" s="62" t="n">
        <x:v>93.7675181847412</x:v>
      </x:c>
      <x:c r="H857" s="29" t="str">
        <x:v>NO</x:v>
      </x:c>
      <x:c r="I857" s="29" t="str">
        <x:v>NHPN-gated shared-boundary SCA path</x:v>
      </x:c>
      <x:c r="J857" s="29" t="str">
        <x:v>presence does not prove operability or capacity</x:v>
      </x:c>
    </x:row>
    <x:row r="858" ht="64.80000305175781" hidden="0" customHeight="1">
      <x:c r="A858" s="27" t="str">
        <x:v>SCA-07</x:v>
      </x:c>
      <x:c r="B858" s="27" t="str">
        <x:v>SCA-29</x:v>
      </x:c>
      <x:c r="C858" s="27" t="str">
        <x:v>Rail</x:v>
      </x:c>
      <x:c r="D858" s="27" t="str">
        <x:v>YES</x:v>
      </x:c>
      <x:c r="E858" s="27" t="str">
        <x:v>YES</x:v>
      </x:c>
      <x:c r="F858" s="61" t="n">
        <x:v>4304.174321909683</x:v>
      </x:c>
      <x:c r="G858" s="61" t="n">
        <x:v>87.48820459870976</x:v>
      </x:c>
      <x:c r="H858" s="27" t="str">
        <x:v>NO</x:v>
      </x:c>
      <x:c r="I858" s="27" t="str">
        <x:v>NARN shared-node topology; deployable terminal required</x:v>
      </x:c>
      <x:c r="J858" s="27" t="str">
        <x:v>presence does not prove operability or capacity</x:v>
      </x:c>
    </x:row>
    <x:row r="859" ht="54" hidden="0" customHeight="1">
      <x:c r="A859" s="29" t="str">
        <x:v>SCA-07</x:v>
      </x:c>
      <x:c r="B859" s="29" t="str">
        <x:v>SCA-29</x:v>
      </x:c>
      <x:c r="C859" s="29" t="str">
        <x:v>Air</x:v>
      </x:c>
      <x:c r="D859" s="29" t="str">
        <x:v>YES</x:v>
      </x:c>
      <x:c r="E859" s="29" t="str">
        <x:v>YES</x:v>
      </x:c>
      <x:c r="F859" s="62" t="n">
        <x:v>3255.181885074896</x:v>
      </x:c>
      <x:c r="G859" s="62" t="n">
        <x:v>29.007972130884454</x:v>
      </x:c>
      <x:c r="H859" s="29" t="str">
        <x:v>YES</x:v>
      </x:c>
      <x:c r="I859" s="29" t="str">
        <x:v>primary-airport endpoints; great-circle screen</x:v>
      </x:c>
      <x:c r="J859" s="29" t="str">
        <x:v>presence does not prove operability or capacity</x:v>
      </x:c>
    </x:row>
    <x:row r="860" ht="64.80000305175781" hidden="0" customHeight="1">
      <x:c r="A860" s="27" t="str">
        <x:v>SCA-07</x:v>
      </x:c>
      <x:c r="B860" s="27" t="str">
        <x:v>SCA-29</x:v>
      </x:c>
      <x:c r="C860" s="27" t="str">
        <x:v>Water</x:v>
      </x:c>
      <x:c r="D860" s="27" t="str">
        <x:v>YES</x:v>
      </x:c>
      <x:c r="E860" s="27" t="str">
        <x:v>YES</x:v>
      </x:c>
      <x:c r="F860" s="61" t="n">
        <x:v>4068.97735634362</x:v>
      </x:c>
      <x:c r="G860" s="61" t="n">
        <x:v>146.256495895532</x:v>
      </x:c>
      <x:c r="H860" s="27" t="str">
        <x:v>NO</x:v>
      </x:c>
      <x:c r="I860" s="27" t="str">
        <x:v>observed water terminals; maritime great-circle screen</x:v>
      </x:c>
      <x:c r="J860" s="27" t="str">
        <x:v>presence does not prove operability or capacity</x:v>
      </x:c>
    </x:row>
    <x:row r="861" ht="54" hidden="0" customHeight="1">
      <x:c r="A861" s="29" t="str">
        <x:v>SCA-07</x:v>
      </x:c>
      <x:c r="B861" s="29" t="str">
        <x:v>SCA-30</x:v>
      </x:c>
      <x:c r="C861" s="29" t="str">
        <x:v>Road</x:v>
      </x:c>
      <x:c r="D861" s="29" t="str">
        <x:v>YES</x:v>
      </x:c>
      <x:c r="E861" s="29" t="str">
        <x:v>YES</x:v>
      </x:c>
      <x:c r="F861" s="62" t="n">
        <x:v>4569.86100283392</x:v>
      </x:c>
      <x:c r="G861" s="62" t="n">
        <x:v>103.08838186970763</x:v>
      </x:c>
      <x:c r="H861" s="29" t="str">
        <x:v>NO</x:v>
      </x:c>
      <x:c r="I861" s="29" t="str">
        <x:v>NHPN-gated shared-boundary SCA path</x:v>
      </x:c>
      <x:c r="J861" s="29" t="str">
        <x:v>presence does not prove operability or capacity</x:v>
      </x:c>
    </x:row>
    <x:row r="862" ht="64.80000305175781" hidden="0" customHeight="1">
      <x:c r="A862" s="27" t="str">
        <x:v>SCA-07</x:v>
      </x:c>
      <x:c r="B862" s="27" t="str">
        <x:v>SCA-30</x:v>
      </x:c>
      <x:c r="C862" s="27" t="str">
        <x:v>Rail</x:v>
      </x:c>
      <x:c r="D862" s="27" t="str">
        <x:v>YES</x:v>
      </x:c>
      <x:c r="E862" s="27" t="str">
        <x:v>YES</x:v>
      </x:c>
      <x:c r="F862" s="61" t="n">
        <x:v>4848.026455180333</x:v>
      </x:c>
      <x:c r="G862" s="61" t="n">
        <x:v>95.25752078829048</x:v>
      </x:c>
      <x:c r="H862" s="27" t="str">
        <x:v>NO</x:v>
      </x:c>
      <x:c r="I862" s="27" t="str">
        <x:v>NARN shared-node topology; deployable terminal required</x:v>
      </x:c>
      <x:c r="J862" s="27" t="str">
        <x:v>presence does not prove operability or capacity</x:v>
      </x:c>
    </x:row>
    <x:row r="863" ht="54" hidden="0" customHeight="1">
      <x:c r="A863" s="29" t="str">
        <x:v>SCA-07</x:v>
      </x:c>
      <x:c r="B863" s="29" t="str">
        <x:v>SCA-30</x:v>
      </x:c>
      <x:c r="C863" s="29" t="str">
        <x:v>Air</x:v>
      </x:c>
      <x:c r="D863" s="29" t="str">
        <x:v>YES</x:v>
      </x:c>
      <x:c r="E863" s="29" t="str">
        <x:v>YES</x:v>
      </x:c>
      <x:c r="F863" s="62" t="n">
        <x:v>3570.6017459144277</x:v>
      </x:c>
      <x:c r="G863" s="62" t="n">
        <x:v>29.493233455252966</x:v>
      </x:c>
      <x:c r="H863" s="29" t="str">
        <x:v>YES</x:v>
      </x:c>
      <x:c r="I863" s="29" t="str">
        <x:v>primary-airport endpoints; great-circle screen</x:v>
      </x:c>
      <x:c r="J863" s="29" t="str">
        <x:v>presence does not prove operability or capacity</x:v>
      </x:c>
    </x:row>
    <x:row r="864" ht="64.80000305175781" hidden="0" customHeight="1">
      <x:c r="A864" s="27" t="str">
        <x:v>SCA-07</x:v>
      </x:c>
      <x:c r="B864" s="27" t="str">
        <x:v>SCA-30</x:v>
      </x:c>
      <x:c r="C864" s="27" t="str">
        <x:v>Water</x:v>
      </x:c>
      <x:c r="D864" s="27" t="str">
        <x:v>YES</x:v>
      </x:c>
      <x:c r="E864" s="27" t="str">
        <x:v>YES</x:v>
      </x:c>
      <x:c r="F864" s="61" t="n">
        <x:v>4463.252182393035</x:v>
      </x:c>
      <x:c r="G864" s="61" t="n">
        <x:v>157.52149092551528</x:v>
      </x:c>
      <x:c r="H864" s="27" t="str">
        <x:v>NO</x:v>
      </x:c>
      <x:c r="I864" s="27" t="str">
        <x:v>observed water terminals; maritime great-circle screen</x:v>
      </x:c>
      <x:c r="J864" s="27" t="str">
        <x:v>presence does not prove operability or capacity</x:v>
      </x:c>
    </x:row>
    <x:row r="865" ht="54" hidden="0" customHeight="1">
      <x:c r="A865" s="29" t="str">
        <x:v>SCA-07</x:v>
      </x:c>
      <x:c r="B865" s="29" t="str">
        <x:v>SCA-31</x:v>
      </x:c>
      <x:c r="C865" s="29" t="str">
        <x:v>Road</x:v>
      </x:c>
      <x:c r="D865" s="29" t="str">
        <x:v>YES</x:v>
      </x:c>
      <x:c r="E865" s="29" t="str">
        <x:v>YES</x:v>
      </x:c>
      <x:c r="F865" s="62" t="n">
        <x:v>4962.943148020426</x:v>
      </x:c>
      <x:c r="G865" s="62" t="n">
        <x:v>110.23532996400775</x:v>
      </x:c>
      <x:c r="H865" s="29" t="str">
        <x:v>NO</x:v>
      </x:c>
      <x:c r="I865" s="29" t="str">
        <x:v>NHPN-gated shared-boundary SCA path</x:v>
      </x:c>
      <x:c r="J865" s="29" t="str">
        <x:v>presence does not prove operability or capacity</x:v>
      </x:c>
    </x:row>
    <x:row r="866" ht="64.80000305175781" hidden="0" customHeight="1">
      <x:c r="A866" s="27" t="str">
        <x:v>SCA-07</x:v>
      </x:c>
      <x:c r="B866" s="27" t="str">
        <x:v>SCA-31</x:v>
      </x:c>
      <x:c r="C866" s="27" t="str">
        <x:v>Rail</x:v>
      </x:c>
      <x:c r="D866" s="27" t="str">
        <x:v>YES</x:v>
      </x:c>
      <x:c r="E866" s="27" t="str">
        <x:v>YES</x:v>
      </x:c>
      <x:c r="F866" s="61" t="n">
        <x:v>5265.035339639061</x:v>
      </x:c>
      <x:c r="G866" s="61" t="n">
        <x:v>101.2147905662723</x:v>
      </x:c>
      <x:c r="H866" s="27" t="str">
        <x:v>NO</x:v>
      </x:c>
      <x:c r="I866" s="27" t="str">
        <x:v>NARN shared-node topology; deployable terminal required</x:v>
      </x:c>
      <x:c r="J866" s="27" t="str">
        <x:v>presence does not prove operability or capacity</x:v>
      </x:c>
    </x:row>
    <x:row r="867" ht="54" hidden="0" customHeight="1">
      <x:c r="A867" s="29" t="str">
        <x:v>SCA-07</x:v>
      </x:c>
      <x:c r="B867" s="29" t="str">
        <x:v>SCA-31</x:v>
      </x:c>
      <x:c r="C867" s="29" t="str">
        <x:v>Air</x:v>
      </x:c>
      <x:c r="D867" s="29" t="str">
        <x:v>YES</x:v>
      </x:c>
      <x:c r="E867" s="29" t="str">
        <x:v>YES</x:v>
      </x:c>
      <x:c r="F867" s="62" t="n">
        <x:v>3806.0188824854968</x:v>
      </x:c>
      <x:c r="G867" s="62" t="n">
        <x:v>29.855413665362303</x:v>
      </x:c>
      <x:c r="H867" s="29" t="str">
        <x:v>YES</x:v>
      </x:c>
      <x:c r="I867" s="29" t="str">
        <x:v>primary-airport endpoints; great-circle screen</x:v>
      </x:c>
      <x:c r="J867" s="29" t="str">
        <x:v>presence does not prove operability or capacity</x:v>
      </x:c>
    </x:row>
    <x:row r="868" ht="64.80000305175781" hidden="0" customHeight="1">
      <x:c r="A868" s="27" t="str">
        <x:v>SCA-07</x:v>
      </x:c>
      <x:c r="B868" s="27" t="str">
        <x:v>SCA-31</x:v>
      </x:c>
      <x:c r="C868" s="27" t="str">
        <x:v>Water</x:v>
      </x:c>
      <x:c r="D868" s="27" t="str">
        <x:v>YES</x:v>
      </x:c>
      <x:c r="E868" s="27" t="str">
        <x:v>YES</x:v>
      </x:c>
      <x:c r="F868" s="61" t="n">
        <x:v>4757.523603106871</x:v>
      </x:c>
      <x:c r="G868" s="61" t="n">
        <x:v>165.92924580305345</x:v>
      </x:c>
      <x:c r="H868" s="27" t="str">
        <x:v>NO</x:v>
      </x:c>
      <x:c r="I868" s="27" t="str">
        <x:v>observed water terminals; maritime great-circle screen</x:v>
      </x:c>
      <x:c r="J868" s="27" t="str">
        <x:v>presence does not prove operability or capacity</x:v>
      </x:c>
    </x:row>
    <x:row r="869" ht="54" hidden="0" customHeight="1">
      <x:c r="A869" s="29" t="str">
        <x:v>SCA-07</x:v>
      </x:c>
      <x:c r="B869" s="29" t="str">
        <x:v>SCA-32</x:v>
      </x:c>
      <x:c r="C869" s="29" t="str">
        <x:v>Road</x:v>
      </x:c>
      <x:c r="D869" s="29" t="str">
        <x:v>NO</x:v>
      </x:c>
      <x:c r="E869" s="29" t="str">
        <x:v>NO</x:v>
      </x:c>
      <x:c r="F869" s="62"/>
      <x:c r="G869" s="62"/>
      <x:c r="H869" s="29" t="str">
        <x:v>NO</x:v>
      </x:c>
      <x:c r="I869" s="29" t="str">
        <x:v>no screened path</x:v>
      </x:c>
      <x:c r="J869" s="29" t="str">
        <x:v>presence does not prove operability or capacity</x:v>
      </x:c>
    </x:row>
    <x:row r="870" ht="54" hidden="0" customHeight="1">
      <x:c r="A870" s="27" t="str">
        <x:v>SCA-07</x:v>
      </x:c>
      <x:c r="B870" s="27" t="str">
        <x:v>SCA-32</x:v>
      </x:c>
      <x:c r="C870" s="27" t="str">
        <x:v>Rail</x:v>
      </x:c>
      <x:c r="D870" s="27" t="str">
        <x:v>NO</x:v>
      </x:c>
      <x:c r="E870" s="27" t="str">
        <x:v>NO</x:v>
      </x:c>
      <x:c r="F870" s="61"/>
      <x:c r="G870" s="61"/>
      <x:c r="H870" s="27" t="str">
        <x:v>NO</x:v>
      </x:c>
      <x:c r="I870" s="27" t="str">
        <x:v>no screened path</x:v>
      </x:c>
      <x:c r="J870" s="27" t="str">
        <x:v>presence does not prove operability or capacity</x:v>
      </x:c>
    </x:row>
    <x:row r="871" ht="54" hidden="0" customHeight="1">
      <x:c r="A871" s="29" t="str">
        <x:v>SCA-07</x:v>
      </x:c>
      <x:c r="B871" s="29" t="str">
        <x:v>SCA-32</x:v>
      </x:c>
      <x:c r="C871" s="29" t="str">
        <x:v>Air</x:v>
      </x:c>
      <x:c r="D871" s="29" t="str">
        <x:v>YES</x:v>
      </x:c>
      <x:c r="E871" s="29" t="str">
        <x:v>YES</x:v>
      </x:c>
      <x:c r="F871" s="62" t="n">
        <x:v>5167.978185483286</x:v>
      </x:c>
      <x:c r="G871" s="62" t="n">
        <x:v>31.950735669974286</x:v>
      </x:c>
      <x:c r="H871" s="29" t="str">
        <x:v>YES</x:v>
      </x:c>
      <x:c r="I871" s="29" t="str">
        <x:v>primary-airport endpoints; great-circle screen</x:v>
      </x:c>
      <x:c r="J871" s="29" t="str">
        <x:v>presence does not prove operability or capacity</x:v>
      </x:c>
    </x:row>
    <x:row r="872" ht="64.80000305175781" hidden="0" customHeight="1">
      <x:c r="A872" s="27" t="str">
        <x:v>SCA-07</x:v>
      </x:c>
      <x:c r="B872" s="27" t="str">
        <x:v>SCA-32</x:v>
      </x:c>
      <x:c r="C872" s="27" t="str">
        <x:v>Water</x:v>
      </x:c>
      <x:c r="D872" s="27" t="str">
        <x:v>YES</x:v>
      </x:c>
      <x:c r="E872" s="27" t="str">
        <x:v>YES</x:v>
      </x:c>
      <x:c r="F872" s="61" t="n">
        <x:v>6459.972731854108</x:v>
      </x:c>
      <x:c r="G872" s="61" t="n">
        <x:v>214.57064948154596</x:v>
      </x:c>
      <x:c r="H872" s="27" t="str">
        <x:v>NO</x:v>
      </x:c>
      <x:c r="I872" s="27" t="str">
        <x:v>observed water terminals; maritime great-circle screen</x:v>
      </x:c>
      <x:c r="J872" s="27" t="str">
        <x:v>presence does not prove operability or capacity</x:v>
      </x:c>
    </x:row>
    <x:row r="873" ht="54" hidden="0" customHeight="1">
      <x:c r="A873" s="29" t="str">
        <x:v>SCA-08</x:v>
      </x:c>
      <x:c r="B873" s="29" t="str">
        <x:v>SCA-01</x:v>
      </x:c>
      <x:c r="C873" s="29" t="str">
        <x:v>Road</x:v>
      </x:c>
      <x:c r="D873" s="29" t="str">
        <x:v>NO</x:v>
      </x:c>
      <x:c r="E873" s="29" t="str">
        <x:v>NO</x:v>
      </x:c>
      <x:c r="F873" s="62"/>
      <x:c r="G873" s="62"/>
      <x:c r="H873" s="29" t="str">
        <x:v>NO</x:v>
      </x:c>
      <x:c r="I873" s="29" t="str">
        <x:v>no screened path</x:v>
      </x:c>
      <x:c r="J873" s="29" t="str">
        <x:v>presence does not prove operability or capacity</x:v>
      </x:c>
    </x:row>
    <x:row r="874" ht="54" hidden="0" customHeight="1">
      <x:c r="A874" s="27" t="str">
        <x:v>SCA-08</x:v>
      </x:c>
      <x:c r="B874" s="27" t="str">
        <x:v>SCA-01</x:v>
      </x:c>
      <x:c r="C874" s="27" t="str">
        <x:v>Rail</x:v>
      </x:c>
      <x:c r="D874" s="27" t="str">
        <x:v>NO</x:v>
      </x:c>
      <x:c r="E874" s="27" t="str">
        <x:v>NO</x:v>
      </x:c>
      <x:c r="F874" s="61"/>
      <x:c r="G874" s="61"/>
      <x:c r="H874" s="27" t="str">
        <x:v>NO</x:v>
      </x:c>
      <x:c r="I874" s="27" t="str">
        <x:v>no screened path</x:v>
      </x:c>
      <x:c r="J874" s="27" t="str">
        <x:v>presence does not prove operability or capacity</x:v>
      </x:c>
    </x:row>
    <x:row r="875" ht="54" hidden="0" customHeight="1">
      <x:c r="A875" s="29" t="str">
        <x:v>SCA-08</x:v>
      </x:c>
      <x:c r="B875" s="29" t="str">
        <x:v>SCA-01</x:v>
      </x:c>
      <x:c r="C875" s="29" t="str">
        <x:v>Air</x:v>
      </x:c>
      <x:c r="D875" s="29" t="str">
        <x:v>YES</x:v>
      </x:c>
      <x:c r="E875" s="29" t="str">
        <x:v>YES</x:v>
      </x:c>
      <x:c r="F875" s="62" t="n">
        <x:v>4693.275004038506</x:v>
      </x:c>
      <x:c r="G875" s="62" t="n">
        <x:v>31.22042308313616</x:v>
      </x:c>
      <x:c r="H875" s="29" t="str">
        <x:v>YES</x:v>
      </x:c>
      <x:c r="I875" s="29" t="str">
        <x:v>primary-airport endpoints; great-circle screen</x:v>
      </x:c>
      <x:c r="J875" s="29" t="str">
        <x:v>presence does not prove operability or capacity</x:v>
      </x:c>
    </x:row>
    <x:row r="876" ht="75.5999984741211" hidden="0" customHeight="1">
      <x:c r="A876" s="27" t="str">
        <x:v>SCA-08</x:v>
      </x:c>
      <x:c r="B876" s="27" t="str">
        <x:v>SCA-01</x:v>
      </x:c>
      <x:c r="C876" s="27" t="str">
        <x:v>Water</x:v>
      </x:c>
      <x:c r="D876" s="27" t="str">
        <x:v>YES</x:v>
      </x:c>
      <x:c r="E876" s="27" t="str">
        <x:v>YES</x:v>
      </x:c>
      <x:c r="F876" s="61" t="n">
        <x:v>6227.423121419809</x:v>
      </x:c>
      <x:c r="G876" s="61" t="n">
        <x:v>207.92637489770883</x:v>
      </x:c>
      <x:c r="H876" s="27" t="str">
        <x:v>NO</x:v>
      </x:c>
      <x:c r="I876" s="27" t="str">
        <x:v>USACE waterway node topology; deployable terminal required</x:v>
      </x:c>
      <x:c r="J876" s="27" t="str">
        <x:v>presence does not prove operability or capacity</x:v>
      </x:c>
    </x:row>
    <x:row r="877" ht="54" hidden="0" customHeight="1">
      <x:c r="A877" s="29" t="str">
        <x:v>SCA-08</x:v>
      </x:c>
      <x:c r="B877" s="29" t="str">
        <x:v>SCA-02</x:v>
      </x:c>
      <x:c r="C877" s="29" t="str">
        <x:v>Road</x:v>
      </x:c>
      <x:c r="D877" s="29" t="str">
        <x:v>NO</x:v>
      </x:c>
      <x:c r="E877" s="29" t="str">
        <x:v>NO</x:v>
      </x:c>
      <x:c r="F877" s="62"/>
      <x:c r="G877" s="62"/>
      <x:c r="H877" s="29" t="str">
        <x:v>NO</x:v>
      </x:c>
      <x:c r="I877" s="29" t="str">
        <x:v>no screened path</x:v>
      </x:c>
      <x:c r="J877" s="29" t="str">
        <x:v>presence does not prove operability or capacity</x:v>
      </x:c>
    </x:row>
    <x:row r="878" ht="54" hidden="0" customHeight="1">
      <x:c r="A878" s="27" t="str">
        <x:v>SCA-08</x:v>
      </x:c>
      <x:c r="B878" s="27" t="str">
        <x:v>SCA-02</x:v>
      </x:c>
      <x:c r="C878" s="27" t="str">
        <x:v>Rail</x:v>
      </x:c>
      <x:c r="D878" s="27" t="str">
        <x:v>NO</x:v>
      </x:c>
      <x:c r="E878" s="27" t="str">
        <x:v>NO</x:v>
      </x:c>
      <x:c r="F878" s="61"/>
      <x:c r="G878" s="61"/>
      <x:c r="H878" s="27" t="str">
        <x:v>NO</x:v>
      </x:c>
      <x:c r="I878" s="27" t="str">
        <x:v>no screened path</x:v>
      </x:c>
      <x:c r="J878" s="27" t="str">
        <x:v>presence does not prove operability or capacity</x:v>
      </x:c>
    </x:row>
    <x:row r="879" ht="54" hidden="0" customHeight="1">
      <x:c r="A879" s="29" t="str">
        <x:v>SCA-08</x:v>
      </x:c>
      <x:c r="B879" s="29" t="str">
        <x:v>SCA-02</x:v>
      </x:c>
      <x:c r="C879" s="29" t="str">
        <x:v>Air</x:v>
      </x:c>
      <x:c r="D879" s="29" t="str">
        <x:v>YES</x:v>
      </x:c>
      <x:c r="E879" s="29" t="str">
        <x:v>YES</x:v>
      </x:c>
      <x:c r="F879" s="62" t="n">
        <x:v>2752.077415677977</x:v>
      </x:c>
      <x:c r="G879" s="62" t="n">
        <x:v>28.233965254889196</x:v>
      </x:c>
      <x:c r="H879" s="29" t="str">
        <x:v>YES</x:v>
      </x:c>
      <x:c r="I879" s="29" t="str">
        <x:v>primary-airport endpoints; great-circle screen</x:v>
      </x:c>
      <x:c r="J879" s="29" t="str">
        <x:v>presence does not prove operability or capacity</x:v>
      </x:c>
    </x:row>
    <x:row r="880" ht="75.5999984741211" hidden="0" customHeight="1">
      <x:c r="A880" s="27" t="str">
        <x:v>SCA-08</x:v>
      </x:c>
      <x:c r="B880" s="27" t="str">
        <x:v>SCA-02</x:v>
      </x:c>
      <x:c r="C880" s="27" t="str">
        <x:v>Water</x:v>
      </x:c>
      <x:c r="D880" s="27" t="str">
        <x:v>YES</x:v>
      </x:c>
      <x:c r="E880" s="27" t="str">
        <x:v>YES</x:v>
      </x:c>
      <x:c r="F880" s="61" t="n">
        <x:v>3634.12896767169</x:v>
      </x:c>
      <x:c r="G880" s="61" t="n">
        <x:v>133.83225621919115</x:v>
      </x:c>
      <x:c r="H880" s="27" t="str">
        <x:v>NO</x:v>
      </x:c>
      <x:c r="I880" s="27" t="str">
        <x:v>USACE waterway node topology; deployable terminal required</x:v>
      </x:c>
      <x:c r="J880" s="27" t="str">
        <x:v>presence does not prove operability or capacity</x:v>
      </x:c>
    </x:row>
    <x:row r="881" ht="54" hidden="0" customHeight="1">
      <x:c r="A881" s="29" t="str">
        <x:v>SCA-08</x:v>
      </x:c>
      <x:c r="B881" s="29" t="str">
        <x:v>SCA-03</x:v>
      </x:c>
      <x:c r="C881" s="29" t="str">
        <x:v>Road</x:v>
      </x:c>
      <x:c r="D881" s="29" t="str">
        <x:v>YES</x:v>
      </x:c>
      <x:c r="E881" s="29" t="str">
        <x:v>YES</x:v>
      </x:c>
      <x:c r="F881" s="62" t="n">
        <x:v>644.65487507251</x:v>
      </x:c>
      <x:c r="G881" s="62" t="n">
        <x:v>31.72099772859109</x:v>
      </x:c>
      <x:c r="H881" s="29" t="str">
        <x:v>YES</x:v>
      </x:c>
      <x:c r="I881" s="29" t="str">
        <x:v>NHPN-gated shared-boundary SCA path</x:v>
      </x:c>
      <x:c r="J881" s="29" t="str">
        <x:v>presence does not prove operability or capacity</x:v>
      </x:c>
    </x:row>
    <x:row r="882" ht="64.80000305175781" hidden="0" customHeight="1">
      <x:c r="A882" s="27" t="str">
        <x:v>SCA-08</x:v>
      </x:c>
      <x:c r="B882" s="27" t="str">
        <x:v>SCA-03</x:v>
      </x:c>
      <x:c r="C882" s="27" t="str">
        <x:v>Rail</x:v>
      </x:c>
      <x:c r="D882" s="27" t="str">
        <x:v>YES</x:v>
      </x:c>
      <x:c r="E882" s="27" t="str">
        <x:v>YES</x:v>
      </x:c>
      <x:c r="F882" s="61" t="n">
        <x:v>683.8947370334456</x:v>
      </x:c>
      <x:c r="G882" s="61" t="n">
        <x:v>35.769924814763506</x:v>
      </x:c>
      <x:c r="H882" s="27" t="str">
        <x:v>YES</x:v>
      </x:c>
      <x:c r="I882" s="27" t="str">
        <x:v>NARN shared-node topology; deployable terminal required</x:v>
      </x:c>
      <x:c r="J882" s="27" t="str">
        <x:v>presence does not prove operability or capacity</x:v>
      </x:c>
    </x:row>
    <x:row r="883" ht="54" hidden="0" customHeight="1">
      <x:c r="A883" s="29" t="str">
        <x:v>SCA-08</x:v>
      </x:c>
      <x:c r="B883" s="29" t="str">
        <x:v>SCA-03</x:v>
      </x:c>
      <x:c r="C883" s="29" t="str">
        <x:v>Air</x:v>
      </x:c>
      <x:c r="D883" s="29" t="str">
        <x:v>YES</x:v>
      </x:c>
      <x:c r="E883" s="29" t="str">
        <x:v>YES</x:v>
      </x:c>
      <x:c r="F883" s="62" t="n">
        <x:v>560.5694565847915</x:v>
      </x:c>
      <x:c r="G883" s="62" t="n">
        <x:v>24.862414548591985</x:v>
      </x:c>
      <x:c r="H883" s="29" t="str">
        <x:v>YES</x:v>
      </x:c>
      <x:c r="I883" s="29" t="str">
        <x:v>primary-airport endpoints; great-circle screen</x:v>
      </x:c>
      <x:c r="J883" s="29" t="str">
        <x:v>presence does not prove operability or capacity</x:v>
      </x:c>
    </x:row>
    <x:row r="884" ht="75.5999984741211" hidden="0" customHeight="1">
      <x:c r="A884" s="27" t="str">
        <x:v>SCA-08</x:v>
      </x:c>
      <x:c r="B884" s="27" t="str">
        <x:v>SCA-03</x:v>
      </x:c>
      <x:c r="C884" s="27" t="str">
        <x:v>Water</x:v>
      </x:c>
      <x:c r="D884" s="27" t="str">
        <x:v>YES</x:v>
      </x:c>
      <x:c r="E884" s="27" t="str">
        <x:v>YES</x:v>
      </x:c>
      <x:c r="F884" s="61" t="n">
        <x:v>717.5289044285331</x:v>
      </x:c>
      <x:c r="G884" s="61" t="n">
        <x:v>50.50082584081523</x:v>
      </x:c>
      <x:c r="H884" s="27" t="str">
        <x:v>YES</x:v>
      </x:c>
      <x:c r="I884" s="27" t="str">
        <x:v>USACE waterway node topology; deployable terminal required</x:v>
      </x:c>
      <x:c r="J884" s="27" t="str">
        <x:v>presence does not prove operability or capacity</x:v>
      </x:c>
    </x:row>
    <x:row r="885" ht="54" hidden="0" customHeight="1">
      <x:c r="A885" s="29" t="str">
        <x:v>SCA-08</x:v>
      </x:c>
      <x:c r="B885" s="29" t="str">
        <x:v>SCA-04</x:v>
      </x:c>
      <x:c r="C885" s="29" t="str">
        <x:v>Road</x:v>
      </x:c>
      <x:c r="D885" s="29" t="str">
        <x:v>YES</x:v>
      </x:c>
      <x:c r="E885" s="29" t="str">
        <x:v>YES</x:v>
      </x:c>
      <x:c r="F885" s="62" t="n">
        <x:v>1055.1636743112826</x:v>
      </x:c>
      <x:c r="G885" s="62" t="n">
        <x:v>39.18479407838696</x:v>
      </x:c>
      <x:c r="H885" s="29" t="str">
        <x:v>YES</x:v>
      </x:c>
      <x:c r="I885" s="29" t="str">
        <x:v>NHPN-gated shared-boundary SCA path</x:v>
      </x:c>
      <x:c r="J885" s="29" t="str">
        <x:v>presence does not prove operability or capacity</x:v>
      </x:c>
    </x:row>
    <x:row r="886" ht="64.80000305175781" hidden="0" customHeight="1">
      <x:c r="A886" s="27" t="str">
        <x:v>SCA-08</x:v>
      </x:c>
      <x:c r="B886" s="27" t="str">
        <x:v>SCA-04</x:v>
      </x:c>
      <x:c r="C886" s="27" t="str">
        <x:v>Rail</x:v>
      </x:c>
      <x:c r="D886" s="27" t="str">
        <x:v>YES</x:v>
      </x:c>
      <x:c r="E886" s="27" t="str">
        <x:v>YES</x:v>
      </x:c>
      <x:c r="F886" s="61" t="n">
        <x:v>1119.391028399795</x:v>
      </x:c>
      <x:c r="G886" s="61" t="n">
        <x:v>41.99130040571136</x:v>
      </x:c>
      <x:c r="H886" s="27" t="str">
        <x:v>YES</x:v>
      </x:c>
      <x:c r="I886" s="27" t="str">
        <x:v>NARN shared-node topology; deployable terminal required</x:v>
      </x:c>
      <x:c r="J886" s="27" t="str">
        <x:v>presence does not prove operability or capacity</x:v>
      </x:c>
    </x:row>
    <x:row r="887" ht="54" hidden="0" customHeight="1">
      <x:c r="A887" s="29" t="str">
        <x:v>SCA-08</x:v>
      </x:c>
      <x:c r="B887" s="29" t="str">
        <x:v>SCA-04</x:v>
      </x:c>
      <x:c r="C887" s="29" t="str">
        <x:v>Air</x:v>
      </x:c>
      <x:c r="D887" s="29" t="str">
        <x:v>YES</x:v>
      </x:c>
      <x:c r="E887" s="29" t="str">
        <x:v>YES</x:v>
      </x:c>
      <x:c r="F887" s="62" t="n">
        <x:v>917.5336298358975</x:v>
      </x:c>
      <x:c r="G887" s="62" t="n">
        <x:v>25.411590199747536</x:v>
      </x:c>
      <x:c r="H887" s="29" t="str">
        <x:v>YES</x:v>
      </x:c>
      <x:c r="I887" s="29" t="str">
        <x:v>primary-airport endpoints; great-circle screen</x:v>
      </x:c>
      <x:c r="J887" s="29" t="str">
        <x:v>presence does not prove operability or capacity</x:v>
      </x:c>
    </x:row>
    <x:row r="888" ht="75.5999984741211" hidden="0" customHeight="1">
      <x:c r="A888" s="27" t="str">
        <x:v>SCA-08</x:v>
      </x:c>
      <x:c r="B888" s="27" t="str">
        <x:v>SCA-04</x:v>
      </x:c>
      <x:c r="C888" s="27" t="str">
        <x:v>Water</x:v>
      </x:c>
      <x:c r="D888" s="27" t="str">
        <x:v>YES</x:v>
      </x:c>
      <x:c r="E888" s="27" t="str">
        <x:v>YES</x:v>
      </x:c>
      <x:c r="F888" s="61" t="n">
        <x:v>1929.7871128095003</x:v>
      </x:c>
      <x:c r="G888" s="61" t="n">
        <x:v>85.13677465170001</x:v>
      </x:c>
      <x:c r="H888" s="27" t="str">
        <x:v>NO</x:v>
      </x:c>
      <x:c r="I888" s="27" t="str">
        <x:v>USACE waterway node topology; deployable terminal required</x:v>
      </x:c>
      <x:c r="J888" s="27" t="str">
        <x:v>presence does not prove operability or capacity</x:v>
      </x:c>
    </x:row>
    <x:row r="889" ht="54" hidden="0" customHeight="1">
      <x:c r="A889" s="29" t="str">
        <x:v>SCA-08</x:v>
      </x:c>
      <x:c r="B889" s="29" t="str">
        <x:v>SCA-05</x:v>
      </x:c>
      <x:c r="C889" s="29" t="str">
        <x:v>Road</x:v>
      </x:c>
      <x:c r="D889" s="29" t="str">
        <x:v>YES</x:v>
      </x:c>
      <x:c r="E889" s="29" t="str">
        <x:v>YES</x:v>
      </x:c>
      <x:c r="F889" s="62" t="n">
        <x:v>1514.582119579909</x:v>
      </x:c>
      <x:c r="G889" s="62" t="n">
        <x:v>47.5378567196347</x:v>
      </x:c>
      <x:c r="H889" s="29" t="str">
        <x:v>YES</x:v>
      </x:c>
      <x:c r="I889" s="29" t="str">
        <x:v>NHPN-gated shared-boundary SCA path</x:v>
      </x:c>
      <x:c r="J889" s="29" t="str">
        <x:v>presence does not prove operability or capacity</x:v>
      </x:c>
    </x:row>
    <x:row r="890" ht="64.80000305175781" hidden="0" customHeight="1">
      <x:c r="A890" s="27" t="str">
        <x:v>SCA-08</x:v>
      </x:c>
      <x:c r="B890" s="27" t="str">
        <x:v>SCA-05</x:v>
      </x:c>
      <x:c r="C890" s="27" t="str">
        <x:v>Rail</x:v>
      </x:c>
      <x:c r="D890" s="27" t="str">
        <x:v>YES</x:v>
      </x:c>
      <x:c r="E890" s="27" t="str">
        <x:v>YES</x:v>
      </x:c>
      <x:c r="F890" s="61" t="n">
        <x:v>1744.5966313388656</x:v>
      </x:c>
      <x:c r="G890" s="61" t="n">
        <x:v>50.922809019126646</x:v>
      </x:c>
      <x:c r="H890" s="27" t="str">
        <x:v>YES</x:v>
      </x:c>
      <x:c r="I890" s="27" t="str">
        <x:v>NARN shared-node topology; deployable terminal required</x:v>
      </x:c>
      <x:c r="J890" s="27" t="str">
        <x:v>presence does not prove operability or capacity</x:v>
      </x:c>
    </x:row>
    <x:row r="891" ht="54" hidden="0" customHeight="1">
      <x:c r="A891" s="29" t="str">
        <x:v>SCA-08</x:v>
      </x:c>
      <x:c r="B891" s="29" t="str">
        <x:v>SCA-05</x:v>
      </x:c>
      <x:c r="C891" s="29" t="str">
        <x:v>Air</x:v>
      </x:c>
      <x:c r="D891" s="29" t="str">
        <x:v>YES</x:v>
      </x:c>
      <x:c r="E891" s="29" t="str">
        <x:v>YES</x:v>
      </x:c>
      <x:c r="F891" s="62" t="n">
        <x:v>1196.7714680957508</x:v>
      </x:c>
      <x:c r="G891" s="62" t="n">
        <x:v>25.841186873993465</x:v>
      </x:c>
      <x:c r="H891" s="29" t="str">
        <x:v>YES</x:v>
      </x:c>
      <x:c r="I891" s="29" t="str">
        <x:v>primary-airport endpoints; great-circle screen</x:v>
      </x:c>
      <x:c r="J891" s="29" t="str">
        <x:v>presence does not prove operability or capacity</x:v>
      </x:c>
    </x:row>
    <x:row r="892" ht="75.5999984741211" hidden="0" customHeight="1">
      <x:c r="A892" s="27" t="str">
        <x:v>SCA-08</x:v>
      </x:c>
      <x:c r="B892" s="27" t="str">
        <x:v>SCA-05</x:v>
      </x:c>
      <x:c r="C892" s="27" t="str">
        <x:v>Water</x:v>
      </x:c>
      <x:c r="D892" s="27" t="str">
        <x:v>YES</x:v>
      </x:c>
      <x:c r="E892" s="27" t="str">
        <x:v>YES</x:v>
      </x:c>
      <x:c r="F892" s="61" t="n">
        <x:v>2585.740532286558</x:v>
      </x:c>
      <x:c r="G892" s="61" t="n">
        <x:v>103.87830092247309</x:v>
      </x:c>
      <x:c r="H892" s="27" t="str">
        <x:v>NO</x:v>
      </x:c>
      <x:c r="I892" s="27" t="str">
        <x:v>USACE waterway node topology; deployable terminal required</x:v>
      </x:c>
      <x:c r="J892" s="27" t="str">
        <x:v>presence does not prove operability or capacity</x:v>
      </x:c>
    </x:row>
    <x:row r="893" ht="54" hidden="0" customHeight="1">
      <x:c r="A893" s="29" t="str">
        <x:v>SCA-08</x:v>
      </x:c>
      <x:c r="B893" s="29" t="str">
        <x:v>SCA-06</x:v>
      </x:c>
      <x:c r="C893" s="29" t="str">
        <x:v>Road</x:v>
      </x:c>
      <x:c r="D893" s="29" t="str">
        <x:v>YES</x:v>
      </x:c>
      <x:c r="E893" s="29" t="str">
        <x:v>YES</x:v>
      </x:c>
      <x:c r="F893" s="62" t="n">
        <x:v>1476.9651690317123</x:v>
      </x:c>
      <x:c r="G893" s="62" t="n">
        <x:v>46.85391216421295</x:v>
      </x:c>
      <x:c r="H893" s="29" t="str">
        <x:v>YES</x:v>
      </x:c>
      <x:c r="I893" s="29" t="str">
        <x:v>NHPN-gated shared-boundary SCA path</x:v>
      </x:c>
      <x:c r="J893" s="29" t="str">
        <x:v>presence does not prove operability or capacity</x:v>
      </x:c>
    </x:row>
    <x:row r="894" ht="64.80000305175781" hidden="0" customHeight="1">
      <x:c r="A894" s="27" t="str">
        <x:v>SCA-08</x:v>
      </x:c>
      <x:c r="B894" s="27" t="str">
        <x:v>SCA-06</x:v>
      </x:c>
      <x:c r="C894" s="27" t="str">
        <x:v>Rail</x:v>
      </x:c>
      <x:c r="D894" s="27" t="str">
        <x:v>YES</x:v>
      </x:c>
      <x:c r="E894" s="27" t="str">
        <x:v>YES</x:v>
      </x:c>
      <x:c r="F894" s="61" t="n">
        <x:v>1796.384399328449</x:v>
      </x:c>
      <x:c r="G894" s="61" t="n">
        <x:v>51.6626342761207</x:v>
      </x:c>
      <x:c r="H894" s="27" t="str">
        <x:v>YES</x:v>
      </x:c>
      <x:c r="I894" s="27" t="str">
        <x:v>NARN shared-node topology; deployable terminal required</x:v>
      </x:c>
      <x:c r="J894" s="27" t="str">
        <x:v>presence does not prove operability or capacity</x:v>
      </x:c>
    </x:row>
    <x:row r="895" ht="54" hidden="0" customHeight="1">
      <x:c r="A895" s="29" t="str">
        <x:v>SCA-08</x:v>
      </x:c>
      <x:c r="B895" s="29" t="str">
        <x:v>SCA-06</x:v>
      </x:c>
      <x:c r="C895" s="29" t="str">
        <x:v>Air</x:v>
      </x:c>
      <x:c r="D895" s="29" t="str">
        <x:v>YES</x:v>
      </x:c>
      <x:c r="E895" s="29" t="str">
        <x:v>YES</x:v>
      </x:c>
      <x:c r="F895" s="62" t="n">
        <x:v>1273.7415205602574</x:v>
      </x:c>
      <x:c r="G895" s="62" t="n">
        <x:v>25.959602339323474</x:v>
      </x:c>
      <x:c r="H895" s="29" t="str">
        <x:v>YES</x:v>
      </x:c>
      <x:c r="I895" s="29" t="str">
        <x:v>primary-airport endpoints; great-circle screen</x:v>
      </x:c>
      <x:c r="J895" s="29" t="str">
        <x:v>presence does not prove operability or capacity</x:v>
      </x:c>
    </x:row>
    <x:row r="896" ht="75.5999984741211" hidden="0" customHeight="1">
      <x:c r="A896" s="27" t="str">
        <x:v>SCA-08</x:v>
      </x:c>
      <x:c r="B896" s="27" t="str">
        <x:v>SCA-06</x:v>
      </x:c>
      <x:c r="C896" s="27" t="str">
        <x:v>Water</x:v>
      </x:c>
      <x:c r="D896" s="27" t="str">
        <x:v>YES</x:v>
      </x:c>
      <x:c r="E896" s="27" t="str">
        <x:v>YES</x:v>
      </x:c>
      <x:c r="F896" s="61" t="n">
        <x:v>2853.713955346174</x:v>
      </x:c>
      <x:c r="G896" s="61" t="n">
        <x:v>111.53468443846211</x:v>
      </x:c>
      <x:c r="H896" s="27" t="str">
        <x:v>NO</x:v>
      </x:c>
      <x:c r="I896" s="27" t="str">
        <x:v>USACE waterway node topology; deployable terminal required</x:v>
      </x:c>
      <x:c r="J896" s="27" t="str">
        <x:v>presence does not prove operability or capacity</x:v>
      </x:c>
    </x:row>
    <x:row r="897" ht="54" hidden="0" customHeight="1">
      <x:c r="A897" s="29" t="str">
        <x:v>SCA-08</x:v>
      </x:c>
      <x:c r="B897" s="29" t="str">
        <x:v>SCA-07</x:v>
      </x:c>
      <x:c r="C897" s="29" t="str">
        <x:v>Road</x:v>
      </x:c>
      <x:c r="D897" s="29" t="str">
        <x:v>YES</x:v>
      </x:c>
      <x:c r="E897" s="29" t="str">
        <x:v>YES</x:v>
      </x:c>
      <x:c r="F897" s="62" t="n">
        <x:v>1154.381024963696</x:v>
      </x:c>
      <x:c r="G897" s="62" t="n">
        <x:v>40.988745908430836</x:v>
      </x:c>
      <x:c r="H897" s="29" t="str">
        <x:v>YES</x:v>
      </x:c>
      <x:c r="I897" s="29" t="str">
        <x:v>NHPN-gated shared-boundary SCA path</x:v>
      </x:c>
      <x:c r="J897" s="29" t="str">
        <x:v>presence does not prove operability or capacity</x:v>
      </x:c>
    </x:row>
    <x:row r="898" ht="64.80000305175781" hidden="0" customHeight="1">
      <x:c r="A898" s="27" t="str">
        <x:v>SCA-08</x:v>
      </x:c>
      <x:c r="B898" s="27" t="str">
        <x:v>SCA-07</x:v>
      </x:c>
      <x:c r="C898" s="27" t="str">
        <x:v>Rail</x:v>
      </x:c>
      <x:c r="D898" s="27" t="str">
        <x:v>YES</x:v>
      </x:c>
      <x:c r="E898" s="27" t="str">
        <x:v>YES</x:v>
      </x:c>
      <x:c r="F898" s="61" t="n">
        <x:v>1454.1646986649882</x:v>
      </x:c>
      <x:c r="G898" s="61" t="n">
        <x:v>46.77378140949983</x:v>
      </x:c>
      <x:c r="H898" s="27" t="str">
        <x:v>YES</x:v>
      </x:c>
      <x:c r="I898" s="27" t="str">
        <x:v>NARN shared-node topology; deployable terminal required</x:v>
      </x:c>
      <x:c r="J898" s="27" t="str">
        <x:v>presence does not prove operability or capacity</x:v>
      </x:c>
    </x:row>
    <x:row r="899" ht="54" hidden="0" customHeight="1">
      <x:c r="A899" s="29" t="str">
        <x:v>SCA-08</x:v>
      </x:c>
      <x:c r="B899" s="29" t="str">
        <x:v>SCA-07</x:v>
      </x:c>
      <x:c r="C899" s="29" t="str">
        <x:v>Air</x:v>
      </x:c>
      <x:c r="D899" s="29" t="str">
        <x:v>YES</x:v>
      </x:c>
      <x:c r="E899" s="29" t="str">
        <x:v>YES</x:v>
      </x:c>
      <x:c r="F899" s="62" t="n">
        <x:v>1003.809586924953</x:v>
      </x:c>
      <x:c r="G899" s="62" t="n">
        <x:v>25.544322441423006</x:v>
      </x:c>
      <x:c r="H899" s="29" t="str">
        <x:v>YES</x:v>
      </x:c>
      <x:c r="I899" s="29" t="str">
        <x:v>primary-airport endpoints; great-circle screen</x:v>
      </x:c>
      <x:c r="J899" s="29" t="str">
        <x:v>presence does not prove operability or capacity</x:v>
      </x:c>
    </x:row>
    <x:row r="900" ht="64.80000305175781" hidden="0" customHeight="1">
      <x:c r="A900" s="27" t="str">
        <x:v>SCA-08</x:v>
      </x:c>
      <x:c r="B900" s="27" t="str">
        <x:v>SCA-07</x:v>
      </x:c>
      <x:c r="C900" s="27" t="str">
        <x:v>Water</x:v>
      </x:c>
      <x:c r="D900" s="27" t="str">
        <x:v>YES</x:v>
      </x:c>
      <x:c r="E900" s="27" t="str">
        <x:v>YES</x:v>
      </x:c>
      <x:c r="F900" s="61" t="n">
        <x:v>1254.7619836561912</x:v>
      </x:c>
      <x:c r="G900" s="61" t="n">
        <x:v>65.85034239017689</x:v>
      </x:c>
      <x:c r="H900" s="27" t="str">
        <x:v>YES</x:v>
      </x:c>
      <x:c r="I900" s="27" t="str">
        <x:v>observed water terminals; maritime great-circle screen</x:v>
      </x:c>
      <x:c r="J900" s="27" t="str">
        <x:v>presence does not prove operability or capacity</x:v>
      </x:c>
    </x:row>
    <x:row r="901" ht="54" hidden="0" customHeight="1">
      <x:c r="A901" s="29" t="str">
        <x:v>SCA-08</x:v>
      </x:c>
      <x:c r="B901" s="29" t="str">
        <x:v>SCA-09</x:v>
      </x:c>
      <x:c r="C901" s="29" t="str">
        <x:v>Road</x:v>
      </x:c>
      <x:c r="D901" s="29" t="str">
        <x:v>YES</x:v>
      </x:c>
      <x:c r="E901" s="29" t="str">
        <x:v>YES</x:v>
      </x:c>
      <x:c r="F901" s="62" t="n">
        <x:v>1586.3472610735116</x:v>
      </x:c>
      <x:c r="G901" s="62" t="n">
        <x:v>48.84267747406385</x:v>
      </x:c>
      <x:c r="H901" s="29" t="str">
        <x:v>YES</x:v>
      </x:c>
      <x:c r="I901" s="29" t="str">
        <x:v>NHPN-gated shared-boundary SCA path</x:v>
      </x:c>
      <x:c r="J901" s="29" t="str">
        <x:v>presence does not prove operability or capacity</x:v>
      </x:c>
    </x:row>
    <x:row r="902" ht="64.80000305175781" hidden="0" customHeight="1">
      <x:c r="A902" s="27" t="str">
        <x:v>SCA-08</x:v>
      </x:c>
      <x:c r="B902" s="27" t="str">
        <x:v>SCA-09</x:v>
      </x:c>
      <x:c r="C902" s="27" t="str">
        <x:v>Rail</x:v>
      </x:c>
      <x:c r="D902" s="27" t="str">
        <x:v>YES</x:v>
      </x:c>
      <x:c r="E902" s="27" t="str">
        <x:v>YES</x:v>
      </x:c>
      <x:c r="F902" s="61" t="n">
        <x:v>1944.4309204583021</x:v>
      </x:c>
      <x:c r="G902" s="61" t="n">
        <x:v>53.777584577975745</x:v>
      </x:c>
      <x:c r="H902" s="27" t="str">
        <x:v>YES</x:v>
      </x:c>
      <x:c r="I902" s="27" t="str">
        <x:v>NARN shared-node topology; deployable terminal required</x:v>
      </x:c>
      <x:c r="J902" s="27" t="str">
        <x:v>presence does not prove operability or capacity</x:v>
      </x:c>
    </x:row>
    <x:row r="903" ht="54" hidden="0" customHeight="1">
      <x:c r="A903" s="29" t="str">
        <x:v>SCA-08</x:v>
      </x:c>
      <x:c r="B903" s="29" t="str">
        <x:v>SCA-09</x:v>
      </x:c>
      <x:c r="C903" s="29" t="str">
        <x:v>Air</x:v>
      </x:c>
      <x:c r="D903" s="29" t="str">
        <x:v>YES</x:v>
      </x:c>
      <x:c r="E903" s="29" t="str">
        <x:v>YES</x:v>
      </x:c>
      <x:c r="F903" s="62" t="n">
        <x:v>1301.1107753832098</x:v>
      </x:c>
      <x:c r="G903" s="62" t="n">
        <x:v>26.001708885204938</x:v>
      </x:c>
      <x:c r="H903" s="29" t="str">
        <x:v>YES</x:v>
      </x:c>
      <x:c r="I903" s="29" t="str">
        <x:v>primary-airport endpoints; great-circle screen</x:v>
      </x:c>
      <x:c r="J903" s="29" t="str">
        <x:v>presence does not prove operability or capacity</x:v>
      </x:c>
    </x:row>
    <x:row r="904" ht="54" hidden="0" customHeight="1">
      <x:c r="A904" s="27" t="str">
        <x:v>SCA-08</x:v>
      </x:c>
      <x:c r="B904" s="27" t="str">
        <x:v>SCA-09</x:v>
      </x:c>
      <x:c r="C904" s="27" t="str">
        <x:v>Water</x:v>
      </x:c>
      <x:c r="D904" s="27" t="str">
        <x:v>NO</x:v>
      </x:c>
      <x:c r="E904" s="27" t="str">
        <x:v>NO</x:v>
      </x:c>
      <x:c r="F904" s="61"/>
      <x:c r="G904" s="61"/>
      <x:c r="H904" s="27" t="str">
        <x:v>NO</x:v>
      </x:c>
      <x:c r="I904" s="27" t="str">
        <x:v>no screened path</x:v>
      </x:c>
      <x:c r="J904" s="27" t="str">
        <x:v>presence does not prove operability or capacity</x:v>
      </x:c>
    </x:row>
    <x:row r="905" ht="54" hidden="0" customHeight="1">
      <x:c r="A905" s="29" t="str">
        <x:v>SCA-08</x:v>
      </x:c>
      <x:c r="B905" s="29" t="str">
        <x:v>SCA-10</x:v>
      </x:c>
      <x:c r="C905" s="29" t="str">
        <x:v>Road</x:v>
      </x:c>
      <x:c r="D905" s="29" t="str">
        <x:v>YES</x:v>
      </x:c>
      <x:c r="E905" s="29" t="str">
        <x:v>YES</x:v>
      </x:c>
      <x:c r="F905" s="62" t="n">
        <x:v>556.5297166239362</x:v>
      </x:c>
      <x:c r="G905" s="62" t="n">
        <x:v>30.118722120435205</x:v>
      </x:c>
      <x:c r="H905" s="29" t="str">
        <x:v>YES</x:v>
      </x:c>
      <x:c r="I905" s="29" t="str">
        <x:v>NHPN-gated shared-boundary SCA path</x:v>
      </x:c>
      <x:c r="J905" s="29" t="str">
        <x:v>presence does not prove operability or capacity</x:v>
      </x:c>
    </x:row>
    <x:row r="906" ht="64.80000305175781" hidden="0" customHeight="1">
      <x:c r="A906" s="27" t="str">
        <x:v>SCA-08</x:v>
      </x:c>
      <x:c r="B906" s="27" t="str">
        <x:v>SCA-10</x:v>
      </x:c>
      <x:c r="C906" s="27" t="str">
        <x:v>Rail</x:v>
      </x:c>
      <x:c r="D906" s="27" t="str">
        <x:v>YES</x:v>
      </x:c>
      <x:c r="E906" s="27" t="str">
        <x:v>YES</x:v>
      </x:c>
      <x:c r="F906" s="61" t="n">
        <x:v>590.4054385053931</x:v>
      </x:c>
      <x:c r="G906" s="61" t="n">
        <x:v>34.434363407219905</x:v>
      </x:c>
      <x:c r="H906" s="27" t="str">
        <x:v>YES</x:v>
      </x:c>
      <x:c r="I906" s="27" t="str">
        <x:v>NARN shared-node topology; deployable terminal required</x:v>
      </x:c>
      <x:c r="J906" s="27" t="str">
        <x:v>presence does not prove operability or capacity</x:v>
      </x:c>
    </x:row>
    <x:row r="907" ht="54" hidden="0" customHeight="1">
      <x:c r="A907" s="29" t="str">
        <x:v>SCA-08</x:v>
      </x:c>
      <x:c r="B907" s="29" t="str">
        <x:v>SCA-10</x:v>
      </x:c>
      <x:c r="C907" s="29" t="str">
        <x:v>Air</x:v>
      </x:c>
      <x:c r="D907" s="29" t="str">
        <x:v>YES</x:v>
      </x:c>
      <x:c r="E907" s="29" t="str">
        <x:v>YES</x:v>
      </x:c>
      <x:c r="F907" s="62" t="n">
        <x:v>483.9388840208141</x:v>
      </x:c>
      <x:c r="G907" s="62" t="n">
        <x:v>24.74452136003202</x:v>
      </x:c>
      <x:c r="H907" s="29" t="str">
        <x:v>YES</x:v>
      </x:c>
      <x:c r="I907" s="29" t="str">
        <x:v>primary-airport endpoints; great-circle screen</x:v>
      </x:c>
      <x:c r="J907" s="29" t="str">
        <x:v>presence does not prove operability or capacity</x:v>
      </x:c>
    </x:row>
    <x:row r="908" ht="54" hidden="0" customHeight="1">
      <x:c r="A908" s="27" t="str">
        <x:v>SCA-08</x:v>
      </x:c>
      <x:c r="B908" s="27" t="str">
        <x:v>SCA-10</x:v>
      </x:c>
      <x:c r="C908" s="27" t="str">
        <x:v>Water</x:v>
      </x:c>
      <x:c r="D908" s="27" t="str">
        <x:v>NO</x:v>
      </x:c>
      <x:c r="E908" s="27" t="str">
        <x:v>NO</x:v>
      </x:c>
      <x:c r="F908" s="61"/>
      <x:c r="G908" s="61"/>
      <x:c r="H908" s="27" t="str">
        <x:v>NO</x:v>
      </x:c>
      <x:c r="I908" s="27" t="str">
        <x:v>no screened path</x:v>
      </x:c>
      <x:c r="J908" s="27" t="str">
        <x:v>presence does not prove operability or capacity</x:v>
      </x:c>
    </x:row>
    <x:row r="909" ht="54" hidden="0" customHeight="1">
      <x:c r="A909" s="29" t="str">
        <x:v>SCA-08</x:v>
      </x:c>
      <x:c r="B909" s="29" t="str">
        <x:v>SCA-11</x:v>
      </x:c>
      <x:c r="C909" s="29" t="str">
        <x:v>Road</x:v>
      </x:c>
      <x:c r="D909" s="29" t="str">
        <x:v>YES</x:v>
      </x:c>
      <x:c r="E909" s="29" t="str">
        <x:v>YES</x:v>
      </x:c>
      <x:c r="F909" s="62" t="n">
        <x:v>1971.9735806823862</x:v>
      </x:c>
      <x:c r="G909" s="62" t="n">
        <x:v>55.85406510331611</x:v>
      </x:c>
      <x:c r="H909" s="29" t="str">
        <x:v>YES</x:v>
      </x:c>
      <x:c r="I909" s="29" t="str">
        <x:v>NHPN-gated shared-boundary SCA path</x:v>
      </x:c>
      <x:c r="J909" s="29" t="str">
        <x:v>presence does not prove operability or capacity</x:v>
      </x:c>
    </x:row>
    <x:row r="910" ht="64.80000305175781" hidden="0" customHeight="1">
      <x:c r="A910" s="27" t="str">
        <x:v>SCA-08</x:v>
      </x:c>
      <x:c r="B910" s="27" t="str">
        <x:v>SCA-11</x:v>
      </x:c>
      <x:c r="C910" s="27" t="str">
        <x:v>Rail</x:v>
      </x:c>
      <x:c r="D910" s="27" t="str">
        <x:v>YES</x:v>
      </x:c>
      <x:c r="E910" s="27" t="str">
        <x:v>YES</x:v>
      </x:c>
      <x:c r="F910" s="61" t="n">
        <x:v>2092.0067551587053</x:v>
      </x:c>
      <x:c r="G910" s="61" t="n">
        <x:v>55.885810787981505</x:v>
      </x:c>
      <x:c r="H910" s="27" t="str">
        <x:v>YES</x:v>
      </x:c>
      <x:c r="I910" s="27" t="str">
        <x:v>NARN shared-node topology; deployable terminal required</x:v>
      </x:c>
      <x:c r="J910" s="27" t="str">
        <x:v>presence does not prove operability or capacity</x:v>
      </x:c>
    </x:row>
    <x:row r="911" ht="54" hidden="0" customHeight="1">
      <x:c r="A911" s="29" t="str">
        <x:v>SCA-08</x:v>
      </x:c>
      <x:c r="B911" s="29" t="str">
        <x:v>SCA-11</x:v>
      </x:c>
      <x:c r="C911" s="29" t="str">
        <x:v>Air</x:v>
      </x:c>
      <x:c r="D911" s="29" t="str">
        <x:v>YES</x:v>
      </x:c>
      <x:c r="E911" s="29" t="str">
        <x:v>YES</x:v>
      </x:c>
      <x:c r="F911" s="62" t="n">
        <x:v>1534.841412158454</x:v>
      </x:c>
      <x:c r="G911" s="62" t="n">
        <x:v>26.361294480243775</x:v>
      </x:c>
      <x:c r="H911" s="29" t="str">
        <x:v>YES</x:v>
      </x:c>
      <x:c r="I911" s="29" t="str">
        <x:v>primary-airport endpoints; great-circle screen</x:v>
      </x:c>
      <x:c r="J911" s="29" t="str">
        <x:v>presence does not prove operability or capacity</x:v>
      </x:c>
    </x:row>
    <x:row r="912" ht="54" hidden="0" customHeight="1">
      <x:c r="A912" s="27" t="str">
        <x:v>SCA-08</x:v>
      </x:c>
      <x:c r="B912" s="27" t="str">
        <x:v>SCA-11</x:v>
      </x:c>
      <x:c r="C912" s="27" t="str">
        <x:v>Water</x:v>
      </x:c>
      <x:c r="D912" s="27" t="str">
        <x:v>NO</x:v>
      </x:c>
      <x:c r="E912" s="27" t="str">
        <x:v>NO</x:v>
      </x:c>
      <x:c r="F912" s="61"/>
      <x:c r="G912" s="61"/>
      <x:c r="H912" s="27" t="str">
        <x:v>NO</x:v>
      </x:c>
      <x:c r="I912" s="27" t="str">
        <x:v>no screened path</x:v>
      </x:c>
      <x:c r="J912" s="27" t="str">
        <x:v>presence does not prove operability or capacity</x:v>
      </x:c>
    </x:row>
    <x:row r="913" ht="54" hidden="0" customHeight="1">
      <x:c r="A913" s="29" t="str">
        <x:v>SCA-08</x:v>
      </x:c>
      <x:c r="B913" s="29" t="str">
        <x:v>SCA-12</x:v>
      </x:c>
      <x:c r="C913" s="29" t="str">
        <x:v>Road</x:v>
      </x:c>
      <x:c r="D913" s="29" t="str">
        <x:v>YES</x:v>
      </x:c>
      <x:c r="E913" s="29" t="str">
        <x:v>YES</x:v>
      </x:c>
      <x:c r="F913" s="62" t="n">
        <x:v>1171.8343946623772</x:v>
      </x:c>
      <x:c r="G913" s="62" t="n">
        <x:v>41.30607990295231</x:v>
      </x:c>
      <x:c r="H913" s="29" t="str">
        <x:v>YES</x:v>
      </x:c>
      <x:c r="I913" s="29" t="str">
        <x:v>NHPN-gated shared-boundary SCA path</x:v>
      </x:c>
      <x:c r="J913" s="29" t="str">
        <x:v>presence does not prove operability or capacity</x:v>
      </x:c>
    </x:row>
    <x:row r="914" ht="64.80000305175781" hidden="0" customHeight="1">
      <x:c r="A914" s="27" t="str">
        <x:v>SCA-08</x:v>
      </x:c>
      <x:c r="B914" s="27" t="str">
        <x:v>SCA-12</x:v>
      </x:c>
      <x:c r="C914" s="27" t="str">
        <x:v>Rail</x:v>
      </x:c>
      <x:c r="D914" s="27" t="str">
        <x:v>YES</x:v>
      </x:c>
      <x:c r="E914" s="27" t="str">
        <x:v>YES</x:v>
      </x:c>
      <x:c r="F914" s="61" t="n">
        <x:v>1243.163444772261</x:v>
      </x:c>
      <x:c r="G914" s="61" t="n">
        <x:v>43.75947778246088</x:v>
      </x:c>
      <x:c r="H914" s="27" t="str">
        <x:v>YES</x:v>
      </x:c>
      <x:c r="I914" s="27" t="str">
        <x:v>NARN shared-node topology; deployable terminal required</x:v>
      </x:c>
      <x:c r="J914" s="27" t="str">
        <x:v>presence does not prove operability or capacity</x:v>
      </x:c>
    </x:row>
    <x:row r="915" ht="54" hidden="0" customHeight="1">
      <x:c r="A915" s="29" t="str">
        <x:v>SCA-08</x:v>
      </x:c>
      <x:c r="B915" s="29" t="str">
        <x:v>SCA-12</x:v>
      </x:c>
      <x:c r="C915" s="29" t="str">
        <x:v>Air</x:v>
      </x:c>
      <x:c r="D915" s="29" t="str">
        <x:v>YES</x:v>
      </x:c>
      <x:c r="E915" s="29" t="str">
        <x:v>YES</x:v>
      </x:c>
      <x:c r="F915" s="62" t="n">
        <x:v>1018.9864301411976</x:v>
      </x:c>
      <x:c r="G915" s="62" t="n">
        <x:v>25.567671430986458</x:v>
      </x:c>
      <x:c r="H915" s="29" t="str">
        <x:v>YES</x:v>
      </x:c>
      <x:c r="I915" s="29" t="str">
        <x:v>primary-airport endpoints; great-circle screen</x:v>
      </x:c>
      <x:c r="J915" s="29" t="str">
        <x:v>presence does not prove operability or capacity</x:v>
      </x:c>
    </x:row>
    <x:row r="916" ht="54" hidden="0" customHeight="1">
      <x:c r="A916" s="27" t="str">
        <x:v>SCA-08</x:v>
      </x:c>
      <x:c r="B916" s="27" t="str">
        <x:v>SCA-12</x:v>
      </x:c>
      <x:c r="C916" s="27" t="str">
        <x:v>Water</x:v>
      </x:c>
      <x:c r="D916" s="27" t="str">
        <x:v>NO</x:v>
      </x:c>
      <x:c r="E916" s="27" t="str">
        <x:v>NO</x:v>
      </x:c>
      <x:c r="F916" s="61"/>
      <x:c r="G916" s="61"/>
      <x:c r="H916" s="27" t="str">
        <x:v>NO</x:v>
      </x:c>
      <x:c r="I916" s="27" t="str">
        <x:v>no screened path</x:v>
      </x:c>
      <x:c r="J916" s="27" t="str">
        <x:v>presence does not prove operability or capacity</x:v>
      </x:c>
    </x:row>
    <x:row r="917" ht="54" hidden="0" customHeight="1">
      <x:c r="A917" s="29" t="str">
        <x:v>SCA-08</x:v>
      </x:c>
      <x:c r="B917" s="29" t="str">
        <x:v>SCA-13</x:v>
      </x:c>
      <x:c r="C917" s="29" t="str">
        <x:v>Road</x:v>
      </x:c>
      <x:c r="D917" s="29" t="str">
        <x:v>NO</x:v>
      </x:c>
      <x:c r="E917" s="29" t="str">
        <x:v>NO</x:v>
      </x:c>
      <x:c r="F917" s="62"/>
      <x:c r="G917" s="62"/>
      <x:c r="H917" s="29" t="str">
        <x:v>NO</x:v>
      </x:c>
      <x:c r="I917" s="29" t="str">
        <x:v>no screened path</x:v>
      </x:c>
      <x:c r="J917" s="29" t="str">
        <x:v>presence does not prove operability or capacity</x:v>
      </x:c>
    </x:row>
    <x:row r="918" ht="64.80000305175781" hidden="0" customHeight="1">
      <x:c r="A918" s="27" t="str">
        <x:v>SCA-08</x:v>
      </x:c>
      <x:c r="B918" s="27" t="str">
        <x:v>SCA-13</x:v>
      </x:c>
      <x:c r="C918" s="27" t="str">
        <x:v>Rail</x:v>
      </x:c>
      <x:c r="D918" s="27" t="str">
        <x:v>YES</x:v>
      </x:c>
      <x:c r="E918" s="27" t="str">
        <x:v>YES</x:v>
      </x:c>
      <x:c r="F918" s="61" t="n">
        <x:v>2938.9443554168915</x:v>
      </x:c>
      <x:c r="G918" s="61" t="n">
        <x:v>67.98491936309844</x:v>
      </x:c>
      <x:c r="H918" s="27" t="str">
        <x:v>YES</x:v>
      </x:c>
      <x:c r="I918" s="27" t="str">
        <x:v>NARN shared-node topology; deployable terminal required</x:v>
      </x:c>
      <x:c r="J918" s="27" t="str">
        <x:v>presence does not prove operability or capacity</x:v>
      </x:c>
    </x:row>
    <x:row r="919" ht="54" hidden="0" customHeight="1">
      <x:c r="A919" s="29" t="str">
        <x:v>SCA-08</x:v>
      </x:c>
      <x:c r="B919" s="29" t="str">
        <x:v>SCA-13</x:v>
      </x:c>
      <x:c r="C919" s="29" t="str">
        <x:v>Air</x:v>
      </x:c>
      <x:c r="D919" s="29" t="str">
        <x:v>YES</x:v>
      </x:c>
      <x:c r="E919" s="29" t="str">
        <x:v>YES</x:v>
      </x:c>
      <x:c r="F919" s="62" t="n">
        <x:v>2207.290121761811</x:v>
      </x:c>
      <x:c r="G919" s="62" t="n">
        <x:v>27.395830956556633</x:v>
      </x:c>
      <x:c r="H919" s="29" t="str">
        <x:v>YES</x:v>
      </x:c>
      <x:c r="I919" s="29" t="str">
        <x:v>primary-airport endpoints; great-circle screen</x:v>
      </x:c>
      <x:c r="J919" s="29" t="str">
        <x:v>presence does not prove operability or capacity</x:v>
      </x:c>
    </x:row>
    <x:row r="920" ht="75.5999984741211" hidden="0" customHeight="1">
      <x:c r="A920" s="27" t="str">
        <x:v>SCA-08</x:v>
      </x:c>
      <x:c r="B920" s="27" t="str">
        <x:v>SCA-13</x:v>
      </x:c>
      <x:c r="C920" s="27" t="str">
        <x:v>Water</x:v>
      </x:c>
      <x:c r="D920" s="27" t="str">
        <x:v>YES</x:v>
      </x:c>
      <x:c r="E920" s="27" t="str">
        <x:v>YES</x:v>
      </x:c>
      <x:c r="F920" s="61" t="n">
        <x:v>9667.89679320325</x:v>
      </x:c>
      <x:c r="G920" s="61" t="n">
        <x:v>306.22562266295</x:v>
      </x:c>
      <x:c r="H920" s="27" t="str">
        <x:v>NO</x:v>
      </x:c>
      <x:c r="I920" s="27" t="str">
        <x:v>USACE waterway node topology; deployable terminal required</x:v>
      </x:c>
      <x:c r="J920" s="27" t="str">
        <x:v>presence does not prove operability or capacity</x:v>
      </x:c>
    </x:row>
    <x:row r="921" ht="54" hidden="0" customHeight="1">
      <x:c r="A921" s="29" t="str">
        <x:v>SCA-08</x:v>
      </x:c>
      <x:c r="B921" s="29" t="str">
        <x:v>SCA-14</x:v>
      </x:c>
      <x:c r="C921" s="29" t="str">
        <x:v>Road</x:v>
      </x:c>
      <x:c r="D921" s="29" t="str">
        <x:v>NO</x:v>
      </x:c>
      <x:c r="E921" s="29" t="str">
        <x:v>NO</x:v>
      </x:c>
      <x:c r="F921" s="62"/>
      <x:c r="G921" s="62"/>
      <x:c r="H921" s="29" t="str">
        <x:v>NO</x:v>
      </x:c>
      <x:c r="I921" s="29" t="str">
        <x:v>no screened path</x:v>
      </x:c>
      <x:c r="J921" s="29" t="str">
        <x:v>presence does not prove operability or capacity</x:v>
      </x:c>
    </x:row>
    <x:row r="922" ht="64.80000305175781" hidden="0" customHeight="1">
      <x:c r="A922" s="27" t="str">
        <x:v>SCA-08</x:v>
      </x:c>
      <x:c r="B922" s="27" t="str">
        <x:v>SCA-14</x:v>
      </x:c>
      <x:c r="C922" s="27" t="str">
        <x:v>Rail</x:v>
      </x:c>
      <x:c r="D922" s="27" t="str">
        <x:v>YES</x:v>
      </x:c>
      <x:c r="E922" s="27" t="str">
        <x:v>YES</x:v>
      </x:c>
      <x:c r="F922" s="61" t="n">
        <x:v>3367.0739838926097</x:v>
      </x:c>
      <x:c r="G922" s="61" t="n">
        <x:v>74.10105691275157</x:v>
      </x:c>
      <x:c r="H922" s="27" t="str">
        <x:v>NO</x:v>
      </x:c>
      <x:c r="I922" s="27" t="str">
        <x:v>NARN shared-node topology; deployable terminal required</x:v>
      </x:c>
      <x:c r="J922" s="27" t="str">
        <x:v>presence does not prove operability or capacity</x:v>
      </x:c>
    </x:row>
    <x:row r="923" ht="54" hidden="0" customHeight="1">
      <x:c r="A923" s="29" t="str">
        <x:v>SCA-08</x:v>
      </x:c>
      <x:c r="B923" s="29" t="str">
        <x:v>SCA-14</x:v>
      </x:c>
      <x:c r="C923" s="29" t="str">
        <x:v>Air</x:v>
      </x:c>
      <x:c r="D923" s="29" t="str">
        <x:v>YES</x:v>
      </x:c>
      <x:c r="E923" s="29" t="str">
        <x:v>YES</x:v>
      </x:c>
      <x:c r="F923" s="62" t="n">
        <x:v>2499.3180143457403</x:v>
      </x:c>
      <x:c r="G923" s="62" t="n">
        <x:v>27.845104637454984</x:v>
      </x:c>
      <x:c r="H923" s="29" t="str">
        <x:v>YES</x:v>
      </x:c>
      <x:c r="I923" s="29" t="str">
        <x:v>primary-airport endpoints; great-circle screen</x:v>
      </x:c>
      <x:c r="J923" s="29" t="str">
        <x:v>presence does not prove operability or capacity</x:v>
      </x:c>
    </x:row>
    <x:row r="924" ht="75.5999984741211" hidden="0" customHeight="1">
      <x:c r="A924" s="27" t="str">
        <x:v>SCA-08</x:v>
      </x:c>
      <x:c r="B924" s="27" t="str">
        <x:v>SCA-14</x:v>
      </x:c>
      <x:c r="C924" s="27" t="str">
        <x:v>Water</x:v>
      </x:c>
      <x:c r="D924" s="27" t="str">
        <x:v>YES</x:v>
      </x:c>
      <x:c r="E924" s="27" t="str">
        <x:v>YES</x:v>
      </x:c>
      <x:c r="F924" s="61" t="n">
        <x:v>9615.902780756573</x:v>
      </x:c>
      <x:c r="G924" s="61" t="n">
        <x:v>304.7400794501878</x:v>
      </x:c>
      <x:c r="H924" s="27" t="str">
        <x:v>NO</x:v>
      </x:c>
      <x:c r="I924" s="27" t="str">
        <x:v>USACE waterway node topology; deployable terminal required</x:v>
      </x:c>
      <x:c r="J924" s="27" t="str">
        <x:v>presence does not prove operability or capacity</x:v>
      </x:c>
    </x:row>
    <x:row r="925" ht="54" hidden="0" customHeight="1">
      <x:c r="A925" s="29" t="str">
        <x:v>SCA-08</x:v>
      </x:c>
      <x:c r="B925" s="29" t="str">
        <x:v>SCA-15</x:v>
      </x:c>
      <x:c r="C925" s="29" t="str">
        <x:v>Road</x:v>
      </x:c>
      <x:c r="D925" s="29" t="str">
        <x:v>YES</x:v>
      </x:c>
      <x:c r="E925" s="29" t="str">
        <x:v>YES</x:v>
      </x:c>
      <x:c r="F925" s="62" t="n">
        <x:v>2347.4837992487514</x:v>
      </x:c>
      <x:c r="G925" s="62" t="n">
        <x:v>62.681523622704574</x:v>
      </x:c>
      <x:c r="H925" s="29" t="str">
        <x:v>YES</x:v>
      </x:c>
      <x:c r="I925" s="29" t="str">
        <x:v>NHPN-gated shared-boundary SCA path</x:v>
      </x:c>
      <x:c r="J925" s="29" t="str">
        <x:v>presence does not prove operability or capacity</x:v>
      </x:c>
    </x:row>
    <x:row r="926" ht="64.80000305175781" hidden="0" customHeight="1">
      <x:c r="A926" s="27" t="str">
        <x:v>SCA-08</x:v>
      </x:c>
      <x:c r="B926" s="27" t="str">
        <x:v>SCA-15</x:v>
      </x:c>
      <x:c r="C926" s="27" t="str">
        <x:v>Rail</x:v>
      </x:c>
      <x:c r="D926" s="27" t="str">
        <x:v>YES</x:v>
      </x:c>
      <x:c r="E926" s="27" t="str">
        <x:v>YES</x:v>
      </x:c>
      <x:c r="F926" s="61" t="n">
        <x:v>2490.3741174638926</x:v>
      </x:c>
      <x:c r="G926" s="61" t="n">
        <x:v>61.57677310662704</x:v>
      </x:c>
      <x:c r="H926" s="27" t="str">
        <x:v>YES</x:v>
      </x:c>
      <x:c r="I926" s="27" t="str">
        <x:v>NARN shared-node topology; deployable terminal required</x:v>
      </x:c>
      <x:c r="J926" s="27" t="str">
        <x:v>presence does not prove operability or capacity</x:v>
      </x:c>
    </x:row>
    <x:row r="927" ht="54" hidden="0" customHeight="1">
      <x:c r="A927" s="29" t="str">
        <x:v>SCA-08</x:v>
      </x:c>
      <x:c r="B927" s="29" t="str">
        <x:v>SCA-15</x:v>
      </x:c>
      <x:c r="C927" s="29" t="str">
        <x:v>Air</x:v>
      </x:c>
      <x:c r="D927" s="29" t="str">
        <x:v>YES</x:v>
      </x:c>
      <x:c r="E927" s="29" t="str">
        <x:v>YES</x:v>
      </x:c>
      <x:c r="F927" s="62" t="n">
        <x:v>2040.3411960395472</x:v>
      </x:c>
      <x:c r="G927" s="62" t="n">
        <x:v>27.13898645544546</x:v>
      </x:c>
      <x:c r="H927" s="29" t="str">
        <x:v>YES</x:v>
      </x:c>
      <x:c r="I927" s="29" t="str">
        <x:v>primary-airport endpoints; great-circle screen</x:v>
      </x:c>
      <x:c r="J927" s="29" t="str">
        <x:v>presence does not prove operability or capacity</x:v>
      </x:c>
    </x:row>
    <x:row r="928" ht="75.5999984741211" hidden="0" customHeight="1">
      <x:c r="A928" s="27" t="str">
        <x:v>SCA-08</x:v>
      </x:c>
      <x:c r="B928" s="27" t="str">
        <x:v>SCA-15</x:v>
      </x:c>
      <x:c r="C928" s="27" t="str">
        <x:v>Water</x:v>
      </x:c>
      <x:c r="D928" s="27" t="str">
        <x:v>YES</x:v>
      </x:c>
      <x:c r="E928" s="27" t="str">
        <x:v>YES</x:v>
      </x:c>
      <x:c r="F928" s="61" t="n">
        <x:v>9708.497003988641</x:v>
      </x:c>
      <x:c r="G928" s="61" t="n">
        <x:v>307.38562868538975</x:v>
      </x:c>
      <x:c r="H928" s="27" t="str">
        <x:v>NO</x:v>
      </x:c>
      <x:c r="I928" s="27" t="str">
        <x:v>USACE waterway node topology; deployable terminal required</x:v>
      </x:c>
      <x:c r="J928" s="27" t="str">
        <x:v>presence does not prove operability or capacity</x:v>
      </x:c>
    </x:row>
    <x:row r="929" ht="54" hidden="0" customHeight="1">
      <x:c r="A929" s="29" t="str">
        <x:v>SCA-08</x:v>
      </x:c>
      <x:c r="B929" s="29" t="str">
        <x:v>SCA-16</x:v>
      </x:c>
      <x:c r="C929" s="29" t="str">
        <x:v>Road</x:v>
      </x:c>
      <x:c r="D929" s="29" t="str">
        <x:v>YES</x:v>
      </x:c>
      <x:c r="E929" s="29" t="str">
        <x:v>YES</x:v>
      </x:c>
      <x:c r="F929" s="62" t="n">
        <x:v>2063.951636655478</x:v>
      </x:c>
      <x:c r="G929" s="62" t="n">
        <x:v>57.526393393735965</x:v>
      </x:c>
      <x:c r="H929" s="29" t="str">
        <x:v>YES</x:v>
      </x:c>
      <x:c r="I929" s="29" t="str">
        <x:v>NHPN-gated shared-boundary SCA path</x:v>
      </x:c>
      <x:c r="J929" s="29" t="str">
        <x:v>presence does not prove operability or capacity</x:v>
      </x:c>
    </x:row>
    <x:row r="930" ht="64.80000305175781" hidden="0" customHeight="1">
      <x:c r="A930" s="27" t="str">
        <x:v>SCA-08</x:v>
      </x:c>
      <x:c r="B930" s="27" t="str">
        <x:v>SCA-16</x:v>
      </x:c>
      <x:c r="C930" s="27" t="str">
        <x:v>Rail</x:v>
      </x:c>
      <x:c r="D930" s="27" t="str">
        <x:v>YES</x:v>
      </x:c>
      <x:c r="E930" s="27" t="str">
        <x:v>YES</x:v>
      </x:c>
      <x:c r="F930" s="61" t="n">
        <x:v>2189.5834754084203</x:v>
      </x:c>
      <x:c r="G930" s="61" t="n">
        <x:v>57.279763934406006</x:v>
      </x:c>
      <x:c r="H930" s="27" t="str">
        <x:v>YES</x:v>
      </x:c>
      <x:c r="I930" s="27" t="str">
        <x:v>NARN shared-node topology; deployable terminal required</x:v>
      </x:c>
      <x:c r="J930" s="27" t="str">
        <x:v>presence does not prove operability or capacity</x:v>
      </x:c>
    </x:row>
    <x:row r="931" ht="54" hidden="0" customHeight="1">
      <x:c r="A931" s="29" t="str">
        <x:v>SCA-08</x:v>
      </x:c>
      <x:c r="B931" s="29" t="str">
        <x:v>SCA-16</x:v>
      </x:c>
      <x:c r="C931" s="29" t="str">
        <x:v>Air</x:v>
      </x:c>
      <x:c r="D931" s="29" t="str">
        <x:v>YES</x:v>
      </x:c>
      <x:c r="E931" s="29" t="str">
        <x:v>YES</x:v>
      </x:c>
      <x:c r="F931" s="62" t="n">
        <x:v>1735.115222619282</x:v>
      </x:c>
      <x:c r="G931" s="62" t="n">
        <x:v>26.669408034798895</x:v>
      </x:c>
      <x:c r="H931" s="29" t="str">
        <x:v>YES</x:v>
      </x:c>
      <x:c r="I931" s="29" t="str">
        <x:v>primary-airport endpoints; great-circle screen</x:v>
      </x:c>
      <x:c r="J931" s="29" t="str">
        <x:v>presence does not prove operability or capacity</x:v>
      </x:c>
    </x:row>
    <x:row r="932" ht="75.5999984741211" hidden="0" customHeight="1">
      <x:c r="A932" s="27" t="str">
        <x:v>SCA-08</x:v>
      </x:c>
      <x:c r="B932" s="27" t="str">
        <x:v>SCA-16</x:v>
      </x:c>
      <x:c r="C932" s="27" t="str">
        <x:v>Water</x:v>
      </x:c>
      <x:c r="D932" s="27" t="str">
        <x:v>YES</x:v>
      </x:c>
      <x:c r="E932" s="27" t="str">
        <x:v>YES</x:v>
      </x:c>
      <x:c r="F932" s="61" t="n">
        <x:v>9901.444276409855</x:v>
      </x:c>
      <x:c r="G932" s="61" t="n">
        <x:v>312.8984078974244</x:v>
      </x:c>
      <x:c r="H932" s="27" t="str">
        <x:v>NO</x:v>
      </x:c>
      <x:c r="I932" s="27" t="str">
        <x:v>USACE waterway node topology; deployable terminal required</x:v>
      </x:c>
      <x:c r="J932" s="27" t="str">
        <x:v>presence does not prove operability or capacity</x:v>
      </x:c>
    </x:row>
    <x:row r="933" ht="54" hidden="0" customHeight="1">
      <x:c r="A933" s="29" t="str">
        <x:v>SCA-08</x:v>
      </x:c>
      <x:c r="B933" s="29" t="str">
        <x:v>SCA-17</x:v>
      </x:c>
      <x:c r="C933" s="29" t="str">
        <x:v>Road</x:v>
      </x:c>
      <x:c r="D933" s="29" t="str">
        <x:v>YES</x:v>
      </x:c>
      <x:c r="E933" s="29" t="str">
        <x:v>YES</x:v>
      </x:c>
      <x:c r="F933" s="62" t="n">
        <x:v>2816.2961920717225</x:v>
      </x:c>
      <x:c r="G933" s="62" t="n">
        <x:v>71.20538531039495</x:v>
      </x:c>
      <x:c r="H933" s="29" t="str">
        <x:v>YES</x:v>
      </x:c>
      <x:c r="I933" s="29" t="str">
        <x:v>NHPN-gated shared-boundary SCA path</x:v>
      </x:c>
      <x:c r="J933" s="29" t="str">
        <x:v>presence does not prove operability or capacity</x:v>
      </x:c>
    </x:row>
    <x:row r="934" ht="64.80000305175781" hidden="0" customHeight="1">
      <x:c r="A934" s="27" t="str">
        <x:v>SCA-08</x:v>
      </x:c>
      <x:c r="B934" s="27" t="str">
        <x:v>SCA-17</x:v>
      </x:c>
      <x:c r="C934" s="27" t="str">
        <x:v>Rail</x:v>
      </x:c>
      <x:c r="D934" s="27" t="str">
        <x:v>YES</x:v>
      </x:c>
      <x:c r="E934" s="27" t="str">
        <x:v>YES</x:v>
      </x:c>
      <x:c r="F934" s="61" t="n">
        <x:v>2987.7229168065223</x:v>
      </x:c>
      <x:c r="G934" s="61" t="n">
        <x:v>68.6817559543789</x:v>
      </x:c>
      <x:c r="H934" s="27" t="str">
        <x:v>YES</x:v>
      </x:c>
      <x:c r="I934" s="27" t="str">
        <x:v>NARN shared-node topology; deployable terminal required</x:v>
      </x:c>
      <x:c r="J934" s="27" t="str">
        <x:v>presence does not prove operability or capacity</x:v>
      </x:c>
    </x:row>
    <x:row r="935" ht="54" hidden="0" customHeight="1">
      <x:c r="A935" s="29" t="str">
        <x:v>SCA-08</x:v>
      </x:c>
      <x:c r="B935" s="29" t="str">
        <x:v>SCA-17</x:v>
      </x:c>
      <x:c r="C935" s="29" t="str">
        <x:v>Air</x:v>
      </x:c>
      <x:c r="D935" s="29" t="str">
        <x:v>YES</x:v>
      </x:c>
      <x:c r="E935" s="29" t="str">
        <x:v>YES</x:v>
      </x:c>
      <x:c r="F935" s="62" t="n">
        <x:v>2443.225788878797</x:v>
      </x:c>
      <x:c r="G935" s="62" t="n">
        <x:v>27.75880890596738</x:v>
      </x:c>
      <x:c r="H935" s="29" t="str">
        <x:v>YES</x:v>
      </x:c>
      <x:c r="I935" s="29" t="str">
        <x:v>primary-airport endpoints; great-circle screen</x:v>
      </x:c>
      <x:c r="J935" s="29" t="str">
        <x:v>presence does not prove operability or capacity</x:v>
      </x:c>
    </x:row>
    <x:row r="936" ht="75.5999984741211" hidden="0" customHeight="1">
      <x:c r="A936" s="27" t="str">
        <x:v>SCA-08</x:v>
      </x:c>
      <x:c r="B936" s="27" t="str">
        <x:v>SCA-17</x:v>
      </x:c>
      <x:c r="C936" s="27" t="str">
        <x:v>Water</x:v>
      </x:c>
      <x:c r="D936" s="27" t="str">
        <x:v>YES</x:v>
      </x:c>
      <x:c r="E936" s="27" t="str">
        <x:v>YES</x:v>
      </x:c>
      <x:c r="F936" s="61" t="n">
        <x:v>9186.68842762916</x:v>
      </x:c>
      <x:c r="G936" s="61" t="n">
        <x:v>292.47681221797603</x:v>
      </x:c>
      <x:c r="H936" s="27" t="str">
        <x:v>NO</x:v>
      </x:c>
      <x:c r="I936" s="27" t="str">
        <x:v>USACE waterway node topology; deployable terminal required</x:v>
      </x:c>
      <x:c r="J936" s="27" t="str">
        <x:v>presence does not prove operability or capacity</x:v>
      </x:c>
    </x:row>
    <x:row r="937" ht="54" hidden="0" customHeight="1">
      <x:c r="A937" s="29" t="str">
        <x:v>SCA-08</x:v>
      </x:c>
      <x:c r="B937" s="29" t="str">
        <x:v>SCA-18</x:v>
      </x:c>
      <x:c r="C937" s="29" t="str">
        <x:v>Road</x:v>
      </x:c>
      <x:c r="D937" s="29" t="str">
        <x:v>YES</x:v>
      </x:c>
      <x:c r="E937" s="29" t="str">
        <x:v>YES</x:v>
      </x:c>
      <x:c r="F937" s="62" t="n">
        <x:v>1903.9325673959372</x:v>
      </x:c>
      <x:c r="G937" s="62" t="n">
        <x:v>54.61695577083522</x:v>
      </x:c>
      <x:c r="H937" s="29" t="str">
        <x:v>YES</x:v>
      </x:c>
      <x:c r="I937" s="29" t="str">
        <x:v>NHPN-gated shared-boundary SCA path</x:v>
      </x:c>
      <x:c r="J937" s="29" t="str">
        <x:v>presence does not prove operability or capacity</x:v>
      </x:c>
    </x:row>
    <x:row r="938" ht="64.80000305175781" hidden="0" customHeight="1">
      <x:c r="A938" s="27" t="str">
        <x:v>SCA-08</x:v>
      </x:c>
      <x:c r="B938" s="27" t="str">
        <x:v>SCA-18</x:v>
      </x:c>
      <x:c r="C938" s="27" t="str">
        <x:v>Rail</x:v>
      </x:c>
      <x:c r="D938" s="27" t="str">
        <x:v>YES</x:v>
      </x:c>
      <x:c r="E938" s="27" t="str">
        <x:v>YES</x:v>
      </x:c>
      <x:c r="F938" s="61" t="n">
        <x:v>2019.8241149765597</x:v>
      </x:c>
      <x:c r="G938" s="61" t="n">
        <x:v>54.854630213950855</x:v>
      </x:c>
      <x:c r="H938" s="27" t="str">
        <x:v>YES</x:v>
      </x:c>
      <x:c r="I938" s="27" t="str">
        <x:v>NARN shared-node topology; deployable terminal required</x:v>
      </x:c>
      <x:c r="J938" s="27" t="str">
        <x:v>presence does not prove operability or capacity</x:v>
      </x:c>
    </x:row>
    <x:row r="939" ht="54" hidden="0" customHeight="1">
      <x:c r="A939" s="29" t="str">
        <x:v>SCA-08</x:v>
      </x:c>
      <x:c r="B939" s="29" t="str">
        <x:v>SCA-18</x:v>
      </x:c>
      <x:c r="C939" s="29" t="str">
        <x:v>Air</x:v>
      </x:c>
      <x:c r="D939" s="29" t="str">
        <x:v>YES</x:v>
      </x:c>
      <x:c r="E939" s="29" t="str">
        <x:v>YES</x:v>
      </x:c>
      <x:c r="F939" s="62" t="n">
        <x:v>1655.5935368660325</x:v>
      </x:c>
      <x:c r="G939" s="62" t="n">
        <x:v>26.547066979793897</x:v>
      </x:c>
      <x:c r="H939" s="29" t="str">
        <x:v>YES</x:v>
      </x:c>
      <x:c r="I939" s="29" t="str">
        <x:v>primary-airport endpoints; great-circle screen</x:v>
      </x:c>
      <x:c r="J939" s="29" t="str">
        <x:v>presence does not prove operability or capacity</x:v>
      </x:c>
    </x:row>
    <x:row r="940" ht="75.5999984741211" hidden="0" customHeight="1">
      <x:c r="A940" s="27" t="str">
        <x:v>SCA-08</x:v>
      </x:c>
      <x:c r="B940" s="27" t="str">
        <x:v>SCA-18</x:v>
      </x:c>
      <x:c r="C940" s="27" t="str">
        <x:v>Water</x:v>
      </x:c>
      <x:c r="D940" s="27" t="str">
        <x:v>YES</x:v>
      </x:c>
      <x:c r="E940" s="27" t="str">
        <x:v>YES</x:v>
      </x:c>
      <x:c r="F940" s="61" t="n">
        <x:v>10871.681232267289</x:v>
      </x:c>
      <x:c r="G940" s="61" t="n">
        <x:v>340.61946377906537</x:v>
      </x:c>
      <x:c r="H940" s="27" t="str">
        <x:v>NO</x:v>
      </x:c>
      <x:c r="I940" s="27" t="str">
        <x:v>USACE waterway node topology; deployable terminal required</x:v>
      </x:c>
      <x:c r="J940" s="27" t="str">
        <x:v>presence does not prove operability or capacity</x:v>
      </x:c>
    </x:row>
    <x:row r="941" ht="54" hidden="0" customHeight="1">
      <x:c r="A941" s="29" t="str">
        <x:v>SCA-08</x:v>
      </x:c>
      <x:c r="B941" s="29" t="str">
        <x:v>SCA-19</x:v>
      </x:c>
      <x:c r="C941" s="29" t="str">
        <x:v>Road</x:v>
      </x:c>
      <x:c r="D941" s="29" t="str">
        <x:v>YES</x:v>
      </x:c>
      <x:c r="E941" s="29" t="str">
        <x:v>YES</x:v>
      </x:c>
      <x:c r="F941" s="62" t="n">
        <x:v>2585.436810584494</x:v>
      </x:c>
      <x:c r="G941" s="62" t="n">
        <x:v>67.00794201062718</x:v>
      </x:c>
      <x:c r="H941" s="29" t="str">
        <x:v>YES</x:v>
      </x:c>
      <x:c r="I941" s="29" t="str">
        <x:v>NHPN-gated shared-boundary SCA path</x:v>
      </x:c>
      <x:c r="J941" s="29" t="str">
        <x:v>presence does not prove operability or capacity</x:v>
      </x:c>
    </x:row>
    <x:row r="942" ht="64.80000305175781" hidden="0" customHeight="1">
      <x:c r="A942" s="27" t="str">
        <x:v>SCA-08</x:v>
      </x:c>
      <x:c r="B942" s="27" t="str">
        <x:v>SCA-19</x:v>
      </x:c>
      <x:c r="C942" s="27" t="str">
        <x:v>Rail</x:v>
      </x:c>
      <x:c r="D942" s="27" t="str">
        <x:v>YES</x:v>
      </x:c>
      <x:c r="E942" s="27" t="str">
        <x:v>YES</x:v>
      </x:c>
      <x:c r="F942" s="61" t="n">
        <x:v>2742.811225141811</x:v>
      </x:c>
      <x:c r="G942" s="61" t="n">
        <x:v>65.18301750202588</x:v>
      </x:c>
      <x:c r="H942" s="27" t="str">
        <x:v>YES</x:v>
      </x:c>
      <x:c r="I942" s="27" t="str">
        <x:v>NARN shared-node topology; deployable terminal required</x:v>
      </x:c>
      <x:c r="J942" s="27" t="str">
        <x:v>presence does not prove operability or capacity</x:v>
      </x:c>
    </x:row>
    <x:row r="943" ht="54" hidden="0" customHeight="1">
      <x:c r="A943" s="29" t="str">
        <x:v>SCA-08</x:v>
      </x:c>
      <x:c r="B943" s="29" t="str">
        <x:v>SCA-19</x:v>
      </x:c>
      <x:c r="C943" s="29" t="str">
        <x:v>Air</x:v>
      </x:c>
      <x:c r="D943" s="29" t="str">
        <x:v>YES</x:v>
      </x:c>
      <x:c r="E943" s="29" t="str">
        <x:v>YES</x:v>
      </x:c>
      <x:c r="F943" s="62" t="n">
        <x:v>2095.193124012963</x:v>
      </x:c>
      <x:c r="G943" s="62" t="n">
        <x:v>27.22337403694302</x:v>
      </x:c>
      <x:c r="H943" s="29" t="str">
        <x:v>YES</x:v>
      </x:c>
      <x:c r="I943" s="29" t="str">
        <x:v>primary-airport endpoints; great-circle screen</x:v>
      </x:c>
      <x:c r="J943" s="29" t="str">
        <x:v>presence does not prove operability or capacity</x:v>
      </x:c>
    </x:row>
    <x:row r="944" ht="75.5999984741211" hidden="0" customHeight="1">
      <x:c r="A944" s="27" t="str">
        <x:v>SCA-08</x:v>
      </x:c>
      <x:c r="B944" s="27" t="str">
        <x:v>SCA-19</x:v>
      </x:c>
      <x:c r="C944" s="27" t="str">
        <x:v>Water</x:v>
      </x:c>
      <x:c r="D944" s="27" t="str">
        <x:v>YES</x:v>
      </x:c>
      <x:c r="E944" s="27" t="str">
        <x:v>YES</x:v>
      </x:c>
      <x:c r="F944" s="61" t="n">
        <x:v>9670.399146687454</x:v>
      </x:c>
      <x:c r="G944" s="61" t="n">
        <x:v>306.2971184767844</x:v>
      </x:c>
      <x:c r="H944" s="27" t="str">
        <x:v>NO</x:v>
      </x:c>
      <x:c r="I944" s="27" t="str">
        <x:v>USACE waterway node topology; deployable terminal required</x:v>
      </x:c>
      <x:c r="J944" s="27" t="str">
        <x:v>presence does not prove operability or capacity</x:v>
      </x:c>
    </x:row>
    <x:row r="945" ht="54" hidden="0" customHeight="1">
      <x:c r="A945" s="29" t="str">
        <x:v>SCA-08</x:v>
      </x:c>
      <x:c r="B945" s="29" t="str">
        <x:v>SCA-20</x:v>
      </x:c>
      <x:c r="C945" s="29" t="str">
        <x:v>Road</x:v>
      </x:c>
      <x:c r="D945" s="29" t="str">
        <x:v>YES</x:v>
      </x:c>
      <x:c r="E945" s="29" t="str">
        <x:v>YES</x:v>
      </x:c>
      <x:c r="F945" s="62" t="n">
        <x:v>2873.07732520624</x:v>
      </x:c>
      <x:c r="G945" s="62" t="n">
        <x:v>72.23776954920436</x:v>
      </x:c>
      <x:c r="H945" s="29" t="str">
        <x:v>NO</x:v>
      </x:c>
      <x:c r="I945" s="29" t="str">
        <x:v>NHPN-gated shared-boundary SCA path</x:v>
      </x:c>
      <x:c r="J945" s="29" t="str">
        <x:v>presence does not prove operability or capacity</x:v>
      </x:c>
    </x:row>
    <x:row r="946" ht="64.80000305175781" hidden="0" customHeight="1">
      <x:c r="A946" s="27" t="str">
        <x:v>SCA-08</x:v>
      </x:c>
      <x:c r="B946" s="27" t="str">
        <x:v>SCA-20</x:v>
      </x:c>
      <x:c r="C946" s="27" t="str">
        <x:v>Rail</x:v>
      </x:c>
      <x:c r="D946" s="27" t="str">
        <x:v>YES</x:v>
      </x:c>
      <x:c r="E946" s="27" t="str">
        <x:v>YES</x:v>
      </x:c>
      <x:c r="F946" s="61" t="n">
        <x:v>3047.96029282749</x:v>
      </x:c>
      <x:c r="G946" s="61" t="n">
        <x:v>69.54228989753557</x:v>
      </x:c>
      <x:c r="H946" s="27" t="str">
        <x:v>YES</x:v>
      </x:c>
      <x:c r="I946" s="27" t="str">
        <x:v>NARN shared-node topology; deployable terminal required</x:v>
      </x:c>
      <x:c r="J946" s="27" t="str">
        <x:v>presence does not prove operability or capacity</x:v>
      </x:c>
    </x:row>
    <x:row r="947" ht="54" hidden="0" customHeight="1">
      <x:c r="A947" s="29" t="str">
        <x:v>SCA-08</x:v>
      </x:c>
      <x:c r="B947" s="29" t="str">
        <x:v>SCA-20</x:v>
      </x:c>
      <x:c r="C947" s="29" t="str">
        <x:v>Air</x:v>
      </x:c>
      <x:c r="D947" s="29" t="str">
        <x:v>YES</x:v>
      </x:c>
      <x:c r="E947" s="29" t="str">
        <x:v>YES</x:v>
      </x:c>
      <x:c r="F947" s="62" t="n">
        <x:v>2435.5524569574695</x:v>
      </x:c>
      <x:c r="G947" s="62" t="n">
        <x:v>27.74700377993457</x:v>
      </x:c>
      <x:c r="H947" s="29" t="str">
        <x:v>YES</x:v>
      </x:c>
      <x:c r="I947" s="29" t="str">
        <x:v>primary-airport endpoints; great-circle screen</x:v>
      </x:c>
      <x:c r="J947" s="29" t="str">
        <x:v>presence does not prove operability or capacity</x:v>
      </x:c>
    </x:row>
    <x:row r="948" ht="75.5999984741211" hidden="0" customHeight="1">
      <x:c r="A948" s="27" t="str">
        <x:v>SCA-08</x:v>
      </x:c>
      <x:c r="B948" s="27" t="str">
        <x:v>SCA-20</x:v>
      </x:c>
      <x:c r="C948" s="27" t="str">
        <x:v>Water</x:v>
      </x:c>
      <x:c r="D948" s="27" t="str">
        <x:v>YES</x:v>
      </x:c>
      <x:c r="E948" s="27" t="str">
        <x:v>YES</x:v>
      </x:c>
      <x:c r="F948" s="61" t="n">
        <x:v>9000.852205675094</x:v>
      </x:c>
      <x:c r="G948" s="61" t="n">
        <x:v>287.16720587643124</x:v>
      </x:c>
      <x:c r="H948" s="27" t="str">
        <x:v>NO</x:v>
      </x:c>
      <x:c r="I948" s="27" t="str">
        <x:v>USACE waterway node topology; deployable terminal required</x:v>
      </x:c>
      <x:c r="J948" s="27" t="str">
        <x:v>presence does not prove operability or capacity</x:v>
      </x:c>
    </x:row>
    <x:row r="949" ht="54" hidden="0" customHeight="1">
      <x:c r="A949" s="29" t="str">
        <x:v>SCA-08</x:v>
      </x:c>
      <x:c r="B949" s="29" t="str">
        <x:v>SCA-21</x:v>
      </x:c>
      <x:c r="C949" s="29" t="str">
        <x:v>Road</x:v>
      </x:c>
      <x:c r="D949" s="29" t="str">
        <x:v>YES</x:v>
      </x:c>
      <x:c r="E949" s="29" t="str">
        <x:v>YES</x:v>
      </x:c>
      <x:c r="F949" s="62" t="n">
        <x:v>2545.534113501802</x:v>
      </x:c>
      <x:c r="G949" s="62" t="n">
        <x:v>66.2824384273055</x:v>
      </x:c>
      <x:c r="H949" s="29" t="str">
        <x:v>YES</x:v>
      </x:c>
      <x:c r="I949" s="29" t="str">
        <x:v>NHPN-gated shared-boundary SCA path</x:v>
      </x:c>
      <x:c r="J949" s="29" t="str">
        <x:v>presence does not prove operability or capacity</x:v>
      </x:c>
    </x:row>
    <x:row r="950" ht="64.80000305175781" hidden="0" customHeight="1">
      <x:c r="A950" s="27" t="str">
        <x:v>SCA-08</x:v>
      </x:c>
      <x:c r="B950" s="27" t="str">
        <x:v>SCA-21</x:v>
      </x:c>
      <x:c r="C950" s="27" t="str">
        <x:v>Rail</x:v>
      </x:c>
      <x:c r="D950" s="27" t="str">
        <x:v>YES</x:v>
      </x:c>
      <x:c r="E950" s="27" t="str">
        <x:v>YES</x:v>
      </x:c>
      <x:c r="F950" s="61" t="n">
        <x:v>2700.4796682366946</x:v>
      </x:c>
      <x:c r="G950" s="61" t="n">
        <x:v>64.57828097480993</x:v>
      </x:c>
      <x:c r="H950" s="27" t="str">
        <x:v>YES</x:v>
      </x:c>
      <x:c r="I950" s="27" t="str">
        <x:v>NARN shared-node topology; deployable terminal required</x:v>
      </x:c>
      <x:c r="J950" s="27" t="str">
        <x:v>presence does not prove operability or capacity</x:v>
      </x:c>
    </x:row>
    <x:row r="951" ht="54" hidden="0" customHeight="1">
      <x:c r="A951" s="29" t="str">
        <x:v>SCA-08</x:v>
      </x:c>
      <x:c r="B951" s="29" t="str">
        <x:v>SCA-21</x:v>
      </x:c>
      <x:c r="C951" s="29" t="str">
        <x:v>Air</x:v>
      </x:c>
      <x:c r="D951" s="29" t="str">
        <x:v>YES</x:v>
      </x:c>
      <x:c r="E951" s="29" t="str">
        <x:v>YES</x:v>
      </x:c>
      <x:c r="F951" s="62" t="n">
        <x:v>2185.5370503366594</x:v>
      </x:c>
      <x:c r="G951" s="62" t="n">
        <x:v>27.36236469282563</x:v>
      </x:c>
      <x:c r="H951" s="29" t="str">
        <x:v>YES</x:v>
      </x:c>
      <x:c r="I951" s="29" t="str">
        <x:v>primary-airport endpoints; great-circle screen</x:v>
      </x:c>
      <x:c r="J951" s="29" t="str">
        <x:v>presence does not prove operability or capacity</x:v>
      </x:c>
    </x:row>
    <x:row r="952" ht="75.5999984741211" hidden="0" customHeight="1">
      <x:c r="A952" s="27" t="str">
        <x:v>SCA-08</x:v>
      </x:c>
      <x:c r="B952" s="27" t="str">
        <x:v>SCA-21</x:v>
      </x:c>
      <x:c r="C952" s="27" t="str">
        <x:v>Water</x:v>
      </x:c>
      <x:c r="D952" s="27" t="str">
        <x:v>YES</x:v>
      </x:c>
      <x:c r="E952" s="27" t="str">
        <x:v>YES</x:v>
      </x:c>
      <x:c r="F952" s="61" t="n">
        <x:v>10255.333948691048</x:v>
      </x:c>
      <x:c r="G952" s="61" t="n">
        <x:v>323.00954139117283</x:v>
      </x:c>
      <x:c r="H952" s="27" t="str">
        <x:v>NO</x:v>
      </x:c>
      <x:c r="I952" s="27" t="str">
        <x:v>USACE waterway node topology; deployable terminal required</x:v>
      </x:c>
      <x:c r="J952" s="27" t="str">
        <x:v>presence does not prove operability or capacity</x:v>
      </x:c>
    </x:row>
    <x:row r="953" ht="54" hidden="0" customHeight="1">
      <x:c r="A953" s="29" t="str">
        <x:v>SCA-08</x:v>
      </x:c>
      <x:c r="B953" s="29" t="str">
        <x:v>SCA-22</x:v>
      </x:c>
      <x:c r="C953" s="29" t="str">
        <x:v>Road</x:v>
      </x:c>
      <x:c r="D953" s="29" t="str">
        <x:v>YES</x:v>
      </x:c>
      <x:c r="E953" s="29" t="str">
        <x:v>YES</x:v>
      </x:c>
      <x:c r="F953" s="62" t="n">
        <x:v>3094.863850743383</x:v>
      </x:c>
      <x:c r="G953" s="62" t="n">
        <x:v>76.27025183169786</x:v>
      </x:c>
      <x:c r="H953" s="29" t="str">
        <x:v>NO</x:v>
      </x:c>
      <x:c r="I953" s="29" t="str">
        <x:v>NHPN-gated shared-boundary SCA path</x:v>
      </x:c>
      <x:c r="J953" s="29" t="str">
        <x:v>presence does not prove operability or capacity</x:v>
      </x:c>
    </x:row>
    <x:row r="954" ht="64.80000305175781" hidden="0" customHeight="1">
      <x:c r="A954" s="27" t="str">
        <x:v>SCA-08</x:v>
      </x:c>
      <x:c r="B954" s="27" t="str">
        <x:v>SCA-22</x:v>
      </x:c>
      <x:c r="C954" s="27" t="str">
        <x:v>Rail</x:v>
      </x:c>
      <x:c r="D954" s="27" t="str">
        <x:v>YES</x:v>
      </x:c>
      <x:c r="E954" s="27" t="str">
        <x:v>YES</x:v>
      </x:c>
      <x:c r="F954" s="61" t="n">
        <x:v>3283.2468677451543</x:v>
      </x:c>
      <x:c r="G954" s="61" t="n">
        <x:v>72.90352668207363</x:v>
      </x:c>
      <x:c r="H954" s="27" t="str">
        <x:v>NO</x:v>
      </x:c>
      <x:c r="I954" s="27" t="str">
        <x:v>NARN shared-node topology; deployable terminal required</x:v>
      </x:c>
      <x:c r="J954" s="27" t="str">
        <x:v>presence does not prove operability or capacity</x:v>
      </x:c>
    </x:row>
    <x:row r="955" ht="54" hidden="0" customHeight="1">
      <x:c r="A955" s="29" t="str">
        <x:v>SCA-08</x:v>
      </x:c>
      <x:c r="B955" s="29" t="str">
        <x:v>SCA-22</x:v>
      </x:c>
      <x:c r="C955" s="29" t="str">
        <x:v>Air</x:v>
      </x:c>
      <x:c r="D955" s="29" t="str">
        <x:v>YES</x:v>
      </x:c>
      <x:c r="E955" s="29" t="str">
        <x:v>YES</x:v>
      </x:c>
      <x:c r="F955" s="62" t="n">
        <x:v>2546.826802912629</x:v>
      </x:c>
      <x:c r="G955" s="62" t="n">
        <x:v>27.918195081404043</x:v>
      </x:c>
      <x:c r="H955" s="29" t="str">
        <x:v>YES</x:v>
      </x:c>
      <x:c r="I955" s="29" t="str">
        <x:v>primary-airport endpoints; great-circle screen</x:v>
      </x:c>
      <x:c r="J955" s="29" t="str">
        <x:v>presence does not prove operability or capacity</x:v>
      </x:c>
    </x:row>
    <x:row r="956" ht="75.5999984741211" hidden="0" customHeight="1">
      <x:c r="A956" s="27" t="str">
        <x:v>SCA-08</x:v>
      </x:c>
      <x:c r="B956" s="27" t="str">
        <x:v>SCA-22</x:v>
      </x:c>
      <x:c r="C956" s="27" t="str">
        <x:v>Water</x:v>
      </x:c>
      <x:c r="D956" s="27" t="str">
        <x:v>YES</x:v>
      </x:c>
      <x:c r="E956" s="27" t="str">
        <x:v>YES</x:v>
      </x:c>
      <x:c r="F956" s="61" t="n">
        <x:v>9569.80213703599</x:v>
      </x:c>
      <x:c r="G956" s="61" t="n">
        <x:v>303.42291820102827</x:v>
      </x:c>
      <x:c r="H956" s="27" t="str">
        <x:v>NO</x:v>
      </x:c>
      <x:c r="I956" s="27" t="str">
        <x:v>USACE waterway node topology; deployable terminal required</x:v>
      </x:c>
      <x:c r="J956" s="27" t="str">
        <x:v>presence does not prove operability or capacity</x:v>
      </x:c>
    </x:row>
    <x:row r="957" ht="54" hidden="0" customHeight="1">
      <x:c r="A957" s="29" t="str">
        <x:v>SCA-08</x:v>
      </x:c>
      <x:c r="B957" s="29" t="str">
        <x:v>SCA-23</x:v>
      </x:c>
      <x:c r="C957" s="29" t="str">
        <x:v>Road</x:v>
      </x:c>
      <x:c r="D957" s="29" t="str">
        <x:v>YES</x:v>
      </x:c>
      <x:c r="E957" s="29" t="str">
        <x:v>YES</x:v>
      </x:c>
      <x:c r="F957" s="62" t="n">
        <x:v>3452.5763190554353</x:v>
      </x:c>
      <x:c r="G957" s="62" t="n">
        <x:v>82.77411489191701</x:v>
      </x:c>
      <x:c r="H957" s="29" t="str">
        <x:v>NO</x:v>
      </x:c>
      <x:c r="I957" s="29" t="str">
        <x:v>NHPN-gated shared-boundary SCA path</x:v>
      </x:c>
      <x:c r="J957" s="29" t="str">
        <x:v>presence does not prove operability or capacity</x:v>
      </x:c>
    </x:row>
    <x:row r="958" ht="64.80000305175781" hidden="0" customHeight="1">
      <x:c r="A958" s="27" t="str">
        <x:v>SCA-08</x:v>
      </x:c>
      <x:c r="B958" s="27" t="str">
        <x:v>SCA-23</x:v>
      </x:c>
      <x:c r="C958" s="27" t="str">
        <x:v>Rail</x:v>
      </x:c>
      <x:c r="D958" s="27" t="str">
        <x:v>YES</x:v>
      </x:c>
      <x:c r="E958" s="27" t="str">
        <x:v>YES</x:v>
      </x:c>
      <x:c r="F958" s="61" t="n">
        <x:v>3662.7331384762015</x:v>
      </x:c>
      <x:c r="G958" s="61" t="n">
        <x:v>78.32475912108859</x:v>
      </x:c>
      <x:c r="H958" s="27" t="str">
        <x:v>NO</x:v>
      </x:c>
      <x:c r="I958" s="27" t="str">
        <x:v>NARN shared-node topology; deployable terminal required</x:v>
      </x:c>
      <x:c r="J958" s="27" t="str">
        <x:v>presence does not prove operability or capacity</x:v>
      </x:c>
    </x:row>
    <x:row r="959" ht="54" hidden="0" customHeight="1">
      <x:c r="A959" s="29" t="str">
        <x:v>SCA-08</x:v>
      </x:c>
      <x:c r="B959" s="29" t="str">
        <x:v>SCA-23</x:v>
      </x:c>
      <x:c r="C959" s="29" t="str">
        <x:v>Air</x:v>
      </x:c>
      <x:c r="D959" s="29" t="str">
        <x:v>YES</x:v>
      </x:c>
      <x:c r="E959" s="29" t="str">
        <x:v>YES</x:v>
      </x:c>
      <x:c r="F959" s="62" t="n">
        <x:v>2863.067062287433</x:v>
      </x:c>
      <x:c r="G959" s="62" t="n">
        <x:v>28.404718557365282</x:v>
      </x:c>
      <x:c r="H959" s="29" t="str">
        <x:v>YES</x:v>
      </x:c>
      <x:c r="I959" s="29" t="str">
        <x:v>primary-airport endpoints; great-circle screen</x:v>
      </x:c>
      <x:c r="J959" s="29" t="str">
        <x:v>presence does not prove operability or capacity</x:v>
      </x:c>
    </x:row>
    <x:row r="960" ht="75.5999984741211" hidden="0" customHeight="1">
      <x:c r="A960" s="27" t="str">
        <x:v>SCA-08</x:v>
      </x:c>
      <x:c r="B960" s="27" t="str">
        <x:v>SCA-23</x:v>
      </x:c>
      <x:c r="C960" s="27" t="str">
        <x:v>Water</x:v>
      </x:c>
      <x:c r="D960" s="27" t="str">
        <x:v>YES</x:v>
      </x:c>
      <x:c r="E960" s="27" t="str">
        <x:v>YES</x:v>
      </x:c>
      <x:c r="F960" s="61" t="n">
        <x:v>8584.491126641205</x:v>
      </x:c>
      <x:c r="G960" s="61" t="n">
        <x:v>275.2711750468916</x:v>
      </x:c>
      <x:c r="H960" s="27" t="str">
        <x:v>NO</x:v>
      </x:c>
      <x:c r="I960" s="27" t="str">
        <x:v>USACE waterway node topology; deployable terminal required</x:v>
      </x:c>
      <x:c r="J960" s="27" t="str">
        <x:v>presence does not prove operability or capacity</x:v>
      </x:c>
    </x:row>
    <x:row r="961" ht="54" hidden="0" customHeight="1">
      <x:c r="A961" s="29" t="str">
        <x:v>SCA-08</x:v>
      </x:c>
      <x:c r="B961" s="29" t="str">
        <x:v>SCA-24</x:v>
      </x:c>
      <x:c r="C961" s="29" t="str">
        <x:v>Road</x:v>
      </x:c>
      <x:c r="D961" s="29" t="str">
        <x:v>YES</x:v>
      </x:c>
      <x:c r="E961" s="29" t="str">
        <x:v>YES</x:v>
      </x:c>
      <x:c r="F961" s="62" t="n">
        <x:v>2942.7741666648394</x:v>
      </x:c>
      <x:c r="G961" s="62" t="n">
        <x:v>73.50498484845163</x:v>
      </x:c>
      <x:c r="H961" s="29" t="str">
        <x:v>NO</x:v>
      </x:c>
      <x:c r="I961" s="29" t="str">
        <x:v>NHPN-gated shared-boundary SCA path</x:v>
      </x:c>
      <x:c r="J961" s="29" t="str">
        <x:v>presence does not prove operability or capacity</x:v>
      </x:c>
    </x:row>
    <x:row r="962" ht="64.80000305175781" hidden="0" customHeight="1">
      <x:c r="A962" s="27" t="str">
        <x:v>SCA-08</x:v>
      </x:c>
      <x:c r="B962" s="27" t="str">
        <x:v>SCA-24</x:v>
      </x:c>
      <x:c r="C962" s="27" t="str">
        <x:v>Rail</x:v>
      </x:c>
      <x:c r="D962" s="27" t="str">
        <x:v>YES</x:v>
      </x:c>
      <x:c r="E962" s="27" t="str">
        <x:v>YES</x:v>
      </x:c>
      <x:c r="F962" s="61" t="n">
        <x:v>3121.8995507226996</x:v>
      </x:c>
      <x:c r="G962" s="61" t="n">
        <x:v>70.59856501032428</x:v>
      </x:c>
      <x:c r="H962" s="27" t="str">
        <x:v>YES</x:v>
      </x:c>
      <x:c r="I962" s="27" t="str">
        <x:v>NARN shared-node topology; deployable terminal required</x:v>
      </x:c>
      <x:c r="J962" s="27" t="str">
        <x:v>presence does not prove operability or capacity</x:v>
      </x:c>
    </x:row>
    <x:row r="963" ht="54" hidden="0" customHeight="1">
      <x:c r="A963" s="29" t="str">
        <x:v>SCA-08</x:v>
      </x:c>
      <x:c r="B963" s="29" t="str">
        <x:v>SCA-24</x:v>
      </x:c>
      <x:c r="C963" s="29" t="str">
        <x:v>Air</x:v>
      </x:c>
      <x:c r="D963" s="29" t="str">
        <x:v>YES</x:v>
      </x:c>
      <x:c r="E963" s="29" t="str">
        <x:v>YES</x:v>
      </x:c>
      <x:c r="F963" s="62" t="n">
        <x:v>2508.751046068208</x:v>
      </x:c>
      <x:c r="G963" s="62" t="n">
        <x:v>27.85961699395109</x:v>
      </x:c>
      <x:c r="H963" s="29" t="str">
        <x:v>YES</x:v>
      </x:c>
      <x:c r="I963" s="29" t="str">
        <x:v>primary-airport endpoints; great-circle screen</x:v>
      </x:c>
      <x:c r="J963" s="29" t="str">
        <x:v>presence does not prove operability or capacity</x:v>
      </x:c>
    </x:row>
    <x:row r="964" ht="75.5999984741211" hidden="0" customHeight="1">
      <x:c r="A964" s="27" t="str">
        <x:v>SCA-08</x:v>
      </x:c>
      <x:c r="B964" s="27" t="str">
        <x:v>SCA-24</x:v>
      </x:c>
      <x:c r="C964" s="27" t="str">
        <x:v>Water</x:v>
      </x:c>
      <x:c r="D964" s="27" t="str">
        <x:v>YES</x:v>
      </x:c>
      <x:c r="E964" s="27" t="str">
        <x:v>YES</x:v>
      </x:c>
      <x:c r="F964" s="61" t="n">
        <x:v>9964.407508496804</x:v>
      </x:c>
      <x:c r="G964" s="61" t="n">
        <x:v>314.697357385623</x:v>
      </x:c>
      <x:c r="H964" s="27" t="str">
        <x:v>NO</x:v>
      </x:c>
      <x:c r="I964" s="27" t="str">
        <x:v>USACE waterway node topology; deployable terminal required</x:v>
      </x:c>
      <x:c r="J964" s="27" t="str">
        <x:v>presence does not prove operability or capacity</x:v>
      </x:c>
    </x:row>
    <x:row r="965" ht="54" hidden="0" customHeight="1">
      <x:c r="A965" s="29" t="str">
        <x:v>SCA-08</x:v>
      </x:c>
      <x:c r="B965" s="29" t="str">
        <x:v>SCA-25</x:v>
      </x:c>
      <x:c r="C965" s="29" t="str">
        <x:v>Road</x:v>
      </x:c>
      <x:c r="D965" s="29" t="str">
        <x:v>YES</x:v>
      </x:c>
      <x:c r="E965" s="29" t="str">
        <x:v>YES</x:v>
      </x:c>
      <x:c r="F965" s="62" t="n">
        <x:v>3947.160498974875</x:v>
      </x:c>
      <x:c r="G965" s="62" t="n">
        <x:v>91.76655452681591</x:v>
      </x:c>
      <x:c r="H965" s="29" t="str">
        <x:v>NO</x:v>
      </x:c>
      <x:c r="I965" s="29" t="str">
        <x:v>NHPN-gated shared-boundary SCA path</x:v>
      </x:c>
      <x:c r="J965" s="29" t="str">
        <x:v>presence does not prove operability or capacity</x:v>
      </x:c>
    </x:row>
    <x:row r="966" ht="64.80000305175781" hidden="0" customHeight="1">
      <x:c r="A966" s="27" t="str">
        <x:v>SCA-08</x:v>
      </x:c>
      <x:c r="B966" s="27" t="str">
        <x:v>SCA-25</x:v>
      </x:c>
      <x:c r="C966" s="27" t="str">
        <x:v>Rail</x:v>
      </x:c>
      <x:c r="D966" s="27" t="str">
        <x:v>YES</x:v>
      </x:c>
      <x:c r="E966" s="27" t="str">
        <x:v>YES</x:v>
      </x:c>
      <x:c r="F966" s="61" t="n">
        <x:v>4187.422442390737</x:v>
      </x:c>
      <x:c r="G966" s="61" t="n">
        <x:v>85.82032060558197</x:v>
      </x:c>
      <x:c r="H966" s="27" t="str">
        <x:v>NO</x:v>
      </x:c>
      <x:c r="I966" s="27" t="str">
        <x:v>NARN shared-node topology; deployable terminal required</x:v>
      </x:c>
      <x:c r="J966" s="27" t="str">
        <x:v>presence does not prove operability or capacity</x:v>
      </x:c>
    </x:row>
    <x:row r="967" ht="54" hidden="0" customHeight="1">
      <x:c r="A967" s="29" t="str">
        <x:v>SCA-08</x:v>
      </x:c>
      <x:c r="B967" s="29" t="str">
        <x:v>SCA-25</x:v>
      </x:c>
      <x:c r="C967" s="29" t="str">
        <x:v>Air</x:v>
      </x:c>
      <x:c r="D967" s="29" t="str">
        <x:v>YES</x:v>
      </x:c>
      <x:c r="E967" s="29" t="str">
        <x:v>YES</x:v>
      </x:c>
      <x:c r="F967" s="62" t="n">
        <x:v>3264.945094007963</x:v>
      </x:c>
      <x:c r="G967" s="62" t="n">
        <x:v>29.022992452319944</x:v>
      </x:c>
      <x:c r="H967" s="29" t="str">
        <x:v>YES</x:v>
      </x:c>
      <x:c r="I967" s="29" t="str">
        <x:v>primary-airport endpoints; great-circle screen</x:v>
      </x:c>
      <x:c r="J967" s="29" t="str">
        <x:v>presence does not prove operability or capacity</x:v>
      </x:c>
    </x:row>
    <x:row r="968" ht="75.5999984741211" hidden="0" customHeight="1">
      <x:c r="A968" s="27" t="str">
        <x:v>SCA-08</x:v>
      </x:c>
      <x:c r="B968" s="27" t="str">
        <x:v>SCA-25</x:v>
      </x:c>
      <x:c r="C968" s="27" t="str">
        <x:v>Water</x:v>
      </x:c>
      <x:c r="D968" s="27" t="str">
        <x:v>YES</x:v>
      </x:c>
      <x:c r="E968" s="27" t="str">
        <x:v>YES</x:v>
      </x:c>
      <x:c r="F968" s="61" t="n">
        <x:v>8033.997430730873</x:v>
      </x:c>
      <x:c r="G968" s="61" t="n">
        <x:v>259.5427837351678</x:v>
      </x:c>
      <x:c r="H968" s="27" t="str">
        <x:v>NO</x:v>
      </x:c>
      <x:c r="I968" s="27" t="str">
        <x:v>USACE waterway node topology; deployable terminal required</x:v>
      </x:c>
      <x:c r="J968" s="27" t="str">
        <x:v>presence does not prove operability or capacity</x:v>
      </x:c>
    </x:row>
    <x:row r="969" ht="54" hidden="0" customHeight="1">
      <x:c r="A969" s="29" t="str">
        <x:v>SCA-08</x:v>
      </x:c>
      <x:c r="B969" s="29" t="str">
        <x:v>SCA-26</x:v>
      </x:c>
      <x:c r="C969" s="29" t="str">
        <x:v>Road</x:v>
      </x:c>
      <x:c r="D969" s="29" t="str">
        <x:v>YES</x:v>
      </x:c>
      <x:c r="E969" s="29" t="str">
        <x:v>YES</x:v>
      </x:c>
      <x:c r="F969" s="62" t="n">
        <x:v>4275.659954739697</x:v>
      </x:c>
      <x:c r="G969" s="62" t="n">
        <x:v>97.73927190435813</x:v>
      </x:c>
      <x:c r="H969" s="29" t="str">
        <x:v>NO</x:v>
      </x:c>
      <x:c r="I969" s="29" t="str">
        <x:v>NHPN-gated shared-boundary SCA path</x:v>
      </x:c>
      <x:c r="J969" s="29" t="str">
        <x:v>presence does not prove operability or capacity</x:v>
      </x:c>
    </x:row>
    <x:row r="970" ht="64.80000305175781" hidden="0" customHeight="1">
      <x:c r="A970" s="27" t="str">
        <x:v>SCA-08</x:v>
      </x:c>
      <x:c r="B970" s="27" t="str">
        <x:v>SCA-26</x:v>
      </x:c>
      <x:c r="C970" s="27" t="str">
        <x:v>Rail</x:v>
      </x:c>
      <x:c r="D970" s="27" t="str">
        <x:v>YES</x:v>
      </x:c>
      <x:c r="E970" s="27" t="str">
        <x:v>YES</x:v>
      </x:c>
      <x:c r="F970" s="61" t="n">
        <x:v>4535.917517202113</x:v>
      </x:c>
      <x:c r="G970" s="61" t="n">
        <x:v>90.7988216743159</x:v>
      </x:c>
      <x:c r="H970" s="27" t="str">
        <x:v>NO</x:v>
      </x:c>
      <x:c r="I970" s="27" t="str">
        <x:v>NARN shared-node topology; deployable terminal required</x:v>
      </x:c>
      <x:c r="J970" s="27" t="str">
        <x:v>presence does not prove operability or capacity</x:v>
      </x:c>
    </x:row>
    <x:row r="971" ht="54" hidden="0" customHeight="1">
      <x:c r="A971" s="29" t="str">
        <x:v>SCA-08</x:v>
      </x:c>
      <x:c r="B971" s="29" t="str">
        <x:v>SCA-26</x:v>
      </x:c>
      <x:c r="C971" s="29" t="str">
        <x:v>Air</x:v>
      </x:c>
      <x:c r="D971" s="29" t="str">
        <x:v>YES</x:v>
      </x:c>
      <x:c r="E971" s="29" t="str">
        <x:v>YES</x:v>
      </x:c>
      <x:c r="F971" s="62" t="n">
        <x:v>3464.263781620289</x:v>
      </x:c>
      <x:c r="G971" s="62" t="n">
        <x:v>29.329636587108137</x:v>
      </x:c>
      <x:c r="H971" s="29" t="str">
        <x:v>YES</x:v>
      </x:c>
      <x:c r="I971" s="29" t="str">
        <x:v>primary-airport endpoints; great-circle screen</x:v>
      </x:c>
      <x:c r="J971" s="29" t="str">
        <x:v>presence does not prove operability or capacity</x:v>
      </x:c>
    </x:row>
    <x:row r="972" ht="75.5999984741211" hidden="0" customHeight="1">
      <x:c r="A972" s="27" t="str">
        <x:v>SCA-08</x:v>
      </x:c>
      <x:c r="B972" s="27" t="str">
        <x:v>SCA-26</x:v>
      </x:c>
      <x:c r="C972" s="27" t="str">
        <x:v>Water</x:v>
      </x:c>
      <x:c r="D972" s="27" t="str">
        <x:v>YES</x:v>
      </x:c>
      <x:c r="E972" s="27" t="str">
        <x:v>YES</x:v>
      </x:c>
      <x:c r="F972" s="61" t="n">
        <x:v>7690.228949454782</x:v>
      </x:c>
      <x:c r="G972" s="61" t="n">
        <x:v>249.72082712727948</x:v>
      </x:c>
      <x:c r="H972" s="27" t="str">
        <x:v>NO</x:v>
      </x:c>
      <x:c r="I972" s="27" t="str">
        <x:v>USACE waterway node topology; deployable terminal required</x:v>
      </x:c>
      <x:c r="J972" s="27" t="str">
        <x:v>presence does not prove operability or capacity</x:v>
      </x:c>
    </x:row>
    <x:row r="973" ht="54" hidden="0" customHeight="1">
      <x:c r="A973" s="29" t="str">
        <x:v>SCA-08</x:v>
      </x:c>
      <x:c r="B973" s="29" t="str">
        <x:v>SCA-27</x:v>
      </x:c>
      <x:c r="C973" s="29" t="str">
        <x:v>Road</x:v>
      </x:c>
      <x:c r="D973" s="29" t="str">
        <x:v>YES</x:v>
      </x:c>
      <x:c r="E973" s="29" t="str">
        <x:v>YES</x:v>
      </x:c>
      <x:c r="F973" s="62" t="n">
        <x:v>4555.288218859246</x:v>
      </x:c>
      <x:c r="G973" s="62" t="n">
        <x:v>102.82342216107719</x:v>
      </x:c>
      <x:c r="H973" s="29" t="str">
        <x:v>NO</x:v>
      </x:c>
      <x:c r="I973" s="29" t="str">
        <x:v>NHPN-gated shared-boundary SCA path</x:v>
      </x:c>
      <x:c r="J973" s="29" t="str">
        <x:v>presence does not prove operability or capacity</x:v>
      </x:c>
    </x:row>
    <x:row r="974" ht="64.80000305175781" hidden="0" customHeight="1">
      <x:c r="A974" s="27" t="str">
        <x:v>SCA-08</x:v>
      </x:c>
      <x:c r="B974" s="27" t="str">
        <x:v>SCA-27</x:v>
      </x:c>
      <x:c r="C974" s="27" t="str">
        <x:v>Rail</x:v>
      </x:c>
      <x:c r="D974" s="27" t="str">
        <x:v>YES</x:v>
      </x:c>
      <x:c r="E974" s="27" t="str">
        <x:v>YES</x:v>
      </x:c>
      <x:c r="F974" s="61" t="n">
        <x:v>4832.566632181113</x:v>
      </x:c>
      <x:c r="G974" s="61" t="n">
        <x:v>95.0366661740159</x:v>
      </x:c>
      <x:c r="H974" s="27" t="str">
        <x:v>NO</x:v>
      </x:c>
      <x:c r="I974" s="27" t="str">
        <x:v>NARN shared-node topology; deployable terminal required</x:v>
      </x:c>
      <x:c r="J974" s="27" t="str">
        <x:v>presence does not prove operability or capacity</x:v>
      </x:c>
    </x:row>
    <x:row r="975" ht="54" hidden="0" customHeight="1">
      <x:c r="A975" s="29" t="str">
        <x:v>SCA-08</x:v>
      </x:c>
      <x:c r="B975" s="29" t="str">
        <x:v>SCA-27</x:v>
      </x:c>
      <x:c r="C975" s="29" t="str">
        <x:v>Air</x:v>
      </x:c>
      <x:c r="D975" s="29" t="str">
        <x:v>YES</x:v>
      </x:c>
      <x:c r="E975" s="29" t="str">
        <x:v>YES</x:v>
      </x:c>
      <x:c r="F975" s="62" t="n">
        <x:v>3699.713206977636</x:v>
      </x:c>
      <x:c r="G975" s="62" t="n">
        <x:v>29.691866472273286</x:v>
      </x:c>
      <x:c r="H975" s="29" t="str">
        <x:v>YES</x:v>
      </x:c>
      <x:c r="I975" s="29" t="str">
        <x:v>primary-airport endpoints; great-circle screen</x:v>
      </x:c>
      <x:c r="J975" s="29" t="str">
        <x:v>presence does not prove operability or capacity</x:v>
      </x:c>
    </x:row>
    <x:row r="976" ht="75.5999984741211" hidden="0" customHeight="1">
      <x:c r="A976" s="27" t="str">
        <x:v>SCA-08</x:v>
      </x:c>
      <x:c r="B976" s="27" t="str">
        <x:v>SCA-27</x:v>
      </x:c>
      <x:c r="C976" s="27" t="str">
        <x:v>Water</x:v>
      </x:c>
      <x:c r="D976" s="27" t="str">
        <x:v>YES</x:v>
      </x:c>
      <x:c r="E976" s="27" t="str">
        <x:v>YES</x:v>
      </x:c>
      <x:c r="F976" s="61" t="n">
        <x:v>7378.99053373911</x:v>
      </x:c>
      <x:c r="G976" s="61" t="n">
        <x:v>240.82830096397458</x:v>
      </x:c>
      <x:c r="H976" s="27" t="str">
        <x:v>NO</x:v>
      </x:c>
      <x:c r="I976" s="27" t="str">
        <x:v>USACE waterway node topology; deployable terminal required</x:v>
      </x:c>
      <x:c r="J976" s="27" t="str">
        <x:v>presence does not prove operability or capacity</x:v>
      </x:c>
    </x:row>
    <x:row r="977" ht="54" hidden="0" customHeight="1">
      <x:c r="A977" s="29" t="str">
        <x:v>SCA-08</x:v>
      </x:c>
      <x:c r="B977" s="29" t="str">
        <x:v>SCA-28</x:v>
      </x:c>
      <x:c r="C977" s="29" t="str">
        <x:v>Road</x:v>
      </x:c>
      <x:c r="D977" s="29" t="str">
        <x:v>YES</x:v>
      </x:c>
      <x:c r="E977" s="29" t="str">
        <x:v>YES</x:v>
      </x:c>
      <x:c r="F977" s="62" t="n">
        <x:v>3438.5896632235035</x:v>
      </x:c>
      <x:c r="G977" s="62" t="n">
        <x:v>82.51981205860915</x:v>
      </x:c>
      <x:c r="H977" s="29" t="str">
        <x:v>NO</x:v>
      </x:c>
      <x:c r="I977" s="29" t="str">
        <x:v>NHPN-gated shared-boundary SCA path</x:v>
      </x:c>
      <x:c r="J977" s="29" t="str">
        <x:v>presence does not prove operability or capacity</x:v>
      </x:c>
    </x:row>
    <x:row r="978" ht="64.80000305175781" hidden="0" customHeight="1">
      <x:c r="A978" s="27" t="str">
        <x:v>SCA-08</x:v>
      </x:c>
      <x:c r="B978" s="27" t="str">
        <x:v>SCA-28</x:v>
      </x:c>
      <x:c r="C978" s="27" t="str">
        <x:v>Rail</x:v>
      </x:c>
      <x:c r="D978" s="27" t="str">
        <x:v>YES</x:v>
      </x:c>
      <x:c r="E978" s="27" t="str">
        <x:v>YES</x:v>
      </x:c>
      <x:c r="F978" s="61" t="n">
        <x:v>3647.8951209849347</x:v>
      </x:c>
      <x:c r="G978" s="61" t="n">
        <x:v>78.11278744264192</x:v>
      </x:c>
      <x:c r="H978" s="27" t="str">
        <x:v>NO</x:v>
      </x:c>
      <x:c r="I978" s="27" t="str">
        <x:v>NARN shared-node topology; deployable terminal required</x:v>
      </x:c>
      <x:c r="J978" s="27" t="str">
        <x:v>presence does not prove operability or capacity</x:v>
      </x:c>
    </x:row>
    <x:row r="979" ht="54" hidden="0" customHeight="1">
      <x:c r="A979" s="29" t="str">
        <x:v>SCA-08</x:v>
      </x:c>
      <x:c r="B979" s="29" t="str">
        <x:v>SCA-28</x:v>
      </x:c>
      <x:c r="C979" s="29" t="str">
        <x:v>Air</x:v>
      </x:c>
      <x:c r="D979" s="29" t="str">
        <x:v>YES</x:v>
      </x:c>
      <x:c r="E979" s="29" t="str">
        <x:v>YES</x:v>
      </x:c>
      <x:c r="F979" s="62" t="n">
        <x:v>2930.310038061673</x:v>
      </x:c>
      <x:c r="G979" s="62" t="n">
        <x:v>28.50816928932565</x:v>
      </x:c>
      <x:c r="H979" s="29" t="str">
        <x:v>YES</x:v>
      </x:c>
      <x:c r="I979" s="29" t="str">
        <x:v>primary-airport endpoints; great-circle screen</x:v>
      </x:c>
      <x:c r="J979" s="29" t="str">
        <x:v>presence does not prove operability or capacity</x:v>
      </x:c>
    </x:row>
    <x:row r="980" ht="75.5999984741211" hidden="0" customHeight="1">
      <x:c r="A980" s="27" t="str">
        <x:v>SCA-08</x:v>
      </x:c>
      <x:c r="B980" s="27" t="str">
        <x:v>SCA-28</x:v>
      </x:c>
      <x:c r="C980" s="27" t="str">
        <x:v>Water</x:v>
      </x:c>
      <x:c r="D980" s="27" t="str">
        <x:v>YES</x:v>
      </x:c>
      <x:c r="E980" s="27" t="str">
        <x:v>YES</x:v>
      </x:c>
      <x:c r="F980" s="61" t="n">
        <x:v>9412.543303631508</x:v>
      </x:c>
      <x:c r="G980" s="61" t="n">
        <x:v>298.92980867518594</x:v>
      </x:c>
      <x:c r="H980" s="27" t="str">
        <x:v>NO</x:v>
      </x:c>
      <x:c r="I980" s="27" t="str">
        <x:v>USACE waterway node topology; deployable terminal required</x:v>
      </x:c>
      <x:c r="J980" s="27" t="str">
        <x:v>presence does not prove operability or capacity</x:v>
      </x:c>
    </x:row>
    <x:row r="981" ht="54" hidden="0" customHeight="1">
      <x:c r="A981" s="29" t="str">
        <x:v>SCA-08</x:v>
      </x:c>
      <x:c r="B981" s="29" t="str">
        <x:v>SCA-29</x:v>
      </x:c>
      <x:c r="C981" s="29" t="str">
        <x:v>Road</x:v>
      </x:c>
      <x:c r="D981" s="29" t="str">
        <x:v>YES</x:v>
      </x:c>
      <x:c r="E981" s="29" t="str">
        <x:v>YES</x:v>
      </x:c>
      <x:c r="F981" s="62" t="n">
        <x:v>3812.4063754575277</x:v>
      </x:c>
      <x:c r="G981" s="62" t="n">
        <x:v>89.31647955377323</x:v>
      </x:c>
      <x:c r="H981" s="29" t="str">
        <x:v>NO</x:v>
      </x:c>
      <x:c r="I981" s="29" t="str">
        <x:v>NHPN-gated shared-boundary SCA path</x:v>
      </x:c>
      <x:c r="J981" s="29" t="str">
        <x:v>presence does not prove operability or capacity</x:v>
      </x:c>
    </x:row>
    <x:row r="982" ht="64.80000305175781" hidden="0" customHeight="1">
      <x:c r="A982" s="27" t="str">
        <x:v>SCA-08</x:v>
      </x:c>
      <x:c r="B982" s="27" t="str">
        <x:v>SCA-29</x:v>
      </x:c>
      <x:c r="C982" s="27" t="str">
        <x:v>Rail</x:v>
      </x:c>
      <x:c r="D982" s="27" t="str">
        <x:v>YES</x:v>
      </x:c>
      <x:c r="E982" s="27" t="str">
        <x:v>YES</x:v>
      </x:c>
      <x:c r="F982" s="61" t="n">
        <x:v>4044.4658939636383</x:v>
      </x:c>
      <x:c r="G982" s="61" t="n">
        <x:v>83.77808419948055</x:v>
      </x:c>
      <x:c r="H982" s="27" t="str">
        <x:v>NO</x:v>
      </x:c>
      <x:c r="I982" s="27" t="str">
        <x:v>NARN shared-node topology; deployable terminal required</x:v>
      </x:c>
      <x:c r="J982" s="27" t="str">
        <x:v>presence does not prove operability or capacity</x:v>
      </x:c>
    </x:row>
    <x:row r="983" ht="54" hidden="0" customHeight="1">
      <x:c r="A983" s="29" t="str">
        <x:v>SCA-08</x:v>
      </x:c>
      <x:c r="B983" s="29" t="str">
        <x:v>SCA-29</x:v>
      </x:c>
      <x:c r="C983" s="29" t="str">
        <x:v>Air</x:v>
      </x:c>
      <x:c r="D983" s="29" t="str">
        <x:v>YES</x:v>
      </x:c>
      <x:c r="E983" s="29" t="str">
        <x:v>YES</x:v>
      </x:c>
      <x:c r="F983" s="62" t="n">
        <x:v>3170.6558656883367</x:v>
      </x:c>
      <x:c r="G983" s="62" t="n">
        <x:v>28.87793210105898</x:v>
      </x:c>
      <x:c r="H983" s="29" t="str">
        <x:v>YES</x:v>
      </x:c>
      <x:c r="I983" s="29" t="str">
        <x:v>primary-airport endpoints; great-circle screen</x:v>
      </x:c>
      <x:c r="J983" s="29" t="str">
        <x:v>presence does not prove operability or capacity</x:v>
      </x:c>
    </x:row>
    <x:row r="984" ht="75.5999984741211" hidden="0" customHeight="1">
      <x:c r="A984" s="27" t="str">
        <x:v>SCA-08</x:v>
      </x:c>
      <x:c r="B984" s="27" t="str">
        <x:v>SCA-29</x:v>
      </x:c>
      <x:c r="C984" s="27" t="str">
        <x:v>Water</x:v>
      </x:c>
      <x:c r="D984" s="27" t="str">
        <x:v>YES</x:v>
      </x:c>
      <x:c r="E984" s="27" t="str">
        <x:v>YES</x:v>
      </x:c>
      <x:c r="F984" s="61" t="n">
        <x:v>8771.146109528072</x:v>
      </x:c>
      <x:c r="G984" s="61" t="n">
        <x:v>280.60417455794493</x:v>
      </x:c>
      <x:c r="H984" s="27" t="str">
        <x:v>NO</x:v>
      </x:c>
      <x:c r="I984" s="27" t="str">
        <x:v>USACE waterway node topology; deployable terminal required</x:v>
      </x:c>
      <x:c r="J984" s="27" t="str">
        <x:v>presence does not prove operability or capacity</x:v>
      </x:c>
    </x:row>
    <x:row r="985" ht="54" hidden="0" customHeight="1">
      <x:c r="A985" s="29" t="str">
        <x:v>SCA-08</x:v>
      </x:c>
      <x:c r="B985" s="29" t="str">
        <x:v>SCA-30</x:v>
      </x:c>
      <x:c r="C985" s="29" t="str">
        <x:v>Road</x:v>
      </x:c>
      <x:c r="D985" s="29" t="str">
        <x:v>YES</x:v>
      </x:c>
      <x:c r="E985" s="29" t="str">
        <x:v>YES</x:v>
      </x:c>
      <x:c r="F985" s="62" t="n">
        <x:v>3902.1533791547436</x:v>
      </x:c>
      <x:c r="G985" s="62" t="n">
        <x:v>90.94824325735897</x:v>
      </x:c>
      <x:c r="H985" s="29" t="str">
        <x:v>NO</x:v>
      </x:c>
      <x:c r="I985" s="29" t="str">
        <x:v>NHPN-gated shared-boundary SCA path</x:v>
      </x:c>
      <x:c r="J985" s="29" t="str">
        <x:v>presence does not prove operability or capacity</x:v>
      </x:c>
    </x:row>
    <x:row r="986" ht="64.80000305175781" hidden="0" customHeight="1">
      <x:c r="A986" s="27" t="str">
        <x:v>SCA-08</x:v>
      </x:c>
      <x:c r="B986" s="27" t="str">
        <x:v>SCA-30</x:v>
      </x:c>
      <x:c r="C986" s="27" t="str">
        <x:v>Rail</x:v>
      </x:c>
      <x:c r="D986" s="27" t="str">
        <x:v>YES</x:v>
      </x:c>
      <x:c r="E986" s="27" t="str">
        <x:v>YES</x:v>
      </x:c>
      <x:c r="F986" s="61" t="n">
        <x:v>4139.6757587554675</x:v>
      </x:c>
      <x:c r="G986" s="61" t="n">
        <x:v>85.13822512507811</x:v>
      </x:c>
      <x:c r="H986" s="27" t="str">
        <x:v>NO</x:v>
      </x:c>
      <x:c r="I986" s="27" t="str">
        <x:v>NARN shared-node topology; deployable terminal required</x:v>
      </x:c>
      <x:c r="J986" s="27" t="str">
        <x:v>presence does not prove operability or capacity</x:v>
      </x:c>
    </x:row>
    <x:row r="987" ht="54" hidden="0" customHeight="1">
      <x:c r="A987" s="29" t="str">
        <x:v>SCA-08</x:v>
      </x:c>
      <x:c r="B987" s="29" t="str">
        <x:v>SCA-30</x:v>
      </x:c>
      <x:c r="C987" s="29" t="str">
        <x:v>Air</x:v>
      </x:c>
      <x:c r="D987" s="29" t="str">
        <x:v>YES</x:v>
      </x:c>
      <x:c r="E987" s="29" t="str">
        <x:v>YES</x:v>
      </x:c>
      <x:c r="F987" s="62" t="n">
        <x:v>3295.2087354100786</x:v>
      </x:c>
      <x:c r="G987" s="62" t="n">
        <x:v>29.06955190063089</x:v>
      </x:c>
      <x:c r="H987" s="29" t="str">
        <x:v>YES</x:v>
      </x:c>
      <x:c r="I987" s="29" t="str">
        <x:v>primary-airport endpoints; great-circle screen</x:v>
      </x:c>
      <x:c r="J987" s="29" t="str">
        <x:v>presence does not prove operability or capacity</x:v>
      </x:c>
    </x:row>
    <x:row r="988" ht="75.5999984741211" hidden="0" customHeight="1">
      <x:c r="A988" s="27" t="str">
        <x:v>SCA-08</x:v>
      </x:c>
      <x:c r="B988" s="27" t="str">
        <x:v>SCA-30</x:v>
      </x:c>
      <x:c r="C988" s="27" t="str">
        <x:v>Water</x:v>
      </x:c>
      <x:c r="D988" s="27" t="str">
        <x:v>YES</x:v>
      </x:c>
      <x:c r="E988" s="27" t="str">
        <x:v>YES</x:v>
      </x:c>
      <x:c r="F988" s="61" t="n">
        <x:v>9607.07439830176</x:v>
      </x:c>
      <x:c r="G988" s="61" t="n">
        <x:v>304.48783995147886</x:v>
      </x:c>
      <x:c r="H988" s="27" t="str">
        <x:v>NO</x:v>
      </x:c>
      <x:c r="I988" s="27" t="str">
        <x:v>USACE waterway node topology; deployable terminal required</x:v>
      </x:c>
      <x:c r="J988" s="27" t="str">
        <x:v>presence does not prove operability or capacity</x:v>
      </x:c>
    </x:row>
    <x:row r="989" ht="54" hidden="0" customHeight="1">
      <x:c r="A989" s="29" t="str">
        <x:v>SCA-08</x:v>
      </x:c>
      <x:c r="B989" s="29" t="str">
        <x:v>SCA-31</x:v>
      </x:c>
      <x:c r="C989" s="29" t="str">
        <x:v>Road</x:v>
      </x:c>
      <x:c r="D989" s="29" t="str">
        <x:v>YES</x:v>
      </x:c>
      <x:c r="E989" s="29" t="str">
        <x:v>YES</x:v>
      </x:c>
      <x:c r="F989" s="62" t="n">
        <x:v>4295.235524341249</x:v>
      </x:c>
      <x:c r="G989" s="62" t="n">
        <x:v>98.09519135165908</x:v>
      </x:c>
      <x:c r="H989" s="29" t="str">
        <x:v>NO</x:v>
      </x:c>
      <x:c r="I989" s="29" t="str">
        <x:v>NHPN-gated shared-boundary SCA path</x:v>
      </x:c>
      <x:c r="J989" s="29" t="str">
        <x:v>presence does not prove operability or capacity</x:v>
      </x:c>
    </x:row>
    <x:row r="990" ht="64.80000305175781" hidden="0" customHeight="1">
      <x:c r="A990" s="27" t="str">
        <x:v>SCA-08</x:v>
      </x:c>
      <x:c r="B990" s="27" t="str">
        <x:v>SCA-31</x:v>
      </x:c>
      <x:c r="C990" s="27" t="str">
        <x:v>Rail</x:v>
      </x:c>
      <x:c r="D990" s="27" t="str">
        <x:v>YES</x:v>
      </x:c>
      <x:c r="E990" s="27" t="str">
        <x:v>YES</x:v>
      </x:c>
      <x:c r="F990" s="61" t="n">
        <x:v>4556.684643214196</x:v>
      </x:c>
      <x:c r="G990" s="61" t="n">
        <x:v>91.09549490305994</x:v>
      </x:c>
      <x:c r="H990" s="27" t="str">
        <x:v>NO</x:v>
      </x:c>
      <x:c r="I990" s="27" t="str">
        <x:v>NARN shared-node topology; deployable terminal required</x:v>
      </x:c>
      <x:c r="J990" s="27" t="str">
        <x:v>presence does not prove operability or capacity</x:v>
      </x:c>
    </x:row>
    <x:row r="991" ht="54" hidden="0" customHeight="1">
      <x:c r="A991" s="29" t="str">
        <x:v>SCA-08</x:v>
      </x:c>
      <x:c r="B991" s="29" t="str">
        <x:v>SCA-31</x:v>
      </x:c>
      <x:c r="C991" s="29" t="str">
        <x:v>Air</x:v>
      </x:c>
      <x:c r="D991" s="29" t="str">
        <x:v>YES</x:v>
      </x:c>
      <x:c r="E991" s="29" t="str">
        <x:v>YES</x:v>
      </x:c>
      <x:c r="F991" s="62" t="n">
        <x:v>3451.369600126355</x:v>
      </x:c>
      <x:c r="G991" s="62" t="n">
        <x:v>29.30979938480978</x:v>
      </x:c>
      <x:c r="H991" s="29" t="str">
        <x:v>YES</x:v>
      </x:c>
      <x:c r="I991" s="29" t="str">
        <x:v>primary-airport endpoints; great-circle screen</x:v>
      </x:c>
      <x:c r="J991" s="29" t="str">
        <x:v>presence does not prove operability or capacity</x:v>
      </x:c>
    </x:row>
    <x:row r="992" ht="75.5999984741211" hidden="0" customHeight="1">
      <x:c r="A992" s="27" t="str">
        <x:v>SCA-08</x:v>
      </x:c>
      <x:c r="B992" s="27" t="str">
        <x:v>SCA-31</x:v>
      </x:c>
      <x:c r="C992" s="27" t="str">
        <x:v>Water</x:v>
      </x:c>
      <x:c r="D992" s="27" t="str">
        <x:v>YES</x:v>
      </x:c>
      <x:c r="E992" s="27" t="str">
        <x:v>YES</x:v>
      </x:c>
      <x:c r="F992" s="61" t="n">
        <x:v>10041.292344619858</x:v>
      </x:c>
      <x:c r="G992" s="61" t="n">
        <x:v>316.8940669891388</x:v>
      </x:c>
      <x:c r="H992" s="27" t="str">
        <x:v>NO</x:v>
      </x:c>
      <x:c r="I992" s="27" t="str">
        <x:v>USACE waterway node topology; deployable terminal required</x:v>
      </x:c>
      <x:c r="J992" s="27" t="str">
        <x:v>presence does not prove operability or capacity</x:v>
      </x:c>
    </x:row>
    <x:row r="993" ht="54" hidden="0" customHeight="1">
      <x:c r="A993" s="29" t="str">
        <x:v>SCA-08</x:v>
      </x:c>
      <x:c r="B993" s="29" t="str">
        <x:v>SCA-32</x:v>
      </x:c>
      <x:c r="C993" s="29" t="str">
        <x:v>Road</x:v>
      </x:c>
      <x:c r="D993" s="29" t="str">
        <x:v>NO</x:v>
      </x:c>
      <x:c r="E993" s="29" t="str">
        <x:v>NO</x:v>
      </x:c>
      <x:c r="F993" s="62"/>
      <x:c r="G993" s="62"/>
      <x:c r="H993" s="29" t="str">
        <x:v>NO</x:v>
      </x:c>
      <x:c r="I993" s="29" t="str">
        <x:v>no screened path</x:v>
      </x:c>
      <x:c r="J993" s="29" t="str">
        <x:v>presence does not prove operability or capacity</x:v>
      </x:c>
    </x:row>
    <x:row r="994" ht="54" hidden="0" customHeight="1">
      <x:c r="A994" s="27" t="str">
        <x:v>SCA-08</x:v>
      </x:c>
      <x:c r="B994" s="27" t="str">
        <x:v>SCA-32</x:v>
      </x:c>
      <x:c r="C994" s="27" t="str">
        <x:v>Rail</x:v>
      </x:c>
      <x:c r="D994" s="27" t="str">
        <x:v>NO</x:v>
      </x:c>
      <x:c r="E994" s="27" t="str">
        <x:v>NO</x:v>
      </x:c>
      <x:c r="F994" s="61"/>
      <x:c r="G994" s="61"/>
      <x:c r="H994" s="27" t="str">
        <x:v>NO</x:v>
      </x:c>
      <x:c r="I994" s="27" t="str">
        <x:v>no screened path</x:v>
      </x:c>
      <x:c r="J994" s="27" t="str">
        <x:v>presence does not prove operability or capacity</x:v>
      </x:c>
    </x:row>
    <x:row r="995" ht="54" hidden="0" customHeight="1">
      <x:c r="A995" s="29" t="str">
        <x:v>SCA-08</x:v>
      </x:c>
      <x:c r="B995" s="29" t="str">
        <x:v>SCA-32</x:v>
      </x:c>
      <x:c r="C995" s="29" t="str">
        <x:v>Air</x:v>
      </x:c>
      <x:c r="D995" s="29" t="str">
        <x:v>YES</x:v>
      </x:c>
      <x:c r="E995" s="29" t="str">
        <x:v>YES</x:v>
      </x:c>
      <x:c r="F995" s="62" t="n">
        <x:v>5358.281498361703</x:v>
      </x:c>
      <x:c r="G995" s="62" t="n">
        <x:v>32.24350999747954</x:v>
      </x:c>
      <x:c r="H995" s="29" t="str">
        <x:v>YES</x:v>
      </x:c>
      <x:c r="I995" s="29" t="str">
        <x:v>primary-airport endpoints; great-circle screen</x:v>
      </x:c>
      <x:c r="J995" s="29" t="str">
        <x:v>presence does not prove operability or capacity</x:v>
      </x:c>
    </x:row>
    <x:row r="996" ht="75.5999984741211" hidden="0" customHeight="1">
      <x:c r="A996" s="27" t="str">
        <x:v>SCA-08</x:v>
      </x:c>
      <x:c r="B996" s="27" t="str">
        <x:v>SCA-32</x:v>
      </x:c>
      <x:c r="C996" s="27" t="str">
        <x:v>Water</x:v>
      </x:c>
      <x:c r="D996" s="27" t="str">
        <x:v>YES</x:v>
      </x:c>
      <x:c r="E996" s="27" t="str">
        <x:v>YES</x:v>
      </x:c>
      <x:c r="F996" s="61" t="n">
        <x:v>9544.576723879547</x:v>
      </x:c>
      <x:c r="G996" s="61" t="n">
        <x:v>302.7021921108442</x:v>
      </x:c>
      <x:c r="H996" s="27" t="str">
        <x:v>NO</x:v>
      </x:c>
      <x:c r="I996" s="27" t="str">
        <x:v>USACE waterway node topology; deployable terminal required</x:v>
      </x:c>
      <x:c r="J996" s="27" t="str">
        <x:v>presence does not prove operability or capacity</x:v>
      </x:c>
    </x:row>
    <x:row r="997" ht="54" hidden="0" customHeight="1">
      <x:c r="A997" s="29" t="str">
        <x:v>SCA-09</x:v>
      </x:c>
      <x:c r="B997" s="29" t="str">
        <x:v>SCA-01</x:v>
      </x:c>
      <x:c r="C997" s="29" t="str">
        <x:v>Road</x:v>
      </x:c>
      <x:c r="D997" s="29" t="str">
        <x:v>NO</x:v>
      </x:c>
      <x:c r="E997" s="29" t="str">
        <x:v>NO</x:v>
      </x:c>
      <x:c r="F997" s="62"/>
      <x:c r="G997" s="62"/>
      <x:c r="H997" s="29" t="str">
        <x:v>NO</x:v>
      </x:c>
      <x:c r="I997" s="29" t="str">
        <x:v>no screened path</x:v>
      </x:c>
      <x:c r="J997" s="29" t="str">
        <x:v>presence does not prove operability or capacity</x:v>
      </x:c>
    </x:row>
    <x:row r="998" ht="54" hidden="0" customHeight="1">
      <x:c r="A998" s="27" t="str">
        <x:v>SCA-09</x:v>
      </x:c>
      <x:c r="B998" s="27" t="str">
        <x:v>SCA-01</x:v>
      </x:c>
      <x:c r="C998" s="27" t="str">
        <x:v>Rail</x:v>
      </x:c>
      <x:c r="D998" s="27" t="str">
        <x:v>NO</x:v>
      </x:c>
      <x:c r="E998" s="27" t="str">
        <x:v>NO</x:v>
      </x:c>
      <x:c r="F998" s="61"/>
      <x:c r="G998" s="61"/>
      <x:c r="H998" s="27" t="str">
        <x:v>NO</x:v>
      </x:c>
      <x:c r="I998" s="27" t="str">
        <x:v>no screened path</x:v>
      </x:c>
      <x:c r="J998" s="27" t="str">
        <x:v>presence does not prove operability or capacity</x:v>
      </x:c>
    </x:row>
    <x:row r="999" ht="54" hidden="0" customHeight="1">
      <x:c r="A999" s="29" t="str">
        <x:v>SCA-09</x:v>
      </x:c>
      <x:c r="B999" s="29" t="str">
        <x:v>SCA-01</x:v>
      </x:c>
      <x:c r="C999" s="29" t="str">
        <x:v>Air</x:v>
      </x:c>
      <x:c r="D999" s="29" t="str">
        <x:v>YES</x:v>
      </x:c>
      <x:c r="E999" s="29" t="str">
        <x:v>YES</x:v>
      </x:c>
      <x:c r="F999" s="62" t="n">
        <x:v>4657.369970125367</x:v>
      </x:c>
      <x:c r="G999" s="62" t="n">
        <x:v>31.16518456942364</x:v>
      </x:c>
      <x:c r="H999" s="29" t="str">
        <x:v>YES</x:v>
      </x:c>
      <x:c r="I999" s="29" t="str">
        <x:v>primary-airport endpoints; great-circle screen</x:v>
      </x:c>
      <x:c r="J999" s="29" t="str">
        <x:v>presence does not prove operability or capacity</x:v>
      </x:c>
    </x:row>
    <x:row r="1000" ht="54" hidden="0" customHeight="1">
      <x:c r="A1000" s="27" t="str">
        <x:v>SCA-09</x:v>
      </x:c>
      <x:c r="B1000" s="27" t="str">
        <x:v>SCA-01</x:v>
      </x:c>
      <x:c r="C1000" s="27" t="str">
        <x:v>Water</x:v>
      </x:c>
      <x:c r="D1000" s="27" t="str">
        <x:v>NO</x:v>
      </x:c>
      <x:c r="E1000" s="27" t="str">
        <x:v>NO</x:v>
      </x:c>
      <x:c r="F1000" s="61"/>
      <x:c r="G1000" s="61"/>
      <x:c r="H1000" s="27" t="str">
        <x:v>NO</x:v>
      </x:c>
      <x:c r="I1000" s="27" t="str">
        <x:v>no screened path</x:v>
      </x:c>
      <x:c r="J1000" s="27" t="str">
        <x:v>presence does not prove operability or capacity</x:v>
      </x:c>
    </x:row>
    <x:row r="1001" ht="54" hidden="0" customHeight="1">
      <x:c r="A1001" s="29" t="str">
        <x:v>SCA-09</x:v>
      </x:c>
      <x:c r="B1001" s="29" t="str">
        <x:v>SCA-02</x:v>
      </x:c>
      <x:c r="C1001" s="29" t="str">
        <x:v>Road</x:v>
      </x:c>
      <x:c r="D1001" s="29" t="str">
        <x:v>NO</x:v>
      </x:c>
      <x:c r="E1001" s="29" t="str">
        <x:v>NO</x:v>
      </x:c>
      <x:c r="F1001" s="62"/>
      <x:c r="G1001" s="62"/>
      <x:c r="H1001" s="29" t="str">
        <x:v>NO</x:v>
      </x:c>
      <x:c r="I1001" s="29" t="str">
        <x:v>no screened path</x:v>
      </x:c>
      <x:c r="J1001" s="29" t="str">
        <x:v>presence does not prove operability or capacity</x:v>
      </x:c>
    </x:row>
    <x:row r="1002" ht="54" hidden="0" customHeight="1">
      <x:c r="A1002" s="27" t="str">
        <x:v>SCA-09</x:v>
      </x:c>
      <x:c r="B1002" s="27" t="str">
        <x:v>SCA-02</x:v>
      </x:c>
      <x:c r="C1002" s="27" t="str">
        <x:v>Rail</x:v>
      </x:c>
      <x:c r="D1002" s="27" t="str">
        <x:v>NO</x:v>
      </x:c>
      <x:c r="E1002" s="27" t="str">
        <x:v>NO</x:v>
      </x:c>
      <x:c r="F1002" s="61"/>
      <x:c r="G1002" s="61"/>
      <x:c r="H1002" s="27" t="str">
        <x:v>NO</x:v>
      </x:c>
      <x:c r="I1002" s="27" t="str">
        <x:v>no screened path</x:v>
      </x:c>
      <x:c r="J1002" s="27" t="str">
        <x:v>presence does not prove operability or capacity</x:v>
      </x:c>
    </x:row>
    <x:row r="1003" ht="54" hidden="0" customHeight="1">
      <x:c r="A1003" s="29" t="str">
        <x:v>SCA-09</x:v>
      </x:c>
      <x:c r="B1003" s="29" t="str">
        <x:v>SCA-02</x:v>
      </x:c>
      <x:c r="C1003" s="29" t="str">
        <x:v>Air</x:v>
      </x:c>
      <x:c r="D1003" s="29" t="str">
        <x:v>YES</x:v>
      </x:c>
      <x:c r="E1003" s="29" t="str">
        <x:v>YES</x:v>
      </x:c>
      <x:c r="F1003" s="62" t="n">
        <x:v>3968.5360348648437</x:v>
      </x:c>
      <x:c r="G1003" s="62" t="n">
        <x:v>30.10544005363822</x:v>
      </x:c>
      <x:c r="H1003" s="29" t="str">
        <x:v>YES</x:v>
      </x:c>
      <x:c r="I1003" s="29" t="str">
        <x:v>primary-airport endpoints; great-circle screen</x:v>
      </x:c>
      <x:c r="J1003" s="29" t="str">
        <x:v>presence does not prove operability or capacity</x:v>
      </x:c>
    </x:row>
    <x:row r="1004" ht="54" hidden="0" customHeight="1">
      <x:c r="A1004" s="27" t="str">
        <x:v>SCA-09</x:v>
      </x:c>
      <x:c r="B1004" s="27" t="str">
        <x:v>SCA-02</x:v>
      </x:c>
      <x:c r="C1004" s="27" t="str">
        <x:v>Water</x:v>
      </x:c>
      <x:c r="D1004" s="27" t="str">
        <x:v>NO</x:v>
      </x:c>
      <x:c r="E1004" s="27" t="str">
        <x:v>NO</x:v>
      </x:c>
      <x:c r="F1004" s="61"/>
      <x:c r="G1004" s="61"/>
      <x:c r="H1004" s="27" t="str">
        <x:v>NO</x:v>
      </x:c>
      <x:c r="I1004" s="27" t="str">
        <x:v>no screened path</x:v>
      </x:c>
      <x:c r="J1004" s="27" t="str">
        <x:v>presence does not prove operability or capacity</x:v>
      </x:c>
    </x:row>
    <x:row r="1005" ht="54" hidden="0" customHeight="1">
      <x:c r="A1005" s="29" t="str">
        <x:v>SCA-09</x:v>
      </x:c>
      <x:c r="B1005" s="29" t="str">
        <x:v>SCA-03</x:v>
      </x:c>
      <x:c r="C1005" s="29" t="str">
        <x:v>Road</x:v>
      </x:c>
      <x:c r="D1005" s="29" t="str">
        <x:v>YES</x:v>
      </x:c>
      <x:c r="E1005" s="29" t="str">
        <x:v>YES</x:v>
      </x:c>
      <x:c r="F1005" s="62" t="n">
        <x:v>2231.0021361460217</x:v>
      </x:c>
      <x:c r="G1005" s="62" t="n">
        <x:v>60.56367520265494</x:v>
      </x:c>
      <x:c r="H1005" s="29" t="str">
        <x:v>YES</x:v>
      </x:c>
      <x:c r="I1005" s="29" t="str">
        <x:v>NHPN-gated shared-boundary SCA path</x:v>
      </x:c>
      <x:c r="J1005" s="29" t="str">
        <x:v>presence does not prove operability or capacity</x:v>
      </x:c>
    </x:row>
    <x:row r="1006" ht="64.80000305175781" hidden="0" customHeight="1">
      <x:c r="A1006" s="27" t="str">
        <x:v>SCA-09</x:v>
      </x:c>
      <x:c r="B1006" s="27" t="str">
        <x:v>SCA-03</x:v>
      </x:c>
      <x:c r="C1006" s="27" t="str">
        <x:v>Rail</x:v>
      </x:c>
      <x:c r="D1006" s="27" t="str">
        <x:v>YES</x:v>
      </x:c>
      <x:c r="E1006" s="27" t="str">
        <x:v>YES</x:v>
      </x:c>
      <x:c r="F1006" s="61" t="n">
        <x:v>2513.145055916253</x:v>
      </x:c>
      <x:c r="G1006" s="61" t="n">
        <x:v>61.902072227375044</x:v>
      </x:c>
      <x:c r="H1006" s="27" t="str">
        <x:v>YES</x:v>
      </x:c>
      <x:c r="I1006" s="27" t="str">
        <x:v>NARN shared-node topology; deployable terminal required</x:v>
      </x:c>
      <x:c r="J1006" s="27" t="str">
        <x:v>presence does not prove operability or capacity</x:v>
      </x:c>
    </x:row>
    <x:row r="1007" ht="54" hidden="0" customHeight="1">
      <x:c r="A1007" s="29" t="str">
        <x:v>SCA-09</x:v>
      </x:c>
      <x:c r="B1007" s="29" t="str">
        <x:v>SCA-03</x:v>
      </x:c>
      <x:c r="C1007" s="29" t="str">
        <x:v>Air</x:v>
      </x:c>
      <x:c r="D1007" s="29" t="str">
        <x:v>YES</x:v>
      </x:c>
      <x:c r="E1007" s="29" t="str">
        <x:v>YES</x:v>
      </x:c>
      <x:c r="F1007" s="62" t="n">
        <x:v>1691.2805667204357</x:v>
      </x:c>
      <x:c r="G1007" s="62" t="n">
        <x:v>26.601970102646824</x:v>
      </x:c>
      <x:c r="H1007" s="29" t="str">
        <x:v>YES</x:v>
      </x:c>
      <x:c r="I1007" s="29" t="str">
        <x:v>primary-airport endpoints; great-circle screen</x:v>
      </x:c>
      <x:c r="J1007" s="29" t="str">
        <x:v>presence does not prove operability or capacity</x:v>
      </x:c>
    </x:row>
    <x:row r="1008" ht="54" hidden="0" customHeight="1">
      <x:c r="A1008" s="27" t="str">
        <x:v>SCA-09</x:v>
      </x:c>
      <x:c r="B1008" s="27" t="str">
        <x:v>SCA-03</x:v>
      </x:c>
      <x:c r="C1008" s="27" t="str">
        <x:v>Water</x:v>
      </x:c>
      <x:c r="D1008" s="27" t="str">
        <x:v>NO</x:v>
      </x:c>
      <x:c r="E1008" s="27" t="str">
        <x:v>NO</x:v>
      </x:c>
      <x:c r="F1008" s="61"/>
      <x:c r="G1008" s="61"/>
      <x:c r="H1008" s="27" t="str">
        <x:v>NO</x:v>
      </x:c>
      <x:c r="I1008" s="27" t="str">
        <x:v>no screened path</x:v>
      </x:c>
      <x:c r="J1008" s="27" t="str">
        <x:v>presence does not prove operability or capacity</x:v>
      </x:c>
    </x:row>
    <x:row r="1009" ht="54" hidden="0" customHeight="1">
      <x:c r="A1009" s="29" t="str">
        <x:v>SCA-09</x:v>
      </x:c>
      <x:c r="B1009" s="29" t="str">
        <x:v>SCA-04</x:v>
      </x:c>
      <x:c r="C1009" s="29" t="str">
        <x:v>Road</x:v>
      </x:c>
      <x:c r="D1009" s="29" t="str">
        <x:v>YES</x:v>
      </x:c>
      <x:c r="E1009" s="29" t="str">
        <x:v>YES</x:v>
      </x:c>
      <x:c r="F1009" s="62" t="n">
        <x:v>1162.7403793266699</x:v>
      </x:c>
      <x:c r="G1009" s="62" t="n">
        <x:v>41.140734169575815</x:v>
      </x:c>
      <x:c r="H1009" s="29" t="str">
        <x:v>YES</x:v>
      </x:c>
      <x:c r="I1009" s="29" t="str">
        <x:v>NHPN-gated shared-boundary SCA path</x:v>
      </x:c>
      <x:c r="J1009" s="29" t="str">
        <x:v>presence does not prove operability or capacity</x:v>
      </x:c>
    </x:row>
    <x:row r="1010" ht="64.80000305175781" hidden="0" customHeight="1">
      <x:c r="A1010" s="27" t="str">
        <x:v>SCA-09</x:v>
      </x:c>
      <x:c r="B1010" s="27" t="str">
        <x:v>SCA-04</x:v>
      </x:c>
      <x:c r="C1010" s="27" t="str">
        <x:v>Rail</x:v>
      </x:c>
      <x:c r="D1010" s="27" t="str">
        <x:v>YES</x:v>
      </x:c>
      <x:c r="E1010" s="27" t="str">
        <x:v>YES</x:v>
      </x:c>
      <x:c r="F1010" s="61" t="n">
        <x:v>1357.711451053144</x:v>
      </x:c>
      <x:c r="G1010" s="61" t="n">
        <x:v>45.39587787218777</x:v>
      </x:c>
      <x:c r="H1010" s="27" t="str">
        <x:v>YES</x:v>
      </x:c>
      <x:c r="I1010" s="27" t="str">
        <x:v>NARN shared-node topology; deployable terminal required</x:v>
      </x:c>
      <x:c r="J1010" s="27" t="str">
        <x:v>presence does not prove operability or capacity</x:v>
      </x:c>
    </x:row>
    <x:row r="1011" ht="54" hidden="0" customHeight="1">
      <x:c r="A1011" s="29" t="str">
        <x:v>SCA-09</x:v>
      </x:c>
      <x:c r="B1011" s="29" t="str">
        <x:v>SCA-04</x:v>
      </x:c>
      <x:c r="C1011" s="29" t="str">
        <x:v>Air</x:v>
      </x:c>
      <x:c r="D1011" s="29" t="str">
        <x:v>YES</x:v>
      </x:c>
      <x:c r="E1011" s="29" t="str">
        <x:v>YES</x:v>
      </x:c>
      <x:c r="F1011" s="62" t="n">
        <x:v>1003.1655928284499</x:v>
      </x:c>
      <x:c r="G1011" s="62" t="n">
        <x:v>25.543331681274537</x:v>
      </x:c>
      <x:c r="H1011" s="29" t="str">
        <x:v>YES</x:v>
      </x:c>
      <x:c r="I1011" s="29" t="str">
        <x:v>primary-airport endpoints; great-circle screen</x:v>
      </x:c>
      <x:c r="J1011" s="29" t="str">
        <x:v>presence does not prove operability or capacity</x:v>
      </x:c>
    </x:row>
    <x:row r="1012" ht="54" hidden="0" customHeight="1">
      <x:c r="A1012" s="27" t="str">
        <x:v>SCA-09</x:v>
      </x:c>
      <x:c r="B1012" s="27" t="str">
        <x:v>SCA-04</x:v>
      </x:c>
      <x:c r="C1012" s="27" t="str">
        <x:v>Water</x:v>
      </x:c>
      <x:c r="D1012" s="27" t="str">
        <x:v>NO</x:v>
      </x:c>
      <x:c r="E1012" s="27" t="str">
        <x:v>NO</x:v>
      </x:c>
      <x:c r="F1012" s="61"/>
      <x:c r="G1012" s="61"/>
      <x:c r="H1012" s="27" t="str">
        <x:v>NO</x:v>
      </x:c>
      <x:c r="I1012" s="27" t="str">
        <x:v>no screened path</x:v>
      </x:c>
      <x:c r="J1012" s="27" t="str">
        <x:v>presence does not prove operability or capacity</x:v>
      </x:c>
    </x:row>
    <x:row r="1013" ht="54" hidden="0" customHeight="1">
      <x:c r="A1013" s="29" t="str">
        <x:v>SCA-09</x:v>
      </x:c>
      <x:c r="B1013" s="29" t="str">
        <x:v>SCA-05</x:v>
      </x:c>
      <x:c r="C1013" s="29" t="str">
        <x:v>Road</x:v>
      </x:c>
      <x:c r="D1013" s="29" t="str">
        <x:v>YES</x:v>
      </x:c>
      <x:c r="E1013" s="29" t="str">
        <x:v>YES</x:v>
      </x:c>
      <x:c r="F1013" s="62" t="n">
        <x:v>690.4768240419543</x:v>
      </x:c>
      <x:c r="G1013" s="62" t="n">
        <x:v>32.55412407349008</x:v>
      </x:c>
      <x:c r="H1013" s="29" t="str">
        <x:v>YES</x:v>
      </x:c>
      <x:c r="I1013" s="29" t="str">
        <x:v>NHPN-gated shared-boundary SCA path</x:v>
      </x:c>
      <x:c r="J1013" s="29" t="str">
        <x:v>presence does not prove operability or capacity</x:v>
      </x:c>
    </x:row>
    <x:row r="1014" ht="64.80000305175781" hidden="0" customHeight="1">
      <x:c r="A1014" s="27" t="str">
        <x:v>SCA-09</x:v>
      </x:c>
      <x:c r="B1014" s="27" t="str">
        <x:v>SCA-05</x:v>
      </x:c>
      <x:c r="C1014" s="27" t="str">
        <x:v>Rail</x:v>
      </x:c>
      <x:c r="D1014" s="27" t="str">
        <x:v>YES</x:v>
      </x:c>
      <x:c r="E1014" s="27" t="str">
        <x:v>YES</x:v>
      </x:c>
      <x:c r="F1014" s="61" t="n">
        <x:v>732.5058481140734</x:v>
      </x:c>
      <x:c r="G1014" s="61" t="n">
        <x:v>36.46436925877248</x:v>
      </x:c>
      <x:c r="H1014" s="27" t="str">
        <x:v>YES</x:v>
      </x:c>
      <x:c r="I1014" s="27" t="str">
        <x:v>NARN shared-node topology; deployable terminal required</x:v>
      </x:c>
      <x:c r="J1014" s="27" t="str">
        <x:v>presence does not prove operability or capacity</x:v>
      </x:c>
    </x:row>
    <x:row r="1015" ht="54" hidden="0" customHeight="1">
      <x:c r="A1015" s="29" t="str">
        <x:v>SCA-09</x:v>
      </x:c>
      <x:c r="B1015" s="29" t="str">
        <x:v>SCA-05</x:v>
      </x:c>
      <x:c r="C1015" s="29" t="str">
        <x:v>Air</x:v>
      </x:c>
      <x:c r="D1015" s="29" t="str">
        <x:v>YES</x:v>
      </x:c>
      <x:c r="E1015" s="29" t="str">
        <x:v>YES</x:v>
      </x:c>
      <x:c r="F1015" s="62" t="n">
        <x:v>581.1075323840885</x:v>
      </x:c>
      <x:c r="G1015" s="62" t="n">
        <x:v>24.894011588283213</x:v>
      </x:c>
      <x:c r="H1015" s="29" t="str">
        <x:v>YES</x:v>
      </x:c>
      <x:c r="I1015" s="29" t="str">
        <x:v>primary-airport endpoints; great-circle screen</x:v>
      </x:c>
      <x:c r="J1015" s="29" t="str">
        <x:v>presence does not prove operability or capacity</x:v>
      </x:c>
    </x:row>
    <x:row r="1016" ht="54" hidden="0" customHeight="1">
      <x:c r="A1016" s="27" t="str">
        <x:v>SCA-09</x:v>
      </x:c>
      <x:c r="B1016" s="27" t="str">
        <x:v>SCA-05</x:v>
      </x:c>
      <x:c r="C1016" s="27" t="str">
        <x:v>Water</x:v>
      </x:c>
      <x:c r="D1016" s="27" t="str">
        <x:v>NO</x:v>
      </x:c>
      <x:c r="E1016" s="27" t="str">
        <x:v>NO</x:v>
      </x:c>
      <x:c r="F1016" s="61"/>
      <x:c r="G1016" s="61"/>
      <x:c r="H1016" s="27" t="str">
        <x:v>NO</x:v>
      </x:c>
      <x:c r="I1016" s="27" t="str">
        <x:v>no screened path</x:v>
      </x:c>
      <x:c r="J1016" s="27" t="str">
        <x:v>presence does not prove operability or capacity</x:v>
      </x:c>
    </x:row>
    <x:row r="1017" ht="54" hidden="0" customHeight="1">
      <x:c r="A1017" s="29" t="str">
        <x:v>SCA-09</x:v>
      </x:c>
      <x:c r="B1017" s="29" t="str">
        <x:v>SCA-06</x:v>
      </x:c>
      <x:c r="C1017" s="29" t="str">
        <x:v>Road</x:v>
      </x:c>
      <x:c r="D1017" s="29" t="str">
        <x:v>YES</x:v>
      </x:c>
      <x:c r="E1017" s="29" t="str">
        <x:v>YES</x:v>
      </x:c>
      <x:c r="F1017" s="62" t="n">
        <x:v>449.719451761831</x:v>
      </x:c>
      <x:c r="G1017" s="62" t="n">
        <x:v>28.176717304760565</x:v>
      </x:c>
      <x:c r="H1017" s="29" t="str">
        <x:v>YES</x:v>
      </x:c>
      <x:c r="I1017" s="29" t="str">
        <x:v>NHPN-gated shared-boundary SCA path</x:v>
      </x:c>
      <x:c r="J1017" s="29" t="str">
        <x:v>presence does not prove operability or capacity</x:v>
      </x:c>
    </x:row>
    <x:row r="1018" ht="64.80000305175781" hidden="0" customHeight="1">
      <x:c r="A1018" s="27" t="str">
        <x:v>SCA-09</x:v>
      </x:c>
      <x:c r="B1018" s="27" t="str">
        <x:v>SCA-06</x:v>
      </x:c>
      <x:c r="C1018" s="27" t="str">
        <x:v>Rail</x:v>
      </x:c>
      <x:c r="D1018" s="27" t="str">
        <x:v>YES</x:v>
      </x:c>
      <x:c r="E1018" s="27" t="str">
        <x:v>YES</x:v>
      </x:c>
      <x:c r="F1018" s="61" t="n">
        <x:v>477.09367926037726</x:v>
      </x:c>
      <x:c r="G1018" s="61" t="n">
        <x:v>32.81562398943396</x:v>
      </x:c>
      <x:c r="H1018" s="27" t="str">
        <x:v>YES</x:v>
      </x:c>
      <x:c r="I1018" s="27" t="str">
        <x:v>NARN shared-node topology; deployable terminal required</x:v>
      </x:c>
      <x:c r="J1018" s="27" t="str">
        <x:v>presence does not prove operability or capacity</x:v>
      </x:c>
    </x:row>
    <x:row r="1019" ht="54" hidden="0" customHeight="1">
      <x:c r="A1019" s="29" t="str">
        <x:v>SCA-09</x:v>
      </x:c>
      <x:c r="B1019" s="29" t="str">
        <x:v>SCA-06</x:v>
      </x:c>
      <x:c r="C1019" s="29" t="str">
        <x:v>Air</x:v>
      </x:c>
      <x:c r="D1019" s="29" t="str">
        <x:v>YES</x:v>
      </x:c>
      <x:c r="E1019" s="29" t="str">
        <x:v>YES</x:v>
      </x:c>
      <x:c r="F1019" s="62" t="n">
        <x:v>391.06039283637483</x:v>
      </x:c>
      <x:c r="G1019" s="62" t="n">
        <x:v>24.601631373594422</x:v>
      </x:c>
      <x:c r="H1019" s="29" t="str">
        <x:v>YES</x:v>
      </x:c>
      <x:c r="I1019" s="29" t="str">
        <x:v>primary-airport endpoints; great-circle screen</x:v>
      </x:c>
      <x:c r="J1019" s="29" t="str">
        <x:v>presence does not prove operability or capacity</x:v>
      </x:c>
    </x:row>
    <x:row r="1020" ht="54" hidden="0" customHeight="1">
      <x:c r="A1020" s="27" t="str">
        <x:v>SCA-09</x:v>
      </x:c>
      <x:c r="B1020" s="27" t="str">
        <x:v>SCA-06</x:v>
      </x:c>
      <x:c r="C1020" s="27" t="str">
        <x:v>Water</x:v>
      </x:c>
      <x:c r="D1020" s="27" t="str">
        <x:v>NO</x:v>
      </x:c>
      <x:c r="E1020" s="27" t="str">
        <x:v>NO</x:v>
      </x:c>
      <x:c r="F1020" s="61"/>
      <x:c r="G1020" s="61"/>
      <x:c r="H1020" s="27" t="str">
        <x:v>NO</x:v>
      </x:c>
      <x:c r="I1020" s="27" t="str">
        <x:v>no screened path</x:v>
      </x:c>
      <x:c r="J1020" s="27" t="str">
        <x:v>presence does not prove operability or capacity</x:v>
      </x:c>
    </x:row>
    <x:row r="1021" ht="54" hidden="0" customHeight="1">
      <x:c r="A1021" s="29" t="str">
        <x:v>SCA-09</x:v>
      </x:c>
      <x:c r="B1021" s="29" t="str">
        <x:v>SCA-07</x:v>
      </x:c>
      <x:c r="C1021" s="29" t="str">
        <x:v>Road</x:v>
      </x:c>
      <x:c r="D1021" s="29" t="str">
        <x:v>YES</x:v>
      </x:c>
      <x:c r="E1021" s="29" t="str">
        <x:v>YES</x:v>
      </x:c>
      <x:c r="F1021" s="62" t="n">
        <x:v>462.13619267402527</x:v>
      </x:c>
      <x:c r="G1021" s="62" t="n">
        <x:v>28.402476230436825</x:v>
      </x:c>
      <x:c r="H1021" s="29" t="str">
        <x:v>YES</x:v>
      </x:c>
      <x:c r="I1021" s="29" t="str">
        <x:v>NHPN-gated shared-boundary SCA path</x:v>
      </x:c>
      <x:c r="J1021" s="29" t="str">
        <x:v>presence does not prove operability or capacity</x:v>
      </x:c>
    </x:row>
    <x:row r="1022" ht="64.80000305175781" hidden="0" customHeight="1">
      <x:c r="A1022" s="27" t="str">
        <x:v>SCA-09</x:v>
      </x:c>
      <x:c r="B1022" s="27" t="str">
        <x:v>SCA-07</x:v>
      </x:c>
      <x:c r="C1022" s="27" t="str">
        <x:v>Rail</x:v>
      </x:c>
      <x:c r="D1022" s="27" t="str">
        <x:v>YES</x:v>
      </x:c>
      <x:c r="E1022" s="27" t="str">
        <x:v>YES</x:v>
      </x:c>
      <x:c r="F1022" s="61" t="n">
        <x:v>490.26622179331383</x:v>
      </x:c>
      <x:c r="G1022" s="61" t="n">
        <x:v>33.00380316847591</x:v>
      </x:c>
      <x:c r="H1022" s="27" t="str">
        <x:v>YES</x:v>
      </x:c>
      <x:c r="I1022" s="27" t="str">
        <x:v>NARN shared-node topology; deployable terminal required</x:v>
      </x:c>
      <x:c r="J1022" s="27" t="str">
        <x:v>presence does not prove operability or capacity</x:v>
      </x:c>
    </x:row>
    <x:row r="1023" ht="54" hidden="0" customHeight="1">
      <x:c r="A1023" s="29" t="str">
        <x:v>SCA-09</x:v>
      </x:c>
      <x:c r="B1023" s="29" t="str">
        <x:v>SCA-07</x:v>
      </x:c>
      <x:c r="C1023" s="29" t="str">
        <x:v>Air</x:v>
      </x:c>
      <x:c r="D1023" s="29" t="str">
        <x:v>YES</x:v>
      </x:c>
      <x:c r="E1023" s="29" t="str">
        <x:v>YES</x:v>
      </x:c>
      <x:c r="F1023" s="62" t="n">
        <x:v>401.8575588469786</x:v>
      </x:c>
      <x:c r="G1023" s="62" t="n">
        <x:v>24.618242398226123</x:v>
      </x:c>
      <x:c r="H1023" s="29" t="str">
        <x:v>YES</x:v>
      </x:c>
      <x:c r="I1023" s="29" t="str">
        <x:v>primary-airport endpoints; great-circle screen</x:v>
      </x:c>
      <x:c r="J1023" s="29" t="str">
        <x:v>presence does not prove operability or capacity</x:v>
      </x:c>
    </x:row>
    <x:row r="1024" ht="54" hidden="0" customHeight="1">
      <x:c r="A1024" s="27" t="str">
        <x:v>SCA-09</x:v>
      </x:c>
      <x:c r="B1024" s="27" t="str">
        <x:v>SCA-07</x:v>
      </x:c>
      <x:c r="C1024" s="27" t="str">
        <x:v>Water</x:v>
      </x:c>
      <x:c r="D1024" s="27" t="str">
        <x:v>NO</x:v>
      </x:c>
      <x:c r="E1024" s="27" t="str">
        <x:v>NO</x:v>
      </x:c>
      <x:c r="F1024" s="61"/>
      <x:c r="G1024" s="61"/>
      <x:c r="H1024" s="27" t="str">
        <x:v>NO</x:v>
      </x:c>
      <x:c r="I1024" s="27" t="str">
        <x:v>no screened path</x:v>
      </x:c>
      <x:c r="J1024" s="27" t="str">
        <x:v>presence does not prove operability or capacity</x:v>
      </x:c>
    </x:row>
    <x:row r="1025" ht="54" hidden="0" customHeight="1">
      <x:c r="A1025" s="29" t="str">
        <x:v>SCA-09</x:v>
      </x:c>
      <x:c r="B1025" s="29" t="str">
        <x:v>SCA-08</x:v>
      </x:c>
      <x:c r="C1025" s="29" t="str">
        <x:v>Road</x:v>
      </x:c>
      <x:c r="D1025" s="29" t="str">
        <x:v>YES</x:v>
      </x:c>
      <x:c r="E1025" s="29" t="str">
        <x:v>YES</x:v>
      </x:c>
      <x:c r="F1025" s="62" t="n">
        <x:v>1586.3472610735116</x:v>
      </x:c>
      <x:c r="G1025" s="62" t="n">
        <x:v>48.84267747406385</x:v>
      </x:c>
      <x:c r="H1025" s="29" t="str">
        <x:v>YES</x:v>
      </x:c>
      <x:c r="I1025" s="29" t="str">
        <x:v>NHPN-gated shared-boundary SCA path</x:v>
      </x:c>
      <x:c r="J1025" s="29" t="str">
        <x:v>presence does not prove operability or capacity</x:v>
      </x:c>
    </x:row>
    <x:row r="1026" ht="64.80000305175781" hidden="0" customHeight="1">
      <x:c r="A1026" s="27" t="str">
        <x:v>SCA-09</x:v>
      </x:c>
      <x:c r="B1026" s="27" t="str">
        <x:v>SCA-08</x:v>
      </x:c>
      <x:c r="C1026" s="27" t="str">
        <x:v>Rail</x:v>
      </x:c>
      <x:c r="D1026" s="27" t="str">
        <x:v>YES</x:v>
      </x:c>
      <x:c r="E1026" s="27" t="str">
        <x:v>YES</x:v>
      </x:c>
      <x:c r="F1026" s="61" t="n">
        <x:v>1944.430920458302</x:v>
      </x:c>
      <x:c r="G1026" s="61" t="n">
        <x:v>53.777584577975745</x:v>
      </x:c>
      <x:c r="H1026" s="27" t="str">
        <x:v>YES</x:v>
      </x:c>
      <x:c r="I1026" s="27" t="str">
        <x:v>NARN shared-node topology; deployable terminal required</x:v>
      </x:c>
      <x:c r="J1026" s="27" t="str">
        <x:v>presence does not prove operability or capacity</x:v>
      </x:c>
    </x:row>
    <x:row r="1027" ht="54" hidden="0" customHeight="1">
      <x:c r="A1027" s="29" t="str">
        <x:v>SCA-09</x:v>
      </x:c>
      <x:c r="B1027" s="29" t="str">
        <x:v>SCA-08</x:v>
      </x:c>
      <x:c r="C1027" s="29" t="str">
        <x:v>Air</x:v>
      </x:c>
      <x:c r="D1027" s="29" t="str">
        <x:v>YES</x:v>
      </x:c>
      <x:c r="E1027" s="29" t="str">
        <x:v>YES</x:v>
      </x:c>
      <x:c r="F1027" s="62" t="n">
        <x:v>1301.1107753832098</x:v>
      </x:c>
      <x:c r="G1027" s="62" t="n">
        <x:v>26.001708885204938</x:v>
      </x:c>
      <x:c r="H1027" s="29" t="str">
        <x:v>YES</x:v>
      </x:c>
      <x:c r="I1027" s="29" t="str">
        <x:v>primary-airport endpoints; great-circle screen</x:v>
      </x:c>
      <x:c r="J1027" s="29" t="str">
        <x:v>presence does not prove operability or capacity</x:v>
      </x:c>
    </x:row>
    <x:row r="1028" ht="54" hidden="0" customHeight="1">
      <x:c r="A1028" s="27" t="str">
        <x:v>SCA-09</x:v>
      </x:c>
      <x:c r="B1028" s="27" t="str">
        <x:v>SCA-08</x:v>
      </x:c>
      <x:c r="C1028" s="27" t="str">
        <x:v>Water</x:v>
      </x:c>
      <x:c r="D1028" s="27" t="str">
        <x:v>NO</x:v>
      </x:c>
      <x:c r="E1028" s="27" t="str">
        <x:v>NO</x:v>
      </x:c>
      <x:c r="F1028" s="61"/>
      <x:c r="G1028" s="61"/>
      <x:c r="H1028" s="27" t="str">
        <x:v>NO</x:v>
      </x:c>
      <x:c r="I1028" s="27" t="str">
        <x:v>no screened path</x:v>
      </x:c>
      <x:c r="J1028" s="27" t="str">
        <x:v>presence does not prove operability or capacity</x:v>
      </x:c>
    </x:row>
    <x:row r="1029" ht="54" hidden="0" customHeight="1">
      <x:c r="A1029" s="29" t="str">
        <x:v>SCA-09</x:v>
      </x:c>
      <x:c r="B1029" s="29" t="str">
        <x:v>SCA-10</x:v>
      </x:c>
      <x:c r="C1029" s="29" t="str">
        <x:v>Road</x:v>
      </x:c>
      <x:c r="D1029" s="29" t="str">
        <x:v>YES</x:v>
      </x:c>
      <x:c r="E1029" s="29" t="str">
        <x:v>YES</x:v>
      </x:c>
      <x:c r="F1029" s="62" t="n">
        <x:v>1029.8175444495755</x:v>
      </x:c>
      <x:c r="G1029" s="62" t="n">
        <x:v>38.72395535362865</x:v>
      </x:c>
      <x:c r="H1029" s="29" t="str">
        <x:v>YES</x:v>
      </x:c>
      <x:c r="I1029" s="29" t="str">
        <x:v>NHPN-gated shared-boundary SCA path</x:v>
      </x:c>
      <x:c r="J1029" s="29" t="str">
        <x:v>presence does not prove operability or capacity</x:v>
      </x:c>
    </x:row>
    <x:row r="1030" ht="64.80000305175781" hidden="0" customHeight="1">
      <x:c r="A1030" s="27" t="str">
        <x:v>SCA-09</x:v>
      </x:c>
      <x:c r="B1030" s="27" t="str">
        <x:v>SCA-10</x:v>
      </x:c>
      <x:c r="C1030" s="27" t="str">
        <x:v>Rail</x:v>
      </x:c>
      <x:c r="D1030" s="27" t="str">
        <x:v>YES</x:v>
      </x:c>
      <x:c r="E1030" s="27" t="str">
        <x:v>YES</x:v>
      </x:c>
      <x:c r="F1030" s="61" t="n">
        <x:v>1354.0254819529089</x:v>
      </x:c>
      <x:c r="G1030" s="61" t="n">
        <x:v>45.34322117075584</x:v>
      </x:c>
      <x:c r="H1030" s="27" t="str">
        <x:v>YES</x:v>
      </x:c>
      <x:c r="I1030" s="27" t="str">
        <x:v>NARN shared-node topology; deployable terminal required</x:v>
      </x:c>
      <x:c r="J1030" s="27" t="str">
        <x:v>presence does not prove operability or capacity</x:v>
      </x:c>
    </x:row>
    <x:row r="1031" ht="54" hidden="0" customHeight="1">
      <x:c r="A1031" s="29" t="str">
        <x:v>SCA-09</x:v>
      </x:c>
      <x:c r="B1031" s="29" t="str">
        <x:v>SCA-10</x:v>
      </x:c>
      <x:c r="C1031" s="29" t="str">
        <x:v>Air</x:v>
      </x:c>
      <x:c r="D1031" s="29" t="str">
        <x:v>YES</x:v>
      </x:c>
      <x:c r="E1031" s="29" t="str">
        <x:v>YES</x:v>
      </x:c>
      <x:c r="F1031" s="62" t="n">
        <x:v>895.4935169126747</x:v>
      </x:c>
      <x:c r="G1031" s="62" t="n">
        <x:v>25.377682333711807</x:v>
      </x:c>
      <x:c r="H1031" s="29" t="str">
        <x:v>YES</x:v>
      </x:c>
      <x:c r="I1031" s="29" t="str">
        <x:v>primary-airport endpoints; great-circle screen</x:v>
      </x:c>
      <x:c r="J1031" s="29" t="str">
        <x:v>presence does not prove operability or capacity</x:v>
      </x:c>
    </x:row>
    <x:row r="1032" ht="54" hidden="0" customHeight="1">
      <x:c r="A1032" s="27" t="str">
        <x:v>SCA-09</x:v>
      </x:c>
      <x:c r="B1032" s="27" t="str">
        <x:v>SCA-10</x:v>
      </x:c>
      <x:c r="C1032" s="27" t="str">
        <x:v>Water</x:v>
      </x:c>
      <x:c r="D1032" s="27" t="str">
        <x:v>NO</x:v>
      </x:c>
      <x:c r="E1032" s="27" t="str">
        <x:v>NO</x:v>
      </x:c>
      <x:c r="F1032" s="61"/>
      <x:c r="G1032" s="61"/>
      <x:c r="H1032" s="27" t="str">
        <x:v>NO</x:v>
      </x:c>
      <x:c r="I1032" s="27" t="str">
        <x:v>no screened path</x:v>
      </x:c>
      <x:c r="J1032" s="27" t="str">
        <x:v>presence does not prove operability or capacity</x:v>
      </x:c>
    </x:row>
    <x:row r="1033" ht="54" hidden="0" customHeight="1">
      <x:c r="A1033" s="29" t="str">
        <x:v>SCA-09</x:v>
      </x:c>
      <x:c r="B1033" s="29" t="str">
        <x:v>SCA-11</x:v>
      </x:c>
      <x:c r="C1033" s="29" t="str">
        <x:v>Road</x:v>
      </x:c>
      <x:c r="D1033" s="29" t="str">
        <x:v>YES</x:v>
      </x:c>
      <x:c r="E1033" s="29" t="str">
        <x:v>YES</x:v>
      </x:c>
      <x:c r="F1033" s="62" t="n">
        <x:v>751.7523514696105</x:v>
      </x:c>
      <x:c r="G1033" s="62" t="n">
        <x:v>33.668224572174736</x:v>
      </x:c>
      <x:c r="H1033" s="29" t="str">
        <x:v>YES</x:v>
      </x:c>
      <x:c r="I1033" s="29" t="str">
        <x:v>NHPN-gated shared-boundary SCA path</x:v>
      </x:c>
      <x:c r="J1033" s="29" t="str">
        <x:v>presence does not prove operability or capacity</x:v>
      </x:c>
    </x:row>
    <x:row r="1034" ht="64.80000305175781" hidden="0" customHeight="1">
      <x:c r="A1034" s="27" t="str">
        <x:v>SCA-09</x:v>
      </x:c>
      <x:c r="B1034" s="27" t="str">
        <x:v>SCA-11</x:v>
      </x:c>
      <x:c r="C1034" s="27" t="str">
        <x:v>Rail</x:v>
      </x:c>
      <x:c r="D1034" s="27" t="str">
        <x:v>YES</x:v>
      </x:c>
      <x:c r="E1034" s="27" t="str">
        <x:v>YES</x:v>
      </x:c>
      <x:c r="F1034" s="61" t="n">
        <x:v>797.5111902547173</x:v>
      </x:c>
      <x:c r="G1034" s="61" t="n">
        <x:v>37.39301700363882</x:v>
      </x:c>
      <x:c r="H1034" s="27" t="str">
        <x:v>YES</x:v>
      </x:c>
      <x:c r="I1034" s="27" t="str">
        <x:v>NARN shared-node topology; deployable terminal required</x:v>
      </x:c>
      <x:c r="J1034" s="27" t="str">
        <x:v>presence does not prove operability or capacity</x:v>
      </x:c>
    </x:row>
    <x:row r="1035" ht="54" hidden="0" customHeight="1">
      <x:c r="A1035" s="29" t="str">
        <x:v>SCA-09</x:v>
      </x:c>
      <x:c r="B1035" s="29" t="str">
        <x:v>SCA-11</x:v>
      </x:c>
      <x:c r="C1035" s="29" t="str">
        <x:v>Air</x:v>
      </x:c>
      <x:c r="D1035" s="29" t="str">
        <x:v>YES</x:v>
      </x:c>
      <x:c r="E1035" s="29" t="str">
        <x:v>YES</x:v>
      </x:c>
      <x:c r="F1035" s="62" t="n">
        <x:v>653.6976969300962</x:v>
      </x:c>
      <x:c r="G1035" s="62" t="n">
        <x:v>25.00568876450784</x:v>
      </x:c>
      <x:c r="H1035" s="29" t="str">
        <x:v>YES</x:v>
      </x:c>
      <x:c r="I1035" s="29" t="str">
        <x:v>primary-airport endpoints; great-circle screen</x:v>
      </x:c>
      <x:c r="J1035" s="29" t="str">
        <x:v>presence does not prove operability or capacity</x:v>
      </x:c>
    </x:row>
    <x:row r="1036" ht="54" hidden="0" customHeight="1">
      <x:c r="A1036" s="27" t="str">
        <x:v>SCA-09</x:v>
      </x:c>
      <x:c r="B1036" s="27" t="str">
        <x:v>SCA-11</x:v>
      </x:c>
      <x:c r="C1036" s="27" t="str">
        <x:v>Water</x:v>
      </x:c>
      <x:c r="D1036" s="27" t="str">
        <x:v>NO</x:v>
      </x:c>
      <x:c r="E1036" s="27" t="str">
        <x:v>NO</x:v>
      </x:c>
      <x:c r="F1036" s="61"/>
      <x:c r="G1036" s="61"/>
      <x:c r="H1036" s="27" t="str">
        <x:v>NO</x:v>
      </x:c>
      <x:c r="I1036" s="27" t="str">
        <x:v>no screened path</x:v>
      </x:c>
      <x:c r="J1036" s="27" t="str">
        <x:v>presence does not prove operability or capacity</x:v>
      </x:c>
    </x:row>
    <x:row r="1037" ht="54" hidden="0" customHeight="1">
      <x:c r="A1037" s="29" t="str">
        <x:v>SCA-09</x:v>
      </x:c>
      <x:c r="B1037" s="29" t="str">
        <x:v>SCA-12</x:v>
      </x:c>
      <x:c r="C1037" s="29" t="str">
        <x:v>Road</x:v>
      </x:c>
      <x:c r="D1037" s="29" t="str">
        <x:v>YES</x:v>
      </x:c>
      <x:c r="E1037" s="29" t="str">
        <x:v>YES</x:v>
      </x:c>
      <x:c r="F1037" s="62" t="n">
        <x:v>1096.0763414588143</x:v>
      </x:c>
      <x:c r="G1037" s="62" t="n">
        <x:v>39.92866075379662</x:v>
      </x:c>
      <x:c r="H1037" s="29" t="str">
        <x:v>YES</x:v>
      </x:c>
      <x:c r="I1037" s="29" t="str">
        <x:v>NHPN-gated shared-boundary SCA path</x:v>
      </x:c>
      <x:c r="J1037" s="29" t="str">
        <x:v>presence does not prove operability or capacity</x:v>
      </x:c>
    </x:row>
    <x:row r="1038" ht="64.80000305175781" hidden="0" customHeight="1">
      <x:c r="A1038" s="27" t="str">
        <x:v>SCA-09</x:v>
      </x:c>
      <x:c r="B1038" s="27" t="str">
        <x:v>SCA-12</x:v>
      </x:c>
      <x:c r="C1038" s="27" t="str">
        <x:v>Rail</x:v>
      </x:c>
      <x:c r="D1038" s="27" t="str">
        <x:v>YES</x:v>
      </x:c>
      <x:c r="E1038" s="27" t="str">
        <x:v>YES</x:v>
      </x:c>
      <x:c r="F1038" s="61" t="n">
        <x:v>1646.3545006411618</x:v>
      </x:c>
      <x:c r="G1038" s="61" t="n">
        <x:v>49.51935000915945</x:v>
      </x:c>
      <x:c r="H1038" s="27" t="str">
        <x:v>YES</x:v>
      </x:c>
      <x:c r="I1038" s="27" t="str">
        <x:v>NARN shared-node topology; deployable terminal required</x:v>
      </x:c>
      <x:c r="J1038" s="27" t="str">
        <x:v>presence does not prove operability or capacity</x:v>
      </x:c>
    </x:row>
    <x:row r="1039" ht="54" hidden="0" customHeight="1">
      <x:c r="A1039" s="29" t="str">
        <x:v>SCA-09</x:v>
      </x:c>
      <x:c r="B1039" s="29" t="str">
        <x:v>SCA-12</x:v>
      </x:c>
      <x:c r="C1039" s="29" t="str">
        <x:v>Air</x:v>
      </x:c>
      <x:c r="D1039" s="29" t="str">
        <x:v>YES</x:v>
      </x:c>
      <x:c r="E1039" s="29" t="str">
        <x:v>YES</x:v>
      </x:c>
      <x:c r="F1039" s="62" t="n">
        <x:v>953.1098621380996</x:v>
      </x:c>
      <x:c r="G1039" s="62" t="n">
        <x:v>25.466322864827845</x:v>
      </x:c>
      <x:c r="H1039" s="29" t="str">
        <x:v>YES</x:v>
      </x:c>
      <x:c r="I1039" s="29" t="str">
        <x:v>primary-airport endpoints; great-circle screen</x:v>
      </x:c>
      <x:c r="J1039" s="29" t="str">
        <x:v>presence does not prove operability or capacity</x:v>
      </x:c>
    </x:row>
    <x:row r="1040" ht="54" hidden="0" customHeight="1">
      <x:c r="A1040" s="27" t="str">
        <x:v>SCA-09</x:v>
      </x:c>
      <x:c r="B1040" s="27" t="str">
        <x:v>SCA-12</x:v>
      </x:c>
      <x:c r="C1040" s="27" t="str">
        <x:v>Water</x:v>
      </x:c>
      <x:c r="D1040" s="27" t="str">
        <x:v>NO</x:v>
      </x:c>
      <x:c r="E1040" s="27" t="str">
        <x:v>NO</x:v>
      </x:c>
      <x:c r="F1040" s="61"/>
      <x:c r="G1040" s="61"/>
      <x:c r="H1040" s="27" t="str">
        <x:v>NO</x:v>
      </x:c>
      <x:c r="I1040" s="27" t="str">
        <x:v>no screened path</x:v>
      </x:c>
      <x:c r="J1040" s="27" t="str">
        <x:v>presence does not prove operability or capacity</x:v>
      </x:c>
    </x:row>
    <x:row r="1041" ht="54" hidden="0" customHeight="1">
      <x:c r="A1041" s="29" t="str">
        <x:v>SCA-09</x:v>
      </x:c>
      <x:c r="B1041" s="29" t="str">
        <x:v>SCA-13</x:v>
      </x:c>
      <x:c r="C1041" s="29" t="str">
        <x:v>Road</x:v>
      </x:c>
      <x:c r="D1041" s="29" t="str">
        <x:v>NO</x:v>
      </x:c>
      <x:c r="E1041" s="29" t="str">
        <x:v>NO</x:v>
      </x:c>
      <x:c r="F1041" s="62"/>
      <x:c r="G1041" s="62"/>
      <x:c r="H1041" s="29" t="str">
        <x:v>NO</x:v>
      </x:c>
      <x:c r="I1041" s="29" t="str">
        <x:v>no screened path</x:v>
      </x:c>
      <x:c r="J1041" s="29" t="str">
        <x:v>presence does not prove operability or capacity</x:v>
      </x:c>
    </x:row>
    <x:row r="1042" ht="64.80000305175781" hidden="0" customHeight="1">
      <x:c r="A1042" s="27" t="str">
        <x:v>SCA-09</x:v>
      </x:c>
      <x:c r="B1042" s="27" t="str">
        <x:v>SCA-13</x:v>
      </x:c>
      <x:c r="C1042" s="27" t="str">
        <x:v>Rail</x:v>
      </x:c>
      <x:c r="D1042" s="27" t="str">
        <x:v>YES</x:v>
      </x:c>
      <x:c r="E1042" s="27" t="str">
        <x:v>YES</x:v>
      </x:c>
      <x:c r="F1042" s="61" t="n">
        <x:v>1718.9302203689185</x:v>
      </x:c>
      <x:c r="G1042" s="61" t="n">
        <x:v>50.556146005270264</x:v>
      </x:c>
      <x:c r="H1042" s="27" t="str">
        <x:v>YES</x:v>
      </x:c>
      <x:c r="I1042" s="27" t="str">
        <x:v>NARN shared-node topology; deployable terminal required</x:v>
      </x:c>
      <x:c r="J1042" s="27" t="str">
        <x:v>presence does not prove operability or capacity</x:v>
      </x:c>
    </x:row>
    <x:row r="1043" ht="54" hidden="0" customHeight="1">
      <x:c r="A1043" s="29" t="str">
        <x:v>SCA-09</x:v>
      </x:c>
      <x:c r="B1043" s="29" t="str">
        <x:v>SCA-13</x:v>
      </x:c>
      <x:c r="C1043" s="29" t="str">
        <x:v>Air</x:v>
      </x:c>
      <x:c r="D1043" s="29" t="str">
        <x:v>YES</x:v>
      </x:c>
      <x:c r="E1043" s="29" t="str">
        <x:v>YES</x:v>
      </x:c>
      <x:c r="F1043" s="62" t="n">
        <x:v>1376.888111377112</x:v>
      </x:c>
      <x:c r="G1043" s="62" t="n">
        <x:v>26.118289402118634</x:v>
      </x:c>
      <x:c r="H1043" s="29" t="str">
        <x:v>YES</x:v>
      </x:c>
      <x:c r="I1043" s="29" t="str">
        <x:v>primary-airport endpoints; great-circle screen</x:v>
      </x:c>
      <x:c r="J1043" s="29" t="str">
        <x:v>presence does not prove operability or capacity</x:v>
      </x:c>
    </x:row>
    <x:row r="1044" ht="54" hidden="0" customHeight="1">
      <x:c r="A1044" s="27" t="str">
        <x:v>SCA-09</x:v>
      </x:c>
      <x:c r="B1044" s="27" t="str">
        <x:v>SCA-13</x:v>
      </x:c>
      <x:c r="C1044" s="27" t="str">
        <x:v>Water</x:v>
      </x:c>
      <x:c r="D1044" s="27" t="str">
        <x:v>NO</x:v>
      </x:c>
      <x:c r="E1044" s="27" t="str">
        <x:v>NO</x:v>
      </x:c>
      <x:c r="F1044" s="61"/>
      <x:c r="G1044" s="61"/>
      <x:c r="H1044" s="27" t="str">
        <x:v>NO</x:v>
      </x:c>
      <x:c r="I1044" s="27" t="str">
        <x:v>no screened path</x:v>
      </x:c>
      <x:c r="J1044" s="27" t="str">
        <x:v>presence does not prove operability or capacity</x:v>
      </x:c>
    </x:row>
    <x:row r="1045" ht="54" hidden="0" customHeight="1">
      <x:c r="A1045" s="29" t="str">
        <x:v>SCA-09</x:v>
      </x:c>
      <x:c r="B1045" s="29" t="str">
        <x:v>SCA-14</x:v>
      </x:c>
      <x:c r="C1045" s="29" t="str">
        <x:v>Road</x:v>
      </x:c>
      <x:c r="D1045" s="29" t="str">
        <x:v>NO</x:v>
      </x:c>
      <x:c r="E1045" s="29" t="str">
        <x:v>NO</x:v>
      </x:c>
      <x:c r="F1045" s="62"/>
      <x:c r="G1045" s="62"/>
      <x:c r="H1045" s="29" t="str">
        <x:v>NO</x:v>
      </x:c>
      <x:c r="I1045" s="29" t="str">
        <x:v>no screened path</x:v>
      </x:c>
      <x:c r="J1045" s="29" t="str">
        <x:v>presence does not prove operability or capacity</x:v>
      </x:c>
    </x:row>
    <x:row r="1046" ht="64.80000305175781" hidden="0" customHeight="1">
      <x:c r="A1046" s="27" t="str">
        <x:v>SCA-09</x:v>
      </x:c>
      <x:c r="B1046" s="27" t="str">
        <x:v>SCA-14</x:v>
      </x:c>
      <x:c r="C1046" s="27" t="str">
        <x:v>Rail</x:v>
      </x:c>
      <x:c r="D1046" s="27" t="str">
        <x:v>YES</x:v>
      </x:c>
      <x:c r="E1046" s="27" t="str">
        <x:v>YES</x:v>
      </x:c>
      <x:c r="F1046" s="61" t="n">
        <x:v>2147.0598488446367</x:v>
      </x:c>
      <x:c r="G1046" s="61" t="n">
        <x:v>56.67228355492338</x:v>
      </x:c>
      <x:c r="H1046" s="27" t="str">
        <x:v>YES</x:v>
      </x:c>
      <x:c r="I1046" s="27" t="str">
        <x:v>NARN shared-node topology; deployable terminal required</x:v>
      </x:c>
      <x:c r="J1046" s="27" t="str">
        <x:v>presence does not prove operability or capacity</x:v>
      </x:c>
    </x:row>
    <x:row r="1047" ht="54" hidden="0" customHeight="1">
      <x:c r="A1047" s="29" t="str">
        <x:v>SCA-09</x:v>
      </x:c>
      <x:c r="B1047" s="29" t="str">
        <x:v>SCA-14</x:v>
      </x:c>
      <x:c r="C1047" s="29" t="str">
        <x:v>Air</x:v>
      </x:c>
      <x:c r="D1047" s="29" t="str">
        <x:v>YES</x:v>
      </x:c>
      <x:c r="E1047" s="29" t="str">
        <x:v>YES</x:v>
      </x:c>
      <x:c r="F1047" s="62" t="n">
        <x:v>1533.251851574189</x:v>
      </x:c>
      <x:c r="G1047" s="62" t="n">
        <x:v>26.358849002421827</x:v>
      </x:c>
      <x:c r="H1047" s="29" t="str">
        <x:v>YES</x:v>
      </x:c>
      <x:c r="I1047" s="29" t="str">
        <x:v>primary-airport endpoints; great-circle screen</x:v>
      </x:c>
      <x:c r="J1047" s="29" t="str">
        <x:v>presence does not prove operability or capacity</x:v>
      </x:c>
    </x:row>
    <x:row r="1048" ht="54" hidden="0" customHeight="1">
      <x:c r="A1048" s="27" t="str">
        <x:v>SCA-09</x:v>
      </x:c>
      <x:c r="B1048" s="27" t="str">
        <x:v>SCA-14</x:v>
      </x:c>
      <x:c r="C1048" s="27" t="str">
        <x:v>Water</x:v>
      </x:c>
      <x:c r="D1048" s="27" t="str">
        <x:v>NO</x:v>
      </x:c>
      <x:c r="E1048" s="27" t="str">
        <x:v>NO</x:v>
      </x:c>
      <x:c r="F1048" s="61"/>
      <x:c r="G1048" s="61"/>
      <x:c r="H1048" s="27" t="str">
        <x:v>NO</x:v>
      </x:c>
      <x:c r="I1048" s="27" t="str">
        <x:v>no screened path</x:v>
      </x:c>
      <x:c r="J1048" s="27" t="str">
        <x:v>presence does not prove operability or capacity</x:v>
      </x:c>
    </x:row>
    <x:row r="1049" ht="54" hidden="0" customHeight="1">
      <x:c r="A1049" s="29" t="str">
        <x:v>SCA-09</x:v>
      </x:c>
      <x:c r="B1049" s="29" t="str">
        <x:v>SCA-15</x:v>
      </x:c>
      <x:c r="C1049" s="29" t="str">
        <x:v>Road</x:v>
      </x:c>
      <x:c r="D1049" s="29" t="str">
        <x:v>YES</x:v>
      </x:c>
      <x:c r="E1049" s="29" t="str">
        <x:v>YES</x:v>
      </x:c>
      <x:c r="F1049" s="62" t="n">
        <x:v>1657.1300199340476</x:v>
      </x:c>
      <x:c r="G1049" s="62" t="n">
        <x:v>50.12963672607359</x:v>
      </x:c>
      <x:c r="H1049" s="29" t="str">
        <x:v>YES</x:v>
      </x:c>
      <x:c r="I1049" s="29" t="str">
        <x:v>NHPN-gated shared-boundary SCA path</x:v>
      </x:c>
      <x:c r="J1049" s="29" t="str">
        <x:v>presence does not prove operability or capacity</x:v>
      </x:c>
    </x:row>
    <x:row r="1050" ht="64.80000305175781" hidden="0" customHeight="1">
      <x:c r="A1050" s="27" t="str">
        <x:v>SCA-09</x:v>
      </x:c>
      <x:c r="B1050" s="27" t="str">
        <x:v>SCA-15</x:v>
      </x:c>
      <x:c r="C1050" s="27" t="str">
        <x:v>Rail</x:v>
      </x:c>
      <x:c r="D1050" s="27" t="str">
        <x:v>YES</x:v>
      </x:c>
      <x:c r="E1050" s="27" t="str">
        <x:v>YES</x:v>
      </x:c>
      <x:c r="F1050" s="61" t="n">
        <x:v>1757.9988037561202</x:v>
      </x:c>
      <x:c r="G1050" s="61" t="n">
        <x:v>51.11426862508743</x:v>
      </x:c>
      <x:c r="H1050" s="27" t="str">
        <x:v>YES</x:v>
      </x:c>
      <x:c r="I1050" s="27" t="str">
        <x:v>NARN shared-node topology; deployable terminal required</x:v>
      </x:c>
      <x:c r="J1050" s="27" t="str">
        <x:v>presence does not prove operability or capacity</x:v>
      </x:c>
    </x:row>
    <x:row r="1051" ht="54" hidden="0" customHeight="1">
      <x:c r="A1051" s="29" t="str">
        <x:v>SCA-09</x:v>
      </x:c>
      <x:c r="B1051" s="29" t="str">
        <x:v>SCA-15</x:v>
      </x:c>
      <x:c r="C1051" s="29" t="str">
        <x:v>Air</x:v>
      </x:c>
      <x:c r="D1051" s="29" t="str">
        <x:v>YES</x:v>
      </x:c>
      <x:c r="E1051" s="29" t="str">
        <x:v>YES</x:v>
      </x:c>
      <x:c r="F1051" s="62" t="n">
        <x:v>1440.480999403422</x:v>
      </x:c>
      <x:c r="G1051" s="62" t="n">
        <x:v>26.216124614466803</x:v>
      </x:c>
      <x:c r="H1051" s="29" t="str">
        <x:v>YES</x:v>
      </x:c>
      <x:c r="I1051" s="29" t="str">
        <x:v>primary-airport endpoints; great-circle screen</x:v>
      </x:c>
      <x:c r="J1051" s="29" t="str">
        <x:v>presence does not prove operability or capacity</x:v>
      </x:c>
    </x:row>
    <x:row r="1052" ht="54" hidden="0" customHeight="1">
      <x:c r="A1052" s="27" t="str">
        <x:v>SCA-09</x:v>
      </x:c>
      <x:c r="B1052" s="27" t="str">
        <x:v>SCA-15</x:v>
      </x:c>
      <x:c r="C1052" s="27" t="str">
        <x:v>Water</x:v>
      </x:c>
      <x:c r="D1052" s="27" t="str">
        <x:v>NO</x:v>
      </x:c>
      <x:c r="E1052" s="27" t="str">
        <x:v>NO</x:v>
      </x:c>
      <x:c r="F1052" s="61"/>
      <x:c r="G1052" s="61"/>
      <x:c r="H1052" s="27" t="str">
        <x:v>NO</x:v>
      </x:c>
      <x:c r="I1052" s="27" t="str">
        <x:v>no screened path</x:v>
      </x:c>
      <x:c r="J1052" s="27" t="str">
        <x:v>presence does not prove operability or capacity</x:v>
      </x:c>
    </x:row>
    <x:row r="1053" ht="54" hidden="0" customHeight="1">
      <x:c r="A1053" s="29" t="str">
        <x:v>SCA-09</x:v>
      </x:c>
      <x:c r="B1053" s="29" t="str">
        <x:v>SCA-16</x:v>
      </x:c>
      <x:c r="C1053" s="29" t="str">
        <x:v>Road</x:v>
      </x:c>
      <x:c r="D1053" s="29" t="str">
        <x:v>YES</x:v>
      </x:c>
      <x:c r="E1053" s="29" t="str">
        <x:v>YES</x:v>
      </x:c>
      <x:c r="F1053" s="62" t="n">
        <x:v>1988.1935834519154</x:v>
      </x:c>
      <x:c r="G1053" s="62" t="n">
        <x:v>56.14897424458028</x:v>
      </x:c>
      <x:c r="H1053" s="29" t="str">
        <x:v>YES</x:v>
      </x:c>
      <x:c r="I1053" s="29" t="str">
        <x:v>NHPN-gated shared-boundary SCA path</x:v>
      </x:c>
      <x:c r="J1053" s="29" t="str">
        <x:v>presence does not prove operability or capacity</x:v>
      </x:c>
    </x:row>
    <x:row r="1054" ht="64.80000305175781" hidden="0" customHeight="1">
      <x:c r="A1054" s="27" t="str">
        <x:v>SCA-09</x:v>
      </x:c>
      <x:c r="B1054" s="27" t="str">
        <x:v>SCA-16</x:v>
      </x:c>
      <x:c r="C1054" s="27" t="str">
        <x:v>Rail</x:v>
      </x:c>
      <x:c r="D1054" s="27" t="str">
        <x:v>YES</x:v>
      </x:c>
      <x:c r="E1054" s="27" t="str">
        <x:v>YES</x:v>
      </x:c>
      <x:c r="F1054" s="61" t="n">
        <x:v>2447.592332519307</x:v>
      </x:c>
      <x:c r="G1054" s="61" t="n">
        <x:v>60.965604750275816</x:v>
      </x:c>
      <x:c r="H1054" s="27" t="str">
        <x:v>YES</x:v>
      </x:c>
      <x:c r="I1054" s="27" t="str">
        <x:v>NARN shared-node topology; deployable terminal required</x:v>
      </x:c>
      <x:c r="J1054" s="27" t="str">
        <x:v>presence does not prove operability or capacity</x:v>
      </x:c>
    </x:row>
    <x:row r="1055" ht="54" hidden="0" customHeight="1">
      <x:c r="A1055" s="29" t="str">
        <x:v>SCA-09</x:v>
      </x:c>
      <x:c r="B1055" s="29" t="str">
        <x:v>SCA-16</x:v>
      </x:c>
      <x:c r="C1055" s="29" t="str">
        <x:v>Air</x:v>
      </x:c>
      <x:c r="D1055" s="29" t="str">
        <x:v>YES</x:v>
      </x:c>
      <x:c r="E1055" s="29" t="str">
        <x:v>YES</x:v>
      </x:c>
      <x:c r="F1055" s="62" t="n">
        <x:v>1548.9281925450423</x:v>
      </x:c>
      <x:c r="G1055" s="62" t="n">
        <x:v>26.382966450069297</x:v>
      </x:c>
      <x:c r="H1055" s="29" t="str">
        <x:v>YES</x:v>
      </x:c>
      <x:c r="I1055" s="29" t="str">
        <x:v>primary-airport endpoints; great-circle screen</x:v>
      </x:c>
      <x:c r="J1055" s="29" t="str">
        <x:v>presence does not prove operability or capacity</x:v>
      </x:c>
    </x:row>
    <x:row r="1056" ht="54" hidden="0" customHeight="1">
      <x:c r="A1056" s="27" t="str">
        <x:v>SCA-09</x:v>
      </x:c>
      <x:c r="B1056" s="27" t="str">
        <x:v>SCA-16</x:v>
      </x:c>
      <x:c r="C1056" s="27" t="str">
        <x:v>Water</x:v>
      </x:c>
      <x:c r="D1056" s="27" t="str">
        <x:v>NO</x:v>
      </x:c>
      <x:c r="E1056" s="27" t="str">
        <x:v>NO</x:v>
      </x:c>
      <x:c r="F1056" s="61"/>
      <x:c r="G1056" s="61"/>
      <x:c r="H1056" s="27" t="str">
        <x:v>NO</x:v>
      </x:c>
      <x:c r="I1056" s="27" t="str">
        <x:v>no screened path</x:v>
      </x:c>
      <x:c r="J1056" s="27" t="str">
        <x:v>presence does not prove operability or capacity</x:v>
      </x:c>
    </x:row>
    <x:row r="1057" ht="54" hidden="0" customHeight="1">
      <x:c r="A1057" s="29" t="str">
        <x:v>SCA-09</x:v>
      </x:c>
      <x:c r="B1057" s="29" t="str">
        <x:v>SCA-17</x:v>
      </x:c>
      <x:c r="C1057" s="29" t="str">
        <x:v>Road</x:v>
      </x:c>
      <x:c r="D1057" s="29" t="str">
        <x:v>YES</x:v>
      </x:c>
      <x:c r="E1057" s="29" t="str">
        <x:v>YES</x:v>
      </x:c>
      <x:c r="F1057" s="62" t="n">
        <x:v>2125.9424127570187</x:v>
      </x:c>
      <x:c r="G1057" s="62" t="n">
        <x:v>58.65349841376398</x:v>
      </x:c>
      <x:c r="H1057" s="29" t="str">
        <x:v>YES</x:v>
      </x:c>
      <x:c r="I1057" s="29" t="str">
        <x:v>NHPN-gated shared-boundary SCA path</x:v>
      </x:c>
      <x:c r="J1057" s="29" t="str">
        <x:v>presence does not prove operability or capacity</x:v>
      </x:c>
    </x:row>
    <x:row r="1058" ht="64.80000305175781" hidden="0" customHeight="1">
      <x:c r="A1058" s="27" t="str">
        <x:v>SCA-09</x:v>
      </x:c>
      <x:c r="B1058" s="27" t="str">
        <x:v>SCA-17</x:v>
      </x:c>
      <x:c r="C1058" s="27" t="str">
        <x:v>Rail</x:v>
      </x:c>
      <x:c r="D1058" s="27" t="str">
        <x:v>YES</x:v>
      </x:c>
      <x:c r="E1058" s="27" t="str">
        <x:v>YES</x:v>
      </x:c>
      <x:c r="F1058" s="61" t="n">
        <x:v>2177.5819438067233</x:v>
      </x:c>
      <x:c r="G1058" s="61" t="n">
        <x:v>57.10831348295319</x:v>
      </x:c>
      <x:c r="H1058" s="27" t="str">
        <x:v>YES</x:v>
      </x:c>
      <x:c r="I1058" s="27" t="str">
        <x:v>NARN shared-node topology; deployable terminal required</x:v>
      </x:c>
      <x:c r="J1058" s="27" t="str">
        <x:v>presence does not prove operability or capacity</x:v>
      </x:c>
    </x:row>
    <x:row r="1059" ht="54" hidden="0" customHeight="1">
      <x:c r="A1059" s="29" t="str">
        <x:v>SCA-09</x:v>
      </x:c>
      <x:c r="B1059" s="29" t="str">
        <x:v>SCA-17</x:v>
      </x:c>
      <x:c r="C1059" s="29" t="str">
        <x:v>Air</x:v>
      </x:c>
      <x:c r="D1059" s="29" t="str">
        <x:v>YES</x:v>
      </x:c>
      <x:c r="E1059" s="29" t="str">
        <x:v>YES</x:v>
      </x:c>
      <x:c r="F1059" s="62" t="n">
        <x:v>1733.2422955490638</x:v>
      </x:c>
      <x:c r="G1059" s="62" t="n">
        <x:v>26.666526608537023</x:v>
      </x:c>
      <x:c r="H1059" s="29" t="str">
        <x:v>YES</x:v>
      </x:c>
      <x:c r="I1059" s="29" t="str">
        <x:v>primary-airport endpoints; great-circle screen</x:v>
      </x:c>
      <x:c r="J1059" s="29" t="str">
        <x:v>presence does not prove operability or capacity</x:v>
      </x:c>
    </x:row>
    <x:row r="1060" ht="54" hidden="0" customHeight="1">
      <x:c r="A1060" s="27" t="str">
        <x:v>SCA-09</x:v>
      </x:c>
      <x:c r="B1060" s="27" t="str">
        <x:v>SCA-17</x:v>
      </x:c>
      <x:c r="C1060" s="27" t="str">
        <x:v>Water</x:v>
      </x:c>
      <x:c r="D1060" s="27" t="str">
        <x:v>NO</x:v>
      </x:c>
      <x:c r="E1060" s="27" t="str">
        <x:v>NO</x:v>
      </x:c>
      <x:c r="F1060" s="61"/>
      <x:c r="G1060" s="61"/>
      <x:c r="H1060" s="27" t="str">
        <x:v>NO</x:v>
      </x:c>
      <x:c r="I1060" s="27" t="str">
        <x:v>no screened path</x:v>
      </x:c>
      <x:c r="J1060" s="27" t="str">
        <x:v>presence does not prove operability or capacity</x:v>
      </x:c>
    </x:row>
    <x:row r="1061" ht="54" hidden="0" customHeight="1">
      <x:c r="A1061" s="29" t="str">
        <x:v>SCA-09</x:v>
      </x:c>
      <x:c r="B1061" s="29" t="str">
        <x:v>SCA-18</x:v>
      </x:c>
      <x:c r="C1061" s="29" t="str">
        <x:v>Road</x:v>
      </x:c>
      <x:c r="D1061" s="29" t="str">
        <x:v>YES</x:v>
      </x:c>
      <x:c r="E1061" s="29" t="str">
        <x:v>YES</x:v>
      </x:c>
      <x:c r="F1061" s="62" t="n">
        <x:v>2327.5306331302713</x:v>
      </x:c>
      <x:c r="G1061" s="62" t="n">
        <x:v>62.31873878418675</x:v>
      </x:c>
      <x:c r="H1061" s="29" t="str">
        <x:v>YES</x:v>
      </x:c>
      <x:c r="I1061" s="29" t="str">
        <x:v>NHPN-gated shared-boundary SCA path</x:v>
      </x:c>
      <x:c r="J1061" s="29" t="str">
        <x:v>presence does not prove operability or capacity</x:v>
      </x:c>
    </x:row>
    <x:row r="1062" ht="64.80000305175781" hidden="0" customHeight="1">
      <x:c r="A1062" s="27" t="str">
        <x:v>SCA-09</x:v>
      </x:c>
      <x:c r="B1062" s="27" t="str">
        <x:v>SCA-18</x:v>
      </x:c>
      <x:c r="C1062" s="27" t="str">
        <x:v>Rail</x:v>
      </x:c>
      <x:c r="D1062" s="27" t="str">
        <x:v>YES</x:v>
      </x:c>
      <x:c r="E1062" s="27" t="str">
        <x:v>YES</x:v>
      </x:c>
      <x:c r="F1062" s="61" t="n">
        <x:v>2952.766879631751</x:v>
      </x:c>
      <x:c r="G1062" s="61" t="n">
        <x:v>68.1823839947393</x:v>
      </x:c>
      <x:c r="H1062" s="27" t="str">
        <x:v>YES</x:v>
      </x:c>
      <x:c r="I1062" s="27" t="str">
        <x:v>NARN shared-node topology; deployable terminal required</x:v>
      </x:c>
      <x:c r="J1062" s="27" t="str">
        <x:v>presence does not prove operability or capacity</x:v>
      </x:c>
    </x:row>
    <x:row r="1063" ht="54" hidden="0" customHeight="1">
      <x:c r="A1063" s="29" t="str">
        <x:v>SCA-09</x:v>
      </x:c>
      <x:c r="B1063" s="29" t="str">
        <x:v>SCA-18</x:v>
      </x:c>
      <x:c r="C1063" s="29" t="str">
        <x:v>Air</x:v>
      </x:c>
      <x:c r="D1063" s="29" t="str">
        <x:v>YES</x:v>
      </x:c>
      <x:c r="E1063" s="29" t="str">
        <x:v>YES</x:v>
      </x:c>
      <x:c r="F1063" s="62" t="n">
        <x:v>2019.3177436731562</x:v>
      </x:c>
      <x:c r="G1063" s="62" t="n">
        <x:v>27.106642682574087</x:v>
      </x:c>
      <x:c r="H1063" s="29" t="str">
        <x:v>YES</x:v>
      </x:c>
      <x:c r="I1063" s="29" t="str">
        <x:v>primary-airport endpoints; great-circle screen</x:v>
      </x:c>
      <x:c r="J1063" s="29" t="str">
        <x:v>presence does not prove operability or capacity</x:v>
      </x:c>
    </x:row>
    <x:row r="1064" ht="54" hidden="0" customHeight="1">
      <x:c r="A1064" s="27" t="str">
        <x:v>SCA-09</x:v>
      </x:c>
      <x:c r="B1064" s="27" t="str">
        <x:v>SCA-18</x:v>
      </x:c>
      <x:c r="C1064" s="27" t="str">
        <x:v>Water</x:v>
      </x:c>
      <x:c r="D1064" s="27" t="str">
        <x:v>NO</x:v>
      </x:c>
      <x:c r="E1064" s="27" t="str">
        <x:v>NO</x:v>
      </x:c>
      <x:c r="F1064" s="61"/>
      <x:c r="G1064" s="61"/>
      <x:c r="H1064" s="27" t="str">
        <x:v>NO</x:v>
      </x:c>
      <x:c r="I1064" s="27" t="str">
        <x:v>no screened path</x:v>
      </x:c>
      <x:c r="J1064" s="27" t="str">
        <x:v>presence does not prove operability or capacity</x:v>
      </x:c>
    </x:row>
    <x:row r="1065" ht="54" hidden="0" customHeight="1">
      <x:c r="A1065" s="29" t="str">
        <x:v>SCA-09</x:v>
      </x:c>
      <x:c r="B1065" s="29" t="str">
        <x:v>SCA-19</x:v>
      </x:c>
      <x:c r="C1065" s="29" t="str">
        <x:v>Road</x:v>
      </x:c>
      <x:c r="D1065" s="29" t="str">
        <x:v>YES</x:v>
      </x:c>
      <x:c r="E1065" s="29" t="str">
        <x:v>YES</x:v>
      </x:c>
      <x:c r="F1065" s="62" t="n">
        <x:v>2509.6787573809315</x:v>
      </x:c>
      <x:c r="G1065" s="62" t="n">
        <x:v>65.63052286147149</x:v>
      </x:c>
      <x:c r="H1065" s="29" t="str">
        <x:v>YES</x:v>
      </x:c>
      <x:c r="I1065" s="29" t="str">
        <x:v>NHPN-gated shared-boundary SCA path</x:v>
      </x:c>
      <x:c r="J1065" s="29" t="str">
        <x:v>presence does not prove operability or capacity</x:v>
      </x:c>
    </x:row>
    <x:row r="1066" ht="64.80000305175781" hidden="0" customHeight="1">
      <x:c r="A1066" s="27" t="str">
        <x:v>SCA-09</x:v>
      </x:c>
      <x:c r="B1066" s="27" t="str">
        <x:v>SCA-19</x:v>
      </x:c>
      <x:c r="C1066" s="27" t="str">
        <x:v>Rail</x:v>
      </x:c>
      <x:c r="D1066" s="27" t="str">
        <x:v>YES</x:v>
      </x:c>
      <x:c r="E1066" s="27" t="str">
        <x:v>YES</x:v>
      </x:c>
      <x:c r="F1066" s="61" t="n">
        <x:v>3000.820082252698</x:v>
      </x:c>
      <x:c r="G1066" s="61" t="n">
        <x:v>68.86885831789569</x:v>
      </x:c>
      <x:c r="H1066" s="27" t="str">
        <x:v>YES</x:v>
      </x:c>
      <x:c r="I1066" s="27" t="str">
        <x:v>NARN shared-node topology; deployable terminal required</x:v>
      </x:c>
      <x:c r="J1066" s="27" t="str">
        <x:v>presence does not prove operability or capacity</x:v>
      </x:c>
    </x:row>
    <x:row r="1067" ht="54" hidden="0" customHeight="1">
      <x:c r="A1067" s="29" t="str">
        <x:v>SCA-09</x:v>
      </x:c>
      <x:c r="B1067" s="29" t="str">
        <x:v>SCA-19</x:v>
      </x:c>
      <x:c r="C1067" s="29" t="str">
        <x:v>Air</x:v>
      </x:c>
      <x:c r="D1067" s="29" t="str">
        <x:v>YES</x:v>
      </x:c>
      <x:c r="E1067" s="29" t="str">
        <x:v>YES</x:v>
      </x:c>
      <x:c r="F1067" s="62" t="n">
        <x:v>2001.0173705210557</x:v>
      </x:c>
      <x:c r="G1067" s="62" t="n">
        <x:v>27.078488262340088</x:v>
      </x:c>
      <x:c r="H1067" s="29" t="str">
        <x:v>YES</x:v>
      </x:c>
      <x:c r="I1067" s="29" t="str">
        <x:v>primary-airport endpoints; great-circle screen</x:v>
      </x:c>
      <x:c r="J1067" s="29" t="str">
        <x:v>presence does not prove operability or capacity</x:v>
      </x:c>
    </x:row>
    <x:row r="1068" ht="54" hidden="0" customHeight="1">
      <x:c r="A1068" s="27" t="str">
        <x:v>SCA-09</x:v>
      </x:c>
      <x:c r="B1068" s="27" t="str">
        <x:v>SCA-19</x:v>
      </x:c>
      <x:c r="C1068" s="27" t="str">
        <x:v>Water</x:v>
      </x:c>
      <x:c r="D1068" s="27" t="str">
        <x:v>NO</x:v>
      </x:c>
      <x:c r="E1068" s="27" t="str">
        <x:v>NO</x:v>
      </x:c>
      <x:c r="F1068" s="61"/>
      <x:c r="G1068" s="61"/>
      <x:c r="H1068" s="27" t="str">
        <x:v>NO</x:v>
      </x:c>
      <x:c r="I1068" s="27" t="str">
        <x:v>no screened path</x:v>
      </x:c>
      <x:c r="J1068" s="27" t="str">
        <x:v>presence does not prove operability or capacity</x:v>
      </x:c>
    </x:row>
    <x:row r="1069" ht="54" hidden="0" customHeight="1">
      <x:c r="A1069" s="29" t="str">
        <x:v>SCA-09</x:v>
      </x:c>
      <x:c r="B1069" s="29" t="str">
        <x:v>SCA-20</x:v>
      </x:c>
      <x:c r="C1069" s="29" t="str">
        <x:v>Road</x:v>
      </x:c>
      <x:c r="D1069" s="29" t="str">
        <x:v>YES</x:v>
      </x:c>
      <x:c r="E1069" s="29" t="str">
        <x:v>YES</x:v>
      </x:c>
      <x:c r="F1069" s="62" t="n">
        <x:v>2380.1233646144974</x:v>
      </x:c>
      <x:c r="G1069" s="62" t="n">
        <x:v>63.27497026571813</x:v>
      </x:c>
      <x:c r="H1069" s="29" t="str">
        <x:v>YES</x:v>
      </x:c>
      <x:c r="I1069" s="29" t="str">
        <x:v>NHPN-gated shared-boundary SCA path</x:v>
      </x:c>
      <x:c r="J1069" s="29" t="str">
        <x:v>presence does not prove operability or capacity</x:v>
      </x:c>
    </x:row>
    <x:row r="1070" ht="64.80000305175781" hidden="0" customHeight="1">
      <x:c r="A1070" s="27" t="str">
        <x:v>SCA-09</x:v>
      </x:c>
      <x:c r="B1070" s="27" t="str">
        <x:v>SCA-20</x:v>
      </x:c>
      <x:c r="C1070" s="27" t="str">
        <x:v>Rail</x:v>
      </x:c>
      <x:c r="D1070" s="27" t="str">
        <x:v>YES</x:v>
      </x:c>
      <x:c r="E1070" s="27" t="str">
        <x:v>YES</x:v>
      </x:c>
      <x:c r="F1070" s="61" t="n">
        <x:v>2525.000438982336</x:v>
      </x:c>
      <x:c r="G1070" s="61" t="n">
        <x:v>62.0714348426048</x:v>
      </x:c>
      <x:c r="H1070" s="27" t="str">
        <x:v>YES</x:v>
      </x:c>
      <x:c r="I1070" s="27" t="str">
        <x:v>NARN shared-node topology; deployable terminal required</x:v>
      </x:c>
      <x:c r="J1070" s="27" t="str">
        <x:v>presence does not prove operability or capacity</x:v>
      </x:c>
    </x:row>
    <x:row r="1071" ht="54" hidden="0" customHeight="1">
      <x:c r="A1071" s="29" t="str">
        <x:v>SCA-09</x:v>
      </x:c>
      <x:c r="B1071" s="29" t="str">
        <x:v>SCA-20</x:v>
      </x:c>
      <x:c r="C1071" s="29" t="str">
        <x:v>Air</x:v>
      </x:c>
      <x:c r="D1071" s="29" t="str">
        <x:v>YES</x:v>
      </x:c>
      <x:c r="E1071" s="29" t="str">
        <x:v>YES</x:v>
      </x:c>
      <x:c r="F1071" s="62" t="n">
        <x:v>2048.499408171667</x:v>
      </x:c>
      <x:c r="G1071" s="62" t="n">
        <x:v>27.151537551033332</x:v>
      </x:c>
      <x:c r="H1071" s="29" t="str">
        <x:v>YES</x:v>
      </x:c>
      <x:c r="I1071" s="29" t="str">
        <x:v>primary-airport endpoints; great-circle screen</x:v>
      </x:c>
      <x:c r="J1071" s="29" t="str">
        <x:v>presence does not prove operability or capacity</x:v>
      </x:c>
    </x:row>
    <x:row r="1072" ht="54" hidden="0" customHeight="1">
      <x:c r="A1072" s="27" t="str">
        <x:v>SCA-09</x:v>
      </x:c>
      <x:c r="B1072" s="27" t="str">
        <x:v>SCA-20</x:v>
      </x:c>
      <x:c r="C1072" s="27" t="str">
        <x:v>Water</x:v>
      </x:c>
      <x:c r="D1072" s="27" t="str">
        <x:v>NO</x:v>
      </x:c>
      <x:c r="E1072" s="27" t="str">
        <x:v>NO</x:v>
      </x:c>
      <x:c r="F1072" s="61"/>
      <x:c r="G1072" s="61"/>
      <x:c r="H1072" s="27" t="str">
        <x:v>NO</x:v>
      </x:c>
      <x:c r="I1072" s="27" t="str">
        <x:v>no screened path</x:v>
      </x:c>
      <x:c r="J1072" s="27" t="str">
        <x:v>presence does not prove operability or capacity</x:v>
      </x:c>
    </x:row>
    <x:row r="1073" ht="54" hidden="0" customHeight="1">
      <x:c r="A1073" s="29" t="str">
        <x:v>SCA-09</x:v>
      </x:c>
      <x:c r="B1073" s="29" t="str">
        <x:v>SCA-21</x:v>
      </x:c>
      <x:c r="C1073" s="29" t="str">
        <x:v>Road</x:v>
      </x:c>
      <x:c r="D1073" s="29" t="str">
        <x:v>YES</x:v>
      </x:c>
      <x:c r="E1073" s="29" t="str">
        <x:v>YES</x:v>
      </x:c>
      <x:c r="F1073" s="62" t="n">
        <x:v>2969.1321792361364</x:v>
      </x:c>
      <x:c r="G1073" s="62" t="n">
        <x:v>73.98422144065702</x:v>
      </x:c>
      <x:c r="H1073" s="29" t="str">
        <x:v>NO</x:v>
      </x:c>
      <x:c r="I1073" s="29" t="str">
        <x:v>NHPN-gated shared-boundary SCA path</x:v>
      </x:c>
      <x:c r="J1073" s="29" t="str">
        <x:v>presence does not prove operability or capacity</x:v>
      </x:c>
    </x:row>
    <x:row r="1074" ht="64.80000305175781" hidden="0" customHeight="1">
      <x:c r="A1074" s="27" t="str">
        <x:v>SCA-09</x:v>
      </x:c>
      <x:c r="B1074" s="27" t="str">
        <x:v>SCA-21</x:v>
      </x:c>
      <x:c r="C1074" s="27" t="str">
        <x:v>Rail</x:v>
      </x:c>
      <x:c r="D1074" s="27" t="str">
        <x:v>YES</x:v>
      </x:c>
      <x:c r="E1074" s="27" t="str">
        <x:v>YES</x:v>
      </x:c>
      <x:c r="F1074" s="61" t="n">
        <x:v>3558.336065412373</x:v>
      </x:c>
      <x:c r="G1074" s="61" t="n">
        <x:v>76.8333723630339</x:v>
      </x:c>
      <x:c r="H1074" s="27" t="str">
        <x:v>NO</x:v>
      </x:c>
      <x:c r="I1074" s="27" t="str">
        <x:v>NARN shared-node topology; deployable terminal required</x:v>
      </x:c>
      <x:c r="J1074" s="27" t="str">
        <x:v>presence does not prove operability or capacity</x:v>
      </x:c>
    </x:row>
    <x:row r="1075" ht="54" hidden="0" customHeight="1">
      <x:c r="A1075" s="29" t="str">
        <x:v>SCA-09</x:v>
      </x:c>
      <x:c r="B1075" s="29" t="str">
        <x:v>SCA-21</x:v>
      </x:c>
      <x:c r="C1075" s="29" t="str">
        <x:v>Air</x:v>
      </x:c>
      <x:c r="D1075" s="29" t="str">
        <x:v>YES</x:v>
      </x:c>
      <x:c r="E1075" s="29" t="str">
        <x:v>YES</x:v>
      </x:c>
      <x:c r="F1075" s="62" t="n">
        <x:v>2336.4429478904735</x:v>
      </x:c>
      <x:c r="G1075" s="62" t="n">
        <x:v>27.59452761213919</x:v>
      </x:c>
      <x:c r="H1075" s="29" t="str">
        <x:v>YES</x:v>
      </x:c>
      <x:c r="I1075" s="29" t="str">
        <x:v>primary-airport endpoints; great-circle screen</x:v>
      </x:c>
      <x:c r="J1075" s="29" t="str">
        <x:v>presence does not prove operability or capacity</x:v>
      </x:c>
    </x:row>
    <x:row r="1076" ht="54" hidden="0" customHeight="1">
      <x:c r="A1076" s="27" t="str">
        <x:v>SCA-09</x:v>
      </x:c>
      <x:c r="B1076" s="27" t="str">
        <x:v>SCA-21</x:v>
      </x:c>
      <x:c r="C1076" s="27" t="str">
        <x:v>Water</x:v>
      </x:c>
      <x:c r="D1076" s="27" t="str">
        <x:v>NO</x:v>
      </x:c>
      <x:c r="E1076" s="27" t="str">
        <x:v>NO</x:v>
      </x:c>
      <x:c r="F1076" s="61"/>
      <x:c r="G1076" s="61"/>
      <x:c r="H1076" s="27" t="str">
        <x:v>NO</x:v>
      </x:c>
      <x:c r="I1076" s="27" t="str">
        <x:v>no screened path</x:v>
      </x:c>
      <x:c r="J1076" s="27" t="str">
        <x:v>presence does not prove operability or capacity</x:v>
      </x:c>
    </x:row>
    <x:row r="1077" ht="54" hidden="0" customHeight="1">
      <x:c r="A1077" s="29" t="str">
        <x:v>SCA-09</x:v>
      </x:c>
      <x:c r="B1077" s="29" t="str">
        <x:v>SCA-22</x:v>
      </x:c>
      <x:c r="C1077" s="29" t="str">
        <x:v>Road</x:v>
      </x:c>
      <x:c r="D1077" s="29" t="str">
        <x:v>YES</x:v>
      </x:c>
      <x:c r="E1077" s="29" t="str">
        <x:v>YES</x:v>
      </x:c>
      <x:c r="F1077" s="62" t="n">
        <x:v>3067.2613882412606</x:v>
      </x:c>
      <x:c r="G1077" s="62" t="n">
        <x:v>75.76838887711384</x:v>
      </x:c>
      <x:c r="H1077" s="29" t="str">
        <x:v>NO</x:v>
      </x:c>
      <x:c r="I1077" s="29" t="str">
        <x:v>NHPN-gated shared-boundary SCA path</x:v>
      </x:c>
      <x:c r="J1077" s="29" t="str">
        <x:v>presence does not prove operability or capacity</x:v>
      </x:c>
    </x:row>
    <x:row r="1078" ht="64.80000305175781" hidden="0" customHeight="1">
      <x:c r="A1078" s="27" t="str">
        <x:v>SCA-09</x:v>
      </x:c>
      <x:c r="B1078" s="27" t="str">
        <x:v>SCA-22</x:v>
      </x:c>
      <x:c r="C1078" s="27" t="str">
        <x:v>Rail</x:v>
      </x:c>
      <x:c r="D1078" s="27" t="str">
        <x:v>YES</x:v>
      </x:c>
      <x:c r="E1078" s="27" t="str">
        <x:v>YES</x:v>
      </x:c>
      <x:c r="F1078" s="61" t="n">
        <x:v>3298.8940519130388</x:v>
      </x:c>
      <x:c r="G1078" s="61" t="n">
        <x:v>73.12705788447198</x:v>
      </x:c>
      <x:c r="H1078" s="27" t="str">
        <x:v>NO</x:v>
      </x:c>
      <x:c r="I1078" s="27" t="str">
        <x:v>NARN shared-node topology; deployable terminal required</x:v>
      </x:c>
      <x:c r="J1078" s="27" t="str">
        <x:v>presence does not prove operability or capacity</x:v>
      </x:c>
    </x:row>
    <x:row r="1079" ht="54" hidden="0" customHeight="1">
      <x:c r="A1079" s="29" t="str">
        <x:v>SCA-09</x:v>
      </x:c>
      <x:c r="B1079" s="29" t="str">
        <x:v>SCA-22</x:v>
      </x:c>
      <x:c r="C1079" s="29" t="str">
        <x:v>Air</x:v>
      </x:c>
      <x:c r="D1079" s="29" t="str">
        <x:v>YES</x:v>
      </x:c>
      <x:c r="E1079" s="29" t="str">
        <x:v>YES</x:v>
      </x:c>
      <x:c r="F1079" s="62" t="n">
        <x:v>2474.1269463994977</x:v>
      </x:c>
      <x:c r="G1079" s="62" t="n">
        <x:v>27.80634914830692</x:v>
      </x:c>
      <x:c r="H1079" s="29" t="str">
        <x:v>YES</x:v>
      </x:c>
      <x:c r="I1079" s="29" t="str">
        <x:v>primary-airport endpoints; great-circle screen</x:v>
      </x:c>
      <x:c r="J1079" s="29" t="str">
        <x:v>presence does not prove operability or capacity</x:v>
      </x:c>
    </x:row>
    <x:row r="1080" ht="54" hidden="0" customHeight="1">
      <x:c r="A1080" s="27" t="str">
        <x:v>SCA-09</x:v>
      </x:c>
      <x:c r="B1080" s="27" t="str">
        <x:v>SCA-22</x:v>
      </x:c>
      <x:c r="C1080" s="27" t="str">
        <x:v>Water</x:v>
      </x:c>
      <x:c r="D1080" s="27" t="str">
        <x:v>NO</x:v>
      </x:c>
      <x:c r="E1080" s="27" t="str">
        <x:v>NO</x:v>
      </x:c>
      <x:c r="F1080" s="61"/>
      <x:c r="G1080" s="61"/>
      <x:c r="H1080" s="27" t="str">
        <x:v>NO</x:v>
      </x:c>
      <x:c r="I1080" s="27" t="str">
        <x:v>no screened path</x:v>
      </x:c>
      <x:c r="J1080" s="27" t="str">
        <x:v>presence does not prove operability or capacity</x:v>
      </x:c>
    </x:row>
    <x:row r="1081" ht="54" hidden="0" customHeight="1">
      <x:c r="A1081" s="29" t="str">
        <x:v>SCA-09</x:v>
      </x:c>
      <x:c r="B1081" s="29" t="str">
        <x:v>SCA-23</x:v>
      </x:c>
      <x:c r="C1081" s="29" t="str">
        <x:v>Road</x:v>
      </x:c>
      <x:c r="D1081" s="29" t="str">
        <x:v>YES</x:v>
      </x:c>
      <x:c r="E1081" s="29" t="str">
        <x:v>YES</x:v>
      </x:c>
      <x:c r="F1081" s="62" t="n">
        <x:v>2959.6223584636928</x:v>
      </x:c>
      <x:c r="G1081" s="62" t="n">
        <x:v>73.81131560843077</x:v>
      </x:c>
      <x:c r="H1081" s="29" t="str">
        <x:v>NO</x:v>
      </x:c>
      <x:c r="I1081" s="29" t="str">
        <x:v>NHPN-gated shared-boundary SCA path</x:v>
      </x:c>
      <x:c r="J1081" s="29" t="str">
        <x:v>presence does not prove operability or capacity</x:v>
      </x:c>
    </x:row>
    <x:row r="1082" ht="64.80000305175781" hidden="0" customHeight="1">
      <x:c r="A1082" s="27" t="str">
        <x:v>SCA-09</x:v>
      </x:c>
      <x:c r="B1082" s="27" t="str">
        <x:v>SCA-23</x:v>
      </x:c>
      <x:c r="C1082" s="27" t="str">
        <x:v>Rail</x:v>
      </x:c>
      <x:c r="D1082" s="27" t="str">
        <x:v>YES</x:v>
      </x:c>
      <x:c r="E1082" s="27" t="str">
        <x:v>YES</x:v>
      </x:c>
      <x:c r="F1082" s="61" t="n">
        <x:v>3139.7732846310478</x:v>
      </x:c>
      <x:c r="G1082" s="61" t="n">
        <x:v>70.85390406615782</x:v>
      </x:c>
      <x:c r="H1082" s="27" t="str">
        <x:v>YES</x:v>
      </x:c>
      <x:c r="I1082" s="27" t="str">
        <x:v>NARN shared-node topology; deployable terminal required</x:v>
      </x:c>
      <x:c r="J1082" s="27" t="str">
        <x:v>presence does not prove operability or capacity</x:v>
      </x:c>
    </x:row>
    <x:row r="1083" ht="54" hidden="0" customHeight="1">
      <x:c r="A1083" s="29" t="str">
        <x:v>SCA-09</x:v>
      </x:c>
      <x:c r="B1083" s="29" t="str">
        <x:v>SCA-23</x:v>
      </x:c>
      <x:c r="C1083" s="29" t="str">
        <x:v>Air</x:v>
      </x:c>
      <x:c r="D1083" s="29" t="str">
        <x:v>YES</x:v>
      </x:c>
      <x:c r="E1083" s="29" t="str">
        <x:v>YES</x:v>
      </x:c>
      <x:c r="F1083" s="62" t="n">
        <x:v>2552.1916065850182</x:v>
      </x:c>
      <x:c r="G1083" s="62" t="n">
        <x:v>27.926448625515413</x:v>
      </x:c>
      <x:c r="H1083" s="29" t="str">
        <x:v>YES</x:v>
      </x:c>
      <x:c r="I1083" s="29" t="str">
        <x:v>primary-airport endpoints; great-circle screen</x:v>
      </x:c>
      <x:c r="J1083" s="29" t="str">
        <x:v>presence does not prove operability or capacity</x:v>
      </x:c>
    </x:row>
    <x:row r="1084" ht="54" hidden="0" customHeight="1">
      <x:c r="A1084" s="27" t="str">
        <x:v>SCA-09</x:v>
      </x:c>
      <x:c r="B1084" s="27" t="str">
        <x:v>SCA-23</x:v>
      </x:c>
      <x:c r="C1084" s="27" t="str">
        <x:v>Water</x:v>
      </x:c>
      <x:c r="D1084" s="27" t="str">
        <x:v>NO</x:v>
      </x:c>
      <x:c r="E1084" s="27" t="str">
        <x:v>NO</x:v>
      </x:c>
      <x:c r="F1084" s="61"/>
      <x:c r="G1084" s="61"/>
      <x:c r="H1084" s="27" t="str">
        <x:v>NO</x:v>
      </x:c>
      <x:c r="I1084" s="27" t="str">
        <x:v>no screened path</x:v>
      </x:c>
      <x:c r="J1084" s="27" t="str">
        <x:v>presence does not prove operability or capacity</x:v>
      </x:c>
    </x:row>
    <x:row r="1085" ht="54" hidden="0" customHeight="1">
      <x:c r="A1085" s="29" t="str">
        <x:v>SCA-09</x:v>
      </x:c>
      <x:c r="B1085" s="29" t="str">
        <x:v>SCA-24</x:v>
      </x:c>
      <x:c r="C1085" s="29" t="str">
        <x:v>Road</x:v>
      </x:c>
      <x:c r="D1085" s="29" t="str">
        <x:v>YES</x:v>
      </x:c>
      <x:c r="E1085" s="29" t="str">
        <x:v>YES</x:v>
      </x:c>
      <x:c r="F1085" s="62" t="n">
        <x:v>3366.3722323991738</x:v>
      </x:c>
      <x:c r="G1085" s="62" t="n">
        <x:v>81.20676786180316</x:v>
      </x:c>
      <x:c r="H1085" s="29" t="str">
        <x:v>NO</x:v>
      </x:c>
      <x:c r="I1085" s="29" t="str">
        <x:v>NHPN-gated shared-boundary SCA path</x:v>
      </x:c>
      <x:c r="J1085" s="29" t="str">
        <x:v>presence does not prove operability or capacity</x:v>
      </x:c>
    </x:row>
    <x:row r="1086" ht="64.80000305175781" hidden="0" customHeight="1">
      <x:c r="A1086" s="27" t="str">
        <x:v>SCA-09</x:v>
      </x:c>
      <x:c r="B1086" s="27" t="str">
        <x:v>SCA-24</x:v>
      </x:c>
      <x:c r="C1086" s="27" t="str">
        <x:v>Rail</x:v>
      </x:c>
      <x:c r="D1086" s="27" t="str">
        <x:v>YES</x:v>
      </x:c>
      <x:c r="E1086" s="27" t="str">
        <x:v>YES</x:v>
      </x:c>
      <x:c r="F1086" s="61" t="n">
        <x:v>3867.321202289464</x:v>
      </x:c>
      <x:c r="G1086" s="61" t="n">
        <x:v>81.24744574699234</x:v>
      </x:c>
      <x:c r="H1086" s="27" t="str">
        <x:v>NO</x:v>
      </x:c>
      <x:c r="I1086" s="27" t="str">
        <x:v>NARN shared-node topology; deployable terminal required</x:v>
      </x:c>
      <x:c r="J1086" s="27" t="str">
        <x:v>presence does not prove operability or capacity</x:v>
      </x:c>
    </x:row>
    <x:row r="1087" ht="54" hidden="0" customHeight="1">
      <x:c r="A1087" s="29" t="str">
        <x:v>SCA-09</x:v>
      </x:c>
      <x:c r="B1087" s="29" t="str">
        <x:v>SCA-24</x:v>
      </x:c>
      <x:c r="C1087" s="29" t="str">
        <x:v>Air</x:v>
      </x:c>
      <x:c r="D1087" s="29" t="str">
        <x:v>YES</x:v>
      </x:c>
      <x:c r="E1087" s="29" t="str">
        <x:v>YES</x:v>
      </x:c>
      <x:c r="F1087" s="62" t="n">
        <x:v>2675.49689619561</x:v>
      </x:c>
      <x:c r="G1087" s="62" t="n">
        <x:v>28.11614907107017</x:v>
      </x:c>
      <x:c r="H1087" s="29" t="str">
        <x:v>YES</x:v>
      </x:c>
      <x:c r="I1087" s="29" t="str">
        <x:v>primary-airport endpoints; great-circle screen</x:v>
      </x:c>
      <x:c r="J1087" s="29" t="str">
        <x:v>presence does not prove operability or capacity</x:v>
      </x:c>
    </x:row>
    <x:row r="1088" ht="54" hidden="0" customHeight="1">
      <x:c r="A1088" s="27" t="str">
        <x:v>SCA-09</x:v>
      </x:c>
      <x:c r="B1088" s="27" t="str">
        <x:v>SCA-24</x:v>
      </x:c>
      <x:c r="C1088" s="27" t="str">
        <x:v>Water</x:v>
      </x:c>
      <x:c r="D1088" s="27" t="str">
        <x:v>NO</x:v>
      </x:c>
      <x:c r="E1088" s="27" t="str">
        <x:v>NO</x:v>
      </x:c>
      <x:c r="F1088" s="61"/>
      <x:c r="G1088" s="61"/>
      <x:c r="H1088" s="27" t="str">
        <x:v>NO</x:v>
      </x:c>
      <x:c r="I1088" s="27" t="str">
        <x:v>no screened path</x:v>
      </x:c>
      <x:c r="J1088" s="27" t="str">
        <x:v>presence does not prove operability or capacity</x:v>
      </x:c>
    </x:row>
    <x:row r="1089" ht="54" hidden="0" customHeight="1">
      <x:c r="A1089" s="29" t="str">
        <x:v>SCA-09</x:v>
      </x:c>
      <x:c r="B1089" s="29" t="str">
        <x:v>SCA-25</x:v>
      </x:c>
      <x:c r="C1089" s="29" t="str">
        <x:v>Road</x:v>
      </x:c>
      <x:c r="D1089" s="29" t="str">
        <x:v>YES</x:v>
      </x:c>
      <x:c r="E1089" s="29" t="str">
        <x:v>YES</x:v>
      </x:c>
      <x:c r="F1089" s="62" t="n">
        <x:v>3454.2065383831323</x:v>
      </x:c>
      <x:c r="G1089" s="62" t="n">
        <x:v>82.80375524332968</x:v>
      </x:c>
      <x:c r="H1089" s="29" t="str">
        <x:v>NO</x:v>
      </x:c>
      <x:c r="I1089" s="29" t="str">
        <x:v>NHPN-gated shared-boundary SCA path</x:v>
      </x:c>
      <x:c r="J1089" s="29" t="str">
        <x:v>presence does not prove operability or capacity</x:v>
      </x:c>
    </x:row>
    <x:row r="1090" ht="64.80000305175781" hidden="0" customHeight="1">
      <x:c r="A1090" s="27" t="str">
        <x:v>SCA-09</x:v>
      </x:c>
      <x:c r="B1090" s="27" t="str">
        <x:v>SCA-25</x:v>
      </x:c>
      <x:c r="C1090" s="27" t="str">
        <x:v>Rail</x:v>
      </x:c>
      <x:c r="D1090" s="27" t="str">
        <x:v>YES</x:v>
      </x:c>
      <x:c r="E1090" s="27" t="str">
        <x:v>YES</x:v>
      </x:c>
      <x:c r="F1090" s="61" t="n">
        <x:v>3664.4625885455835</x:v>
      </x:c>
      <x:c r="G1090" s="61" t="n">
        <x:v>78.34946555065119</x:v>
      </x:c>
      <x:c r="H1090" s="27" t="str">
        <x:v>NO</x:v>
      </x:c>
      <x:c r="I1090" s="27" t="str">
        <x:v>NARN shared-node topology; deployable terminal required</x:v>
      </x:c>
      <x:c r="J1090" s="27" t="str">
        <x:v>presence does not prove operability or capacity</x:v>
      </x:c>
    </x:row>
    <x:row r="1091" ht="54" hidden="0" customHeight="1">
      <x:c r="A1091" s="29" t="str">
        <x:v>SCA-09</x:v>
      </x:c>
      <x:c r="B1091" s="29" t="str">
        <x:v>SCA-25</x:v>
      </x:c>
      <x:c r="C1091" s="29" t="str">
        <x:v>Air</x:v>
      </x:c>
      <x:c r="D1091" s="29" t="str">
        <x:v>YES</x:v>
      </x:c>
      <x:c r="E1091" s="29" t="str">
        <x:v>YES</x:v>
      </x:c>
      <x:c r="F1091" s="62" t="n">
        <x:v>2846.410289520931</x:v>
      </x:c>
      <x:c r="G1091" s="62" t="n">
        <x:v>28.379092753109127</x:v>
      </x:c>
      <x:c r="H1091" s="29" t="str">
        <x:v>YES</x:v>
      </x:c>
      <x:c r="I1091" s="29" t="str">
        <x:v>primary-airport endpoints; great-circle screen</x:v>
      </x:c>
      <x:c r="J1091" s="29" t="str">
        <x:v>presence does not prove operability or capacity</x:v>
      </x:c>
    </x:row>
    <x:row r="1092" ht="54" hidden="0" customHeight="1">
      <x:c r="A1092" s="27" t="str">
        <x:v>SCA-09</x:v>
      </x:c>
      <x:c r="B1092" s="27" t="str">
        <x:v>SCA-25</x:v>
      </x:c>
      <x:c r="C1092" s="27" t="str">
        <x:v>Water</x:v>
      </x:c>
      <x:c r="D1092" s="27" t="str">
        <x:v>NO</x:v>
      </x:c>
      <x:c r="E1092" s="27" t="str">
        <x:v>NO</x:v>
      </x:c>
      <x:c r="F1092" s="61"/>
      <x:c r="G1092" s="61"/>
      <x:c r="H1092" s="27" t="str">
        <x:v>NO</x:v>
      </x:c>
      <x:c r="I1092" s="27" t="str">
        <x:v>no screened path</x:v>
      </x:c>
      <x:c r="J1092" s="27" t="str">
        <x:v>presence does not prove operability or capacity</x:v>
      </x:c>
    </x:row>
    <x:row r="1093" ht="54" hidden="0" customHeight="1">
      <x:c r="A1093" s="29" t="str">
        <x:v>SCA-09</x:v>
      </x:c>
      <x:c r="B1093" s="29" t="str">
        <x:v>SCA-26</x:v>
      </x:c>
      <x:c r="C1093" s="29" t="str">
        <x:v>Road</x:v>
      </x:c>
      <x:c r="D1093" s="29" t="str">
        <x:v>YES</x:v>
      </x:c>
      <x:c r="E1093" s="29" t="str">
        <x:v>YES</x:v>
      </x:c>
      <x:c r="F1093" s="62" t="n">
        <x:v>3782.7059941479547</x:v>
      </x:c>
      <x:c r="G1093" s="62" t="n">
        <x:v>88.7764726208719</x:v>
      </x:c>
      <x:c r="H1093" s="29" t="str">
        <x:v>NO</x:v>
      </x:c>
      <x:c r="I1093" s="29" t="str">
        <x:v>NHPN-gated shared-boundary SCA path</x:v>
      </x:c>
      <x:c r="J1093" s="29" t="str">
        <x:v>presence does not prove operability or capacity</x:v>
      </x:c>
    </x:row>
    <x:row r="1094" ht="64.80000305175781" hidden="0" customHeight="1">
      <x:c r="A1094" s="27" t="str">
        <x:v>SCA-09</x:v>
      </x:c>
      <x:c r="B1094" s="27" t="str">
        <x:v>SCA-26</x:v>
      </x:c>
      <x:c r="C1094" s="27" t="str">
        <x:v>Rail</x:v>
      </x:c>
      <x:c r="D1094" s="27" t="str">
        <x:v>YES</x:v>
      </x:c>
      <x:c r="E1094" s="27" t="str">
        <x:v>YES</x:v>
      </x:c>
      <x:c r="F1094" s="61" t="n">
        <x:v>4012.9576633569595</x:v>
      </x:c>
      <x:c r="G1094" s="61" t="n">
        <x:v>83.32796661938514</x:v>
      </x:c>
      <x:c r="H1094" s="27" t="str">
        <x:v>NO</x:v>
      </x:c>
      <x:c r="I1094" s="27" t="str">
        <x:v>NARN shared-node topology; deployable terminal required</x:v>
      </x:c>
      <x:c r="J1094" s="27" t="str">
        <x:v>presence does not prove operability or capacity</x:v>
      </x:c>
    </x:row>
    <x:row r="1095" ht="54" hidden="0" customHeight="1">
      <x:c r="A1095" s="29" t="str">
        <x:v>SCA-09</x:v>
      </x:c>
      <x:c r="B1095" s="29" t="str">
        <x:v>SCA-26</x:v>
      </x:c>
      <x:c r="C1095" s="29" t="str">
        <x:v>Air</x:v>
      </x:c>
      <x:c r="D1095" s="29" t="str">
        <x:v>YES</x:v>
      </x:c>
      <x:c r="E1095" s="29" t="str">
        <x:v>YES</x:v>
      </x:c>
      <x:c r="F1095" s="62" t="n">
        <x:v>2948.3976133779065</x:v>
      </x:c>
      <x:c r="G1095" s="62" t="n">
        <x:v>28.535996328273704</x:v>
      </x:c>
      <x:c r="H1095" s="29" t="str">
        <x:v>YES</x:v>
      </x:c>
      <x:c r="I1095" s="29" t="str">
        <x:v>primary-airport endpoints; great-circle screen</x:v>
      </x:c>
      <x:c r="J1095" s="29" t="str">
        <x:v>presence does not prove operability or capacity</x:v>
      </x:c>
    </x:row>
    <x:row r="1096" ht="54" hidden="0" customHeight="1">
      <x:c r="A1096" s="27" t="str">
        <x:v>SCA-09</x:v>
      </x:c>
      <x:c r="B1096" s="27" t="str">
        <x:v>SCA-26</x:v>
      </x:c>
      <x:c r="C1096" s="27" t="str">
        <x:v>Water</x:v>
      </x:c>
      <x:c r="D1096" s="27" t="str">
        <x:v>NO</x:v>
      </x:c>
      <x:c r="E1096" s="27" t="str">
        <x:v>NO</x:v>
      </x:c>
      <x:c r="F1096" s="61"/>
      <x:c r="G1096" s="61"/>
      <x:c r="H1096" s="27" t="str">
        <x:v>NO</x:v>
      </x:c>
      <x:c r="I1096" s="27" t="str">
        <x:v>no screened path</x:v>
      </x:c>
      <x:c r="J1096" s="27" t="str">
        <x:v>presence does not prove operability or capacity</x:v>
      </x:c>
    </x:row>
    <x:row r="1097" ht="54" hidden="0" customHeight="1">
      <x:c r="A1097" s="29" t="str">
        <x:v>SCA-09</x:v>
      </x:c>
      <x:c r="B1097" s="29" t="str">
        <x:v>SCA-27</x:v>
      </x:c>
      <x:c r="C1097" s="29" t="str">
        <x:v>Road</x:v>
      </x:c>
      <x:c r="D1097" s="29" t="str">
        <x:v>YES</x:v>
      </x:c>
      <x:c r="E1097" s="29" t="str">
        <x:v>YES</x:v>
      </x:c>
      <x:c r="F1097" s="62" t="n">
        <x:v>4062.334258267503</x:v>
      </x:c>
      <x:c r="G1097" s="62" t="n">
        <x:v>93.86062287759097</x:v>
      </x:c>
      <x:c r="H1097" s="29" t="str">
        <x:v>NO</x:v>
      </x:c>
      <x:c r="I1097" s="29" t="str">
        <x:v>NHPN-gated shared-boundary SCA path</x:v>
      </x:c>
      <x:c r="J1097" s="29" t="str">
        <x:v>presence does not prove operability or capacity</x:v>
      </x:c>
    </x:row>
    <x:row r="1098" ht="64.80000305175781" hidden="0" customHeight="1">
      <x:c r="A1098" s="27" t="str">
        <x:v>SCA-09</x:v>
      </x:c>
      <x:c r="B1098" s="27" t="str">
        <x:v>SCA-27</x:v>
      </x:c>
      <x:c r="C1098" s="27" t="str">
        <x:v>Rail</x:v>
      </x:c>
      <x:c r="D1098" s="27" t="str">
        <x:v>YES</x:v>
      </x:c>
      <x:c r="E1098" s="27" t="str">
        <x:v>YES</x:v>
      </x:c>
      <x:c r="F1098" s="61" t="n">
        <x:v>4309.6067783359595</x:v>
      </x:c>
      <x:c r="G1098" s="61" t="n">
        <x:v>87.56581111908514</x:v>
      </x:c>
      <x:c r="H1098" s="27" t="str">
        <x:v>NO</x:v>
      </x:c>
      <x:c r="I1098" s="27" t="str">
        <x:v>NARN shared-node topology; deployable terminal required</x:v>
      </x:c>
      <x:c r="J1098" s="27" t="str">
        <x:v>presence does not prove operability or capacity</x:v>
      </x:c>
    </x:row>
    <x:row r="1099" ht="54" hidden="0" customHeight="1">
      <x:c r="A1099" s="29" t="str">
        <x:v>SCA-09</x:v>
      </x:c>
      <x:c r="B1099" s="29" t="str">
        <x:v>SCA-27</x:v>
      </x:c>
      <x:c r="C1099" s="29" t="str">
        <x:v>Air</x:v>
      </x:c>
      <x:c r="D1099" s="29" t="str">
        <x:v>YES</x:v>
      </x:c>
      <x:c r="E1099" s="29" t="str">
        <x:v>YES</x:v>
      </x:c>
      <x:c r="F1099" s="62" t="n">
        <x:v>3144.8901471616127</x:v>
      </x:c>
      <x:c r="G1099" s="62" t="n">
        <x:v>28.83829253409479</x:v>
      </x:c>
      <x:c r="H1099" s="29" t="str">
        <x:v>YES</x:v>
      </x:c>
      <x:c r="I1099" s="29" t="str">
        <x:v>primary-airport endpoints; great-circle screen</x:v>
      </x:c>
      <x:c r="J1099" s="29" t="str">
        <x:v>presence does not prove operability or capacity</x:v>
      </x:c>
    </x:row>
    <x:row r="1100" ht="54" hidden="0" customHeight="1">
      <x:c r="A1100" s="27" t="str">
        <x:v>SCA-09</x:v>
      </x:c>
      <x:c r="B1100" s="27" t="str">
        <x:v>SCA-27</x:v>
      </x:c>
      <x:c r="C1100" s="27" t="str">
        <x:v>Water</x:v>
      </x:c>
      <x:c r="D1100" s="27" t="str">
        <x:v>NO</x:v>
      </x:c>
      <x:c r="E1100" s="27" t="str">
        <x:v>NO</x:v>
      </x:c>
      <x:c r="F1100" s="61"/>
      <x:c r="G1100" s="61"/>
      <x:c r="H1100" s="27" t="str">
        <x:v>NO</x:v>
      </x:c>
      <x:c r="I1100" s="27" t="str">
        <x:v>no screened path</x:v>
      </x:c>
      <x:c r="J1100" s="27" t="str">
        <x:v>presence does not prove operability or capacity</x:v>
      </x:c>
    </x:row>
    <x:row r="1101" ht="54" hidden="0" customHeight="1">
      <x:c r="A1101" s="29" t="str">
        <x:v>SCA-09</x:v>
      </x:c>
      <x:c r="B1101" s="29" t="str">
        <x:v>SCA-28</x:v>
      </x:c>
      <x:c r="C1101" s="29" t="str">
        <x:v>Road</x:v>
      </x:c>
      <x:c r="D1101" s="29" t="str">
        <x:v>YES</x:v>
      </x:c>
      <x:c r="E1101" s="29" t="str">
        <x:v>YES</x:v>
      </x:c>
      <x:c r="F1101" s="62" t="n">
        <x:v>3711.916363505599</x:v>
      </x:c>
      <x:c r="G1101" s="62" t="n">
        <x:v>87.48938842737452</x:v>
      </x:c>
      <x:c r="H1101" s="29" t="str">
        <x:v>NO</x:v>
      </x:c>
      <x:c r="I1101" s="29" t="str">
        <x:v>NHPN-gated shared-boundary SCA path</x:v>
      </x:c>
      <x:c r="J1101" s="29" t="str">
        <x:v>presence does not prove operability or capacity</x:v>
      </x:c>
    </x:row>
    <x:row r="1102" ht="64.80000305175781" hidden="0" customHeight="1">
      <x:c r="A1102" s="27" t="str">
        <x:v>SCA-09</x:v>
      </x:c>
      <x:c r="B1102" s="27" t="str">
        <x:v>SCA-28</x:v>
      </x:c>
      <x:c r="C1102" s="27" t="str">
        <x:v>Rail</x:v>
      </x:c>
      <x:c r="D1102" s="27" t="str">
        <x:v>YES</x:v>
      </x:c>
      <x:c r="E1102" s="27" t="str">
        <x:v>YES</x:v>
      </x:c>
      <x:c r="F1102" s="61" t="n">
        <x:v>3982.788895236946</x:v>
      </x:c>
      <x:c r="G1102" s="61" t="n">
        <x:v>82.89698421767065</x:v>
      </x:c>
      <x:c r="H1102" s="27" t="str">
        <x:v>NO</x:v>
      </x:c>
      <x:c r="I1102" s="27" t="str">
        <x:v>NARN shared-node topology; deployable terminal required</x:v>
      </x:c>
      <x:c r="J1102" s="27" t="str">
        <x:v>presence does not prove operability or capacity</x:v>
      </x:c>
    </x:row>
    <x:row r="1103" ht="54" hidden="0" customHeight="1">
      <x:c r="A1103" s="29" t="str">
        <x:v>SCA-09</x:v>
      </x:c>
      <x:c r="B1103" s="29" t="str">
        <x:v>SCA-28</x:v>
      </x:c>
      <x:c r="C1103" s="29" t="str">
        <x:v>Air</x:v>
      </x:c>
      <x:c r="D1103" s="29" t="str">
        <x:v>YES</x:v>
      </x:c>
      <x:c r="E1103" s="29" t="str">
        <x:v>YES</x:v>
      </x:c>
      <x:c r="F1103" s="62" t="n">
        <x:v>3005.953370607002</x:v>
      </x:c>
      <x:c r="G1103" s="62" t="n">
        <x:v>28.624543647087695</x:v>
      </x:c>
      <x:c r="H1103" s="29" t="str">
        <x:v>YES</x:v>
      </x:c>
      <x:c r="I1103" s="29" t="str">
        <x:v>primary-airport endpoints; great-circle screen</x:v>
      </x:c>
      <x:c r="J1103" s="29" t="str">
        <x:v>presence does not prove operability or capacity</x:v>
      </x:c>
    </x:row>
    <x:row r="1104" ht="54" hidden="0" customHeight="1">
      <x:c r="A1104" s="27" t="str">
        <x:v>SCA-09</x:v>
      </x:c>
      <x:c r="B1104" s="27" t="str">
        <x:v>SCA-28</x:v>
      </x:c>
      <x:c r="C1104" s="27" t="str">
        <x:v>Water</x:v>
      </x:c>
      <x:c r="D1104" s="27" t="str">
        <x:v>NO</x:v>
      </x:c>
      <x:c r="E1104" s="27" t="str">
        <x:v>NO</x:v>
      </x:c>
      <x:c r="F1104" s="61"/>
      <x:c r="G1104" s="61"/>
      <x:c r="H1104" s="27" t="str">
        <x:v>NO</x:v>
      </x:c>
      <x:c r="I1104" s="27" t="str">
        <x:v>no screened path</x:v>
      </x:c>
      <x:c r="J1104" s="27" t="str">
        <x:v>presence does not prove operability or capacity</x:v>
      </x:c>
    </x:row>
    <x:row r="1105" ht="54" hidden="0" customHeight="1">
      <x:c r="A1105" s="29" t="str">
        <x:v>SCA-09</x:v>
      </x:c>
      <x:c r="B1105" s="29" t="str">
        <x:v>SCA-29</x:v>
      </x:c>
      <x:c r="C1105" s="29" t="str">
        <x:v>Road</x:v>
      </x:c>
      <x:c r="D1105" s="29" t="str">
        <x:v>YES</x:v>
      </x:c>
      <x:c r="E1105" s="29" t="str">
        <x:v>YES</x:v>
      </x:c>
      <x:c r="F1105" s="62" t="n">
        <x:v>3595.077307486742</x:v>
      </x:c>
      <x:c r="G1105" s="62" t="n">
        <x:v>85.3650419543044</x:v>
      </x:c>
      <x:c r="H1105" s="29" t="str">
        <x:v>NO</x:v>
      </x:c>
      <x:c r="I1105" s="29" t="str">
        <x:v>NHPN-gated shared-boundary SCA path</x:v>
      </x:c>
      <x:c r="J1105" s="29" t="str">
        <x:v>presence does not prove operability or capacity</x:v>
      </x:c>
    </x:row>
    <x:row r="1106" ht="64.80000305175781" hidden="0" customHeight="1">
      <x:c r="A1106" s="27" t="str">
        <x:v>SCA-09</x:v>
      </x:c>
      <x:c r="B1106" s="27" t="str">
        <x:v>SCA-29</x:v>
      </x:c>
      <x:c r="C1106" s="27" t="str">
        <x:v>Rail</x:v>
      </x:c>
      <x:c r="D1106" s="27" t="str">
        <x:v>YES</x:v>
      </x:c>
      <x:c r="E1106" s="27" t="str">
        <x:v>YES</x:v>
      </x:c>
      <x:c r="F1106" s="61" t="n">
        <x:v>3813.9081001163695</x:v>
      </x:c>
      <x:c r="G1106" s="61" t="n">
        <x:v>80.48440143023385</x:v>
      </x:c>
      <x:c r="H1106" s="27" t="str">
        <x:v>NO</x:v>
      </x:c>
      <x:c r="I1106" s="27" t="str">
        <x:v>NARN shared-node topology; deployable terminal required</x:v>
      </x:c>
      <x:c r="J1106" s="27" t="str">
        <x:v>presence does not prove operability or capacity</x:v>
      </x:c>
    </x:row>
    <x:row r="1107" ht="54" hidden="0" customHeight="1">
      <x:c r="A1107" s="29" t="str">
        <x:v>SCA-09</x:v>
      </x:c>
      <x:c r="B1107" s="29" t="str">
        <x:v>SCA-29</x:v>
      </x:c>
      <x:c r="C1107" s="29" t="str">
        <x:v>Air</x:v>
      </x:c>
      <x:c r="D1107" s="29" t="str">
        <x:v>YES</x:v>
      </x:c>
      <x:c r="E1107" s="29" t="str">
        <x:v>YES</x:v>
      </x:c>
      <x:c r="F1107" s="62" t="n">
        <x:v>3032.002919095994</x:v>
      </x:c>
      <x:c r="G1107" s="62" t="n">
        <x:v>28.6646198755323</x:v>
      </x:c>
      <x:c r="H1107" s="29" t="str">
        <x:v>YES</x:v>
      </x:c>
      <x:c r="I1107" s="29" t="str">
        <x:v>primary-airport endpoints; great-circle screen</x:v>
      </x:c>
      <x:c r="J1107" s="29" t="str">
        <x:v>presence does not prove operability or capacity</x:v>
      </x:c>
    </x:row>
    <x:row r="1108" ht="54" hidden="0" customHeight="1">
      <x:c r="A1108" s="27" t="str">
        <x:v>SCA-09</x:v>
      </x:c>
      <x:c r="B1108" s="27" t="str">
        <x:v>SCA-29</x:v>
      </x:c>
      <x:c r="C1108" s="27" t="str">
        <x:v>Water</x:v>
      </x:c>
      <x:c r="D1108" s="27" t="str">
        <x:v>NO</x:v>
      </x:c>
      <x:c r="E1108" s="27" t="str">
        <x:v>NO</x:v>
      </x:c>
      <x:c r="F1108" s="61"/>
      <x:c r="G1108" s="61"/>
      <x:c r="H1108" s="27" t="str">
        <x:v>NO</x:v>
      </x:c>
      <x:c r="I1108" s="27" t="str">
        <x:v>no screened path</x:v>
      </x:c>
      <x:c r="J1108" s="27" t="str">
        <x:v>presence does not prove operability or capacity</x:v>
      </x:c>
    </x:row>
    <x:row r="1109" ht="54" hidden="0" customHeight="1">
      <x:c r="A1109" s="29" t="str">
        <x:v>SCA-09</x:v>
      </x:c>
      <x:c r="B1109" s="29" t="str">
        <x:v>SCA-30</x:v>
      </x:c>
      <x:c r="C1109" s="29" t="str">
        <x:v>Road</x:v>
      </x:c>
      <x:c r="D1109" s="29" t="str">
        <x:v>YES</x:v>
      </x:c>
      <x:c r="E1109" s="29" t="str">
        <x:v>YES</x:v>
      </x:c>
      <x:c r="F1109" s="62" t="n">
        <x:v>4175.480079436838</x:v>
      </x:c>
      <x:c r="G1109" s="62" t="n">
        <x:v>95.91781962612434</x:v>
      </x:c>
      <x:c r="H1109" s="29" t="str">
        <x:v>NO</x:v>
      </x:c>
      <x:c r="I1109" s="29" t="str">
        <x:v>NHPN-gated shared-boundary SCA path</x:v>
      </x:c>
      <x:c r="J1109" s="29" t="str">
        <x:v>presence does not prove operability or capacity</x:v>
      </x:c>
    </x:row>
    <x:row r="1110" ht="64.80000305175781" hidden="0" customHeight="1">
      <x:c r="A1110" s="27" t="str">
        <x:v>SCA-09</x:v>
      </x:c>
      <x:c r="B1110" s="27" t="str">
        <x:v>SCA-30</x:v>
      </x:c>
      <x:c r="C1110" s="27" t="str">
        <x:v>Rail</x:v>
      </x:c>
      <x:c r="D1110" s="27" t="str">
        <x:v>YES</x:v>
      </x:c>
      <x:c r="E1110" s="27" t="str">
        <x:v>YES</x:v>
      </x:c>
      <x:c r="F1110" s="61" t="n">
        <x:v>4474.569533007479</x:v>
      </x:c>
      <x:c r="G1110" s="61" t="n">
        <x:v>89.92242190010684</x:v>
      </x:c>
      <x:c r="H1110" s="27" t="str">
        <x:v>NO</x:v>
      </x:c>
      <x:c r="I1110" s="27" t="str">
        <x:v>NARN shared-node topology; deployable terminal required</x:v>
      </x:c>
      <x:c r="J1110" s="27" t="str">
        <x:v>presence does not prove operability or capacity</x:v>
      </x:c>
    </x:row>
    <x:row r="1111" ht="54" hidden="0" customHeight="1">
      <x:c r="A1111" s="29" t="str">
        <x:v>SCA-09</x:v>
      </x:c>
      <x:c r="B1111" s="29" t="str">
        <x:v>SCA-30</x:v>
      </x:c>
      <x:c r="C1111" s="29" t="str">
        <x:v>Air</x:v>
      </x:c>
      <x:c r="D1111" s="29" t="str">
        <x:v>YES</x:v>
      </x:c>
      <x:c r="E1111" s="29" t="str">
        <x:v>YES</x:v>
      </x:c>
      <x:c r="F1111" s="62" t="n">
        <x:v>3409.040921517798</x:v>
      </x:c>
      <x:c r="G1111" s="62" t="n">
        <x:v>29.24467834079661</x:v>
      </x:c>
      <x:c r="H1111" s="29" t="str">
        <x:v>YES</x:v>
      </x:c>
      <x:c r="I1111" s="29" t="str">
        <x:v>primary-airport endpoints; great-circle screen</x:v>
      </x:c>
      <x:c r="J1111" s="29" t="str">
        <x:v>presence does not prove operability or capacity</x:v>
      </x:c>
    </x:row>
    <x:row r="1112" ht="54" hidden="0" customHeight="1">
      <x:c r="A1112" s="27" t="str">
        <x:v>SCA-09</x:v>
      </x:c>
      <x:c r="B1112" s="27" t="str">
        <x:v>SCA-30</x:v>
      </x:c>
      <x:c r="C1112" s="27" t="str">
        <x:v>Water</x:v>
      </x:c>
      <x:c r="D1112" s="27" t="str">
        <x:v>NO</x:v>
      </x:c>
      <x:c r="E1112" s="27" t="str">
        <x:v>NO</x:v>
      </x:c>
      <x:c r="F1112" s="61"/>
      <x:c r="G1112" s="61"/>
      <x:c r="H1112" s="27" t="str">
        <x:v>NO</x:v>
      </x:c>
      <x:c r="I1112" s="27" t="str">
        <x:v>no screened path</x:v>
      </x:c>
      <x:c r="J1112" s="27" t="str">
        <x:v>presence does not prove operability or capacity</x:v>
      </x:c>
    </x:row>
    <x:row r="1113" ht="54" hidden="0" customHeight="1">
      <x:c r="A1113" s="29" t="str">
        <x:v>SCA-09</x:v>
      </x:c>
      <x:c r="B1113" s="29" t="str">
        <x:v>SCA-31</x:v>
      </x:c>
      <x:c r="C1113" s="29" t="str">
        <x:v>Road</x:v>
      </x:c>
      <x:c r="D1113" s="29" t="str">
        <x:v>YES</x:v>
      </x:c>
      <x:c r="E1113" s="29" t="str">
        <x:v>YES</x:v>
      </x:c>
      <x:c r="F1113" s="62" t="n">
        <x:v>4568.562224623344</x:v>
      </x:c>
      <x:c r="G1113" s="62" t="n">
        <x:v>103.06476772042444</x:v>
      </x:c>
      <x:c r="H1113" s="29" t="str">
        <x:v>NO</x:v>
      </x:c>
      <x:c r="I1113" s="29" t="str">
        <x:v>NHPN-gated shared-boundary SCA path</x:v>
      </x:c>
      <x:c r="J1113" s="29" t="str">
        <x:v>presence does not prove operability or capacity</x:v>
      </x:c>
    </x:row>
    <x:row r="1114" ht="64.80000305175781" hidden="0" customHeight="1">
      <x:c r="A1114" s="27" t="str">
        <x:v>SCA-09</x:v>
      </x:c>
      <x:c r="B1114" s="27" t="str">
        <x:v>SCA-31</x:v>
      </x:c>
      <x:c r="C1114" s="27" t="str">
        <x:v>Rail</x:v>
      </x:c>
      <x:c r="D1114" s="27" t="str">
        <x:v>YES</x:v>
      </x:c>
      <x:c r="E1114" s="27" t="str">
        <x:v>YES</x:v>
      </x:c>
      <x:c r="F1114" s="61" t="n">
        <x:v>4891.578417466207</x:v>
      </x:c>
      <x:c r="G1114" s="61" t="n">
        <x:v>95.87969167808866</x:v>
      </x:c>
      <x:c r="H1114" s="27" t="str">
        <x:v>NO</x:v>
      </x:c>
      <x:c r="I1114" s="27" t="str">
        <x:v>NARN shared-node topology; deployable terminal required</x:v>
      </x:c>
      <x:c r="J1114" s="27" t="str">
        <x:v>presence does not prove operability or capacity</x:v>
      </x:c>
    </x:row>
    <x:row r="1115" ht="54" hidden="0" customHeight="1">
      <x:c r="A1115" s="29" t="str">
        <x:v>SCA-09</x:v>
      </x:c>
      <x:c r="B1115" s="29" t="str">
        <x:v>SCA-31</x:v>
      </x:c>
      <x:c r="C1115" s="29" t="str">
        <x:v>Air</x:v>
      </x:c>
      <x:c r="D1115" s="29" t="str">
        <x:v>YES</x:v>
      </x:c>
      <x:c r="E1115" s="29" t="str">
        <x:v>YES</x:v>
      </x:c>
      <x:c r="F1115" s="62" t="n">
        <x:v>3670.053328204007</x:v>
      </x:c>
      <x:c r="G1115" s="62" t="n">
        <x:v>29.646235889544627</x:v>
      </x:c>
      <x:c r="H1115" s="29" t="str">
        <x:v>YES</x:v>
      </x:c>
      <x:c r="I1115" s="29" t="str">
        <x:v>primary-airport endpoints; great-circle screen</x:v>
      </x:c>
      <x:c r="J1115" s="29" t="str">
        <x:v>presence does not prove operability or capacity</x:v>
      </x:c>
    </x:row>
    <x:row r="1116" ht="54" hidden="0" customHeight="1">
      <x:c r="A1116" s="27" t="str">
        <x:v>SCA-09</x:v>
      </x:c>
      <x:c r="B1116" s="27" t="str">
        <x:v>SCA-31</x:v>
      </x:c>
      <x:c r="C1116" s="27" t="str">
        <x:v>Water</x:v>
      </x:c>
      <x:c r="D1116" s="27" t="str">
        <x:v>NO</x:v>
      </x:c>
      <x:c r="E1116" s="27" t="str">
        <x:v>NO</x:v>
      </x:c>
      <x:c r="F1116" s="61"/>
      <x:c r="G1116" s="61"/>
      <x:c r="H1116" s="27" t="str">
        <x:v>NO</x:v>
      </x:c>
      <x:c r="I1116" s="27" t="str">
        <x:v>no screened path</x:v>
      </x:c>
      <x:c r="J1116" s="27" t="str">
        <x:v>presence does not prove operability or capacity</x:v>
      </x:c>
    </x:row>
    <x:row r="1117" ht="54" hidden="0" customHeight="1">
      <x:c r="A1117" s="29" t="str">
        <x:v>SCA-09</x:v>
      </x:c>
      <x:c r="B1117" s="29" t="str">
        <x:v>SCA-32</x:v>
      </x:c>
      <x:c r="C1117" s="29" t="str">
        <x:v>Road</x:v>
      </x:c>
      <x:c r="D1117" s="29" t="str">
        <x:v>NO</x:v>
      </x:c>
      <x:c r="E1117" s="29" t="str">
        <x:v>NO</x:v>
      </x:c>
      <x:c r="F1117" s="62"/>
      <x:c r="G1117" s="62"/>
      <x:c r="H1117" s="29" t="str">
        <x:v>NO</x:v>
      </x:c>
      <x:c r="I1117" s="29" t="str">
        <x:v>no screened path</x:v>
      </x:c>
      <x:c r="J1117" s="29" t="str">
        <x:v>presence does not prove operability or capacity</x:v>
      </x:c>
    </x:row>
    <x:row r="1118" ht="54" hidden="0" customHeight="1">
      <x:c r="A1118" s="27" t="str">
        <x:v>SCA-09</x:v>
      </x:c>
      <x:c r="B1118" s="27" t="str">
        <x:v>SCA-32</x:v>
      </x:c>
      <x:c r="C1118" s="27" t="str">
        <x:v>Rail</x:v>
      </x:c>
      <x:c r="D1118" s="27" t="str">
        <x:v>NO</x:v>
      </x:c>
      <x:c r="E1118" s="27" t="str">
        <x:v>NO</x:v>
      </x:c>
      <x:c r="F1118" s="61"/>
      <x:c r="G1118" s="61"/>
      <x:c r="H1118" s="27" t="str">
        <x:v>NO</x:v>
      </x:c>
      <x:c r="I1118" s="27" t="str">
        <x:v>no screened path</x:v>
      </x:c>
      <x:c r="J1118" s="27" t="str">
        <x:v>presence does not prove operability or capacity</x:v>
      </x:c>
    </x:row>
    <x:row r="1119" ht="54" hidden="0" customHeight="1">
      <x:c r="A1119" s="29" t="str">
        <x:v>SCA-09</x:v>
      </x:c>
      <x:c r="B1119" s="29" t="str">
        <x:v>SCA-32</x:v>
      </x:c>
      <x:c r="C1119" s="29" t="str">
        <x:v>Air</x:v>
      </x:c>
      <x:c r="D1119" s="29" t="str">
        <x:v>YES</x:v>
      </x:c>
      <x:c r="E1119" s="29" t="str">
        <x:v>YES</x:v>
      </x:c>
      <x:c r="F1119" s="62" t="n">
        <x:v>4837.927757497386</x:v>
      </x:c>
      <x:c r="G1119" s="62" t="n">
        <x:v>31.44296578076521</x:v>
      </x:c>
      <x:c r="H1119" s="29" t="str">
        <x:v>YES</x:v>
      </x:c>
      <x:c r="I1119" s="29" t="str">
        <x:v>primary-airport endpoints; great-circle screen</x:v>
      </x:c>
      <x:c r="J1119" s="29" t="str">
        <x:v>presence does not prove operability or capacity</x:v>
      </x:c>
    </x:row>
    <x:row r="1120" ht="54" hidden="0" customHeight="1">
      <x:c r="A1120" s="27" t="str">
        <x:v>SCA-09</x:v>
      </x:c>
      <x:c r="B1120" s="27" t="str">
        <x:v>SCA-32</x:v>
      </x:c>
      <x:c r="C1120" s="27" t="str">
        <x:v>Water</x:v>
      </x:c>
      <x:c r="D1120" s="27" t="str">
        <x:v>NO</x:v>
      </x:c>
      <x:c r="E1120" s="27" t="str">
        <x:v>NO</x:v>
      </x:c>
      <x:c r="F1120" s="61"/>
      <x:c r="G1120" s="61"/>
      <x:c r="H1120" s="27" t="str">
        <x:v>NO</x:v>
      </x:c>
      <x:c r="I1120" s="27" t="str">
        <x:v>no screened path</x:v>
      </x:c>
      <x:c r="J1120" s="27" t="str">
        <x:v>presence does not prove operability or capacity</x:v>
      </x:c>
    </x:row>
    <x:row r="1121" ht="54" hidden="0" customHeight="1">
      <x:c r="A1121" s="29" t="str">
        <x:v>SCA-10</x:v>
      </x:c>
      <x:c r="B1121" s="29" t="str">
        <x:v>SCA-01</x:v>
      </x:c>
      <x:c r="C1121" s="29" t="str">
        <x:v>Road</x:v>
      </x:c>
      <x:c r="D1121" s="29" t="str">
        <x:v>NO</x:v>
      </x:c>
      <x:c r="E1121" s="29" t="str">
        <x:v>NO</x:v>
      </x:c>
      <x:c r="F1121" s="62"/>
      <x:c r="G1121" s="62"/>
      <x:c r="H1121" s="29" t="str">
        <x:v>NO</x:v>
      </x:c>
      <x:c r="I1121" s="29" t="str">
        <x:v>no screened path</x:v>
      </x:c>
      <x:c r="J1121" s="29" t="str">
        <x:v>presence does not prove operability or capacity</x:v>
      </x:c>
    </x:row>
    <x:row r="1122" ht="54" hidden="0" customHeight="1">
      <x:c r="A1122" s="27" t="str">
        <x:v>SCA-10</x:v>
      </x:c>
      <x:c r="B1122" s="27" t="str">
        <x:v>SCA-01</x:v>
      </x:c>
      <x:c r="C1122" s="27" t="str">
        <x:v>Rail</x:v>
      </x:c>
      <x:c r="D1122" s="27" t="str">
        <x:v>NO</x:v>
      </x:c>
      <x:c r="E1122" s="27" t="str">
        <x:v>NO</x:v>
      </x:c>
      <x:c r="F1122" s="61"/>
      <x:c r="G1122" s="61"/>
      <x:c r="H1122" s="27" t="str">
        <x:v>NO</x:v>
      </x:c>
      <x:c r="I1122" s="27" t="str">
        <x:v>no screened path</x:v>
      </x:c>
      <x:c r="J1122" s="27" t="str">
        <x:v>presence does not prove operability or capacity</x:v>
      </x:c>
    </x:row>
    <x:row r="1123" ht="54" hidden="0" customHeight="1">
      <x:c r="A1123" s="29" t="str">
        <x:v>SCA-10</x:v>
      </x:c>
      <x:c r="B1123" s="29" t="str">
        <x:v>SCA-01</x:v>
      </x:c>
      <x:c r="C1123" s="29" t="str">
        <x:v>Air</x:v>
      </x:c>
      <x:c r="D1123" s="29" t="str">
        <x:v>YES</x:v>
      </x:c>
      <x:c r="E1123" s="29" t="str">
        <x:v>YES</x:v>
      </x:c>
      <x:c r="F1123" s="62" t="n">
        <x:v>4865.7096860601905</x:v>
      </x:c>
      <x:c r="G1123" s="62" t="n">
        <x:v>31.48570720932337</x:v>
      </x:c>
      <x:c r="H1123" s="29" t="str">
        <x:v>YES</x:v>
      </x:c>
      <x:c r="I1123" s="29" t="str">
        <x:v>primary-airport endpoints; great-circle screen</x:v>
      </x:c>
      <x:c r="J1123" s="29" t="str">
        <x:v>presence does not prove operability or capacity</x:v>
      </x:c>
    </x:row>
    <x:row r="1124" ht="54" hidden="0" customHeight="1">
      <x:c r="A1124" s="27" t="str">
        <x:v>SCA-10</x:v>
      </x:c>
      <x:c r="B1124" s="27" t="str">
        <x:v>SCA-01</x:v>
      </x:c>
      <x:c r="C1124" s="27" t="str">
        <x:v>Water</x:v>
      </x:c>
      <x:c r="D1124" s="27" t="str">
        <x:v>NO</x:v>
      </x:c>
      <x:c r="E1124" s="27" t="str">
        <x:v>NO</x:v>
      </x:c>
      <x:c r="F1124" s="61"/>
      <x:c r="G1124" s="61"/>
      <x:c r="H1124" s="27" t="str">
        <x:v>NO</x:v>
      </x:c>
      <x:c r="I1124" s="27" t="str">
        <x:v>no screened path</x:v>
      </x:c>
      <x:c r="J1124" s="27" t="str">
        <x:v>presence does not prove operability or capacity</x:v>
      </x:c>
    </x:row>
    <x:row r="1125" ht="54" hidden="0" customHeight="1">
      <x:c r="A1125" s="29" t="str">
        <x:v>SCA-10</x:v>
      </x:c>
      <x:c r="B1125" s="29" t="str">
        <x:v>SCA-02</x:v>
      </x:c>
      <x:c r="C1125" s="29" t="str">
        <x:v>Road</x:v>
      </x:c>
      <x:c r="D1125" s="29" t="str">
        <x:v>NO</x:v>
      </x:c>
      <x:c r="E1125" s="29" t="str">
        <x:v>NO</x:v>
      </x:c>
      <x:c r="F1125" s="62"/>
      <x:c r="G1125" s="62"/>
      <x:c r="H1125" s="29" t="str">
        <x:v>NO</x:v>
      </x:c>
      <x:c r="I1125" s="29" t="str">
        <x:v>no screened path</x:v>
      </x:c>
      <x:c r="J1125" s="29" t="str">
        <x:v>presence does not prove operability or capacity</x:v>
      </x:c>
    </x:row>
    <x:row r="1126" ht="54" hidden="0" customHeight="1">
      <x:c r="A1126" s="27" t="str">
        <x:v>SCA-10</x:v>
      </x:c>
      <x:c r="B1126" s="27" t="str">
        <x:v>SCA-02</x:v>
      </x:c>
      <x:c r="C1126" s="27" t="str">
        <x:v>Rail</x:v>
      </x:c>
      <x:c r="D1126" s="27" t="str">
        <x:v>NO</x:v>
      </x:c>
      <x:c r="E1126" s="27" t="str">
        <x:v>NO</x:v>
      </x:c>
      <x:c r="F1126" s="61"/>
      <x:c r="G1126" s="61"/>
      <x:c r="H1126" s="27" t="str">
        <x:v>NO</x:v>
      </x:c>
      <x:c r="I1126" s="27" t="str">
        <x:v>no screened path</x:v>
      </x:c>
      <x:c r="J1126" s="27" t="str">
        <x:v>presence does not prove operability or capacity</x:v>
      </x:c>
    </x:row>
    <x:row r="1127" ht="54" hidden="0" customHeight="1">
      <x:c r="A1127" s="29" t="str">
        <x:v>SCA-10</x:v>
      </x:c>
      <x:c r="B1127" s="29" t="str">
        <x:v>SCA-02</x:v>
      </x:c>
      <x:c r="C1127" s="29" t="str">
        <x:v>Air</x:v>
      </x:c>
      <x:c r="D1127" s="29" t="str">
        <x:v>YES</x:v>
      </x:c>
      <x:c r="E1127" s="29" t="str">
        <x:v>YES</x:v>
      </x:c>
      <x:c r="F1127" s="62" t="n">
        <x:v>3235.771782450301</x:v>
      </x:c>
      <x:c r="G1127" s="62" t="n">
        <x:v>28.978110434538927</x:v>
      </x:c>
      <x:c r="H1127" s="29" t="str">
        <x:v>YES</x:v>
      </x:c>
      <x:c r="I1127" s="29" t="str">
        <x:v>primary-airport endpoints; great-circle screen</x:v>
      </x:c>
      <x:c r="J1127" s="29" t="str">
        <x:v>presence does not prove operability or capacity</x:v>
      </x:c>
    </x:row>
    <x:row r="1128" ht="54" hidden="0" customHeight="1">
      <x:c r="A1128" s="27" t="str">
        <x:v>SCA-10</x:v>
      </x:c>
      <x:c r="B1128" s="27" t="str">
        <x:v>SCA-02</x:v>
      </x:c>
      <x:c r="C1128" s="27" t="str">
        <x:v>Water</x:v>
      </x:c>
      <x:c r="D1128" s="27" t="str">
        <x:v>NO</x:v>
      </x:c>
      <x:c r="E1128" s="27" t="str">
        <x:v>NO</x:v>
      </x:c>
      <x:c r="F1128" s="61"/>
      <x:c r="G1128" s="61"/>
      <x:c r="H1128" s="27" t="str">
        <x:v>NO</x:v>
      </x:c>
      <x:c r="I1128" s="27" t="str">
        <x:v>no screened path</x:v>
      </x:c>
      <x:c r="J1128" s="27" t="str">
        <x:v>presence does not prove operability or capacity</x:v>
      </x:c>
    </x:row>
    <x:row r="1129" ht="54" hidden="0" customHeight="1">
      <x:c r="A1129" s="29" t="str">
        <x:v>SCA-10</x:v>
      </x:c>
      <x:c r="B1129" s="29" t="str">
        <x:v>SCA-03</x:v>
      </x:c>
      <x:c r="C1129" s="29" t="str">
        <x:v>Road</x:v>
      </x:c>
      <x:c r="D1129" s="29" t="str">
        <x:v>YES</x:v>
      </x:c>
      <x:c r="E1129" s="29" t="str">
        <x:v>YES</x:v>
      </x:c>
      <x:c r="F1129" s="62" t="n">
        <x:v>1201.1845916964462</x:v>
      </x:c>
      <x:c r="G1129" s="62" t="n">
        <x:v>41.839719849026295</x:v>
      </x:c>
      <x:c r="H1129" s="29" t="str">
        <x:v>YES</x:v>
      </x:c>
      <x:c r="I1129" s="29" t="str">
        <x:v>NHPN-gated shared-boundary SCA path</x:v>
      </x:c>
      <x:c r="J1129" s="29" t="str">
        <x:v>presence does not prove operability or capacity</x:v>
      </x:c>
    </x:row>
    <x:row r="1130" ht="64.80000305175781" hidden="0" customHeight="1">
      <x:c r="A1130" s="27" t="str">
        <x:v>SCA-10</x:v>
      </x:c>
      <x:c r="B1130" s="27" t="str">
        <x:v>SCA-03</x:v>
      </x:c>
      <x:c r="C1130" s="27" t="str">
        <x:v>Rail</x:v>
      </x:c>
      <x:c r="D1130" s="27" t="str">
        <x:v>YES</x:v>
      </x:c>
      <x:c r="E1130" s="27" t="str">
        <x:v>YES</x:v>
      </x:c>
      <x:c r="F1130" s="61" t="n">
        <x:v>1274.3001755388386</x:v>
      </x:c>
      <x:c r="G1130" s="61" t="n">
        <x:v>44.204288221983404</x:v>
      </x:c>
      <x:c r="H1130" s="27" t="str">
        <x:v>YES</x:v>
      </x:c>
      <x:c r="I1130" s="27" t="str">
        <x:v>NARN shared-node topology; deployable terminal required</x:v>
      </x:c>
      <x:c r="J1130" s="27" t="str">
        <x:v>presence does not prove operability or capacity</x:v>
      </x:c>
    </x:row>
    <x:row r="1131" ht="54" hidden="0" customHeight="1">
      <x:c r="A1131" s="29" t="str">
        <x:v>SCA-10</x:v>
      </x:c>
      <x:c r="B1131" s="29" t="str">
        <x:v>SCA-03</x:v>
      </x:c>
      <x:c r="C1131" s="29" t="str">
        <x:v>Air</x:v>
      </x:c>
      <x:c r="D1131" s="29" t="str">
        <x:v>YES</x:v>
      </x:c>
      <x:c r="E1131" s="29" t="str">
        <x:v>YES</x:v>
      </x:c>
      <x:c r="F1131" s="62" t="n">
        <x:v>1015.0891599111437</x:v>
      </x:c>
      <x:c r="G1131" s="62" t="n">
        <x:v>25.56167563063253</x:v>
      </x:c>
      <x:c r="H1131" s="29" t="str">
        <x:v>YES</x:v>
      </x:c>
      <x:c r="I1131" s="29" t="str">
        <x:v>primary-airport endpoints; great-circle screen</x:v>
      </x:c>
      <x:c r="J1131" s="29" t="str">
        <x:v>presence does not prove operability or capacity</x:v>
      </x:c>
    </x:row>
    <x:row r="1132" ht="54" hidden="0" customHeight="1">
      <x:c r="A1132" s="27" t="str">
        <x:v>SCA-10</x:v>
      </x:c>
      <x:c r="B1132" s="27" t="str">
        <x:v>SCA-03</x:v>
      </x:c>
      <x:c r="C1132" s="27" t="str">
        <x:v>Water</x:v>
      </x:c>
      <x:c r="D1132" s="27" t="str">
        <x:v>NO</x:v>
      </x:c>
      <x:c r="E1132" s="27" t="str">
        <x:v>NO</x:v>
      </x:c>
      <x:c r="F1132" s="61"/>
      <x:c r="G1132" s="61"/>
      <x:c r="H1132" s="27" t="str">
        <x:v>NO</x:v>
      </x:c>
      <x:c r="I1132" s="27" t="str">
        <x:v>no screened path</x:v>
      </x:c>
      <x:c r="J1132" s="27" t="str">
        <x:v>presence does not prove operability or capacity</x:v>
      </x:c>
    </x:row>
    <x:row r="1133" ht="54" hidden="0" customHeight="1">
      <x:c r="A1133" s="29" t="str">
        <x:v>SCA-10</x:v>
      </x:c>
      <x:c r="B1133" s="29" t="str">
        <x:v>SCA-04</x:v>
      </x:c>
      <x:c r="C1133" s="29" t="str">
        <x:v>Road</x:v>
      </x:c>
      <x:c r="D1133" s="29" t="str">
        <x:v>YES</x:v>
      </x:c>
      <x:c r="E1133" s="29" t="str">
        <x:v>YES</x:v>
      </x:c>
      <x:c r="F1133" s="62" t="n">
        <x:v>1514.803489262099</x:v>
      </x:c>
      <x:c r="G1133" s="62" t="n">
        <x:v>47.54188162294726</x:v>
      </x:c>
      <x:c r="H1133" s="29" t="str">
        <x:v>YES</x:v>
      </x:c>
      <x:c r="I1133" s="29" t="str">
        <x:v>NHPN-gated shared-boundary SCA path</x:v>
      </x:c>
      <x:c r="J1133" s="29" t="str">
        <x:v>presence does not prove operability or capacity</x:v>
      </x:c>
    </x:row>
    <x:row r="1134" ht="64.80000305175781" hidden="0" customHeight="1">
      <x:c r="A1134" s="27" t="str">
        <x:v>SCA-10</x:v>
      </x:c>
      <x:c r="B1134" s="27" t="str">
        <x:v>SCA-04</x:v>
      </x:c>
      <x:c r="C1134" s="27" t="str">
        <x:v>Rail</x:v>
      </x:c>
      <x:c r="D1134" s="27" t="str">
        <x:v>YES</x:v>
      </x:c>
      <x:c r="E1134" s="27" t="str">
        <x:v>YES</x:v>
      </x:c>
      <x:c r="F1134" s="61" t="n">
        <x:v>1709.796466905188</x:v>
      </x:c>
      <x:c r="G1134" s="61" t="n">
        <x:v>50.42566381293126</x:v>
      </x:c>
      <x:c r="H1134" s="27" t="str">
        <x:v>YES</x:v>
      </x:c>
      <x:c r="I1134" s="27" t="str">
        <x:v>NARN shared-node topology; deployable terminal required</x:v>
      </x:c>
      <x:c r="J1134" s="27" t="str">
        <x:v>presence does not prove operability or capacity</x:v>
      </x:c>
    </x:row>
    <x:row r="1135" ht="54" hidden="0" customHeight="1">
      <x:c r="A1135" s="29" t="str">
        <x:v>SCA-10</x:v>
      </x:c>
      <x:c r="B1135" s="29" t="str">
        <x:v>SCA-04</x:v>
      </x:c>
      <x:c r="C1135" s="29" t="str">
        <x:v>Air</x:v>
      </x:c>
      <x:c r="D1135" s="29" t="str">
        <x:v>YES</x:v>
      </x:c>
      <x:c r="E1135" s="29" t="str">
        <x:v>YES</x:v>
      </x:c>
      <x:c r="F1135" s="62" t="n">
        <x:v>936.6289480187827</x:v>
      </x:c>
      <x:c r="G1135" s="62" t="n">
        <x:v>25.44096761233659</x:v>
      </x:c>
      <x:c r="H1135" s="29" t="str">
        <x:v>YES</x:v>
      </x:c>
      <x:c r="I1135" s="29" t="str">
        <x:v>primary-airport endpoints; great-circle screen</x:v>
      </x:c>
      <x:c r="J1135" s="29" t="str">
        <x:v>presence does not prove operability or capacity</x:v>
      </x:c>
    </x:row>
    <x:row r="1136" ht="54" hidden="0" customHeight="1">
      <x:c r="A1136" s="27" t="str">
        <x:v>SCA-10</x:v>
      </x:c>
      <x:c r="B1136" s="27" t="str">
        <x:v>SCA-04</x:v>
      </x:c>
      <x:c r="C1136" s="27" t="str">
        <x:v>Water</x:v>
      </x:c>
      <x:c r="D1136" s="27" t="str">
        <x:v>NO</x:v>
      </x:c>
      <x:c r="E1136" s="27" t="str">
        <x:v>NO</x:v>
      </x:c>
      <x:c r="F1136" s="61"/>
      <x:c r="G1136" s="61"/>
      <x:c r="H1136" s="27" t="str">
        <x:v>NO</x:v>
      </x:c>
      <x:c r="I1136" s="27" t="str">
        <x:v>no screened path</x:v>
      </x:c>
      <x:c r="J1136" s="27" t="str">
        <x:v>presence does not prove operability or capacity</x:v>
      </x:c>
    </x:row>
    <x:row r="1137" ht="54" hidden="0" customHeight="1">
      <x:c r="A1137" s="29" t="str">
        <x:v>SCA-10</x:v>
      </x:c>
      <x:c r="B1137" s="29" t="str">
        <x:v>SCA-05</x:v>
      </x:c>
      <x:c r="C1137" s="29" t="str">
        <x:v>Road</x:v>
      </x:c>
      <x:c r="D1137" s="29" t="str">
        <x:v>YES</x:v>
      </x:c>
      <x:c r="E1137" s="29" t="str">
        <x:v>YES</x:v>
      </x:c>
      <x:c r="F1137" s="62" t="n">
        <x:v>1174.4003972256673</x:v>
      </x:c>
      <x:c r="G1137" s="62" t="n">
        <x:v>41.35273449501213</x:v>
      </x:c>
      <x:c r="H1137" s="29" t="str">
        <x:v>YES</x:v>
      </x:c>
      <x:c r="I1137" s="29" t="str">
        <x:v>NHPN-gated shared-boundary SCA path</x:v>
      </x:c>
      <x:c r="J1137" s="29" t="str">
        <x:v>presence does not prove operability or capacity</x:v>
      </x:c>
    </x:row>
    <x:row r="1138" ht="64.80000305175781" hidden="0" customHeight="1">
      <x:c r="A1138" s="27" t="str">
        <x:v>SCA-10</x:v>
      </x:c>
      <x:c r="B1138" s="27" t="str">
        <x:v>SCA-05</x:v>
      </x:c>
      <x:c r="C1138" s="27" t="str">
        <x:v>Rail</x:v>
      </x:c>
      <x:c r="D1138" s="27" t="str">
        <x:v>YES</x:v>
      </x:c>
      <x:c r="E1138" s="27" t="str">
        <x:v>YES</x:v>
      </x:c>
      <x:c r="F1138" s="61" t="n">
        <x:v>1245.8856387959254</x:v>
      </x:c>
      <x:c r="G1138" s="61" t="n">
        <x:v>43.79836626851322</x:v>
      </x:c>
      <x:c r="H1138" s="27" t="str">
        <x:v>YES</x:v>
      </x:c>
      <x:c r="I1138" s="27" t="str">
        <x:v>NARN shared-node topology; deployable terminal required</x:v>
      </x:c>
      <x:c r="J1138" s="27" t="str">
        <x:v>presence does not prove operability or capacity</x:v>
      </x:c>
    </x:row>
    <x:row r="1139" ht="54" hidden="0" customHeight="1">
      <x:c r="A1139" s="29" t="str">
        <x:v>SCA-10</x:v>
      </x:c>
      <x:c r="B1139" s="29" t="str">
        <x:v>SCA-05</x:v>
      </x:c>
      <x:c r="C1139" s="29" t="str">
        <x:v>Air</x:v>
      </x:c>
      <x:c r="D1139" s="29" t="str">
        <x:v>YES</x:v>
      </x:c>
      <x:c r="E1139" s="29" t="str">
        <x:v>YES</x:v>
      </x:c>
      <x:c r="F1139" s="62" t="n">
        <x:v>986.9438861874215</x:v>
      </x:c>
      <x:c r="G1139" s="62" t="n">
        <x:v>25.51837520951911</x:v>
      </x:c>
      <x:c r="H1139" s="29" t="str">
        <x:v>YES</x:v>
      </x:c>
      <x:c r="I1139" s="29" t="str">
        <x:v>primary-airport endpoints; great-circle screen</x:v>
      </x:c>
      <x:c r="J1139" s="29" t="str">
        <x:v>presence does not prove operability or capacity</x:v>
      </x:c>
    </x:row>
    <x:row r="1140" ht="54" hidden="0" customHeight="1">
      <x:c r="A1140" s="27" t="str">
        <x:v>SCA-10</x:v>
      </x:c>
      <x:c r="B1140" s="27" t="str">
        <x:v>SCA-05</x:v>
      </x:c>
      <x:c r="C1140" s="27" t="str">
        <x:v>Water</x:v>
      </x:c>
      <x:c r="D1140" s="27" t="str">
        <x:v>NO</x:v>
      </x:c>
      <x:c r="E1140" s="27" t="str">
        <x:v>NO</x:v>
      </x:c>
      <x:c r="F1140" s="61"/>
      <x:c r="G1140" s="61"/>
      <x:c r="H1140" s="27" t="str">
        <x:v>NO</x:v>
      </x:c>
      <x:c r="I1140" s="27" t="str">
        <x:v>no screened path</x:v>
      </x:c>
      <x:c r="J1140" s="27" t="str">
        <x:v>presence does not prove operability or capacity</x:v>
      </x:c>
    </x:row>
    <x:row r="1141" ht="54" hidden="0" customHeight="1">
      <x:c r="A1141" s="29" t="str">
        <x:v>SCA-10</x:v>
      </x:c>
      <x:c r="B1141" s="29" t="str">
        <x:v>SCA-06</x:v>
      </x:c>
      <x:c r="C1141" s="29" t="str">
        <x:v>Road</x:v>
      </x:c>
      <x:c r="D1141" s="29" t="str">
        <x:v>YES</x:v>
      </x:c>
      <x:c r="E1141" s="29" t="str">
        <x:v>YES</x:v>
      </x:c>
      <x:c r="F1141" s="62" t="n">
        <x:v>1136.7834466774707</x:v>
      </x:c>
      <x:c r="G1141" s="62" t="n">
        <x:v>40.668789939590376</x:v>
      </x:c>
      <x:c r="H1141" s="29" t="str">
        <x:v>YES</x:v>
      </x:c>
      <x:c r="I1141" s="29" t="str">
        <x:v>NHPN-gated shared-boundary SCA path</x:v>
      </x:c>
      <x:c r="J1141" s="29" t="str">
        <x:v>presence does not prove operability or capacity</x:v>
      </x:c>
    </x:row>
    <x:row r="1142" ht="64.80000305175781" hidden="0" customHeight="1">
      <x:c r="A1142" s="27" t="str">
        <x:v>SCA-10</x:v>
      </x:c>
      <x:c r="B1142" s="27" t="str">
        <x:v>SCA-06</x:v>
      </x:c>
      <x:c r="C1142" s="27" t="str">
        <x:v>Rail</x:v>
      </x:c>
      <x:c r="D1142" s="27" t="str">
        <x:v>YES</x:v>
      </x:c>
      <x:c r="E1142" s="27" t="str">
        <x:v>YES</x:v>
      </x:c>
      <x:c r="F1142" s="61" t="n">
        <x:v>1205.978960823056</x:v>
      </x:c>
      <x:c r="G1142" s="61" t="n">
        <x:v>43.2282708689008</x:v>
      </x:c>
      <x:c r="H1142" s="27" t="str">
        <x:v>YES</x:v>
      </x:c>
      <x:c r="I1142" s="27" t="str">
        <x:v>NARN shared-node topology; deployable terminal required</x:v>
      </x:c>
      <x:c r="J1142" s="27" t="str">
        <x:v>presence does not prove operability or capacity</x:v>
      </x:c>
    </x:row>
    <x:row r="1143" ht="54" hidden="0" customHeight="1">
      <x:c r="A1143" s="29" t="str">
        <x:v>SCA-10</x:v>
      </x:c>
      <x:c r="B1143" s="29" t="str">
        <x:v>SCA-06</x:v>
      </x:c>
      <x:c r="C1143" s="29" t="str">
        <x:v>Air</x:v>
      </x:c>
      <x:c r="D1143" s="29" t="str">
        <x:v>YES</x:v>
      </x:c>
      <x:c r="E1143" s="29" t="str">
        <x:v>YES</x:v>
      </x:c>
      <x:c r="F1143" s="62" t="n">
        <x:v>986.2827053752555</x:v>
      </x:c>
      <x:c r="G1143" s="62" t="n">
        <x:v>25.517358008269625</x:v>
      </x:c>
      <x:c r="H1143" s="29" t="str">
        <x:v>YES</x:v>
      </x:c>
      <x:c r="I1143" s="29" t="str">
        <x:v>primary-airport endpoints; great-circle screen</x:v>
      </x:c>
      <x:c r="J1143" s="29" t="str">
        <x:v>presence does not prove operability or capacity</x:v>
      </x:c>
    </x:row>
    <x:row r="1144" ht="54" hidden="0" customHeight="1">
      <x:c r="A1144" s="27" t="str">
        <x:v>SCA-10</x:v>
      </x:c>
      <x:c r="B1144" s="27" t="str">
        <x:v>SCA-06</x:v>
      </x:c>
      <x:c r="C1144" s="27" t="str">
        <x:v>Water</x:v>
      </x:c>
      <x:c r="D1144" s="27" t="str">
        <x:v>NO</x:v>
      </x:c>
      <x:c r="E1144" s="27" t="str">
        <x:v>NO</x:v>
      </x:c>
      <x:c r="F1144" s="61"/>
      <x:c r="G1144" s="61"/>
      <x:c r="H1144" s="27" t="str">
        <x:v>NO</x:v>
      </x:c>
      <x:c r="I1144" s="27" t="str">
        <x:v>no screened path</x:v>
      </x:c>
      <x:c r="J1144" s="27" t="str">
        <x:v>presence does not prove operability or capacity</x:v>
      </x:c>
    </x:row>
    <x:row r="1145" ht="54" hidden="0" customHeight="1">
      <x:c r="A1145" s="29" t="str">
        <x:v>SCA-10</x:v>
      </x:c>
      <x:c r="B1145" s="29" t="str">
        <x:v>SCA-07</x:v>
      </x:c>
      <x:c r="C1145" s="29" t="str">
        <x:v>Road</x:v>
      </x:c>
      <x:c r="D1145" s="29" t="str">
        <x:v>YES</x:v>
      </x:c>
      <x:c r="E1145" s="29" t="str">
        <x:v>YES</x:v>
      </x:c>
      <x:c r="F1145" s="62" t="n">
        <x:v>814.1993026094544</x:v>
      </x:c>
      <x:c r="G1145" s="62" t="n">
        <x:v>34.80362368380826</x:v>
      </x:c>
      <x:c r="H1145" s="29" t="str">
        <x:v>YES</x:v>
      </x:c>
      <x:c r="I1145" s="29" t="str">
        <x:v>NHPN-gated shared-boundary SCA path</x:v>
      </x:c>
      <x:c r="J1145" s="29" t="str">
        <x:v>presence does not prove operability or capacity</x:v>
      </x:c>
    </x:row>
    <x:row r="1146" ht="64.80000305175781" hidden="0" customHeight="1">
      <x:c r="A1146" s="27" t="str">
        <x:v>SCA-10</x:v>
      </x:c>
      <x:c r="B1146" s="27" t="str">
        <x:v>SCA-07</x:v>
      </x:c>
      <x:c r="C1146" s="27" t="str">
        <x:v>Rail</x:v>
      </x:c>
      <x:c r="D1146" s="27" t="str">
        <x:v>YES</x:v>
      </x:c>
      <x:c r="E1146" s="27" t="str">
        <x:v>YES</x:v>
      </x:c>
      <x:c r="F1146" s="61" t="n">
        <x:v>863.7592601595951</x:v>
      </x:c>
      <x:c r="G1146" s="61" t="n">
        <x:v>38.33941800227993</x:v>
      </x:c>
      <x:c r="H1146" s="27" t="str">
        <x:v>YES</x:v>
      </x:c>
      <x:c r="I1146" s="27" t="str">
        <x:v>NARN shared-node topology; deployable terminal required</x:v>
      </x:c>
      <x:c r="J1146" s="27" t="str">
        <x:v>presence does not prove operability or capacity</x:v>
      </x:c>
    </x:row>
    <x:row r="1147" ht="54" hidden="0" customHeight="1">
      <x:c r="A1147" s="29" t="str">
        <x:v>SCA-10</x:v>
      </x:c>
      <x:c r="B1147" s="29" t="str">
        <x:v>SCA-07</x:v>
      </x:c>
      <x:c r="C1147" s="29" t="str">
        <x:v>Air</x:v>
      </x:c>
      <x:c r="D1147" s="29" t="str">
        <x:v>YES</x:v>
      </x:c>
      <x:c r="E1147" s="29" t="str">
        <x:v>YES</x:v>
      </x:c>
      <x:c r="F1147" s="62" t="n">
        <x:v>707.9993935734386</x:v>
      </x:c>
      <x:c r="G1147" s="62" t="n">
        <x:v>25.089229836266828</x:v>
      </x:c>
      <x:c r="H1147" s="29" t="str">
        <x:v>YES</x:v>
      </x:c>
      <x:c r="I1147" s="29" t="str">
        <x:v>primary-airport endpoints; great-circle screen</x:v>
      </x:c>
      <x:c r="J1147" s="29" t="str">
        <x:v>presence does not prove operability or capacity</x:v>
      </x:c>
    </x:row>
    <x:row r="1148" ht="54" hidden="0" customHeight="1">
      <x:c r="A1148" s="27" t="str">
        <x:v>SCA-10</x:v>
      </x:c>
      <x:c r="B1148" s="27" t="str">
        <x:v>SCA-07</x:v>
      </x:c>
      <x:c r="C1148" s="27" t="str">
        <x:v>Water</x:v>
      </x:c>
      <x:c r="D1148" s="27" t="str">
        <x:v>NO</x:v>
      </x:c>
      <x:c r="E1148" s="27" t="str">
        <x:v>NO</x:v>
      </x:c>
      <x:c r="F1148" s="61"/>
      <x:c r="G1148" s="61"/>
      <x:c r="H1148" s="27" t="str">
        <x:v>NO</x:v>
      </x:c>
      <x:c r="I1148" s="27" t="str">
        <x:v>no screened path</x:v>
      </x:c>
      <x:c r="J1148" s="27" t="str">
        <x:v>presence does not prove operability or capacity</x:v>
      </x:c>
    </x:row>
    <x:row r="1149" ht="54" hidden="0" customHeight="1">
      <x:c r="A1149" s="29" t="str">
        <x:v>SCA-10</x:v>
      </x:c>
      <x:c r="B1149" s="29" t="str">
        <x:v>SCA-08</x:v>
      </x:c>
      <x:c r="C1149" s="29" t="str">
        <x:v>Road</x:v>
      </x:c>
      <x:c r="D1149" s="29" t="str">
        <x:v>YES</x:v>
      </x:c>
      <x:c r="E1149" s="29" t="str">
        <x:v>YES</x:v>
      </x:c>
      <x:c r="F1149" s="62" t="n">
        <x:v>556.5297166239362</x:v>
      </x:c>
      <x:c r="G1149" s="62" t="n">
        <x:v>30.118722120435205</x:v>
      </x:c>
      <x:c r="H1149" s="29" t="str">
        <x:v>YES</x:v>
      </x:c>
      <x:c r="I1149" s="29" t="str">
        <x:v>NHPN-gated shared-boundary SCA path</x:v>
      </x:c>
      <x:c r="J1149" s="29" t="str">
        <x:v>presence does not prove operability or capacity</x:v>
      </x:c>
    </x:row>
    <x:row r="1150" ht="64.80000305175781" hidden="0" customHeight="1">
      <x:c r="A1150" s="27" t="str">
        <x:v>SCA-10</x:v>
      </x:c>
      <x:c r="B1150" s="27" t="str">
        <x:v>SCA-08</x:v>
      </x:c>
      <x:c r="C1150" s="27" t="str">
        <x:v>Rail</x:v>
      </x:c>
      <x:c r="D1150" s="27" t="str">
        <x:v>YES</x:v>
      </x:c>
      <x:c r="E1150" s="27" t="str">
        <x:v>YES</x:v>
      </x:c>
      <x:c r="F1150" s="61" t="n">
        <x:v>590.4054385053931</x:v>
      </x:c>
      <x:c r="G1150" s="61" t="n">
        <x:v>34.434363407219905</x:v>
      </x:c>
      <x:c r="H1150" s="27" t="str">
        <x:v>YES</x:v>
      </x:c>
      <x:c r="I1150" s="27" t="str">
        <x:v>NARN shared-node topology; deployable terminal required</x:v>
      </x:c>
      <x:c r="J1150" s="27" t="str">
        <x:v>presence does not prove operability or capacity</x:v>
      </x:c>
    </x:row>
    <x:row r="1151" ht="54" hidden="0" customHeight="1">
      <x:c r="A1151" s="29" t="str">
        <x:v>SCA-10</x:v>
      </x:c>
      <x:c r="B1151" s="29" t="str">
        <x:v>SCA-08</x:v>
      </x:c>
      <x:c r="C1151" s="29" t="str">
        <x:v>Air</x:v>
      </x:c>
      <x:c r="D1151" s="29" t="str">
        <x:v>YES</x:v>
      </x:c>
      <x:c r="E1151" s="29" t="str">
        <x:v>YES</x:v>
      </x:c>
      <x:c r="F1151" s="62" t="n">
        <x:v>483.9388840208141</x:v>
      </x:c>
      <x:c r="G1151" s="62" t="n">
        <x:v>24.74452136003202</x:v>
      </x:c>
      <x:c r="H1151" s="29" t="str">
        <x:v>YES</x:v>
      </x:c>
      <x:c r="I1151" s="29" t="str">
        <x:v>primary-airport endpoints; great-circle screen</x:v>
      </x:c>
      <x:c r="J1151" s="29" t="str">
        <x:v>presence does not prove operability or capacity</x:v>
      </x:c>
    </x:row>
    <x:row r="1152" ht="54" hidden="0" customHeight="1">
      <x:c r="A1152" s="27" t="str">
        <x:v>SCA-10</x:v>
      </x:c>
      <x:c r="B1152" s="27" t="str">
        <x:v>SCA-08</x:v>
      </x:c>
      <x:c r="C1152" s="27" t="str">
        <x:v>Water</x:v>
      </x:c>
      <x:c r="D1152" s="27" t="str">
        <x:v>NO</x:v>
      </x:c>
      <x:c r="E1152" s="27" t="str">
        <x:v>NO</x:v>
      </x:c>
      <x:c r="F1152" s="61"/>
      <x:c r="G1152" s="61"/>
      <x:c r="H1152" s="27" t="str">
        <x:v>NO</x:v>
      </x:c>
      <x:c r="I1152" s="27" t="str">
        <x:v>no screened path</x:v>
      </x:c>
      <x:c r="J1152" s="27" t="str">
        <x:v>presence does not prove operability or capacity</x:v>
      </x:c>
    </x:row>
    <x:row r="1153" ht="54" hidden="0" customHeight="1">
      <x:c r="A1153" s="29" t="str">
        <x:v>SCA-10</x:v>
      </x:c>
      <x:c r="B1153" s="29" t="str">
        <x:v>SCA-09</x:v>
      </x:c>
      <x:c r="C1153" s="29" t="str">
        <x:v>Road</x:v>
      </x:c>
      <x:c r="D1153" s="29" t="str">
        <x:v>YES</x:v>
      </x:c>
      <x:c r="E1153" s="29" t="str">
        <x:v>YES</x:v>
      </x:c>
      <x:c r="F1153" s="62" t="n">
        <x:v>1029.8175444495755</x:v>
      </x:c>
      <x:c r="G1153" s="62" t="n">
        <x:v>38.72395535362865</x:v>
      </x:c>
      <x:c r="H1153" s="29" t="str">
        <x:v>YES</x:v>
      </x:c>
      <x:c r="I1153" s="29" t="str">
        <x:v>NHPN-gated shared-boundary SCA path</x:v>
      </x:c>
      <x:c r="J1153" s="29" t="str">
        <x:v>presence does not prove operability or capacity</x:v>
      </x:c>
    </x:row>
    <x:row r="1154" ht="64.80000305175781" hidden="0" customHeight="1">
      <x:c r="A1154" s="27" t="str">
        <x:v>SCA-10</x:v>
      </x:c>
      <x:c r="B1154" s="27" t="str">
        <x:v>SCA-09</x:v>
      </x:c>
      <x:c r="C1154" s="27" t="str">
        <x:v>Rail</x:v>
      </x:c>
      <x:c r="D1154" s="27" t="str">
        <x:v>YES</x:v>
      </x:c>
      <x:c r="E1154" s="27" t="str">
        <x:v>YES</x:v>
      </x:c>
      <x:c r="F1154" s="61" t="n">
        <x:v>1354.0254819529089</x:v>
      </x:c>
      <x:c r="G1154" s="61" t="n">
        <x:v>45.34322117075584</x:v>
      </x:c>
      <x:c r="H1154" s="27" t="str">
        <x:v>YES</x:v>
      </x:c>
      <x:c r="I1154" s="27" t="str">
        <x:v>NARN shared-node topology; deployable terminal required</x:v>
      </x:c>
      <x:c r="J1154" s="27" t="str">
        <x:v>presence does not prove operability or capacity</x:v>
      </x:c>
    </x:row>
    <x:row r="1155" ht="54" hidden="0" customHeight="1">
      <x:c r="A1155" s="29" t="str">
        <x:v>SCA-10</x:v>
      </x:c>
      <x:c r="B1155" s="29" t="str">
        <x:v>SCA-09</x:v>
      </x:c>
      <x:c r="C1155" s="29" t="str">
        <x:v>Air</x:v>
      </x:c>
      <x:c r="D1155" s="29" t="str">
        <x:v>YES</x:v>
      </x:c>
      <x:c r="E1155" s="29" t="str">
        <x:v>YES</x:v>
      </x:c>
      <x:c r="F1155" s="62" t="n">
        <x:v>895.4935169126747</x:v>
      </x:c>
      <x:c r="G1155" s="62" t="n">
        <x:v>25.377682333711807</x:v>
      </x:c>
      <x:c r="H1155" s="29" t="str">
        <x:v>YES</x:v>
      </x:c>
      <x:c r="I1155" s="29" t="str">
        <x:v>primary-airport endpoints; great-circle screen</x:v>
      </x:c>
      <x:c r="J1155" s="29" t="str">
        <x:v>presence does not prove operability or capacity</x:v>
      </x:c>
    </x:row>
    <x:row r="1156" ht="54" hidden="0" customHeight="1">
      <x:c r="A1156" s="27" t="str">
        <x:v>SCA-10</x:v>
      </x:c>
      <x:c r="B1156" s="27" t="str">
        <x:v>SCA-09</x:v>
      </x:c>
      <x:c r="C1156" s="27" t="str">
        <x:v>Water</x:v>
      </x:c>
      <x:c r="D1156" s="27" t="str">
        <x:v>NO</x:v>
      </x:c>
      <x:c r="E1156" s="27" t="str">
        <x:v>NO</x:v>
      </x:c>
      <x:c r="F1156" s="61"/>
      <x:c r="G1156" s="61"/>
      <x:c r="H1156" s="27" t="str">
        <x:v>NO</x:v>
      </x:c>
      <x:c r="I1156" s="27" t="str">
        <x:v>no screened path</x:v>
      </x:c>
      <x:c r="J1156" s="27" t="str">
        <x:v>presence does not prove operability or capacity</x:v>
      </x:c>
    </x:row>
    <x:row r="1157" ht="54" hidden="0" customHeight="1">
      <x:c r="A1157" s="29" t="str">
        <x:v>SCA-10</x:v>
      </x:c>
      <x:c r="B1157" s="29" t="str">
        <x:v>SCA-11</x:v>
      </x:c>
      <x:c r="C1157" s="29" t="str">
        <x:v>Road</x:v>
      </x:c>
      <x:c r="D1157" s="29" t="str">
        <x:v>YES</x:v>
      </x:c>
      <x:c r="E1157" s="29" t="str">
        <x:v>YES</x:v>
      </x:c>
      <x:c r="F1157" s="62" t="n">
        <x:v>1476.397148266451</x:v>
      </x:c>
      <x:c r="G1157" s="62" t="n">
        <x:v>46.84358451393547</x:v>
      </x:c>
      <x:c r="H1157" s="29" t="str">
        <x:v>YES</x:v>
      </x:c>
      <x:c r="I1157" s="29" t="str">
        <x:v>NHPN-gated shared-boundary SCA path</x:v>
      </x:c>
      <x:c r="J1157" s="29" t="str">
        <x:v>presence does not prove operability or capacity</x:v>
      </x:c>
    </x:row>
    <x:row r="1158" ht="64.80000305175781" hidden="0" customHeight="1">
      <x:c r="A1158" s="27" t="str">
        <x:v>SCA-10</x:v>
      </x:c>
      <x:c r="B1158" s="27" t="str">
        <x:v>SCA-11</x:v>
      </x:c>
      <x:c r="C1158" s="27" t="str">
        <x:v>Rail</x:v>
      </x:c>
      <x:c r="D1158" s="27" t="str">
        <x:v>YES</x:v>
      </x:c>
      <x:c r="E1158" s="27" t="str">
        <x:v>YES</x:v>
      </x:c>
      <x:c r="F1158" s="61" t="n">
        <x:v>1566.2648007696268</x:v>
      </x:c>
      <x:c r="G1158" s="61" t="n">
        <x:v>48.3752114395661</x:v>
      </x:c>
      <x:c r="H1158" s="27" t="str">
        <x:v>YES</x:v>
      </x:c>
      <x:c r="I1158" s="27" t="str">
        <x:v>NARN shared-node topology; deployable terminal required</x:v>
      </x:c>
      <x:c r="J1158" s="27" t="str">
        <x:v>presence does not prove operability or capacity</x:v>
      </x:c>
    </x:row>
    <x:row r="1159" ht="54" hidden="0" customHeight="1">
      <x:c r="A1159" s="29" t="str">
        <x:v>SCA-10</x:v>
      </x:c>
      <x:c r="B1159" s="29" t="str">
        <x:v>SCA-11</x:v>
      </x:c>
      <x:c r="C1159" s="29" t="str">
        <x:v>Air</x:v>
      </x:c>
      <x:c r="D1159" s="29" t="str">
        <x:v>YES</x:v>
      </x:c>
      <x:c r="E1159" s="29" t="str">
        <x:v>YES</x:v>
      </x:c>
      <x:c r="F1159" s="62" t="n">
        <x:v>1051.177976210699</x:v>
      </x:c>
      <x:c r="G1159" s="62" t="n">
        <x:v>25.617196886478</x:v>
      </x:c>
      <x:c r="H1159" s="29" t="str">
        <x:v>YES</x:v>
      </x:c>
      <x:c r="I1159" s="29" t="str">
        <x:v>primary-airport endpoints; great-circle screen</x:v>
      </x:c>
      <x:c r="J1159" s="29" t="str">
        <x:v>presence does not prove operability or capacity</x:v>
      </x:c>
    </x:row>
    <x:row r="1160" ht="54" hidden="0" customHeight="1">
      <x:c r="A1160" s="27" t="str">
        <x:v>SCA-10</x:v>
      </x:c>
      <x:c r="B1160" s="27" t="str">
        <x:v>SCA-11</x:v>
      </x:c>
      <x:c r="C1160" s="27" t="str">
        <x:v>Water</x:v>
      </x:c>
      <x:c r="D1160" s="27" t="str">
        <x:v>NO</x:v>
      </x:c>
      <x:c r="E1160" s="27" t="str">
        <x:v>NO</x:v>
      </x:c>
      <x:c r="F1160" s="61"/>
      <x:c r="G1160" s="61"/>
      <x:c r="H1160" s="27" t="str">
        <x:v>NO</x:v>
      </x:c>
      <x:c r="I1160" s="27" t="str">
        <x:v>no screened path</x:v>
      </x:c>
      <x:c r="J1160" s="27" t="str">
        <x:v>presence does not prove operability or capacity</x:v>
      </x:c>
    </x:row>
    <x:row r="1161" ht="54" hidden="0" customHeight="1">
      <x:c r="A1161" s="29" t="str">
        <x:v>SCA-10</x:v>
      </x:c>
      <x:c r="B1161" s="29" t="str">
        <x:v>SCA-12</x:v>
      </x:c>
      <x:c r="C1161" s="29" t="str">
        <x:v>Road</x:v>
      </x:c>
      <x:c r="D1161" s="29" t="str">
        <x:v>YES</x:v>
      </x:c>
      <x:c r="E1161" s="29" t="str">
        <x:v>YES</x:v>
      </x:c>
      <x:c r="F1161" s="62" t="n">
        <x:v>676.2579622464422</x:v>
      </x:c>
      <x:c r="G1161" s="62" t="n">
        <x:v>32.29559931357168</x:v>
      </x:c>
      <x:c r="H1161" s="29" t="str">
        <x:v>YES</x:v>
      </x:c>
      <x:c r="I1161" s="29" t="str">
        <x:v>NHPN-gated shared-boundary SCA path</x:v>
      </x:c>
      <x:c r="J1161" s="29" t="str">
        <x:v>presence does not prove operability or capacity</x:v>
      </x:c>
    </x:row>
    <x:row r="1162" ht="64.80000305175781" hidden="0" customHeight="1">
      <x:c r="A1162" s="27" t="str">
        <x:v>SCA-10</x:v>
      </x:c>
      <x:c r="B1162" s="27" t="str">
        <x:v>SCA-12</x:v>
      </x:c>
      <x:c r="C1162" s="27" t="str">
        <x:v>Rail</x:v>
      </x:c>
      <x:c r="D1162" s="27" t="str">
        <x:v>YES</x:v>
      </x:c>
      <x:c r="E1162" s="27" t="str">
        <x:v>YES</x:v>
      </x:c>
      <x:c r="F1162" s="61" t="n">
        <x:v>717.4214903831823</x:v>
      </x:c>
      <x:c r="G1162" s="61" t="n">
        <x:v>36.248878434045466</x:v>
      </x:c>
      <x:c r="H1162" s="27" t="str">
        <x:v>YES</x:v>
      </x:c>
      <x:c r="I1162" s="27" t="str">
        <x:v>NARN shared-node topology; deployable terminal required</x:v>
      </x:c>
      <x:c r="J1162" s="27" t="str">
        <x:v>presence does not prove operability or capacity</x:v>
      </x:c>
    </x:row>
    <x:row r="1163" ht="54" hidden="0" customHeight="1">
      <x:c r="A1163" s="29" t="str">
        <x:v>SCA-10</x:v>
      </x:c>
      <x:c r="B1163" s="29" t="str">
        <x:v>SCA-12</x:v>
      </x:c>
      <x:c r="C1163" s="29" t="str">
        <x:v>Air</x:v>
      </x:c>
      <x:c r="D1163" s="29" t="str">
        <x:v>YES</x:v>
      </x:c>
      <x:c r="E1163" s="29" t="str">
        <x:v>YES</x:v>
      </x:c>
      <x:c r="F1163" s="62" t="n">
        <x:v>588.0504019534281</x:v>
      </x:c>
      <x:c r="G1163" s="62" t="n">
        <x:v>24.9046929260822</x:v>
      </x:c>
      <x:c r="H1163" s="29" t="str">
        <x:v>YES</x:v>
      </x:c>
      <x:c r="I1163" s="29" t="str">
        <x:v>primary-airport endpoints; great-circle screen</x:v>
      </x:c>
      <x:c r="J1163" s="29" t="str">
        <x:v>presence does not prove operability or capacity</x:v>
      </x:c>
    </x:row>
    <x:row r="1164" ht="54" hidden="0" customHeight="1">
      <x:c r="A1164" s="27" t="str">
        <x:v>SCA-10</x:v>
      </x:c>
      <x:c r="B1164" s="27" t="str">
        <x:v>SCA-12</x:v>
      </x:c>
      <x:c r="C1164" s="27" t="str">
        <x:v>Water</x:v>
      </x:c>
      <x:c r="D1164" s="27" t="str">
        <x:v>NO</x:v>
      </x:c>
      <x:c r="E1164" s="27" t="str">
        <x:v>NO</x:v>
      </x:c>
      <x:c r="F1164" s="61"/>
      <x:c r="G1164" s="61"/>
      <x:c r="H1164" s="27" t="str">
        <x:v>NO</x:v>
      </x:c>
      <x:c r="I1164" s="27" t="str">
        <x:v>no screened path</x:v>
      </x:c>
      <x:c r="J1164" s="27" t="str">
        <x:v>presence does not prove operability or capacity</x:v>
      </x:c>
    </x:row>
    <x:row r="1165" ht="54" hidden="0" customHeight="1">
      <x:c r="A1165" s="29" t="str">
        <x:v>SCA-10</x:v>
      </x:c>
      <x:c r="B1165" s="29" t="str">
        <x:v>SCA-13</x:v>
      </x:c>
      <x:c r="C1165" s="29" t="str">
        <x:v>Road</x:v>
      </x:c>
      <x:c r="D1165" s="29" t="str">
        <x:v>NO</x:v>
      </x:c>
      <x:c r="E1165" s="29" t="str">
        <x:v>NO</x:v>
      </x:c>
      <x:c r="F1165" s="62"/>
      <x:c r="G1165" s="62"/>
      <x:c r="H1165" s="29" t="str">
        <x:v>NO</x:v>
      </x:c>
      <x:c r="I1165" s="29" t="str">
        <x:v>no screened path</x:v>
      </x:c>
      <x:c r="J1165" s="29" t="str">
        <x:v>presence does not prove operability or capacity</x:v>
      </x:c>
    </x:row>
    <x:row r="1166" ht="64.80000305175781" hidden="0" customHeight="1">
      <x:c r="A1166" s="27" t="str">
        <x:v>SCA-10</x:v>
      </x:c>
      <x:c r="B1166" s="27" t="str">
        <x:v>SCA-13</x:v>
      </x:c>
      <x:c r="C1166" s="27" t="str">
        <x:v>Rail</x:v>
      </x:c>
      <x:c r="D1166" s="27" t="str">
        <x:v>YES</x:v>
      </x:c>
      <x:c r="E1166" s="27" t="str">
        <x:v>YES</x:v>
      </x:c>
      <x:c r="F1166" s="61" t="n">
        <x:v>2413.202401027813</x:v>
      </x:c>
      <x:c r="G1166" s="61" t="n">
        <x:v>60.47432001468304</x:v>
      </x:c>
      <x:c r="H1166" s="27" t="str">
        <x:v>YES</x:v>
      </x:c>
      <x:c r="I1166" s="27" t="str">
        <x:v>NARN shared-node topology; deployable terminal required</x:v>
      </x:c>
      <x:c r="J1166" s="27" t="str">
        <x:v>presence does not prove operability or capacity</x:v>
      </x:c>
    </x:row>
    <x:row r="1167" ht="54" hidden="0" customHeight="1">
      <x:c r="A1167" s="29" t="str">
        <x:v>SCA-10</x:v>
      </x:c>
      <x:c r="B1167" s="29" t="str">
        <x:v>SCA-13</x:v>
      </x:c>
      <x:c r="C1167" s="29" t="str">
        <x:v>Air</x:v>
      </x:c>
      <x:c r="D1167" s="29" t="str">
        <x:v>YES</x:v>
      </x:c>
      <x:c r="E1167" s="29" t="str">
        <x:v>YES</x:v>
      </x:c>
      <x:c r="F1167" s="62" t="n">
        <x:v>1731.3472717426955</x:v>
      </x:c>
      <x:c r="G1167" s="62" t="n">
        <x:v>26.663611187296453</x:v>
      </x:c>
      <x:c r="H1167" s="29" t="str">
        <x:v>YES</x:v>
      </x:c>
      <x:c r="I1167" s="29" t="str">
        <x:v>primary-airport endpoints; great-circle screen</x:v>
      </x:c>
      <x:c r="J1167" s="29" t="str">
        <x:v>presence does not prove operability or capacity</x:v>
      </x:c>
    </x:row>
    <x:row r="1168" ht="54" hidden="0" customHeight="1">
      <x:c r="A1168" s="27" t="str">
        <x:v>SCA-10</x:v>
      </x:c>
      <x:c r="B1168" s="27" t="str">
        <x:v>SCA-13</x:v>
      </x:c>
      <x:c r="C1168" s="27" t="str">
        <x:v>Water</x:v>
      </x:c>
      <x:c r="D1168" s="27" t="str">
        <x:v>NO</x:v>
      </x:c>
      <x:c r="E1168" s="27" t="str">
        <x:v>NO</x:v>
      </x:c>
      <x:c r="F1168" s="61"/>
      <x:c r="G1168" s="61"/>
      <x:c r="H1168" s="27" t="str">
        <x:v>NO</x:v>
      </x:c>
      <x:c r="I1168" s="27" t="str">
        <x:v>no screened path</x:v>
      </x:c>
      <x:c r="J1168" s="27" t="str">
        <x:v>presence does not prove operability or capacity</x:v>
      </x:c>
    </x:row>
    <x:row r="1169" ht="54" hidden="0" customHeight="1">
      <x:c r="A1169" s="29" t="str">
        <x:v>SCA-10</x:v>
      </x:c>
      <x:c r="B1169" s="29" t="str">
        <x:v>SCA-14</x:v>
      </x:c>
      <x:c r="C1169" s="29" t="str">
        <x:v>Road</x:v>
      </x:c>
      <x:c r="D1169" s="29" t="str">
        <x:v>NO</x:v>
      </x:c>
      <x:c r="E1169" s="29" t="str">
        <x:v>NO</x:v>
      </x:c>
      <x:c r="F1169" s="62"/>
      <x:c r="G1169" s="62"/>
      <x:c r="H1169" s="29" t="str">
        <x:v>NO</x:v>
      </x:c>
      <x:c r="I1169" s="29" t="str">
        <x:v>no screened path</x:v>
      </x:c>
      <x:c r="J1169" s="29" t="str">
        <x:v>presence does not prove operability or capacity</x:v>
      </x:c>
    </x:row>
    <x:row r="1170" ht="64.80000305175781" hidden="0" customHeight="1">
      <x:c r="A1170" s="27" t="str">
        <x:v>SCA-10</x:v>
      </x:c>
      <x:c r="B1170" s="27" t="str">
        <x:v>SCA-14</x:v>
      </x:c>
      <x:c r="C1170" s="27" t="str">
        <x:v>Rail</x:v>
      </x:c>
      <x:c r="D1170" s="27" t="str">
        <x:v>YES</x:v>
      </x:c>
      <x:c r="E1170" s="27" t="str">
        <x:v>YES</x:v>
      </x:c>
      <x:c r="F1170" s="61" t="n">
        <x:v>2841.332029503531</x:v>
      </x:c>
      <x:c r="G1170" s="61" t="n">
        <x:v>66.59045756433616</x:v>
      </x:c>
      <x:c r="H1170" s="27" t="str">
        <x:v>YES</x:v>
      </x:c>
      <x:c r="I1170" s="27" t="str">
        <x:v>NARN shared-node topology; deployable terminal required</x:v>
      </x:c>
      <x:c r="J1170" s="27" t="str">
        <x:v>presence does not prove operability or capacity</x:v>
      </x:c>
    </x:row>
    <x:row r="1171" ht="54" hidden="0" customHeight="1">
      <x:c r="A1171" s="29" t="str">
        <x:v>SCA-10</x:v>
      </x:c>
      <x:c r="B1171" s="29" t="str">
        <x:v>SCA-14</x:v>
      </x:c>
      <x:c r="C1171" s="29" t="str">
        <x:v>Air</x:v>
      </x:c>
      <x:c r="D1171" s="29" t="str">
        <x:v>YES</x:v>
      </x:c>
      <x:c r="E1171" s="29" t="str">
        <x:v>YES</x:v>
      </x:c>
      <x:c r="F1171" s="62" t="n">
        <x:v>2017.1349702502205</x:v>
      </x:c>
      <x:c r="G1171" s="62" t="n">
        <x:v>27.103284569615724</x:v>
      </x:c>
      <x:c r="H1171" s="29" t="str">
        <x:v>YES</x:v>
      </x:c>
      <x:c r="I1171" s="29" t="str">
        <x:v>primary-airport endpoints; great-circle screen</x:v>
      </x:c>
      <x:c r="J1171" s="29" t="str">
        <x:v>presence does not prove operability or capacity</x:v>
      </x:c>
    </x:row>
    <x:row r="1172" ht="54" hidden="0" customHeight="1">
      <x:c r="A1172" s="27" t="str">
        <x:v>SCA-10</x:v>
      </x:c>
      <x:c r="B1172" s="27" t="str">
        <x:v>SCA-14</x:v>
      </x:c>
      <x:c r="C1172" s="27" t="str">
        <x:v>Water</x:v>
      </x:c>
      <x:c r="D1172" s="27" t="str">
        <x:v>NO</x:v>
      </x:c>
      <x:c r="E1172" s="27" t="str">
        <x:v>NO</x:v>
      </x:c>
      <x:c r="F1172" s="61"/>
      <x:c r="G1172" s="61"/>
      <x:c r="H1172" s="27" t="str">
        <x:v>NO</x:v>
      </x:c>
      <x:c r="I1172" s="27" t="str">
        <x:v>no screened path</x:v>
      </x:c>
      <x:c r="J1172" s="27" t="str">
        <x:v>presence does not prove operability or capacity</x:v>
      </x:c>
    </x:row>
    <x:row r="1173" ht="54" hidden="0" customHeight="1">
      <x:c r="A1173" s="29" t="str">
        <x:v>SCA-10</x:v>
      </x:c>
      <x:c r="B1173" s="29" t="str">
        <x:v>SCA-15</x:v>
      </x:c>
      <x:c r="C1173" s="29" t="str">
        <x:v>Road</x:v>
      </x:c>
      <x:c r="D1173" s="29" t="str">
        <x:v>YES</x:v>
      </x:c>
      <x:c r="E1173" s="29" t="str">
        <x:v>YES</x:v>
      </x:c>
      <x:c r="F1173" s="62" t="n">
        <x:v>1851.9073668328165</x:v>
      </x:c>
      <x:c r="G1173" s="62" t="n">
        <x:v>53.67104303332393</x:v>
      </x:c>
      <x:c r="H1173" s="29" t="str">
        <x:v>YES</x:v>
      </x:c>
      <x:c r="I1173" s="29" t="str">
        <x:v>NHPN-gated shared-boundary SCA path</x:v>
      </x:c>
      <x:c r="J1173" s="29" t="str">
        <x:v>presence does not prove operability or capacity</x:v>
      </x:c>
    </x:row>
    <x:row r="1174" ht="64.80000305175781" hidden="0" customHeight="1">
      <x:c r="A1174" s="27" t="str">
        <x:v>SCA-10</x:v>
      </x:c>
      <x:c r="B1174" s="27" t="str">
        <x:v>SCA-15</x:v>
      </x:c>
      <x:c r="C1174" s="27" t="str">
        <x:v>Rail</x:v>
      </x:c>
      <x:c r="D1174" s="27" t="str">
        <x:v>YES</x:v>
      </x:c>
      <x:c r="E1174" s="27" t="str">
        <x:v>YES</x:v>
      </x:c>
      <x:c r="F1174" s="61" t="n">
        <x:v>1964.6321630748141</x:v>
      </x:c>
      <x:c r="G1174" s="61" t="n">
        <x:v>54.06617375821163</x:v>
      </x:c>
      <x:c r="H1174" s="27" t="str">
        <x:v>YES</x:v>
      </x:c>
      <x:c r="I1174" s="27" t="str">
        <x:v>NARN shared-node topology; deployable terminal required</x:v>
      </x:c>
      <x:c r="J1174" s="27" t="str">
        <x:v>presence does not prove operability or capacity</x:v>
      </x:c>
    </x:row>
    <x:row r="1175" ht="54" hidden="0" customHeight="1">
      <x:c r="A1175" s="29" t="str">
        <x:v>SCA-10</x:v>
      </x:c>
      <x:c r="B1175" s="29" t="str">
        <x:v>SCA-15</x:v>
      </x:c>
      <x:c r="C1175" s="29" t="str">
        <x:v>Air</x:v>
      </x:c>
      <x:c r="D1175" s="29" t="str">
        <x:v>YES</x:v>
      </x:c>
      <x:c r="E1175" s="29" t="str">
        <x:v>YES</x:v>
      </x:c>
      <x:c r="F1175" s="62" t="n">
        <x:v>1587.8569440096064</x:v>
      </x:c>
      <x:c r="G1175" s="62" t="n">
        <x:v>26.442856836937857</x:v>
      </x:c>
      <x:c r="H1175" s="29" t="str">
        <x:v>YES</x:v>
      </x:c>
      <x:c r="I1175" s="29" t="str">
        <x:v>primary-airport endpoints; great-circle screen</x:v>
      </x:c>
      <x:c r="J1175" s="29" t="str">
        <x:v>presence does not prove operability or capacity</x:v>
      </x:c>
    </x:row>
    <x:row r="1176" ht="54" hidden="0" customHeight="1">
      <x:c r="A1176" s="27" t="str">
        <x:v>SCA-10</x:v>
      </x:c>
      <x:c r="B1176" s="27" t="str">
        <x:v>SCA-15</x:v>
      </x:c>
      <x:c r="C1176" s="27" t="str">
        <x:v>Water</x:v>
      </x:c>
      <x:c r="D1176" s="27" t="str">
        <x:v>NO</x:v>
      </x:c>
      <x:c r="E1176" s="27" t="str">
        <x:v>NO</x:v>
      </x:c>
      <x:c r="F1176" s="61"/>
      <x:c r="G1176" s="61"/>
      <x:c r="H1176" s="27" t="str">
        <x:v>NO</x:v>
      </x:c>
      <x:c r="I1176" s="27" t="str">
        <x:v>no screened path</x:v>
      </x:c>
      <x:c r="J1176" s="27" t="str">
        <x:v>presence does not prove operability or capacity</x:v>
      </x:c>
    </x:row>
    <x:row r="1177" ht="54" hidden="0" customHeight="1">
      <x:c r="A1177" s="29" t="str">
        <x:v>SCA-10</x:v>
      </x:c>
      <x:c r="B1177" s="29" t="str">
        <x:v>SCA-16</x:v>
      </x:c>
      <x:c r="C1177" s="29" t="str">
        <x:v>Road</x:v>
      </x:c>
      <x:c r="D1177" s="29" t="str">
        <x:v>YES</x:v>
      </x:c>
      <x:c r="E1177" s="29" t="str">
        <x:v>YES</x:v>
      </x:c>
      <x:c r="F1177" s="62" t="n">
        <x:v>1568.375204239543</x:v>
      </x:c>
      <x:c r="G1177" s="62" t="n">
        <x:v>48.51591280435533</x:v>
      </x:c>
      <x:c r="H1177" s="29" t="str">
        <x:v>YES</x:v>
      </x:c>
      <x:c r="I1177" s="29" t="str">
        <x:v>NHPN-gated shared-boundary SCA path</x:v>
      </x:c>
      <x:c r="J1177" s="29" t="str">
        <x:v>presence does not prove operability or capacity</x:v>
      </x:c>
    </x:row>
    <x:row r="1178" ht="64.80000305175781" hidden="0" customHeight="1">
      <x:c r="A1178" s="27" t="str">
        <x:v>SCA-10</x:v>
      </x:c>
      <x:c r="B1178" s="27" t="str">
        <x:v>SCA-16</x:v>
      </x:c>
      <x:c r="C1178" s="27" t="str">
        <x:v>Rail</x:v>
      </x:c>
      <x:c r="D1178" s="27" t="str">
        <x:v>YES</x:v>
      </x:c>
      <x:c r="E1178" s="27" t="str">
        <x:v>YES</x:v>
      </x:c>
      <x:c r="F1178" s="61" t="n">
        <x:v>1663.8415210193416</x:v>
      </x:c>
      <x:c r="G1178" s="61" t="n">
        <x:v>49.769164585990595</x:v>
      </x:c>
      <x:c r="H1178" s="27" t="str">
        <x:v>YES</x:v>
      </x:c>
      <x:c r="I1178" s="27" t="str">
        <x:v>NARN shared-node topology; deployable terminal required</x:v>
      </x:c>
      <x:c r="J1178" s="27" t="str">
        <x:v>presence does not prove operability or capacity</x:v>
      </x:c>
    </x:row>
    <x:row r="1179" ht="54" hidden="0" customHeight="1">
      <x:c r="A1179" s="29" t="str">
        <x:v>SCA-10</x:v>
      </x:c>
      <x:c r="B1179" s="29" t="str">
        <x:v>SCA-16</x:v>
      </x:c>
      <x:c r="C1179" s="29" t="str">
        <x:v>Air</x:v>
      </x:c>
      <x:c r="D1179" s="29" t="str">
        <x:v>YES</x:v>
      </x:c>
      <x:c r="E1179" s="29" t="str">
        <x:v>YES</x:v>
      </x:c>
      <x:c r="F1179" s="62" t="n">
        <x:v>1354.6124973862695</x:v>
      </x:c>
      <x:c r="G1179" s="62" t="n">
        <x:v>26.084019226748108</x:v>
      </x:c>
      <x:c r="H1179" s="29" t="str">
        <x:v>YES</x:v>
      </x:c>
      <x:c r="I1179" s="29" t="str">
        <x:v>primary-airport endpoints; great-circle screen</x:v>
      </x:c>
      <x:c r="J1179" s="29" t="str">
        <x:v>presence does not prove operability or capacity</x:v>
      </x:c>
    </x:row>
    <x:row r="1180" ht="54" hidden="0" customHeight="1">
      <x:c r="A1180" s="27" t="str">
        <x:v>SCA-10</x:v>
      </x:c>
      <x:c r="B1180" s="27" t="str">
        <x:v>SCA-16</x:v>
      </x:c>
      <x:c r="C1180" s="27" t="str">
        <x:v>Water</x:v>
      </x:c>
      <x:c r="D1180" s="27" t="str">
        <x:v>NO</x:v>
      </x:c>
      <x:c r="E1180" s="27" t="str">
        <x:v>NO</x:v>
      </x:c>
      <x:c r="F1180" s="61"/>
      <x:c r="G1180" s="61"/>
      <x:c r="H1180" s="27" t="str">
        <x:v>NO</x:v>
      </x:c>
      <x:c r="I1180" s="27" t="str">
        <x:v>no screened path</x:v>
      </x:c>
      <x:c r="J1180" s="27" t="str">
        <x:v>presence does not prove operability or capacity</x:v>
      </x:c>
    </x:row>
    <x:row r="1181" ht="54" hidden="0" customHeight="1">
      <x:c r="A1181" s="29" t="str">
        <x:v>SCA-10</x:v>
      </x:c>
      <x:c r="B1181" s="29" t="str">
        <x:v>SCA-17</x:v>
      </x:c>
      <x:c r="C1181" s="29" t="str">
        <x:v>Road</x:v>
      </x:c>
      <x:c r="D1181" s="29" t="str">
        <x:v>YES</x:v>
      </x:c>
      <x:c r="E1181" s="29" t="str">
        <x:v>YES</x:v>
      </x:c>
      <x:c r="F1181" s="62" t="n">
        <x:v>2320.7197596557876</x:v>
      </x:c>
      <x:c r="G1181" s="62" t="n">
        <x:v>62.19490472101432</x:v>
      </x:c>
      <x:c r="H1181" s="29" t="str">
        <x:v>YES</x:v>
      </x:c>
      <x:c r="I1181" s="29" t="str">
        <x:v>NHPN-gated shared-boundary SCA path</x:v>
      </x:c>
      <x:c r="J1181" s="29" t="str">
        <x:v>presence does not prove operability or capacity</x:v>
      </x:c>
    </x:row>
    <x:row r="1182" ht="64.80000305175781" hidden="0" customHeight="1">
      <x:c r="A1182" s="27" t="str">
        <x:v>SCA-10</x:v>
      </x:c>
      <x:c r="B1182" s="27" t="str">
        <x:v>SCA-17</x:v>
      </x:c>
      <x:c r="C1182" s="27" t="str">
        <x:v>Rail</x:v>
      </x:c>
      <x:c r="D1182" s="27" t="str">
        <x:v>YES</x:v>
      </x:c>
      <x:c r="E1182" s="27" t="str">
        <x:v>YES</x:v>
      </x:c>
      <x:c r="F1182" s="61" t="n">
        <x:v>2461.980962417444</x:v>
      </x:c>
      <x:c r="G1182" s="61" t="n">
        <x:v>61.17115660596349</x:v>
      </x:c>
      <x:c r="H1182" s="27" t="str">
        <x:v>YES</x:v>
      </x:c>
      <x:c r="I1182" s="27" t="str">
        <x:v>NARN shared-node topology; deployable terminal required</x:v>
      </x:c>
      <x:c r="J1182" s="27" t="str">
        <x:v>presence does not prove operability or capacity</x:v>
      </x:c>
    </x:row>
    <x:row r="1183" ht="54" hidden="0" customHeight="1">
      <x:c r="A1183" s="29" t="str">
        <x:v>SCA-10</x:v>
      </x:c>
      <x:c r="B1183" s="29" t="str">
        <x:v>SCA-17</x:v>
      </x:c>
      <x:c r="C1183" s="29" t="str">
        <x:v>Air</x:v>
      </x:c>
      <x:c r="D1183" s="29" t="str">
        <x:v>YES</x:v>
      </x:c>
      <x:c r="E1183" s="29" t="str">
        <x:v>YES</x:v>
      </x:c>
      <x:c r="F1183" s="62" t="n">
        <x:v>1984.197179157057</x:v>
      </x:c>
      <x:c r="G1183" s="62" t="n">
        <x:v>27.05261104485701</x:v>
      </x:c>
      <x:c r="H1183" s="29" t="str">
        <x:v>YES</x:v>
      </x:c>
      <x:c r="I1183" s="29" t="str">
        <x:v>primary-airport endpoints; great-circle screen</x:v>
      </x:c>
      <x:c r="J1183" s="29" t="str">
        <x:v>presence does not prove operability or capacity</x:v>
      </x:c>
    </x:row>
    <x:row r="1184" ht="54" hidden="0" customHeight="1">
      <x:c r="A1184" s="27" t="str">
        <x:v>SCA-10</x:v>
      </x:c>
      <x:c r="B1184" s="27" t="str">
        <x:v>SCA-17</x:v>
      </x:c>
      <x:c r="C1184" s="27" t="str">
        <x:v>Water</x:v>
      </x:c>
      <x:c r="D1184" s="27" t="str">
        <x:v>NO</x:v>
      </x:c>
      <x:c r="E1184" s="27" t="str">
        <x:v>NO</x:v>
      </x:c>
      <x:c r="F1184" s="61"/>
      <x:c r="G1184" s="61"/>
      <x:c r="H1184" s="27" t="str">
        <x:v>NO</x:v>
      </x:c>
      <x:c r="I1184" s="27" t="str">
        <x:v>no screened path</x:v>
      </x:c>
      <x:c r="J1184" s="27" t="str">
        <x:v>presence does not prove operability or capacity</x:v>
      </x:c>
    </x:row>
    <x:row r="1185" ht="54" hidden="0" customHeight="1">
      <x:c r="A1185" s="29" t="str">
        <x:v>SCA-10</x:v>
      </x:c>
      <x:c r="B1185" s="29" t="str">
        <x:v>SCA-18</x:v>
      </x:c>
      <x:c r="C1185" s="29" t="str">
        <x:v>Road</x:v>
      </x:c>
      <x:c r="D1185" s="29" t="str">
        <x:v>YES</x:v>
      </x:c>
      <x:c r="E1185" s="29" t="str">
        <x:v>YES</x:v>
      </x:c>
      <x:c r="F1185" s="62" t="n">
        <x:v>1907.712253917899</x:v>
      </x:c>
      <x:c r="G1185" s="62" t="n">
        <x:v>54.6856773439618</x:v>
      </x:c>
      <x:c r="H1185" s="29" t="str">
        <x:v>YES</x:v>
      </x:c>
      <x:c r="I1185" s="29" t="str">
        <x:v>NHPN-gated shared-boundary SCA path</x:v>
      </x:c>
      <x:c r="J1185" s="29" t="str">
        <x:v>presence does not prove operability or capacity</x:v>
      </x:c>
    </x:row>
    <x:row r="1186" ht="64.80000305175781" hidden="0" customHeight="1">
      <x:c r="A1186" s="27" t="str">
        <x:v>SCA-10</x:v>
      </x:c>
      <x:c r="B1186" s="27" t="str">
        <x:v>SCA-18</x:v>
      </x:c>
      <x:c r="C1186" s="27" t="str">
        <x:v>Rail</x:v>
      </x:c>
      <x:c r="D1186" s="27" t="str">
        <x:v>YES</x:v>
      </x:c>
      <x:c r="E1186" s="27" t="str">
        <x:v>YES</x:v>
      </x:c>
      <x:c r="F1186" s="61" t="n">
        <x:v>2023.8338693737714</x:v>
      </x:c>
      <x:c r="G1186" s="61" t="n">
        <x:v>54.91191241962531</x:v>
      </x:c>
      <x:c r="H1186" s="27" t="str">
        <x:v>YES</x:v>
      </x:c>
      <x:c r="I1186" s="27" t="str">
        <x:v>NARN shared-node topology; deployable terminal required</x:v>
      </x:c>
      <x:c r="J1186" s="27" t="str">
        <x:v>presence does not prove operability or capacity</x:v>
      </x:c>
    </x:row>
    <x:row r="1187" ht="54" hidden="0" customHeight="1">
      <x:c r="A1187" s="29" t="str">
        <x:v>SCA-10</x:v>
      </x:c>
      <x:c r="B1187" s="29" t="str">
        <x:v>SCA-18</x:v>
      </x:c>
      <x:c r="C1187" s="29" t="str">
        <x:v>Air</x:v>
      </x:c>
      <x:c r="D1187" s="29" t="str">
        <x:v>YES</x:v>
      </x:c>
      <x:c r="E1187" s="29" t="str">
        <x:v>YES</x:v>
      </x:c>
      <x:c r="F1187" s="62" t="n">
        <x:v>1465.0312141161794</x:v>
      </x:c>
      <x:c r="G1187" s="62" t="n">
        <x:v>26.253894175563353</x:v>
      </x:c>
      <x:c r="H1187" s="29" t="str">
        <x:v>YES</x:v>
      </x:c>
      <x:c r="I1187" s="29" t="str">
        <x:v>primary-airport endpoints; great-circle screen</x:v>
      </x:c>
      <x:c r="J1187" s="29" t="str">
        <x:v>presence does not prove operability or capacity</x:v>
      </x:c>
    </x:row>
    <x:row r="1188" ht="54" hidden="0" customHeight="1">
      <x:c r="A1188" s="27" t="str">
        <x:v>SCA-10</x:v>
      </x:c>
      <x:c r="B1188" s="27" t="str">
        <x:v>SCA-18</x:v>
      </x:c>
      <x:c r="C1188" s="27" t="str">
        <x:v>Water</x:v>
      </x:c>
      <x:c r="D1188" s="27" t="str">
        <x:v>NO</x:v>
      </x:c>
      <x:c r="E1188" s="27" t="str">
        <x:v>NO</x:v>
      </x:c>
      <x:c r="F1188" s="61"/>
      <x:c r="G1188" s="61"/>
      <x:c r="H1188" s="27" t="str">
        <x:v>NO</x:v>
      </x:c>
      <x:c r="I1188" s="27" t="str">
        <x:v>no screened path</x:v>
      </x:c>
      <x:c r="J1188" s="27" t="str">
        <x:v>presence does not prove operability or capacity</x:v>
      </x:c>
    </x:row>
    <x:row r="1189" ht="54" hidden="0" customHeight="1">
      <x:c r="A1189" s="29" t="str">
        <x:v>SCA-10</x:v>
      </x:c>
      <x:c r="B1189" s="29" t="str">
        <x:v>SCA-19</x:v>
      </x:c>
      <x:c r="C1189" s="29" t="str">
        <x:v>Road</x:v>
      </x:c>
      <x:c r="D1189" s="29" t="str">
        <x:v>YES</x:v>
      </x:c>
      <x:c r="E1189" s="29" t="str">
        <x:v>YES</x:v>
      </x:c>
      <x:c r="F1189" s="62" t="n">
        <x:v>2089.860378168559</x:v>
      </x:c>
      <x:c r="G1189" s="62" t="n">
        <x:v>57.99746142124652</x:v>
      </x:c>
      <x:c r="H1189" s="29" t="str">
        <x:v>YES</x:v>
      </x:c>
      <x:c r="I1189" s="29" t="str">
        <x:v>NHPN-gated shared-boundary SCA path</x:v>
      </x:c>
      <x:c r="J1189" s="29" t="str">
        <x:v>presence does not prove operability or capacity</x:v>
      </x:c>
    </x:row>
    <x:row r="1190" ht="64.80000305175781" hidden="0" customHeight="1">
      <x:c r="A1190" s="27" t="str">
        <x:v>SCA-10</x:v>
      </x:c>
      <x:c r="B1190" s="27" t="str">
        <x:v>SCA-19</x:v>
      </x:c>
      <x:c r="C1190" s="27" t="str">
        <x:v>Rail</x:v>
      </x:c>
      <x:c r="D1190" s="27" t="str">
        <x:v>YES</x:v>
      </x:c>
      <x:c r="E1190" s="27" t="str">
        <x:v>YES</x:v>
      </x:c>
      <x:c r="F1190" s="61" t="n">
        <x:v>2217.0692707527323</x:v>
      </x:c>
      <x:c r="G1190" s="61" t="n">
        <x:v>57.672418153610465</x:v>
      </x:c>
      <x:c r="H1190" s="27" t="str">
        <x:v>YES</x:v>
      </x:c>
      <x:c r="I1190" s="27" t="str">
        <x:v>NARN shared-node topology; deployable terminal required</x:v>
      </x:c>
      <x:c r="J1190" s="27" t="str">
        <x:v>presence does not prove operability or capacity</x:v>
      </x:c>
    </x:row>
    <x:row r="1191" ht="54" hidden="0" customHeight="1">
      <x:c r="A1191" s="29" t="str">
        <x:v>SCA-10</x:v>
      </x:c>
      <x:c r="B1191" s="29" t="str">
        <x:v>SCA-19</x:v>
      </x:c>
      <x:c r="C1191" s="29" t="str">
        <x:v>Air</x:v>
      </x:c>
      <x:c r="D1191" s="29" t="str">
        <x:v>YES</x:v>
      </x:c>
      <x:c r="E1191" s="29" t="str">
        <x:v>YES</x:v>
      </x:c>
      <x:c r="F1191" s="62" t="n">
        <x:v>1760.6803683004102</x:v>
      </x:c>
      <x:c r="G1191" s="62" t="n">
        <x:v>26.708739028154476</x:v>
      </x:c>
      <x:c r="H1191" s="29" t="str">
        <x:v>YES</x:v>
      </x:c>
      <x:c r="I1191" s="29" t="str">
        <x:v>primary-airport endpoints; great-circle screen</x:v>
      </x:c>
      <x:c r="J1191" s="29" t="str">
        <x:v>presence does not prove operability or capacity</x:v>
      </x:c>
    </x:row>
    <x:row r="1192" ht="54" hidden="0" customHeight="1">
      <x:c r="A1192" s="27" t="str">
        <x:v>SCA-10</x:v>
      </x:c>
      <x:c r="B1192" s="27" t="str">
        <x:v>SCA-19</x:v>
      </x:c>
      <x:c r="C1192" s="27" t="str">
        <x:v>Water</x:v>
      </x:c>
      <x:c r="D1192" s="27" t="str">
        <x:v>NO</x:v>
      </x:c>
      <x:c r="E1192" s="27" t="str">
        <x:v>NO</x:v>
      </x:c>
      <x:c r="F1192" s="61"/>
      <x:c r="G1192" s="61"/>
      <x:c r="H1192" s="27" t="str">
        <x:v>NO</x:v>
      </x:c>
      <x:c r="I1192" s="27" t="str">
        <x:v>no screened path</x:v>
      </x:c>
      <x:c r="J1192" s="27" t="str">
        <x:v>presence does not prove operability or capacity</x:v>
      </x:c>
    </x:row>
    <x:row r="1193" ht="54" hidden="0" customHeight="1">
      <x:c r="A1193" s="29" t="str">
        <x:v>SCA-10</x:v>
      </x:c>
      <x:c r="B1193" s="29" t="str">
        <x:v>SCA-20</x:v>
      </x:c>
      <x:c r="C1193" s="29" t="str">
        <x:v>Road</x:v>
      </x:c>
      <x:c r="D1193" s="29" t="str">
        <x:v>YES</x:v>
      </x:c>
      <x:c r="E1193" s="29" t="str">
        <x:v>YES</x:v>
      </x:c>
      <x:c r="F1193" s="62" t="n">
        <x:v>2377.500892790305</x:v>
      </x:c>
      <x:c r="G1193" s="62" t="n">
        <x:v>63.227288959823724</x:v>
      </x:c>
      <x:c r="H1193" s="29" t="str">
        <x:v>YES</x:v>
      </x:c>
      <x:c r="I1193" s="29" t="str">
        <x:v>NHPN-gated shared-boundary SCA path</x:v>
      </x:c>
      <x:c r="J1193" s="29" t="str">
        <x:v>presence does not prove operability or capacity</x:v>
      </x:c>
    </x:row>
    <x:row r="1194" ht="64.80000305175781" hidden="0" customHeight="1">
      <x:c r="A1194" s="27" t="str">
        <x:v>SCA-10</x:v>
      </x:c>
      <x:c r="B1194" s="27" t="str">
        <x:v>SCA-20</x:v>
      </x:c>
      <x:c r="C1194" s="27" t="str">
        <x:v>Rail</x:v>
      </x:c>
      <x:c r="D1194" s="27" t="str">
        <x:v>YES</x:v>
      </x:c>
      <x:c r="E1194" s="27" t="str">
        <x:v>YES</x:v>
      </x:c>
      <x:c r="F1194" s="61" t="n">
        <x:v>2522.218338438411</x:v>
      </x:c>
      <x:c r="G1194" s="61" t="n">
        <x:v>62.03169054912016</x:v>
      </x:c>
      <x:c r="H1194" s="27" t="str">
        <x:v>YES</x:v>
      </x:c>
      <x:c r="I1194" s="27" t="str">
        <x:v>NARN shared-node topology; deployable terminal required</x:v>
      </x:c>
      <x:c r="J1194" s="27" t="str">
        <x:v>presence does not prove operability or capacity</x:v>
      </x:c>
    </x:row>
    <x:row r="1195" ht="54" hidden="0" customHeight="1">
      <x:c r="A1195" s="29" t="str">
        <x:v>SCA-10</x:v>
      </x:c>
      <x:c r="B1195" s="29" t="str">
        <x:v>SCA-20</x:v>
      </x:c>
      <x:c r="C1195" s="29" t="str">
        <x:v>Air</x:v>
      </x:c>
      <x:c r="D1195" s="29" t="str">
        <x:v>YES</x:v>
      </x:c>
      <x:c r="E1195" s="29" t="str">
        <x:v>YES</x:v>
      </x:c>
      <x:c r="F1195" s="62" t="n">
        <x:v>2035.9952026777562</x:v>
      </x:c>
      <x:c r="G1195" s="62" t="n">
        <x:v>27.13230031181193</x:v>
      </x:c>
      <x:c r="H1195" s="29" t="str">
        <x:v>YES</x:v>
      </x:c>
      <x:c r="I1195" s="29" t="str">
        <x:v>primary-airport endpoints; great-circle screen</x:v>
      </x:c>
      <x:c r="J1195" s="29" t="str">
        <x:v>presence does not prove operability or capacity</x:v>
      </x:c>
    </x:row>
    <x:row r="1196" ht="54" hidden="0" customHeight="1">
      <x:c r="A1196" s="27" t="str">
        <x:v>SCA-10</x:v>
      </x:c>
      <x:c r="B1196" s="27" t="str">
        <x:v>SCA-20</x:v>
      </x:c>
      <x:c r="C1196" s="27" t="str">
        <x:v>Water</x:v>
      </x:c>
      <x:c r="D1196" s="27" t="str">
        <x:v>NO</x:v>
      </x:c>
      <x:c r="E1196" s="27" t="str">
        <x:v>NO</x:v>
      </x:c>
      <x:c r="F1196" s="61"/>
      <x:c r="G1196" s="61"/>
      <x:c r="H1196" s="27" t="str">
        <x:v>NO</x:v>
      </x:c>
      <x:c r="I1196" s="27" t="str">
        <x:v>no screened path</x:v>
      </x:c>
      <x:c r="J1196" s="27" t="str">
        <x:v>presence does not prove operability or capacity</x:v>
      </x:c>
    </x:row>
    <x:row r="1197" ht="54" hidden="0" customHeight="1">
      <x:c r="A1197" s="29" t="str">
        <x:v>SCA-10</x:v>
      </x:c>
      <x:c r="B1197" s="29" t="str">
        <x:v>SCA-21</x:v>
      </x:c>
      <x:c r="C1197" s="29" t="str">
        <x:v>Road</x:v>
      </x:c>
      <x:c r="D1197" s="29" t="str">
        <x:v>YES</x:v>
      </x:c>
      <x:c r="E1197" s="29" t="str">
        <x:v>YES</x:v>
      </x:c>
      <x:c r="F1197" s="62" t="n">
        <x:v>2549.313800023764</x:v>
      </x:c>
      <x:c r="G1197" s="62" t="n">
        <x:v>66.35116000043207</x:v>
      </x:c>
      <x:c r="H1197" s="29" t="str">
        <x:v>YES</x:v>
      </x:c>
      <x:c r="I1197" s="29" t="str">
        <x:v>NHPN-gated shared-boundary SCA path</x:v>
      </x:c>
      <x:c r="J1197" s="29" t="str">
        <x:v>presence does not prove operability or capacity</x:v>
      </x:c>
    </x:row>
    <x:row r="1198" ht="64.80000305175781" hidden="0" customHeight="1">
      <x:c r="A1198" s="27" t="str">
        <x:v>SCA-10</x:v>
      </x:c>
      <x:c r="B1198" s="27" t="str">
        <x:v>SCA-21</x:v>
      </x:c>
      <x:c r="C1198" s="27" t="str">
        <x:v>Rail</x:v>
      </x:c>
      <x:c r="D1198" s="27" t="str">
        <x:v>YES</x:v>
      </x:c>
      <x:c r="E1198" s="27" t="str">
        <x:v>YES</x:v>
      </x:c>
      <x:c r="F1198" s="61" t="n">
        <x:v>2704.4894226339065</x:v>
      </x:c>
      <x:c r="G1198" s="61" t="n">
        <x:v>64.63556318048438</x:v>
      </x:c>
      <x:c r="H1198" s="27" t="str">
        <x:v>YES</x:v>
      </x:c>
      <x:c r="I1198" s="27" t="str">
        <x:v>NARN shared-node topology; deployable terminal required</x:v>
      </x:c>
      <x:c r="J1198" s="27" t="str">
        <x:v>presence does not prove operability or capacity</x:v>
      </x:c>
    </x:row>
    <x:row r="1199" ht="54" hidden="0" customHeight="1">
      <x:c r="A1199" s="29" t="str">
        <x:v>SCA-10</x:v>
      </x:c>
      <x:c r="B1199" s="29" t="str">
        <x:v>SCA-21</x:v>
      </x:c>
      <x:c r="C1199" s="29" t="str">
        <x:v>Air</x:v>
      </x:c>
      <x:c r="D1199" s="29" t="str">
        <x:v>YES</x:v>
      </x:c>
      <x:c r="E1199" s="29" t="str">
        <x:v>YES</x:v>
      </x:c>
      <x:c r="F1199" s="62" t="n">
        <x:v>1936.964192038679</x:v>
      </x:c>
      <x:c r="G1199" s="62" t="n">
        <x:v>26.979944910828735</x:v>
      </x:c>
      <x:c r="H1199" s="29" t="str">
        <x:v>YES</x:v>
      </x:c>
      <x:c r="I1199" s="29" t="str">
        <x:v>primary-airport endpoints; great-circle screen</x:v>
      </x:c>
      <x:c r="J1199" s="29" t="str">
        <x:v>presence does not prove operability or capacity</x:v>
      </x:c>
    </x:row>
    <x:row r="1200" ht="54" hidden="0" customHeight="1">
      <x:c r="A1200" s="27" t="str">
        <x:v>SCA-10</x:v>
      </x:c>
      <x:c r="B1200" s="27" t="str">
        <x:v>SCA-21</x:v>
      </x:c>
      <x:c r="C1200" s="27" t="str">
        <x:v>Water</x:v>
      </x:c>
      <x:c r="D1200" s="27" t="str">
        <x:v>NO</x:v>
      </x:c>
      <x:c r="E1200" s="27" t="str">
        <x:v>NO</x:v>
      </x:c>
      <x:c r="F1200" s="61"/>
      <x:c r="G1200" s="61"/>
      <x:c r="H1200" s="27" t="str">
        <x:v>NO</x:v>
      </x:c>
      <x:c r="I1200" s="27" t="str">
        <x:v>no screened path</x:v>
      </x:c>
      <x:c r="J1200" s="27" t="str">
        <x:v>presence does not prove operability or capacity</x:v>
      </x:c>
    </x:row>
    <x:row r="1201" ht="54" hidden="0" customHeight="1">
      <x:c r="A1201" s="29" t="str">
        <x:v>SCA-10</x:v>
      </x:c>
      <x:c r="B1201" s="29" t="str">
        <x:v>SCA-22</x:v>
      </x:c>
      <x:c r="C1201" s="29" t="str">
        <x:v>Road</x:v>
      </x:c>
      <x:c r="D1201" s="29" t="str">
        <x:v>YES</x:v>
      </x:c>
      <x:c r="E1201" s="29" t="str">
        <x:v>YES</x:v>
      </x:c>
      <x:c r="F1201" s="62" t="n">
        <x:v>2647.443009028888</x:v>
      </x:c>
      <x:c r="G1201" s="62" t="n">
        <x:v>68.13532743688887</x:v>
      </x:c>
      <x:c r="H1201" s="29" t="str">
        <x:v>YES</x:v>
      </x:c>
      <x:c r="I1201" s="29" t="str">
        <x:v>NHPN-gated shared-boundary SCA path</x:v>
      </x:c>
      <x:c r="J1201" s="29" t="str">
        <x:v>presence does not prove operability or capacity</x:v>
      </x:c>
    </x:row>
    <x:row r="1202" ht="64.80000305175781" hidden="0" customHeight="1">
      <x:c r="A1202" s="27" t="str">
        <x:v>SCA-10</x:v>
      </x:c>
      <x:c r="B1202" s="27" t="str">
        <x:v>SCA-22</x:v>
      </x:c>
      <x:c r="C1202" s="27" t="str">
        <x:v>Rail</x:v>
      </x:c>
      <x:c r="D1202" s="27" t="str">
        <x:v>YES</x:v>
      </x:c>
      <x:c r="E1202" s="27" t="str">
        <x:v>YES</x:v>
      </x:c>
      <x:c r="F1202" s="61" t="n">
        <x:v>2808.591713926299</x:v>
      </x:c>
      <x:c r="G1202" s="61" t="n">
        <x:v>66.12273877037569</x:v>
      </x:c>
      <x:c r="H1202" s="27" t="str">
        <x:v>YES</x:v>
      </x:c>
      <x:c r="I1202" s="27" t="str">
        <x:v>NARN shared-node topology; deployable terminal required</x:v>
      </x:c>
      <x:c r="J1202" s="27" t="str">
        <x:v>presence does not prove operability or capacity</x:v>
      </x:c>
    </x:row>
    <x:row r="1203" ht="54" hidden="0" customHeight="1">
      <x:c r="A1203" s="29" t="str">
        <x:v>SCA-10</x:v>
      </x:c>
      <x:c r="B1203" s="29" t="str">
        <x:v>SCA-22</x:v>
      </x:c>
      <x:c r="C1203" s="29" t="str">
        <x:v>Air</x:v>
      </x:c>
      <x:c r="D1203" s="29" t="str">
        <x:v>YES</x:v>
      </x:c>
      <x:c r="E1203" s="29" t="str">
        <x:v>YES</x:v>
      </x:c>
      <x:c r="F1203" s="62" t="n">
        <x:v>2235.8142673052434</x:v>
      </x:c>
      <x:c r="G1203" s="62" t="n">
        <x:v>27.439714257392684</x:v>
      </x:c>
      <x:c r="H1203" s="29" t="str">
        <x:v>YES</x:v>
      </x:c>
      <x:c r="I1203" s="29" t="str">
        <x:v>primary-airport endpoints; great-circle screen</x:v>
      </x:c>
      <x:c r="J1203" s="29" t="str">
        <x:v>presence does not prove operability or capacity</x:v>
      </x:c>
    </x:row>
    <x:row r="1204" ht="54" hidden="0" customHeight="1">
      <x:c r="A1204" s="27" t="str">
        <x:v>SCA-10</x:v>
      </x:c>
      <x:c r="B1204" s="27" t="str">
        <x:v>SCA-22</x:v>
      </x:c>
      <x:c r="C1204" s="27" t="str">
        <x:v>Water</x:v>
      </x:c>
      <x:c r="D1204" s="27" t="str">
        <x:v>NO</x:v>
      </x:c>
      <x:c r="E1204" s="27" t="str">
        <x:v>NO</x:v>
      </x:c>
      <x:c r="F1204" s="61"/>
      <x:c r="G1204" s="61"/>
      <x:c r="H1204" s="27" t="str">
        <x:v>NO</x:v>
      </x:c>
      <x:c r="I1204" s="27" t="str">
        <x:v>no screened path</x:v>
      </x:c>
      <x:c r="J1204" s="27" t="str">
        <x:v>presence does not prove operability or capacity</x:v>
      </x:c>
    </x:row>
    <x:row r="1205" ht="54" hidden="0" customHeight="1">
      <x:c r="A1205" s="29" t="str">
        <x:v>SCA-10</x:v>
      </x:c>
      <x:c r="B1205" s="29" t="str">
        <x:v>SCA-23</x:v>
      </x:c>
      <x:c r="C1205" s="29" t="str">
        <x:v>Road</x:v>
      </x:c>
      <x:c r="D1205" s="29" t="str">
        <x:v>YES</x:v>
      </x:c>
      <x:c r="E1205" s="29" t="str">
        <x:v>YES</x:v>
      </x:c>
      <x:c r="F1205" s="62" t="n">
        <x:v>2956.9998866395003</x:v>
      </x:c>
      <x:c r="G1205" s="62" t="n">
        <x:v>73.76363430253636</x:v>
      </x:c>
      <x:c r="H1205" s="29" t="str">
        <x:v>NO</x:v>
      </x:c>
      <x:c r="I1205" s="29" t="str">
        <x:v>NHPN-gated shared-boundary SCA path</x:v>
      </x:c>
      <x:c r="J1205" s="29" t="str">
        <x:v>presence does not prove operability or capacity</x:v>
      </x:c>
    </x:row>
    <x:row r="1206" ht="64.80000305175781" hidden="0" customHeight="1">
      <x:c r="A1206" s="27" t="str">
        <x:v>SCA-10</x:v>
      </x:c>
      <x:c r="B1206" s="27" t="str">
        <x:v>SCA-23</x:v>
      </x:c>
      <x:c r="C1206" s="27" t="str">
        <x:v>Rail</x:v>
      </x:c>
      <x:c r="D1206" s="27" t="str">
        <x:v>YES</x:v>
      </x:c>
      <x:c r="E1206" s="27" t="str">
        <x:v>YES</x:v>
      </x:c>
      <x:c r="F1206" s="61" t="n">
        <x:v>3136.9911840871227</x:v>
      </x:c>
      <x:c r="G1206" s="61" t="n">
        <x:v>70.81415977267318</x:v>
      </x:c>
      <x:c r="H1206" s="27" t="str">
        <x:v>YES</x:v>
      </x:c>
      <x:c r="I1206" s="27" t="str">
        <x:v>NARN shared-node topology; deployable terminal required</x:v>
      </x:c>
      <x:c r="J1206" s="27" t="str">
        <x:v>presence does not prove operability or capacity</x:v>
      </x:c>
    </x:row>
    <x:row r="1207" ht="54" hidden="0" customHeight="1">
      <x:c r="A1207" s="29" t="str">
        <x:v>SCA-10</x:v>
      </x:c>
      <x:c r="B1207" s="29" t="str">
        <x:v>SCA-23</x:v>
      </x:c>
      <x:c r="C1207" s="29" t="str">
        <x:v>Air</x:v>
      </x:c>
      <x:c r="D1207" s="29" t="str">
        <x:v>YES</x:v>
      </x:c>
      <x:c r="E1207" s="29" t="str">
        <x:v>YES</x:v>
      </x:c>
      <x:c r="F1207" s="62" t="n">
        <x:v>2493.028452721511</x:v>
      </x:c>
      <x:c r="G1207" s="62" t="n">
        <x:v>27.835428388802324</x:v>
      </x:c>
      <x:c r="H1207" s="29" t="str">
        <x:v>YES</x:v>
      </x:c>
      <x:c r="I1207" s="29" t="str">
        <x:v>primary-airport endpoints; great-circle screen</x:v>
      </x:c>
      <x:c r="J1207" s="29" t="str">
        <x:v>presence does not prove operability or capacity</x:v>
      </x:c>
    </x:row>
    <x:row r="1208" ht="54" hidden="0" customHeight="1">
      <x:c r="A1208" s="27" t="str">
        <x:v>SCA-10</x:v>
      </x:c>
      <x:c r="B1208" s="27" t="str">
        <x:v>SCA-23</x:v>
      </x:c>
      <x:c r="C1208" s="27" t="str">
        <x:v>Water</x:v>
      </x:c>
      <x:c r="D1208" s="27" t="str">
        <x:v>NO</x:v>
      </x:c>
      <x:c r="E1208" s="27" t="str">
        <x:v>NO</x:v>
      </x:c>
      <x:c r="F1208" s="61"/>
      <x:c r="G1208" s="61"/>
      <x:c r="H1208" s="27" t="str">
        <x:v>NO</x:v>
      </x:c>
      <x:c r="I1208" s="27" t="str">
        <x:v>no screened path</x:v>
      </x:c>
      <x:c r="J1208" s="27" t="str">
        <x:v>presence does not prove operability or capacity</x:v>
      </x:c>
    </x:row>
    <x:row r="1209" ht="54" hidden="0" customHeight="1">
      <x:c r="A1209" s="29" t="str">
        <x:v>SCA-10</x:v>
      </x:c>
      <x:c r="B1209" s="29" t="str">
        <x:v>SCA-24</x:v>
      </x:c>
      <x:c r="C1209" s="29" t="str">
        <x:v>Road</x:v>
      </x:c>
      <x:c r="D1209" s="29" t="str">
        <x:v>YES</x:v>
      </x:c>
      <x:c r="E1209" s="29" t="str">
        <x:v>YES</x:v>
      </x:c>
      <x:c r="F1209" s="62" t="n">
        <x:v>2946.5538531868015</x:v>
      </x:c>
      <x:c r="G1209" s="62" t="n">
        <x:v>73.57370642157821</x:v>
      </x:c>
      <x:c r="H1209" s="29" t="str">
        <x:v>NO</x:v>
      </x:c>
      <x:c r="I1209" s="29" t="str">
        <x:v>NHPN-gated shared-boundary SCA path</x:v>
      </x:c>
      <x:c r="J1209" s="29" t="str">
        <x:v>presence does not prove operability or capacity</x:v>
      </x:c>
    </x:row>
    <x:row r="1210" ht="64.80000305175781" hidden="0" customHeight="1">
      <x:c r="A1210" s="27" t="str">
        <x:v>SCA-10</x:v>
      </x:c>
      <x:c r="B1210" s="27" t="str">
        <x:v>SCA-24</x:v>
      </x:c>
      <x:c r="C1210" s="27" t="str">
        <x:v>Rail</x:v>
      </x:c>
      <x:c r="D1210" s="27" t="str">
        <x:v>YES</x:v>
      </x:c>
      <x:c r="E1210" s="27" t="str">
        <x:v>YES</x:v>
      </x:c>
      <x:c r="F1210" s="61" t="n">
        <x:v>3125.9093051199116</x:v>
      </x:c>
      <x:c r="G1210" s="61" t="n">
        <x:v>70.65584721599873</x:v>
      </x:c>
      <x:c r="H1210" s="27" t="str">
        <x:v>YES</x:v>
      </x:c>
      <x:c r="I1210" s="27" t="str">
        <x:v>NARN shared-node topology; deployable terminal required</x:v>
      </x:c>
      <x:c r="J1210" s="27" t="str">
        <x:v>presence does not prove operability or capacity</x:v>
      </x:c>
    </x:row>
    <x:row r="1211" ht="54" hidden="0" customHeight="1">
      <x:c r="A1211" s="29" t="str">
        <x:v>SCA-10</x:v>
      </x:c>
      <x:c r="B1211" s="29" t="str">
        <x:v>SCA-24</x:v>
      </x:c>
      <x:c r="C1211" s="29" t="str">
        <x:v>Air</x:v>
      </x:c>
      <x:c r="D1211" s="29" t="str">
        <x:v>YES</x:v>
      </x:c>
      <x:c r="E1211" s="29" t="str">
        <x:v>YES</x:v>
      </x:c>
      <x:c r="F1211" s="62" t="n">
        <x:v>2277.590006398683</x:v>
      </x:c>
      <x:c r="G1211" s="62" t="n">
        <x:v>27.503984625228743</x:v>
      </x:c>
      <x:c r="H1211" s="29" t="str">
        <x:v>YES</x:v>
      </x:c>
      <x:c r="I1211" s="29" t="str">
        <x:v>primary-airport endpoints; great-circle screen</x:v>
      </x:c>
      <x:c r="J1211" s="29" t="str">
        <x:v>presence does not prove operability or capacity</x:v>
      </x:c>
    </x:row>
    <x:row r="1212" ht="54" hidden="0" customHeight="1">
      <x:c r="A1212" s="27" t="str">
        <x:v>SCA-10</x:v>
      </x:c>
      <x:c r="B1212" s="27" t="str">
        <x:v>SCA-24</x:v>
      </x:c>
      <x:c r="C1212" s="27" t="str">
        <x:v>Water</x:v>
      </x:c>
      <x:c r="D1212" s="27" t="str">
        <x:v>NO</x:v>
      </x:c>
      <x:c r="E1212" s="27" t="str">
        <x:v>NO</x:v>
      </x:c>
      <x:c r="F1212" s="61"/>
      <x:c r="G1212" s="61"/>
      <x:c r="H1212" s="27" t="str">
        <x:v>NO</x:v>
      </x:c>
      <x:c r="I1212" s="27" t="str">
        <x:v>no screened path</x:v>
      </x:c>
      <x:c r="J1212" s="27" t="str">
        <x:v>presence does not prove operability or capacity</x:v>
      </x:c>
    </x:row>
    <x:row r="1213" ht="54" hidden="0" customHeight="1">
      <x:c r="A1213" s="29" t="str">
        <x:v>SCA-10</x:v>
      </x:c>
      <x:c r="B1213" s="29" t="str">
        <x:v>SCA-25</x:v>
      </x:c>
      <x:c r="C1213" s="29" t="str">
        <x:v>Road</x:v>
      </x:c>
      <x:c r="D1213" s="29" t="str">
        <x:v>YES</x:v>
      </x:c>
      <x:c r="E1213" s="29" t="str">
        <x:v>YES</x:v>
      </x:c>
      <x:c r="F1213" s="62" t="n">
        <x:v>3451.58406655894</x:v>
      </x:c>
      <x:c r="G1213" s="62" t="n">
        <x:v>82.75607393743527</x:v>
      </x:c>
      <x:c r="H1213" s="29" t="str">
        <x:v>NO</x:v>
      </x:c>
      <x:c r="I1213" s="29" t="str">
        <x:v>NHPN-gated shared-boundary SCA path</x:v>
      </x:c>
      <x:c r="J1213" s="29" t="str">
        <x:v>presence does not prove operability or capacity</x:v>
      </x:c>
    </x:row>
    <x:row r="1214" ht="64.80000305175781" hidden="0" customHeight="1">
      <x:c r="A1214" s="27" t="str">
        <x:v>SCA-10</x:v>
      </x:c>
      <x:c r="B1214" s="27" t="str">
        <x:v>SCA-25</x:v>
      </x:c>
      <x:c r="C1214" s="27" t="str">
        <x:v>Rail</x:v>
      </x:c>
      <x:c r="D1214" s="27" t="str">
        <x:v>YES</x:v>
      </x:c>
      <x:c r="E1214" s="27" t="str">
        <x:v>YES</x:v>
      </x:c>
      <x:c r="F1214" s="61" t="n">
        <x:v>3661.680488001659</x:v>
      </x:c>
      <x:c r="G1214" s="61" t="n">
        <x:v>78.30972125716656</x:v>
      </x:c>
      <x:c r="H1214" s="27" t="str">
        <x:v>NO</x:v>
      </x:c>
      <x:c r="I1214" s="27" t="str">
        <x:v>NARN shared-node topology; deployable terminal required</x:v>
      </x:c>
      <x:c r="J1214" s="27" t="str">
        <x:v>presence does not prove operability or capacity</x:v>
      </x:c>
    </x:row>
    <x:row r="1215" ht="54" hidden="0" customHeight="1">
      <x:c r="A1215" s="29" t="str">
        <x:v>SCA-10</x:v>
      </x:c>
      <x:c r="B1215" s="29" t="str">
        <x:v>SCA-25</x:v>
      </x:c>
      <x:c r="C1215" s="29" t="str">
        <x:v>Air</x:v>
      </x:c>
      <x:c r="D1215" s="29" t="str">
        <x:v>YES</x:v>
      </x:c>
      <x:c r="E1215" s="29" t="str">
        <x:v>YES</x:v>
      </x:c>
      <x:c r="F1215" s="62" t="n">
        <x:v>2875.9554216856936</x:v>
      </x:c>
      <x:c r="G1215" s="62" t="n">
        <x:v>28.424546802593376</x:v>
      </x:c>
      <x:c r="H1215" s="29" t="str">
        <x:v>YES</x:v>
      </x:c>
      <x:c r="I1215" s="29" t="str">
        <x:v>primary-airport endpoints; great-circle screen</x:v>
      </x:c>
      <x:c r="J1215" s="29" t="str">
        <x:v>presence does not prove operability or capacity</x:v>
      </x:c>
    </x:row>
    <x:row r="1216" ht="54" hidden="0" customHeight="1">
      <x:c r="A1216" s="27" t="str">
        <x:v>SCA-10</x:v>
      </x:c>
      <x:c r="B1216" s="27" t="str">
        <x:v>SCA-25</x:v>
      </x:c>
      <x:c r="C1216" s="27" t="str">
        <x:v>Water</x:v>
      </x:c>
      <x:c r="D1216" s="27" t="str">
        <x:v>NO</x:v>
      </x:c>
      <x:c r="E1216" s="27" t="str">
        <x:v>NO</x:v>
      </x:c>
      <x:c r="F1216" s="61"/>
      <x:c r="G1216" s="61"/>
      <x:c r="H1216" s="27" t="str">
        <x:v>NO</x:v>
      </x:c>
      <x:c r="I1216" s="27" t="str">
        <x:v>no screened path</x:v>
      </x:c>
      <x:c r="J1216" s="27" t="str">
        <x:v>presence does not prove operability or capacity</x:v>
      </x:c>
    </x:row>
    <x:row r="1217" ht="54" hidden="0" customHeight="1">
      <x:c r="A1217" s="29" t="str">
        <x:v>SCA-10</x:v>
      </x:c>
      <x:c r="B1217" s="29" t="str">
        <x:v>SCA-26</x:v>
      </x:c>
      <x:c r="C1217" s="29" t="str">
        <x:v>Road</x:v>
      </x:c>
      <x:c r="D1217" s="29" t="str">
        <x:v>YES</x:v>
      </x:c>
      <x:c r="E1217" s="29" t="str">
        <x:v>YES</x:v>
      </x:c>
      <x:c r="F1217" s="62" t="n">
        <x:v>3780.0835223237623</x:v>
      </x:c>
      <x:c r="G1217" s="62" t="n">
        <x:v>88.7287913149775</x:v>
      </x:c>
      <x:c r="H1217" s="29" t="str">
        <x:v>NO</x:v>
      </x:c>
      <x:c r="I1217" s="29" t="str">
        <x:v>NHPN-gated shared-boundary SCA path</x:v>
      </x:c>
      <x:c r="J1217" s="29" t="str">
        <x:v>presence does not prove operability or capacity</x:v>
      </x:c>
    </x:row>
    <x:row r="1218" ht="64.80000305175781" hidden="0" customHeight="1">
      <x:c r="A1218" s="27" t="str">
        <x:v>SCA-10</x:v>
      </x:c>
      <x:c r="B1218" s="27" t="str">
        <x:v>SCA-26</x:v>
      </x:c>
      <x:c r="C1218" s="27" t="str">
        <x:v>Rail</x:v>
      </x:c>
      <x:c r="D1218" s="27" t="str">
        <x:v>YES</x:v>
      </x:c>
      <x:c r="E1218" s="27" t="str">
        <x:v>YES</x:v>
      </x:c>
      <x:c r="F1218" s="61" t="n">
        <x:v>4010.175562813035</x:v>
      </x:c>
      <x:c r="G1218" s="61" t="n">
        <x:v>83.2882223259005</x:v>
      </x:c>
      <x:c r="H1218" s="27" t="str">
        <x:v>NO</x:v>
      </x:c>
      <x:c r="I1218" s="27" t="str">
        <x:v>NARN shared-node topology; deployable terminal required</x:v>
      </x:c>
      <x:c r="J1218" s="27" t="str">
        <x:v>presence does not prove operability or capacity</x:v>
      </x:c>
    </x:row>
    <x:row r="1219" ht="54" hidden="0" customHeight="1">
      <x:c r="A1219" s="29" t="str">
        <x:v>SCA-10</x:v>
      </x:c>
      <x:c r="B1219" s="29" t="str">
        <x:v>SCA-26</x:v>
      </x:c>
      <x:c r="C1219" s="29" t="str">
        <x:v>Air</x:v>
      </x:c>
      <x:c r="D1219" s="29" t="str">
        <x:v>YES</x:v>
      </x:c>
      <x:c r="E1219" s="29" t="str">
        <x:v>YES</x:v>
      </x:c>
      <x:c r="F1219" s="62" t="n">
        <x:v>3055.974602205375</x:v>
      </x:c>
      <x:c r="G1219" s="62" t="n">
        <x:v>28.70149938800827</x:v>
      </x:c>
      <x:c r="H1219" s="29" t="str">
        <x:v>YES</x:v>
      </x:c>
      <x:c r="I1219" s="29" t="str">
        <x:v>primary-airport endpoints; great-circle screen</x:v>
      </x:c>
      <x:c r="J1219" s="29" t="str">
        <x:v>presence does not prove operability or capacity</x:v>
      </x:c>
    </x:row>
    <x:row r="1220" ht="54" hidden="0" customHeight="1">
      <x:c r="A1220" s="27" t="str">
        <x:v>SCA-10</x:v>
      </x:c>
      <x:c r="B1220" s="27" t="str">
        <x:v>SCA-26</x:v>
      </x:c>
      <x:c r="C1220" s="27" t="str">
        <x:v>Water</x:v>
      </x:c>
      <x:c r="D1220" s="27" t="str">
        <x:v>NO</x:v>
      </x:c>
      <x:c r="E1220" s="27" t="str">
        <x:v>NO</x:v>
      </x:c>
      <x:c r="F1220" s="61"/>
      <x:c r="G1220" s="61"/>
      <x:c r="H1220" s="27" t="str">
        <x:v>NO</x:v>
      </x:c>
      <x:c r="I1220" s="27" t="str">
        <x:v>no screened path</x:v>
      </x:c>
      <x:c r="J1220" s="27" t="str">
        <x:v>presence does not prove operability or capacity</x:v>
      </x:c>
    </x:row>
    <x:row r="1221" ht="54" hidden="0" customHeight="1">
      <x:c r="A1221" s="29" t="str">
        <x:v>SCA-10</x:v>
      </x:c>
      <x:c r="B1221" s="29" t="str">
        <x:v>SCA-27</x:v>
      </x:c>
      <x:c r="C1221" s="29" t="str">
        <x:v>Road</x:v>
      </x:c>
      <x:c r="D1221" s="29" t="str">
        <x:v>YES</x:v>
      </x:c>
      <x:c r="E1221" s="29" t="str">
        <x:v>YES</x:v>
      </x:c>
      <x:c r="F1221" s="62" t="n">
        <x:v>4059.7117864433108</x:v>
      </x:c>
      <x:c r="G1221" s="62" t="n">
        <x:v>93.81294157169656</x:v>
      </x:c>
      <x:c r="H1221" s="29" t="str">
        <x:v>NO</x:v>
      </x:c>
      <x:c r="I1221" s="29" t="str">
        <x:v>NHPN-gated shared-boundary SCA path</x:v>
      </x:c>
      <x:c r="J1221" s="29" t="str">
        <x:v>presence does not prove operability or capacity</x:v>
      </x:c>
    </x:row>
    <x:row r="1222" ht="64.80000305175781" hidden="0" customHeight="1">
      <x:c r="A1222" s="27" t="str">
        <x:v>SCA-10</x:v>
      </x:c>
      <x:c r="B1222" s="27" t="str">
        <x:v>SCA-27</x:v>
      </x:c>
      <x:c r="C1222" s="27" t="str">
        <x:v>Rail</x:v>
      </x:c>
      <x:c r="D1222" s="27" t="str">
        <x:v>YES</x:v>
      </x:c>
      <x:c r="E1222" s="27" t="str">
        <x:v>YES</x:v>
      </x:c>
      <x:c r="F1222" s="61" t="n">
        <x:v>4306.824677792035</x:v>
      </x:c>
      <x:c r="G1222" s="61" t="n">
        <x:v>87.52606682560051</x:v>
      </x:c>
      <x:c r="H1222" s="27" t="str">
        <x:v>NO</x:v>
      </x:c>
      <x:c r="I1222" s="27" t="str">
        <x:v>NARN shared-node topology; deployable terminal required</x:v>
      </x:c>
      <x:c r="J1222" s="27" t="str">
        <x:v>presence does not prove operability or capacity</x:v>
      </x:c>
    </x:row>
    <x:row r="1223" ht="54" hidden="0" customHeight="1">
      <x:c r="A1223" s="29" t="str">
        <x:v>SCA-10</x:v>
      </x:c>
      <x:c r="B1223" s="29" t="str">
        <x:v>SCA-27</x:v>
      </x:c>
      <x:c r="C1223" s="29" t="str">
        <x:v>Air</x:v>
      </x:c>
      <x:c r="D1223" s="29" t="str">
        <x:v>YES</x:v>
      </x:c>
      <x:c r="E1223" s="29" t="str">
        <x:v>YES</x:v>
      </x:c>
      <x:c r="F1223" s="62" t="n">
        <x:v>3285.8595015823394</x:v>
      </x:c>
      <x:c r="G1223" s="62" t="n">
        <x:v>29.05516846397283</x:v>
      </x:c>
      <x:c r="H1223" s="29" t="str">
        <x:v>YES</x:v>
      </x:c>
      <x:c r="I1223" s="29" t="str">
        <x:v>primary-airport endpoints; great-circle screen</x:v>
      </x:c>
      <x:c r="J1223" s="29" t="str">
        <x:v>presence does not prove operability or capacity</x:v>
      </x:c>
    </x:row>
    <x:row r="1224" ht="54" hidden="0" customHeight="1">
      <x:c r="A1224" s="27" t="str">
        <x:v>SCA-10</x:v>
      </x:c>
      <x:c r="B1224" s="27" t="str">
        <x:v>SCA-27</x:v>
      </x:c>
      <x:c r="C1224" s="27" t="str">
        <x:v>Water</x:v>
      </x:c>
      <x:c r="D1224" s="27" t="str">
        <x:v>NO</x:v>
      </x:c>
      <x:c r="E1224" s="27" t="str">
        <x:v>NO</x:v>
      </x:c>
      <x:c r="F1224" s="61"/>
      <x:c r="G1224" s="61"/>
      <x:c r="H1224" s="27" t="str">
        <x:v>NO</x:v>
      </x:c>
      <x:c r="I1224" s="27" t="str">
        <x:v>no screened path</x:v>
      </x:c>
      <x:c r="J1224" s="27" t="str">
        <x:v>presence does not prove operability or capacity</x:v>
      </x:c>
    </x:row>
    <x:row r="1225" ht="54" hidden="0" customHeight="1">
      <x:c r="A1225" s="29" t="str">
        <x:v>SCA-10</x:v>
      </x:c>
      <x:c r="B1225" s="29" t="str">
        <x:v>SCA-28</x:v>
      </x:c>
      <x:c r="C1225" s="29" t="str">
        <x:v>Road</x:v>
      </x:c>
      <x:c r="D1225" s="29" t="str">
        <x:v>YES</x:v>
      </x:c>
      <x:c r="E1225" s="29" t="str">
        <x:v>YES</x:v>
      </x:c>
      <x:c r="F1225" s="62" t="n">
        <x:v>3292.097984293226</x:v>
      </x:c>
      <x:c r="G1225" s="62" t="n">
        <x:v>79.85632698714957</x:v>
      </x:c>
      <x:c r="H1225" s="29" t="str">
        <x:v>NO</x:v>
      </x:c>
      <x:c r="I1225" s="29" t="str">
        <x:v>NHPN-gated shared-boundary SCA path</x:v>
      </x:c>
      <x:c r="J1225" s="29" t="str">
        <x:v>presence does not prove operability or capacity</x:v>
      </x:c>
    </x:row>
    <x:row r="1226" ht="64.80000305175781" hidden="0" customHeight="1">
      <x:c r="A1226" s="27" t="str">
        <x:v>SCA-10</x:v>
      </x:c>
      <x:c r="B1226" s="27" t="str">
        <x:v>SCA-28</x:v>
      </x:c>
      <x:c r="C1226" s="27" t="str">
        <x:v>Rail</x:v>
      </x:c>
      <x:c r="D1226" s="27" t="str">
        <x:v>YES</x:v>
      </x:c>
      <x:c r="E1226" s="27" t="str">
        <x:v>YES</x:v>
      </x:c>
      <x:c r="F1226" s="61" t="n">
        <x:v>3492.486557250206</x:v>
      </x:c>
      <x:c r="G1226" s="61" t="n">
        <x:v>75.89266510357436</x:v>
      </x:c>
      <x:c r="H1226" s="27" t="str">
        <x:v>NO</x:v>
      </x:c>
      <x:c r="I1226" s="27" t="str">
        <x:v>NARN shared-node topology; deployable terminal required</x:v>
      </x:c>
      <x:c r="J1226" s="27" t="str">
        <x:v>presence does not prove operability or capacity</x:v>
      </x:c>
    </x:row>
    <x:row r="1227" ht="54" hidden="0" customHeight="1">
      <x:c r="A1227" s="29" t="str">
        <x:v>SCA-10</x:v>
      </x:c>
      <x:c r="B1227" s="29" t="str">
        <x:v>SCA-28</x:v>
      </x:c>
      <x:c r="C1227" s="29" t="str">
        <x:v>Air</x:v>
      </x:c>
      <x:c r="D1227" s="29" t="str">
        <x:v>YES</x:v>
      </x:c>
      <x:c r="E1227" s="29" t="str">
        <x:v>YES</x:v>
      </x:c>
      <x:c r="F1227" s="62" t="n">
        <x:v>2678.2991747775727</x:v>
      </x:c>
      <x:c r="G1227" s="62" t="n">
        <x:v>28.12046026888857</x:v>
      </x:c>
      <x:c r="H1227" s="29" t="str">
        <x:v>YES</x:v>
      </x:c>
      <x:c r="I1227" s="29" t="str">
        <x:v>primary-airport endpoints; great-circle screen</x:v>
      </x:c>
      <x:c r="J1227" s="29" t="str">
        <x:v>presence does not prove operability or capacity</x:v>
      </x:c>
    </x:row>
    <x:row r="1228" ht="54" hidden="0" customHeight="1">
      <x:c r="A1228" s="27" t="str">
        <x:v>SCA-10</x:v>
      </x:c>
      <x:c r="B1228" s="27" t="str">
        <x:v>SCA-28</x:v>
      </x:c>
      <x:c r="C1228" s="27" t="str">
        <x:v>Water</x:v>
      </x:c>
      <x:c r="D1228" s="27" t="str">
        <x:v>NO</x:v>
      </x:c>
      <x:c r="E1228" s="27" t="str">
        <x:v>NO</x:v>
      </x:c>
      <x:c r="F1228" s="61"/>
      <x:c r="G1228" s="61"/>
      <x:c r="H1228" s="27" t="str">
        <x:v>NO</x:v>
      </x:c>
      <x:c r="I1228" s="27" t="str">
        <x:v>no screened path</x:v>
      </x:c>
      <x:c r="J1228" s="27" t="str">
        <x:v>presence does not prove operability or capacity</x:v>
      </x:c>
    </x:row>
    <x:row r="1229" ht="54" hidden="0" customHeight="1">
      <x:c r="A1229" s="29" t="str">
        <x:v>SCA-10</x:v>
      </x:c>
      <x:c r="B1229" s="29" t="str">
        <x:v>SCA-29</x:v>
      </x:c>
      <x:c r="C1229" s="29" t="str">
        <x:v>Road</x:v>
      </x:c>
      <x:c r="D1229" s="29" t="str">
        <x:v>YES</x:v>
      </x:c>
      <x:c r="E1229" s="29" t="str">
        <x:v>YES</x:v>
      </x:c>
      <x:c r="F1229" s="62" t="n">
        <x:v>3364.9855337430326</x:v>
      </x:c>
      <x:c r="G1229" s="62" t="n">
        <x:v>81.18155515896423</x:v>
      </x:c>
      <x:c r="H1229" s="29" t="str">
        <x:v>NO</x:v>
      </x:c>
      <x:c r="I1229" s="29" t="str">
        <x:v>NHPN-gated shared-boundary SCA path</x:v>
      </x:c>
      <x:c r="J1229" s="29" t="str">
        <x:v>presence does not prove operability or capacity</x:v>
      </x:c>
    </x:row>
    <x:row r="1230" ht="64.80000305175781" hidden="0" customHeight="1">
      <x:c r="A1230" s="27" t="str">
        <x:v>SCA-10</x:v>
      </x:c>
      <x:c r="B1230" s="27" t="str">
        <x:v>SCA-29</x:v>
      </x:c>
      <x:c r="C1230" s="27" t="str">
        <x:v>Rail</x:v>
      </x:c>
      <x:c r="D1230" s="27" t="str">
        <x:v>YES</x:v>
      </x:c>
      <x:c r="E1230" s="27" t="str">
        <x:v>YES</x:v>
      </x:c>
      <x:c r="F1230" s="61" t="n">
        <x:v>3569.8107401447824</x:v>
      </x:c>
      <x:c r="G1230" s="61" t="n">
        <x:v>76.9972962877826</x:v>
      </x:c>
      <x:c r="H1230" s="27" t="str">
        <x:v>NO</x:v>
      </x:c>
      <x:c r="I1230" s="27" t="str">
        <x:v>NARN shared-node topology; deployable terminal required</x:v>
      </x:c>
      <x:c r="J1230" s="27" t="str">
        <x:v>presence does not prove operability or capacity</x:v>
      </x:c>
    </x:row>
    <x:row r="1231" ht="54" hidden="0" customHeight="1">
      <x:c r="A1231" s="29" t="str">
        <x:v>SCA-10</x:v>
      </x:c>
      <x:c r="B1231" s="29" t="str">
        <x:v>SCA-29</x:v>
      </x:c>
      <x:c r="C1231" s="29" t="str">
        <x:v>Air</x:v>
      </x:c>
      <x:c r="D1231" s="29" t="str">
        <x:v>YES</x:v>
      </x:c>
      <x:c r="E1231" s="29" t="str">
        <x:v>YES</x:v>
      </x:c>
      <x:c r="F1231" s="62" t="n">
        <x:v>2855.110395556962</x:v>
      </x:c>
      <x:c r="G1231" s="62" t="n">
        <x:v>28.392477531626096</x:v>
      </x:c>
      <x:c r="H1231" s="29" t="str">
        <x:v>YES</x:v>
      </x:c>
      <x:c r="I1231" s="29" t="str">
        <x:v>primary-airport endpoints; great-circle screen</x:v>
      </x:c>
      <x:c r="J1231" s="29" t="str">
        <x:v>presence does not prove operability or capacity</x:v>
      </x:c>
    </x:row>
    <x:row r="1232" ht="54" hidden="0" customHeight="1">
      <x:c r="A1232" s="27" t="str">
        <x:v>SCA-10</x:v>
      </x:c>
      <x:c r="B1232" s="27" t="str">
        <x:v>SCA-29</x:v>
      </x:c>
      <x:c r="C1232" s="27" t="str">
        <x:v>Water</x:v>
      </x:c>
      <x:c r="D1232" s="27" t="str">
        <x:v>NO</x:v>
      </x:c>
      <x:c r="E1232" s="27" t="str">
        <x:v>NO</x:v>
      </x:c>
      <x:c r="F1232" s="61"/>
      <x:c r="G1232" s="61"/>
      <x:c r="H1232" s="27" t="str">
        <x:v>NO</x:v>
      </x:c>
      <x:c r="I1232" s="27" t="str">
        <x:v>no screened path</x:v>
      </x:c>
      <x:c r="J1232" s="27" t="str">
        <x:v>presence does not prove operability or capacity</x:v>
      </x:c>
    </x:row>
    <x:row r="1233" ht="54" hidden="0" customHeight="1">
      <x:c r="A1233" s="29" t="str">
        <x:v>SCA-10</x:v>
      </x:c>
      <x:c r="B1233" s="29" t="str">
        <x:v>SCA-30</x:v>
      </x:c>
      <x:c r="C1233" s="29" t="str">
        <x:v>Road</x:v>
      </x:c>
      <x:c r="D1233" s="29" t="str">
        <x:v>YES</x:v>
      </x:c>
      <x:c r="E1233" s="29" t="str">
        <x:v>YES</x:v>
      </x:c>
      <x:c r="F1233" s="62" t="n">
        <x:v>3755.661700224466</x:v>
      </x:c>
      <x:c r="G1233" s="62" t="n">
        <x:v>88.28475818589938</x:v>
      </x:c>
      <x:c r="H1233" s="29" t="str">
        <x:v>NO</x:v>
      </x:c>
      <x:c r="I1233" s="29" t="str">
        <x:v>NHPN-gated shared-boundary SCA path</x:v>
      </x:c>
      <x:c r="J1233" s="29" t="str">
        <x:v>presence does not prove operability or capacity</x:v>
      </x:c>
    </x:row>
    <x:row r="1234" ht="64.80000305175781" hidden="0" customHeight="1">
      <x:c r="A1234" s="27" t="str">
        <x:v>SCA-10</x:v>
      </x:c>
      <x:c r="B1234" s="27" t="str">
        <x:v>SCA-30</x:v>
      </x:c>
      <x:c r="C1234" s="27" t="str">
        <x:v>Rail</x:v>
      </x:c>
      <x:c r="D1234" s="27" t="str">
        <x:v>YES</x:v>
      </x:c>
      <x:c r="E1234" s="27" t="str">
        <x:v>YES</x:v>
      </x:c>
      <x:c r="F1234" s="61" t="n">
        <x:v>3984.2671950207387</x:v>
      </x:c>
      <x:c r="G1234" s="61" t="n">
        <x:v>82.91810278601055</x:v>
      </x:c>
      <x:c r="H1234" s="27" t="str">
        <x:v>NO</x:v>
      </x:c>
      <x:c r="I1234" s="27" t="str">
        <x:v>NARN shared-node topology; deployable terminal required</x:v>
      </x:c>
      <x:c r="J1234" s="27" t="str">
        <x:v>presence does not prove operability or capacity</x:v>
      </x:c>
    </x:row>
    <x:row r="1235" ht="54" hidden="0" customHeight="1">
      <x:c r="A1235" s="29" t="str">
        <x:v>SCA-10</x:v>
      </x:c>
      <x:c r="B1235" s="29" t="str">
        <x:v>SCA-30</x:v>
      </x:c>
      <x:c r="C1235" s="29" t="str">
        <x:v>Air</x:v>
      </x:c>
      <x:c r="D1235" s="29" t="str">
        <x:v>YES</x:v>
      </x:c>
      <x:c r="E1235" s="29" t="str">
        <x:v>YES</x:v>
      </x:c>
      <x:c r="F1235" s="62" t="n">
        <x:v>3064.2245715024187</x:v>
      </x:c>
      <x:c r="G1235" s="62" t="n">
        <x:v>28.71419164846526</x:v>
      </x:c>
      <x:c r="H1235" s="29" t="str">
        <x:v>YES</x:v>
      </x:c>
      <x:c r="I1235" s="29" t="str">
        <x:v>primary-airport endpoints; great-circle screen</x:v>
      </x:c>
      <x:c r="J1235" s="29" t="str">
        <x:v>presence does not prove operability or capacity</x:v>
      </x:c>
    </x:row>
    <x:row r="1236" ht="54" hidden="0" customHeight="1">
      <x:c r="A1236" s="27" t="str">
        <x:v>SCA-10</x:v>
      </x:c>
      <x:c r="B1236" s="27" t="str">
        <x:v>SCA-30</x:v>
      </x:c>
      <x:c r="C1236" s="27" t="str">
        <x:v>Water</x:v>
      </x:c>
      <x:c r="D1236" s="27" t="str">
        <x:v>NO</x:v>
      </x:c>
      <x:c r="E1236" s="27" t="str">
        <x:v>NO</x:v>
      </x:c>
      <x:c r="F1236" s="61"/>
      <x:c r="G1236" s="61"/>
      <x:c r="H1236" s="27" t="str">
        <x:v>NO</x:v>
      </x:c>
      <x:c r="I1236" s="27" t="str">
        <x:v>no screened path</x:v>
      </x:c>
      <x:c r="J1236" s="27" t="str">
        <x:v>presence does not prove operability or capacity</x:v>
      </x:c>
    </x:row>
    <x:row r="1237" ht="54" hidden="0" customHeight="1">
      <x:c r="A1237" s="29" t="str">
        <x:v>SCA-10</x:v>
      </x:c>
      <x:c r="B1237" s="29" t="str">
        <x:v>SCA-31</x:v>
      </x:c>
      <x:c r="C1237" s="29" t="str">
        <x:v>Road</x:v>
      </x:c>
      <x:c r="D1237" s="29" t="str">
        <x:v>YES</x:v>
      </x:c>
      <x:c r="E1237" s="29" t="str">
        <x:v>YES</x:v>
      </x:c>
      <x:c r="F1237" s="62" t="n">
        <x:v>4148.743845410972</x:v>
      </x:c>
      <x:c r="G1237" s="62" t="n">
        <x:v>95.43170628019949</x:v>
      </x:c>
      <x:c r="H1237" s="29" t="str">
        <x:v>NO</x:v>
      </x:c>
      <x:c r="I1237" s="29" t="str">
        <x:v>NHPN-gated shared-boundary SCA path</x:v>
      </x:c>
      <x:c r="J1237" s="29" t="str">
        <x:v>presence does not prove operability or capacity</x:v>
      </x:c>
    </x:row>
    <x:row r="1238" ht="64.80000305175781" hidden="0" customHeight="1">
      <x:c r="A1238" s="27" t="str">
        <x:v>SCA-10</x:v>
      </x:c>
      <x:c r="B1238" s="27" t="str">
        <x:v>SCA-31</x:v>
      </x:c>
      <x:c r="C1238" s="27" t="str">
        <x:v>Rail</x:v>
      </x:c>
      <x:c r="D1238" s="27" t="str">
        <x:v>YES</x:v>
      </x:c>
      <x:c r="E1238" s="27" t="str">
        <x:v>YES</x:v>
      </x:c>
      <x:c r="F1238" s="61" t="n">
        <x:v>4401.276079479467</x:v>
      </x:c>
      <x:c r="G1238" s="61" t="n">
        <x:v>88.87537256399239</x:v>
      </x:c>
      <x:c r="H1238" s="27" t="str">
        <x:v>NO</x:v>
      </x:c>
      <x:c r="I1238" s="27" t="str">
        <x:v>NARN shared-node topology; deployable terminal required</x:v>
      </x:c>
      <x:c r="J1238" s="27" t="str">
        <x:v>presence does not prove operability or capacity</x:v>
      </x:c>
    </x:row>
    <x:row r="1239" ht="54" hidden="0" customHeight="1">
      <x:c r="A1239" s="29" t="str">
        <x:v>SCA-10</x:v>
      </x:c>
      <x:c r="B1239" s="29" t="str">
        <x:v>SCA-31</x:v>
      </x:c>
      <x:c r="C1239" s="29" t="str">
        <x:v>Air</x:v>
      </x:c>
      <x:c r="D1239" s="29" t="str">
        <x:v>YES</x:v>
      </x:c>
      <x:c r="E1239" s="29" t="str">
        <x:v>YES</x:v>
      </x:c>
      <x:c r="F1239" s="62" t="n">
        <x:v>3261.1490783430354</x:v>
      </x:c>
      <x:c r="G1239" s="62" t="n">
        <x:v>29.017152428220054</x:v>
      </x:c>
      <x:c r="H1239" s="29" t="str">
        <x:v>YES</x:v>
      </x:c>
      <x:c r="I1239" s="29" t="str">
        <x:v>primary-airport endpoints; great-circle screen</x:v>
      </x:c>
      <x:c r="J1239" s="29" t="str">
        <x:v>presence does not prove operability or capacity</x:v>
      </x:c>
    </x:row>
    <x:row r="1240" ht="54" hidden="0" customHeight="1">
      <x:c r="A1240" s="27" t="str">
        <x:v>SCA-10</x:v>
      </x:c>
      <x:c r="B1240" s="27" t="str">
        <x:v>SCA-31</x:v>
      </x:c>
      <x:c r="C1240" s="27" t="str">
        <x:v>Water</x:v>
      </x:c>
      <x:c r="D1240" s="27" t="str">
        <x:v>NO</x:v>
      </x:c>
      <x:c r="E1240" s="27" t="str">
        <x:v>NO</x:v>
      </x:c>
      <x:c r="F1240" s="61"/>
      <x:c r="G1240" s="61"/>
      <x:c r="H1240" s="27" t="str">
        <x:v>NO</x:v>
      </x:c>
      <x:c r="I1240" s="27" t="str">
        <x:v>no screened path</x:v>
      </x:c>
      <x:c r="J1240" s="27" t="str">
        <x:v>presence does not prove operability or capacity</x:v>
      </x:c>
    </x:row>
    <x:row r="1241" ht="54" hidden="0" customHeight="1">
      <x:c r="A1241" s="29" t="str">
        <x:v>SCA-10</x:v>
      </x:c>
      <x:c r="B1241" s="29" t="str">
        <x:v>SCA-32</x:v>
      </x:c>
      <x:c r="C1241" s="29" t="str">
        <x:v>Road</x:v>
      </x:c>
      <x:c r="D1241" s="29" t="str">
        <x:v>NO</x:v>
      </x:c>
      <x:c r="E1241" s="29" t="str">
        <x:v>NO</x:v>
      </x:c>
      <x:c r="F1241" s="62"/>
      <x:c r="G1241" s="62"/>
      <x:c r="H1241" s="29" t="str">
        <x:v>NO</x:v>
      </x:c>
      <x:c r="I1241" s="29" t="str">
        <x:v>no screened path</x:v>
      </x:c>
      <x:c r="J1241" s="29" t="str">
        <x:v>presence does not prove operability or capacity</x:v>
      </x:c>
    </x:row>
    <x:row r="1242" ht="54" hidden="0" customHeight="1">
      <x:c r="A1242" s="27" t="str">
        <x:v>SCA-10</x:v>
      </x:c>
      <x:c r="B1242" s="27" t="str">
        <x:v>SCA-32</x:v>
      </x:c>
      <x:c r="C1242" s="27" t="str">
        <x:v>Rail</x:v>
      </x:c>
      <x:c r="D1242" s="27" t="str">
        <x:v>NO</x:v>
      </x:c>
      <x:c r="E1242" s="27" t="str">
        <x:v>NO</x:v>
      </x:c>
      <x:c r="F1242" s="61"/>
      <x:c r="G1242" s="61"/>
      <x:c r="H1242" s="27" t="str">
        <x:v>NO</x:v>
      </x:c>
      <x:c r="I1242" s="27" t="str">
        <x:v>no screened path</x:v>
      </x:c>
      <x:c r="J1242" s="27" t="str">
        <x:v>presence does not prove operability or capacity</x:v>
      </x:c>
    </x:row>
    <x:row r="1243" ht="54" hidden="0" customHeight="1">
      <x:c r="A1243" s="29" t="str">
        <x:v>SCA-10</x:v>
      </x:c>
      <x:c r="B1243" s="29" t="str">
        <x:v>SCA-32</x:v>
      </x:c>
      <x:c r="C1243" s="29" t="str">
        <x:v>Air</x:v>
      </x:c>
      <x:c r="D1243" s="29" t="str">
        <x:v>YES</x:v>
      </x:c>
      <x:c r="E1243" s="29" t="str">
        <x:v>YES</x:v>
      </x:c>
      <x:c r="F1243" s="62" t="n">
        <x:v>4965.747446720717</x:v>
      </x:c>
      <x:c r="G1243" s="62" t="n">
        <x:v>31.639611456493412</x:v>
      </x:c>
      <x:c r="H1243" s="29" t="str">
        <x:v>YES</x:v>
      </x:c>
      <x:c r="I1243" s="29" t="str">
        <x:v>primary-airport endpoints; great-circle screen</x:v>
      </x:c>
      <x:c r="J1243" s="29" t="str">
        <x:v>presence does not prove operability or capacity</x:v>
      </x:c>
    </x:row>
    <x:row r="1244" ht="54" hidden="0" customHeight="1">
      <x:c r="A1244" s="27" t="str">
        <x:v>SCA-10</x:v>
      </x:c>
      <x:c r="B1244" s="27" t="str">
        <x:v>SCA-32</x:v>
      </x:c>
      <x:c r="C1244" s="27" t="str">
        <x:v>Water</x:v>
      </x:c>
      <x:c r="D1244" s="27" t="str">
        <x:v>NO</x:v>
      </x:c>
      <x:c r="E1244" s="27" t="str">
        <x:v>NO</x:v>
      </x:c>
      <x:c r="F1244" s="61"/>
      <x:c r="G1244" s="61"/>
      <x:c r="H1244" s="27" t="str">
        <x:v>NO</x:v>
      </x:c>
      <x:c r="I1244" s="27" t="str">
        <x:v>no screened path</x:v>
      </x:c>
      <x:c r="J1244" s="27" t="str">
        <x:v>presence does not prove operability or capacity</x:v>
      </x:c>
    </x:row>
    <x:row r="1245" ht="54" hidden="0" customHeight="1">
      <x:c r="A1245" s="29" t="str">
        <x:v>SCA-11</x:v>
      </x:c>
      <x:c r="B1245" s="29" t="str">
        <x:v>SCA-01</x:v>
      </x:c>
      <x:c r="C1245" s="29" t="str">
        <x:v>Road</x:v>
      </x:c>
      <x:c r="D1245" s="29" t="str">
        <x:v>NO</x:v>
      </x:c>
      <x:c r="E1245" s="29" t="str">
        <x:v>NO</x:v>
      </x:c>
      <x:c r="F1245" s="62"/>
      <x:c r="G1245" s="62"/>
      <x:c r="H1245" s="29" t="str">
        <x:v>NO</x:v>
      </x:c>
      <x:c r="I1245" s="29" t="str">
        <x:v>no screened path</x:v>
      </x:c>
      <x:c r="J1245" s="29" t="str">
        <x:v>presence does not prove operability or capacity</x:v>
      </x:c>
    </x:row>
    <x:row r="1246" ht="54" hidden="0" customHeight="1">
      <x:c r="A1246" s="27" t="str">
        <x:v>SCA-11</x:v>
      </x:c>
      <x:c r="B1246" s="27" t="str">
        <x:v>SCA-01</x:v>
      </x:c>
      <x:c r="C1246" s="27" t="str">
        <x:v>Rail</x:v>
      </x:c>
      <x:c r="D1246" s="27" t="str">
        <x:v>NO</x:v>
      </x:c>
      <x:c r="E1246" s="27" t="str">
        <x:v>NO</x:v>
      </x:c>
      <x:c r="F1246" s="61"/>
      <x:c r="G1246" s="61"/>
      <x:c r="H1246" s="27" t="str">
        <x:v>NO</x:v>
      </x:c>
      <x:c r="I1246" s="27" t="str">
        <x:v>no screened path</x:v>
      </x:c>
      <x:c r="J1246" s="27" t="str">
        <x:v>presence does not prove operability or capacity</x:v>
      </x:c>
    </x:row>
    <x:row r="1247" ht="54" hidden="0" customHeight="1">
      <x:c r="A1247" s="29" t="str">
        <x:v>SCA-11</x:v>
      </x:c>
      <x:c r="B1247" s="29" t="str">
        <x:v>SCA-01</x:v>
      </x:c>
      <x:c r="C1247" s="29" t="str">
        <x:v>Air</x:v>
      </x:c>
      <x:c r="D1247" s="29" t="str">
        <x:v>YES</x:v>
      </x:c>
      <x:c r="E1247" s="29" t="str">
        <x:v>YES</x:v>
      </x:c>
      <x:c r="F1247" s="62" t="n">
        <x:v>5310.149123530014</x:v>
      </x:c>
      <x:c r="G1247" s="62" t="n">
        <x:v>32.16946019004617</x:v>
      </x:c>
      <x:c r="H1247" s="29" t="str">
        <x:v>YES</x:v>
      </x:c>
      <x:c r="I1247" s="29" t="str">
        <x:v>primary-airport endpoints; great-circle screen</x:v>
      </x:c>
      <x:c r="J1247" s="29" t="str">
        <x:v>presence does not prove operability or capacity</x:v>
      </x:c>
    </x:row>
    <x:row r="1248" ht="54" hidden="0" customHeight="1">
      <x:c r="A1248" s="27" t="str">
        <x:v>SCA-11</x:v>
      </x:c>
      <x:c r="B1248" s="27" t="str">
        <x:v>SCA-01</x:v>
      </x:c>
      <x:c r="C1248" s="27" t="str">
        <x:v>Water</x:v>
      </x:c>
      <x:c r="D1248" s="27" t="str">
        <x:v>NO</x:v>
      </x:c>
      <x:c r="E1248" s="27" t="str">
        <x:v>NO</x:v>
      </x:c>
      <x:c r="F1248" s="61"/>
      <x:c r="G1248" s="61"/>
      <x:c r="H1248" s="27" t="str">
        <x:v>NO</x:v>
      </x:c>
      <x:c r="I1248" s="27" t="str">
        <x:v>no screened path</x:v>
      </x:c>
      <x:c r="J1248" s="27" t="str">
        <x:v>presence does not prove operability or capacity</x:v>
      </x:c>
    </x:row>
    <x:row r="1249" ht="54" hidden="0" customHeight="1">
      <x:c r="A1249" s="29" t="str">
        <x:v>SCA-11</x:v>
      </x:c>
      <x:c r="B1249" s="29" t="str">
        <x:v>SCA-02</x:v>
      </x:c>
      <x:c r="C1249" s="29" t="str">
        <x:v>Road</x:v>
      </x:c>
      <x:c r="D1249" s="29" t="str">
        <x:v>NO</x:v>
      </x:c>
      <x:c r="E1249" s="29" t="str">
        <x:v>NO</x:v>
      </x:c>
      <x:c r="F1249" s="62"/>
      <x:c r="G1249" s="62"/>
      <x:c r="H1249" s="29" t="str">
        <x:v>NO</x:v>
      </x:c>
      <x:c r="I1249" s="29" t="str">
        <x:v>no screened path</x:v>
      </x:c>
      <x:c r="J1249" s="29" t="str">
        <x:v>presence does not prove operability or capacity</x:v>
      </x:c>
    </x:row>
    <x:row r="1250" ht="54" hidden="0" customHeight="1">
      <x:c r="A1250" s="27" t="str">
        <x:v>SCA-11</x:v>
      </x:c>
      <x:c r="B1250" s="27" t="str">
        <x:v>SCA-02</x:v>
      </x:c>
      <x:c r="C1250" s="27" t="str">
        <x:v>Rail</x:v>
      </x:c>
      <x:c r="D1250" s="27" t="str">
        <x:v>NO</x:v>
      </x:c>
      <x:c r="E1250" s="27" t="str">
        <x:v>NO</x:v>
      </x:c>
      <x:c r="F1250" s="61"/>
      <x:c r="G1250" s="61"/>
      <x:c r="H1250" s="27" t="str">
        <x:v>NO</x:v>
      </x:c>
      <x:c r="I1250" s="27" t="str">
        <x:v>no screened path</x:v>
      </x:c>
      <x:c r="J1250" s="27" t="str">
        <x:v>presence does not prove operability or capacity</x:v>
      </x:c>
    </x:row>
    <x:row r="1251" ht="54" hidden="0" customHeight="1">
      <x:c r="A1251" s="29" t="str">
        <x:v>SCA-11</x:v>
      </x:c>
      <x:c r="B1251" s="29" t="str">
        <x:v>SCA-02</x:v>
      </x:c>
      <x:c r="C1251" s="29" t="str">
        <x:v>Air</x:v>
      </x:c>
      <x:c r="D1251" s="29" t="str">
        <x:v>YES</x:v>
      </x:c>
      <x:c r="E1251" s="29" t="str">
        <x:v>YES</x:v>
      </x:c>
      <x:c r="F1251" s="62" t="n">
        <x:v>4286.898730560334</x:v>
      </x:c>
      <x:c r="G1251" s="62" t="n">
        <x:v>30.595228816246667</x:v>
      </x:c>
      <x:c r="H1251" s="29" t="str">
        <x:v>YES</x:v>
      </x:c>
      <x:c r="I1251" s="29" t="str">
        <x:v>primary-airport endpoints; great-circle screen</x:v>
      </x:c>
      <x:c r="J1251" s="29" t="str">
        <x:v>presence does not prove operability or capacity</x:v>
      </x:c>
    </x:row>
    <x:row r="1252" ht="54" hidden="0" customHeight="1">
      <x:c r="A1252" s="27" t="str">
        <x:v>SCA-11</x:v>
      </x:c>
      <x:c r="B1252" s="27" t="str">
        <x:v>SCA-02</x:v>
      </x:c>
      <x:c r="C1252" s="27" t="str">
        <x:v>Water</x:v>
      </x:c>
      <x:c r="D1252" s="27" t="str">
        <x:v>NO</x:v>
      </x:c>
      <x:c r="E1252" s="27" t="str">
        <x:v>NO</x:v>
      </x:c>
      <x:c r="F1252" s="61"/>
      <x:c r="G1252" s="61"/>
      <x:c r="H1252" s="27" t="str">
        <x:v>NO</x:v>
      </x:c>
      <x:c r="I1252" s="27" t="str">
        <x:v>no screened path</x:v>
      </x:c>
      <x:c r="J1252" s="27" t="str">
        <x:v>presence does not prove operability or capacity</x:v>
      </x:c>
    </x:row>
    <x:row r="1253" ht="54" hidden="0" customHeight="1">
      <x:c r="A1253" s="29" t="str">
        <x:v>SCA-11</x:v>
      </x:c>
      <x:c r="B1253" s="29" t="str">
        <x:v>SCA-03</x:v>
      </x:c>
      <x:c r="C1253" s="29" t="str">
        <x:v>Road</x:v>
      </x:c>
      <x:c r="D1253" s="29" t="str">
        <x:v>YES</x:v>
      </x:c>
      <x:c r="E1253" s="29" t="str">
        <x:v>YES</x:v>
      </x:c>
      <x:c r="F1253" s="62" t="n">
        <x:v>2616.628455754896</x:v>
      </x:c>
      <x:c r="G1253" s="62" t="n">
        <x:v>67.5750628319072</x:v>
      </x:c>
      <x:c r="H1253" s="29" t="str">
        <x:v>YES</x:v>
      </x:c>
      <x:c r="I1253" s="29" t="str">
        <x:v>NHPN-gated shared-boundary SCA path</x:v>
      </x:c>
      <x:c r="J1253" s="29" t="str">
        <x:v>presence does not prove operability or capacity</x:v>
      </x:c>
    </x:row>
    <x:row r="1254" ht="64.80000305175781" hidden="0" customHeight="1">
      <x:c r="A1254" s="27" t="str">
        <x:v>SCA-11</x:v>
      </x:c>
      <x:c r="B1254" s="27" t="str">
        <x:v>SCA-03</x:v>
      </x:c>
      <x:c r="C1254" s="27" t="str">
        <x:v>Rail</x:v>
      </x:c>
      <x:c r="D1254" s="27" t="str">
        <x:v>YES</x:v>
      </x:c>
      <x:c r="E1254" s="27" t="str">
        <x:v>YES</x:v>
      </x:c>
      <x:c r="F1254" s="61" t="n">
        <x:v>2775.9014921921507</x:v>
      </x:c>
      <x:c r="G1254" s="61" t="n">
        <x:v>65.65573560274501</x:v>
      </x:c>
      <x:c r="H1254" s="27" t="str">
        <x:v>YES</x:v>
      </x:c>
      <x:c r="I1254" s="27" t="str">
        <x:v>NARN shared-node topology; deployable terminal required</x:v>
      </x:c>
      <x:c r="J1254" s="27" t="str">
        <x:v>presence does not prove operability or capacity</x:v>
      </x:c>
    </x:row>
    <x:row r="1255" ht="54" hidden="0" customHeight="1">
      <x:c r="A1255" s="29" t="str">
        <x:v>SCA-11</x:v>
      </x:c>
      <x:c r="B1255" s="29" t="str">
        <x:v>SCA-03</x:v>
      </x:c>
      <x:c r="C1255" s="29" t="str">
        <x:v>Air</x:v>
      </x:c>
      <x:c r="D1255" s="29" t="str">
        <x:v>YES</x:v>
      </x:c>
      <x:c r="E1255" s="29" t="str">
        <x:v>YES</x:v>
      </x:c>
      <x:c r="F1255" s="62" t="n">
        <x:v>2043.2427163853858</x:v>
      </x:c>
      <x:c r="G1255" s="62" t="n">
        <x:v>27.143450332900592</x:v>
      </x:c>
      <x:c r="H1255" s="29" t="str">
        <x:v>YES</x:v>
      </x:c>
      <x:c r="I1255" s="29" t="str">
        <x:v>primary-airport endpoints; great-circle screen</x:v>
      </x:c>
      <x:c r="J1255" s="29" t="str">
        <x:v>presence does not prove operability or capacity</x:v>
      </x:c>
    </x:row>
    <x:row r="1256" ht="54" hidden="0" customHeight="1">
      <x:c r="A1256" s="27" t="str">
        <x:v>SCA-11</x:v>
      </x:c>
      <x:c r="B1256" s="27" t="str">
        <x:v>SCA-03</x:v>
      </x:c>
      <x:c r="C1256" s="27" t="str">
        <x:v>Water</x:v>
      </x:c>
      <x:c r="D1256" s="27" t="str">
        <x:v>NO</x:v>
      </x:c>
      <x:c r="E1256" s="27" t="str">
        <x:v>NO</x:v>
      </x:c>
      <x:c r="F1256" s="61"/>
      <x:c r="G1256" s="61"/>
      <x:c r="H1256" s="27" t="str">
        <x:v>NO</x:v>
      </x:c>
      <x:c r="I1256" s="27" t="str">
        <x:v>no screened path</x:v>
      </x:c>
      <x:c r="J1256" s="27" t="str">
        <x:v>presence does not prove operability or capacity</x:v>
      </x:c>
    </x:row>
    <x:row r="1257" ht="54" hidden="0" customHeight="1">
      <x:c r="A1257" s="29" t="str">
        <x:v>SCA-11</x:v>
      </x:c>
      <x:c r="B1257" s="29" t="str">
        <x:v>SCA-04</x:v>
      </x:c>
      <x:c r="C1257" s="29" t="str">
        <x:v>Road</x:v>
      </x:c>
      <x:c r="D1257" s="29" t="str">
        <x:v>YES</x:v>
      </x:c>
      <x:c r="E1257" s="29" t="str">
        <x:v>YES</x:v>
      </x:c>
      <x:c r="F1257" s="62" t="n">
        <x:v>1914.4927307962803</x:v>
      </x:c>
      <x:c r="G1257" s="62" t="n">
        <x:v>54.80895874175055</x:v>
      </x:c>
      <x:c r="H1257" s="29" t="str">
        <x:v>YES</x:v>
      </x:c>
      <x:c r="I1257" s="29" t="str">
        <x:v>NHPN-gated shared-boundary SCA path</x:v>
      </x:c>
      <x:c r="J1257" s="29" t="str">
        <x:v>presence does not prove operability or capacity</x:v>
      </x:c>
    </x:row>
    <x:row r="1258" ht="64.80000305175781" hidden="0" customHeight="1">
      <x:c r="A1258" s="27" t="str">
        <x:v>SCA-11</x:v>
      </x:c>
      <x:c r="B1258" s="27" t="str">
        <x:v>SCA-04</x:v>
      </x:c>
      <x:c r="C1258" s="27" t="str">
        <x:v>Rail</x:v>
      </x:c>
      <x:c r="D1258" s="27" t="str">
        <x:v>YES</x:v>
      </x:c>
      <x:c r="E1258" s="27" t="str">
        <x:v>YES</x:v>
      </x:c>
      <x:c r="F1258" s="61" t="n">
        <x:v>2155.2226413078615</x:v>
      </x:c>
      <x:c r="G1258" s="61" t="n">
        <x:v>56.78889487582659</x:v>
      </x:c>
      <x:c r="H1258" s="27" t="str">
        <x:v>YES</x:v>
      </x:c>
      <x:c r="I1258" s="27" t="str">
        <x:v>NARN shared-node topology; deployable terminal required</x:v>
      </x:c>
      <x:c r="J1258" s="27" t="str">
        <x:v>presence does not prove operability or capacity</x:v>
      </x:c>
    </x:row>
    <x:row r="1259" ht="54" hidden="0" customHeight="1">
      <x:c r="A1259" s="29" t="str">
        <x:v>SCA-11</x:v>
      </x:c>
      <x:c r="B1259" s="29" t="str">
        <x:v>SCA-04</x:v>
      </x:c>
      <x:c r="C1259" s="29" t="str">
        <x:v>Air</x:v>
      </x:c>
      <x:c r="D1259" s="29" t="str">
        <x:v>YES</x:v>
      </x:c>
      <x:c r="E1259" s="29" t="str">
        <x:v>YES</x:v>
      </x:c>
      <x:c r="F1259" s="62" t="n">
        <x:v>1574.8146044969476</x:v>
      </x:c>
      <x:c r="G1259" s="62" t="n">
        <x:v>26.422791699226075</x:v>
      </x:c>
      <x:c r="H1259" s="29" t="str">
        <x:v>YES</x:v>
      </x:c>
      <x:c r="I1259" s="29" t="str">
        <x:v>primary-airport endpoints; great-circle screen</x:v>
      </x:c>
      <x:c r="J1259" s="29" t="str">
        <x:v>presence does not prove operability or capacity</x:v>
      </x:c>
    </x:row>
    <x:row r="1260" ht="54" hidden="0" customHeight="1">
      <x:c r="A1260" s="27" t="str">
        <x:v>SCA-11</x:v>
      </x:c>
      <x:c r="B1260" s="27" t="str">
        <x:v>SCA-04</x:v>
      </x:c>
      <x:c r="C1260" s="27" t="str">
        <x:v>Water</x:v>
      </x:c>
      <x:c r="D1260" s="27" t="str">
        <x:v>NO</x:v>
      </x:c>
      <x:c r="E1260" s="27" t="str">
        <x:v>NO</x:v>
      </x:c>
      <x:c r="F1260" s="61"/>
      <x:c r="G1260" s="61"/>
      <x:c r="H1260" s="27" t="str">
        <x:v>NO</x:v>
      </x:c>
      <x:c r="I1260" s="27" t="str">
        <x:v>no screened path</x:v>
      </x:c>
      <x:c r="J1260" s="27" t="str">
        <x:v>presence does not prove operability or capacity</x:v>
      </x:c>
    </x:row>
    <x:row r="1261" ht="54" hidden="0" customHeight="1">
      <x:c r="A1261" s="29" t="str">
        <x:v>SCA-11</x:v>
      </x:c>
      <x:c r="B1261" s="29" t="str">
        <x:v>SCA-05</x:v>
      </x:c>
      <x:c r="C1261" s="29" t="str">
        <x:v>Road</x:v>
      </x:c>
      <x:c r="D1261" s="29" t="str">
        <x:v>YES</x:v>
      </x:c>
      <x:c r="E1261" s="29" t="str">
        <x:v>YES</x:v>
      </x:c>
      <x:c r="F1261" s="62" t="n">
        <x:v>1442.2291755115648</x:v>
      </x:c>
      <x:c r="G1261" s="62" t="n">
        <x:v>46.222348645664816</x:v>
      </x:c>
      <x:c r="H1261" s="29" t="str">
        <x:v>YES</x:v>
      </x:c>
      <x:c r="I1261" s="29" t="str">
        <x:v>NHPN-gated shared-boundary SCA path</x:v>
      </x:c>
      <x:c r="J1261" s="29" t="str">
        <x:v>presence does not prove operability or capacity</x:v>
      </x:c>
    </x:row>
    <x:row r="1262" ht="64.80000305175781" hidden="0" customHeight="1">
      <x:c r="A1262" s="27" t="str">
        <x:v>SCA-11</x:v>
      </x:c>
      <x:c r="B1262" s="27" t="str">
        <x:v>SCA-05</x:v>
      </x:c>
      <x:c r="C1262" s="27" t="str">
        <x:v>Rail</x:v>
      </x:c>
      <x:c r="D1262" s="27" t="str">
        <x:v>YES</x:v>
      </x:c>
      <x:c r="E1262" s="27" t="str">
        <x:v>YES</x:v>
      </x:c>
      <x:c r="F1262" s="61" t="n">
        <x:v>1530.0170383687907</x:v>
      </x:c>
      <x:c r="G1262" s="61" t="n">
        <x:v>47.857386262411296</x:v>
      </x:c>
      <x:c r="H1262" s="27" t="str">
        <x:v>YES</x:v>
      </x:c>
      <x:c r="I1262" s="27" t="str">
        <x:v>NARN shared-node topology; deployable terminal required</x:v>
      </x:c>
      <x:c r="J1262" s="27" t="str">
        <x:v>presence does not prove operability or capacity</x:v>
      </x:c>
    </x:row>
    <x:row r="1263" ht="54" hidden="0" customHeight="1">
      <x:c r="A1263" s="29" t="str">
        <x:v>SCA-11</x:v>
      </x:c>
      <x:c r="B1263" s="29" t="str">
        <x:v>SCA-05</x:v>
      </x:c>
      <x:c r="C1263" s="29" t="str">
        <x:v>Air</x:v>
      </x:c>
      <x:c r="D1263" s="29" t="str">
        <x:v>YES</x:v>
      </x:c>
      <x:c r="E1263" s="29" t="str">
        <x:v>YES</x:v>
      </x:c>
      <x:c r="F1263" s="62" t="n">
        <x:v>1224.265088211578</x:v>
      </x:c>
      <x:c r="G1263" s="62" t="n">
        <x:v>25.883484751094734</x:v>
      </x:c>
      <x:c r="H1263" s="29" t="str">
        <x:v>YES</x:v>
      </x:c>
      <x:c r="I1263" s="29" t="str">
        <x:v>primary-airport endpoints; great-circle screen</x:v>
      </x:c>
      <x:c r="J1263" s="29" t="str">
        <x:v>presence does not prove operability or capacity</x:v>
      </x:c>
    </x:row>
    <x:row r="1264" ht="54" hidden="0" customHeight="1">
      <x:c r="A1264" s="27" t="str">
        <x:v>SCA-11</x:v>
      </x:c>
      <x:c r="B1264" s="27" t="str">
        <x:v>SCA-05</x:v>
      </x:c>
      <x:c r="C1264" s="27" t="str">
        <x:v>Water</x:v>
      </x:c>
      <x:c r="D1264" s="27" t="str">
        <x:v>NO</x:v>
      </x:c>
      <x:c r="E1264" s="27" t="str">
        <x:v>NO</x:v>
      </x:c>
      <x:c r="F1264" s="61"/>
      <x:c r="G1264" s="61"/>
      <x:c r="H1264" s="27" t="str">
        <x:v>NO</x:v>
      </x:c>
      <x:c r="I1264" s="27" t="str">
        <x:v>no screened path</x:v>
      </x:c>
      <x:c r="J1264" s="27" t="str">
        <x:v>presence does not prove operability or capacity</x:v>
      </x:c>
    </x:row>
    <x:row r="1265" ht="54" hidden="0" customHeight="1">
      <x:c r="A1265" s="29" t="str">
        <x:v>SCA-11</x:v>
      </x:c>
      <x:c r="B1265" s="29" t="str">
        <x:v>SCA-06</x:v>
      </x:c>
      <x:c r="C1265" s="29" t="str">
        <x:v>Road</x:v>
      </x:c>
      <x:c r="D1265" s="29" t="str">
        <x:v>YES</x:v>
      </x:c>
      <x:c r="E1265" s="29" t="str">
        <x:v>YES</x:v>
      </x:c>
      <x:c r="F1265" s="62" t="n">
        <x:v>1201.4718032314415</x:v>
      </x:c>
      <x:c r="G1265" s="62" t="n">
        <x:v>41.8449418769353</x:v>
      </x:c>
      <x:c r="H1265" s="29" t="str">
        <x:v>YES</x:v>
      </x:c>
      <x:c r="I1265" s="29" t="str">
        <x:v>NHPN-gated shared-boundary SCA path</x:v>
      </x:c>
      <x:c r="J1265" s="29" t="str">
        <x:v>presence does not prove operability or capacity</x:v>
      </x:c>
    </x:row>
    <x:row r="1266" ht="64.80000305175781" hidden="0" customHeight="1">
      <x:c r="A1266" s="27" t="str">
        <x:v>SCA-11</x:v>
      </x:c>
      <x:c r="B1266" s="27" t="str">
        <x:v>SCA-06</x:v>
      </x:c>
      <x:c r="C1266" s="27" t="str">
        <x:v>Rail</x:v>
      </x:c>
      <x:c r="D1266" s="27" t="str">
        <x:v>YES</x:v>
      </x:c>
      <x:c r="E1266" s="27" t="str">
        <x:v>YES</x:v>
      </x:c>
      <x:c r="F1266" s="61" t="n">
        <x:v>1274.6048695150946</x:v>
      </x:c>
      <x:c r="G1266" s="61" t="n">
        <x:v>44.20864099307278</x:v>
      </x:c>
      <x:c r="H1266" s="27" t="str">
        <x:v>YES</x:v>
      </x:c>
      <x:c r="I1266" s="27" t="str">
        <x:v>NARN shared-node topology; deployable terminal required</x:v>
      </x:c>
      <x:c r="J1266" s="27" t="str">
        <x:v>presence does not prove operability or capacity</x:v>
      </x:c>
    </x:row>
    <x:row r="1267" ht="54" hidden="0" customHeight="1">
      <x:c r="A1267" s="29" t="str">
        <x:v>SCA-11</x:v>
      </x:c>
      <x:c r="B1267" s="29" t="str">
        <x:v>SCA-06</x:v>
      </x:c>
      <x:c r="C1267" s="29" t="str">
        <x:v>Air</x:v>
      </x:c>
      <x:c r="D1267" s="29" t="str">
        <x:v>YES</x:v>
      </x:c>
      <x:c r="E1267" s="29" t="str">
        <x:v>YES</x:v>
      </x:c>
      <x:c r="F1267" s="62" t="n">
        <x:v>1044.032957825022</x:v>
      </x:c>
      <x:c r="G1267" s="62" t="n">
        <x:v>25.606204550500035</x:v>
      </x:c>
      <x:c r="H1267" s="29" t="str">
        <x:v>YES</x:v>
      </x:c>
      <x:c r="I1267" s="29" t="str">
        <x:v>primary-airport endpoints; great-circle screen</x:v>
      </x:c>
      <x:c r="J1267" s="29" t="str">
        <x:v>presence does not prove operability or capacity</x:v>
      </x:c>
    </x:row>
    <x:row r="1268" ht="54" hidden="0" customHeight="1">
      <x:c r="A1268" s="27" t="str">
        <x:v>SCA-11</x:v>
      </x:c>
      <x:c r="B1268" s="27" t="str">
        <x:v>SCA-06</x:v>
      </x:c>
      <x:c r="C1268" s="27" t="str">
        <x:v>Water</x:v>
      </x:c>
      <x:c r="D1268" s="27" t="str">
        <x:v>NO</x:v>
      </x:c>
      <x:c r="E1268" s="27" t="str">
        <x:v>NO</x:v>
      </x:c>
      <x:c r="F1268" s="61"/>
      <x:c r="G1268" s="61"/>
      <x:c r="H1268" s="27" t="str">
        <x:v>NO</x:v>
      </x:c>
      <x:c r="I1268" s="27" t="str">
        <x:v>no screened path</x:v>
      </x:c>
      <x:c r="J1268" s="27" t="str">
        <x:v>presence does not prove operability or capacity</x:v>
      </x:c>
    </x:row>
    <x:row r="1269" ht="54" hidden="0" customHeight="1">
      <x:c r="A1269" s="29" t="str">
        <x:v>SCA-11</x:v>
      </x:c>
      <x:c r="B1269" s="29" t="str">
        <x:v>SCA-07</x:v>
      </x:c>
      <x:c r="C1269" s="29" t="str">
        <x:v>Road</x:v>
      </x:c>
      <x:c r="D1269" s="29" t="str">
        <x:v>YES</x:v>
      </x:c>
      <x:c r="E1269" s="29" t="str">
        <x:v>YES</x:v>
      </x:c>
      <x:c r="F1269" s="62" t="n">
        <x:v>1213.8885441436357</x:v>
      </x:c>
      <x:c r="G1269" s="62" t="n">
        <x:v>42.070700802611555</x:v>
      </x:c>
      <x:c r="H1269" s="29" t="str">
        <x:v>YES</x:v>
      </x:c>
      <x:c r="I1269" s="29" t="str">
        <x:v>NHPN-gated shared-boundary SCA path</x:v>
      </x:c>
      <x:c r="J1269" s="29" t="str">
        <x:v>presence does not prove operability or capacity</x:v>
      </x:c>
    </x:row>
    <x:row r="1270" ht="64.80000305175781" hidden="0" customHeight="1">
      <x:c r="A1270" s="27" t="str">
        <x:v>SCA-11</x:v>
      </x:c>
      <x:c r="B1270" s="27" t="str">
        <x:v>SCA-07</x:v>
      </x:c>
      <x:c r="C1270" s="27" t="str">
        <x:v>Rail</x:v>
      </x:c>
      <x:c r="D1270" s="27" t="str">
        <x:v>YES</x:v>
      </x:c>
      <x:c r="E1270" s="27" t="str">
        <x:v>YES</x:v>
      </x:c>
      <x:c r="F1270" s="61" t="n">
        <x:v>1287.7774120480312</x:v>
      </x:c>
      <x:c r="G1270" s="61" t="n">
        <x:v>44.39682017211473</x:v>
      </x:c>
      <x:c r="H1270" s="27" t="str">
        <x:v>YES</x:v>
      </x:c>
      <x:c r="I1270" s="27" t="str">
        <x:v>NARN shared-node topology; deployable terminal required</x:v>
      </x:c>
      <x:c r="J1270" s="27" t="str">
        <x:v>presence does not prove operability or capacity</x:v>
      </x:c>
    </x:row>
    <x:row r="1271" ht="54" hidden="0" customHeight="1">
      <x:c r="A1271" s="29" t="str">
        <x:v>SCA-11</x:v>
      </x:c>
      <x:c r="B1271" s="29" t="str">
        <x:v>SCA-07</x:v>
      </x:c>
      <x:c r="C1271" s="29" t="str">
        <x:v>Air</x:v>
      </x:c>
      <x:c r="D1271" s="29" t="str">
        <x:v>YES</x:v>
      </x:c>
      <x:c r="E1271" s="29" t="str">
        <x:v>YES</x:v>
      </x:c>
      <x:c r="F1271" s="62" t="n">
        <x:v>977.0074388923151</x:v>
      </x:c>
      <x:c r="G1271" s="62" t="n">
        <x:v>25.50308836752664</x:v>
      </x:c>
      <x:c r="H1271" s="29" t="str">
        <x:v>YES</x:v>
      </x:c>
      <x:c r="I1271" s="29" t="str">
        <x:v>primary-airport endpoints; great-circle screen</x:v>
      </x:c>
      <x:c r="J1271" s="29" t="str">
        <x:v>presence does not prove operability or capacity</x:v>
      </x:c>
    </x:row>
    <x:row r="1272" ht="54" hidden="0" customHeight="1">
      <x:c r="A1272" s="27" t="str">
        <x:v>SCA-11</x:v>
      </x:c>
      <x:c r="B1272" s="27" t="str">
        <x:v>SCA-07</x:v>
      </x:c>
      <x:c r="C1272" s="27" t="str">
        <x:v>Water</x:v>
      </x:c>
      <x:c r="D1272" s="27" t="str">
        <x:v>NO</x:v>
      </x:c>
      <x:c r="E1272" s="27" t="str">
        <x:v>NO</x:v>
      </x:c>
      <x:c r="F1272" s="61"/>
      <x:c r="G1272" s="61"/>
      <x:c r="H1272" s="27" t="str">
        <x:v>NO</x:v>
      </x:c>
      <x:c r="I1272" s="27" t="str">
        <x:v>no screened path</x:v>
      </x:c>
      <x:c r="J1272" s="27" t="str">
        <x:v>presence does not prove operability or capacity</x:v>
      </x:c>
    </x:row>
    <x:row r="1273" ht="54" hidden="0" customHeight="1">
      <x:c r="A1273" s="29" t="str">
        <x:v>SCA-11</x:v>
      </x:c>
      <x:c r="B1273" s="29" t="str">
        <x:v>SCA-08</x:v>
      </x:c>
      <x:c r="C1273" s="29" t="str">
        <x:v>Road</x:v>
      </x:c>
      <x:c r="D1273" s="29" t="str">
        <x:v>YES</x:v>
      </x:c>
      <x:c r="E1273" s="29" t="str">
        <x:v>YES</x:v>
      </x:c>
      <x:c r="F1273" s="62" t="n">
        <x:v>1971.9735806823862</x:v>
      </x:c>
      <x:c r="G1273" s="62" t="n">
        <x:v>55.85406510331611</x:v>
      </x:c>
      <x:c r="H1273" s="29" t="str">
        <x:v>YES</x:v>
      </x:c>
      <x:c r="I1273" s="29" t="str">
        <x:v>NHPN-gated shared-boundary SCA path</x:v>
      </x:c>
      <x:c r="J1273" s="29" t="str">
        <x:v>presence does not prove operability or capacity</x:v>
      </x:c>
    </x:row>
    <x:row r="1274" ht="64.80000305175781" hidden="0" customHeight="1">
      <x:c r="A1274" s="27" t="str">
        <x:v>SCA-11</x:v>
      </x:c>
      <x:c r="B1274" s="27" t="str">
        <x:v>SCA-08</x:v>
      </x:c>
      <x:c r="C1274" s="27" t="str">
        <x:v>Rail</x:v>
      </x:c>
      <x:c r="D1274" s="27" t="str">
        <x:v>YES</x:v>
      </x:c>
      <x:c r="E1274" s="27" t="str">
        <x:v>YES</x:v>
      </x:c>
      <x:c r="F1274" s="61" t="n">
        <x:v>2092.0067551587053</x:v>
      </x:c>
      <x:c r="G1274" s="61" t="n">
        <x:v>55.885810787981505</x:v>
      </x:c>
      <x:c r="H1274" s="27" t="str">
        <x:v>YES</x:v>
      </x:c>
      <x:c r="I1274" s="27" t="str">
        <x:v>NARN shared-node topology; deployable terminal required</x:v>
      </x:c>
      <x:c r="J1274" s="27" t="str">
        <x:v>presence does not prove operability or capacity</x:v>
      </x:c>
    </x:row>
    <x:row r="1275" ht="54" hidden="0" customHeight="1">
      <x:c r="A1275" s="29" t="str">
        <x:v>SCA-11</x:v>
      </x:c>
      <x:c r="B1275" s="29" t="str">
        <x:v>SCA-08</x:v>
      </x:c>
      <x:c r="C1275" s="29" t="str">
        <x:v>Air</x:v>
      </x:c>
      <x:c r="D1275" s="29" t="str">
        <x:v>YES</x:v>
      </x:c>
      <x:c r="E1275" s="29" t="str">
        <x:v>YES</x:v>
      </x:c>
      <x:c r="F1275" s="62" t="n">
        <x:v>1534.841412158454</x:v>
      </x:c>
      <x:c r="G1275" s="62" t="n">
        <x:v>26.361294480243775</x:v>
      </x:c>
      <x:c r="H1275" s="29" t="str">
        <x:v>YES</x:v>
      </x:c>
      <x:c r="I1275" s="29" t="str">
        <x:v>primary-airport endpoints; great-circle screen</x:v>
      </x:c>
      <x:c r="J1275" s="29" t="str">
        <x:v>presence does not prove operability or capacity</x:v>
      </x:c>
    </x:row>
    <x:row r="1276" ht="54" hidden="0" customHeight="1">
      <x:c r="A1276" s="27" t="str">
        <x:v>SCA-11</x:v>
      </x:c>
      <x:c r="B1276" s="27" t="str">
        <x:v>SCA-08</x:v>
      </x:c>
      <x:c r="C1276" s="27" t="str">
        <x:v>Water</x:v>
      </x:c>
      <x:c r="D1276" s="27" t="str">
        <x:v>NO</x:v>
      </x:c>
      <x:c r="E1276" s="27" t="str">
        <x:v>NO</x:v>
      </x:c>
      <x:c r="F1276" s="61"/>
      <x:c r="G1276" s="61"/>
      <x:c r="H1276" s="27" t="str">
        <x:v>NO</x:v>
      </x:c>
      <x:c r="I1276" s="27" t="str">
        <x:v>no screened path</x:v>
      </x:c>
      <x:c r="J1276" s="27" t="str">
        <x:v>presence does not prove operability or capacity</x:v>
      </x:c>
    </x:row>
    <x:row r="1277" ht="54" hidden="0" customHeight="1">
      <x:c r="A1277" s="29" t="str">
        <x:v>SCA-11</x:v>
      </x:c>
      <x:c r="B1277" s="29" t="str">
        <x:v>SCA-09</x:v>
      </x:c>
      <x:c r="C1277" s="29" t="str">
        <x:v>Road</x:v>
      </x:c>
      <x:c r="D1277" s="29" t="str">
        <x:v>YES</x:v>
      </x:c>
      <x:c r="E1277" s="29" t="str">
        <x:v>YES</x:v>
      </x:c>
      <x:c r="F1277" s="62" t="n">
        <x:v>751.7523514696105</x:v>
      </x:c>
      <x:c r="G1277" s="62" t="n">
        <x:v>33.668224572174736</x:v>
      </x:c>
      <x:c r="H1277" s="29" t="str">
        <x:v>YES</x:v>
      </x:c>
      <x:c r="I1277" s="29" t="str">
        <x:v>NHPN-gated shared-boundary SCA path</x:v>
      </x:c>
      <x:c r="J1277" s="29" t="str">
        <x:v>presence does not prove operability or capacity</x:v>
      </x:c>
    </x:row>
    <x:row r="1278" ht="64.80000305175781" hidden="0" customHeight="1">
      <x:c r="A1278" s="27" t="str">
        <x:v>SCA-11</x:v>
      </x:c>
      <x:c r="B1278" s="27" t="str">
        <x:v>SCA-09</x:v>
      </x:c>
      <x:c r="C1278" s="27" t="str">
        <x:v>Rail</x:v>
      </x:c>
      <x:c r="D1278" s="27" t="str">
        <x:v>YES</x:v>
      </x:c>
      <x:c r="E1278" s="27" t="str">
        <x:v>YES</x:v>
      </x:c>
      <x:c r="F1278" s="61" t="n">
        <x:v>797.5111902547173</x:v>
      </x:c>
      <x:c r="G1278" s="61" t="n">
        <x:v>37.39301700363882</x:v>
      </x:c>
      <x:c r="H1278" s="27" t="str">
        <x:v>YES</x:v>
      </x:c>
      <x:c r="I1278" s="27" t="str">
        <x:v>NARN shared-node topology; deployable terminal required</x:v>
      </x:c>
      <x:c r="J1278" s="27" t="str">
        <x:v>presence does not prove operability or capacity</x:v>
      </x:c>
    </x:row>
    <x:row r="1279" ht="54" hidden="0" customHeight="1">
      <x:c r="A1279" s="29" t="str">
        <x:v>SCA-11</x:v>
      </x:c>
      <x:c r="B1279" s="29" t="str">
        <x:v>SCA-09</x:v>
      </x:c>
      <x:c r="C1279" s="29" t="str">
        <x:v>Air</x:v>
      </x:c>
      <x:c r="D1279" s="29" t="str">
        <x:v>YES</x:v>
      </x:c>
      <x:c r="E1279" s="29" t="str">
        <x:v>YES</x:v>
      </x:c>
      <x:c r="F1279" s="62" t="n">
        <x:v>653.6976969300962</x:v>
      </x:c>
      <x:c r="G1279" s="62" t="n">
        <x:v>25.00568876450784</x:v>
      </x:c>
      <x:c r="H1279" s="29" t="str">
        <x:v>YES</x:v>
      </x:c>
      <x:c r="I1279" s="29" t="str">
        <x:v>primary-airport endpoints; great-circle screen</x:v>
      </x:c>
      <x:c r="J1279" s="29" t="str">
        <x:v>presence does not prove operability or capacity</x:v>
      </x:c>
    </x:row>
    <x:row r="1280" ht="54" hidden="0" customHeight="1">
      <x:c r="A1280" s="27" t="str">
        <x:v>SCA-11</x:v>
      </x:c>
      <x:c r="B1280" s="27" t="str">
        <x:v>SCA-09</x:v>
      </x:c>
      <x:c r="C1280" s="27" t="str">
        <x:v>Water</x:v>
      </x:c>
      <x:c r="D1280" s="27" t="str">
        <x:v>NO</x:v>
      </x:c>
      <x:c r="E1280" s="27" t="str">
        <x:v>NO</x:v>
      </x:c>
      <x:c r="F1280" s="61"/>
      <x:c r="G1280" s="61"/>
      <x:c r="H1280" s="27" t="str">
        <x:v>NO</x:v>
      </x:c>
      <x:c r="I1280" s="27" t="str">
        <x:v>no screened path</x:v>
      </x:c>
      <x:c r="J1280" s="27" t="str">
        <x:v>presence does not prove operability or capacity</x:v>
      </x:c>
    </x:row>
    <x:row r="1281" ht="54" hidden="0" customHeight="1">
      <x:c r="A1281" s="29" t="str">
        <x:v>SCA-11</x:v>
      </x:c>
      <x:c r="B1281" s="29" t="str">
        <x:v>SCA-10</x:v>
      </x:c>
      <x:c r="C1281" s="29" t="str">
        <x:v>Road</x:v>
      </x:c>
      <x:c r="D1281" s="29" t="str">
        <x:v>YES</x:v>
      </x:c>
      <x:c r="E1281" s="29" t="str">
        <x:v>YES</x:v>
      </x:c>
      <x:c r="F1281" s="62" t="n">
        <x:v>1476.397148266451</x:v>
      </x:c>
      <x:c r="G1281" s="62" t="n">
        <x:v>46.84358451393547</x:v>
      </x:c>
      <x:c r="H1281" s="29" t="str">
        <x:v>YES</x:v>
      </x:c>
      <x:c r="I1281" s="29" t="str">
        <x:v>NHPN-gated shared-boundary SCA path</x:v>
      </x:c>
      <x:c r="J1281" s="29" t="str">
        <x:v>presence does not prove operability or capacity</x:v>
      </x:c>
    </x:row>
    <x:row r="1282" ht="64.80000305175781" hidden="0" customHeight="1">
      <x:c r="A1282" s="27" t="str">
        <x:v>SCA-11</x:v>
      </x:c>
      <x:c r="B1282" s="27" t="str">
        <x:v>SCA-10</x:v>
      </x:c>
      <x:c r="C1282" s="27" t="str">
        <x:v>Rail</x:v>
      </x:c>
      <x:c r="D1282" s="27" t="str">
        <x:v>YES</x:v>
      </x:c>
      <x:c r="E1282" s="27" t="str">
        <x:v>YES</x:v>
      </x:c>
      <x:c r="F1282" s="61" t="n">
        <x:v>1566.2648007696268</x:v>
      </x:c>
      <x:c r="G1282" s="61" t="n">
        <x:v>48.3752114395661</x:v>
      </x:c>
      <x:c r="H1282" s="27" t="str">
        <x:v>YES</x:v>
      </x:c>
      <x:c r="I1282" s="27" t="str">
        <x:v>NARN shared-node topology; deployable terminal required</x:v>
      </x:c>
      <x:c r="J1282" s="27" t="str">
        <x:v>presence does not prove operability or capacity</x:v>
      </x:c>
    </x:row>
    <x:row r="1283" ht="54" hidden="0" customHeight="1">
      <x:c r="A1283" s="29" t="str">
        <x:v>SCA-11</x:v>
      </x:c>
      <x:c r="B1283" s="29" t="str">
        <x:v>SCA-10</x:v>
      </x:c>
      <x:c r="C1283" s="29" t="str">
        <x:v>Air</x:v>
      </x:c>
      <x:c r="D1283" s="29" t="str">
        <x:v>YES</x:v>
      </x:c>
      <x:c r="E1283" s="29" t="str">
        <x:v>YES</x:v>
      </x:c>
      <x:c r="F1283" s="62" t="n">
        <x:v>1051.177976210699</x:v>
      </x:c>
      <x:c r="G1283" s="62" t="n">
        <x:v>25.617196886478</x:v>
      </x:c>
      <x:c r="H1283" s="29" t="str">
        <x:v>YES</x:v>
      </x:c>
      <x:c r="I1283" s="29" t="str">
        <x:v>primary-airport endpoints; great-circle screen</x:v>
      </x:c>
      <x:c r="J1283" s="29" t="str">
        <x:v>presence does not prove operability or capacity</x:v>
      </x:c>
    </x:row>
    <x:row r="1284" ht="54" hidden="0" customHeight="1">
      <x:c r="A1284" s="27" t="str">
        <x:v>SCA-11</x:v>
      </x:c>
      <x:c r="B1284" s="27" t="str">
        <x:v>SCA-10</x:v>
      </x:c>
      <x:c r="C1284" s="27" t="str">
        <x:v>Water</x:v>
      </x:c>
      <x:c r="D1284" s="27" t="str">
        <x:v>NO</x:v>
      </x:c>
      <x:c r="E1284" s="27" t="str">
        <x:v>NO</x:v>
      </x:c>
      <x:c r="F1284" s="61"/>
      <x:c r="G1284" s="61"/>
      <x:c r="H1284" s="27" t="str">
        <x:v>NO</x:v>
      </x:c>
      <x:c r="I1284" s="27" t="str">
        <x:v>no screened path</x:v>
      </x:c>
      <x:c r="J1284" s="27" t="str">
        <x:v>presence does not prove operability or capacity</x:v>
      </x:c>
    </x:row>
    <x:row r="1285" ht="54" hidden="0" customHeight="1">
      <x:c r="A1285" s="29" t="str">
        <x:v>SCA-11</x:v>
      </x:c>
      <x:c r="B1285" s="29" t="str">
        <x:v>SCA-12</x:v>
      </x:c>
      <x:c r="C1285" s="29" t="str">
        <x:v>Road</x:v>
      </x:c>
      <x:c r="D1285" s="29" t="str">
        <x:v>YES</x:v>
      </x:c>
      <x:c r="E1285" s="29" t="str">
        <x:v>YES</x:v>
      </x:c>
      <x:c r="F1285" s="62" t="n">
        <x:v>800.139186020009</x:v>
      </x:c>
      <x:c r="G1285" s="62" t="n">
        <x:v>34.5479852003638</x:v>
      </x:c>
      <x:c r="H1285" s="29" t="str">
        <x:v>YES</x:v>
      </x:c>
      <x:c r="I1285" s="29" t="str">
        <x:v>NHPN-gated shared-boundary SCA path</x:v>
      </x:c>
      <x:c r="J1285" s="29" t="str">
        <x:v>presence does not prove operability or capacity</x:v>
      </x:c>
    </x:row>
    <x:row r="1286" ht="64.80000305175781" hidden="0" customHeight="1">
      <x:c r="A1286" s="27" t="str">
        <x:v>SCA-11</x:v>
      </x:c>
      <x:c r="B1286" s="27" t="str">
        <x:v>SCA-12</x:v>
      </x:c>
      <x:c r="C1286" s="27" t="str">
        <x:v>Rail</x:v>
      </x:c>
      <x:c r="D1286" s="27" t="str">
        <x:v>YES</x:v>
      </x:c>
      <x:c r="E1286" s="27" t="str">
        <x:v>YES</x:v>
      </x:c>
      <x:c r="F1286" s="61" t="n">
        <x:v>848.8433103864445</x:v>
      </x:c>
      <x:c r="G1286" s="61" t="n">
        <x:v>38.126333005520635</x:v>
      </x:c>
      <x:c r="H1286" s="27" t="str">
        <x:v>YES</x:v>
      </x:c>
      <x:c r="I1286" s="27" t="str">
        <x:v>NARN shared-node topology; deployable terminal required</x:v>
      </x:c>
      <x:c r="J1286" s="27" t="str">
        <x:v>presence does not prove operability or capacity</x:v>
      </x:c>
    </x:row>
    <x:row r="1287" ht="54" hidden="0" customHeight="1">
      <x:c r="A1287" s="29" t="str">
        <x:v>SCA-11</x:v>
      </x:c>
      <x:c r="B1287" s="29" t="str">
        <x:v>SCA-12</x:v>
      </x:c>
      <x:c r="C1287" s="29" t="str">
        <x:v>Air</x:v>
      </x:c>
      <x:c r="D1287" s="29" t="str">
        <x:v>YES</x:v>
      </x:c>
      <x:c r="E1287" s="29" t="str">
        <x:v>YES</x:v>
      </x:c>
      <x:c r="F1287" s="62" t="n">
        <x:v>695.7732052347906</x:v>
      </x:c>
      <x:c r="G1287" s="62" t="n">
        <x:v>25.07042031574583</x:v>
      </x:c>
      <x:c r="H1287" s="29" t="str">
        <x:v>YES</x:v>
      </x:c>
      <x:c r="I1287" s="29" t="str">
        <x:v>primary-airport endpoints; great-circle screen</x:v>
      </x:c>
      <x:c r="J1287" s="29" t="str">
        <x:v>presence does not prove operability or capacity</x:v>
      </x:c>
    </x:row>
    <x:row r="1288" ht="54" hidden="0" customHeight="1">
      <x:c r="A1288" s="27" t="str">
        <x:v>SCA-11</x:v>
      </x:c>
      <x:c r="B1288" s="27" t="str">
        <x:v>SCA-12</x:v>
      </x:c>
      <x:c r="C1288" s="27" t="str">
        <x:v>Water</x:v>
      </x:c>
      <x:c r="D1288" s="27" t="str">
        <x:v>NO</x:v>
      </x:c>
      <x:c r="E1288" s="27" t="str">
        <x:v>NO</x:v>
      </x:c>
      <x:c r="F1288" s="61"/>
      <x:c r="G1288" s="61"/>
      <x:c r="H1288" s="27" t="str">
        <x:v>NO</x:v>
      </x:c>
      <x:c r="I1288" s="27" t="str">
        <x:v>no screened path</x:v>
      </x:c>
      <x:c r="J1288" s="27" t="str">
        <x:v>presence does not prove operability or capacity</x:v>
      </x:c>
    </x:row>
    <x:row r="1289" ht="54" hidden="0" customHeight="1">
      <x:c r="A1289" s="29" t="str">
        <x:v>SCA-11</x:v>
      </x:c>
      <x:c r="B1289" s="29" t="str">
        <x:v>SCA-13</x:v>
      </x:c>
      <x:c r="C1289" s="29" t="str">
        <x:v>Road</x:v>
      </x:c>
      <x:c r="D1289" s="29" t="str">
        <x:v>NO</x:v>
      </x:c>
      <x:c r="E1289" s="29" t="str">
        <x:v>NO</x:v>
      </x:c>
      <x:c r="F1289" s="62"/>
      <x:c r="G1289" s="62"/>
      <x:c r="H1289" s="29" t="str">
        <x:v>NO</x:v>
      </x:c>
      <x:c r="I1289" s="29" t="str">
        <x:v>no screened path</x:v>
      </x:c>
      <x:c r="J1289" s="29" t="str">
        <x:v>presence does not prove operability or capacity</x:v>
      </x:c>
    </x:row>
    <x:row r="1290" ht="64.80000305175781" hidden="0" customHeight="1">
      <x:c r="A1290" s="27" t="str">
        <x:v>SCA-11</x:v>
      </x:c>
      <x:c r="B1290" s="27" t="str">
        <x:v>SCA-13</x:v>
      </x:c>
      <x:c r="C1290" s="27" t="str">
        <x:v>Rail</x:v>
      </x:c>
      <x:c r="D1290" s="27" t="str">
        <x:v>YES</x:v>
      </x:c>
      <x:c r="E1290" s="27" t="str">
        <x:v>YES</x:v>
      </x:c>
      <x:c r="F1290" s="61" t="n">
        <x:v>921.4190301142012</x:v>
      </x:c>
      <x:c r="G1290" s="61" t="n">
        <x:v>39.16312900163145</x:v>
      </x:c>
      <x:c r="H1290" s="27" t="str">
        <x:v>YES</x:v>
      </x:c>
      <x:c r="I1290" s="27" t="str">
        <x:v>NARN shared-node topology; deployable terminal required</x:v>
      </x:c>
      <x:c r="J1290" s="27" t="str">
        <x:v>presence does not prove operability or capacity</x:v>
      </x:c>
    </x:row>
    <x:row r="1291" ht="54" hidden="0" customHeight="1">
      <x:c r="A1291" s="29" t="str">
        <x:v>SCA-11</x:v>
      </x:c>
      <x:c r="B1291" s="29" t="str">
        <x:v>SCA-13</x:v>
      </x:c>
      <x:c r="C1291" s="29" t="str">
        <x:v>Air</x:v>
      </x:c>
      <x:c r="D1291" s="29" t="str">
        <x:v>YES</x:v>
      </x:c>
      <x:c r="E1291" s="29" t="str">
        <x:v>YES</x:v>
      </x:c>
      <x:c r="F1291" s="62" t="n">
        <x:v>755.2615000936075</x:v>
      </x:c>
      <x:c r="G1291" s="62" t="n">
        <x:v>25.16194076937478</x:v>
      </x:c>
      <x:c r="H1291" s="29" t="str">
        <x:v>YES</x:v>
      </x:c>
      <x:c r="I1291" s="29" t="str">
        <x:v>primary-airport endpoints; great-circle screen</x:v>
      </x:c>
      <x:c r="J1291" s="29" t="str">
        <x:v>presence does not prove operability or capacity</x:v>
      </x:c>
    </x:row>
    <x:row r="1292" ht="54" hidden="0" customHeight="1">
      <x:c r="A1292" s="27" t="str">
        <x:v>SCA-11</x:v>
      </x:c>
      <x:c r="B1292" s="27" t="str">
        <x:v>SCA-13</x:v>
      </x:c>
      <x:c r="C1292" s="27" t="str">
        <x:v>Water</x:v>
      </x:c>
      <x:c r="D1292" s="27" t="str">
        <x:v>NO</x:v>
      </x:c>
      <x:c r="E1292" s="27" t="str">
        <x:v>NO</x:v>
      </x:c>
      <x:c r="F1292" s="61"/>
      <x:c r="G1292" s="61"/>
      <x:c r="H1292" s="27" t="str">
        <x:v>NO</x:v>
      </x:c>
      <x:c r="I1292" s="27" t="str">
        <x:v>no screened path</x:v>
      </x:c>
      <x:c r="J1292" s="27" t="str">
        <x:v>presence does not prove operability or capacity</x:v>
      </x:c>
    </x:row>
    <x:row r="1293" ht="54" hidden="0" customHeight="1">
      <x:c r="A1293" s="29" t="str">
        <x:v>SCA-11</x:v>
      </x:c>
      <x:c r="B1293" s="29" t="str">
        <x:v>SCA-14</x:v>
      </x:c>
      <x:c r="C1293" s="29" t="str">
        <x:v>Road</x:v>
      </x:c>
      <x:c r="D1293" s="29" t="str">
        <x:v>NO</x:v>
      </x:c>
      <x:c r="E1293" s="29" t="str">
        <x:v>NO</x:v>
      </x:c>
      <x:c r="F1293" s="62"/>
      <x:c r="G1293" s="62"/>
      <x:c r="H1293" s="29" t="str">
        <x:v>NO</x:v>
      </x:c>
      <x:c r="I1293" s="29" t="str">
        <x:v>no screened path</x:v>
      </x:c>
      <x:c r="J1293" s="29" t="str">
        <x:v>presence does not prove operability or capacity</x:v>
      </x:c>
    </x:row>
    <x:row r="1294" ht="64.80000305175781" hidden="0" customHeight="1">
      <x:c r="A1294" s="27" t="str">
        <x:v>SCA-11</x:v>
      </x:c>
      <x:c r="B1294" s="27" t="str">
        <x:v>SCA-14</x:v>
      </x:c>
      <x:c r="C1294" s="27" t="str">
        <x:v>Rail</x:v>
      </x:c>
      <x:c r="D1294" s="27" t="str">
        <x:v>YES</x:v>
      </x:c>
      <x:c r="E1294" s="27" t="str">
        <x:v>YES</x:v>
      </x:c>
      <x:c r="F1294" s="61" t="n">
        <x:v>1349.5486585899191</x:v>
      </x:c>
      <x:c r="G1294" s="61" t="n">
        <x:v>45.27926655128456</x:v>
      </x:c>
      <x:c r="H1294" s="27" t="str">
        <x:v>YES</x:v>
      </x:c>
      <x:c r="I1294" s="27" t="str">
        <x:v>NARN shared-node topology; deployable terminal required</x:v>
      </x:c>
      <x:c r="J1294" s="27" t="str">
        <x:v>presence does not prove operability or capacity</x:v>
      </x:c>
    </x:row>
    <x:row r="1295" ht="54" hidden="0" customHeight="1">
      <x:c r="A1295" s="29" t="str">
        <x:v>SCA-11</x:v>
      </x:c>
      <x:c r="B1295" s="29" t="str">
        <x:v>SCA-14</x:v>
      </x:c>
      <x:c r="C1295" s="29" t="str">
        <x:v>Air</x:v>
      </x:c>
      <x:c r="D1295" s="29" t="str">
        <x:v>YES</x:v>
      </x:c>
      <x:c r="E1295" s="29" t="str">
        <x:v>YES</x:v>
      </x:c>
      <x:c r="F1295" s="62" t="n">
        <x:v>985.4407227384481</x:v>
      </x:c>
      <x:c r="G1295" s="62" t="n">
        <x:v>25.516062650366845</x:v>
      </x:c>
      <x:c r="H1295" s="29" t="str">
        <x:v>YES</x:v>
      </x:c>
      <x:c r="I1295" s="29" t="str">
        <x:v>primary-airport endpoints; great-circle screen</x:v>
      </x:c>
      <x:c r="J1295" s="29" t="str">
        <x:v>presence does not prove operability or capacity</x:v>
      </x:c>
    </x:row>
    <x:row r="1296" ht="54" hidden="0" customHeight="1">
      <x:c r="A1296" s="27" t="str">
        <x:v>SCA-11</x:v>
      </x:c>
      <x:c r="B1296" s="27" t="str">
        <x:v>SCA-14</x:v>
      </x:c>
      <x:c r="C1296" s="27" t="str">
        <x:v>Water</x:v>
      </x:c>
      <x:c r="D1296" s="27" t="str">
        <x:v>NO</x:v>
      </x:c>
      <x:c r="E1296" s="27" t="str">
        <x:v>NO</x:v>
      </x:c>
      <x:c r="F1296" s="61"/>
      <x:c r="G1296" s="61"/>
      <x:c r="H1296" s="27" t="str">
        <x:v>NO</x:v>
      </x:c>
      <x:c r="I1296" s="27" t="str">
        <x:v>no screened path</x:v>
      </x:c>
      <x:c r="J1296" s="27" t="str">
        <x:v>presence does not prove operability or capacity</x:v>
      </x:c>
    </x:row>
    <x:row r="1297" ht="54" hidden="0" customHeight="1">
      <x:c r="A1297" s="29" t="str">
        <x:v>SCA-11</x:v>
      </x:c>
      <x:c r="B1297" s="29" t="str">
        <x:v>SCA-15</x:v>
      </x:c>
      <x:c r="C1297" s="29" t="str">
        <x:v>Road</x:v>
      </x:c>
      <x:c r="D1297" s="29" t="str">
        <x:v>YES</x:v>
      </x:c>
      <x:c r="E1297" s="29" t="str">
        <x:v>YES</x:v>
      </x:c>
      <x:c r="F1297" s="62" t="n">
        <x:v>905.3776684644371</x:v>
      </x:c>
      <x:c r="G1297" s="62" t="n">
        <x:v>36.461412153898856</x:v>
      </x:c>
      <x:c r="H1297" s="29" t="str">
        <x:v>YES</x:v>
      </x:c>
      <x:c r="I1297" s="29" t="str">
        <x:v>NHPN-gated shared-boundary SCA path</x:v>
      </x:c>
      <x:c r="J1297" s="29" t="str">
        <x:v>presence does not prove operability or capacity</x:v>
      </x:c>
    </x:row>
    <x:row r="1298" ht="64.80000305175781" hidden="0" customHeight="1">
      <x:c r="A1298" s="27" t="str">
        <x:v>SCA-11</x:v>
      </x:c>
      <x:c r="B1298" s="27" t="str">
        <x:v>SCA-15</x:v>
      </x:c>
      <x:c r="C1298" s="27" t="str">
        <x:v>Rail</x:v>
      </x:c>
      <x:c r="D1298" s="27" t="str">
        <x:v>YES</x:v>
      </x:c>
      <x:c r="E1298" s="27" t="str">
        <x:v>YES</x:v>
      </x:c>
      <x:c r="F1298" s="61" t="n">
        <x:v>960.4876135014028</x:v>
      </x:c>
      <x:c r="G1298" s="61" t="n">
        <x:v>39.721251621448616</x:v>
      </x:c>
      <x:c r="H1298" s="27" t="str">
        <x:v>YES</x:v>
      </x:c>
      <x:c r="I1298" s="27" t="str">
        <x:v>NARN shared-node topology; deployable terminal required</x:v>
      </x:c>
      <x:c r="J1298" s="27" t="str">
        <x:v>presence does not prove operability or capacity</x:v>
      </x:c>
    </x:row>
    <x:row r="1299" ht="54" hidden="0" customHeight="1">
      <x:c r="A1299" s="29" t="str">
        <x:v>SCA-11</x:v>
      </x:c>
      <x:c r="B1299" s="29" t="str">
        <x:v>SCA-15</x:v>
      </x:c>
      <x:c r="C1299" s="29" t="str">
        <x:v>Air</x:v>
      </x:c>
      <x:c r="D1299" s="29" t="str">
        <x:v>YES</x:v>
      </x:c>
      <x:c r="E1299" s="29" t="str">
        <x:v>YES</x:v>
      </x:c>
      <x:c r="F1299" s="62" t="n">
        <x:v>787.2849290995106</x:v>
      </x:c>
      <x:c r="G1299" s="62" t="n">
        <x:v>25.211207583230017</x:v>
      </x:c>
      <x:c r="H1299" s="29" t="str">
        <x:v>YES</x:v>
      </x:c>
      <x:c r="I1299" s="29" t="str">
        <x:v>primary-airport endpoints; great-circle screen</x:v>
      </x:c>
      <x:c r="J1299" s="29" t="str">
        <x:v>presence does not prove operability or capacity</x:v>
      </x:c>
    </x:row>
    <x:row r="1300" ht="54" hidden="0" customHeight="1">
      <x:c r="A1300" s="27" t="str">
        <x:v>SCA-11</x:v>
      </x:c>
      <x:c r="B1300" s="27" t="str">
        <x:v>SCA-15</x:v>
      </x:c>
      <x:c r="C1300" s="27" t="str">
        <x:v>Water</x:v>
      </x:c>
      <x:c r="D1300" s="27" t="str">
        <x:v>NO</x:v>
      </x:c>
      <x:c r="E1300" s="27" t="str">
        <x:v>NO</x:v>
      </x:c>
      <x:c r="F1300" s="61"/>
      <x:c r="G1300" s="61"/>
      <x:c r="H1300" s="27" t="str">
        <x:v>NO</x:v>
      </x:c>
      <x:c r="I1300" s="27" t="str">
        <x:v>no screened path</x:v>
      </x:c>
      <x:c r="J1300" s="27" t="str">
        <x:v>presence does not prove operability or capacity</x:v>
      </x:c>
    </x:row>
    <x:row r="1301" ht="54" hidden="0" customHeight="1">
      <x:c r="A1301" s="29" t="str">
        <x:v>SCA-11</x:v>
      </x:c>
      <x:c r="B1301" s="29" t="str">
        <x:v>SCA-16</x:v>
      </x:c>
      <x:c r="C1301" s="29" t="str">
        <x:v>Road</x:v>
      </x:c>
      <x:c r="D1301" s="29" t="str">
        <x:v>YES</x:v>
      </x:c>
      <x:c r="E1301" s="29" t="str">
        <x:v>YES</x:v>
      </x:c>
      <x:c r="F1301" s="62" t="n">
        <x:v>1555.4043554133425</x:v>
      </x:c>
      <x:c r="G1301" s="62" t="n">
        <x:v>48.2800791893335</x:v>
      </x:c>
      <x:c r="H1301" s="29" t="str">
        <x:v>YES</x:v>
      </x:c>
      <x:c r="I1301" s="29" t="str">
        <x:v>NHPN-gated shared-boundary SCA path</x:v>
      </x:c>
      <x:c r="J1301" s="29" t="str">
        <x:v>presence does not prove operability or capacity</x:v>
      </x:c>
    </x:row>
    <x:row r="1302" ht="64.80000305175781" hidden="0" customHeight="1">
      <x:c r="A1302" s="27" t="str">
        <x:v>SCA-11</x:v>
      </x:c>
      <x:c r="B1302" s="27" t="str">
        <x:v>SCA-16</x:v>
      </x:c>
      <x:c r="C1302" s="27" t="str">
        <x:v>Rail</x:v>
      </x:c>
      <x:c r="D1302" s="27" t="str">
        <x:v>YES</x:v>
      </x:c>
      <x:c r="E1302" s="27" t="str">
        <x:v>YES</x:v>
      </x:c>
      <x:c r="F1302" s="61" t="n">
        <x:v>1650.08114226459</x:v>
      </x:c>
      <x:c r="G1302" s="61" t="n">
        <x:v>49.572587746637</x:v>
      </x:c>
      <x:c r="H1302" s="27" t="str">
        <x:v>YES</x:v>
      </x:c>
      <x:c r="I1302" s="27" t="str">
        <x:v>NARN shared-node topology; deployable terminal required</x:v>
      </x:c>
      <x:c r="J1302" s="27" t="str">
        <x:v>presence does not prove operability or capacity</x:v>
      </x:c>
    </x:row>
    <x:row r="1303" ht="54" hidden="0" customHeight="1">
      <x:c r="A1303" s="29" t="str">
        <x:v>SCA-11</x:v>
      </x:c>
      <x:c r="B1303" s="29" t="str">
        <x:v>SCA-16</x:v>
      </x:c>
      <x:c r="C1303" s="29" t="str">
        <x:v>Air</x:v>
      </x:c>
      <x:c r="D1303" s="29" t="str">
        <x:v>YES</x:v>
      </x:c>
      <x:c r="E1303" s="29" t="str">
        <x:v>YES</x:v>
      </x:c>
      <x:c r="F1303" s="62" t="n">
        <x:v>982.2097663496018</x:v>
      </x:c>
      <x:c r="G1303" s="62" t="n">
        <x:v>25.511091948230156</x:v>
      </x:c>
      <x:c r="H1303" s="29" t="str">
        <x:v>YES</x:v>
      </x:c>
      <x:c r="I1303" s="29" t="str">
        <x:v>primary-airport endpoints; great-circle screen</x:v>
      </x:c>
      <x:c r="J1303" s="29" t="str">
        <x:v>presence does not prove operability or capacity</x:v>
      </x:c>
    </x:row>
    <x:row r="1304" ht="54" hidden="0" customHeight="1">
      <x:c r="A1304" s="27" t="str">
        <x:v>SCA-11</x:v>
      </x:c>
      <x:c r="B1304" s="27" t="str">
        <x:v>SCA-16</x:v>
      </x:c>
      <x:c r="C1304" s="27" t="str">
        <x:v>Water</x:v>
      </x:c>
      <x:c r="D1304" s="27" t="str">
        <x:v>NO</x:v>
      </x:c>
      <x:c r="E1304" s="27" t="str">
        <x:v>NO</x:v>
      </x:c>
      <x:c r="F1304" s="61"/>
      <x:c r="G1304" s="61"/>
      <x:c r="H1304" s="27" t="str">
        <x:v>NO</x:v>
      </x:c>
      <x:c r="I1304" s="27" t="str">
        <x:v>no screened path</x:v>
      </x:c>
      <x:c r="J1304" s="27" t="str">
        <x:v>presence does not prove operability or capacity</x:v>
      </x:c>
    </x:row>
    <x:row r="1305" ht="54" hidden="0" customHeight="1">
      <x:c r="A1305" s="29" t="str">
        <x:v>SCA-11</x:v>
      </x:c>
      <x:c r="B1305" s="29" t="str">
        <x:v>SCA-17</x:v>
      </x:c>
      <x:c r="C1305" s="29" t="str">
        <x:v>Road</x:v>
      </x:c>
      <x:c r="D1305" s="29" t="str">
        <x:v>YES</x:v>
      </x:c>
      <x:c r="E1305" s="29" t="str">
        <x:v>YES</x:v>
      </x:c>
      <x:c r="F1305" s="62" t="n">
        <x:v>1374.190061287408</x:v>
      </x:c>
      <x:c r="G1305" s="62" t="n">
        <x:v>44.98527384158923</x:v>
      </x:c>
      <x:c r="H1305" s="29" t="str">
        <x:v>YES</x:v>
      </x:c>
      <x:c r="I1305" s="29" t="str">
        <x:v>NHPN-gated shared-boundary SCA path</x:v>
      </x:c>
      <x:c r="J1305" s="29" t="str">
        <x:v>presence does not prove operability or capacity</x:v>
      </x:c>
    </x:row>
    <x:row r="1306" ht="64.80000305175781" hidden="0" customHeight="1">
      <x:c r="A1306" s="27" t="str">
        <x:v>SCA-11</x:v>
      </x:c>
      <x:c r="B1306" s="27" t="str">
        <x:v>SCA-17</x:v>
      </x:c>
      <x:c r="C1306" s="27" t="str">
        <x:v>Rail</x:v>
      </x:c>
      <x:c r="D1306" s="27" t="str">
        <x:v>YES</x:v>
      </x:c>
      <x:c r="E1306" s="27" t="str">
        <x:v>YES</x:v>
      </x:c>
      <x:c r="F1306" s="61" t="n">
        <x:v>1380.070753552006</x:v>
      </x:c>
      <x:c r="G1306" s="61" t="n">
        <x:v>45.715296479314375</x:v>
      </x:c>
      <x:c r="H1306" s="27" t="str">
        <x:v>YES</x:v>
      </x:c>
      <x:c r="I1306" s="27" t="str">
        <x:v>NARN shared-node topology; deployable terminal required</x:v>
      </x:c>
      <x:c r="J1306" s="27" t="str">
        <x:v>presence does not prove operability or capacity</x:v>
      </x:c>
    </x:row>
    <x:row r="1307" ht="54" hidden="0" customHeight="1">
      <x:c r="A1307" s="29" t="str">
        <x:v>SCA-11</x:v>
      </x:c>
      <x:c r="B1307" s="29" t="str">
        <x:v>SCA-17</x:v>
      </x:c>
      <x:c r="C1307" s="29" t="str">
        <x:v>Air</x:v>
      </x:c>
      <x:c r="D1307" s="29" t="str">
        <x:v>YES</x:v>
      </x:c>
      <x:c r="E1307" s="29" t="str">
        <x:v>YES</x:v>
      </x:c>
      <x:c r="F1307" s="62" t="n">
        <x:v>1091.554854506722</x:v>
      </x:c>
      <x:c r="G1307" s="62" t="n">
        <x:v>25.679315160779574</x:v>
      </x:c>
      <x:c r="H1307" s="29" t="str">
        <x:v>YES</x:v>
      </x:c>
      <x:c r="I1307" s="29" t="str">
        <x:v>primary-airport endpoints; great-circle screen</x:v>
      </x:c>
      <x:c r="J1307" s="29" t="str">
        <x:v>presence does not prove operability or capacity</x:v>
      </x:c>
    </x:row>
    <x:row r="1308" ht="54" hidden="0" customHeight="1">
      <x:c r="A1308" s="27" t="str">
        <x:v>SCA-11</x:v>
      </x:c>
      <x:c r="B1308" s="27" t="str">
        <x:v>SCA-17</x:v>
      </x:c>
      <x:c r="C1308" s="27" t="str">
        <x:v>Water</x:v>
      </x:c>
      <x:c r="D1308" s="27" t="str">
        <x:v>NO</x:v>
      </x:c>
      <x:c r="E1308" s="27" t="str">
        <x:v>NO</x:v>
      </x:c>
      <x:c r="F1308" s="61"/>
      <x:c r="G1308" s="61"/>
      <x:c r="H1308" s="27" t="str">
        <x:v>NO</x:v>
      </x:c>
      <x:c r="I1308" s="27" t="str">
        <x:v>no screened path</x:v>
      </x:c>
      <x:c r="J1308" s="27" t="str">
        <x:v>presence does not prove operability or capacity</x:v>
      </x:c>
    </x:row>
    <x:row r="1309" ht="54" hidden="0" customHeight="1">
      <x:c r="A1309" s="29" t="str">
        <x:v>SCA-11</x:v>
      </x:c>
      <x:c r="B1309" s="29" t="str">
        <x:v>SCA-18</x:v>
      </x:c>
      <x:c r="C1309" s="29" t="str">
        <x:v>Road</x:v>
      </x:c>
      <x:c r="D1309" s="29" t="str">
        <x:v>YES</x:v>
      </x:c>
      <x:c r="E1309" s="29" t="str">
        <x:v>YES</x:v>
      </x:c>
      <x:c r="F1309" s="62" t="n">
        <x:v>2031.593477691466</x:v>
      </x:c>
      <x:c r="G1309" s="62" t="n">
        <x:v>56.938063230753926</x:v>
      </x:c>
      <x:c r="H1309" s="29" t="str">
        <x:v>YES</x:v>
      </x:c>
      <x:c r="I1309" s="29" t="str">
        <x:v>NHPN-gated shared-boundary SCA path</x:v>
      </x:c>
      <x:c r="J1309" s="29" t="str">
        <x:v>presence does not prove operability or capacity</x:v>
      </x:c>
    </x:row>
    <x:row r="1310" ht="64.80000305175781" hidden="0" customHeight="1">
      <x:c r="A1310" s="27" t="str">
        <x:v>SCA-11</x:v>
      </x:c>
      <x:c r="B1310" s="27" t="str">
        <x:v>SCA-18</x:v>
      </x:c>
      <x:c r="C1310" s="27" t="str">
        <x:v>Rail</x:v>
      </x:c>
      <x:c r="D1310" s="27" t="str">
        <x:v>YES</x:v>
      </x:c>
      <x:c r="E1310" s="27" t="str">
        <x:v>YES</x:v>
      </x:c>
      <x:c r="F1310" s="61" t="n">
        <x:v>2155.2556893770334</x:v>
      </x:c>
      <x:c r="G1310" s="61" t="n">
        <x:v>56.78936699110048</x:v>
      </x:c>
      <x:c r="H1310" s="27" t="str">
        <x:v>YES</x:v>
      </x:c>
      <x:c r="I1310" s="27" t="str">
        <x:v>NARN shared-node topology; deployable terminal required</x:v>
      </x:c>
      <x:c r="J1310" s="27" t="str">
        <x:v>presence does not prove operability or capacity</x:v>
      </x:c>
    </x:row>
    <x:row r="1311" ht="54" hidden="0" customHeight="1">
      <x:c r="A1311" s="29" t="str">
        <x:v>SCA-11</x:v>
      </x:c>
      <x:c r="B1311" s="29" t="str">
        <x:v>SCA-18</x:v>
      </x:c>
      <x:c r="C1311" s="29" t="str">
        <x:v>Air</x:v>
      </x:c>
      <x:c r="D1311" s="29" t="str">
        <x:v>YES</x:v>
      </x:c>
      <x:c r="E1311" s="29" t="str">
        <x:v>YES</x:v>
      </x:c>
      <x:c r="F1311" s="62" t="n">
        <x:v>1600.9353113205043</x:v>
      </x:c>
      <x:c r="G1311" s="62" t="n">
        <x:v>26.462977402031544</x:v>
      </x:c>
      <x:c r="H1311" s="29" t="str">
        <x:v>YES</x:v>
      </x:c>
      <x:c r="I1311" s="29" t="str">
        <x:v>primary-airport endpoints; great-circle screen</x:v>
      </x:c>
      <x:c r="J1311" s="29" t="str">
        <x:v>presence does not prove operability or capacity</x:v>
      </x:c>
    </x:row>
    <x:row r="1312" ht="54" hidden="0" customHeight="1">
      <x:c r="A1312" s="27" t="str">
        <x:v>SCA-11</x:v>
      </x:c>
      <x:c r="B1312" s="27" t="str">
        <x:v>SCA-18</x:v>
      </x:c>
      <x:c r="C1312" s="27" t="str">
        <x:v>Water</x:v>
      </x:c>
      <x:c r="D1312" s="27" t="str">
        <x:v>NO</x:v>
      </x:c>
      <x:c r="E1312" s="27" t="str">
        <x:v>NO</x:v>
      </x:c>
      <x:c r="F1312" s="61"/>
      <x:c r="G1312" s="61"/>
      <x:c r="H1312" s="27" t="str">
        <x:v>NO</x:v>
      </x:c>
      <x:c r="I1312" s="27" t="str">
        <x:v>no screened path</x:v>
      </x:c>
      <x:c r="J1312" s="27" t="str">
        <x:v>presence does not prove operability or capacity</x:v>
      </x:c>
    </x:row>
    <x:row r="1313" ht="54" hidden="0" customHeight="1">
      <x:c r="A1313" s="29" t="str">
        <x:v>SCA-11</x:v>
      </x:c>
      <x:c r="B1313" s="29" t="str">
        <x:v>SCA-19</x:v>
      </x:c>
      <x:c r="C1313" s="29" t="str">
        <x:v>Road</x:v>
      </x:c>
      <x:c r="D1313" s="29" t="str">
        <x:v>YES</x:v>
      </x:c>
      <x:c r="E1313" s="29" t="str">
        <x:v>YES</x:v>
      </x:c>
      <x:c r="F1313" s="62" t="n">
        <x:v>2076.8895293423584</x:v>
      </x:c>
      <x:c r="G1313" s="62" t="n">
        <x:v>57.761627806224695</x:v>
      </x:c>
      <x:c r="H1313" s="29" t="str">
        <x:v>YES</x:v>
      </x:c>
      <x:c r="I1313" s="29" t="str">
        <x:v>NHPN-gated shared-boundary SCA path</x:v>
      </x:c>
      <x:c r="J1313" s="29" t="str">
        <x:v>presence does not prove operability or capacity</x:v>
      </x:c>
    </x:row>
    <x:row r="1314" ht="64.80000305175781" hidden="0" customHeight="1">
      <x:c r="A1314" s="27" t="str">
        <x:v>SCA-11</x:v>
      </x:c>
      <x:c r="B1314" s="27" t="str">
        <x:v>SCA-19</x:v>
      </x:c>
      <x:c r="C1314" s="27" t="str">
        <x:v>Rail</x:v>
      </x:c>
      <x:c r="D1314" s="27" t="str">
        <x:v>YES</x:v>
      </x:c>
      <x:c r="E1314" s="27" t="str">
        <x:v>YES</x:v>
      </x:c>
      <x:c r="F1314" s="61" t="n">
        <x:v>2203.308891997981</x:v>
      </x:c>
      <x:c r="G1314" s="61" t="n">
        <x:v>57.47584131425687</x:v>
      </x:c>
      <x:c r="H1314" s="27" t="str">
        <x:v>YES</x:v>
      </x:c>
      <x:c r="I1314" s="27" t="str">
        <x:v>NARN shared-node topology; deployable terminal required</x:v>
      </x:c>
      <x:c r="J1314" s="27" t="str">
        <x:v>presence does not prove operability or capacity</x:v>
      </x:c>
    </x:row>
    <x:row r="1315" ht="54" hidden="0" customHeight="1">
      <x:c r="A1315" s="29" t="str">
        <x:v>SCA-11</x:v>
      </x:c>
      <x:c r="B1315" s="29" t="str">
        <x:v>SCA-19</x:v>
      </x:c>
      <x:c r="C1315" s="29" t="str">
        <x:v>Air</x:v>
      </x:c>
      <x:c r="D1315" s="29" t="str">
        <x:v>YES</x:v>
      </x:c>
      <x:c r="E1315" s="29" t="str">
        <x:v>YES</x:v>
      </x:c>
      <x:c r="F1315" s="62" t="n">
        <x:v>1416.1396139861617</x:v>
      </x:c>
      <x:c r="G1315" s="62" t="n">
        <x:v>26.17867632920948</x:v>
      </x:c>
      <x:c r="H1315" s="29" t="str">
        <x:v>YES</x:v>
      </x:c>
      <x:c r="I1315" s="29" t="str">
        <x:v>primary-airport endpoints; great-circle screen</x:v>
      </x:c>
      <x:c r="J1315" s="29" t="str">
        <x:v>presence does not prove operability or capacity</x:v>
      </x:c>
    </x:row>
    <x:row r="1316" ht="54" hidden="0" customHeight="1">
      <x:c r="A1316" s="27" t="str">
        <x:v>SCA-11</x:v>
      </x:c>
      <x:c r="B1316" s="27" t="str">
        <x:v>SCA-19</x:v>
      </x:c>
      <x:c r="C1316" s="27" t="str">
        <x:v>Water</x:v>
      </x:c>
      <x:c r="D1316" s="27" t="str">
        <x:v>NO</x:v>
      </x:c>
      <x:c r="E1316" s="27" t="str">
        <x:v>NO</x:v>
      </x:c>
      <x:c r="F1316" s="61"/>
      <x:c r="G1316" s="61"/>
      <x:c r="H1316" s="27" t="str">
        <x:v>NO</x:v>
      </x:c>
      <x:c r="I1316" s="27" t="str">
        <x:v>no screened path</x:v>
      </x:c>
      <x:c r="J1316" s="27" t="str">
        <x:v>presence does not prove operability or capacity</x:v>
      </x:c>
    </x:row>
    <x:row r="1317" ht="54" hidden="0" customHeight="1">
      <x:c r="A1317" s="29" t="str">
        <x:v>SCA-11</x:v>
      </x:c>
      <x:c r="B1317" s="29" t="str">
        <x:v>SCA-20</x:v>
      </x:c>
      <x:c r="C1317" s="29" t="str">
        <x:v>Road</x:v>
      </x:c>
      <x:c r="D1317" s="29" t="str">
        <x:v>YES</x:v>
      </x:c>
      <x:c r="E1317" s="29" t="str">
        <x:v>YES</x:v>
      </x:c>
      <x:c r="F1317" s="62" t="n">
        <x:v>1628.3710131448865</x:v>
      </x:c>
      <x:c r="G1317" s="62" t="n">
        <x:v>49.60674569354339</x:v>
      </x:c>
      <x:c r="H1317" s="29" t="str">
        <x:v>YES</x:v>
      </x:c>
      <x:c r="I1317" s="29" t="str">
        <x:v>NHPN-gated shared-boundary SCA path</x:v>
      </x:c>
      <x:c r="J1317" s="29" t="str">
        <x:v>presence does not prove operability or capacity</x:v>
      </x:c>
    </x:row>
    <x:row r="1318" ht="64.80000305175781" hidden="0" customHeight="1">
      <x:c r="A1318" s="27" t="str">
        <x:v>SCA-11</x:v>
      </x:c>
      <x:c r="B1318" s="27" t="str">
        <x:v>SCA-20</x:v>
      </x:c>
      <x:c r="C1318" s="27" t="str">
        <x:v>Rail</x:v>
      </x:c>
      <x:c r="D1318" s="27" t="str">
        <x:v>YES</x:v>
      </x:c>
      <x:c r="E1318" s="27" t="str">
        <x:v>YES</x:v>
      </x:c>
      <x:c r="F1318" s="61" t="n">
        <x:v>1727.4892487276188</x:v>
      </x:c>
      <x:c r="G1318" s="61" t="n">
        <x:v>50.678417838965984</x:v>
      </x:c>
      <x:c r="H1318" s="27" t="str">
        <x:v>YES</x:v>
      </x:c>
      <x:c r="I1318" s="27" t="str">
        <x:v>NARN shared-node topology; deployable terminal required</x:v>
      </x:c>
      <x:c r="J1318" s="27" t="str">
        <x:v>presence does not prove operability or capacity</x:v>
      </x:c>
    </x:row>
    <x:row r="1319" ht="54" hidden="0" customHeight="1">
      <x:c r="A1319" s="29" t="str">
        <x:v>SCA-11</x:v>
      </x:c>
      <x:c r="B1319" s="29" t="str">
        <x:v>SCA-20</x:v>
      </x:c>
      <x:c r="C1319" s="29" t="str">
        <x:v>Air</x:v>
      </x:c>
      <x:c r="D1319" s="29" t="str">
        <x:v>YES</x:v>
      </x:c>
      <x:c r="E1319" s="29" t="str">
        <x:v>YES</x:v>
      </x:c>
      <x:c r="F1319" s="62" t="n">
        <x:v>1401.994310192248</x:v>
      </x:c>
      <x:c r="G1319" s="62" t="n">
        <x:v>26.15691432337269</x:v>
      </x:c>
      <x:c r="H1319" s="29" t="str">
        <x:v>YES</x:v>
      </x:c>
      <x:c r="I1319" s="29" t="str">
        <x:v>primary-airport endpoints; great-circle screen</x:v>
      </x:c>
      <x:c r="J1319" s="29" t="str">
        <x:v>presence does not prove operability or capacity</x:v>
      </x:c>
    </x:row>
    <x:row r="1320" ht="54" hidden="0" customHeight="1">
      <x:c r="A1320" s="27" t="str">
        <x:v>SCA-11</x:v>
      </x:c>
      <x:c r="B1320" s="27" t="str">
        <x:v>SCA-20</x:v>
      </x:c>
      <x:c r="C1320" s="27" t="str">
        <x:v>Water</x:v>
      </x:c>
      <x:c r="D1320" s="27" t="str">
        <x:v>NO</x:v>
      </x:c>
      <x:c r="E1320" s="27" t="str">
        <x:v>NO</x:v>
      </x:c>
      <x:c r="F1320" s="61"/>
      <x:c r="G1320" s="61"/>
      <x:c r="H1320" s="27" t="str">
        <x:v>NO</x:v>
      </x:c>
      <x:c r="I1320" s="27" t="str">
        <x:v>no screened path</x:v>
      </x:c>
      <x:c r="J1320" s="27" t="str">
        <x:v>presence does not prove operability or capacity</x:v>
      </x:c>
    </x:row>
    <x:row r="1321" ht="54" hidden="0" customHeight="1">
      <x:c r="A1321" s="29" t="str">
        <x:v>SCA-11</x:v>
      </x:c>
      <x:c r="B1321" s="29" t="str">
        <x:v>SCA-21</x:v>
      </x:c>
      <x:c r="C1321" s="29" t="str">
        <x:v>Road</x:v>
      </x:c>
      <x:c r="D1321" s="29" t="str">
        <x:v>YES</x:v>
      </x:c>
      <x:c r="E1321" s="29" t="str">
        <x:v>YES</x:v>
      </x:c>
      <x:c r="F1321" s="62" t="n">
        <x:v>2602.416890517462</x:v>
      </x:c>
      <x:c r="G1321" s="62" t="n">
        <x:v>67.31667073668112</x:v>
      </x:c>
      <x:c r="H1321" s="29" t="str">
        <x:v>YES</x:v>
      </x:c>
      <x:c r="I1321" s="29" t="str">
        <x:v>NHPN-gated shared-boundary SCA path</x:v>
      </x:c>
      <x:c r="J1321" s="29" t="str">
        <x:v>presence does not prove operability or capacity</x:v>
      </x:c>
    </x:row>
    <x:row r="1322" ht="64.80000305175781" hidden="0" customHeight="1">
      <x:c r="A1322" s="27" t="str">
        <x:v>SCA-11</x:v>
      </x:c>
      <x:c r="B1322" s="27" t="str">
        <x:v>SCA-21</x:v>
      </x:c>
      <x:c r="C1322" s="27" t="str">
        <x:v>Rail</x:v>
      </x:c>
      <x:c r="D1322" s="27" t="str">
        <x:v>YES</x:v>
      </x:c>
      <x:c r="E1322" s="27" t="str">
        <x:v>YES</x:v>
      </x:c>
      <x:c r="F1322" s="61" t="n">
        <x:v>2760.824875157656</x:v>
      </x:c>
      <x:c r="G1322" s="61" t="n">
        <x:v>65.44035535939508</x:v>
      </x:c>
      <x:c r="H1322" s="27" t="str">
        <x:v>YES</x:v>
      </x:c>
      <x:c r="I1322" s="27" t="str">
        <x:v>NARN shared-node topology; deployable terminal required</x:v>
      </x:c>
      <x:c r="J1322" s="27" t="str">
        <x:v>presence does not prove operability or capacity</x:v>
      </x:c>
    </x:row>
    <x:row r="1323" ht="54" hidden="0" customHeight="1">
      <x:c r="A1323" s="29" t="str">
        <x:v>SCA-11</x:v>
      </x:c>
      <x:c r="B1323" s="29" t="str">
        <x:v>SCA-21</x:v>
      </x:c>
      <x:c r="C1323" s="29" t="str">
        <x:v>Air</x:v>
      </x:c>
      <x:c r="D1323" s="29" t="str">
        <x:v>YES</x:v>
      </x:c>
      <x:c r="E1323" s="29" t="str">
        <x:v>YES</x:v>
      </x:c>
      <x:c r="F1323" s="62" t="n">
        <x:v>1802.5125938753442</x:v>
      </x:c>
      <x:c r="G1323" s="62" t="n">
        <x:v>26.77309629826976</x:v>
      </x:c>
      <x:c r="H1323" s="29" t="str">
        <x:v>YES</x:v>
      </x:c>
      <x:c r="I1323" s="29" t="str">
        <x:v>primary-airport endpoints; great-circle screen</x:v>
      </x:c>
      <x:c r="J1323" s="29" t="str">
        <x:v>presence does not prove operability or capacity</x:v>
      </x:c>
    </x:row>
    <x:row r="1324" ht="54" hidden="0" customHeight="1">
      <x:c r="A1324" s="27" t="str">
        <x:v>SCA-11</x:v>
      </x:c>
      <x:c r="B1324" s="27" t="str">
        <x:v>SCA-21</x:v>
      </x:c>
      <x:c r="C1324" s="27" t="str">
        <x:v>Water</x:v>
      </x:c>
      <x:c r="D1324" s="27" t="str">
        <x:v>NO</x:v>
      </x:c>
      <x:c r="E1324" s="27" t="str">
        <x:v>NO</x:v>
      </x:c>
      <x:c r="F1324" s="61"/>
      <x:c r="G1324" s="61"/>
      <x:c r="H1324" s="27" t="str">
        <x:v>NO</x:v>
      </x:c>
      <x:c r="I1324" s="27" t="str">
        <x:v>no screened path</x:v>
      </x:c>
      <x:c r="J1324" s="27" t="str">
        <x:v>presence does not prove operability or capacity</x:v>
      </x:c>
    </x:row>
    <x:row r="1325" ht="54" hidden="0" customHeight="1">
      <x:c r="A1325" s="29" t="str">
        <x:v>SCA-11</x:v>
      </x:c>
      <x:c r="B1325" s="29" t="str">
        <x:v>SCA-22</x:v>
      </x:c>
      <x:c r="C1325" s="29" t="str">
        <x:v>Road</x:v>
      </x:c>
      <x:c r="D1325" s="29" t="str">
        <x:v>YES</x:v>
      </x:c>
      <x:c r="E1325" s="29" t="str">
        <x:v>YES</x:v>
      </x:c>
      <x:c r="F1325" s="62" t="n">
        <x:v>2357.8608941861226</x:v>
      </x:c>
      <x:c r="G1325" s="62" t="n">
        <x:v>62.87019807611132</x:v>
      </x:c>
      <x:c r="H1325" s="29" t="str">
        <x:v>YES</x:v>
      </x:c>
      <x:c r="I1325" s="29" t="str">
        <x:v>NHPN-gated shared-boundary SCA path</x:v>
      </x:c>
      <x:c r="J1325" s="29" t="str">
        <x:v>presence does not prove operability or capacity</x:v>
      </x:c>
    </x:row>
    <x:row r="1326" ht="64.80000305175781" hidden="0" customHeight="1">
      <x:c r="A1326" s="27" t="str">
        <x:v>SCA-11</x:v>
      </x:c>
      <x:c r="B1326" s="27" t="str">
        <x:v>SCA-22</x:v>
      </x:c>
      <x:c r="C1326" s="27" t="str">
        <x:v>Rail</x:v>
      </x:c>
      <x:c r="D1326" s="27" t="str">
        <x:v>YES</x:v>
      </x:c>
      <x:c r="E1326" s="27" t="str">
        <x:v>YES</x:v>
      </x:c>
      <x:c r="F1326" s="61" t="n">
        <x:v>2501.3828616583214</x:v>
      </x:c>
      <x:c r="G1326" s="61" t="n">
        <x:v>61.73404088083316</x:v>
      </x:c>
      <x:c r="H1326" s="27" t="str">
        <x:v>YES</x:v>
      </x:c>
      <x:c r="I1326" s="27" t="str">
        <x:v>NARN shared-node topology; deployable terminal required</x:v>
      </x:c>
      <x:c r="J1326" s="27" t="str">
        <x:v>presence does not prove operability or capacity</x:v>
      </x:c>
    </x:row>
    <x:row r="1327" ht="54" hidden="0" customHeight="1">
      <x:c r="A1327" s="29" t="str">
        <x:v>SCA-11</x:v>
      </x:c>
      <x:c r="B1327" s="29" t="str">
        <x:v>SCA-22</x:v>
      </x:c>
      <x:c r="C1327" s="29" t="str">
        <x:v>Air</x:v>
      </x:c>
      <x:c r="D1327" s="29" t="str">
        <x:v>YES</x:v>
      </x:c>
      <x:c r="E1327" s="29" t="str">
        <x:v>YES</x:v>
      </x:c>
      <x:c r="F1327" s="62" t="n">
        <x:v>1869.1109617187035</x:v>
      </x:c>
      <x:c r="G1327" s="62" t="n">
        <x:v>26.87555532572108</x:v>
      </x:c>
      <x:c r="H1327" s="29" t="str">
        <x:v>YES</x:v>
      </x:c>
      <x:c r="I1327" s="29" t="str">
        <x:v>primary-airport endpoints; great-circle screen</x:v>
      </x:c>
      <x:c r="J1327" s="29" t="str">
        <x:v>presence does not prove operability or capacity</x:v>
      </x:c>
    </x:row>
    <x:row r="1328" ht="54" hidden="0" customHeight="1">
      <x:c r="A1328" s="27" t="str">
        <x:v>SCA-11</x:v>
      </x:c>
      <x:c r="B1328" s="27" t="str">
        <x:v>SCA-22</x:v>
      </x:c>
      <x:c r="C1328" s="27" t="str">
        <x:v>Water</x:v>
      </x:c>
      <x:c r="D1328" s="27" t="str">
        <x:v>NO</x:v>
      </x:c>
      <x:c r="E1328" s="27" t="str">
        <x:v>NO</x:v>
      </x:c>
      <x:c r="F1328" s="61"/>
      <x:c r="G1328" s="61"/>
      <x:c r="H1328" s="27" t="str">
        <x:v>NO</x:v>
      </x:c>
      <x:c r="I1328" s="27" t="str">
        <x:v>no screened path</x:v>
      </x:c>
      <x:c r="J1328" s="27" t="str">
        <x:v>presence does not prove operability or capacity</x:v>
      </x:c>
    </x:row>
    <x:row r="1329" ht="54" hidden="0" customHeight="1">
      <x:c r="A1329" s="29" t="str">
        <x:v>SCA-11</x:v>
      </x:c>
      <x:c r="B1329" s="29" t="str">
        <x:v>SCA-23</x:v>
      </x:c>
      <x:c r="C1329" s="29" t="str">
        <x:v>Road</x:v>
      </x:c>
      <x:c r="D1329" s="29" t="str">
        <x:v>YES</x:v>
      </x:c>
      <x:c r="E1329" s="29" t="str">
        <x:v>YES</x:v>
      </x:c>
      <x:c r="F1329" s="62" t="n">
        <x:v>2207.870006994082</x:v>
      </x:c>
      <x:c r="G1329" s="62" t="n">
        <x:v>60.14309103625603</x:v>
      </x:c>
      <x:c r="H1329" s="29" t="str">
        <x:v>YES</x:v>
      </x:c>
      <x:c r="I1329" s="29" t="str">
        <x:v>NHPN-gated shared-boundary SCA path</x:v>
      </x:c>
      <x:c r="J1329" s="29" t="str">
        <x:v>presence does not prove operability or capacity</x:v>
      </x:c>
    </x:row>
    <x:row r="1330" ht="64.80000305175781" hidden="0" customHeight="1">
      <x:c r="A1330" s="27" t="str">
        <x:v>SCA-11</x:v>
      </x:c>
      <x:c r="B1330" s="27" t="str">
        <x:v>SCA-23</x:v>
      </x:c>
      <x:c r="C1330" s="27" t="str">
        <x:v>Rail</x:v>
      </x:c>
      <x:c r="D1330" s="27" t="str">
        <x:v>YES</x:v>
      </x:c>
      <x:c r="E1330" s="27" t="str">
        <x:v>YES</x:v>
      </x:c>
      <x:c r="F1330" s="61" t="n">
        <x:v>2342.2620943763304</x:v>
      </x:c>
      <x:c r="G1330" s="61" t="n">
        <x:v>59.46088706251901</x:v>
      </x:c>
      <x:c r="H1330" s="27" t="str">
        <x:v>YES</x:v>
      </x:c>
      <x:c r="I1330" s="27" t="str">
        <x:v>NARN shared-node topology; deployable terminal required</x:v>
      </x:c>
      <x:c r="J1330" s="27" t="str">
        <x:v>presence does not prove operability or capacity</x:v>
      </x:c>
    </x:row>
    <x:row r="1331" ht="54" hidden="0" customHeight="1">
      <x:c r="A1331" s="29" t="str">
        <x:v>SCA-11</x:v>
      </x:c>
      <x:c r="B1331" s="29" t="str">
        <x:v>SCA-23</x:v>
      </x:c>
      <x:c r="C1331" s="29" t="str">
        <x:v>Air</x:v>
      </x:c>
      <x:c r="D1331" s="29" t="str">
        <x:v>YES</x:v>
      </x:c>
      <x:c r="E1331" s="29" t="str">
        <x:v>YES</x:v>
      </x:c>
      <x:c r="F1331" s="62" t="n">
        <x:v>1905.7908226220752</x:v>
      </x:c>
      <x:c r="G1331" s="62" t="n">
        <x:v>26.93198588095704</x:v>
      </x:c>
      <x:c r="H1331" s="29" t="str">
        <x:v>YES</x:v>
      </x:c>
      <x:c r="I1331" s="29" t="str">
        <x:v>primary-airport endpoints; great-circle screen</x:v>
      </x:c>
      <x:c r="J1331" s="29" t="str">
        <x:v>presence does not prove operability or capacity</x:v>
      </x:c>
    </x:row>
    <x:row r="1332" ht="54" hidden="0" customHeight="1">
      <x:c r="A1332" s="27" t="str">
        <x:v>SCA-11</x:v>
      </x:c>
      <x:c r="B1332" s="27" t="str">
        <x:v>SCA-23</x:v>
      </x:c>
      <x:c r="C1332" s="27" t="str">
        <x:v>Water</x:v>
      </x:c>
      <x:c r="D1332" s="27" t="str">
        <x:v>NO</x:v>
      </x:c>
      <x:c r="E1332" s="27" t="str">
        <x:v>NO</x:v>
      </x:c>
      <x:c r="F1332" s="61"/>
      <x:c r="G1332" s="61"/>
      <x:c r="H1332" s="27" t="str">
        <x:v>NO</x:v>
      </x:c>
      <x:c r="I1332" s="27" t="str">
        <x:v>no screened path</x:v>
      </x:c>
      <x:c r="J1332" s="27" t="str">
        <x:v>presence does not prove operability or capacity</x:v>
      </x:c>
    </x:row>
    <x:row r="1333" ht="54" hidden="0" customHeight="1">
      <x:c r="A1333" s="29" t="str">
        <x:v>SCA-11</x:v>
      </x:c>
      <x:c r="B1333" s="29" t="str">
        <x:v>SCA-24</x:v>
      </x:c>
      <x:c r="C1333" s="29" t="str">
        <x:v>Road</x:v>
      </x:c>
      <x:c r="D1333" s="29" t="str">
        <x:v>YES</x:v>
      </x:c>
      <x:c r="E1333" s="29" t="str">
        <x:v>YES</x:v>
      </x:c>
      <x:c r="F1333" s="62" t="n">
        <x:v>2893.673371999966</x:v>
      </x:c>
      <x:c r="G1333" s="62" t="n">
        <x:v>72.61224312727211</x:v>
      </x:c>
      <x:c r="H1333" s="29" t="str">
        <x:v>NO</x:v>
      </x:c>
      <x:c r="I1333" s="29" t="str">
        <x:v>NHPN-gated shared-boundary SCA path</x:v>
      </x:c>
      <x:c r="J1333" s="29" t="str">
        <x:v>presence does not prove operability or capacity</x:v>
      </x:c>
    </x:row>
    <x:row r="1334" ht="64.80000305175781" hidden="0" customHeight="1">
      <x:c r="A1334" s="27" t="str">
        <x:v>SCA-11</x:v>
      </x:c>
      <x:c r="B1334" s="27" t="str">
        <x:v>SCA-24</x:v>
      </x:c>
      <x:c r="C1334" s="27" t="str">
        <x:v>Rail</x:v>
      </x:c>
      <x:c r="D1334" s="27" t="str">
        <x:v>YES</x:v>
      </x:c>
      <x:c r="E1334" s="27" t="str">
        <x:v>YES</x:v>
      </x:c>
      <x:c r="F1334" s="61" t="n">
        <x:v>3069.8100120347467</x:v>
      </x:c>
      <x:c r="G1334" s="61" t="n">
        <x:v>69.85442874335352</x:v>
      </x:c>
      <x:c r="H1334" s="27" t="str">
        <x:v>YES</x:v>
      </x:c>
      <x:c r="I1334" s="27" t="str">
        <x:v>NARN shared-node topology; deployable terminal required</x:v>
      </x:c>
      <x:c r="J1334" s="27" t="str">
        <x:v>presence does not prove operability or capacity</x:v>
      </x:c>
    </x:row>
    <x:row r="1335" ht="54" hidden="0" customHeight="1">
      <x:c r="A1335" s="29" t="str">
        <x:v>SCA-11</x:v>
      </x:c>
      <x:c r="B1335" s="29" t="str">
        <x:v>SCA-24</x:v>
      </x:c>
      <x:c r="C1335" s="29" t="str">
        <x:v>Air</x:v>
      </x:c>
      <x:c r="D1335" s="29" t="str">
        <x:v>YES</x:v>
      </x:c>
      <x:c r="E1335" s="29" t="str">
        <x:v>YES</x:v>
      </x:c>
      <x:c r="F1335" s="62" t="n">
        <x:v>2125.6604473933144</x:v>
      </x:c>
      <x:c r="G1335" s="62" t="n">
        <x:v>27.27024684214356</x:v>
      </x:c>
      <x:c r="H1335" s="29" t="str">
        <x:v>YES</x:v>
      </x:c>
      <x:c r="I1335" s="29" t="str">
        <x:v>primary-airport endpoints; great-circle screen</x:v>
      </x:c>
      <x:c r="J1335" s="29" t="str">
        <x:v>presence does not prove operability or capacity</x:v>
      </x:c>
    </x:row>
    <x:row r="1336" ht="54" hidden="0" customHeight="1">
      <x:c r="A1336" s="27" t="str">
        <x:v>SCA-11</x:v>
      </x:c>
      <x:c r="B1336" s="27" t="str">
        <x:v>SCA-24</x:v>
      </x:c>
      <x:c r="C1336" s="27" t="str">
        <x:v>Water</x:v>
      </x:c>
      <x:c r="D1336" s="27" t="str">
        <x:v>NO</x:v>
      </x:c>
      <x:c r="E1336" s="27" t="str">
        <x:v>NO</x:v>
      </x:c>
      <x:c r="F1336" s="61"/>
      <x:c r="G1336" s="61"/>
      <x:c r="H1336" s="27" t="str">
        <x:v>NO</x:v>
      </x:c>
      <x:c r="I1336" s="27" t="str">
        <x:v>no screened path</x:v>
      </x:c>
      <x:c r="J1336" s="27" t="str">
        <x:v>presence does not prove operability or capacity</x:v>
      </x:c>
    </x:row>
    <x:row r="1337" ht="54" hidden="0" customHeight="1">
      <x:c r="A1337" s="29" t="str">
        <x:v>SCA-11</x:v>
      </x:c>
      <x:c r="B1337" s="29" t="str">
        <x:v>SCA-25</x:v>
      </x:c>
      <x:c r="C1337" s="29" t="str">
        <x:v>Road</x:v>
      </x:c>
      <x:c r="D1337" s="29" t="str">
        <x:v>YES</x:v>
      </x:c>
      <x:c r="E1337" s="29" t="str">
        <x:v>YES</x:v>
      </x:c>
      <x:c r="F1337" s="62" t="n">
        <x:v>2702.4541869135214</x:v>
      </x:c>
      <x:c r="G1337" s="62" t="n">
        <x:v>69.13553067115492</x:v>
      </x:c>
      <x:c r="H1337" s="29" t="str">
        <x:v>YES</x:v>
      </x:c>
      <x:c r="I1337" s="29" t="str">
        <x:v>NHPN-gated shared-boundary SCA path</x:v>
      </x:c>
      <x:c r="J1337" s="29" t="str">
        <x:v>presence does not prove operability or capacity</x:v>
      </x:c>
    </x:row>
    <x:row r="1338" ht="64.80000305175781" hidden="0" customHeight="1">
      <x:c r="A1338" s="27" t="str">
        <x:v>SCA-11</x:v>
      </x:c>
      <x:c r="B1338" s="27" t="str">
        <x:v>SCA-25</x:v>
      </x:c>
      <x:c r="C1338" s="27" t="str">
        <x:v>Rail</x:v>
      </x:c>
      <x:c r="D1338" s="27" t="str">
        <x:v>YES</x:v>
      </x:c>
      <x:c r="E1338" s="27" t="str">
        <x:v>YES</x:v>
      </x:c>
      <x:c r="F1338" s="61" t="n">
        <x:v>2866.9513982908666</x:v>
      </x:c>
      <x:c r="G1338" s="61" t="n">
        <x:v>66.95644854701237</x:v>
      </x:c>
      <x:c r="H1338" s="27" t="str">
        <x:v>YES</x:v>
      </x:c>
      <x:c r="I1338" s="27" t="str">
        <x:v>NARN shared-node topology; deployable terminal required</x:v>
      </x:c>
      <x:c r="J1338" s="27" t="str">
        <x:v>presence does not prove operability or capacity</x:v>
      </x:c>
    </x:row>
    <x:row r="1339" ht="54" hidden="0" customHeight="1">
      <x:c r="A1339" s="29" t="str">
        <x:v>SCA-11</x:v>
      </x:c>
      <x:c r="B1339" s="29" t="str">
        <x:v>SCA-25</x:v>
      </x:c>
      <x:c r="C1339" s="29" t="str">
        <x:v>Air</x:v>
      </x:c>
      <x:c r="D1339" s="29" t="str">
        <x:v>YES</x:v>
      </x:c>
      <x:c r="E1339" s="29" t="str">
        <x:v>YES</x:v>
      </x:c>
      <x:c r="F1339" s="62" t="n">
        <x:v>2192.7542367696346</x:v>
      </x:c>
      <x:c r="G1339" s="62" t="n">
        <x:v>27.37346805656867</x:v>
      </x:c>
      <x:c r="H1339" s="29" t="str">
        <x:v>YES</x:v>
      </x:c>
      <x:c r="I1339" s="29" t="str">
        <x:v>primary-airport endpoints; great-circle screen</x:v>
      </x:c>
      <x:c r="J1339" s="29" t="str">
        <x:v>presence does not prove operability or capacity</x:v>
      </x:c>
    </x:row>
    <x:row r="1340" ht="54" hidden="0" customHeight="1">
      <x:c r="A1340" s="27" t="str">
        <x:v>SCA-11</x:v>
      </x:c>
      <x:c r="B1340" s="27" t="str">
        <x:v>SCA-25</x:v>
      </x:c>
      <x:c r="C1340" s="27" t="str">
        <x:v>Water</x:v>
      </x:c>
      <x:c r="D1340" s="27" t="str">
        <x:v>NO</x:v>
      </x:c>
      <x:c r="E1340" s="27" t="str">
        <x:v>NO</x:v>
      </x:c>
      <x:c r="F1340" s="61"/>
      <x:c r="G1340" s="61"/>
      <x:c r="H1340" s="27" t="str">
        <x:v>NO</x:v>
      </x:c>
      <x:c r="I1340" s="27" t="str">
        <x:v>no screened path</x:v>
      </x:c>
      <x:c r="J1340" s="27" t="str">
        <x:v>presence does not prove operability or capacity</x:v>
      </x:c>
    </x:row>
    <x:row r="1341" ht="54" hidden="0" customHeight="1">
      <x:c r="A1341" s="29" t="str">
        <x:v>SCA-11</x:v>
      </x:c>
      <x:c r="B1341" s="29" t="str">
        <x:v>SCA-26</x:v>
      </x:c>
      <x:c r="C1341" s="29" t="str">
        <x:v>Road</x:v>
      </x:c>
      <x:c r="D1341" s="29" t="str">
        <x:v>YES</x:v>
      </x:c>
      <x:c r="E1341" s="29" t="str">
        <x:v>YES</x:v>
      </x:c>
      <x:c r="F1341" s="62" t="n">
        <x:v>3030.953642678344</x:v>
      </x:c>
      <x:c r="G1341" s="62" t="n">
        <x:v>75.10824804869716</x:v>
      </x:c>
      <x:c r="H1341" s="29" t="str">
        <x:v>NO</x:v>
      </x:c>
      <x:c r="I1341" s="29" t="str">
        <x:v>NHPN-gated shared-boundary SCA path</x:v>
      </x:c>
      <x:c r="J1341" s="29" t="str">
        <x:v>presence does not prove operability or capacity</x:v>
      </x:c>
    </x:row>
    <x:row r="1342" ht="64.80000305175781" hidden="0" customHeight="1">
      <x:c r="A1342" s="27" t="str">
        <x:v>SCA-11</x:v>
      </x:c>
      <x:c r="B1342" s="27" t="str">
        <x:v>SCA-26</x:v>
      </x:c>
      <x:c r="C1342" s="27" t="str">
        <x:v>Rail</x:v>
      </x:c>
      <x:c r="D1342" s="27" t="str">
        <x:v>YES</x:v>
      </x:c>
      <x:c r="E1342" s="27" t="str">
        <x:v>YES</x:v>
      </x:c>
      <x:c r="F1342" s="61" t="n">
        <x:v>3215.4464731022426</x:v>
      </x:c>
      <x:c r="G1342" s="61" t="n">
        <x:v>71.93494961574632</x:v>
      </x:c>
      <x:c r="H1342" s="27" t="str">
        <x:v>YES</x:v>
      </x:c>
      <x:c r="I1342" s="27" t="str">
        <x:v>NARN shared-node topology; deployable terminal required</x:v>
      </x:c>
      <x:c r="J1342" s="27" t="str">
        <x:v>presence does not prove operability or capacity</x:v>
      </x:c>
    </x:row>
    <x:row r="1343" ht="54" hidden="0" customHeight="1">
      <x:c r="A1343" s="29" t="str">
        <x:v>SCA-11</x:v>
      </x:c>
      <x:c r="B1343" s="29" t="str">
        <x:v>SCA-26</x:v>
      </x:c>
      <x:c r="C1343" s="29" t="str">
        <x:v>Air</x:v>
      </x:c>
      <x:c r="D1343" s="29" t="str">
        <x:v>YES</x:v>
      </x:c>
      <x:c r="E1343" s="29" t="str">
        <x:v>YES</x:v>
      </x:c>
      <x:c r="F1343" s="62" t="n">
        <x:v>2297.710633209766</x:v>
      </x:c>
      <x:c r="G1343" s="62" t="n">
        <x:v>27.534939435707333</x:v>
      </x:c>
      <x:c r="H1343" s="29" t="str">
        <x:v>YES</x:v>
      </x:c>
      <x:c r="I1343" s="29" t="str">
        <x:v>primary-airport endpoints; great-circle screen</x:v>
      </x:c>
      <x:c r="J1343" s="29" t="str">
        <x:v>presence does not prove operability or capacity</x:v>
      </x:c>
    </x:row>
    <x:row r="1344" ht="54" hidden="0" customHeight="1">
      <x:c r="A1344" s="27" t="str">
        <x:v>SCA-11</x:v>
      </x:c>
      <x:c r="B1344" s="27" t="str">
        <x:v>SCA-26</x:v>
      </x:c>
      <x:c r="C1344" s="27" t="str">
        <x:v>Water</x:v>
      </x:c>
      <x:c r="D1344" s="27" t="str">
        <x:v>NO</x:v>
      </x:c>
      <x:c r="E1344" s="27" t="str">
        <x:v>NO</x:v>
      </x:c>
      <x:c r="F1344" s="61"/>
      <x:c r="G1344" s="61"/>
      <x:c r="H1344" s="27" t="str">
        <x:v>NO</x:v>
      </x:c>
      <x:c r="I1344" s="27" t="str">
        <x:v>no screened path</x:v>
      </x:c>
      <x:c r="J1344" s="27" t="str">
        <x:v>presence does not prove operability or capacity</x:v>
      </x:c>
    </x:row>
    <x:row r="1345" ht="54" hidden="0" customHeight="1">
      <x:c r="A1345" s="29" t="str">
        <x:v>SCA-11</x:v>
      </x:c>
      <x:c r="B1345" s="29" t="str">
        <x:v>SCA-27</x:v>
      </x:c>
      <x:c r="C1345" s="29" t="str">
        <x:v>Road</x:v>
      </x:c>
      <x:c r="D1345" s="29" t="str">
        <x:v>YES</x:v>
      </x:c>
      <x:c r="E1345" s="29" t="str">
        <x:v>YES</x:v>
      </x:c>
      <x:c r="F1345" s="62" t="n">
        <x:v>3310.5819067978923</x:v>
      </x:c>
      <x:c r="G1345" s="62" t="n">
        <x:v>80.19239830541622</x:v>
      </x:c>
      <x:c r="H1345" s="29" t="str">
        <x:v>NO</x:v>
      </x:c>
      <x:c r="I1345" s="29" t="str">
        <x:v>NHPN-gated shared-boundary SCA path</x:v>
      </x:c>
      <x:c r="J1345" s="29" t="str">
        <x:v>presence does not prove operability or capacity</x:v>
      </x:c>
    </x:row>
    <x:row r="1346" ht="64.80000305175781" hidden="0" customHeight="1">
      <x:c r="A1346" s="27" t="str">
        <x:v>SCA-11</x:v>
      </x:c>
      <x:c r="B1346" s="27" t="str">
        <x:v>SCA-27</x:v>
      </x:c>
      <x:c r="C1346" s="27" t="str">
        <x:v>Rail</x:v>
      </x:c>
      <x:c r="D1346" s="27" t="str">
        <x:v>YES</x:v>
      </x:c>
      <x:c r="E1346" s="27" t="str">
        <x:v>YES</x:v>
      </x:c>
      <x:c r="F1346" s="61" t="n">
        <x:v>3512.0955880812426</x:v>
      </x:c>
      <x:c r="G1346" s="61" t="n">
        <x:v>76.17279411544632</x:v>
      </x:c>
      <x:c r="H1346" s="27" t="str">
        <x:v>NO</x:v>
      </x:c>
      <x:c r="I1346" s="27" t="str">
        <x:v>NARN shared-node topology; deployable terminal required</x:v>
      </x:c>
      <x:c r="J1346" s="27" t="str">
        <x:v>presence does not prove operability or capacity</x:v>
      </x:c>
    </x:row>
    <x:row r="1347" ht="54" hidden="0" customHeight="1">
      <x:c r="A1347" s="29" t="str">
        <x:v>SCA-11</x:v>
      </x:c>
      <x:c r="B1347" s="29" t="str">
        <x:v>SCA-27</x:v>
      </x:c>
      <x:c r="C1347" s="29" t="str">
        <x:v>Air</x:v>
      </x:c>
      <x:c r="D1347" s="29" t="str">
        <x:v>YES</x:v>
      </x:c>
      <x:c r="E1347" s="29" t="str">
        <x:v>YES</x:v>
      </x:c>
      <x:c r="F1347" s="62" t="n">
        <x:v>2498.485605873928</x:v>
      </x:c>
      <x:c r="G1347" s="62" t="n">
        <x:v>27.843824009036812</x:v>
      </x:c>
      <x:c r="H1347" s="29" t="str">
        <x:v>YES</x:v>
      </x:c>
      <x:c r="I1347" s="29" t="str">
        <x:v>primary-airport endpoints; great-circle screen</x:v>
      </x:c>
      <x:c r="J1347" s="29" t="str">
        <x:v>presence does not prove operability or capacity</x:v>
      </x:c>
    </x:row>
    <x:row r="1348" ht="54" hidden="0" customHeight="1">
      <x:c r="A1348" s="27" t="str">
        <x:v>SCA-11</x:v>
      </x:c>
      <x:c r="B1348" s="27" t="str">
        <x:v>SCA-27</x:v>
      </x:c>
      <x:c r="C1348" s="27" t="str">
        <x:v>Water</x:v>
      </x:c>
      <x:c r="D1348" s="27" t="str">
        <x:v>NO</x:v>
      </x:c>
      <x:c r="E1348" s="27" t="str">
        <x:v>NO</x:v>
      </x:c>
      <x:c r="F1348" s="61"/>
      <x:c r="G1348" s="61"/>
      <x:c r="H1348" s="27" t="str">
        <x:v>NO</x:v>
      </x:c>
      <x:c r="I1348" s="27" t="str">
        <x:v>no screened path</x:v>
      </x:c>
      <x:c r="J1348" s="27" t="str">
        <x:v>presence does not prove operability or capacity</x:v>
      </x:c>
    </x:row>
    <x:row r="1349" ht="54" hidden="0" customHeight="1">
      <x:c r="A1349" s="29" t="str">
        <x:v>SCA-11</x:v>
      </x:c>
      <x:c r="B1349" s="29" t="str">
        <x:v>SCA-28</x:v>
      </x:c>
      <x:c r="C1349" s="29" t="str">
        <x:v>Road</x:v>
      </x:c>
      <x:c r="D1349" s="29" t="str">
        <x:v>YES</x:v>
      </x:c>
      <x:c r="E1349" s="29" t="str">
        <x:v>YES</x:v>
      </x:c>
      <x:c r="F1349" s="62" t="n">
        <x:v>3002.5158694504607</x:v>
      </x:c>
      <x:c r="G1349" s="62" t="n">
        <x:v>74.59119762637201</x:v>
      </x:c>
      <x:c r="H1349" s="29" t="str">
        <x:v>NO</x:v>
      </x:c>
      <x:c r="I1349" s="29" t="str">
        <x:v>NHPN-gated shared-boundary SCA path</x:v>
      </x:c>
      <x:c r="J1349" s="29" t="str">
        <x:v>presence does not prove operability or capacity</x:v>
      </x:c>
    </x:row>
    <x:row r="1350" ht="64.80000305175781" hidden="0" customHeight="1">
      <x:c r="A1350" s="27" t="str">
        <x:v>SCA-11</x:v>
      </x:c>
      <x:c r="B1350" s="27" t="str">
        <x:v>SCA-28</x:v>
      </x:c>
      <x:c r="C1350" s="27" t="str">
        <x:v>Rail</x:v>
      </x:c>
      <x:c r="D1350" s="27" t="str">
        <x:v>YES</x:v>
      </x:c>
      <x:c r="E1350" s="27" t="str">
        <x:v>YES</x:v>
      </x:c>
      <x:c r="F1350" s="61" t="n">
        <x:v>3185.277704982228</x:v>
      </x:c>
      <x:c r="G1350" s="61" t="n">
        <x:v>71.50396721403183</x:v>
      </x:c>
      <x:c r="H1350" s="27" t="str">
        <x:v>YES</x:v>
      </x:c>
      <x:c r="I1350" s="27" t="str">
        <x:v>NARN shared-node topology; deployable terminal required</x:v>
      </x:c>
      <x:c r="J1350" s="27" t="str">
        <x:v>presence does not prove operability or capacity</x:v>
      </x:c>
    </x:row>
    <x:row r="1351" ht="54" hidden="0" customHeight="1">
      <x:c r="A1351" s="29" t="str">
        <x:v>SCA-11</x:v>
      </x:c>
      <x:c r="B1351" s="29" t="str">
        <x:v>SCA-28</x:v>
      </x:c>
      <x:c r="C1351" s="29" t="str">
        <x:v>Air</x:v>
      </x:c>
      <x:c r="D1351" s="29" t="str">
        <x:v>YES</x:v>
      </x:c>
      <x:c r="E1351" s="29" t="str">
        <x:v>YES</x:v>
      </x:c>
      <x:c r="F1351" s="62" t="n">
        <x:v>2417.563648872542</x:v>
      </x:c>
      <x:c r="G1351" s="62" t="n">
        <x:v>27.719328690573143</x:v>
      </x:c>
      <x:c r="H1351" s="29" t="str">
        <x:v>YES</x:v>
      </x:c>
      <x:c r="I1351" s="29" t="str">
        <x:v>primary-airport endpoints; great-circle screen</x:v>
      </x:c>
      <x:c r="J1351" s="29" t="str">
        <x:v>presence does not prove operability or capacity</x:v>
      </x:c>
    </x:row>
    <x:row r="1352" ht="54" hidden="0" customHeight="1">
      <x:c r="A1352" s="27" t="str">
        <x:v>SCA-11</x:v>
      </x:c>
      <x:c r="B1352" s="27" t="str">
        <x:v>SCA-28</x:v>
      </x:c>
      <x:c r="C1352" s="27" t="str">
        <x:v>Water</x:v>
      </x:c>
      <x:c r="D1352" s="27" t="str">
        <x:v>NO</x:v>
      </x:c>
      <x:c r="E1352" s="27" t="str">
        <x:v>NO</x:v>
      </x:c>
      <x:c r="F1352" s="61"/>
      <x:c r="G1352" s="61"/>
      <x:c r="H1352" s="27" t="str">
        <x:v>NO</x:v>
      </x:c>
      <x:c r="I1352" s="27" t="str">
        <x:v>no screened path</x:v>
      </x:c>
      <x:c r="J1352" s="27" t="str">
        <x:v>presence does not prove operability or capacity</x:v>
      </x:c>
    </x:row>
    <x:row r="1353" ht="54" hidden="0" customHeight="1">
      <x:c r="A1353" s="29" t="str">
        <x:v>SCA-11</x:v>
      </x:c>
      <x:c r="B1353" s="29" t="str">
        <x:v>SCA-29</x:v>
      </x:c>
      <x:c r="C1353" s="29" t="str">
        <x:v>Road</x:v>
      </x:c>
      <x:c r="D1353" s="29" t="str">
        <x:v>YES</x:v>
      </x:c>
      <x:c r="E1353" s="29" t="str">
        <x:v>YES</x:v>
      </x:c>
      <x:c r="F1353" s="62" t="n">
        <x:v>2843.3249560171307</x:v>
      </x:c>
      <x:c r="G1353" s="62" t="n">
        <x:v>71.69681738212965</x:v>
      </x:c>
      <x:c r="H1353" s="29" t="str">
        <x:v>YES</x:v>
      </x:c>
      <x:c r="I1353" s="29" t="str">
        <x:v>NHPN-gated shared-boundary SCA path</x:v>
      </x:c>
      <x:c r="J1353" s="29" t="str">
        <x:v>presence does not prove operability or capacity</x:v>
      </x:c>
    </x:row>
    <x:row r="1354" ht="64.80000305175781" hidden="0" customHeight="1">
      <x:c r="A1354" s="27" t="str">
        <x:v>SCA-11</x:v>
      </x:c>
      <x:c r="B1354" s="27" t="str">
        <x:v>SCA-29</x:v>
      </x:c>
      <x:c r="C1354" s="27" t="str">
        <x:v>Rail</x:v>
      </x:c>
      <x:c r="D1354" s="27" t="str">
        <x:v>YES</x:v>
      </x:c>
      <x:c r="E1354" s="27" t="str">
        <x:v>YES</x:v>
      </x:c>
      <x:c r="F1354" s="61" t="n">
        <x:v>3016.396909861652</x:v>
      </x:c>
      <x:c r="G1354" s="61" t="n">
        <x:v>69.09138442659503</x:v>
      </x:c>
      <x:c r="H1354" s="27" t="str">
        <x:v>YES</x:v>
      </x:c>
      <x:c r="I1354" s="27" t="str">
        <x:v>NARN shared-node topology; deployable terminal required</x:v>
      </x:c>
      <x:c r="J1354" s="27" t="str">
        <x:v>presence does not prove operability or capacity</x:v>
      </x:c>
    </x:row>
    <x:row r="1355" ht="54" hidden="0" customHeight="1">
      <x:c r="A1355" s="29" t="str">
        <x:v>SCA-11</x:v>
      </x:c>
      <x:c r="B1355" s="29" t="str">
        <x:v>SCA-29</x:v>
      </x:c>
      <x:c r="C1355" s="29" t="str">
        <x:v>Air</x:v>
      </x:c>
      <x:c r="D1355" s="29" t="str">
        <x:v>YES</x:v>
      </x:c>
      <x:c r="E1355" s="29" t="str">
        <x:v>YES</x:v>
      </x:c>
      <x:c r="F1355" s="62" t="n">
        <x:v>2400.122767485183</x:v>
      </x:c>
      <x:c r="G1355" s="62" t="n">
        <x:v>27.69249656536182</x:v>
      </x:c>
      <x:c r="H1355" s="29" t="str">
        <x:v>YES</x:v>
      </x:c>
      <x:c r="I1355" s="29" t="str">
        <x:v>primary-airport endpoints; great-circle screen</x:v>
      </x:c>
      <x:c r="J1355" s="29" t="str">
        <x:v>presence does not prove operability or capacity</x:v>
      </x:c>
    </x:row>
    <x:row r="1356" ht="54" hidden="0" customHeight="1">
      <x:c r="A1356" s="27" t="str">
        <x:v>SCA-11</x:v>
      </x:c>
      <x:c r="B1356" s="27" t="str">
        <x:v>SCA-29</x:v>
      </x:c>
      <x:c r="C1356" s="27" t="str">
        <x:v>Water</x:v>
      </x:c>
      <x:c r="D1356" s="27" t="str">
        <x:v>NO</x:v>
      </x:c>
      <x:c r="E1356" s="27" t="str">
        <x:v>NO</x:v>
      </x:c>
      <x:c r="F1356" s="61"/>
      <x:c r="G1356" s="61"/>
      <x:c r="H1356" s="27" t="str">
        <x:v>NO</x:v>
      </x:c>
      <x:c r="I1356" s="27" t="str">
        <x:v>no screened path</x:v>
      </x:c>
      <x:c r="J1356" s="27" t="str">
        <x:v>presence does not prove operability or capacity</x:v>
      </x:c>
    </x:row>
    <x:row r="1357" ht="54" hidden="0" customHeight="1">
      <x:c r="A1357" s="29" t="str">
        <x:v>SCA-11</x:v>
      </x:c>
      <x:c r="B1357" s="29" t="str">
        <x:v>SCA-30</x:v>
      </x:c>
      <x:c r="C1357" s="29" t="str">
        <x:v>Road</x:v>
      </x:c>
      <x:c r="D1357" s="29" t="str">
        <x:v>YES</x:v>
      </x:c>
      <x:c r="E1357" s="29" t="str">
        <x:v>YES</x:v>
      </x:c>
      <x:c r="F1357" s="62" t="n">
        <x:v>3466.079585381701</x:v>
      </x:c>
      <x:c r="G1357" s="62" t="n">
        <x:v>83.01962882512183</x:v>
      </x:c>
      <x:c r="H1357" s="29" t="str">
        <x:v>NO</x:v>
      </x:c>
      <x:c r="I1357" s="29" t="str">
        <x:v>NHPN-gated shared-boundary SCA path</x:v>
      </x:c>
      <x:c r="J1357" s="29" t="str">
        <x:v>presence does not prove operability or capacity</x:v>
      </x:c>
    </x:row>
    <x:row r="1358" ht="64.80000305175781" hidden="0" customHeight="1">
      <x:c r="A1358" s="27" t="str">
        <x:v>SCA-11</x:v>
      </x:c>
      <x:c r="B1358" s="27" t="str">
        <x:v>SCA-30</x:v>
      </x:c>
      <x:c r="C1358" s="27" t="str">
        <x:v>Rail</x:v>
      </x:c>
      <x:c r="D1358" s="27" t="str">
        <x:v>YES</x:v>
      </x:c>
      <x:c r="E1358" s="27" t="str">
        <x:v>YES</x:v>
      </x:c>
      <x:c r="F1358" s="61" t="n">
        <x:v>3677.058342752761</x:v>
      </x:c>
      <x:c r="G1358" s="61" t="n">
        <x:v>78.52940489646801</x:v>
      </x:c>
      <x:c r="H1358" s="27" t="str">
        <x:v>NO</x:v>
      </x:c>
      <x:c r="I1358" s="27" t="str">
        <x:v>NARN shared-node topology; deployable terminal required</x:v>
      </x:c>
      <x:c r="J1358" s="27" t="str">
        <x:v>presence does not prove operability or capacity</x:v>
      </x:c>
    </x:row>
    <x:row r="1359" ht="54" hidden="0" customHeight="1">
      <x:c r="A1359" s="29" t="str">
        <x:v>SCA-11</x:v>
      </x:c>
      <x:c r="B1359" s="29" t="str">
        <x:v>SCA-30</x:v>
      </x:c>
      <x:c r="C1359" s="29" t="str">
        <x:v>Air</x:v>
      </x:c>
      <x:c r="D1359" s="29" t="str">
        <x:v>YES</x:v>
      </x:c>
      <x:c r="E1359" s="29" t="str">
        <x:v>YES</x:v>
      </x:c>
      <x:c r="F1359" s="62" t="n">
        <x:v>2818.8879254582434</x:v>
      </x:c>
      <x:c r="G1359" s="62" t="n">
        <x:v>28.336750654551143</x:v>
      </x:c>
      <x:c r="H1359" s="29" t="str">
        <x:v>YES</x:v>
      </x:c>
      <x:c r="I1359" s="29" t="str">
        <x:v>primary-airport endpoints; great-circle screen</x:v>
      </x:c>
      <x:c r="J1359" s="29" t="str">
        <x:v>presence does not prove operability or capacity</x:v>
      </x:c>
    </x:row>
    <x:row r="1360" ht="54" hidden="0" customHeight="1">
      <x:c r="A1360" s="27" t="str">
        <x:v>SCA-11</x:v>
      </x:c>
      <x:c r="B1360" s="27" t="str">
        <x:v>SCA-30</x:v>
      </x:c>
      <x:c r="C1360" s="27" t="str">
        <x:v>Water</x:v>
      </x:c>
      <x:c r="D1360" s="27" t="str">
        <x:v>NO</x:v>
      </x:c>
      <x:c r="E1360" s="27" t="str">
        <x:v>NO</x:v>
      </x:c>
      <x:c r="F1360" s="61"/>
      <x:c r="G1360" s="61"/>
      <x:c r="H1360" s="27" t="str">
        <x:v>NO</x:v>
      </x:c>
      <x:c r="I1360" s="27" t="str">
        <x:v>no screened path</x:v>
      </x:c>
      <x:c r="J1360" s="27" t="str">
        <x:v>presence does not prove operability or capacity</x:v>
      </x:c>
    </x:row>
    <x:row r="1361" ht="54" hidden="0" customHeight="1">
      <x:c r="A1361" s="29" t="str">
        <x:v>SCA-11</x:v>
      </x:c>
      <x:c r="B1361" s="29" t="str">
        <x:v>SCA-31</x:v>
      </x:c>
      <x:c r="C1361" s="29" t="str">
        <x:v>Road</x:v>
      </x:c>
      <x:c r="D1361" s="29" t="str">
        <x:v>YES</x:v>
      </x:c>
      <x:c r="E1361" s="29" t="str">
        <x:v>YES</x:v>
      </x:c>
      <x:c r="F1361" s="62" t="n">
        <x:v>3859.161730568207</x:v>
      </x:c>
      <x:c r="G1361" s="62" t="n">
        <x:v>90.16657691942194</x:v>
      </x:c>
      <x:c r="H1361" s="29" t="str">
        <x:v>NO</x:v>
      </x:c>
      <x:c r="I1361" s="29" t="str">
        <x:v>NHPN-gated shared-boundary SCA path</x:v>
      </x:c>
      <x:c r="J1361" s="29" t="str">
        <x:v>presence does not prove operability or capacity</x:v>
      </x:c>
    </x:row>
    <x:row r="1362" ht="64.80000305175781" hidden="0" customHeight="1">
      <x:c r="A1362" s="27" t="str">
        <x:v>SCA-11</x:v>
      </x:c>
      <x:c r="B1362" s="27" t="str">
        <x:v>SCA-31</x:v>
      </x:c>
      <x:c r="C1362" s="27" t="str">
        <x:v>Rail</x:v>
      </x:c>
      <x:c r="D1362" s="27" t="str">
        <x:v>YES</x:v>
      </x:c>
      <x:c r="E1362" s="27" t="str">
        <x:v>YES</x:v>
      </x:c>
      <x:c r="F1362" s="61" t="n">
        <x:v>4094.067227211489</x:v>
      </x:c>
      <x:c r="G1362" s="61" t="n">
        <x:v>84.48667467444984</x:v>
      </x:c>
      <x:c r="H1362" s="27" t="str">
        <x:v>NO</x:v>
      </x:c>
      <x:c r="I1362" s="27" t="str">
        <x:v>NARN shared-node topology; deployable terminal required</x:v>
      </x:c>
      <x:c r="J1362" s="27" t="str">
        <x:v>presence does not prove operability or capacity</x:v>
      </x:c>
    </x:row>
    <x:row r="1363" ht="54" hidden="0" customHeight="1">
      <x:c r="A1363" s="29" t="str">
        <x:v>SCA-11</x:v>
      </x:c>
      <x:c r="B1363" s="29" t="str">
        <x:v>SCA-31</x:v>
      </x:c>
      <x:c r="C1363" s="29" t="str">
        <x:v>Air</x:v>
      </x:c>
      <x:c r="D1363" s="29" t="str">
        <x:v>YES</x:v>
      </x:c>
      <x:c r="E1363" s="29" t="str">
        <x:v>YES</x:v>
      </x:c>
      <x:c r="F1363" s="62" t="n">
        <x:v>3100.078366874909</x:v>
      </x:c>
      <x:c r="G1363" s="62" t="n">
        <x:v>28.769351333653706</x:v>
      </x:c>
      <x:c r="H1363" s="29" t="str">
        <x:v>YES</x:v>
      </x:c>
      <x:c r="I1363" s="29" t="str">
        <x:v>primary-airport endpoints; great-circle screen</x:v>
      </x:c>
      <x:c r="J1363" s="29" t="str">
        <x:v>presence does not prove operability or capacity</x:v>
      </x:c>
    </x:row>
    <x:row r="1364" ht="54" hidden="0" customHeight="1">
      <x:c r="A1364" s="27" t="str">
        <x:v>SCA-11</x:v>
      </x:c>
      <x:c r="B1364" s="27" t="str">
        <x:v>SCA-31</x:v>
      </x:c>
      <x:c r="C1364" s="27" t="str">
        <x:v>Water</x:v>
      </x:c>
      <x:c r="D1364" s="27" t="str">
        <x:v>NO</x:v>
      </x:c>
      <x:c r="E1364" s="27" t="str">
        <x:v>NO</x:v>
      </x:c>
      <x:c r="F1364" s="61"/>
      <x:c r="G1364" s="61"/>
      <x:c r="H1364" s="27" t="str">
        <x:v>NO</x:v>
      </x:c>
      <x:c r="I1364" s="27" t="str">
        <x:v>no screened path</x:v>
      </x:c>
      <x:c r="J1364" s="27" t="str">
        <x:v>presence does not prove operability or capacity</x:v>
      </x:c>
    </x:row>
    <x:row r="1365" ht="54" hidden="0" customHeight="1">
      <x:c r="A1365" s="29" t="str">
        <x:v>SCA-11</x:v>
      </x:c>
      <x:c r="B1365" s="29" t="str">
        <x:v>SCA-32</x:v>
      </x:c>
      <x:c r="C1365" s="29" t="str">
        <x:v>Road</x:v>
      </x:c>
      <x:c r="D1365" s="29" t="str">
        <x:v>NO</x:v>
      </x:c>
      <x:c r="E1365" s="29" t="str">
        <x:v>NO</x:v>
      </x:c>
      <x:c r="F1365" s="62"/>
      <x:c r="G1365" s="62"/>
      <x:c r="H1365" s="29" t="str">
        <x:v>NO</x:v>
      </x:c>
      <x:c r="I1365" s="29" t="str">
        <x:v>no screened path</x:v>
      </x:c>
      <x:c r="J1365" s="29" t="str">
        <x:v>presence does not prove operability or capacity</x:v>
      </x:c>
    </x:row>
    <x:row r="1366" ht="54" hidden="0" customHeight="1">
      <x:c r="A1366" s="27" t="str">
        <x:v>SCA-11</x:v>
      </x:c>
      <x:c r="B1366" s="27" t="str">
        <x:v>SCA-32</x:v>
      </x:c>
      <x:c r="C1366" s="27" t="str">
        <x:v>Rail</x:v>
      </x:c>
      <x:c r="D1366" s="27" t="str">
        <x:v>NO</x:v>
      </x:c>
      <x:c r="E1366" s="27" t="str">
        <x:v>NO</x:v>
      </x:c>
      <x:c r="F1366" s="61"/>
      <x:c r="G1366" s="61"/>
      <x:c r="H1366" s="27" t="str">
        <x:v>NO</x:v>
      </x:c>
      <x:c r="I1366" s="27" t="str">
        <x:v>no screened path</x:v>
      </x:c>
      <x:c r="J1366" s="27" t="str">
        <x:v>presence does not prove operability or capacity</x:v>
      </x:c>
    </x:row>
    <x:row r="1367" ht="54" hidden="0" customHeight="1">
      <x:c r="A1367" s="29" t="str">
        <x:v>SCA-11</x:v>
      </x:c>
      <x:c r="B1367" s="29" t="str">
        <x:v>SCA-32</x:v>
      </x:c>
      <x:c r="C1367" s="29" t="str">
        <x:v>Air</x:v>
      </x:c>
      <x:c r="D1367" s="29" t="str">
        <x:v>YES</x:v>
      </x:c>
      <x:c r="E1367" s="29" t="str">
        <x:v>YES</x:v>
      </x:c>
      <x:c r="F1367" s="62" t="n">
        <x:v>4195.397970731147</x:v>
      </x:c>
      <x:c r="G1367" s="62" t="n">
        <x:v>30.454458416509457</x:v>
      </x:c>
      <x:c r="H1367" s="29" t="str">
        <x:v>YES</x:v>
      </x:c>
      <x:c r="I1367" s="29" t="str">
        <x:v>primary-airport endpoints; great-circle screen</x:v>
      </x:c>
      <x:c r="J1367" s="29" t="str">
        <x:v>presence does not prove operability or capacity</x:v>
      </x:c>
    </x:row>
    <x:row r="1368" ht="54" hidden="0" customHeight="1">
      <x:c r="A1368" s="27" t="str">
        <x:v>SCA-11</x:v>
      </x:c>
      <x:c r="B1368" s="27" t="str">
        <x:v>SCA-32</x:v>
      </x:c>
      <x:c r="C1368" s="27" t="str">
        <x:v>Water</x:v>
      </x:c>
      <x:c r="D1368" s="27" t="str">
        <x:v>NO</x:v>
      </x:c>
      <x:c r="E1368" s="27" t="str">
        <x:v>NO</x:v>
      </x:c>
      <x:c r="F1368" s="61"/>
      <x:c r="G1368" s="61"/>
      <x:c r="H1368" s="27" t="str">
        <x:v>NO</x:v>
      </x:c>
      <x:c r="I1368" s="27" t="str">
        <x:v>no screened path</x:v>
      </x:c>
      <x:c r="J1368" s="27" t="str">
        <x:v>presence does not prove operability or capacity</x:v>
      </x:c>
    </x:row>
    <x:row r="1369" ht="54" hidden="0" customHeight="1">
      <x:c r="A1369" s="29" t="str">
        <x:v>SCA-12</x:v>
      </x:c>
      <x:c r="B1369" s="29" t="str">
        <x:v>SCA-01</x:v>
      </x:c>
      <x:c r="C1369" s="29" t="str">
        <x:v>Road</x:v>
      </x:c>
      <x:c r="D1369" s="29" t="str">
        <x:v>NO</x:v>
      </x:c>
      <x:c r="E1369" s="29" t="str">
        <x:v>NO</x:v>
      </x:c>
      <x:c r="F1369" s="62"/>
      <x:c r="G1369" s="62"/>
      <x:c r="H1369" s="29" t="str">
        <x:v>NO</x:v>
      </x:c>
      <x:c r="I1369" s="29" t="str">
        <x:v>no screened path</x:v>
      </x:c>
      <x:c r="J1369" s="29" t="str">
        <x:v>presence does not prove operability or capacity</x:v>
      </x:c>
    </x:row>
    <x:row r="1370" ht="54" hidden="0" customHeight="1">
      <x:c r="A1370" s="27" t="str">
        <x:v>SCA-12</x:v>
      </x:c>
      <x:c r="B1370" s="27" t="str">
        <x:v>SCA-01</x:v>
      </x:c>
      <x:c r="C1370" s="27" t="str">
        <x:v>Rail</x:v>
      </x:c>
      <x:c r="D1370" s="27" t="str">
        <x:v>NO</x:v>
      </x:c>
      <x:c r="E1370" s="27" t="str">
        <x:v>NO</x:v>
      </x:c>
      <x:c r="F1370" s="61"/>
      <x:c r="G1370" s="61"/>
      <x:c r="H1370" s="27" t="str">
        <x:v>NO</x:v>
      </x:c>
      <x:c r="I1370" s="27" t="str">
        <x:v>no screened path</x:v>
      </x:c>
      <x:c r="J1370" s="27" t="str">
        <x:v>presence does not prove operability or capacity</x:v>
      </x:c>
    </x:row>
    <x:row r="1371" ht="54" hidden="0" customHeight="1">
      <x:c r="A1371" s="29" t="str">
        <x:v>SCA-12</x:v>
      </x:c>
      <x:c r="B1371" s="29" t="str">
        <x:v>SCA-01</x:v>
      </x:c>
      <x:c r="C1371" s="29" t="str">
        <x:v>Air</x:v>
      </x:c>
      <x:c r="D1371" s="29" t="str">
        <x:v>YES</x:v>
      </x:c>
      <x:c r="E1371" s="29" t="str">
        <x:v>YES</x:v>
      </x:c>
      <x:c r="F1371" s="62" t="n">
        <x:v>5378.273403955796</x:v>
      </x:c>
      <x:c r="G1371" s="62" t="n">
        <x:v>32.27426677531661</x:v>
      </x:c>
      <x:c r="H1371" s="29" t="str">
        <x:v>YES</x:v>
      </x:c>
      <x:c r="I1371" s="29" t="str">
        <x:v>primary-airport endpoints; great-circle screen</x:v>
      </x:c>
      <x:c r="J1371" s="29" t="str">
        <x:v>presence does not prove operability or capacity</x:v>
      </x:c>
    </x:row>
    <x:row r="1372" ht="54" hidden="0" customHeight="1">
      <x:c r="A1372" s="27" t="str">
        <x:v>SCA-12</x:v>
      </x:c>
      <x:c r="B1372" s="27" t="str">
        <x:v>SCA-01</x:v>
      </x:c>
      <x:c r="C1372" s="27" t="str">
        <x:v>Water</x:v>
      </x:c>
      <x:c r="D1372" s="27" t="str">
        <x:v>NO</x:v>
      </x:c>
      <x:c r="E1372" s="27" t="str">
        <x:v>NO</x:v>
      </x:c>
      <x:c r="F1372" s="61"/>
      <x:c r="G1372" s="61"/>
      <x:c r="H1372" s="27" t="str">
        <x:v>NO</x:v>
      </x:c>
      <x:c r="I1372" s="27" t="str">
        <x:v>no screened path</x:v>
      </x:c>
      <x:c r="J1372" s="27" t="str">
        <x:v>presence does not prove operability or capacity</x:v>
      </x:c>
    </x:row>
    <x:row r="1373" ht="54" hidden="0" customHeight="1">
      <x:c r="A1373" s="29" t="str">
        <x:v>SCA-12</x:v>
      </x:c>
      <x:c r="B1373" s="29" t="str">
        <x:v>SCA-02</x:v>
      </x:c>
      <x:c r="C1373" s="29" t="str">
        <x:v>Road</x:v>
      </x:c>
      <x:c r="D1373" s="29" t="str">
        <x:v>NO</x:v>
      </x:c>
      <x:c r="E1373" s="29" t="str">
        <x:v>NO</x:v>
      </x:c>
      <x:c r="F1373" s="62"/>
      <x:c r="G1373" s="62"/>
      <x:c r="H1373" s="29" t="str">
        <x:v>NO</x:v>
      </x:c>
      <x:c r="I1373" s="29" t="str">
        <x:v>no screened path</x:v>
      </x:c>
      <x:c r="J1373" s="29" t="str">
        <x:v>presence does not prove operability or capacity</x:v>
      </x:c>
    </x:row>
    <x:row r="1374" ht="54" hidden="0" customHeight="1">
      <x:c r="A1374" s="27" t="str">
        <x:v>SCA-12</x:v>
      </x:c>
      <x:c r="B1374" s="27" t="str">
        <x:v>SCA-02</x:v>
      </x:c>
      <x:c r="C1374" s="27" t="str">
        <x:v>Rail</x:v>
      </x:c>
      <x:c r="D1374" s="27" t="str">
        <x:v>NO</x:v>
      </x:c>
      <x:c r="E1374" s="27" t="str">
        <x:v>NO</x:v>
      </x:c>
      <x:c r="F1374" s="61"/>
      <x:c r="G1374" s="61"/>
      <x:c r="H1374" s="27" t="str">
        <x:v>NO</x:v>
      </x:c>
      <x:c r="I1374" s="27" t="str">
        <x:v>no screened path</x:v>
      </x:c>
      <x:c r="J1374" s="27" t="str">
        <x:v>presence does not prove operability or capacity</x:v>
      </x:c>
    </x:row>
    <x:row r="1375" ht="54" hidden="0" customHeight="1">
      <x:c r="A1375" s="29" t="str">
        <x:v>SCA-12</x:v>
      </x:c>
      <x:c r="B1375" s="29" t="str">
        <x:v>SCA-02</x:v>
      </x:c>
      <x:c r="C1375" s="29" t="str">
        <x:v>Air</x:v>
      </x:c>
      <x:c r="D1375" s="29" t="str">
        <x:v>YES</x:v>
      </x:c>
      <x:c r="E1375" s="29" t="str">
        <x:v>YES</x:v>
      </x:c>
      <x:c r="F1375" s="62" t="n">
        <x:v>3715.1995298326333</x:v>
      </x:c>
      <x:c r="G1375" s="62" t="n">
        <x:v>29.7156915843579</x:v>
      </x:c>
      <x:c r="H1375" s="29" t="str">
        <x:v>YES</x:v>
      </x:c>
      <x:c r="I1375" s="29" t="str">
        <x:v>primary-airport endpoints; great-circle screen</x:v>
      </x:c>
      <x:c r="J1375" s="29" t="str">
        <x:v>presence does not prove operability or capacity</x:v>
      </x:c>
    </x:row>
    <x:row r="1376" ht="54" hidden="0" customHeight="1">
      <x:c r="A1376" s="27" t="str">
        <x:v>SCA-12</x:v>
      </x:c>
      <x:c r="B1376" s="27" t="str">
        <x:v>SCA-02</x:v>
      </x:c>
      <x:c r="C1376" s="27" t="str">
        <x:v>Water</x:v>
      </x:c>
      <x:c r="D1376" s="27" t="str">
        <x:v>NO</x:v>
      </x:c>
      <x:c r="E1376" s="27" t="str">
        <x:v>NO</x:v>
      </x:c>
      <x:c r="F1376" s="61"/>
      <x:c r="G1376" s="61"/>
      <x:c r="H1376" s="27" t="str">
        <x:v>NO</x:v>
      </x:c>
      <x:c r="I1376" s="27" t="str">
        <x:v>no screened path</x:v>
      </x:c>
      <x:c r="J1376" s="27" t="str">
        <x:v>presence does not prove operability or capacity</x:v>
      </x:c>
    </x:row>
    <x:row r="1377" ht="54" hidden="0" customHeight="1">
      <x:c r="A1377" s="29" t="str">
        <x:v>SCA-12</x:v>
      </x:c>
      <x:c r="B1377" s="29" t="str">
        <x:v>SCA-03</x:v>
      </x:c>
      <x:c r="C1377" s="29" t="str">
        <x:v>Road</x:v>
      </x:c>
      <x:c r="D1377" s="29" t="str">
        <x:v>YES</x:v>
      </x:c>
      <x:c r="E1377" s="29" t="str">
        <x:v>YES</x:v>
      </x:c>
      <x:c r="F1377" s="62" t="n">
        <x:v>1816.4892697348873</x:v>
      </x:c>
      <x:c r="G1377" s="62" t="n">
        <x:v>53.027077631543406</x:v>
      </x:c>
      <x:c r="H1377" s="29" t="str">
        <x:v>YES</x:v>
      </x:c>
      <x:c r="I1377" s="29" t="str">
        <x:v>NHPN-gated shared-boundary SCA path</x:v>
      </x:c>
      <x:c r="J1377" s="29" t="str">
        <x:v>presence does not prove operability or capacity</x:v>
      </x:c>
    </x:row>
    <x:row r="1378" ht="64.80000305175781" hidden="0" customHeight="1">
      <x:c r="A1378" s="27" t="str">
        <x:v>SCA-12</x:v>
      </x:c>
      <x:c r="B1378" s="27" t="str">
        <x:v>SCA-03</x:v>
      </x:c>
      <x:c r="C1378" s="27" t="str">
        <x:v>Rail</x:v>
      </x:c>
      <x:c r="D1378" s="27" t="str">
        <x:v>YES</x:v>
      </x:c>
      <x:c r="E1378" s="27" t="str">
        <x:v>YES</x:v>
      </x:c>
      <x:c r="F1378" s="61" t="n">
        <x:v>1927.0581818057067</x:v>
      </x:c>
      <x:c r="G1378" s="61" t="n">
        <x:v>53.529402597224376</x:v>
      </x:c>
      <x:c r="H1378" s="27" t="str">
        <x:v>YES</x:v>
      </x:c>
      <x:c r="I1378" s="27" t="str">
        <x:v>NARN shared-node topology; deployable terminal required</x:v>
      </x:c>
      <x:c r="J1378" s="27" t="str">
        <x:v>presence does not prove operability or capacity</x:v>
      </x:c>
    </x:row>
    <x:row r="1379" ht="54" hidden="0" customHeight="1">
      <x:c r="A1379" s="29" t="str">
        <x:v>SCA-12</x:v>
      </x:c>
      <x:c r="B1379" s="29" t="str">
        <x:v>SCA-03</x:v>
      </x:c>
      <x:c r="C1379" s="29" t="str">
        <x:v>Air</x:v>
      </x:c>
      <x:c r="D1379" s="29" t="str">
        <x:v>YES</x:v>
      </x:c>
      <x:c r="E1379" s="29" t="str">
        <x:v>YES</x:v>
      </x:c>
      <x:c r="F1379" s="62" t="n">
        <x:v>1576.6409361833641</x:v>
      </x:c>
      <x:c r="G1379" s="62" t="n">
        <x:v>26.425601440282097</x:v>
      </x:c>
      <x:c r="H1379" s="29" t="str">
        <x:v>YES</x:v>
      </x:c>
      <x:c r="I1379" s="29" t="str">
        <x:v>primary-airport endpoints; great-circle screen</x:v>
      </x:c>
      <x:c r="J1379" s="29" t="str">
        <x:v>presence does not prove operability or capacity</x:v>
      </x:c>
    </x:row>
    <x:row r="1380" ht="54" hidden="0" customHeight="1">
      <x:c r="A1380" s="27" t="str">
        <x:v>SCA-12</x:v>
      </x:c>
      <x:c r="B1380" s="27" t="str">
        <x:v>SCA-03</x:v>
      </x:c>
      <x:c r="C1380" s="27" t="str">
        <x:v>Water</x:v>
      </x:c>
      <x:c r="D1380" s="27" t="str">
        <x:v>NO</x:v>
      </x:c>
      <x:c r="E1380" s="27" t="str">
        <x:v>NO</x:v>
      </x:c>
      <x:c r="F1380" s="61"/>
      <x:c r="G1380" s="61"/>
      <x:c r="H1380" s="27" t="str">
        <x:v>NO</x:v>
      </x:c>
      <x:c r="I1380" s="27" t="str">
        <x:v>no screened path</x:v>
      </x:c>
      <x:c r="J1380" s="27" t="str">
        <x:v>presence does not prove operability or capacity</x:v>
      </x:c>
    </x:row>
    <x:row r="1381" ht="54" hidden="0" customHeight="1">
      <x:c r="A1381" s="29" t="str">
        <x:v>SCA-12</x:v>
      </x:c>
      <x:c r="B1381" s="29" t="str">
        <x:v>SCA-04</x:v>
      </x:c>
      <x:c r="C1381" s="29" t="str">
        <x:v>Road</x:v>
      </x:c>
      <x:c r="D1381" s="29" t="str">
        <x:v>YES</x:v>
      </x:c>
      <x:c r="E1381" s="29" t="str">
        <x:v>YES</x:v>
      </x:c>
      <x:c r="F1381" s="62" t="n">
        <x:v>2191.0614515085413</x:v>
      </x:c>
      <x:c r="G1381" s="62" t="n">
        <x:v>59.83748093651893</x:v>
      </x:c>
      <x:c r="H1381" s="29" t="str">
        <x:v>YES</x:v>
      </x:c>
      <x:c r="I1381" s="29" t="str">
        <x:v>NHPN-gated shared-boundary SCA path</x:v>
      </x:c>
      <x:c r="J1381" s="29" t="str">
        <x:v>presence does not prove operability or capacity</x:v>
      </x:c>
    </x:row>
    <x:row r="1382" ht="64.80000305175781" hidden="0" customHeight="1">
      <x:c r="A1382" s="27" t="str">
        <x:v>SCA-12</x:v>
      </x:c>
      <x:c r="B1382" s="27" t="str">
        <x:v>SCA-04</x:v>
      </x:c>
      <x:c r="C1382" s="27" t="str">
        <x:v>Rail</x:v>
      </x:c>
      <x:c r="D1382" s="27" t="str">
        <x:v>YES</x:v>
      </x:c>
      <x:c r="E1382" s="27" t="str">
        <x:v>YES</x:v>
      </x:c>
      <x:c r="F1382" s="61" t="n">
        <x:v>2362.554473172056</x:v>
      </x:c>
      <x:c r="G1382" s="61" t="n">
        <x:v>59.75077818817223</x:v>
      </x:c>
      <x:c r="H1382" s="27" t="str">
        <x:v>YES</x:v>
      </x:c>
      <x:c r="I1382" s="27" t="str">
        <x:v>NARN shared-node topology; deployable terminal required</x:v>
      </x:c>
      <x:c r="J1382" s="27" t="str">
        <x:v>presence does not prove operability or capacity</x:v>
      </x:c>
    </x:row>
    <x:row r="1383" ht="54" hidden="0" customHeight="1">
      <x:c r="A1383" s="29" t="str">
        <x:v>SCA-12</x:v>
      </x:c>
      <x:c r="B1383" s="29" t="str">
        <x:v>SCA-04</x:v>
      </x:c>
      <x:c r="C1383" s="29" t="str">
        <x:v>Air</x:v>
      </x:c>
      <x:c r="D1383" s="29" t="str">
        <x:v>YES</x:v>
      </x:c>
      <x:c r="E1383" s="29" t="str">
        <x:v>YES</x:v>
      </x:c>
      <x:c r="F1383" s="62" t="n">
        <x:v>1451.8790481039712</x:v>
      </x:c>
      <x:c r="G1383" s="62" t="n">
        <x:v>26.23366007400611</x:v>
      </x:c>
      <x:c r="H1383" s="29" t="str">
        <x:v>YES</x:v>
      </x:c>
      <x:c r="I1383" s="29" t="str">
        <x:v>primary-airport endpoints; great-circle screen</x:v>
      </x:c>
      <x:c r="J1383" s="29" t="str">
        <x:v>presence does not prove operability or capacity</x:v>
      </x:c>
    </x:row>
    <x:row r="1384" ht="54" hidden="0" customHeight="1">
      <x:c r="A1384" s="27" t="str">
        <x:v>SCA-12</x:v>
      </x:c>
      <x:c r="B1384" s="27" t="str">
        <x:v>SCA-04</x:v>
      </x:c>
      <x:c r="C1384" s="27" t="str">
        <x:v>Water</x:v>
      </x:c>
      <x:c r="D1384" s="27" t="str">
        <x:v>NO</x:v>
      </x:c>
      <x:c r="E1384" s="27" t="str">
        <x:v>NO</x:v>
      </x:c>
      <x:c r="F1384" s="61"/>
      <x:c r="G1384" s="61"/>
      <x:c r="H1384" s="27" t="str">
        <x:v>NO</x:v>
      </x:c>
      <x:c r="I1384" s="27" t="str">
        <x:v>no screened path</x:v>
      </x:c>
      <x:c r="J1384" s="27" t="str">
        <x:v>presence does not prove operability or capacity</x:v>
      </x:c>
    </x:row>
    <x:row r="1385" ht="54" hidden="0" customHeight="1">
      <x:c r="A1385" s="29" t="str">
        <x:v>SCA-12</x:v>
      </x:c>
      <x:c r="B1385" s="29" t="str">
        <x:v>SCA-05</x:v>
      </x:c>
      <x:c r="C1385" s="29" t="str">
        <x:v>Road</x:v>
      </x:c>
      <x:c r="D1385" s="29" t="str">
        <x:v>YES</x:v>
      </x:c>
      <x:c r="E1385" s="29" t="str">
        <x:v>YES</x:v>
      </x:c>
      <x:c r="F1385" s="62" t="n">
        <x:v>1786.5531655007687</x:v>
      </x:c>
      <x:c r="G1385" s="62" t="n">
        <x:v>52.48278482728671</x:v>
      </x:c>
      <x:c r="H1385" s="29" t="str">
        <x:v>YES</x:v>
      </x:c>
      <x:c r="I1385" s="29" t="str">
        <x:v>NHPN-gated shared-boundary SCA path</x:v>
      </x:c>
      <x:c r="J1385" s="29" t="str">
        <x:v>presence does not prove operability or capacity</x:v>
      </x:c>
    </x:row>
    <x:row r="1386" ht="64.80000305175781" hidden="0" customHeight="1">
      <x:c r="A1386" s="27" t="str">
        <x:v>SCA-12</x:v>
      </x:c>
      <x:c r="B1386" s="27" t="str">
        <x:v>SCA-05</x:v>
      </x:c>
      <x:c r="C1386" s="27" t="str">
        <x:v>Rail</x:v>
      </x:c>
      <x:c r="D1386" s="27" t="str">
        <x:v>YES</x:v>
      </x:c>
      <x:c r="E1386" s="27" t="str">
        <x:v>YES</x:v>
      </x:c>
      <x:c r="F1386" s="61" t="n">
        <x:v>1963.3071291791075</x:v>
      </x:c>
      <x:c r="G1386" s="61" t="n">
        <x:v>54.04724470255868</x:v>
      </x:c>
      <x:c r="H1386" s="27" t="str">
        <x:v>YES</x:v>
      </x:c>
      <x:c r="I1386" s="27" t="str">
        <x:v>NARN shared-node topology; deployable terminal required</x:v>
      </x:c>
      <x:c r="J1386" s="27" t="str">
        <x:v>presence does not prove operability or capacity</x:v>
      </x:c>
    </x:row>
    <x:row r="1387" ht="54" hidden="0" customHeight="1">
      <x:c r="A1387" s="29" t="str">
        <x:v>SCA-12</x:v>
      </x:c>
      <x:c r="B1387" s="29" t="str">
        <x:v>SCA-05</x:v>
      </x:c>
      <x:c r="C1387" s="29" t="str">
        <x:v>Air</x:v>
      </x:c>
      <x:c r="D1387" s="29" t="str">
        <x:v>YES</x:v>
      </x:c>
      <x:c r="E1387" s="29" t="str">
        <x:v>YES</x:v>
      </x:c>
      <x:c r="F1387" s="62" t="n">
        <x:v>1328.3543189781176</x:v>
      </x:c>
      <x:c r="G1387" s="62" t="n">
        <x:v>26.043622029197103</x:v>
      </x:c>
      <x:c r="H1387" s="29" t="str">
        <x:v>YES</x:v>
      </x:c>
      <x:c r="I1387" s="29" t="str">
        <x:v>primary-airport endpoints; great-circle screen</x:v>
      </x:c>
      <x:c r="J1387" s="29" t="str">
        <x:v>presence does not prove operability or capacity</x:v>
      </x:c>
    </x:row>
    <x:row r="1388" ht="54" hidden="0" customHeight="1">
      <x:c r="A1388" s="27" t="str">
        <x:v>SCA-12</x:v>
      </x:c>
      <x:c r="B1388" s="27" t="str">
        <x:v>SCA-05</x:v>
      </x:c>
      <x:c r="C1388" s="27" t="str">
        <x:v>Water</x:v>
      </x:c>
      <x:c r="D1388" s="27" t="str">
        <x:v>NO</x:v>
      </x:c>
      <x:c r="E1388" s="27" t="str">
        <x:v>NO</x:v>
      </x:c>
      <x:c r="F1388" s="61"/>
      <x:c r="G1388" s="61"/>
      <x:c r="H1388" s="27" t="str">
        <x:v>NO</x:v>
      </x:c>
      <x:c r="I1388" s="27" t="str">
        <x:v>no screened path</x:v>
      </x:c>
      <x:c r="J1388" s="27" t="str">
        <x:v>presence does not prove operability or capacity</x:v>
      </x:c>
    </x:row>
    <x:row r="1389" ht="54" hidden="0" customHeight="1">
      <x:c r="A1389" s="29" t="str">
        <x:v>SCA-12</x:v>
      </x:c>
      <x:c r="B1389" s="29" t="str">
        <x:v>SCA-06</x:v>
      </x:c>
      <x:c r="C1389" s="29" t="str">
        <x:v>Road</x:v>
      </x:c>
      <x:c r="D1389" s="29" t="str">
        <x:v>YES</x:v>
      </x:c>
      <x:c r="E1389" s="29" t="str">
        <x:v>YES</x:v>
      </x:c>
      <x:c r="F1389" s="62" t="n">
        <x:v>1545.7957932206455</x:v>
      </x:c>
      <x:c r="G1389" s="62" t="n">
        <x:v>48.10537805855719</x:v>
      </x:c>
      <x:c r="H1389" s="29" t="str">
        <x:v>YES</x:v>
      </x:c>
      <x:c r="I1389" s="29" t="str">
        <x:v>NHPN-gated shared-boundary SCA path</x:v>
      </x:c>
      <x:c r="J1389" s="29" t="str">
        <x:v>presence does not prove operability or capacity</x:v>
      </x:c>
    </x:row>
    <x:row r="1390" ht="64.80000305175781" hidden="0" customHeight="1">
      <x:c r="A1390" s="27" t="str">
        <x:v>SCA-12</x:v>
      </x:c>
      <x:c r="B1390" s="27" t="str">
        <x:v>SCA-06</x:v>
      </x:c>
      <x:c r="C1390" s="27" t="str">
        <x:v>Rail</x:v>
      </x:c>
      <x:c r="D1390" s="27" t="str">
        <x:v>YES</x:v>
      </x:c>
      <x:c r="E1390" s="27" t="str">
        <x:v>YES</x:v>
      </x:c>
      <x:c r="F1390" s="61" t="n">
        <x:v>1923.4004512062384</x:v>
      </x:c>
      <x:c r="G1390" s="61" t="n">
        <x:v>53.47714930294626</x:v>
      </x:c>
      <x:c r="H1390" s="27" t="str">
        <x:v>YES</x:v>
      </x:c>
      <x:c r="I1390" s="27" t="str">
        <x:v>NARN shared-node topology; deployable terminal required</x:v>
      </x:c>
      <x:c r="J1390" s="27" t="str">
        <x:v>presence does not prove operability or capacity</x:v>
      </x:c>
    </x:row>
    <x:row r="1391" ht="54" hidden="0" customHeight="1">
      <x:c r="A1391" s="29" t="str">
        <x:v>SCA-12</x:v>
      </x:c>
      <x:c r="B1391" s="29" t="str">
        <x:v>SCA-06</x:v>
      </x:c>
      <x:c r="C1391" s="29" t="str">
        <x:v>Air</x:v>
      </x:c>
      <x:c r="D1391" s="29" t="str">
        <x:v>YES</x:v>
      </x:c>
      <x:c r="E1391" s="29" t="str">
        <x:v>YES</x:v>
      </x:c>
      <x:c r="F1391" s="62" t="n">
        <x:v>1235.1978098896939</x:v>
      </x:c>
      <x:c r="G1391" s="62" t="n">
        <x:v>25.90030432290722</x:v>
      </x:c>
      <x:c r="H1391" s="29" t="str">
        <x:v>YES</x:v>
      </x:c>
      <x:c r="I1391" s="29" t="str">
        <x:v>primary-airport endpoints; great-circle screen</x:v>
      </x:c>
      <x:c r="J1391" s="29" t="str">
        <x:v>presence does not prove operability or capacity</x:v>
      </x:c>
    </x:row>
    <x:row r="1392" ht="54" hidden="0" customHeight="1">
      <x:c r="A1392" s="27" t="str">
        <x:v>SCA-12</x:v>
      </x:c>
      <x:c r="B1392" s="27" t="str">
        <x:v>SCA-06</x:v>
      </x:c>
      <x:c r="C1392" s="27" t="str">
        <x:v>Water</x:v>
      </x:c>
      <x:c r="D1392" s="27" t="str">
        <x:v>NO</x:v>
      </x:c>
      <x:c r="E1392" s="27" t="str">
        <x:v>NO</x:v>
      </x:c>
      <x:c r="F1392" s="61"/>
      <x:c r="G1392" s="61"/>
      <x:c r="H1392" s="27" t="str">
        <x:v>NO</x:v>
      </x:c>
      <x:c r="I1392" s="27" t="str">
        <x:v>no screened path</x:v>
      </x:c>
      <x:c r="J1392" s="27" t="str">
        <x:v>presence does not prove operability or capacity</x:v>
      </x:c>
    </x:row>
    <x:row r="1393" ht="54" hidden="0" customHeight="1">
      <x:c r="A1393" s="29" t="str">
        <x:v>SCA-12</x:v>
      </x:c>
      <x:c r="B1393" s="29" t="str">
        <x:v>SCA-07</x:v>
      </x:c>
      <x:c r="C1393" s="29" t="str">
        <x:v>Road</x:v>
      </x:c>
      <x:c r="D1393" s="29" t="str">
        <x:v>YES</x:v>
      </x:c>
      <x:c r="E1393" s="29" t="str">
        <x:v>YES</x:v>
      </x:c>
      <x:c r="F1393" s="62" t="n">
        <x:v>1490.4572648558965</x:v>
      </x:c>
      <x:c r="G1393" s="62" t="n">
        <x:v>47.09922299737994</x:v>
      </x:c>
      <x:c r="H1393" s="29" t="str">
        <x:v>YES</x:v>
      </x:c>
      <x:c r="I1393" s="29" t="str">
        <x:v>NHPN-gated shared-boundary SCA path</x:v>
      </x:c>
      <x:c r="J1393" s="29" t="str">
        <x:v>presence does not prove operability or capacity</x:v>
      </x:c>
    </x:row>
    <x:row r="1394" ht="64.80000305175781" hidden="0" customHeight="1">
      <x:c r="A1394" s="27" t="str">
        <x:v>SCA-12</x:v>
      </x:c>
      <x:c r="B1394" s="27" t="str">
        <x:v>SCA-07</x:v>
      </x:c>
      <x:c r="C1394" s="27" t="str">
        <x:v>Rail</x:v>
      </x:c>
      <x:c r="D1394" s="27" t="str">
        <x:v>YES</x:v>
      </x:c>
      <x:c r="E1394" s="27" t="str">
        <x:v>YES</x:v>
      </x:c>
      <x:c r="F1394" s="61" t="n">
        <x:v>1581.1807505427773</x:v>
      </x:c>
      <x:c r="G1394" s="61" t="n">
        <x:v>48.58829643632539</x:v>
      </x:c>
      <x:c r="H1394" s="27" t="str">
        <x:v>YES</x:v>
      </x:c>
      <x:c r="I1394" s="27" t="str">
        <x:v>NARN shared-node topology; deployable terminal required</x:v>
      </x:c>
      <x:c r="J1394" s="27" t="str">
        <x:v>presence does not prove operability or capacity</x:v>
      </x:c>
    </x:row>
    <x:row r="1395" ht="54" hidden="0" customHeight="1">
      <x:c r="A1395" s="29" t="str">
        <x:v>SCA-12</x:v>
      </x:c>
      <x:c r="B1395" s="29" t="str">
        <x:v>SCA-07</x:v>
      </x:c>
      <x:c r="C1395" s="29" t="str">
        <x:v>Air</x:v>
      </x:c>
      <x:c r="D1395" s="29" t="str">
        <x:v>YES</x:v>
      </x:c>
      <x:c r="E1395" s="29" t="str">
        <x:v>YES</x:v>
      </x:c>
      <x:c r="F1395" s="62" t="n">
        <x:v>1015.3082754783223</x:v>
      </x:c>
      <x:c r="G1395" s="62" t="n">
        <x:v>25.56201273150511</x:v>
      </x:c>
      <x:c r="H1395" s="29" t="str">
        <x:v>YES</x:v>
      </x:c>
      <x:c r="I1395" s="29" t="str">
        <x:v>primary-airport endpoints; great-circle screen</x:v>
      </x:c>
      <x:c r="J1395" s="29" t="str">
        <x:v>presence does not prove operability or capacity</x:v>
      </x:c>
    </x:row>
    <x:row r="1396" ht="54" hidden="0" customHeight="1">
      <x:c r="A1396" s="27" t="str">
        <x:v>SCA-12</x:v>
      </x:c>
      <x:c r="B1396" s="27" t="str">
        <x:v>SCA-07</x:v>
      </x:c>
      <x:c r="C1396" s="27" t="str">
        <x:v>Water</x:v>
      </x:c>
      <x:c r="D1396" s="27" t="str">
        <x:v>NO</x:v>
      </x:c>
      <x:c r="E1396" s="27" t="str">
        <x:v>NO</x:v>
      </x:c>
      <x:c r="F1396" s="61"/>
      <x:c r="G1396" s="61"/>
      <x:c r="H1396" s="27" t="str">
        <x:v>NO</x:v>
      </x:c>
      <x:c r="I1396" s="27" t="str">
        <x:v>no screened path</x:v>
      </x:c>
      <x:c r="J1396" s="27" t="str">
        <x:v>presence does not prove operability or capacity</x:v>
      </x:c>
    </x:row>
    <x:row r="1397" ht="54" hidden="0" customHeight="1">
      <x:c r="A1397" s="29" t="str">
        <x:v>SCA-12</x:v>
      </x:c>
      <x:c r="B1397" s="29" t="str">
        <x:v>SCA-08</x:v>
      </x:c>
      <x:c r="C1397" s="29" t="str">
        <x:v>Road</x:v>
      </x:c>
      <x:c r="D1397" s="29" t="str">
        <x:v>YES</x:v>
      </x:c>
      <x:c r="E1397" s="29" t="str">
        <x:v>YES</x:v>
      </x:c>
      <x:c r="F1397" s="62" t="n">
        <x:v>1171.8343946623772</x:v>
      </x:c>
      <x:c r="G1397" s="62" t="n">
        <x:v>41.30607990295231</x:v>
      </x:c>
      <x:c r="H1397" s="29" t="str">
        <x:v>YES</x:v>
      </x:c>
      <x:c r="I1397" s="29" t="str">
        <x:v>NHPN-gated shared-boundary SCA path</x:v>
      </x:c>
      <x:c r="J1397" s="29" t="str">
        <x:v>presence does not prove operability or capacity</x:v>
      </x:c>
    </x:row>
    <x:row r="1398" ht="64.80000305175781" hidden="0" customHeight="1">
      <x:c r="A1398" s="27" t="str">
        <x:v>SCA-12</x:v>
      </x:c>
      <x:c r="B1398" s="27" t="str">
        <x:v>SCA-08</x:v>
      </x:c>
      <x:c r="C1398" s="27" t="str">
        <x:v>Rail</x:v>
      </x:c>
      <x:c r="D1398" s="27" t="str">
        <x:v>YES</x:v>
      </x:c>
      <x:c r="E1398" s="27" t="str">
        <x:v>YES</x:v>
      </x:c>
      <x:c r="F1398" s="61" t="n">
        <x:v>1243.163444772261</x:v>
      </x:c>
      <x:c r="G1398" s="61" t="n">
        <x:v>43.75947778246088</x:v>
      </x:c>
      <x:c r="H1398" s="27" t="str">
        <x:v>YES</x:v>
      </x:c>
      <x:c r="I1398" s="27" t="str">
        <x:v>NARN shared-node topology; deployable terminal required</x:v>
      </x:c>
      <x:c r="J1398" s="27" t="str">
        <x:v>presence does not prove operability or capacity</x:v>
      </x:c>
    </x:row>
    <x:row r="1399" ht="54" hidden="0" customHeight="1">
      <x:c r="A1399" s="29" t="str">
        <x:v>SCA-12</x:v>
      </x:c>
      <x:c r="B1399" s="29" t="str">
        <x:v>SCA-08</x:v>
      </x:c>
      <x:c r="C1399" s="29" t="str">
        <x:v>Air</x:v>
      </x:c>
      <x:c r="D1399" s="29" t="str">
        <x:v>YES</x:v>
      </x:c>
      <x:c r="E1399" s="29" t="str">
        <x:v>YES</x:v>
      </x:c>
      <x:c r="F1399" s="62" t="n">
        <x:v>1018.9864301411976</x:v>
      </x:c>
      <x:c r="G1399" s="62" t="n">
        <x:v>25.567671430986458</x:v>
      </x:c>
      <x:c r="H1399" s="29" t="str">
        <x:v>YES</x:v>
      </x:c>
      <x:c r="I1399" s="29" t="str">
        <x:v>primary-airport endpoints; great-circle screen</x:v>
      </x:c>
      <x:c r="J1399" s="29" t="str">
        <x:v>presence does not prove operability or capacity</x:v>
      </x:c>
    </x:row>
    <x:row r="1400" ht="54" hidden="0" customHeight="1">
      <x:c r="A1400" s="27" t="str">
        <x:v>SCA-12</x:v>
      </x:c>
      <x:c r="B1400" s="27" t="str">
        <x:v>SCA-08</x:v>
      </x:c>
      <x:c r="C1400" s="27" t="str">
        <x:v>Water</x:v>
      </x:c>
      <x:c r="D1400" s="27" t="str">
        <x:v>NO</x:v>
      </x:c>
      <x:c r="E1400" s="27" t="str">
        <x:v>NO</x:v>
      </x:c>
      <x:c r="F1400" s="61"/>
      <x:c r="G1400" s="61"/>
      <x:c r="H1400" s="27" t="str">
        <x:v>NO</x:v>
      </x:c>
      <x:c r="I1400" s="27" t="str">
        <x:v>no screened path</x:v>
      </x:c>
      <x:c r="J1400" s="27" t="str">
        <x:v>presence does not prove operability or capacity</x:v>
      </x:c>
    </x:row>
    <x:row r="1401" ht="54" hidden="0" customHeight="1">
      <x:c r="A1401" s="29" t="str">
        <x:v>SCA-12</x:v>
      </x:c>
      <x:c r="B1401" s="29" t="str">
        <x:v>SCA-09</x:v>
      </x:c>
      <x:c r="C1401" s="29" t="str">
        <x:v>Road</x:v>
      </x:c>
      <x:c r="D1401" s="29" t="str">
        <x:v>YES</x:v>
      </x:c>
      <x:c r="E1401" s="29" t="str">
        <x:v>YES</x:v>
      </x:c>
      <x:c r="F1401" s="62" t="n">
        <x:v>1096.0763414588143</x:v>
      </x:c>
      <x:c r="G1401" s="62" t="n">
        <x:v>39.92866075379662</x:v>
      </x:c>
      <x:c r="H1401" s="29" t="str">
        <x:v>YES</x:v>
      </x:c>
      <x:c r="I1401" s="29" t="str">
        <x:v>NHPN-gated shared-boundary SCA path</x:v>
      </x:c>
      <x:c r="J1401" s="29" t="str">
        <x:v>presence does not prove operability or capacity</x:v>
      </x:c>
    </x:row>
    <x:row r="1402" ht="64.80000305175781" hidden="0" customHeight="1">
      <x:c r="A1402" s="27" t="str">
        <x:v>SCA-12</x:v>
      </x:c>
      <x:c r="B1402" s="27" t="str">
        <x:v>SCA-09</x:v>
      </x:c>
      <x:c r="C1402" s="27" t="str">
        <x:v>Rail</x:v>
      </x:c>
      <x:c r="D1402" s="27" t="str">
        <x:v>YES</x:v>
      </x:c>
      <x:c r="E1402" s="27" t="str">
        <x:v>YES</x:v>
      </x:c>
      <x:c r="F1402" s="61" t="n">
        <x:v>1646.3545006411618</x:v>
      </x:c>
      <x:c r="G1402" s="61" t="n">
        <x:v>49.51935000915945</x:v>
      </x:c>
      <x:c r="H1402" s="27" t="str">
        <x:v>YES</x:v>
      </x:c>
      <x:c r="I1402" s="27" t="str">
        <x:v>NARN shared-node topology; deployable terminal required</x:v>
      </x:c>
      <x:c r="J1402" s="27" t="str">
        <x:v>presence does not prove operability or capacity</x:v>
      </x:c>
    </x:row>
    <x:row r="1403" ht="54" hidden="0" customHeight="1">
      <x:c r="A1403" s="29" t="str">
        <x:v>SCA-12</x:v>
      </x:c>
      <x:c r="B1403" s="29" t="str">
        <x:v>SCA-09</x:v>
      </x:c>
      <x:c r="C1403" s="29" t="str">
        <x:v>Air</x:v>
      </x:c>
      <x:c r="D1403" s="29" t="str">
        <x:v>YES</x:v>
      </x:c>
      <x:c r="E1403" s="29" t="str">
        <x:v>YES</x:v>
      </x:c>
      <x:c r="F1403" s="62" t="n">
        <x:v>953.1098621380996</x:v>
      </x:c>
      <x:c r="G1403" s="62" t="n">
        <x:v>25.466322864827845</x:v>
      </x:c>
      <x:c r="H1403" s="29" t="str">
        <x:v>YES</x:v>
      </x:c>
      <x:c r="I1403" s="29" t="str">
        <x:v>primary-airport endpoints; great-circle screen</x:v>
      </x:c>
      <x:c r="J1403" s="29" t="str">
        <x:v>presence does not prove operability or capacity</x:v>
      </x:c>
    </x:row>
    <x:row r="1404" ht="54" hidden="0" customHeight="1">
      <x:c r="A1404" s="27" t="str">
        <x:v>SCA-12</x:v>
      </x:c>
      <x:c r="B1404" s="27" t="str">
        <x:v>SCA-09</x:v>
      </x:c>
      <x:c r="C1404" s="27" t="str">
        <x:v>Water</x:v>
      </x:c>
      <x:c r="D1404" s="27" t="str">
        <x:v>NO</x:v>
      </x:c>
      <x:c r="E1404" s="27" t="str">
        <x:v>NO</x:v>
      </x:c>
      <x:c r="F1404" s="61"/>
      <x:c r="G1404" s="61"/>
      <x:c r="H1404" s="27" t="str">
        <x:v>NO</x:v>
      </x:c>
      <x:c r="I1404" s="27" t="str">
        <x:v>no screened path</x:v>
      </x:c>
      <x:c r="J1404" s="27" t="str">
        <x:v>presence does not prove operability or capacity</x:v>
      </x:c>
    </x:row>
    <x:row r="1405" ht="54" hidden="0" customHeight="1">
      <x:c r="A1405" s="29" t="str">
        <x:v>SCA-12</x:v>
      </x:c>
      <x:c r="B1405" s="29" t="str">
        <x:v>SCA-10</x:v>
      </x:c>
      <x:c r="C1405" s="29" t="str">
        <x:v>Road</x:v>
      </x:c>
      <x:c r="D1405" s="29" t="str">
        <x:v>YES</x:v>
      </x:c>
      <x:c r="E1405" s="29" t="str">
        <x:v>YES</x:v>
      </x:c>
      <x:c r="F1405" s="62" t="n">
        <x:v>676.2579622464422</x:v>
      </x:c>
      <x:c r="G1405" s="62" t="n">
        <x:v>32.29559931357168</x:v>
      </x:c>
      <x:c r="H1405" s="29" t="str">
        <x:v>YES</x:v>
      </x:c>
      <x:c r="I1405" s="29" t="str">
        <x:v>NHPN-gated shared-boundary SCA path</x:v>
      </x:c>
      <x:c r="J1405" s="29" t="str">
        <x:v>presence does not prove operability or capacity</x:v>
      </x:c>
    </x:row>
    <x:row r="1406" ht="64.80000305175781" hidden="0" customHeight="1">
      <x:c r="A1406" s="27" t="str">
        <x:v>SCA-12</x:v>
      </x:c>
      <x:c r="B1406" s="27" t="str">
        <x:v>SCA-10</x:v>
      </x:c>
      <x:c r="C1406" s="27" t="str">
        <x:v>Rail</x:v>
      </x:c>
      <x:c r="D1406" s="27" t="str">
        <x:v>YES</x:v>
      </x:c>
      <x:c r="E1406" s="27" t="str">
        <x:v>YES</x:v>
      </x:c>
      <x:c r="F1406" s="61" t="n">
        <x:v>717.4214903831823</x:v>
      </x:c>
      <x:c r="G1406" s="61" t="n">
        <x:v>36.248878434045466</x:v>
      </x:c>
      <x:c r="H1406" s="27" t="str">
        <x:v>YES</x:v>
      </x:c>
      <x:c r="I1406" s="27" t="str">
        <x:v>NARN shared-node topology; deployable terminal required</x:v>
      </x:c>
      <x:c r="J1406" s="27" t="str">
        <x:v>presence does not prove operability or capacity</x:v>
      </x:c>
    </x:row>
    <x:row r="1407" ht="54" hidden="0" customHeight="1">
      <x:c r="A1407" s="29" t="str">
        <x:v>SCA-12</x:v>
      </x:c>
      <x:c r="B1407" s="29" t="str">
        <x:v>SCA-10</x:v>
      </x:c>
      <x:c r="C1407" s="29" t="str">
        <x:v>Air</x:v>
      </x:c>
      <x:c r="D1407" s="29" t="str">
        <x:v>YES</x:v>
      </x:c>
      <x:c r="E1407" s="29" t="str">
        <x:v>YES</x:v>
      </x:c>
      <x:c r="F1407" s="62" t="n">
        <x:v>588.0504019534281</x:v>
      </x:c>
      <x:c r="G1407" s="62" t="n">
        <x:v>24.9046929260822</x:v>
      </x:c>
      <x:c r="H1407" s="29" t="str">
        <x:v>YES</x:v>
      </x:c>
      <x:c r="I1407" s="29" t="str">
        <x:v>primary-airport endpoints; great-circle screen</x:v>
      </x:c>
      <x:c r="J1407" s="29" t="str">
        <x:v>presence does not prove operability or capacity</x:v>
      </x:c>
    </x:row>
    <x:row r="1408" ht="54" hidden="0" customHeight="1">
      <x:c r="A1408" s="27" t="str">
        <x:v>SCA-12</x:v>
      </x:c>
      <x:c r="B1408" s="27" t="str">
        <x:v>SCA-10</x:v>
      </x:c>
      <x:c r="C1408" s="27" t="str">
        <x:v>Water</x:v>
      </x:c>
      <x:c r="D1408" s="27" t="str">
        <x:v>NO</x:v>
      </x:c>
      <x:c r="E1408" s="27" t="str">
        <x:v>NO</x:v>
      </x:c>
      <x:c r="F1408" s="61"/>
      <x:c r="G1408" s="61"/>
      <x:c r="H1408" s="27" t="str">
        <x:v>NO</x:v>
      </x:c>
      <x:c r="I1408" s="27" t="str">
        <x:v>no screened path</x:v>
      </x:c>
      <x:c r="J1408" s="27" t="str">
        <x:v>presence does not prove operability or capacity</x:v>
      </x:c>
    </x:row>
    <x:row r="1409" ht="54" hidden="0" customHeight="1">
      <x:c r="A1409" s="29" t="str">
        <x:v>SCA-12</x:v>
      </x:c>
      <x:c r="B1409" s="29" t="str">
        <x:v>SCA-11</x:v>
      </x:c>
      <x:c r="C1409" s="29" t="str">
        <x:v>Road</x:v>
      </x:c>
      <x:c r="D1409" s="29" t="str">
        <x:v>YES</x:v>
      </x:c>
      <x:c r="E1409" s="29" t="str">
        <x:v>YES</x:v>
      </x:c>
      <x:c r="F1409" s="62" t="n">
        <x:v>800.139186020009</x:v>
      </x:c>
      <x:c r="G1409" s="62" t="n">
        <x:v>34.5479852003638</x:v>
      </x:c>
      <x:c r="H1409" s="29" t="str">
        <x:v>YES</x:v>
      </x:c>
      <x:c r="I1409" s="29" t="str">
        <x:v>NHPN-gated shared-boundary SCA path</x:v>
      </x:c>
      <x:c r="J1409" s="29" t="str">
        <x:v>presence does not prove operability or capacity</x:v>
      </x:c>
    </x:row>
    <x:row r="1410" ht="64.80000305175781" hidden="0" customHeight="1">
      <x:c r="A1410" s="27" t="str">
        <x:v>SCA-12</x:v>
      </x:c>
      <x:c r="B1410" s="27" t="str">
        <x:v>SCA-11</x:v>
      </x:c>
      <x:c r="C1410" s="27" t="str">
        <x:v>Rail</x:v>
      </x:c>
      <x:c r="D1410" s="27" t="str">
        <x:v>YES</x:v>
      </x:c>
      <x:c r="E1410" s="27" t="str">
        <x:v>YES</x:v>
      </x:c>
      <x:c r="F1410" s="61" t="n">
        <x:v>848.8433103864445</x:v>
      </x:c>
      <x:c r="G1410" s="61" t="n">
        <x:v>38.126333005520635</x:v>
      </x:c>
      <x:c r="H1410" s="27" t="str">
        <x:v>YES</x:v>
      </x:c>
      <x:c r="I1410" s="27" t="str">
        <x:v>NARN shared-node topology; deployable terminal required</x:v>
      </x:c>
      <x:c r="J1410" s="27" t="str">
        <x:v>presence does not prove operability or capacity</x:v>
      </x:c>
    </x:row>
    <x:row r="1411" ht="54" hidden="0" customHeight="1">
      <x:c r="A1411" s="29" t="str">
        <x:v>SCA-12</x:v>
      </x:c>
      <x:c r="B1411" s="29" t="str">
        <x:v>SCA-11</x:v>
      </x:c>
      <x:c r="C1411" s="29" t="str">
        <x:v>Air</x:v>
      </x:c>
      <x:c r="D1411" s="29" t="str">
        <x:v>YES</x:v>
      </x:c>
      <x:c r="E1411" s="29" t="str">
        <x:v>YES</x:v>
      </x:c>
      <x:c r="F1411" s="62" t="n">
        <x:v>695.7732052347906</x:v>
      </x:c>
      <x:c r="G1411" s="62" t="n">
        <x:v>25.07042031574583</x:v>
      </x:c>
      <x:c r="H1411" s="29" t="str">
        <x:v>YES</x:v>
      </x:c>
      <x:c r="I1411" s="29" t="str">
        <x:v>primary-airport endpoints; great-circle screen</x:v>
      </x:c>
      <x:c r="J1411" s="29" t="str">
        <x:v>presence does not prove operability or capacity</x:v>
      </x:c>
    </x:row>
    <x:row r="1412" ht="54" hidden="0" customHeight="1">
      <x:c r="A1412" s="27" t="str">
        <x:v>SCA-12</x:v>
      </x:c>
      <x:c r="B1412" s="27" t="str">
        <x:v>SCA-11</x:v>
      </x:c>
      <x:c r="C1412" s="27" t="str">
        <x:v>Water</x:v>
      </x:c>
      <x:c r="D1412" s="27" t="str">
        <x:v>NO</x:v>
      </x:c>
      <x:c r="E1412" s="27" t="str">
        <x:v>NO</x:v>
      </x:c>
      <x:c r="F1412" s="61"/>
      <x:c r="G1412" s="61"/>
      <x:c r="H1412" s="27" t="str">
        <x:v>NO</x:v>
      </x:c>
      <x:c r="I1412" s="27" t="str">
        <x:v>no screened path</x:v>
      </x:c>
      <x:c r="J1412" s="27" t="str">
        <x:v>presence does not prove operability or capacity</x:v>
      </x:c>
    </x:row>
    <x:row r="1413" ht="54" hidden="0" customHeight="1">
      <x:c r="A1413" s="29" t="str">
        <x:v>SCA-12</x:v>
      </x:c>
      <x:c r="B1413" s="29" t="str">
        <x:v>SCA-13</x:v>
      </x:c>
      <x:c r="C1413" s="29" t="str">
        <x:v>Road</x:v>
      </x:c>
      <x:c r="D1413" s="29" t="str">
        <x:v>NO</x:v>
      </x:c>
      <x:c r="E1413" s="29" t="str">
        <x:v>NO</x:v>
      </x:c>
      <x:c r="F1413" s="62"/>
      <x:c r="G1413" s="62"/>
      <x:c r="H1413" s="29" t="str">
        <x:v>NO</x:v>
      </x:c>
      <x:c r="I1413" s="29" t="str">
        <x:v>no screened path</x:v>
      </x:c>
      <x:c r="J1413" s="29" t="str">
        <x:v>presence does not prove operability or capacity</x:v>
      </x:c>
    </x:row>
    <x:row r="1414" ht="64.80000305175781" hidden="0" customHeight="1">
      <x:c r="A1414" s="27" t="str">
        <x:v>SCA-12</x:v>
      </x:c>
      <x:c r="B1414" s="27" t="str">
        <x:v>SCA-13</x:v>
      </x:c>
      <x:c r="C1414" s="27" t="str">
        <x:v>Rail</x:v>
      </x:c>
      <x:c r="D1414" s="27" t="str">
        <x:v>YES</x:v>
      </x:c>
      <x:c r="E1414" s="27" t="str">
        <x:v>YES</x:v>
      </x:c>
      <x:c r="F1414" s="61" t="n">
        <x:v>1695.7809106446305</x:v>
      </x:c>
      <x:c r="G1414" s="61" t="n">
        <x:v>50.22544158063758</x:v>
      </x:c>
      <x:c r="H1414" s="27" t="str">
        <x:v>YES</x:v>
      </x:c>
      <x:c r="I1414" s="27" t="str">
        <x:v>NARN shared-node topology; deployable terminal required</x:v>
      </x:c>
      <x:c r="J1414" s="27" t="str">
        <x:v>presence does not prove operability or capacity</x:v>
      </x:c>
    </x:row>
    <x:row r="1415" ht="54" hidden="0" customHeight="1">
      <x:c r="A1415" s="29" t="str">
        <x:v>SCA-12</x:v>
      </x:c>
      <x:c r="B1415" s="29" t="str">
        <x:v>SCA-13</x:v>
      </x:c>
      <x:c r="C1415" s="29" t="str">
        <x:v>Air</x:v>
      </x:c>
      <x:c r="D1415" s="29" t="str">
        <x:v>YES</x:v>
      </x:c>
      <x:c r="E1415" s="29" t="str">
        <x:v>YES</x:v>
      </x:c>
      <x:c r="F1415" s="62" t="n">
        <x:v>1220.6791693715531</x:v>
      </x:c>
      <x:c r="G1415" s="62" t="n">
        <x:v>25.877967952879313</x:v>
      </x:c>
      <x:c r="H1415" s="29" t="str">
        <x:v>YES</x:v>
      </x:c>
      <x:c r="I1415" s="29" t="str">
        <x:v>primary-airport endpoints; great-circle screen</x:v>
      </x:c>
      <x:c r="J1415" s="29" t="str">
        <x:v>presence does not prove operability or capacity</x:v>
      </x:c>
    </x:row>
    <x:row r="1416" ht="54" hidden="0" customHeight="1">
      <x:c r="A1416" s="27" t="str">
        <x:v>SCA-12</x:v>
      </x:c>
      <x:c r="B1416" s="27" t="str">
        <x:v>SCA-13</x:v>
      </x:c>
      <x:c r="C1416" s="27" t="str">
        <x:v>Water</x:v>
      </x:c>
      <x:c r="D1416" s="27" t="str">
        <x:v>NO</x:v>
      </x:c>
      <x:c r="E1416" s="27" t="str">
        <x:v>NO</x:v>
      </x:c>
      <x:c r="F1416" s="61"/>
      <x:c r="G1416" s="61"/>
      <x:c r="H1416" s="27" t="str">
        <x:v>NO</x:v>
      </x:c>
      <x:c r="I1416" s="27" t="str">
        <x:v>no screened path</x:v>
      </x:c>
      <x:c r="J1416" s="27" t="str">
        <x:v>presence does not prove operability or capacity</x:v>
      </x:c>
    </x:row>
    <x:row r="1417" ht="54" hidden="0" customHeight="1">
      <x:c r="A1417" s="29" t="str">
        <x:v>SCA-12</x:v>
      </x:c>
      <x:c r="B1417" s="29" t="str">
        <x:v>SCA-14</x:v>
      </x:c>
      <x:c r="C1417" s="29" t="str">
        <x:v>Road</x:v>
      </x:c>
      <x:c r="D1417" s="29" t="str">
        <x:v>NO</x:v>
      </x:c>
      <x:c r="E1417" s="29" t="str">
        <x:v>NO</x:v>
      </x:c>
      <x:c r="F1417" s="62"/>
      <x:c r="G1417" s="62"/>
      <x:c r="H1417" s="29" t="str">
        <x:v>NO</x:v>
      </x:c>
      <x:c r="I1417" s="29" t="str">
        <x:v>no screened path</x:v>
      </x:c>
      <x:c r="J1417" s="29" t="str">
        <x:v>presence does not prove operability or capacity</x:v>
      </x:c>
    </x:row>
    <x:row r="1418" ht="64.80000305175781" hidden="0" customHeight="1">
      <x:c r="A1418" s="27" t="str">
        <x:v>SCA-12</x:v>
      </x:c>
      <x:c r="B1418" s="27" t="str">
        <x:v>SCA-14</x:v>
      </x:c>
      <x:c r="C1418" s="27" t="str">
        <x:v>Rail</x:v>
      </x:c>
      <x:c r="D1418" s="27" t="str">
        <x:v>YES</x:v>
      </x:c>
      <x:c r="E1418" s="27" t="str">
        <x:v>YES</x:v>
      </x:c>
      <x:c r="F1418" s="61" t="n">
        <x:v>2123.9105391203484</x:v>
      </x:c>
      <x:c r="G1418" s="61" t="n">
        <x:v>56.3415791302907</x:v>
      </x:c>
      <x:c r="H1418" s="27" t="str">
        <x:v>YES</x:v>
      </x:c>
      <x:c r="I1418" s="27" t="str">
        <x:v>NARN shared-node topology; deployable terminal required</x:v>
      </x:c>
      <x:c r="J1418" s="27" t="str">
        <x:v>presence does not prove operability or capacity</x:v>
      </x:c>
    </x:row>
    <x:row r="1419" ht="54" hidden="0" customHeight="1">
      <x:c r="A1419" s="29" t="str">
        <x:v>SCA-12</x:v>
      </x:c>
      <x:c r="B1419" s="29" t="str">
        <x:v>SCA-14</x:v>
      </x:c>
      <x:c r="C1419" s="29" t="str">
        <x:v>Air</x:v>
      </x:c>
      <x:c r="D1419" s="29" t="str">
        <x:v>YES</x:v>
      </x:c>
      <x:c r="E1419" s="29" t="str">
        <x:v>YES</x:v>
      </x:c>
      <x:c r="F1419" s="62" t="n">
        <x:v>1541.4755383448012</x:v>
      </x:c>
      <x:c r="G1419" s="62" t="n">
        <x:v>26.37150082822277</x:v>
      </x:c>
      <x:c r="H1419" s="29" t="str">
        <x:v>YES</x:v>
      </x:c>
      <x:c r="I1419" s="29" t="str">
        <x:v>primary-airport endpoints; great-circle screen</x:v>
      </x:c>
      <x:c r="J1419" s="29" t="str">
        <x:v>presence does not prove operability or capacity</x:v>
      </x:c>
    </x:row>
    <x:row r="1420" ht="54" hidden="0" customHeight="1">
      <x:c r="A1420" s="27" t="str">
        <x:v>SCA-12</x:v>
      </x:c>
      <x:c r="B1420" s="27" t="str">
        <x:v>SCA-14</x:v>
      </x:c>
      <x:c r="C1420" s="27" t="str">
        <x:v>Water</x:v>
      </x:c>
      <x:c r="D1420" s="27" t="str">
        <x:v>NO</x:v>
      </x:c>
      <x:c r="E1420" s="27" t="str">
        <x:v>NO</x:v>
      </x:c>
      <x:c r="F1420" s="61"/>
      <x:c r="G1420" s="61"/>
      <x:c r="H1420" s="27" t="str">
        <x:v>NO</x:v>
      </x:c>
      <x:c r="I1420" s="27" t="str">
        <x:v>no screened path</x:v>
      </x:c>
      <x:c r="J1420" s="27" t="str">
        <x:v>presence does not prove operability or capacity</x:v>
      </x:c>
    </x:row>
    <x:row r="1421" ht="54" hidden="0" customHeight="1">
      <x:c r="A1421" s="29" t="str">
        <x:v>SCA-12</x:v>
      </x:c>
      <x:c r="B1421" s="29" t="str">
        <x:v>SCA-15</x:v>
      </x:c>
      <x:c r="C1421" s="29" t="str">
        <x:v>Road</x:v>
      </x:c>
      <x:c r="D1421" s="29" t="str">
        <x:v>YES</x:v>
      </x:c>
      <x:c r="E1421" s="29" t="str">
        <x:v>YES</x:v>
      </x:c>
      <x:c r="F1421" s="62" t="n">
        <x:v>1175.6494045863742</x:v>
      </x:c>
      <x:c r="G1421" s="62" t="n">
        <x:v>41.375443719752255</x:v>
      </x:c>
      <x:c r="H1421" s="29" t="str">
        <x:v>YES</x:v>
      </x:c>
      <x:c r="I1421" s="29" t="str">
        <x:v>NHPN-gated shared-boundary SCA path</x:v>
      </x:c>
      <x:c r="J1421" s="29" t="str">
        <x:v>presence does not prove operability or capacity</x:v>
      </x:c>
    </x:row>
    <x:row r="1422" ht="64.80000305175781" hidden="0" customHeight="1">
      <x:c r="A1422" s="27" t="str">
        <x:v>SCA-12</x:v>
      </x:c>
      <x:c r="B1422" s="27" t="str">
        <x:v>SCA-15</x:v>
      </x:c>
      <x:c r="C1422" s="27" t="str">
        <x:v>Rail</x:v>
      </x:c>
      <x:c r="D1422" s="27" t="str">
        <x:v>YES</x:v>
      </x:c>
      <x:c r="E1422" s="27" t="str">
        <x:v>YES</x:v>
      </x:c>
      <x:c r="F1422" s="61" t="n">
        <x:v>1247.2106726916318</x:v>
      </x:c>
      <x:c r="G1422" s="61" t="n">
        <x:v>43.81729532416617</x:v>
      </x:c>
      <x:c r="H1422" s="27" t="str">
        <x:v>YES</x:v>
      </x:c>
      <x:c r="I1422" s="27" t="str">
        <x:v>NARN shared-node topology; deployable terminal required</x:v>
      </x:c>
      <x:c r="J1422" s="27" t="str">
        <x:v>presence does not prove operability or capacity</x:v>
      </x:c>
    </x:row>
    <x:row r="1423" ht="54" hidden="0" customHeight="1">
      <x:c r="A1423" s="29" t="str">
        <x:v>SCA-12</x:v>
      </x:c>
      <x:c r="B1423" s="29" t="str">
        <x:v>SCA-15</x:v>
      </x:c>
      <x:c r="C1423" s="29" t="str">
        <x:v>Air</x:v>
      </x:c>
      <x:c r="D1423" s="29" t="str">
        <x:v>YES</x:v>
      </x:c>
      <x:c r="E1423" s="29" t="str">
        <x:v>YES</x:v>
      </x:c>
      <x:c r="F1423" s="62" t="n">
        <x:v>1022.3038300751081</x:v>
      </x:c>
      <x:c r="G1423" s="62" t="n">
        <x:v>25.572775123192475</x:v>
      </x:c>
      <x:c r="H1423" s="29" t="str">
        <x:v>YES</x:v>
      </x:c>
      <x:c r="I1423" s="29" t="str">
        <x:v>primary-airport endpoints; great-circle screen</x:v>
      </x:c>
      <x:c r="J1423" s="29" t="str">
        <x:v>presence does not prove operability or capacity</x:v>
      </x:c>
    </x:row>
    <x:row r="1424" ht="54" hidden="0" customHeight="1">
      <x:c r="A1424" s="27" t="str">
        <x:v>SCA-12</x:v>
      </x:c>
      <x:c r="B1424" s="27" t="str">
        <x:v>SCA-15</x:v>
      </x:c>
      <x:c r="C1424" s="27" t="str">
        <x:v>Water</x:v>
      </x:c>
      <x:c r="D1424" s="27" t="str">
        <x:v>NO</x:v>
      </x:c>
      <x:c r="E1424" s="27" t="str">
        <x:v>NO</x:v>
      </x:c>
      <x:c r="F1424" s="61"/>
      <x:c r="G1424" s="61"/>
      <x:c r="H1424" s="27" t="str">
        <x:v>NO</x:v>
      </x:c>
      <x:c r="I1424" s="27" t="str">
        <x:v>no screened path</x:v>
      </x:c>
      <x:c r="J1424" s="27" t="str">
        <x:v>presence does not prove operability or capacity</x:v>
      </x:c>
    </x:row>
    <x:row r="1425" ht="54" hidden="0" customHeight="1">
      <x:c r="A1425" s="29" t="str">
        <x:v>SCA-12</x:v>
      </x:c>
      <x:c r="B1425" s="29" t="str">
        <x:v>SCA-16</x:v>
      </x:c>
      <x:c r="C1425" s="29" t="str">
        <x:v>Road</x:v>
      </x:c>
      <x:c r="D1425" s="29" t="str">
        <x:v>YES</x:v>
      </x:c>
      <x:c r="E1425" s="29" t="str">
        <x:v>YES</x:v>
      </x:c>
      <x:c r="F1425" s="62" t="n">
        <x:v>892.117241993101</x:v>
      </x:c>
      <x:c r="G1425" s="62" t="n">
        <x:v>36.22031349078365</x:v>
      </x:c>
      <x:c r="H1425" s="29" t="str">
        <x:v>YES</x:v>
      </x:c>
      <x:c r="I1425" s="29" t="str">
        <x:v>NHPN-gated shared-boundary SCA path</x:v>
      </x:c>
      <x:c r="J1425" s="29" t="str">
        <x:v>presence does not prove operability or capacity</x:v>
      </x:c>
    </x:row>
    <x:row r="1426" ht="64.80000305175781" hidden="0" customHeight="1">
      <x:c r="A1426" s="27" t="str">
        <x:v>SCA-12</x:v>
      </x:c>
      <x:c r="B1426" s="27" t="str">
        <x:v>SCA-16</x:v>
      </x:c>
      <x:c r="C1426" s="27" t="str">
        <x:v>Rail</x:v>
      </x:c>
      <x:c r="D1426" s="27" t="str">
        <x:v>YES</x:v>
      </x:c>
      <x:c r="E1426" s="27" t="str">
        <x:v>YES</x:v>
      </x:c>
      <x:c r="F1426" s="61" t="n">
        <x:v>946.4200306361591</x:v>
      </x:c>
      <x:c r="G1426" s="61" t="n">
        <x:v>39.52028615194513</x:v>
      </x:c>
      <x:c r="H1426" s="27" t="str">
        <x:v>YES</x:v>
      </x:c>
      <x:c r="I1426" s="27" t="str">
        <x:v>NARN shared-node topology; deployable terminal required</x:v>
      </x:c>
      <x:c r="J1426" s="27" t="str">
        <x:v>presence does not prove operability or capacity</x:v>
      </x:c>
    </x:row>
    <x:row r="1427" ht="54" hidden="0" customHeight="1">
      <x:c r="A1427" s="29" t="str">
        <x:v>SCA-12</x:v>
      </x:c>
      <x:c r="B1427" s="29" t="str">
        <x:v>SCA-16</x:v>
      </x:c>
      <x:c r="C1427" s="29" t="str">
        <x:v>Air</x:v>
      </x:c>
      <x:c r="D1427" s="29" t="str">
        <x:v>YES</x:v>
      </x:c>
      <x:c r="E1427" s="29" t="str">
        <x:v>YES</x:v>
      </x:c>
      <x:c r="F1427" s="62" t="n">
        <x:v>775.7541234722617</x:v>
      </x:c>
      <x:c r="G1427" s="62" t="n">
        <x:v>25.19346788226502</x:v>
      </x:c>
      <x:c r="H1427" s="29" t="str">
        <x:v>YES</x:v>
      </x:c>
      <x:c r="I1427" s="29" t="str">
        <x:v>primary-airport endpoints; great-circle screen</x:v>
      </x:c>
      <x:c r="J1427" s="29" t="str">
        <x:v>presence does not prove operability or capacity</x:v>
      </x:c>
    </x:row>
    <x:row r="1428" ht="54" hidden="0" customHeight="1">
      <x:c r="A1428" s="27" t="str">
        <x:v>SCA-12</x:v>
      </x:c>
      <x:c r="B1428" s="27" t="str">
        <x:v>SCA-16</x:v>
      </x:c>
      <x:c r="C1428" s="27" t="str">
        <x:v>Water</x:v>
      </x:c>
      <x:c r="D1428" s="27" t="str">
        <x:v>NO</x:v>
      </x:c>
      <x:c r="E1428" s="27" t="str">
        <x:v>NO</x:v>
      </x:c>
      <x:c r="F1428" s="61"/>
      <x:c r="G1428" s="61"/>
      <x:c r="H1428" s="27" t="str">
        <x:v>NO</x:v>
      </x:c>
      <x:c r="I1428" s="27" t="str">
        <x:v>no screened path</x:v>
      </x:c>
      <x:c r="J1428" s="27" t="str">
        <x:v>presence does not prove operability or capacity</x:v>
      </x:c>
    </x:row>
    <x:row r="1429" ht="54" hidden="0" customHeight="1">
      <x:c r="A1429" s="29" t="str">
        <x:v>SCA-12</x:v>
      </x:c>
      <x:c r="B1429" s="29" t="str">
        <x:v>SCA-17</x:v>
      </x:c>
      <x:c r="C1429" s="29" t="str">
        <x:v>Road</x:v>
      </x:c>
      <x:c r="D1429" s="29" t="str">
        <x:v>YES</x:v>
      </x:c>
      <x:c r="E1429" s="29" t="str">
        <x:v>YES</x:v>
      </x:c>
      <x:c r="F1429" s="62" t="n">
        <x:v>1644.4617974093453</x:v>
      </x:c>
      <x:c r="G1429" s="62" t="n">
        <x:v>49.89930540744264</x:v>
      </x:c>
      <x:c r="H1429" s="29" t="str">
        <x:v>YES</x:v>
      </x:c>
      <x:c r="I1429" s="29" t="str">
        <x:v>NHPN-gated shared-boundary SCA path</x:v>
      </x:c>
      <x:c r="J1429" s="29" t="str">
        <x:v>presence does not prove operability or capacity</x:v>
      </x:c>
    </x:row>
    <x:row r="1430" ht="64.80000305175781" hidden="0" customHeight="1">
      <x:c r="A1430" s="27" t="str">
        <x:v>SCA-12</x:v>
      </x:c>
      <x:c r="B1430" s="27" t="str">
        <x:v>SCA-17</x:v>
      </x:c>
      <x:c r="C1430" s="27" t="str">
        <x:v>Rail</x:v>
      </x:c>
      <x:c r="D1430" s="27" t="str">
        <x:v>YES</x:v>
      </x:c>
      <x:c r="E1430" s="27" t="str">
        <x:v>YES</x:v>
      </x:c>
      <x:c r="F1430" s="61" t="n">
        <x:v>1744.5594720342617</x:v>
      </x:c>
      <x:c r="G1430" s="61" t="n">
        <x:v>50.92227817191802</x:v>
      </x:c>
      <x:c r="H1430" s="27" t="str">
        <x:v>YES</x:v>
      </x:c>
      <x:c r="I1430" s="27" t="str">
        <x:v>NARN shared-node topology; deployable terminal required</x:v>
      </x:c>
      <x:c r="J1430" s="27" t="str">
        <x:v>presence does not prove operability or capacity</x:v>
      </x:c>
    </x:row>
    <x:row r="1431" ht="54" hidden="0" customHeight="1">
      <x:c r="A1431" s="29" t="str">
        <x:v>SCA-12</x:v>
      </x:c>
      <x:c r="B1431" s="29" t="str">
        <x:v>SCA-17</x:v>
      </x:c>
      <x:c r="C1431" s="29" t="str">
        <x:v>Air</x:v>
      </x:c>
      <x:c r="D1431" s="29" t="str">
        <x:v>YES</x:v>
      </x:c>
      <x:c r="E1431" s="29" t="str">
        <x:v>YES</x:v>
      </x:c>
      <x:c r="F1431" s="62" t="n">
        <x:v>1427.2423223245917</x:v>
      </x:c>
      <x:c r="G1431" s="62" t="n">
        <x:v>26.19575741896091</x:v>
      </x:c>
      <x:c r="H1431" s="29" t="str">
        <x:v>YES</x:v>
      </x:c>
      <x:c r="I1431" s="29" t="str">
        <x:v>primary-airport endpoints; great-circle screen</x:v>
      </x:c>
      <x:c r="J1431" s="29" t="str">
        <x:v>presence does not prove operability or capacity</x:v>
      </x:c>
    </x:row>
    <x:row r="1432" ht="54" hidden="0" customHeight="1">
      <x:c r="A1432" s="27" t="str">
        <x:v>SCA-12</x:v>
      </x:c>
      <x:c r="B1432" s="27" t="str">
        <x:v>SCA-17</x:v>
      </x:c>
      <x:c r="C1432" s="27" t="str">
        <x:v>Water</x:v>
      </x:c>
      <x:c r="D1432" s="27" t="str">
        <x:v>NO</x:v>
      </x:c>
      <x:c r="E1432" s="27" t="str">
        <x:v>NO</x:v>
      </x:c>
      <x:c r="F1432" s="61"/>
      <x:c r="G1432" s="61"/>
      <x:c r="H1432" s="27" t="str">
        <x:v>NO</x:v>
      </x:c>
      <x:c r="I1432" s="27" t="str">
        <x:v>no screened path</x:v>
      </x:c>
      <x:c r="J1432" s="27" t="str">
        <x:v>presence does not prove operability or capacity</x:v>
      </x:c>
    </x:row>
    <x:row r="1433" ht="54" hidden="0" customHeight="1">
      <x:c r="A1433" s="29" t="str">
        <x:v>SCA-12</x:v>
      </x:c>
      <x:c r="B1433" s="29" t="str">
        <x:v>SCA-18</x:v>
      </x:c>
      <x:c r="C1433" s="29" t="str">
        <x:v>Road</x:v>
      </x:c>
      <x:c r="D1433" s="29" t="str">
        <x:v>YES</x:v>
      </x:c>
      <x:c r="E1433" s="29" t="str">
        <x:v>YES</x:v>
      </x:c>
      <x:c r="F1433" s="62" t="n">
        <x:v>1231.454291671457</x:v>
      </x:c>
      <x:c r="G1433" s="62" t="n">
        <x:v>42.39007803039013</x:v>
      </x:c>
      <x:c r="H1433" s="29" t="str">
        <x:v>YES</x:v>
      </x:c>
      <x:c r="I1433" s="29" t="str">
        <x:v>NHPN-gated shared-boundary SCA path</x:v>
      </x:c>
      <x:c r="J1433" s="29" t="str">
        <x:v>presence does not prove operability or capacity</x:v>
      </x:c>
    </x:row>
    <x:row r="1434" ht="64.80000305175781" hidden="0" customHeight="1">
      <x:c r="A1434" s="27" t="str">
        <x:v>SCA-12</x:v>
      </x:c>
      <x:c r="B1434" s="27" t="str">
        <x:v>SCA-18</x:v>
      </x:c>
      <x:c r="C1434" s="27" t="str">
        <x:v>Rail</x:v>
      </x:c>
      <x:c r="D1434" s="27" t="str">
        <x:v>YES</x:v>
      </x:c>
      <x:c r="E1434" s="27" t="str">
        <x:v>YES</x:v>
      </x:c>
      <x:c r="F1434" s="61" t="n">
        <x:v>1306.412378990589</x:v>
      </x:c>
      <x:c r="G1434" s="61" t="n">
        <x:v>44.663033985579844</x:v>
      </x:c>
      <x:c r="H1434" s="27" t="str">
        <x:v>YES</x:v>
      </x:c>
      <x:c r="I1434" s="27" t="str">
        <x:v>NARN shared-node topology; deployable terminal required</x:v>
      </x:c>
      <x:c r="J1434" s="27" t="str">
        <x:v>presence does not prove operability or capacity</x:v>
      </x:c>
    </x:row>
    <x:row r="1435" ht="54" hidden="0" customHeight="1">
      <x:c r="A1435" s="29" t="str">
        <x:v>SCA-12</x:v>
      </x:c>
      <x:c r="B1435" s="29" t="str">
        <x:v>SCA-18</x:v>
      </x:c>
      <x:c r="C1435" s="29" t="str">
        <x:v>Air</x:v>
      </x:c>
      <x:c r="D1435" s="29" t="str">
        <x:v>YES</x:v>
      </x:c>
      <x:c r="E1435" s="29" t="str">
        <x:v>YES</x:v>
      </x:c>
      <x:c r="F1435" s="62" t="n">
        <x:v>1070.8298188447452</x:v>
      </x:c>
      <x:c r="G1435" s="62" t="n">
        <x:v>25.647430490530375</x:v>
      </x:c>
      <x:c r="H1435" s="29" t="str">
        <x:v>YES</x:v>
      </x:c>
      <x:c r="I1435" s="29" t="str">
        <x:v>primary-airport endpoints; great-circle screen</x:v>
      </x:c>
      <x:c r="J1435" s="29" t="str">
        <x:v>presence does not prove operability or capacity</x:v>
      </x:c>
    </x:row>
    <x:row r="1436" ht="54" hidden="0" customHeight="1">
      <x:c r="A1436" s="27" t="str">
        <x:v>SCA-12</x:v>
      </x:c>
      <x:c r="B1436" s="27" t="str">
        <x:v>SCA-18</x:v>
      </x:c>
      <x:c r="C1436" s="27" t="str">
        <x:v>Water</x:v>
      </x:c>
      <x:c r="D1436" s="27" t="str">
        <x:v>NO</x:v>
      </x:c>
      <x:c r="E1436" s="27" t="str">
        <x:v>NO</x:v>
      </x:c>
      <x:c r="F1436" s="61"/>
      <x:c r="G1436" s="61"/>
      <x:c r="H1436" s="27" t="str">
        <x:v>NO</x:v>
      </x:c>
      <x:c r="I1436" s="27" t="str">
        <x:v>no screened path</x:v>
      </x:c>
      <x:c r="J1436" s="27" t="str">
        <x:v>presence does not prove operability or capacity</x:v>
      </x:c>
    </x:row>
    <x:row r="1437" ht="54" hidden="0" customHeight="1">
      <x:c r="A1437" s="29" t="str">
        <x:v>SCA-12</x:v>
      </x:c>
      <x:c r="B1437" s="29" t="str">
        <x:v>SCA-19</x:v>
      </x:c>
      <x:c r="C1437" s="29" t="str">
        <x:v>Road</x:v>
      </x:c>
      <x:c r="D1437" s="29" t="str">
        <x:v>YES</x:v>
      </x:c>
      <x:c r="E1437" s="29" t="str">
        <x:v>YES</x:v>
      </x:c>
      <x:c r="F1437" s="62" t="n">
        <x:v>1413.602415922117</x:v>
      </x:c>
      <x:c r="G1437" s="62" t="n">
        <x:v>45.701862107674856</x:v>
      </x:c>
      <x:c r="H1437" s="29" t="str">
        <x:v>YES</x:v>
      </x:c>
      <x:c r="I1437" s="29" t="str">
        <x:v>NHPN-gated shared-boundary SCA path</x:v>
      </x:c>
      <x:c r="J1437" s="29" t="str">
        <x:v>presence does not prove operability or capacity</x:v>
      </x:c>
    </x:row>
    <x:row r="1438" ht="64.80000305175781" hidden="0" customHeight="1">
      <x:c r="A1438" s="27" t="str">
        <x:v>SCA-12</x:v>
      </x:c>
      <x:c r="B1438" s="27" t="str">
        <x:v>SCA-19</x:v>
      </x:c>
      <x:c r="C1438" s="27" t="str">
        <x:v>Rail</x:v>
      </x:c>
      <x:c r="D1438" s="27" t="str">
        <x:v>YES</x:v>
      </x:c>
      <x:c r="E1438" s="27" t="str">
        <x:v>YES</x:v>
      </x:c>
      <x:c r="F1438" s="61" t="n">
        <x:v>1499.64778036955</x:v>
      </x:c>
      <x:c r="G1438" s="61" t="n">
        <x:v>47.423539719565</x:v>
      </x:c>
      <x:c r="H1438" s="27" t="str">
        <x:v>YES</x:v>
      </x:c>
      <x:c r="I1438" s="27" t="str">
        <x:v>NARN shared-node topology; deployable terminal required</x:v>
      </x:c>
      <x:c r="J1438" s="27" t="str">
        <x:v>presence does not prove operability or capacity</x:v>
      </x:c>
    </x:row>
    <x:row r="1439" ht="54" hidden="0" customHeight="1">
      <x:c r="A1439" s="29" t="str">
        <x:v>SCA-12</x:v>
      </x:c>
      <x:c r="B1439" s="29" t="str">
        <x:v>SCA-19</x:v>
      </x:c>
      <x:c r="C1439" s="29" t="str">
        <x:v>Air</x:v>
      </x:c>
      <x:c r="D1439" s="29" t="str">
        <x:v>YES</x:v>
      </x:c>
      <x:c r="E1439" s="29" t="str">
        <x:v>YES</x:v>
      </x:c>
      <x:c r="F1439" s="62" t="n">
        <x:v>1203.0338759881367</x:v>
      </x:c>
      <x:c r="G1439" s="62" t="n">
        <x:v>25.850821347674056</x:v>
      </x:c>
      <x:c r="H1439" s="29" t="str">
        <x:v>YES</x:v>
      </x:c>
      <x:c r="I1439" s="29" t="str">
        <x:v>primary-airport endpoints; great-circle screen</x:v>
      </x:c>
      <x:c r="J1439" s="29" t="str">
        <x:v>presence does not prove operability or capacity</x:v>
      </x:c>
    </x:row>
    <x:row r="1440" ht="54" hidden="0" customHeight="1">
      <x:c r="A1440" s="27" t="str">
        <x:v>SCA-12</x:v>
      </x:c>
      <x:c r="B1440" s="27" t="str">
        <x:v>SCA-19</x:v>
      </x:c>
      <x:c r="C1440" s="27" t="str">
        <x:v>Water</x:v>
      </x:c>
      <x:c r="D1440" s="27" t="str">
        <x:v>NO</x:v>
      </x:c>
      <x:c r="E1440" s="27" t="str">
        <x:v>NO</x:v>
      </x:c>
      <x:c r="F1440" s="61"/>
      <x:c r="G1440" s="61"/>
      <x:c r="H1440" s="27" t="str">
        <x:v>NO</x:v>
      </x:c>
      <x:c r="I1440" s="27" t="str">
        <x:v>no screened path</x:v>
      </x:c>
      <x:c r="J1440" s="27" t="str">
        <x:v>presence does not prove operability or capacity</x:v>
      </x:c>
    </x:row>
    <x:row r="1441" ht="54" hidden="0" customHeight="1">
      <x:c r="A1441" s="29" t="str">
        <x:v>SCA-12</x:v>
      </x:c>
      <x:c r="B1441" s="29" t="str">
        <x:v>SCA-20</x:v>
      </x:c>
      <x:c r="C1441" s="29" t="str">
        <x:v>Road</x:v>
      </x:c>
      <x:c r="D1441" s="29" t="str">
        <x:v>YES</x:v>
      </x:c>
      <x:c r="E1441" s="29" t="str">
        <x:v>YES</x:v>
      </x:c>
      <x:c r="F1441" s="62" t="n">
        <x:v>1701.242930543863</x:v>
      </x:c>
      <x:c r="G1441" s="62" t="n">
        <x:v>50.93168964625205</x:v>
      </x:c>
      <x:c r="H1441" s="29" t="str">
        <x:v>YES</x:v>
      </x:c>
      <x:c r="I1441" s="29" t="str">
        <x:v>NHPN-gated shared-boundary SCA path</x:v>
      </x:c>
      <x:c r="J1441" s="29" t="str">
        <x:v>presence does not prove operability or capacity</x:v>
      </x:c>
    </x:row>
    <x:row r="1442" ht="64.80000305175781" hidden="0" customHeight="1">
      <x:c r="A1442" s="27" t="str">
        <x:v>SCA-12</x:v>
      </x:c>
      <x:c r="B1442" s="27" t="str">
        <x:v>SCA-20</x:v>
      </x:c>
      <x:c r="C1442" s="27" t="str">
        <x:v>Rail</x:v>
      </x:c>
      <x:c r="D1442" s="27" t="str">
        <x:v>YES</x:v>
      </x:c>
      <x:c r="E1442" s="27" t="str">
        <x:v>YES</x:v>
      </x:c>
      <x:c r="F1442" s="61" t="n">
        <x:v>1804.7968480552286</x:v>
      </x:c>
      <x:c r="G1442" s="61" t="n">
        <x:v>51.78281211507469</x:v>
      </x:c>
      <x:c r="H1442" s="27" t="str">
        <x:v>YES</x:v>
      </x:c>
      <x:c r="I1442" s="27" t="str">
        <x:v>NARN shared-node topology; deployable terminal required</x:v>
      </x:c>
      <x:c r="J1442" s="27" t="str">
        <x:v>presence does not prove operability or capacity</x:v>
      </x:c>
    </x:row>
    <x:row r="1443" ht="54" hidden="0" customHeight="1">
      <x:c r="A1443" s="29" t="str">
        <x:v>SCA-12</x:v>
      </x:c>
      <x:c r="B1443" s="29" t="str">
        <x:v>SCA-20</x:v>
      </x:c>
      <x:c r="C1443" s="29" t="str">
        <x:v>Air</x:v>
      </x:c>
      <x:c r="D1443" s="29" t="str">
        <x:v>YES</x:v>
      </x:c>
      <x:c r="E1443" s="29" t="str">
        <x:v>YES</x:v>
      </x:c>
      <x:c r="F1443" s="62" t="n">
        <x:v>1448.2452371444426</x:v>
      </x:c>
      <x:c r="G1443" s="62" t="n">
        <x:v>26.228069595606833</x:v>
      </x:c>
      <x:c r="H1443" s="29" t="str">
        <x:v>YES</x:v>
      </x:c>
      <x:c r="I1443" s="29" t="str">
        <x:v>primary-airport endpoints; great-circle screen</x:v>
      </x:c>
      <x:c r="J1443" s="29" t="str">
        <x:v>presence does not prove operability or capacity</x:v>
      </x:c>
    </x:row>
    <x:row r="1444" ht="54" hidden="0" customHeight="1">
      <x:c r="A1444" s="27" t="str">
        <x:v>SCA-12</x:v>
      </x:c>
      <x:c r="B1444" s="27" t="str">
        <x:v>SCA-20</x:v>
      </x:c>
      <x:c r="C1444" s="27" t="str">
        <x:v>Water</x:v>
      </x:c>
      <x:c r="D1444" s="27" t="str">
        <x:v>NO</x:v>
      </x:c>
      <x:c r="E1444" s="27" t="str">
        <x:v>NO</x:v>
      </x:c>
      <x:c r="F1444" s="61"/>
      <x:c r="G1444" s="61"/>
      <x:c r="H1444" s="27" t="str">
        <x:v>NO</x:v>
      </x:c>
      <x:c r="I1444" s="27" t="str">
        <x:v>no screened path</x:v>
      </x:c>
      <x:c r="J1444" s="27" t="str">
        <x:v>presence does not prove operability or capacity</x:v>
      </x:c>
    </x:row>
    <x:row r="1445" ht="54" hidden="0" customHeight="1">
      <x:c r="A1445" s="29" t="str">
        <x:v>SCA-12</x:v>
      </x:c>
      <x:c r="B1445" s="29" t="str">
        <x:v>SCA-21</x:v>
      </x:c>
      <x:c r="C1445" s="29" t="str">
        <x:v>Road</x:v>
      </x:c>
      <x:c r="D1445" s="29" t="str">
        <x:v>YES</x:v>
      </x:c>
      <x:c r="E1445" s="29" t="str">
        <x:v>YES</x:v>
      </x:c>
      <x:c r="F1445" s="62" t="n">
        <x:v>1873.0558377773218</x:v>
      </x:c>
      <x:c r="G1445" s="62" t="n">
        <x:v>54.055560686860396</x:v>
      </x:c>
      <x:c r="H1445" s="29" t="str">
        <x:v>YES</x:v>
      </x:c>
      <x:c r="I1445" s="29" t="str">
        <x:v>NHPN-gated shared-boundary SCA path</x:v>
      </x:c>
      <x:c r="J1445" s="29" t="str">
        <x:v>presence does not prove operability or capacity</x:v>
      </x:c>
    </x:row>
    <x:row r="1446" ht="64.80000305175781" hidden="0" customHeight="1">
      <x:c r="A1446" s="27" t="str">
        <x:v>SCA-12</x:v>
      </x:c>
      <x:c r="B1446" s="27" t="str">
        <x:v>SCA-21</x:v>
      </x:c>
      <x:c r="C1446" s="27" t="str">
        <x:v>Rail</x:v>
      </x:c>
      <x:c r="D1446" s="27" t="str">
        <x:v>YES</x:v>
      </x:c>
      <x:c r="E1446" s="27" t="str">
        <x:v>YES</x:v>
      </x:c>
      <x:c r="F1446" s="61" t="n">
        <x:v>1987.067932250724</x:v>
      </x:c>
      <x:c r="G1446" s="61" t="n">
        <x:v>54.38668474643892</x:v>
      </x:c>
      <x:c r="H1446" s="27" t="str">
        <x:v>YES</x:v>
      </x:c>
      <x:c r="I1446" s="27" t="str">
        <x:v>NARN shared-node topology; deployable terminal required</x:v>
      </x:c>
      <x:c r="J1446" s="27" t="str">
        <x:v>presence does not prove operability or capacity</x:v>
      </x:c>
    </x:row>
    <x:row r="1447" ht="54" hidden="0" customHeight="1">
      <x:c r="A1447" s="29" t="str">
        <x:v>SCA-12</x:v>
      </x:c>
      <x:c r="B1447" s="29" t="str">
        <x:v>SCA-21</x:v>
      </x:c>
      <x:c r="C1447" s="29" t="str">
        <x:v>Air</x:v>
      </x:c>
      <x:c r="D1447" s="29" t="str">
        <x:v>YES</x:v>
      </x:c>
      <x:c r="E1447" s="29" t="str">
        <x:v>YES</x:v>
      </x:c>
      <x:c r="F1447" s="62" t="n">
        <x:v>1447.017689083886</x:v>
      </x:c>
      <x:c r="G1447" s="62" t="n">
        <x:v>26.226181060129054</x:v>
      </x:c>
      <x:c r="H1447" s="29" t="str">
        <x:v>YES</x:v>
      </x:c>
      <x:c r="I1447" s="29" t="str">
        <x:v>primary-airport endpoints; great-circle screen</x:v>
      </x:c>
      <x:c r="J1447" s="29" t="str">
        <x:v>presence does not prove operability or capacity</x:v>
      </x:c>
    </x:row>
    <x:row r="1448" ht="54" hidden="0" customHeight="1">
      <x:c r="A1448" s="27" t="str">
        <x:v>SCA-12</x:v>
      </x:c>
      <x:c r="B1448" s="27" t="str">
        <x:v>SCA-21</x:v>
      </x:c>
      <x:c r="C1448" s="27" t="str">
        <x:v>Water</x:v>
      </x:c>
      <x:c r="D1448" s="27" t="str">
        <x:v>NO</x:v>
      </x:c>
      <x:c r="E1448" s="27" t="str">
        <x:v>NO</x:v>
      </x:c>
      <x:c r="F1448" s="61"/>
      <x:c r="G1448" s="61"/>
      <x:c r="H1448" s="27" t="str">
        <x:v>NO</x:v>
      </x:c>
      <x:c r="I1448" s="27" t="str">
        <x:v>no screened path</x:v>
      </x:c>
      <x:c r="J1448" s="27" t="str">
        <x:v>presence does not prove operability or capacity</x:v>
      </x:c>
    </x:row>
    <x:row r="1449" ht="54" hidden="0" customHeight="1">
      <x:c r="A1449" s="29" t="str">
        <x:v>SCA-12</x:v>
      </x:c>
      <x:c r="B1449" s="29" t="str">
        <x:v>SCA-22</x:v>
      </x:c>
      <x:c r="C1449" s="29" t="str">
        <x:v>Road</x:v>
      </x:c>
      <x:c r="D1449" s="29" t="str">
        <x:v>YES</x:v>
      </x:c>
      <x:c r="E1449" s="29" t="str">
        <x:v>YES</x:v>
      </x:c>
      <x:c r="F1449" s="62" t="n">
        <x:v>1971.1850467824459</x:v>
      </x:c>
      <x:c r="G1449" s="62" t="n">
        <x:v>55.839728123317194</x:v>
      </x:c>
      <x:c r="H1449" s="29" t="str">
        <x:v>YES</x:v>
      </x:c>
      <x:c r="I1449" s="29" t="str">
        <x:v>NHPN-gated shared-boundary SCA path</x:v>
      </x:c>
      <x:c r="J1449" s="29" t="str">
        <x:v>presence does not prove operability or capacity</x:v>
      </x:c>
    </x:row>
    <x:row r="1450" ht="64.80000305175781" hidden="0" customHeight="1">
      <x:c r="A1450" s="27" t="str">
        <x:v>SCA-12</x:v>
      </x:c>
      <x:c r="B1450" s="27" t="str">
        <x:v>SCA-22</x:v>
      </x:c>
      <x:c r="C1450" s="27" t="str">
        <x:v>Rail</x:v>
      </x:c>
      <x:c r="D1450" s="27" t="str">
        <x:v>YES</x:v>
      </x:c>
      <x:c r="E1450" s="27" t="str">
        <x:v>YES</x:v>
      </x:c>
      <x:c r="F1450" s="61" t="n">
        <x:v>2091.1702235431167</x:v>
      </x:c>
      <x:c r="G1450" s="61" t="n">
        <x:v>55.87386033633024</x:v>
      </x:c>
      <x:c r="H1450" s="27" t="str">
        <x:v>YES</x:v>
      </x:c>
      <x:c r="I1450" s="27" t="str">
        <x:v>NARN shared-node topology; deployable terminal required</x:v>
      </x:c>
      <x:c r="J1450" s="27" t="str">
        <x:v>presence does not prove operability or capacity</x:v>
      </x:c>
    </x:row>
    <x:row r="1451" ht="54" hidden="0" customHeight="1">
      <x:c r="A1451" s="29" t="str">
        <x:v>SCA-12</x:v>
      </x:c>
      <x:c r="B1451" s="29" t="str">
        <x:v>SCA-22</x:v>
      </x:c>
      <x:c r="C1451" s="29" t="str">
        <x:v>Air</x:v>
      </x:c>
      <x:c r="D1451" s="29" t="str">
        <x:v>YES</x:v>
      </x:c>
      <x:c r="E1451" s="29" t="str">
        <x:v>YES</x:v>
      </x:c>
      <x:c r="F1451" s="62" t="n">
        <x:v>1686.2841308567363</x:v>
      </x:c>
      <x:c r="G1451" s="62" t="n">
        <x:v>26.594283278241132</x:v>
      </x:c>
      <x:c r="H1451" s="29" t="str">
        <x:v>YES</x:v>
      </x:c>
      <x:c r="I1451" s="29" t="str">
        <x:v>primary-airport endpoints; great-circle screen</x:v>
      </x:c>
      <x:c r="J1451" s="29" t="str">
        <x:v>presence does not prove operability or capacity</x:v>
      </x:c>
    </x:row>
    <x:row r="1452" ht="54" hidden="0" customHeight="1">
      <x:c r="A1452" s="27" t="str">
        <x:v>SCA-12</x:v>
      </x:c>
      <x:c r="B1452" s="27" t="str">
        <x:v>SCA-22</x:v>
      </x:c>
      <x:c r="C1452" s="27" t="str">
        <x:v>Water</x:v>
      </x:c>
      <x:c r="D1452" s="27" t="str">
        <x:v>NO</x:v>
      </x:c>
      <x:c r="E1452" s="27" t="str">
        <x:v>NO</x:v>
      </x:c>
      <x:c r="F1452" s="61"/>
      <x:c r="G1452" s="61"/>
      <x:c r="H1452" s="27" t="str">
        <x:v>NO</x:v>
      </x:c>
      <x:c r="I1452" s="27" t="str">
        <x:v>no screened path</x:v>
      </x:c>
      <x:c r="J1452" s="27" t="str">
        <x:v>presence does not prove operability or capacity</x:v>
      </x:c>
    </x:row>
    <x:row r="1453" ht="54" hidden="0" customHeight="1">
      <x:c r="A1453" s="29" t="str">
        <x:v>SCA-12</x:v>
      </x:c>
      <x:c r="B1453" s="29" t="str">
        <x:v>SCA-23</x:v>
      </x:c>
      <x:c r="C1453" s="29" t="str">
        <x:v>Road</x:v>
      </x:c>
      <x:c r="D1453" s="29" t="str">
        <x:v>YES</x:v>
      </x:c>
      <x:c r="E1453" s="29" t="str">
        <x:v>YES</x:v>
      </x:c>
      <x:c r="F1453" s="62" t="n">
        <x:v>2280.741924393058</x:v>
      </x:c>
      <x:c r="G1453" s="62" t="n">
        <x:v>61.46803498896469</x:v>
      </x:c>
      <x:c r="H1453" s="29" t="str">
        <x:v>YES</x:v>
      </x:c>
      <x:c r="I1453" s="29" t="str">
        <x:v>NHPN-gated shared-boundary SCA path</x:v>
      </x:c>
      <x:c r="J1453" s="29" t="str">
        <x:v>presence does not prove operability or capacity</x:v>
      </x:c>
    </x:row>
    <x:row r="1454" ht="64.80000305175781" hidden="0" customHeight="1">
      <x:c r="A1454" s="27" t="str">
        <x:v>SCA-12</x:v>
      </x:c>
      <x:c r="B1454" s="27" t="str">
        <x:v>SCA-23</x:v>
      </x:c>
      <x:c r="C1454" s="27" t="str">
        <x:v>Rail</x:v>
      </x:c>
      <x:c r="D1454" s="27" t="str">
        <x:v>YES</x:v>
      </x:c>
      <x:c r="E1454" s="27" t="str">
        <x:v>YES</x:v>
      </x:c>
      <x:c r="F1454" s="61" t="n">
        <x:v>2419.56969370394</x:v>
      </x:c>
      <x:c r="G1454" s="61" t="n">
        <x:v>60.56528133862772</x:v>
      </x:c>
      <x:c r="H1454" s="27" t="str">
        <x:v>YES</x:v>
      </x:c>
      <x:c r="I1454" s="27" t="str">
        <x:v>NARN shared-node topology; deployable terminal required</x:v>
      </x:c>
      <x:c r="J1454" s="27" t="str">
        <x:v>presence does not prove operability or capacity</x:v>
      </x:c>
    </x:row>
    <x:row r="1455" ht="54" hidden="0" customHeight="1">
      <x:c r="A1455" s="29" t="str">
        <x:v>SCA-12</x:v>
      </x:c>
      <x:c r="B1455" s="29" t="str">
        <x:v>SCA-23</x:v>
      </x:c>
      <x:c r="C1455" s="29" t="str">
        <x:v>Air</x:v>
      </x:c>
      <x:c r="D1455" s="29" t="str">
        <x:v>YES</x:v>
      </x:c>
      <x:c r="E1455" s="29" t="str">
        <x:v>YES</x:v>
      </x:c>
      <x:c r="F1455" s="62" t="n">
        <x:v>1910.7440988335175</x:v>
      </x:c>
      <x:c r="G1455" s="62" t="n">
        <x:v>26.93960630589772</x:v>
      </x:c>
      <x:c r="H1455" s="29" t="str">
        <x:v>YES</x:v>
      </x:c>
      <x:c r="I1455" s="29" t="str">
        <x:v>primary-airport endpoints; great-circle screen</x:v>
      </x:c>
      <x:c r="J1455" s="29" t="str">
        <x:v>presence does not prove operability or capacity</x:v>
      </x:c>
    </x:row>
    <x:row r="1456" ht="54" hidden="0" customHeight="1">
      <x:c r="A1456" s="27" t="str">
        <x:v>SCA-12</x:v>
      </x:c>
      <x:c r="B1456" s="27" t="str">
        <x:v>SCA-23</x:v>
      </x:c>
      <x:c r="C1456" s="27" t="str">
        <x:v>Water</x:v>
      </x:c>
      <x:c r="D1456" s="27" t="str">
        <x:v>NO</x:v>
      </x:c>
      <x:c r="E1456" s="27" t="str">
        <x:v>NO</x:v>
      </x:c>
      <x:c r="F1456" s="61"/>
      <x:c r="G1456" s="61"/>
      <x:c r="H1456" s="27" t="str">
        <x:v>NO</x:v>
      </x:c>
      <x:c r="I1456" s="27" t="str">
        <x:v>no screened path</x:v>
      </x:c>
      <x:c r="J1456" s="27" t="str">
        <x:v>presence does not prove operability or capacity</x:v>
      </x:c>
    </x:row>
    <x:row r="1457" ht="54" hidden="0" customHeight="1">
      <x:c r="A1457" s="29" t="str">
        <x:v>SCA-12</x:v>
      </x:c>
      <x:c r="B1457" s="29" t="str">
        <x:v>SCA-24</x:v>
      </x:c>
      <x:c r="C1457" s="29" t="str">
        <x:v>Road</x:v>
      </x:c>
      <x:c r="D1457" s="29" t="str">
        <x:v>YES</x:v>
      </x:c>
      <x:c r="E1457" s="29" t="str">
        <x:v>YES</x:v>
      </x:c>
      <x:c r="F1457" s="62" t="n">
        <x:v>2270.295890940359</x:v>
      </x:c>
      <x:c r="G1457" s="62" t="n">
        <x:v>61.27810710800653</x:v>
      </x:c>
      <x:c r="H1457" s="29" t="str">
        <x:v>YES</x:v>
      </x:c>
      <x:c r="I1457" s="29" t="str">
        <x:v>NHPN-gated shared-boundary SCA path</x:v>
      </x:c>
      <x:c r="J1457" s="29" t="str">
        <x:v>presence does not prove operability or capacity</x:v>
      </x:c>
    </x:row>
    <x:row r="1458" ht="64.80000305175781" hidden="0" customHeight="1">
      <x:c r="A1458" s="27" t="str">
        <x:v>SCA-12</x:v>
      </x:c>
      <x:c r="B1458" s="27" t="str">
        <x:v>SCA-24</x:v>
      </x:c>
      <x:c r="C1458" s="27" t="str">
        <x:v>Rail</x:v>
      </x:c>
      <x:c r="D1458" s="27" t="str">
        <x:v>YES</x:v>
      </x:c>
      <x:c r="E1458" s="27" t="str">
        <x:v>YES</x:v>
      </x:c>
      <x:c r="F1458" s="61" t="n">
        <x:v>2408.487814736729</x:v>
      </x:c>
      <x:c r="G1458" s="61" t="n">
        <x:v>60.406968781953275</x:v>
      </x:c>
      <x:c r="H1458" s="27" t="str">
        <x:v>YES</x:v>
      </x:c>
      <x:c r="I1458" s="27" t="str">
        <x:v>NARN shared-node topology; deployable terminal required</x:v>
      </x:c>
      <x:c r="J1458" s="27" t="str">
        <x:v>presence does not prove operability or capacity</x:v>
      </x:c>
    </x:row>
    <x:row r="1459" ht="54" hidden="0" customHeight="1">
      <x:c r="A1459" s="29" t="str">
        <x:v>SCA-12</x:v>
      </x:c>
      <x:c r="B1459" s="29" t="str">
        <x:v>SCA-24</x:v>
      </x:c>
      <x:c r="C1459" s="29" t="str">
        <x:v>Air</x:v>
      </x:c>
      <x:c r="D1459" s="29" t="str">
        <x:v>YES</x:v>
      </x:c>
      <x:c r="E1459" s="29" t="str">
        <x:v>YES</x:v>
      </x:c>
      <x:c r="F1459" s="62" t="n">
        <x:v>1792.4071998186919</x:v>
      </x:c>
      <x:c r="G1459" s="62" t="n">
        <x:v>26.7575495381826</x:v>
      </x:c>
      <x:c r="H1459" s="29" t="str">
        <x:v>YES</x:v>
      </x:c>
      <x:c r="I1459" s="29" t="str">
        <x:v>primary-airport endpoints; great-circle screen</x:v>
      </x:c>
      <x:c r="J1459" s="29" t="str">
        <x:v>presence does not prove operability or capacity</x:v>
      </x:c>
    </x:row>
    <x:row r="1460" ht="54" hidden="0" customHeight="1">
      <x:c r="A1460" s="27" t="str">
        <x:v>SCA-12</x:v>
      </x:c>
      <x:c r="B1460" s="27" t="str">
        <x:v>SCA-24</x:v>
      </x:c>
      <x:c r="C1460" s="27" t="str">
        <x:v>Water</x:v>
      </x:c>
      <x:c r="D1460" s="27" t="str">
        <x:v>NO</x:v>
      </x:c>
      <x:c r="E1460" s="27" t="str">
        <x:v>NO</x:v>
      </x:c>
      <x:c r="F1460" s="61"/>
      <x:c r="G1460" s="61"/>
      <x:c r="H1460" s="27" t="str">
        <x:v>NO</x:v>
      </x:c>
      <x:c r="I1460" s="27" t="str">
        <x:v>no screened path</x:v>
      </x:c>
      <x:c r="J1460" s="27" t="str">
        <x:v>presence does not prove operability or capacity</x:v>
      </x:c>
    </x:row>
    <x:row r="1461" ht="54" hidden="0" customHeight="1">
      <x:c r="A1461" s="29" t="str">
        <x:v>SCA-12</x:v>
      </x:c>
      <x:c r="B1461" s="29" t="str">
        <x:v>SCA-25</x:v>
      </x:c>
      <x:c r="C1461" s="29" t="str">
        <x:v>Road</x:v>
      </x:c>
      <x:c r="D1461" s="29" t="str">
        <x:v>YES</x:v>
      </x:c>
      <x:c r="E1461" s="29" t="str">
        <x:v>YES</x:v>
      </x:c>
      <x:c r="F1461" s="62" t="n">
        <x:v>2775.3261043124976</x:v>
      </x:c>
      <x:c r="G1461" s="62" t="n">
        <x:v>70.46047462386359</x:v>
      </x:c>
      <x:c r="H1461" s="29" t="str">
        <x:v>YES</x:v>
      </x:c>
      <x:c r="I1461" s="29" t="str">
        <x:v>NHPN-gated shared-boundary SCA path</x:v>
      </x:c>
      <x:c r="J1461" s="29" t="str">
        <x:v>presence does not prove operability or capacity</x:v>
      </x:c>
    </x:row>
    <x:row r="1462" ht="64.80000305175781" hidden="0" customHeight="1">
      <x:c r="A1462" s="27" t="str">
        <x:v>SCA-12</x:v>
      </x:c>
      <x:c r="B1462" s="27" t="str">
        <x:v>SCA-25</x:v>
      </x:c>
      <x:c r="C1462" s="27" t="str">
        <x:v>Rail</x:v>
      </x:c>
      <x:c r="D1462" s="27" t="str">
        <x:v>YES</x:v>
      </x:c>
      <x:c r="E1462" s="27" t="str">
        <x:v>YES</x:v>
      </x:c>
      <x:c r="F1462" s="61" t="n">
        <x:v>2944.2589976184763</x:v>
      </x:c>
      <x:c r="G1462" s="61" t="n">
        <x:v>68.06084282312109</x:v>
      </x:c>
      <x:c r="H1462" s="27" t="str">
        <x:v>YES</x:v>
      </x:c>
      <x:c r="I1462" s="27" t="str">
        <x:v>NARN shared-node topology; deployable terminal required</x:v>
      </x:c>
      <x:c r="J1462" s="27" t="str">
        <x:v>presence does not prove operability or capacity</x:v>
      </x:c>
    </x:row>
    <x:row r="1463" ht="54" hidden="0" customHeight="1">
      <x:c r="A1463" s="29" t="str">
        <x:v>SCA-12</x:v>
      </x:c>
      <x:c r="B1463" s="29" t="str">
        <x:v>SCA-25</x:v>
      </x:c>
      <x:c r="C1463" s="29" t="str">
        <x:v>Air</x:v>
      </x:c>
      <x:c r="D1463" s="29" t="str">
        <x:v>YES</x:v>
      </x:c>
      <x:c r="E1463" s="29" t="str">
        <x:v>YES</x:v>
      </x:c>
      <x:c r="F1463" s="62" t="n">
        <x:v>2288.744285572977</x:v>
      </x:c>
      <x:c r="G1463" s="62" t="n">
        <x:v>27.521145054727658</x:v>
      </x:c>
      <x:c r="H1463" s="29" t="str">
        <x:v>YES</x:v>
      </x:c>
      <x:c r="I1463" s="29" t="str">
        <x:v>primary-airport endpoints; great-circle screen</x:v>
      </x:c>
      <x:c r="J1463" s="29" t="str">
        <x:v>presence does not prove operability or capacity</x:v>
      </x:c>
    </x:row>
    <x:row r="1464" ht="54" hidden="0" customHeight="1">
      <x:c r="A1464" s="27" t="str">
        <x:v>SCA-12</x:v>
      </x:c>
      <x:c r="B1464" s="27" t="str">
        <x:v>SCA-25</x:v>
      </x:c>
      <x:c r="C1464" s="27" t="str">
        <x:v>Water</x:v>
      </x:c>
      <x:c r="D1464" s="27" t="str">
        <x:v>NO</x:v>
      </x:c>
      <x:c r="E1464" s="27" t="str">
        <x:v>NO</x:v>
      </x:c>
      <x:c r="F1464" s="61"/>
      <x:c r="G1464" s="61"/>
      <x:c r="H1464" s="27" t="str">
        <x:v>NO</x:v>
      </x:c>
      <x:c r="I1464" s="27" t="str">
        <x:v>no screened path</x:v>
      </x:c>
      <x:c r="J1464" s="27" t="str">
        <x:v>presence does not prove operability or capacity</x:v>
      </x:c>
    </x:row>
    <x:row r="1465" ht="54" hidden="0" customHeight="1">
      <x:c r="A1465" s="29" t="str">
        <x:v>SCA-12</x:v>
      </x:c>
      <x:c r="B1465" s="29" t="str">
        <x:v>SCA-26</x:v>
      </x:c>
      <x:c r="C1465" s="29" t="str">
        <x:v>Road</x:v>
      </x:c>
      <x:c r="D1465" s="29" t="str">
        <x:v>YES</x:v>
      </x:c>
      <x:c r="E1465" s="29" t="str">
        <x:v>YES</x:v>
      </x:c>
      <x:c r="F1465" s="62" t="n">
        <x:v>3103.82556007732</x:v>
      </x:c>
      <x:c r="G1465" s="62" t="n">
        <x:v>76.43319200140581</x:v>
      </x:c>
      <x:c r="H1465" s="29" t="str">
        <x:v>NO</x:v>
      </x:c>
      <x:c r="I1465" s="29" t="str">
        <x:v>NHPN-gated shared-boundary SCA path</x:v>
      </x:c>
      <x:c r="J1465" s="29" t="str">
        <x:v>presence does not prove operability or capacity</x:v>
      </x:c>
    </x:row>
    <x:row r="1466" ht="64.80000305175781" hidden="0" customHeight="1">
      <x:c r="A1466" s="27" t="str">
        <x:v>SCA-12</x:v>
      </x:c>
      <x:c r="B1466" s="27" t="str">
        <x:v>SCA-26</x:v>
      </x:c>
      <x:c r="C1466" s="27" t="str">
        <x:v>Rail</x:v>
      </x:c>
      <x:c r="D1466" s="27" t="str">
        <x:v>YES</x:v>
      </x:c>
      <x:c r="E1466" s="27" t="str">
        <x:v>YES</x:v>
      </x:c>
      <x:c r="F1466" s="61" t="n">
        <x:v>3292.7540724298524</x:v>
      </x:c>
      <x:c r="G1466" s="61" t="n">
        <x:v>73.03934389185503</x:v>
      </x:c>
      <x:c r="H1466" s="27" t="str">
        <x:v>NO</x:v>
      </x:c>
      <x:c r="I1466" s="27" t="str">
        <x:v>NARN shared-node topology; deployable terminal required</x:v>
      </x:c>
      <x:c r="J1466" s="27" t="str">
        <x:v>presence does not prove operability or capacity</x:v>
      </x:c>
    </x:row>
    <x:row r="1467" ht="54" hidden="0" customHeight="1">
      <x:c r="A1467" s="29" t="str">
        <x:v>SCA-12</x:v>
      </x:c>
      <x:c r="B1467" s="29" t="str">
        <x:v>SCA-26</x:v>
      </x:c>
      <x:c r="C1467" s="29" t="str">
        <x:v>Air</x:v>
      </x:c>
      <x:c r="D1467" s="29" t="str">
        <x:v>YES</x:v>
      </x:c>
      <x:c r="E1467" s="29" t="str">
        <x:v>YES</x:v>
      </x:c>
      <x:c r="F1467" s="62" t="n">
        <x:v>2468.2384442368043</x:v>
      </x:c>
      <x:c r="G1467" s="62" t="n">
        <x:v>27.797289914210467</x:v>
      </x:c>
      <x:c r="H1467" s="29" t="str">
        <x:v>YES</x:v>
      </x:c>
      <x:c r="I1467" s="29" t="str">
        <x:v>primary-airport endpoints; great-circle screen</x:v>
      </x:c>
      <x:c r="J1467" s="29" t="str">
        <x:v>presence does not prove operability or capacity</x:v>
      </x:c>
    </x:row>
    <x:row r="1468" ht="54" hidden="0" customHeight="1">
      <x:c r="A1468" s="27" t="str">
        <x:v>SCA-12</x:v>
      </x:c>
      <x:c r="B1468" s="27" t="str">
        <x:v>SCA-26</x:v>
      </x:c>
      <x:c r="C1468" s="27" t="str">
        <x:v>Water</x:v>
      </x:c>
      <x:c r="D1468" s="27" t="str">
        <x:v>NO</x:v>
      </x:c>
      <x:c r="E1468" s="27" t="str">
        <x:v>NO</x:v>
      </x:c>
      <x:c r="F1468" s="61"/>
      <x:c r="G1468" s="61"/>
      <x:c r="H1468" s="27" t="str">
        <x:v>NO</x:v>
      </x:c>
      <x:c r="I1468" s="27" t="str">
        <x:v>no screened path</x:v>
      </x:c>
      <x:c r="J1468" s="27" t="str">
        <x:v>presence does not prove operability or capacity</x:v>
      </x:c>
    </x:row>
    <x:row r="1469" ht="54" hidden="0" customHeight="1">
      <x:c r="A1469" s="29" t="str">
        <x:v>SCA-12</x:v>
      </x:c>
      <x:c r="B1469" s="29" t="str">
        <x:v>SCA-27</x:v>
      </x:c>
      <x:c r="C1469" s="29" t="str">
        <x:v>Road</x:v>
      </x:c>
      <x:c r="D1469" s="29" t="str">
        <x:v>YES</x:v>
      </x:c>
      <x:c r="E1469" s="29" t="str">
        <x:v>YES</x:v>
      </x:c>
      <x:c r="F1469" s="62" t="n">
        <x:v>3383.4538241968685</x:v>
      </x:c>
      <x:c r="G1469" s="62" t="n">
        <x:v>81.51734225812488</x:v>
      </x:c>
      <x:c r="H1469" s="29" t="str">
        <x:v>NO</x:v>
      </x:c>
      <x:c r="I1469" s="29" t="str">
        <x:v>NHPN-gated shared-boundary SCA path</x:v>
      </x:c>
      <x:c r="J1469" s="29" t="str">
        <x:v>presence does not prove operability or capacity</x:v>
      </x:c>
    </x:row>
    <x:row r="1470" ht="64.80000305175781" hidden="0" customHeight="1">
      <x:c r="A1470" s="27" t="str">
        <x:v>SCA-12</x:v>
      </x:c>
      <x:c r="B1470" s="27" t="str">
        <x:v>SCA-27</x:v>
      </x:c>
      <x:c r="C1470" s="27" t="str">
        <x:v>Rail</x:v>
      </x:c>
      <x:c r="D1470" s="27" t="str">
        <x:v>YES</x:v>
      </x:c>
      <x:c r="E1470" s="27" t="str">
        <x:v>YES</x:v>
      </x:c>
      <x:c r="F1470" s="61" t="n">
        <x:v>3589.4031874088523</x:v>
      </x:c>
      <x:c r="G1470" s="61" t="n">
        <x:v>77.27718839155503</x:v>
      </x:c>
      <x:c r="H1470" s="27" t="str">
        <x:v>NO</x:v>
      </x:c>
      <x:c r="I1470" s="27" t="str">
        <x:v>NARN shared-node topology; deployable terminal required</x:v>
      </x:c>
      <x:c r="J1470" s="27" t="str">
        <x:v>presence does not prove operability or capacity</x:v>
      </x:c>
    </x:row>
    <x:row r="1471" ht="54" hidden="0" customHeight="1">
      <x:c r="A1471" s="29" t="str">
        <x:v>SCA-12</x:v>
      </x:c>
      <x:c r="B1471" s="29" t="str">
        <x:v>SCA-27</x:v>
      </x:c>
      <x:c r="C1471" s="29" t="str">
        <x:v>Air</x:v>
      </x:c>
      <x:c r="D1471" s="29" t="str">
        <x:v>YES</x:v>
      </x:c>
      <x:c r="E1471" s="29" t="str">
        <x:v>YES</x:v>
      </x:c>
      <x:c r="F1471" s="62" t="n">
        <x:v>2698.9005771308584</x:v>
      </x:c>
      <x:c r="G1471" s="62" t="n">
        <x:v>28.152154734047475</x:v>
      </x:c>
      <x:c r="H1471" s="29" t="str">
        <x:v>YES</x:v>
      </x:c>
      <x:c r="I1471" s="29" t="str">
        <x:v>primary-airport endpoints; great-circle screen</x:v>
      </x:c>
      <x:c r="J1471" s="29" t="str">
        <x:v>presence does not prove operability or capacity</x:v>
      </x:c>
    </x:row>
    <x:row r="1472" ht="54" hidden="0" customHeight="1">
      <x:c r="A1472" s="27" t="str">
        <x:v>SCA-12</x:v>
      </x:c>
      <x:c r="B1472" s="27" t="str">
        <x:v>SCA-27</x:v>
      </x:c>
      <x:c r="C1472" s="27" t="str">
        <x:v>Water</x:v>
      </x:c>
      <x:c r="D1472" s="27" t="str">
        <x:v>NO</x:v>
      </x:c>
      <x:c r="E1472" s="27" t="str">
        <x:v>NO</x:v>
      </x:c>
      <x:c r="F1472" s="61"/>
      <x:c r="G1472" s="61"/>
      <x:c r="H1472" s="27" t="str">
        <x:v>NO</x:v>
      </x:c>
      <x:c r="I1472" s="27" t="str">
        <x:v>no screened path</x:v>
      </x:c>
      <x:c r="J1472" s="27" t="str">
        <x:v>presence does not prove operability or capacity</x:v>
      </x:c>
    </x:row>
    <x:row r="1473" ht="54" hidden="0" customHeight="1">
      <x:c r="A1473" s="29" t="str">
        <x:v>SCA-12</x:v>
      </x:c>
      <x:c r="B1473" s="29" t="str">
        <x:v>SCA-28</x:v>
      </x:c>
      <x:c r="C1473" s="29" t="str">
        <x:v>Road</x:v>
      </x:c>
      <x:c r="D1473" s="29" t="str">
        <x:v>YES</x:v>
      </x:c>
      <x:c r="E1473" s="29" t="str">
        <x:v>YES</x:v>
      </x:c>
      <x:c r="F1473" s="62" t="n">
        <x:v>2615.840022046784</x:v>
      </x:c>
      <x:c r="G1473" s="62" t="n">
        <x:v>67.56072767357789</x:v>
      </x:c>
      <x:c r="H1473" s="29" t="str">
        <x:v>YES</x:v>
      </x:c>
      <x:c r="I1473" s="29" t="str">
        <x:v>NHPN-gated shared-boundary SCA path</x:v>
      </x:c>
      <x:c r="J1473" s="29" t="str">
        <x:v>presence does not prove operability or capacity</x:v>
      </x:c>
    </x:row>
    <x:row r="1474" ht="64.80000305175781" hidden="0" customHeight="1">
      <x:c r="A1474" s="27" t="str">
        <x:v>SCA-12</x:v>
      </x:c>
      <x:c r="B1474" s="27" t="str">
        <x:v>SCA-28</x:v>
      </x:c>
      <x:c r="C1474" s="27" t="str">
        <x:v>Rail</x:v>
      </x:c>
      <x:c r="D1474" s="27" t="str">
        <x:v>YES</x:v>
      </x:c>
      <x:c r="E1474" s="27" t="str">
        <x:v>YES</x:v>
      </x:c>
      <x:c r="F1474" s="61" t="n">
        <x:v>2775.0650668670232</x:v>
      </x:c>
      <x:c r="G1474" s="61" t="n">
        <x:v>65.64378666952891</x:v>
      </x:c>
      <x:c r="H1474" s="27" t="str">
        <x:v>YES</x:v>
      </x:c>
      <x:c r="I1474" s="27" t="str">
        <x:v>NARN shared-node topology; deployable terminal required</x:v>
      </x:c>
      <x:c r="J1474" s="27" t="str">
        <x:v>presence does not prove operability or capacity</x:v>
      </x:c>
    </x:row>
    <x:row r="1475" ht="54" hidden="0" customHeight="1">
      <x:c r="A1475" s="29" t="str">
        <x:v>SCA-12</x:v>
      </x:c>
      <x:c r="B1475" s="29" t="str">
        <x:v>SCA-28</x:v>
      </x:c>
      <x:c r="C1475" s="29" t="str">
        <x:v>Air</x:v>
      </x:c>
      <x:c r="D1475" s="29" t="str">
        <x:v>YES</x:v>
      </x:c>
      <x:c r="E1475" s="29" t="str">
        <x:v>YES</x:v>
      </x:c>
      <x:c r="F1475" s="62" t="n">
        <x:v>2166.15573332884</x:v>
      </x:c>
      <x:c r="G1475" s="62" t="n">
        <x:v>27.33254728204437</x:v>
      </x:c>
      <x:c r="H1475" s="29" t="str">
        <x:v>YES</x:v>
      </x:c>
      <x:c r="I1475" s="29" t="str">
        <x:v>primary-airport endpoints; great-circle screen</x:v>
      </x:c>
      <x:c r="J1475" s="29" t="str">
        <x:v>presence does not prove operability or capacity</x:v>
      </x:c>
    </x:row>
    <x:row r="1476" ht="54" hidden="0" customHeight="1">
      <x:c r="A1476" s="27" t="str">
        <x:v>SCA-12</x:v>
      </x:c>
      <x:c r="B1476" s="27" t="str">
        <x:v>SCA-28</x:v>
      </x:c>
      <x:c r="C1476" s="27" t="str">
        <x:v>Water</x:v>
      </x:c>
      <x:c r="D1476" s="27" t="str">
        <x:v>NO</x:v>
      </x:c>
      <x:c r="E1476" s="27" t="str">
        <x:v>NO</x:v>
      </x:c>
      <x:c r="F1476" s="61"/>
      <x:c r="G1476" s="61"/>
      <x:c r="H1476" s="27" t="str">
        <x:v>NO</x:v>
      </x:c>
      <x:c r="I1476" s="27" t="str">
        <x:v>no screened path</x:v>
      </x:c>
      <x:c r="J1476" s="27" t="str">
        <x:v>presence does not prove operability or capacity</x:v>
      </x:c>
    </x:row>
    <x:row r="1477" ht="54" hidden="0" customHeight="1">
      <x:c r="A1477" s="29" t="str">
        <x:v>SCA-12</x:v>
      </x:c>
      <x:c r="B1477" s="29" t="str">
        <x:v>SCA-29</x:v>
      </x:c>
      <x:c r="C1477" s="29" t="str">
        <x:v>Road</x:v>
      </x:c>
      <x:c r="D1477" s="29" t="str">
        <x:v>YES</x:v>
      </x:c>
      <x:c r="E1477" s="29" t="str">
        <x:v>YES</x:v>
      </x:c>
      <x:c r="F1477" s="62" t="n">
        <x:v>2688.7275714965904</x:v>
      </x:c>
      <x:c r="G1477" s="62" t="n">
        <x:v>68.88595584539254</x:v>
      </x:c>
      <x:c r="H1477" s="29" t="str">
        <x:v>YES</x:v>
      </x:c>
      <x:c r="I1477" s="29" t="str">
        <x:v>NHPN-gated shared-boundary SCA path</x:v>
      </x:c>
      <x:c r="J1477" s="29" t="str">
        <x:v>presence does not prove operability or capacity</x:v>
      </x:c>
    </x:row>
    <x:row r="1478" ht="64.80000305175781" hidden="0" customHeight="1">
      <x:c r="A1478" s="27" t="str">
        <x:v>SCA-12</x:v>
      </x:c>
      <x:c r="B1478" s="27" t="str">
        <x:v>SCA-29</x:v>
      </x:c>
      <x:c r="C1478" s="27" t="str">
        <x:v>Rail</x:v>
      </x:c>
      <x:c r="D1478" s="27" t="str">
        <x:v>YES</x:v>
      </x:c>
      <x:c r="E1478" s="27" t="str">
        <x:v>YES</x:v>
      </x:c>
      <x:c r="F1478" s="61" t="n">
        <x:v>2852.3892497616007</x:v>
      </x:c>
      <x:c r="G1478" s="61" t="n">
        <x:v>66.74841785373715</x:v>
      </x:c>
      <x:c r="H1478" s="27" t="str">
        <x:v>YES</x:v>
      </x:c>
      <x:c r="I1478" s="27" t="str">
        <x:v>NARN shared-node topology; deployable terminal required</x:v>
      </x:c>
      <x:c r="J1478" s="27" t="str">
        <x:v>presence does not prove operability or capacity</x:v>
      </x:c>
    </x:row>
    <x:row r="1479" ht="54" hidden="0" customHeight="1">
      <x:c r="A1479" s="29" t="str">
        <x:v>SCA-12</x:v>
      </x:c>
      <x:c r="B1479" s="29" t="str">
        <x:v>SCA-29</x:v>
      </x:c>
      <x:c r="C1479" s="29" t="str">
        <x:v>Air</x:v>
      </x:c>
      <x:c r="D1479" s="29" t="str">
        <x:v>YES</x:v>
      </x:c>
      <x:c r="E1479" s="29" t="str">
        <x:v>YES</x:v>
      </x:c>
      <x:c r="F1479" s="62" t="n">
        <x:v>2296.25775815371</x:v>
      </x:c>
      <x:c r="G1479" s="62" t="n">
        <x:v>27.5327042433134</x:v>
      </x:c>
      <x:c r="H1479" s="29" t="str">
        <x:v>YES</x:v>
      </x:c>
      <x:c r="I1479" s="29" t="str">
        <x:v>primary-airport endpoints; great-circle screen</x:v>
      </x:c>
      <x:c r="J1479" s="29" t="str">
        <x:v>presence does not prove operability or capacity</x:v>
      </x:c>
    </x:row>
    <x:row r="1480" ht="54" hidden="0" customHeight="1">
      <x:c r="A1480" s="27" t="str">
        <x:v>SCA-12</x:v>
      </x:c>
      <x:c r="B1480" s="27" t="str">
        <x:v>SCA-29</x:v>
      </x:c>
      <x:c r="C1480" s="27" t="str">
        <x:v>Water</x:v>
      </x:c>
      <x:c r="D1480" s="27" t="str">
        <x:v>NO</x:v>
      </x:c>
      <x:c r="E1480" s="27" t="str">
        <x:v>NO</x:v>
      </x:c>
      <x:c r="F1480" s="61"/>
      <x:c r="G1480" s="61"/>
      <x:c r="H1480" s="27" t="str">
        <x:v>NO</x:v>
      </x:c>
      <x:c r="I1480" s="27" t="str">
        <x:v>no screened path</x:v>
      </x:c>
      <x:c r="J1480" s="27" t="str">
        <x:v>presence does not prove operability or capacity</x:v>
      </x:c>
    </x:row>
    <x:row r="1481" ht="54" hidden="0" customHeight="1">
      <x:c r="A1481" s="29" t="str">
        <x:v>SCA-12</x:v>
      </x:c>
      <x:c r="B1481" s="29" t="str">
        <x:v>SCA-30</x:v>
      </x:c>
      <x:c r="C1481" s="29" t="str">
        <x:v>Road</x:v>
      </x:c>
      <x:c r="D1481" s="29" t="str">
        <x:v>YES</x:v>
      </x:c>
      <x:c r="E1481" s="29" t="str">
        <x:v>YES</x:v>
      </x:c>
      <x:c r="F1481" s="62" t="n">
        <x:v>3079.403737978024</x:v>
      </x:c>
      <x:c r="G1481" s="62" t="n">
        <x:v>75.9891588723277</x:v>
      </x:c>
      <x:c r="H1481" s="29" t="str">
        <x:v>NO</x:v>
      </x:c>
      <x:c r="I1481" s="29" t="str">
        <x:v>NHPN-gated shared-boundary SCA path</x:v>
      </x:c>
      <x:c r="J1481" s="29" t="str">
        <x:v>presence does not prove operability or capacity</x:v>
      </x:c>
    </x:row>
    <x:row r="1482" ht="64.80000305175781" hidden="0" customHeight="1">
      <x:c r="A1482" s="27" t="str">
        <x:v>SCA-12</x:v>
      </x:c>
      <x:c r="B1482" s="27" t="str">
        <x:v>SCA-30</x:v>
      </x:c>
      <x:c r="C1482" s="27" t="str">
        <x:v>Rail</x:v>
      </x:c>
      <x:c r="D1482" s="27" t="str">
        <x:v>YES</x:v>
      </x:c>
      <x:c r="E1482" s="27" t="str">
        <x:v>YES</x:v>
      </x:c>
      <x:c r="F1482" s="61" t="n">
        <x:v>3266.845704637556</x:v>
      </x:c>
      <x:c r="G1482" s="61" t="n">
        <x:v>72.66922435196508</x:v>
      </x:c>
      <x:c r="H1482" s="27" t="str">
        <x:v>NO</x:v>
      </x:c>
      <x:c r="I1482" s="27" t="str">
        <x:v>NARN shared-node topology; deployable terminal required</x:v>
      </x:c>
      <x:c r="J1482" s="27" t="str">
        <x:v>presence does not prove operability or capacity</x:v>
      </x:c>
    </x:row>
    <x:row r="1483" ht="54" hidden="0" customHeight="1">
      <x:c r="A1483" s="29" t="str">
        <x:v>SCA-12</x:v>
      </x:c>
      <x:c r="B1483" s="29" t="str">
        <x:v>SCA-30</x:v>
      </x:c>
      <x:c r="C1483" s="29" t="str">
        <x:v>Air</x:v>
      </x:c>
      <x:c r="D1483" s="29" t="str">
        <x:v>YES</x:v>
      </x:c>
      <x:c r="E1483" s="29" t="str">
        <x:v>YES</x:v>
      </x:c>
      <x:c r="F1483" s="62" t="n">
        <x:v>2563.1123056253705</x:v>
      </x:c>
      <x:c r="G1483" s="62" t="n">
        <x:v>27.94324970096211</x:v>
      </x:c>
      <x:c r="H1483" s="29" t="str">
        <x:v>YES</x:v>
      </x:c>
      <x:c r="I1483" s="29" t="str">
        <x:v>primary-airport endpoints; great-circle screen</x:v>
      </x:c>
      <x:c r="J1483" s="29" t="str">
        <x:v>presence does not prove operability or capacity</x:v>
      </x:c>
    </x:row>
    <x:row r="1484" ht="54" hidden="0" customHeight="1">
      <x:c r="A1484" s="27" t="str">
        <x:v>SCA-12</x:v>
      </x:c>
      <x:c r="B1484" s="27" t="str">
        <x:v>SCA-30</x:v>
      </x:c>
      <x:c r="C1484" s="27" t="str">
        <x:v>Water</x:v>
      </x:c>
      <x:c r="D1484" s="27" t="str">
        <x:v>NO</x:v>
      </x:c>
      <x:c r="E1484" s="27" t="str">
        <x:v>NO</x:v>
      </x:c>
      <x:c r="F1484" s="61"/>
      <x:c r="G1484" s="61"/>
      <x:c r="H1484" s="27" t="str">
        <x:v>NO</x:v>
      </x:c>
      <x:c r="I1484" s="27" t="str">
        <x:v>no screened path</x:v>
      </x:c>
      <x:c r="J1484" s="27" t="str">
        <x:v>presence does not prove operability or capacity</x:v>
      </x:c>
    </x:row>
    <x:row r="1485" ht="54" hidden="0" customHeight="1">
      <x:c r="A1485" s="29" t="str">
        <x:v>SCA-12</x:v>
      </x:c>
      <x:c r="B1485" s="29" t="str">
        <x:v>SCA-31</x:v>
      </x:c>
      <x:c r="C1485" s="29" t="str">
        <x:v>Road</x:v>
      </x:c>
      <x:c r="D1485" s="29" t="str">
        <x:v>YES</x:v>
      </x:c>
      <x:c r="E1485" s="29" t="str">
        <x:v>YES</x:v>
      </x:c>
      <x:c r="F1485" s="62" t="n">
        <x:v>3472.48588316453</x:v>
      </x:c>
      <x:c r="G1485" s="62" t="n">
        <x:v>83.13610696662782</x:v>
      </x:c>
      <x:c r="H1485" s="29" t="str">
        <x:v>NO</x:v>
      </x:c>
      <x:c r="I1485" s="29" t="str">
        <x:v>NHPN-gated shared-boundary SCA path</x:v>
      </x:c>
      <x:c r="J1485" s="29" t="str">
        <x:v>presence does not prove operability or capacity</x:v>
      </x:c>
    </x:row>
    <x:row r="1486" ht="64.80000305175781" hidden="0" customHeight="1">
      <x:c r="A1486" s="27" t="str">
        <x:v>SCA-12</x:v>
      </x:c>
      <x:c r="B1486" s="27" t="str">
        <x:v>SCA-31</x:v>
      </x:c>
      <x:c r="C1486" s="27" t="str">
        <x:v>Rail</x:v>
      </x:c>
      <x:c r="D1486" s="27" t="str">
        <x:v>YES</x:v>
      </x:c>
      <x:c r="E1486" s="27" t="str">
        <x:v>YES</x:v>
      </x:c>
      <x:c r="F1486" s="61" t="n">
        <x:v>3683.854589096284</x:v>
      </x:c>
      <x:c r="G1486" s="61" t="n">
        <x:v>78.6264941299469</x:v>
      </x:c>
      <x:c r="H1486" s="27" t="str">
        <x:v>NO</x:v>
      </x:c>
      <x:c r="I1486" s="27" t="str">
        <x:v>NARN shared-node topology; deployable terminal required</x:v>
      </x:c>
      <x:c r="J1486" s="27" t="str">
        <x:v>presence does not prove operability or capacity</x:v>
      </x:c>
    </x:row>
    <x:row r="1487" ht="54" hidden="0" customHeight="1">
      <x:c r="A1487" s="29" t="str">
        <x:v>SCA-12</x:v>
      </x:c>
      <x:c r="B1487" s="29" t="str">
        <x:v>SCA-31</x:v>
      </x:c>
      <x:c r="C1487" s="29" t="str">
        <x:v>Air</x:v>
      </x:c>
      <x:c r="D1487" s="29" t="str">
        <x:v>YES</x:v>
      </x:c>
      <x:c r="E1487" s="29" t="str">
        <x:v>YES</x:v>
      </x:c>
      <x:c r="F1487" s="62" t="n">
        <x:v>2791.558745609774</x:v>
      </x:c>
      <x:c r="G1487" s="62" t="n">
        <x:v>28.294705762476575</x:v>
      </x:c>
      <x:c r="H1487" s="29" t="str">
        <x:v>YES</x:v>
      </x:c>
      <x:c r="I1487" s="29" t="str">
        <x:v>primary-airport endpoints; great-circle screen</x:v>
      </x:c>
      <x:c r="J1487" s="29" t="str">
        <x:v>presence does not prove operability or capacity</x:v>
      </x:c>
    </x:row>
    <x:row r="1488" ht="54" hidden="0" customHeight="1">
      <x:c r="A1488" s="27" t="str">
        <x:v>SCA-12</x:v>
      </x:c>
      <x:c r="B1488" s="27" t="str">
        <x:v>SCA-31</x:v>
      </x:c>
      <x:c r="C1488" s="27" t="str">
        <x:v>Water</x:v>
      </x:c>
      <x:c r="D1488" s="27" t="str">
        <x:v>NO</x:v>
      </x:c>
      <x:c r="E1488" s="27" t="str">
        <x:v>NO</x:v>
      </x:c>
      <x:c r="F1488" s="61"/>
      <x:c r="G1488" s="61"/>
      <x:c r="H1488" s="27" t="str">
        <x:v>NO</x:v>
      </x:c>
      <x:c r="I1488" s="27" t="str">
        <x:v>no screened path</x:v>
      </x:c>
      <x:c r="J1488" s="27" t="str">
        <x:v>presence does not prove operability or capacity</x:v>
      </x:c>
    </x:row>
    <x:row r="1489" ht="54" hidden="0" customHeight="1">
      <x:c r="A1489" s="29" t="str">
        <x:v>SCA-12</x:v>
      </x:c>
      <x:c r="B1489" s="29" t="str">
        <x:v>SCA-32</x:v>
      </x:c>
      <x:c r="C1489" s="29" t="str">
        <x:v>Road</x:v>
      </x:c>
      <x:c r="D1489" s="29" t="str">
        <x:v>NO</x:v>
      </x:c>
      <x:c r="E1489" s="29" t="str">
        <x:v>NO</x:v>
      </x:c>
      <x:c r="F1489" s="62"/>
      <x:c r="G1489" s="62"/>
      <x:c r="H1489" s="29" t="str">
        <x:v>NO</x:v>
      </x:c>
      <x:c r="I1489" s="29" t="str">
        <x:v>no screened path</x:v>
      </x:c>
      <x:c r="J1489" s="29" t="str">
        <x:v>presence does not prove operability or capacity</x:v>
      </x:c>
    </x:row>
    <x:row r="1490" ht="54" hidden="0" customHeight="1">
      <x:c r="A1490" s="27" t="str">
        <x:v>SCA-12</x:v>
      </x:c>
      <x:c r="B1490" s="27" t="str">
        <x:v>SCA-32</x:v>
      </x:c>
      <x:c r="C1490" s="27" t="str">
        <x:v>Rail</x:v>
      </x:c>
      <x:c r="D1490" s="27" t="str">
        <x:v>NO</x:v>
      </x:c>
      <x:c r="E1490" s="27" t="str">
        <x:v>NO</x:v>
      </x:c>
      <x:c r="F1490" s="61"/>
      <x:c r="G1490" s="61"/>
      <x:c r="H1490" s="27" t="str">
        <x:v>NO</x:v>
      </x:c>
      <x:c r="I1490" s="27" t="str">
        <x:v>no screened path</x:v>
      </x:c>
      <x:c r="J1490" s="27" t="str">
        <x:v>presence does not prove operability or capacity</x:v>
      </x:c>
    </x:row>
    <x:row r="1491" ht="54" hidden="0" customHeight="1">
      <x:c r="A1491" s="29" t="str">
        <x:v>SCA-12</x:v>
      </x:c>
      <x:c r="B1491" s="29" t="str">
        <x:v>SCA-32</x:v>
      </x:c>
      <x:c r="C1491" s="29" t="str">
        <x:v>Air</x:v>
      </x:c>
      <x:c r="D1491" s="29" t="str">
        <x:v>YES</x:v>
      </x:c>
      <x:c r="E1491" s="29" t="str">
        <x:v>YES</x:v>
      </x:c>
      <x:c r="F1491" s="62" t="n">
        <x:v>4377.7476488813945</x:v>
      </x:c>
      <x:c r="G1491" s="62" t="n">
        <x:v>30.73499638289445</x:v>
      </x:c>
      <x:c r="H1491" s="29" t="str">
        <x:v>YES</x:v>
      </x:c>
      <x:c r="I1491" s="29" t="str">
        <x:v>primary-airport endpoints; great-circle screen</x:v>
      </x:c>
      <x:c r="J1491" s="29" t="str">
        <x:v>presence does not prove operability or capacity</x:v>
      </x:c>
    </x:row>
    <x:row r="1492" ht="54" hidden="0" customHeight="1">
      <x:c r="A1492" s="27" t="str">
        <x:v>SCA-12</x:v>
      </x:c>
      <x:c r="B1492" s="27" t="str">
        <x:v>SCA-32</x:v>
      </x:c>
      <x:c r="C1492" s="27" t="str">
        <x:v>Water</x:v>
      </x:c>
      <x:c r="D1492" s="27" t="str">
        <x:v>NO</x:v>
      </x:c>
      <x:c r="E1492" s="27" t="str">
        <x:v>NO</x:v>
      </x:c>
      <x:c r="F1492" s="61"/>
      <x:c r="G1492" s="61"/>
      <x:c r="H1492" s="27" t="str">
        <x:v>NO</x:v>
      </x:c>
      <x:c r="I1492" s="27" t="str">
        <x:v>no screened path</x:v>
      </x:c>
      <x:c r="J1492" s="27" t="str">
        <x:v>presence does not prove operability or capacity</x:v>
      </x:c>
    </x:row>
    <x:row r="1493" ht="54" hidden="0" customHeight="1">
      <x:c r="A1493" s="29" t="str">
        <x:v>SCA-13</x:v>
      </x:c>
      <x:c r="B1493" s="29" t="str">
        <x:v>SCA-01</x:v>
      </x:c>
      <x:c r="C1493" s="29" t="str">
        <x:v>Road</x:v>
      </x:c>
      <x:c r="D1493" s="29" t="str">
        <x:v>NO</x:v>
      </x:c>
      <x:c r="E1493" s="29" t="str">
        <x:v>NO</x:v>
      </x:c>
      <x:c r="F1493" s="62"/>
      <x:c r="G1493" s="62"/>
      <x:c r="H1493" s="29" t="str">
        <x:v>NO</x:v>
      </x:c>
      <x:c r="I1493" s="29" t="str">
        <x:v>no screened path</x:v>
      </x:c>
      <x:c r="J1493" s="29" t="str">
        <x:v>presence does not prove operability or capacity</x:v>
      </x:c>
    </x:row>
    <x:row r="1494" ht="54" hidden="0" customHeight="1">
      <x:c r="A1494" s="27" t="str">
        <x:v>SCA-13</x:v>
      </x:c>
      <x:c r="B1494" s="27" t="str">
        <x:v>SCA-01</x:v>
      </x:c>
      <x:c r="C1494" s="27" t="str">
        <x:v>Rail</x:v>
      </x:c>
      <x:c r="D1494" s="27" t="str">
        <x:v>NO</x:v>
      </x:c>
      <x:c r="E1494" s="27" t="str">
        <x:v>NO</x:v>
      </x:c>
      <x:c r="F1494" s="61"/>
      <x:c r="G1494" s="61"/>
      <x:c r="H1494" s="27" t="str">
        <x:v>NO</x:v>
      </x:c>
      <x:c r="I1494" s="27" t="str">
        <x:v>no screened path</x:v>
      </x:c>
      <x:c r="J1494" s="27" t="str">
        <x:v>presence does not prove operability or capacity</x:v>
      </x:c>
    </x:row>
    <x:row r="1495" ht="54" hidden="0" customHeight="1">
      <x:c r="A1495" s="29" t="str">
        <x:v>SCA-13</x:v>
      </x:c>
      <x:c r="B1495" s="29" t="str">
        <x:v>SCA-01</x:v>
      </x:c>
      <x:c r="C1495" s="29" t="str">
        <x:v>Air</x:v>
      </x:c>
      <x:c r="D1495" s="29" t="str">
        <x:v>YES</x:v>
      </x:c>
      <x:c r="E1495" s="29" t="str">
        <x:v>YES</x:v>
      </x:c>
      <x:c r="F1495" s="62" t="n">
        <x:v>5988.256665815937</x:v>
      </x:c>
      <x:c r="G1495" s="62" t="n">
        <x:v>33.21270256279375</x:v>
      </x:c>
      <x:c r="H1495" s="29" t="str">
        <x:v>YES</x:v>
      </x:c>
      <x:c r="I1495" s="29" t="str">
        <x:v>primary-airport endpoints; great-circle screen</x:v>
      </x:c>
      <x:c r="J1495" s="29" t="str">
        <x:v>presence does not prove operability or capacity</x:v>
      </x:c>
    </x:row>
    <x:row r="1496" ht="75.5999984741211" hidden="0" customHeight="1">
      <x:c r="A1496" s="27" t="str">
        <x:v>SCA-13</x:v>
      </x:c>
      <x:c r="B1496" s="27" t="str">
        <x:v>SCA-01</x:v>
      </x:c>
      <x:c r="C1496" s="27" t="str">
        <x:v>Water</x:v>
      </x:c>
      <x:c r="D1496" s="27" t="str">
        <x:v>YES</x:v>
      </x:c>
      <x:c r="E1496" s="27" t="str">
        <x:v>YES</x:v>
      </x:c>
      <x:c r="F1496" s="61" t="n">
        <x:v>12341.129201446374</x:v>
      </x:c>
      <x:c r="G1496" s="61" t="n">
        <x:v>382.60369146989643</x:v>
      </x:c>
      <x:c r="H1496" s="27" t="str">
        <x:v>NO</x:v>
      </x:c>
      <x:c r="I1496" s="27" t="str">
        <x:v>USACE waterway node topology; deployable terminal required</x:v>
      </x:c>
      <x:c r="J1496" s="27" t="str">
        <x:v>presence does not prove operability or capacity</x:v>
      </x:c>
    </x:row>
    <x:row r="1497" ht="54" hidden="0" customHeight="1">
      <x:c r="A1497" s="29" t="str">
        <x:v>SCA-13</x:v>
      </x:c>
      <x:c r="B1497" s="29" t="str">
        <x:v>SCA-02</x:v>
      </x:c>
      <x:c r="C1497" s="29" t="str">
        <x:v>Road</x:v>
      </x:c>
      <x:c r="D1497" s="29" t="str">
        <x:v>NO</x:v>
      </x:c>
      <x:c r="E1497" s="29" t="str">
        <x:v>NO</x:v>
      </x:c>
      <x:c r="F1497" s="62"/>
      <x:c r="G1497" s="62"/>
      <x:c r="H1497" s="29" t="str">
        <x:v>NO</x:v>
      </x:c>
      <x:c r="I1497" s="29" t="str">
        <x:v>no screened path</x:v>
      </x:c>
      <x:c r="J1497" s="29" t="str">
        <x:v>presence does not prove operability or capacity</x:v>
      </x:c>
    </x:row>
    <x:row r="1498" ht="54" hidden="0" customHeight="1">
      <x:c r="A1498" s="27" t="str">
        <x:v>SCA-13</x:v>
      </x:c>
      <x:c r="B1498" s="27" t="str">
        <x:v>SCA-02</x:v>
      </x:c>
      <x:c r="C1498" s="27" t="str">
        <x:v>Rail</x:v>
      </x:c>
      <x:c r="D1498" s="27" t="str">
        <x:v>NO</x:v>
      </x:c>
      <x:c r="E1498" s="27" t="str">
        <x:v>NO</x:v>
      </x:c>
      <x:c r="F1498" s="61"/>
      <x:c r="G1498" s="61"/>
      <x:c r="H1498" s="27" t="str">
        <x:v>NO</x:v>
      </x:c>
      <x:c r="I1498" s="27" t="str">
        <x:v>no screened path</x:v>
      </x:c>
      <x:c r="J1498" s="27" t="str">
        <x:v>presence does not prove operability or capacity</x:v>
      </x:c>
    </x:row>
    <x:row r="1499" ht="54" hidden="0" customHeight="1">
      <x:c r="A1499" s="29" t="str">
        <x:v>SCA-13</x:v>
      </x:c>
      <x:c r="B1499" s="29" t="str">
        <x:v>SCA-02</x:v>
      </x:c>
      <x:c r="C1499" s="29" t="str">
        <x:v>Air</x:v>
      </x:c>
      <x:c r="D1499" s="29" t="str">
        <x:v>YES</x:v>
      </x:c>
      <x:c r="E1499" s="29" t="str">
        <x:v>YES</x:v>
      </x:c>
      <x:c r="F1499" s="62" t="n">
        <x:v>4934.627653250319</x:v>
      </x:c>
      <x:c r="G1499" s="62" t="n">
        <x:v>31.591734851154335</x:v>
      </x:c>
      <x:c r="H1499" s="29" t="str">
        <x:v>YES</x:v>
      </x:c>
      <x:c r="I1499" s="29" t="str">
        <x:v>primary-airport endpoints; great-circle screen</x:v>
      </x:c>
      <x:c r="J1499" s="29" t="str">
        <x:v>presence does not prove operability or capacity</x:v>
      </x:c>
    </x:row>
    <x:row r="1500" ht="75.5999984741211" hidden="0" customHeight="1">
      <x:c r="A1500" s="27" t="str">
        <x:v>SCA-13</x:v>
      </x:c>
      <x:c r="B1500" s="27" t="str">
        <x:v>SCA-02</x:v>
      </x:c>
      <x:c r="C1500" s="27" t="str">
        <x:v>Water</x:v>
      </x:c>
      <x:c r="D1500" s="27" t="str">
        <x:v>YES</x:v>
      </x:c>
      <x:c r="E1500" s="27" t="str">
        <x:v>YES</x:v>
      </x:c>
      <x:c r="F1500" s="61" t="n">
        <x:v>10350.93348287571</x:v>
      </x:c>
      <x:c r="G1500" s="61" t="n">
        <x:v>325.7409566535917</x:v>
      </x:c>
      <x:c r="H1500" s="27" t="str">
        <x:v>NO</x:v>
      </x:c>
      <x:c r="I1500" s="27" t="str">
        <x:v>USACE waterway node topology; deployable terminal required</x:v>
      </x:c>
      <x:c r="J1500" s="27" t="str">
        <x:v>presence does not prove operability or capacity</x:v>
      </x:c>
    </x:row>
    <x:row r="1501" ht="54" hidden="0" customHeight="1">
      <x:c r="A1501" s="29" t="str">
        <x:v>SCA-13</x:v>
      </x:c>
      <x:c r="B1501" s="29" t="str">
        <x:v>SCA-03</x:v>
      </x:c>
      <x:c r="C1501" s="29" t="str">
        <x:v>Road</x:v>
      </x:c>
      <x:c r="D1501" s="29" t="str">
        <x:v>NO</x:v>
      </x:c>
      <x:c r="E1501" s="29" t="str">
        <x:v>NO</x:v>
      </x:c>
      <x:c r="F1501" s="62"/>
      <x:c r="G1501" s="62"/>
      <x:c r="H1501" s="29" t="str">
        <x:v>NO</x:v>
      </x:c>
      <x:c r="I1501" s="29" t="str">
        <x:v>no screened path</x:v>
      </x:c>
      <x:c r="J1501" s="29" t="str">
        <x:v>presence does not prove operability or capacity</x:v>
      </x:c>
    </x:row>
    <x:row r="1502" ht="64.80000305175781" hidden="0" customHeight="1">
      <x:c r="A1502" s="27" t="str">
        <x:v>SCA-13</x:v>
      </x:c>
      <x:c r="B1502" s="27" t="str">
        <x:v>SCA-03</x:v>
      </x:c>
      <x:c r="C1502" s="27" t="str">
        <x:v>Rail</x:v>
      </x:c>
      <x:c r="D1502" s="27" t="str">
        <x:v>YES</x:v>
      </x:c>
      <x:c r="E1502" s="27" t="str">
        <x:v>YES</x:v>
      </x:c>
      <x:c r="F1502" s="61" t="n">
        <x:v>3622.8390924503374</x:v>
      </x:c>
      <x:c r="G1502" s="61" t="n">
        <x:v>77.75484417786197</x:v>
      </x:c>
      <x:c r="H1502" s="27" t="str">
        <x:v>NO</x:v>
      </x:c>
      <x:c r="I1502" s="27" t="str">
        <x:v>NARN shared-node topology; deployable terminal required</x:v>
      </x:c>
      <x:c r="J1502" s="27" t="str">
        <x:v>presence does not prove operability or capacity</x:v>
      </x:c>
    </x:row>
    <x:row r="1503" ht="54" hidden="0" customHeight="1">
      <x:c r="A1503" s="29" t="str">
        <x:v>SCA-13</x:v>
      </x:c>
      <x:c r="B1503" s="29" t="str">
        <x:v>SCA-03</x:v>
      </x:c>
      <x:c r="C1503" s="29" t="str">
        <x:v>Air</x:v>
      </x:c>
      <x:c r="D1503" s="29" t="str">
        <x:v>YES</x:v>
      </x:c>
      <x:c r="E1503" s="29" t="str">
        <x:v>YES</x:v>
      </x:c>
      <x:c r="F1503" s="62" t="n">
        <x:v>2745.5649307899307</x:v>
      </x:c>
      <x:c r="G1503" s="62" t="n">
        <x:v>28.223946047369125</x:v>
      </x:c>
      <x:c r="H1503" s="29" t="str">
        <x:v>YES</x:v>
      </x:c>
      <x:c r="I1503" s="29" t="str">
        <x:v>primary-airport endpoints; great-circle screen</x:v>
      </x:c>
      <x:c r="J1503" s="29" t="str">
        <x:v>presence does not prove operability or capacity</x:v>
      </x:c>
    </x:row>
    <x:row r="1504" ht="75.5999984741211" hidden="0" customHeight="1">
      <x:c r="A1504" s="27" t="str">
        <x:v>SCA-13</x:v>
      </x:c>
      <x:c r="B1504" s="27" t="str">
        <x:v>SCA-03</x:v>
      </x:c>
      <x:c r="C1504" s="27" t="str">
        <x:v>Water</x:v>
      </x:c>
      <x:c r="D1504" s="27" t="str">
        <x:v>YES</x:v>
      </x:c>
      <x:c r="E1504" s="27" t="str">
        <x:v>YES</x:v>
      </x:c>
      <x:c r="F1504" s="61" t="n">
        <x:v>8950.367888774717</x:v>
      </x:c>
      <x:c r="G1504" s="61" t="n">
        <x:v>285.72479682213475</x:v>
      </x:c>
      <x:c r="H1504" s="27" t="str">
        <x:v>NO</x:v>
      </x:c>
      <x:c r="I1504" s="27" t="str">
        <x:v>USACE waterway node topology; deployable terminal required</x:v>
      </x:c>
      <x:c r="J1504" s="27" t="str">
        <x:v>presence does not prove operability or capacity</x:v>
      </x:c>
    </x:row>
    <x:row r="1505" ht="54" hidden="0" customHeight="1">
      <x:c r="A1505" s="29" t="str">
        <x:v>SCA-13</x:v>
      </x:c>
      <x:c r="B1505" s="29" t="str">
        <x:v>SCA-04</x:v>
      </x:c>
      <x:c r="C1505" s="29" t="str">
        <x:v>Road</x:v>
      </x:c>
      <x:c r="D1505" s="29" t="str">
        <x:v>NO</x:v>
      </x:c>
      <x:c r="E1505" s="29" t="str">
        <x:v>NO</x:v>
      </x:c>
      <x:c r="F1505" s="62"/>
      <x:c r="G1505" s="62"/>
      <x:c r="H1505" s="29" t="str">
        <x:v>NO</x:v>
      </x:c>
      <x:c r="I1505" s="29" t="str">
        <x:v>no screened path</x:v>
      </x:c>
      <x:c r="J1505" s="29" t="str">
        <x:v>presence does not prove operability or capacity</x:v>
      </x:c>
    </x:row>
    <x:row r="1506" ht="64.80000305175781" hidden="0" customHeight="1">
      <x:c r="A1506" s="27" t="str">
        <x:v>SCA-13</x:v>
      </x:c>
      <x:c r="B1506" s="27" t="str">
        <x:v>SCA-04</x:v>
      </x:c>
      <x:c r="C1506" s="27" t="str">
        <x:v>Rail</x:v>
      </x:c>
      <x:c r="D1506" s="27" t="str">
        <x:v>YES</x:v>
      </x:c>
      <x:c r="E1506" s="27" t="str">
        <x:v>YES</x:v>
      </x:c>
      <x:c r="F1506" s="61" t="n">
        <x:v>3076.6416714220622</x:v>
      </x:c>
      <x:c r="G1506" s="61" t="n">
        <x:v>69.95202387745803</x:v>
      </x:c>
      <x:c r="H1506" s="27" t="str">
        <x:v>YES</x:v>
      </x:c>
      <x:c r="I1506" s="27" t="str">
        <x:v>NARN shared-node topology; deployable terminal required</x:v>
      </x:c>
      <x:c r="J1506" s="27" t="str">
        <x:v>presence does not prove operability or capacity</x:v>
      </x:c>
    </x:row>
    <x:row r="1507" ht="54" hidden="0" customHeight="1">
      <x:c r="A1507" s="29" t="str">
        <x:v>SCA-13</x:v>
      </x:c>
      <x:c r="B1507" s="29" t="str">
        <x:v>SCA-04</x:v>
      </x:c>
      <x:c r="C1507" s="29" t="str">
        <x:v>Air</x:v>
      </x:c>
      <x:c r="D1507" s="29" t="str">
        <x:v>YES</x:v>
      </x:c>
      <x:c r="E1507" s="29" t="str">
        <x:v>YES</x:v>
      </x:c>
      <x:c r="F1507" s="62" t="n">
        <x:v>2329.8116443313156</x:v>
      </x:c>
      <x:c r="G1507" s="62" t="n">
        <x:v>27.584325606663562</x:v>
      </x:c>
      <x:c r="H1507" s="29" t="str">
        <x:v>YES</x:v>
      </x:c>
      <x:c r="I1507" s="29" t="str">
        <x:v>primary-airport endpoints; great-circle screen</x:v>
      </x:c>
      <x:c r="J1507" s="29" t="str">
        <x:v>presence does not prove operability or capacity</x:v>
      </x:c>
    </x:row>
    <x:row r="1508" ht="75.5999984741211" hidden="0" customHeight="1">
      <x:c r="A1508" s="27" t="str">
        <x:v>SCA-13</x:v>
      </x:c>
      <x:c r="B1508" s="27" t="str">
        <x:v>SCA-04</x:v>
      </x:c>
      <x:c r="C1508" s="27" t="str">
        <x:v>Water</x:v>
      </x:c>
      <x:c r="D1508" s="27" t="str">
        <x:v>YES</x:v>
      </x:c>
      <x:c r="E1508" s="27" t="str">
        <x:v>YES</x:v>
      </x:c>
      <x:c r="F1508" s="61" t="n">
        <x:v>7738.109680393751</x:v>
      </x:c>
      <x:c r="G1508" s="61" t="n">
        <x:v>251.08884801125</x:v>
      </x:c>
      <x:c r="H1508" s="27" t="str">
        <x:v>NO</x:v>
      </x:c>
      <x:c r="I1508" s="27" t="str">
        <x:v>USACE waterway node topology; deployable terminal required</x:v>
      </x:c>
      <x:c r="J1508" s="27" t="str">
        <x:v>presence does not prove operability or capacity</x:v>
      </x:c>
    </x:row>
    <x:row r="1509" ht="54" hidden="0" customHeight="1">
      <x:c r="A1509" s="29" t="str">
        <x:v>SCA-13</x:v>
      </x:c>
      <x:c r="B1509" s="29" t="str">
        <x:v>SCA-05</x:v>
      </x:c>
      <x:c r="C1509" s="29" t="str">
        <x:v>Road</x:v>
      </x:c>
      <x:c r="D1509" s="29" t="str">
        <x:v>NO</x:v>
      </x:c>
      <x:c r="E1509" s="29" t="str">
        <x:v>NO</x:v>
      </x:c>
      <x:c r="F1509" s="62"/>
      <x:c r="G1509" s="62"/>
      <x:c r="H1509" s="29" t="str">
        <x:v>NO</x:v>
      </x:c>
      <x:c r="I1509" s="29" t="str">
        <x:v>no screened path</x:v>
      </x:c>
      <x:c r="J1509" s="29" t="str">
        <x:v>presence does not prove operability or capacity</x:v>
      </x:c>
    </x:row>
    <x:row r="1510" ht="64.80000305175781" hidden="0" customHeight="1">
      <x:c r="A1510" s="27" t="str">
        <x:v>SCA-13</x:v>
      </x:c>
      <x:c r="B1510" s="27" t="str">
        <x:v>SCA-05</x:v>
      </x:c>
      <x:c r="C1510" s="27" t="str">
        <x:v>Rail</x:v>
      </x:c>
      <x:c r="D1510" s="27" t="str">
        <x:v>YES</x:v>
      </x:c>
      <x:c r="E1510" s="27" t="str">
        <x:v>YES</x:v>
      </x:c>
      <x:c r="F1510" s="61" t="n">
        <x:v>2451.4360684829917</x:v>
      </x:c>
      <x:c r="G1510" s="61" t="n">
        <x:v>61.020515264042736</x:v>
      </x:c>
      <x:c r="H1510" s="27" t="str">
        <x:v>YES</x:v>
      </x:c>
      <x:c r="I1510" s="27" t="str">
        <x:v>NARN shared-node topology; deployable terminal required</x:v>
      </x:c>
      <x:c r="J1510" s="27" t="str">
        <x:v>presence does not prove operability or capacity</x:v>
      </x:c>
    </x:row>
    <x:row r="1511" ht="54" hidden="0" customHeight="1">
      <x:c r="A1511" s="29" t="str">
        <x:v>SCA-13</x:v>
      </x:c>
      <x:c r="B1511" s="29" t="str">
        <x:v>SCA-05</x:v>
      </x:c>
      <x:c r="C1511" s="29" t="str">
        <x:v>Air</x:v>
      </x:c>
      <x:c r="D1511" s="29" t="str">
        <x:v>YES</x:v>
      </x:c>
      <x:c r="E1511" s="29" t="str">
        <x:v>YES</x:v>
      </x:c>
      <x:c r="F1511" s="62" t="n">
        <x:v>1957.802033758812</x:v>
      </x:c>
      <x:c r="G1511" s="62" t="n">
        <x:v>27.01200312885971</x:v>
      </x:c>
      <x:c r="H1511" s="29" t="str">
        <x:v>YES</x:v>
      </x:c>
      <x:c r="I1511" s="29" t="str">
        <x:v>primary-airport endpoints; great-circle screen</x:v>
      </x:c>
      <x:c r="J1511" s="29" t="str">
        <x:v>presence does not prove operability or capacity</x:v>
      </x:c>
    </x:row>
    <x:row r="1512" ht="75.5999984741211" hidden="0" customHeight="1">
      <x:c r="A1512" s="27" t="str">
        <x:v>SCA-13</x:v>
      </x:c>
      <x:c r="B1512" s="27" t="str">
        <x:v>SCA-05</x:v>
      </x:c>
      <x:c r="C1512" s="27" t="str">
        <x:v>Water</x:v>
      </x:c>
      <x:c r="D1512" s="27" t="str">
        <x:v>YES</x:v>
      </x:c>
      <x:c r="E1512" s="27" t="str">
        <x:v>YES</x:v>
      </x:c>
      <x:c r="F1512" s="61" t="n">
        <x:v>7082.156260916693</x:v>
      </x:c>
      <x:c r="G1512" s="61" t="n">
        <x:v>232.34732174047696</x:v>
      </x:c>
      <x:c r="H1512" s="27" t="str">
        <x:v>NO</x:v>
      </x:c>
      <x:c r="I1512" s="27" t="str">
        <x:v>USACE waterway node topology; deployable terminal required</x:v>
      </x:c>
      <x:c r="J1512" s="27" t="str">
        <x:v>presence does not prove operability or capacity</x:v>
      </x:c>
    </x:row>
    <x:row r="1513" ht="54" hidden="0" customHeight="1">
      <x:c r="A1513" s="29" t="str">
        <x:v>SCA-13</x:v>
      </x:c>
      <x:c r="B1513" s="29" t="str">
        <x:v>SCA-06</x:v>
      </x:c>
      <x:c r="C1513" s="29" t="str">
        <x:v>Road</x:v>
      </x:c>
      <x:c r="D1513" s="29" t="str">
        <x:v>NO</x:v>
      </x:c>
      <x:c r="E1513" s="29" t="str">
        <x:v>NO</x:v>
      </x:c>
      <x:c r="F1513" s="62"/>
      <x:c r="G1513" s="62"/>
      <x:c r="H1513" s="29" t="str">
        <x:v>NO</x:v>
      </x:c>
      <x:c r="I1513" s="29" t="str">
        <x:v>no screened path</x:v>
      </x:c>
      <x:c r="J1513" s="29" t="str">
        <x:v>presence does not prove operability or capacity</x:v>
      </x:c>
    </x:row>
    <x:row r="1514" ht="64.80000305175781" hidden="0" customHeight="1">
      <x:c r="A1514" s="27" t="str">
        <x:v>SCA-13</x:v>
      </x:c>
      <x:c r="B1514" s="27" t="str">
        <x:v>SCA-06</x:v>
      </x:c>
      <x:c r="C1514" s="27" t="str">
        <x:v>Rail</x:v>
      </x:c>
      <x:c r="D1514" s="27" t="str">
        <x:v>YES</x:v>
      </x:c>
      <x:c r="E1514" s="27" t="str">
        <x:v>YES</x:v>
      </x:c>
      <x:c r="F1514" s="61" t="n">
        <x:v>2196.0238996292956</x:v>
      </x:c>
      <x:c r="G1514" s="61" t="n">
        <x:v>57.37176999470422</x:v>
      </x:c>
      <x:c r="H1514" s="27" t="str">
        <x:v>YES</x:v>
      </x:c>
      <x:c r="I1514" s="27" t="str">
        <x:v>NARN shared-node topology; deployable terminal required</x:v>
      </x:c>
      <x:c r="J1514" s="27" t="str">
        <x:v>presence does not prove operability or capacity</x:v>
      </x:c>
    </x:row>
    <x:row r="1515" ht="54" hidden="0" customHeight="1">
      <x:c r="A1515" s="29" t="str">
        <x:v>SCA-13</x:v>
      </x:c>
      <x:c r="B1515" s="29" t="str">
        <x:v>SCA-06</x:v>
      </x:c>
      <x:c r="C1515" s="29" t="str">
        <x:v>Air</x:v>
      </x:c>
      <x:c r="D1515" s="29" t="str">
        <x:v>YES</x:v>
      </x:c>
      <x:c r="E1515" s="29" t="str">
        <x:v>YES</x:v>
      </x:c>
      <x:c r="F1515" s="62" t="n">
        <x:v>1764.3263283598988</x:v>
      </x:c>
      <x:c r="G1515" s="62" t="n">
        <x:v>26.714348197476767</x:v>
      </x:c>
      <x:c r="H1515" s="29" t="str">
        <x:v>YES</x:v>
      </x:c>
      <x:c r="I1515" s="29" t="str">
        <x:v>primary-airport endpoints; great-circle screen</x:v>
      </x:c>
      <x:c r="J1515" s="29" t="str">
        <x:v>presence does not prove operability or capacity</x:v>
      </x:c>
    </x:row>
    <x:row r="1516" ht="75.5999984741211" hidden="0" customHeight="1">
      <x:c r="A1516" s="27" t="str">
        <x:v>SCA-13</x:v>
      </x:c>
      <x:c r="B1516" s="27" t="str">
        <x:v>SCA-06</x:v>
      </x:c>
      <x:c r="C1516" s="27" t="str">
        <x:v>Water</x:v>
      </x:c>
      <x:c r="D1516" s="27" t="str">
        <x:v>YES</x:v>
      </x:c>
      <x:c r="E1516" s="27" t="str">
        <x:v>YES</x:v>
      </x:c>
      <x:c r="F1516" s="61" t="n">
        <x:v>6814.182837857077</x:v>
      </x:c>
      <x:c r="G1516" s="61" t="n">
        <x:v>224.69093822448792</x:v>
      </x:c>
      <x:c r="H1516" s="27" t="str">
        <x:v>NO</x:v>
      </x:c>
      <x:c r="I1516" s="27" t="str">
        <x:v>USACE waterway node topology; deployable terminal required</x:v>
      </x:c>
      <x:c r="J1516" s="27" t="str">
        <x:v>presence does not prove operability or capacity</x:v>
      </x:c>
    </x:row>
    <x:row r="1517" ht="54" hidden="0" customHeight="1">
      <x:c r="A1517" s="29" t="str">
        <x:v>SCA-13</x:v>
      </x:c>
      <x:c r="B1517" s="29" t="str">
        <x:v>SCA-07</x:v>
      </x:c>
      <x:c r="C1517" s="29" t="str">
        <x:v>Road</x:v>
      </x:c>
      <x:c r="D1517" s="29" t="str">
        <x:v>NO</x:v>
      </x:c>
      <x:c r="E1517" s="29" t="str">
        <x:v>NO</x:v>
      </x:c>
      <x:c r="F1517" s="62"/>
      <x:c r="G1517" s="62"/>
      <x:c r="H1517" s="29" t="str">
        <x:v>NO</x:v>
      </x:c>
      <x:c r="I1517" s="29" t="str">
        <x:v>no screened path</x:v>
      </x:c>
      <x:c r="J1517" s="29" t="str">
        <x:v>presence does not prove operability or capacity</x:v>
      </x:c>
    </x:row>
    <x:row r="1518" ht="64.80000305175781" hidden="0" customHeight="1">
      <x:c r="A1518" s="27" t="str">
        <x:v>SCA-13</x:v>
      </x:c>
      <x:c r="B1518" s="27" t="str">
        <x:v>SCA-07</x:v>
      </x:c>
      <x:c r="C1518" s="27" t="str">
        <x:v>Rail</x:v>
      </x:c>
      <x:c r="D1518" s="27" t="str">
        <x:v>YES</x:v>
      </x:c>
      <x:c r="E1518" s="27" t="str">
        <x:v>YES</x:v>
      </x:c>
      <x:c r="F1518" s="61" t="n">
        <x:v>2209.1964421622324</x:v>
      </x:c>
      <x:c r="G1518" s="61" t="n">
        <x:v>57.559949173746176</x:v>
      </x:c>
      <x:c r="H1518" s="27" t="str">
        <x:v>YES</x:v>
      </x:c>
      <x:c r="I1518" s="27" t="str">
        <x:v>NARN shared-node topology; deployable terminal required</x:v>
      </x:c>
      <x:c r="J1518" s="27" t="str">
        <x:v>presence does not prove operability or capacity</x:v>
      </x:c>
    </x:row>
    <x:row r="1519" ht="54" hidden="0" customHeight="1">
      <x:c r="A1519" s="29" t="str">
        <x:v>SCA-13</x:v>
      </x:c>
      <x:c r="B1519" s="29" t="str">
        <x:v>SCA-07</x:v>
      </x:c>
      <x:c r="C1519" s="29" t="str">
        <x:v>Air</x:v>
      </x:c>
      <x:c r="D1519" s="29" t="str">
        <x:v>YES</x:v>
      </x:c>
      <x:c r="E1519" s="29" t="str">
        <x:v>YES</x:v>
      </x:c>
      <x:c r="F1519" s="62" t="n">
        <x:v>1728.7980094869172</x:v>
      </x:c>
      <x:c r="G1519" s="62" t="n">
        <x:v>26.65968924536449</x:v>
      </x:c>
      <x:c r="H1519" s="29" t="str">
        <x:v>YES</x:v>
      </x:c>
      <x:c r="I1519" s="29" t="str">
        <x:v>primary-airport endpoints; great-circle screen</x:v>
      </x:c>
      <x:c r="J1519" s="29" t="str">
        <x:v>presence does not prove operability or capacity</x:v>
      </x:c>
    </x:row>
    <x:row r="1520" ht="64.80000305175781" hidden="0" customHeight="1">
      <x:c r="A1520" s="27" t="str">
        <x:v>SCA-13</x:v>
      </x:c>
      <x:c r="B1520" s="27" t="str">
        <x:v>SCA-07</x:v>
      </x:c>
      <x:c r="C1520" s="27" t="str">
        <x:v>Water</x:v>
      </x:c>
      <x:c r="D1520" s="27" t="str">
        <x:v>YES</x:v>
      </x:c>
      <x:c r="E1520" s="27" t="str">
        <x:v>YES</x:v>
      </x:c>
      <x:c r="F1520" s="61" t="n">
        <x:v>2160.9975118586462</x:v>
      </x:c>
      <x:c r="G1520" s="61" t="n">
        <x:v>91.74278605310417</x:v>
      </x:c>
      <x:c r="H1520" s="27" t="str">
        <x:v>NO</x:v>
      </x:c>
      <x:c r="I1520" s="27" t="str">
        <x:v>observed water terminals; maritime great-circle screen</x:v>
      </x:c>
      <x:c r="J1520" s="27" t="str">
        <x:v>presence does not prove operability or capacity</x:v>
      </x:c>
    </x:row>
    <x:row r="1521" ht="54" hidden="0" customHeight="1">
      <x:c r="A1521" s="29" t="str">
        <x:v>SCA-13</x:v>
      </x:c>
      <x:c r="B1521" s="29" t="str">
        <x:v>SCA-08</x:v>
      </x:c>
      <x:c r="C1521" s="29" t="str">
        <x:v>Road</x:v>
      </x:c>
      <x:c r="D1521" s="29" t="str">
        <x:v>NO</x:v>
      </x:c>
      <x:c r="E1521" s="29" t="str">
        <x:v>NO</x:v>
      </x:c>
      <x:c r="F1521" s="62"/>
      <x:c r="G1521" s="62"/>
      <x:c r="H1521" s="29" t="str">
        <x:v>NO</x:v>
      </x:c>
      <x:c r="I1521" s="29" t="str">
        <x:v>no screened path</x:v>
      </x:c>
      <x:c r="J1521" s="29" t="str">
        <x:v>presence does not prove operability or capacity</x:v>
      </x:c>
    </x:row>
    <x:row r="1522" ht="64.80000305175781" hidden="0" customHeight="1">
      <x:c r="A1522" s="27" t="str">
        <x:v>SCA-13</x:v>
      </x:c>
      <x:c r="B1522" s="27" t="str">
        <x:v>SCA-08</x:v>
      </x:c>
      <x:c r="C1522" s="27" t="str">
        <x:v>Rail</x:v>
      </x:c>
      <x:c r="D1522" s="27" t="str">
        <x:v>YES</x:v>
      </x:c>
      <x:c r="E1522" s="27" t="str">
        <x:v>YES</x:v>
      </x:c>
      <x:c r="F1522" s="61" t="n">
        <x:v>2938.9443554168915</x:v>
      </x:c>
      <x:c r="G1522" s="61" t="n">
        <x:v>67.98491936309844</x:v>
      </x:c>
      <x:c r="H1522" s="27" t="str">
        <x:v>YES</x:v>
      </x:c>
      <x:c r="I1522" s="27" t="str">
        <x:v>NARN shared-node topology; deployable terminal required</x:v>
      </x:c>
      <x:c r="J1522" s="27" t="str">
        <x:v>presence does not prove operability or capacity</x:v>
      </x:c>
    </x:row>
    <x:row r="1523" ht="54" hidden="0" customHeight="1">
      <x:c r="A1523" s="29" t="str">
        <x:v>SCA-13</x:v>
      </x:c>
      <x:c r="B1523" s="29" t="str">
        <x:v>SCA-08</x:v>
      </x:c>
      <x:c r="C1523" s="29" t="str">
        <x:v>Air</x:v>
      </x:c>
      <x:c r="D1523" s="29" t="str">
        <x:v>YES</x:v>
      </x:c>
      <x:c r="E1523" s="29" t="str">
        <x:v>YES</x:v>
      </x:c>
      <x:c r="F1523" s="62" t="n">
        <x:v>2207.290121761811</x:v>
      </x:c>
      <x:c r="G1523" s="62" t="n">
        <x:v>27.395830956556633</x:v>
      </x:c>
      <x:c r="H1523" s="29" t="str">
        <x:v>YES</x:v>
      </x:c>
      <x:c r="I1523" s="29" t="str">
        <x:v>primary-airport endpoints; great-circle screen</x:v>
      </x:c>
      <x:c r="J1523" s="29" t="str">
        <x:v>presence does not prove operability or capacity</x:v>
      </x:c>
    </x:row>
    <x:row r="1524" ht="75.5999984741211" hidden="0" customHeight="1">
      <x:c r="A1524" s="27" t="str">
        <x:v>SCA-13</x:v>
      </x:c>
      <x:c r="B1524" s="27" t="str">
        <x:v>SCA-08</x:v>
      </x:c>
      <x:c r="C1524" s="27" t="str">
        <x:v>Water</x:v>
      </x:c>
      <x:c r="D1524" s="27" t="str">
        <x:v>YES</x:v>
      </x:c>
      <x:c r="E1524" s="27" t="str">
        <x:v>YES</x:v>
      </x:c>
      <x:c r="F1524" s="61" t="n">
        <x:v>9667.89679320325</x:v>
      </x:c>
      <x:c r="G1524" s="61" t="n">
        <x:v>306.22562266295</x:v>
      </x:c>
      <x:c r="H1524" s="27" t="str">
        <x:v>NO</x:v>
      </x:c>
      <x:c r="I1524" s="27" t="str">
        <x:v>USACE waterway node topology; deployable terminal required</x:v>
      </x:c>
      <x:c r="J1524" s="27" t="str">
        <x:v>presence does not prove operability or capacity</x:v>
      </x:c>
    </x:row>
    <x:row r="1525" ht="54" hidden="0" customHeight="1">
      <x:c r="A1525" s="29" t="str">
        <x:v>SCA-13</x:v>
      </x:c>
      <x:c r="B1525" s="29" t="str">
        <x:v>SCA-09</x:v>
      </x:c>
      <x:c r="C1525" s="29" t="str">
        <x:v>Road</x:v>
      </x:c>
      <x:c r="D1525" s="29" t="str">
        <x:v>NO</x:v>
      </x:c>
      <x:c r="E1525" s="29" t="str">
        <x:v>NO</x:v>
      </x:c>
      <x:c r="F1525" s="62"/>
      <x:c r="G1525" s="62"/>
      <x:c r="H1525" s="29" t="str">
        <x:v>NO</x:v>
      </x:c>
      <x:c r="I1525" s="29" t="str">
        <x:v>no screened path</x:v>
      </x:c>
      <x:c r="J1525" s="29" t="str">
        <x:v>presence does not prove operability or capacity</x:v>
      </x:c>
    </x:row>
    <x:row r="1526" ht="64.80000305175781" hidden="0" customHeight="1">
      <x:c r="A1526" s="27" t="str">
        <x:v>SCA-13</x:v>
      </x:c>
      <x:c r="B1526" s="27" t="str">
        <x:v>SCA-09</x:v>
      </x:c>
      <x:c r="C1526" s="27" t="str">
        <x:v>Rail</x:v>
      </x:c>
      <x:c r="D1526" s="27" t="str">
        <x:v>YES</x:v>
      </x:c>
      <x:c r="E1526" s="27" t="str">
        <x:v>YES</x:v>
      </x:c>
      <x:c r="F1526" s="61" t="n">
        <x:v>1718.9302203689185</x:v>
      </x:c>
      <x:c r="G1526" s="61" t="n">
        <x:v>50.556146005270264</x:v>
      </x:c>
      <x:c r="H1526" s="27" t="str">
        <x:v>YES</x:v>
      </x:c>
      <x:c r="I1526" s="27" t="str">
        <x:v>NARN shared-node topology; deployable terminal required</x:v>
      </x:c>
      <x:c r="J1526" s="27" t="str">
        <x:v>presence does not prove operability or capacity</x:v>
      </x:c>
    </x:row>
    <x:row r="1527" ht="54" hidden="0" customHeight="1">
      <x:c r="A1527" s="29" t="str">
        <x:v>SCA-13</x:v>
      </x:c>
      <x:c r="B1527" s="29" t="str">
        <x:v>SCA-09</x:v>
      </x:c>
      <x:c r="C1527" s="29" t="str">
        <x:v>Air</x:v>
      </x:c>
      <x:c r="D1527" s="29" t="str">
        <x:v>YES</x:v>
      </x:c>
      <x:c r="E1527" s="29" t="str">
        <x:v>YES</x:v>
      </x:c>
      <x:c r="F1527" s="62" t="n">
        <x:v>1376.888111377112</x:v>
      </x:c>
      <x:c r="G1527" s="62" t="n">
        <x:v>26.118289402118634</x:v>
      </x:c>
      <x:c r="H1527" s="29" t="str">
        <x:v>YES</x:v>
      </x:c>
      <x:c r="I1527" s="29" t="str">
        <x:v>primary-airport endpoints; great-circle screen</x:v>
      </x:c>
      <x:c r="J1527" s="29" t="str">
        <x:v>presence does not prove operability or capacity</x:v>
      </x:c>
    </x:row>
    <x:row r="1528" ht="54" hidden="0" customHeight="1">
      <x:c r="A1528" s="27" t="str">
        <x:v>SCA-13</x:v>
      </x:c>
      <x:c r="B1528" s="27" t="str">
        <x:v>SCA-09</x:v>
      </x:c>
      <x:c r="C1528" s="27" t="str">
        <x:v>Water</x:v>
      </x:c>
      <x:c r="D1528" s="27" t="str">
        <x:v>NO</x:v>
      </x:c>
      <x:c r="E1528" s="27" t="str">
        <x:v>NO</x:v>
      </x:c>
      <x:c r="F1528" s="61"/>
      <x:c r="G1528" s="61"/>
      <x:c r="H1528" s="27" t="str">
        <x:v>NO</x:v>
      </x:c>
      <x:c r="I1528" s="27" t="str">
        <x:v>no screened path</x:v>
      </x:c>
      <x:c r="J1528" s="27" t="str">
        <x:v>presence does not prove operability or capacity</x:v>
      </x:c>
    </x:row>
    <x:row r="1529" ht="54" hidden="0" customHeight="1">
      <x:c r="A1529" s="29" t="str">
        <x:v>SCA-13</x:v>
      </x:c>
      <x:c r="B1529" s="29" t="str">
        <x:v>SCA-10</x:v>
      </x:c>
      <x:c r="C1529" s="29" t="str">
        <x:v>Road</x:v>
      </x:c>
      <x:c r="D1529" s="29" t="str">
        <x:v>NO</x:v>
      </x:c>
      <x:c r="E1529" s="29" t="str">
        <x:v>NO</x:v>
      </x:c>
      <x:c r="F1529" s="62"/>
      <x:c r="G1529" s="62"/>
      <x:c r="H1529" s="29" t="str">
        <x:v>NO</x:v>
      </x:c>
      <x:c r="I1529" s="29" t="str">
        <x:v>no screened path</x:v>
      </x:c>
      <x:c r="J1529" s="29" t="str">
        <x:v>presence does not prove operability or capacity</x:v>
      </x:c>
    </x:row>
    <x:row r="1530" ht="64.80000305175781" hidden="0" customHeight="1">
      <x:c r="A1530" s="27" t="str">
        <x:v>SCA-13</x:v>
      </x:c>
      <x:c r="B1530" s="27" t="str">
        <x:v>SCA-10</x:v>
      </x:c>
      <x:c r="C1530" s="27" t="str">
        <x:v>Rail</x:v>
      </x:c>
      <x:c r="D1530" s="27" t="str">
        <x:v>YES</x:v>
      </x:c>
      <x:c r="E1530" s="27" t="str">
        <x:v>YES</x:v>
      </x:c>
      <x:c r="F1530" s="61" t="n">
        <x:v>2413.202401027813</x:v>
      </x:c>
      <x:c r="G1530" s="61" t="n">
        <x:v>60.47432001468304</x:v>
      </x:c>
      <x:c r="H1530" s="27" t="str">
        <x:v>YES</x:v>
      </x:c>
      <x:c r="I1530" s="27" t="str">
        <x:v>NARN shared-node topology; deployable terminal required</x:v>
      </x:c>
      <x:c r="J1530" s="27" t="str">
        <x:v>presence does not prove operability or capacity</x:v>
      </x:c>
    </x:row>
    <x:row r="1531" ht="54" hidden="0" customHeight="1">
      <x:c r="A1531" s="29" t="str">
        <x:v>SCA-13</x:v>
      </x:c>
      <x:c r="B1531" s="29" t="str">
        <x:v>SCA-10</x:v>
      </x:c>
      <x:c r="C1531" s="29" t="str">
        <x:v>Air</x:v>
      </x:c>
      <x:c r="D1531" s="29" t="str">
        <x:v>YES</x:v>
      </x:c>
      <x:c r="E1531" s="29" t="str">
        <x:v>YES</x:v>
      </x:c>
      <x:c r="F1531" s="62" t="n">
        <x:v>1731.3472717426955</x:v>
      </x:c>
      <x:c r="G1531" s="62" t="n">
        <x:v>26.663611187296453</x:v>
      </x:c>
      <x:c r="H1531" s="29" t="str">
        <x:v>YES</x:v>
      </x:c>
      <x:c r="I1531" s="29" t="str">
        <x:v>primary-airport endpoints; great-circle screen</x:v>
      </x:c>
      <x:c r="J1531" s="29" t="str">
        <x:v>presence does not prove operability or capacity</x:v>
      </x:c>
    </x:row>
    <x:row r="1532" ht="54" hidden="0" customHeight="1">
      <x:c r="A1532" s="27" t="str">
        <x:v>SCA-13</x:v>
      </x:c>
      <x:c r="B1532" s="27" t="str">
        <x:v>SCA-10</x:v>
      </x:c>
      <x:c r="C1532" s="27" t="str">
        <x:v>Water</x:v>
      </x:c>
      <x:c r="D1532" s="27" t="str">
        <x:v>NO</x:v>
      </x:c>
      <x:c r="E1532" s="27" t="str">
        <x:v>NO</x:v>
      </x:c>
      <x:c r="F1532" s="61"/>
      <x:c r="G1532" s="61"/>
      <x:c r="H1532" s="27" t="str">
        <x:v>NO</x:v>
      </x:c>
      <x:c r="I1532" s="27" t="str">
        <x:v>no screened path</x:v>
      </x:c>
      <x:c r="J1532" s="27" t="str">
        <x:v>presence does not prove operability or capacity</x:v>
      </x:c>
    </x:row>
    <x:row r="1533" ht="54" hidden="0" customHeight="1">
      <x:c r="A1533" s="29" t="str">
        <x:v>SCA-13</x:v>
      </x:c>
      <x:c r="B1533" s="29" t="str">
        <x:v>SCA-11</x:v>
      </x:c>
      <x:c r="C1533" s="29" t="str">
        <x:v>Road</x:v>
      </x:c>
      <x:c r="D1533" s="29" t="str">
        <x:v>NO</x:v>
      </x:c>
      <x:c r="E1533" s="29" t="str">
        <x:v>NO</x:v>
      </x:c>
      <x:c r="F1533" s="62"/>
      <x:c r="G1533" s="62"/>
      <x:c r="H1533" s="29" t="str">
        <x:v>NO</x:v>
      </x:c>
      <x:c r="I1533" s="29" t="str">
        <x:v>no screened path</x:v>
      </x:c>
      <x:c r="J1533" s="29" t="str">
        <x:v>presence does not prove operability or capacity</x:v>
      </x:c>
    </x:row>
    <x:row r="1534" ht="64.80000305175781" hidden="0" customHeight="1">
      <x:c r="A1534" s="27" t="str">
        <x:v>SCA-13</x:v>
      </x:c>
      <x:c r="B1534" s="27" t="str">
        <x:v>SCA-11</x:v>
      </x:c>
      <x:c r="C1534" s="27" t="str">
        <x:v>Rail</x:v>
      </x:c>
      <x:c r="D1534" s="27" t="str">
        <x:v>YES</x:v>
      </x:c>
      <x:c r="E1534" s="27" t="str">
        <x:v>YES</x:v>
      </x:c>
      <x:c r="F1534" s="61" t="n">
        <x:v>921.4190301142012</x:v>
      </x:c>
      <x:c r="G1534" s="61" t="n">
        <x:v>39.16312900163145</x:v>
      </x:c>
      <x:c r="H1534" s="27" t="str">
        <x:v>YES</x:v>
      </x:c>
      <x:c r="I1534" s="27" t="str">
        <x:v>NARN shared-node topology; deployable terminal required</x:v>
      </x:c>
      <x:c r="J1534" s="27" t="str">
        <x:v>presence does not prove operability or capacity</x:v>
      </x:c>
    </x:row>
    <x:row r="1535" ht="54" hidden="0" customHeight="1">
      <x:c r="A1535" s="29" t="str">
        <x:v>SCA-13</x:v>
      </x:c>
      <x:c r="B1535" s="29" t="str">
        <x:v>SCA-11</x:v>
      </x:c>
      <x:c r="C1535" s="29" t="str">
        <x:v>Air</x:v>
      </x:c>
      <x:c r="D1535" s="29" t="str">
        <x:v>YES</x:v>
      </x:c>
      <x:c r="E1535" s="29" t="str">
        <x:v>YES</x:v>
      </x:c>
      <x:c r="F1535" s="62" t="n">
        <x:v>755.2615000936075</x:v>
      </x:c>
      <x:c r="G1535" s="62" t="n">
        <x:v>25.16194076937478</x:v>
      </x:c>
      <x:c r="H1535" s="29" t="str">
        <x:v>YES</x:v>
      </x:c>
      <x:c r="I1535" s="29" t="str">
        <x:v>primary-airport endpoints; great-circle screen</x:v>
      </x:c>
      <x:c r="J1535" s="29" t="str">
        <x:v>presence does not prove operability or capacity</x:v>
      </x:c>
    </x:row>
    <x:row r="1536" ht="54" hidden="0" customHeight="1">
      <x:c r="A1536" s="27" t="str">
        <x:v>SCA-13</x:v>
      </x:c>
      <x:c r="B1536" s="27" t="str">
        <x:v>SCA-11</x:v>
      </x:c>
      <x:c r="C1536" s="27" t="str">
        <x:v>Water</x:v>
      </x:c>
      <x:c r="D1536" s="27" t="str">
        <x:v>NO</x:v>
      </x:c>
      <x:c r="E1536" s="27" t="str">
        <x:v>NO</x:v>
      </x:c>
      <x:c r="F1536" s="61"/>
      <x:c r="G1536" s="61"/>
      <x:c r="H1536" s="27" t="str">
        <x:v>NO</x:v>
      </x:c>
      <x:c r="I1536" s="27" t="str">
        <x:v>no screened path</x:v>
      </x:c>
      <x:c r="J1536" s="27" t="str">
        <x:v>presence does not prove operability or capacity</x:v>
      </x:c>
    </x:row>
    <x:row r="1537" ht="54" hidden="0" customHeight="1">
      <x:c r="A1537" s="29" t="str">
        <x:v>SCA-13</x:v>
      </x:c>
      <x:c r="B1537" s="29" t="str">
        <x:v>SCA-12</x:v>
      </x:c>
      <x:c r="C1537" s="29" t="str">
        <x:v>Road</x:v>
      </x:c>
      <x:c r="D1537" s="29" t="str">
        <x:v>NO</x:v>
      </x:c>
      <x:c r="E1537" s="29" t="str">
        <x:v>NO</x:v>
      </x:c>
      <x:c r="F1537" s="62"/>
      <x:c r="G1537" s="62"/>
      <x:c r="H1537" s="29" t="str">
        <x:v>NO</x:v>
      </x:c>
      <x:c r="I1537" s="29" t="str">
        <x:v>no screened path</x:v>
      </x:c>
      <x:c r="J1537" s="29" t="str">
        <x:v>presence does not prove operability or capacity</x:v>
      </x:c>
    </x:row>
    <x:row r="1538" ht="64.80000305175781" hidden="0" customHeight="1">
      <x:c r="A1538" s="27" t="str">
        <x:v>SCA-13</x:v>
      </x:c>
      <x:c r="B1538" s="27" t="str">
        <x:v>SCA-12</x:v>
      </x:c>
      <x:c r="C1538" s="27" t="str">
        <x:v>Rail</x:v>
      </x:c>
      <x:c r="D1538" s="27" t="str">
        <x:v>YES</x:v>
      </x:c>
      <x:c r="E1538" s="27" t="str">
        <x:v>YES</x:v>
      </x:c>
      <x:c r="F1538" s="61" t="n">
        <x:v>1695.7809106446305</x:v>
      </x:c>
      <x:c r="G1538" s="61" t="n">
        <x:v>50.22544158063758</x:v>
      </x:c>
      <x:c r="H1538" s="27" t="str">
        <x:v>YES</x:v>
      </x:c>
      <x:c r="I1538" s="27" t="str">
        <x:v>NARN shared-node topology; deployable terminal required</x:v>
      </x:c>
      <x:c r="J1538" s="27" t="str">
        <x:v>presence does not prove operability or capacity</x:v>
      </x:c>
    </x:row>
    <x:row r="1539" ht="54" hidden="0" customHeight="1">
      <x:c r="A1539" s="29" t="str">
        <x:v>SCA-13</x:v>
      </x:c>
      <x:c r="B1539" s="29" t="str">
        <x:v>SCA-12</x:v>
      </x:c>
      <x:c r="C1539" s="29" t="str">
        <x:v>Air</x:v>
      </x:c>
      <x:c r="D1539" s="29" t="str">
        <x:v>YES</x:v>
      </x:c>
      <x:c r="E1539" s="29" t="str">
        <x:v>YES</x:v>
      </x:c>
      <x:c r="F1539" s="62" t="n">
        <x:v>1220.6791693715531</x:v>
      </x:c>
      <x:c r="G1539" s="62" t="n">
        <x:v>25.877967952879313</x:v>
      </x:c>
      <x:c r="H1539" s="29" t="str">
        <x:v>YES</x:v>
      </x:c>
      <x:c r="I1539" s="29" t="str">
        <x:v>primary-airport endpoints; great-circle screen</x:v>
      </x:c>
      <x:c r="J1539" s="29" t="str">
        <x:v>presence does not prove operability or capacity</x:v>
      </x:c>
    </x:row>
    <x:row r="1540" ht="54" hidden="0" customHeight="1">
      <x:c r="A1540" s="27" t="str">
        <x:v>SCA-13</x:v>
      </x:c>
      <x:c r="B1540" s="27" t="str">
        <x:v>SCA-12</x:v>
      </x:c>
      <x:c r="C1540" s="27" t="str">
        <x:v>Water</x:v>
      </x:c>
      <x:c r="D1540" s="27" t="str">
        <x:v>NO</x:v>
      </x:c>
      <x:c r="E1540" s="27" t="str">
        <x:v>NO</x:v>
      </x:c>
      <x:c r="F1540" s="61"/>
      <x:c r="G1540" s="61"/>
      <x:c r="H1540" s="27" t="str">
        <x:v>NO</x:v>
      </x:c>
      <x:c r="I1540" s="27" t="str">
        <x:v>no screened path</x:v>
      </x:c>
      <x:c r="J1540" s="27" t="str">
        <x:v>presence does not prove operability or capacity</x:v>
      </x:c>
    </x:row>
    <x:row r="1541" ht="54" hidden="0" customHeight="1">
      <x:c r="A1541" s="29" t="str">
        <x:v>SCA-13</x:v>
      </x:c>
      <x:c r="B1541" s="29" t="str">
        <x:v>SCA-14</x:v>
      </x:c>
      <x:c r="C1541" s="29" t="str">
        <x:v>Road</x:v>
      </x:c>
      <x:c r="D1541" s="29" t="str">
        <x:v>NO</x:v>
      </x:c>
      <x:c r="E1541" s="29" t="str">
        <x:v>NO</x:v>
      </x:c>
      <x:c r="F1541" s="62"/>
      <x:c r="G1541" s="62"/>
      <x:c r="H1541" s="29" t="str">
        <x:v>NO</x:v>
      </x:c>
      <x:c r="I1541" s="29" t="str">
        <x:v>no screened path</x:v>
      </x:c>
      <x:c r="J1541" s="29" t="str">
        <x:v>presence does not prove operability or capacity</x:v>
      </x:c>
    </x:row>
    <x:row r="1542" ht="64.80000305175781" hidden="0" customHeight="1">
      <x:c r="A1542" s="27" t="str">
        <x:v>SCA-13</x:v>
      </x:c>
      <x:c r="B1542" s="27" t="str">
        <x:v>SCA-14</x:v>
      </x:c>
      <x:c r="C1542" s="27" t="str">
        <x:v>Rail</x:v>
      </x:c>
      <x:c r="D1542" s="27" t="str">
        <x:v>YES</x:v>
      </x:c>
      <x:c r="E1542" s="27" t="str">
        <x:v>YES</x:v>
      </x:c>
      <x:c r="F1542" s="61" t="n">
        <x:v>428.129628475718</x:v>
      </x:c>
      <x:c r="G1542" s="61" t="n">
        <x:v>32.11613754965312</x:v>
      </x:c>
      <x:c r="H1542" s="27" t="str">
        <x:v>YES</x:v>
      </x:c>
      <x:c r="I1542" s="27" t="str">
        <x:v>NARN shared-node topology; deployable terminal required</x:v>
      </x:c>
      <x:c r="J1542" s="27" t="str">
        <x:v>presence does not prove operability or capacity</x:v>
      </x:c>
    </x:row>
    <x:row r="1543" ht="54" hidden="0" customHeight="1">
      <x:c r="A1543" s="29" t="str">
        <x:v>SCA-13</x:v>
      </x:c>
      <x:c r="B1543" s="29" t="str">
        <x:v>SCA-14</x:v>
      </x:c>
      <x:c r="C1543" s="29" t="str">
        <x:v>Air</x:v>
      </x:c>
      <x:c r="D1543" s="29" t="str">
        <x:v>YES</x:v>
      </x:c>
      <x:c r="E1543" s="29" t="str">
        <x:v>YES</x:v>
      </x:c>
      <x:c r="F1543" s="62" t="n">
        <x:v>350.92592498009674</x:v>
      </x:c>
      <x:c r="G1543" s="62" t="n">
        <x:v>24.539886038430918</x:v>
      </x:c>
      <x:c r="H1543" s="29" t="str">
        <x:v>YES</x:v>
      </x:c>
      <x:c r="I1543" s="29" t="str">
        <x:v>primary-airport endpoints; great-circle screen</x:v>
      </x:c>
      <x:c r="J1543" s="29" t="str">
        <x:v>presence does not prove operability or capacity</x:v>
      </x:c>
    </x:row>
    <x:row r="1544" ht="75.5999984741211" hidden="0" customHeight="1">
      <x:c r="A1544" s="27" t="str">
        <x:v>SCA-13</x:v>
      </x:c>
      <x:c r="B1544" s="27" t="str">
        <x:v>SCA-14</x:v>
      </x:c>
      <x:c r="C1544" s="27" t="str">
        <x:v>Water</x:v>
      </x:c>
      <x:c r="D1544" s="27" t="str">
        <x:v>YES</x:v>
      </x:c>
      <x:c r="E1544" s="27" t="str">
        <x:v>YES</x:v>
      </x:c>
      <x:c r="F1544" s="61" t="n">
        <x:v>449.18518397452385</x:v>
      </x:c>
      <x:c r="G1544" s="61" t="n">
        <x:v>42.83386239927211</x:v>
      </x:c>
      <x:c r="H1544" s="27" t="str">
        <x:v>YES</x:v>
      </x:c>
      <x:c r="I1544" s="27" t="str">
        <x:v>USACE waterway node topology; deployable terminal required</x:v>
      </x:c>
      <x:c r="J1544" s="27" t="str">
        <x:v>presence does not prove operability or capacity</x:v>
      </x:c>
    </x:row>
    <x:row r="1545" ht="54" hidden="0" customHeight="1">
      <x:c r="A1545" s="29" t="str">
        <x:v>SCA-13</x:v>
      </x:c>
      <x:c r="B1545" s="29" t="str">
        <x:v>SCA-15</x:v>
      </x:c>
      <x:c r="C1545" s="29" t="str">
        <x:v>Road</x:v>
      </x:c>
      <x:c r="D1545" s="29" t="str">
        <x:v>NO</x:v>
      </x:c>
      <x:c r="E1545" s="29" t="str">
        <x:v>NO</x:v>
      </x:c>
      <x:c r="F1545" s="62"/>
      <x:c r="G1545" s="62"/>
      <x:c r="H1545" s="29" t="str">
        <x:v>NO</x:v>
      </x:c>
      <x:c r="I1545" s="29" t="str">
        <x:v>no screened path</x:v>
      </x:c>
      <x:c r="J1545" s="29" t="str">
        <x:v>presence does not prove operability or capacity</x:v>
      </x:c>
    </x:row>
    <x:row r="1546" ht="64.80000305175781" hidden="0" customHeight="1">
      <x:c r="A1546" s="27" t="str">
        <x:v>SCA-13</x:v>
      </x:c>
      <x:c r="B1546" s="27" t="str">
        <x:v>SCA-15</x:v>
      </x:c>
      <x:c r="C1546" s="27" t="str">
        <x:v>Rail</x:v>
      </x:c>
      <x:c r="D1546" s="27" t="str">
        <x:v>YES</x:v>
      </x:c>
      <x:c r="E1546" s="27" t="str">
        <x:v>YES</x:v>
      </x:c>
      <x:c r="F1546" s="61" t="n">
        <x:v>448.57023795299875</x:v>
      </x:c>
      <x:c r="G1546" s="61" t="n">
        <x:v>32.40814625647141</x:v>
      </x:c>
      <x:c r="H1546" s="27" t="str">
        <x:v>YES</x:v>
      </x:c>
      <x:c r="I1546" s="27" t="str">
        <x:v>NARN shared-node topology; deployable terminal required</x:v>
      </x:c>
      <x:c r="J1546" s="27" t="str">
        <x:v>presence does not prove operability or capacity</x:v>
      </x:c>
    </x:row>
    <x:row r="1547" ht="54" hidden="0" customHeight="1">
      <x:c r="A1547" s="29" t="str">
        <x:v>SCA-13</x:v>
      </x:c>
      <x:c r="B1547" s="29" t="str">
        <x:v>SCA-15</x:v>
      </x:c>
      <x:c r="C1547" s="29" t="str">
        <x:v>Air</x:v>
      </x:c>
      <x:c r="D1547" s="29" t="str">
        <x:v>YES</x:v>
      </x:c>
      <x:c r="E1547" s="29" t="str">
        <x:v>YES</x:v>
      </x:c>
      <x:c r="F1547" s="62" t="n">
        <x:v>367.68052291229407</x:v>
      </x:c>
      <x:c r="G1547" s="62" t="n">
        <x:v>24.56566234294199</x:v>
      </x:c>
      <x:c r="H1547" s="29" t="str">
        <x:v>YES</x:v>
      </x:c>
      <x:c r="I1547" s="29" t="str">
        <x:v>primary-airport endpoints; great-circle screen</x:v>
      </x:c>
      <x:c r="J1547" s="29" t="str">
        <x:v>presence does not prove operability or capacity</x:v>
      </x:c>
    </x:row>
    <x:row r="1548" ht="75.5999984741211" hidden="0" customHeight="1">
      <x:c r="A1548" s="27" t="str">
        <x:v>SCA-13</x:v>
      </x:c>
      <x:c r="B1548" s="27" t="str">
        <x:v>SCA-15</x:v>
      </x:c>
      <x:c r="C1548" s="27" t="str">
        <x:v>Water</x:v>
      </x:c>
      <x:c r="D1548" s="27" t="str">
        <x:v>YES</x:v>
      </x:c>
      <x:c r="E1548" s="27" t="str">
        <x:v>YES</x:v>
      </x:c>
      <x:c r="F1548" s="61" t="n">
        <x:v>1003.0169419335709</x:v>
      </x:c>
      <x:c r="G1548" s="61" t="n">
        <x:v>58.65762691238774</x:v>
      </x:c>
      <x:c r="H1548" s="27" t="str">
        <x:v>YES</x:v>
      </x:c>
      <x:c r="I1548" s="27" t="str">
        <x:v>USACE waterway node topology; deployable terminal required</x:v>
      </x:c>
      <x:c r="J1548" s="27" t="str">
        <x:v>presence does not prove operability or capacity</x:v>
      </x:c>
    </x:row>
    <x:row r="1549" ht="54" hidden="0" customHeight="1">
      <x:c r="A1549" s="29" t="str">
        <x:v>SCA-13</x:v>
      </x:c>
      <x:c r="B1549" s="29" t="str">
        <x:v>SCA-16</x:v>
      </x:c>
      <x:c r="C1549" s="29" t="str">
        <x:v>Road</x:v>
      </x:c>
      <x:c r="D1549" s="29" t="str">
        <x:v>NO</x:v>
      </x:c>
      <x:c r="E1549" s="29" t="str">
        <x:v>NO</x:v>
      </x:c>
      <x:c r="F1549" s="62"/>
      <x:c r="G1549" s="62"/>
      <x:c r="H1549" s="29" t="str">
        <x:v>NO</x:v>
      </x:c>
      <x:c r="I1549" s="29" t="str">
        <x:v>no screened path</x:v>
      </x:c>
      <x:c r="J1549" s="29" t="str">
        <x:v>presence does not prove operability or capacity</x:v>
      </x:c>
    </x:row>
    <x:row r="1550" ht="64.80000305175781" hidden="0" customHeight="1">
      <x:c r="A1550" s="27" t="str">
        <x:v>SCA-13</x:v>
      </x:c>
      <x:c r="B1550" s="27" t="str">
        <x:v>SCA-16</x:v>
      </x:c>
      <x:c r="C1550" s="27" t="str">
        <x:v>Rail</x:v>
      </x:c>
      <x:c r="D1550" s="27" t="str">
        <x:v>YES</x:v>
      </x:c>
      <x:c r="E1550" s="27" t="str">
        <x:v>YES</x:v>
      </x:c>
      <x:c r="F1550" s="61" t="n">
        <x:v>1138.1637667161858</x:v>
      </x:c>
      <x:c r="G1550" s="61" t="n">
        <x:v>42.259482381659794</x:v>
      </x:c>
      <x:c r="H1550" s="27" t="str">
        <x:v>YES</x:v>
      </x:c>
      <x:c r="I1550" s="27" t="str">
        <x:v>NARN shared-node topology; deployable terminal required</x:v>
      </x:c>
      <x:c r="J1550" s="27" t="str">
        <x:v>presence does not prove operability or capacity</x:v>
      </x:c>
    </x:row>
    <x:row r="1551" ht="54" hidden="0" customHeight="1">
      <x:c r="A1551" s="29" t="str">
        <x:v>SCA-13</x:v>
      </x:c>
      <x:c r="B1551" s="29" t="str">
        <x:v>SCA-16</x:v>
      </x:c>
      <x:c r="C1551" s="29" t="str">
        <x:v>Air</x:v>
      </x:c>
      <x:c r="D1551" s="29" t="str">
        <x:v>YES</x:v>
      </x:c>
      <x:c r="E1551" s="29" t="str">
        <x:v>YES</x:v>
      </x:c>
      <x:c r="F1551" s="62" t="n">
        <x:v>923.36362545941</x:v>
      </x:c>
      <x:c r="G1551" s="62" t="n">
        <x:v>25.420559423783708</x:v>
      </x:c>
      <x:c r="H1551" s="29" t="str">
        <x:v>YES</x:v>
      </x:c>
      <x:c r="I1551" s="29" t="str">
        <x:v>primary-airport endpoints; great-circle screen</x:v>
      </x:c>
      <x:c r="J1551" s="29" t="str">
        <x:v>presence does not prove operability or capacity</x:v>
      </x:c>
    </x:row>
    <x:row r="1552" ht="75.5999984741211" hidden="0" customHeight="1">
      <x:c r="A1552" s="27" t="str">
        <x:v>SCA-13</x:v>
      </x:c>
      <x:c r="B1552" s="27" t="str">
        <x:v>SCA-16</x:v>
      </x:c>
      <x:c r="C1552" s="27" t="str">
        <x:v>Water</x:v>
      </x:c>
      <x:c r="D1552" s="27" t="str">
        <x:v>YES</x:v>
      </x:c>
      <x:c r="E1552" s="27" t="str">
        <x:v>YES</x:v>
      </x:c>
      <x:c r="F1552" s="61" t="n">
        <x:v>1726.5249065375706</x:v>
      </x:c>
      <x:c r="G1552" s="61" t="n">
        <x:v>79.32928304393059</x:v>
      </x:c>
      <x:c r="H1552" s="27" t="str">
        <x:v>NO</x:v>
      </x:c>
      <x:c r="I1552" s="27" t="str">
        <x:v>USACE waterway node topology; deployable terminal required</x:v>
      </x:c>
      <x:c r="J1552" s="27" t="str">
        <x:v>presence does not prove operability or capacity</x:v>
      </x:c>
    </x:row>
    <x:row r="1553" ht="54" hidden="0" customHeight="1">
      <x:c r="A1553" s="29" t="str">
        <x:v>SCA-13</x:v>
      </x:c>
      <x:c r="B1553" s="29" t="str">
        <x:v>SCA-17</x:v>
      </x:c>
      <x:c r="C1553" s="29" t="str">
        <x:v>Road</x:v>
      </x:c>
      <x:c r="D1553" s="29" t="str">
        <x:v>NO</x:v>
      </x:c>
      <x:c r="E1553" s="29" t="str">
        <x:v>NO</x:v>
      </x:c>
      <x:c r="F1553" s="62"/>
      <x:c r="G1553" s="62"/>
      <x:c r="H1553" s="29" t="str">
        <x:v>NO</x:v>
      </x:c>
      <x:c r="I1553" s="29" t="str">
        <x:v>no screened path</x:v>
      </x:c>
      <x:c r="J1553" s="29" t="str">
        <x:v>presence does not prove operability or capacity</x:v>
      </x:c>
    </x:row>
    <x:row r="1554" ht="64.80000305175781" hidden="0" customHeight="1">
      <x:c r="A1554" s="27" t="str">
        <x:v>SCA-13</x:v>
      </x:c>
      <x:c r="B1554" s="27" t="str">
        <x:v>SCA-17</x:v>
      </x:c>
      <x:c r="C1554" s="27" t="str">
        <x:v>Rail</x:v>
      </x:c>
      <x:c r="D1554" s="27" t="str">
        <x:v>YES</x:v>
      </x:c>
      <x:c r="E1554" s="27" t="str">
        <x:v>YES</x:v>
      </x:c>
      <x:c r="F1554" s="61" t="n">
        <x:v>458.6517234378048</x:v>
      </x:c>
      <x:c r="G1554" s="61" t="n">
        <x:v>32.55216747768293</x:v>
      </x:c>
      <x:c r="H1554" s="27" t="str">
        <x:v>YES</x:v>
      </x:c>
      <x:c r="I1554" s="27" t="str">
        <x:v>NARN shared-node topology; deployable terminal required</x:v>
      </x:c>
      <x:c r="J1554" s="27" t="str">
        <x:v>presence does not prove operability or capacity</x:v>
      </x:c>
    </x:row>
    <x:row r="1555" ht="54" hidden="0" customHeight="1">
      <x:c r="A1555" s="29" t="str">
        <x:v>SCA-13</x:v>
      </x:c>
      <x:c r="B1555" s="29" t="str">
        <x:v>SCA-17</x:v>
      </x:c>
      <x:c r="C1555" s="29" t="str">
        <x:v>Air</x:v>
      </x:c>
      <x:c r="D1555" s="29" t="str">
        <x:v>YES</x:v>
      </x:c>
      <x:c r="E1555" s="29" t="str">
        <x:v>YES</x:v>
      </x:c>
      <x:c r="F1555" s="62" t="n">
        <x:v>375.944035604758</x:v>
      </x:c>
      <x:c r="G1555" s="62" t="n">
        <x:v>24.578375439391934</x:v>
      </x:c>
      <x:c r="H1555" s="29" t="str">
        <x:v>YES</x:v>
      </x:c>
      <x:c r="I1555" s="29" t="str">
        <x:v>primary-airport endpoints; great-circle screen</x:v>
      </x:c>
      <x:c r="J1555" s="29" t="str">
        <x:v>presence does not prove operability or capacity</x:v>
      </x:c>
    </x:row>
    <x:row r="1556" ht="75.5999984741211" hidden="0" customHeight="1">
      <x:c r="A1556" s="27" t="str">
        <x:v>SCA-13</x:v>
      </x:c>
      <x:c r="B1556" s="27" t="str">
        <x:v>SCA-17</x:v>
      </x:c>
      <x:c r="C1556" s="27" t="str">
        <x:v>Water</x:v>
      </x:c>
      <x:c r="D1556" s="27" t="str">
        <x:v>YES</x:v>
      </x:c>
      <x:c r="E1556" s="27" t="str">
        <x:v>YES</x:v>
      </x:c>
      <x:c r="F1556" s="61" t="n">
        <x:v>481.2083655740903</x:v>
      </x:c>
      <x:c r="G1556" s="61" t="n">
        <x:v>43.74881044497401</x:v>
      </x:c>
      <x:c r="H1556" s="27" t="str">
        <x:v>YES</x:v>
      </x:c>
      <x:c r="I1556" s="27" t="str">
        <x:v>USACE waterway node topology; deployable terminal required</x:v>
      </x:c>
      <x:c r="J1556" s="27" t="str">
        <x:v>presence does not prove operability or capacity</x:v>
      </x:c>
    </x:row>
    <x:row r="1557" ht="54" hidden="0" customHeight="1">
      <x:c r="A1557" s="29" t="str">
        <x:v>SCA-13</x:v>
      </x:c>
      <x:c r="B1557" s="29" t="str">
        <x:v>SCA-18</x:v>
      </x:c>
      <x:c r="C1557" s="29" t="str">
        <x:v>Road</x:v>
      </x:c>
      <x:c r="D1557" s="29" t="str">
        <x:v>NO</x:v>
      </x:c>
      <x:c r="E1557" s="29" t="str">
        <x:v>NO</x:v>
      </x:c>
      <x:c r="F1557" s="62"/>
      <x:c r="G1557" s="62"/>
      <x:c r="H1557" s="29" t="str">
        <x:v>NO</x:v>
      </x:c>
      <x:c r="I1557" s="29" t="str">
        <x:v>no screened path</x:v>
      </x:c>
      <x:c r="J1557" s="29" t="str">
        <x:v>presence does not prove operability or capacity</x:v>
      </x:c>
    </x:row>
    <x:row r="1558" ht="64.80000305175781" hidden="0" customHeight="1">
      <x:c r="A1558" s="27" t="str">
        <x:v>SCA-13</x:v>
      </x:c>
      <x:c r="B1558" s="27" t="str">
        <x:v>SCA-18</x:v>
      </x:c>
      <x:c r="C1558" s="27" t="str">
        <x:v>Rail</x:v>
      </x:c>
      <x:c r="D1558" s="27" t="str">
        <x:v>YES</x:v>
      </x:c>
      <x:c r="E1558" s="27" t="str">
        <x:v>YES</x:v>
      </x:c>
      <x:c r="F1558" s="61" t="n">
        <x:v>2062.920865267802</x:v>
      </x:c>
      <x:c r="G1558" s="61" t="n">
        <x:v>55.47029807525432</x:v>
      </x:c>
      <x:c r="H1558" s="27" t="str">
        <x:v>YES</x:v>
      </x:c>
      <x:c r="I1558" s="27" t="str">
        <x:v>NARN shared-node topology; deployable terminal required</x:v>
      </x:c>
      <x:c r="J1558" s="27" t="str">
        <x:v>presence does not prove operability or capacity</x:v>
      </x:c>
    </x:row>
    <x:row r="1559" ht="54" hidden="0" customHeight="1">
      <x:c r="A1559" s="29" t="str">
        <x:v>SCA-13</x:v>
      </x:c>
      <x:c r="B1559" s="29" t="str">
        <x:v>SCA-18</x:v>
      </x:c>
      <x:c r="C1559" s="29" t="str">
        <x:v>Air</x:v>
      </x:c>
      <x:c r="D1559" s="29" t="str">
        <x:v>YES</x:v>
      </x:c>
      <x:c r="E1559" s="29" t="str">
        <x:v>YES</x:v>
      </x:c>
      <x:c r="F1559" s="62" t="n">
        <x:v>1681.3559644759157</x:v>
      </x:c>
      <x:c r="G1559" s="62" t="n">
        <x:v>26.5867014838091</x:v>
      </x:c>
      <x:c r="H1559" s="29" t="str">
        <x:v>YES</x:v>
      </x:c>
      <x:c r="I1559" s="29" t="str">
        <x:v>primary-airport endpoints; great-circle screen</x:v>
      </x:c>
      <x:c r="J1559" s="29" t="str">
        <x:v>presence does not prove operability or capacity</x:v>
      </x:c>
    </x:row>
    <x:row r="1560" ht="75.5999984741211" hidden="0" customHeight="1">
      <x:c r="A1560" s="27" t="str">
        <x:v>SCA-13</x:v>
      </x:c>
      <x:c r="B1560" s="27" t="str">
        <x:v>SCA-18</x:v>
      </x:c>
      <x:c r="C1560" s="27" t="str">
        <x:v>Water</x:v>
      </x:c>
      <x:c r="D1560" s="27" t="str">
        <x:v>YES</x:v>
      </x:c>
      <x:c r="E1560" s="27" t="str">
        <x:v>YES</x:v>
      </x:c>
      <x:c r="F1560" s="61" t="n">
        <x:v>2696.7618623950043</x:v>
      </x:c>
      <x:c r="G1560" s="61" t="n">
        <x:v>107.05033892557155</x:v>
      </x:c>
      <x:c r="H1560" s="27" t="str">
        <x:v>NO</x:v>
      </x:c>
      <x:c r="I1560" s="27" t="str">
        <x:v>USACE waterway node topology; deployable terminal required</x:v>
      </x:c>
      <x:c r="J1560" s="27" t="str">
        <x:v>presence does not prove operability or capacity</x:v>
      </x:c>
    </x:row>
    <x:row r="1561" ht="54" hidden="0" customHeight="1">
      <x:c r="A1561" s="29" t="str">
        <x:v>SCA-13</x:v>
      </x:c>
      <x:c r="B1561" s="29" t="str">
        <x:v>SCA-19</x:v>
      </x:c>
      <x:c r="C1561" s="29" t="str">
        <x:v>Road</x:v>
      </x:c>
      <x:c r="D1561" s="29" t="str">
        <x:v>NO</x:v>
      </x:c>
      <x:c r="E1561" s="29" t="str">
        <x:v>NO</x:v>
      </x:c>
      <x:c r="F1561" s="62"/>
      <x:c r="G1561" s="62"/>
      <x:c r="H1561" s="29" t="str">
        <x:v>NO</x:v>
      </x:c>
      <x:c r="I1561" s="29" t="str">
        <x:v>no screened path</x:v>
      </x:c>
      <x:c r="J1561" s="29" t="str">
        <x:v>presence does not prove operability or capacity</x:v>
      </x:c>
    </x:row>
    <x:row r="1562" ht="64.80000305175781" hidden="0" customHeight="1">
      <x:c r="A1562" s="27" t="str">
        <x:v>SCA-13</x:v>
      </x:c>
      <x:c r="B1562" s="27" t="str">
        <x:v>SCA-19</x:v>
      </x:c>
      <x:c r="C1562" s="27" t="str">
        <x:v>Rail</x:v>
      </x:c>
      <x:c r="D1562" s="27" t="str">
        <x:v>YES</x:v>
      </x:c>
      <x:c r="E1562" s="27" t="str">
        <x:v>YES</x:v>
      </x:c>
      <x:c r="F1562" s="61" t="n">
        <x:v>1691.3915164495766</x:v>
      </x:c>
      <x:c r="G1562" s="61" t="n">
        <x:v>50.162735949279664</x:v>
      </x:c>
      <x:c r="H1562" s="27" t="str">
        <x:v>YES</x:v>
      </x:c>
      <x:c r="I1562" s="27" t="str">
        <x:v>NARN shared-node topology; deployable terminal required</x:v>
      </x:c>
      <x:c r="J1562" s="27" t="str">
        <x:v>presence does not prove operability or capacity</x:v>
      </x:c>
    </x:row>
    <x:row r="1563" ht="54" hidden="0" customHeight="1">
      <x:c r="A1563" s="29" t="str">
        <x:v>SCA-13</x:v>
      </x:c>
      <x:c r="B1563" s="29" t="str">
        <x:v>SCA-19</x:v>
      </x:c>
      <x:c r="C1563" s="29" t="str">
        <x:v>Air</x:v>
      </x:c>
      <x:c r="D1563" s="29" t="str">
        <x:v>YES</x:v>
      </x:c>
      <x:c r="E1563" s="29" t="str">
        <x:v>YES</x:v>
      </x:c>
      <x:c r="F1563" s="62" t="n">
        <x:v>1176.169124774308</x:v>
      </x:c>
      <x:c r="G1563" s="62" t="n">
        <x:v>25.809490961191244</x:v>
      </x:c>
      <x:c r="H1563" s="29" t="str">
        <x:v>YES</x:v>
      </x:c>
      <x:c r="I1563" s="29" t="str">
        <x:v>primary-airport endpoints; great-circle screen</x:v>
      </x:c>
      <x:c r="J1563" s="29" t="str">
        <x:v>presence does not prove operability or capacity</x:v>
      </x:c>
    </x:row>
    <x:row r="1564" ht="75.5999984741211" hidden="0" customHeight="1">
      <x:c r="A1564" s="27" t="str">
        <x:v>SCA-13</x:v>
      </x:c>
      <x:c r="B1564" s="27" t="str">
        <x:v>SCA-19</x:v>
      </x:c>
      <x:c r="C1564" s="27" t="str">
        <x:v>Water</x:v>
      </x:c>
      <x:c r="D1564" s="27" t="str">
        <x:v>YES</x:v>
      </x:c>
      <x:c r="E1564" s="27" t="str">
        <x:v>YES</x:v>
      </x:c>
      <x:c r="F1564" s="61" t="n">
        <x:v>1919.0781165355388</x:v>
      </x:c>
      <x:c r="G1564" s="61" t="n">
        <x:v>84.83080332958681</x:v>
      </x:c>
      <x:c r="H1564" s="27" t="str">
        <x:v>NO</x:v>
      </x:c>
      <x:c r="I1564" s="27" t="str">
        <x:v>USACE waterway node topology; deployable terminal required</x:v>
      </x:c>
      <x:c r="J1564" s="27" t="str">
        <x:v>presence does not prove operability or capacity</x:v>
      </x:c>
    </x:row>
    <x:row r="1565" ht="54" hidden="0" customHeight="1">
      <x:c r="A1565" s="29" t="str">
        <x:v>SCA-13</x:v>
      </x:c>
      <x:c r="B1565" s="29" t="str">
        <x:v>SCA-20</x:v>
      </x:c>
      <x:c r="C1565" s="29" t="str">
        <x:v>Road</x:v>
      </x:c>
      <x:c r="D1565" s="29" t="str">
        <x:v>NO</x:v>
      </x:c>
      <x:c r="E1565" s="29" t="str">
        <x:v>NO</x:v>
      </x:c>
      <x:c r="F1565" s="62"/>
      <x:c r="G1565" s="62"/>
      <x:c r="H1565" s="29" t="str">
        <x:v>NO</x:v>
      </x:c>
      <x:c r="I1565" s="29" t="str">
        <x:v>no screened path</x:v>
      </x:c>
      <x:c r="J1565" s="29" t="str">
        <x:v>presence does not prove operability or capacity</x:v>
      </x:c>
    </x:row>
    <x:row r="1566" ht="64.80000305175781" hidden="0" customHeight="1">
      <x:c r="A1566" s="27" t="str">
        <x:v>SCA-13</x:v>
      </x:c>
      <x:c r="B1566" s="27" t="str">
        <x:v>SCA-20</x:v>
      </x:c>
      <x:c r="C1566" s="27" t="str">
        <x:v>Rail</x:v>
      </x:c>
      <x:c r="D1566" s="27" t="str">
        <x:v>YES</x:v>
      </x:c>
      <x:c r="E1566" s="27" t="str">
        <x:v>YES</x:v>
      </x:c>
      <x:c r="F1566" s="61" t="n">
        <x:v>1190.9594016705287</x:v>
      </x:c>
      <x:c r="G1566" s="61" t="n">
        <x:v>43.013705738150406</x:v>
      </x:c>
      <x:c r="H1566" s="27" t="str">
        <x:v>YES</x:v>
      </x:c>
      <x:c r="I1566" s="27" t="str">
        <x:v>NARN shared-node topology; deployable terminal required</x:v>
      </x:c>
      <x:c r="J1566" s="27" t="str">
        <x:v>presence does not prove operability or capacity</x:v>
      </x:c>
    </x:row>
    <x:row r="1567" ht="54" hidden="0" customHeight="1">
      <x:c r="A1567" s="29" t="str">
        <x:v>SCA-13</x:v>
      </x:c>
      <x:c r="B1567" s="29" t="str">
        <x:v>SCA-20</x:v>
      </x:c>
      <x:c r="C1567" s="29" t="str">
        <x:v>Air</x:v>
      </x:c>
      <x:c r="D1567" s="29" t="str">
        <x:v>YES</x:v>
      </x:c>
      <x:c r="E1567" s="29" t="str">
        <x:v>YES</x:v>
      </x:c>
      <x:c r="F1567" s="62" t="n">
        <x:v>890.7427370403685</x:v>
      </x:c>
      <x:c r="G1567" s="62" t="n">
        <x:v>25.370373441600567</x:v>
      </x:c>
      <x:c r="H1567" s="29" t="str">
        <x:v>YES</x:v>
      </x:c>
      <x:c r="I1567" s="29" t="str">
        <x:v>primary-airport endpoints; great-circle screen</x:v>
      </x:c>
      <x:c r="J1567" s="29" t="str">
        <x:v>presence does not prove operability or capacity</x:v>
      </x:c>
    </x:row>
    <x:row r="1568" ht="75.5999984741211" hidden="0" customHeight="1">
      <x:c r="A1568" s="27" t="str">
        <x:v>SCA-13</x:v>
      </x:c>
      <x:c r="B1568" s="27" t="str">
        <x:v>SCA-20</x:v>
      </x:c>
      <x:c r="C1568" s="27" t="str">
        <x:v>Water</x:v>
      </x:c>
      <x:c r="D1568" s="27" t="str">
        <x:v>YES</x:v>
      </x:c>
      <x:c r="E1568" s="27" t="str">
        <x:v>YES</x:v>
      </x:c>
      <x:c r="F1568" s="61" t="n">
        <x:v>1249.5311755231778</x:v>
      </x:c>
      <x:c r="G1568" s="61" t="n">
        <x:v>65.70089072923365</x:v>
      </x:c>
      <x:c r="H1568" s="27" t="str">
        <x:v>YES</x:v>
      </x:c>
      <x:c r="I1568" s="27" t="str">
        <x:v>USACE waterway node topology; deployable terminal required</x:v>
      </x:c>
      <x:c r="J1568" s="27" t="str">
        <x:v>presence does not prove operability or capacity</x:v>
      </x:c>
    </x:row>
    <x:row r="1569" ht="54" hidden="0" customHeight="1">
      <x:c r="A1569" s="29" t="str">
        <x:v>SCA-13</x:v>
      </x:c>
      <x:c r="B1569" s="29" t="str">
        <x:v>SCA-21</x:v>
      </x:c>
      <x:c r="C1569" s="29" t="str">
        <x:v>Road</x:v>
      </x:c>
      <x:c r="D1569" s="29" t="str">
        <x:v>NO</x:v>
      </x:c>
      <x:c r="E1569" s="29" t="str">
        <x:v>NO</x:v>
      </x:c>
      <x:c r="F1569" s="62"/>
      <x:c r="G1569" s="62"/>
      <x:c r="H1569" s="29" t="str">
        <x:v>NO</x:v>
      </x:c>
      <x:c r="I1569" s="29" t="str">
        <x:v>no screened path</x:v>
      </x:c>
      <x:c r="J1569" s="29" t="str">
        <x:v>presence does not prove operability or capacity</x:v>
      </x:c>
    </x:row>
    <x:row r="1570" ht="64.80000305175781" hidden="0" customHeight="1">
      <x:c r="A1570" s="27" t="str">
        <x:v>SCA-13</x:v>
      </x:c>
      <x:c r="B1570" s="27" t="str">
        <x:v>SCA-21</x:v>
      </x:c>
      <x:c r="C1570" s="27" t="str">
        <x:v>Rail</x:v>
      </x:c>
      <x:c r="D1570" s="27" t="str">
        <x:v>YES</x:v>
      </x:c>
      <x:c r="E1570" s="27" t="str">
        <x:v>YES</x:v>
      </x:c>
      <x:c r="F1570" s="61" t="n">
        <x:v>2248.9074996092518</x:v>
      </x:c>
      <x:c r="G1570" s="61" t="n">
        <x:v>58.12724999441788</x:v>
      </x:c>
      <x:c r="H1570" s="27" t="str">
        <x:v>YES</x:v>
      </x:c>
      <x:c r="I1570" s="27" t="str">
        <x:v>NARN shared-node topology; deployable terminal required</x:v>
      </x:c>
      <x:c r="J1570" s="27" t="str">
        <x:v>presence does not prove operability or capacity</x:v>
      </x:c>
    </x:row>
    <x:row r="1571" ht="54" hidden="0" customHeight="1">
      <x:c r="A1571" s="29" t="str">
        <x:v>SCA-13</x:v>
      </x:c>
      <x:c r="B1571" s="29" t="str">
        <x:v>SCA-21</x:v>
      </x:c>
      <x:c r="C1571" s="29" t="str">
        <x:v>Air</x:v>
      </x:c>
      <x:c r="D1571" s="29" t="str">
        <x:v>YES</x:v>
      </x:c>
      <x:c r="E1571" s="29" t="str">
        <x:v>YES</x:v>
      </x:c>
      <x:c r="F1571" s="62" t="n">
        <x:v>1632.1738598152517</x:v>
      </x:c>
      <x:c r="G1571" s="62" t="n">
        <x:v>26.51103670740808</x:v>
      </x:c>
      <x:c r="H1571" s="29" t="str">
        <x:v>YES</x:v>
      </x:c>
      <x:c r="I1571" s="29" t="str">
        <x:v>primary-airport endpoints; great-circle screen</x:v>
      </x:c>
      <x:c r="J1571" s="29" t="str">
        <x:v>presence does not prove operability or capacity</x:v>
      </x:c>
    </x:row>
    <x:row r="1572" ht="75.5999984741211" hidden="0" customHeight="1">
      <x:c r="A1572" s="27" t="str">
        <x:v>SCA-13</x:v>
      </x:c>
      <x:c r="B1572" s="27" t="str">
        <x:v>SCA-21</x:v>
      </x:c>
      <x:c r="C1572" s="27" t="str">
        <x:v>Water</x:v>
      </x:c>
      <x:c r="D1572" s="27" t="str">
        <x:v>YES</x:v>
      </x:c>
      <x:c r="E1572" s="27" t="str">
        <x:v>YES</x:v>
      </x:c>
      <x:c r="F1572" s="61" t="n">
        <x:v>2504.0129185391324</x:v>
      </x:c>
      <x:c r="G1572" s="61" t="n">
        <x:v>101.54322624397521</x:v>
      </x:c>
      <x:c r="H1572" s="27" t="str">
        <x:v>NO</x:v>
      </x:c>
      <x:c r="I1572" s="27" t="str">
        <x:v>USACE waterway node topology; deployable terminal required</x:v>
      </x:c>
      <x:c r="J1572" s="27" t="str">
        <x:v>presence does not prove operability or capacity</x:v>
      </x:c>
    </x:row>
    <x:row r="1573" ht="54" hidden="0" customHeight="1">
      <x:c r="A1573" s="29" t="str">
        <x:v>SCA-13</x:v>
      </x:c>
      <x:c r="B1573" s="29" t="str">
        <x:v>SCA-22</x:v>
      </x:c>
      <x:c r="C1573" s="29" t="str">
        <x:v>Road</x:v>
      </x:c>
      <x:c r="D1573" s="29" t="str">
        <x:v>NO</x:v>
      </x:c>
      <x:c r="E1573" s="29" t="str">
        <x:v>NO</x:v>
      </x:c>
      <x:c r="F1573" s="62"/>
      <x:c r="G1573" s="62"/>
      <x:c r="H1573" s="29" t="str">
        <x:v>NO</x:v>
      </x:c>
      <x:c r="I1573" s="29" t="str">
        <x:v>no screened path</x:v>
      </x:c>
      <x:c r="J1573" s="29" t="str">
        <x:v>presence does not prove operability or capacity</x:v>
      </x:c>
    </x:row>
    <x:row r="1574" ht="64.80000305175781" hidden="0" customHeight="1">
      <x:c r="A1574" s="27" t="str">
        <x:v>SCA-13</x:v>
      </x:c>
      <x:c r="B1574" s="27" t="str">
        <x:v>SCA-22</x:v>
      </x:c>
      <x:c r="C1574" s="27" t="str">
        <x:v>Rail</x:v>
      </x:c>
      <x:c r="D1574" s="27" t="str">
        <x:v>YES</x:v>
      </x:c>
      <x:c r="E1574" s="27" t="str">
        <x:v>YES</x:v>
      </x:c>
      <x:c r="F1574" s="61" t="n">
        <x:v>1964.8530146012313</x:v>
      </x:c>
      <x:c r="G1574" s="61" t="n">
        <x:v>54.069328780017585</x:v>
      </x:c>
      <x:c r="H1574" s="27" t="str">
        <x:v>YES</x:v>
      </x:c>
      <x:c r="I1574" s="27" t="str">
        <x:v>NARN shared-node topology; deployable terminal required</x:v>
      </x:c>
      <x:c r="J1574" s="27" t="str">
        <x:v>presence does not prove operability or capacity</x:v>
      </x:c>
    </x:row>
    <x:row r="1575" ht="54" hidden="0" customHeight="1">
      <x:c r="A1575" s="29" t="str">
        <x:v>SCA-13</x:v>
      </x:c>
      <x:c r="B1575" s="29" t="str">
        <x:v>SCA-22</x:v>
      </x:c>
      <x:c r="C1575" s="29" t="str">
        <x:v>Air</x:v>
      </x:c>
      <x:c r="D1575" s="29" t="str">
        <x:v>YES</x:v>
      </x:c>
      <x:c r="E1575" s="29" t="str">
        <x:v>YES</x:v>
      </x:c>
      <x:c r="F1575" s="62" t="n">
        <x:v>1498.6436483014447</x:v>
      </x:c>
      <x:c r="G1575" s="62" t="n">
        <x:v>26.305605612771455</x:v>
      </x:c>
      <x:c r="H1575" s="29" t="str">
        <x:v>YES</x:v>
      </x:c>
      <x:c r="I1575" s="29" t="str">
        <x:v>primary-airport endpoints; great-circle screen</x:v>
      </x:c>
      <x:c r="J1575" s="29" t="str">
        <x:v>presence does not prove operability or capacity</x:v>
      </x:c>
    </x:row>
    <x:row r="1576" ht="75.5999984741211" hidden="0" customHeight="1">
      <x:c r="A1576" s="27" t="str">
        <x:v>SCA-13</x:v>
      </x:c>
      <x:c r="B1576" s="27" t="str">
        <x:v>SCA-22</x:v>
      </x:c>
      <x:c r="C1576" s="27" t="str">
        <x:v>Water</x:v>
      </x:c>
      <x:c r="D1576" s="27" t="str">
        <x:v>YES</x:v>
      </x:c>
      <x:c r="E1576" s="27" t="str">
        <x:v>YES</x:v>
      </x:c>
      <x:c r="F1576" s="61" t="n">
        <x:v>2061.485130073423</x:v>
      </x:c>
      <x:c r="G1576" s="61" t="n">
        <x:v>88.89957514495495</x:v>
      </x:c>
      <x:c r="H1576" s="27" t="str">
        <x:v>NO</x:v>
      </x:c>
      <x:c r="I1576" s="27" t="str">
        <x:v>USACE waterway node topology; deployable terminal required</x:v>
      </x:c>
      <x:c r="J1576" s="27" t="str">
        <x:v>presence does not prove operability or capacity</x:v>
      </x:c>
    </x:row>
    <x:row r="1577" ht="54" hidden="0" customHeight="1">
      <x:c r="A1577" s="29" t="str">
        <x:v>SCA-13</x:v>
      </x:c>
      <x:c r="B1577" s="29" t="str">
        <x:v>SCA-23</x:v>
      </x:c>
      <x:c r="C1577" s="29" t="str">
        <x:v>Road</x:v>
      </x:c>
      <x:c r="D1577" s="29" t="str">
        <x:v>NO</x:v>
      </x:c>
      <x:c r="E1577" s="29" t="str">
        <x:v>NO</x:v>
      </x:c>
      <x:c r="F1577" s="62"/>
      <x:c r="G1577" s="62"/>
      <x:c r="H1577" s="29" t="str">
        <x:v>NO</x:v>
      </x:c>
      <x:c r="I1577" s="29" t="str">
        <x:v>no screened path</x:v>
      </x:c>
      <x:c r="J1577" s="29" t="str">
        <x:v>presence does not prove operability or capacity</x:v>
      </x:c>
    </x:row>
    <x:row r="1578" ht="64.80000305175781" hidden="0" customHeight="1">
      <x:c r="A1578" s="27" t="str">
        <x:v>SCA-13</x:v>
      </x:c>
      <x:c r="B1578" s="27" t="str">
        <x:v>SCA-23</x:v>
      </x:c>
      <x:c r="C1578" s="27" t="str">
        <x:v>Rail</x:v>
      </x:c>
      <x:c r="D1578" s="27" t="str">
        <x:v>YES</x:v>
      </x:c>
      <x:c r="E1578" s="27" t="str">
        <x:v>YES</x:v>
      </x:c>
      <x:c r="F1578" s="61" t="n">
        <x:v>1805.7322473192403</x:v>
      </x:c>
      <x:c r="G1578" s="61" t="n">
        <x:v>51.79617496170343</x:v>
      </x:c>
      <x:c r="H1578" s="27" t="str">
        <x:v>YES</x:v>
      </x:c>
      <x:c r="I1578" s="27" t="str">
        <x:v>NARN shared-node topology; deployable terminal required</x:v>
      </x:c>
      <x:c r="J1578" s="27" t="str">
        <x:v>presence does not prove operability or capacity</x:v>
      </x:c>
    </x:row>
    <x:row r="1579" ht="54" hidden="0" customHeight="1">
      <x:c r="A1579" s="29" t="str">
        <x:v>SCA-13</x:v>
      </x:c>
      <x:c r="B1579" s="29" t="str">
        <x:v>SCA-23</x:v>
      </x:c>
      <x:c r="C1579" s="29" t="str">
        <x:v>Air</x:v>
      </x:c>
      <x:c r="D1579" s="29" t="str">
        <x:v>YES</x:v>
      </x:c>
      <x:c r="E1579" s="29" t="str">
        <x:v>YES</x:v>
      </x:c>
      <x:c r="F1579" s="62" t="n">
        <x:v>1349.599829946287</x:v>
      </x:c>
      <x:c r="G1579" s="62" t="n">
        <x:v>26.076307430686594</x:v>
      </x:c>
      <x:c r="H1579" s="29" t="str">
        <x:v>YES</x:v>
      </x:c>
      <x:c r="I1579" s="29" t="str">
        <x:v>primary-airport endpoints; great-circle screen</x:v>
      </x:c>
      <x:c r="J1579" s="29" t="str">
        <x:v>presence does not prove operability or capacity</x:v>
      </x:c>
    </x:row>
    <x:row r="1580" ht="75.5999984741211" hidden="0" customHeight="1">
      <x:c r="A1580" s="27" t="str">
        <x:v>SCA-13</x:v>
      </x:c>
      <x:c r="B1580" s="27" t="str">
        <x:v>SCA-23</x:v>
      </x:c>
      <x:c r="C1580" s="27" t="str">
        <x:v>Water</x:v>
      </x:c>
      <x:c r="D1580" s="27" t="str">
        <x:v>YES</x:v>
      </x:c>
      <x:c r="E1580" s="27" t="str">
        <x:v>YES</x:v>
      </x:c>
      <x:c r="F1580" s="61" t="n">
        <x:v>1894.5387512857606</x:v>
      </x:c>
      <x:c r="G1580" s="61" t="n">
        <x:v>84.1296786081646</x:v>
      </x:c>
      <x:c r="H1580" s="27" t="str">
        <x:v>NO</x:v>
      </x:c>
      <x:c r="I1580" s="27" t="str">
        <x:v>USACE waterway node topology; deployable terminal required</x:v>
      </x:c>
      <x:c r="J1580" s="27" t="str">
        <x:v>presence does not prove operability or capacity</x:v>
      </x:c>
    </x:row>
    <x:row r="1581" ht="54" hidden="0" customHeight="1">
      <x:c r="A1581" s="29" t="str">
        <x:v>SCA-13</x:v>
      </x:c>
      <x:c r="B1581" s="29" t="str">
        <x:v>SCA-24</x:v>
      </x:c>
      <x:c r="C1581" s="29" t="str">
        <x:v>Road</x:v>
      </x:c>
      <x:c r="D1581" s="29" t="str">
        <x:v>NO</x:v>
      </x:c>
      <x:c r="E1581" s="29" t="str">
        <x:v>NO</x:v>
      </x:c>
      <x:c r="F1581" s="62"/>
      <x:c r="G1581" s="62"/>
      <x:c r="H1581" s="29" t="str">
        <x:v>NO</x:v>
      </x:c>
      <x:c r="I1581" s="29" t="str">
        <x:v>no screened path</x:v>
      </x:c>
      <x:c r="J1581" s="29" t="str">
        <x:v>presence does not prove operability or capacity</x:v>
      </x:c>
    </x:row>
    <x:row r="1582" ht="64.80000305175781" hidden="0" customHeight="1">
      <x:c r="A1582" s="27" t="str">
        <x:v>SCA-13</x:v>
      </x:c>
      <x:c r="B1582" s="27" t="str">
        <x:v>SCA-24</x:v>
      </x:c>
      <x:c r="C1582" s="27" t="str">
        <x:v>Rail</x:v>
      </x:c>
      <x:c r="D1582" s="27" t="str">
        <x:v>YES</x:v>
      </x:c>
      <x:c r="E1582" s="27" t="str">
        <x:v>YES</x:v>
      </x:c>
      <x:c r="F1582" s="61" t="n">
        <x:v>2533.2801649776566</x:v>
      </x:c>
      <x:c r="G1582" s="61" t="n">
        <x:v>62.18971664253795</x:v>
      </x:c>
      <x:c r="H1582" s="27" t="str">
        <x:v>YES</x:v>
      </x:c>
      <x:c r="I1582" s="27" t="str">
        <x:v>NARN shared-node topology; deployable terminal required</x:v>
      </x:c>
      <x:c r="J1582" s="27" t="str">
        <x:v>presence does not prove operability or capacity</x:v>
      </x:c>
    </x:row>
    <x:row r="1583" ht="54" hidden="0" customHeight="1">
      <x:c r="A1583" s="29" t="str">
        <x:v>SCA-13</x:v>
      </x:c>
      <x:c r="B1583" s="29" t="str">
        <x:v>SCA-24</x:v>
      </x:c>
      <x:c r="C1583" s="29" t="str">
        <x:v>Air</x:v>
      </x:c>
      <x:c r="D1583" s="29" t="str">
        <x:v>YES</x:v>
      </x:c>
      <x:c r="E1583" s="29" t="str">
        <x:v>YES</x:v>
      </x:c>
      <x:c r="F1583" s="62" t="n">
        <x:v>1882.2415850108794</x:v>
      </x:c>
      <x:c r="G1583" s="62" t="n">
        <x:v>26.89575628463212</x:v>
      </x:c>
      <x:c r="H1583" s="29" t="str">
        <x:v>YES</x:v>
      </x:c>
      <x:c r="I1583" s="29" t="str">
        <x:v>primary-airport endpoints; great-circle screen</x:v>
      </x:c>
      <x:c r="J1583" s="29" t="str">
        <x:v>presence does not prove operability or capacity</x:v>
      </x:c>
    </x:row>
    <x:row r="1584" ht="75.5999984741211" hidden="0" customHeight="1">
      <x:c r="A1584" s="27" t="str">
        <x:v>SCA-13</x:v>
      </x:c>
      <x:c r="B1584" s="27" t="str">
        <x:v>SCA-24</x:v>
      </x:c>
      <x:c r="C1584" s="27" t="str">
        <x:v>Water</x:v>
      </x:c>
      <x:c r="D1584" s="27" t="str">
        <x:v>YES</x:v>
      </x:c>
      <x:c r="E1584" s="27" t="str">
        <x:v>YES</x:v>
      </x:c>
      <x:c r="F1584" s="61" t="n">
        <x:v>2946.1583690162524</x:v>
      </x:c>
      <x:c r="G1584" s="61" t="n">
        <x:v>114.17595340046435</x:v>
      </x:c>
      <x:c r="H1584" s="27" t="str">
        <x:v>NO</x:v>
      </x:c>
      <x:c r="I1584" s="27" t="str">
        <x:v>USACE waterway node topology; deployable terminal required</x:v>
      </x:c>
      <x:c r="J1584" s="27" t="str">
        <x:v>presence does not prove operability or capacity</x:v>
      </x:c>
    </x:row>
    <x:row r="1585" ht="54" hidden="0" customHeight="1">
      <x:c r="A1585" s="29" t="str">
        <x:v>SCA-13</x:v>
      </x:c>
      <x:c r="B1585" s="29" t="str">
        <x:v>SCA-25</x:v>
      </x:c>
      <x:c r="C1585" s="29" t="str">
        <x:v>Road</x:v>
      </x:c>
      <x:c r="D1585" s="29" t="str">
        <x:v>NO</x:v>
      </x:c>
      <x:c r="E1585" s="29" t="str">
        <x:v>NO</x:v>
      </x:c>
      <x:c r="F1585" s="62"/>
      <x:c r="G1585" s="62"/>
      <x:c r="H1585" s="29" t="str">
        <x:v>NO</x:v>
      </x:c>
      <x:c r="I1585" s="29" t="str">
        <x:v>no screened path</x:v>
      </x:c>
      <x:c r="J1585" s="29" t="str">
        <x:v>presence does not prove operability or capacity</x:v>
      </x:c>
    </x:row>
    <x:row r="1586" ht="64.80000305175781" hidden="0" customHeight="1">
      <x:c r="A1586" s="27" t="str">
        <x:v>SCA-13</x:v>
      </x:c>
      <x:c r="B1586" s="27" t="str">
        <x:v>SCA-25</x:v>
      </x:c>
      <x:c r="C1586" s="27" t="str">
        <x:v>Rail</x:v>
      </x:c>
      <x:c r="D1586" s="27" t="str">
        <x:v>YES</x:v>
      </x:c>
      <x:c r="E1586" s="27" t="str">
        <x:v>YES</x:v>
      </x:c>
      <x:c r="F1586" s="61" t="n">
        <x:v>2330.421551233776</x:v>
      </x:c>
      <x:c r="G1586" s="61" t="n">
        <x:v>59.2917364461968</x:v>
      </x:c>
      <x:c r="H1586" s="27" t="str">
        <x:v>YES</x:v>
      </x:c>
      <x:c r="I1586" s="27" t="str">
        <x:v>NARN shared-node topology; deployable terminal required</x:v>
      </x:c>
      <x:c r="J1586" s="27" t="str">
        <x:v>presence does not prove operability or capacity</x:v>
      </x:c>
    </x:row>
    <x:row r="1587" ht="54" hidden="0" customHeight="1">
      <x:c r="A1587" s="29" t="str">
        <x:v>SCA-13</x:v>
      </x:c>
      <x:c r="B1587" s="29" t="str">
        <x:v>SCA-25</x:v>
      </x:c>
      <x:c r="C1587" s="29" t="str">
        <x:v>Air</x:v>
      </x:c>
      <x:c r="D1587" s="29" t="str">
        <x:v>YES</x:v>
      </x:c>
      <x:c r="E1587" s="29" t="str">
        <x:v>YES</x:v>
      </x:c>
      <x:c r="F1587" s="62" t="n">
        <x:v>1542.2851956895554</x:v>
      </x:c>
      <x:c r="G1587" s="62" t="n">
        <x:v>26.37274645490701</x:v>
      </x:c>
      <x:c r="H1587" s="29" t="str">
        <x:v>YES</x:v>
      </x:c>
      <x:c r="I1587" s="29" t="str">
        <x:v>primary-airport endpoints; great-circle screen</x:v>
      </x:c>
      <x:c r="J1587" s="29" t="str">
        <x:v>presence does not prove operability or capacity</x:v>
      </x:c>
    </x:row>
    <x:row r="1588" ht="75.5999984741211" hidden="0" customHeight="1">
      <x:c r="A1588" s="27" t="str">
        <x:v>SCA-13</x:v>
      </x:c>
      <x:c r="B1588" s="27" t="str">
        <x:v>SCA-25</x:v>
      </x:c>
      <x:c r="C1588" s="27" t="str">
        <x:v>Water</x:v>
      </x:c>
      <x:c r="D1588" s="27" t="str">
        <x:v>YES</x:v>
      </x:c>
      <x:c r="E1588" s="27" t="str">
        <x:v>YES</x:v>
      </x:c>
      <x:c r="F1588" s="61" t="n">
        <x:v>2326.536110874954</x:v>
      </x:c>
      <x:c r="G1588" s="61" t="n">
        <x:v>96.47246031071298</x:v>
      </x:c>
      <x:c r="H1588" s="27" t="str">
        <x:v>NO</x:v>
      </x:c>
      <x:c r="I1588" s="27" t="str">
        <x:v>USACE waterway node topology; deployable terminal required</x:v>
      </x:c>
      <x:c r="J1588" s="27" t="str">
        <x:v>presence does not prove operability or capacity</x:v>
      </x:c>
    </x:row>
    <x:row r="1589" ht="54" hidden="0" customHeight="1">
      <x:c r="A1589" s="29" t="str">
        <x:v>SCA-13</x:v>
      </x:c>
      <x:c r="B1589" s="29" t="str">
        <x:v>SCA-26</x:v>
      </x:c>
      <x:c r="C1589" s="29" t="str">
        <x:v>Road</x:v>
      </x:c>
      <x:c r="D1589" s="29" t="str">
        <x:v>NO</x:v>
      </x:c>
      <x:c r="E1589" s="29" t="str">
        <x:v>NO</x:v>
      </x:c>
      <x:c r="F1589" s="62"/>
      <x:c r="G1589" s="62"/>
      <x:c r="H1589" s="29" t="str">
        <x:v>NO</x:v>
      </x:c>
      <x:c r="I1589" s="29" t="str">
        <x:v>no screened path</x:v>
      </x:c>
      <x:c r="J1589" s="29" t="str">
        <x:v>presence does not prove operability or capacity</x:v>
      </x:c>
    </x:row>
    <x:row r="1590" ht="64.80000305175781" hidden="0" customHeight="1">
      <x:c r="A1590" s="27" t="str">
        <x:v>SCA-13</x:v>
      </x:c>
      <x:c r="B1590" s="27" t="str">
        <x:v>SCA-26</x:v>
      </x:c>
      <x:c r="C1590" s="27" t="str">
        <x:v>Rail</x:v>
      </x:c>
      <x:c r="D1590" s="27" t="str">
        <x:v>YES</x:v>
      </x:c>
      <x:c r="E1590" s="27" t="str">
        <x:v>YES</x:v>
      </x:c>
      <x:c r="F1590" s="61" t="n">
        <x:v>2678.916626045152</x:v>
      </x:c>
      <x:c r="G1590" s="61" t="n">
        <x:v>64.27023751493074</x:v>
      </x:c>
      <x:c r="H1590" s="27" t="str">
        <x:v>YES</x:v>
      </x:c>
      <x:c r="I1590" s="27" t="str">
        <x:v>NARN shared-node topology; deployable terminal required</x:v>
      </x:c>
      <x:c r="J1590" s="27" t="str">
        <x:v>presence does not prove operability or capacity</x:v>
      </x:c>
    </x:row>
    <x:row r="1591" ht="54" hidden="0" customHeight="1">
      <x:c r="A1591" s="29" t="str">
        <x:v>SCA-13</x:v>
      </x:c>
      <x:c r="B1591" s="29" t="str">
        <x:v>SCA-26</x:v>
      </x:c>
      <x:c r="C1591" s="29" t="str">
        <x:v>Air</x:v>
      </x:c>
      <x:c r="D1591" s="29" t="str">
        <x:v>YES</x:v>
      </x:c>
      <x:c r="E1591" s="29" t="str">
        <x:v>YES</x:v>
      </x:c>
      <x:c r="F1591" s="62" t="n">
        <x:v>1597.679776481019</x:v>
      </x:c>
      <x:c r="G1591" s="62" t="n">
        <x:v>26.457968886893877</x:v>
      </x:c>
      <x:c r="H1591" s="29" t="str">
        <x:v>YES</x:v>
      </x:c>
      <x:c r="I1591" s="29" t="str">
        <x:v>primary-airport endpoints; great-circle screen</x:v>
      </x:c>
      <x:c r="J1591" s="29" t="str">
        <x:v>presence does not prove operability or capacity</x:v>
      </x:c>
    </x:row>
    <x:row r="1592" ht="75.5999984741211" hidden="0" customHeight="1">
      <x:c r="A1592" s="27" t="str">
        <x:v>SCA-13</x:v>
      </x:c>
      <x:c r="B1592" s="27" t="str">
        <x:v>SCA-26</x:v>
      </x:c>
      <x:c r="C1592" s="27" t="str">
        <x:v>Water</x:v>
      </x:c>
      <x:c r="D1592" s="27" t="str">
        <x:v>YES</x:v>
      </x:c>
      <x:c r="E1592" s="27" t="str">
        <x:v>YES</x:v>
      </x:c>
      <x:c r="F1592" s="61" t="n">
        <x:v>2048.196006677661</x:v>
      </x:c>
      <x:c r="G1592" s="61" t="n">
        <x:v>88.51988590507602</x:v>
      </x:c>
      <x:c r="H1592" s="27" t="str">
        <x:v>NO</x:v>
      </x:c>
      <x:c r="I1592" s="27" t="str">
        <x:v>USACE waterway node topology; deployable terminal required</x:v>
      </x:c>
      <x:c r="J1592" s="27" t="str">
        <x:v>presence does not prove operability or capacity</x:v>
      </x:c>
    </x:row>
    <x:row r="1593" ht="54" hidden="0" customHeight="1">
      <x:c r="A1593" s="29" t="str">
        <x:v>SCA-13</x:v>
      </x:c>
      <x:c r="B1593" s="29" t="str">
        <x:v>SCA-27</x:v>
      </x:c>
      <x:c r="C1593" s="29" t="str">
        <x:v>Road</x:v>
      </x:c>
      <x:c r="D1593" s="29" t="str">
        <x:v>NO</x:v>
      </x:c>
      <x:c r="E1593" s="29" t="str">
        <x:v>NO</x:v>
      </x:c>
      <x:c r="F1593" s="62"/>
      <x:c r="G1593" s="62"/>
      <x:c r="H1593" s="29" t="str">
        <x:v>NO</x:v>
      </x:c>
      <x:c r="I1593" s="29" t="str">
        <x:v>no screened path</x:v>
      </x:c>
      <x:c r="J1593" s="29" t="str">
        <x:v>presence does not prove operability or capacity</x:v>
      </x:c>
    </x:row>
    <x:row r="1594" ht="64.80000305175781" hidden="0" customHeight="1">
      <x:c r="A1594" s="27" t="str">
        <x:v>SCA-13</x:v>
      </x:c>
      <x:c r="B1594" s="27" t="str">
        <x:v>SCA-27</x:v>
      </x:c>
      <x:c r="C1594" s="27" t="str">
        <x:v>Rail</x:v>
      </x:c>
      <x:c r="D1594" s="27" t="str">
        <x:v>YES</x:v>
      </x:c>
      <x:c r="E1594" s="27" t="str">
        <x:v>YES</x:v>
      </x:c>
      <x:c r="F1594" s="61" t="n">
        <x:v>2975.565741024152</x:v>
      </x:c>
      <x:c r="G1594" s="61" t="n">
        <x:v>68.50808201463074</x:v>
      </x:c>
      <x:c r="H1594" s="27" t="str">
        <x:v>YES</x:v>
      </x:c>
      <x:c r="I1594" s="27" t="str">
        <x:v>NARN shared-node topology; deployable terminal required</x:v>
      </x:c>
      <x:c r="J1594" s="27" t="str">
        <x:v>presence does not prove operability or capacity</x:v>
      </x:c>
    </x:row>
    <x:row r="1595" ht="54" hidden="0" customHeight="1">
      <x:c r="A1595" s="29" t="str">
        <x:v>SCA-13</x:v>
      </x:c>
      <x:c r="B1595" s="29" t="str">
        <x:v>SCA-27</x:v>
      </x:c>
      <x:c r="C1595" s="29" t="str">
        <x:v>Air</x:v>
      </x:c>
      <x:c r="D1595" s="29" t="str">
        <x:v>YES</x:v>
      </x:c>
      <x:c r="E1595" s="29" t="str">
        <x:v>YES</x:v>
      </x:c>
      <x:c r="F1595" s="62" t="n">
        <x:v>1778.9826014878633</x:v>
      </x:c>
      <x:c r="G1595" s="62" t="n">
        <x:v>26.73689630998133</x:v>
      </x:c>
      <x:c r="H1595" s="29" t="str">
        <x:v>YES</x:v>
      </x:c>
      <x:c r="I1595" s="29" t="str">
        <x:v>primary-airport endpoints; great-circle screen</x:v>
      </x:c>
      <x:c r="J1595" s="29" t="str">
        <x:v>presence does not prove operability or capacity</x:v>
      </x:c>
    </x:row>
    <x:row r="1596" ht="75.5999984741211" hidden="0" customHeight="1">
      <x:c r="A1596" s="27" t="str">
        <x:v>SCA-13</x:v>
      </x:c>
      <x:c r="B1596" s="27" t="str">
        <x:v>SCA-27</x:v>
      </x:c>
      <x:c r="C1596" s="27" t="str">
        <x:v>Water</x:v>
      </x:c>
      <x:c r="D1596" s="27" t="str">
        <x:v>YES</x:v>
      </x:c>
      <x:c r="E1596" s="27" t="str">
        <x:v>YES</x:v>
      </x:c>
      <x:c r="F1596" s="61" t="n">
        <x:v>2288.9062594641414</x:v>
      </x:c>
      <x:c r="G1596" s="61" t="n">
        <x:v>95.39732169897547</x:v>
      </x:c>
      <x:c r="H1596" s="27" t="str">
        <x:v>NO</x:v>
      </x:c>
      <x:c r="I1596" s="27" t="str">
        <x:v>USACE waterway node topology; deployable terminal required</x:v>
      </x:c>
      <x:c r="J1596" s="27" t="str">
        <x:v>presence does not prove operability or capacity</x:v>
      </x:c>
    </x:row>
    <x:row r="1597" ht="54" hidden="0" customHeight="1">
      <x:c r="A1597" s="29" t="str">
        <x:v>SCA-13</x:v>
      </x:c>
      <x:c r="B1597" s="29" t="str">
        <x:v>SCA-28</x:v>
      </x:c>
      <x:c r="C1597" s="29" t="str">
        <x:v>Road</x:v>
      </x:c>
      <x:c r="D1597" s="29" t="str">
        <x:v>NO</x:v>
      </x:c>
      <x:c r="E1597" s="29" t="str">
        <x:v>NO</x:v>
      </x:c>
      <x:c r="F1597" s="62"/>
      <x:c r="G1597" s="62"/>
      <x:c r="H1597" s="29" t="str">
        <x:v>NO</x:v>
      </x:c>
      <x:c r="I1597" s="29" t="str">
        <x:v>no screened path</x:v>
      </x:c>
      <x:c r="J1597" s="29" t="str">
        <x:v>presence does not prove operability or capacity</x:v>
      </x:c>
    </x:row>
    <x:row r="1598" ht="64.80000305175781" hidden="0" customHeight="1">
      <x:c r="A1598" s="27" t="str">
        <x:v>SCA-13</x:v>
      </x:c>
      <x:c r="B1598" s="27" t="str">
        <x:v>SCA-28</x:v>
      </x:c>
      <x:c r="C1598" s="27" t="str">
        <x:v>Rail</x:v>
      </x:c>
      <x:c r="D1598" s="27" t="str">
        <x:v>YES</x:v>
      </x:c>
      <x:c r="E1598" s="27" t="str">
        <x:v>YES</x:v>
      </x:c>
      <x:c r="F1598" s="61" t="n">
        <x:v>2648.7478579251383</x:v>
      </x:c>
      <x:c r="G1598" s="61" t="n">
        <x:v>63.83925511321626</x:v>
      </x:c>
      <x:c r="H1598" s="27" t="str">
        <x:v>YES</x:v>
      </x:c>
      <x:c r="I1598" s="27" t="str">
        <x:v>NARN shared-node topology; deployable terminal required</x:v>
      </x:c>
      <x:c r="J1598" s="27" t="str">
        <x:v>presence does not prove operability or capacity</x:v>
      </x:c>
    </x:row>
    <x:row r="1599" ht="54" hidden="0" customHeight="1">
      <x:c r="A1599" s="29" t="str">
        <x:v>SCA-13</x:v>
      </x:c>
      <x:c r="B1599" s="29" t="str">
        <x:v>SCA-28</x:v>
      </x:c>
      <x:c r="C1599" s="29" t="str">
        <x:v>Air</x:v>
      </x:c>
      <x:c r="D1599" s="29" t="str">
        <x:v>YES</x:v>
      </x:c>
      <x:c r="E1599" s="29" t="str">
        <x:v>YES</x:v>
      </x:c>
      <x:c r="F1599" s="62" t="n">
        <x:v>2053.693979142265</x:v>
      </x:c>
      <x:c r="G1599" s="62" t="n">
        <x:v>27.159529198680406</x:v>
      </x:c>
      <x:c r="H1599" s="29" t="str">
        <x:v>YES</x:v>
      </x:c>
      <x:c r="I1599" s="29" t="str">
        <x:v>primary-airport endpoints; great-circle screen</x:v>
      </x:c>
      <x:c r="J1599" s="29" t="str">
        <x:v>presence does not prove operability or capacity</x:v>
      </x:c>
    </x:row>
    <x:row r="1600" ht="75.5999984741211" hidden="0" customHeight="1">
      <x:c r="A1600" s="27" t="str">
        <x:v>SCA-13</x:v>
      </x:c>
      <x:c r="B1600" s="27" t="str">
        <x:v>SCA-28</x:v>
      </x:c>
      <x:c r="C1600" s="27" t="str">
        <x:v>Water</x:v>
      </x:c>
      <x:c r="D1600" s="27" t="str">
        <x:v>YES</x:v>
      </x:c>
      <x:c r="E1600" s="27" t="str">
        <x:v>YES</x:v>
      </x:c>
      <x:c r="F1600" s="61" t="n">
        <x:v>2779.0141460198174</x:v>
      </x:c>
      <x:c r="G1600" s="61" t="n">
        <x:v>109.40040417199478</x:v>
      </x:c>
      <x:c r="H1600" s="27" t="str">
        <x:v>NO</x:v>
      </x:c>
      <x:c r="I1600" s="27" t="str">
        <x:v>USACE waterway node topology; deployable terminal required</x:v>
      </x:c>
      <x:c r="J1600" s="27" t="str">
        <x:v>presence does not prove operability or capacity</x:v>
      </x:c>
    </x:row>
    <x:row r="1601" ht="54" hidden="0" customHeight="1">
      <x:c r="A1601" s="29" t="str">
        <x:v>SCA-13</x:v>
      </x:c>
      <x:c r="B1601" s="29" t="str">
        <x:v>SCA-29</x:v>
      </x:c>
      <x:c r="C1601" s="29" t="str">
        <x:v>Road</x:v>
      </x:c>
      <x:c r="D1601" s="29" t="str">
        <x:v>NO</x:v>
      </x:c>
      <x:c r="E1601" s="29" t="str">
        <x:v>NO</x:v>
      </x:c>
      <x:c r="F1601" s="62"/>
      <x:c r="G1601" s="62"/>
      <x:c r="H1601" s="29" t="str">
        <x:v>NO</x:v>
      </x:c>
      <x:c r="I1601" s="29" t="str">
        <x:v>no screened path</x:v>
      </x:c>
      <x:c r="J1601" s="29" t="str">
        <x:v>presence does not prove operability or capacity</x:v>
      </x:c>
    </x:row>
    <x:row r="1602" ht="64.80000305175781" hidden="0" customHeight="1">
      <x:c r="A1602" s="27" t="str">
        <x:v>SCA-13</x:v>
      </x:c>
      <x:c r="B1602" s="27" t="str">
        <x:v>SCA-29</x:v>
      </x:c>
      <x:c r="C1602" s="27" t="str">
        <x:v>Rail</x:v>
      </x:c>
      <x:c r="D1602" s="27" t="str">
        <x:v>YES</x:v>
      </x:c>
      <x:c r="E1602" s="27" t="str">
        <x:v>YES</x:v>
      </x:c>
      <x:c r="F1602" s="61" t="n">
        <x:v>2479.867062804562</x:v>
      </x:c>
      <x:c r="G1602" s="61" t="n">
        <x:v>61.42667232577946</x:v>
      </x:c>
      <x:c r="H1602" s="27" t="str">
        <x:v>YES</x:v>
      </x:c>
      <x:c r="I1602" s="27" t="str">
        <x:v>NARN shared-node topology; deployable terminal required</x:v>
      </x:c>
      <x:c r="J1602" s="27" t="str">
        <x:v>presence does not prove operability or capacity</x:v>
      </x:c>
    </x:row>
    <x:row r="1603" ht="54" hidden="0" customHeight="1">
      <x:c r="A1603" s="29" t="str">
        <x:v>SCA-13</x:v>
      </x:c>
      <x:c r="B1603" s="29" t="str">
        <x:v>SCA-29</x:v>
      </x:c>
      <x:c r="C1603" s="29" t="str">
        <x:v>Air</x:v>
      </x:c>
      <x:c r="D1603" s="29" t="str">
        <x:v>YES</x:v>
      </x:c>
      <x:c r="E1603" s="29" t="str">
        <x:v>YES</x:v>
      </x:c>
      <x:c r="F1603" s="62" t="n">
        <x:v>1894.3808405771124</x:v>
      </x:c>
      <x:c r="G1603" s="62" t="n">
        <x:v>26.91443206242633</x:v>
      </x:c>
      <x:c r="H1603" s="29" t="str">
        <x:v>YES</x:v>
      </x:c>
      <x:c r="I1603" s="29" t="str">
        <x:v>primary-airport endpoints; great-circle screen</x:v>
      </x:c>
      <x:c r="J1603" s="29" t="str">
        <x:v>presence does not prove operability or capacity</x:v>
      </x:c>
    </x:row>
    <x:row r="1604" ht="75.5999984741211" hidden="0" customHeight="1">
      <x:c r="A1604" s="27" t="str">
        <x:v>SCA-13</x:v>
      </x:c>
      <x:c r="B1604" s="27" t="str">
        <x:v>SCA-29</x:v>
      </x:c>
      <x:c r="C1604" s="27" t="str">
        <x:v>Water</x:v>
      </x:c>
      <x:c r="D1604" s="27" t="str">
        <x:v>YES</x:v>
      </x:c>
      <x:c r="E1604" s="27" t="str">
        <x:v>YES</x:v>
      </x:c>
      <x:c r="F1604" s="61" t="n">
        <x:v>2860.1411575813404</x:v>
      </x:c>
      <x:c r="G1604" s="61" t="n">
        <x:v>111.7183187880383</x:v>
      </x:c>
      <x:c r="H1604" s="27" t="str">
        <x:v>NO</x:v>
      </x:c>
      <x:c r="I1604" s="27" t="str">
        <x:v>USACE waterway node topology; deployable terminal required</x:v>
      </x:c>
      <x:c r="J1604" s="27" t="str">
        <x:v>presence does not prove operability or capacity</x:v>
      </x:c>
    </x:row>
    <x:row r="1605" ht="54" hidden="0" customHeight="1">
      <x:c r="A1605" s="29" t="str">
        <x:v>SCA-13</x:v>
      </x:c>
      <x:c r="B1605" s="29" t="str">
        <x:v>SCA-30</x:v>
      </x:c>
      <x:c r="C1605" s="29" t="str">
        <x:v>Road</x:v>
      </x:c>
      <x:c r="D1605" s="29" t="str">
        <x:v>NO</x:v>
      </x:c>
      <x:c r="E1605" s="29" t="str">
        <x:v>NO</x:v>
      </x:c>
      <x:c r="F1605" s="62"/>
      <x:c r="G1605" s="62"/>
      <x:c r="H1605" s="29" t="str">
        <x:v>NO</x:v>
      </x:c>
      <x:c r="I1605" s="29" t="str">
        <x:v>no screened path</x:v>
      </x:c>
      <x:c r="J1605" s="29" t="str">
        <x:v>presence does not prove operability or capacity</x:v>
      </x:c>
    </x:row>
    <x:row r="1606" ht="64.80000305175781" hidden="0" customHeight="1">
      <x:c r="A1606" s="27" t="str">
        <x:v>SCA-13</x:v>
      </x:c>
      <x:c r="B1606" s="27" t="str">
        <x:v>SCA-30</x:v>
      </x:c>
      <x:c r="C1606" s="27" t="str">
        <x:v>Rail</x:v>
      </x:c>
      <x:c r="D1606" s="27" t="str">
        <x:v>YES</x:v>
      </x:c>
      <x:c r="E1606" s="27" t="str">
        <x:v>YES</x:v>
      </x:c>
      <x:c r="F1606" s="61" t="n">
        <x:v>3140.528495695671</x:v>
      </x:c>
      <x:c r="G1606" s="61" t="n">
        <x:v>70.86469279565245</x:v>
      </x:c>
      <x:c r="H1606" s="27" t="str">
        <x:v>YES</x:v>
      </x:c>
      <x:c r="I1606" s="27" t="str">
        <x:v>NARN shared-node topology; deployable terminal required</x:v>
      </x:c>
      <x:c r="J1606" s="27" t="str">
        <x:v>presence does not prove operability or capacity</x:v>
      </x:c>
    </x:row>
    <x:row r="1607" ht="54" hidden="0" customHeight="1">
      <x:c r="A1607" s="29" t="str">
        <x:v>SCA-13</x:v>
      </x:c>
      <x:c r="B1607" s="29" t="str">
        <x:v>SCA-30</x:v>
      </x:c>
      <x:c r="C1607" s="29" t="str">
        <x:v>Air</x:v>
      </x:c>
      <x:c r="D1607" s="29" t="str">
        <x:v>YES</x:v>
      </x:c>
      <x:c r="E1607" s="29" t="str">
        <x:v>YES</x:v>
      </x:c>
      <x:c r="F1607" s="62" t="n">
        <x:v>2429.1748333538253</x:v>
      </x:c>
      <x:c r="G1607" s="62" t="n">
        <x:v>27.737192051313578</x:v>
      </x:c>
      <x:c r="H1607" s="29" t="str">
        <x:v>YES</x:v>
      </x:c>
      <x:c r="I1607" s="29" t="str">
        <x:v>primary-airport endpoints; great-circle screen</x:v>
      </x:c>
      <x:c r="J1607" s="29" t="str">
        <x:v>presence does not prove operability or capacity</x:v>
      </x:c>
    </x:row>
    <x:row r="1608" ht="75.5999984741211" hidden="0" customHeight="1">
      <x:c r="A1608" s="27" t="str">
        <x:v>SCA-13</x:v>
      </x:c>
      <x:c r="B1608" s="27" t="str">
        <x:v>SCA-30</x:v>
      </x:c>
      <x:c r="C1608" s="27" t="str">
        <x:v>Water</x:v>
      </x:c>
      <x:c r="D1608" s="27" t="str">
        <x:v>YES</x:v>
      </x:c>
      <x:c r="E1608" s="27" t="str">
        <x:v>YES</x:v>
      </x:c>
      <x:c r="F1608" s="61" t="n">
        <x:v>3294.9807167954586</x:v>
      </x:c>
      <x:c r="G1608" s="61" t="n">
        <x:v>124.14230619415596</x:v>
      </x:c>
      <x:c r="H1608" s="27" t="str">
        <x:v>NO</x:v>
      </x:c>
      <x:c r="I1608" s="27" t="str">
        <x:v>USACE waterway node topology; deployable terminal required</x:v>
      </x:c>
      <x:c r="J1608" s="27" t="str">
        <x:v>presence does not prove operability or capacity</x:v>
      </x:c>
    </x:row>
    <x:row r="1609" ht="54" hidden="0" customHeight="1">
      <x:c r="A1609" s="29" t="str">
        <x:v>SCA-13</x:v>
      </x:c>
      <x:c r="B1609" s="29" t="str">
        <x:v>SCA-31</x:v>
      </x:c>
      <x:c r="C1609" s="29" t="str">
        <x:v>Road</x:v>
      </x:c>
      <x:c r="D1609" s="29" t="str">
        <x:v>NO</x:v>
      </x:c>
      <x:c r="E1609" s="29" t="str">
        <x:v>NO</x:v>
      </x:c>
      <x:c r="F1609" s="62"/>
      <x:c r="G1609" s="62"/>
      <x:c r="H1609" s="29" t="str">
        <x:v>NO</x:v>
      </x:c>
      <x:c r="I1609" s="29" t="str">
        <x:v>no screened path</x:v>
      </x:c>
      <x:c r="J1609" s="29" t="str">
        <x:v>presence does not prove operability or capacity</x:v>
      </x:c>
    </x:row>
    <x:row r="1610" ht="64.80000305175781" hidden="0" customHeight="1">
      <x:c r="A1610" s="27" t="str">
        <x:v>SCA-13</x:v>
      </x:c>
      <x:c r="B1610" s="27" t="str">
        <x:v>SCA-31</x:v>
      </x:c>
      <x:c r="C1610" s="27" t="str">
        <x:v>Rail</x:v>
      </x:c>
      <x:c r="D1610" s="27" t="str">
        <x:v>YES</x:v>
      </x:c>
      <x:c r="E1610" s="27" t="str">
        <x:v>YES</x:v>
      </x:c>
      <x:c r="F1610" s="61" t="n">
        <x:v>3557.537380154399</x:v>
      </x:c>
      <x:c r="G1610" s="61" t="n">
        <x:v>76.82196257363427</x:v>
      </x:c>
      <x:c r="H1610" s="27" t="str">
        <x:v>NO</x:v>
      </x:c>
      <x:c r="I1610" s="27" t="str">
        <x:v>NARN shared-node topology; deployable terminal required</x:v>
      </x:c>
      <x:c r="J1610" s="27" t="str">
        <x:v>presence does not prove operability or capacity</x:v>
      </x:c>
    </x:row>
    <x:row r="1611" ht="54" hidden="0" customHeight="1">
      <x:c r="A1611" s="29" t="str">
        <x:v>SCA-13</x:v>
      </x:c>
      <x:c r="B1611" s="29" t="str">
        <x:v>SCA-31</x:v>
      </x:c>
      <x:c r="C1611" s="29" t="str">
        <x:v>Air</x:v>
      </x:c>
      <x:c r="D1611" s="29" t="str">
        <x:v>YES</x:v>
      </x:c>
      <x:c r="E1611" s="29" t="str">
        <x:v>YES</x:v>
      </x:c>
      <x:c r="F1611" s="62" t="n">
        <x:v>2749.2584647040717</x:v>
      </x:c>
      <x:c r="G1611" s="62" t="n">
        <x:v>28.229628407237033</x:v>
      </x:c>
      <x:c r="H1611" s="29" t="str">
        <x:v>YES</x:v>
      </x:c>
      <x:c r="I1611" s="29" t="str">
        <x:v>primary-airport endpoints; great-circle screen</x:v>
      </x:c>
      <x:c r="J1611" s="29" t="str">
        <x:v>presence does not prove operability or capacity</x:v>
      </x:c>
    </x:row>
    <x:row r="1612" ht="75.5999984741211" hidden="0" customHeight="1">
      <x:c r="A1612" s="27" t="str">
        <x:v>SCA-13</x:v>
      </x:c>
      <x:c r="B1612" s="27" t="str">
        <x:v>SCA-31</x:v>
      </x:c>
      <x:c r="C1612" s="27" t="str">
        <x:v>Water</x:v>
      </x:c>
      <x:c r="D1612" s="27" t="str">
        <x:v>YES</x:v>
      </x:c>
      <x:c r="E1612" s="27" t="str">
        <x:v>YES</x:v>
      </x:c>
      <x:c r="F1612" s="61" t="n">
        <x:v>3732.4982349160914</x:v>
      </x:c>
      <x:c r="G1612" s="61" t="n">
        <x:v>136.64280671188834</x:v>
      </x:c>
      <x:c r="H1612" s="27" t="str">
        <x:v>NO</x:v>
      </x:c>
      <x:c r="I1612" s="27" t="str">
        <x:v>USACE waterway node topology; deployable terminal required</x:v>
      </x:c>
      <x:c r="J1612" s="27" t="str">
        <x:v>presence does not prove operability or capacity</x:v>
      </x:c>
    </x:row>
    <x:row r="1613" ht="54" hidden="0" customHeight="1">
      <x:c r="A1613" s="29" t="str">
        <x:v>SCA-13</x:v>
      </x:c>
      <x:c r="B1613" s="29" t="str">
        <x:v>SCA-32</x:v>
      </x:c>
      <x:c r="C1613" s="29" t="str">
        <x:v>Road</x:v>
      </x:c>
      <x:c r="D1613" s="29" t="str">
        <x:v>NO</x:v>
      </x:c>
      <x:c r="E1613" s="29" t="str">
        <x:v>NO</x:v>
      </x:c>
      <x:c r="F1613" s="62"/>
      <x:c r="G1613" s="62"/>
      <x:c r="H1613" s="29" t="str">
        <x:v>NO</x:v>
      </x:c>
      <x:c r="I1613" s="29" t="str">
        <x:v>no screened path</x:v>
      </x:c>
      <x:c r="J1613" s="29" t="str">
        <x:v>presence does not prove operability or capacity</x:v>
      </x:c>
    </x:row>
    <x:row r="1614" ht="54" hidden="0" customHeight="1">
      <x:c r="A1614" s="27" t="str">
        <x:v>SCA-13</x:v>
      </x:c>
      <x:c r="B1614" s="27" t="str">
        <x:v>SCA-32</x:v>
      </x:c>
      <x:c r="C1614" s="27" t="str">
        <x:v>Rail</x:v>
      </x:c>
      <x:c r="D1614" s="27" t="str">
        <x:v>NO</x:v>
      </x:c>
      <x:c r="E1614" s="27" t="str">
        <x:v>NO</x:v>
      </x:c>
      <x:c r="F1614" s="61"/>
      <x:c r="G1614" s="61"/>
      <x:c r="H1614" s="27" t="str">
        <x:v>NO</x:v>
      </x:c>
      <x:c r="I1614" s="27" t="str">
        <x:v>no screened path</x:v>
      </x:c>
      <x:c r="J1614" s="27" t="str">
        <x:v>presence does not prove operability or capacity</x:v>
      </x:c>
    </x:row>
    <x:row r="1615" ht="54" hidden="0" customHeight="1">
      <x:c r="A1615" s="29" t="str">
        <x:v>SCA-13</x:v>
      </x:c>
      <x:c r="B1615" s="29" t="str">
        <x:v>SCA-32</x:v>
      </x:c>
      <x:c r="C1615" s="29" t="str">
        <x:v>Air</x:v>
      </x:c>
      <x:c r="D1615" s="29" t="str">
        <x:v>YES</x:v>
      </x:c>
      <x:c r="E1615" s="29" t="str">
        <x:v>YES</x:v>
      </x:c>
      <x:c r="F1615" s="62" t="n">
        <x:v>3463.9241877073264</x:v>
      </x:c>
      <x:c r="G1615" s="62" t="n">
        <x:v>29.32911413493435</x:v>
      </x:c>
      <x:c r="H1615" s="29" t="str">
        <x:v>YES</x:v>
      </x:c>
      <x:c r="I1615" s="29" t="str">
        <x:v>primary-airport endpoints; great-circle screen</x:v>
      </x:c>
      <x:c r="J1615" s="29" t="str">
        <x:v>presence does not prove operability or capacity</x:v>
      </x:c>
    </x:row>
    <x:row r="1616" ht="75.5999984741211" hidden="0" customHeight="1">
      <x:c r="A1616" s="27" t="str">
        <x:v>SCA-13</x:v>
      </x:c>
      <x:c r="B1616" s="27" t="str">
        <x:v>SCA-32</x:v>
      </x:c>
      <x:c r="C1616" s="27" t="str">
        <x:v>Water</x:v>
      </x:c>
      <x:c r="D1616" s="27" t="str">
        <x:v>YES</x:v>
      </x:c>
      <x:c r="E1616" s="27" t="str">
        <x:v>YES</x:v>
      </x:c>
      <x:c r="F1616" s="61" t="n">
        <x:v>4464.188904886356</x:v>
      </x:c>
      <x:c r="G1616" s="61" t="n">
        <x:v>157.54825442532444</x:v>
      </x:c>
      <x:c r="H1616" s="27" t="str">
        <x:v>NO</x:v>
      </x:c>
      <x:c r="I1616" s="27" t="str">
        <x:v>USACE waterway node topology; deployable terminal required</x:v>
      </x:c>
      <x:c r="J1616" s="27" t="str">
        <x:v>presence does not prove operability or capacity</x:v>
      </x:c>
    </x:row>
    <x:row r="1617" ht="54" hidden="0" customHeight="1">
      <x:c r="A1617" s="29" t="str">
        <x:v>SCA-14</x:v>
      </x:c>
      <x:c r="B1617" s="29" t="str">
        <x:v>SCA-01</x:v>
      </x:c>
      <x:c r="C1617" s="29" t="str">
        <x:v>Road</x:v>
      </x:c>
      <x:c r="D1617" s="29" t="str">
        <x:v>NO</x:v>
      </x:c>
      <x:c r="E1617" s="29" t="str">
        <x:v>NO</x:v>
      </x:c>
      <x:c r="F1617" s="62"/>
      <x:c r="G1617" s="62"/>
      <x:c r="H1617" s="29" t="str">
        <x:v>NO</x:v>
      </x:c>
      <x:c r="I1617" s="29" t="str">
        <x:v>no screened path</x:v>
      </x:c>
      <x:c r="J1617" s="29" t="str">
        <x:v>presence does not prove operability or capacity</x:v>
      </x:c>
    </x:row>
    <x:row r="1618" ht="54" hidden="0" customHeight="1">
      <x:c r="A1618" s="27" t="str">
        <x:v>SCA-14</x:v>
      </x:c>
      <x:c r="B1618" s="27" t="str">
        <x:v>SCA-01</x:v>
      </x:c>
      <x:c r="C1618" s="27" t="str">
        <x:v>Rail</x:v>
      </x:c>
      <x:c r="D1618" s="27" t="str">
        <x:v>NO</x:v>
      </x:c>
      <x:c r="E1618" s="27" t="str">
        <x:v>NO</x:v>
      </x:c>
      <x:c r="F1618" s="61"/>
      <x:c r="G1618" s="61"/>
      <x:c r="H1618" s="27" t="str">
        <x:v>NO</x:v>
      </x:c>
      <x:c r="I1618" s="27" t="str">
        <x:v>no screened path</x:v>
      </x:c>
      <x:c r="J1618" s="27" t="str">
        <x:v>presence does not prove operability or capacity</x:v>
      </x:c>
    </x:row>
    <x:row r="1619" ht="54" hidden="0" customHeight="1">
      <x:c r="A1619" s="29" t="str">
        <x:v>SCA-14</x:v>
      </x:c>
      <x:c r="B1619" s="29" t="str">
        <x:v>SCA-01</x:v>
      </x:c>
      <x:c r="C1619" s="29" t="str">
        <x:v>Air</x:v>
      </x:c>
      <x:c r="D1619" s="29" t="str">
        <x:v>YES</x:v>
      </x:c>
      <x:c r="E1619" s="29" t="str">
        <x:v>YES</x:v>
      </x:c>
      <x:c r="F1619" s="62" t="n">
        <x:v>6035.925502715564</x:v>
      </x:c>
      <x:c r="G1619" s="62" t="n">
        <x:v>33.286039234947026</x:v>
      </x:c>
      <x:c r="H1619" s="29" t="str">
        <x:v>YES</x:v>
      </x:c>
      <x:c r="I1619" s="29" t="str">
        <x:v>primary-airport endpoints; great-circle screen</x:v>
      </x:c>
      <x:c r="J1619" s="29" t="str">
        <x:v>presence does not prove operability or capacity</x:v>
      </x:c>
    </x:row>
    <x:row r="1620" ht="75.5999984741211" hidden="0" customHeight="1">
      <x:c r="A1620" s="27" t="str">
        <x:v>SCA-14</x:v>
      </x:c>
      <x:c r="B1620" s="27" t="str">
        <x:v>SCA-01</x:v>
      </x:c>
      <x:c r="C1620" s="27" t="str">
        <x:v>Water</x:v>
      </x:c>
      <x:c r="D1620" s="27" t="str">
        <x:v>YES</x:v>
      </x:c>
      <x:c r="E1620" s="27" t="str">
        <x:v>YES</x:v>
      </x:c>
      <x:c r="F1620" s="61" t="n">
        <x:v>12289.135188999695</x:v>
      </x:c>
      <x:c r="G1620" s="61" t="n">
        <x:v>381.1181482571341</x:v>
      </x:c>
      <x:c r="H1620" s="27" t="str">
        <x:v>NO</x:v>
      </x:c>
      <x:c r="I1620" s="27" t="str">
        <x:v>USACE waterway node topology; deployable terminal required</x:v>
      </x:c>
      <x:c r="J1620" s="27" t="str">
        <x:v>presence does not prove operability or capacity</x:v>
      </x:c>
    </x:row>
    <x:row r="1621" ht="54" hidden="0" customHeight="1">
      <x:c r="A1621" s="29" t="str">
        <x:v>SCA-14</x:v>
      </x:c>
      <x:c r="B1621" s="29" t="str">
        <x:v>SCA-02</x:v>
      </x:c>
      <x:c r="C1621" s="29" t="str">
        <x:v>Road</x:v>
      </x:c>
      <x:c r="D1621" s="29" t="str">
        <x:v>NO</x:v>
      </x:c>
      <x:c r="E1621" s="29" t="str">
        <x:v>NO</x:v>
      </x:c>
      <x:c r="F1621" s="62"/>
      <x:c r="G1621" s="62"/>
      <x:c r="H1621" s="29" t="str">
        <x:v>NO</x:v>
      </x:c>
      <x:c r="I1621" s="29" t="str">
        <x:v>no screened path</x:v>
      </x:c>
      <x:c r="J1621" s="29" t="str">
        <x:v>presence does not prove operability or capacity</x:v>
      </x:c>
    </x:row>
    <x:row r="1622" ht="54" hidden="0" customHeight="1">
      <x:c r="A1622" s="27" t="str">
        <x:v>SCA-14</x:v>
      </x:c>
      <x:c r="B1622" s="27" t="str">
        <x:v>SCA-02</x:v>
      </x:c>
      <x:c r="C1622" s="27" t="str">
        <x:v>Rail</x:v>
      </x:c>
      <x:c r="D1622" s="27" t="str">
        <x:v>NO</x:v>
      </x:c>
      <x:c r="E1622" s="27" t="str">
        <x:v>NO</x:v>
      </x:c>
      <x:c r="F1622" s="61"/>
      <x:c r="G1622" s="61"/>
      <x:c r="H1622" s="27" t="str">
        <x:v>NO</x:v>
      </x:c>
      <x:c r="I1622" s="27" t="str">
        <x:v>no screened path</x:v>
      </x:c>
      <x:c r="J1622" s="27" t="str">
        <x:v>presence does not prove operability or capacity</x:v>
      </x:c>
    </x:row>
    <x:row r="1623" ht="54" hidden="0" customHeight="1">
      <x:c r="A1623" s="29" t="str">
        <x:v>SCA-14</x:v>
      </x:c>
      <x:c r="B1623" s="29" t="str">
        <x:v>SCA-02</x:v>
      </x:c>
      <x:c r="C1623" s="29" t="str">
        <x:v>Air</x:v>
      </x:c>
      <x:c r="D1623" s="29" t="str">
        <x:v>YES</x:v>
      </x:c>
      <x:c r="E1623" s="29" t="str">
        <x:v>YES</x:v>
      </x:c>
      <x:c r="F1623" s="62" t="n">
        <x:v>5242.810885578182</x:v>
      </x:c>
      <x:c r="G1623" s="62" t="n">
        <x:v>32.06586290088951</x:v>
      </x:c>
      <x:c r="H1623" s="29" t="str">
        <x:v>YES</x:v>
      </x:c>
      <x:c r="I1623" s="29" t="str">
        <x:v>primary-airport endpoints; great-circle screen</x:v>
      </x:c>
      <x:c r="J1623" s="29" t="str">
        <x:v>presence does not prove operability or capacity</x:v>
      </x:c>
    </x:row>
    <x:row r="1624" ht="75.5999984741211" hidden="0" customHeight="1">
      <x:c r="A1624" s="27" t="str">
        <x:v>SCA-14</x:v>
      </x:c>
      <x:c r="B1624" s="27" t="str">
        <x:v>SCA-02</x:v>
      </x:c>
      <x:c r="C1624" s="27" t="str">
        <x:v>Water</x:v>
      </x:c>
      <x:c r="D1624" s="27" t="str">
        <x:v>YES</x:v>
      </x:c>
      <x:c r="E1624" s="27" t="str">
        <x:v>YES</x:v>
      </x:c>
      <x:c r="F1624" s="61" t="n">
        <x:v>10531.766926981689</x:v>
      </x:c>
      <x:c r="G1624" s="61" t="n">
        <x:v>330.9076264851911</x:v>
      </x:c>
      <x:c r="H1624" s="27" t="str">
        <x:v>NO</x:v>
      </x:c>
      <x:c r="I1624" s="27" t="str">
        <x:v>USACE waterway node topology; deployable terminal required</x:v>
      </x:c>
      <x:c r="J1624" s="27" t="str">
        <x:v>presence does not prove operability or capacity</x:v>
      </x:c>
    </x:row>
    <x:row r="1625" ht="54" hidden="0" customHeight="1">
      <x:c r="A1625" s="29" t="str">
        <x:v>SCA-14</x:v>
      </x:c>
      <x:c r="B1625" s="29" t="str">
        <x:v>SCA-03</x:v>
      </x:c>
      <x:c r="C1625" s="29" t="str">
        <x:v>Road</x:v>
      </x:c>
      <x:c r="D1625" s="29" t="str">
        <x:v>NO</x:v>
      </x:c>
      <x:c r="E1625" s="29" t="str">
        <x:v>NO</x:v>
      </x:c>
      <x:c r="F1625" s="62"/>
      <x:c r="G1625" s="62"/>
      <x:c r="H1625" s="29" t="str">
        <x:v>NO</x:v>
      </x:c>
      <x:c r="I1625" s="29" t="str">
        <x:v>no screened path</x:v>
      </x:c>
      <x:c r="J1625" s="29" t="str">
        <x:v>presence does not prove operability or capacity</x:v>
      </x:c>
    </x:row>
    <x:row r="1626" ht="64.80000305175781" hidden="0" customHeight="1">
      <x:c r="A1626" s="27" t="str">
        <x:v>SCA-14</x:v>
      </x:c>
      <x:c r="B1626" s="27" t="str">
        <x:v>SCA-03</x:v>
      </x:c>
      <x:c r="C1626" s="27" t="str">
        <x:v>Rail</x:v>
      </x:c>
      <x:c r="D1626" s="27" t="str">
        <x:v>YES</x:v>
      </x:c>
      <x:c r="E1626" s="27" t="str">
        <x:v>YES</x:v>
      </x:c>
      <x:c r="F1626" s="61" t="n">
        <x:v>4050.9687209260546</x:v>
      </x:c>
      <x:c r="G1626" s="61" t="n">
        <x:v>83.87098172751507</x:v>
      </x:c>
      <x:c r="H1626" s="27" t="str">
        <x:v>NO</x:v>
      </x:c>
      <x:c r="I1626" s="27" t="str">
        <x:v>NARN shared-node topology; deployable terminal required</x:v>
      </x:c>
      <x:c r="J1626" s="27" t="str">
        <x:v>presence does not prove operability or capacity</x:v>
      </x:c>
    </x:row>
    <x:row r="1627" ht="54" hidden="0" customHeight="1">
      <x:c r="A1627" s="29" t="str">
        <x:v>SCA-14</x:v>
      </x:c>
      <x:c r="B1627" s="29" t="str">
        <x:v>SCA-03</x:v>
      </x:c>
      <x:c r="C1627" s="29" t="str">
        <x:v>Air</x:v>
      </x:c>
      <x:c r="D1627" s="29" t="str">
        <x:v>YES</x:v>
      </x:c>
      <x:c r="E1627" s="29" t="str">
        <x:v>YES</x:v>
      </x:c>
      <x:c r="F1627" s="62" t="n">
        <x:v>3023.171625429428</x:v>
      </x:c>
      <x:c r="G1627" s="62" t="n">
        <x:v>28.65103326989143</x:v>
      </x:c>
      <x:c r="H1627" s="29" t="str">
        <x:v>YES</x:v>
      </x:c>
      <x:c r="I1627" s="29" t="str">
        <x:v>primary-airport endpoints; great-circle screen</x:v>
      </x:c>
      <x:c r="J1627" s="29" t="str">
        <x:v>presence does not prove operability or capacity</x:v>
      </x:c>
    </x:row>
    <x:row r="1628" ht="75.5999984741211" hidden="0" customHeight="1">
      <x:c r="A1628" s="27" t="str">
        <x:v>SCA-14</x:v>
      </x:c>
      <x:c r="B1628" s="27" t="str">
        <x:v>SCA-03</x:v>
      </x:c>
      <x:c r="C1628" s="27" t="str">
        <x:v>Water</x:v>
      </x:c>
      <x:c r="D1628" s="27" t="str">
        <x:v>YES</x:v>
      </x:c>
      <x:c r="E1628" s="27" t="str">
        <x:v>YES</x:v>
      </x:c>
      <x:c r="F1628" s="61" t="n">
        <x:v>8898.373876328038</x:v>
      </x:c>
      <x:c r="G1628" s="61" t="n">
        <x:v>284.23925360937255</x:v>
      </x:c>
      <x:c r="H1628" s="27" t="str">
        <x:v>NO</x:v>
      </x:c>
      <x:c r="I1628" s="27" t="str">
        <x:v>USACE waterway node topology; deployable terminal required</x:v>
      </x:c>
      <x:c r="J1628" s="27" t="str">
        <x:v>presence does not prove operability or capacity</x:v>
      </x:c>
    </x:row>
    <x:row r="1629" ht="54" hidden="0" customHeight="1">
      <x:c r="A1629" s="29" t="str">
        <x:v>SCA-14</x:v>
      </x:c>
      <x:c r="B1629" s="29" t="str">
        <x:v>SCA-04</x:v>
      </x:c>
      <x:c r="C1629" s="29" t="str">
        <x:v>Road</x:v>
      </x:c>
      <x:c r="D1629" s="29" t="str">
        <x:v>NO</x:v>
      </x:c>
      <x:c r="E1629" s="29" t="str">
        <x:v>NO</x:v>
      </x:c>
      <x:c r="F1629" s="62"/>
      <x:c r="G1629" s="62"/>
      <x:c r="H1629" s="29" t="str">
        <x:v>NO</x:v>
      </x:c>
      <x:c r="I1629" s="29" t="str">
        <x:v>no screened path</x:v>
      </x:c>
      <x:c r="J1629" s="29" t="str">
        <x:v>presence does not prove operability or capacity</x:v>
      </x:c>
    </x:row>
    <x:row r="1630" ht="64.80000305175781" hidden="0" customHeight="1">
      <x:c r="A1630" s="27" t="str">
        <x:v>SCA-14</x:v>
      </x:c>
      <x:c r="B1630" s="27" t="str">
        <x:v>SCA-04</x:v>
      </x:c>
      <x:c r="C1630" s="27" t="str">
        <x:v>Rail</x:v>
      </x:c>
      <x:c r="D1630" s="27" t="str">
        <x:v>YES</x:v>
      </x:c>
      <x:c r="E1630" s="27" t="str">
        <x:v>YES</x:v>
      </x:c>
      <x:c r="F1630" s="61" t="n">
        <x:v>3504.7712998977804</x:v>
      </x:c>
      <x:c r="G1630" s="61" t="n">
        <x:v>76.06816142711115</x:v>
      </x:c>
      <x:c r="H1630" s="27" t="str">
        <x:v>NO</x:v>
      </x:c>
      <x:c r="I1630" s="27" t="str">
        <x:v>NARN shared-node topology; deployable terminal required</x:v>
      </x:c>
      <x:c r="J1630" s="27" t="str">
        <x:v>presence does not prove operability or capacity</x:v>
      </x:c>
    </x:row>
    <x:row r="1631" ht="54" hidden="0" customHeight="1">
      <x:c r="A1631" s="29" t="str">
        <x:v>SCA-14</x:v>
      </x:c>
      <x:c r="B1631" s="29" t="str">
        <x:v>SCA-04</x:v>
      </x:c>
      <x:c r="C1631" s="29" t="str">
        <x:v>Air</x:v>
      </x:c>
      <x:c r="D1631" s="29" t="str">
        <x:v>YES</x:v>
      </x:c>
      <x:c r="E1631" s="29" t="str">
        <x:v>YES</x:v>
      </x:c>
      <x:c r="F1631" s="62" t="n">
        <x:v>2524.6210864844356</x:v>
      </x:c>
      <x:c r="G1631" s="62" t="n">
        <x:v>27.884032440745287</x:v>
      </x:c>
      <x:c r="H1631" s="29" t="str">
        <x:v>YES</x:v>
      </x:c>
      <x:c r="I1631" s="29" t="str">
        <x:v>primary-airport endpoints; great-circle screen</x:v>
      </x:c>
      <x:c r="J1631" s="29" t="str">
        <x:v>presence does not prove operability or capacity</x:v>
      </x:c>
    </x:row>
    <x:row r="1632" ht="75.5999984741211" hidden="0" customHeight="1">
      <x:c r="A1632" s="27" t="str">
        <x:v>SCA-14</x:v>
      </x:c>
      <x:c r="B1632" s="27" t="str">
        <x:v>SCA-04</x:v>
      </x:c>
      <x:c r="C1632" s="27" t="str">
        <x:v>Water</x:v>
      </x:c>
      <x:c r="D1632" s="27" t="str">
        <x:v>YES</x:v>
      </x:c>
      <x:c r="E1632" s="27" t="str">
        <x:v>YES</x:v>
      </x:c>
      <x:c r="F1632" s="61" t="n">
        <x:v>7686.115667947071</x:v>
      </x:c>
      <x:c r="G1632" s="61" t="n">
        <x:v>249.60330479848776</x:v>
      </x:c>
      <x:c r="H1632" s="27" t="str">
        <x:v>NO</x:v>
      </x:c>
      <x:c r="I1632" s="27" t="str">
        <x:v>USACE waterway node topology; deployable terminal required</x:v>
      </x:c>
      <x:c r="J1632" s="27" t="str">
        <x:v>presence does not prove operability or capacity</x:v>
      </x:c>
    </x:row>
    <x:row r="1633" ht="54" hidden="0" customHeight="1">
      <x:c r="A1633" s="29" t="str">
        <x:v>SCA-14</x:v>
      </x:c>
      <x:c r="B1633" s="29" t="str">
        <x:v>SCA-05</x:v>
      </x:c>
      <x:c r="C1633" s="29" t="str">
        <x:v>Road</x:v>
      </x:c>
      <x:c r="D1633" s="29" t="str">
        <x:v>NO</x:v>
      </x:c>
      <x:c r="E1633" s="29" t="str">
        <x:v>NO</x:v>
      </x:c>
      <x:c r="F1633" s="62"/>
      <x:c r="G1633" s="62"/>
      <x:c r="H1633" s="29" t="str">
        <x:v>NO</x:v>
      </x:c>
      <x:c r="I1633" s="29" t="str">
        <x:v>no screened path</x:v>
      </x:c>
      <x:c r="J1633" s="29" t="str">
        <x:v>presence does not prove operability or capacity</x:v>
      </x:c>
    </x:row>
    <x:row r="1634" ht="64.80000305175781" hidden="0" customHeight="1">
      <x:c r="A1634" s="27" t="str">
        <x:v>SCA-14</x:v>
      </x:c>
      <x:c r="B1634" s="27" t="str">
        <x:v>SCA-05</x:v>
      </x:c>
      <x:c r="C1634" s="27" t="str">
        <x:v>Rail</x:v>
      </x:c>
      <x:c r="D1634" s="27" t="str">
        <x:v>YES</x:v>
      </x:c>
      <x:c r="E1634" s="27" t="str">
        <x:v>YES</x:v>
      </x:c>
      <x:c r="F1634" s="61" t="n">
        <x:v>2879.56569695871</x:v>
      </x:c>
      <x:c r="G1634" s="61" t="n">
        <x:v>67.13665281369586</x:v>
      </x:c>
      <x:c r="H1634" s="27" t="str">
        <x:v>YES</x:v>
      </x:c>
      <x:c r="I1634" s="27" t="str">
        <x:v>NARN shared-node topology; deployable terminal required</x:v>
      </x:c>
      <x:c r="J1634" s="27" t="str">
        <x:v>presence does not prove operability or capacity</x:v>
      </x:c>
    </x:row>
    <x:row r="1635" ht="54" hidden="0" customHeight="1">
      <x:c r="A1635" s="29" t="str">
        <x:v>SCA-14</x:v>
      </x:c>
      <x:c r="B1635" s="29" t="str">
        <x:v>SCA-05</x:v>
      </x:c>
      <x:c r="C1635" s="29" t="str">
        <x:v>Air</x:v>
      </x:c>
      <x:c r="D1635" s="29" t="str">
        <x:v>YES</x:v>
      </x:c>
      <x:c r="E1635" s="29" t="str">
        <x:v>YES</x:v>
      </x:c>
      <x:c r="F1635" s="62" t="n">
        <x:v>2106.8794821241445</x:v>
      </x:c>
      <x:c r="G1635" s="62" t="n">
        <x:v>27.24135304942176</x:v>
      </x:c>
      <x:c r="H1635" s="29" t="str">
        <x:v>YES</x:v>
      </x:c>
      <x:c r="I1635" s="29" t="str">
        <x:v>primary-airport endpoints; great-circle screen</x:v>
      </x:c>
      <x:c r="J1635" s="29" t="str">
        <x:v>presence does not prove operability or capacity</x:v>
      </x:c>
    </x:row>
    <x:row r="1636" ht="75.5999984741211" hidden="0" customHeight="1">
      <x:c r="A1636" s="27" t="str">
        <x:v>SCA-14</x:v>
      </x:c>
      <x:c r="B1636" s="27" t="str">
        <x:v>SCA-05</x:v>
      </x:c>
      <x:c r="C1636" s="27" t="str">
        <x:v>Water</x:v>
      </x:c>
      <x:c r="D1636" s="27" t="str">
        <x:v>YES</x:v>
      </x:c>
      <x:c r="E1636" s="27" t="str">
        <x:v>YES</x:v>
      </x:c>
      <x:c r="F1636" s="61" t="n">
        <x:v>7030.162248470014</x:v>
      </x:c>
      <x:c r="G1636" s="61" t="n">
        <x:v>230.86177852771468</x:v>
      </x:c>
      <x:c r="H1636" s="27" t="str">
        <x:v>NO</x:v>
      </x:c>
      <x:c r="I1636" s="27" t="str">
        <x:v>USACE waterway node topology; deployable terminal required</x:v>
      </x:c>
      <x:c r="J1636" s="27" t="str">
        <x:v>presence does not prove operability or capacity</x:v>
      </x:c>
    </x:row>
    <x:row r="1637" ht="54" hidden="0" customHeight="1">
      <x:c r="A1637" s="29" t="str">
        <x:v>SCA-14</x:v>
      </x:c>
      <x:c r="B1637" s="29" t="str">
        <x:v>SCA-06</x:v>
      </x:c>
      <x:c r="C1637" s="29" t="str">
        <x:v>Road</x:v>
      </x:c>
      <x:c r="D1637" s="29" t="str">
        <x:v>NO</x:v>
      </x:c>
      <x:c r="E1637" s="29" t="str">
        <x:v>NO</x:v>
      </x:c>
      <x:c r="F1637" s="62"/>
      <x:c r="G1637" s="62"/>
      <x:c r="H1637" s="29" t="str">
        <x:v>NO</x:v>
      </x:c>
      <x:c r="I1637" s="29" t="str">
        <x:v>no screened path</x:v>
      </x:c>
      <x:c r="J1637" s="29" t="str">
        <x:v>presence does not prove operability or capacity</x:v>
      </x:c>
    </x:row>
    <x:row r="1638" ht="64.80000305175781" hidden="0" customHeight="1">
      <x:c r="A1638" s="27" t="str">
        <x:v>SCA-14</x:v>
      </x:c>
      <x:c r="B1638" s="27" t="str">
        <x:v>SCA-06</x:v>
      </x:c>
      <x:c r="C1638" s="27" t="str">
        <x:v>Rail</x:v>
      </x:c>
      <x:c r="D1638" s="27" t="str">
        <x:v>YES</x:v>
      </x:c>
      <x:c r="E1638" s="27" t="str">
        <x:v>YES</x:v>
      </x:c>
      <x:c r="F1638" s="61" t="n">
        <x:v>2624.1535281050137</x:v>
      </x:c>
      <x:c r="G1638" s="61" t="n">
        <x:v>63.48790754435734</x:v>
      </x:c>
      <x:c r="H1638" s="27" t="str">
        <x:v>YES</x:v>
      </x:c>
      <x:c r="I1638" s="27" t="str">
        <x:v>NARN shared-node topology; deployable terminal required</x:v>
      </x:c>
      <x:c r="J1638" s="27" t="str">
        <x:v>presence does not prove operability or capacity</x:v>
      </x:c>
    </x:row>
    <x:row r="1639" ht="54" hidden="0" customHeight="1">
      <x:c r="A1639" s="29" t="str">
        <x:v>SCA-14</x:v>
      </x:c>
      <x:c r="B1639" s="29" t="str">
        <x:v>SCA-06</x:v>
      </x:c>
      <x:c r="C1639" s="29" t="str">
        <x:v>Air</x:v>
      </x:c>
      <x:c r="D1639" s="29" t="str">
        <x:v>YES</x:v>
      </x:c>
      <x:c r="E1639" s="29" t="str">
        <x:v>YES</x:v>
      </x:c>
      <x:c r="F1639" s="62" t="n">
        <x:v>1902.7221439115601</x:v>
      </x:c>
      <x:c r="G1639" s="62" t="n">
        <x:v>26.927264836787018</x:v>
      </x:c>
      <x:c r="H1639" s="29" t="str">
        <x:v>YES</x:v>
      </x:c>
      <x:c r="I1639" s="29" t="str">
        <x:v>primary-airport endpoints; great-circle screen</x:v>
      </x:c>
      <x:c r="J1639" s="29" t="str">
        <x:v>presence does not prove operability or capacity</x:v>
      </x:c>
    </x:row>
    <x:row r="1640" ht="75.5999984741211" hidden="0" customHeight="1">
      <x:c r="A1640" s="27" t="str">
        <x:v>SCA-14</x:v>
      </x:c>
      <x:c r="B1640" s="27" t="str">
        <x:v>SCA-06</x:v>
      </x:c>
      <x:c r="C1640" s="27" t="str">
        <x:v>Water</x:v>
      </x:c>
      <x:c r="D1640" s="27" t="str">
        <x:v>YES</x:v>
      </x:c>
      <x:c r="E1640" s="27" t="str">
        <x:v>YES</x:v>
      </x:c>
      <x:c r="F1640" s="61" t="n">
        <x:v>6762.188825410398</x:v>
      </x:c>
      <x:c r="G1640" s="61" t="n">
        <x:v>223.20539501172564</x:v>
      </x:c>
      <x:c r="H1640" s="27" t="str">
        <x:v>NO</x:v>
      </x:c>
      <x:c r="I1640" s="27" t="str">
        <x:v>USACE waterway node topology; deployable terminal required</x:v>
      </x:c>
      <x:c r="J1640" s="27" t="str">
        <x:v>presence does not prove operability or capacity</x:v>
      </x:c>
    </x:row>
    <x:row r="1641" ht="54" hidden="0" customHeight="1">
      <x:c r="A1641" s="29" t="str">
        <x:v>SCA-14</x:v>
      </x:c>
      <x:c r="B1641" s="29" t="str">
        <x:v>SCA-07</x:v>
      </x:c>
      <x:c r="C1641" s="29" t="str">
        <x:v>Road</x:v>
      </x:c>
      <x:c r="D1641" s="29" t="str">
        <x:v>NO</x:v>
      </x:c>
      <x:c r="E1641" s="29" t="str">
        <x:v>NO</x:v>
      </x:c>
      <x:c r="F1641" s="62"/>
      <x:c r="G1641" s="62"/>
      <x:c r="H1641" s="29" t="str">
        <x:v>NO</x:v>
      </x:c>
      <x:c r="I1641" s="29" t="str">
        <x:v>no screened path</x:v>
      </x:c>
      <x:c r="J1641" s="29" t="str">
        <x:v>presence does not prove operability or capacity</x:v>
      </x:c>
    </x:row>
    <x:row r="1642" ht="64.80000305175781" hidden="0" customHeight="1">
      <x:c r="A1642" s="27" t="str">
        <x:v>SCA-14</x:v>
      </x:c>
      <x:c r="B1642" s="27" t="str">
        <x:v>SCA-07</x:v>
      </x:c>
      <x:c r="C1642" s="27" t="str">
        <x:v>Rail</x:v>
      </x:c>
      <x:c r="D1642" s="27" t="str">
        <x:v>YES</x:v>
      </x:c>
      <x:c r="E1642" s="27" t="str">
        <x:v>YES</x:v>
      </x:c>
      <x:c r="F1642" s="61" t="n">
        <x:v>2637.3260706379506</x:v>
      </x:c>
      <x:c r="G1642" s="61" t="n">
        <x:v>63.676086723399294</x:v>
      </x:c>
      <x:c r="H1642" s="27" t="str">
        <x:v>YES</x:v>
      </x:c>
      <x:c r="I1642" s="27" t="str">
        <x:v>NARN shared-node topology; deployable terminal required</x:v>
      </x:c>
      <x:c r="J1642" s="27" t="str">
        <x:v>presence does not prove operability or capacity</x:v>
      </x:c>
    </x:row>
    <x:row r="1643" ht="54" hidden="0" customHeight="1">
      <x:c r="A1643" s="29" t="str">
        <x:v>SCA-14</x:v>
      </x:c>
      <x:c r="B1643" s="29" t="str">
        <x:v>SCA-07</x:v>
      </x:c>
      <x:c r="C1643" s="29" t="str">
        <x:v>Air</x:v>
      </x:c>
      <x:c r="D1643" s="29" t="str">
        <x:v>YES</x:v>
      </x:c>
      <x:c r="E1643" s="29" t="str">
        <x:v>YES</x:v>
      </x:c>
      <x:c r="F1643" s="62" t="n">
        <x:v>1915.5401338066551</x:v>
      </x:c>
      <x:c r="G1643" s="62" t="n">
        <x:v>26.94698482124101</x:v>
      </x:c>
      <x:c r="H1643" s="29" t="str">
        <x:v>YES</x:v>
      </x:c>
      <x:c r="I1643" s="29" t="str">
        <x:v>primary-airport endpoints; great-circle screen</x:v>
      </x:c>
      <x:c r="J1643" s="29" t="str">
        <x:v>presence does not prove operability or capacity</x:v>
      </x:c>
    </x:row>
    <x:row r="1644" ht="64.80000305175781" hidden="0" customHeight="1">
      <x:c r="A1644" s="27" t="str">
        <x:v>SCA-14</x:v>
      </x:c>
      <x:c r="B1644" s="27" t="str">
        <x:v>SCA-07</x:v>
      </x:c>
      <x:c r="C1644" s="27" t="str">
        <x:v>Water</x:v>
      </x:c>
      <x:c r="D1644" s="27" t="str">
        <x:v>YES</x:v>
      </x:c>
      <x:c r="E1644" s="27" t="str">
        <x:v>YES</x:v>
      </x:c>
      <x:c r="F1644" s="61" t="n">
        <x:v>2394.425167258319</x:v>
      </x:c>
      <x:c r="G1644" s="61" t="n">
        <x:v>98.41214763595197</x:v>
      </x:c>
      <x:c r="H1644" s="27" t="str">
        <x:v>NO</x:v>
      </x:c>
      <x:c r="I1644" s="27" t="str">
        <x:v>observed water terminals; maritime great-circle screen</x:v>
      </x:c>
      <x:c r="J1644" s="27" t="str">
        <x:v>presence does not prove operability or capacity</x:v>
      </x:c>
    </x:row>
    <x:row r="1645" ht="54" hidden="0" customHeight="1">
      <x:c r="A1645" s="29" t="str">
        <x:v>SCA-14</x:v>
      </x:c>
      <x:c r="B1645" s="29" t="str">
        <x:v>SCA-08</x:v>
      </x:c>
      <x:c r="C1645" s="29" t="str">
        <x:v>Road</x:v>
      </x:c>
      <x:c r="D1645" s="29" t="str">
        <x:v>NO</x:v>
      </x:c>
      <x:c r="E1645" s="29" t="str">
        <x:v>NO</x:v>
      </x:c>
      <x:c r="F1645" s="62"/>
      <x:c r="G1645" s="62"/>
      <x:c r="H1645" s="29" t="str">
        <x:v>NO</x:v>
      </x:c>
      <x:c r="I1645" s="29" t="str">
        <x:v>no screened path</x:v>
      </x:c>
      <x:c r="J1645" s="29" t="str">
        <x:v>presence does not prove operability or capacity</x:v>
      </x:c>
    </x:row>
    <x:row r="1646" ht="64.80000305175781" hidden="0" customHeight="1">
      <x:c r="A1646" s="27" t="str">
        <x:v>SCA-14</x:v>
      </x:c>
      <x:c r="B1646" s="27" t="str">
        <x:v>SCA-08</x:v>
      </x:c>
      <x:c r="C1646" s="27" t="str">
        <x:v>Rail</x:v>
      </x:c>
      <x:c r="D1646" s="27" t="str">
        <x:v>YES</x:v>
      </x:c>
      <x:c r="E1646" s="27" t="str">
        <x:v>YES</x:v>
      </x:c>
      <x:c r="F1646" s="61" t="n">
        <x:v>3367.0739838926092</x:v>
      </x:c>
      <x:c r="G1646" s="61" t="n">
        <x:v>74.10105691275156</x:v>
      </x:c>
      <x:c r="H1646" s="27" t="str">
        <x:v>NO</x:v>
      </x:c>
      <x:c r="I1646" s="27" t="str">
        <x:v>NARN shared-node topology; deployable terminal required</x:v>
      </x:c>
      <x:c r="J1646" s="27" t="str">
        <x:v>presence does not prove operability or capacity</x:v>
      </x:c>
    </x:row>
    <x:row r="1647" ht="54" hidden="0" customHeight="1">
      <x:c r="A1647" s="29" t="str">
        <x:v>SCA-14</x:v>
      </x:c>
      <x:c r="B1647" s="29" t="str">
        <x:v>SCA-08</x:v>
      </x:c>
      <x:c r="C1647" s="29" t="str">
        <x:v>Air</x:v>
      </x:c>
      <x:c r="D1647" s="29" t="str">
        <x:v>YES</x:v>
      </x:c>
      <x:c r="E1647" s="29" t="str">
        <x:v>YES</x:v>
      </x:c>
      <x:c r="F1647" s="62" t="n">
        <x:v>2499.3180143457403</x:v>
      </x:c>
      <x:c r="G1647" s="62" t="n">
        <x:v>27.845104637454984</x:v>
      </x:c>
      <x:c r="H1647" s="29" t="str">
        <x:v>YES</x:v>
      </x:c>
      <x:c r="I1647" s="29" t="str">
        <x:v>primary-airport endpoints; great-circle screen</x:v>
      </x:c>
      <x:c r="J1647" s="29" t="str">
        <x:v>presence does not prove operability or capacity</x:v>
      </x:c>
    </x:row>
    <x:row r="1648" ht="75.5999984741211" hidden="0" customHeight="1">
      <x:c r="A1648" s="27" t="str">
        <x:v>SCA-14</x:v>
      </x:c>
      <x:c r="B1648" s="27" t="str">
        <x:v>SCA-08</x:v>
      </x:c>
      <x:c r="C1648" s="27" t="str">
        <x:v>Water</x:v>
      </x:c>
      <x:c r="D1648" s="27" t="str">
        <x:v>YES</x:v>
      </x:c>
      <x:c r="E1648" s="27" t="str">
        <x:v>YES</x:v>
      </x:c>
      <x:c r="F1648" s="61" t="n">
        <x:v>9615.90278075657</x:v>
      </x:c>
      <x:c r="G1648" s="61" t="n">
        <x:v>304.74007945018775</x:v>
      </x:c>
      <x:c r="H1648" s="27" t="str">
        <x:v>NO</x:v>
      </x:c>
      <x:c r="I1648" s="27" t="str">
        <x:v>USACE waterway node topology; deployable terminal required</x:v>
      </x:c>
      <x:c r="J1648" s="27" t="str">
        <x:v>presence does not prove operability or capacity</x:v>
      </x:c>
    </x:row>
    <x:row r="1649" ht="54" hidden="0" customHeight="1">
      <x:c r="A1649" s="29" t="str">
        <x:v>SCA-14</x:v>
      </x:c>
      <x:c r="B1649" s="29" t="str">
        <x:v>SCA-09</x:v>
      </x:c>
      <x:c r="C1649" s="29" t="str">
        <x:v>Road</x:v>
      </x:c>
      <x:c r="D1649" s="29" t="str">
        <x:v>NO</x:v>
      </x:c>
      <x:c r="E1649" s="29" t="str">
        <x:v>NO</x:v>
      </x:c>
      <x:c r="F1649" s="62"/>
      <x:c r="G1649" s="62"/>
      <x:c r="H1649" s="29" t="str">
        <x:v>NO</x:v>
      </x:c>
      <x:c r="I1649" s="29" t="str">
        <x:v>no screened path</x:v>
      </x:c>
      <x:c r="J1649" s="29" t="str">
        <x:v>presence does not prove operability or capacity</x:v>
      </x:c>
    </x:row>
    <x:row r="1650" ht="64.80000305175781" hidden="0" customHeight="1">
      <x:c r="A1650" s="27" t="str">
        <x:v>SCA-14</x:v>
      </x:c>
      <x:c r="B1650" s="27" t="str">
        <x:v>SCA-09</x:v>
      </x:c>
      <x:c r="C1650" s="27" t="str">
        <x:v>Rail</x:v>
      </x:c>
      <x:c r="D1650" s="27" t="str">
        <x:v>YES</x:v>
      </x:c>
      <x:c r="E1650" s="27" t="str">
        <x:v>YES</x:v>
      </x:c>
      <x:c r="F1650" s="61" t="n">
        <x:v>2147.0598488446367</x:v>
      </x:c>
      <x:c r="G1650" s="61" t="n">
        <x:v>56.67228355492338</x:v>
      </x:c>
      <x:c r="H1650" s="27" t="str">
        <x:v>YES</x:v>
      </x:c>
      <x:c r="I1650" s="27" t="str">
        <x:v>NARN shared-node topology; deployable terminal required</x:v>
      </x:c>
      <x:c r="J1650" s="27" t="str">
        <x:v>presence does not prove operability or capacity</x:v>
      </x:c>
    </x:row>
    <x:row r="1651" ht="54" hidden="0" customHeight="1">
      <x:c r="A1651" s="29" t="str">
        <x:v>SCA-14</x:v>
      </x:c>
      <x:c r="B1651" s="29" t="str">
        <x:v>SCA-09</x:v>
      </x:c>
      <x:c r="C1651" s="29" t="str">
        <x:v>Air</x:v>
      </x:c>
      <x:c r="D1651" s="29" t="str">
        <x:v>YES</x:v>
      </x:c>
      <x:c r="E1651" s="29" t="str">
        <x:v>YES</x:v>
      </x:c>
      <x:c r="F1651" s="62" t="n">
        <x:v>1533.251851574189</x:v>
      </x:c>
      <x:c r="G1651" s="62" t="n">
        <x:v>26.358849002421827</x:v>
      </x:c>
      <x:c r="H1651" s="29" t="str">
        <x:v>YES</x:v>
      </x:c>
      <x:c r="I1651" s="29" t="str">
        <x:v>primary-airport endpoints; great-circle screen</x:v>
      </x:c>
      <x:c r="J1651" s="29" t="str">
        <x:v>presence does not prove operability or capacity</x:v>
      </x:c>
    </x:row>
    <x:row r="1652" ht="54" hidden="0" customHeight="1">
      <x:c r="A1652" s="27" t="str">
        <x:v>SCA-14</x:v>
      </x:c>
      <x:c r="B1652" s="27" t="str">
        <x:v>SCA-09</x:v>
      </x:c>
      <x:c r="C1652" s="27" t="str">
        <x:v>Water</x:v>
      </x:c>
      <x:c r="D1652" s="27" t="str">
        <x:v>NO</x:v>
      </x:c>
      <x:c r="E1652" s="27" t="str">
        <x:v>NO</x:v>
      </x:c>
      <x:c r="F1652" s="61"/>
      <x:c r="G1652" s="61"/>
      <x:c r="H1652" s="27" t="str">
        <x:v>NO</x:v>
      </x:c>
      <x:c r="I1652" s="27" t="str">
        <x:v>no screened path</x:v>
      </x:c>
      <x:c r="J1652" s="27" t="str">
        <x:v>presence does not prove operability or capacity</x:v>
      </x:c>
    </x:row>
    <x:row r="1653" ht="54" hidden="0" customHeight="1">
      <x:c r="A1653" s="29" t="str">
        <x:v>SCA-14</x:v>
      </x:c>
      <x:c r="B1653" s="29" t="str">
        <x:v>SCA-10</x:v>
      </x:c>
      <x:c r="C1653" s="29" t="str">
        <x:v>Road</x:v>
      </x:c>
      <x:c r="D1653" s="29" t="str">
        <x:v>NO</x:v>
      </x:c>
      <x:c r="E1653" s="29" t="str">
        <x:v>NO</x:v>
      </x:c>
      <x:c r="F1653" s="62"/>
      <x:c r="G1653" s="62"/>
      <x:c r="H1653" s="29" t="str">
        <x:v>NO</x:v>
      </x:c>
      <x:c r="I1653" s="29" t="str">
        <x:v>no screened path</x:v>
      </x:c>
      <x:c r="J1653" s="29" t="str">
        <x:v>presence does not prove operability or capacity</x:v>
      </x:c>
    </x:row>
    <x:row r="1654" ht="64.80000305175781" hidden="0" customHeight="1">
      <x:c r="A1654" s="27" t="str">
        <x:v>SCA-14</x:v>
      </x:c>
      <x:c r="B1654" s="27" t="str">
        <x:v>SCA-10</x:v>
      </x:c>
      <x:c r="C1654" s="27" t="str">
        <x:v>Rail</x:v>
      </x:c>
      <x:c r="D1654" s="27" t="str">
        <x:v>YES</x:v>
      </x:c>
      <x:c r="E1654" s="27" t="str">
        <x:v>YES</x:v>
      </x:c>
      <x:c r="F1654" s="61" t="n">
        <x:v>2841.332029503531</x:v>
      </x:c>
      <x:c r="G1654" s="61" t="n">
        <x:v>66.59045756433616</x:v>
      </x:c>
      <x:c r="H1654" s="27" t="str">
        <x:v>YES</x:v>
      </x:c>
      <x:c r="I1654" s="27" t="str">
        <x:v>NARN shared-node topology; deployable terminal required</x:v>
      </x:c>
      <x:c r="J1654" s="27" t="str">
        <x:v>presence does not prove operability or capacity</x:v>
      </x:c>
    </x:row>
    <x:row r="1655" ht="54" hidden="0" customHeight="1">
      <x:c r="A1655" s="29" t="str">
        <x:v>SCA-14</x:v>
      </x:c>
      <x:c r="B1655" s="29" t="str">
        <x:v>SCA-10</x:v>
      </x:c>
      <x:c r="C1655" s="29" t="str">
        <x:v>Air</x:v>
      </x:c>
      <x:c r="D1655" s="29" t="str">
        <x:v>YES</x:v>
      </x:c>
      <x:c r="E1655" s="29" t="str">
        <x:v>YES</x:v>
      </x:c>
      <x:c r="F1655" s="62" t="n">
        <x:v>2017.1349702502205</x:v>
      </x:c>
      <x:c r="G1655" s="62" t="n">
        <x:v>27.103284569615724</x:v>
      </x:c>
      <x:c r="H1655" s="29" t="str">
        <x:v>YES</x:v>
      </x:c>
      <x:c r="I1655" s="29" t="str">
        <x:v>primary-airport endpoints; great-circle screen</x:v>
      </x:c>
      <x:c r="J1655" s="29" t="str">
        <x:v>presence does not prove operability or capacity</x:v>
      </x:c>
    </x:row>
    <x:row r="1656" ht="54" hidden="0" customHeight="1">
      <x:c r="A1656" s="27" t="str">
        <x:v>SCA-14</x:v>
      </x:c>
      <x:c r="B1656" s="27" t="str">
        <x:v>SCA-10</x:v>
      </x:c>
      <x:c r="C1656" s="27" t="str">
        <x:v>Water</x:v>
      </x:c>
      <x:c r="D1656" s="27" t="str">
        <x:v>NO</x:v>
      </x:c>
      <x:c r="E1656" s="27" t="str">
        <x:v>NO</x:v>
      </x:c>
      <x:c r="F1656" s="61"/>
      <x:c r="G1656" s="61"/>
      <x:c r="H1656" s="27" t="str">
        <x:v>NO</x:v>
      </x:c>
      <x:c r="I1656" s="27" t="str">
        <x:v>no screened path</x:v>
      </x:c>
      <x:c r="J1656" s="27" t="str">
        <x:v>presence does not prove operability or capacity</x:v>
      </x:c>
    </x:row>
    <x:row r="1657" ht="54" hidden="0" customHeight="1">
      <x:c r="A1657" s="29" t="str">
        <x:v>SCA-14</x:v>
      </x:c>
      <x:c r="B1657" s="29" t="str">
        <x:v>SCA-11</x:v>
      </x:c>
      <x:c r="C1657" s="29" t="str">
        <x:v>Road</x:v>
      </x:c>
      <x:c r="D1657" s="29" t="str">
        <x:v>NO</x:v>
      </x:c>
      <x:c r="E1657" s="29" t="str">
        <x:v>NO</x:v>
      </x:c>
      <x:c r="F1657" s="62"/>
      <x:c r="G1657" s="62"/>
      <x:c r="H1657" s="29" t="str">
        <x:v>NO</x:v>
      </x:c>
      <x:c r="I1657" s="29" t="str">
        <x:v>no screened path</x:v>
      </x:c>
      <x:c r="J1657" s="29" t="str">
        <x:v>presence does not prove operability or capacity</x:v>
      </x:c>
    </x:row>
    <x:row r="1658" ht="64.80000305175781" hidden="0" customHeight="1">
      <x:c r="A1658" s="27" t="str">
        <x:v>SCA-14</x:v>
      </x:c>
      <x:c r="B1658" s="27" t="str">
        <x:v>SCA-11</x:v>
      </x:c>
      <x:c r="C1658" s="27" t="str">
        <x:v>Rail</x:v>
      </x:c>
      <x:c r="D1658" s="27" t="str">
        <x:v>YES</x:v>
      </x:c>
      <x:c r="E1658" s="27" t="str">
        <x:v>YES</x:v>
      </x:c>
      <x:c r="F1658" s="61" t="n">
        <x:v>1349.5486585899191</x:v>
      </x:c>
      <x:c r="G1658" s="61" t="n">
        <x:v>45.27926655128456</x:v>
      </x:c>
      <x:c r="H1658" s="27" t="str">
        <x:v>YES</x:v>
      </x:c>
      <x:c r="I1658" s="27" t="str">
        <x:v>NARN shared-node topology; deployable terminal required</x:v>
      </x:c>
      <x:c r="J1658" s="27" t="str">
        <x:v>presence does not prove operability or capacity</x:v>
      </x:c>
    </x:row>
    <x:row r="1659" ht="54" hidden="0" customHeight="1">
      <x:c r="A1659" s="29" t="str">
        <x:v>SCA-14</x:v>
      </x:c>
      <x:c r="B1659" s="29" t="str">
        <x:v>SCA-11</x:v>
      </x:c>
      <x:c r="C1659" s="29" t="str">
        <x:v>Air</x:v>
      </x:c>
      <x:c r="D1659" s="29" t="str">
        <x:v>YES</x:v>
      </x:c>
      <x:c r="E1659" s="29" t="str">
        <x:v>YES</x:v>
      </x:c>
      <x:c r="F1659" s="62" t="n">
        <x:v>985.4407227384481</x:v>
      </x:c>
      <x:c r="G1659" s="62" t="n">
        <x:v>25.516062650366845</x:v>
      </x:c>
      <x:c r="H1659" s="29" t="str">
        <x:v>YES</x:v>
      </x:c>
      <x:c r="I1659" s="29" t="str">
        <x:v>primary-airport endpoints; great-circle screen</x:v>
      </x:c>
      <x:c r="J1659" s="29" t="str">
        <x:v>presence does not prove operability or capacity</x:v>
      </x:c>
    </x:row>
    <x:row r="1660" ht="54" hidden="0" customHeight="1">
      <x:c r="A1660" s="27" t="str">
        <x:v>SCA-14</x:v>
      </x:c>
      <x:c r="B1660" s="27" t="str">
        <x:v>SCA-11</x:v>
      </x:c>
      <x:c r="C1660" s="27" t="str">
        <x:v>Water</x:v>
      </x:c>
      <x:c r="D1660" s="27" t="str">
        <x:v>NO</x:v>
      </x:c>
      <x:c r="E1660" s="27" t="str">
        <x:v>NO</x:v>
      </x:c>
      <x:c r="F1660" s="61"/>
      <x:c r="G1660" s="61"/>
      <x:c r="H1660" s="27" t="str">
        <x:v>NO</x:v>
      </x:c>
      <x:c r="I1660" s="27" t="str">
        <x:v>no screened path</x:v>
      </x:c>
      <x:c r="J1660" s="27" t="str">
        <x:v>presence does not prove operability or capacity</x:v>
      </x:c>
    </x:row>
    <x:row r="1661" ht="54" hidden="0" customHeight="1">
      <x:c r="A1661" s="29" t="str">
        <x:v>SCA-14</x:v>
      </x:c>
      <x:c r="B1661" s="29" t="str">
        <x:v>SCA-12</x:v>
      </x:c>
      <x:c r="C1661" s="29" t="str">
        <x:v>Road</x:v>
      </x:c>
      <x:c r="D1661" s="29" t="str">
        <x:v>NO</x:v>
      </x:c>
      <x:c r="E1661" s="29" t="str">
        <x:v>NO</x:v>
      </x:c>
      <x:c r="F1661" s="62"/>
      <x:c r="G1661" s="62"/>
      <x:c r="H1661" s="29" t="str">
        <x:v>NO</x:v>
      </x:c>
      <x:c r="I1661" s="29" t="str">
        <x:v>no screened path</x:v>
      </x:c>
      <x:c r="J1661" s="29" t="str">
        <x:v>presence does not prove operability or capacity</x:v>
      </x:c>
    </x:row>
    <x:row r="1662" ht="64.80000305175781" hidden="0" customHeight="1">
      <x:c r="A1662" s="27" t="str">
        <x:v>SCA-14</x:v>
      </x:c>
      <x:c r="B1662" s="27" t="str">
        <x:v>SCA-12</x:v>
      </x:c>
      <x:c r="C1662" s="27" t="str">
        <x:v>Rail</x:v>
      </x:c>
      <x:c r="D1662" s="27" t="str">
        <x:v>YES</x:v>
      </x:c>
      <x:c r="E1662" s="27" t="str">
        <x:v>YES</x:v>
      </x:c>
      <x:c r="F1662" s="61" t="n">
        <x:v>2123.9105391203484</x:v>
      </x:c>
      <x:c r="G1662" s="61" t="n">
        <x:v>56.3415791302907</x:v>
      </x:c>
      <x:c r="H1662" s="27" t="str">
        <x:v>YES</x:v>
      </x:c>
      <x:c r="I1662" s="27" t="str">
        <x:v>NARN shared-node topology; deployable terminal required</x:v>
      </x:c>
      <x:c r="J1662" s="27" t="str">
        <x:v>presence does not prove operability or capacity</x:v>
      </x:c>
    </x:row>
    <x:row r="1663" ht="54" hidden="0" customHeight="1">
      <x:c r="A1663" s="29" t="str">
        <x:v>SCA-14</x:v>
      </x:c>
      <x:c r="B1663" s="29" t="str">
        <x:v>SCA-12</x:v>
      </x:c>
      <x:c r="C1663" s="29" t="str">
        <x:v>Air</x:v>
      </x:c>
      <x:c r="D1663" s="29" t="str">
        <x:v>YES</x:v>
      </x:c>
      <x:c r="E1663" s="29" t="str">
        <x:v>YES</x:v>
      </x:c>
      <x:c r="F1663" s="62" t="n">
        <x:v>1541.4755383448012</x:v>
      </x:c>
      <x:c r="G1663" s="62" t="n">
        <x:v>26.37150082822277</x:v>
      </x:c>
      <x:c r="H1663" s="29" t="str">
        <x:v>YES</x:v>
      </x:c>
      <x:c r="I1663" s="29" t="str">
        <x:v>primary-airport endpoints; great-circle screen</x:v>
      </x:c>
      <x:c r="J1663" s="29" t="str">
        <x:v>presence does not prove operability or capacity</x:v>
      </x:c>
    </x:row>
    <x:row r="1664" ht="54" hidden="0" customHeight="1">
      <x:c r="A1664" s="27" t="str">
        <x:v>SCA-14</x:v>
      </x:c>
      <x:c r="B1664" s="27" t="str">
        <x:v>SCA-12</x:v>
      </x:c>
      <x:c r="C1664" s="27" t="str">
        <x:v>Water</x:v>
      </x:c>
      <x:c r="D1664" s="27" t="str">
        <x:v>NO</x:v>
      </x:c>
      <x:c r="E1664" s="27" t="str">
        <x:v>NO</x:v>
      </x:c>
      <x:c r="F1664" s="61"/>
      <x:c r="G1664" s="61"/>
      <x:c r="H1664" s="27" t="str">
        <x:v>NO</x:v>
      </x:c>
      <x:c r="I1664" s="27" t="str">
        <x:v>no screened path</x:v>
      </x:c>
      <x:c r="J1664" s="27" t="str">
        <x:v>presence does not prove operability or capacity</x:v>
      </x:c>
    </x:row>
    <x:row r="1665" ht="54" hidden="0" customHeight="1">
      <x:c r="A1665" s="29" t="str">
        <x:v>SCA-14</x:v>
      </x:c>
      <x:c r="B1665" s="29" t="str">
        <x:v>SCA-13</x:v>
      </x:c>
      <x:c r="C1665" s="29" t="str">
        <x:v>Road</x:v>
      </x:c>
      <x:c r="D1665" s="29" t="str">
        <x:v>NO</x:v>
      </x:c>
      <x:c r="E1665" s="29" t="str">
        <x:v>NO</x:v>
      </x:c>
      <x:c r="F1665" s="62"/>
      <x:c r="G1665" s="62"/>
      <x:c r="H1665" s="29" t="str">
        <x:v>NO</x:v>
      </x:c>
      <x:c r="I1665" s="29" t="str">
        <x:v>no screened path</x:v>
      </x:c>
      <x:c r="J1665" s="29" t="str">
        <x:v>presence does not prove operability or capacity</x:v>
      </x:c>
    </x:row>
    <x:row r="1666" ht="64.80000305175781" hidden="0" customHeight="1">
      <x:c r="A1666" s="27" t="str">
        <x:v>SCA-14</x:v>
      </x:c>
      <x:c r="B1666" s="27" t="str">
        <x:v>SCA-13</x:v>
      </x:c>
      <x:c r="C1666" s="27" t="str">
        <x:v>Rail</x:v>
      </x:c>
      <x:c r="D1666" s="27" t="str">
        <x:v>YES</x:v>
      </x:c>
      <x:c r="E1666" s="27" t="str">
        <x:v>YES</x:v>
      </x:c>
      <x:c r="F1666" s="61" t="n">
        <x:v>428.129628475718</x:v>
      </x:c>
      <x:c r="G1666" s="61" t="n">
        <x:v>32.11613754965312</x:v>
      </x:c>
      <x:c r="H1666" s="27" t="str">
        <x:v>YES</x:v>
      </x:c>
      <x:c r="I1666" s="27" t="str">
        <x:v>NARN shared-node topology; deployable terminal required</x:v>
      </x:c>
      <x:c r="J1666" s="27" t="str">
        <x:v>presence does not prove operability or capacity</x:v>
      </x:c>
    </x:row>
    <x:row r="1667" ht="54" hidden="0" customHeight="1">
      <x:c r="A1667" s="29" t="str">
        <x:v>SCA-14</x:v>
      </x:c>
      <x:c r="B1667" s="29" t="str">
        <x:v>SCA-13</x:v>
      </x:c>
      <x:c r="C1667" s="29" t="str">
        <x:v>Air</x:v>
      </x:c>
      <x:c r="D1667" s="29" t="str">
        <x:v>YES</x:v>
      </x:c>
      <x:c r="E1667" s="29" t="str">
        <x:v>YES</x:v>
      </x:c>
      <x:c r="F1667" s="62" t="n">
        <x:v>350.92592498009674</x:v>
      </x:c>
      <x:c r="G1667" s="62" t="n">
        <x:v>24.539886038430918</x:v>
      </x:c>
      <x:c r="H1667" s="29" t="str">
        <x:v>YES</x:v>
      </x:c>
      <x:c r="I1667" s="29" t="str">
        <x:v>primary-airport endpoints; great-circle screen</x:v>
      </x:c>
      <x:c r="J1667" s="29" t="str">
        <x:v>presence does not prove operability or capacity</x:v>
      </x:c>
    </x:row>
    <x:row r="1668" ht="75.5999984741211" hidden="0" customHeight="1">
      <x:c r="A1668" s="27" t="str">
        <x:v>SCA-14</x:v>
      </x:c>
      <x:c r="B1668" s="27" t="str">
        <x:v>SCA-13</x:v>
      </x:c>
      <x:c r="C1668" s="27" t="str">
        <x:v>Water</x:v>
      </x:c>
      <x:c r="D1668" s="27" t="str">
        <x:v>YES</x:v>
      </x:c>
      <x:c r="E1668" s="27" t="str">
        <x:v>YES</x:v>
      </x:c>
      <x:c r="F1668" s="61" t="n">
        <x:v>449.18518397452385</x:v>
      </x:c>
      <x:c r="G1668" s="61" t="n">
        <x:v>42.83386239927211</x:v>
      </x:c>
      <x:c r="H1668" s="27" t="str">
        <x:v>YES</x:v>
      </x:c>
      <x:c r="I1668" s="27" t="str">
        <x:v>USACE waterway node topology; deployable terminal required</x:v>
      </x:c>
      <x:c r="J1668" s="27" t="str">
        <x:v>presence does not prove operability or capacity</x:v>
      </x:c>
    </x:row>
    <x:row r="1669" ht="54" hidden="0" customHeight="1">
      <x:c r="A1669" s="29" t="str">
        <x:v>SCA-14</x:v>
      </x:c>
      <x:c r="B1669" s="29" t="str">
        <x:v>SCA-15</x:v>
      </x:c>
      <x:c r="C1669" s="29" t="str">
        <x:v>Road</x:v>
      </x:c>
      <x:c r="D1669" s="29" t="str">
        <x:v>NO</x:v>
      </x:c>
      <x:c r="E1669" s="29" t="str">
        <x:v>NO</x:v>
      </x:c>
      <x:c r="F1669" s="62"/>
      <x:c r="G1669" s="62"/>
      <x:c r="H1669" s="29" t="str">
        <x:v>NO</x:v>
      </x:c>
      <x:c r="I1669" s="29" t="str">
        <x:v>no screened path</x:v>
      </x:c>
      <x:c r="J1669" s="29" t="str">
        <x:v>presence does not prove operability or capacity</x:v>
      </x:c>
    </x:row>
    <x:row r="1670" ht="64.80000305175781" hidden="0" customHeight="1">
      <x:c r="A1670" s="27" t="str">
        <x:v>SCA-14</x:v>
      </x:c>
      <x:c r="B1670" s="27" t="str">
        <x:v>SCA-15</x:v>
      </x:c>
      <x:c r="C1670" s="27" t="str">
        <x:v>Rail</x:v>
      </x:c>
      <x:c r="D1670" s="27" t="str">
        <x:v>YES</x:v>
      </x:c>
      <x:c r="E1670" s="27" t="str">
        <x:v>YES</x:v>
      </x:c>
      <x:c r="F1670" s="61" t="n">
        <x:v>876.6998664287167</x:v>
      </x:c>
      <x:c r="G1670" s="61" t="n">
        <x:v>38.52428380612452</x:v>
      </x:c>
      <x:c r="H1670" s="27" t="str">
        <x:v>YES</x:v>
      </x:c>
      <x:c r="I1670" s="27" t="str">
        <x:v>NARN shared-node topology; deployable terminal required</x:v>
      </x:c>
      <x:c r="J1670" s="27" t="str">
        <x:v>presence does not prove operability or capacity</x:v>
      </x:c>
    </x:row>
    <x:row r="1671" ht="54" hidden="0" customHeight="1">
      <x:c r="A1671" s="29" t="str">
        <x:v>SCA-14</x:v>
      </x:c>
      <x:c r="B1671" s="29" t="str">
        <x:v>SCA-15</x:v>
      </x:c>
      <x:c r="C1671" s="29" t="str">
        <x:v>Air</x:v>
      </x:c>
      <x:c r="D1671" s="29" t="str">
        <x:v>YES</x:v>
      </x:c>
      <x:c r="E1671" s="29" t="str">
        <x:v>YES</x:v>
      </x:c>
      <x:c r="F1671" s="62" t="n">
        <x:v>704.4193646110778</x:v>
      </x:c>
      <x:c r="G1671" s="62" t="n">
        <x:v>25.08372209940166</x:v>
      </x:c>
      <x:c r="H1671" s="29" t="str">
        <x:v>YES</x:v>
      </x:c>
      <x:c r="I1671" s="29" t="str">
        <x:v>primary-airport endpoints; great-circle screen</x:v>
      </x:c>
      <x:c r="J1671" s="29" t="str">
        <x:v>presence does not prove operability or capacity</x:v>
      </x:c>
    </x:row>
    <x:row r="1672" ht="75.5999984741211" hidden="0" customHeight="1">
      <x:c r="A1672" s="27" t="str">
        <x:v>SCA-14</x:v>
      </x:c>
      <x:c r="B1672" s="27" t="str">
        <x:v>SCA-15</x:v>
      </x:c>
      <x:c r="C1672" s="27" t="str">
        <x:v>Water</x:v>
      </x:c>
      <x:c r="D1672" s="27" t="str">
        <x:v>YES</x:v>
      </x:c>
      <x:c r="E1672" s="27" t="str">
        <x:v>YES</x:v>
      </x:c>
      <x:c r="F1672" s="61" t="n">
        <x:v>1183.85038603955</x:v>
      </x:c>
      <x:c r="G1672" s="61" t="n">
        <x:v>63.82429674398714</x:v>
      </x:c>
      <x:c r="H1672" s="27" t="str">
        <x:v>YES</x:v>
      </x:c>
      <x:c r="I1672" s="27" t="str">
        <x:v>USACE waterway node topology; deployable terminal required</x:v>
      </x:c>
      <x:c r="J1672" s="27" t="str">
        <x:v>presence does not prove operability or capacity</x:v>
      </x:c>
    </x:row>
    <x:row r="1673" ht="54" hidden="0" customHeight="1">
      <x:c r="A1673" s="29" t="str">
        <x:v>SCA-14</x:v>
      </x:c>
      <x:c r="B1673" s="29" t="str">
        <x:v>SCA-16</x:v>
      </x:c>
      <x:c r="C1673" s="29" t="str">
        <x:v>Road</x:v>
      </x:c>
      <x:c r="D1673" s="29" t="str">
        <x:v>NO</x:v>
      </x:c>
      <x:c r="E1673" s="29" t="str">
        <x:v>NO</x:v>
      </x:c>
      <x:c r="F1673" s="62"/>
      <x:c r="G1673" s="62"/>
      <x:c r="H1673" s="29" t="str">
        <x:v>NO</x:v>
      </x:c>
      <x:c r="I1673" s="29" t="str">
        <x:v>no screened path</x:v>
      </x:c>
      <x:c r="J1673" s="29" t="str">
        <x:v>presence does not prove operability or capacity</x:v>
      </x:c>
    </x:row>
    <x:row r="1674" ht="64.80000305175781" hidden="0" customHeight="1">
      <x:c r="A1674" s="27" t="str">
        <x:v>SCA-14</x:v>
      </x:c>
      <x:c r="B1674" s="27" t="str">
        <x:v>SCA-16</x:v>
      </x:c>
      <x:c r="C1674" s="27" t="str">
        <x:v>Rail</x:v>
      </x:c>
      <x:c r="D1674" s="27" t="str">
        <x:v>YES</x:v>
      </x:c>
      <x:c r="E1674" s="27" t="str">
        <x:v>YES</x:v>
      </x:c>
      <x:c r="F1674" s="61" t="n">
        <x:v>1566.293395191904</x:v>
      </x:c>
      <x:c r="G1674" s="61" t="n">
        <x:v>48.37561993131291</x:v>
      </x:c>
      <x:c r="H1674" s="27" t="str">
        <x:v>YES</x:v>
      </x:c>
      <x:c r="I1674" s="27" t="str">
        <x:v>NARN shared-node topology; deployable terminal required</x:v>
      </x:c>
      <x:c r="J1674" s="27" t="str">
        <x:v>presence does not prove operability or capacity</x:v>
      </x:c>
    </x:row>
    <x:row r="1675" ht="54" hidden="0" customHeight="1">
      <x:c r="A1675" s="29" t="str">
        <x:v>SCA-14</x:v>
      </x:c>
      <x:c r="B1675" s="29" t="str">
        <x:v>SCA-16</x:v>
      </x:c>
      <x:c r="C1675" s="29" t="str">
        <x:v>Air</x:v>
      </x:c>
      <x:c r="D1675" s="29" t="str">
        <x:v>YES</x:v>
      </x:c>
      <x:c r="E1675" s="29" t="str">
        <x:v>YES</x:v>
      </x:c>
      <x:c r="F1675" s="62" t="n">
        <x:v>1268.137569369197</x:v>
      </x:c>
      <x:c r="G1675" s="62" t="n">
        <x:v>25.95098087595261</x:v>
      </x:c>
      <x:c r="H1675" s="29" t="str">
        <x:v>YES</x:v>
      </x:c>
      <x:c r="I1675" s="29" t="str">
        <x:v>primary-airport endpoints; great-circle screen</x:v>
      </x:c>
      <x:c r="J1675" s="29" t="str">
        <x:v>presence does not prove operability or capacity</x:v>
      </x:c>
    </x:row>
    <x:row r="1676" ht="75.5999984741211" hidden="0" customHeight="1">
      <x:c r="A1676" s="27" t="str">
        <x:v>SCA-14</x:v>
      </x:c>
      <x:c r="B1676" s="27" t="str">
        <x:v>SCA-16</x:v>
      </x:c>
      <x:c r="C1676" s="27" t="str">
        <x:v>Water</x:v>
      </x:c>
      <x:c r="D1676" s="27" t="str">
        <x:v>YES</x:v>
      </x:c>
      <x:c r="E1676" s="27" t="str">
        <x:v>YES</x:v>
      </x:c>
      <x:c r="F1676" s="61" t="n">
        <x:v>1907.3583506435493</x:v>
      </x:c>
      <x:c r="G1676" s="61" t="n">
        <x:v>84.49595287552998</x:v>
      </x:c>
      <x:c r="H1676" s="27" t="str">
        <x:v>NO</x:v>
      </x:c>
      <x:c r="I1676" s="27" t="str">
        <x:v>USACE waterway node topology; deployable terminal required</x:v>
      </x:c>
      <x:c r="J1676" s="27" t="str">
        <x:v>presence does not prove operability or capacity</x:v>
      </x:c>
    </x:row>
    <x:row r="1677" ht="54" hidden="0" customHeight="1">
      <x:c r="A1677" s="29" t="str">
        <x:v>SCA-14</x:v>
      </x:c>
      <x:c r="B1677" s="29" t="str">
        <x:v>SCA-17</x:v>
      </x:c>
      <x:c r="C1677" s="29" t="str">
        <x:v>Road</x:v>
      </x:c>
      <x:c r="D1677" s="29" t="str">
        <x:v>NO</x:v>
      </x:c>
      <x:c r="E1677" s="29" t="str">
        <x:v>NO</x:v>
      </x:c>
      <x:c r="F1677" s="62"/>
      <x:c r="G1677" s="62"/>
      <x:c r="H1677" s="29" t="str">
        <x:v>NO</x:v>
      </x:c>
      <x:c r="I1677" s="29" t="str">
        <x:v>no screened path</x:v>
      </x:c>
      <x:c r="J1677" s="29" t="str">
        <x:v>presence does not prove operability or capacity</x:v>
      </x:c>
    </x:row>
    <x:row r="1678" ht="64.80000305175781" hidden="0" customHeight="1">
      <x:c r="A1678" s="27" t="str">
        <x:v>SCA-14</x:v>
      </x:c>
      <x:c r="B1678" s="27" t="str">
        <x:v>SCA-17</x:v>
      </x:c>
      <x:c r="C1678" s="27" t="str">
        <x:v>Rail</x:v>
      </x:c>
      <x:c r="D1678" s="27" t="str">
        <x:v>YES</x:v>
      </x:c>
      <x:c r="E1678" s="27" t="str">
        <x:v>YES</x:v>
      </x:c>
      <x:c r="F1678" s="61" t="n">
        <x:v>886.7813519135227</x:v>
      </x:c>
      <x:c r="G1678" s="61" t="n">
        <x:v>38.66830502733604</x:v>
      </x:c>
      <x:c r="H1678" s="27" t="str">
        <x:v>YES</x:v>
      </x:c>
      <x:c r="I1678" s="27" t="str">
        <x:v>NARN shared-node topology; deployable terminal required</x:v>
      </x:c>
      <x:c r="J1678" s="27" t="str">
        <x:v>presence does not prove operability or capacity</x:v>
      </x:c>
    </x:row>
    <x:row r="1679" ht="54" hidden="0" customHeight="1">
      <x:c r="A1679" s="29" t="str">
        <x:v>SCA-14</x:v>
      </x:c>
      <x:c r="B1679" s="29" t="str">
        <x:v>SCA-17</x:v>
      </x:c>
      <x:c r="C1679" s="29" t="str">
        <x:v>Air</x:v>
      </x:c>
      <x:c r="D1679" s="29" t="str">
        <x:v>YES</x:v>
      </x:c>
      <x:c r="E1679" s="29" t="str">
        <x:v>YES</x:v>
      </x:c>
      <x:c r="F1679" s="62" t="n">
        <x:v>517.220163812554</x:v>
      </x:c>
      <x:c r="G1679" s="62" t="n">
        <x:v>24.79572332894239</x:v>
      </x:c>
      <x:c r="H1679" s="29" t="str">
        <x:v>YES</x:v>
      </x:c>
      <x:c r="I1679" s="29" t="str">
        <x:v>primary-airport endpoints; great-circle screen</x:v>
      </x:c>
      <x:c r="J1679" s="29" t="str">
        <x:v>presence does not prove operability or capacity</x:v>
      </x:c>
    </x:row>
    <x:row r="1680" ht="75.5999984741211" hidden="0" customHeight="1">
      <x:c r="A1680" s="27" t="str">
        <x:v>SCA-14</x:v>
      </x:c>
      <x:c r="B1680" s="27" t="str">
        <x:v>SCA-17</x:v>
      </x:c>
      <x:c r="C1680" s="27" t="str">
        <x:v>Water</x:v>
      </x:c>
      <x:c r="D1680" s="27" t="str">
        <x:v>YES</x:v>
      </x:c>
      <x:c r="E1680" s="27" t="str">
        <x:v>YES</x:v>
      </x:c>
      <x:c r="F1680" s="61" t="n">
        <x:v>662.0418096800692</x:v>
      </x:c>
      <x:c r="G1680" s="61" t="n">
        <x:v>48.915480276573405</x:v>
      </x:c>
      <x:c r="H1680" s="27" t="str">
        <x:v>YES</x:v>
      </x:c>
      <x:c r="I1680" s="27" t="str">
        <x:v>USACE waterway node topology; deployable terminal required</x:v>
      </x:c>
      <x:c r="J1680" s="27" t="str">
        <x:v>presence does not prove operability or capacity</x:v>
      </x:c>
    </x:row>
    <x:row r="1681" ht="54" hidden="0" customHeight="1">
      <x:c r="A1681" s="29" t="str">
        <x:v>SCA-14</x:v>
      </x:c>
      <x:c r="B1681" s="29" t="str">
        <x:v>SCA-18</x:v>
      </x:c>
      <x:c r="C1681" s="29" t="str">
        <x:v>Road</x:v>
      </x:c>
      <x:c r="D1681" s="29" t="str">
        <x:v>NO</x:v>
      </x:c>
      <x:c r="E1681" s="29" t="str">
        <x:v>NO</x:v>
      </x:c>
      <x:c r="F1681" s="62"/>
      <x:c r="G1681" s="62"/>
      <x:c r="H1681" s="29" t="str">
        <x:v>NO</x:v>
      </x:c>
      <x:c r="I1681" s="29" t="str">
        <x:v>no screened path</x:v>
      </x:c>
      <x:c r="J1681" s="29" t="str">
        <x:v>presence does not prove operability or capacity</x:v>
      </x:c>
    </x:row>
    <x:row r="1682" ht="64.80000305175781" hidden="0" customHeight="1">
      <x:c r="A1682" s="27" t="str">
        <x:v>SCA-14</x:v>
      </x:c>
      <x:c r="B1682" s="27" t="str">
        <x:v>SCA-18</x:v>
      </x:c>
      <x:c r="C1682" s="27" t="str">
        <x:v>Rail</x:v>
      </x:c>
      <x:c r="D1682" s="27" t="str">
        <x:v>YES</x:v>
      </x:c>
      <x:c r="E1682" s="27" t="str">
        <x:v>YES</x:v>
      </x:c>
      <x:c r="F1682" s="61" t="n">
        <x:v>2491.0504937435203</x:v>
      </x:c>
      <x:c r="G1682" s="61" t="n">
        <x:v>61.58643562490743</x:v>
      </x:c>
      <x:c r="H1682" s="27" t="str">
        <x:v>YES</x:v>
      </x:c>
      <x:c r="I1682" s="27" t="str">
        <x:v>NARN shared-node topology; deployable terminal required</x:v>
      </x:c>
      <x:c r="J1682" s="27" t="str">
        <x:v>presence does not prove operability or capacity</x:v>
      </x:c>
    </x:row>
    <x:row r="1683" ht="54" hidden="0" customHeight="1">
      <x:c r="A1683" s="29" t="str">
        <x:v>SCA-14</x:v>
      </x:c>
      <x:c r="B1683" s="29" t="str">
        <x:v>SCA-18</x:v>
      </x:c>
      <x:c r="C1683" s="29" t="str">
        <x:v>Air</x:v>
      </x:c>
      <x:c r="D1683" s="29" t="str">
        <x:v>YES</x:v>
      </x:c>
      <x:c r="E1683" s="29" t="str">
        <x:v>YES</x:v>
      </x:c>
      <x:c r="F1683" s="62" t="n">
        <x:v>2025.1006598092665</x:v>
      </x:c>
      <x:c r="G1683" s="62" t="n">
        <x:v>27.115539476629642</x:v>
      </x:c>
      <x:c r="H1683" s="29" t="str">
        <x:v>YES</x:v>
      </x:c>
      <x:c r="I1683" s="29" t="str">
        <x:v>primary-airport endpoints; great-circle screen</x:v>
      </x:c>
      <x:c r="J1683" s="29" t="str">
        <x:v>presence does not prove operability or capacity</x:v>
      </x:c>
    </x:row>
    <x:row r="1684" ht="75.5999984741211" hidden="0" customHeight="1">
      <x:c r="A1684" s="27" t="str">
        <x:v>SCA-14</x:v>
      </x:c>
      <x:c r="B1684" s="27" t="str">
        <x:v>SCA-18</x:v>
      </x:c>
      <x:c r="C1684" s="27" t="str">
        <x:v>Water</x:v>
      </x:c>
      <x:c r="D1684" s="27" t="str">
        <x:v>YES</x:v>
      </x:c>
      <x:c r="E1684" s="27" t="str">
        <x:v>YES</x:v>
      </x:c>
      <x:c r="F1684" s="61" t="n">
        <x:v>2877.595306500983</x:v>
      </x:c>
      <x:c r="G1684" s="61" t="n">
        <x:v>112.21700875717094</x:v>
      </x:c>
      <x:c r="H1684" s="27" t="str">
        <x:v>NO</x:v>
      </x:c>
      <x:c r="I1684" s="27" t="str">
        <x:v>USACE waterway node topology; deployable terminal required</x:v>
      </x:c>
      <x:c r="J1684" s="27" t="str">
        <x:v>presence does not prove operability or capacity</x:v>
      </x:c>
    </x:row>
    <x:row r="1685" ht="54" hidden="0" customHeight="1">
      <x:c r="A1685" s="29" t="str">
        <x:v>SCA-14</x:v>
      </x:c>
      <x:c r="B1685" s="29" t="str">
        <x:v>SCA-19</x:v>
      </x:c>
      <x:c r="C1685" s="29" t="str">
        <x:v>Road</x:v>
      </x:c>
      <x:c r="D1685" s="29" t="str">
        <x:v>NO</x:v>
      </x:c>
      <x:c r="E1685" s="29" t="str">
        <x:v>NO</x:v>
      </x:c>
      <x:c r="F1685" s="62"/>
      <x:c r="G1685" s="62"/>
      <x:c r="H1685" s="29" t="str">
        <x:v>NO</x:v>
      </x:c>
      <x:c r="I1685" s="29" t="str">
        <x:v>no screened path</x:v>
      </x:c>
      <x:c r="J1685" s="29" t="str">
        <x:v>presence does not prove operability or capacity</x:v>
      </x:c>
    </x:row>
    <x:row r="1686" ht="64.80000305175781" hidden="0" customHeight="1">
      <x:c r="A1686" s="27" t="str">
        <x:v>SCA-14</x:v>
      </x:c>
      <x:c r="B1686" s="27" t="str">
        <x:v>SCA-19</x:v>
      </x:c>
      <x:c r="C1686" s="27" t="str">
        <x:v>Rail</x:v>
      </x:c>
      <x:c r="D1686" s="27" t="str">
        <x:v>YES</x:v>
      </x:c>
      <x:c r="E1686" s="27" t="str">
        <x:v>YES</x:v>
      </x:c>
      <x:c r="F1686" s="61" t="n">
        <x:v>2119.5211449252947</x:v>
      </x:c>
      <x:c r="G1686" s="61" t="n">
        <x:v>56.27887349893278</x:v>
      </x:c>
      <x:c r="H1686" s="27" t="str">
        <x:v>YES</x:v>
      </x:c>
      <x:c r="I1686" s="27" t="str">
        <x:v>NARN shared-node topology; deployable terminal required</x:v>
      </x:c>
      <x:c r="J1686" s="27" t="str">
        <x:v>presence does not prove operability or capacity</x:v>
      </x:c>
    </x:row>
    <x:row r="1687" ht="54" hidden="0" customHeight="1">
      <x:c r="A1687" s="29" t="str">
        <x:v>SCA-14</x:v>
      </x:c>
      <x:c r="B1687" s="29" t="str">
        <x:v>SCA-19</x:v>
      </x:c>
      <x:c r="C1687" s="29" t="str">
        <x:v>Air</x:v>
      </x:c>
      <x:c r="D1687" s="29" t="str">
        <x:v>YES</x:v>
      </x:c>
      <x:c r="E1687" s="29" t="str">
        <x:v>YES</x:v>
      </x:c>
      <x:c r="F1687" s="62" t="n">
        <x:v>1481.373408299319</x:v>
      </x:c>
      <x:c r="G1687" s="62" t="n">
        <x:v>26.279036012768184</x:v>
      </x:c>
      <x:c r="H1687" s="29" t="str">
        <x:v>YES</x:v>
      </x:c>
      <x:c r="I1687" s="29" t="str">
        <x:v>primary-airport endpoints; great-circle screen</x:v>
      </x:c>
      <x:c r="J1687" s="29" t="str">
        <x:v>presence does not prove operability or capacity</x:v>
      </x:c>
    </x:row>
    <x:row r="1688" ht="75.5999984741211" hidden="0" customHeight="1">
      <x:c r="A1688" s="27" t="str">
        <x:v>SCA-14</x:v>
      </x:c>
      <x:c r="B1688" s="27" t="str">
        <x:v>SCA-19</x:v>
      </x:c>
      <x:c r="C1688" s="27" t="str">
        <x:v>Water</x:v>
      </x:c>
      <x:c r="D1688" s="27" t="str">
        <x:v>YES</x:v>
      </x:c>
      <x:c r="E1688" s="27" t="str">
        <x:v>YES</x:v>
      </x:c>
      <x:c r="F1688" s="61" t="n">
        <x:v>2099.9115606415176</x:v>
      </x:c>
      <x:c r="G1688" s="61" t="n">
        <x:v>89.9974731611862</x:v>
      </x:c>
      <x:c r="H1688" s="27" t="str">
        <x:v>NO</x:v>
      </x:c>
      <x:c r="I1688" s="27" t="str">
        <x:v>USACE waterway node topology; deployable terminal required</x:v>
      </x:c>
      <x:c r="J1688" s="27" t="str">
        <x:v>presence does not prove operability or capacity</x:v>
      </x:c>
    </x:row>
    <x:row r="1689" ht="54" hidden="0" customHeight="1">
      <x:c r="A1689" s="29" t="str">
        <x:v>SCA-14</x:v>
      </x:c>
      <x:c r="B1689" s="29" t="str">
        <x:v>SCA-20</x:v>
      </x:c>
      <x:c r="C1689" s="29" t="str">
        <x:v>Road</x:v>
      </x:c>
      <x:c r="D1689" s="29" t="str">
        <x:v>NO</x:v>
      </x:c>
      <x:c r="E1689" s="29" t="str">
        <x:v>NO</x:v>
      </x:c>
      <x:c r="F1689" s="62"/>
      <x:c r="G1689" s="62"/>
      <x:c r="H1689" s="29" t="str">
        <x:v>NO</x:v>
      </x:c>
      <x:c r="I1689" s="29" t="str">
        <x:v>no screened path</x:v>
      </x:c>
      <x:c r="J1689" s="29" t="str">
        <x:v>presence does not prove operability or capacity</x:v>
      </x:c>
    </x:row>
    <x:row r="1690" ht="64.80000305175781" hidden="0" customHeight="1">
      <x:c r="A1690" s="27" t="str">
        <x:v>SCA-14</x:v>
      </x:c>
      <x:c r="B1690" s="27" t="str">
        <x:v>SCA-20</x:v>
      </x:c>
      <x:c r="C1690" s="27" t="str">
        <x:v>Rail</x:v>
      </x:c>
      <x:c r="D1690" s="27" t="str">
        <x:v>YES</x:v>
      </x:c>
      <x:c r="E1690" s="27" t="str">
        <x:v>YES</x:v>
      </x:c>
      <x:c r="F1690" s="61" t="n">
        <x:v>1619.0890301462468</x:v>
      </x:c>
      <x:c r="G1690" s="61" t="n">
        <x:v>49.129843287803524</x:v>
      </x:c>
      <x:c r="H1690" s="27" t="str">
        <x:v>YES</x:v>
      </x:c>
      <x:c r="I1690" s="27" t="str">
        <x:v>NARN shared-node topology; deployable terminal required</x:v>
      </x:c>
      <x:c r="J1690" s="27" t="str">
        <x:v>presence does not prove operability or capacity</x:v>
      </x:c>
    </x:row>
    <x:row r="1691" ht="54" hidden="0" customHeight="1">
      <x:c r="A1691" s="29" t="str">
        <x:v>SCA-14</x:v>
      </x:c>
      <x:c r="B1691" s="29" t="str">
        <x:v>SCA-20</x:v>
      </x:c>
      <x:c r="C1691" s="29" t="str">
        <x:v>Air</x:v>
      </x:c>
      <x:c r="D1691" s="29" t="str">
        <x:v>YES</x:v>
      </x:c>
      <x:c r="E1691" s="29" t="str">
        <x:v>YES</x:v>
      </x:c>
      <x:c r="F1691" s="62" t="n">
        <x:v>1115.4371903991243</x:v>
      </x:c>
      <x:c r="G1691" s="62" t="n">
        <x:v>25.716057215998653</x:v>
      </x:c>
      <x:c r="H1691" s="29" t="str">
        <x:v>YES</x:v>
      </x:c>
      <x:c r="I1691" s="29" t="str">
        <x:v>primary-airport endpoints; great-circle screen</x:v>
      </x:c>
      <x:c r="J1691" s="29" t="str">
        <x:v>presence does not prove operability or capacity</x:v>
      </x:c>
    </x:row>
    <x:row r="1692" ht="75.5999984741211" hidden="0" customHeight="1">
      <x:c r="A1692" s="27" t="str">
        <x:v>SCA-14</x:v>
      </x:c>
      <x:c r="B1692" s="27" t="str">
        <x:v>SCA-20</x:v>
      </x:c>
      <x:c r="C1692" s="27" t="str">
        <x:v>Water</x:v>
      </x:c>
      <x:c r="D1692" s="27" t="str">
        <x:v>YES</x:v>
      </x:c>
      <x:c r="E1692" s="27" t="str">
        <x:v>YES</x:v>
      </x:c>
      <x:c r="F1692" s="61" t="n">
        <x:v>1430.3646196291566</x:v>
      </x:c>
      <x:c r="G1692" s="61" t="n">
        <x:v>70.86756056083304</x:v>
      </x:c>
      <x:c r="H1692" s="27" t="str">
        <x:v>YES</x:v>
      </x:c>
      <x:c r="I1692" s="27" t="str">
        <x:v>USACE waterway node topology; deployable terminal required</x:v>
      </x:c>
      <x:c r="J1692" s="27" t="str">
        <x:v>presence does not prove operability or capacity</x:v>
      </x:c>
    </x:row>
    <x:row r="1693" ht="54" hidden="0" customHeight="1">
      <x:c r="A1693" s="29" t="str">
        <x:v>SCA-14</x:v>
      </x:c>
      <x:c r="B1693" s="29" t="str">
        <x:v>SCA-21</x:v>
      </x:c>
      <x:c r="C1693" s="29" t="str">
        <x:v>Road</x:v>
      </x:c>
      <x:c r="D1693" s="29" t="str">
        <x:v>NO</x:v>
      </x:c>
      <x:c r="E1693" s="29" t="str">
        <x:v>NO</x:v>
      </x:c>
      <x:c r="F1693" s="62"/>
      <x:c r="G1693" s="62"/>
      <x:c r="H1693" s="29" t="str">
        <x:v>NO</x:v>
      </x:c>
      <x:c r="I1693" s="29" t="str">
        <x:v>no screened path</x:v>
      </x:c>
      <x:c r="J1693" s="29" t="str">
        <x:v>presence does not prove operability or capacity</x:v>
      </x:c>
    </x:row>
    <x:row r="1694" ht="64.80000305175781" hidden="0" customHeight="1">
      <x:c r="A1694" s="27" t="str">
        <x:v>SCA-14</x:v>
      </x:c>
      <x:c r="B1694" s="27" t="str">
        <x:v>SCA-21</x:v>
      </x:c>
      <x:c r="C1694" s="27" t="str">
        <x:v>Rail</x:v>
      </x:c>
      <x:c r="D1694" s="27" t="str">
        <x:v>YES</x:v>
      </x:c>
      <x:c r="E1694" s="27" t="str">
        <x:v>YES</x:v>
      </x:c>
      <x:c r="F1694" s="61" t="n">
        <x:v>2677.03712808497</x:v>
      </x:c>
      <x:c r="G1694" s="61" t="n">
        <x:v>64.243387544071</x:v>
      </x:c>
      <x:c r="H1694" s="27" t="str">
        <x:v>YES</x:v>
      </x:c>
      <x:c r="I1694" s="27" t="str">
        <x:v>NARN shared-node topology; deployable terminal required</x:v>
      </x:c>
      <x:c r="J1694" s="27" t="str">
        <x:v>presence does not prove operability or capacity</x:v>
      </x:c>
    </x:row>
    <x:row r="1695" ht="54" hidden="0" customHeight="1">
      <x:c r="A1695" s="29" t="str">
        <x:v>SCA-14</x:v>
      </x:c>
      <x:c r="B1695" s="29" t="str">
        <x:v>SCA-21</x:v>
      </x:c>
      <x:c r="C1695" s="29" t="str">
        <x:v>Air</x:v>
      </x:c>
      <x:c r="D1695" s="29" t="str">
        <x:v>YES</x:v>
      </x:c>
      <x:c r="E1695" s="29" t="str">
        <x:v>YES</x:v>
      </x:c>
      <x:c r="F1695" s="62" t="n">
        <x:v>1937.8144908211675</x:v>
      </x:c>
      <x:c r="G1695" s="62" t="n">
        <x:v>26.981253062801798</x:v>
      </x:c>
      <x:c r="H1695" s="29" t="str">
        <x:v>YES</x:v>
      </x:c>
      <x:c r="I1695" s="29" t="str">
        <x:v>primary-airport endpoints; great-circle screen</x:v>
      </x:c>
      <x:c r="J1695" s="29" t="str">
        <x:v>presence does not prove operability or capacity</x:v>
      </x:c>
    </x:row>
    <x:row r="1696" ht="75.5999984741211" hidden="0" customHeight="1">
      <x:c r="A1696" s="27" t="str">
        <x:v>SCA-14</x:v>
      </x:c>
      <x:c r="B1696" s="27" t="str">
        <x:v>SCA-21</x:v>
      </x:c>
      <x:c r="C1696" s="27" t="str">
        <x:v>Water</x:v>
      </x:c>
      <x:c r="D1696" s="27" t="str">
        <x:v>YES</x:v>
      </x:c>
      <x:c r="E1696" s="27" t="str">
        <x:v>YES</x:v>
      </x:c>
      <x:c r="F1696" s="61" t="n">
        <x:v>2684.846362645111</x:v>
      </x:c>
      <x:c r="G1696" s="61" t="n">
        <x:v>106.7098960755746</x:v>
      </x:c>
      <x:c r="H1696" s="27" t="str">
        <x:v>NO</x:v>
      </x:c>
      <x:c r="I1696" s="27" t="str">
        <x:v>USACE waterway node topology; deployable terminal required</x:v>
      </x:c>
      <x:c r="J1696" s="27" t="str">
        <x:v>presence does not prove operability or capacity</x:v>
      </x:c>
    </x:row>
    <x:row r="1697" ht="54" hidden="0" customHeight="1">
      <x:c r="A1697" s="29" t="str">
        <x:v>SCA-14</x:v>
      </x:c>
      <x:c r="B1697" s="29" t="str">
        <x:v>SCA-22</x:v>
      </x:c>
      <x:c r="C1697" s="29" t="str">
        <x:v>Road</x:v>
      </x:c>
      <x:c r="D1697" s="29" t="str">
        <x:v>NO</x:v>
      </x:c>
      <x:c r="E1697" s="29" t="str">
        <x:v>NO</x:v>
      </x:c>
      <x:c r="F1697" s="62"/>
      <x:c r="G1697" s="62"/>
      <x:c r="H1697" s="29" t="str">
        <x:v>NO</x:v>
      </x:c>
      <x:c r="I1697" s="29" t="str">
        <x:v>no screened path</x:v>
      </x:c>
      <x:c r="J1697" s="29" t="str">
        <x:v>presence does not prove operability or capacity</x:v>
      </x:c>
    </x:row>
    <x:row r="1698" ht="64.80000305175781" hidden="0" customHeight="1">
      <x:c r="A1698" s="27" t="str">
        <x:v>SCA-14</x:v>
      </x:c>
      <x:c r="B1698" s="27" t="str">
        <x:v>SCA-22</x:v>
      </x:c>
      <x:c r="C1698" s="27" t="str">
        <x:v>Rail</x:v>
      </x:c>
      <x:c r="D1698" s="27" t="str">
        <x:v>YES</x:v>
      </x:c>
      <x:c r="E1698" s="27" t="str">
        <x:v>YES</x:v>
      </x:c>
      <x:c r="F1698" s="61" t="n">
        <x:v>2392.9826430769494</x:v>
      </x:c>
      <x:c r="G1698" s="61" t="n">
        <x:v>60.1854663296707</x:v>
      </x:c>
      <x:c r="H1698" s="27" t="str">
        <x:v>YES</x:v>
      </x:c>
      <x:c r="I1698" s="27" t="str">
        <x:v>NARN shared-node topology; deployable terminal required</x:v>
      </x:c>
      <x:c r="J1698" s="27" t="str">
        <x:v>presence does not prove operability or capacity</x:v>
      </x:c>
    </x:row>
    <x:row r="1699" ht="54" hidden="0" customHeight="1">
      <x:c r="A1699" s="29" t="str">
        <x:v>SCA-14</x:v>
      </x:c>
      <x:c r="B1699" s="29" t="str">
        <x:v>SCA-22</x:v>
      </x:c>
      <x:c r="C1699" s="29" t="str">
        <x:v>Air</x:v>
      </x:c>
      <x:c r="D1699" s="29" t="str">
        <x:v>YES</x:v>
      </x:c>
      <x:c r="E1699" s="29" t="str">
        <x:v>YES</x:v>
      </x:c>
      <x:c r="F1699" s="62" t="n">
        <x:v>1747.5270982124475</x:v>
      </x:c>
      <x:c r="G1699" s="62" t="n">
        <x:v>26.68850322801915</x:v>
      </x:c>
      <x:c r="H1699" s="29" t="str">
        <x:v>YES</x:v>
      </x:c>
      <x:c r="I1699" s="29" t="str">
        <x:v>primary-airport endpoints; great-circle screen</x:v>
      </x:c>
      <x:c r="J1699" s="29" t="str">
        <x:v>presence does not prove operability or capacity</x:v>
      </x:c>
    </x:row>
    <x:row r="1700" ht="75.5999984741211" hidden="0" customHeight="1">
      <x:c r="A1700" s="27" t="str">
        <x:v>SCA-14</x:v>
      </x:c>
      <x:c r="B1700" s="27" t="str">
        <x:v>SCA-22</x:v>
      </x:c>
      <x:c r="C1700" s="27" t="str">
        <x:v>Water</x:v>
      </x:c>
      <x:c r="D1700" s="27" t="str">
        <x:v>YES</x:v>
      </x:c>
      <x:c r="E1700" s="27" t="str">
        <x:v>YES</x:v>
      </x:c>
      <x:c r="F1700" s="61" t="n">
        <x:v>2242.318574179402</x:v>
      </x:c>
      <x:c r="G1700" s="61" t="n">
        <x:v>94.06624497655434</x:v>
      </x:c>
      <x:c r="H1700" s="27" t="str">
        <x:v>NO</x:v>
      </x:c>
      <x:c r="I1700" s="27" t="str">
        <x:v>USACE waterway node topology; deployable terminal required</x:v>
      </x:c>
      <x:c r="J1700" s="27" t="str">
        <x:v>presence does not prove operability or capacity</x:v>
      </x:c>
    </x:row>
    <x:row r="1701" ht="54" hidden="0" customHeight="1">
      <x:c r="A1701" s="29" t="str">
        <x:v>SCA-14</x:v>
      </x:c>
      <x:c r="B1701" s="29" t="str">
        <x:v>SCA-23</x:v>
      </x:c>
      <x:c r="C1701" s="29" t="str">
        <x:v>Road</x:v>
      </x:c>
      <x:c r="D1701" s="29" t="str">
        <x:v>NO</x:v>
      </x:c>
      <x:c r="E1701" s="29" t="str">
        <x:v>NO</x:v>
      </x:c>
      <x:c r="F1701" s="62"/>
      <x:c r="G1701" s="62"/>
      <x:c r="H1701" s="29" t="str">
        <x:v>NO</x:v>
      </x:c>
      <x:c r="I1701" s="29" t="str">
        <x:v>no screened path</x:v>
      </x:c>
      <x:c r="J1701" s="29" t="str">
        <x:v>presence does not prove operability or capacity</x:v>
      </x:c>
    </x:row>
    <x:row r="1702" ht="64.80000305175781" hidden="0" customHeight="1">
      <x:c r="A1702" s="27" t="str">
        <x:v>SCA-14</x:v>
      </x:c>
      <x:c r="B1702" s="27" t="str">
        <x:v>SCA-23</x:v>
      </x:c>
      <x:c r="C1702" s="27" t="str">
        <x:v>Rail</x:v>
      </x:c>
      <x:c r="D1702" s="27" t="str">
        <x:v>YES</x:v>
      </x:c>
      <x:c r="E1702" s="27" t="str">
        <x:v>YES</x:v>
      </x:c>
      <x:c r="F1702" s="61" t="n">
        <x:v>2233.8618757949585</x:v>
      </x:c>
      <x:c r="G1702" s="61" t="n">
        <x:v>57.91231251135655</x:v>
      </x:c>
      <x:c r="H1702" s="27" t="str">
        <x:v>YES</x:v>
      </x:c>
      <x:c r="I1702" s="27" t="str">
        <x:v>NARN shared-node topology; deployable terminal required</x:v>
      </x:c>
      <x:c r="J1702" s="27" t="str">
        <x:v>presence does not prove operability or capacity</x:v>
      </x:c>
    </x:row>
    <x:row r="1703" ht="54" hidden="0" customHeight="1">
      <x:c r="A1703" s="29" t="str">
        <x:v>SCA-14</x:v>
      </x:c>
      <x:c r="B1703" s="29" t="str">
        <x:v>SCA-23</x:v>
      </x:c>
      <x:c r="C1703" s="29" t="str">
        <x:v>Air</x:v>
      </x:c>
      <x:c r="D1703" s="29" t="str">
        <x:v>YES</x:v>
      </x:c>
      <x:c r="E1703" s="29" t="str">
        <x:v>YES</x:v>
      </x:c>
      <x:c r="F1703" s="62" t="n">
        <x:v>1509.3000859141885</x:v>
      </x:c>
      <x:c r="G1703" s="62" t="n">
        <x:v>26.322000132175674</x:v>
      </x:c>
      <x:c r="H1703" s="29" t="str">
        <x:v>YES</x:v>
      </x:c>
      <x:c r="I1703" s="29" t="str">
        <x:v>primary-airport endpoints; great-circle screen</x:v>
      </x:c>
      <x:c r="J1703" s="29" t="str">
        <x:v>presence does not prove operability or capacity</x:v>
      </x:c>
    </x:row>
    <x:row r="1704" ht="75.5999984741211" hidden="0" customHeight="1">
      <x:c r="A1704" s="27" t="str">
        <x:v>SCA-14</x:v>
      </x:c>
      <x:c r="B1704" s="27" t="str">
        <x:v>SCA-23</x:v>
      </x:c>
      <x:c r="C1704" s="27" t="str">
        <x:v>Water</x:v>
      </x:c>
      <x:c r="D1704" s="27" t="str">
        <x:v>YES</x:v>
      </x:c>
      <x:c r="E1704" s="27" t="str">
        <x:v>YES</x:v>
      </x:c>
      <x:c r="F1704" s="61" t="n">
        <x:v>2075.3721953917393</x:v>
      </x:c>
      <x:c r="G1704" s="61" t="n">
        <x:v>89.29634843976399</x:v>
      </x:c>
      <x:c r="H1704" s="27" t="str">
        <x:v>NO</x:v>
      </x:c>
      <x:c r="I1704" s="27" t="str">
        <x:v>USACE waterway node topology; deployable terminal required</x:v>
      </x:c>
      <x:c r="J1704" s="27" t="str">
        <x:v>presence does not prove operability or capacity</x:v>
      </x:c>
    </x:row>
    <x:row r="1705" ht="54" hidden="0" customHeight="1">
      <x:c r="A1705" s="29" t="str">
        <x:v>SCA-14</x:v>
      </x:c>
      <x:c r="B1705" s="29" t="str">
        <x:v>SCA-24</x:v>
      </x:c>
      <x:c r="C1705" s="29" t="str">
        <x:v>Road</x:v>
      </x:c>
      <x:c r="D1705" s="29" t="str">
        <x:v>NO</x:v>
      </x:c>
      <x:c r="E1705" s="29" t="str">
        <x:v>NO</x:v>
      </x:c>
      <x:c r="F1705" s="62"/>
      <x:c r="G1705" s="62"/>
      <x:c r="H1705" s="29" t="str">
        <x:v>NO</x:v>
      </x:c>
      <x:c r="I1705" s="29" t="str">
        <x:v>no screened path</x:v>
      </x:c>
      <x:c r="J1705" s="29" t="str">
        <x:v>presence does not prove operability or capacity</x:v>
      </x:c>
    </x:row>
    <x:row r="1706" ht="64.80000305175781" hidden="0" customHeight="1">
      <x:c r="A1706" s="27" t="str">
        <x:v>SCA-14</x:v>
      </x:c>
      <x:c r="B1706" s="27" t="str">
        <x:v>SCA-24</x:v>
      </x:c>
      <x:c r="C1706" s="27" t="str">
        <x:v>Rail</x:v>
      </x:c>
      <x:c r="D1706" s="27" t="str">
        <x:v>YES</x:v>
      </x:c>
      <x:c r="E1706" s="27" t="str">
        <x:v>YES</x:v>
      </x:c>
      <x:c r="F1706" s="61" t="n">
        <x:v>2961.4097934533747</x:v>
      </x:c>
      <x:c r="G1706" s="61" t="n">
        <x:v>68.30585419219108</x:v>
      </x:c>
      <x:c r="H1706" s="27" t="str">
        <x:v>YES</x:v>
      </x:c>
      <x:c r="I1706" s="27" t="str">
        <x:v>NARN shared-node topology; deployable terminal required</x:v>
      </x:c>
      <x:c r="J1706" s="27" t="str">
        <x:v>presence does not prove operability or capacity</x:v>
      </x:c>
    </x:row>
    <x:row r="1707" ht="54" hidden="0" customHeight="1">
      <x:c r="A1707" s="29" t="str">
        <x:v>SCA-14</x:v>
      </x:c>
      <x:c r="B1707" s="29" t="str">
        <x:v>SCA-24</x:v>
      </x:c>
      <x:c r="C1707" s="29" t="str">
        <x:v>Air</x:v>
      </x:c>
      <x:c r="D1707" s="29" t="str">
        <x:v>YES</x:v>
      </x:c>
      <x:c r="E1707" s="29" t="str">
        <x:v>YES</x:v>
      </x:c>
      <x:c r="F1707" s="62" t="n">
        <x:v>2161.9977174227574</x:v>
      </x:c>
      <x:c r="G1707" s="62" t="n">
        <x:v>27.32615033449655</x:v>
      </x:c>
      <x:c r="H1707" s="29" t="str">
        <x:v>YES</x:v>
      </x:c>
      <x:c r="I1707" s="29" t="str">
        <x:v>primary-airport endpoints; great-circle screen</x:v>
      </x:c>
      <x:c r="J1707" s="29" t="str">
        <x:v>presence does not prove operability or capacity</x:v>
      </x:c>
    </x:row>
    <x:row r="1708" ht="75.5999984741211" hidden="0" customHeight="1">
      <x:c r="A1708" s="27" t="str">
        <x:v>SCA-14</x:v>
      </x:c>
      <x:c r="B1708" s="27" t="str">
        <x:v>SCA-24</x:v>
      </x:c>
      <x:c r="C1708" s="27" t="str">
        <x:v>Water</x:v>
      </x:c>
      <x:c r="D1708" s="27" t="str">
        <x:v>YES</x:v>
      </x:c>
      <x:c r="E1708" s="27" t="str">
        <x:v>YES</x:v>
      </x:c>
      <x:c r="F1708" s="61" t="n">
        <x:v>3126.991813122231</x:v>
      </x:c>
      <x:c r="G1708" s="61" t="n">
        <x:v>119.34262323206374</x:v>
      </x:c>
      <x:c r="H1708" s="27" t="str">
        <x:v>NO</x:v>
      </x:c>
      <x:c r="I1708" s="27" t="str">
        <x:v>USACE waterway node topology; deployable terminal required</x:v>
      </x:c>
      <x:c r="J1708" s="27" t="str">
        <x:v>presence does not prove operability or capacity</x:v>
      </x:c>
    </x:row>
    <x:row r="1709" ht="54" hidden="0" customHeight="1">
      <x:c r="A1709" s="29" t="str">
        <x:v>SCA-14</x:v>
      </x:c>
      <x:c r="B1709" s="29" t="str">
        <x:v>SCA-25</x:v>
      </x:c>
      <x:c r="C1709" s="29" t="str">
        <x:v>Road</x:v>
      </x:c>
      <x:c r="D1709" s="29" t="str">
        <x:v>NO</x:v>
      </x:c>
      <x:c r="E1709" s="29" t="str">
        <x:v>NO</x:v>
      </x:c>
      <x:c r="F1709" s="62"/>
      <x:c r="G1709" s="62"/>
      <x:c r="H1709" s="29" t="str">
        <x:v>NO</x:v>
      </x:c>
      <x:c r="I1709" s="29" t="str">
        <x:v>no screened path</x:v>
      </x:c>
      <x:c r="J1709" s="29" t="str">
        <x:v>presence does not prove operability or capacity</x:v>
      </x:c>
    </x:row>
    <x:row r="1710" ht="64.80000305175781" hidden="0" customHeight="1">
      <x:c r="A1710" s="27" t="str">
        <x:v>SCA-14</x:v>
      </x:c>
      <x:c r="B1710" s="27" t="str">
        <x:v>SCA-25</x:v>
      </x:c>
      <x:c r="C1710" s="27" t="str">
        <x:v>Rail</x:v>
      </x:c>
      <x:c r="D1710" s="27" t="str">
        <x:v>YES</x:v>
      </x:c>
      <x:c r="E1710" s="27" t="str">
        <x:v>YES</x:v>
      </x:c>
      <x:c r="F1710" s="61" t="n">
        <x:v>2758.551179709494</x:v>
      </x:c>
      <x:c r="G1710" s="61" t="n">
        <x:v>65.40787399584991</x:v>
      </x:c>
      <x:c r="H1710" s="27" t="str">
        <x:v>YES</x:v>
      </x:c>
      <x:c r="I1710" s="27" t="str">
        <x:v>NARN shared-node topology; deployable terminal required</x:v>
      </x:c>
      <x:c r="J1710" s="27" t="str">
        <x:v>presence does not prove operability or capacity</x:v>
      </x:c>
    </x:row>
    <x:row r="1711" ht="54" hidden="0" customHeight="1">
      <x:c r="A1711" s="29" t="str">
        <x:v>SCA-14</x:v>
      </x:c>
      <x:c r="B1711" s="29" t="str">
        <x:v>SCA-25</x:v>
      </x:c>
      <x:c r="C1711" s="29" t="str">
        <x:v>Air</x:v>
      </x:c>
      <x:c r="D1711" s="29" t="str">
        <x:v>YES</x:v>
      </x:c>
      <x:c r="E1711" s="29" t="str">
        <x:v>YES</x:v>
      </x:c>
      <x:c r="F1711" s="62" t="n">
        <x:v>1612.0788255382108</x:v>
      </x:c>
      <x:c r="G1711" s="62" t="n">
        <x:v>26.480121270058785</x:v>
      </x:c>
      <x:c r="H1711" s="29" t="str">
        <x:v>YES</x:v>
      </x:c>
      <x:c r="I1711" s="29" t="str">
        <x:v>primary-airport endpoints; great-circle screen</x:v>
      </x:c>
      <x:c r="J1711" s="29" t="str">
        <x:v>presence does not prove operability or capacity</x:v>
      </x:c>
    </x:row>
    <x:row r="1712" ht="75.5999984741211" hidden="0" customHeight="1">
      <x:c r="A1712" s="27" t="str">
        <x:v>SCA-14</x:v>
      </x:c>
      <x:c r="B1712" s="27" t="str">
        <x:v>SCA-25</x:v>
      </x:c>
      <x:c r="C1712" s="27" t="str">
        <x:v>Water</x:v>
      </x:c>
      <x:c r="D1712" s="27" t="str">
        <x:v>YES</x:v>
      </x:c>
      <x:c r="E1712" s="27" t="str">
        <x:v>YES</x:v>
      </x:c>
      <x:c r="F1712" s="61" t="n">
        <x:v>2507.3695549809327</x:v>
      </x:c>
      <x:c r="G1712" s="61" t="n">
        <x:v>101.63913014231237</x:v>
      </x:c>
      <x:c r="H1712" s="27" t="str">
        <x:v>NO</x:v>
      </x:c>
      <x:c r="I1712" s="27" t="str">
        <x:v>USACE waterway node topology; deployable terminal required</x:v>
      </x:c>
      <x:c r="J1712" s="27" t="str">
        <x:v>presence does not prove operability or capacity</x:v>
      </x:c>
    </x:row>
    <x:row r="1713" ht="54" hidden="0" customHeight="1">
      <x:c r="A1713" s="29" t="str">
        <x:v>SCA-14</x:v>
      </x:c>
      <x:c r="B1713" s="29" t="str">
        <x:v>SCA-26</x:v>
      </x:c>
      <x:c r="C1713" s="29" t="str">
        <x:v>Road</x:v>
      </x:c>
      <x:c r="D1713" s="29" t="str">
        <x:v>NO</x:v>
      </x:c>
      <x:c r="E1713" s="29" t="str">
        <x:v>NO</x:v>
      </x:c>
      <x:c r="F1713" s="62"/>
      <x:c r="G1713" s="62"/>
      <x:c r="H1713" s="29" t="str">
        <x:v>NO</x:v>
      </x:c>
      <x:c r="I1713" s="29" t="str">
        <x:v>no screened path</x:v>
      </x:c>
      <x:c r="J1713" s="29" t="str">
        <x:v>presence does not prove operability or capacity</x:v>
      </x:c>
    </x:row>
    <x:row r="1714" ht="64.80000305175781" hidden="0" customHeight="1">
      <x:c r="A1714" s="27" t="str">
        <x:v>SCA-14</x:v>
      </x:c>
      <x:c r="B1714" s="27" t="str">
        <x:v>SCA-26</x:v>
      </x:c>
      <x:c r="C1714" s="27" t="str">
        <x:v>Rail</x:v>
      </x:c>
      <x:c r="D1714" s="27" t="str">
        <x:v>YES</x:v>
      </x:c>
      <x:c r="E1714" s="27" t="str">
        <x:v>YES</x:v>
      </x:c>
      <x:c r="F1714" s="61" t="n">
        <x:v>3107.04625452087</x:v>
      </x:c>
      <x:c r="G1714" s="61" t="n">
        <x:v>70.38637506458386</x:v>
      </x:c>
      <x:c r="H1714" s="27" t="str">
        <x:v>YES</x:v>
      </x:c>
      <x:c r="I1714" s="27" t="str">
        <x:v>NARN shared-node topology; deployable terminal required</x:v>
      </x:c>
      <x:c r="J1714" s="27" t="str">
        <x:v>presence does not prove operability or capacity</x:v>
      </x:c>
    </x:row>
    <x:row r="1715" ht="54" hidden="0" customHeight="1">
      <x:c r="A1715" s="29" t="str">
        <x:v>SCA-14</x:v>
      </x:c>
      <x:c r="B1715" s="29" t="str">
        <x:v>SCA-26</x:v>
      </x:c>
      <x:c r="C1715" s="29" t="str">
        <x:v>Air</x:v>
      </x:c>
      <x:c r="D1715" s="29" t="str">
        <x:v>YES</x:v>
      </x:c>
      <x:c r="E1715" s="29" t="str">
        <x:v>YES</x:v>
      </x:c>
      <x:c r="F1715" s="62" t="n">
        <x:v>1604.3460098962796</x:v>
      </x:c>
      <x:c r="G1715" s="62" t="n">
        <x:v>26.46822463060966</x:v>
      </x:c>
      <x:c r="H1715" s="29" t="str">
        <x:v>YES</x:v>
      </x:c>
      <x:c r="I1715" s="29" t="str">
        <x:v>primary-airport endpoints; great-circle screen</x:v>
      </x:c>
      <x:c r="J1715" s="29" t="str">
        <x:v>presence does not prove operability or capacity</x:v>
      </x:c>
    </x:row>
    <x:row r="1716" ht="75.5999984741211" hidden="0" customHeight="1">
      <x:c r="A1716" s="27" t="str">
        <x:v>SCA-14</x:v>
      </x:c>
      <x:c r="B1716" s="27" t="str">
        <x:v>SCA-26</x:v>
      </x:c>
      <x:c r="C1716" s="27" t="str">
        <x:v>Water</x:v>
      </x:c>
      <x:c r="D1716" s="27" t="str">
        <x:v>YES</x:v>
      </x:c>
      <x:c r="E1716" s="27" t="str">
        <x:v>YES</x:v>
      </x:c>
      <x:c r="F1716" s="61" t="n">
        <x:v>2229.02945078364</x:v>
      </x:c>
      <x:c r="G1716" s="61" t="n">
        <x:v>93.68655573667544</x:v>
      </x:c>
      <x:c r="H1716" s="27" t="str">
        <x:v>NO</x:v>
      </x:c>
      <x:c r="I1716" s="27" t="str">
        <x:v>USACE waterway node topology; deployable terminal required</x:v>
      </x:c>
      <x:c r="J1716" s="27" t="str">
        <x:v>presence does not prove operability or capacity</x:v>
      </x:c>
    </x:row>
    <x:row r="1717" ht="54" hidden="0" customHeight="1">
      <x:c r="A1717" s="29" t="str">
        <x:v>SCA-14</x:v>
      </x:c>
      <x:c r="B1717" s="29" t="str">
        <x:v>SCA-27</x:v>
      </x:c>
      <x:c r="C1717" s="29" t="str">
        <x:v>Road</x:v>
      </x:c>
      <x:c r="D1717" s="29" t="str">
        <x:v>NO</x:v>
      </x:c>
      <x:c r="E1717" s="29" t="str">
        <x:v>NO</x:v>
      </x:c>
      <x:c r="F1717" s="62"/>
      <x:c r="G1717" s="62"/>
      <x:c r="H1717" s="29" t="str">
        <x:v>NO</x:v>
      </x:c>
      <x:c r="I1717" s="29" t="str">
        <x:v>no screened path</x:v>
      </x:c>
      <x:c r="J1717" s="29" t="str">
        <x:v>presence does not prove operability or capacity</x:v>
      </x:c>
    </x:row>
    <x:row r="1718" ht="64.80000305175781" hidden="0" customHeight="1">
      <x:c r="A1718" s="27" t="str">
        <x:v>SCA-14</x:v>
      </x:c>
      <x:c r="B1718" s="27" t="str">
        <x:v>SCA-27</x:v>
      </x:c>
      <x:c r="C1718" s="27" t="str">
        <x:v>Rail</x:v>
      </x:c>
      <x:c r="D1718" s="27" t="str">
        <x:v>YES</x:v>
      </x:c>
      <x:c r="E1718" s="27" t="str">
        <x:v>YES</x:v>
      </x:c>
      <x:c r="F1718" s="61" t="n">
        <x:v>3403.69536949987</x:v>
      </x:c>
      <x:c r="G1718" s="61" t="n">
        <x:v>74.62421956428386</x:v>
      </x:c>
      <x:c r="H1718" s="27" t="str">
        <x:v>NO</x:v>
      </x:c>
      <x:c r="I1718" s="27" t="str">
        <x:v>NARN shared-node topology; deployable terminal required</x:v>
      </x:c>
      <x:c r="J1718" s="27" t="str">
        <x:v>presence does not prove operability or capacity</x:v>
      </x:c>
    </x:row>
    <x:row r="1719" ht="54" hidden="0" customHeight="1">
      <x:c r="A1719" s="29" t="str">
        <x:v>SCA-14</x:v>
      </x:c>
      <x:c r="B1719" s="29" t="str">
        <x:v>SCA-27</x:v>
      </x:c>
      <x:c r="C1719" s="29" t="str">
        <x:v>Air</x:v>
      </x:c>
      <x:c r="D1719" s="29" t="str">
        <x:v>YES</x:v>
      </x:c>
      <x:c r="E1719" s="29" t="str">
        <x:v>YES</x:v>
      </x:c>
      <x:c r="F1719" s="62" t="n">
        <x:v>1747.5876929823921</x:v>
      </x:c>
      <x:c r="G1719" s="62" t="n">
        <x:v>26.688596450742143</x:v>
      </x:c>
      <x:c r="H1719" s="29" t="str">
        <x:v>YES</x:v>
      </x:c>
      <x:c r="I1719" s="29" t="str">
        <x:v>primary-airport endpoints; great-circle screen</x:v>
      </x:c>
      <x:c r="J1719" s="29" t="str">
        <x:v>presence does not prove operability or capacity</x:v>
      </x:c>
    </x:row>
    <x:row r="1720" ht="75.5999984741211" hidden="0" customHeight="1">
      <x:c r="A1720" s="27" t="str">
        <x:v>SCA-14</x:v>
      </x:c>
      <x:c r="B1720" s="27" t="str">
        <x:v>SCA-27</x:v>
      </x:c>
      <x:c r="C1720" s="27" t="str">
        <x:v>Water</x:v>
      </x:c>
      <x:c r="D1720" s="27" t="str">
        <x:v>YES</x:v>
      </x:c>
      <x:c r="E1720" s="27" t="str">
        <x:v>YES</x:v>
      </x:c>
      <x:c r="F1720" s="61" t="n">
        <x:v>2236.912247017462</x:v>
      </x:c>
      <x:c r="G1720" s="61" t="n">
        <x:v>93.9117784862132</x:v>
      </x:c>
      <x:c r="H1720" s="27" t="str">
        <x:v>NO</x:v>
      </x:c>
      <x:c r="I1720" s="27" t="str">
        <x:v>USACE waterway node topology; deployable terminal required</x:v>
      </x:c>
      <x:c r="J1720" s="27" t="str">
        <x:v>presence does not prove operability or capacity</x:v>
      </x:c>
    </x:row>
    <x:row r="1721" ht="54" hidden="0" customHeight="1">
      <x:c r="A1721" s="29" t="str">
        <x:v>SCA-14</x:v>
      </x:c>
      <x:c r="B1721" s="29" t="str">
        <x:v>SCA-28</x:v>
      </x:c>
      <x:c r="C1721" s="29" t="str">
        <x:v>Road</x:v>
      </x:c>
      <x:c r="D1721" s="29" t="str">
        <x:v>NO</x:v>
      </x:c>
      <x:c r="E1721" s="29" t="str">
        <x:v>NO</x:v>
      </x:c>
      <x:c r="F1721" s="62"/>
      <x:c r="G1721" s="62"/>
      <x:c r="H1721" s="29" t="str">
        <x:v>NO</x:v>
      </x:c>
      <x:c r="I1721" s="29" t="str">
        <x:v>no screened path</x:v>
      </x:c>
      <x:c r="J1721" s="29" t="str">
        <x:v>presence does not prove operability or capacity</x:v>
      </x:c>
    </x:row>
    <x:row r="1722" ht="64.80000305175781" hidden="0" customHeight="1">
      <x:c r="A1722" s="27" t="str">
        <x:v>SCA-14</x:v>
      </x:c>
      <x:c r="B1722" s="27" t="str">
        <x:v>SCA-28</x:v>
      </x:c>
      <x:c r="C1722" s="27" t="str">
        <x:v>Rail</x:v>
      </x:c>
      <x:c r="D1722" s="27" t="str">
        <x:v>YES</x:v>
      </x:c>
      <x:c r="E1722" s="27" t="str">
        <x:v>YES</x:v>
      </x:c>
      <x:c r="F1722" s="61" t="n">
        <x:v>3076.8774864008565</x:v>
      </x:c>
      <x:c r="G1722" s="61" t="n">
        <x:v>69.95539266286937</x:v>
      </x:c>
      <x:c r="H1722" s="27" t="str">
        <x:v>YES</x:v>
      </x:c>
      <x:c r="I1722" s="27" t="str">
        <x:v>NARN shared-node topology; deployable terminal required</x:v>
      </x:c>
      <x:c r="J1722" s="27" t="str">
        <x:v>presence does not prove operability or capacity</x:v>
      </x:c>
    </x:row>
    <x:row r="1723" ht="54" hidden="0" customHeight="1">
      <x:c r="A1723" s="29" t="str">
        <x:v>SCA-14</x:v>
      </x:c>
      <x:c r="B1723" s="29" t="str">
        <x:v>SCA-28</x:v>
      </x:c>
      <x:c r="C1723" s="29" t="str">
        <x:v>Air</x:v>
      </x:c>
      <x:c r="D1723" s="29" t="str">
        <x:v>YES</x:v>
      </x:c>
      <x:c r="E1723" s="29" t="str">
        <x:v>YES</x:v>
      </x:c>
      <x:c r="F1723" s="62" t="n">
        <x:v>2286.456660549601</x:v>
      </x:c>
      <x:c r="G1723" s="62" t="n">
        <x:v>27.51762563161477</x:v>
      </x:c>
      <x:c r="H1723" s="29" t="str">
        <x:v>YES</x:v>
      </x:c>
      <x:c r="I1723" s="29" t="str">
        <x:v>primary-airport endpoints; great-circle screen</x:v>
      </x:c>
      <x:c r="J1723" s="29" t="str">
        <x:v>presence does not prove operability or capacity</x:v>
      </x:c>
    </x:row>
    <x:row r="1724" ht="75.5999984741211" hidden="0" customHeight="1">
      <x:c r="A1724" s="27" t="str">
        <x:v>SCA-14</x:v>
      </x:c>
      <x:c r="B1724" s="27" t="str">
        <x:v>SCA-28</x:v>
      </x:c>
      <x:c r="C1724" s="27" t="str">
        <x:v>Water</x:v>
      </x:c>
      <x:c r="D1724" s="27" t="str">
        <x:v>YES</x:v>
      </x:c>
      <x:c r="E1724" s="27" t="str">
        <x:v>YES</x:v>
      </x:c>
      <x:c r="F1724" s="61" t="n">
        <x:v>2959.847590125796</x:v>
      </x:c>
      <x:c r="G1724" s="61" t="n">
        <x:v>114.56707400359417</x:v>
      </x:c>
      <x:c r="H1724" s="27" t="str">
        <x:v>NO</x:v>
      </x:c>
      <x:c r="I1724" s="27" t="str">
        <x:v>USACE waterway node topology; deployable terminal required</x:v>
      </x:c>
      <x:c r="J1724" s="27" t="str">
        <x:v>presence does not prove operability or capacity</x:v>
      </x:c>
    </x:row>
    <x:row r="1725" ht="54" hidden="0" customHeight="1">
      <x:c r="A1725" s="29" t="str">
        <x:v>SCA-14</x:v>
      </x:c>
      <x:c r="B1725" s="29" t="str">
        <x:v>SCA-29</x:v>
      </x:c>
      <x:c r="C1725" s="29" t="str">
        <x:v>Road</x:v>
      </x:c>
      <x:c r="D1725" s="29" t="str">
        <x:v>NO</x:v>
      </x:c>
      <x:c r="E1725" s="29" t="str">
        <x:v>NO</x:v>
      </x:c>
      <x:c r="F1725" s="62"/>
      <x:c r="G1725" s="62"/>
      <x:c r="H1725" s="29" t="str">
        <x:v>NO</x:v>
      </x:c>
      <x:c r="I1725" s="29" t="str">
        <x:v>no screened path</x:v>
      </x:c>
      <x:c r="J1725" s="29" t="str">
        <x:v>presence does not prove operability or capacity</x:v>
      </x:c>
    </x:row>
    <x:row r="1726" ht="64.80000305175781" hidden="0" customHeight="1">
      <x:c r="A1726" s="27" t="str">
        <x:v>SCA-14</x:v>
      </x:c>
      <x:c r="B1726" s="27" t="str">
        <x:v>SCA-29</x:v>
      </x:c>
      <x:c r="C1726" s="27" t="str">
        <x:v>Rail</x:v>
      </x:c>
      <x:c r="D1726" s="27" t="str">
        <x:v>YES</x:v>
      </x:c>
      <x:c r="E1726" s="27" t="str">
        <x:v>YES</x:v>
      </x:c>
      <x:c r="F1726" s="61" t="n">
        <x:v>2907.99669128028</x:v>
      </x:c>
      <x:c r="G1726" s="61" t="n">
        <x:v>67.54280987543257</x:v>
      </x:c>
      <x:c r="H1726" s="27" t="str">
        <x:v>YES</x:v>
      </x:c>
      <x:c r="I1726" s="27" t="str">
        <x:v>NARN shared-node topology; deployable terminal required</x:v>
      </x:c>
      <x:c r="J1726" s="27" t="str">
        <x:v>presence does not prove operability or capacity</x:v>
      </x:c>
    </x:row>
    <x:row r="1727" ht="54" hidden="0" customHeight="1">
      <x:c r="A1727" s="29" t="str">
        <x:v>SCA-14</x:v>
      </x:c>
      <x:c r="B1727" s="29" t="str">
        <x:v>SCA-29</x:v>
      </x:c>
      <x:c r="C1727" s="29" t="str">
        <x:v>Air</x:v>
      </x:c>
      <x:c r="D1727" s="29" t="str">
        <x:v>YES</x:v>
      </x:c>
      <x:c r="E1727" s="29" t="str">
        <x:v>YES</x:v>
      </x:c>
      <x:c r="F1727" s="62" t="n">
        <x:v>2061.767712673973</x:v>
      </x:c>
      <x:c r="G1727" s="62" t="n">
        <x:v>27.17195032719073</x:v>
      </x:c>
      <x:c r="H1727" s="29" t="str">
        <x:v>YES</x:v>
      </x:c>
      <x:c r="I1727" s="29" t="str">
        <x:v>primary-airport endpoints; great-circle screen</x:v>
      </x:c>
      <x:c r="J1727" s="29" t="str">
        <x:v>presence does not prove operability or capacity</x:v>
      </x:c>
    </x:row>
    <x:row r="1728" ht="75.5999984741211" hidden="0" customHeight="1">
      <x:c r="A1728" s="27" t="str">
        <x:v>SCA-14</x:v>
      </x:c>
      <x:c r="B1728" s="27" t="str">
        <x:v>SCA-29</x:v>
      </x:c>
      <x:c r="C1728" s="27" t="str">
        <x:v>Water</x:v>
      </x:c>
      <x:c r="D1728" s="27" t="str">
        <x:v>YES</x:v>
      </x:c>
      <x:c r="E1728" s="27" t="str">
        <x:v>YES</x:v>
      </x:c>
      <x:c r="F1728" s="61" t="n">
        <x:v>3040.974601687319</x:v>
      </x:c>
      <x:c r="G1728" s="61" t="n">
        <x:v>116.8849886196377</x:v>
      </x:c>
      <x:c r="H1728" s="27" t="str">
        <x:v>NO</x:v>
      </x:c>
      <x:c r="I1728" s="27" t="str">
        <x:v>USACE waterway node topology; deployable terminal required</x:v>
      </x:c>
      <x:c r="J1728" s="27" t="str">
        <x:v>presence does not prove operability or capacity</x:v>
      </x:c>
    </x:row>
    <x:row r="1729" ht="54" hidden="0" customHeight="1">
      <x:c r="A1729" s="29" t="str">
        <x:v>SCA-14</x:v>
      </x:c>
      <x:c r="B1729" s="29" t="str">
        <x:v>SCA-30</x:v>
      </x:c>
      <x:c r="C1729" s="29" t="str">
        <x:v>Road</x:v>
      </x:c>
      <x:c r="D1729" s="29" t="str">
        <x:v>NO</x:v>
      </x:c>
      <x:c r="E1729" s="29" t="str">
        <x:v>NO</x:v>
      </x:c>
      <x:c r="F1729" s="62"/>
      <x:c r="G1729" s="62"/>
      <x:c r="H1729" s="29" t="str">
        <x:v>NO</x:v>
      </x:c>
      <x:c r="I1729" s="29" t="str">
        <x:v>no screened path</x:v>
      </x:c>
      <x:c r="J1729" s="29" t="str">
        <x:v>presence does not prove operability or capacity</x:v>
      </x:c>
    </x:row>
    <x:row r="1730" ht="64.80000305175781" hidden="0" customHeight="1">
      <x:c r="A1730" s="27" t="str">
        <x:v>SCA-14</x:v>
      </x:c>
      <x:c r="B1730" s="27" t="str">
        <x:v>SCA-30</x:v>
      </x:c>
      <x:c r="C1730" s="27" t="str">
        <x:v>Rail</x:v>
      </x:c>
      <x:c r="D1730" s="27" t="str">
        <x:v>YES</x:v>
      </x:c>
      <x:c r="E1730" s="27" t="str">
        <x:v>YES</x:v>
      </x:c>
      <x:c r="F1730" s="61" t="n">
        <x:v>3568.6581241713893</x:v>
      </x:c>
      <x:c r="G1730" s="61" t="n">
        <x:v>76.98083034530556</x:v>
      </x:c>
      <x:c r="H1730" s="27" t="str">
        <x:v>NO</x:v>
      </x:c>
      <x:c r="I1730" s="27" t="str">
        <x:v>NARN shared-node topology; deployable terminal required</x:v>
      </x:c>
      <x:c r="J1730" s="27" t="str">
        <x:v>presence does not prove operability or capacity</x:v>
      </x:c>
    </x:row>
    <x:row r="1731" ht="54" hidden="0" customHeight="1">
      <x:c r="A1731" s="29" t="str">
        <x:v>SCA-14</x:v>
      </x:c>
      <x:c r="B1731" s="29" t="str">
        <x:v>SCA-30</x:v>
      </x:c>
      <x:c r="C1731" s="29" t="str">
        <x:v>Air</x:v>
      </x:c>
      <x:c r="D1731" s="29" t="str">
        <x:v>YES</x:v>
      </x:c>
      <x:c r="E1731" s="29" t="str">
        <x:v>YES</x:v>
      </x:c>
      <x:c r="F1731" s="62" t="n">
        <x:v>2641.992435178393</x:v>
      </x:c>
      <x:c r="G1731" s="62" t="n">
        <x:v>28.064603746428297</x:v>
      </x:c>
      <x:c r="H1731" s="29" t="str">
        <x:v>YES</x:v>
      </x:c>
      <x:c r="I1731" s="29" t="str">
        <x:v>primary-airport endpoints; great-circle screen</x:v>
      </x:c>
      <x:c r="J1731" s="29" t="str">
        <x:v>presence does not prove operability or capacity</x:v>
      </x:c>
    </x:row>
    <x:row r="1732" ht="75.5999984741211" hidden="0" customHeight="1">
      <x:c r="A1732" s="27" t="str">
        <x:v>SCA-14</x:v>
      </x:c>
      <x:c r="B1732" s="27" t="str">
        <x:v>SCA-30</x:v>
      </x:c>
      <x:c r="C1732" s="27" t="str">
        <x:v>Water</x:v>
      </x:c>
      <x:c r="D1732" s="27" t="str">
        <x:v>YES</x:v>
      </x:c>
      <x:c r="E1732" s="27" t="str">
        <x:v>YES</x:v>
      </x:c>
      <x:c r="F1732" s="61" t="n">
        <x:v>3475.8141609014374</x:v>
      </x:c>
      <x:c r="G1732" s="61" t="n">
        <x:v>129.30897602575536</x:v>
      </x:c>
      <x:c r="H1732" s="27" t="str">
        <x:v>NO</x:v>
      </x:c>
      <x:c r="I1732" s="27" t="str">
        <x:v>USACE waterway node topology; deployable terminal required</x:v>
      </x:c>
      <x:c r="J1732" s="27" t="str">
        <x:v>presence does not prove operability or capacity</x:v>
      </x:c>
    </x:row>
    <x:row r="1733" ht="54" hidden="0" customHeight="1">
      <x:c r="A1733" s="29" t="str">
        <x:v>SCA-14</x:v>
      </x:c>
      <x:c r="B1733" s="29" t="str">
        <x:v>SCA-31</x:v>
      </x:c>
      <x:c r="C1733" s="29" t="str">
        <x:v>Road</x:v>
      </x:c>
      <x:c r="D1733" s="29" t="str">
        <x:v>NO</x:v>
      </x:c>
      <x:c r="E1733" s="29" t="str">
        <x:v>NO</x:v>
      </x:c>
      <x:c r="F1733" s="62"/>
      <x:c r="G1733" s="62"/>
      <x:c r="H1733" s="29" t="str">
        <x:v>NO</x:v>
      </x:c>
      <x:c r="I1733" s="29" t="str">
        <x:v>no screened path</x:v>
      </x:c>
      <x:c r="J1733" s="29" t="str">
        <x:v>presence does not prove operability or capacity</x:v>
      </x:c>
    </x:row>
    <x:row r="1734" ht="64.80000305175781" hidden="0" customHeight="1">
      <x:c r="A1734" s="27" t="str">
        <x:v>SCA-14</x:v>
      </x:c>
      <x:c r="B1734" s="27" t="str">
        <x:v>SCA-31</x:v>
      </x:c>
      <x:c r="C1734" s="27" t="str">
        <x:v>Rail</x:v>
      </x:c>
      <x:c r="D1734" s="27" t="str">
        <x:v>YES</x:v>
      </x:c>
      <x:c r="E1734" s="27" t="str">
        <x:v>YES</x:v>
      </x:c>
      <x:c r="F1734" s="61" t="n">
        <x:v>3985.6670086301174</x:v>
      </x:c>
      <x:c r="G1734" s="61" t="n">
        <x:v>82.9381001232874</x:v>
      </x:c>
      <x:c r="H1734" s="27" t="str">
        <x:v>NO</x:v>
      </x:c>
      <x:c r="I1734" s="27" t="str">
        <x:v>NARN shared-node topology; deployable terminal required</x:v>
      </x:c>
      <x:c r="J1734" s="27" t="str">
        <x:v>presence does not prove operability or capacity</x:v>
      </x:c>
    </x:row>
    <x:row r="1735" ht="54" hidden="0" customHeight="1">
      <x:c r="A1735" s="29" t="str">
        <x:v>SCA-14</x:v>
      </x:c>
      <x:c r="B1735" s="29" t="str">
        <x:v>SCA-31</x:v>
      </x:c>
      <x:c r="C1735" s="29" t="str">
        <x:v>Air</x:v>
      </x:c>
      <x:c r="D1735" s="29" t="str">
        <x:v>YES</x:v>
      </x:c>
      <x:c r="E1735" s="29" t="str">
        <x:v>YES</x:v>
      </x:c>
      <x:c r="F1735" s="62" t="n">
        <x:v>2972.9028085388304</x:v>
      </x:c>
      <x:c r="G1735" s="62" t="n">
        <x:v>28.573696628521276</x:v>
      </x:c>
      <x:c r="H1735" s="29" t="str">
        <x:v>YES</x:v>
      </x:c>
      <x:c r="I1735" s="29" t="str">
        <x:v>primary-airport endpoints; great-circle screen</x:v>
      </x:c>
      <x:c r="J1735" s="29" t="str">
        <x:v>presence does not prove operability or capacity</x:v>
      </x:c>
    </x:row>
    <x:row r="1736" ht="75.5999984741211" hidden="0" customHeight="1">
      <x:c r="A1736" s="27" t="str">
        <x:v>SCA-14</x:v>
      </x:c>
      <x:c r="B1736" s="27" t="str">
        <x:v>SCA-31</x:v>
      </x:c>
      <x:c r="C1736" s="27" t="str">
        <x:v>Water</x:v>
      </x:c>
      <x:c r="D1736" s="27" t="str">
        <x:v>YES</x:v>
      </x:c>
      <x:c r="E1736" s="27" t="str">
        <x:v>YES</x:v>
      </x:c>
      <x:c r="F1736" s="61" t="n">
        <x:v>3913.33167902207</x:v>
      </x:c>
      <x:c r="G1736" s="61" t="n">
        <x:v>141.80947654348773</x:v>
      </x:c>
      <x:c r="H1736" s="27" t="str">
        <x:v>NO</x:v>
      </x:c>
      <x:c r="I1736" s="27" t="str">
        <x:v>USACE waterway node topology; deployable terminal required</x:v>
      </x:c>
      <x:c r="J1736" s="27" t="str">
        <x:v>presence does not prove operability or capacity</x:v>
      </x:c>
    </x:row>
    <x:row r="1737" ht="54" hidden="0" customHeight="1">
      <x:c r="A1737" s="29" t="str">
        <x:v>SCA-14</x:v>
      </x:c>
      <x:c r="B1737" s="29" t="str">
        <x:v>SCA-32</x:v>
      </x:c>
      <x:c r="C1737" s="29" t="str">
        <x:v>Road</x:v>
      </x:c>
      <x:c r="D1737" s="29" t="str">
        <x:v>NO</x:v>
      </x:c>
      <x:c r="E1737" s="29" t="str">
        <x:v>NO</x:v>
      </x:c>
      <x:c r="F1737" s="62"/>
      <x:c r="G1737" s="62"/>
      <x:c r="H1737" s="29" t="str">
        <x:v>NO</x:v>
      </x:c>
      <x:c r="I1737" s="29" t="str">
        <x:v>no screened path</x:v>
      </x:c>
      <x:c r="J1737" s="29" t="str">
        <x:v>presence does not prove operability or capacity</x:v>
      </x:c>
    </x:row>
    <x:row r="1738" ht="54" hidden="0" customHeight="1">
      <x:c r="A1738" s="27" t="str">
        <x:v>SCA-14</x:v>
      </x:c>
      <x:c r="B1738" s="27" t="str">
        <x:v>SCA-32</x:v>
      </x:c>
      <x:c r="C1738" s="27" t="str">
        <x:v>Rail</x:v>
      </x:c>
      <x:c r="D1738" s="27" t="str">
        <x:v>NO</x:v>
      </x:c>
      <x:c r="E1738" s="27" t="str">
        <x:v>NO</x:v>
      </x:c>
      <x:c r="F1738" s="61"/>
      <x:c r="G1738" s="61"/>
      <x:c r="H1738" s="27" t="str">
        <x:v>NO</x:v>
      </x:c>
      <x:c r="I1738" s="27" t="str">
        <x:v>no screened path</x:v>
      </x:c>
      <x:c r="J1738" s="27" t="str">
        <x:v>presence does not prove operability or capacity</x:v>
      </x:c>
    </x:row>
    <x:row r="1739" ht="54" hidden="0" customHeight="1">
      <x:c r="A1739" s="29" t="str">
        <x:v>SCA-14</x:v>
      </x:c>
      <x:c r="B1739" s="29" t="str">
        <x:v>SCA-32</x:v>
      </x:c>
      <x:c r="C1739" s="29" t="str">
        <x:v>Air</x:v>
      </x:c>
      <x:c r="D1739" s="29" t="str">
        <x:v>YES</x:v>
      </x:c>
      <x:c r="E1739" s="29" t="str">
        <x:v>YES</x:v>
      </x:c>
      <x:c r="F1739" s="62" t="n">
        <x:v>3382.9829186680317</x:v>
      </x:c>
      <x:c r="G1739" s="62" t="n">
        <x:v>29.204589105643127</x:v>
      </x:c>
      <x:c r="H1739" s="29" t="str">
        <x:v>YES</x:v>
      </x:c>
      <x:c r="I1739" s="29" t="str">
        <x:v>primary-airport endpoints; great-circle screen</x:v>
      </x:c>
      <x:c r="J1739" s="29" t="str">
        <x:v>presence does not prove operability or capacity</x:v>
      </x:c>
    </x:row>
    <x:row r="1740" ht="75.5999984741211" hidden="0" customHeight="1">
      <x:c r="A1740" s="27" t="str">
        <x:v>SCA-14</x:v>
      </x:c>
      <x:c r="B1740" s="27" t="str">
        <x:v>SCA-32</x:v>
      </x:c>
      <x:c r="C1740" s="27" t="str">
        <x:v>Water</x:v>
      </x:c>
      <x:c r="D1740" s="27" t="str">
        <x:v>YES</x:v>
      </x:c>
      <x:c r="E1740" s="27" t="str">
        <x:v>YES</x:v>
      </x:c>
      <x:c r="F1740" s="61" t="n">
        <x:v>4412.194892439677</x:v>
      </x:c>
      <x:c r="G1740" s="61" t="n">
        <x:v>156.0627112125622</x:v>
      </x:c>
      <x:c r="H1740" s="27" t="str">
        <x:v>NO</x:v>
      </x:c>
      <x:c r="I1740" s="27" t="str">
        <x:v>USACE waterway node topology; deployable terminal required</x:v>
      </x:c>
      <x:c r="J1740" s="27" t="str">
        <x:v>presence does not prove operability or capacity</x:v>
      </x:c>
    </x:row>
    <x:row r="1741" ht="54" hidden="0" customHeight="1">
      <x:c r="A1741" s="29" t="str">
        <x:v>SCA-15</x:v>
      </x:c>
      <x:c r="B1741" s="29" t="str">
        <x:v>SCA-01</x:v>
      </x:c>
      <x:c r="C1741" s="29" t="str">
        <x:v>Road</x:v>
      </x:c>
      <x:c r="D1741" s="29" t="str">
        <x:v>NO</x:v>
      </x:c>
      <x:c r="E1741" s="29" t="str">
        <x:v>NO</x:v>
      </x:c>
      <x:c r="F1741" s="62"/>
      <x:c r="G1741" s="62"/>
      <x:c r="H1741" s="29" t="str">
        <x:v>NO</x:v>
      </x:c>
      <x:c r="I1741" s="29" t="str">
        <x:v>no screened path</x:v>
      </x:c>
      <x:c r="J1741" s="29" t="str">
        <x:v>presence does not prove operability or capacity</x:v>
      </x:c>
    </x:row>
    <x:row r="1742" ht="54" hidden="0" customHeight="1">
      <x:c r="A1742" s="27" t="str">
        <x:v>SCA-15</x:v>
      </x:c>
      <x:c r="B1742" s="27" t="str">
        <x:v>SCA-01</x:v>
      </x:c>
      <x:c r="C1742" s="27" t="str">
        <x:v>Rail</x:v>
      </x:c>
      <x:c r="D1742" s="27" t="str">
        <x:v>NO</x:v>
      </x:c>
      <x:c r="E1742" s="27" t="str">
        <x:v>NO</x:v>
      </x:c>
      <x:c r="F1742" s="61"/>
      <x:c r="G1742" s="61"/>
      <x:c r="H1742" s="27" t="str">
        <x:v>NO</x:v>
      </x:c>
      <x:c r="I1742" s="27" t="str">
        <x:v>no screened path</x:v>
      </x:c>
      <x:c r="J1742" s="27" t="str">
        <x:v>presence does not prove operability or capacity</x:v>
      </x:c>
    </x:row>
    <x:row r="1743" ht="54" hidden="0" customHeight="1">
      <x:c r="A1743" s="29" t="str">
        <x:v>SCA-15</x:v>
      </x:c>
      <x:c r="B1743" s="29" t="str">
        <x:v>SCA-01</x:v>
      </x:c>
      <x:c r="C1743" s="29" t="str">
        <x:v>Air</x:v>
      </x:c>
      <x:c r="D1743" s="29" t="str">
        <x:v>YES</x:v>
      </x:c>
      <x:c r="E1743" s="29" t="str">
        <x:v>YES</x:v>
      </x:c>
      <x:c r="F1743" s="62" t="n">
        <x:v>6097.431833149939</x:v>
      </x:c>
      <x:c r="G1743" s="62" t="n">
        <x:v>33.380664358692215</x:v>
      </x:c>
      <x:c r="H1743" s="29" t="str">
        <x:v>YES</x:v>
      </x:c>
      <x:c r="I1743" s="29" t="str">
        <x:v>primary-airport endpoints; great-circle screen</x:v>
      </x:c>
      <x:c r="J1743" s="29" t="str">
        <x:v>presence does not prove operability or capacity</x:v>
      </x:c>
    </x:row>
    <x:row r="1744" ht="75.5999984741211" hidden="0" customHeight="1">
      <x:c r="A1744" s="27" t="str">
        <x:v>SCA-15</x:v>
      </x:c>
      <x:c r="B1744" s="27" t="str">
        <x:v>SCA-01</x:v>
      </x:c>
      <x:c r="C1744" s="27" t="str">
        <x:v>Water</x:v>
      </x:c>
      <x:c r="D1744" s="27" t="str">
        <x:v>YES</x:v>
      </x:c>
      <x:c r="E1744" s="27" t="str">
        <x:v>YES</x:v>
      </x:c>
      <x:c r="F1744" s="61" t="n">
        <x:v>12381.729412231765</x:v>
      </x:c>
      <x:c r="G1744" s="61" t="n">
        <x:v>383.7636974923362</x:v>
      </x:c>
      <x:c r="H1744" s="27" t="str">
        <x:v>NO</x:v>
      </x:c>
      <x:c r="I1744" s="27" t="str">
        <x:v>USACE waterway node topology; deployable terminal required</x:v>
      </x:c>
      <x:c r="J1744" s="27" t="str">
        <x:v>presence does not prove operability or capacity</x:v>
      </x:c>
    </x:row>
    <x:row r="1745" ht="54" hidden="0" customHeight="1">
      <x:c r="A1745" s="29" t="str">
        <x:v>SCA-15</x:v>
      </x:c>
      <x:c r="B1745" s="29" t="str">
        <x:v>SCA-02</x:v>
      </x:c>
      <x:c r="C1745" s="29" t="str">
        <x:v>Road</x:v>
      </x:c>
      <x:c r="D1745" s="29" t="str">
        <x:v>NO</x:v>
      </x:c>
      <x:c r="E1745" s="29" t="str">
        <x:v>NO</x:v>
      </x:c>
      <x:c r="F1745" s="62"/>
      <x:c r="G1745" s="62"/>
      <x:c r="H1745" s="29" t="str">
        <x:v>NO</x:v>
      </x:c>
      <x:c r="I1745" s="29" t="str">
        <x:v>no screened path</x:v>
      </x:c>
      <x:c r="J1745" s="29" t="str">
        <x:v>presence does not prove operability or capacity</x:v>
      </x:c>
    </x:row>
    <x:row r="1746" ht="54" hidden="0" customHeight="1">
      <x:c r="A1746" s="27" t="str">
        <x:v>SCA-15</x:v>
      </x:c>
      <x:c r="B1746" s="27" t="str">
        <x:v>SCA-02</x:v>
      </x:c>
      <x:c r="C1746" s="27" t="str">
        <x:v>Rail</x:v>
      </x:c>
      <x:c r="D1746" s="27" t="str">
        <x:v>NO</x:v>
      </x:c>
      <x:c r="E1746" s="27" t="str">
        <x:v>NO</x:v>
      </x:c>
      <x:c r="F1746" s="61"/>
      <x:c r="G1746" s="61"/>
      <x:c r="H1746" s="27" t="str">
        <x:v>NO</x:v>
      </x:c>
      <x:c r="I1746" s="27" t="str">
        <x:v>no screened path</x:v>
      </x:c>
      <x:c r="J1746" s="27" t="str">
        <x:v>presence does not prove operability or capacity</x:v>
      </x:c>
    </x:row>
    <x:row r="1747" ht="54" hidden="0" customHeight="1">
      <x:c r="A1747" s="29" t="str">
        <x:v>SCA-15</x:v>
      </x:c>
      <x:c r="B1747" s="29" t="str">
        <x:v>SCA-02</x:v>
      </x:c>
      <x:c r="C1747" s="29" t="str">
        <x:v>Air</x:v>
      </x:c>
      <x:c r="D1747" s="29" t="str">
        <x:v>YES</x:v>
      </x:c>
      <x:c r="E1747" s="29" t="str">
        <x:v>YES</x:v>
      </x:c>
      <x:c r="F1747" s="62" t="n">
        <x:v>4715.990016365284</x:v>
      </x:c>
      <x:c r="G1747" s="62" t="n">
        <x:v>31.25536925594659</x:v>
      </x:c>
      <x:c r="H1747" s="29" t="str">
        <x:v>YES</x:v>
      </x:c>
      <x:c r="I1747" s="29" t="str">
        <x:v>primary-airport endpoints; great-circle screen</x:v>
      </x:c>
      <x:c r="J1747" s="29" t="str">
        <x:v>presence does not prove operability or capacity</x:v>
      </x:c>
    </x:row>
    <x:row r="1748" ht="75.5999984741211" hidden="0" customHeight="1">
      <x:c r="A1748" s="27" t="str">
        <x:v>SCA-15</x:v>
      </x:c>
      <x:c r="B1748" s="27" t="str">
        <x:v>SCA-02</x:v>
      </x:c>
      <x:c r="C1748" s="27" t="str">
        <x:v>Water</x:v>
      </x:c>
      <x:c r="D1748" s="27" t="str">
        <x:v>YES</x:v>
      </x:c>
      <x:c r="E1748" s="27" t="str">
        <x:v>YES</x:v>
      </x:c>
      <x:c r="F1748" s="61" t="n">
        <x:v>10214.005700128339</x:v>
      </x:c>
      <x:c r="G1748" s="61" t="n">
        <x:v>321.8287342893811</x:v>
      </x:c>
      <x:c r="H1748" s="27" t="str">
        <x:v>NO</x:v>
      </x:c>
      <x:c r="I1748" s="27" t="str">
        <x:v>USACE waterway node topology; deployable terminal required</x:v>
      </x:c>
      <x:c r="J1748" s="27" t="str">
        <x:v>presence does not prove operability or capacity</x:v>
      </x:c>
    </x:row>
    <x:row r="1749" ht="54" hidden="0" customHeight="1">
      <x:c r="A1749" s="29" t="str">
        <x:v>SCA-15</x:v>
      </x:c>
      <x:c r="B1749" s="29" t="str">
        <x:v>SCA-03</x:v>
      </x:c>
      <x:c r="C1749" s="29" t="str">
        <x:v>Road</x:v>
      </x:c>
      <x:c r="D1749" s="29" t="str">
        <x:v>YES</x:v>
      </x:c>
      <x:c r="E1749" s="29" t="str">
        <x:v>YES</x:v>
      </x:c>
      <x:c r="F1749" s="62" t="n">
        <x:v>2992.1386743212615</x:v>
      </x:c>
      <x:c r="G1749" s="62" t="n">
        <x:v>74.40252135129566</x:v>
      </x:c>
      <x:c r="H1749" s="29" t="str">
        <x:v>NO</x:v>
      </x:c>
      <x:c r="I1749" s="29" t="str">
        <x:v>NHPN-gated shared-boundary SCA path</x:v>
      </x:c>
      <x:c r="J1749" s="29" t="str">
        <x:v>presence does not prove operability or capacity</x:v>
      </x:c>
    </x:row>
    <x:row r="1750" ht="64.80000305175781" hidden="0" customHeight="1">
      <x:c r="A1750" s="27" t="str">
        <x:v>SCA-15</x:v>
      </x:c>
      <x:c r="B1750" s="27" t="str">
        <x:v>SCA-03</x:v>
      </x:c>
      <x:c r="C1750" s="27" t="str">
        <x:v>Rail</x:v>
      </x:c>
      <x:c r="D1750" s="27" t="str">
        <x:v>YES</x:v>
      </x:c>
      <x:c r="E1750" s="27" t="str">
        <x:v>YES</x:v>
      </x:c>
      <x:c r="F1750" s="61" t="n">
        <x:v>3174.268854497338</x:v>
      </x:c>
      <x:c r="G1750" s="61" t="n">
        <x:v>71.34669792139054</x:v>
      </x:c>
      <x:c r="H1750" s="27" t="str">
        <x:v>YES</x:v>
      </x:c>
      <x:c r="I1750" s="27" t="str">
        <x:v>NARN shared-node topology; deployable terminal required</x:v>
      </x:c>
      <x:c r="J1750" s="27" t="str">
        <x:v>presence does not prove operability or capacity</x:v>
      </x:c>
    </x:row>
    <x:row r="1751" ht="54" hidden="0" customHeight="1">
      <x:c r="A1751" s="29" t="str">
        <x:v>SCA-15</x:v>
      </x:c>
      <x:c r="B1751" s="29" t="str">
        <x:v>SCA-03</x:v>
      </x:c>
      <x:c r="C1751" s="29" t="str">
        <x:v>Air</x:v>
      </x:c>
      <x:c r="D1751" s="29" t="str">
        <x:v>YES</x:v>
      </x:c>
      <x:c r="E1751" s="29" t="str">
        <x:v>YES</x:v>
      </x:c>
      <x:c r="F1751" s="62" t="n">
        <x:v>2595.4098520097514</x:v>
      </x:c>
      <x:c r="G1751" s="62" t="n">
        <x:v>27.992938233861157</x:v>
      </x:c>
      <x:c r="H1751" s="29" t="str">
        <x:v>YES</x:v>
      </x:c>
      <x:c r="I1751" s="29" t="str">
        <x:v>primary-airport endpoints; great-circle screen</x:v>
      </x:c>
      <x:c r="J1751" s="29" t="str">
        <x:v>presence does not prove operability or capacity</x:v>
      </x:c>
    </x:row>
    <x:row r="1752" ht="75.5999984741211" hidden="0" customHeight="1">
      <x:c r="A1752" s="27" t="str">
        <x:v>SCA-15</x:v>
      </x:c>
      <x:c r="B1752" s="27" t="str">
        <x:v>SCA-03</x:v>
      </x:c>
      <x:c r="C1752" s="27" t="str">
        <x:v>Water</x:v>
      </x:c>
      <x:c r="D1752" s="27" t="str">
        <x:v>YES</x:v>
      </x:c>
      <x:c r="E1752" s="27" t="str">
        <x:v>YES</x:v>
      </x:c>
      <x:c r="F1752" s="61" t="n">
        <x:v>8990.968099560108</x:v>
      </x:c>
      <x:c r="G1752" s="61" t="n">
        <x:v>286.88480284457455</x:v>
      </x:c>
      <x:c r="H1752" s="27" t="str">
        <x:v>NO</x:v>
      </x:c>
      <x:c r="I1752" s="27" t="str">
        <x:v>USACE waterway node topology; deployable terminal required</x:v>
      </x:c>
      <x:c r="J1752" s="27" t="str">
        <x:v>presence does not prove operability or capacity</x:v>
      </x:c>
    </x:row>
    <x:row r="1753" ht="54" hidden="0" customHeight="1">
      <x:c r="A1753" s="29" t="str">
        <x:v>SCA-15</x:v>
      </x:c>
      <x:c r="B1753" s="29" t="str">
        <x:v>SCA-04</x:v>
      </x:c>
      <x:c r="C1753" s="29" t="str">
        <x:v>Road</x:v>
      </x:c>
      <x:c r="D1753" s="29" t="str">
        <x:v>YES</x:v>
      </x:c>
      <x:c r="E1753" s="29" t="str">
        <x:v>YES</x:v>
      </x:c>
      <x:c r="F1753" s="62" t="n">
        <x:v>2819.8703992607175</x:v>
      </x:c>
      <x:c r="G1753" s="62" t="n">
        <x:v>71.2703708956494</x:v>
      </x:c>
      <x:c r="H1753" s="29" t="str">
        <x:v>YES</x:v>
      </x:c>
      <x:c r="I1753" s="29" t="str">
        <x:v>NHPN-gated shared-boundary SCA path</x:v>
      </x:c>
      <x:c r="J1753" s="29" t="str">
        <x:v>presence does not prove operability or capacity</x:v>
      </x:c>
    </x:row>
    <x:row r="1754" ht="64.80000305175781" hidden="0" customHeight="1">
      <x:c r="A1754" s="27" t="str">
        <x:v>SCA-15</x:v>
      </x:c>
      <x:c r="B1754" s="27" t="str">
        <x:v>SCA-04</x:v>
      </x:c>
      <x:c r="C1754" s="27" t="str">
        <x:v>Rail</x:v>
      </x:c>
      <x:c r="D1754" s="27" t="str">
        <x:v>YES</x:v>
      </x:c>
      <x:c r="E1754" s="27" t="str">
        <x:v>YES</x:v>
      </x:c>
      <x:c r="F1754" s="61" t="n">
        <x:v>3115.7102548092644</x:v>
      </x:c>
      <x:c r="G1754" s="61" t="n">
        <x:v>70.5101464972752</x:v>
      </x:c>
      <x:c r="H1754" s="27" t="str">
        <x:v>YES</x:v>
      </x:c>
      <x:c r="I1754" s="27" t="str">
        <x:v>NARN shared-node topology; deployable terminal required</x:v>
      </x:c>
      <x:c r="J1754" s="27" t="str">
        <x:v>presence does not prove operability or capacity</x:v>
      </x:c>
    </x:row>
    <x:row r="1755" ht="54" hidden="0" customHeight="1">
      <x:c r="A1755" s="29" t="str">
        <x:v>SCA-15</x:v>
      </x:c>
      <x:c r="B1755" s="29" t="str">
        <x:v>SCA-04</x:v>
      </x:c>
      <x:c r="C1755" s="29" t="str">
        <x:v>Air</x:v>
      </x:c>
      <x:c r="D1755" s="29" t="str">
        <x:v>YES</x:v>
      </x:c>
      <x:c r="E1755" s="29" t="str">
        <x:v>YES</x:v>
      </x:c>
      <x:c r="F1755" s="62" t="n">
        <x:v>2309.039597877007</x:v>
      </x:c>
      <x:c r="G1755" s="62" t="n">
        <x:v>27.55236861211847</x:v>
      </x:c>
      <x:c r="H1755" s="29" t="str">
        <x:v>YES</x:v>
      </x:c>
      <x:c r="I1755" s="29" t="str">
        <x:v>primary-airport endpoints; great-circle screen</x:v>
      </x:c>
      <x:c r="J1755" s="29" t="str">
        <x:v>presence does not prove operability or capacity</x:v>
      </x:c>
    </x:row>
    <x:row r="1756" ht="75.5999984741211" hidden="0" customHeight="1">
      <x:c r="A1756" s="27" t="str">
        <x:v>SCA-15</x:v>
      </x:c>
      <x:c r="B1756" s="27" t="str">
        <x:v>SCA-04</x:v>
      </x:c>
      <x:c r="C1756" s="27" t="str">
        <x:v>Water</x:v>
      </x:c>
      <x:c r="D1756" s="27" t="str">
        <x:v>YES</x:v>
      </x:c>
      <x:c r="E1756" s="27" t="str">
        <x:v>YES</x:v>
      </x:c>
      <x:c r="F1756" s="61" t="n">
        <x:v>7778.709891179142</x:v>
      </x:c>
      <x:c r="G1756" s="61" t="n">
        <x:v>252.24885403368975</x:v>
      </x:c>
      <x:c r="H1756" s="27" t="str">
        <x:v>NO</x:v>
      </x:c>
      <x:c r="I1756" s="27" t="str">
        <x:v>USACE waterway node topology; deployable terminal required</x:v>
      </x:c>
      <x:c r="J1756" s="27" t="str">
        <x:v>presence does not prove operability or capacity</x:v>
      </x:c>
    </x:row>
    <x:row r="1757" ht="54" hidden="0" customHeight="1">
      <x:c r="A1757" s="29" t="str">
        <x:v>SCA-15</x:v>
      </x:c>
      <x:c r="B1757" s="29" t="str">
        <x:v>SCA-05</x:v>
      </x:c>
      <x:c r="C1757" s="29" t="str">
        <x:v>Road</x:v>
      </x:c>
      <x:c r="D1757" s="29" t="str">
        <x:v>YES</x:v>
      </x:c>
      <x:c r="E1757" s="29" t="str">
        <x:v>YES</x:v>
      </x:c>
      <x:c r="F1757" s="62" t="n">
        <x:v>2347.606843976002</x:v>
      </x:c>
      <x:c r="G1757" s="62" t="n">
        <x:v>62.68376079956367</x:v>
      </x:c>
      <x:c r="H1757" s="29" t="str">
        <x:v>YES</x:v>
      </x:c>
      <x:c r="I1757" s="29" t="str">
        <x:v>NHPN-gated shared-boundary SCA path</x:v>
      </x:c>
      <x:c r="J1757" s="29" t="str">
        <x:v>presence does not prove operability or capacity</x:v>
      </x:c>
    </x:row>
    <x:row r="1758" ht="64.80000305175781" hidden="0" customHeight="1">
      <x:c r="A1758" s="27" t="str">
        <x:v>SCA-15</x:v>
      </x:c>
      <x:c r="B1758" s="27" t="str">
        <x:v>SCA-05</x:v>
      </x:c>
      <x:c r="C1758" s="27" t="str">
        <x:v>Rail</x:v>
      </x:c>
      <x:c r="D1758" s="27" t="str">
        <x:v>YES</x:v>
      </x:c>
      <x:c r="E1758" s="27" t="str">
        <x:v>YES</x:v>
      </x:c>
      <x:c r="F1758" s="61" t="n">
        <x:v>2490.504651870194</x:v>
      </x:c>
      <x:c r="G1758" s="61" t="n">
        <x:v>61.57863788385991</x:v>
      </x:c>
      <x:c r="H1758" s="27" t="str">
        <x:v>YES</x:v>
      </x:c>
      <x:c r="I1758" s="27" t="str">
        <x:v>NARN shared-node topology; deployable terminal required</x:v>
      </x:c>
      <x:c r="J1758" s="27" t="str">
        <x:v>presence does not prove operability or capacity</x:v>
      </x:c>
    </x:row>
    <x:row r="1759" ht="54" hidden="0" customHeight="1">
      <x:c r="A1759" s="29" t="str">
        <x:v>SCA-15</x:v>
      </x:c>
      <x:c r="B1759" s="29" t="str">
        <x:v>SCA-05</x:v>
      </x:c>
      <x:c r="C1759" s="29" t="str">
        <x:v>Air</x:v>
      </x:c>
      <x:c r="D1759" s="29" t="str">
        <x:v>YES</x:v>
      </x:c>
      <x:c r="E1759" s="29" t="str">
        <x:v>YES</x:v>
      </x:c>
      <x:c r="F1759" s="62" t="n">
        <x:v>2004.0302773918909</x:v>
      </x:c>
      <x:c r="G1759" s="62" t="n">
        <x:v>27.083123503679833</x:v>
      </x:c>
      <x:c r="H1759" s="29" t="str">
        <x:v>YES</x:v>
      </x:c>
      <x:c r="I1759" s="29" t="str">
        <x:v>primary-airport endpoints; great-circle screen</x:v>
      </x:c>
      <x:c r="J1759" s="29" t="str">
        <x:v>presence does not prove operability or capacity</x:v>
      </x:c>
    </x:row>
    <x:row r="1760" ht="75.5999984741211" hidden="0" customHeight="1">
      <x:c r="A1760" s="27" t="str">
        <x:v>SCA-15</x:v>
      </x:c>
      <x:c r="B1760" s="27" t="str">
        <x:v>SCA-05</x:v>
      </x:c>
      <x:c r="C1760" s="27" t="str">
        <x:v>Water</x:v>
      </x:c>
      <x:c r="D1760" s="27" t="str">
        <x:v>YES</x:v>
      </x:c>
      <x:c r="E1760" s="27" t="str">
        <x:v>YES</x:v>
      </x:c>
      <x:c r="F1760" s="61" t="n">
        <x:v>7122.756471702084</x:v>
      </x:c>
      <x:c r="G1760" s="61" t="n">
        <x:v>233.5073277629167</x:v>
      </x:c>
      <x:c r="H1760" s="27" t="str">
        <x:v>NO</x:v>
      </x:c>
      <x:c r="I1760" s="27" t="str">
        <x:v>USACE waterway node topology; deployable terminal required</x:v>
      </x:c>
      <x:c r="J1760" s="27" t="str">
        <x:v>presence does not prove operability or capacity</x:v>
      </x:c>
    </x:row>
    <x:row r="1761" ht="54" hidden="0" customHeight="1">
      <x:c r="A1761" s="29" t="str">
        <x:v>SCA-15</x:v>
      </x:c>
      <x:c r="B1761" s="29" t="str">
        <x:v>SCA-06</x:v>
      </x:c>
      <x:c r="C1761" s="29" t="str">
        <x:v>Road</x:v>
      </x:c>
      <x:c r="D1761" s="29" t="str">
        <x:v>YES</x:v>
      </x:c>
      <x:c r="E1761" s="29" t="str">
        <x:v>YES</x:v>
      </x:c>
      <x:c r="F1761" s="62" t="n">
        <x:v>2106.8494716958785</x:v>
      </x:c>
      <x:c r="G1761" s="62" t="n">
        <x:v>58.30635403083416</x:v>
      </x:c>
      <x:c r="H1761" s="29" t="str">
        <x:v>YES</x:v>
      </x:c>
      <x:c r="I1761" s="29" t="str">
        <x:v>NHPN-gated shared-boundary SCA path</x:v>
      </x:c>
      <x:c r="J1761" s="29" t="str">
        <x:v>presence does not prove operability or capacity</x:v>
      </x:c>
    </x:row>
    <x:row r="1762" ht="64.80000305175781" hidden="0" customHeight="1">
      <x:c r="A1762" s="27" t="str">
        <x:v>SCA-15</x:v>
      </x:c>
      <x:c r="B1762" s="27" t="str">
        <x:v>SCA-06</x:v>
      </x:c>
      <x:c r="C1762" s="27" t="str">
        <x:v>Rail</x:v>
      </x:c>
      <x:c r="D1762" s="27" t="str">
        <x:v>YES</x:v>
      </x:c>
      <x:c r="E1762" s="27" t="str">
        <x:v>YES</x:v>
      </x:c>
      <x:c r="F1762" s="61" t="n">
        <x:v>2235.0924830164977</x:v>
      </x:c>
      <x:c r="G1762" s="61" t="n">
        <x:v>57.92989261452139</x:v>
      </x:c>
      <x:c r="H1762" s="27" t="str">
        <x:v>YES</x:v>
      </x:c>
      <x:c r="I1762" s="27" t="str">
        <x:v>NARN shared-node topology; deployable terminal required</x:v>
      </x:c>
      <x:c r="J1762" s="27" t="str">
        <x:v>presence does not prove operability or capacity</x:v>
      </x:c>
    </x:row>
    <x:row r="1763" ht="54" hidden="0" customHeight="1">
      <x:c r="A1763" s="29" t="str">
        <x:v>SCA-15</x:v>
      </x:c>
      <x:c r="B1763" s="29" t="str">
        <x:v>SCA-06</x:v>
      </x:c>
      <x:c r="C1763" s="29" t="str">
        <x:v>Air</x:v>
      </x:c>
      <x:c r="D1763" s="29" t="str">
        <x:v>YES</x:v>
      </x:c>
      <x:c r="E1763" s="29" t="str">
        <x:v>YES</x:v>
      </x:c>
      <x:c r="F1763" s="62" t="n">
        <x:v>1829.8068215574203</x:v>
      </x:c>
      <x:c r="G1763" s="62" t="n">
        <x:v>26.815087417780646</x:v>
      </x:c>
      <x:c r="H1763" s="29" t="str">
        <x:v>YES</x:v>
      </x:c>
      <x:c r="I1763" s="29" t="str">
        <x:v>primary-airport endpoints; great-circle screen</x:v>
      </x:c>
      <x:c r="J1763" s="29" t="str">
        <x:v>presence does not prove operability or capacity</x:v>
      </x:c>
    </x:row>
    <x:row r="1764" ht="75.5999984741211" hidden="0" customHeight="1">
      <x:c r="A1764" s="27" t="str">
        <x:v>SCA-15</x:v>
      </x:c>
      <x:c r="B1764" s="27" t="str">
        <x:v>SCA-06</x:v>
      </x:c>
      <x:c r="C1764" s="27" t="str">
        <x:v>Water</x:v>
      </x:c>
      <x:c r="D1764" s="27" t="str">
        <x:v>YES</x:v>
      </x:c>
      <x:c r="E1764" s="27" t="str">
        <x:v>YES</x:v>
      </x:c>
      <x:c r="F1764" s="61" t="n">
        <x:v>6854.783048642468</x:v>
      </x:c>
      <x:c r="G1764" s="61" t="n">
        <x:v>225.85094424692767</x:v>
      </x:c>
      <x:c r="H1764" s="27" t="str">
        <x:v>NO</x:v>
      </x:c>
      <x:c r="I1764" s="27" t="str">
        <x:v>USACE waterway node topology; deployable terminal required</x:v>
      </x:c>
      <x:c r="J1764" s="27" t="str">
        <x:v>presence does not prove operability or capacity</x:v>
      </x:c>
    </x:row>
    <x:row r="1765" ht="54" hidden="0" customHeight="1">
      <x:c r="A1765" s="29" t="str">
        <x:v>SCA-15</x:v>
      </x:c>
      <x:c r="B1765" s="29" t="str">
        <x:v>SCA-07</x:v>
      </x:c>
      <x:c r="C1765" s="29" t="str">
        <x:v>Road</x:v>
      </x:c>
      <x:c r="D1765" s="29" t="str">
        <x:v>YES</x:v>
      </x:c>
      <x:c r="E1765" s="29" t="str">
        <x:v>YES</x:v>
      </x:c>
      <x:c r="F1765" s="62" t="n">
        <x:v>2119.2662126080727</x:v>
      </x:c>
      <x:c r="G1765" s="62" t="n">
        <x:v>58.53211295651041</x:v>
      </x:c>
      <x:c r="H1765" s="29" t="str">
        <x:v>YES</x:v>
      </x:c>
      <x:c r="I1765" s="29" t="str">
        <x:v>NHPN-gated shared-boundary SCA path</x:v>
      </x:c>
      <x:c r="J1765" s="29" t="str">
        <x:v>presence does not prove operability or capacity</x:v>
      </x:c>
    </x:row>
    <x:row r="1766" ht="64.80000305175781" hidden="0" customHeight="1">
      <x:c r="A1766" s="27" t="str">
        <x:v>SCA-15</x:v>
      </x:c>
      <x:c r="B1766" s="27" t="str">
        <x:v>SCA-07</x:v>
      </x:c>
      <x:c r="C1766" s="27" t="str">
        <x:v>Rail</x:v>
      </x:c>
      <x:c r="D1766" s="27" t="str">
        <x:v>YES</x:v>
      </x:c>
      <x:c r="E1766" s="27" t="str">
        <x:v>YES</x:v>
      </x:c>
      <x:c r="F1766" s="61" t="n">
        <x:v>2248.265025549434</x:v>
      </x:c>
      <x:c r="G1766" s="61" t="n">
        <x:v>58.118071793563345</x:v>
      </x:c>
      <x:c r="H1766" s="27" t="str">
        <x:v>YES</x:v>
      </x:c>
      <x:c r="I1766" s="27" t="str">
        <x:v>NARN shared-node topology; deployable terminal required</x:v>
      </x:c>
      <x:c r="J1766" s="27" t="str">
        <x:v>presence does not prove operability or capacity</x:v>
      </x:c>
    </x:row>
    <x:row r="1767" ht="54" hidden="0" customHeight="1">
      <x:c r="A1767" s="29" t="str">
        <x:v>SCA-15</x:v>
      </x:c>
      <x:c r="B1767" s="29" t="str">
        <x:v>SCA-07</x:v>
      </x:c>
      <x:c r="C1767" s="29" t="str">
        <x:v>Air</x:v>
      </x:c>
      <x:c r="D1767" s="29" t="str">
        <x:v>YES</x:v>
      </x:c>
      <x:c r="E1767" s="29" t="str">
        <x:v>YES</x:v>
      </x:c>
      <x:c r="F1767" s="62" t="n">
        <x:v>1736.9679680827885</x:v>
      </x:c>
      <x:c r="G1767" s="62" t="n">
        <x:v>26.67225841243506</x:v>
      </x:c>
      <x:c r="H1767" s="29" t="str">
        <x:v>YES</x:v>
      </x:c>
      <x:c r="I1767" s="29" t="str">
        <x:v>primary-airport endpoints; great-circle screen</x:v>
      </x:c>
      <x:c r="J1767" s="29" t="str">
        <x:v>presence does not prove operability or capacity</x:v>
      </x:c>
    </x:row>
    <x:row r="1768" ht="64.80000305175781" hidden="0" customHeight="1">
      <x:c r="A1768" s="27" t="str">
        <x:v>SCA-15</x:v>
      </x:c>
      <x:c r="B1768" s="27" t="str">
        <x:v>SCA-07</x:v>
      </x:c>
      <x:c r="C1768" s="27" t="str">
        <x:v>Water</x:v>
      </x:c>
      <x:c r="D1768" s="27" t="str">
        <x:v>YES</x:v>
      </x:c>
      <x:c r="E1768" s="27" t="str">
        <x:v>YES</x:v>
      </x:c>
      <x:c r="F1768" s="61" t="n">
        <x:v>2171.2099601034856</x:v>
      </x:c>
      <x:c r="G1768" s="61" t="n">
        <x:v>92.03457028867102</x:v>
      </x:c>
      <x:c r="H1768" s="27" t="str">
        <x:v>NO</x:v>
      </x:c>
      <x:c r="I1768" s="27" t="str">
        <x:v>observed water terminals; maritime great-circle screen</x:v>
      </x:c>
      <x:c r="J1768" s="27" t="str">
        <x:v>presence does not prove operability or capacity</x:v>
      </x:c>
    </x:row>
    <x:row r="1769" ht="54" hidden="0" customHeight="1">
      <x:c r="A1769" s="29" t="str">
        <x:v>SCA-15</x:v>
      </x:c>
      <x:c r="B1769" s="29" t="str">
        <x:v>SCA-08</x:v>
      </x:c>
      <x:c r="C1769" s="29" t="str">
        <x:v>Road</x:v>
      </x:c>
      <x:c r="D1769" s="29" t="str">
        <x:v>YES</x:v>
      </x:c>
      <x:c r="E1769" s="29" t="str">
        <x:v>YES</x:v>
      </x:c>
      <x:c r="F1769" s="62" t="n">
        <x:v>2347.4837992487514</x:v>
      </x:c>
      <x:c r="G1769" s="62" t="n">
        <x:v>62.681523622704574</x:v>
      </x:c>
      <x:c r="H1769" s="29" t="str">
        <x:v>YES</x:v>
      </x:c>
      <x:c r="I1769" s="29" t="str">
        <x:v>NHPN-gated shared-boundary SCA path</x:v>
      </x:c>
      <x:c r="J1769" s="29" t="str">
        <x:v>presence does not prove operability or capacity</x:v>
      </x:c>
    </x:row>
    <x:row r="1770" ht="64.80000305175781" hidden="0" customHeight="1">
      <x:c r="A1770" s="27" t="str">
        <x:v>SCA-15</x:v>
      </x:c>
      <x:c r="B1770" s="27" t="str">
        <x:v>SCA-08</x:v>
      </x:c>
      <x:c r="C1770" s="27" t="str">
        <x:v>Rail</x:v>
      </x:c>
      <x:c r="D1770" s="27" t="str">
        <x:v>YES</x:v>
      </x:c>
      <x:c r="E1770" s="27" t="str">
        <x:v>YES</x:v>
      </x:c>
      <x:c r="F1770" s="61" t="n">
        <x:v>2490.3741174638926</x:v>
      </x:c>
      <x:c r="G1770" s="61" t="n">
        <x:v>61.57677310662704</x:v>
      </x:c>
      <x:c r="H1770" s="27" t="str">
        <x:v>YES</x:v>
      </x:c>
      <x:c r="I1770" s="27" t="str">
        <x:v>NARN shared-node topology; deployable terminal required</x:v>
      </x:c>
      <x:c r="J1770" s="27" t="str">
        <x:v>presence does not prove operability or capacity</x:v>
      </x:c>
    </x:row>
    <x:row r="1771" ht="54" hidden="0" customHeight="1">
      <x:c r="A1771" s="29" t="str">
        <x:v>SCA-15</x:v>
      </x:c>
      <x:c r="B1771" s="29" t="str">
        <x:v>SCA-08</x:v>
      </x:c>
      <x:c r="C1771" s="29" t="str">
        <x:v>Air</x:v>
      </x:c>
      <x:c r="D1771" s="29" t="str">
        <x:v>YES</x:v>
      </x:c>
      <x:c r="E1771" s="29" t="str">
        <x:v>YES</x:v>
      </x:c>
      <x:c r="F1771" s="62" t="n">
        <x:v>2040.3411960395472</x:v>
      </x:c>
      <x:c r="G1771" s="62" t="n">
        <x:v>27.13898645544546</x:v>
      </x:c>
      <x:c r="H1771" s="29" t="str">
        <x:v>YES</x:v>
      </x:c>
      <x:c r="I1771" s="29" t="str">
        <x:v>primary-airport endpoints; great-circle screen</x:v>
      </x:c>
      <x:c r="J1771" s="29" t="str">
        <x:v>presence does not prove operability or capacity</x:v>
      </x:c>
    </x:row>
    <x:row r="1772" ht="75.5999984741211" hidden="0" customHeight="1">
      <x:c r="A1772" s="27" t="str">
        <x:v>SCA-15</x:v>
      </x:c>
      <x:c r="B1772" s="27" t="str">
        <x:v>SCA-08</x:v>
      </x:c>
      <x:c r="C1772" s="27" t="str">
        <x:v>Water</x:v>
      </x:c>
      <x:c r="D1772" s="27" t="str">
        <x:v>YES</x:v>
      </x:c>
      <x:c r="E1772" s="27" t="str">
        <x:v>YES</x:v>
      </x:c>
      <x:c r="F1772" s="61" t="n">
        <x:v>9708.497003988641</x:v>
      </x:c>
      <x:c r="G1772" s="61" t="n">
        <x:v>307.38562868538975</x:v>
      </x:c>
      <x:c r="H1772" s="27" t="str">
        <x:v>NO</x:v>
      </x:c>
      <x:c r="I1772" s="27" t="str">
        <x:v>USACE waterway node topology; deployable terminal required</x:v>
      </x:c>
      <x:c r="J1772" s="27" t="str">
        <x:v>presence does not prove operability or capacity</x:v>
      </x:c>
    </x:row>
    <x:row r="1773" ht="54" hidden="0" customHeight="1">
      <x:c r="A1773" s="29" t="str">
        <x:v>SCA-15</x:v>
      </x:c>
      <x:c r="B1773" s="29" t="str">
        <x:v>SCA-09</x:v>
      </x:c>
      <x:c r="C1773" s="29" t="str">
        <x:v>Road</x:v>
      </x:c>
      <x:c r="D1773" s="29" t="str">
        <x:v>YES</x:v>
      </x:c>
      <x:c r="E1773" s="29" t="str">
        <x:v>YES</x:v>
      </x:c>
      <x:c r="F1773" s="62" t="n">
        <x:v>1657.1300199340476</x:v>
      </x:c>
      <x:c r="G1773" s="62" t="n">
        <x:v>50.12963672607359</x:v>
      </x:c>
      <x:c r="H1773" s="29" t="str">
        <x:v>YES</x:v>
      </x:c>
      <x:c r="I1773" s="29" t="str">
        <x:v>NHPN-gated shared-boundary SCA path</x:v>
      </x:c>
      <x:c r="J1773" s="29" t="str">
        <x:v>presence does not prove operability or capacity</x:v>
      </x:c>
    </x:row>
    <x:row r="1774" ht="64.80000305175781" hidden="0" customHeight="1">
      <x:c r="A1774" s="27" t="str">
        <x:v>SCA-15</x:v>
      </x:c>
      <x:c r="B1774" s="27" t="str">
        <x:v>SCA-09</x:v>
      </x:c>
      <x:c r="C1774" s="27" t="str">
        <x:v>Rail</x:v>
      </x:c>
      <x:c r="D1774" s="27" t="str">
        <x:v>YES</x:v>
      </x:c>
      <x:c r="E1774" s="27" t="str">
        <x:v>YES</x:v>
      </x:c>
      <x:c r="F1774" s="61" t="n">
        <x:v>1757.9988037561202</x:v>
      </x:c>
      <x:c r="G1774" s="61" t="n">
        <x:v>51.11426862508743</x:v>
      </x:c>
      <x:c r="H1774" s="27" t="str">
        <x:v>YES</x:v>
      </x:c>
      <x:c r="I1774" s="27" t="str">
        <x:v>NARN shared-node topology; deployable terminal required</x:v>
      </x:c>
      <x:c r="J1774" s="27" t="str">
        <x:v>presence does not prove operability or capacity</x:v>
      </x:c>
    </x:row>
    <x:row r="1775" ht="54" hidden="0" customHeight="1">
      <x:c r="A1775" s="29" t="str">
        <x:v>SCA-15</x:v>
      </x:c>
      <x:c r="B1775" s="29" t="str">
        <x:v>SCA-09</x:v>
      </x:c>
      <x:c r="C1775" s="29" t="str">
        <x:v>Air</x:v>
      </x:c>
      <x:c r="D1775" s="29" t="str">
        <x:v>YES</x:v>
      </x:c>
      <x:c r="E1775" s="29" t="str">
        <x:v>YES</x:v>
      </x:c>
      <x:c r="F1775" s="62" t="n">
        <x:v>1440.480999403422</x:v>
      </x:c>
      <x:c r="G1775" s="62" t="n">
        <x:v>26.216124614466803</x:v>
      </x:c>
      <x:c r="H1775" s="29" t="str">
        <x:v>YES</x:v>
      </x:c>
      <x:c r="I1775" s="29" t="str">
        <x:v>primary-airport endpoints; great-circle screen</x:v>
      </x:c>
      <x:c r="J1775" s="29" t="str">
        <x:v>presence does not prove operability or capacity</x:v>
      </x:c>
    </x:row>
    <x:row r="1776" ht="54" hidden="0" customHeight="1">
      <x:c r="A1776" s="27" t="str">
        <x:v>SCA-15</x:v>
      </x:c>
      <x:c r="B1776" s="27" t="str">
        <x:v>SCA-09</x:v>
      </x:c>
      <x:c r="C1776" s="27" t="str">
        <x:v>Water</x:v>
      </x:c>
      <x:c r="D1776" s="27" t="str">
        <x:v>NO</x:v>
      </x:c>
      <x:c r="E1776" s="27" t="str">
        <x:v>NO</x:v>
      </x:c>
      <x:c r="F1776" s="61"/>
      <x:c r="G1776" s="61"/>
      <x:c r="H1776" s="27" t="str">
        <x:v>NO</x:v>
      </x:c>
      <x:c r="I1776" s="27" t="str">
        <x:v>no screened path</x:v>
      </x:c>
      <x:c r="J1776" s="27" t="str">
        <x:v>presence does not prove operability or capacity</x:v>
      </x:c>
    </x:row>
    <x:row r="1777" ht="54" hidden="0" customHeight="1">
      <x:c r="A1777" s="29" t="str">
        <x:v>SCA-15</x:v>
      </x:c>
      <x:c r="B1777" s="29" t="str">
        <x:v>SCA-10</x:v>
      </x:c>
      <x:c r="C1777" s="29" t="str">
        <x:v>Road</x:v>
      </x:c>
      <x:c r="D1777" s="29" t="str">
        <x:v>YES</x:v>
      </x:c>
      <x:c r="E1777" s="29" t="str">
        <x:v>YES</x:v>
      </x:c>
      <x:c r="F1777" s="62" t="n">
        <x:v>1851.9073668328165</x:v>
      </x:c>
      <x:c r="G1777" s="62" t="n">
        <x:v>53.67104303332393</x:v>
      </x:c>
      <x:c r="H1777" s="29" t="str">
        <x:v>YES</x:v>
      </x:c>
      <x:c r="I1777" s="29" t="str">
        <x:v>NHPN-gated shared-boundary SCA path</x:v>
      </x:c>
      <x:c r="J1777" s="29" t="str">
        <x:v>presence does not prove operability or capacity</x:v>
      </x:c>
    </x:row>
    <x:row r="1778" ht="64.80000305175781" hidden="0" customHeight="1">
      <x:c r="A1778" s="27" t="str">
        <x:v>SCA-15</x:v>
      </x:c>
      <x:c r="B1778" s="27" t="str">
        <x:v>SCA-10</x:v>
      </x:c>
      <x:c r="C1778" s="27" t="str">
        <x:v>Rail</x:v>
      </x:c>
      <x:c r="D1778" s="27" t="str">
        <x:v>YES</x:v>
      </x:c>
      <x:c r="E1778" s="27" t="str">
        <x:v>YES</x:v>
      </x:c>
      <x:c r="F1778" s="61" t="n">
        <x:v>1964.6321630748141</x:v>
      </x:c>
      <x:c r="G1778" s="61" t="n">
        <x:v>54.06617375821163</x:v>
      </x:c>
      <x:c r="H1778" s="27" t="str">
        <x:v>YES</x:v>
      </x:c>
      <x:c r="I1778" s="27" t="str">
        <x:v>NARN shared-node topology; deployable terminal required</x:v>
      </x:c>
      <x:c r="J1778" s="27" t="str">
        <x:v>presence does not prove operability or capacity</x:v>
      </x:c>
    </x:row>
    <x:row r="1779" ht="54" hidden="0" customHeight="1">
      <x:c r="A1779" s="29" t="str">
        <x:v>SCA-15</x:v>
      </x:c>
      <x:c r="B1779" s="29" t="str">
        <x:v>SCA-10</x:v>
      </x:c>
      <x:c r="C1779" s="29" t="str">
        <x:v>Air</x:v>
      </x:c>
      <x:c r="D1779" s="29" t="str">
        <x:v>YES</x:v>
      </x:c>
      <x:c r="E1779" s="29" t="str">
        <x:v>YES</x:v>
      </x:c>
      <x:c r="F1779" s="62" t="n">
        <x:v>1587.8569440096064</x:v>
      </x:c>
      <x:c r="G1779" s="62" t="n">
        <x:v>26.442856836937857</x:v>
      </x:c>
      <x:c r="H1779" s="29" t="str">
        <x:v>YES</x:v>
      </x:c>
      <x:c r="I1779" s="29" t="str">
        <x:v>primary-airport endpoints; great-circle screen</x:v>
      </x:c>
      <x:c r="J1779" s="29" t="str">
        <x:v>presence does not prove operability or capacity</x:v>
      </x:c>
    </x:row>
    <x:row r="1780" ht="54" hidden="0" customHeight="1">
      <x:c r="A1780" s="27" t="str">
        <x:v>SCA-15</x:v>
      </x:c>
      <x:c r="B1780" s="27" t="str">
        <x:v>SCA-10</x:v>
      </x:c>
      <x:c r="C1780" s="27" t="str">
        <x:v>Water</x:v>
      </x:c>
      <x:c r="D1780" s="27" t="str">
        <x:v>NO</x:v>
      </x:c>
      <x:c r="E1780" s="27" t="str">
        <x:v>NO</x:v>
      </x:c>
      <x:c r="F1780" s="61"/>
      <x:c r="G1780" s="61"/>
      <x:c r="H1780" s="27" t="str">
        <x:v>NO</x:v>
      </x:c>
      <x:c r="I1780" s="27" t="str">
        <x:v>no screened path</x:v>
      </x:c>
      <x:c r="J1780" s="27" t="str">
        <x:v>presence does not prove operability or capacity</x:v>
      </x:c>
    </x:row>
    <x:row r="1781" ht="54" hidden="0" customHeight="1">
      <x:c r="A1781" s="29" t="str">
        <x:v>SCA-15</x:v>
      </x:c>
      <x:c r="B1781" s="29" t="str">
        <x:v>SCA-11</x:v>
      </x:c>
      <x:c r="C1781" s="29" t="str">
        <x:v>Road</x:v>
      </x:c>
      <x:c r="D1781" s="29" t="str">
        <x:v>YES</x:v>
      </x:c>
      <x:c r="E1781" s="29" t="str">
        <x:v>YES</x:v>
      </x:c>
      <x:c r="F1781" s="62" t="n">
        <x:v>905.3776684644371</x:v>
      </x:c>
      <x:c r="G1781" s="62" t="n">
        <x:v>36.461412153898856</x:v>
      </x:c>
      <x:c r="H1781" s="29" t="str">
        <x:v>YES</x:v>
      </x:c>
      <x:c r="I1781" s="29" t="str">
        <x:v>NHPN-gated shared-boundary SCA path</x:v>
      </x:c>
      <x:c r="J1781" s="29" t="str">
        <x:v>presence does not prove operability or capacity</x:v>
      </x:c>
    </x:row>
    <x:row r="1782" ht="64.80000305175781" hidden="0" customHeight="1">
      <x:c r="A1782" s="27" t="str">
        <x:v>SCA-15</x:v>
      </x:c>
      <x:c r="B1782" s="27" t="str">
        <x:v>SCA-11</x:v>
      </x:c>
      <x:c r="C1782" s="27" t="str">
        <x:v>Rail</x:v>
      </x:c>
      <x:c r="D1782" s="27" t="str">
        <x:v>YES</x:v>
      </x:c>
      <x:c r="E1782" s="27" t="str">
        <x:v>YES</x:v>
      </x:c>
      <x:c r="F1782" s="61" t="n">
        <x:v>960.4876135014028</x:v>
      </x:c>
      <x:c r="G1782" s="61" t="n">
        <x:v>39.721251621448616</x:v>
      </x:c>
      <x:c r="H1782" s="27" t="str">
        <x:v>YES</x:v>
      </x:c>
      <x:c r="I1782" s="27" t="str">
        <x:v>NARN shared-node topology; deployable terminal required</x:v>
      </x:c>
      <x:c r="J1782" s="27" t="str">
        <x:v>presence does not prove operability or capacity</x:v>
      </x:c>
    </x:row>
    <x:row r="1783" ht="54" hidden="0" customHeight="1">
      <x:c r="A1783" s="29" t="str">
        <x:v>SCA-15</x:v>
      </x:c>
      <x:c r="B1783" s="29" t="str">
        <x:v>SCA-11</x:v>
      </x:c>
      <x:c r="C1783" s="29" t="str">
        <x:v>Air</x:v>
      </x:c>
      <x:c r="D1783" s="29" t="str">
        <x:v>YES</x:v>
      </x:c>
      <x:c r="E1783" s="29" t="str">
        <x:v>YES</x:v>
      </x:c>
      <x:c r="F1783" s="62" t="n">
        <x:v>787.2849290995106</x:v>
      </x:c>
      <x:c r="G1783" s="62" t="n">
        <x:v>25.211207583230017</x:v>
      </x:c>
      <x:c r="H1783" s="29" t="str">
        <x:v>YES</x:v>
      </x:c>
      <x:c r="I1783" s="29" t="str">
        <x:v>primary-airport endpoints; great-circle screen</x:v>
      </x:c>
      <x:c r="J1783" s="29" t="str">
        <x:v>presence does not prove operability or capacity</x:v>
      </x:c>
    </x:row>
    <x:row r="1784" ht="54" hidden="0" customHeight="1">
      <x:c r="A1784" s="27" t="str">
        <x:v>SCA-15</x:v>
      </x:c>
      <x:c r="B1784" s="27" t="str">
        <x:v>SCA-11</x:v>
      </x:c>
      <x:c r="C1784" s="27" t="str">
        <x:v>Water</x:v>
      </x:c>
      <x:c r="D1784" s="27" t="str">
        <x:v>NO</x:v>
      </x:c>
      <x:c r="E1784" s="27" t="str">
        <x:v>NO</x:v>
      </x:c>
      <x:c r="F1784" s="61"/>
      <x:c r="G1784" s="61"/>
      <x:c r="H1784" s="27" t="str">
        <x:v>NO</x:v>
      </x:c>
      <x:c r="I1784" s="27" t="str">
        <x:v>no screened path</x:v>
      </x:c>
      <x:c r="J1784" s="27" t="str">
        <x:v>presence does not prove operability or capacity</x:v>
      </x:c>
    </x:row>
    <x:row r="1785" ht="54" hidden="0" customHeight="1">
      <x:c r="A1785" s="29" t="str">
        <x:v>SCA-15</x:v>
      </x:c>
      <x:c r="B1785" s="29" t="str">
        <x:v>SCA-12</x:v>
      </x:c>
      <x:c r="C1785" s="29" t="str">
        <x:v>Road</x:v>
      </x:c>
      <x:c r="D1785" s="29" t="str">
        <x:v>YES</x:v>
      </x:c>
      <x:c r="E1785" s="29" t="str">
        <x:v>YES</x:v>
      </x:c>
      <x:c r="F1785" s="62" t="n">
        <x:v>1175.6494045863742</x:v>
      </x:c>
      <x:c r="G1785" s="62" t="n">
        <x:v>41.375443719752255</x:v>
      </x:c>
      <x:c r="H1785" s="29" t="str">
        <x:v>YES</x:v>
      </x:c>
      <x:c r="I1785" s="29" t="str">
        <x:v>NHPN-gated shared-boundary SCA path</x:v>
      </x:c>
      <x:c r="J1785" s="29" t="str">
        <x:v>presence does not prove operability or capacity</x:v>
      </x:c>
    </x:row>
    <x:row r="1786" ht="64.80000305175781" hidden="0" customHeight="1">
      <x:c r="A1786" s="27" t="str">
        <x:v>SCA-15</x:v>
      </x:c>
      <x:c r="B1786" s="27" t="str">
        <x:v>SCA-12</x:v>
      </x:c>
      <x:c r="C1786" s="27" t="str">
        <x:v>Rail</x:v>
      </x:c>
      <x:c r="D1786" s="27" t="str">
        <x:v>YES</x:v>
      </x:c>
      <x:c r="E1786" s="27" t="str">
        <x:v>YES</x:v>
      </x:c>
      <x:c r="F1786" s="61" t="n">
        <x:v>1247.2106726916318</x:v>
      </x:c>
      <x:c r="G1786" s="61" t="n">
        <x:v>43.81729532416617</x:v>
      </x:c>
      <x:c r="H1786" s="27" t="str">
        <x:v>YES</x:v>
      </x:c>
      <x:c r="I1786" s="27" t="str">
        <x:v>NARN shared-node topology; deployable terminal required</x:v>
      </x:c>
      <x:c r="J1786" s="27" t="str">
        <x:v>presence does not prove operability or capacity</x:v>
      </x:c>
    </x:row>
    <x:row r="1787" ht="54" hidden="0" customHeight="1">
      <x:c r="A1787" s="29" t="str">
        <x:v>SCA-15</x:v>
      </x:c>
      <x:c r="B1787" s="29" t="str">
        <x:v>SCA-12</x:v>
      </x:c>
      <x:c r="C1787" s="29" t="str">
        <x:v>Air</x:v>
      </x:c>
      <x:c r="D1787" s="29" t="str">
        <x:v>YES</x:v>
      </x:c>
      <x:c r="E1787" s="29" t="str">
        <x:v>YES</x:v>
      </x:c>
      <x:c r="F1787" s="62" t="n">
        <x:v>1022.3038300751081</x:v>
      </x:c>
      <x:c r="G1787" s="62" t="n">
        <x:v>25.572775123192475</x:v>
      </x:c>
      <x:c r="H1787" s="29" t="str">
        <x:v>YES</x:v>
      </x:c>
      <x:c r="I1787" s="29" t="str">
        <x:v>primary-airport endpoints; great-circle screen</x:v>
      </x:c>
      <x:c r="J1787" s="29" t="str">
        <x:v>presence does not prove operability or capacity</x:v>
      </x:c>
    </x:row>
    <x:row r="1788" ht="54" hidden="0" customHeight="1">
      <x:c r="A1788" s="27" t="str">
        <x:v>SCA-15</x:v>
      </x:c>
      <x:c r="B1788" s="27" t="str">
        <x:v>SCA-12</x:v>
      </x:c>
      <x:c r="C1788" s="27" t="str">
        <x:v>Water</x:v>
      </x:c>
      <x:c r="D1788" s="27" t="str">
        <x:v>NO</x:v>
      </x:c>
      <x:c r="E1788" s="27" t="str">
        <x:v>NO</x:v>
      </x:c>
      <x:c r="F1788" s="61"/>
      <x:c r="G1788" s="61"/>
      <x:c r="H1788" s="27" t="str">
        <x:v>NO</x:v>
      </x:c>
      <x:c r="I1788" s="27" t="str">
        <x:v>no screened path</x:v>
      </x:c>
      <x:c r="J1788" s="27" t="str">
        <x:v>presence does not prove operability or capacity</x:v>
      </x:c>
    </x:row>
    <x:row r="1789" ht="54" hidden="0" customHeight="1">
      <x:c r="A1789" s="29" t="str">
        <x:v>SCA-15</x:v>
      </x:c>
      <x:c r="B1789" s="29" t="str">
        <x:v>SCA-13</x:v>
      </x:c>
      <x:c r="C1789" s="29" t="str">
        <x:v>Road</x:v>
      </x:c>
      <x:c r="D1789" s="29" t="str">
        <x:v>NO</x:v>
      </x:c>
      <x:c r="E1789" s="29" t="str">
        <x:v>NO</x:v>
      </x:c>
      <x:c r="F1789" s="62"/>
      <x:c r="G1789" s="62"/>
      <x:c r="H1789" s="29" t="str">
        <x:v>NO</x:v>
      </x:c>
      <x:c r="I1789" s="29" t="str">
        <x:v>no screened path</x:v>
      </x:c>
      <x:c r="J1789" s="29" t="str">
        <x:v>presence does not prove operability or capacity</x:v>
      </x:c>
    </x:row>
    <x:row r="1790" ht="64.80000305175781" hidden="0" customHeight="1">
      <x:c r="A1790" s="27" t="str">
        <x:v>SCA-15</x:v>
      </x:c>
      <x:c r="B1790" s="27" t="str">
        <x:v>SCA-13</x:v>
      </x:c>
      <x:c r="C1790" s="27" t="str">
        <x:v>Rail</x:v>
      </x:c>
      <x:c r="D1790" s="27" t="str">
        <x:v>YES</x:v>
      </x:c>
      <x:c r="E1790" s="27" t="str">
        <x:v>YES</x:v>
      </x:c>
      <x:c r="F1790" s="61" t="n">
        <x:v>448.57023795299875</x:v>
      </x:c>
      <x:c r="G1790" s="61" t="n">
        <x:v>32.40814625647141</x:v>
      </x:c>
      <x:c r="H1790" s="27" t="str">
        <x:v>YES</x:v>
      </x:c>
      <x:c r="I1790" s="27" t="str">
        <x:v>NARN shared-node topology; deployable terminal required</x:v>
      </x:c>
      <x:c r="J1790" s="27" t="str">
        <x:v>presence does not prove operability or capacity</x:v>
      </x:c>
    </x:row>
    <x:row r="1791" ht="54" hidden="0" customHeight="1">
      <x:c r="A1791" s="29" t="str">
        <x:v>SCA-15</x:v>
      </x:c>
      <x:c r="B1791" s="29" t="str">
        <x:v>SCA-13</x:v>
      </x:c>
      <x:c r="C1791" s="29" t="str">
        <x:v>Air</x:v>
      </x:c>
      <x:c r="D1791" s="29" t="str">
        <x:v>YES</x:v>
      </x:c>
      <x:c r="E1791" s="29" t="str">
        <x:v>YES</x:v>
      </x:c>
      <x:c r="F1791" s="62" t="n">
        <x:v>367.68052291229407</x:v>
      </x:c>
      <x:c r="G1791" s="62" t="n">
        <x:v>24.56566234294199</x:v>
      </x:c>
      <x:c r="H1791" s="29" t="str">
        <x:v>YES</x:v>
      </x:c>
      <x:c r="I1791" s="29" t="str">
        <x:v>primary-airport endpoints; great-circle screen</x:v>
      </x:c>
      <x:c r="J1791" s="29" t="str">
        <x:v>presence does not prove operability or capacity</x:v>
      </x:c>
    </x:row>
    <x:row r="1792" ht="75.5999984741211" hidden="0" customHeight="1">
      <x:c r="A1792" s="27" t="str">
        <x:v>SCA-15</x:v>
      </x:c>
      <x:c r="B1792" s="27" t="str">
        <x:v>SCA-13</x:v>
      </x:c>
      <x:c r="C1792" s="27" t="str">
        <x:v>Water</x:v>
      </x:c>
      <x:c r="D1792" s="27" t="str">
        <x:v>YES</x:v>
      </x:c>
      <x:c r="E1792" s="27" t="str">
        <x:v>YES</x:v>
      </x:c>
      <x:c r="F1792" s="61" t="n">
        <x:v>1003.0169419335709</x:v>
      </x:c>
      <x:c r="G1792" s="61" t="n">
        <x:v>58.65762691238774</x:v>
      </x:c>
      <x:c r="H1792" s="27" t="str">
        <x:v>YES</x:v>
      </x:c>
      <x:c r="I1792" s="27" t="str">
        <x:v>USACE waterway node topology; deployable terminal required</x:v>
      </x:c>
      <x:c r="J1792" s="27" t="str">
        <x:v>presence does not prove operability or capacity</x:v>
      </x:c>
    </x:row>
    <x:row r="1793" ht="54" hidden="0" customHeight="1">
      <x:c r="A1793" s="29" t="str">
        <x:v>SCA-15</x:v>
      </x:c>
      <x:c r="B1793" s="29" t="str">
        <x:v>SCA-14</x:v>
      </x:c>
      <x:c r="C1793" s="29" t="str">
        <x:v>Road</x:v>
      </x:c>
      <x:c r="D1793" s="29" t="str">
        <x:v>NO</x:v>
      </x:c>
      <x:c r="E1793" s="29" t="str">
        <x:v>NO</x:v>
      </x:c>
      <x:c r="F1793" s="62"/>
      <x:c r="G1793" s="62"/>
      <x:c r="H1793" s="29" t="str">
        <x:v>NO</x:v>
      </x:c>
      <x:c r="I1793" s="29" t="str">
        <x:v>no screened path</x:v>
      </x:c>
      <x:c r="J1793" s="29" t="str">
        <x:v>presence does not prove operability or capacity</x:v>
      </x:c>
    </x:row>
    <x:row r="1794" ht="64.80000305175781" hidden="0" customHeight="1">
      <x:c r="A1794" s="27" t="str">
        <x:v>SCA-15</x:v>
      </x:c>
      <x:c r="B1794" s="27" t="str">
        <x:v>SCA-14</x:v>
      </x:c>
      <x:c r="C1794" s="27" t="str">
        <x:v>Rail</x:v>
      </x:c>
      <x:c r="D1794" s="27" t="str">
        <x:v>YES</x:v>
      </x:c>
      <x:c r="E1794" s="27" t="str">
        <x:v>YES</x:v>
      </x:c>
      <x:c r="F1794" s="61" t="n">
        <x:v>876.6998664287167</x:v>
      </x:c>
      <x:c r="G1794" s="61" t="n">
        <x:v>38.52428380612452</x:v>
      </x:c>
      <x:c r="H1794" s="27" t="str">
        <x:v>YES</x:v>
      </x:c>
      <x:c r="I1794" s="27" t="str">
        <x:v>NARN shared-node topology; deployable terminal required</x:v>
      </x:c>
      <x:c r="J1794" s="27" t="str">
        <x:v>presence does not prove operability or capacity</x:v>
      </x:c>
    </x:row>
    <x:row r="1795" ht="54" hidden="0" customHeight="1">
      <x:c r="A1795" s="29" t="str">
        <x:v>SCA-15</x:v>
      </x:c>
      <x:c r="B1795" s="29" t="str">
        <x:v>SCA-14</x:v>
      </x:c>
      <x:c r="C1795" s="29" t="str">
        <x:v>Air</x:v>
      </x:c>
      <x:c r="D1795" s="29" t="str">
        <x:v>YES</x:v>
      </x:c>
      <x:c r="E1795" s="29" t="str">
        <x:v>YES</x:v>
      </x:c>
      <x:c r="F1795" s="62" t="n">
        <x:v>704.4193646110778</x:v>
      </x:c>
      <x:c r="G1795" s="62" t="n">
        <x:v>25.08372209940166</x:v>
      </x:c>
      <x:c r="H1795" s="29" t="str">
        <x:v>YES</x:v>
      </x:c>
      <x:c r="I1795" s="29" t="str">
        <x:v>primary-airport endpoints; great-circle screen</x:v>
      </x:c>
      <x:c r="J1795" s="29" t="str">
        <x:v>presence does not prove operability or capacity</x:v>
      </x:c>
    </x:row>
    <x:row r="1796" ht="75.5999984741211" hidden="0" customHeight="1">
      <x:c r="A1796" s="27" t="str">
        <x:v>SCA-15</x:v>
      </x:c>
      <x:c r="B1796" s="27" t="str">
        <x:v>SCA-14</x:v>
      </x:c>
      <x:c r="C1796" s="27" t="str">
        <x:v>Water</x:v>
      </x:c>
      <x:c r="D1796" s="27" t="str">
        <x:v>YES</x:v>
      </x:c>
      <x:c r="E1796" s="27" t="str">
        <x:v>YES</x:v>
      </x:c>
      <x:c r="F1796" s="61" t="n">
        <x:v>1183.85038603955</x:v>
      </x:c>
      <x:c r="G1796" s="61" t="n">
        <x:v>63.82429674398714</x:v>
      </x:c>
      <x:c r="H1796" s="27" t="str">
        <x:v>YES</x:v>
      </x:c>
      <x:c r="I1796" s="27" t="str">
        <x:v>USACE waterway node topology; deployable terminal required</x:v>
      </x:c>
      <x:c r="J1796" s="27" t="str">
        <x:v>presence does not prove operability or capacity</x:v>
      </x:c>
    </x:row>
    <x:row r="1797" ht="54" hidden="0" customHeight="1">
      <x:c r="A1797" s="29" t="str">
        <x:v>SCA-15</x:v>
      </x:c>
      <x:c r="B1797" s="29" t="str">
        <x:v>SCA-16</x:v>
      </x:c>
      <x:c r="C1797" s="29" t="str">
        <x:v>Road</x:v>
      </x:c>
      <x:c r="D1797" s="29" t="str">
        <x:v>YES</x:v>
      </x:c>
      <x:c r="E1797" s="29" t="str">
        <x:v>YES</x:v>
      </x:c>
      <x:c r="F1797" s="62" t="n">
        <x:v>650.0266869489054</x:v>
      </x:c>
      <x:c r="G1797" s="62" t="n">
        <x:v>31.818667035434643</x:v>
      </x:c>
      <x:c r="H1797" s="29" t="str">
        <x:v>YES</x:v>
      </x:c>
      <x:c r="I1797" s="29" t="str">
        <x:v>NHPN-gated shared-boundary SCA path</x:v>
      </x:c>
      <x:c r="J1797" s="29" t="str">
        <x:v>presence does not prove operability or capacity</x:v>
      </x:c>
    </x:row>
    <x:row r="1798" ht="64.80000305175781" hidden="0" customHeight="1">
      <x:c r="A1798" s="27" t="str">
        <x:v>SCA-15</x:v>
      </x:c>
      <x:c r="B1798" s="27" t="str">
        <x:v>SCA-16</x:v>
      </x:c>
      <x:c r="C1798" s="27" t="str">
        <x:v>Rail</x:v>
      </x:c>
      <x:c r="D1798" s="27" t="str">
        <x:v>YES</x:v>
      </x:c>
      <x:c r="E1798" s="27" t="str">
        <x:v>YES</x:v>
      </x:c>
      <x:c r="F1798" s="61" t="n">
        <x:v>689.5935287631871</x:v>
      </x:c>
      <x:c r="G1798" s="61" t="n">
        <x:v>35.85133612518839</x:v>
      </x:c>
      <x:c r="H1798" s="27" t="str">
        <x:v>YES</x:v>
      </x:c>
      <x:c r="I1798" s="27" t="str">
        <x:v>NARN shared-node topology; deployable terminal required</x:v>
      </x:c>
      <x:c r="J1798" s="27" t="str">
        <x:v>presence does not prove operability or capacity</x:v>
      </x:c>
    </x:row>
    <x:row r="1799" ht="54" hidden="0" customHeight="1">
      <x:c r="A1799" s="29" t="str">
        <x:v>SCA-15</x:v>
      </x:c>
      <x:c r="B1799" s="29" t="str">
        <x:v>SCA-16</x:v>
      </x:c>
      <x:c r="C1799" s="29" t="str">
        <x:v>Air</x:v>
      </x:c>
      <x:c r="D1799" s="29" t="str">
        <x:v>YES</x:v>
      </x:c>
      <x:c r="E1799" s="29" t="str">
        <x:v>YES</x:v>
      </x:c>
      <x:c r="F1799" s="62" t="n">
        <x:v>565.2405973468747</x:v>
      </x:c>
      <x:c r="G1799" s="62" t="n">
        <x:v>24.869600918995193</x:v>
      </x:c>
      <x:c r="H1799" s="29" t="str">
        <x:v>YES</x:v>
      </x:c>
      <x:c r="I1799" s="29" t="str">
        <x:v>primary-airport endpoints; great-circle screen</x:v>
      </x:c>
      <x:c r="J1799" s="29" t="str">
        <x:v>presence does not prove operability or capacity</x:v>
      </x:c>
    </x:row>
    <x:row r="1800" ht="75.5999984741211" hidden="0" customHeight="1">
      <x:c r="A1800" s="27" t="str">
        <x:v>SCA-15</x:v>
      </x:c>
      <x:c r="B1800" s="27" t="str">
        <x:v>SCA-16</x:v>
      </x:c>
      <x:c r="C1800" s="27" t="str">
        <x:v>Water</x:v>
      </x:c>
      <x:c r="D1800" s="27" t="str">
        <x:v>YES</x:v>
      </x:c>
      <x:c r="E1800" s="27" t="str">
        <x:v>YES</x:v>
      </x:c>
      <x:c r="F1800" s="61" t="n">
        <x:v>723.5079646039995</x:v>
      </x:c>
      <x:c r="G1800" s="61" t="n">
        <x:v>50.671656131542846</x:v>
      </x:c>
      <x:c r="H1800" s="27" t="str">
        <x:v>YES</x:v>
      </x:c>
      <x:c r="I1800" s="27" t="str">
        <x:v>USACE waterway node topology; deployable terminal required</x:v>
      </x:c>
      <x:c r="J1800" s="27" t="str">
        <x:v>presence does not prove operability or capacity</x:v>
      </x:c>
    </x:row>
    <x:row r="1801" ht="54" hidden="0" customHeight="1">
      <x:c r="A1801" s="29" t="str">
        <x:v>SCA-15</x:v>
      </x:c>
      <x:c r="B1801" s="29" t="str">
        <x:v>SCA-17</x:v>
      </x:c>
      <x:c r="C1801" s="29" t="str">
        <x:v>Road</x:v>
      </x:c>
      <x:c r="D1801" s="29" t="str">
        <x:v>YES</x:v>
      </x:c>
      <x:c r="E1801" s="29" t="str">
        <x:v>YES</x:v>
      </x:c>
      <x:c r="F1801" s="62" t="n">
        <x:v>468.812392822971</x:v>
      </x:c>
      <x:c r="G1801" s="62" t="n">
        <x:v>28.52386168769038</x:v>
      </x:c>
      <x:c r="H1801" s="29" t="str">
        <x:v>YES</x:v>
      </x:c>
      <x:c r="I1801" s="29" t="str">
        <x:v>NHPN-gated shared-boundary SCA path</x:v>
      </x:c>
      <x:c r="J1801" s="29" t="str">
        <x:v>presence does not prove operability or capacity</x:v>
      </x:c>
    </x:row>
    <x:row r="1802" ht="64.80000305175781" hidden="0" customHeight="1">
      <x:c r="A1802" s="27" t="str">
        <x:v>SCA-15</x:v>
      </x:c>
      <x:c r="B1802" s="27" t="str">
        <x:v>SCA-17</x:v>
      </x:c>
      <x:c r="C1802" s="27" t="str">
        <x:v>Rail</x:v>
      </x:c>
      <x:c r="D1802" s="27" t="str">
        <x:v>YES</x:v>
      </x:c>
      <x:c r="E1802" s="27" t="str">
        <x:v>YES</x:v>
      </x:c>
      <x:c r="F1802" s="61" t="n">
        <x:v>497.3487993426299</x:v>
      </x:c>
      <x:c r="G1802" s="61" t="n">
        <x:v>33.104982847751856</x:v>
      </x:c>
      <x:c r="H1802" s="27" t="str">
        <x:v>YES</x:v>
      </x:c>
      <x:c r="I1802" s="27" t="str">
        <x:v>NARN shared-node topology; deployable terminal required</x:v>
      </x:c>
      <x:c r="J1802" s="27" t="str">
        <x:v>presence does not prove operability or capacity</x:v>
      </x:c>
    </x:row>
    <x:row r="1803" ht="54" hidden="0" customHeight="1">
      <x:c r="A1803" s="29" t="str">
        <x:v>SCA-15</x:v>
      </x:c>
      <x:c r="B1803" s="29" t="str">
        <x:v>SCA-17</x:v>
      </x:c>
      <x:c r="C1803" s="29" t="str">
        <x:v>Air</x:v>
      </x:c>
      <x:c r="D1803" s="29" t="str">
        <x:v>YES</x:v>
      </x:c>
      <x:c r="E1803" s="29" t="str">
        <x:v>YES</x:v>
      </x:c>
      <x:c r="F1803" s="62" t="n">
        <x:v>407.6629502808442</x:v>
      </x:c>
      <x:c r="G1803" s="62" t="n">
        <x:v>24.627173769662836</x:v>
      </x:c>
      <x:c r="H1803" s="29" t="str">
        <x:v>YES</x:v>
      </x:c>
      <x:c r="I1803" s="29" t="str">
        <x:v>primary-airport endpoints; great-circle screen</x:v>
      </x:c>
      <x:c r="J1803" s="29" t="str">
        <x:v>presence does not prove operability or capacity</x:v>
      </x:c>
    </x:row>
    <x:row r="1804" ht="75.5999984741211" hidden="0" customHeight="1">
      <x:c r="A1804" s="27" t="str">
        <x:v>SCA-15</x:v>
      </x:c>
      <x:c r="B1804" s="27" t="str">
        <x:v>SCA-17</x:v>
      </x:c>
      <x:c r="C1804" s="27" t="str">
        <x:v>Water</x:v>
      </x:c>
      <x:c r="D1804" s="27" t="str">
        <x:v>YES</x:v>
      </x:c>
      <x:c r="E1804" s="27" t="str">
        <x:v>YES</x:v>
      </x:c>
      <x:c r="F1804" s="61" t="n">
        <x:v>521.8085763594806</x:v>
      </x:c>
      <x:c r="G1804" s="61" t="n">
        <x:v>44.90881646741373</x:v>
      </x:c>
      <x:c r="H1804" s="27" t="str">
        <x:v>YES</x:v>
      </x:c>
      <x:c r="I1804" s="27" t="str">
        <x:v>USACE waterway node topology; deployable terminal required</x:v>
      </x:c>
      <x:c r="J1804" s="27" t="str">
        <x:v>presence does not prove operability or capacity</x:v>
      </x:c>
    </x:row>
    <x:row r="1805" ht="54" hidden="0" customHeight="1">
      <x:c r="A1805" s="29" t="str">
        <x:v>SCA-15</x:v>
      </x:c>
      <x:c r="B1805" s="29" t="str">
        <x:v>SCA-18</x:v>
      </x:c>
      <x:c r="C1805" s="29" t="str">
        <x:v>Road</x:v>
      </x:c>
      <x:c r="D1805" s="29" t="str">
        <x:v>YES</x:v>
      </x:c>
      <x:c r="E1805" s="29" t="str">
        <x:v>YES</x:v>
      </x:c>
      <x:c r="F1805" s="62" t="n">
        <x:v>1521.7239519770685</x:v>
      </x:c>
      <x:c r="G1805" s="62" t="n">
        <x:v>47.66770821776488</x:v>
      </x:c>
      <x:c r="H1805" s="29" t="str">
        <x:v>YES</x:v>
      </x:c>
      <x:c r="I1805" s="29" t="str">
        <x:v>NHPN-gated shared-boundary SCA path</x:v>
      </x:c>
      <x:c r="J1805" s="29" t="str">
        <x:v>presence does not prove operability or capacity</x:v>
      </x:c>
    </x:row>
    <x:row r="1806" ht="64.80000305175781" hidden="0" customHeight="1">
      <x:c r="A1806" s="27" t="str">
        <x:v>SCA-15</x:v>
      </x:c>
      <x:c r="B1806" s="27" t="str">
        <x:v>SCA-18</x:v>
      </x:c>
      <x:c r="C1806" s="27" t="str">
        <x:v>Rail</x:v>
      </x:c>
      <x:c r="D1806" s="27" t="str">
        <x:v>YES</x:v>
      </x:c>
      <x:c r="E1806" s="27" t="str">
        <x:v>YES</x:v>
      </x:c>
      <x:c r="F1806" s="61" t="n">
        <x:v>1614.3506273148037</x:v>
      </x:c>
      <x:c r="G1806" s="61" t="n">
        <x:v>49.06215181878291</x:v>
      </x:c>
      <x:c r="H1806" s="27" t="str">
        <x:v>YES</x:v>
      </x:c>
      <x:c r="I1806" s="27" t="str">
        <x:v>NARN shared-node topology; deployable terminal required</x:v>
      </x:c>
      <x:c r="J1806" s="27" t="str">
        <x:v>presence does not prove operability or capacity</x:v>
      </x:c>
    </x:row>
    <x:row r="1807" ht="54" hidden="0" customHeight="1">
      <x:c r="A1807" s="29" t="str">
        <x:v>SCA-15</x:v>
      </x:c>
      <x:c r="B1807" s="29" t="str">
        <x:v>SCA-18</x:v>
      </x:c>
      <x:c r="C1807" s="29" t="str">
        <x:v>Air</x:v>
      </x:c>
      <x:c r="D1807" s="29" t="str">
        <x:v>YES</x:v>
      </x:c>
      <x:c r="E1807" s="29" t="str">
        <x:v>YES</x:v>
      </x:c>
      <x:c r="F1807" s="62" t="n">
        <x:v>1320.8752033394512</x:v>
      </x:c>
      <x:c r="G1807" s="62" t="n">
        <x:v>26.03211569744531</x:v>
      </x:c>
      <x:c r="H1807" s="29" t="str">
        <x:v>YES</x:v>
      </x:c>
      <x:c r="I1807" s="29" t="str">
        <x:v>primary-airport endpoints; great-circle screen</x:v>
      </x:c>
      <x:c r="J1807" s="29" t="str">
        <x:v>presence does not prove operability or capacity</x:v>
      </x:c>
    </x:row>
    <x:row r="1808" ht="75.5999984741211" hidden="0" customHeight="1">
      <x:c r="A1808" s="27" t="str">
        <x:v>SCA-15</x:v>
      </x:c>
      <x:c r="B1808" s="27" t="str">
        <x:v>SCA-18</x:v>
      </x:c>
      <x:c r="C1808" s="27" t="str">
        <x:v>Water</x:v>
      </x:c>
      <x:c r="D1808" s="27" t="str">
        <x:v>YES</x:v>
      </x:c>
      <x:c r="E1808" s="27" t="str">
        <x:v>YES</x:v>
      </x:c>
      <x:c r="F1808" s="61" t="n">
        <x:v>1693.7449204614331</x:v>
      </x:c>
      <x:c r="G1808" s="61" t="n">
        <x:v>78.3927120131838</x:v>
      </x:c>
      <x:c r="H1808" s="27" t="str">
        <x:v>NO</x:v>
      </x:c>
      <x:c r="I1808" s="27" t="str">
        <x:v>USACE waterway node topology; deployable terminal required</x:v>
      </x:c>
      <x:c r="J1808" s="27" t="str">
        <x:v>presence does not prove operability or capacity</x:v>
      </x:c>
    </x:row>
    <x:row r="1809" ht="54" hidden="0" customHeight="1">
      <x:c r="A1809" s="29" t="str">
        <x:v>SCA-15</x:v>
      </x:c>
      <x:c r="B1809" s="29" t="str">
        <x:v>SCA-19</x:v>
      </x:c>
      <x:c r="C1809" s="29" t="str">
        <x:v>Road</x:v>
      </x:c>
      <x:c r="D1809" s="29" t="str">
        <x:v>YES</x:v>
      </x:c>
      <x:c r="E1809" s="29" t="str">
        <x:v>YES</x:v>
      </x:c>
      <x:c r="F1809" s="62" t="n">
        <x:v>1171.5118608779212</x:v>
      </x:c>
      <x:c r="G1809" s="62" t="n">
        <x:v>41.30021565232584</x:v>
      </x:c>
      <x:c r="H1809" s="29" t="str">
        <x:v>YES</x:v>
      </x:c>
      <x:c r="I1809" s="29" t="str">
        <x:v>NHPN-gated shared-boundary SCA path</x:v>
      </x:c>
      <x:c r="J1809" s="29" t="str">
        <x:v>presence does not prove operability or capacity</x:v>
      </x:c>
    </x:row>
    <x:row r="1810" ht="64.80000305175781" hidden="0" customHeight="1">
      <x:c r="A1810" s="27" t="str">
        <x:v>SCA-15</x:v>
      </x:c>
      <x:c r="B1810" s="27" t="str">
        <x:v>SCA-19</x:v>
      </x:c>
      <x:c r="C1810" s="27" t="str">
        <x:v>Rail</x:v>
      </x:c>
      <x:c r="D1810" s="27" t="str">
        <x:v>YES</x:v>
      </x:c>
      <x:c r="E1810" s="27" t="str">
        <x:v>YES</x:v>
      </x:c>
      <x:c r="F1810" s="61" t="n">
        <x:v>1242.821278496578</x:v>
      </x:c>
      <x:c r="G1810" s="61" t="n">
        <x:v>43.75458969280826</x:v>
      </x:c>
      <x:c r="H1810" s="27" t="str">
        <x:v>YES</x:v>
      </x:c>
      <x:c r="I1810" s="27" t="str">
        <x:v>NARN shared-node topology; deployable terminal required</x:v>
      </x:c>
      <x:c r="J1810" s="27" t="str">
        <x:v>presence does not prove operability or capacity</x:v>
      </x:c>
    </x:row>
    <x:row r="1811" ht="54" hidden="0" customHeight="1">
      <x:c r="A1811" s="29" t="str">
        <x:v>SCA-15</x:v>
      </x:c>
      <x:c r="B1811" s="29" t="str">
        <x:v>SCA-19</x:v>
      </x:c>
      <x:c r="C1811" s="29" t="str">
        <x:v>Air</x:v>
      </x:c>
      <x:c r="D1811" s="29" t="str">
        <x:v>YES</x:v>
      </x:c>
      <x:c r="E1811" s="29" t="str">
        <x:v>YES</x:v>
      </x:c>
      <x:c r="F1811" s="62" t="n">
        <x:v>817.6988900187017</x:v>
      </x:c>
      <x:c r="G1811" s="62" t="n">
        <x:v>25.257998292336463</x:v>
      </x:c>
      <x:c r="H1811" s="29" t="str">
        <x:v>YES</x:v>
      </x:c>
      <x:c r="I1811" s="29" t="str">
        <x:v>primary-airport endpoints; great-circle screen</x:v>
      </x:c>
      <x:c r="J1811" s="29" t="str">
        <x:v>presence does not prove operability or capacity</x:v>
      </x:c>
    </x:row>
    <x:row r="1812" ht="75.5999984741211" hidden="0" customHeight="1">
      <x:c r="A1812" s="27" t="str">
        <x:v>SCA-15</x:v>
      </x:c>
      <x:c r="B1812" s="27" t="str">
        <x:v>SCA-19</x:v>
      </x:c>
      <x:c r="C1812" s="27" t="str">
        <x:v>Water</x:v>
      </x:c>
      <x:c r="D1812" s="27" t="str">
        <x:v>YES</x:v>
      </x:c>
      <x:c r="E1812" s="27" t="str">
        <x:v>YES</x:v>
      </x:c>
      <x:c r="F1812" s="61" t="n">
        <x:v>1303.943636455426</x:v>
      </x:c>
      <x:c r="G1812" s="61" t="n">
        <x:v>67.25553247015503</x:v>
      </x:c>
      <x:c r="H1812" s="27" t="str">
        <x:v>YES</x:v>
      </x:c>
      <x:c r="I1812" s="27" t="str">
        <x:v>USACE waterway node topology; deployable terminal required</x:v>
      </x:c>
      <x:c r="J1812" s="27" t="str">
        <x:v>presence does not prove operability or capacity</x:v>
      </x:c>
    </x:row>
    <x:row r="1813" ht="54" hidden="0" customHeight="1">
      <x:c r="A1813" s="29" t="str">
        <x:v>SCA-15</x:v>
      </x:c>
      <x:c r="B1813" s="29" t="str">
        <x:v>SCA-20</x:v>
      </x:c>
      <x:c r="C1813" s="29" t="str">
        <x:v>Road</x:v>
      </x:c>
      <x:c r="D1813" s="29" t="str">
        <x:v>YES</x:v>
      </x:c>
      <x:c r="E1813" s="29" t="str">
        <x:v>YES</x:v>
      </x:c>
      <x:c r="F1813" s="62" t="n">
        <x:v>722.9933446804496</x:v>
      </x:c>
      <x:c r="G1813" s="62" t="n">
        <x:v>33.14533353964454</x:v>
      </x:c>
      <x:c r="H1813" s="29" t="str">
        <x:v>YES</x:v>
      </x:c>
      <x:c r="I1813" s="29" t="str">
        <x:v>NHPN-gated shared-boundary SCA path</x:v>
      </x:c>
      <x:c r="J1813" s="29" t="str">
        <x:v>presence does not prove operability or capacity</x:v>
      </x:c>
    </x:row>
    <x:row r="1814" ht="64.80000305175781" hidden="0" customHeight="1">
      <x:c r="A1814" s="27" t="str">
        <x:v>SCA-15</x:v>
      </x:c>
      <x:c r="B1814" s="27" t="str">
        <x:v>SCA-20</x:v>
      </x:c>
      <x:c r="C1814" s="27" t="str">
        <x:v>Rail</x:v>
      </x:c>
      <x:c r="D1814" s="27" t="str">
        <x:v>YES</x:v>
      </x:c>
      <x:c r="E1814" s="27" t="str">
        <x:v>YES</x:v>
      </x:c>
      <x:c r="F1814" s="61" t="n">
        <x:v>767.0016352262161</x:v>
      </x:c>
      <x:c r="G1814" s="61" t="n">
        <x:v>36.95716621751737</x:v>
      </x:c>
      <x:c r="H1814" s="27" t="str">
        <x:v>YES</x:v>
      </x:c>
      <x:c r="I1814" s="27" t="str">
        <x:v>NARN shared-node topology; deployable terminal required</x:v>
      </x:c>
      <x:c r="J1814" s="27" t="str">
        <x:v>presence does not prove operability or capacity</x:v>
      </x:c>
    </x:row>
    <x:row r="1815" ht="54" hidden="0" customHeight="1">
      <x:c r="A1815" s="29" t="str">
        <x:v>SCA-15</x:v>
      </x:c>
      <x:c r="B1815" s="29" t="str">
        <x:v>SCA-20</x:v>
      </x:c>
      <x:c r="C1815" s="29" t="str">
        <x:v>Air</x:v>
      </x:c>
      <x:c r="D1815" s="29" t="str">
        <x:v>YES</x:v>
      </x:c>
      <x:c r="E1815" s="29" t="str">
        <x:v>YES</x:v>
      </x:c>
      <x:c r="F1815" s="62" t="n">
        <x:v>628.6898649395214</x:v>
      </x:c>
      <x:c r="G1815" s="62" t="n">
        <x:v>24.967215176830035</x:v>
      </x:c>
      <x:c r="H1815" s="29" t="str">
        <x:v>YES</x:v>
      </x:c>
      <x:c r="I1815" s="29" t="str">
        <x:v>primary-airport endpoints; great-circle screen</x:v>
      </x:c>
      <x:c r="J1815" s="29" t="str">
        <x:v>presence does not prove operability or capacity</x:v>
      </x:c>
    </x:row>
    <x:row r="1816" ht="75.5999984741211" hidden="0" customHeight="1">
      <x:c r="A1816" s="27" t="str">
        <x:v>SCA-15</x:v>
      </x:c>
      <x:c r="B1816" s="27" t="str">
        <x:v>SCA-20</x:v>
      </x:c>
      <x:c r="C1816" s="27" t="str">
        <x:v>Water</x:v>
      </x:c>
      <x:c r="D1816" s="27" t="str">
        <x:v>YES</x:v>
      </x:c>
      <x:c r="E1816" s="27" t="str">
        <x:v>YES</x:v>
      </x:c>
      <x:c r="F1816" s="61" t="n">
        <x:v>1290.1313863085682</x:v>
      </x:c>
      <x:c r="G1816" s="61" t="n">
        <x:v>66.86089675167338</x:v>
      </x:c>
      <x:c r="H1816" s="27" t="str">
        <x:v>YES</x:v>
      </x:c>
      <x:c r="I1816" s="27" t="str">
        <x:v>USACE waterway node topology; deployable terminal required</x:v>
      </x:c>
      <x:c r="J1816" s="27" t="str">
        <x:v>presence does not prove operability or capacity</x:v>
      </x:c>
    </x:row>
    <x:row r="1817" ht="54" hidden="0" customHeight="1">
      <x:c r="A1817" s="29" t="str">
        <x:v>SCA-15</x:v>
      </x:c>
      <x:c r="B1817" s="29" t="str">
        <x:v>SCA-21</x:v>
      </x:c>
      <x:c r="C1817" s="29" t="str">
        <x:v>Road</x:v>
      </x:c>
      <x:c r="D1817" s="29" t="str">
        <x:v>YES</x:v>
      </x:c>
      <x:c r="E1817" s="29" t="str">
        <x:v>YES</x:v>
      </x:c>
      <x:c r="F1817" s="62" t="n">
        <x:v>1697.039222053025</x:v>
      </x:c>
      <x:c r="G1817" s="62" t="n">
        <x:v>50.85525858278227</x:v>
      </x:c>
      <x:c r="H1817" s="29" t="str">
        <x:v>YES</x:v>
      </x:c>
      <x:c r="I1817" s="29" t="str">
        <x:v>NHPN-gated shared-boundary SCA path</x:v>
      </x:c>
      <x:c r="J1817" s="29" t="str">
        <x:v>presence does not prove operability or capacity</x:v>
      </x:c>
    </x:row>
    <x:row r="1818" ht="64.80000305175781" hidden="0" customHeight="1">
      <x:c r="A1818" s="27" t="str">
        <x:v>SCA-15</x:v>
      </x:c>
      <x:c r="B1818" s="27" t="str">
        <x:v>SCA-21</x:v>
      </x:c>
      <x:c r="C1818" s="27" t="str">
        <x:v>Rail</x:v>
      </x:c>
      <x:c r="D1818" s="27" t="str">
        <x:v>YES</x:v>
      </x:c>
      <x:c r="E1818" s="27" t="str">
        <x:v>YES</x:v>
      </x:c>
      <x:c r="F1818" s="61" t="n">
        <x:v>1800.3372616562533</x:v>
      </x:c>
      <x:c r="G1818" s="61" t="n">
        <x:v>51.719103737946476</x:v>
      </x:c>
      <x:c r="H1818" s="27" t="str">
        <x:v>YES</x:v>
      </x:c>
      <x:c r="I1818" s="27" t="str">
        <x:v>NARN shared-node topology; deployable terminal required</x:v>
      </x:c>
      <x:c r="J1818" s="27" t="str">
        <x:v>presence does not prove operability or capacity</x:v>
      </x:c>
    </x:row>
    <x:row r="1819" ht="54" hidden="0" customHeight="1">
      <x:c r="A1819" s="29" t="str">
        <x:v>SCA-15</x:v>
      </x:c>
      <x:c r="B1819" s="29" t="str">
        <x:v>SCA-21</x:v>
      </x:c>
      <x:c r="C1819" s="29" t="str">
        <x:v>Air</x:v>
      </x:c>
      <x:c r="D1819" s="29" t="str">
        <x:v>YES</x:v>
      </x:c>
      <x:c r="E1819" s="29" t="str">
        <x:v>YES</x:v>
      </x:c>
      <x:c r="F1819" s="62" t="n">
        <x:v>1270.890588314744</x:v>
      </x:c>
      <x:c r="G1819" s="62" t="n">
        <x:v>25.95521628971499</x:v>
      </x:c>
      <x:c r="H1819" s="29" t="str">
        <x:v>YES</x:v>
      </x:c>
      <x:c r="I1819" s="29" t="str">
        <x:v>primary-airport endpoints; great-circle screen</x:v>
      </x:c>
      <x:c r="J1819" s="29" t="str">
        <x:v>presence does not prove operability or capacity</x:v>
      </x:c>
    </x:row>
    <x:row r="1820" ht="75.5999984741211" hidden="0" customHeight="1">
      <x:c r="A1820" s="27" t="str">
        <x:v>SCA-15</x:v>
      </x:c>
      <x:c r="B1820" s="27" t="str">
        <x:v>SCA-21</x:v>
      </x:c>
      <x:c r="C1820" s="27" t="str">
        <x:v>Water</x:v>
      </x:c>
      <x:c r="D1820" s="27" t="str">
        <x:v>YES</x:v>
      </x:c>
      <x:c r="E1820" s="27" t="str">
        <x:v>YES</x:v>
      </x:c>
      <x:c r="F1820" s="61" t="n">
        <x:v>1888.8784384590197</x:v>
      </x:c>
      <x:c r="G1820" s="61" t="n">
        <x:v>83.96795538454342</x:v>
      </x:c>
      <x:c r="H1820" s="27" t="str">
        <x:v>NO</x:v>
      </x:c>
      <x:c r="I1820" s="27" t="str">
        <x:v>USACE waterway node topology; deployable terminal required</x:v>
      </x:c>
      <x:c r="J1820" s="27" t="str">
        <x:v>presence does not prove operability or capacity</x:v>
      </x:c>
    </x:row>
    <x:row r="1821" ht="54" hidden="0" customHeight="1">
      <x:c r="A1821" s="29" t="str">
        <x:v>SCA-15</x:v>
      </x:c>
      <x:c r="B1821" s="29" t="str">
        <x:v>SCA-22</x:v>
      </x:c>
      <x:c r="C1821" s="29" t="str">
        <x:v>Road</x:v>
      </x:c>
      <x:c r="D1821" s="29" t="str">
        <x:v>YES</x:v>
      </x:c>
      <x:c r="E1821" s="29" t="str">
        <x:v>YES</x:v>
      </x:c>
      <x:c r="F1821" s="62" t="n">
        <x:v>1452.4832257216856</x:v>
      </x:c>
      <x:c r="G1821" s="62" t="n">
        <x:v>46.408785922212466</x:v>
      </x:c>
      <x:c r="H1821" s="29" t="str">
        <x:v>YES</x:v>
      </x:c>
      <x:c r="I1821" s="29" t="str">
        <x:v>NHPN-gated shared-boundary SCA path</x:v>
      </x:c>
      <x:c r="J1821" s="29" t="str">
        <x:v>presence does not prove operability or capacity</x:v>
      </x:c>
    </x:row>
    <x:row r="1822" ht="64.80000305175781" hidden="0" customHeight="1">
      <x:c r="A1822" s="27" t="str">
        <x:v>SCA-15</x:v>
      </x:c>
      <x:c r="B1822" s="27" t="str">
        <x:v>SCA-22</x:v>
      </x:c>
      <x:c r="C1822" s="27" t="str">
        <x:v>Rail</x:v>
      </x:c>
      <x:c r="D1822" s="27" t="str">
        <x:v>YES</x:v>
      </x:c>
      <x:c r="E1822" s="27" t="str">
        <x:v>YES</x:v>
      </x:c>
      <x:c r="F1822" s="61" t="n">
        <x:v>1540.8952481569186</x:v>
      </x:c>
      <x:c r="G1822" s="61" t="n">
        <x:v>48.01278925938455</x:v>
      </x:c>
      <x:c r="H1822" s="27" t="str">
        <x:v>YES</x:v>
      </x:c>
      <x:c r="I1822" s="27" t="str">
        <x:v>NARN shared-node topology; deployable terminal required</x:v>
      </x:c>
      <x:c r="J1822" s="27" t="str">
        <x:v>presence does not prove operability or capacity</x:v>
      </x:c>
    </x:row>
    <x:row r="1823" ht="54" hidden="0" customHeight="1">
      <x:c r="A1823" s="29" t="str">
        <x:v>SCA-15</x:v>
      </x:c>
      <x:c r="B1823" s="29" t="str">
        <x:v>SCA-22</x:v>
      </x:c>
      <x:c r="C1823" s="29" t="str">
        <x:v>Air</x:v>
      </x:c>
      <x:c r="D1823" s="29" t="str">
        <x:v>YES</x:v>
      </x:c>
      <x:c r="E1823" s="29" t="str">
        <x:v>YES</x:v>
      </x:c>
      <x:c r="F1823" s="62" t="n">
        <x:v>1180.7757625169359</x:v>
      </x:c>
      <x:c r="G1823" s="62" t="n">
        <x:v>25.816578096179903</x:v>
      </x:c>
      <x:c r="H1823" s="29" t="str">
        <x:v>YES</x:v>
      </x:c>
      <x:c r="I1823" s="29" t="str">
        <x:v>primary-airport endpoints; great-circle screen</x:v>
      </x:c>
      <x:c r="J1823" s="29" t="str">
        <x:v>presence does not prove operability or capacity</x:v>
      </x:c>
    </x:row>
    <x:row r="1824" ht="75.5999984741211" hidden="0" customHeight="1">
      <x:c r="A1824" s="27" t="str">
        <x:v>SCA-15</x:v>
      </x:c>
      <x:c r="B1824" s="27" t="str">
        <x:v>SCA-22</x:v>
      </x:c>
      <x:c r="C1824" s="27" t="str">
        <x:v>Water</x:v>
      </x:c>
      <x:c r="D1824" s="27" t="str">
        <x:v>YES</x:v>
      </x:c>
      <x:c r="E1824" s="27" t="str">
        <x:v>YES</x:v>
      </x:c>
      <x:c r="F1824" s="61" t="n">
        <x:v>1924.557347326053</x:v>
      </x:c>
      <x:c r="G1824" s="61" t="n">
        <x:v>84.98735278074437</x:v>
      </x:c>
      <x:c r="H1824" s="27" t="str">
        <x:v>NO</x:v>
      </x:c>
      <x:c r="I1824" s="27" t="str">
        <x:v>USACE waterway node topology; deployable terminal required</x:v>
      </x:c>
      <x:c r="J1824" s="27" t="str">
        <x:v>presence does not prove operability or capacity</x:v>
      </x:c>
    </x:row>
    <x:row r="1825" ht="54" hidden="0" customHeight="1">
      <x:c r="A1825" s="29" t="str">
        <x:v>SCA-15</x:v>
      </x:c>
      <x:c r="B1825" s="29" t="str">
        <x:v>SCA-23</x:v>
      </x:c>
      <x:c r="C1825" s="29" t="str">
        <x:v>Road</x:v>
      </x:c>
      <x:c r="D1825" s="29" t="str">
        <x:v>YES</x:v>
      </x:c>
      <x:c r="E1825" s="29" t="str">
        <x:v>YES</x:v>
      </x:c>
      <x:c r="F1825" s="62" t="n">
        <x:v>1302.492338529645</x:v>
      </x:c>
      <x:c r="G1825" s="62" t="n">
        <x:v>43.681678882357176</x:v>
      </x:c>
      <x:c r="H1825" s="29" t="str">
        <x:v>YES</x:v>
      </x:c>
      <x:c r="I1825" s="29" t="str">
        <x:v>NHPN-gated shared-boundary SCA path</x:v>
      </x:c>
      <x:c r="J1825" s="29" t="str">
        <x:v>presence does not prove operability or capacity</x:v>
      </x:c>
    </x:row>
    <x:row r="1826" ht="64.80000305175781" hidden="0" customHeight="1">
      <x:c r="A1826" s="27" t="str">
        <x:v>SCA-15</x:v>
      </x:c>
      <x:c r="B1826" s="27" t="str">
        <x:v>SCA-23</x:v>
      </x:c>
      <x:c r="C1826" s="27" t="str">
        <x:v>Rail</x:v>
      </x:c>
      <x:c r="D1826" s="27" t="str">
        <x:v>YES</x:v>
      </x:c>
      <x:c r="E1826" s="27" t="str">
        <x:v>YES</x:v>
      </x:c>
      <x:c r="F1826" s="61" t="n">
        <x:v>1381.7744808749276</x:v>
      </x:c>
      <x:c r="G1826" s="61" t="n">
        <x:v>45.73963544107039</x:v>
      </x:c>
      <x:c r="H1826" s="27" t="str">
        <x:v>YES</x:v>
      </x:c>
      <x:c r="I1826" s="27" t="str">
        <x:v>NARN shared-node topology; deployable terminal required</x:v>
      </x:c>
      <x:c r="J1826" s="27" t="str">
        <x:v>presence does not prove operability or capacity</x:v>
      </x:c>
    </x:row>
    <x:row r="1827" ht="54" hidden="0" customHeight="1">
      <x:c r="A1827" s="29" t="str">
        <x:v>SCA-15</x:v>
      </x:c>
      <x:c r="B1827" s="29" t="str">
        <x:v>SCA-23</x:v>
      </x:c>
      <x:c r="C1827" s="29" t="str">
        <x:v>Air</x:v>
      </x:c>
      <x:c r="D1827" s="29" t="str">
        <x:v>YES</x:v>
      </x:c>
      <x:c r="E1827" s="29" t="str">
        <x:v>YES</x:v>
      </x:c>
      <x:c r="F1827" s="62" t="n">
        <x:v>1127.9110875724646</x:v>
      </x:c>
      <x:c r="G1827" s="62" t="n">
        <x:v>25.73524782703456</x:v>
      </x:c>
      <x:c r="H1827" s="29" t="str">
        <x:v>YES</x:v>
      </x:c>
      <x:c r="I1827" s="29" t="str">
        <x:v>primary-airport endpoints; great-circle screen</x:v>
      </x:c>
      <x:c r="J1827" s="29" t="str">
        <x:v>presence does not prove operability or capacity</x:v>
      </x:c>
    </x:row>
    <x:row r="1828" ht="75.5999984741211" hidden="0" customHeight="1">
      <x:c r="A1828" s="27" t="str">
        <x:v>SCA-15</x:v>
      </x:c>
      <x:c r="B1828" s="27" t="str">
        <x:v>SCA-23</x:v>
      </x:c>
      <x:c r="C1828" s="27" t="str">
        <x:v>Water</x:v>
      </x:c>
      <x:c r="D1828" s="27" t="str">
        <x:v>YES</x:v>
      </x:c>
      <x:c r="E1828" s="27" t="str">
        <x:v>YES</x:v>
      </x:c>
      <x:c r="F1828" s="61" t="n">
        <x:v>1935.138962071151</x:v>
      </x:c>
      <x:c r="G1828" s="61" t="n">
        <x:v>85.28968463060431</x:v>
      </x:c>
      <x:c r="H1828" s="27" t="str">
        <x:v>NO</x:v>
      </x:c>
      <x:c r="I1828" s="27" t="str">
        <x:v>USACE waterway node topology; deployable terminal required</x:v>
      </x:c>
      <x:c r="J1828" s="27" t="str">
        <x:v>presence does not prove operability or capacity</x:v>
      </x:c>
    </x:row>
    <x:row r="1829" ht="54" hidden="0" customHeight="1">
      <x:c r="A1829" s="29" t="str">
        <x:v>SCA-15</x:v>
      </x:c>
      <x:c r="B1829" s="29" t="str">
        <x:v>SCA-24</x:v>
      </x:c>
      <x:c r="C1829" s="29" t="str">
        <x:v>Road</x:v>
      </x:c>
      <x:c r="D1829" s="29" t="str">
        <x:v>YES</x:v>
      </x:c>
      <x:c r="E1829" s="29" t="str">
        <x:v>YES</x:v>
      </x:c>
      <x:c r="F1829" s="62" t="n">
        <x:v>1988.2957035355294</x:v>
      </x:c>
      <x:c r="G1829" s="62" t="n">
        <x:v>56.15083097337326</x:v>
      </x:c>
      <x:c r="H1829" s="29" t="str">
        <x:v>YES</x:v>
      </x:c>
      <x:c r="I1829" s="29" t="str">
        <x:v>NHPN-gated shared-boundary SCA path</x:v>
      </x:c>
      <x:c r="J1829" s="29" t="str">
        <x:v>presence does not prove operability or capacity</x:v>
      </x:c>
    </x:row>
    <x:row r="1830" ht="64.80000305175781" hidden="0" customHeight="1">
      <x:c r="A1830" s="27" t="str">
        <x:v>SCA-15</x:v>
      </x:c>
      <x:c r="B1830" s="27" t="str">
        <x:v>SCA-24</x:v>
      </x:c>
      <x:c r="C1830" s="27" t="str">
        <x:v>Rail</x:v>
      </x:c>
      <x:c r="D1830" s="27" t="str">
        <x:v>YES</x:v>
      </x:c>
      <x:c r="E1830" s="27" t="str">
        <x:v>YES</x:v>
      </x:c>
      <x:c r="F1830" s="61" t="n">
        <x:v>2109.322398533344</x:v>
      </x:c>
      <x:c r="G1830" s="61" t="n">
        <x:v>56.13317712190491</x:v>
      </x:c>
      <x:c r="H1830" s="27" t="str">
        <x:v>YES</x:v>
      </x:c>
      <x:c r="I1830" s="27" t="str">
        <x:v>NARN shared-node topology; deployable terminal required</x:v>
      </x:c>
      <x:c r="J1830" s="27" t="str">
        <x:v>presence does not prove operability or capacity</x:v>
      </x:c>
    </x:row>
    <x:row r="1831" ht="54" hidden="0" customHeight="1">
      <x:c r="A1831" s="29" t="str">
        <x:v>SCA-15</x:v>
      </x:c>
      <x:c r="B1831" s="29" t="str">
        <x:v>SCA-24</x:v>
      </x:c>
      <x:c r="C1831" s="29" t="str">
        <x:v>Air</x:v>
      </x:c>
      <x:c r="D1831" s="29" t="str">
        <x:v>YES</x:v>
      </x:c>
      <x:c r="E1831" s="29" t="str">
        <x:v>YES</x:v>
      </x:c>
      <x:c r="F1831" s="62" t="n">
        <x:v>1535.0915731170667</x:v>
      </x:c>
      <x:c r="G1831" s="62" t="n">
        <x:v>26.361679343257027</x:v>
      </x:c>
      <x:c r="H1831" s="29" t="str">
        <x:v>YES</x:v>
      </x:c>
      <x:c r="I1831" s="29" t="str">
        <x:v>primary-airport endpoints; great-circle screen</x:v>
      </x:c>
      <x:c r="J1831" s="29" t="str">
        <x:v>presence does not prove operability or capacity</x:v>
      </x:c>
    </x:row>
    <x:row r="1832" ht="75.5999984741211" hidden="0" customHeight="1">
      <x:c r="A1832" s="27" t="str">
        <x:v>SCA-15</x:v>
      </x:c>
      <x:c r="B1832" s="27" t="str">
        <x:v>SCA-24</x:v>
      </x:c>
      <x:c r="C1832" s="27" t="str">
        <x:v>Water</x:v>
      </x:c>
      <x:c r="D1832" s="27" t="str">
        <x:v>YES</x:v>
      </x:c>
      <x:c r="E1832" s="27" t="str">
        <x:v>YES</x:v>
      </x:c>
      <x:c r="F1832" s="61" t="n">
        <x:v>2331.02388893614</x:v>
      </x:c>
      <x:c r="G1832" s="61" t="n">
        <x:v>96.60068254103257</x:v>
      </x:c>
      <x:c r="H1832" s="27" t="str">
        <x:v>NO</x:v>
      </x:c>
      <x:c r="I1832" s="27" t="str">
        <x:v>USACE waterway node topology; deployable terminal required</x:v>
      </x:c>
      <x:c r="J1832" s="27" t="str">
        <x:v>presence does not prove operability or capacity</x:v>
      </x:c>
    </x:row>
    <x:row r="1833" ht="54" hidden="0" customHeight="1">
      <x:c r="A1833" s="29" t="str">
        <x:v>SCA-15</x:v>
      </x:c>
      <x:c r="B1833" s="29" t="str">
        <x:v>SCA-25</x:v>
      </x:c>
      <x:c r="C1833" s="29" t="str">
        <x:v>Road</x:v>
      </x:c>
      <x:c r="D1833" s="29" t="str">
        <x:v>YES</x:v>
      </x:c>
      <x:c r="E1833" s="29" t="str">
        <x:v>YES</x:v>
      </x:c>
      <x:c r="F1833" s="62" t="n">
        <x:v>1797.0765184490842</x:v>
      </x:c>
      <x:c r="G1833" s="62" t="n">
        <x:v>52.674118517256076</x:v>
      </x:c>
      <x:c r="H1833" s="29" t="str">
        <x:v>YES</x:v>
      </x:c>
      <x:c r="I1833" s="29" t="str">
        <x:v>NHPN-gated shared-boundary SCA path</x:v>
      </x:c>
      <x:c r="J1833" s="29" t="str">
        <x:v>presence does not prove operability or capacity</x:v>
      </x:c>
    </x:row>
    <x:row r="1834" ht="64.80000305175781" hidden="0" customHeight="1">
      <x:c r="A1834" s="27" t="str">
        <x:v>SCA-15</x:v>
      </x:c>
      <x:c r="B1834" s="27" t="str">
        <x:v>SCA-25</x:v>
      </x:c>
      <x:c r="C1834" s="27" t="str">
        <x:v>Rail</x:v>
      </x:c>
      <x:c r="D1834" s="27" t="str">
        <x:v>YES</x:v>
      </x:c>
      <x:c r="E1834" s="27" t="str">
        <x:v>YES</x:v>
      </x:c>
      <x:c r="F1834" s="61" t="n">
        <x:v>1906.4637847894635</x:v>
      </x:c>
      <x:c r="G1834" s="61" t="n">
        <x:v>53.23519692556376</x:v>
      </x:c>
      <x:c r="H1834" s="27" t="str">
        <x:v>YES</x:v>
      </x:c>
      <x:c r="I1834" s="27" t="str">
        <x:v>NARN shared-node topology; deployable terminal required</x:v>
      </x:c>
      <x:c r="J1834" s="27" t="str">
        <x:v>presence does not prove operability or capacity</x:v>
      </x:c>
    </x:row>
    <x:row r="1835" ht="54" hidden="0" customHeight="1">
      <x:c r="A1835" s="29" t="str">
        <x:v>SCA-15</x:v>
      </x:c>
      <x:c r="B1835" s="29" t="str">
        <x:v>SCA-25</x:v>
      </x:c>
      <x:c r="C1835" s="29" t="str">
        <x:v>Air</x:v>
      </x:c>
      <x:c r="D1835" s="29" t="str">
        <x:v>YES</x:v>
      </x:c>
      <x:c r="E1835" s="29" t="str">
        <x:v>YES</x:v>
      </x:c>
      <x:c r="F1835" s="62" t="n">
        <x:v>1406.4427074201728</x:v>
      </x:c>
      <x:c r="G1835" s="62" t="n">
        <x:v>26.163758011415652</x:v>
      </x:c>
      <x:c r="H1835" s="29" t="str">
        <x:v>YES</x:v>
      </x:c>
      <x:c r="I1835" s="29" t="str">
        <x:v>primary-airport endpoints; great-circle screen</x:v>
      </x:c>
      <x:c r="J1835" s="29" t="str">
        <x:v>presence does not prove operability or capacity</x:v>
      </x:c>
    </x:row>
    <x:row r="1836" ht="75.5999984741211" hidden="0" customHeight="1">
      <x:c r="A1836" s="27" t="str">
        <x:v>SCA-15</x:v>
      </x:c>
      <x:c r="B1836" s="27" t="str">
        <x:v>SCA-25</x:v>
      </x:c>
      <x:c r="C1836" s="27" t="str">
        <x:v>Water</x:v>
      </x:c>
      <x:c r="D1836" s="27" t="str">
        <x:v>YES</x:v>
      </x:c>
      <x:c r="E1836" s="27" t="str">
        <x:v>YES</x:v>
      </x:c>
      <x:c r="F1836" s="61" t="n">
        <x:v>2367.136321660344</x:v>
      </x:c>
      <x:c r="G1836" s="61" t="n">
        <x:v>97.63246633315269</x:v>
      </x:c>
      <x:c r="H1836" s="27" t="str">
        <x:v>NO</x:v>
      </x:c>
      <x:c r="I1836" s="27" t="str">
        <x:v>USACE waterway node topology; deployable terminal required</x:v>
      </x:c>
      <x:c r="J1836" s="27" t="str">
        <x:v>presence does not prove operability or capacity</x:v>
      </x:c>
    </x:row>
    <x:row r="1837" ht="54" hidden="0" customHeight="1">
      <x:c r="A1837" s="29" t="str">
        <x:v>SCA-15</x:v>
      </x:c>
      <x:c r="B1837" s="29" t="str">
        <x:v>SCA-26</x:v>
      </x:c>
      <x:c r="C1837" s="29" t="str">
        <x:v>Road</x:v>
      </x:c>
      <x:c r="D1837" s="29" t="str">
        <x:v>YES</x:v>
      </x:c>
      <x:c r="E1837" s="29" t="str">
        <x:v>YES</x:v>
      </x:c>
      <x:c r="F1837" s="62" t="n">
        <x:v>2125.5759742139066</x:v>
      </x:c>
      <x:c r="G1837" s="62" t="n">
        <x:v>58.6468358947983</x:v>
      </x:c>
      <x:c r="H1837" s="29" t="str">
        <x:v>YES</x:v>
      </x:c>
      <x:c r="I1837" s="29" t="str">
        <x:v>NHPN-gated shared-boundary SCA path</x:v>
      </x:c>
      <x:c r="J1837" s="29" t="str">
        <x:v>presence does not prove operability or capacity</x:v>
      </x:c>
    </x:row>
    <x:row r="1838" ht="64.80000305175781" hidden="0" customHeight="1">
      <x:c r="A1838" s="27" t="str">
        <x:v>SCA-15</x:v>
      </x:c>
      <x:c r="B1838" s="27" t="str">
        <x:v>SCA-26</x:v>
      </x:c>
      <x:c r="C1838" s="27" t="str">
        <x:v>Rail</x:v>
      </x:c>
      <x:c r="D1838" s="27" t="str">
        <x:v>YES</x:v>
      </x:c>
      <x:c r="E1838" s="27" t="str">
        <x:v>YES</x:v>
      </x:c>
      <x:c r="F1838" s="61" t="n">
        <x:v>2254.95885960084</x:v>
      </x:c>
      <x:c r="G1838" s="61" t="n">
        <x:v>58.21369799429771</x:v>
      </x:c>
      <x:c r="H1838" s="27" t="str">
        <x:v>YES</x:v>
      </x:c>
      <x:c r="I1838" s="27" t="str">
        <x:v>NARN shared-node topology; deployable terminal required</x:v>
      </x:c>
      <x:c r="J1838" s="27" t="str">
        <x:v>presence does not prove operability or capacity</x:v>
      </x:c>
    </x:row>
    <x:row r="1839" ht="54" hidden="0" customHeight="1">
      <x:c r="A1839" s="29" t="str">
        <x:v>SCA-15</x:v>
      </x:c>
      <x:c r="B1839" s="29" t="str">
        <x:v>SCA-26</x:v>
      </x:c>
      <x:c r="C1839" s="29" t="str">
        <x:v>Air</x:v>
      </x:c>
      <x:c r="D1839" s="29" t="str">
        <x:v>YES</x:v>
      </x:c>
      <x:c r="E1839" s="29" t="str">
        <x:v>YES</x:v>
      </x:c>
      <x:c r="F1839" s="62" t="n">
        <x:v>1525.6124778962158</x:v>
      </x:c>
      <x:c r="G1839" s="62" t="n">
        <x:v>26.34709611984033</x:v>
      </x:c>
      <x:c r="H1839" s="29" t="str">
        <x:v>YES</x:v>
      </x:c>
      <x:c r="I1839" s="29" t="str">
        <x:v>primary-airport endpoints; great-circle screen</x:v>
      </x:c>
      <x:c r="J1839" s="29" t="str">
        <x:v>presence does not prove operability or capacity</x:v>
      </x:c>
    </x:row>
    <x:row r="1840" ht="75.5999984741211" hidden="0" customHeight="1">
      <x:c r="A1840" s="27" t="str">
        <x:v>SCA-15</x:v>
      </x:c>
      <x:c r="B1840" s="27" t="str">
        <x:v>SCA-26</x:v>
      </x:c>
      <x:c r="C1840" s="27" t="str">
        <x:v>Water</x:v>
      </x:c>
      <x:c r="D1840" s="27" t="str">
        <x:v>YES</x:v>
      </x:c>
      <x:c r="E1840" s="27" t="str">
        <x:v>YES</x:v>
      </x:c>
      <x:c r="F1840" s="61" t="n">
        <x:v>2088.7962174630516</x:v>
      </x:c>
      <x:c r="G1840" s="61" t="n">
        <x:v>89.67989192751577</x:v>
      </x:c>
      <x:c r="H1840" s="27" t="str">
        <x:v>NO</x:v>
      </x:c>
      <x:c r="I1840" s="27" t="str">
        <x:v>USACE waterway node topology; deployable terminal required</x:v>
      </x:c>
      <x:c r="J1840" s="27" t="str">
        <x:v>presence does not prove operability or capacity</x:v>
      </x:c>
    </x:row>
    <x:row r="1841" ht="54" hidden="0" customHeight="1">
      <x:c r="A1841" s="29" t="str">
        <x:v>SCA-15</x:v>
      </x:c>
      <x:c r="B1841" s="29" t="str">
        <x:v>SCA-27</x:v>
      </x:c>
      <x:c r="C1841" s="29" t="str">
        <x:v>Road</x:v>
      </x:c>
      <x:c r="D1841" s="29" t="str">
        <x:v>YES</x:v>
      </x:c>
      <x:c r="E1841" s="29" t="str">
        <x:v>YES</x:v>
      </x:c>
      <x:c r="F1841" s="62" t="n">
        <x:v>2405.204238333455</x:v>
      </x:c>
      <x:c r="G1841" s="62" t="n">
        <x:v>63.730986151517364</x:v>
      </x:c>
      <x:c r="H1841" s="29" t="str">
        <x:v>YES</x:v>
      </x:c>
      <x:c r="I1841" s="29" t="str">
        <x:v>NHPN-gated shared-boundary SCA path</x:v>
      </x:c>
      <x:c r="J1841" s="29" t="str">
        <x:v>presence does not prove operability or capacity</x:v>
      </x:c>
    </x:row>
    <x:row r="1842" ht="64.80000305175781" hidden="0" customHeight="1">
      <x:c r="A1842" s="27" t="str">
        <x:v>SCA-15</x:v>
      </x:c>
      <x:c r="B1842" s="27" t="str">
        <x:v>SCA-27</x:v>
      </x:c>
      <x:c r="C1842" s="27" t="str">
        <x:v>Rail</x:v>
      </x:c>
      <x:c r="D1842" s="27" t="str">
        <x:v>YES</x:v>
      </x:c>
      <x:c r="E1842" s="27" t="str">
        <x:v>YES</x:v>
      </x:c>
      <x:c r="F1842" s="61" t="n">
        <x:v>2551.6079745798397</x:v>
      </x:c>
      <x:c r="G1842" s="61" t="n">
        <x:v>62.451542493997714</x:v>
      </x:c>
      <x:c r="H1842" s="27" t="str">
        <x:v>YES</x:v>
      </x:c>
      <x:c r="I1842" s="27" t="str">
        <x:v>NARN shared-node topology; deployable terminal required</x:v>
      </x:c>
      <x:c r="J1842" s="27" t="str">
        <x:v>presence does not prove operability or capacity</x:v>
      </x:c>
    </x:row>
    <x:row r="1843" ht="54" hidden="0" customHeight="1">
      <x:c r="A1843" s="29" t="str">
        <x:v>SCA-15</x:v>
      </x:c>
      <x:c r="B1843" s="29" t="str">
        <x:v>SCA-27</x:v>
      </x:c>
      <x:c r="C1843" s="29" t="str">
        <x:v>Air</x:v>
      </x:c>
      <x:c r="D1843" s="29" t="str">
        <x:v>YES</x:v>
      </x:c>
      <x:c r="E1843" s="29" t="str">
        <x:v>YES</x:v>
      </x:c>
      <x:c r="F1843" s="62" t="n">
        <x:v>1738.1638035475253</x:v>
      </x:c>
      <x:c r="G1843" s="62" t="n">
        <x:v>26.674098159303885</x:v>
      </x:c>
      <x:c r="H1843" s="29" t="str">
        <x:v>YES</x:v>
      </x:c>
      <x:c r="I1843" s="29" t="str">
        <x:v>primary-airport endpoints; great-circle screen</x:v>
      </x:c>
      <x:c r="J1843" s="29" t="str">
        <x:v>presence does not prove operability or capacity</x:v>
      </x:c>
    </x:row>
    <x:row r="1844" ht="75.5999984741211" hidden="0" customHeight="1">
      <x:c r="A1844" s="27" t="str">
        <x:v>SCA-15</x:v>
      </x:c>
      <x:c r="B1844" s="27" t="str">
        <x:v>SCA-27</x:v>
      </x:c>
      <x:c r="C1844" s="27" t="str">
        <x:v>Water</x:v>
      </x:c>
      <x:c r="D1844" s="27" t="str">
        <x:v>YES</x:v>
      </x:c>
      <x:c r="E1844" s="27" t="str">
        <x:v>YES</x:v>
      </x:c>
      <x:c r="F1844" s="61" t="n">
        <x:v>2329.506470249532</x:v>
      </x:c>
      <x:c r="G1844" s="61" t="n">
        <x:v>96.5573277214152</x:v>
      </x:c>
      <x:c r="H1844" s="27" t="str">
        <x:v>NO</x:v>
      </x:c>
      <x:c r="I1844" s="27" t="str">
        <x:v>USACE waterway node topology; deployable terminal required</x:v>
      </x:c>
      <x:c r="J1844" s="27" t="str">
        <x:v>presence does not prove operability or capacity</x:v>
      </x:c>
    </x:row>
    <x:row r="1845" ht="54" hidden="0" customHeight="1">
      <x:c r="A1845" s="29" t="str">
        <x:v>SCA-15</x:v>
      </x:c>
      <x:c r="B1845" s="29" t="str">
        <x:v>SCA-28</x:v>
      </x:c>
      <x:c r="C1845" s="29" t="str">
        <x:v>Road</x:v>
      </x:c>
      <x:c r="D1845" s="29" t="str">
        <x:v>YES</x:v>
      </x:c>
      <x:c r="E1845" s="29" t="str">
        <x:v>YES</x:v>
      </x:c>
      <x:c r="F1845" s="62" t="n">
        <x:v>2097.1382009860235</x:v>
      </x:c>
      <x:c r="G1845" s="62" t="n">
        <x:v>58.12978547247315</x:v>
      </x:c>
      <x:c r="H1845" s="29" t="str">
        <x:v>YES</x:v>
      </x:c>
      <x:c r="I1845" s="29" t="str">
        <x:v>NHPN-gated shared-boundary SCA path</x:v>
      </x:c>
      <x:c r="J1845" s="29" t="str">
        <x:v>presence does not prove operability or capacity</x:v>
      </x:c>
    </x:row>
    <x:row r="1846" ht="64.80000305175781" hidden="0" customHeight="1">
      <x:c r="A1846" s="27" t="str">
        <x:v>SCA-15</x:v>
      </x:c>
      <x:c r="B1846" s="27" t="str">
        <x:v>SCA-28</x:v>
      </x:c>
      <x:c r="C1846" s="27" t="str">
        <x:v>Rail</x:v>
      </x:c>
      <x:c r="D1846" s="27" t="str">
        <x:v>YES</x:v>
      </x:c>
      <x:c r="E1846" s="27" t="str">
        <x:v>YES</x:v>
      </x:c>
      <x:c r="F1846" s="61" t="n">
        <x:v>2224.790091480825</x:v>
      </x:c>
      <x:c r="G1846" s="61" t="n">
        <x:v>57.782715592583216</x:v>
      </x:c>
      <x:c r="H1846" s="27" t="str">
        <x:v>YES</x:v>
      </x:c>
      <x:c r="I1846" s="27" t="str">
        <x:v>NARN shared-node topology; deployable terminal required</x:v>
      </x:c>
      <x:c r="J1846" s="27" t="str">
        <x:v>presence does not prove operability or capacity</x:v>
      </x:c>
    </x:row>
    <x:row r="1847" ht="54" hidden="0" customHeight="1">
      <x:c r="A1847" s="29" t="str">
        <x:v>SCA-15</x:v>
      </x:c>
      <x:c r="B1847" s="29" t="str">
        <x:v>SCA-28</x:v>
      </x:c>
      <x:c r="C1847" s="29" t="str">
        <x:v>Air</x:v>
      </x:c>
      <x:c r="D1847" s="29" t="str">
        <x:v>YES</x:v>
      </x:c>
      <x:c r="E1847" s="29" t="str">
        <x:v>YES</x:v>
      </x:c>
      <x:c r="F1847" s="62" t="n">
        <x:v>1741.2356341195168</x:v>
      </x:c>
      <x:c r="G1847" s="62" t="n">
        <x:v>26.678824052491564</x:v>
      </x:c>
      <x:c r="H1847" s="29" t="str">
        <x:v>YES</x:v>
      </x:c>
      <x:c r="I1847" s="29" t="str">
        <x:v>primary-airport endpoints; great-circle screen</x:v>
      </x:c>
      <x:c r="J1847" s="29" t="str">
        <x:v>presence does not prove operability or capacity</x:v>
      </x:c>
    </x:row>
    <x:row r="1848" ht="75.5999984741211" hidden="0" customHeight="1">
      <x:c r="A1848" s="27" t="str">
        <x:v>SCA-15</x:v>
      </x:c>
      <x:c r="B1848" s="27" t="str">
        <x:v>SCA-28</x:v>
      </x:c>
      <x:c r="C1848" s="27" t="str">
        <x:v>Water</x:v>
      </x:c>
      <x:c r="D1848" s="27" t="str">
        <x:v>YES</x:v>
      </x:c>
      <x:c r="E1848" s="27" t="str">
        <x:v>YES</x:v>
      </x:c>
      <x:c r="F1848" s="61" t="n">
        <x:v>2642.086363272447</x:v>
      </x:c>
      <x:c r="G1848" s="61" t="n">
        <x:v>105.4881818077842</x:v>
      </x:c>
      <x:c r="H1848" s="27" t="str">
        <x:v>NO</x:v>
      </x:c>
      <x:c r="I1848" s="27" t="str">
        <x:v>USACE waterway node topology; deployable terminal required</x:v>
      </x:c>
      <x:c r="J1848" s="27" t="str">
        <x:v>presence does not prove operability or capacity</x:v>
      </x:c>
    </x:row>
    <x:row r="1849" ht="54" hidden="0" customHeight="1">
      <x:c r="A1849" s="29" t="str">
        <x:v>SCA-15</x:v>
      </x:c>
      <x:c r="B1849" s="29" t="str">
        <x:v>SCA-29</x:v>
      </x:c>
      <x:c r="C1849" s="29" t="str">
        <x:v>Road</x:v>
      </x:c>
      <x:c r="D1849" s="29" t="str">
        <x:v>YES</x:v>
      </x:c>
      <x:c r="E1849" s="29" t="str">
        <x:v>YES</x:v>
      </x:c>
      <x:c r="F1849" s="62" t="n">
        <x:v>1937.947287552694</x:v>
      </x:c>
      <x:c r="G1849" s="62" t="n">
        <x:v>55.235405228230796</x:v>
      </x:c>
      <x:c r="H1849" s="29" t="str">
        <x:v>YES</x:v>
      </x:c>
      <x:c r="I1849" s="29" t="str">
        <x:v>NHPN-gated shared-boundary SCA path</x:v>
      </x:c>
      <x:c r="J1849" s="29" t="str">
        <x:v>presence does not prove operability or capacity</x:v>
      </x:c>
    </x:row>
    <x:row r="1850" ht="64.80000305175781" hidden="0" customHeight="1">
      <x:c r="A1850" s="27" t="str">
        <x:v>SCA-15</x:v>
      </x:c>
      <x:c r="B1850" s="27" t="str">
        <x:v>SCA-29</x:v>
      </x:c>
      <x:c r="C1850" s="27" t="str">
        <x:v>Rail</x:v>
      </x:c>
      <x:c r="D1850" s="27" t="str">
        <x:v>YES</x:v>
      </x:c>
      <x:c r="E1850" s="27" t="str">
        <x:v>YES</x:v>
      </x:c>
      <x:c r="F1850" s="61" t="n">
        <x:v>2055.9092963602493</x:v>
      </x:c>
      <x:c r="G1850" s="61" t="n">
        <x:v>55.37013280514642</x:v>
      </x:c>
      <x:c r="H1850" s="27" t="str">
        <x:v>YES</x:v>
      </x:c>
      <x:c r="I1850" s="27" t="str">
        <x:v>NARN shared-node topology; deployable terminal required</x:v>
      </x:c>
      <x:c r="J1850" s="27" t="str">
        <x:v>presence does not prove operability or capacity</x:v>
      </x:c>
    </x:row>
    <x:row r="1851" ht="54" hidden="0" customHeight="1">
      <x:c r="A1851" s="29" t="str">
        <x:v>SCA-15</x:v>
      </x:c>
      <x:c r="B1851" s="29" t="str">
        <x:v>SCA-29</x:v>
      </x:c>
      <x:c r="C1851" s="29" t="str">
        <x:v>Air</x:v>
      </x:c>
      <x:c r="D1851" s="29" t="str">
        <x:v>YES</x:v>
      </x:c>
      <x:c r="E1851" s="29" t="str">
        <x:v>YES</x:v>
      </x:c>
      <x:c r="F1851" s="62" t="n">
        <x:v>1644.8190666364844</x:v>
      </x:c>
      <x:c r="G1851" s="62" t="n">
        <x:v>26.530490871748437</x:v>
      </x:c>
      <x:c r="H1851" s="29" t="str">
        <x:v>YES</x:v>
      </x:c>
      <x:c r="I1851" s="29" t="str">
        <x:v>primary-airport endpoints; great-circle screen</x:v>
      </x:c>
      <x:c r="J1851" s="29" t="str">
        <x:v>presence does not prove operability or capacity</x:v>
      </x:c>
    </x:row>
    <x:row r="1852" ht="75.5999984741211" hidden="0" customHeight="1">
      <x:c r="A1852" s="27" t="str">
        <x:v>SCA-15</x:v>
      </x:c>
      <x:c r="B1852" s="27" t="str">
        <x:v>SCA-29</x:v>
      </x:c>
      <x:c r="C1852" s="27" t="str">
        <x:v>Water</x:v>
      </x:c>
      <x:c r="D1852" s="27" t="str">
        <x:v>YES</x:v>
      </x:c>
      <x:c r="E1852" s="27" t="str">
        <x:v>YES</x:v>
      </x:c>
      <x:c r="F1852" s="61" t="n">
        <x:v>2723.2133748339706</x:v>
      </x:c>
      <x:c r="G1852" s="61" t="n">
        <x:v>107.80609642382774</x:v>
      </x:c>
      <x:c r="H1852" s="27" t="str">
        <x:v>NO</x:v>
      </x:c>
      <x:c r="I1852" s="27" t="str">
        <x:v>USACE waterway node topology; deployable terminal required</x:v>
      </x:c>
      <x:c r="J1852" s="27" t="str">
        <x:v>presence does not prove operability or capacity</x:v>
      </x:c>
    </x:row>
    <x:row r="1853" ht="54" hidden="0" customHeight="1">
      <x:c r="A1853" s="29" t="str">
        <x:v>SCA-15</x:v>
      </x:c>
      <x:c r="B1853" s="29" t="str">
        <x:v>SCA-30</x:v>
      </x:c>
      <x:c r="C1853" s="29" t="str">
        <x:v>Road</x:v>
      </x:c>
      <x:c r="D1853" s="29" t="str">
        <x:v>YES</x:v>
      </x:c>
      <x:c r="E1853" s="29" t="str">
        <x:v>YES</x:v>
      </x:c>
      <x:c r="F1853" s="62" t="n">
        <x:v>2560.7019169172636</x:v>
      </x:c>
      <x:c r="G1853" s="62" t="n">
        <x:v>66.55821667122297</x:v>
      </x:c>
      <x:c r="H1853" s="29" t="str">
        <x:v>YES</x:v>
      </x:c>
      <x:c r="I1853" s="29" t="str">
        <x:v>NHPN-gated shared-boundary SCA path</x:v>
      </x:c>
      <x:c r="J1853" s="29" t="str">
        <x:v>presence does not prove operability or capacity</x:v>
      </x:c>
    </x:row>
    <x:row r="1854" ht="64.80000305175781" hidden="0" customHeight="1">
      <x:c r="A1854" s="27" t="str">
        <x:v>SCA-15</x:v>
      </x:c>
      <x:c r="B1854" s="27" t="str">
        <x:v>SCA-30</x:v>
      </x:c>
      <x:c r="C1854" s="27" t="str">
        <x:v>Rail</x:v>
      </x:c>
      <x:c r="D1854" s="27" t="str">
        <x:v>YES</x:v>
      </x:c>
      <x:c r="E1854" s="27" t="str">
        <x:v>YES</x:v>
      </x:c>
      <x:c r="F1854" s="61" t="n">
        <x:v>2716.570729251358</x:v>
      </x:c>
      <x:c r="G1854" s="61" t="n">
        <x:v>64.80815327501941</x:v>
      </x:c>
      <x:c r="H1854" s="27" t="str">
        <x:v>YES</x:v>
      </x:c>
      <x:c r="I1854" s="27" t="str">
        <x:v>NARN shared-node topology; deployable terminal required</x:v>
      </x:c>
      <x:c r="J1854" s="27" t="str">
        <x:v>presence does not prove operability or capacity</x:v>
      </x:c>
    </x:row>
    <x:row r="1855" ht="54" hidden="0" customHeight="1">
      <x:c r="A1855" s="29" t="str">
        <x:v>SCA-15</x:v>
      </x:c>
      <x:c r="B1855" s="29" t="str">
        <x:v>SCA-30</x:v>
      </x:c>
      <x:c r="C1855" s="29" t="str">
        <x:v>Air</x:v>
      </x:c>
      <x:c r="D1855" s="29" t="str">
        <x:v>YES</x:v>
      </x:c>
      <x:c r="E1855" s="29" t="str">
        <x:v>YES</x:v>
      </x:c>
      <x:c r="F1855" s="62" t="n">
        <x:v>2129.4705453172364</x:v>
      </x:c>
      <x:c r="G1855" s="62" t="n">
        <x:v>27.276108531257286</x:v>
      </x:c>
      <x:c r="H1855" s="29" t="str">
        <x:v>YES</x:v>
      </x:c>
      <x:c r="I1855" s="29" t="str">
        <x:v>primary-airport endpoints; great-circle screen</x:v>
      </x:c>
      <x:c r="J1855" s="29" t="str">
        <x:v>presence does not prove operability or capacity</x:v>
      </x:c>
    </x:row>
    <x:row r="1856" ht="75.5999984741211" hidden="0" customHeight="1">
      <x:c r="A1856" s="27" t="str">
        <x:v>SCA-15</x:v>
      </x:c>
      <x:c r="B1856" s="27" t="str">
        <x:v>SCA-30</x:v>
      </x:c>
      <x:c r="C1856" s="27" t="str">
        <x:v>Water</x:v>
      </x:c>
      <x:c r="D1856" s="27" t="str">
        <x:v>YES</x:v>
      </x:c>
      <x:c r="E1856" s="27" t="str">
        <x:v>YES</x:v>
      </x:c>
      <x:c r="F1856" s="61" t="n">
        <x:v>3158.0529340480884</x:v>
      </x:c>
      <x:c r="G1856" s="61" t="n">
        <x:v>120.23008382994539</x:v>
      </x:c>
      <x:c r="H1856" s="27" t="str">
        <x:v>NO</x:v>
      </x:c>
      <x:c r="I1856" s="27" t="str">
        <x:v>USACE waterway node topology; deployable terminal required</x:v>
      </x:c>
      <x:c r="J1856" s="27" t="str">
        <x:v>presence does not prove operability or capacity</x:v>
      </x:c>
    </x:row>
    <x:row r="1857" ht="54" hidden="0" customHeight="1">
      <x:c r="A1857" s="29" t="str">
        <x:v>SCA-15</x:v>
      </x:c>
      <x:c r="B1857" s="29" t="str">
        <x:v>SCA-31</x:v>
      </x:c>
      <x:c r="C1857" s="29" t="str">
        <x:v>Road</x:v>
      </x:c>
      <x:c r="D1857" s="29" t="str">
        <x:v>YES</x:v>
      </x:c>
      <x:c r="E1857" s="29" t="str">
        <x:v>YES</x:v>
      </x:c>
      <x:c r="F1857" s="62" t="n">
        <x:v>2953.78406210377</x:v>
      </x:c>
      <x:c r="G1857" s="62" t="n">
        <x:v>73.70516476552308</x:v>
      </x:c>
      <x:c r="H1857" s="29" t="str">
        <x:v>NO</x:v>
      </x:c>
      <x:c r="I1857" s="29" t="str">
        <x:v>NHPN-gated shared-boundary SCA path</x:v>
      </x:c>
      <x:c r="J1857" s="29" t="str">
        <x:v>presence does not prove operability or capacity</x:v>
      </x:c>
    </x:row>
    <x:row r="1858" ht="64.80000305175781" hidden="0" customHeight="1">
      <x:c r="A1858" s="27" t="str">
        <x:v>SCA-15</x:v>
      </x:c>
      <x:c r="B1858" s="27" t="str">
        <x:v>SCA-31</x:v>
      </x:c>
      <x:c r="C1858" s="27" t="str">
        <x:v>Rail</x:v>
      </x:c>
      <x:c r="D1858" s="27" t="str">
        <x:v>YES</x:v>
      </x:c>
      <x:c r="E1858" s="27" t="str">
        <x:v>YES</x:v>
      </x:c>
      <x:c r="F1858" s="61" t="n">
        <x:v>3133.579613710086</x:v>
      </x:c>
      <x:c r="G1858" s="61" t="n">
        <x:v>70.76542305300123</x:v>
      </x:c>
      <x:c r="H1858" s="27" t="str">
        <x:v>YES</x:v>
      </x:c>
      <x:c r="I1858" s="27" t="str">
        <x:v>NARN shared-node topology; deployable terminal required</x:v>
      </x:c>
      <x:c r="J1858" s="27" t="str">
        <x:v>presence does not prove operability or capacity</x:v>
      </x:c>
    </x:row>
    <x:row r="1859" ht="54" hidden="0" customHeight="1">
      <x:c r="A1859" s="29" t="str">
        <x:v>SCA-15</x:v>
      </x:c>
      <x:c r="B1859" s="29" t="str">
        <x:v>SCA-31</x:v>
      </x:c>
      <x:c r="C1859" s="29" t="str">
        <x:v>Air</x:v>
      </x:c>
      <x:c r="D1859" s="29" t="str">
        <x:v>YES</x:v>
      </x:c>
      <x:c r="E1859" s="29" t="str">
        <x:v>YES</x:v>
      </x:c>
      <x:c r="F1859" s="62" t="n">
        <x:v>2438.0191965902736</x:v>
      </x:c>
      <x:c r="G1859" s="62" t="n">
        <x:v>27.750798763985035</x:v>
      </x:c>
      <x:c r="H1859" s="29" t="str">
        <x:v>YES</x:v>
      </x:c>
      <x:c r="I1859" s="29" t="str">
        <x:v>primary-airport endpoints; great-circle screen</x:v>
      </x:c>
      <x:c r="J1859" s="29" t="str">
        <x:v>presence does not prove operability or capacity</x:v>
      </x:c>
    </x:row>
    <x:row r="1860" ht="75.5999984741211" hidden="0" customHeight="1">
      <x:c r="A1860" s="27" t="str">
        <x:v>SCA-15</x:v>
      </x:c>
      <x:c r="B1860" s="27" t="str">
        <x:v>SCA-31</x:v>
      </x:c>
      <x:c r="C1860" s="27" t="str">
        <x:v>Water</x:v>
      </x:c>
      <x:c r="D1860" s="27" t="str">
        <x:v>YES</x:v>
      </x:c>
      <x:c r="E1860" s="27" t="str">
        <x:v>YES</x:v>
      </x:c>
      <x:c r="F1860" s="61" t="n">
        <x:v>3595.570452168721</x:v>
      </x:c>
      <x:c r="G1860" s="61" t="n">
        <x:v>132.73058434767773</x:v>
      </x:c>
      <x:c r="H1860" s="27" t="str">
        <x:v>NO</x:v>
      </x:c>
      <x:c r="I1860" s="27" t="str">
        <x:v>USACE waterway node topology; deployable terminal required</x:v>
      </x:c>
      <x:c r="J1860" s="27" t="str">
        <x:v>presence does not prove operability or capacity</x:v>
      </x:c>
    </x:row>
    <x:row r="1861" ht="54" hidden="0" customHeight="1">
      <x:c r="A1861" s="29" t="str">
        <x:v>SCA-15</x:v>
      </x:c>
      <x:c r="B1861" s="29" t="str">
        <x:v>SCA-32</x:v>
      </x:c>
      <x:c r="C1861" s="29" t="str">
        <x:v>Road</x:v>
      </x:c>
      <x:c r="D1861" s="29" t="str">
        <x:v>NO</x:v>
      </x:c>
      <x:c r="E1861" s="29" t="str">
        <x:v>NO</x:v>
      </x:c>
      <x:c r="F1861" s="62"/>
      <x:c r="G1861" s="62"/>
      <x:c r="H1861" s="29" t="str">
        <x:v>NO</x:v>
      </x:c>
      <x:c r="I1861" s="29" t="str">
        <x:v>no screened path</x:v>
      </x:c>
      <x:c r="J1861" s="29" t="str">
        <x:v>presence does not prove operability or capacity</x:v>
      </x:c>
    </x:row>
    <x:row r="1862" ht="54" hidden="0" customHeight="1">
      <x:c r="A1862" s="27" t="str">
        <x:v>SCA-15</x:v>
      </x:c>
      <x:c r="B1862" s="27" t="str">
        <x:v>SCA-32</x:v>
      </x:c>
      <x:c r="C1862" s="27" t="str">
        <x:v>Rail</x:v>
      </x:c>
      <x:c r="D1862" s="27" t="str">
        <x:v>NO</x:v>
      </x:c>
      <x:c r="E1862" s="27" t="str">
        <x:v>NO</x:v>
      </x:c>
      <x:c r="F1862" s="61"/>
      <x:c r="G1862" s="61"/>
      <x:c r="H1862" s="27" t="str">
        <x:v>NO</x:v>
      </x:c>
      <x:c r="I1862" s="27" t="str">
        <x:v>no screened path</x:v>
      </x:c>
      <x:c r="J1862" s="27" t="str">
        <x:v>presence does not prove operability or capacity</x:v>
      </x:c>
    </x:row>
    <x:row r="1863" ht="54" hidden="0" customHeight="1">
      <x:c r="A1863" s="29" t="str">
        <x:v>SCA-15</x:v>
      </x:c>
      <x:c r="B1863" s="29" t="str">
        <x:v>SCA-32</x:v>
      </x:c>
      <x:c r="C1863" s="29" t="str">
        <x:v>Air</x:v>
      </x:c>
      <x:c r="D1863" s="29" t="str">
        <x:v>YES</x:v>
      </x:c>
      <x:c r="E1863" s="29" t="str">
        <x:v>YES</x:v>
      </x:c>
      <x:c r="F1863" s="62" t="n">
        <x:v>3437.196643887115</x:v>
      </x:c>
      <x:c r="G1863" s="62" t="n">
        <x:v>29.28799483674941</x:v>
      </x:c>
      <x:c r="H1863" s="29" t="str">
        <x:v>YES</x:v>
      </x:c>
      <x:c r="I1863" s="29" t="str">
        <x:v>primary-airport endpoints; great-circle screen</x:v>
      </x:c>
      <x:c r="J1863" s="29" t="str">
        <x:v>presence does not prove operability or capacity</x:v>
      </x:c>
    </x:row>
    <x:row r="1864" ht="75.5999984741211" hidden="0" customHeight="1">
      <x:c r="A1864" s="27" t="str">
        <x:v>SCA-15</x:v>
      </x:c>
      <x:c r="B1864" s="27" t="str">
        <x:v>SCA-32</x:v>
      </x:c>
      <x:c r="C1864" s="27" t="str">
        <x:v>Water</x:v>
      </x:c>
      <x:c r="D1864" s="27" t="str">
        <x:v>YES</x:v>
      </x:c>
      <x:c r="E1864" s="27" t="str">
        <x:v>YES</x:v>
      </x:c>
      <x:c r="F1864" s="61" t="n">
        <x:v>4504.789115671746</x:v>
      </x:c>
      <x:c r="G1864" s="61" t="n">
        <x:v>158.70826044776416</x:v>
      </x:c>
      <x:c r="H1864" s="27" t="str">
        <x:v>NO</x:v>
      </x:c>
      <x:c r="I1864" s="27" t="str">
        <x:v>USACE waterway node topology; deployable terminal required</x:v>
      </x:c>
      <x:c r="J1864" s="27" t="str">
        <x:v>presence does not prove operability or capacity</x:v>
      </x:c>
    </x:row>
    <x:row r="1865" ht="54" hidden="0" customHeight="1">
      <x:c r="A1865" s="29" t="str">
        <x:v>SCA-16</x:v>
      </x:c>
      <x:c r="B1865" s="29" t="str">
        <x:v>SCA-01</x:v>
      </x:c>
      <x:c r="C1865" s="29" t="str">
        <x:v>Road</x:v>
      </x:c>
      <x:c r="D1865" s="29" t="str">
        <x:v>NO</x:v>
      </x:c>
      <x:c r="E1865" s="29" t="str">
        <x:v>NO</x:v>
      </x:c>
      <x:c r="F1865" s="62"/>
      <x:c r="G1865" s="62"/>
      <x:c r="H1865" s="29" t="str">
        <x:v>NO</x:v>
      </x:c>
      <x:c r="I1865" s="29" t="str">
        <x:v>no screened path</x:v>
      </x:c>
      <x:c r="J1865" s="29" t="str">
        <x:v>presence does not prove operability or capacity</x:v>
      </x:c>
    </x:row>
    <x:row r="1866" ht="54" hidden="0" customHeight="1">
      <x:c r="A1866" s="27" t="str">
        <x:v>SCA-16</x:v>
      </x:c>
      <x:c r="B1866" s="27" t="str">
        <x:v>SCA-01</x:v>
      </x:c>
      <x:c r="C1866" s="27" t="str">
        <x:v>Rail</x:v>
      </x:c>
      <x:c r="D1866" s="27" t="str">
        <x:v>NO</x:v>
      </x:c>
      <x:c r="E1866" s="27" t="str">
        <x:v>NO</x:v>
      </x:c>
      <x:c r="F1866" s="61"/>
      <x:c r="G1866" s="61"/>
      <x:c r="H1866" s="27" t="str">
        <x:v>NO</x:v>
      </x:c>
      <x:c r="I1866" s="27" t="str">
        <x:v>no screened path</x:v>
      </x:c>
      <x:c r="J1866" s="27" t="str">
        <x:v>presence does not prove operability or capacity</x:v>
      </x:c>
    </x:row>
    <x:row r="1867" ht="54" hidden="0" customHeight="1">
      <x:c r="A1867" s="29" t="str">
        <x:v>SCA-16</x:v>
      </x:c>
      <x:c r="B1867" s="29" t="str">
        <x:v>SCA-01</x:v>
      </x:c>
      <x:c r="C1867" s="29" t="str">
        <x:v>Air</x:v>
      </x:c>
      <x:c r="D1867" s="29" t="str">
        <x:v>YES</x:v>
      </x:c>
      <x:c r="E1867" s="29" t="str">
        <x:v>YES</x:v>
      </x:c>
      <x:c r="F1867" s="62" t="n">
        <x:v>6130.902692526253</x:v>
      </x:c>
      <x:c r="G1867" s="62" t="n">
        <x:v>33.43215798850193</x:v>
      </x:c>
      <x:c r="H1867" s="29" t="str">
        <x:v>YES</x:v>
      </x:c>
      <x:c r="I1867" s="29" t="str">
        <x:v>primary-airport endpoints; great-circle screen</x:v>
      </x:c>
      <x:c r="J1867" s="29" t="str">
        <x:v>presence does not prove operability or capacity</x:v>
      </x:c>
    </x:row>
    <x:row r="1868" ht="75.5999984741211" hidden="0" customHeight="1">
      <x:c r="A1868" s="27" t="str">
        <x:v>SCA-16</x:v>
      </x:c>
      <x:c r="B1868" s="27" t="str">
        <x:v>SCA-01</x:v>
      </x:c>
      <x:c r="C1868" s="27" t="str">
        <x:v>Water</x:v>
      </x:c>
      <x:c r="D1868" s="27" t="str">
        <x:v>YES</x:v>
      </x:c>
      <x:c r="E1868" s="27" t="str">
        <x:v>YES</x:v>
      </x:c>
      <x:c r="F1868" s="61" t="n">
        <x:v>12574.676684652979</x:v>
      </x:c>
      <x:c r="G1868" s="61" t="n">
        <x:v>389.27647670437085</x:v>
      </x:c>
      <x:c r="H1868" s="27" t="str">
        <x:v>NO</x:v>
      </x:c>
      <x:c r="I1868" s="27" t="str">
        <x:v>USACE waterway node topology; deployable terminal required</x:v>
      </x:c>
      <x:c r="J1868" s="27" t="str">
        <x:v>presence does not prove operability or capacity</x:v>
      </x:c>
    </x:row>
    <x:row r="1869" ht="54" hidden="0" customHeight="1">
      <x:c r="A1869" s="29" t="str">
        <x:v>SCA-16</x:v>
      </x:c>
      <x:c r="B1869" s="29" t="str">
        <x:v>SCA-02</x:v>
      </x:c>
      <x:c r="C1869" s="29" t="str">
        <x:v>Road</x:v>
      </x:c>
      <x:c r="D1869" s="29" t="str">
        <x:v>NO</x:v>
      </x:c>
      <x:c r="E1869" s="29" t="str">
        <x:v>NO</x:v>
      </x:c>
      <x:c r="F1869" s="62"/>
      <x:c r="G1869" s="62"/>
      <x:c r="H1869" s="29" t="str">
        <x:v>NO</x:v>
      </x:c>
      <x:c r="I1869" s="29" t="str">
        <x:v>no screened path</x:v>
      </x:c>
      <x:c r="J1869" s="29" t="str">
        <x:v>presence does not prove operability or capacity</x:v>
      </x:c>
    </x:row>
    <x:row r="1870" ht="54" hidden="0" customHeight="1">
      <x:c r="A1870" s="27" t="str">
        <x:v>SCA-16</x:v>
      </x:c>
      <x:c r="B1870" s="27" t="str">
        <x:v>SCA-02</x:v>
      </x:c>
      <x:c r="C1870" s="27" t="str">
        <x:v>Rail</x:v>
      </x:c>
      <x:c r="D1870" s="27" t="str">
        <x:v>NO</x:v>
      </x:c>
      <x:c r="E1870" s="27" t="str">
        <x:v>NO</x:v>
      </x:c>
      <x:c r="F1870" s="61"/>
      <x:c r="G1870" s="61"/>
      <x:c r="H1870" s="27" t="str">
        <x:v>NO</x:v>
      </x:c>
      <x:c r="I1870" s="27" t="str">
        <x:v>no screened path</x:v>
      </x:c>
      <x:c r="J1870" s="27" t="str">
        <x:v>presence does not prove operability or capacity</x:v>
      </x:c>
    </x:row>
    <x:row r="1871" ht="54" hidden="0" customHeight="1">
      <x:c r="A1871" s="29" t="str">
        <x:v>SCA-16</x:v>
      </x:c>
      <x:c r="B1871" s="29" t="str">
        <x:v>SCA-02</x:v>
      </x:c>
      <x:c r="C1871" s="29" t="str">
        <x:v>Air</x:v>
      </x:c>
      <x:c r="D1871" s="29" t="str">
        <x:v>YES</x:v>
      </x:c>
      <x:c r="E1871" s="29" t="str">
        <x:v>YES</x:v>
      </x:c>
      <x:c r="F1871" s="62" t="n">
        <x:v>4283.097259139278</x:v>
      </x:c>
      <x:c r="G1871" s="62" t="n">
        <x:v>30.589380398675814</x:v>
      </x:c>
      <x:c r="H1871" s="29" t="str">
        <x:v>YES</x:v>
      </x:c>
      <x:c r="I1871" s="29" t="str">
        <x:v>primary-airport endpoints; great-circle screen</x:v>
      </x:c>
      <x:c r="J1871" s="29" t="str">
        <x:v>presence does not prove operability or capacity</x:v>
      </x:c>
    </x:row>
    <x:row r="1872" ht="75.5999984741211" hidden="0" customHeight="1">
      <x:c r="A1872" s="27" t="str">
        <x:v>SCA-16</x:v>
      </x:c>
      <x:c r="B1872" s="27" t="str">
        <x:v>SCA-02</x:v>
      </x:c>
      <x:c r="C1872" s="27" t="str">
        <x:v>Water</x:v>
      </x:c>
      <x:c r="D1872" s="27" t="str">
        <x:v>YES</x:v>
      </x:c>
      <x:c r="E1872" s="27" t="str">
        <x:v>YES</x:v>
      </x:c>
      <x:c r="F1872" s="61" t="n">
        <x:v>9490.497735524339</x:v>
      </x:c>
      <x:c r="G1872" s="61" t="n">
        <x:v>301.15707815783827</x:v>
      </x:c>
      <x:c r="H1872" s="27" t="str">
        <x:v>NO</x:v>
      </x:c>
      <x:c r="I1872" s="27" t="str">
        <x:v>USACE waterway node topology; deployable terminal required</x:v>
      </x:c>
      <x:c r="J1872" s="27" t="str">
        <x:v>presence does not prove operability or capacity</x:v>
      </x:c>
    </x:row>
    <x:row r="1873" ht="54" hidden="0" customHeight="1">
      <x:c r="A1873" s="29" t="str">
        <x:v>SCA-16</x:v>
      </x:c>
      <x:c r="B1873" s="29" t="str">
        <x:v>SCA-03</x:v>
      </x:c>
      <x:c r="C1873" s="29" t="str">
        <x:v>Road</x:v>
      </x:c>
      <x:c r="D1873" s="29" t="str">
        <x:v>YES</x:v>
      </x:c>
      <x:c r="E1873" s="29" t="str">
        <x:v>YES</x:v>
      </x:c>
      <x:c r="F1873" s="62" t="n">
        <x:v>2708.606511727988</x:v>
      </x:c>
      <x:c r="G1873" s="62" t="n">
        <x:v>69.24739112232706</x:v>
      </x:c>
      <x:c r="H1873" s="29" t="str">
        <x:v>YES</x:v>
      </x:c>
      <x:c r="I1873" s="29" t="str">
        <x:v>NHPN-gated shared-boundary SCA path</x:v>
      </x:c>
      <x:c r="J1873" s="29" t="str">
        <x:v>presence does not prove operability or capacity</x:v>
      </x:c>
    </x:row>
    <x:row r="1874" ht="64.80000305175781" hidden="0" customHeight="1">
      <x:c r="A1874" s="27" t="str">
        <x:v>SCA-16</x:v>
      </x:c>
      <x:c r="B1874" s="27" t="str">
        <x:v>SCA-03</x:v>
      </x:c>
      <x:c r="C1874" s="27" t="str">
        <x:v>Rail</x:v>
      </x:c>
      <x:c r="D1874" s="27" t="str">
        <x:v>YES</x:v>
      </x:c>
      <x:c r="E1874" s="27" t="str">
        <x:v>YES</x:v>
      </x:c>
      <x:c r="F1874" s="61" t="n">
        <x:v>2873.478212441866</x:v>
      </x:c>
      <x:c r="G1874" s="61" t="n">
        <x:v>67.04968874916952</x:v>
      </x:c>
      <x:c r="H1874" s="27" t="str">
        <x:v>YES</x:v>
      </x:c>
      <x:c r="I1874" s="27" t="str">
        <x:v>NARN shared-node topology; deployable terminal required</x:v>
      </x:c>
      <x:c r="J1874" s="27" t="str">
        <x:v>presence does not prove operability or capacity</x:v>
      </x:c>
    </x:row>
    <x:row r="1875" ht="54" hidden="0" customHeight="1">
      <x:c r="A1875" s="29" t="str">
        <x:v>SCA-16</x:v>
      </x:c>
      <x:c r="B1875" s="29" t="str">
        <x:v>SCA-03</x:v>
      </x:c>
      <x:c r="C1875" s="29" t="str">
        <x:v>Air</x:v>
      </x:c>
      <x:c r="D1875" s="29" t="str">
        <x:v>YES</x:v>
      </x:c>
      <x:c r="E1875" s="29" t="str">
        <x:v>YES</x:v>
      </x:c>
      <x:c r="F1875" s="62" t="n">
        <x:v>2293.5625196199285</x:v>
      </x:c>
      <x:c r="G1875" s="62" t="n">
        <x:v>27.5285577224922</x:v>
      </x:c>
      <x:c r="H1875" s="29" t="str">
        <x:v>YES</x:v>
      </x:c>
      <x:c r="I1875" s="29" t="str">
        <x:v>primary-airport endpoints; great-circle screen</x:v>
      </x:c>
      <x:c r="J1875" s="29" t="str">
        <x:v>presence does not prove operability or capacity</x:v>
      </x:c>
    </x:row>
    <x:row r="1876" ht="75.5999984741211" hidden="0" customHeight="1">
      <x:c r="A1876" s="27" t="str">
        <x:v>SCA-16</x:v>
      </x:c>
      <x:c r="B1876" s="27" t="str">
        <x:v>SCA-03</x:v>
      </x:c>
      <x:c r="C1876" s="27" t="str">
        <x:v>Water</x:v>
      </x:c>
      <x:c r="D1876" s="27" t="str">
        <x:v>YES</x:v>
      </x:c>
      <x:c r="E1876" s="27" t="str">
        <x:v>YES</x:v>
      </x:c>
      <x:c r="F1876" s="61" t="n">
        <x:v>9183.915371981322</x:v>
      </x:c>
      <x:c r="G1876" s="61" t="n">
        <x:v>292.3975820566092</x:v>
      </x:c>
      <x:c r="H1876" s="27" t="str">
        <x:v>NO</x:v>
      </x:c>
      <x:c r="I1876" s="27" t="str">
        <x:v>USACE waterway node topology; deployable terminal required</x:v>
      </x:c>
      <x:c r="J1876" s="27" t="str">
        <x:v>presence does not prove operability or capacity</x:v>
      </x:c>
    </x:row>
    <x:row r="1877" ht="54" hidden="0" customHeight="1">
      <x:c r="A1877" s="29" t="str">
        <x:v>SCA-16</x:v>
      </x:c>
      <x:c r="B1877" s="29" t="str">
        <x:v>SCA-04</x:v>
      </x:c>
      <x:c r="C1877" s="29" t="str">
        <x:v>Road</x:v>
      </x:c>
      <x:c r="D1877" s="29" t="str">
        <x:v>YES</x:v>
      </x:c>
      <x:c r="E1877" s="29" t="str">
        <x:v>YES</x:v>
      </x:c>
      <x:c r="F1877" s="62" t="n">
        <x:v>3083.1786935016426</x:v>
      </x:c>
      <x:c r="G1877" s="62" t="n">
        <x:v>76.05779442730258</x:v>
      </x:c>
      <x:c r="H1877" s="29" t="str">
        <x:v>NO</x:v>
      </x:c>
      <x:c r="I1877" s="29" t="str">
        <x:v>NHPN-gated shared-boundary SCA path</x:v>
      </x:c>
      <x:c r="J1877" s="29" t="str">
        <x:v>presence does not prove operability or capacity</x:v>
      </x:c>
    </x:row>
    <x:row r="1878" ht="64.80000305175781" hidden="0" customHeight="1">
      <x:c r="A1878" s="27" t="str">
        <x:v>SCA-16</x:v>
      </x:c>
      <x:c r="B1878" s="27" t="str">
        <x:v>SCA-04</x:v>
      </x:c>
      <x:c r="C1878" s="27" t="str">
        <x:v>Rail</x:v>
      </x:c>
      <x:c r="D1878" s="27" t="str">
        <x:v>YES</x:v>
      </x:c>
      <x:c r="E1878" s="27" t="str">
        <x:v>YES</x:v>
      </x:c>
      <x:c r="F1878" s="61" t="n">
        <x:v>3308.9745038082156</x:v>
      </x:c>
      <x:c r="G1878" s="61" t="n">
        <x:v>73.27106434011736</x:v>
      </x:c>
      <x:c r="H1878" s="27" t="str">
        <x:v>NO</x:v>
      </x:c>
      <x:c r="I1878" s="27" t="str">
        <x:v>NARN shared-node topology; deployable terminal required</x:v>
      </x:c>
      <x:c r="J1878" s="27" t="str">
        <x:v>presence does not prove operability or capacity</x:v>
      </x:c>
    </x:row>
    <x:row r="1879" ht="54" hidden="0" customHeight="1">
      <x:c r="A1879" s="29" t="str">
        <x:v>SCA-16</x:v>
      </x:c>
      <x:c r="B1879" s="29" t="str">
        <x:v>SCA-04</x:v>
      </x:c>
      <x:c r="C1879" s="29" t="str">
        <x:v>Air</x:v>
      </x:c>
      <x:c r="D1879" s="29" t="str">
        <x:v>YES</x:v>
      </x:c>
      <x:c r="E1879" s="29" t="str">
        <x:v>YES</x:v>
      </x:c>
      <x:c r="F1879" s="62" t="n">
        <x:v>2220.9763076474305</x:v>
      </x:c>
      <x:c r="G1879" s="62" t="n">
        <x:v>27.416886627149893</x:v>
      </x:c>
      <x:c r="H1879" s="29" t="str">
        <x:v>YES</x:v>
      </x:c>
      <x:c r="I1879" s="29" t="str">
        <x:v>primary-airport endpoints; great-circle screen</x:v>
      </x:c>
      <x:c r="J1879" s="29" t="str">
        <x:v>presence does not prove operability or capacity</x:v>
      </x:c>
    </x:row>
    <x:row r="1880" ht="75.5999984741211" hidden="0" customHeight="1">
      <x:c r="A1880" s="27" t="str">
        <x:v>SCA-16</x:v>
      </x:c>
      <x:c r="B1880" s="27" t="str">
        <x:v>SCA-04</x:v>
      </x:c>
      <x:c r="C1880" s="27" t="str">
        <x:v>Water</x:v>
      </x:c>
      <x:c r="D1880" s="27" t="str">
        <x:v>YES</x:v>
      </x:c>
      <x:c r="E1880" s="27" t="str">
        <x:v>YES</x:v>
      </x:c>
      <x:c r="F1880" s="61" t="n">
        <x:v>7971.6571636003555</x:v>
      </x:c>
      <x:c r="G1880" s="61" t="n">
        <x:v>257.76163324572445</x:v>
      </x:c>
      <x:c r="H1880" s="27" t="str">
        <x:v>NO</x:v>
      </x:c>
      <x:c r="I1880" s="27" t="str">
        <x:v>USACE waterway node topology; deployable terminal required</x:v>
      </x:c>
      <x:c r="J1880" s="27" t="str">
        <x:v>presence does not prove operability or capacity</x:v>
      </x:c>
    </x:row>
    <x:row r="1881" ht="54" hidden="0" customHeight="1">
      <x:c r="A1881" s="29" t="str">
        <x:v>SCA-16</x:v>
      </x:c>
      <x:c r="B1881" s="29" t="str">
        <x:v>SCA-05</x:v>
      </x:c>
      <x:c r="C1881" s="29" t="str">
        <x:v>Road</x:v>
      </x:c>
      <x:c r="D1881" s="29" t="str">
        <x:v>YES</x:v>
      </x:c>
      <x:c r="E1881" s="29" t="str">
        <x:v>YES</x:v>
      </x:c>
      <x:c r="F1881" s="62" t="n">
        <x:v>2678.67040749387</x:v>
      </x:c>
      <x:c r="G1881" s="62" t="n">
        <x:v>68.70309831807036</x:v>
      </x:c>
      <x:c r="H1881" s="29" t="str">
        <x:v>YES</x:v>
      </x:c>
      <x:c r="I1881" s="29" t="str">
        <x:v>NHPN-gated shared-boundary SCA path</x:v>
      </x:c>
      <x:c r="J1881" s="29" t="str">
        <x:v>presence does not prove operability or capacity</x:v>
      </x:c>
    </x:row>
    <x:row r="1882" ht="64.80000305175781" hidden="0" customHeight="1">
      <x:c r="A1882" s="27" t="str">
        <x:v>SCA-16</x:v>
      </x:c>
      <x:c r="B1882" s="27" t="str">
        <x:v>SCA-05</x:v>
      </x:c>
      <x:c r="C1882" s="27" t="str">
        <x:v>Rail</x:v>
      </x:c>
      <x:c r="D1882" s="27" t="str">
        <x:v>YES</x:v>
      </x:c>
      <x:c r="E1882" s="27" t="str">
        <x:v>YES</x:v>
      </x:c>
      <x:c r="F1882" s="61" t="n">
        <x:v>2909.727159815267</x:v>
      </x:c>
      <x:c r="G1882" s="61" t="n">
        <x:v>67.56753085450381</x:v>
      </x:c>
      <x:c r="H1882" s="27" t="str">
        <x:v>YES</x:v>
      </x:c>
      <x:c r="I1882" s="27" t="str">
        <x:v>NARN shared-node topology; deployable terminal required</x:v>
      </x:c>
      <x:c r="J1882" s="27" t="str">
        <x:v>presence does not prove operability or capacity</x:v>
      </x:c>
    </x:row>
    <x:row r="1883" ht="54" hidden="0" customHeight="1">
      <x:c r="A1883" s="29" t="str">
        <x:v>SCA-16</x:v>
      </x:c>
      <x:c r="B1883" s="29" t="str">
        <x:v>SCA-05</x:v>
      </x:c>
      <x:c r="C1883" s="29" t="str">
        <x:v>Air</x:v>
      </x:c>
      <x:c r="D1883" s="29" t="str">
        <x:v>YES</x:v>
      </x:c>
      <x:c r="E1883" s="29" t="str">
        <x:v>YES</x:v>
      </x:c>
      <x:c r="F1883" s="62" t="n">
        <x:v>2036.6793447585796</x:v>
      </x:c>
      <x:c r="G1883" s="62" t="n">
        <x:v>27.133352838090122</x:v>
      </x:c>
      <x:c r="H1883" s="29" t="str">
        <x:v>YES</x:v>
      </x:c>
      <x:c r="I1883" s="29" t="str">
        <x:v>primary-airport endpoints; great-circle screen</x:v>
      </x:c>
      <x:c r="J1883" s="29" t="str">
        <x:v>presence does not prove operability or capacity</x:v>
      </x:c>
    </x:row>
    <x:row r="1884" ht="75.5999984741211" hidden="0" customHeight="1">
      <x:c r="A1884" s="27" t="str">
        <x:v>SCA-16</x:v>
      </x:c>
      <x:c r="B1884" s="27" t="str">
        <x:v>SCA-05</x:v>
      </x:c>
      <x:c r="C1884" s="27" t="str">
        <x:v>Water</x:v>
      </x:c>
      <x:c r="D1884" s="27" t="str">
        <x:v>YES</x:v>
      </x:c>
      <x:c r="E1884" s="27" t="str">
        <x:v>YES</x:v>
      </x:c>
      <x:c r="F1884" s="61" t="n">
        <x:v>7315.703744123298</x:v>
      </x:c>
      <x:c r="G1884" s="61" t="n">
        <x:v>239.02010697495137</x:v>
      </x:c>
      <x:c r="H1884" s="27" t="str">
        <x:v>NO</x:v>
      </x:c>
      <x:c r="I1884" s="27" t="str">
        <x:v>USACE waterway node topology; deployable terminal required</x:v>
      </x:c>
      <x:c r="J1884" s="27" t="str">
        <x:v>presence does not prove operability or capacity</x:v>
      </x:c>
    </x:row>
    <x:row r="1885" ht="54" hidden="0" customHeight="1">
      <x:c r="A1885" s="29" t="str">
        <x:v>SCA-16</x:v>
      </x:c>
      <x:c r="B1885" s="29" t="str">
        <x:v>SCA-06</x:v>
      </x:c>
      <x:c r="C1885" s="29" t="str">
        <x:v>Road</x:v>
      </x:c>
      <x:c r="D1885" s="29" t="str">
        <x:v>YES</x:v>
      </x:c>
      <x:c r="E1885" s="29" t="str">
        <x:v>YES</x:v>
      </x:c>
      <x:c r="F1885" s="62" t="n">
        <x:v>2437.9130352137463</x:v>
      </x:c>
      <x:c r="G1885" s="62" t="n">
        <x:v>64.32569154934083</x:v>
      </x:c>
      <x:c r="H1885" s="29" t="str">
        <x:v>YES</x:v>
      </x:c>
      <x:c r="I1885" s="29" t="str">
        <x:v>NHPN-gated shared-boundary SCA path</x:v>
      </x:c>
      <x:c r="J1885" s="29" t="str">
        <x:v>presence does not prove operability or capacity</x:v>
      </x:c>
    </x:row>
    <x:row r="1886" ht="64.80000305175781" hidden="0" customHeight="1">
      <x:c r="A1886" s="27" t="str">
        <x:v>SCA-16</x:v>
      </x:c>
      <x:c r="B1886" s="27" t="str">
        <x:v>SCA-06</x:v>
      </x:c>
      <x:c r="C1886" s="27" t="str">
        <x:v>Rail</x:v>
      </x:c>
      <x:c r="D1886" s="27" t="str">
        <x:v>YES</x:v>
      </x:c>
      <x:c r="E1886" s="27" t="str">
        <x:v>YES</x:v>
      </x:c>
      <x:c r="F1886" s="61" t="n">
        <x:v>2869.820481842398</x:v>
      </x:c>
      <x:c r="G1886" s="61" t="n">
        <x:v>66.99743545489139</x:v>
      </x:c>
      <x:c r="H1886" s="27" t="str">
        <x:v>YES</x:v>
      </x:c>
      <x:c r="I1886" s="27" t="str">
        <x:v>NARN shared-node topology; deployable terminal required</x:v>
      </x:c>
      <x:c r="J1886" s="27" t="str">
        <x:v>presence does not prove operability or capacity</x:v>
      </x:c>
    </x:row>
    <x:row r="1887" ht="54" hidden="0" customHeight="1">
      <x:c r="A1887" s="29" t="str">
        <x:v>SCA-16</x:v>
      </x:c>
      <x:c r="B1887" s="29" t="str">
        <x:v>SCA-06</x:v>
      </x:c>
      <x:c r="C1887" s="29" t="str">
        <x:v>Air</x:v>
      </x:c>
      <x:c r="D1887" s="29" t="str">
        <x:v>YES</x:v>
      </x:c>
      <x:c r="E1887" s="29" t="str">
        <x:v>YES</x:v>
      </x:c>
      <x:c r="F1887" s="62" t="n">
        <x:v>1903.779295349256</x:v>
      </x:c>
      <x:c r="G1887" s="62" t="n">
        <x:v>26.92889122361424</x:v>
      </x:c>
      <x:c r="H1887" s="29" t="str">
        <x:v>YES</x:v>
      </x:c>
      <x:c r="I1887" s="29" t="str">
        <x:v>primary-airport endpoints; great-circle screen</x:v>
      </x:c>
      <x:c r="J1887" s="29" t="str">
        <x:v>presence does not prove operability or capacity</x:v>
      </x:c>
    </x:row>
    <x:row r="1888" ht="75.5999984741211" hidden="0" customHeight="1">
      <x:c r="A1888" s="27" t="str">
        <x:v>SCA-16</x:v>
      </x:c>
      <x:c r="B1888" s="27" t="str">
        <x:v>SCA-06</x:v>
      </x:c>
      <x:c r="C1888" s="27" t="str">
        <x:v>Water</x:v>
      </x:c>
      <x:c r="D1888" s="27" t="str">
        <x:v>YES</x:v>
      </x:c>
      <x:c r="E1888" s="27" t="str">
        <x:v>YES</x:v>
      </x:c>
      <x:c r="F1888" s="61" t="n">
        <x:v>7047.730321063682</x:v>
      </x:c>
      <x:c r="G1888" s="61" t="n">
        <x:v>231.36372345896234</x:v>
      </x:c>
      <x:c r="H1888" s="27" t="str">
        <x:v>NO</x:v>
      </x:c>
      <x:c r="I1888" s="27" t="str">
        <x:v>USACE waterway node topology; deployable terminal required</x:v>
      </x:c>
      <x:c r="J1888" s="27" t="str">
        <x:v>presence does not prove operability or capacity</x:v>
      </x:c>
    </x:row>
    <x:row r="1889" ht="54" hidden="0" customHeight="1">
      <x:c r="A1889" s="29" t="str">
        <x:v>SCA-16</x:v>
      </x:c>
      <x:c r="B1889" s="29" t="str">
        <x:v>SCA-07</x:v>
      </x:c>
      <x:c r="C1889" s="29" t="str">
        <x:v>Road</x:v>
      </x:c>
      <x:c r="D1889" s="29" t="str">
        <x:v>YES</x:v>
      </x:c>
      <x:c r="E1889" s="29" t="str">
        <x:v>YES</x:v>
      </x:c>
      <x:c r="F1889" s="62" t="n">
        <x:v>2382.5745068489978</x:v>
      </x:c>
      <x:c r="G1889" s="62" t="n">
        <x:v>63.31953648816359</x:v>
      </x:c>
      <x:c r="H1889" s="29" t="str">
        <x:v>YES</x:v>
      </x:c>
      <x:c r="I1889" s="29" t="str">
        <x:v>NHPN-gated shared-boundary SCA path</x:v>
      </x:c>
      <x:c r="J1889" s="29" t="str">
        <x:v>presence does not prove operability or capacity</x:v>
      </x:c>
    </x:row>
    <x:row r="1890" ht="64.80000305175781" hidden="0" customHeight="1">
      <x:c r="A1890" s="27" t="str">
        <x:v>SCA-16</x:v>
      </x:c>
      <x:c r="B1890" s="27" t="str">
        <x:v>SCA-07</x:v>
      </x:c>
      <x:c r="C1890" s="27" t="str">
        <x:v>Rail</x:v>
      </x:c>
      <x:c r="D1890" s="27" t="str">
        <x:v>YES</x:v>
      </x:c>
      <x:c r="E1890" s="27" t="str">
        <x:v>YES</x:v>
      </x:c>
      <x:c r="F1890" s="61" t="n">
        <x:v>2527.600781178937</x:v>
      </x:c>
      <x:c r="G1890" s="61" t="n">
        <x:v>62.10858258827053</x:v>
      </x:c>
      <x:c r="H1890" s="27" t="str">
        <x:v>YES</x:v>
      </x:c>
      <x:c r="I1890" s="27" t="str">
        <x:v>NARN shared-node topology; deployable terminal required</x:v>
      </x:c>
      <x:c r="J1890" s="27" t="str">
        <x:v>presence does not prove operability or capacity</x:v>
      </x:c>
    </x:row>
    <x:row r="1891" ht="54" hidden="0" customHeight="1">
      <x:c r="A1891" s="29" t="str">
        <x:v>SCA-16</x:v>
      </x:c>
      <x:c r="B1891" s="29" t="str">
        <x:v>SCA-07</x:v>
      </x:c>
      <x:c r="C1891" s="29" t="str">
        <x:v>Air</x:v>
      </x:c>
      <x:c r="D1891" s="29" t="str">
        <x:v>YES</x:v>
      </x:c>
      <x:c r="E1891" s="29" t="str">
        <x:v>YES</x:v>
      </x:c>
      <x:c r="F1891" s="62" t="n">
        <x:v>1732.6209048762141</x:v>
      </x:c>
      <x:c r="G1891" s="62" t="n">
        <x:v>26.665570622886484</x:v>
      </x:c>
      <x:c r="H1891" s="29" t="str">
        <x:v>YES</x:v>
      </x:c>
      <x:c r="I1891" s="29" t="str">
        <x:v>primary-airport endpoints; great-circle screen</x:v>
      </x:c>
      <x:c r="J1891" s="29" t="str">
        <x:v>presence does not prove operability or capacity</x:v>
      </x:c>
    </x:row>
    <x:row r="1892" ht="54" hidden="0" customHeight="1">
      <x:c r="A1892" s="27" t="str">
        <x:v>SCA-16</x:v>
      </x:c>
      <x:c r="B1892" s="27" t="str">
        <x:v>SCA-07</x:v>
      </x:c>
      <x:c r="C1892" s="27" t="str">
        <x:v>Water</x:v>
      </x:c>
      <x:c r="D1892" s="27" t="str">
        <x:v>NO</x:v>
      </x:c>
      <x:c r="E1892" s="27" t="str">
        <x:v>NO</x:v>
      </x:c>
      <x:c r="F1892" s="61"/>
      <x:c r="G1892" s="61"/>
      <x:c r="H1892" s="27" t="str">
        <x:v>NO</x:v>
      </x:c>
      <x:c r="I1892" s="27" t="str">
        <x:v>no screened path</x:v>
      </x:c>
      <x:c r="J1892" s="27" t="str">
        <x:v>presence does not prove operability or capacity</x:v>
      </x:c>
    </x:row>
    <x:row r="1893" ht="54" hidden="0" customHeight="1">
      <x:c r="A1893" s="29" t="str">
        <x:v>SCA-16</x:v>
      </x:c>
      <x:c r="B1893" s="29" t="str">
        <x:v>SCA-08</x:v>
      </x:c>
      <x:c r="C1893" s="29" t="str">
        <x:v>Road</x:v>
      </x:c>
      <x:c r="D1893" s="29" t="str">
        <x:v>YES</x:v>
      </x:c>
      <x:c r="E1893" s="29" t="str">
        <x:v>YES</x:v>
      </x:c>
      <x:c r="F1893" s="62" t="n">
        <x:v>2063.951636655478</x:v>
      </x:c>
      <x:c r="G1893" s="62" t="n">
        <x:v>57.526393393735965</x:v>
      </x:c>
      <x:c r="H1893" s="29" t="str">
        <x:v>YES</x:v>
      </x:c>
      <x:c r="I1893" s="29" t="str">
        <x:v>NHPN-gated shared-boundary SCA path</x:v>
      </x:c>
      <x:c r="J1893" s="29" t="str">
        <x:v>presence does not prove operability or capacity</x:v>
      </x:c>
    </x:row>
    <x:row r="1894" ht="64.80000305175781" hidden="0" customHeight="1">
      <x:c r="A1894" s="27" t="str">
        <x:v>SCA-16</x:v>
      </x:c>
      <x:c r="B1894" s="27" t="str">
        <x:v>SCA-08</x:v>
      </x:c>
      <x:c r="C1894" s="27" t="str">
        <x:v>Rail</x:v>
      </x:c>
      <x:c r="D1894" s="27" t="str">
        <x:v>YES</x:v>
      </x:c>
      <x:c r="E1894" s="27" t="str">
        <x:v>YES</x:v>
      </x:c>
      <x:c r="F1894" s="61" t="n">
        <x:v>2189.5834754084203</x:v>
      </x:c>
      <x:c r="G1894" s="61" t="n">
        <x:v>57.279763934406006</x:v>
      </x:c>
      <x:c r="H1894" s="27" t="str">
        <x:v>YES</x:v>
      </x:c>
      <x:c r="I1894" s="27" t="str">
        <x:v>NARN shared-node topology; deployable terminal required</x:v>
      </x:c>
      <x:c r="J1894" s="27" t="str">
        <x:v>presence does not prove operability or capacity</x:v>
      </x:c>
    </x:row>
    <x:row r="1895" ht="54" hidden="0" customHeight="1">
      <x:c r="A1895" s="29" t="str">
        <x:v>SCA-16</x:v>
      </x:c>
      <x:c r="B1895" s="29" t="str">
        <x:v>SCA-08</x:v>
      </x:c>
      <x:c r="C1895" s="29" t="str">
        <x:v>Air</x:v>
      </x:c>
      <x:c r="D1895" s="29" t="str">
        <x:v>YES</x:v>
      </x:c>
      <x:c r="E1895" s="29" t="str">
        <x:v>YES</x:v>
      </x:c>
      <x:c r="F1895" s="62" t="n">
        <x:v>1735.115222619282</x:v>
      </x:c>
      <x:c r="G1895" s="62" t="n">
        <x:v>26.669408034798895</x:v>
      </x:c>
      <x:c r="H1895" s="29" t="str">
        <x:v>YES</x:v>
      </x:c>
      <x:c r="I1895" s="29" t="str">
        <x:v>primary-airport endpoints; great-circle screen</x:v>
      </x:c>
      <x:c r="J1895" s="29" t="str">
        <x:v>presence does not prove operability or capacity</x:v>
      </x:c>
    </x:row>
    <x:row r="1896" ht="75.5999984741211" hidden="0" customHeight="1">
      <x:c r="A1896" s="27" t="str">
        <x:v>SCA-16</x:v>
      </x:c>
      <x:c r="B1896" s="27" t="str">
        <x:v>SCA-08</x:v>
      </x:c>
      <x:c r="C1896" s="27" t="str">
        <x:v>Water</x:v>
      </x:c>
      <x:c r="D1896" s="27" t="str">
        <x:v>YES</x:v>
      </x:c>
      <x:c r="E1896" s="27" t="str">
        <x:v>YES</x:v>
      </x:c>
      <x:c r="F1896" s="61" t="n">
        <x:v>9901.444276409855</x:v>
      </x:c>
      <x:c r="G1896" s="61" t="n">
        <x:v>312.8984078974244</x:v>
      </x:c>
      <x:c r="H1896" s="27" t="str">
        <x:v>NO</x:v>
      </x:c>
      <x:c r="I1896" s="27" t="str">
        <x:v>USACE waterway node topology; deployable terminal required</x:v>
      </x:c>
      <x:c r="J1896" s="27" t="str">
        <x:v>presence does not prove operability or capacity</x:v>
      </x:c>
    </x:row>
    <x:row r="1897" ht="54" hidden="0" customHeight="1">
      <x:c r="A1897" s="29" t="str">
        <x:v>SCA-16</x:v>
      </x:c>
      <x:c r="B1897" s="29" t="str">
        <x:v>SCA-09</x:v>
      </x:c>
      <x:c r="C1897" s="29" t="str">
        <x:v>Road</x:v>
      </x:c>
      <x:c r="D1897" s="29" t="str">
        <x:v>YES</x:v>
      </x:c>
      <x:c r="E1897" s="29" t="str">
        <x:v>YES</x:v>
      </x:c>
      <x:c r="F1897" s="62" t="n">
        <x:v>1988.1935834519154</x:v>
      </x:c>
      <x:c r="G1897" s="62" t="n">
        <x:v>56.14897424458028</x:v>
      </x:c>
      <x:c r="H1897" s="29" t="str">
        <x:v>YES</x:v>
      </x:c>
      <x:c r="I1897" s="29" t="str">
        <x:v>NHPN-gated shared-boundary SCA path</x:v>
      </x:c>
      <x:c r="J1897" s="29" t="str">
        <x:v>presence does not prove operability or capacity</x:v>
      </x:c>
    </x:row>
    <x:row r="1898" ht="64.80000305175781" hidden="0" customHeight="1">
      <x:c r="A1898" s="27" t="str">
        <x:v>SCA-16</x:v>
      </x:c>
      <x:c r="B1898" s="27" t="str">
        <x:v>SCA-09</x:v>
      </x:c>
      <x:c r="C1898" s="27" t="str">
        <x:v>Rail</x:v>
      </x:c>
      <x:c r="D1898" s="27" t="str">
        <x:v>YES</x:v>
      </x:c>
      <x:c r="E1898" s="27" t="str">
        <x:v>YES</x:v>
      </x:c>
      <x:c r="F1898" s="61" t="n">
        <x:v>2447.592332519307</x:v>
      </x:c>
      <x:c r="G1898" s="61" t="n">
        <x:v>60.965604750275816</x:v>
      </x:c>
      <x:c r="H1898" s="27" t="str">
        <x:v>YES</x:v>
      </x:c>
      <x:c r="I1898" s="27" t="str">
        <x:v>NARN shared-node topology; deployable terminal required</x:v>
      </x:c>
      <x:c r="J1898" s="27" t="str">
        <x:v>presence does not prove operability or capacity</x:v>
      </x:c>
    </x:row>
    <x:row r="1899" ht="54" hidden="0" customHeight="1">
      <x:c r="A1899" s="29" t="str">
        <x:v>SCA-16</x:v>
      </x:c>
      <x:c r="B1899" s="29" t="str">
        <x:v>SCA-09</x:v>
      </x:c>
      <x:c r="C1899" s="29" t="str">
        <x:v>Air</x:v>
      </x:c>
      <x:c r="D1899" s="29" t="str">
        <x:v>YES</x:v>
      </x:c>
      <x:c r="E1899" s="29" t="str">
        <x:v>YES</x:v>
      </x:c>
      <x:c r="F1899" s="62" t="n">
        <x:v>1548.9281925450423</x:v>
      </x:c>
      <x:c r="G1899" s="62" t="n">
        <x:v>26.382966450069297</x:v>
      </x:c>
      <x:c r="H1899" s="29" t="str">
        <x:v>YES</x:v>
      </x:c>
      <x:c r="I1899" s="29" t="str">
        <x:v>primary-airport endpoints; great-circle screen</x:v>
      </x:c>
      <x:c r="J1899" s="29" t="str">
        <x:v>presence does not prove operability or capacity</x:v>
      </x:c>
    </x:row>
    <x:row r="1900" ht="54" hidden="0" customHeight="1">
      <x:c r="A1900" s="27" t="str">
        <x:v>SCA-16</x:v>
      </x:c>
      <x:c r="B1900" s="27" t="str">
        <x:v>SCA-09</x:v>
      </x:c>
      <x:c r="C1900" s="27" t="str">
        <x:v>Water</x:v>
      </x:c>
      <x:c r="D1900" s="27" t="str">
        <x:v>NO</x:v>
      </x:c>
      <x:c r="E1900" s="27" t="str">
        <x:v>NO</x:v>
      </x:c>
      <x:c r="F1900" s="61"/>
      <x:c r="G1900" s="61"/>
      <x:c r="H1900" s="27" t="str">
        <x:v>NO</x:v>
      </x:c>
      <x:c r="I1900" s="27" t="str">
        <x:v>no screened path</x:v>
      </x:c>
      <x:c r="J1900" s="27" t="str">
        <x:v>presence does not prove operability or capacity</x:v>
      </x:c>
    </x:row>
    <x:row r="1901" ht="54" hidden="0" customHeight="1">
      <x:c r="A1901" s="29" t="str">
        <x:v>SCA-16</x:v>
      </x:c>
      <x:c r="B1901" s="29" t="str">
        <x:v>SCA-10</x:v>
      </x:c>
      <x:c r="C1901" s="29" t="str">
        <x:v>Road</x:v>
      </x:c>
      <x:c r="D1901" s="29" t="str">
        <x:v>YES</x:v>
      </x:c>
      <x:c r="E1901" s="29" t="str">
        <x:v>YES</x:v>
      </x:c>
      <x:c r="F1901" s="62" t="n">
        <x:v>1568.375204239543</x:v>
      </x:c>
      <x:c r="G1901" s="62" t="n">
        <x:v>48.51591280435533</x:v>
      </x:c>
      <x:c r="H1901" s="29" t="str">
        <x:v>YES</x:v>
      </x:c>
      <x:c r="I1901" s="29" t="str">
        <x:v>NHPN-gated shared-boundary SCA path</x:v>
      </x:c>
      <x:c r="J1901" s="29" t="str">
        <x:v>presence does not prove operability or capacity</x:v>
      </x:c>
    </x:row>
    <x:row r="1902" ht="64.80000305175781" hidden="0" customHeight="1">
      <x:c r="A1902" s="27" t="str">
        <x:v>SCA-16</x:v>
      </x:c>
      <x:c r="B1902" s="27" t="str">
        <x:v>SCA-10</x:v>
      </x:c>
      <x:c r="C1902" s="27" t="str">
        <x:v>Rail</x:v>
      </x:c>
      <x:c r="D1902" s="27" t="str">
        <x:v>YES</x:v>
      </x:c>
      <x:c r="E1902" s="27" t="str">
        <x:v>YES</x:v>
      </x:c>
      <x:c r="F1902" s="61" t="n">
        <x:v>1663.8415210193416</x:v>
      </x:c>
      <x:c r="G1902" s="61" t="n">
        <x:v>49.769164585990595</x:v>
      </x:c>
      <x:c r="H1902" s="27" t="str">
        <x:v>YES</x:v>
      </x:c>
      <x:c r="I1902" s="27" t="str">
        <x:v>NARN shared-node topology; deployable terminal required</x:v>
      </x:c>
      <x:c r="J1902" s="27" t="str">
        <x:v>presence does not prove operability or capacity</x:v>
      </x:c>
    </x:row>
    <x:row r="1903" ht="54" hidden="0" customHeight="1">
      <x:c r="A1903" s="29" t="str">
        <x:v>SCA-16</x:v>
      </x:c>
      <x:c r="B1903" s="29" t="str">
        <x:v>SCA-10</x:v>
      </x:c>
      <x:c r="C1903" s="29" t="str">
        <x:v>Air</x:v>
      </x:c>
      <x:c r="D1903" s="29" t="str">
        <x:v>YES</x:v>
      </x:c>
      <x:c r="E1903" s="29" t="str">
        <x:v>YES</x:v>
      </x:c>
      <x:c r="F1903" s="62" t="n">
        <x:v>1354.6124973862695</x:v>
      </x:c>
      <x:c r="G1903" s="62" t="n">
        <x:v>26.084019226748108</x:v>
      </x:c>
      <x:c r="H1903" s="29" t="str">
        <x:v>YES</x:v>
      </x:c>
      <x:c r="I1903" s="29" t="str">
        <x:v>primary-airport endpoints; great-circle screen</x:v>
      </x:c>
      <x:c r="J1903" s="29" t="str">
        <x:v>presence does not prove operability or capacity</x:v>
      </x:c>
    </x:row>
    <x:row r="1904" ht="54" hidden="0" customHeight="1">
      <x:c r="A1904" s="27" t="str">
        <x:v>SCA-16</x:v>
      </x:c>
      <x:c r="B1904" s="27" t="str">
        <x:v>SCA-10</x:v>
      </x:c>
      <x:c r="C1904" s="27" t="str">
        <x:v>Water</x:v>
      </x:c>
      <x:c r="D1904" s="27" t="str">
        <x:v>NO</x:v>
      </x:c>
      <x:c r="E1904" s="27" t="str">
        <x:v>NO</x:v>
      </x:c>
      <x:c r="F1904" s="61"/>
      <x:c r="G1904" s="61"/>
      <x:c r="H1904" s="27" t="str">
        <x:v>NO</x:v>
      </x:c>
      <x:c r="I1904" s="27" t="str">
        <x:v>no screened path</x:v>
      </x:c>
      <x:c r="J1904" s="27" t="str">
        <x:v>presence does not prove operability or capacity</x:v>
      </x:c>
    </x:row>
    <x:row r="1905" ht="54" hidden="0" customHeight="1">
      <x:c r="A1905" s="29" t="str">
        <x:v>SCA-16</x:v>
      </x:c>
      <x:c r="B1905" s="29" t="str">
        <x:v>SCA-11</x:v>
      </x:c>
      <x:c r="C1905" s="29" t="str">
        <x:v>Road</x:v>
      </x:c>
      <x:c r="D1905" s="29" t="str">
        <x:v>YES</x:v>
      </x:c>
      <x:c r="E1905" s="29" t="str">
        <x:v>YES</x:v>
      </x:c>
      <x:c r="F1905" s="62" t="n">
        <x:v>1555.4043554133425</x:v>
      </x:c>
      <x:c r="G1905" s="62" t="n">
        <x:v>48.2800791893335</x:v>
      </x:c>
      <x:c r="H1905" s="29" t="str">
        <x:v>YES</x:v>
      </x:c>
      <x:c r="I1905" s="29" t="str">
        <x:v>NHPN-gated shared-boundary SCA path</x:v>
      </x:c>
      <x:c r="J1905" s="29" t="str">
        <x:v>presence does not prove operability or capacity</x:v>
      </x:c>
    </x:row>
    <x:row r="1906" ht="64.80000305175781" hidden="0" customHeight="1">
      <x:c r="A1906" s="27" t="str">
        <x:v>SCA-16</x:v>
      </x:c>
      <x:c r="B1906" s="27" t="str">
        <x:v>SCA-11</x:v>
      </x:c>
      <x:c r="C1906" s="27" t="str">
        <x:v>Rail</x:v>
      </x:c>
      <x:c r="D1906" s="27" t="str">
        <x:v>YES</x:v>
      </x:c>
      <x:c r="E1906" s="27" t="str">
        <x:v>YES</x:v>
      </x:c>
      <x:c r="F1906" s="61" t="n">
        <x:v>1650.08114226459</x:v>
      </x:c>
      <x:c r="G1906" s="61" t="n">
        <x:v>49.572587746637</x:v>
      </x:c>
      <x:c r="H1906" s="27" t="str">
        <x:v>YES</x:v>
      </x:c>
      <x:c r="I1906" s="27" t="str">
        <x:v>NARN shared-node topology; deployable terminal required</x:v>
      </x:c>
      <x:c r="J1906" s="27" t="str">
        <x:v>presence does not prove operability or capacity</x:v>
      </x:c>
    </x:row>
    <x:row r="1907" ht="54" hidden="0" customHeight="1">
      <x:c r="A1907" s="29" t="str">
        <x:v>SCA-16</x:v>
      </x:c>
      <x:c r="B1907" s="29" t="str">
        <x:v>SCA-11</x:v>
      </x:c>
      <x:c r="C1907" s="29" t="str">
        <x:v>Air</x:v>
      </x:c>
      <x:c r="D1907" s="29" t="str">
        <x:v>YES</x:v>
      </x:c>
      <x:c r="E1907" s="29" t="str">
        <x:v>YES</x:v>
      </x:c>
      <x:c r="F1907" s="62" t="n">
        <x:v>982.2097663496018</x:v>
      </x:c>
      <x:c r="G1907" s="62" t="n">
        <x:v>25.511091948230156</x:v>
      </x:c>
      <x:c r="H1907" s="29" t="str">
        <x:v>YES</x:v>
      </x:c>
      <x:c r="I1907" s="29" t="str">
        <x:v>primary-airport endpoints; great-circle screen</x:v>
      </x:c>
      <x:c r="J1907" s="29" t="str">
        <x:v>presence does not prove operability or capacity</x:v>
      </x:c>
    </x:row>
    <x:row r="1908" ht="54" hidden="0" customHeight="1">
      <x:c r="A1908" s="27" t="str">
        <x:v>SCA-16</x:v>
      </x:c>
      <x:c r="B1908" s="27" t="str">
        <x:v>SCA-11</x:v>
      </x:c>
      <x:c r="C1908" s="27" t="str">
        <x:v>Water</x:v>
      </x:c>
      <x:c r="D1908" s="27" t="str">
        <x:v>NO</x:v>
      </x:c>
      <x:c r="E1908" s="27" t="str">
        <x:v>NO</x:v>
      </x:c>
      <x:c r="F1908" s="61"/>
      <x:c r="G1908" s="61"/>
      <x:c r="H1908" s="27" t="str">
        <x:v>NO</x:v>
      </x:c>
      <x:c r="I1908" s="27" t="str">
        <x:v>no screened path</x:v>
      </x:c>
      <x:c r="J1908" s="27" t="str">
        <x:v>presence does not prove operability or capacity</x:v>
      </x:c>
    </x:row>
    <x:row r="1909" ht="54" hidden="0" customHeight="1">
      <x:c r="A1909" s="29" t="str">
        <x:v>SCA-16</x:v>
      </x:c>
      <x:c r="B1909" s="29" t="str">
        <x:v>SCA-12</x:v>
      </x:c>
      <x:c r="C1909" s="29" t="str">
        <x:v>Road</x:v>
      </x:c>
      <x:c r="D1909" s="29" t="str">
        <x:v>YES</x:v>
      </x:c>
      <x:c r="E1909" s="29" t="str">
        <x:v>YES</x:v>
      </x:c>
      <x:c r="F1909" s="62" t="n">
        <x:v>892.117241993101</x:v>
      </x:c>
      <x:c r="G1909" s="62" t="n">
        <x:v>36.22031349078365</x:v>
      </x:c>
      <x:c r="H1909" s="29" t="str">
        <x:v>YES</x:v>
      </x:c>
      <x:c r="I1909" s="29" t="str">
        <x:v>NHPN-gated shared-boundary SCA path</x:v>
      </x:c>
      <x:c r="J1909" s="29" t="str">
        <x:v>presence does not prove operability or capacity</x:v>
      </x:c>
    </x:row>
    <x:row r="1910" ht="64.80000305175781" hidden="0" customHeight="1">
      <x:c r="A1910" s="27" t="str">
        <x:v>SCA-16</x:v>
      </x:c>
      <x:c r="B1910" s="27" t="str">
        <x:v>SCA-12</x:v>
      </x:c>
      <x:c r="C1910" s="27" t="str">
        <x:v>Rail</x:v>
      </x:c>
      <x:c r="D1910" s="27" t="str">
        <x:v>YES</x:v>
      </x:c>
      <x:c r="E1910" s="27" t="str">
        <x:v>YES</x:v>
      </x:c>
      <x:c r="F1910" s="61" t="n">
        <x:v>946.4200306361591</x:v>
      </x:c>
      <x:c r="G1910" s="61" t="n">
        <x:v>39.52028615194513</x:v>
      </x:c>
      <x:c r="H1910" s="27" t="str">
        <x:v>YES</x:v>
      </x:c>
      <x:c r="I1910" s="27" t="str">
        <x:v>NARN shared-node topology; deployable terminal required</x:v>
      </x:c>
      <x:c r="J1910" s="27" t="str">
        <x:v>presence does not prove operability or capacity</x:v>
      </x:c>
    </x:row>
    <x:row r="1911" ht="54" hidden="0" customHeight="1">
      <x:c r="A1911" s="29" t="str">
        <x:v>SCA-16</x:v>
      </x:c>
      <x:c r="B1911" s="29" t="str">
        <x:v>SCA-12</x:v>
      </x:c>
      <x:c r="C1911" s="29" t="str">
        <x:v>Air</x:v>
      </x:c>
      <x:c r="D1911" s="29" t="str">
        <x:v>YES</x:v>
      </x:c>
      <x:c r="E1911" s="29" t="str">
        <x:v>YES</x:v>
      </x:c>
      <x:c r="F1911" s="62" t="n">
        <x:v>775.7541234722617</x:v>
      </x:c>
      <x:c r="G1911" s="62" t="n">
        <x:v>25.19346788226502</x:v>
      </x:c>
      <x:c r="H1911" s="29" t="str">
        <x:v>YES</x:v>
      </x:c>
      <x:c r="I1911" s="29" t="str">
        <x:v>primary-airport endpoints; great-circle screen</x:v>
      </x:c>
      <x:c r="J1911" s="29" t="str">
        <x:v>presence does not prove operability or capacity</x:v>
      </x:c>
    </x:row>
    <x:row r="1912" ht="54" hidden="0" customHeight="1">
      <x:c r="A1912" s="27" t="str">
        <x:v>SCA-16</x:v>
      </x:c>
      <x:c r="B1912" s="27" t="str">
        <x:v>SCA-12</x:v>
      </x:c>
      <x:c r="C1912" s="27" t="str">
        <x:v>Water</x:v>
      </x:c>
      <x:c r="D1912" s="27" t="str">
        <x:v>NO</x:v>
      </x:c>
      <x:c r="E1912" s="27" t="str">
        <x:v>NO</x:v>
      </x:c>
      <x:c r="F1912" s="61"/>
      <x:c r="G1912" s="61"/>
      <x:c r="H1912" s="27" t="str">
        <x:v>NO</x:v>
      </x:c>
      <x:c r="I1912" s="27" t="str">
        <x:v>no screened path</x:v>
      </x:c>
      <x:c r="J1912" s="27" t="str">
        <x:v>presence does not prove operability or capacity</x:v>
      </x:c>
    </x:row>
    <x:row r="1913" ht="54" hidden="0" customHeight="1">
      <x:c r="A1913" s="29" t="str">
        <x:v>SCA-16</x:v>
      </x:c>
      <x:c r="B1913" s="29" t="str">
        <x:v>SCA-13</x:v>
      </x:c>
      <x:c r="C1913" s="29" t="str">
        <x:v>Road</x:v>
      </x:c>
      <x:c r="D1913" s="29" t="str">
        <x:v>NO</x:v>
      </x:c>
      <x:c r="E1913" s="29" t="str">
        <x:v>NO</x:v>
      </x:c>
      <x:c r="F1913" s="62"/>
      <x:c r="G1913" s="62"/>
      <x:c r="H1913" s="29" t="str">
        <x:v>NO</x:v>
      </x:c>
      <x:c r="I1913" s="29" t="str">
        <x:v>no screened path</x:v>
      </x:c>
      <x:c r="J1913" s="29" t="str">
        <x:v>presence does not prove operability or capacity</x:v>
      </x:c>
    </x:row>
    <x:row r="1914" ht="64.80000305175781" hidden="0" customHeight="1">
      <x:c r="A1914" s="27" t="str">
        <x:v>SCA-16</x:v>
      </x:c>
      <x:c r="B1914" s="27" t="str">
        <x:v>SCA-13</x:v>
      </x:c>
      <x:c r="C1914" s="27" t="str">
        <x:v>Rail</x:v>
      </x:c>
      <x:c r="D1914" s="27" t="str">
        <x:v>YES</x:v>
      </x:c>
      <x:c r="E1914" s="27" t="str">
        <x:v>YES</x:v>
      </x:c>
      <x:c r="F1914" s="61" t="n">
        <x:v>1138.1637667161858</x:v>
      </x:c>
      <x:c r="G1914" s="61" t="n">
        <x:v>42.259482381659794</x:v>
      </x:c>
      <x:c r="H1914" s="27" t="str">
        <x:v>YES</x:v>
      </x:c>
      <x:c r="I1914" s="27" t="str">
        <x:v>NARN shared-node topology; deployable terminal required</x:v>
      </x:c>
      <x:c r="J1914" s="27" t="str">
        <x:v>presence does not prove operability or capacity</x:v>
      </x:c>
    </x:row>
    <x:row r="1915" ht="54" hidden="0" customHeight="1">
      <x:c r="A1915" s="29" t="str">
        <x:v>SCA-16</x:v>
      </x:c>
      <x:c r="B1915" s="29" t="str">
        <x:v>SCA-13</x:v>
      </x:c>
      <x:c r="C1915" s="29" t="str">
        <x:v>Air</x:v>
      </x:c>
      <x:c r="D1915" s="29" t="str">
        <x:v>YES</x:v>
      </x:c>
      <x:c r="E1915" s="29" t="str">
        <x:v>YES</x:v>
      </x:c>
      <x:c r="F1915" s="62" t="n">
        <x:v>923.36362545941</x:v>
      </x:c>
      <x:c r="G1915" s="62" t="n">
        <x:v>25.420559423783708</x:v>
      </x:c>
      <x:c r="H1915" s="29" t="str">
        <x:v>YES</x:v>
      </x:c>
      <x:c r="I1915" s="29" t="str">
        <x:v>primary-airport endpoints; great-circle screen</x:v>
      </x:c>
      <x:c r="J1915" s="29" t="str">
        <x:v>presence does not prove operability or capacity</x:v>
      </x:c>
    </x:row>
    <x:row r="1916" ht="75.5999984741211" hidden="0" customHeight="1">
      <x:c r="A1916" s="27" t="str">
        <x:v>SCA-16</x:v>
      </x:c>
      <x:c r="B1916" s="27" t="str">
        <x:v>SCA-13</x:v>
      </x:c>
      <x:c r="C1916" s="27" t="str">
        <x:v>Water</x:v>
      </x:c>
      <x:c r="D1916" s="27" t="str">
        <x:v>YES</x:v>
      </x:c>
      <x:c r="E1916" s="27" t="str">
        <x:v>YES</x:v>
      </x:c>
      <x:c r="F1916" s="61" t="n">
        <x:v>1726.5249065375706</x:v>
      </x:c>
      <x:c r="G1916" s="61" t="n">
        <x:v>79.32928304393059</x:v>
      </x:c>
      <x:c r="H1916" s="27" t="str">
        <x:v>NO</x:v>
      </x:c>
      <x:c r="I1916" s="27" t="str">
        <x:v>USACE waterway node topology; deployable terminal required</x:v>
      </x:c>
      <x:c r="J1916" s="27" t="str">
        <x:v>presence does not prove operability or capacity</x:v>
      </x:c>
    </x:row>
    <x:row r="1917" ht="54" hidden="0" customHeight="1">
      <x:c r="A1917" s="29" t="str">
        <x:v>SCA-16</x:v>
      </x:c>
      <x:c r="B1917" s="29" t="str">
        <x:v>SCA-14</x:v>
      </x:c>
      <x:c r="C1917" s="29" t="str">
        <x:v>Road</x:v>
      </x:c>
      <x:c r="D1917" s="29" t="str">
        <x:v>NO</x:v>
      </x:c>
      <x:c r="E1917" s="29" t="str">
        <x:v>NO</x:v>
      </x:c>
      <x:c r="F1917" s="62"/>
      <x:c r="G1917" s="62"/>
      <x:c r="H1917" s="29" t="str">
        <x:v>NO</x:v>
      </x:c>
      <x:c r="I1917" s="29" t="str">
        <x:v>no screened path</x:v>
      </x:c>
      <x:c r="J1917" s="29" t="str">
        <x:v>presence does not prove operability or capacity</x:v>
      </x:c>
    </x:row>
    <x:row r="1918" ht="64.80000305175781" hidden="0" customHeight="1">
      <x:c r="A1918" s="27" t="str">
        <x:v>SCA-16</x:v>
      </x:c>
      <x:c r="B1918" s="27" t="str">
        <x:v>SCA-14</x:v>
      </x:c>
      <x:c r="C1918" s="27" t="str">
        <x:v>Rail</x:v>
      </x:c>
      <x:c r="D1918" s="27" t="str">
        <x:v>YES</x:v>
      </x:c>
      <x:c r="E1918" s="27" t="str">
        <x:v>YES</x:v>
      </x:c>
      <x:c r="F1918" s="61" t="n">
        <x:v>1566.2933951919038</x:v>
      </x:c>
      <x:c r="G1918" s="61" t="n">
        <x:v>48.37561993131291</x:v>
      </x:c>
      <x:c r="H1918" s="27" t="str">
        <x:v>YES</x:v>
      </x:c>
      <x:c r="I1918" s="27" t="str">
        <x:v>NARN shared-node topology; deployable terminal required</x:v>
      </x:c>
      <x:c r="J1918" s="27" t="str">
        <x:v>presence does not prove operability or capacity</x:v>
      </x:c>
    </x:row>
    <x:row r="1919" ht="54" hidden="0" customHeight="1">
      <x:c r="A1919" s="29" t="str">
        <x:v>SCA-16</x:v>
      </x:c>
      <x:c r="B1919" s="29" t="str">
        <x:v>SCA-14</x:v>
      </x:c>
      <x:c r="C1919" s="29" t="str">
        <x:v>Air</x:v>
      </x:c>
      <x:c r="D1919" s="29" t="str">
        <x:v>YES</x:v>
      </x:c>
      <x:c r="E1919" s="29" t="str">
        <x:v>YES</x:v>
      </x:c>
      <x:c r="F1919" s="62" t="n">
        <x:v>1268.137569369197</x:v>
      </x:c>
      <x:c r="G1919" s="62" t="n">
        <x:v>25.95098087595261</x:v>
      </x:c>
      <x:c r="H1919" s="29" t="str">
        <x:v>YES</x:v>
      </x:c>
      <x:c r="I1919" s="29" t="str">
        <x:v>primary-airport endpoints; great-circle screen</x:v>
      </x:c>
      <x:c r="J1919" s="29" t="str">
        <x:v>presence does not prove operability or capacity</x:v>
      </x:c>
    </x:row>
    <x:row r="1920" ht="75.5999984741211" hidden="0" customHeight="1">
      <x:c r="A1920" s="27" t="str">
        <x:v>SCA-16</x:v>
      </x:c>
      <x:c r="B1920" s="27" t="str">
        <x:v>SCA-14</x:v>
      </x:c>
      <x:c r="C1920" s="27" t="str">
        <x:v>Water</x:v>
      </x:c>
      <x:c r="D1920" s="27" t="str">
        <x:v>YES</x:v>
      </x:c>
      <x:c r="E1920" s="27" t="str">
        <x:v>YES</x:v>
      </x:c>
      <x:c r="F1920" s="61" t="n">
        <x:v>1907.3583506435493</x:v>
      </x:c>
      <x:c r="G1920" s="61" t="n">
        <x:v>84.49595287552998</x:v>
      </x:c>
      <x:c r="H1920" s="27" t="str">
        <x:v>NO</x:v>
      </x:c>
      <x:c r="I1920" s="27" t="str">
        <x:v>USACE waterway node topology; deployable terminal required</x:v>
      </x:c>
      <x:c r="J1920" s="27" t="str">
        <x:v>presence does not prove operability or capacity</x:v>
      </x:c>
    </x:row>
    <x:row r="1921" ht="54" hidden="0" customHeight="1">
      <x:c r="A1921" s="29" t="str">
        <x:v>SCA-16</x:v>
      </x:c>
      <x:c r="B1921" s="29" t="str">
        <x:v>SCA-15</x:v>
      </x:c>
      <x:c r="C1921" s="29" t="str">
        <x:v>Road</x:v>
      </x:c>
      <x:c r="D1921" s="29" t="str">
        <x:v>YES</x:v>
      </x:c>
      <x:c r="E1921" s="29" t="str">
        <x:v>YES</x:v>
      </x:c>
      <x:c r="F1921" s="62" t="n">
        <x:v>650.0266869489054</x:v>
      </x:c>
      <x:c r="G1921" s="62" t="n">
        <x:v>31.818667035434643</x:v>
      </x:c>
      <x:c r="H1921" s="29" t="str">
        <x:v>YES</x:v>
      </x:c>
      <x:c r="I1921" s="29" t="str">
        <x:v>NHPN-gated shared-boundary SCA path</x:v>
      </x:c>
      <x:c r="J1921" s="29" t="str">
        <x:v>presence does not prove operability or capacity</x:v>
      </x:c>
    </x:row>
    <x:row r="1922" ht="64.80000305175781" hidden="0" customHeight="1">
      <x:c r="A1922" s="27" t="str">
        <x:v>SCA-16</x:v>
      </x:c>
      <x:c r="B1922" s="27" t="str">
        <x:v>SCA-15</x:v>
      </x:c>
      <x:c r="C1922" s="27" t="str">
        <x:v>Rail</x:v>
      </x:c>
      <x:c r="D1922" s="27" t="str">
        <x:v>YES</x:v>
      </x:c>
      <x:c r="E1922" s="27" t="str">
        <x:v>YES</x:v>
      </x:c>
      <x:c r="F1922" s="61" t="n">
        <x:v>689.5935287631871</x:v>
      </x:c>
      <x:c r="G1922" s="61" t="n">
        <x:v>35.85133612518839</x:v>
      </x:c>
      <x:c r="H1922" s="27" t="str">
        <x:v>YES</x:v>
      </x:c>
      <x:c r="I1922" s="27" t="str">
        <x:v>NARN shared-node topology; deployable terminal required</x:v>
      </x:c>
      <x:c r="J1922" s="27" t="str">
        <x:v>presence does not prove operability or capacity</x:v>
      </x:c>
    </x:row>
    <x:row r="1923" ht="54" hidden="0" customHeight="1">
      <x:c r="A1923" s="29" t="str">
        <x:v>SCA-16</x:v>
      </x:c>
      <x:c r="B1923" s="29" t="str">
        <x:v>SCA-15</x:v>
      </x:c>
      <x:c r="C1923" s="29" t="str">
        <x:v>Air</x:v>
      </x:c>
      <x:c r="D1923" s="29" t="str">
        <x:v>YES</x:v>
      </x:c>
      <x:c r="E1923" s="29" t="str">
        <x:v>YES</x:v>
      </x:c>
      <x:c r="F1923" s="62" t="n">
        <x:v>565.2405973468747</x:v>
      </x:c>
      <x:c r="G1923" s="62" t="n">
        <x:v>24.869600918995193</x:v>
      </x:c>
      <x:c r="H1923" s="29" t="str">
        <x:v>YES</x:v>
      </x:c>
      <x:c r="I1923" s="29" t="str">
        <x:v>primary-airport endpoints; great-circle screen</x:v>
      </x:c>
      <x:c r="J1923" s="29" t="str">
        <x:v>presence does not prove operability or capacity</x:v>
      </x:c>
    </x:row>
    <x:row r="1924" ht="75.5999984741211" hidden="0" customHeight="1">
      <x:c r="A1924" s="27" t="str">
        <x:v>SCA-16</x:v>
      </x:c>
      <x:c r="B1924" s="27" t="str">
        <x:v>SCA-15</x:v>
      </x:c>
      <x:c r="C1924" s="27" t="str">
        <x:v>Water</x:v>
      </x:c>
      <x:c r="D1924" s="27" t="str">
        <x:v>YES</x:v>
      </x:c>
      <x:c r="E1924" s="27" t="str">
        <x:v>YES</x:v>
      </x:c>
      <x:c r="F1924" s="61" t="n">
        <x:v>723.5079646039995</x:v>
      </x:c>
      <x:c r="G1924" s="61" t="n">
        <x:v>50.671656131542846</x:v>
      </x:c>
      <x:c r="H1924" s="27" t="str">
        <x:v>YES</x:v>
      </x:c>
      <x:c r="I1924" s="27" t="str">
        <x:v>USACE waterway node topology; deployable terminal required</x:v>
      </x:c>
      <x:c r="J1924" s="27" t="str">
        <x:v>presence does not prove operability or capacity</x:v>
      </x:c>
    </x:row>
    <x:row r="1925" ht="54" hidden="0" customHeight="1">
      <x:c r="A1925" s="29" t="str">
        <x:v>SCA-16</x:v>
      </x:c>
      <x:c r="B1925" s="29" t="str">
        <x:v>SCA-17</x:v>
      </x:c>
      <x:c r="C1925" s="29" t="str">
        <x:v>Road</x:v>
      </x:c>
      <x:c r="D1925" s="29" t="str">
        <x:v>YES</x:v>
      </x:c>
      <x:c r="E1925" s="29" t="str">
        <x:v>YES</x:v>
      </x:c>
      <x:c r="F1925" s="62" t="n">
        <x:v>1118.8390797718764</x:v>
      </x:c>
      <x:c r="G1925" s="62" t="n">
        <x:v>40.34252872312503</x:v>
      </x:c>
      <x:c r="H1925" s="29" t="str">
        <x:v>YES</x:v>
      </x:c>
      <x:c r="I1925" s="29" t="str">
        <x:v>NHPN-gated shared-boundary SCA path</x:v>
      </x:c>
      <x:c r="J1925" s="29" t="str">
        <x:v>presence does not prove operability or capacity</x:v>
      </x:c>
    </x:row>
    <x:row r="1926" ht="64.80000305175781" hidden="0" customHeight="1">
      <x:c r="A1926" s="27" t="str">
        <x:v>SCA-16</x:v>
      </x:c>
      <x:c r="B1926" s="27" t="str">
        <x:v>SCA-17</x:v>
      </x:c>
      <x:c r="C1926" s="27" t="str">
        <x:v>Rail</x:v>
      </x:c>
      <x:c r="D1926" s="27" t="str">
        <x:v>YES</x:v>
      </x:c>
      <x:c r="E1926" s="27" t="str">
        <x:v>YES</x:v>
      </x:c>
      <x:c r="F1926" s="61" t="n">
        <x:v>1186.942328105817</x:v>
      </x:c>
      <x:c r="G1926" s="61" t="n">
        <x:v>42.956318972940245</x:v>
      </x:c>
      <x:c r="H1926" s="27" t="str">
        <x:v>YES</x:v>
      </x:c>
      <x:c r="I1926" s="27" t="str">
        <x:v>NARN shared-node topology; deployable terminal required</x:v>
      </x:c>
      <x:c r="J1926" s="27" t="str">
        <x:v>presence does not prove operability or capacity</x:v>
      </x:c>
    </x:row>
    <x:row r="1927" ht="54" hidden="0" customHeight="1">
      <x:c r="A1927" s="29" t="str">
        <x:v>SCA-16</x:v>
      </x:c>
      <x:c r="B1927" s="29" t="str">
        <x:v>SCA-17</x:v>
      </x:c>
      <x:c r="C1927" s="29" t="str">
        <x:v>Air</x:v>
      </x:c>
      <x:c r="D1927" s="29" t="str">
        <x:v>YES</x:v>
      </x:c>
      <x:c r="E1927" s="29" t="str">
        <x:v>YES</x:v>
      </x:c>
      <x:c r="F1927" s="62" t="n">
        <x:v>912.927595231238</x:v>
      </x:c>
      <x:c r="G1927" s="62" t="n">
        <x:v>25.404503992663443</x:v>
      </x:c>
      <x:c r="H1927" s="29" t="str">
        <x:v>YES</x:v>
      </x:c>
      <x:c r="I1927" s="29" t="str">
        <x:v>primary-airport endpoints; great-circle screen</x:v>
      </x:c>
      <x:c r="J1927" s="29" t="str">
        <x:v>presence does not prove operability or capacity</x:v>
      </x:c>
    </x:row>
    <x:row r="1928" ht="75.5999984741211" hidden="0" customHeight="1">
      <x:c r="A1928" s="27" t="str">
        <x:v>SCA-16</x:v>
      </x:c>
      <x:c r="B1928" s="27" t="str">
        <x:v>SCA-17</x:v>
      </x:c>
      <x:c r="C1928" s="27" t="str">
        <x:v>Water</x:v>
      </x:c>
      <x:c r="D1928" s="27" t="str">
        <x:v>YES</x:v>
      </x:c>
      <x:c r="E1928" s="27" t="str">
        <x:v>YES</x:v>
      </x:c>
      <x:c r="F1928" s="61" t="n">
        <x:v>1245.3165409634803</x:v>
      </x:c>
      <x:c r="G1928" s="61" t="n">
        <x:v>65.58047259895659</x:v>
      </x:c>
      <x:c r="H1928" s="27" t="str">
        <x:v>YES</x:v>
      </x:c>
      <x:c r="I1928" s="27" t="str">
        <x:v>USACE waterway node topology; deployable terminal required</x:v>
      </x:c>
      <x:c r="J1928" s="27" t="str">
        <x:v>presence does not prove operability or capacity</x:v>
      </x:c>
    </x:row>
    <x:row r="1929" ht="54" hidden="0" customHeight="1">
      <x:c r="A1929" s="29" t="str">
        <x:v>SCA-16</x:v>
      </x:c>
      <x:c r="B1929" s="29" t="str">
        <x:v>SCA-18</x:v>
      </x:c>
      <x:c r="C1929" s="29" t="str">
        <x:v>Road</x:v>
      </x:c>
      <x:c r="D1929" s="29" t="str">
        <x:v>YES</x:v>
      </x:c>
      <x:c r="E1929" s="29" t="str">
        <x:v>YES</x:v>
      </x:c>
      <x:c r="F1929" s="62" t="n">
        <x:v>871.6972650281631</x:v>
      </x:c>
      <x:c r="G1929" s="62" t="n">
        <x:v>35.84904118233024</x:v>
      </x:c>
      <x:c r="H1929" s="29" t="str">
        <x:v>YES</x:v>
      </x:c>
      <x:c r="I1929" s="29" t="str">
        <x:v>NHPN-gated shared-boundary SCA path</x:v>
      </x:c>
      <x:c r="J1929" s="29" t="str">
        <x:v>presence does not prove operability or capacity</x:v>
      </x:c>
    </x:row>
    <x:row r="1930" ht="64.80000305175781" hidden="0" customHeight="1">
      <x:c r="A1930" s="27" t="str">
        <x:v>SCA-16</x:v>
      </x:c>
      <x:c r="B1930" s="27" t="str">
        <x:v>SCA-18</x:v>
      </x:c>
      <x:c r="C1930" s="27" t="str">
        <x:v>Rail</x:v>
      </x:c>
      <x:c r="D1930" s="27" t="str">
        <x:v>YES</x:v>
      </x:c>
      <x:c r="E1930" s="27" t="str">
        <x:v>YES</x:v>
      </x:c>
      <x:c r="F1930" s="61" t="n">
        <x:v>924.7570985516164</x:v>
      </x:c>
      <x:c r="G1930" s="61" t="n">
        <x:v>39.21081569359452</x:v>
      </x:c>
      <x:c r="H1930" s="27" t="str">
        <x:v>YES</x:v>
      </x:c>
      <x:c r="I1930" s="27" t="str">
        <x:v>NARN shared-node topology; deployable terminal required</x:v>
      </x:c>
      <x:c r="J1930" s="27" t="str">
        <x:v>presence does not prove operability or capacity</x:v>
      </x:c>
    </x:row>
    <x:row r="1931" ht="54" hidden="0" customHeight="1">
      <x:c r="A1931" s="29" t="str">
        <x:v>SCA-16</x:v>
      </x:c>
      <x:c r="B1931" s="29" t="str">
        <x:v>SCA-18</x:v>
      </x:c>
      <x:c r="C1931" s="29" t="str">
        <x:v>Air</x:v>
      </x:c>
      <x:c r="D1931" s="29" t="str">
        <x:v>YES</x:v>
      </x:c>
      <x:c r="E1931" s="29" t="str">
        <x:v>YES</x:v>
      </x:c>
      <x:c r="F1931" s="62" t="n">
        <x:v>757.99762176362</x:v>
      </x:c>
      <x:c r="G1931" s="62" t="n">
        <x:v>25.166150187328647</x:v>
      </x:c>
      <x:c r="H1931" s="29" t="str">
        <x:v>YES</x:v>
      </x:c>
      <x:c r="I1931" s="29" t="str">
        <x:v>primary-airport endpoints; great-circle screen</x:v>
      </x:c>
      <x:c r="J1931" s="29" t="str">
        <x:v>presence does not prove operability or capacity</x:v>
      </x:c>
    </x:row>
    <x:row r="1932" ht="75.5999984741211" hidden="0" customHeight="1">
      <x:c r="A1932" s="27" t="str">
        <x:v>SCA-16</x:v>
      </x:c>
      <x:c r="B1932" s="27" t="str">
        <x:v>SCA-18</x:v>
      </x:c>
      <x:c r="C1932" s="27" t="str">
        <x:v>Water</x:v>
      </x:c>
      <x:c r="D1932" s="27" t="str">
        <x:v>YES</x:v>
      </x:c>
      <x:c r="E1932" s="27" t="str">
        <x:v>YES</x:v>
      </x:c>
      <x:c r="F1932" s="61" t="n">
        <x:v>970.2369558574337</x:v>
      </x:c>
      <x:c r="G1932" s="61" t="n">
        <x:v>57.721055881640964</x:v>
      </x:c>
      <x:c r="H1932" s="27" t="str">
        <x:v>YES</x:v>
      </x:c>
      <x:c r="I1932" s="27" t="str">
        <x:v>USACE waterway node topology; deployable terminal required</x:v>
      </x:c>
      <x:c r="J1932" s="27" t="str">
        <x:v>presence does not prove operability or capacity</x:v>
      </x:c>
    </x:row>
    <x:row r="1933" ht="54" hidden="0" customHeight="1">
      <x:c r="A1933" s="29" t="str">
        <x:v>SCA-16</x:v>
      </x:c>
      <x:c r="B1933" s="29" t="str">
        <x:v>SCA-19</x:v>
      </x:c>
      <x:c r="C1933" s="29" t="str">
        <x:v>Road</x:v>
      </x:c>
      <x:c r="D1933" s="29" t="str">
        <x:v>YES</x:v>
      </x:c>
      <x:c r="E1933" s="29" t="str">
        <x:v>YES</x:v>
      </x:c>
      <x:c r="F1933" s="62" t="n">
        <x:v>521.4851739290159</x:v>
      </x:c>
      <x:c r="G1933" s="62" t="n">
        <x:v>29.481548616891196</x:v>
      </x:c>
      <x:c r="H1933" s="29" t="str">
        <x:v>YES</x:v>
      </x:c>
      <x:c r="I1933" s="29" t="str">
        <x:v>NHPN-gated shared-boundary SCA path</x:v>
      </x:c>
      <x:c r="J1933" s="29" t="str">
        <x:v>presence does not prove operability or capacity</x:v>
      </x:c>
    </x:row>
    <x:row r="1934" ht="64.80000305175781" hidden="0" customHeight="1">
      <x:c r="A1934" s="27" t="str">
        <x:v>SCA-16</x:v>
      </x:c>
      <x:c r="B1934" s="27" t="str">
        <x:v>SCA-19</x:v>
      </x:c>
      <x:c r="C1934" s="27" t="str">
        <x:v>Rail</x:v>
      </x:c>
      <x:c r="D1934" s="27" t="str">
        <x:v>YES</x:v>
      </x:c>
      <x:c r="E1934" s="27" t="str">
        <x:v>YES</x:v>
      </x:c>
      <x:c r="F1934" s="61" t="n">
        <x:v>553.2277497333909</x:v>
      </x:c>
      <x:c r="G1934" s="61" t="n">
        <x:v>33.90325356761987</x:v>
      </x:c>
      <x:c r="H1934" s="27" t="str">
        <x:v>YES</x:v>
      </x:c>
      <x:c r="I1934" s="27" t="str">
        <x:v>NARN shared-node topology; deployable terminal required</x:v>
      </x:c>
      <x:c r="J1934" s="27" t="str">
        <x:v>presence does not prove operability or capacity</x:v>
      </x:c>
    </x:row>
    <x:row r="1935" ht="54" hidden="0" customHeight="1">
      <x:c r="A1935" s="29" t="str">
        <x:v>SCA-16</x:v>
      </x:c>
      <x:c r="B1935" s="29" t="str">
        <x:v>SCA-19</x:v>
      </x:c>
      <x:c r="C1935" s="29" t="str">
        <x:v>Air</x:v>
      </x:c>
      <x:c r="D1935" s="29" t="str">
        <x:v>YES</x:v>
      </x:c>
      <x:c r="E1935" s="29" t="str">
        <x:v>YES</x:v>
      </x:c>
      <x:c r="F1935" s="62" t="n">
        <x:v>453.4653686339269</x:v>
      </x:c>
      <x:c r="G1935" s="62" t="n">
        <x:v>24.69763902866758</x:v>
      </x:c>
      <x:c r="H1935" s="29" t="str">
        <x:v>YES</x:v>
      </x:c>
      <x:c r="I1935" s="29" t="str">
        <x:v>primary-airport endpoints; great-circle screen</x:v>
      </x:c>
      <x:c r="J1935" s="29" t="str">
        <x:v>presence does not prove operability or capacity</x:v>
      </x:c>
    </x:row>
    <x:row r="1936" ht="75.5999984741211" hidden="0" customHeight="1">
      <x:c r="A1936" s="27" t="str">
        <x:v>SCA-16</x:v>
      </x:c>
      <x:c r="B1936" s="27" t="str">
        <x:v>SCA-19</x:v>
      </x:c>
      <x:c r="C1936" s="27" t="str">
        <x:v>Water</x:v>
      </x:c>
      <x:c r="D1936" s="27" t="str">
        <x:v>YES</x:v>
      </x:c>
      <x:c r="E1936" s="27" t="str">
        <x:v>YES</x:v>
      </x:c>
      <x:c r="F1936" s="61" t="n">
        <x:v>580.4356718514265</x:v>
      </x:c>
      <x:c r="G1936" s="61" t="n">
        <x:v>46.583876338612185</x:v>
      </x:c>
      <x:c r="H1936" s="27" t="str">
        <x:v>YES</x:v>
      </x:c>
      <x:c r="I1936" s="27" t="str">
        <x:v>USACE waterway node topology; deployable terminal required</x:v>
      </x:c>
      <x:c r="J1936" s="27" t="str">
        <x:v>presence does not prove operability or capacity</x:v>
      </x:c>
    </x:row>
    <x:row r="1937" ht="54" hidden="0" customHeight="1">
      <x:c r="A1937" s="29" t="str">
        <x:v>SCA-16</x:v>
      </x:c>
      <x:c r="B1937" s="29" t="str">
        <x:v>SCA-20</x:v>
      </x:c>
      <x:c r="C1937" s="29" t="str">
        <x:v>Road</x:v>
      </x:c>
      <x:c r="D1937" s="29" t="str">
        <x:v>YES</x:v>
      </x:c>
      <x:c r="E1937" s="29" t="str">
        <x:v>YES</x:v>
      </x:c>
      <x:c r="F1937" s="62" t="n">
        <x:v>809.125688550762</x:v>
      </x:c>
      <x:c r="G1937" s="62" t="n">
        <x:v>34.7113761554684</x:v>
      </x:c>
      <x:c r="H1937" s="29" t="str">
        <x:v>YES</x:v>
      </x:c>
      <x:c r="I1937" s="29" t="str">
        <x:v>NHPN-gated shared-boundary SCA path</x:v>
      </x:c>
      <x:c r="J1937" s="29" t="str">
        <x:v>presence does not prove operability or capacity</x:v>
      </x:c>
    </x:row>
    <x:row r="1938" ht="64.80000305175781" hidden="0" customHeight="1">
      <x:c r="A1938" s="27" t="str">
        <x:v>SCA-16</x:v>
      </x:c>
      <x:c r="B1938" s="27" t="str">
        <x:v>SCA-20</x:v>
      </x:c>
      <x:c r="C1938" s="27" t="str">
        <x:v>Rail</x:v>
      </x:c>
      <x:c r="D1938" s="27" t="str">
        <x:v>YES</x:v>
      </x:c>
      <x:c r="E1938" s="27" t="str">
        <x:v>YES</x:v>
      </x:c>
      <x:c r="F1938" s="61" t="n">
        <x:v>858.3768174190695</x:v>
      </x:c>
      <x:c r="G1938" s="61" t="n">
        <x:v>38.26252596312956</x:v>
      </x:c>
      <x:c r="H1938" s="27" t="str">
        <x:v>YES</x:v>
      </x:c>
      <x:c r="I1938" s="27" t="str">
        <x:v>NARN shared-node topology; deployable terminal required</x:v>
      </x:c>
      <x:c r="J1938" s="27" t="str">
        <x:v>presence does not prove operability or capacity</x:v>
      </x:c>
    </x:row>
    <x:row r="1939" ht="54" hidden="0" customHeight="1">
      <x:c r="A1939" s="29" t="str">
        <x:v>SCA-16</x:v>
      </x:c>
      <x:c r="B1939" s="29" t="str">
        <x:v>SCA-20</x:v>
      </x:c>
      <x:c r="C1939" s="29" t="str">
        <x:v>Air</x:v>
      </x:c>
      <x:c r="D1939" s="29" t="str">
        <x:v>YES</x:v>
      </x:c>
      <x:c r="E1939" s="29" t="str">
        <x:v>YES</x:v>
      </x:c>
      <x:c r="F1939" s="62" t="n">
        <x:v>703.5875552615324</x:v>
      </x:c>
      <x:c r="G1939" s="62" t="n">
        <x:v>25.08244239271005</x:v>
      </x:c>
      <x:c r="H1939" s="29" t="str">
        <x:v>YES</x:v>
      </x:c>
      <x:c r="I1939" s="29" t="str">
        <x:v>primary-airport endpoints; great-circle screen</x:v>
      </x:c>
      <x:c r="J1939" s="29" t="str">
        <x:v>presence does not prove operability or capacity</x:v>
      </x:c>
    </x:row>
    <x:row r="1940" ht="75.5999984741211" hidden="0" customHeight="1">
      <x:c r="A1940" s="27" t="str">
        <x:v>SCA-16</x:v>
      </x:c>
      <x:c r="B1940" s="27" t="str">
        <x:v>SCA-20</x:v>
      </x:c>
      <x:c r="C1940" s="27" t="str">
        <x:v>Water</x:v>
      </x:c>
      <x:c r="D1940" s="27" t="str">
        <x:v>YES</x:v>
      </x:c>
      <x:c r="E1940" s="27" t="str">
        <x:v>YES</x:v>
      </x:c>
      <x:c r="F1940" s="61" t="n">
        <x:v>900.5920707347615</x:v>
      </x:c>
      <x:c r="G1940" s="61" t="n">
        <x:v>55.73120202099318</x:v>
      </x:c>
      <x:c r="H1940" s="27" t="str">
        <x:v>YES</x:v>
      </x:c>
      <x:c r="I1940" s="27" t="str">
        <x:v>USACE waterway node topology; deployable terminal required</x:v>
      </x:c>
      <x:c r="J1940" s="27" t="str">
        <x:v>presence does not prove operability or capacity</x:v>
      </x:c>
    </x:row>
    <x:row r="1941" ht="54" hidden="0" customHeight="1">
      <x:c r="A1941" s="29" t="str">
        <x:v>SCA-16</x:v>
      </x:c>
      <x:c r="B1941" s="29" t="str">
        <x:v>SCA-21</x:v>
      </x:c>
      <x:c r="C1941" s="29" t="str">
        <x:v>Road</x:v>
      </x:c>
      <x:c r="D1941" s="29" t="str">
        <x:v>YES</x:v>
      </x:c>
      <x:c r="E1941" s="29" t="str">
        <x:v>YES</x:v>
      </x:c>
      <x:c r="F1941" s="62" t="n">
        <x:v>1047.0125351041197</x:v>
      </x:c>
      <x:c r="G1941" s="62" t="n">
        <x:v>39.036591547347626</x:v>
      </x:c>
      <x:c r="H1941" s="29" t="str">
        <x:v>YES</x:v>
      </x:c>
      <x:c r="I1941" s="29" t="str">
        <x:v>NHPN-gated shared-boundary SCA path</x:v>
      </x:c>
      <x:c r="J1941" s="29" t="str">
        <x:v>presence does not prove operability or capacity</x:v>
      </x:c>
    </x:row>
    <x:row r="1942" ht="64.80000305175781" hidden="0" customHeight="1">
      <x:c r="A1942" s="27" t="str">
        <x:v>SCA-16</x:v>
      </x:c>
      <x:c r="B1942" s="27" t="str">
        <x:v>SCA-21</x:v>
      </x:c>
      <x:c r="C1942" s="27" t="str">
        <x:v>Rail</x:v>
      </x:c>
      <x:c r="D1942" s="27" t="str">
        <x:v>YES</x:v>
      </x:c>
      <x:c r="E1942" s="27" t="str">
        <x:v>YES</x:v>
      </x:c>
      <x:c r="F1942" s="61" t="n">
        <x:v>1110.743732893066</x:v>
      </x:c>
      <x:c r="G1942" s="61" t="n">
        <x:v>41.86776761275809</x:v>
      </x:c>
      <x:c r="H1942" s="27" t="str">
        <x:v>YES</x:v>
      </x:c>
      <x:c r="I1942" s="27" t="str">
        <x:v>NARN shared-node topology; deployable terminal required</x:v>
      </x:c>
      <x:c r="J1942" s="27" t="str">
        <x:v>presence does not prove operability or capacity</x:v>
      </x:c>
    </x:row>
    <x:row r="1943" ht="54" hidden="0" customHeight="1">
      <x:c r="A1943" s="29" t="str">
        <x:v>SCA-16</x:v>
      </x:c>
      <x:c r="B1943" s="29" t="str">
        <x:v>SCA-21</x:v>
      </x:c>
      <x:c r="C1943" s="29" t="str">
        <x:v>Air</x:v>
      </x:c>
      <x:c r="D1943" s="29" t="str">
        <x:v>YES</x:v>
      </x:c>
      <x:c r="E1943" s="29" t="str">
        <x:v>YES</x:v>
      </x:c>
      <x:c r="F1943" s="62" t="n">
        <x:v>822.1903591911682</x:v>
      </x:c>
      <x:c r="G1943" s="62" t="n">
        <x:v>25.26490824490949</x:v>
      </x:c>
      <x:c r="H1943" s="29" t="str">
        <x:v>YES</x:v>
      </x:c>
      <x:c r="I1943" s="29" t="str">
        <x:v>primary-airport endpoints; great-circle screen</x:v>
      </x:c>
      <x:c r="J1943" s="29" t="str">
        <x:v>presence does not prove operability or capacity</x:v>
      </x:c>
    </x:row>
    <x:row r="1944" ht="75.5999984741211" hidden="0" customHeight="1">
      <x:c r="A1944" s="27" t="str">
        <x:v>SCA-16</x:v>
      </x:c>
      <x:c r="B1944" s="27" t="str">
        <x:v>SCA-21</x:v>
      </x:c>
      <x:c r="C1944" s="27" t="str">
        <x:v>Water</x:v>
      </x:c>
      <x:c r="D1944" s="27" t="str">
        <x:v>YES</x:v>
      </x:c>
      <x:c r="E1944" s="27" t="str">
        <x:v>YES</x:v>
      </x:c>
      <x:c r="F1944" s="61" t="n">
        <x:v>1165.37047385502</x:v>
      </x:c>
      <x:c r="G1944" s="61" t="n">
        <x:v>63.29629925300057</x:v>
      </x:c>
      <x:c r="H1944" s="27" t="str">
        <x:v>YES</x:v>
      </x:c>
      <x:c r="I1944" s="27" t="str">
        <x:v>USACE waterway node topology; deployable terminal required</x:v>
      </x:c>
      <x:c r="J1944" s="27" t="str">
        <x:v>presence does not prove operability or capacity</x:v>
      </x:c>
    </x:row>
    <x:row r="1945" ht="54" hidden="0" customHeight="1">
      <x:c r="A1945" s="29" t="str">
        <x:v>SCA-16</x:v>
      </x:c>
      <x:c r="B1945" s="29" t="str">
        <x:v>SCA-22</x:v>
      </x:c>
      <x:c r="C1945" s="29" t="str">
        <x:v>Road</x:v>
      </x:c>
      <x:c r="D1945" s="29" t="str">
        <x:v>YES</x:v>
      </x:c>
      <x:c r="E1945" s="29" t="str">
        <x:v>YES</x:v>
      </x:c>
      <x:c r="F1945" s="62" t="n">
        <x:v>1079.0678047893448</x:v>
      </x:c>
      <x:c r="G1945" s="62" t="n">
        <x:v>39.61941463253354</x:v>
      </x:c>
      <x:c r="H1945" s="29" t="str">
        <x:v>YES</x:v>
      </x:c>
      <x:c r="I1945" s="29" t="str">
        <x:v>NHPN-gated shared-boundary SCA path</x:v>
      </x:c>
      <x:c r="J1945" s="29" t="str">
        <x:v>presence does not prove operability or capacity</x:v>
      </x:c>
    </x:row>
    <x:row r="1946" ht="64.80000305175781" hidden="0" customHeight="1">
      <x:c r="A1946" s="27" t="str">
        <x:v>SCA-16</x:v>
      </x:c>
      <x:c r="B1946" s="27" t="str">
        <x:v>SCA-22</x:v>
      </x:c>
      <x:c r="C1946" s="27" t="str">
        <x:v>Rail</x:v>
      </x:c>
      <x:c r="D1946" s="27" t="str">
        <x:v>YES</x:v>
      </x:c>
      <x:c r="E1946" s="27" t="str">
        <x:v>YES</x:v>
      </x:c>
      <x:c r="F1946" s="61" t="n">
        <x:v>1144.7501929069572</x:v>
      </x:c>
      <x:c r="G1946" s="61" t="n">
        <x:v>42.3535741843851</x:v>
      </x:c>
      <x:c r="H1946" s="27" t="str">
        <x:v>YES</x:v>
      </x:c>
      <x:c r="I1946" s="27" t="str">
        <x:v>NARN shared-node topology; deployable terminal required</x:v>
      </x:c>
      <x:c r="J1946" s="27" t="str">
        <x:v>presence does not prove operability or capacity</x:v>
      </x:c>
    </x:row>
    <x:row r="1947" ht="54" hidden="0" customHeight="1">
      <x:c r="A1947" s="29" t="str">
        <x:v>SCA-16</x:v>
      </x:c>
      <x:c r="B1947" s="29" t="str">
        <x:v>SCA-22</x:v>
      </x:c>
      <x:c r="C1947" s="29" t="str">
        <x:v>Air</x:v>
      </x:c>
      <x:c r="D1947" s="29" t="str">
        <x:v>YES</x:v>
      </x:c>
      <x:c r="E1947" s="29" t="str">
        <x:v>YES</x:v>
      </x:c>
      <x:c r="F1947" s="62" t="n">
        <x:v>934.6914951262081</x:v>
      </x:c>
      <x:c r="G1947" s="62" t="n">
        <x:v>25.437986915578783</x:v>
      </x:c>
      <x:c r="H1947" s="29" t="str">
        <x:v>YES</x:v>
      </x:c>
      <x:c r="I1947" s="29" t="str">
        <x:v>primary-airport endpoints; great-circle screen</x:v>
      </x:c>
      <x:c r="J1947" s="29" t="str">
        <x:v>presence does not prove operability or capacity</x:v>
      </x:c>
    </x:row>
    <x:row r="1948" ht="75.5999984741211" hidden="0" customHeight="1">
      <x:c r="A1948" s="27" t="str">
        <x:v>SCA-16</x:v>
      </x:c>
      <x:c r="B1948" s="27" t="str">
        <x:v>SCA-22</x:v>
      </x:c>
      <x:c r="C1948" s="27" t="str">
        <x:v>Water</x:v>
      </x:c>
      <x:c r="D1948" s="27" t="str">
        <x:v>YES</x:v>
      </x:c>
      <x:c r="E1948" s="27" t="str">
        <x:v>YES</x:v>
      </x:c>
      <x:c r="F1948" s="61" t="n">
        <x:v>1201.0493827220535</x:v>
      </x:c>
      <x:c r="G1948" s="61" t="n">
        <x:v>64.31569664920153</x:v>
      </x:c>
      <x:c r="H1948" s="27" t="str">
        <x:v>YES</x:v>
      </x:c>
      <x:c r="I1948" s="27" t="str">
        <x:v>USACE waterway node topology; deployable terminal required</x:v>
      </x:c>
      <x:c r="J1948" s="27" t="str">
        <x:v>presence does not prove operability or capacity</x:v>
      </x:c>
    </x:row>
    <x:row r="1949" ht="54" hidden="0" customHeight="1">
      <x:c r="A1949" s="29" t="str">
        <x:v>SCA-16</x:v>
      </x:c>
      <x:c r="B1949" s="29" t="str">
        <x:v>SCA-23</x:v>
      </x:c>
      <x:c r="C1949" s="29" t="str">
        <x:v>Road</x:v>
      </x:c>
      <x:c r="D1949" s="29" t="str">
        <x:v>YES</x:v>
      </x:c>
      <x:c r="E1949" s="29" t="str">
        <x:v>YES</x:v>
      </x:c>
      <x:c r="F1949" s="62" t="n">
        <x:v>1388.6246823999572</x:v>
      </x:c>
      <x:c r="G1949" s="62" t="n">
        <x:v>45.247721498181036</x:v>
      </x:c>
      <x:c r="H1949" s="29" t="str">
        <x:v>YES</x:v>
      </x:c>
      <x:c r="I1949" s="29" t="str">
        <x:v>NHPN-gated shared-boundary SCA path</x:v>
      </x:c>
      <x:c r="J1949" s="29" t="str">
        <x:v>presence does not prove operability or capacity</x:v>
      </x:c>
    </x:row>
    <x:row r="1950" ht="64.80000305175781" hidden="0" customHeight="1">
      <x:c r="A1950" s="27" t="str">
        <x:v>SCA-16</x:v>
      </x:c>
      <x:c r="B1950" s="27" t="str">
        <x:v>SCA-23</x:v>
      </x:c>
      <x:c r="C1950" s="27" t="str">
        <x:v>Rail</x:v>
      </x:c>
      <x:c r="D1950" s="27" t="str">
        <x:v>YES</x:v>
      </x:c>
      <x:c r="E1950" s="27" t="str">
        <x:v>YES</x:v>
      </x:c>
      <x:c r="F1950" s="61" t="n">
        <x:v>1473.1496630677811</x:v>
      </x:c>
      <x:c r="G1950" s="61" t="n">
        <x:v>47.044995186682584</x:v>
      </x:c>
      <x:c r="H1950" s="27" t="str">
        <x:v>YES</x:v>
      </x:c>
      <x:c r="I1950" s="27" t="str">
        <x:v>NARN shared-node topology; deployable terminal required</x:v>
      </x:c>
      <x:c r="J1950" s="27" t="str">
        <x:v>presence does not prove operability or capacity</x:v>
      </x:c>
    </x:row>
    <x:row r="1951" ht="54" hidden="0" customHeight="1">
      <x:c r="A1951" s="29" t="str">
        <x:v>SCA-16</x:v>
      </x:c>
      <x:c r="B1951" s="29" t="str">
        <x:v>SCA-23</x:v>
      </x:c>
      <x:c r="C1951" s="29" t="str">
        <x:v>Air</x:v>
      </x:c>
      <x:c r="D1951" s="29" t="str">
        <x:v>YES</x:v>
      </x:c>
      <x:c r="E1951" s="29" t="str">
        <x:v>YES</x:v>
      </x:c>
      <x:c r="F1951" s="62" t="n">
        <x:v>1138.5785213748754</x:v>
      </x:c>
      <x:c r="G1951" s="62" t="n">
        <x:v>25.751659263653654</x:v>
      </x:c>
      <x:c r="H1951" s="29" t="str">
        <x:v>YES</x:v>
      </x:c>
      <x:c r="I1951" s="29" t="str">
        <x:v>primary-airport endpoints; great-circle screen</x:v>
      </x:c>
      <x:c r="J1951" s="29" t="str">
        <x:v>presence does not prove operability or capacity</x:v>
      </x:c>
    </x:row>
    <x:row r="1952" ht="75.5999984741211" hidden="0" customHeight="1">
      <x:c r="A1952" s="27" t="str">
        <x:v>SCA-16</x:v>
      </x:c>
      <x:c r="B1952" s="27" t="str">
        <x:v>SCA-23</x:v>
      </x:c>
      <x:c r="C1952" s="27" t="str">
        <x:v>Water</x:v>
      </x:c>
      <x:c r="D1952" s="27" t="str">
        <x:v>YES</x:v>
      </x:c>
      <x:c r="E1952" s="27" t="str">
        <x:v>YES</x:v>
      </x:c>
      <x:c r="F1952" s="61" t="n">
        <x:v>1545.599646497344</x:v>
      </x:c>
      <x:c r="G1952" s="61" t="n">
        <x:v>74.15998989992411</x:v>
      </x:c>
      <x:c r="H1952" s="27" t="str">
        <x:v>NO</x:v>
      </x:c>
      <x:c r="I1952" s="27" t="str">
        <x:v>USACE waterway node topology; deployable terminal required</x:v>
      </x:c>
      <x:c r="J1952" s="27" t="str">
        <x:v>presence does not prove operability or capacity</x:v>
      </x:c>
    </x:row>
    <x:row r="1953" ht="54" hidden="0" customHeight="1">
      <x:c r="A1953" s="29" t="str">
        <x:v>SCA-16</x:v>
      </x:c>
      <x:c r="B1953" s="29" t="str">
        <x:v>SCA-24</x:v>
      </x:c>
      <x:c r="C1953" s="29" t="str">
        <x:v>Road</x:v>
      </x:c>
      <x:c r="D1953" s="29" t="str">
        <x:v>YES</x:v>
      </x:c>
      <x:c r="E1953" s="29" t="str">
        <x:v>YES</x:v>
      </x:c>
      <x:c r="F1953" s="62" t="n">
        <x:v>1444.252588267157</x:v>
      </x:c>
      <x:c r="G1953" s="62" t="n">
        <x:v>46.25913796849376</x:v>
      </x:c>
      <x:c r="H1953" s="29" t="str">
        <x:v>YES</x:v>
      </x:c>
      <x:c r="I1953" s="29" t="str">
        <x:v>NHPN-gated shared-boundary SCA path</x:v>
      </x:c>
      <x:c r="J1953" s="29" t="str">
        <x:v>presence does not prove operability or capacity</x:v>
      </x:c>
    </x:row>
    <x:row r="1954" ht="64.80000305175781" hidden="0" customHeight="1">
      <x:c r="A1954" s="27" t="str">
        <x:v>SCA-16</x:v>
      </x:c>
      <x:c r="B1954" s="27" t="str">
        <x:v>SCA-24</x:v>
      </x:c>
      <x:c r="C1954" s="27" t="str">
        <x:v>Rail</x:v>
      </x:c>
      <x:c r="D1954" s="27" t="str">
        <x:v>YES</x:v>
      </x:c>
      <x:c r="E1954" s="27" t="str">
        <x:v>YES</x:v>
      </x:c>
      <x:c r="F1954" s="61" t="n">
        <x:v>1532.163615379071</x:v>
      </x:c>
      <x:c r="G1954" s="61" t="n">
        <x:v>47.88805164827244</x:v>
      </x:c>
      <x:c r="H1954" s="27" t="str">
        <x:v>YES</x:v>
      </x:c>
      <x:c r="I1954" s="27" t="str">
        <x:v>NARN shared-node topology; deployable terminal required</x:v>
      </x:c>
      <x:c r="J1954" s="27" t="str">
        <x:v>presence does not prove operability or capacity</x:v>
      </x:c>
    </x:row>
    <x:row r="1955" ht="54" hidden="0" customHeight="1">
      <x:c r="A1955" s="29" t="str">
        <x:v>SCA-16</x:v>
      </x:c>
      <x:c r="B1955" s="29" t="str">
        <x:v>SCA-24</x:v>
      </x:c>
      <x:c r="C1955" s="29" t="str">
        <x:v>Air</x:v>
      </x:c>
      <x:c r="D1955" s="29" t="str">
        <x:v>YES</x:v>
      </x:c>
      <x:c r="E1955" s="29" t="str">
        <x:v>YES</x:v>
      </x:c>
      <x:c r="F1955" s="62" t="n">
        <x:v>1143.853729754412</x:v>
      </x:c>
      <x:c r="G1955" s="62" t="n">
        <x:v>25.75977496885294</x:v>
      </x:c>
      <x:c r="H1955" s="29" t="str">
        <x:v>YES</x:v>
      </x:c>
      <x:c r="I1955" s="29" t="str">
        <x:v>primary-airport endpoints; great-circle screen</x:v>
      </x:c>
      <x:c r="J1955" s="29" t="str">
        <x:v>presence does not prove operability or capacity</x:v>
      </x:c>
    </x:row>
    <x:row r="1956" ht="75.5999984741211" hidden="0" customHeight="1">
      <x:c r="A1956" s="27" t="str">
        <x:v>SCA-16</x:v>
      </x:c>
      <x:c r="B1956" s="27" t="str">
        <x:v>SCA-24</x:v>
      </x:c>
      <x:c r="C1956" s="27" t="str">
        <x:v>Water</x:v>
      </x:c>
      <x:c r="D1956" s="27" t="str">
        <x:v>YES</x:v>
      </x:c>
      <x:c r="E1956" s="27" t="str">
        <x:v>YES</x:v>
      </x:c>
      <x:c r="F1956" s="61" t="n">
        <x:v>1607.51592433214</x:v>
      </x:c>
      <x:c r="G1956" s="61" t="n">
        <x:v>75.92902640948972</x:v>
      </x:c>
      <x:c r="H1956" s="27" t="str">
        <x:v>NO</x:v>
      </x:c>
      <x:c r="I1956" s="27" t="str">
        <x:v>USACE waterway node topology; deployable terminal required</x:v>
      </x:c>
      <x:c r="J1956" s="27" t="str">
        <x:v>presence does not prove operability or capacity</x:v>
      </x:c>
    </x:row>
    <x:row r="1957" ht="54" hidden="0" customHeight="1">
      <x:c r="A1957" s="29" t="str">
        <x:v>SCA-16</x:v>
      </x:c>
      <x:c r="B1957" s="29" t="str">
        <x:v>SCA-25</x:v>
      </x:c>
      <x:c r="C1957" s="29" t="str">
        <x:v>Road</x:v>
      </x:c>
      <x:c r="D1957" s="29" t="str">
        <x:v>YES</x:v>
      </x:c>
      <x:c r="E1957" s="29" t="str">
        <x:v>YES</x:v>
      </x:c>
      <x:c r="F1957" s="62" t="n">
        <x:v>1883.2088623193965</x:v>
      </x:c>
      <x:c r="G1957" s="62" t="n">
        <x:v>54.24016113307994</x:v>
      </x:c>
      <x:c r="H1957" s="29" t="str">
        <x:v>YES</x:v>
      </x:c>
      <x:c r="I1957" s="29" t="str">
        <x:v>NHPN-gated shared-boundary SCA path</x:v>
      </x:c>
      <x:c r="J1957" s="29" t="str">
        <x:v>presence does not prove operability or capacity</x:v>
      </x:c>
    </x:row>
    <x:row r="1958" ht="64.80000305175781" hidden="0" customHeight="1">
      <x:c r="A1958" s="27" t="str">
        <x:v>SCA-16</x:v>
      </x:c>
      <x:c r="B1958" s="27" t="str">
        <x:v>SCA-25</x:v>
      </x:c>
      <x:c r="C1958" s="27" t="str">
        <x:v>Rail</x:v>
      </x:c>
      <x:c r="D1958" s="27" t="str">
        <x:v>YES</x:v>
      </x:c>
      <x:c r="E1958" s="27" t="str">
        <x:v>YES</x:v>
      </x:c>
      <x:c r="F1958" s="61" t="n">
        <x:v>1997.838966982317</x:v>
      </x:c>
      <x:c r="G1958" s="61" t="n">
        <x:v>54.54055667117596</x:v>
      </x:c>
      <x:c r="H1958" s="27" t="str">
        <x:v>YES</x:v>
      </x:c>
      <x:c r="I1958" s="27" t="str">
        <x:v>NARN shared-node topology; deployable terminal required</x:v>
      </x:c>
      <x:c r="J1958" s="27" t="str">
        <x:v>presence does not prove operability or capacity</x:v>
      </x:c>
    </x:row>
    <x:row r="1959" ht="54" hidden="0" customHeight="1">
      <x:c r="A1959" s="29" t="str">
        <x:v>SCA-16</x:v>
      </x:c>
      <x:c r="B1959" s="29" t="str">
        <x:v>SCA-25</x:v>
      </x:c>
      <x:c r="C1959" s="29" t="str">
        <x:v>Air</x:v>
      </x:c>
      <x:c r="D1959" s="29" t="str">
        <x:v>YES</x:v>
      </x:c>
      <x:c r="E1959" s="29" t="str">
        <x:v>YES</x:v>
      </x:c>
      <x:c r="F1959" s="62" t="n">
        <x:v>1530.468370725802</x:v>
      </x:c>
      <x:c r="G1959" s="62" t="n">
        <x:v>26.354566724193543</x:v>
      </x:c>
      <x:c r="H1959" s="29" t="str">
        <x:v>YES</x:v>
      </x:c>
      <x:c r="I1959" s="29" t="str">
        <x:v>primary-airport endpoints; great-circle screen</x:v>
      </x:c>
      <x:c r="J1959" s="29" t="str">
        <x:v>presence does not prove operability or capacity</x:v>
      </x:c>
    </x:row>
    <x:row r="1960" ht="75.5999984741211" hidden="0" customHeight="1">
      <x:c r="A1960" s="27" t="str">
        <x:v>SCA-16</x:v>
      </x:c>
      <x:c r="B1960" s="27" t="str">
        <x:v>SCA-25</x:v>
      </x:c>
      <x:c r="C1960" s="27" t="str">
        <x:v>Water</x:v>
      </x:c>
      <x:c r="D1960" s="27" t="str">
        <x:v>YES</x:v>
      </x:c>
      <x:c r="E1960" s="27" t="str">
        <x:v>YES</x:v>
      </x:c>
      <x:c r="F1960" s="61" t="n">
        <x:v>1977.5970060865375</x:v>
      </x:c>
      <x:c r="G1960" s="61" t="n">
        <x:v>86.5027716024725</x:v>
      </x:c>
      <x:c r="H1960" s="27" t="str">
        <x:v>NO</x:v>
      </x:c>
      <x:c r="I1960" s="27" t="str">
        <x:v>USACE waterway node topology; deployable terminal required</x:v>
      </x:c>
      <x:c r="J1960" s="27" t="str">
        <x:v>presence does not prove operability or capacity</x:v>
      </x:c>
    </x:row>
    <x:row r="1961" ht="54" hidden="0" customHeight="1">
      <x:c r="A1961" s="29" t="str">
        <x:v>SCA-16</x:v>
      </x:c>
      <x:c r="B1961" s="29" t="str">
        <x:v>SCA-26</x:v>
      </x:c>
      <x:c r="C1961" s="29" t="str">
        <x:v>Road</x:v>
      </x:c>
      <x:c r="D1961" s="29" t="str">
        <x:v>YES</x:v>
      </x:c>
      <x:c r="E1961" s="29" t="str">
        <x:v>YES</x:v>
      </x:c>
      <x:c r="F1961" s="62" t="n">
        <x:v>2211.708318084219</x:v>
      </x:c>
      <x:c r="G1961" s="62" t="n">
        <x:v>60.21287851062217</x:v>
      </x:c>
      <x:c r="H1961" s="29" t="str">
        <x:v>YES</x:v>
      </x:c>
      <x:c r="I1961" s="29" t="str">
        <x:v>NHPN-gated shared-boundary SCA path</x:v>
      </x:c>
      <x:c r="J1961" s="29" t="str">
        <x:v>presence does not prove operability or capacity</x:v>
      </x:c>
    </x:row>
    <x:row r="1962" ht="64.80000305175781" hidden="0" customHeight="1">
      <x:c r="A1962" s="27" t="str">
        <x:v>SCA-16</x:v>
      </x:c>
      <x:c r="B1962" s="27" t="str">
        <x:v>SCA-26</x:v>
      </x:c>
      <x:c r="C1962" s="27" t="str">
        <x:v>Rail</x:v>
      </x:c>
      <x:c r="D1962" s="27" t="str">
        <x:v>YES</x:v>
      </x:c>
      <x:c r="E1962" s="27" t="str">
        <x:v>YES</x:v>
      </x:c>
      <x:c r="F1962" s="61" t="n">
        <x:v>2346.3340417936934</x:v>
      </x:c>
      <x:c r="G1962" s="61" t="n">
        <x:v>59.519057739909904</x:v>
      </x:c>
      <x:c r="H1962" s="27" t="str">
        <x:v>YES</x:v>
      </x:c>
      <x:c r="I1962" s="27" t="str">
        <x:v>NARN shared-node topology; deployable terminal required</x:v>
      </x:c>
      <x:c r="J1962" s="27" t="str">
        <x:v>presence does not prove operability or capacity</x:v>
      </x:c>
    </x:row>
    <x:row r="1963" ht="54" hidden="0" customHeight="1">
      <x:c r="A1963" s="29" t="str">
        <x:v>SCA-16</x:v>
      </x:c>
      <x:c r="B1963" s="29" t="str">
        <x:v>SCA-26</x:v>
      </x:c>
      <x:c r="C1963" s="29" t="str">
        <x:v>Air</x:v>
      </x:c>
      <x:c r="D1963" s="29" t="str">
        <x:v>YES</x:v>
      </x:c>
      <x:c r="E1963" s="29" t="str">
        <x:v>YES</x:v>
      </x:c>
      <x:c r="F1963" s="62" t="n">
        <x:v>1732.4573791460982</x:v>
      </x:c>
      <x:c r="G1963" s="62" t="n">
        <x:v>26.66531904484015</x:v>
      </x:c>
      <x:c r="H1963" s="29" t="str">
        <x:v>YES</x:v>
      </x:c>
      <x:c r="I1963" s="29" t="str">
        <x:v>primary-airport endpoints; great-circle screen</x:v>
      </x:c>
      <x:c r="J1963" s="29" t="str">
        <x:v>presence does not prove operability or capacity</x:v>
      </x:c>
    </x:row>
    <x:row r="1964" ht="75.5999984741211" hidden="0" customHeight="1">
      <x:c r="A1964" s="27" t="str">
        <x:v>SCA-16</x:v>
      </x:c>
      <x:c r="B1964" s="27" t="str">
        <x:v>SCA-26</x:v>
      </x:c>
      <x:c r="C1964" s="27" t="str">
        <x:v>Water</x:v>
      </x:c>
      <x:c r="D1964" s="27" t="str">
        <x:v>YES</x:v>
      </x:c>
      <x:c r="E1964" s="27" t="str">
        <x:v>YES</x:v>
      </x:c>
      <x:c r="F1964" s="61" t="n">
        <x:v>2343.2311829378177</x:v>
      </x:c>
      <x:c r="G1964" s="61" t="n">
        <x:v>96.94946236965194</x:v>
      </x:c>
      <x:c r="H1964" s="27" t="str">
        <x:v>NO</x:v>
      </x:c>
      <x:c r="I1964" s="27" t="str">
        <x:v>USACE waterway node topology; deployable terminal required</x:v>
      </x:c>
      <x:c r="J1964" s="27" t="str">
        <x:v>presence does not prove operability or capacity</x:v>
      </x:c>
    </x:row>
    <x:row r="1965" ht="54" hidden="0" customHeight="1">
      <x:c r="A1965" s="29" t="str">
        <x:v>SCA-16</x:v>
      </x:c>
      <x:c r="B1965" s="29" t="str">
        <x:v>SCA-27</x:v>
      </x:c>
      <x:c r="C1965" s="29" t="str">
        <x:v>Road</x:v>
      </x:c>
      <x:c r="D1965" s="29" t="str">
        <x:v>YES</x:v>
      </x:c>
      <x:c r="E1965" s="29" t="str">
        <x:v>YES</x:v>
      </x:c>
      <x:c r="F1965" s="62" t="n">
        <x:v>2491.3365822037676</x:v>
      </x:c>
      <x:c r="G1965" s="62" t="n">
        <x:v>65.29702876734123</x:v>
      </x:c>
      <x:c r="H1965" s="29" t="str">
        <x:v>YES</x:v>
      </x:c>
      <x:c r="I1965" s="29" t="str">
        <x:v>NHPN-gated shared-boundary SCA path</x:v>
      </x:c>
      <x:c r="J1965" s="29" t="str">
        <x:v>presence does not prove operability or capacity</x:v>
      </x:c>
    </x:row>
    <x:row r="1966" ht="64.80000305175781" hidden="0" customHeight="1">
      <x:c r="A1966" s="27" t="str">
        <x:v>SCA-16</x:v>
      </x:c>
      <x:c r="B1966" s="27" t="str">
        <x:v>SCA-27</x:v>
      </x:c>
      <x:c r="C1966" s="27" t="str">
        <x:v>Rail</x:v>
      </x:c>
      <x:c r="D1966" s="27" t="str">
        <x:v>YES</x:v>
      </x:c>
      <x:c r="E1966" s="27" t="str">
        <x:v>YES</x:v>
      </x:c>
      <x:c r="F1966" s="61" t="n">
        <x:v>2642.9831567726933</x:v>
      </x:c>
      <x:c r="G1966" s="61" t="n">
        <x:v>63.75690223960991</x:v>
      </x:c>
      <x:c r="H1966" s="27" t="str">
        <x:v>YES</x:v>
      </x:c>
      <x:c r="I1966" s="27" t="str">
        <x:v>NARN shared-node topology; deployable terminal required</x:v>
      </x:c>
      <x:c r="J1966" s="27" t="str">
        <x:v>presence does not prove operability or capacity</x:v>
      </x:c>
    </x:row>
    <x:row r="1967" ht="54" hidden="0" customHeight="1">
      <x:c r="A1967" s="29" t="str">
        <x:v>SCA-16</x:v>
      </x:c>
      <x:c r="B1967" s="29" t="str">
        <x:v>SCA-27</x:v>
      </x:c>
      <x:c r="C1967" s="29" t="str">
        <x:v>Air</x:v>
      </x:c>
      <x:c r="D1967" s="29" t="str">
        <x:v>YES</x:v>
      </x:c>
      <x:c r="E1967" s="29" t="str">
        <x:v>YES</x:v>
      </x:c>
      <x:c r="F1967" s="62" t="n">
        <x:v>1970.6658864228084</x:v>
      </x:c>
      <x:c r="G1967" s="62" t="n">
        <x:v>27.031793671419706</x:v>
      </x:c>
      <x:c r="H1967" s="29" t="str">
        <x:v>YES</x:v>
      </x:c>
      <x:c r="I1967" s="29" t="str">
        <x:v>primary-airport endpoints; great-circle screen</x:v>
      </x:c>
      <x:c r="J1967" s="29" t="str">
        <x:v>presence does not prove operability or capacity</x:v>
      </x:c>
    </x:row>
    <x:row r="1968" ht="75.5999984741211" hidden="0" customHeight="1">
      <x:c r="A1968" s="27" t="str">
        <x:v>SCA-16</x:v>
      </x:c>
      <x:c r="B1968" s="27" t="str">
        <x:v>SCA-27</x:v>
      </x:c>
      <x:c r="C1968" s="27" t="str">
        <x:v>Water</x:v>
      </x:c>
      <x:c r="D1968" s="27" t="str">
        <x:v>YES</x:v>
      </x:c>
      <x:c r="E1968" s="27" t="str">
        <x:v>YES</x:v>
      </x:c>
      <x:c r="F1968" s="61" t="n">
        <x:v>2522.4537426707457</x:v>
      </x:c>
      <x:c r="G1968" s="61" t="n">
        <x:v>102.07010693344988</x:v>
      </x:c>
      <x:c r="H1968" s="27" t="str">
        <x:v>NO</x:v>
      </x:c>
      <x:c r="I1968" s="27" t="str">
        <x:v>USACE waterway node topology; deployable terminal required</x:v>
      </x:c>
      <x:c r="J1968" s="27" t="str">
        <x:v>presence does not prove operability or capacity</x:v>
      </x:c>
    </x:row>
    <x:row r="1969" ht="54" hidden="0" customHeight="1">
      <x:c r="A1969" s="29" t="str">
        <x:v>SCA-16</x:v>
      </x:c>
      <x:c r="B1969" s="29" t="str">
        <x:v>SCA-28</x:v>
      </x:c>
      <x:c r="C1969" s="29" t="str">
        <x:v>Road</x:v>
      </x:c>
      <x:c r="D1969" s="29" t="str">
        <x:v>YES</x:v>
      </x:c>
      <x:c r="E1969" s="29" t="str">
        <x:v>YES</x:v>
      </x:c>
      <x:c r="F1969" s="62" t="n">
        <x:v>1723.722780053683</x:v>
      </x:c>
      <x:c r="G1969" s="62" t="n">
        <x:v>51.340414182794234</x:v>
      </x:c>
      <x:c r="H1969" s="29" t="str">
        <x:v>YES</x:v>
      </x:c>
      <x:c r="I1969" s="29" t="str">
        <x:v>NHPN-gated shared-boundary SCA path</x:v>
      </x:c>
      <x:c r="J1969" s="29" t="str">
        <x:v>presence does not prove operability or capacity</x:v>
      </x:c>
    </x:row>
    <x:row r="1970" ht="64.80000305175781" hidden="0" customHeight="1">
      <x:c r="A1970" s="27" t="str">
        <x:v>SCA-16</x:v>
      </x:c>
      <x:c r="B1970" s="27" t="str">
        <x:v>SCA-28</x:v>
      </x:c>
      <x:c r="C1970" s="27" t="str">
        <x:v>Rail</x:v>
      </x:c>
      <x:c r="D1970" s="27" t="str">
        <x:v>YES</x:v>
      </x:c>
      <x:c r="E1970" s="27" t="str">
        <x:v>YES</x:v>
      </x:c>
      <x:c r="F1970" s="61" t="n">
        <x:v>1828.645036230864</x:v>
      </x:c>
      <x:c r="G1970" s="61" t="n">
        <x:v>52.12350051758377</x:v>
      </x:c>
      <x:c r="H1970" s="27" t="str">
        <x:v>YES</x:v>
      </x:c>
      <x:c r="I1970" s="27" t="str">
        <x:v>NARN shared-node topology; deployable terminal required</x:v>
      </x:c>
      <x:c r="J1970" s="27" t="str">
        <x:v>presence does not prove operability or capacity</x:v>
      </x:c>
    </x:row>
    <x:row r="1971" ht="54" hidden="0" customHeight="1">
      <x:c r="A1971" s="29" t="str">
        <x:v>SCA-16</x:v>
      </x:c>
      <x:c r="B1971" s="29" t="str">
        <x:v>SCA-28</x:v>
      </x:c>
      <x:c r="C1971" s="29" t="str">
        <x:v>Air</x:v>
      </x:c>
      <x:c r="D1971" s="29" t="str">
        <x:v>YES</x:v>
      </x:c>
      <x:c r="E1971" s="29" t="str">
        <x:v>YES</x:v>
      </x:c>
      <x:c r="F1971" s="62" t="n">
        <x:v>1457.0310496307354</x:v>
      </x:c>
      <x:c r="G1971" s="62" t="n">
        <x:v>26.241586230201133</x:v>
      </x:c>
      <x:c r="H1971" s="29" t="str">
        <x:v>YES</x:v>
      </x:c>
      <x:c r="I1971" s="29" t="str">
        <x:v>primary-airport endpoints; great-circle screen</x:v>
      </x:c>
      <x:c r="J1971" s="29" t="str">
        <x:v>presence does not prove operability or capacity</x:v>
      </x:c>
    </x:row>
    <x:row r="1972" ht="75.5999984741211" hidden="0" customHeight="1">
      <x:c r="A1972" s="27" t="str">
        <x:v>SCA-16</x:v>
      </x:c>
      <x:c r="B1972" s="27" t="str">
        <x:v>SCA-28</x:v>
      </x:c>
      <x:c r="C1972" s="27" t="str">
        <x:v>Water</x:v>
      </x:c>
      <x:c r="D1972" s="27" t="str">
        <x:v>YES</x:v>
      </x:c>
      <x:c r="E1972" s="27" t="str">
        <x:v>YES</x:v>
      </x:c>
      <x:c r="F1972" s="61" t="n">
        <x:v>1918.5783986684476</x:v>
      </x:c>
      <x:c r="G1972" s="61" t="n">
        <x:v>84.81652567624135</x:v>
      </x:c>
      <x:c r="H1972" s="27" t="str">
        <x:v>NO</x:v>
      </x:c>
      <x:c r="I1972" s="27" t="str">
        <x:v>USACE waterway node topology; deployable terminal required</x:v>
      </x:c>
      <x:c r="J1972" s="27" t="str">
        <x:v>presence does not prove operability or capacity</x:v>
      </x:c>
    </x:row>
    <x:row r="1973" ht="54" hidden="0" customHeight="1">
      <x:c r="A1973" s="29" t="str">
        <x:v>SCA-16</x:v>
      </x:c>
      <x:c r="B1973" s="29" t="str">
        <x:v>SCA-29</x:v>
      </x:c>
      <x:c r="C1973" s="29" t="str">
        <x:v>Road</x:v>
      </x:c>
      <x:c r="D1973" s="29" t="str">
        <x:v>YES</x:v>
      </x:c>
      <x:c r="E1973" s="29" t="str">
        <x:v>YES</x:v>
      </x:c>
      <x:c r="F1973" s="62" t="n">
        <x:v>1796.6103295034895</x:v>
      </x:c>
      <x:c r="G1973" s="62" t="n">
        <x:v>52.6656423546089</x:v>
      </x:c>
      <x:c r="H1973" s="29" t="str">
        <x:v>YES</x:v>
      </x:c>
      <x:c r="I1973" s="29" t="str">
        <x:v>NHPN-gated shared-boundary SCA path</x:v>
      </x:c>
      <x:c r="J1973" s="29" t="str">
        <x:v>presence does not prove operability or capacity</x:v>
      </x:c>
    </x:row>
    <x:row r="1974" ht="64.80000305175781" hidden="0" customHeight="1">
      <x:c r="A1974" s="27" t="str">
        <x:v>SCA-16</x:v>
      </x:c>
      <x:c r="B1974" s="27" t="str">
        <x:v>SCA-29</x:v>
      </x:c>
      <x:c r="C1974" s="27" t="str">
        <x:v>Rail</x:v>
      </x:c>
      <x:c r="D1974" s="27" t="str">
        <x:v>YES</x:v>
      </x:c>
      <x:c r="E1974" s="27" t="str">
        <x:v>YES</x:v>
      </x:c>
      <x:c r="F1974" s="61" t="n">
        <x:v>1905.969219125441</x:v>
      </x:c>
      <x:c r="G1974" s="61" t="n">
        <x:v>53.22813170179201</x:v>
      </x:c>
      <x:c r="H1974" s="27" t="str">
        <x:v>YES</x:v>
      </x:c>
      <x:c r="I1974" s="27" t="str">
        <x:v>NARN shared-node topology; deployable terminal required</x:v>
      </x:c>
      <x:c r="J1974" s="27" t="str">
        <x:v>presence does not prove operability or capacity</x:v>
      </x:c>
    </x:row>
    <x:row r="1975" ht="54" hidden="0" customHeight="1">
      <x:c r="A1975" s="29" t="str">
        <x:v>SCA-16</x:v>
      </x:c>
      <x:c r="B1975" s="29" t="str">
        <x:v>SCA-29</x:v>
      </x:c>
      <x:c r="C1975" s="29" t="str">
        <x:v>Air</x:v>
      </x:c>
      <x:c r="D1975" s="29" t="str">
        <x:v>YES</x:v>
      </x:c>
      <x:c r="E1975" s="29" t="str">
        <x:v>YES</x:v>
      </x:c>
      <x:c r="F1975" s="62" t="n">
        <x:v>1528.516876407015</x:v>
      </x:c>
      <x:c r="G1975" s="62" t="n">
        <x:v>26.351564425241563</x:v>
      </x:c>
      <x:c r="H1975" s="29" t="str">
        <x:v>YES</x:v>
      </x:c>
      <x:c r="I1975" s="29" t="str">
        <x:v>primary-airport endpoints; great-circle screen</x:v>
      </x:c>
      <x:c r="J1975" s="29" t="str">
        <x:v>presence does not prove operability or capacity</x:v>
      </x:c>
    </x:row>
    <x:row r="1976" ht="75.5999984741211" hidden="0" customHeight="1">
      <x:c r="A1976" s="27" t="str">
        <x:v>SCA-16</x:v>
      </x:c>
      <x:c r="B1976" s="27" t="str">
        <x:v>SCA-29</x:v>
      </x:c>
      <x:c r="C1976" s="27" t="str">
        <x:v>Water</x:v>
      </x:c>
      <x:c r="D1976" s="27" t="str">
        <x:v>YES</x:v>
      </x:c>
      <x:c r="E1976" s="27" t="str">
        <x:v>YES</x:v>
      </x:c>
      <x:c r="F1976" s="61" t="n">
        <x:v>1999.7054102299708</x:v>
      </x:c>
      <x:c r="G1976" s="61" t="n">
        <x:v>87.13444029228488</x:v>
      </x:c>
      <x:c r="H1976" s="27" t="str">
        <x:v>NO</x:v>
      </x:c>
      <x:c r="I1976" s="27" t="str">
        <x:v>USACE waterway node topology; deployable terminal required</x:v>
      </x:c>
      <x:c r="J1976" s="27" t="str">
        <x:v>presence does not prove operability or capacity</x:v>
      </x:c>
    </x:row>
    <x:row r="1977" ht="54" hidden="0" customHeight="1">
      <x:c r="A1977" s="29" t="str">
        <x:v>SCA-16</x:v>
      </x:c>
      <x:c r="B1977" s="29" t="str">
        <x:v>SCA-30</x:v>
      </x:c>
      <x:c r="C1977" s="29" t="str">
        <x:v>Road</x:v>
      </x:c>
      <x:c r="D1977" s="29" t="str">
        <x:v>YES</x:v>
      </x:c>
      <x:c r="E1977" s="29" t="str">
        <x:v>YES</x:v>
      </x:c>
      <x:c r="F1977" s="62" t="n">
        <x:v>2187.286495984923</x:v>
      </x:c>
      <x:c r="G1977" s="62" t="n">
        <x:v>59.768845381544054</x:v>
      </x:c>
      <x:c r="H1977" s="29" t="str">
        <x:v>YES</x:v>
      </x:c>
      <x:c r="I1977" s="29" t="str">
        <x:v>NHPN-gated shared-boundary SCA path</x:v>
      </x:c>
      <x:c r="J1977" s="29" t="str">
        <x:v>presence does not prove operability or capacity</x:v>
      </x:c>
    </x:row>
    <x:row r="1978" ht="64.80000305175781" hidden="0" customHeight="1">
      <x:c r="A1978" s="27" t="str">
        <x:v>SCA-16</x:v>
      </x:c>
      <x:c r="B1978" s="27" t="str">
        <x:v>SCA-30</x:v>
      </x:c>
      <x:c r="C1978" s="27" t="str">
        <x:v>Rail</x:v>
      </x:c>
      <x:c r="D1978" s="27" t="str">
        <x:v>YES</x:v>
      </x:c>
      <x:c r="E1978" s="27" t="str">
        <x:v>YES</x:v>
      </x:c>
      <x:c r="F1978" s="61" t="n">
        <x:v>2320.425674001397</x:v>
      </x:c>
      <x:c r="G1978" s="61" t="n">
        <x:v>59.148938200019956</x:v>
      </x:c>
      <x:c r="H1978" s="27" t="str">
        <x:v>YES</x:v>
      </x:c>
      <x:c r="I1978" s="27" t="str">
        <x:v>NARN shared-node topology; deployable terminal required</x:v>
      </x:c>
      <x:c r="J1978" s="27" t="str">
        <x:v>presence does not prove operability or capacity</x:v>
      </x:c>
    </x:row>
    <x:row r="1979" ht="54" hidden="0" customHeight="1">
      <x:c r="A1979" s="29" t="str">
        <x:v>SCA-16</x:v>
      </x:c>
      <x:c r="B1979" s="29" t="str">
        <x:v>SCA-30</x:v>
      </x:c>
      <x:c r="C1979" s="29" t="str">
        <x:v>Air</x:v>
      </x:c>
      <x:c r="D1979" s="29" t="str">
        <x:v>YES</x:v>
      </x:c>
      <x:c r="E1979" s="29" t="str">
        <x:v>YES</x:v>
      </x:c>
      <x:c r="F1979" s="62" t="n">
        <x:v>1860.1140048478358</x:v>
      </x:c>
      <x:c r="G1979" s="62" t="n">
        <x:v>26.861713853612056</x:v>
      </x:c>
      <x:c r="H1979" s="29" t="str">
        <x:v>YES</x:v>
      </x:c>
      <x:c r="I1979" s="29" t="str">
        <x:v>primary-airport endpoints; great-circle screen</x:v>
      </x:c>
      <x:c r="J1979" s="29" t="str">
        <x:v>presence does not prove operability or capacity</x:v>
      </x:c>
    </x:row>
    <x:row r="1980" ht="75.5999984741211" hidden="0" customHeight="1">
      <x:c r="A1980" s="27" t="str">
        <x:v>SCA-16</x:v>
      </x:c>
      <x:c r="B1980" s="27" t="str">
        <x:v>SCA-30</x:v>
      </x:c>
      <x:c r="C1980" s="27" t="str">
        <x:v>Water</x:v>
      </x:c>
      <x:c r="D1980" s="27" t="str">
        <x:v>YES</x:v>
      </x:c>
      <x:c r="E1980" s="27" t="str">
        <x:v>YES</x:v>
      </x:c>
      <x:c r="F1980" s="61" t="n">
        <x:v>2434.5449694440886</x:v>
      </x:c>
      <x:c r="G1980" s="61" t="n">
        <x:v>99.55842769840253</x:v>
      </x:c>
      <x:c r="H1980" s="27" t="str">
        <x:v>NO</x:v>
      </x:c>
      <x:c r="I1980" s="27" t="str">
        <x:v>USACE waterway node topology; deployable terminal required</x:v>
      </x:c>
      <x:c r="J1980" s="27" t="str">
        <x:v>presence does not prove operability or capacity</x:v>
      </x:c>
    </x:row>
    <x:row r="1981" ht="54" hidden="0" customHeight="1">
      <x:c r="A1981" s="29" t="str">
        <x:v>SCA-16</x:v>
      </x:c>
      <x:c r="B1981" s="29" t="str">
        <x:v>SCA-31</x:v>
      </x:c>
      <x:c r="C1981" s="29" t="str">
        <x:v>Road</x:v>
      </x:c>
      <x:c r="D1981" s="29" t="str">
        <x:v>YES</x:v>
      </x:c>
      <x:c r="E1981" s="29" t="str">
        <x:v>YES</x:v>
      </x:c>
      <x:c r="F1981" s="62" t="n">
        <x:v>2580.3686411714293</x:v>
      </x:c>
      <x:c r="G1981" s="62" t="n">
        <x:v>66.91579347584417</x:v>
      </x:c>
      <x:c r="H1981" s="29" t="str">
        <x:v>YES</x:v>
      </x:c>
      <x:c r="I1981" s="29" t="str">
        <x:v>NHPN-gated shared-boundary SCA path</x:v>
      </x:c>
      <x:c r="J1981" s="29" t="str">
        <x:v>presence does not prove operability or capacity</x:v>
      </x:c>
    </x:row>
    <x:row r="1982" ht="64.80000305175781" hidden="0" customHeight="1">
      <x:c r="A1982" s="27" t="str">
        <x:v>SCA-16</x:v>
      </x:c>
      <x:c r="B1982" s="27" t="str">
        <x:v>SCA-31</x:v>
      </x:c>
      <x:c r="C1982" s="27" t="str">
        <x:v>Rail</x:v>
      </x:c>
      <x:c r="D1982" s="27" t="str">
        <x:v>YES</x:v>
      </x:c>
      <x:c r="E1982" s="27" t="str">
        <x:v>YES</x:v>
      </x:c>
      <x:c r="F1982" s="61" t="n">
        <x:v>2737.434558460125</x:v>
      </x:c>
      <x:c r="G1982" s="61" t="n">
        <x:v>65.10620797800178</x:v>
      </x:c>
      <x:c r="H1982" s="27" t="str">
        <x:v>YES</x:v>
      </x:c>
      <x:c r="I1982" s="27" t="str">
        <x:v>NARN shared-node topology; deployable terminal required</x:v>
      </x:c>
      <x:c r="J1982" s="27" t="str">
        <x:v>presence does not prove operability or capacity</x:v>
      </x:c>
    </x:row>
    <x:row r="1983" ht="54" hidden="0" customHeight="1">
      <x:c r="A1983" s="29" t="str">
        <x:v>SCA-16</x:v>
      </x:c>
      <x:c r="B1983" s="29" t="str">
        <x:v>SCA-31</x:v>
      </x:c>
      <x:c r="C1983" s="29" t="str">
        <x:v>Air</x:v>
      </x:c>
      <x:c r="D1983" s="29" t="str">
        <x:v>YES</x:v>
      </x:c>
      <x:c r="E1983" s="29" t="str">
        <x:v>YES</x:v>
      </x:c>
      <x:c r="F1983" s="62" t="n">
        <x:v>2126.476895161152</x:v>
      </x:c>
      <x:c r="G1983" s="62" t="n">
        <x:v>27.271502915632542</x:v>
      </x:c>
      <x:c r="H1983" s="29" t="str">
        <x:v>YES</x:v>
      </x:c>
      <x:c r="I1983" s="29" t="str">
        <x:v>primary-airport endpoints; great-circle screen</x:v>
      </x:c>
      <x:c r="J1983" s="29" t="str">
        <x:v>presence does not prove operability or capacity</x:v>
      </x:c>
    </x:row>
    <x:row r="1984" ht="75.5999984741211" hidden="0" customHeight="1">
      <x:c r="A1984" s="27" t="str">
        <x:v>SCA-16</x:v>
      </x:c>
      <x:c r="B1984" s="27" t="str">
        <x:v>SCA-31</x:v>
      </x:c>
      <x:c r="C1984" s="27" t="str">
        <x:v>Water</x:v>
      </x:c>
      <x:c r="D1984" s="27" t="str">
        <x:v>YES</x:v>
      </x:c>
      <x:c r="E1984" s="27" t="str">
        <x:v>YES</x:v>
      </x:c>
      <x:c r="F1984" s="61" t="n">
        <x:v>2872.0624875647213</x:v>
      </x:c>
      <x:c r="G1984" s="61" t="n">
        <x:v>112.0589282161349</x:v>
      </x:c>
      <x:c r="H1984" s="27" t="str">
        <x:v>NO</x:v>
      </x:c>
      <x:c r="I1984" s="27" t="str">
        <x:v>USACE waterway node topology; deployable terminal required</x:v>
      </x:c>
      <x:c r="J1984" s="27" t="str">
        <x:v>presence does not prove operability or capacity</x:v>
      </x:c>
    </x:row>
    <x:row r="1985" ht="54" hidden="0" customHeight="1">
      <x:c r="A1985" s="29" t="str">
        <x:v>SCA-16</x:v>
      </x:c>
      <x:c r="B1985" s="29" t="str">
        <x:v>SCA-32</x:v>
      </x:c>
      <x:c r="C1985" s="29" t="str">
        <x:v>Road</x:v>
      </x:c>
      <x:c r="D1985" s="29" t="str">
        <x:v>NO</x:v>
      </x:c>
      <x:c r="E1985" s="29" t="str">
        <x:v>NO</x:v>
      </x:c>
      <x:c r="F1985" s="62"/>
      <x:c r="G1985" s="62"/>
      <x:c r="H1985" s="29" t="str">
        <x:v>NO</x:v>
      </x:c>
      <x:c r="I1985" s="29" t="str">
        <x:v>no screened path</x:v>
      </x:c>
      <x:c r="J1985" s="29" t="str">
        <x:v>presence does not prove operability or capacity</x:v>
      </x:c>
    </x:row>
    <x:row r="1986" ht="54" hidden="0" customHeight="1">
      <x:c r="A1986" s="27" t="str">
        <x:v>SCA-16</x:v>
      </x:c>
      <x:c r="B1986" s="27" t="str">
        <x:v>SCA-32</x:v>
      </x:c>
      <x:c r="C1986" s="27" t="str">
        <x:v>Rail</x:v>
      </x:c>
      <x:c r="D1986" s="27" t="str">
        <x:v>NO</x:v>
      </x:c>
      <x:c r="E1986" s="27" t="str">
        <x:v>NO</x:v>
      </x:c>
      <x:c r="F1986" s="61"/>
      <x:c r="G1986" s="61"/>
      <x:c r="H1986" s="27" t="str">
        <x:v>NO</x:v>
      </x:c>
      <x:c r="I1986" s="27" t="str">
        <x:v>no screened path</x:v>
      </x:c>
      <x:c r="J1986" s="27" t="str">
        <x:v>presence does not prove operability or capacity</x:v>
      </x:c>
    </x:row>
    <x:row r="1987" ht="54" hidden="0" customHeight="1">
      <x:c r="A1987" s="29" t="str">
        <x:v>SCA-16</x:v>
      </x:c>
      <x:c r="B1987" s="29" t="str">
        <x:v>SCA-32</x:v>
      </x:c>
      <x:c r="C1987" s="29" t="str">
        <x:v>Air</x:v>
      </x:c>
      <x:c r="D1987" s="29" t="str">
        <x:v>YES</x:v>
      </x:c>
      <x:c r="E1987" s="29" t="str">
        <x:v>YES</x:v>
      </x:c>
      <x:c r="F1987" s="62" t="n">
        <x:v>3624.0821354956875</x:v>
      </x:c>
      <x:c r="G1987" s="62" t="n">
        <x:v>29.575510977685674</x:v>
      </x:c>
      <x:c r="H1987" s="29" t="str">
        <x:v>YES</x:v>
      </x:c>
      <x:c r="I1987" s="29" t="str">
        <x:v>primary-airport endpoints; great-circle screen</x:v>
      </x:c>
      <x:c r="J1987" s="29" t="str">
        <x:v>presence does not prove operability or capacity</x:v>
      </x:c>
    </x:row>
    <x:row r="1988" ht="75.5999984741211" hidden="0" customHeight="1">
      <x:c r="A1988" s="27" t="str">
        <x:v>SCA-16</x:v>
      </x:c>
      <x:c r="B1988" s="27" t="str">
        <x:v>SCA-32</x:v>
      </x:c>
      <x:c r="C1988" s="27" t="str">
        <x:v>Water</x:v>
      </x:c>
      <x:c r="D1988" s="27" t="str">
        <x:v>YES</x:v>
      </x:c>
      <x:c r="E1988" s="27" t="str">
        <x:v>YES</x:v>
      </x:c>
      <x:c r="F1988" s="61" t="n">
        <x:v>4657.423490823922</x:v>
      </x:c>
      <x:c r="G1988" s="61" t="n">
        <x:v>163.0692425949692</x:v>
      </x:c>
      <x:c r="H1988" s="27" t="str">
        <x:v>NO</x:v>
      </x:c>
      <x:c r="I1988" s="27" t="str">
        <x:v>USACE waterway node topology; deployable terminal required</x:v>
      </x:c>
      <x:c r="J1988" s="27" t="str">
        <x:v>presence does not prove operability or capacity</x:v>
      </x:c>
    </x:row>
    <x:row r="1989" ht="54" hidden="0" customHeight="1">
      <x:c r="A1989" s="29" t="str">
        <x:v>SCA-17</x:v>
      </x:c>
      <x:c r="B1989" s="29" t="str">
        <x:v>SCA-01</x:v>
      </x:c>
      <x:c r="C1989" s="29" t="str">
        <x:v>Road</x:v>
      </x:c>
      <x:c r="D1989" s="29" t="str">
        <x:v>NO</x:v>
      </x:c>
      <x:c r="E1989" s="29" t="str">
        <x:v>NO</x:v>
      </x:c>
      <x:c r="F1989" s="62"/>
      <x:c r="G1989" s="62"/>
      <x:c r="H1989" s="29" t="str">
        <x:v>NO</x:v>
      </x:c>
      <x:c r="I1989" s="29" t="str">
        <x:v>no screened path</x:v>
      </x:c>
      <x:c r="J1989" s="29" t="str">
        <x:v>presence does not prove operability or capacity</x:v>
      </x:c>
    </x:row>
    <x:row r="1990" ht="54" hidden="0" customHeight="1">
      <x:c r="A1990" s="27" t="str">
        <x:v>SCA-17</x:v>
      </x:c>
      <x:c r="B1990" s="27" t="str">
        <x:v>SCA-01</x:v>
      </x:c>
      <x:c r="C1990" s="27" t="str">
        <x:v>Rail</x:v>
      </x:c>
      <x:c r="D1990" s="27" t="str">
        <x:v>NO</x:v>
      </x:c>
      <x:c r="E1990" s="27" t="str">
        <x:v>NO</x:v>
      </x:c>
      <x:c r="F1990" s="61"/>
      <x:c r="G1990" s="61"/>
      <x:c r="H1990" s="27" t="str">
        <x:v>NO</x:v>
      </x:c>
      <x:c r="I1990" s="27" t="str">
        <x:v>no screened path</x:v>
      </x:c>
      <x:c r="J1990" s="27" t="str">
        <x:v>presence does not prove operability or capacity</x:v>
      </x:c>
    </x:row>
    <x:row r="1991" ht="54" hidden="0" customHeight="1">
      <x:c r="A1991" s="29" t="str">
        <x:v>SCA-17</x:v>
      </x:c>
      <x:c r="B1991" s="29" t="str">
        <x:v>SCA-01</x:v>
      </x:c>
      <x:c r="C1991" s="29" t="str">
        <x:v>Air</x:v>
      </x:c>
      <x:c r="D1991" s="29" t="str">
        <x:v>YES</x:v>
      </x:c>
      <x:c r="E1991" s="29" t="str">
        <x:v>YES</x:v>
      </x:c>
      <x:c r="F1991" s="62" t="n">
        <x:v>6361.227462330317</x:v>
      </x:c>
      <x:c r="G1991" s="62" t="n">
        <x:v>33.78650378820049</x:v>
      </x:c>
      <x:c r="H1991" s="29" t="str">
        <x:v>YES</x:v>
      </x:c>
      <x:c r="I1991" s="29" t="str">
        <x:v>primary-airport endpoints; great-circle screen</x:v>
      </x:c>
      <x:c r="J1991" s="29" t="str">
        <x:v>presence does not prove operability or capacity</x:v>
      </x:c>
    </x:row>
    <x:row r="1992" ht="75.5999984741211" hidden="0" customHeight="1">
      <x:c r="A1992" s="27" t="str">
        <x:v>SCA-17</x:v>
      </x:c>
      <x:c r="B1992" s="27" t="str">
        <x:v>SCA-01</x:v>
      </x:c>
      <x:c r="C1992" s="27" t="str">
        <x:v>Water</x:v>
      </x:c>
      <x:c r="D1992" s="27" t="str">
        <x:v>YES</x:v>
      </x:c>
      <x:c r="E1992" s="27" t="str">
        <x:v>YES</x:v>
      </x:c>
      <x:c r="F1992" s="61" t="n">
        <x:v>11859.920835872284</x:v>
      </x:c>
      <x:c r="G1992" s="61" t="n">
        <x:v>368.8548810249224</x:v>
      </x:c>
      <x:c r="H1992" s="27" t="str">
        <x:v>NO</x:v>
      </x:c>
      <x:c r="I1992" s="27" t="str">
        <x:v>USACE waterway node topology; deployable terminal required</x:v>
      </x:c>
      <x:c r="J1992" s="27" t="str">
        <x:v>presence does not prove operability or capacity</x:v>
      </x:c>
    </x:row>
    <x:row r="1993" ht="54" hidden="0" customHeight="1">
      <x:c r="A1993" s="29" t="str">
        <x:v>SCA-17</x:v>
      </x:c>
      <x:c r="B1993" s="29" t="str">
        <x:v>SCA-02</x:v>
      </x:c>
      <x:c r="C1993" s="29" t="str">
        <x:v>Road</x:v>
      </x:c>
      <x:c r="D1993" s="29" t="str">
        <x:v>NO</x:v>
      </x:c>
      <x:c r="E1993" s="29" t="str">
        <x:v>NO</x:v>
      </x:c>
      <x:c r="F1993" s="62"/>
      <x:c r="G1993" s="62"/>
      <x:c r="H1993" s="29" t="str">
        <x:v>NO</x:v>
      </x:c>
      <x:c r="I1993" s="29" t="str">
        <x:v>no screened path</x:v>
      </x:c>
      <x:c r="J1993" s="29" t="str">
        <x:v>presence does not prove operability or capacity</x:v>
      </x:c>
    </x:row>
    <x:row r="1994" ht="54" hidden="0" customHeight="1">
      <x:c r="A1994" s="27" t="str">
        <x:v>SCA-17</x:v>
      </x:c>
      <x:c r="B1994" s="27" t="str">
        <x:v>SCA-02</x:v>
      </x:c>
      <x:c r="C1994" s="27" t="str">
        <x:v>Rail</x:v>
      </x:c>
      <x:c r="D1994" s="27" t="str">
        <x:v>NO</x:v>
      </x:c>
      <x:c r="E1994" s="27" t="str">
        <x:v>NO</x:v>
      </x:c>
      <x:c r="F1994" s="61"/>
      <x:c r="G1994" s="61"/>
      <x:c r="H1994" s="27" t="str">
        <x:v>NO</x:v>
      </x:c>
      <x:c r="I1994" s="27" t="str">
        <x:v>no screened path</x:v>
      </x:c>
      <x:c r="J1994" s="27" t="str">
        <x:v>presence does not prove operability or capacity</x:v>
      </x:c>
    </x:row>
    <x:row r="1995" ht="54" hidden="0" customHeight="1">
      <x:c r="A1995" s="29" t="str">
        <x:v>SCA-17</x:v>
      </x:c>
      <x:c r="B1995" s="29" t="str">
        <x:v>SCA-02</x:v>
      </x:c>
      <x:c r="C1995" s="29" t="str">
        <x:v>Air</x:v>
      </x:c>
      <x:c r="D1995" s="29" t="str">
        <x:v>YES</x:v>
      </x:c>
      <x:c r="E1995" s="29" t="str">
        <x:v>YES</x:v>
      </x:c>
      <x:c r="F1995" s="62" t="n">
        <x:v>5123.190302118322</x:v>
      </x:c>
      <x:c r="G1995" s="62" t="n">
        <x:v>31.881831234028187</x:v>
      </x:c>
      <x:c r="H1995" s="29" t="str">
        <x:v>YES</x:v>
      </x:c>
      <x:c r="I1995" s="29" t="str">
        <x:v>primary-airport endpoints; great-circle screen</x:v>
      </x:c>
      <x:c r="J1995" s="29" t="str">
        <x:v>presence does not prove operability or capacity</x:v>
      </x:c>
    </x:row>
    <x:row r="1996" ht="75.5999984741211" hidden="0" customHeight="1">
      <x:c r="A1996" s="27" t="str">
        <x:v>SCA-17</x:v>
      </x:c>
      <x:c r="B1996" s="27" t="str">
        <x:v>SCA-02</x:v>
      </x:c>
      <x:c r="C1996" s="27" t="str">
        <x:v>Water</x:v>
      </x:c>
      <x:c r="D1996" s="27" t="str">
        <x:v>YES</x:v>
      </x:c>
      <x:c r="E1996" s="27" t="str">
        <x:v>YES</x:v>
      </x:c>
      <x:c r="F1996" s="61" t="n">
        <x:v>9869.72511730162</x:v>
      </x:c>
      <x:c r="G1996" s="61" t="n">
        <x:v>311.99214620861767</x:v>
      </x:c>
      <x:c r="H1996" s="27" t="str">
        <x:v>NO</x:v>
      </x:c>
      <x:c r="I1996" s="27" t="str">
        <x:v>USACE waterway node topology; deployable terminal required</x:v>
      </x:c>
      <x:c r="J1996" s="27" t="str">
        <x:v>presence does not prove operability or capacity</x:v>
      </x:c>
    </x:row>
    <x:row r="1997" ht="54" hidden="0" customHeight="1">
      <x:c r="A1997" s="29" t="str">
        <x:v>SCA-17</x:v>
      </x:c>
      <x:c r="B1997" s="29" t="str">
        <x:v>SCA-03</x:v>
      </x:c>
      <x:c r="C1997" s="29" t="str">
        <x:v>Road</x:v>
      </x:c>
      <x:c r="D1997" s="29" t="str">
        <x:v>YES</x:v>
      </x:c>
      <x:c r="E1997" s="29" t="str">
        <x:v>YES</x:v>
      </x:c>
      <x:c r="F1997" s="62" t="n">
        <x:v>3460.9510671442326</x:v>
      </x:c>
      <x:c r="G1997" s="62" t="n">
        <x:v>82.92638303898605</x:v>
      </x:c>
      <x:c r="H1997" s="29" t="str">
        <x:v>NO</x:v>
      </x:c>
      <x:c r="I1997" s="29" t="str">
        <x:v>NHPN-gated shared-boundary SCA path</x:v>
      </x:c>
      <x:c r="J1997" s="29" t="str">
        <x:v>presence does not prove operability or capacity</x:v>
      </x:c>
    </x:row>
    <x:row r="1998" ht="64.80000305175781" hidden="0" customHeight="1">
      <x:c r="A1998" s="27" t="str">
        <x:v>SCA-17</x:v>
      </x:c>
      <x:c r="B1998" s="27" t="str">
        <x:v>SCA-03</x:v>
      </x:c>
      <x:c r="C1998" s="27" t="str">
        <x:v>Rail</x:v>
      </x:c>
      <x:c r="D1998" s="27" t="str">
        <x:v>YES</x:v>
      </x:c>
      <x:c r="E1998" s="27" t="str">
        <x:v>YES</x:v>
      </x:c>
      <x:c r="F1998" s="61" t="n">
        <x:v>3671.6176538399686</x:v>
      </x:c>
      <x:c r="G1998" s="61" t="n">
        <x:v>78.4516807691424</x:v>
      </x:c>
      <x:c r="H1998" s="27" t="str">
        <x:v>NO</x:v>
      </x:c>
      <x:c r="I1998" s="27" t="str">
        <x:v>NARN shared-node topology; deployable terminal required</x:v>
      </x:c>
      <x:c r="J1998" s="27" t="str">
        <x:v>presence does not prove operability or capacity</x:v>
      </x:c>
    </x:row>
    <x:row r="1999" ht="54" hidden="0" customHeight="1">
      <x:c r="A1999" s="29" t="str">
        <x:v>SCA-17</x:v>
      </x:c>
      <x:c r="B1999" s="29" t="str">
        <x:v>SCA-03</x:v>
      </x:c>
      <x:c r="C1999" s="29" t="str">
        <x:v>Air</x:v>
      </x:c>
      <x:c r="D1999" s="29" t="str">
        <x:v>YES</x:v>
      </x:c>
      <x:c r="E1999" s="29" t="str">
        <x:v>YES</x:v>
      </x:c>
      <x:c r="F1999" s="62" t="n">
        <x:v>2995.834354345349</x:v>
      </x:c>
      <x:c r="G1999" s="62" t="n">
        <x:v>28.608975929762074</x:v>
      </x:c>
      <x:c r="H1999" s="29" t="str">
        <x:v>YES</x:v>
      </x:c>
      <x:c r="I1999" s="29" t="str">
        <x:v>primary-airport endpoints; great-circle screen</x:v>
      </x:c>
      <x:c r="J1999" s="29" t="str">
        <x:v>presence does not prove operability or capacity</x:v>
      </x:c>
    </x:row>
    <x:row r="2000" ht="75.5999984741211" hidden="0" customHeight="1">
      <x:c r="A2000" s="27" t="str">
        <x:v>SCA-17</x:v>
      </x:c>
      <x:c r="B2000" s="27" t="str">
        <x:v>SCA-03</x:v>
      </x:c>
      <x:c r="C2000" s="27" t="str">
        <x:v>Water</x:v>
      </x:c>
      <x:c r="D2000" s="27" t="str">
        <x:v>YES</x:v>
      </x:c>
      <x:c r="E2000" s="27" t="str">
        <x:v>YES</x:v>
      </x:c>
      <x:c r="F2000" s="61" t="n">
        <x:v>8469.159523200628</x:v>
      </x:c>
      <x:c r="G2000" s="61" t="n">
        <x:v>271.9759863771608</x:v>
      </x:c>
      <x:c r="H2000" s="27" t="str">
        <x:v>NO</x:v>
      </x:c>
      <x:c r="I2000" s="27" t="str">
        <x:v>USACE waterway node topology; deployable terminal required</x:v>
      </x:c>
      <x:c r="J2000" s="27" t="str">
        <x:v>presence does not prove operability or capacity</x:v>
      </x:c>
    </x:row>
    <x:row r="2001" ht="54" hidden="0" customHeight="1">
      <x:c r="A2001" s="29" t="str">
        <x:v>SCA-17</x:v>
      </x:c>
      <x:c r="B2001" s="29" t="str">
        <x:v>SCA-04</x:v>
      </x:c>
      <x:c r="C2001" s="29" t="str">
        <x:v>Road</x:v>
      </x:c>
      <x:c r="D2001" s="29" t="str">
        <x:v>YES</x:v>
      </x:c>
      <x:c r="E2001" s="29" t="str">
        <x:v>YES</x:v>
      </x:c>
      <x:c r="F2001" s="62" t="n">
        <x:v>3288.6827920836886</x:v>
      </x:c>
      <x:c r="G2001" s="62" t="n">
        <x:v>79.79423258333979</x:v>
      </x:c>
      <x:c r="H2001" s="29" t="str">
        <x:v>NO</x:v>
      </x:c>
      <x:c r="I2001" s="29" t="str">
        <x:v>NHPN-gated shared-boundary SCA path</x:v>
      </x:c>
      <x:c r="J2001" s="29" t="str">
        <x:v>presence does not prove operability or capacity</x:v>
      </x:c>
    </x:row>
    <x:row r="2002" ht="64.80000305175781" hidden="0" customHeight="1">
      <x:c r="A2002" s="27" t="str">
        <x:v>SCA-17</x:v>
      </x:c>
      <x:c r="B2002" s="27" t="str">
        <x:v>SCA-04</x:v>
      </x:c>
      <x:c r="C2002" s="27" t="str">
        <x:v>Rail</x:v>
      </x:c>
      <x:c r="D2002" s="27" t="str">
        <x:v>YES</x:v>
      </x:c>
      <x:c r="E2002" s="27" t="str">
        <x:v>YES</x:v>
      </x:c>
      <x:c r="F2002" s="61" t="n">
        <x:v>3535.2933948598675</x:v>
      </x:c>
      <x:c r="G2002" s="61" t="n">
        <x:v>76.50419135514096</x:v>
      </x:c>
      <x:c r="H2002" s="27" t="str">
        <x:v>NO</x:v>
      </x:c>
      <x:c r="I2002" s="27" t="str">
        <x:v>NARN shared-node topology; deployable terminal required</x:v>
      </x:c>
      <x:c r="J2002" s="27" t="str">
        <x:v>presence does not prove operability or capacity</x:v>
      </x:c>
    </x:row>
    <x:row r="2003" ht="54" hidden="0" customHeight="1">
      <x:c r="A2003" s="29" t="str">
        <x:v>SCA-17</x:v>
      </x:c>
      <x:c r="B2003" s="29" t="str">
        <x:v>SCA-04</x:v>
      </x:c>
      <x:c r="C2003" s="29" t="str">
        <x:v>Air</x:v>
      </x:c>
      <x:c r="D2003" s="29" t="str">
        <x:v>YES</x:v>
      </x:c>
      <x:c r="E2003" s="29" t="str">
        <x:v>YES</x:v>
      </x:c>
      <x:c r="F2003" s="62" t="n">
        <x:v>2658.6254428574425</x:v>
      </x:c>
      <x:c r="G2003" s="62" t="n">
        <x:v>28.09019298901145</x:v>
      </x:c>
      <x:c r="H2003" s="29" t="str">
        <x:v>YES</x:v>
      </x:c>
      <x:c r="I2003" s="29" t="str">
        <x:v>primary-airport endpoints; great-circle screen</x:v>
      </x:c>
      <x:c r="J2003" s="29" t="str">
        <x:v>presence does not prove operability or capacity</x:v>
      </x:c>
    </x:row>
    <x:row r="2004" ht="75.5999984741211" hidden="0" customHeight="1">
      <x:c r="A2004" s="27" t="str">
        <x:v>SCA-17</x:v>
      </x:c>
      <x:c r="B2004" s="27" t="str">
        <x:v>SCA-04</x:v>
      </x:c>
      <x:c r="C2004" s="27" t="str">
        <x:v>Water</x:v>
      </x:c>
      <x:c r="D2004" s="27" t="str">
        <x:v>YES</x:v>
      </x:c>
      <x:c r="E2004" s="27" t="str">
        <x:v>YES</x:v>
      </x:c>
      <x:c r="F2004" s="61" t="n">
        <x:v>7256.901314819661</x:v>
      </x:c>
      <x:c r="G2004" s="61" t="n">
        <x:v>237.34003756627604</x:v>
      </x:c>
      <x:c r="H2004" s="27" t="str">
        <x:v>NO</x:v>
      </x:c>
      <x:c r="I2004" s="27" t="str">
        <x:v>USACE waterway node topology; deployable terminal required</x:v>
      </x:c>
      <x:c r="J2004" s="27" t="str">
        <x:v>presence does not prove operability or capacity</x:v>
      </x:c>
    </x:row>
    <x:row r="2005" ht="54" hidden="0" customHeight="1">
      <x:c r="A2005" s="29" t="str">
        <x:v>SCA-17</x:v>
      </x:c>
      <x:c r="B2005" s="29" t="str">
        <x:v>SCA-05</x:v>
      </x:c>
      <x:c r="C2005" s="29" t="str">
        <x:v>Road</x:v>
      </x:c>
      <x:c r="D2005" s="29" t="str">
        <x:v>YES</x:v>
      </x:c>
      <x:c r="E2005" s="29" t="str">
        <x:v>YES</x:v>
      </x:c>
      <x:c r="F2005" s="62" t="n">
        <x:v>2816.4192367989726</x:v>
      </x:c>
      <x:c r="G2005" s="62" t="n">
        <x:v>71.20762248725404</x:v>
      </x:c>
      <x:c r="H2005" s="29" t="str">
        <x:v>YES</x:v>
      </x:c>
      <x:c r="I2005" s="29" t="str">
        <x:v>NHPN-gated shared-boundary SCA path</x:v>
      </x:c>
      <x:c r="J2005" s="29" t="str">
        <x:v>presence does not prove operability or capacity</x:v>
      </x:c>
    </x:row>
    <x:row r="2006" ht="64.80000305175781" hidden="0" customHeight="1">
      <x:c r="A2006" s="27" t="str">
        <x:v>SCA-17</x:v>
      </x:c>
      <x:c r="B2006" s="27" t="str">
        <x:v>SCA-05</x:v>
      </x:c>
      <x:c r="C2006" s="27" t="str">
        <x:v>Rail</x:v>
      </x:c>
      <x:c r="D2006" s="27" t="str">
        <x:v>YES</x:v>
      </x:c>
      <x:c r="E2006" s="27" t="str">
        <x:v>YES</x:v>
      </x:c>
      <x:c r="F2006" s="61" t="n">
        <x:v>2910.087791920797</x:v>
      </x:c>
      <x:c r="G2006" s="61" t="n">
        <x:v>67.57268274172567</x:v>
      </x:c>
      <x:c r="H2006" s="27" t="str">
        <x:v>YES</x:v>
      </x:c>
      <x:c r="I2006" s="27" t="str">
        <x:v>NARN shared-node topology; deployable terminal required</x:v>
      </x:c>
      <x:c r="J2006" s="27" t="str">
        <x:v>presence does not prove operability or capacity</x:v>
      </x:c>
    </x:row>
    <x:row r="2007" ht="54" hidden="0" customHeight="1">
      <x:c r="A2007" s="29" t="str">
        <x:v>SCA-17</x:v>
      </x:c>
      <x:c r="B2007" s="29" t="str">
        <x:v>SCA-05</x:v>
      </x:c>
      <x:c r="C2007" s="29" t="str">
        <x:v>Air</x:v>
      </x:c>
      <x:c r="D2007" s="29" t="str">
        <x:v>YES</x:v>
      </x:c>
      <x:c r="E2007" s="29" t="str">
        <x:v>YES</x:v>
      </x:c>
      <x:c r="F2007" s="62" t="n">
        <x:v>2311.7441811479594</x:v>
      </x:c>
      <x:c r="G2007" s="62" t="n">
        <x:v>27.5565295094584</x:v>
      </x:c>
      <x:c r="H2007" s="29" t="str">
        <x:v>YES</x:v>
      </x:c>
      <x:c r="I2007" s="29" t="str">
        <x:v>primary-airport endpoints; great-circle screen</x:v>
      </x:c>
      <x:c r="J2007" s="29" t="str">
        <x:v>presence does not prove operability or capacity</x:v>
      </x:c>
    </x:row>
    <x:row r="2008" ht="75.5999984741211" hidden="0" customHeight="1">
      <x:c r="A2008" s="27" t="str">
        <x:v>SCA-17</x:v>
      </x:c>
      <x:c r="B2008" s="27" t="str">
        <x:v>SCA-05</x:v>
      </x:c>
      <x:c r="C2008" s="27" t="str">
        <x:v>Water</x:v>
      </x:c>
      <x:c r="D2008" s="27" t="str">
        <x:v>YES</x:v>
      </x:c>
      <x:c r="E2008" s="27" t="str">
        <x:v>YES</x:v>
      </x:c>
      <x:c r="F2008" s="61" t="n">
        <x:v>6600.947895342603</x:v>
      </x:c>
      <x:c r="G2008" s="61" t="n">
        <x:v>218.59851129550296</x:v>
      </x:c>
      <x:c r="H2008" s="27" t="str">
        <x:v>NO</x:v>
      </x:c>
      <x:c r="I2008" s="27" t="str">
        <x:v>USACE waterway node topology; deployable terminal required</x:v>
      </x:c>
      <x:c r="J2008" s="27" t="str">
        <x:v>presence does not prove operability or capacity</x:v>
      </x:c>
    </x:row>
    <x:row r="2009" ht="54" hidden="0" customHeight="1">
      <x:c r="A2009" s="29" t="str">
        <x:v>SCA-17</x:v>
      </x:c>
      <x:c r="B2009" s="29" t="str">
        <x:v>SCA-06</x:v>
      </x:c>
      <x:c r="C2009" s="29" t="str">
        <x:v>Road</x:v>
      </x:c>
      <x:c r="D2009" s="29" t="str">
        <x:v>YES</x:v>
      </x:c>
      <x:c r="E2009" s="29" t="str">
        <x:v>YES</x:v>
      </x:c>
      <x:c r="F2009" s="62" t="n">
        <x:v>2575.6618645188496</x:v>
      </x:c>
      <x:c r="G2009" s="62" t="n">
        <x:v>66.83021571852453</x:v>
      </x:c>
      <x:c r="H2009" s="29" t="str">
        <x:v>YES</x:v>
      </x:c>
      <x:c r="I2009" s="29" t="str">
        <x:v>NHPN-gated shared-boundary SCA path</x:v>
      </x:c>
      <x:c r="J2009" s="29" t="str">
        <x:v>presence does not prove operability or capacity</x:v>
      </x:c>
    </x:row>
    <x:row r="2010" ht="64.80000305175781" hidden="0" customHeight="1">
      <x:c r="A2010" s="27" t="str">
        <x:v>SCA-17</x:v>
      </x:c>
      <x:c r="B2010" s="27" t="str">
        <x:v>SCA-06</x:v>
      </x:c>
      <x:c r="C2010" s="27" t="str">
        <x:v>Rail</x:v>
      </x:c>
      <x:c r="D2010" s="27" t="str">
        <x:v>YES</x:v>
      </x:c>
      <x:c r="E2010" s="27" t="str">
        <x:v>YES</x:v>
      </x:c>
      <x:c r="F2010" s="61" t="n">
        <x:v>2654.675623067101</x:v>
      </x:c>
      <x:c r="G2010" s="61" t="n">
        <x:v>63.92393747238715</x:v>
      </x:c>
      <x:c r="H2010" s="27" t="str">
        <x:v>YES</x:v>
      </x:c>
      <x:c r="I2010" s="27" t="str">
        <x:v>NARN shared-node topology; deployable terminal required</x:v>
      </x:c>
      <x:c r="J2010" s="27" t="str">
        <x:v>presence does not prove operability or capacity</x:v>
      </x:c>
    </x:row>
    <x:row r="2011" ht="54" hidden="0" customHeight="1">
      <x:c r="A2011" s="29" t="str">
        <x:v>SCA-17</x:v>
      </x:c>
      <x:c r="B2011" s="29" t="str">
        <x:v>SCA-06</x:v>
      </x:c>
      <x:c r="C2011" s="29" t="str">
        <x:v>Air</x:v>
      </x:c>
      <x:c r="D2011" s="29" t="str">
        <x:v>YES</x:v>
      </x:c>
      <x:c r="E2011" s="29" t="str">
        <x:v>YES</x:v>
      </x:c>
      <x:c r="F2011" s="62" t="n">
        <x:v>2123.3849150163364</x:v>
      </x:c>
      <x:c r="G2011" s="62" t="n">
        <x:v>27.266746023102055</x:v>
      </x:c>
      <x:c r="H2011" s="29" t="str">
        <x:v>YES</x:v>
      </x:c>
      <x:c r="I2011" s="29" t="str">
        <x:v>primary-airport endpoints; great-circle screen</x:v>
      </x:c>
      <x:c r="J2011" s="29" t="str">
        <x:v>presence does not prove operability or capacity</x:v>
      </x:c>
    </x:row>
    <x:row r="2012" ht="75.5999984741211" hidden="0" customHeight="1">
      <x:c r="A2012" s="27" t="str">
        <x:v>SCA-17</x:v>
      </x:c>
      <x:c r="B2012" s="27" t="str">
        <x:v>SCA-06</x:v>
      </x:c>
      <x:c r="C2012" s="27" t="str">
        <x:v>Water</x:v>
      </x:c>
      <x:c r="D2012" s="27" t="str">
        <x:v>YES</x:v>
      </x:c>
      <x:c r="E2012" s="27" t="str">
        <x:v>YES</x:v>
      </x:c>
      <x:c r="F2012" s="61" t="n">
        <x:v>6332.974472282987</x:v>
      </x:c>
      <x:c r="G2012" s="61" t="n">
        <x:v>210.94212777951392</x:v>
      </x:c>
      <x:c r="H2012" s="27" t="str">
        <x:v>NO</x:v>
      </x:c>
      <x:c r="I2012" s="27" t="str">
        <x:v>USACE waterway node topology; deployable terminal required</x:v>
      </x:c>
      <x:c r="J2012" s="27" t="str">
        <x:v>presence does not prove operability or capacity</x:v>
      </x:c>
    </x:row>
    <x:row r="2013" ht="54" hidden="0" customHeight="1">
      <x:c r="A2013" s="29" t="str">
        <x:v>SCA-17</x:v>
      </x:c>
      <x:c r="B2013" s="29" t="str">
        <x:v>SCA-07</x:v>
      </x:c>
      <x:c r="C2013" s="29" t="str">
        <x:v>Road</x:v>
      </x:c>
      <x:c r="D2013" s="29" t="str">
        <x:v>YES</x:v>
      </x:c>
      <x:c r="E2013" s="29" t="str">
        <x:v>YES</x:v>
      </x:c>
      <x:c r="F2013" s="62" t="n">
        <x:v>2588.078605431044</x:v>
      </x:c>
      <x:c r="G2013" s="62" t="n">
        <x:v>67.0559746442008</x:v>
      </x:c>
      <x:c r="H2013" s="29" t="str">
        <x:v>YES</x:v>
      </x:c>
      <x:c r="I2013" s="29" t="str">
        <x:v>NHPN-gated shared-boundary SCA path</x:v>
      </x:c>
      <x:c r="J2013" s="29" t="str">
        <x:v>presence does not prove operability or capacity</x:v>
      </x:c>
    </x:row>
    <x:row r="2014" ht="64.80000305175781" hidden="0" customHeight="1">
      <x:c r="A2014" s="27" t="str">
        <x:v>SCA-17</x:v>
      </x:c>
      <x:c r="B2014" s="27" t="str">
        <x:v>SCA-07</x:v>
      </x:c>
      <x:c r="C2014" s="27" t="str">
        <x:v>Rail</x:v>
      </x:c>
      <x:c r="D2014" s="27" t="str">
        <x:v>YES</x:v>
      </x:c>
      <x:c r="E2014" s="27" t="str">
        <x:v>YES</x:v>
      </x:c>
      <x:c r="F2014" s="61" t="n">
        <x:v>2667.848165600037</x:v>
      </x:c>
      <x:c r="G2014" s="61" t="n">
        <x:v>64.1121166514291</x:v>
      </x:c>
      <x:c r="H2014" s="27" t="str">
        <x:v>YES</x:v>
      </x:c>
      <x:c r="I2014" s="27" t="str">
        <x:v>NARN shared-node topology; deployable terminal required</x:v>
      </x:c>
      <x:c r="J2014" s="27" t="str">
        <x:v>presence does not prove operability or capacity</x:v>
      </x:c>
    </x:row>
    <x:row r="2015" ht="54" hidden="0" customHeight="1">
      <x:c r="A2015" s="29" t="str">
        <x:v>SCA-17</x:v>
      </x:c>
      <x:c r="B2015" s="29" t="str">
        <x:v>SCA-07</x:v>
      </x:c>
      <x:c r="C2015" s="29" t="str">
        <x:v>Air</x:v>
      </x:c>
      <x:c r="D2015" s="29" t="str">
        <x:v>YES</x:v>
      </x:c>
      <x:c r="E2015" s="29" t="str">
        <x:v>YES</x:v>
      </x:c>
      <x:c r="F2015" s="62" t="n">
        <x:v>2067.6669003524116</x:v>
      </x:c>
      <x:c r="G2015" s="62" t="n">
        <x:v>27.18102600054217</x:v>
      </x:c>
      <x:c r="H2015" s="29" t="str">
        <x:v>YES</x:v>
      </x:c>
      <x:c r="I2015" s="29" t="str">
        <x:v>primary-airport endpoints; great-circle screen</x:v>
      </x:c>
      <x:c r="J2015" s="29" t="str">
        <x:v>presence does not prove operability or capacity</x:v>
      </x:c>
    </x:row>
    <x:row r="2016" ht="64.80000305175781" hidden="0" customHeight="1">
      <x:c r="A2016" s="27" t="str">
        <x:v>SCA-17</x:v>
      </x:c>
      <x:c r="B2016" s="27" t="str">
        <x:v>SCA-07</x:v>
      </x:c>
      <x:c r="C2016" s="27" t="str">
        <x:v>Water</x:v>
      </x:c>
      <x:c r="D2016" s="27" t="str">
        <x:v>YES</x:v>
      </x:c>
      <x:c r="E2016" s="27" t="str">
        <x:v>YES</x:v>
      </x:c>
      <x:c r="F2016" s="61" t="n">
        <x:v>2584.5836254405144</x:v>
      </x:c>
      <x:c r="G2016" s="61" t="n">
        <x:v>103.84524644115756</x:v>
      </x:c>
      <x:c r="H2016" s="27" t="str">
        <x:v>NO</x:v>
      </x:c>
      <x:c r="I2016" s="27" t="str">
        <x:v>observed water terminals; maritime great-circle screen</x:v>
      </x:c>
      <x:c r="J2016" s="27" t="str">
        <x:v>presence does not prove operability or capacity</x:v>
      </x:c>
    </x:row>
    <x:row r="2017" ht="54" hidden="0" customHeight="1">
      <x:c r="A2017" s="29" t="str">
        <x:v>SCA-17</x:v>
      </x:c>
      <x:c r="B2017" s="29" t="str">
        <x:v>SCA-08</x:v>
      </x:c>
      <x:c r="C2017" s="29" t="str">
        <x:v>Road</x:v>
      </x:c>
      <x:c r="D2017" s="29" t="str">
        <x:v>YES</x:v>
      </x:c>
      <x:c r="E2017" s="29" t="str">
        <x:v>YES</x:v>
      </x:c>
      <x:c r="F2017" s="62" t="n">
        <x:v>2816.2961920717225</x:v>
      </x:c>
      <x:c r="G2017" s="62" t="n">
        <x:v>71.20538531039495</x:v>
      </x:c>
      <x:c r="H2017" s="29" t="str">
        <x:v>YES</x:v>
      </x:c>
      <x:c r="I2017" s="29" t="str">
        <x:v>NHPN-gated shared-boundary SCA path</x:v>
      </x:c>
      <x:c r="J2017" s="29" t="str">
        <x:v>presence does not prove operability or capacity</x:v>
      </x:c>
    </x:row>
    <x:row r="2018" ht="64.80000305175781" hidden="0" customHeight="1">
      <x:c r="A2018" s="27" t="str">
        <x:v>SCA-17</x:v>
      </x:c>
      <x:c r="B2018" s="27" t="str">
        <x:v>SCA-08</x:v>
      </x:c>
      <x:c r="C2018" s="27" t="str">
        <x:v>Rail</x:v>
      </x:c>
      <x:c r="D2018" s="27" t="str">
        <x:v>YES</x:v>
      </x:c>
      <x:c r="E2018" s="27" t="str">
        <x:v>YES</x:v>
      </x:c>
      <x:c r="F2018" s="61" t="n">
        <x:v>2987.722916806523</x:v>
      </x:c>
      <x:c r="G2018" s="61" t="n">
        <x:v>68.6817559543789</x:v>
      </x:c>
      <x:c r="H2018" s="27" t="str">
        <x:v>YES</x:v>
      </x:c>
      <x:c r="I2018" s="27" t="str">
        <x:v>NARN shared-node topology; deployable terminal required</x:v>
      </x:c>
      <x:c r="J2018" s="27" t="str">
        <x:v>presence does not prove operability or capacity</x:v>
      </x:c>
    </x:row>
    <x:row r="2019" ht="54" hidden="0" customHeight="1">
      <x:c r="A2019" s="29" t="str">
        <x:v>SCA-17</x:v>
      </x:c>
      <x:c r="B2019" s="29" t="str">
        <x:v>SCA-08</x:v>
      </x:c>
      <x:c r="C2019" s="29" t="str">
        <x:v>Air</x:v>
      </x:c>
      <x:c r="D2019" s="29" t="str">
        <x:v>YES</x:v>
      </x:c>
      <x:c r="E2019" s="29" t="str">
        <x:v>YES</x:v>
      </x:c>
      <x:c r="F2019" s="62" t="n">
        <x:v>2443.225788878797</x:v>
      </x:c>
      <x:c r="G2019" s="62" t="n">
        <x:v>27.75880890596738</x:v>
      </x:c>
      <x:c r="H2019" s="29" t="str">
        <x:v>YES</x:v>
      </x:c>
      <x:c r="I2019" s="29" t="str">
        <x:v>primary-airport endpoints; great-circle screen</x:v>
      </x:c>
      <x:c r="J2019" s="29" t="str">
        <x:v>presence does not prove operability or capacity</x:v>
      </x:c>
    </x:row>
    <x:row r="2020" ht="75.5999984741211" hidden="0" customHeight="1">
      <x:c r="A2020" s="27" t="str">
        <x:v>SCA-17</x:v>
      </x:c>
      <x:c r="B2020" s="27" t="str">
        <x:v>SCA-08</x:v>
      </x:c>
      <x:c r="C2020" s="27" t="str">
        <x:v>Water</x:v>
      </x:c>
      <x:c r="D2020" s="27" t="str">
        <x:v>YES</x:v>
      </x:c>
      <x:c r="E2020" s="27" t="str">
        <x:v>YES</x:v>
      </x:c>
      <x:c r="F2020" s="61" t="n">
        <x:v>9186.68842762916</x:v>
      </x:c>
      <x:c r="G2020" s="61" t="n">
        <x:v>292.47681221797603</x:v>
      </x:c>
      <x:c r="H2020" s="27" t="str">
        <x:v>NO</x:v>
      </x:c>
      <x:c r="I2020" s="27" t="str">
        <x:v>USACE waterway node topology; deployable terminal required</x:v>
      </x:c>
      <x:c r="J2020" s="27" t="str">
        <x:v>presence does not prove operability or capacity</x:v>
      </x:c>
    </x:row>
    <x:row r="2021" ht="54" hidden="0" customHeight="1">
      <x:c r="A2021" s="29" t="str">
        <x:v>SCA-17</x:v>
      </x:c>
      <x:c r="B2021" s="29" t="str">
        <x:v>SCA-09</x:v>
      </x:c>
      <x:c r="C2021" s="29" t="str">
        <x:v>Road</x:v>
      </x:c>
      <x:c r="D2021" s="29" t="str">
        <x:v>YES</x:v>
      </x:c>
      <x:c r="E2021" s="29" t="str">
        <x:v>YES</x:v>
      </x:c>
      <x:c r="F2021" s="62" t="n">
        <x:v>2125.9424127570187</x:v>
      </x:c>
      <x:c r="G2021" s="62" t="n">
        <x:v>58.65349841376398</x:v>
      </x:c>
      <x:c r="H2021" s="29" t="str">
        <x:v>YES</x:v>
      </x:c>
      <x:c r="I2021" s="29" t="str">
        <x:v>NHPN-gated shared-boundary SCA path</x:v>
      </x:c>
      <x:c r="J2021" s="29" t="str">
        <x:v>presence does not prove operability or capacity</x:v>
      </x:c>
    </x:row>
    <x:row r="2022" ht="64.80000305175781" hidden="0" customHeight="1">
      <x:c r="A2022" s="27" t="str">
        <x:v>SCA-17</x:v>
      </x:c>
      <x:c r="B2022" s="27" t="str">
        <x:v>SCA-09</x:v>
      </x:c>
      <x:c r="C2022" s="27" t="str">
        <x:v>Rail</x:v>
      </x:c>
      <x:c r="D2022" s="27" t="str">
        <x:v>YES</x:v>
      </x:c>
      <x:c r="E2022" s="27" t="str">
        <x:v>YES</x:v>
      </x:c>
      <x:c r="F2022" s="61" t="n">
        <x:v>2177.5819438067233</x:v>
      </x:c>
      <x:c r="G2022" s="61" t="n">
        <x:v>57.10831348295319</x:v>
      </x:c>
      <x:c r="H2022" s="27" t="str">
        <x:v>YES</x:v>
      </x:c>
      <x:c r="I2022" s="27" t="str">
        <x:v>NARN shared-node topology; deployable terminal required</x:v>
      </x:c>
      <x:c r="J2022" s="27" t="str">
        <x:v>presence does not prove operability or capacity</x:v>
      </x:c>
    </x:row>
    <x:row r="2023" ht="54" hidden="0" customHeight="1">
      <x:c r="A2023" s="29" t="str">
        <x:v>SCA-17</x:v>
      </x:c>
      <x:c r="B2023" s="29" t="str">
        <x:v>SCA-09</x:v>
      </x:c>
      <x:c r="C2023" s="29" t="str">
        <x:v>Air</x:v>
      </x:c>
      <x:c r="D2023" s="29" t="str">
        <x:v>YES</x:v>
      </x:c>
      <x:c r="E2023" s="29" t="str">
        <x:v>YES</x:v>
      </x:c>
      <x:c r="F2023" s="62" t="n">
        <x:v>1733.2422955490638</x:v>
      </x:c>
      <x:c r="G2023" s="62" t="n">
        <x:v>26.666526608537023</x:v>
      </x:c>
      <x:c r="H2023" s="29" t="str">
        <x:v>YES</x:v>
      </x:c>
      <x:c r="I2023" s="29" t="str">
        <x:v>primary-airport endpoints; great-circle screen</x:v>
      </x:c>
      <x:c r="J2023" s="29" t="str">
        <x:v>presence does not prove operability or capacity</x:v>
      </x:c>
    </x:row>
    <x:row r="2024" ht="54" hidden="0" customHeight="1">
      <x:c r="A2024" s="27" t="str">
        <x:v>SCA-17</x:v>
      </x:c>
      <x:c r="B2024" s="27" t="str">
        <x:v>SCA-09</x:v>
      </x:c>
      <x:c r="C2024" s="27" t="str">
        <x:v>Water</x:v>
      </x:c>
      <x:c r="D2024" s="27" t="str">
        <x:v>NO</x:v>
      </x:c>
      <x:c r="E2024" s="27" t="str">
        <x:v>NO</x:v>
      </x:c>
      <x:c r="F2024" s="61"/>
      <x:c r="G2024" s="61"/>
      <x:c r="H2024" s="27" t="str">
        <x:v>NO</x:v>
      </x:c>
      <x:c r="I2024" s="27" t="str">
        <x:v>no screened path</x:v>
      </x:c>
      <x:c r="J2024" s="27" t="str">
        <x:v>presence does not prove operability or capacity</x:v>
      </x:c>
    </x:row>
    <x:row r="2025" ht="54" hidden="0" customHeight="1">
      <x:c r="A2025" s="29" t="str">
        <x:v>SCA-17</x:v>
      </x:c>
      <x:c r="B2025" s="29" t="str">
        <x:v>SCA-10</x:v>
      </x:c>
      <x:c r="C2025" s="29" t="str">
        <x:v>Road</x:v>
      </x:c>
      <x:c r="D2025" s="29" t="str">
        <x:v>YES</x:v>
      </x:c>
      <x:c r="E2025" s="29" t="str">
        <x:v>YES</x:v>
      </x:c>
      <x:c r="F2025" s="62" t="n">
        <x:v>2320.7197596557876</x:v>
      </x:c>
      <x:c r="G2025" s="62" t="n">
        <x:v>62.19490472101432</x:v>
      </x:c>
      <x:c r="H2025" s="29" t="str">
        <x:v>YES</x:v>
      </x:c>
      <x:c r="I2025" s="29" t="str">
        <x:v>NHPN-gated shared-boundary SCA path</x:v>
      </x:c>
      <x:c r="J2025" s="29" t="str">
        <x:v>presence does not prove operability or capacity</x:v>
      </x:c>
    </x:row>
    <x:row r="2026" ht="64.80000305175781" hidden="0" customHeight="1">
      <x:c r="A2026" s="27" t="str">
        <x:v>SCA-17</x:v>
      </x:c>
      <x:c r="B2026" s="27" t="str">
        <x:v>SCA-10</x:v>
      </x:c>
      <x:c r="C2026" s="27" t="str">
        <x:v>Rail</x:v>
      </x:c>
      <x:c r="D2026" s="27" t="str">
        <x:v>YES</x:v>
      </x:c>
      <x:c r="E2026" s="27" t="str">
        <x:v>YES</x:v>
      </x:c>
      <x:c r="F2026" s="61" t="n">
        <x:v>2461.980962417444</x:v>
      </x:c>
      <x:c r="G2026" s="61" t="n">
        <x:v>61.17115660596349</x:v>
      </x:c>
      <x:c r="H2026" s="27" t="str">
        <x:v>YES</x:v>
      </x:c>
      <x:c r="I2026" s="27" t="str">
        <x:v>NARN shared-node topology; deployable terminal required</x:v>
      </x:c>
      <x:c r="J2026" s="27" t="str">
        <x:v>presence does not prove operability or capacity</x:v>
      </x:c>
    </x:row>
    <x:row r="2027" ht="54" hidden="0" customHeight="1">
      <x:c r="A2027" s="29" t="str">
        <x:v>SCA-17</x:v>
      </x:c>
      <x:c r="B2027" s="29" t="str">
        <x:v>SCA-10</x:v>
      </x:c>
      <x:c r="C2027" s="29" t="str">
        <x:v>Air</x:v>
      </x:c>
      <x:c r="D2027" s="29" t="str">
        <x:v>YES</x:v>
      </x:c>
      <x:c r="E2027" s="29" t="str">
        <x:v>YES</x:v>
      </x:c>
      <x:c r="F2027" s="62" t="n">
        <x:v>1984.197179157057</x:v>
      </x:c>
      <x:c r="G2027" s="62" t="n">
        <x:v>27.05261104485701</x:v>
      </x:c>
      <x:c r="H2027" s="29" t="str">
        <x:v>YES</x:v>
      </x:c>
      <x:c r="I2027" s="29" t="str">
        <x:v>primary-airport endpoints; great-circle screen</x:v>
      </x:c>
      <x:c r="J2027" s="29" t="str">
        <x:v>presence does not prove operability or capacity</x:v>
      </x:c>
    </x:row>
    <x:row r="2028" ht="54" hidden="0" customHeight="1">
      <x:c r="A2028" s="27" t="str">
        <x:v>SCA-17</x:v>
      </x:c>
      <x:c r="B2028" s="27" t="str">
        <x:v>SCA-10</x:v>
      </x:c>
      <x:c r="C2028" s="27" t="str">
        <x:v>Water</x:v>
      </x:c>
      <x:c r="D2028" s="27" t="str">
        <x:v>NO</x:v>
      </x:c>
      <x:c r="E2028" s="27" t="str">
        <x:v>NO</x:v>
      </x:c>
      <x:c r="F2028" s="61"/>
      <x:c r="G2028" s="61"/>
      <x:c r="H2028" s="27" t="str">
        <x:v>NO</x:v>
      </x:c>
      <x:c r="I2028" s="27" t="str">
        <x:v>no screened path</x:v>
      </x:c>
      <x:c r="J2028" s="27" t="str">
        <x:v>presence does not prove operability or capacity</x:v>
      </x:c>
    </x:row>
    <x:row r="2029" ht="54" hidden="0" customHeight="1">
      <x:c r="A2029" s="29" t="str">
        <x:v>SCA-17</x:v>
      </x:c>
      <x:c r="B2029" s="29" t="str">
        <x:v>SCA-11</x:v>
      </x:c>
      <x:c r="C2029" s="29" t="str">
        <x:v>Road</x:v>
      </x:c>
      <x:c r="D2029" s="29" t="str">
        <x:v>YES</x:v>
      </x:c>
      <x:c r="E2029" s="29" t="str">
        <x:v>YES</x:v>
      </x:c>
      <x:c r="F2029" s="62" t="n">
        <x:v>1374.190061287408</x:v>
      </x:c>
      <x:c r="G2029" s="62" t="n">
        <x:v>44.98527384158923</x:v>
      </x:c>
      <x:c r="H2029" s="29" t="str">
        <x:v>YES</x:v>
      </x:c>
      <x:c r="I2029" s="29" t="str">
        <x:v>NHPN-gated shared-boundary SCA path</x:v>
      </x:c>
      <x:c r="J2029" s="29" t="str">
        <x:v>presence does not prove operability or capacity</x:v>
      </x:c>
    </x:row>
    <x:row r="2030" ht="64.80000305175781" hidden="0" customHeight="1">
      <x:c r="A2030" s="27" t="str">
        <x:v>SCA-17</x:v>
      </x:c>
      <x:c r="B2030" s="27" t="str">
        <x:v>SCA-11</x:v>
      </x:c>
      <x:c r="C2030" s="27" t="str">
        <x:v>Rail</x:v>
      </x:c>
      <x:c r="D2030" s="27" t="str">
        <x:v>YES</x:v>
      </x:c>
      <x:c r="E2030" s="27" t="str">
        <x:v>YES</x:v>
      </x:c>
      <x:c r="F2030" s="61" t="n">
        <x:v>1380.070753552006</x:v>
      </x:c>
      <x:c r="G2030" s="61" t="n">
        <x:v>45.715296479314375</x:v>
      </x:c>
      <x:c r="H2030" s="27" t="str">
        <x:v>YES</x:v>
      </x:c>
      <x:c r="I2030" s="27" t="str">
        <x:v>NARN shared-node topology; deployable terminal required</x:v>
      </x:c>
      <x:c r="J2030" s="27" t="str">
        <x:v>presence does not prove operability or capacity</x:v>
      </x:c>
    </x:row>
    <x:row r="2031" ht="54" hidden="0" customHeight="1">
      <x:c r="A2031" s="29" t="str">
        <x:v>SCA-17</x:v>
      </x:c>
      <x:c r="B2031" s="29" t="str">
        <x:v>SCA-11</x:v>
      </x:c>
      <x:c r="C2031" s="29" t="str">
        <x:v>Air</x:v>
      </x:c>
      <x:c r="D2031" s="29" t="str">
        <x:v>YES</x:v>
      </x:c>
      <x:c r="E2031" s="29" t="str">
        <x:v>YES</x:v>
      </x:c>
      <x:c r="F2031" s="62" t="n">
        <x:v>1091.554854506722</x:v>
      </x:c>
      <x:c r="G2031" s="62" t="n">
        <x:v>25.679315160779574</x:v>
      </x:c>
      <x:c r="H2031" s="29" t="str">
        <x:v>YES</x:v>
      </x:c>
      <x:c r="I2031" s="29" t="str">
        <x:v>primary-airport endpoints; great-circle screen</x:v>
      </x:c>
      <x:c r="J2031" s="29" t="str">
        <x:v>presence does not prove operability or capacity</x:v>
      </x:c>
    </x:row>
    <x:row r="2032" ht="54" hidden="0" customHeight="1">
      <x:c r="A2032" s="27" t="str">
        <x:v>SCA-17</x:v>
      </x:c>
      <x:c r="B2032" s="27" t="str">
        <x:v>SCA-11</x:v>
      </x:c>
      <x:c r="C2032" s="27" t="str">
        <x:v>Water</x:v>
      </x:c>
      <x:c r="D2032" s="27" t="str">
        <x:v>NO</x:v>
      </x:c>
      <x:c r="E2032" s="27" t="str">
        <x:v>NO</x:v>
      </x:c>
      <x:c r="F2032" s="61"/>
      <x:c r="G2032" s="61"/>
      <x:c r="H2032" s="27" t="str">
        <x:v>NO</x:v>
      </x:c>
      <x:c r="I2032" s="27" t="str">
        <x:v>no screened path</x:v>
      </x:c>
      <x:c r="J2032" s="27" t="str">
        <x:v>presence does not prove operability or capacity</x:v>
      </x:c>
    </x:row>
    <x:row r="2033" ht="54" hidden="0" customHeight="1">
      <x:c r="A2033" s="29" t="str">
        <x:v>SCA-17</x:v>
      </x:c>
      <x:c r="B2033" s="29" t="str">
        <x:v>SCA-12</x:v>
      </x:c>
      <x:c r="C2033" s="29" t="str">
        <x:v>Road</x:v>
      </x:c>
      <x:c r="D2033" s="29" t="str">
        <x:v>YES</x:v>
      </x:c>
      <x:c r="E2033" s="29" t="str">
        <x:v>YES</x:v>
      </x:c>
      <x:c r="F2033" s="62" t="n">
        <x:v>1644.4617974093453</x:v>
      </x:c>
      <x:c r="G2033" s="62" t="n">
        <x:v>49.89930540744264</x:v>
      </x:c>
      <x:c r="H2033" s="29" t="str">
        <x:v>YES</x:v>
      </x:c>
      <x:c r="I2033" s="29" t="str">
        <x:v>NHPN-gated shared-boundary SCA path</x:v>
      </x:c>
      <x:c r="J2033" s="29" t="str">
        <x:v>presence does not prove operability or capacity</x:v>
      </x:c>
    </x:row>
    <x:row r="2034" ht="64.80000305175781" hidden="0" customHeight="1">
      <x:c r="A2034" s="27" t="str">
        <x:v>SCA-17</x:v>
      </x:c>
      <x:c r="B2034" s="27" t="str">
        <x:v>SCA-12</x:v>
      </x:c>
      <x:c r="C2034" s="27" t="str">
        <x:v>Rail</x:v>
      </x:c>
      <x:c r="D2034" s="27" t="str">
        <x:v>YES</x:v>
      </x:c>
      <x:c r="E2034" s="27" t="str">
        <x:v>YES</x:v>
      </x:c>
      <x:c r="F2034" s="61" t="n">
        <x:v>1744.5594720342617</x:v>
      </x:c>
      <x:c r="G2034" s="61" t="n">
        <x:v>50.92227817191802</x:v>
      </x:c>
      <x:c r="H2034" s="27" t="str">
        <x:v>YES</x:v>
      </x:c>
      <x:c r="I2034" s="27" t="str">
        <x:v>NARN shared-node topology; deployable terminal required</x:v>
      </x:c>
      <x:c r="J2034" s="27" t="str">
        <x:v>presence does not prove operability or capacity</x:v>
      </x:c>
    </x:row>
    <x:row r="2035" ht="54" hidden="0" customHeight="1">
      <x:c r="A2035" s="29" t="str">
        <x:v>SCA-17</x:v>
      </x:c>
      <x:c r="B2035" s="29" t="str">
        <x:v>SCA-12</x:v>
      </x:c>
      <x:c r="C2035" s="29" t="str">
        <x:v>Air</x:v>
      </x:c>
      <x:c r="D2035" s="29" t="str">
        <x:v>YES</x:v>
      </x:c>
      <x:c r="E2035" s="29" t="str">
        <x:v>YES</x:v>
      </x:c>
      <x:c r="F2035" s="62" t="n">
        <x:v>1427.2423223245917</x:v>
      </x:c>
      <x:c r="G2035" s="62" t="n">
        <x:v>26.19575741896091</x:v>
      </x:c>
      <x:c r="H2035" s="29" t="str">
        <x:v>YES</x:v>
      </x:c>
      <x:c r="I2035" s="29" t="str">
        <x:v>primary-airport endpoints; great-circle screen</x:v>
      </x:c>
      <x:c r="J2035" s="29" t="str">
        <x:v>presence does not prove operability or capacity</x:v>
      </x:c>
    </x:row>
    <x:row r="2036" ht="54" hidden="0" customHeight="1">
      <x:c r="A2036" s="27" t="str">
        <x:v>SCA-17</x:v>
      </x:c>
      <x:c r="B2036" s="27" t="str">
        <x:v>SCA-12</x:v>
      </x:c>
      <x:c r="C2036" s="27" t="str">
        <x:v>Water</x:v>
      </x:c>
      <x:c r="D2036" s="27" t="str">
        <x:v>NO</x:v>
      </x:c>
      <x:c r="E2036" s="27" t="str">
        <x:v>NO</x:v>
      </x:c>
      <x:c r="F2036" s="61"/>
      <x:c r="G2036" s="61"/>
      <x:c r="H2036" s="27" t="str">
        <x:v>NO</x:v>
      </x:c>
      <x:c r="I2036" s="27" t="str">
        <x:v>no screened path</x:v>
      </x:c>
      <x:c r="J2036" s="27" t="str">
        <x:v>presence does not prove operability or capacity</x:v>
      </x:c>
    </x:row>
    <x:row r="2037" ht="54" hidden="0" customHeight="1">
      <x:c r="A2037" s="29" t="str">
        <x:v>SCA-17</x:v>
      </x:c>
      <x:c r="B2037" s="29" t="str">
        <x:v>SCA-13</x:v>
      </x:c>
      <x:c r="C2037" s="29" t="str">
        <x:v>Road</x:v>
      </x:c>
      <x:c r="D2037" s="29" t="str">
        <x:v>NO</x:v>
      </x:c>
      <x:c r="E2037" s="29" t="str">
        <x:v>NO</x:v>
      </x:c>
      <x:c r="F2037" s="62"/>
      <x:c r="G2037" s="62"/>
      <x:c r="H2037" s="29" t="str">
        <x:v>NO</x:v>
      </x:c>
      <x:c r="I2037" s="29" t="str">
        <x:v>no screened path</x:v>
      </x:c>
      <x:c r="J2037" s="29" t="str">
        <x:v>presence does not prove operability or capacity</x:v>
      </x:c>
    </x:row>
    <x:row r="2038" ht="64.80000305175781" hidden="0" customHeight="1">
      <x:c r="A2038" s="27" t="str">
        <x:v>SCA-17</x:v>
      </x:c>
      <x:c r="B2038" s="27" t="str">
        <x:v>SCA-13</x:v>
      </x:c>
      <x:c r="C2038" s="27" t="str">
        <x:v>Rail</x:v>
      </x:c>
      <x:c r="D2038" s="27" t="str">
        <x:v>YES</x:v>
      </x:c>
      <x:c r="E2038" s="27" t="str">
        <x:v>YES</x:v>
      </x:c>
      <x:c r="F2038" s="61" t="n">
        <x:v>458.6517234378048</x:v>
      </x:c>
      <x:c r="G2038" s="61" t="n">
        <x:v>32.55216747768293</x:v>
      </x:c>
      <x:c r="H2038" s="27" t="str">
        <x:v>YES</x:v>
      </x:c>
      <x:c r="I2038" s="27" t="str">
        <x:v>NARN shared-node topology; deployable terminal required</x:v>
      </x:c>
      <x:c r="J2038" s="27" t="str">
        <x:v>presence does not prove operability or capacity</x:v>
      </x:c>
    </x:row>
    <x:row r="2039" ht="54" hidden="0" customHeight="1">
      <x:c r="A2039" s="29" t="str">
        <x:v>SCA-17</x:v>
      </x:c>
      <x:c r="B2039" s="29" t="str">
        <x:v>SCA-13</x:v>
      </x:c>
      <x:c r="C2039" s="29" t="str">
        <x:v>Air</x:v>
      </x:c>
      <x:c r="D2039" s="29" t="str">
        <x:v>YES</x:v>
      </x:c>
      <x:c r="E2039" s="29" t="str">
        <x:v>YES</x:v>
      </x:c>
      <x:c r="F2039" s="62" t="n">
        <x:v>375.944035604758</x:v>
      </x:c>
      <x:c r="G2039" s="62" t="n">
        <x:v>24.578375439391934</x:v>
      </x:c>
      <x:c r="H2039" s="29" t="str">
        <x:v>YES</x:v>
      </x:c>
      <x:c r="I2039" s="29" t="str">
        <x:v>primary-airport endpoints; great-circle screen</x:v>
      </x:c>
      <x:c r="J2039" s="29" t="str">
        <x:v>presence does not prove operability or capacity</x:v>
      </x:c>
    </x:row>
    <x:row r="2040" ht="75.5999984741211" hidden="0" customHeight="1">
      <x:c r="A2040" s="27" t="str">
        <x:v>SCA-17</x:v>
      </x:c>
      <x:c r="B2040" s="27" t="str">
        <x:v>SCA-13</x:v>
      </x:c>
      <x:c r="C2040" s="27" t="str">
        <x:v>Water</x:v>
      </x:c>
      <x:c r="D2040" s="27" t="str">
        <x:v>YES</x:v>
      </x:c>
      <x:c r="E2040" s="27" t="str">
        <x:v>YES</x:v>
      </x:c>
      <x:c r="F2040" s="61" t="n">
        <x:v>481.2083655740903</x:v>
      </x:c>
      <x:c r="G2040" s="61" t="n">
        <x:v>43.74881044497401</x:v>
      </x:c>
      <x:c r="H2040" s="27" t="str">
        <x:v>YES</x:v>
      </x:c>
      <x:c r="I2040" s="27" t="str">
        <x:v>USACE waterway node topology; deployable terminal required</x:v>
      </x:c>
      <x:c r="J2040" s="27" t="str">
        <x:v>presence does not prove operability or capacity</x:v>
      </x:c>
    </x:row>
    <x:row r="2041" ht="54" hidden="0" customHeight="1">
      <x:c r="A2041" s="29" t="str">
        <x:v>SCA-17</x:v>
      </x:c>
      <x:c r="B2041" s="29" t="str">
        <x:v>SCA-14</x:v>
      </x:c>
      <x:c r="C2041" s="29" t="str">
        <x:v>Road</x:v>
      </x:c>
      <x:c r="D2041" s="29" t="str">
        <x:v>NO</x:v>
      </x:c>
      <x:c r="E2041" s="29" t="str">
        <x:v>NO</x:v>
      </x:c>
      <x:c r="F2041" s="62"/>
      <x:c r="G2041" s="62"/>
      <x:c r="H2041" s="29" t="str">
        <x:v>NO</x:v>
      </x:c>
      <x:c r="I2041" s="29" t="str">
        <x:v>no screened path</x:v>
      </x:c>
      <x:c r="J2041" s="29" t="str">
        <x:v>presence does not prove operability or capacity</x:v>
      </x:c>
    </x:row>
    <x:row r="2042" ht="64.80000305175781" hidden="0" customHeight="1">
      <x:c r="A2042" s="27" t="str">
        <x:v>SCA-17</x:v>
      </x:c>
      <x:c r="B2042" s="27" t="str">
        <x:v>SCA-14</x:v>
      </x:c>
      <x:c r="C2042" s="27" t="str">
        <x:v>Rail</x:v>
      </x:c>
      <x:c r="D2042" s="27" t="str">
        <x:v>YES</x:v>
      </x:c>
      <x:c r="E2042" s="27" t="str">
        <x:v>YES</x:v>
      </x:c>
      <x:c r="F2042" s="61" t="n">
        <x:v>886.7813519135227</x:v>
      </x:c>
      <x:c r="G2042" s="61" t="n">
        <x:v>38.66830502733604</x:v>
      </x:c>
      <x:c r="H2042" s="27" t="str">
        <x:v>YES</x:v>
      </x:c>
      <x:c r="I2042" s="27" t="str">
        <x:v>NARN shared-node topology; deployable terminal required</x:v>
      </x:c>
      <x:c r="J2042" s="27" t="str">
        <x:v>presence does not prove operability or capacity</x:v>
      </x:c>
    </x:row>
    <x:row r="2043" ht="54" hidden="0" customHeight="1">
      <x:c r="A2043" s="29" t="str">
        <x:v>SCA-17</x:v>
      </x:c>
      <x:c r="B2043" s="29" t="str">
        <x:v>SCA-14</x:v>
      </x:c>
      <x:c r="C2043" s="29" t="str">
        <x:v>Air</x:v>
      </x:c>
      <x:c r="D2043" s="29" t="str">
        <x:v>YES</x:v>
      </x:c>
      <x:c r="E2043" s="29" t="str">
        <x:v>YES</x:v>
      </x:c>
      <x:c r="F2043" s="62" t="n">
        <x:v>517.220163812554</x:v>
      </x:c>
      <x:c r="G2043" s="62" t="n">
        <x:v>24.79572332894239</x:v>
      </x:c>
      <x:c r="H2043" s="29" t="str">
        <x:v>YES</x:v>
      </x:c>
      <x:c r="I2043" s="29" t="str">
        <x:v>primary-airport endpoints; great-circle screen</x:v>
      </x:c>
      <x:c r="J2043" s="29" t="str">
        <x:v>presence does not prove operability or capacity</x:v>
      </x:c>
    </x:row>
    <x:row r="2044" ht="75.5999984741211" hidden="0" customHeight="1">
      <x:c r="A2044" s="27" t="str">
        <x:v>SCA-17</x:v>
      </x:c>
      <x:c r="B2044" s="27" t="str">
        <x:v>SCA-14</x:v>
      </x:c>
      <x:c r="C2044" s="27" t="str">
        <x:v>Water</x:v>
      </x:c>
      <x:c r="D2044" s="27" t="str">
        <x:v>YES</x:v>
      </x:c>
      <x:c r="E2044" s="27" t="str">
        <x:v>YES</x:v>
      </x:c>
      <x:c r="F2044" s="61" t="n">
        <x:v>662.0418096800692</x:v>
      </x:c>
      <x:c r="G2044" s="61" t="n">
        <x:v>48.915480276573405</x:v>
      </x:c>
      <x:c r="H2044" s="27" t="str">
        <x:v>YES</x:v>
      </x:c>
      <x:c r="I2044" s="27" t="str">
        <x:v>USACE waterway node topology; deployable terminal required</x:v>
      </x:c>
      <x:c r="J2044" s="27" t="str">
        <x:v>presence does not prove operability or capacity</x:v>
      </x:c>
    </x:row>
    <x:row r="2045" ht="54" hidden="0" customHeight="1">
      <x:c r="A2045" s="29" t="str">
        <x:v>SCA-17</x:v>
      </x:c>
      <x:c r="B2045" s="29" t="str">
        <x:v>SCA-15</x:v>
      </x:c>
      <x:c r="C2045" s="29" t="str">
        <x:v>Road</x:v>
      </x:c>
      <x:c r="D2045" s="29" t="str">
        <x:v>YES</x:v>
      </x:c>
      <x:c r="E2045" s="29" t="str">
        <x:v>YES</x:v>
      </x:c>
      <x:c r="F2045" s="62" t="n">
        <x:v>468.812392822971</x:v>
      </x:c>
      <x:c r="G2045" s="62" t="n">
        <x:v>28.52386168769038</x:v>
      </x:c>
      <x:c r="H2045" s="29" t="str">
        <x:v>YES</x:v>
      </x:c>
      <x:c r="I2045" s="29" t="str">
        <x:v>NHPN-gated shared-boundary SCA path</x:v>
      </x:c>
      <x:c r="J2045" s="29" t="str">
        <x:v>presence does not prove operability or capacity</x:v>
      </x:c>
    </x:row>
    <x:row r="2046" ht="64.80000305175781" hidden="0" customHeight="1">
      <x:c r="A2046" s="27" t="str">
        <x:v>SCA-17</x:v>
      </x:c>
      <x:c r="B2046" s="27" t="str">
        <x:v>SCA-15</x:v>
      </x:c>
      <x:c r="C2046" s="27" t="str">
        <x:v>Rail</x:v>
      </x:c>
      <x:c r="D2046" s="27" t="str">
        <x:v>YES</x:v>
      </x:c>
      <x:c r="E2046" s="27" t="str">
        <x:v>YES</x:v>
      </x:c>
      <x:c r="F2046" s="61" t="n">
        <x:v>497.3487993426299</x:v>
      </x:c>
      <x:c r="G2046" s="61" t="n">
        <x:v>33.104982847751856</x:v>
      </x:c>
      <x:c r="H2046" s="27" t="str">
        <x:v>YES</x:v>
      </x:c>
      <x:c r="I2046" s="27" t="str">
        <x:v>NARN shared-node topology; deployable terminal required</x:v>
      </x:c>
      <x:c r="J2046" s="27" t="str">
        <x:v>presence does not prove operability or capacity</x:v>
      </x:c>
    </x:row>
    <x:row r="2047" ht="54" hidden="0" customHeight="1">
      <x:c r="A2047" s="29" t="str">
        <x:v>SCA-17</x:v>
      </x:c>
      <x:c r="B2047" s="29" t="str">
        <x:v>SCA-15</x:v>
      </x:c>
      <x:c r="C2047" s="29" t="str">
        <x:v>Air</x:v>
      </x:c>
      <x:c r="D2047" s="29" t="str">
        <x:v>YES</x:v>
      </x:c>
      <x:c r="E2047" s="29" t="str">
        <x:v>YES</x:v>
      </x:c>
      <x:c r="F2047" s="62" t="n">
        <x:v>407.6629502808442</x:v>
      </x:c>
      <x:c r="G2047" s="62" t="n">
        <x:v>24.627173769662836</x:v>
      </x:c>
      <x:c r="H2047" s="29" t="str">
        <x:v>YES</x:v>
      </x:c>
      <x:c r="I2047" s="29" t="str">
        <x:v>primary-airport endpoints; great-circle screen</x:v>
      </x:c>
      <x:c r="J2047" s="29" t="str">
        <x:v>presence does not prove operability or capacity</x:v>
      </x:c>
    </x:row>
    <x:row r="2048" ht="75.5999984741211" hidden="0" customHeight="1">
      <x:c r="A2048" s="27" t="str">
        <x:v>SCA-17</x:v>
      </x:c>
      <x:c r="B2048" s="27" t="str">
        <x:v>SCA-15</x:v>
      </x:c>
      <x:c r="C2048" s="27" t="str">
        <x:v>Water</x:v>
      </x:c>
      <x:c r="D2048" s="27" t="str">
        <x:v>YES</x:v>
      </x:c>
      <x:c r="E2048" s="27" t="str">
        <x:v>YES</x:v>
      </x:c>
      <x:c r="F2048" s="61" t="n">
        <x:v>521.8085763594806</x:v>
      </x:c>
      <x:c r="G2048" s="61" t="n">
        <x:v>44.90881646741373</x:v>
      </x:c>
      <x:c r="H2048" s="27" t="str">
        <x:v>YES</x:v>
      </x:c>
      <x:c r="I2048" s="27" t="str">
        <x:v>USACE waterway node topology; deployable terminal required</x:v>
      </x:c>
      <x:c r="J2048" s="27" t="str">
        <x:v>presence does not prove operability or capacity</x:v>
      </x:c>
    </x:row>
    <x:row r="2049" ht="54" hidden="0" customHeight="1">
      <x:c r="A2049" s="29" t="str">
        <x:v>SCA-17</x:v>
      </x:c>
      <x:c r="B2049" s="29" t="str">
        <x:v>SCA-16</x:v>
      </x:c>
      <x:c r="C2049" s="29" t="str">
        <x:v>Road</x:v>
      </x:c>
      <x:c r="D2049" s="29" t="str">
        <x:v>YES</x:v>
      </x:c>
      <x:c r="E2049" s="29" t="str">
        <x:v>YES</x:v>
      </x:c>
      <x:c r="F2049" s="62" t="n">
        <x:v>1118.8390797718764</x:v>
      </x:c>
      <x:c r="G2049" s="62" t="n">
        <x:v>40.34252872312503</x:v>
      </x:c>
      <x:c r="H2049" s="29" t="str">
        <x:v>YES</x:v>
      </x:c>
      <x:c r="I2049" s="29" t="str">
        <x:v>NHPN-gated shared-boundary SCA path</x:v>
      </x:c>
      <x:c r="J2049" s="29" t="str">
        <x:v>presence does not prove operability or capacity</x:v>
      </x:c>
    </x:row>
    <x:row r="2050" ht="64.80000305175781" hidden="0" customHeight="1">
      <x:c r="A2050" s="27" t="str">
        <x:v>SCA-17</x:v>
      </x:c>
      <x:c r="B2050" s="27" t="str">
        <x:v>SCA-16</x:v>
      </x:c>
      <x:c r="C2050" s="27" t="str">
        <x:v>Rail</x:v>
      </x:c>
      <x:c r="D2050" s="27" t="str">
        <x:v>YES</x:v>
      </x:c>
      <x:c r="E2050" s="27" t="str">
        <x:v>YES</x:v>
      </x:c>
      <x:c r="F2050" s="61" t="n">
        <x:v>1186.942328105817</x:v>
      </x:c>
      <x:c r="G2050" s="61" t="n">
        <x:v>42.956318972940245</x:v>
      </x:c>
      <x:c r="H2050" s="27" t="str">
        <x:v>YES</x:v>
      </x:c>
      <x:c r="I2050" s="27" t="str">
        <x:v>NARN shared-node topology; deployable terminal required</x:v>
      </x:c>
      <x:c r="J2050" s="27" t="str">
        <x:v>presence does not prove operability or capacity</x:v>
      </x:c>
    </x:row>
    <x:row r="2051" ht="54" hidden="0" customHeight="1">
      <x:c r="A2051" s="29" t="str">
        <x:v>SCA-17</x:v>
      </x:c>
      <x:c r="B2051" s="29" t="str">
        <x:v>SCA-16</x:v>
      </x:c>
      <x:c r="C2051" s="29" t="str">
        <x:v>Air</x:v>
      </x:c>
      <x:c r="D2051" s="29" t="str">
        <x:v>YES</x:v>
      </x:c>
      <x:c r="E2051" s="29" t="str">
        <x:v>YES</x:v>
      </x:c>
      <x:c r="F2051" s="62" t="n">
        <x:v>912.927595231238</x:v>
      </x:c>
      <x:c r="G2051" s="62" t="n">
        <x:v>25.404503992663443</x:v>
      </x:c>
      <x:c r="H2051" s="29" t="str">
        <x:v>YES</x:v>
      </x:c>
      <x:c r="I2051" s="29" t="str">
        <x:v>primary-airport endpoints; great-circle screen</x:v>
      </x:c>
      <x:c r="J2051" s="29" t="str">
        <x:v>presence does not prove operability or capacity</x:v>
      </x:c>
    </x:row>
    <x:row r="2052" ht="75.5999984741211" hidden="0" customHeight="1">
      <x:c r="A2052" s="27" t="str">
        <x:v>SCA-17</x:v>
      </x:c>
      <x:c r="B2052" s="27" t="str">
        <x:v>SCA-16</x:v>
      </x:c>
      <x:c r="C2052" s="27" t="str">
        <x:v>Water</x:v>
      </x:c>
      <x:c r="D2052" s="27" t="str">
        <x:v>YES</x:v>
      </x:c>
      <x:c r="E2052" s="27" t="str">
        <x:v>YES</x:v>
      </x:c>
      <x:c r="F2052" s="61" t="n">
        <x:v>1245.3165409634803</x:v>
      </x:c>
      <x:c r="G2052" s="61" t="n">
        <x:v>65.58047259895659</x:v>
      </x:c>
      <x:c r="H2052" s="27" t="str">
        <x:v>YES</x:v>
      </x:c>
      <x:c r="I2052" s="27" t="str">
        <x:v>USACE waterway node topology; deployable terminal required</x:v>
      </x:c>
      <x:c r="J2052" s="27" t="str">
        <x:v>presence does not prove operability or capacity</x:v>
      </x:c>
    </x:row>
    <x:row r="2053" ht="54" hidden="0" customHeight="1">
      <x:c r="A2053" s="29" t="str">
        <x:v>SCA-17</x:v>
      </x:c>
      <x:c r="B2053" s="29" t="str">
        <x:v>SCA-18</x:v>
      </x:c>
      <x:c r="C2053" s="29" t="str">
        <x:v>Road</x:v>
      </x:c>
      <x:c r="D2053" s="29" t="str">
        <x:v>YES</x:v>
      </x:c>
      <x:c r="E2053" s="29" t="str">
        <x:v>YES</x:v>
      </x:c>
      <x:c r="F2053" s="62" t="n">
        <x:v>1990.5363448000394</x:v>
      </x:c>
      <x:c r="G2053" s="62" t="n">
        <x:v>56.19156990545526</x:v>
      </x:c>
      <x:c r="H2053" s="29" t="str">
        <x:v>YES</x:v>
      </x:c>
      <x:c r="I2053" s="29" t="str">
        <x:v>NHPN-gated shared-boundary SCA path</x:v>
      </x:c>
      <x:c r="J2053" s="29" t="str">
        <x:v>presence does not prove operability or capacity</x:v>
      </x:c>
    </x:row>
    <x:row r="2054" ht="64.80000305175781" hidden="0" customHeight="1">
      <x:c r="A2054" s="27" t="str">
        <x:v>SCA-17</x:v>
      </x:c>
      <x:c r="B2054" s="27" t="str">
        <x:v>SCA-18</x:v>
      </x:c>
      <x:c r="C2054" s="27" t="str">
        <x:v>Rail</x:v>
      </x:c>
      <x:c r="D2054" s="27" t="str">
        <x:v>YES</x:v>
      </x:c>
      <x:c r="E2054" s="27" t="str">
        <x:v>YES</x:v>
      </x:c>
      <x:c r="F2054" s="61" t="n">
        <x:v>2111.6994266574334</x:v>
      </x:c>
      <x:c r="G2054" s="61" t="n">
        <x:v>56.167134666534764</x:v>
      </x:c>
      <x:c r="H2054" s="27" t="str">
        <x:v>YES</x:v>
      </x:c>
      <x:c r="I2054" s="27" t="str">
        <x:v>NARN shared-node topology; deployable terminal required</x:v>
      </x:c>
      <x:c r="J2054" s="27" t="str">
        <x:v>presence does not prove operability or capacity</x:v>
      </x:c>
    </x:row>
    <x:row r="2055" ht="54" hidden="0" customHeight="1">
      <x:c r="A2055" s="29" t="str">
        <x:v>SCA-17</x:v>
      </x:c>
      <x:c r="B2055" s="29" t="str">
        <x:v>SCA-18</x:v>
      </x:c>
      <x:c r="C2055" s="29" t="str">
        <x:v>Air</x:v>
      </x:c>
      <x:c r="D2055" s="29" t="str">
        <x:v>YES</x:v>
      </x:c>
      <x:c r="E2055" s="29" t="str">
        <x:v>YES</x:v>
      </x:c>
      <x:c r="F2055" s="62" t="n">
        <x:v>1634.5708127564574</x:v>
      </x:c>
      <x:c r="G2055" s="62" t="n">
        <x:v>26.514724327317627</x:v>
      </x:c>
      <x:c r="H2055" s="29" t="str">
        <x:v>YES</x:v>
      </x:c>
      <x:c r="I2055" s="29" t="str">
        <x:v>primary-airport endpoints; great-circle screen</x:v>
      </x:c>
      <x:c r="J2055" s="29" t="str">
        <x:v>presence does not prove operability or capacity</x:v>
      </x:c>
    </x:row>
    <x:row r="2056" ht="75.5999984741211" hidden="0" customHeight="1">
      <x:c r="A2056" s="27" t="str">
        <x:v>SCA-17</x:v>
      </x:c>
      <x:c r="B2056" s="27" t="str">
        <x:v>SCA-18</x:v>
      </x:c>
      <x:c r="C2056" s="27" t="str">
        <x:v>Water</x:v>
      </x:c>
      <x:c r="D2056" s="27" t="str">
        <x:v>YES</x:v>
      </x:c>
      <x:c r="E2056" s="27" t="str">
        <x:v>YES</x:v>
      </x:c>
      <x:c r="F2056" s="61" t="n">
        <x:v>2215.553496820914</x:v>
      </x:c>
      <x:c r="G2056" s="61" t="n">
        <x:v>93.30152848059754</x:v>
      </x:c>
      <x:c r="H2056" s="27" t="str">
        <x:v>NO</x:v>
      </x:c>
      <x:c r="I2056" s="27" t="str">
        <x:v>USACE waterway node topology; deployable terminal required</x:v>
      </x:c>
      <x:c r="J2056" s="27" t="str">
        <x:v>presence does not prove operability or capacity</x:v>
      </x:c>
    </x:row>
    <x:row r="2057" ht="54" hidden="0" customHeight="1">
      <x:c r="A2057" s="29" t="str">
        <x:v>SCA-17</x:v>
      </x:c>
      <x:c r="B2057" s="29" t="str">
        <x:v>SCA-19</x:v>
      </x:c>
      <x:c r="C2057" s="29" t="str">
        <x:v>Road</x:v>
      </x:c>
      <x:c r="D2057" s="29" t="str">
        <x:v>YES</x:v>
      </x:c>
      <x:c r="E2057" s="29" t="str">
        <x:v>YES</x:v>
      </x:c>
      <x:c r="F2057" s="62" t="n">
        <x:v>1291.8361043794262</x:v>
      </x:c>
      <x:c r="G2057" s="62" t="n">
        <x:v>43.487929170535025</x:v>
      </x:c>
      <x:c r="H2057" s="29" t="str">
        <x:v>YES</x:v>
      </x:c>
      <x:c r="I2057" s="29" t="str">
        <x:v>NHPN-gated shared-boundary SCA path</x:v>
      </x:c>
      <x:c r="J2057" s="29" t="str">
        <x:v>presence does not prove operability or capacity</x:v>
      </x:c>
    </x:row>
    <x:row r="2058" ht="64.80000305175781" hidden="0" customHeight="1">
      <x:c r="A2058" s="27" t="str">
        <x:v>SCA-17</x:v>
      </x:c>
      <x:c r="B2058" s="27" t="str">
        <x:v>SCA-19</x:v>
      </x:c>
      <x:c r="C2058" s="27" t="str">
        <x:v>Rail</x:v>
      </x:c>
      <x:c r="D2058" s="27" t="str">
        <x:v>YES</x:v>
      </x:c>
      <x:c r="E2058" s="27" t="str">
        <x:v>YES</x:v>
      </x:c>
      <x:c r="F2058" s="61" t="n">
        <x:v>1370.4696063851306</x:v>
      </x:c>
      <x:c r="G2058" s="61" t="n">
        <x:v>45.578137234073296</x:v>
      </x:c>
      <x:c r="H2058" s="27" t="str">
        <x:v>YES</x:v>
      </x:c>
      <x:c r="I2058" s="27" t="str">
        <x:v>NARN shared-node topology; deployable terminal required</x:v>
      </x:c>
      <x:c r="J2058" s="27" t="str">
        <x:v>presence does not prove operability or capacity</x:v>
      </x:c>
    </x:row>
    <x:row r="2059" ht="54" hidden="0" customHeight="1">
      <x:c r="A2059" s="29" t="str">
        <x:v>SCA-17</x:v>
      </x:c>
      <x:c r="B2059" s="29" t="str">
        <x:v>SCA-19</x:v>
      </x:c>
      <x:c r="C2059" s="29" t="str">
        <x:v>Air</x:v>
      </x:c>
      <x:c r="D2059" s="29" t="str">
        <x:v>YES</x:v>
      </x:c>
      <x:c r="E2059" s="29" t="str">
        <x:v>YES</x:v>
      </x:c>
      <x:c r="F2059" s="62" t="n">
        <x:v>1013.244913536584</x:v>
      </x:c>
      <x:c r="G2059" s="62" t="n">
        <x:v>25.558838328517822</x:v>
      </x:c>
      <x:c r="H2059" s="29" t="str">
        <x:v>YES</x:v>
      </x:c>
      <x:c r="I2059" s="29" t="str">
        <x:v>primary-airport endpoints; great-circle screen</x:v>
      </x:c>
      <x:c r="J2059" s="29" t="str">
        <x:v>presence does not prove operability or capacity</x:v>
      </x:c>
    </x:row>
    <x:row r="2060" ht="75.5999984741211" hidden="0" customHeight="1">
      <x:c r="A2060" s="27" t="str">
        <x:v>SCA-17</x:v>
      </x:c>
      <x:c r="B2060" s="27" t="str">
        <x:v>SCA-19</x:v>
      </x:c>
      <x:c r="C2060" s="27" t="str">
        <x:v>Water</x:v>
      </x:c>
      <x:c r="D2060" s="27" t="str">
        <x:v>YES</x:v>
      </x:c>
      <x:c r="E2060" s="27" t="str">
        <x:v>YES</x:v>
      </x:c>
      <x:c r="F2060" s="61" t="n">
        <x:v>1437.8697509614485</x:v>
      </x:c>
      <x:c r="G2060" s="61" t="n">
        <x:v>71.08199288461282</x:v>
      </x:c>
      <x:c r="H2060" s="27" t="str">
        <x:v>YES</x:v>
      </x:c>
      <x:c r="I2060" s="27" t="str">
        <x:v>USACE waterway node topology; deployable terminal required</x:v>
      </x:c>
      <x:c r="J2060" s="27" t="str">
        <x:v>presence does not prove operability or capacity</x:v>
      </x:c>
    </x:row>
    <x:row r="2061" ht="54" hidden="0" customHeight="1">
      <x:c r="A2061" s="29" t="str">
        <x:v>SCA-17</x:v>
      </x:c>
      <x:c r="B2061" s="29" t="str">
        <x:v>SCA-20</x:v>
      </x:c>
      <x:c r="C2061" s="29" t="str">
        <x:v>Road</x:v>
      </x:c>
      <x:c r="D2061" s="29" t="str">
        <x:v>YES</x:v>
      </x:c>
      <x:c r="E2061" s="29" t="str">
        <x:v>YES</x:v>
      </x:c>
      <x:c r="F2061" s="62" t="n">
        <x:v>690.2900245636336</x:v>
      </x:c>
      <x:c r="G2061" s="62" t="n">
        <x:v>32.550727719338795</x:v>
      </x:c>
      <x:c r="H2061" s="29" t="str">
        <x:v>YES</x:v>
      </x:c>
      <x:c r="I2061" s="29" t="str">
        <x:v>NHPN-gated shared-boundary SCA path</x:v>
      </x:c>
      <x:c r="J2061" s="29" t="str">
        <x:v>presence does not prove operability or capacity</x:v>
      </x:c>
    </x:row>
    <x:row r="2062" ht="64.80000305175781" hidden="0" customHeight="1">
      <x:c r="A2062" s="27" t="str">
        <x:v>SCA-17</x:v>
      </x:c>
      <x:c r="B2062" s="27" t="str">
        <x:v>SCA-20</x:v>
      </x:c>
      <x:c r="C2062" s="27" t="str">
        <x:v>Rail</x:v>
      </x:c>
      <x:c r="D2062" s="27" t="str">
        <x:v>YES</x:v>
      </x:c>
      <x:c r="E2062" s="27" t="str">
        <x:v>YES</x:v>
      </x:c>
      <x:c r="F2062" s="61" t="n">
        <x:v>732.307678232724</x:v>
      </x:c>
      <x:c r="G2062" s="61" t="n">
        <x:v>36.461538260467485</x:v>
      </x:c>
      <x:c r="H2062" s="27" t="str">
        <x:v>YES</x:v>
      </x:c>
      <x:c r="I2062" s="27" t="str">
        <x:v>NARN shared-node topology; deployable terminal required</x:v>
      </x:c>
      <x:c r="J2062" s="27" t="str">
        <x:v>presence does not prove operability or capacity</x:v>
      </x:c>
    </x:row>
    <x:row r="2063" ht="54" hidden="0" customHeight="1">
      <x:c r="A2063" s="29" t="str">
        <x:v>SCA-17</x:v>
      </x:c>
      <x:c r="B2063" s="29" t="str">
        <x:v>SCA-20</x:v>
      </x:c>
      <x:c r="C2063" s="29" t="str">
        <x:v>Air</x:v>
      </x:c>
      <x:c r="D2063" s="29" t="str">
        <x:v>YES</x:v>
      </x:c>
      <x:c r="E2063" s="29" t="str">
        <x:v>YES</x:v>
      </x:c>
      <x:c r="F2063" s="62" t="n">
        <x:v>600.2521952727246</x:v>
      </x:c>
      <x:c r="G2063" s="62" t="n">
        <x:v>24.923464915804193</x:v>
      </x:c>
      <x:c r="H2063" s="29" t="str">
        <x:v>YES</x:v>
      </x:c>
      <x:c r="I2063" s="29" t="str">
        <x:v>primary-airport endpoints; great-circle screen</x:v>
      </x:c>
      <x:c r="J2063" s="29" t="str">
        <x:v>presence does not prove operability or capacity</x:v>
      </x:c>
    </x:row>
    <x:row r="2064" ht="75.5999984741211" hidden="0" customHeight="1">
      <x:c r="A2064" s="27" t="str">
        <x:v>SCA-17</x:v>
      </x:c>
      <x:c r="B2064" s="27" t="str">
        <x:v>SCA-20</x:v>
      </x:c>
      <x:c r="C2064" s="27" t="str">
        <x:v>Water</x:v>
      </x:c>
      <x:c r="D2064" s="27" t="str">
        <x:v>YES</x:v>
      </x:c>
      <x:c r="E2064" s="27" t="str">
        <x:v>YES</x:v>
      </x:c>
      <x:c r="F2064" s="61" t="n">
        <x:v>768.3228099490875</x:v>
      </x:c>
      <x:c r="G2064" s="61" t="n">
        <x:v>51.952080284259644</x:v>
      </x:c>
      <x:c r="H2064" s="27" t="str">
        <x:v>YES</x:v>
      </x:c>
      <x:c r="I2064" s="27" t="str">
        <x:v>USACE waterway node topology; deployable terminal required</x:v>
      </x:c>
      <x:c r="J2064" s="27" t="str">
        <x:v>presence does not prove operability or capacity</x:v>
      </x:c>
    </x:row>
    <x:row r="2065" ht="54" hidden="0" customHeight="1">
      <x:c r="A2065" s="29" t="str">
        <x:v>SCA-17</x:v>
      </x:c>
      <x:c r="B2065" s="29" t="str">
        <x:v>SCA-21</x:v>
      </x:c>
      <x:c r="C2065" s="29" t="str">
        <x:v>Road</x:v>
      </x:c>
      <x:c r="D2065" s="29" t="str">
        <x:v>YES</x:v>
      </x:c>
      <x:c r="E2065" s="29" t="str">
        <x:v>YES</x:v>
      </x:c>
      <x:c r="F2065" s="62" t="n">
        <x:v>1817.36346555453</x:v>
      </x:c>
      <x:c r="G2065" s="62" t="n">
        <x:v>53.042972100991456</x:v>
      </x:c>
      <x:c r="H2065" s="29" t="str">
        <x:v>YES</x:v>
      </x:c>
      <x:c r="I2065" s="29" t="str">
        <x:v>NHPN-gated shared-boundary SCA path</x:v>
      </x:c>
      <x:c r="J2065" s="29" t="str">
        <x:v>presence does not prove operability or capacity</x:v>
      </x:c>
    </x:row>
    <x:row r="2066" ht="64.80000305175781" hidden="0" customHeight="1">
      <x:c r="A2066" s="27" t="str">
        <x:v>SCA-17</x:v>
      </x:c>
      <x:c r="B2066" s="27" t="str">
        <x:v>SCA-21</x:v>
      </x:c>
      <x:c r="C2066" s="27" t="str">
        <x:v>Rail</x:v>
      </x:c>
      <x:c r="D2066" s="27" t="str">
        <x:v>YES</x:v>
      </x:c>
      <x:c r="E2066" s="27" t="str">
        <x:v>YES</x:v>
      </x:c>
      <x:c r="F2066" s="61" t="n">
        <x:v>1927.9855895448059</x:v>
      </x:c>
      <x:c r="G2066" s="61" t="n">
        <x:v>53.54265127921151</x:v>
      </x:c>
      <x:c r="H2066" s="27" t="str">
        <x:v>YES</x:v>
      </x:c>
      <x:c r="I2066" s="27" t="str">
        <x:v>NARN shared-node topology; deployable terminal required</x:v>
      </x:c>
      <x:c r="J2066" s="27" t="str">
        <x:v>presence does not prove operability or capacity</x:v>
      </x:c>
    </x:row>
    <x:row r="2067" ht="54" hidden="0" customHeight="1">
      <x:c r="A2067" s="29" t="str">
        <x:v>SCA-17</x:v>
      </x:c>
      <x:c r="B2067" s="29" t="str">
        <x:v>SCA-21</x:v>
      </x:c>
      <x:c r="C2067" s="29" t="str">
        <x:v>Air</x:v>
      </x:c>
      <x:c r="D2067" s="29" t="str">
        <x:v>YES</x:v>
      </x:c>
      <x:c r="E2067" s="29" t="str">
        <x:v>YES</x:v>
      </x:c>
      <x:c r="F2067" s="62" t="n">
        <x:v>1461.414987169098</x:v>
      </x:c>
      <x:c r="G2067" s="62" t="n">
        <x:v>26.24833074949092</x:v>
      </x:c>
      <x:c r="H2067" s="29" t="str">
        <x:v>YES</x:v>
      </x:c>
      <x:c r="I2067" s="29" t="str">
        <x:v>primary-airport endpoints; great-circle screen</x:v>
      </x:c>
      <x:c r="J2067" s="29" t="str">
        <x:v>presence does not prove operability or capacity</x:v>
      </x:c>
    </x:row>
    <x:row r="2068" ht="75.5999984741211" hidden="0" customHeight="1">
      <x:c r="A2068" s="27" t="str">
        <x:v>SCA-17</x:v>
      </x:c>
      <x:c r="B2068" s="27" t="str">
        <x:v>SCA-21</x:v>
      </x:c>
      <x:c r="C2068" s="27" t="str">
        <x:v>Water</x:v>
      </x:c>
      <x:c r="D2068" s="27" t="str">
        <x:v>YES</x:v>
      </x:c>
      <x:c r="E2068" s="27" t="str">
        <x:v>YES</x:v>
      </x:c>
      <x:c r="F2068" s="61" t="n">
        <x:v>2022.8045529650421</x:v>
      </x:c>
      <x:c r="G2068" s="61" t="n">
        <x:v>87.7944157990012</x:v>
      </x:c>
      <x:c r="H2068" s="27" t="str">
        <x:v>NO</x:v>
      </x:c>
      <x:c r="I2068" s="27" t="str">
        <x:v>USACE waterway node topology; deployable terminal required</x:v>
      </x:c>
      <x:c r="J2068" s="27" t="str">
        <x:v>presence does not prove operability or capacity</x:v>
      </x:c>
    </x:row>
    <x:row r="2069" ht="54" hidden="0" customHeight="1">
      <x:c r="A2069" s="29" t="str">
        <x:v>SCA-17</x:v>
      </x:c>
      <x:c r="B2069" s="29" t="str">
        <x:v>SCA-22</x:v>
      </x:c>
      <x:c r="C2069" s="29" t="str">
        <x:v>Road</x:v>
      </x:c>
      <x:c r="D2069" s="29" t="str">
        <x:v>YES</x:v>
      </x:c>
      <x:c r="E2069" s="29" t="str">
        <x:v>YES</x:v>
      </x:c>
      <x:c r="F2069" s="62" t="n">
        <x:v>1419.7799056048696</x:v>
      </x:c>
      <x:c r="G2069" s="62" t="n">
        <x:v>45.814180101906715</x:v>
      </x:c>
      <x:c r="H2069" s="29" t="str">
        <x:v>YES</x:v>
      </x:c>
      <x:c r="I2069" s="29" t="str">
        <x:v>NHPN-gated shared-boundary SCA path</x:v>
      </x:c>
      <x:c r="J2069" s="29" t="str">
        <x:v>presence does not prove operability or capacity</x:v>
      </x:c>
    </x:row>
    <x:row r="2070" ht="64.80000305175781" hidden="0" customHeight="1">
      <x:c r="A2070" s="27" t="str">
        <x:v>SCA-17</x:v>
      </x:c>
      <x:c r="B2070" s="27" t="str">
        <x:v>SCA-22</x:v>
      </x:c>
      <x:c r="C2070" s="27" t="str">
        <x:v>Rail</x:v>
      </x:c>
      <x:c r="D2070" s="27" t="str">
        <x:v>YES</x:v>
      </x:c>
      <x:c r="E2070" s="27" t="str">
        <x:v>YES</x:v>
      </x:c>
      <x:c r="F2070" s="61" t="n">
        <x:v>1506.2012911634265</x:v>
      </x:c>
      <x:c r="G2070" s="61" t="n">
        <x:v>47.517161302334664</x:v>
      </x:c>
      <x:c r="H2070" s="27" t="str">
        <x:v>YES</x:v>
      </x:c>
      <x:c r="I2070" s="27" t="str">
        <x:v>NARN shared-node topology; deployable terminal required</x:v>
      </x:c>
      <x:c r="J2070" s="27" t="str">
        <x:v>presence does not prove operability or capacity</x:v>
      </x:c>
    </x:row>
    <x:row r="2071" ht="54" hidden="0" customHeight="1">
      <x:c r="A2071" s="29" t="str">
        <x:v>SCA-17</x:v>
      </x:c>
      <x:c r="B2071" s="29" t="str">
        <x:v>SCA-22</x:v>
      </x:c>
      <x:c r="C2071" s="29" t="str">
        <x:v>Air</x:v>
      </x:c>
      <x:c r="D2071" s="29" t="str">
        <x:v>YES</x:v>
      </x:c>
      <x:c r="E2071" s="29" t="str">
        <x:v>YES</x:v>
      </x:c>
      <x:c r="F2071" s="62" t="n">
        <x:v>1234.2198673905793</x:v>
      </x:c>
      <x:c r="G2071" s="62" t="n">
        <x:v>25.898799795985507</x:v>
      </x:c>
      <x:c r="H2071" s="29" t="str">
        <x:v>YES</x:v>
      </x:c>
      <x:c r="I2071" s="29" t="str">
        <x:v>primary-airport endpoints; great-circle screen</x:v>
      </x:c>
      <x:c r="J2071" s="29" t="str">
        <x:v>presence does not prove operability or capacity</x:v>
      </x:c>
    </x:row>
    <x:row r="2072" ht="75.5999984741211" hidden="0" customHeight="1">
      <x:c r="A2072" s="27" t="str">
        <x:v>SCA-17</x:v>
      </x:c>
      <x:c r="B2072" s="27" t="str">
        <x:v>SCA-22</x:v>
      </x:c>
      <x:c r="C2072" s="27" t="str">
        <x:v>Water</x:v>
      </x:c>
      <x:c r="D2072" s="27" t="str">
        <x:v>YES</x:v>
      </x:c>
      <x:c r="E2072" s="27" t="str">
        <x:v>YES</x:v>
      </x:c>
      <x:c r="F2072" s="61" t="n">
        <x:v>1580.2767644993328</x:v>
      </x:c>
      <x:c r="G2072" s="61" t="n">
        <x:v>75.15076469998094</x:v>
      </x:c>
      <x:c r="H2072" s="27" t="str">
        <x:v>NO</x:v>
      </x:c>
      <x:c r="I2072" s="27" t="str">
        <x:v>USACE waterway node topology; deployable terminal required</x:v>
      </x:c>
      <x:c r="J2072" s="27" t="str">
        <x:v>presence does not prove operability or capacity</x:v>
      </x:c>
    </x:row>
    <x:row r="2073" ht="54" hidden="0" customHeight="1">
      <x:c r="A2073" s="29" t="str">
        <x:v>SCA-17</x:v>
      </x:c>
      <x:c r="B2073" s="29" t="str">
        <x:v>SCA-23</x:v>
      </x:c>
      <x:c r="C2073" s="29" t="str">
        <x:v>Road</x:v>
      </x:c>
      <x:c r="D2073" s="29" t="str">
        <x:v>YES</x:v>
      </x:c>
      <x:c r="E2073" s="29" t="str">
        <x:v>YES</x:v>
      </x:c>
      <x:c r="F2073" s="62" t="n">
        <x:v>1269.789018412829</x:v>
      </x:c>
      <x:c r="G2073" s="62" t="n">
        <x:v>43.08707306205143</x:v>
      </x:c>
      <x:c r="H2073" s="29" t="str">
        <x:v>YES</x:v>
      </x:c>
      <x:c r="I2073" s="29" t="str">
        <x:v>NHPN-gated shared-boundary SCA path</x:v>
      </x:c>
      <x:c r="J2073" s="29" t="str">
        <x:v>presence does not prove operability or capacity</x:v>
      </x:c>
    </x:row>
    <x:row r="2074" ht="64.80000305175781" hidden="0" customHeight="1">
      <x:c r="A2074" s="27" t="str">
        <x:v>SCA-17</x:v>
      </x:c>
      <x:c r="B2074" s="27" t="str">
        <x:v>SCA-23</x:v>
      </x:c>
      <x:c r="C2074" s="27" t="str">
        <x:v>Rail</x:v>
      </x:c>
      <x:c r="D2074" s="27" t="str">
        <x:v>YES</x:v>
      </x:c>
      <x:c r="E2074" s="27" t="str">
        <x:v>YES</x:v>
      </x:c>
      <x:c r="F2074" s="61" t="n">
        <x:v>1347.0805238814355</x:v>
      </x:c>
      <x:c r="G2074" s="61" t="n">
        <x:v>45.24400748402051</x:v>
      </x:c>
      <x:c r="H2074" s="27" t="str">
        <x:v>YES</x:v>
      </x:c>
      <x:c r="I2074" s="27" t="str">
        <x:v>NARN shared-node topology; deployable terminal required</x:v>
      </x:c>
      <x:c r="J2074" s="27" t="str">
        <x:v>presence does not prove operability or capacity</x:v>
      </x:c>
    </x:row>
    <x:row r="2075" ht="54" hidden="0" customHeight="1">
      <x:c r="A2075" s="29" t="str">
        <x:v>SCA-17</x:v>
      </x:c>
      <x:c r="B2075" s="29" t="str">
        <x:v>SCA-23</x:v>
      </x:c>
      <x:c r="C2075" s="29" t="str">
        <x:v>Air</x:v>
      </x:c>
      <x:c r="D2075" s="29" t="str">
        <x:v>YES</x:v>
      </x:c>
      <x:c r="E2075" s="29" t="str">
        <x:v>YES</x:v>
      </x:c>
      <x:c r="F2075" s="62" t="n">
        <x:v>1004.54054535118</x:v>
      </x:c>
      <x:c r="G2075" s="62" t="n">
        <x:v>25.54544699284797</x:v>
      </x:c>
      <x:c r="H2075" s="29" t="str">
        <x:v>YES</x:v>
      </x:c>
      <x:c r="I2075" s="29" t="str">
        <x:v>primary-airport endpoints; great-circle screen</x:v>
      </x:c>
      <x:c r="J2075" s="29" t="str">
        <x:v>presence does not prove operability or capacity</x:v>
      </x:c>
    </x:row>
    <x:row r="2076" ht="75.5999984741211" hidden="0" customHeight="1">
      <x:c r="A2076" s="27" t="str">
        <x:v>SCA-17</x:v>
      </x:c>
      <x:c r="B2076" s="27" t="str">
        <x:v>SCA-23</x:v>
      </x:c>
      <x:c r="C2076" s="27" t="str">
        <x:v>Water</x:v>
      </x:c>
      <x:c r="D2076" s="27" t="str">
        <x:v>YES</x:v>
      </x:c>
      <x:c r="E2076" s="27" t="str">
        <x:v>YES</x:v>
      </x:c>
      <x:c r="F2076" s="61" t="n">
        <x:v>1413.3303857116703</x:v>
      </x:c>
      <x:c r="G2076" s="61" t="n">
        <x:v>70.38086816319057</x:v>
      </x:c>
      <x:c r="H2076" s="27" t="str">
        <x:v>YES</x:v>
      </x:c>
      <x:c r="I2076" s="27" t="str">
        <x:v>USACE waterway node topology; deployable terminal required</x:v>
      </x:c>
      <x:c r="J2076" s="27" t="str">
        <x:v>presence does not prove operability or capacity</x:v>
      </x:c>
    </x:row>
    <x:row r="2077" ht="54" hidden="0" customHeight="1">
      <x:c r="A2077" s="29" t="str">
        <x:v>SCA-17</x:v>
      </x:c>
      <x:c r="B2077" s="29" t="str">
        <x:v>SCA-24</x:v>
      </x:c>
      <x:c r="C2077" s="29" t="str">
        <x:v>Road</x:v>
      </x:c>
      <x:c r="D2077" s="29" t="str">
        <x:v>YES</x:v>
      </x:c>
      <x:c r="E2077" s="29" t="str">
        <x:v>YES</x:v>
      </x:c>
      <x:c r="F2077" s="62" t="n">
        <x:v>1955.5923834187133</x:v>
      </x:c>
      <x:c r="G2077" s="62" t="n">
        <x:v>55.556225153067516</x:v>
      </x:c>
      <x:c r="H2077" s="29" t="str">
        <x:v>YES</x:v>
      </x:c>
      <x:c r="I2077" s="29" t="str">
        <x:v>NHPN-gated shared-boundary SCA path</x:v>
      </x:c>
      <x:c r="J2077" s="29" t="str">
        <x:v>presence does not prove operability or capacity</x:v>
      </x:c>
    </x:row>
    <x:row r="2078" ht="64.80000305175781" hidden="0" customHeight="1">
      <x:c r="A2078" s="27" t="str">
        <x:v>SCA-17</x:v>
      </x:c>
      <x:c r="B2078" s="27" t="str">
        <x:v>SCA-24</x:v>
      </x:c>
      <x:c r="C2078" s="27" t="str">
        <x:v>Rail</x:v>
      </x:c>
      <x:c r="D2078" s="27" t="str">
        <x:v>YES</x:v>
      </x:c>
      <x:c r="E2078" s="27" t="str">
        <x:v>YES</x:v>
      </x:c>
      <x:c r="F2078" s="61" t="n">
        <x:v>2074.628441539852</x:v>
      </x:c>
      <x:c r="G2078" s="61" t="n">
        <x:v>55.63754916485503</x:v>
      </x:c>
      <x:c r="H2078" s="27" t="str">
        <x:v>YES</x:v>
      </x:c>
      <x:c r="I2078" s="27" t="str">
        <x:v>NARN shared-node topology; deployable terminal required</x:v>
      </x:c>
      <x:c r="J2078" s="27" t="str">
        <x:v>presence does not prove operability or capacity</x:v>
      </x:c>
    </x:row>
    <x:row r="2079" ht="54" hidden="0" customHeight="1">
      <x:c r="A2079" s="29" t="str">
        <x:v>SCA-17</x:v>
      </x:c>
      <x:c r="B2079" s="29" t="str">
        <x:v>SCA-24</x:v>
      </x:c>
      <x:c r="C2079" s="29" t="str">
        <x:v>Air</x:v>
      </x:c>
      <x:c r="D2079" s="29" t="str">
        <x:v>YES</x:v>
      </x:c>
      <x:c r="E2079" s="29" t="str">
        <x:v>YES</x:v>
      </x:c>
      <x:c r="F2079" s="62" t="n">
        <x:v>1660.2145744375484</x:v>
      </x:c>
      <x:c r="G2079" s="62" t="n">
        <x:v>26.55417626836546</x:v>
      </x:c>
      <x:c r="H2079" s="29" t="str">
        <x:v>YES</x:v>
      </x:c>
      <x:c r="I2079" s="29" t="str">
        <x:v>primary-airport endpoints; great-circle screen</x:v>
      </x:c>
      <x:c r="J2079" s="29" t="str">
        <x:v>presence does not prove operability or capacity</x:v>
      </x:c>
    </x:row>
    <x:row r="2080" ht="75.5999984741211" hidden="0" customHeight="1">
      <x:c r="A2080" s="27" t="str">
        <x:v>SCA-17</x:v>
      </x:c>
      <x:c r="B2080" s="27" t="str">
        <x:v>SCA-24</x:v>
      </x:c>
      <x:c r="C2080" s="27" t="str">
        <x:v>Water</x:v>
      </x:c>
      <x:c r="D2080" s="27" t="str">
        <x:v>YES</x:v>
      </x:c>
      <x:c r="E2080" s="27" t="str">
        <x:v>YES</x:v>
      </x:c>
      <x:c r="F2080" s="61" t="n">
        <x:v>2464.950003442162</x:v>
      </x:c>
      <x:c r="G2080" s="61" t="n">
        <x:v>100.42714295549035</x:v>
      </x:c>
      <x:c r="H2080" s="27" t="str">
        <x:v>NO</x:v>
      </x:c>
      <x:c r="I2080" s="27" t="str">
        <x:v>USACE waterway node topology; deployable terminal required</x:v>
      </x:c>
      <x:c r="J2080" s="27" t="str">
        <x:v>presence does not prove operability or capacity</x:v>
      </x:c>
    </x:row>
    <x:row r="2081" ht="54" hidden="0" customHeight="1">
      <x:c r="A2081" s="29" t="str">
        <x:v>SCA-17</x:v>
      </x:c>
      <x:c r="B2081" s="29" t="str">
        <x:v>SCA-25</x:v>
      </x:c>
      <x:c r="C2081" s="29" t="str">
        <x:v>Road</x:v>
      </x:c>
      <x:c r="D2081" s="29" t="str">
        <x:v>YES</x:v>
      </x:c>
      <x:c r="E2081" s="29" t="str">
        <x:v>YES</x:v>
      </x:c>
      <x:c r="F2081" s="62" t="n">
        <x:v>1764.3731983322682</x:v>
      </x:c>
      <x:c r="G2081" s="62" t="n">
        <x:v>52.07951269695033</x:v>
      </x:c>
      <x:c r="H2081" s="29" t="str">
        <x:v>YES</x:v>
      </x:c>
      <x:c r="I2081" s="29" t="str">
        <x:v>NHPN-gated shared-boundary SCA path</x:v>
      </x:c>
      <x:c r="J2081" s="29" t="str">
        <x:v>presence does not prove operability or capacity</x:v>
      </x:c>
    </x:row>
    <x:row r="2082" ht="64.80000305175781" hidden="0" customHeight="1">
      <x:c r="A2082" s="27" t="str">
        <x:v>SCA-17</x:v>
      </x:c>
      <x:c r="B2082" s="27" t="str">
        <x:v>SCA-25</x:v>
      </x:c>
      <x:c r="C2082" s="27" t="str">
        <x:v>Rail</x:v>
      </x:c>
      <x:c r="D2082" s="27" t="str">
        <x:v>YES</x:v>
      </x:c>
      <x:c r="E2082" s="27" t="str">
        <x:v>YES</x:v>
      </x:c>
      <x:c r="F2082" s="61" t="n">
        <x:v>1871.7698277959714</x:v>
      </x:c>
      <x:c r="G2082" s="61" t="n">
        <x:v>52.73956896851388</x:v>
      </x:c>
      <x:c r="H2082" s="27" t="str">
        <x:v>YES</x:v>
      </x:c>
      <x:c r="I2082" s="27" t="str">
        <x:v>NARN shared-node topology; deployable terminal required</x:v>
      </x:c>
      <x:c r="J2082" s="27" t="str">
        <x:v>presence does not prove operability or capacity</x:v>
      </x:c>
    </x:row>
    <x:row r="2083" ht="54" hidden="0" customHeight="1">
      <x:c r="A2083" s="29" t="str">
        <x:v>SCA-17</x:v>
      </x:c>
      <x:c r="B2083" s="29" t="str">
        <x:v>SCA-25</x:v>
      </x:c>
      <x:c r="C2083" s="29" t="str">
        <x:v>Air</x:v>
      </x:c>
      <x:c r="D2083" s="29" t="str">
        <x:v>YES</x:v>
      </x:c>
      <x:c r="E2083" s="29" t="str">
        <x:v>YES</x:v>
      </x:c>
      <x:c r="F2083" s="62" t="n">
        <x:v>1167.91927649809</x:v>
      </x:c>
      <x:c r="G2083" s="62" t="n">
        <x:v>25.79679888692014</x:v>
      </x:c>
      <x:c r="H2083" s="29" t="str">
        <x:v>YES</x:v>
      </x:c>
      <x:c r="I2083" s="29" t="str">
        <x:v>primary-airport endpoints; great-circle screen</x:v>
      </x:c>
      <x:c r="J2083" s="29" t="str">
        <x:v>presence does not prove operability or capacity</x:v>
      </x:c>
    </x:row>
    <x:row r="2084" ht="75.5999984741211" hidden="0" customHeight="1">
      <x:c r="A2084" s="27" t="str">
        <x:v>SCA-17</x:v>
      </x:c>
      <x:c r="B2084" s="27" t="str">
        <x:v>SCA-25</x:v>
      </x:c>
      <x:c r="C2084" s="27" t="str">
        <x:v>Water</x:v>
      </x:c>
      <x:c r="D2084" s="27" t="str">
        <x:v>YES</x:v>
      </x:c>
      <x:c r="E2084" s="27" t="str">
        <x:v>YES</x:v>
      </x:c>
      <x:c r="F2084" s="61" t="n">
        <x:v>1845.3277453008634</x:v>
      </x:c>
      <x:c r="G2084" s="61" t="n">
        <x:v>82.72364986573896</x:v>
      </x:c>
      <x:c r="H2084" s="27" t="str">
        <x:v>NO</x:v>
      </x:c>
      <x:c r="I2084" s="27" t="str">
        <x:v>USACE waterway node topology; deployable terminal required</x:v>
      </x:c>
      <x:c r="J2084" s="27" t="str">
        <x:v>presence does not prove operability or capacity</x:v>
      </x:c>
    </x:row>
    <x:row r="2085" ht="54" hidden="0" customHeight="1">
      <x:c r="A2085" s="29" t="str">
        <x:v>SCA-17</x:v>
      </x:c>
      <x:c r="B2085" s="29" t="str">
        <x:v>SCA-26</x:v>
      </x:c>
      <x:c r="C2085" s="29" t="str">
        <x:v>Road</x:v>
      </x:c>
      <x:c r="D2085" s="29" t="str">
        <x:v>YES</x:v>
      </x:c>
      <x:c r="E2085" s="29" t="str">
        <x:v>YES</x:v>
      </x:c>
      <x:c r="F2085" s="62" t="n">
        <x:v>2092.8726540970906</x:v>
      </x:c>
      <x:c r="G2085" s="62" t="n">
        <x:v>58.052230074492556</x:v>
      </x:c>
      <x:c r="H2085" s="29" t="str">
        <x:v>YES</x:v>
      </x:c>
      <x:c r="I2085" s="29" t="str">
        <x:v>NHPN-gated shared-boundary SCA path</x:v>
      </x:c>
      <x:c r="J2085" s="29" t="str">
        <x:v>presence does not prove operability or capacity</x:v>
      </x:c>
    </x:row>
    <x:row r="2086" ht="64.80000305175781" hidden="0" customHeight="1">
      <x:c r="A2086" s="27" t="str">
        <x:v>SCA-17</x:v>
      </x:c>
      <x:c r="B2086" s="27" t="str">
        <x:v>SCA-26</x:v>
      </x:c>
      <x:c r="C2086" s="27" t="str">
        <x:v>Rail</x:v>
      </x:c>
      <x:c r="D2086" s="27" t="str">
        <x:v>YES</x:v>
      </x:c>
      <x:c r="E2086" s="27" t="str">
        <x:v>YES</x:v>
      </x:c>
      <x:c r="F2086" s="61" t="n">
        <x:v>2220.2649026073477</x:v>
      </x:c>
      <x:c r="G2086" s="61" t="n">
        <x:v>57.71807003724783</x:v>
      </x:c>
      <x:c r="H2086" s="27" t="str">
        <x:v>YES</x:v>
      </x:c>
      <x:c r="I2086" s="27" t="str">
        <x:v>NARN shared-node topology; deployable terminal required</x:v>
      </x:c>
      <x:c r="J2086" s="27" t="str">
        <x:v>presence does not prove operability or capacity</x:v>
      </x:c>
    </x:row>
    <x:row r="2087" ht="54" hidden="0" customHeight="1">
      <x:c r="A2087" s="29" t="str">
        <x:v>SCA-17</x:v>
      </x:c>
      <x:c r="B2087" s="29" t="str">
        <x:v>SCA-26</x:v>
      </x:c>
      <x:c r="C2087" s="29" t="str">
        <x:v>Air</x:v>
      </x:c>
      <x:c r="D2087" s="29" t="str">
        <x:v>YES</x:v>
      </x:c>
      <x:c r="E2087" s="29" t="str">
        <x:v>YES</x:v>
      </x:c>
      <x:c r="F2087" s="62" t="n">
        <x:v>1224.2090946121648</x:v>
      </x:c>
      <x:c r="G2087" s="62" t="n">
        <x:v>25.88339860709564</x:v>
      </x:c>
      <x:c r="H2087" s="29" t="str">
        <x:v>YES</x:v>
      </x:c>
      <x:c r="I2087" s="29" t="str">
        <x:v>primary-airport endpoints; great-circle screen</x:v>
      </x:c>
      <x:c r="J2087" s="29" t="str">
        <x:v>presence does not prove operability or capacity</x:v>
      </x:c>
    </x:row>
    <x:row r="2088" ht="75.5999984741211" hidden="0" customHeight="1">
      <x:c r="A2088" s="27" t="str">
        <x:v>SCA-17</x:v>
      </x:c>
      <x:c r="B2088" s="27" t="str">
        <x:v>SCA-26</x:v>
      </x:c>
      <x:c r="C2088" s="27" t="str">
        <x:v>Water</x:v>
      </x:c>
      <x:c r="D2088" s="27" t="str">
        <x:v>YES</x:v>
      </x:c>
      <x:c r="E2088" s="27" t="str">
        <x:v>YES</x:v>
      </x:c>
      <x:c r="F2088" s="61" t="n">
        <x:v>1566.987641103571</x:v>
      </x:c>
      <x:c r="G2088" s="61" t="n">
        <x:v>74.77107546010203</x:v>
      </x:c>
      <x:c r="H2088" s="27" t="str">
        <x:v>NO</x:v>
      </x:c>
      <x:c r="I2088" s="27" t="str">
        <x:v>USACE waterway node topology; deployable terminal required</x:v>
      </x:c>
      <x:c r="J2088" s="27" t="str">
        <x:v>presence does not prove operability or capacity</x:v>
      </x:c>
    </x:row>
    <x:row r="2089" ht="54" hidden="0" customHeight="1">
      <x:c r="A2089" s="29" t="str">
        <x:v>SCA-17</x:v>
      </x:c>
      <x:c r="B2089" s="29" t="str">
        <x:v>SCA-27</x:v>
      </x:c>
      <x:c r="C2089" s="29" t="str">
        <x:v>Road</x:v>
      </x:c>
      <x:c r="D2089" s="29" t="str">
        <x:v>YES</x:v>
      </x:c>
      <x:c r="E2089" s="29" t="str">
        <x:v>YES</x:v>
      </x:c>
      <x:c r="F2089" s="62" t="n">
        <x:v>2372.500918216639</x:v>
      </x:c>
      <x:c r="G2089" s="62" t="n">
        <x:v>63.13638033121162</x:v>
      </x:c>
      <x:c r="H2089" s="29" t="str">
        <x:v>YES</x:v>
      </x:c>
      <x:c r="I2089" s="29" t="str">
        <x:v>NHPN-gated shared-boundary SCA path</x:v>
      </x:c>
      <x:c r="J2089" s="29" t="str">
        <x:v>presence does not prove operability or capacity</x:v>
      </x:c>
    </x:row>
    <x:row r="2090" ht="64.80000305175781" hidden="0" customHeight="1">
      <x:c r="A2090" s="27" t="str">
        <x:v>SCA-17</x:v>
      </x:c>
      <x:c r="B2090" s="27" t="str">
        <x:v>SCA-27</x:v>
      </x:c>
      <x:c r="C2090" s="27" t="str">
        <x:v>Rail</x:v>
      </x:c>
      <x:c r="D2090" s="27" t="str">
        <x:v>YES</x:v>
      </x:c>
      <x:c r="E2090" s="27" t="str">
        <x:v>YES</x:v>
      </x:c>
      <x:c r="F2090" s="61" t="n">
        <x:v>2516.9140175863477</x:v>
      </x:c>
      <x:c r="G2090" s="61" t="n">
        <x:v>61.95591453694782</x:v>
      </x:c>
      <x:c r="H2090" s="27" t="str">
        <x:v>YES</x:v>
      </x:c>
      <x:c r="I2090" s="27" t="str">
        <x:v>NARN shared-node topology; deployable terminal required</x:v>
      </x:c>
      <x:c r="J2090" s="27" t="str">
        <x:v>presence does not prove operability or capacity</x:v>
      </x:c>
    </x:row>
    <x:row r="2091" ht="54" hidden="0" customHeight="1">
      <x:c r="A2091" s="29" t="str">
        <x:v>SCA-17</x:v>
      </x:c>
      <x:c r="B2091" s="29" t="str">
        <x:v>SCA-27</x:v>
      </x:c>
      <x:c r="C2091" s="29" t="str">
        <x:v>Air</x:v>
      </x:c>
      <x:c r="D2091" s="29" t="str">
        <x:v>YES</x:v>
      </x:c>
      <x:c r="E2091" s="29" t="str">
        <x:v>YES</x:v>
      </x:c>
      <x:c r="F2091" s="62" t="n">
        <x:v>1412.2639796016024</x:v>
      </x:c>
      <x:c r="G2091" s="62" t="n">
        <x:v>26.172713814771697</x:v>
      </x:c>
      <x:c r="H2091" s="29" t="str">
        <x:v>YES</x:v>
      </x:c>
      <x:c r="I2091" s="29" t="str">
        <x:v>primary-airport endpoints; great-circle screen</x:v>
      </x:c>
      <x:c r="J2091" s="29" t="str">
        <x:v>presence does not prove operability or capacity</x:v>
      </x:c>
    </x:row>
    <x:row r="2092" ht="75.5999984741211" hidden="0" customHeight="1">
      <x:c r="A2092" s="27" t="str">
        <x:v>SCA-17</x:v>
      </x:c>
      <x:c r="B2092" s="27" t="str">
        <x:v>SCA-27</x:v>
      </x:c>
      <x:c r="C2092" s="27" t="str">
        <x:v>Water</x:v>
      </x:c>
      <x:c r="D2092" s="27" t="str">
        <x:v>YES</x:v>
      </x:c>
      <x:c r="E2092" s="27" t="str">
        <x:v>YES</x:v>
      </x:c>
      <x:c r="F2092" s="61" t="n">
        <x:v>1807.697893890051</x:v>
      </x:c>
      <x:c r="G2092" s="61" t="n">
        <x:v>81.64851125400146</x:v>
      </x:c>
      <x:c r="H2092" s="27" t="str">
        <x:v>NO</x:v>
      </x:c>
      <x:c r="I2092" s="27" t="str">
        <x:v>USACE waterway node topology; deployable terminal required</x:v>
      </x:c>
      <x:c r="J2092" s="27" t="str">
        <x:v>presence does not prove operability or capacity</x:v>
      </x:c>
    </x:row>
    <x:row r="2093" ht="54" hidden="0" customHeight="1">
      <x:c r="A2093" s="29" t="str">
        <x:v>SCA-17</x:v>
      </x:c>
      <x:c r="B2093" s="29" t="str">
        <x:v>SCA-28</x:v>
      </x:c>
      <x:c r="C2093" s="29" t="str">
        <x:v>Road</x:v>
      </x:c>
      <x:c r="D2093" s="29" t="str">
        <x:v>YES</x:v>
      </x:c>
      <x:c r="E2093" s="29" t="str">
        <x:v>YES</x:v>
      </x:c>
      <x:c r="F2093" s="62" t="n">
        <x:v>2064.4348808692075</x:v>
      </x:c>
      <x:c r="G2093" s="62" t="n">
        <x:v>57.53517965216741</x:v>
      </x:c>
      <x:c r="H2093" s="29" t="str">
        <x:v>YES</x:v>
      </x:c>
      <x:c r="I2093" s="29" t="str">
        <x:v>NHPN-gated shared-boundary SCA path</x:v>
      </x:c>
      <x:c r="J2093" s="29" t="str">
        <x:v>presence does not prove operability or capacity</x:v>
      </x:c>
    </x:row>
    <x:row r="2094" ht="64.80000305175781" hidden="0" customHeight="1">
      <x:c r="A2094" s="27" t="str">
        <x:v>SCA-17</x:v>
      </x:c>
      <x:c r="B2094" s="27" t="str">
        <x:v>SCA-28</x:v>
      </x:c>
      <x:c r="C2094" s="27" t="str">
        <x:v>Rail</x:v>
      </x:c>
      <x:c r="D2094" s="27" t="str">
        <x:v>YES</x:v>
      </x:c>
      <x:c r="E2094" s="27" t="str">
        <x:v>YES</x:v>
      </x:c>
      <x:c r="F2094" s="61" t="n">
        <x:v>2190.096134487333</x:v>
      </x:c>
      <x:c r="G2094" s="61" t="n">
        <x:v>57.287087635533325</x:v>
      </x:c>
      <x:c r="H2094" s="27" t="str">
        <x:v>YES</x:v>
      </x:c>
      <x:c r="I2094" s="27" t="str">
        <x:v>NARN shared-node topology; deployable terminal required</x:v>
      </x:c>
      <x:c r="J2094" s="27" t="str">
        <x:v>presence does not prove operability or capacity</x:v>
      </x:c>
    </x:row>
    <x:row r="2095" ht="54" hidden="0" customHeight="1">
      <x:c r="A2095" s="29" t="str">
        <x:v>SCA-17</x:v>
      </x:c>
      <x:c r="B2095" s="29" t="str">
        <x:v>SCA-28</x:v>
      </x:c>
      <x:c r="C2095" s="29" t="str">
        <x:v>Air</x:v>
      </x:c>
      <x:c r="D2095" s="29" t="str">
        <x:v>YES</x:v>
      </x:c>
      <x:c r="E2095" s="29" t="str">
        <x:v>YES</x:v>
      </x:c>
      <x:c r="F2095" s="62" t="n">
        <x:v>1769.4475900277816</x:v>
      </x:c>
      <x:c r="G2095" s="62" t="n">
        <x:v>26.7222270615812</x:v>
      </x:c>
      <x:c r="H2095" s="29" t="str">
        <x:v>YES</x:v>
      </x:c>
      <x:c r="I2095" s="29" t="str">
        <x:v>primary-airport endpoints; great-circle screen</x:v>
      </x:c>
      <x:c r="J2095" s="29" t="str">
        <x:v>presence does not prove operability or capacity</x:v>
      </x:c>
    </x:row>
    <x:row r="2096" ht="75.5999984741211" hidden="0" customHeight="1">
      <x:c r="A2096" s="27" t="str">
        <x:v>SCA-17</x:v>
      </x:c>
      <x:c r="B2096" s="27" t="str">
        <x:v>SCA-28</x:v>
      </x:c>
      <x:c r="C2096" s="27" t="str">
        <x:v>Water</x:v>
      </x:c>
      <x:c r="D2096" s="27" t="str">
        <x:v>YES</x:v>
      </x:c>
      <x:c r="E2096" s="27" t="str">
        <x:v>YES</x:v>
      </x:c>
      <x:c r="F2096" s="61" t="n">
        <x:v>2297.8057804457267</x:v>
      </x:c>
      <x:c r="G2096" s="61" t="n">
        <x:v>95.65159372702077</x:v>
      </x:c>
      <x:c r="H2096" s="27" t="str">
        <x:v>NO</x:v>
      </x:c>
      <x:c r="I2096" s="27" t="str">
        <x:v>USACE waterway node topology; deployable terminal required</x:v>
      </x:c>
      <x:c r="J2096" s="27" t="str">
        <x:v>presence does not prove operability or capacity</x:v>
      </x:c>
    </x:row>
    <x:row r="2097" ht="54" hidden="0" customHeight="1">
      <x:c r="A2097" s="29" t="str">
        <x:v>SCA-17</x:v>
      </x:c>
      <x:c r="B2097" s="29" t="str">
        <x:v>SCA-29</x:v>
      </x:c>
      <x:c r="C2097" s="29" t="str">
        <x:v>Road</x:v>
      </x:c>
      <x:c r="D2097" s="29" t="str">
        <x:v>YES</x:v>
      </x:c>
      <x:c r="E2097" s="29" t="str">
        <x:v>YES</x:v>
      </x:c>
      <x:c r="F2097" s="62" t="n">
        <x:v>1905.243967435878</x:v>
      </x:c>
      <x:c r="G2097" s="62" t="n">
        <x:v>54.64079940792505</x:v>
      </x:c>
      <x:c r="H2097" s="29" t="str">
        <x:v>YES</x:v>
      </x:c>
      <x:c r="I2097" s="29" t="str">
        <x:v>NHPN-gated shared-boundary SCA path</x:v>
      </x:c>
      <x:c r="J2097" s="29" t="str">
        <x:v>presence does not prove operability or capacity</x:v>
      </x:c>
    </x:row>
    <x:row r="2098" ht="64.80000305175781" hidden="0" customHeight="1">
      <x:c r="A2098" s="27" t="str">
        <x:v>SCA-17</x:v>
      </x:c>
      <x:c r="B2098" s="27" t="str">
        <x:v>SCA-29</x:v>
      </x:c>
      <x:c r="C2098" s="27" t="str">
        <x:v>Rail</x:v>
      </x:c>
      <x:c r="D2098" s="27" t="str">
        <x:v>YES</x:v>
      </x:c>
      <x:c r="E2098" s="27" t="str">
        <x:v>YES</x:v>
      </x:c>
      <x:c r="F2098" s="61" t="n">
        <x:v>2021.2153393667572</x:v>
      </x:c>
      <x:c r="G2098" s="61" t="n">
        <x:v>54.874504848096535</x:v>
      </x:c>
      <x:c r="H2098" s="27" t="str">
        <x:v>YES</x:v>
      </x:c>
      <x:c r="I2098" s="27" t="str">
        <x:v>NARN shared-node topology; deployable terminal required</x:v>
      </x:c>
      <x:c r="J2098" s="27" t="str">
        <x:v>presence does not prove operability or capacity</x:v>
      </x:c>
    </x:row>
    <x:row r="2099" ht="54" hidden="0" customHeight="1">
      <x:c r="A2099" s="29" t="str">
        <x:v>SCA-17</x:v>
      </x:c>
      <x:c r="B2099" s="29" t="str">
        <x:v>SCA-29</x:v>
      </x:c>
      <x:c r="C2099" s="29" t="str">
        <x:v>Air</x:v>
      </x:c>
      <x:c r="D2099" s="29" t="str">
        <x:v>YES</x:v>
      </x:c>
      <x:c r="E2099" s="29" t="str">
        <x:v>YES</x:v>
      </x:c>
      <x:c r="F2099" s="62" t="n">
        <x:v>1556.2357297824017</x:v>
      </x:c>
      <x:c r="G2099" s="62" t="n">
        <x:v>26.39420881504985</x:v>
      </x:c>
      <x:c r="H2099" s="29" t="str">
        <x:v>YES</x:v>
      </x:c>
      <x:c r="I2099" s="29" t="str">
        <x:v>primary-airport endpoints; great-circle screen</x:v>
      </x:c>
      <x:c r="J2099" s="29" t="str">
        <x:v>presence does not prove operability or capacity</x:v>
      </x:c>
    </x:row>
    <x:row r="2100" ht="75.5999984741211" hidden="0" customHeight="1">
      <x:c r="A2100" s="27" t="str">
        <x:v>SCA-17</x:v>
      </x:c>
      <x:c r="B2100" s="27" t="str">
        <x:v>SCA-29</x:v>
      </x:c>
      <x:c r="C2100" s="27" t="str">
        <x:v>Water</x:v>
      </x:c>
      <x:c r="D2100" s="27" t="str">
        <x:v>YES</x:v>
      </x:c>
      <x:c r="E2100" s="27" t="str">
        <x:v>YES</x:v>
      </x:c>
      <x:c r="F2100" s="61" t="n">
        <x:v>2378.93279200725</x:v>
      </x:c>
      <x:c r="G2100" s="61" t="n">
        <x:v>97.96950834306429</x:v>
      </x:c>
      <x:c r="H2100" s="27" t="str">
        <x:v>NO</x:v>
      </x:c>
      <x:c r="I2100" s="27" t="str">
        <x:v>USACE waterway node topology; deployable terminal required</x:v>
      </x:c>
      <x:c r="J2100" s="27" t="str">
        <x:v>presence does not prove operability or capacity</x:v>
      </x:c>
    </x:row>
    <x:row r="2101" ht="54" hidden="0" customHeight="1">
      <x:c r="A2101" s="29" t="str">
        <x:v>SCA-17</x:v>
      </x:c>
      <x:c r="B2101" s="29" t="str">
        <x:v>SCA-30</x:v>
      </x:c>
      <x:c r="C2101" s="29" t="str">
        <x:v>Road</x:v>
      </x:c>
      <x:c r="D2101" s="29" t="str">
        <x:v>YES</x:v>
      </x:c>
      <x:c r="E2101" s="29" t="str">
        <x:v>YES</x:v>
      </x:c>
      <x:c r="F2101" s="62" t="n">
        <x:v>2527.9985968004476</x:v>
      </x:c>
      <x:c r="G2101" s="62" t="n">
        <x:v>65.96361085091723</x:v>
      </x:c>
      <x:c r="H2101" s="29" t="str">
        <x:v>YES</x:v>
      </x:c>
      <x:c r="I2101" s="29" t="str">
        <x:v>NHPN-gated shared-boundary SCA path</x:v>
      </x:c>
      <x:c r="J2101" s="29" t="str">
        <x:v>presence does not prove operability or capacity</x:v>
      </x:c>
    </x:row>
    <x:row r="2102" ht="64.80000305175781" hidden="0" customHeight="1">
      <x:c r="A2102" s="27" t="str">
        <x:v>SCA-17</x:v>
      </x:c>
      <x:c r="B2102" s="27" t="str">
        <x:v>SCA-30</x:v>
      </x:c>
      <x:c r="C2102" s="27" t="str">
        <x:v>Rail</x:v>
      </x:c>
      <x:c r="D2102" s="27" t="str">
        <x:v>YES</x:v>
      </x:c>
      <x:c r="E2102" s="27" t="str">
        <x:v>YES</x:v>
      </x:c>
      <x:c r="F2102" s="61" t="n">
        <x:v>2681.876772257866</x:v>
      </x:c>
      <x:c r="G2102" s="61" t="n">
        <x:v>64.31252531796952</x:v>
      </x:c>
      <x:c r="H2102" s="27" t="str">
        <x:v>YES</x:v>
      </x:c>
      <x:c r="I2102" s="27" t="str">
        <x:v>NARN shared-node topology; deployable terminal required</x:v>
      </x:c>
      <x:c r="J2102" s="27" t="str">
        <x:v>presence does not prove operability or capacity</x:v>
      </x:c>
    </x:row>
    <x:row r="2103" ht="54" hidden="0" customHeight="1">
      <x:c r="A2103" s="29" t="str">
        <x:v>SCA-17</x:v>
      </x:c>
      <x:c r="B2103" s="29" t="str">
        <x:v>SCA-30</x:v>
      </x:c>
      <x:c r="C2103" s="29" t="str">
        <x:v>Air</x:v>
      </x:c>
      <x:c r="D2103" s="29" t="str">
        <x:v>YES</x:v>
      </x:c>
      <x:c r="E2103" s="29" t="str">
        <x:v>YES</x:v>
      </x:c>
      <x:c r="F2103" s="62" t="n">
        <x:v>2125.6989463565073</x:v>
      </x:c>
      <x:c r="G2103" s="62" t="n">
        <x:v>27.270306071317705</x:v>
      </x:c>
      <x:c r="H2103" s="29" t="str">
        <x:v>YES</x:v>
      </x:c>
      <x:c r="I2103" s="29" t="str">
        <x:v>primary-airport endpoints; great-circle screen</x:v>
      </x:c>
      <x:c r="J2103" s="29" t="str">
        <x:v>presence does not prove operability or capacity</x:v>
      </x:c>
    </x:row>
    <x:row r="2104" ht="75.5999984741211" hidden="0" customHeight="1">
      <x:c r="A2104" s="27" t="str">
        <x:v>SCA-17</x:v>
      </x:c>
      <x:c r="B2104" s="27" t="str">
        <x:v>SCA-30</x:v>
      </x:c>
      <x:c r="C2104" s="27" t="str">
        <x:v>Water</x:v>
      </x:c>
      <x:c r="D2104" s="27" t="str">
        <x:v>YES</x:v>
      </x:c>
      <x:c r="E2104" s="27" t="str">
        <x:v>YES</x:v>
      </x:c>
      <x:c r="F2104" s="61" t="n">
        <x:v>2813.772351221368</x:v>
      </x:c>
      <x:c r="G2104" s="61" t="n">
        <x:v>110.39349574918194</x:v>
      </x:c>
      <x:c r="H2104" s="27" t="str">
        <x:v>NO</x:v>
      </x:c>
      <x:c r="I2104" s="27" t="str">
        <x:v>USACE waterway node topology; deployable terminal required</x:v>
      </x:c>
      <x:c r="J2104" s="27" t="str">
        <x:v>presence does not prove operability or capacity</x:v>
      </x:c>
    </x:row>
    <x:row r="2105" ht="54" hidden="0" customHeight="1">
      <x:c r="A2105" s="29" t="str">
        <x:v>SCA-17</x:v>
      </x:c>
      <x:c r="B2105" s="29" t="str">
        <x:v>SCA-31</x:v>
      </x:c>
      <x:c r="C2105" s="29" t="str">
        <x:v>Road</x:v>
      </x:c>
      <x:c r="D2105" s="29" t="str">
        <x:v>YES</x:v>
      </x:c>
      <x:c r="E2105" s="29" t="str">
        <x:v>YES</x:v>
      </x:c>
      <x:c r="F2105" s="62" t="n">
        <x:v>2921.080741986954</x:v>
      </x:c>
      <x:c r="G2105" s="62" t="n">
        <x:v>73.11055894521735</x:v>
      </x:c>
      <x:c r="H2105" s="29" t="str">
        <x:v>NO</x:v>
      </x:c>
      <x:c r="I2105" s="29" t="str">
        <x:v>NHPN-gated shared-boundary SCA path</x:v>
      </x:c>
      <x:c r="J2105" s="29" t="str">
        <x:v>presence does not prove operability or capacity</x:v>
      </x:c>
    </x:row>
    <x:row r="2106" ht="64.80000305175781" hidden="0" customHeight="1">
      <x:c r="A2106" s="27" t="str">
        <x:v>SCA-17</x:v>
      </x:c>
      <x:c r="B2106" s="27" t="str">
        <x:v>SCA-31</x:v>
      </x:c>
      <x:c r="C2106" s="27" t="str">
        <x:v>Rail</x:v>
      </x:c>
      <x:c r="D2106" s="27" t="str">
        <x:v>YES</x:v>
      </x:c>
      <x:c r="E2106" s="27" t="str">
        <x:v>YES</x:v>
      </x:c>
      <x:c r="F2106" s="61" t="n">
        <x:v>3098.885656716594</x:v>
      </x:c>
      <x:c r="G2106" s="61" t="n">
        <x:v>70.26979509595134</x:v>
      </x:c>
      <x:c r="H2106" s="27" t="str">
        <x:v>YES</x:v>
      </x:c>
      <x:c r="I2106" s="27" t="str">
        <x:v>NARN shared-node topology; deployable terminal required</x:v>
      </x:c>
      <x:c r="J2106" s="27" t="str">
        <x:v>presence does not prove operability or capacity</x:v>
      </x:c>
    </x:row>
    <x:row r="2107" ht="54" hidden="0" customHeight="1">
      <x:c r="A2107" s="29" t="str">
        <x:v>SCA-17</x:v>
      </x:c>
      <x:c r="B2107" s="29" t="str">
        <x:v>SCA-31</x:v>
      </x:c>
      <x:c r="C2107" s="29" t="str">
        <x:v>Air</x:v>
      </x:c>
      <x:c r="D2107" s="29" t="str">
        <x:v>YES</x:v>
      </x:c>
      <x:c r="E2107" s="29" t="str">
        <x:v>YES</x:v>
      </x:c>
      <x:c r="F2107" s="62" t="n">
        <x:v>2455.838217390411</x:v>
      </x:c>
      <x:c r="G2107" s="62" t="n">
        <x:v>27.778212642139096</x:v>
      </x:c>
      <x:c r="H2107" s="29" t="str">
        <x:v>YES</x:v>
      </x:c>
      <x:c r="I2107" s="29" t="str">
        <x:v>primary-airport endpoints; great-circle screen</x:v>
      </x:c>
      <x:c r="J2107" s="29" t="str">
        <x:v>presence does not prove operability or capacity</x:v>
      </x:c>
    </x:row>
    <x:row r="2108" ht="75.5999984741211" hidden="0" customHeight="1">
      <x:c r="A2108" s="27" t="str">
        <x:v>SCA-17</x:v>
      </x:c>
      <x:c r="B2108" s="27" t="str">
        <x:v>SCA-31</x:v>
      </x:c>
      <x:c r="C2108" s="27" t="str">
        <x:v>Water</x:v>
      </x:c>
      <x:c r="D2108" s="27" t="str">
        <x:v>YES</x:v>
      </x:c>
      <x:c r="E2108" s="27" t="str">
        <x:v>YES</x:v>
      </x:c>
      <x:c r="F2108" s="61" t="n">
        <x:v>3251.2898693420007</x:v>
      </x:c>
      <x:c r="G2108" s="61" t="n">
        <x:v>122.8939962669143</x:v>
      </x:c>
      <x:c r="H2108" s="27" t="str">
        <x:v>NO</x:v>
      </x:c>
      <x:c r="I2108" s="27" t="str">
        <x:v>USACE waterway node topology; deployable terminal required</x:v>
      </x:c>
      <x:c r="J2108" s="27" t="str">
        <x:v>presence does not prove operability or capacity</x:v>
      </x:c>
    </x:row>
    <x:row r="2109" ht="54" hidden="0" customHeight="1">
      <x:c r="A2109" s="29" t="str">
        <x:v>SCA-17</x:v>
      </x:c>
      <x:c r="B2109" s="29" t="str">
        <x:v>SCA-32</x:v>
      </x:c>
      <x:c r="C2109" s="29" t="str">
        <x:v>Road</x:v>
      </x:c>
      <x:c r="D2109" s="29" t="str">
        <x:v>NO</x:v>
      </x:c>
      <x:c r="E2109" s="29" t="str">
        <x:v>NO</x:v>
      </x:c>
      <x:c r="F2109" s="62"/>
      <x:c r="G2109" s="62"/>
      <x:c r="H2109" s="29" t="str">
        <x:v>NO</x:v>
      </x:c>
      <x:c r="I2109" s="29" t="str">
        <x:v>no screened path</x:v>
      </x:c>
      <x:c r="J2109" s="29" t="str">
        <x:v>presence does not prove operability or capacity</x:v>
      </x:c>
    </x:row>
    <x:row r="2110" ht="54" hidden="0" customHeight="1">
      <x:c r="A2110" s="27" t="str">
        <x:v>SCA-17</x:v>
      </x:c>
      <x:c r="B2110" s="27" t="str">
        <x:v>SCA-32</x:v>
      </x:c>
      <x:c r="C2110" s="27" t="str">
        <x:v>Rail</x:v>
      </x:c>
      <x:c r="D2110" s="27" t="str">
        <x:v>NO</x:v>
      </x:c>
      <x:c r="E2110" s="27" t="str">
        <x:v>NO</x:v>
      </x:c>
      <x:c r="F2110" s="61"/>
      <x:c r="G2110" s="61"/>
      <x:c r="H2110" s="27" t="str">
        <x:v>NO</x:v>
      </x:c>
      <x:c r="I2110" s="27" t="str">
        <x:v>no screened path</x:v>
      </x:c>
      <x:c r="J2110" s="27" t="str">
        <x:v>presence does not prove operability or capacity</x:v>
      </x:c>
    </x:row>
    <x:row r="2111" ht="54" hidden="0" customHeight="1">
      <x:c r="A2111" s="29" t="str">
        <x:v>SCA-17</x:v>
      </x:c>
      <x:c r="B2111" s="29" t="str">
        <x:v>SCA-32</x:v>
      </x:c>
      <x:c r="C2111" s="29" t="str">
        <x:v>Air</x:v>
      </x:c>
      <x:c r="D2111" s="29" t="str">
        <x:v>YES</x:v>
      </x:c>
      <x:c r="E2111" s="29" t="str">
        <x:v>YES</x:v>
      </x:c>
      <x:c r="F2111" s="62" t="n">
        <x:v>3105.2939556065708</x:v>
      </x:c>
      <x:c r="G2111" s="62" t="n">
        <x:v>28.7773753163178</x:v>
      </x:c>
      <x:c r="H2111" s="29" t="str">
        <x:v>YES</x:v>
      </x:c>
      <x:c r="I2111" s="29" t="str">
        <x:v>primary-airport endpoints; great-circle screen</x:v>
      </x:c>
      <x:c r="J2111" s="29" t="str">
        <x:v>presence does not prove operability or capacity</x:v>
      </x:c>
    </x:row>
    <x:row r="2112" ht="75.5999984741211" hidden="0" customHeight="1">
      <x:c r="A2112" s="27" t="str">
        <x:v>SCA-17</x:v>
      </x:c>
      <x:c r="B2112" s="27" t="str">
        <x:v>SCA-32</x:v>
      </x:c>
      <x:c r="C2112" s="27" t="str">
        <x:v>Water</x:v>
      </x:c>
      <x:c r="D2112" s="27" t="str">
        <x:v>YES</x:v>
      </x:c>
      <x:c r="E2112" s="27" t="str">
        <x:v>YES</x:v>
      </x:c>
      <x:c r="F2112" s="61" t="n">
        <x:v>3982.980539312265</x:v>
      </x:c>
      <x:c r="G2112" s="61" t="n">
        <x:v>143.79944398035042</x:v>
      </x:c>
      <x:c r="H2112" s="27" t="str">
        <x:v>NO</x:v>
      </x:c>
      <x:c r="I2112" s="27" t="str">
        <x:v>USACE waterway node topology; deployable terminal required</x:v>
      </x:c>
      <x:c r="J2112" s="27" t="str">
        <x:v>presence does not prove operability or capacity</x:v>
      </x:c>
    </x:row>
    <x:row r="2113" ht="54" hidden="0" customHeight="1">
      <x:c r="A2113" s="29" t="str">
        <x:v>SCA-18</x:v>
      </x:c>
      <x:c r="B2113" s="29" t="str">
        <x:v>SCA-01</x:v>
      </x:c>
      <x:c r="C2113" s="29" t="str">
        <x:v>Road</x:v>
      </x:c>
      <x:c r="D2113" s="29" t="str">
        <x:v>NO</x:v>
      </x:c>
      <x:c r="E2113" s="29" t="str">
        <x:v>NO</x:v>
      </x:c>
      <x:c r="F2113" s="62"/>
      <x:c r="G2113" s="62"/>
      <x:c r="H2113" s="29" t="str">
        <x:v>NO</x:v>
      </x:c>
      <x:c r="I2113" s="29" t="str">
        <x:v>no screened path</x:v>
      </x:c>
      <x:c r="J2113" s="29" t="str">
        <x:v>presence does not prove operability or capacity</x:v>
      </x:c>
    </x:row>
    <x:row r="2114" ht="54" hidden="0" customHeight="1">
      <x:c r="A2114" s="27" t="str">
        <x:v>SCA-18</x:v>
      </x:c>
      <x:c r="B2114" s="27" t="str">
        <x:v>SCA-01</x:v>
      </x:c>
      <x:c r="C2114" s="27" t="str">
        <x:v>Rail</x:v>
      </x:c>
      <x:c r="D2114" s="27" t="str">
        <x:v>NO</x:v>
      </x:c>
      <x:c r="E2114" s="27" t="str">
        <x:v>NO</x:v>
      </x:c>
      <x:c r="F2114" s="61"/>
      <x:c r="G2114" s="61"/>
      <x:c r="H2114" s="27" t="str">
        <x:v>NO</x:v>
      </x:c>
      <x:c r="I2114" s="27" t="str">
        <x:v>no screened path</x:v>
      </x:c>
      <x:c r="J2114" s="27" t="str">
        <x:v>presence does not prove operability or capacity</x:v>
      </x:c>
    </x:row>
    <x:row r="2115" ht="54" hidden="0" customHeight="1">
      <x:c r="A2115" s="29" t="str">
        <x:v>SCA-18</x:v>
      </x:c>
      <x:c r="B2115" s="29" t="str">
        <x:v>SCA-01</x:v>
      </x:c>
      <x:c r="C2115" s="29" t="str">
        <x:v>Air</x:v>
      </x:c>
      <x:c r="D2115" s="29" t="str">
        <x:v>YES</x:v>
      </x:c>
      <x:c r="E2115" s="29" t="str">
        <x:v>YES</x:v>
      </x:c>
      <x:c r="F2115" s="62" t="n">
        <x:v>6318.649373998175</x:v>
      </x:c>
      <x:c r="G2115" s="62" t="n">
        <x:v>33.72099903692027</x:v>
      </x:c>
      <x:c r="H2115" s="29" t="str">
        <x:v>YES</x:v>
      </x:c>
      <x:c r="I2115" s="29" t="str">
        <x:v>primary-airport endpoints; great-circle screen</x:v>
      </x:c>
      <x:c r="J2115" s="29" t="str">
        <x:v>presence does not prove operability or capacity</x:v>
      </x:c>
    </x:row>
    <x:row r="2116" ht="75.5999984741211" hidden="0" customHeight="1">
      <x:c r="A2116" s="27" t="str">
        <x:v>SCA-18</x:v>
      </x:c>
      <x:c r="B2116" s="27" t="str">
        <x:v>SCA-01</x:v>
      </x:c>
      <x:c r="C2116" s="27" t="str">
        <x:v>Water</x:v>
      </x:c>
      <x:c r="D2116" s="27" t="str">
        <x:v>YES</x:v>
      </x:c>
      <x:c r="E2116" s="27" t="str">
        <x:v>YES</x:v>
      </x:c>
      <x:c r="F2116" s="61" t="n">
        <x:v>13544.913640510411</x:v>
      </x:c>
      <x:c r="G2116" s="61" t="n">
        <x:v>416.99753258601174</x:v>
      </x:c>
      <x:c r="H2116" s="27" t="str">
        <x:v>NO</x:v>
      </x:c>
      <x:c r="I2116" s="27" t="str">
        <x:v>USACE waterway node topology; deployable terminal required</x:v>
      </x:c>
      <x:c r="J2116" s="27" t="str">
        <x:v>presence does not prove operability or capacity</x:v>
      </x:c>
    </x:row>
    <x:row r="2117" ht="54" hidden="0" customHeight="1">
      <x:c r="A2117" s="29" t="str">
        <x:v>SCA-18</x:v>
      </x:c>
      <x:c r="B2117" s="29" t="str">
        <x:v>SCA-02</x:v>
      </x:c>
      <x:c r="C2117" s="29" t="str">
        <x:v>Road</x:v>
      </x:c>
      <x:c r="D2117" s="29" t="str">
        <x:v>NO</x:v>
      </x:c>
      <x:c r="E2117" s="29" t="str">
        <x:v>NO</x:v>
      </x:c>
      <x:c r="F2117" s="62"/>
      <x:c r="G2117" s="62"/>
      <x:c r="H2117" s="29" t="str">
        <x:v>NO</x:v>
      </x:c>
      <x:c r="I2117" s="29" t="str">
        <x:v>no screened path</x:v>
      </x:c>
      <x:c r="J2117" s="29" t="str">
        <x:v>presence does not prove operability or capacity</x:v>
      </x:c>
    </x:row>
    <x:row r="2118" ht="54" hidden="0" customHeight="1">
      <x:c r="A2118" s="27" t="str">
        <x:v>SCA-18</x:v>
      </x:c>
      <x:c r="B2118" s="27" t="str">
        <x:v>SCA-02</x:v>
      </x:c>
      <x:c r="C2118" s="27" t="str">
        <x:v>Rail</x:v>
      </x:c>
      <x:c r="D2118" s="27" t="str">
        <x:v>NO</x:v>
      </x:c>
      <x:c r="E2118" s="27" t="str">
        <x:v>NO</x:v>
      </x:c>
      <x:c r="F2118" s="61"/>
      <x:c r="G2118" s="61"/>
      <x:c r="H2118" s="27" t="str">
        <x:v>NO</x:v>
      </x:c>
      <x:c r="I2118" s="27" t="str">
        <x:v>no screened path</x:v>
      </x:c>
      <x:c r="J2118" s="27" t="str">
        <x:v>presence does not prove operability or capacity</x:v>
      </x:c>
    </x:row>
    <x:row r="2119" ht="54" hidden="0" customHeight="1">
      <x:c r="A2119" s="29" t="str">
        <x:v>SCA-18</x:v>
      </x:c>
      <x:c r="B2119" s="29" t="str">
        <x:v>SCA-02</x:v>
      </x:c>
      <x:c r="C2119" s="29" t="str">
        <x:v>Air</x:v>
      </x:c>
      <x:c r="D2119" s="29" t="str">
        <x:v>YES</x:v>
      </x:c>
      <x:c r="E2119" s="29" t="str">
        <x:v>YES</x:v>
      </x:c>
      <x:c r="F2119" s="62" t="n">
        <x:v>3821.1774753958557</x:v>
      </x:c>
      <x:c r="G2119" s="62" t="n">
        <x:v>29.878734577532086</x:v>
      </x:c>
      <x:c r="H2119" s="29" t="str">
        <x:v>YES</x:v>
      </x:c>
      <x:c r="I2119" s="29" t="str">
        <x:v>primary-airport endpoints; great-circle screen</x:v>
      </x:c>
      <x:c r="J2119" s="29" t="str">
        <x:v>presence does not prove operability or capacity</x:v>
      </x:c>
    </x:row>
    <x:row r="2120" ht="75.5999984741211" hidden="0" customHeight="1">
      <x:c r="A2120" s="27" t="str">
        <x:v>SCA-18</x:v>
      </x:c>
      <x:c r="B2120" s="27" t="str">
        <x:v>SCA-02</x:v>
      </x:c>
      <x:c r="C2120" s="27" t="str">
        <x:v>Water</x:v>
      </x:c>
      <x:c r="D2120" s="27" t="str">
        <x:v>YES</x:v>
      </x:c>
      <x:c r="E2120" s="27" t="str">
        <x:v>YES</x:v>
      </x:c>
      <x:c r="F2120" s="61" t="n">
        <x:v>9220.599984682576</x:v>
      </x:c>
      <x:c r="G2120" s="61" t="n">
        <x:v>293.4457138480736</x:v>
      </x:c>
      <x:c r="H2120" s="27" t="str">
        <x:v>NO</x:v>
      </x:c>
      <x:c r="I2120" s="27" t="str">
        <x:v>USACE waterway node topology; deployable terminal required</x:v>
      </x:c>
      <x:c r="J2120" s="27" t="str">
        <x:v>presence does not prove operability or capacity</x:v>
      </x:c>
    </x:row>
    <x:row r="2121" ht="54" hidden="0" customHeight="1">
      <x:c r="A2121" s="29" t="str">
        <x:v>SCA-18</x:v>
      </x:c>
      <x:c r="B2121" s="29" t="str">
        <x:v>SCA-03</x:v>
      </x:c>
      <x:c r="C2121" s="29" t="str">
        <x:v>Road</x:v>
      </x:c>
      <x:c r="D2121" s="29" t="str">
        <x:v>YES</x:v>
      </x:c>
      <x:c r="E2121" s="29" t="str">
        <x:v>YES</x:v>
      </x:c>
      <x:c r="F2121" s="62" t="n">
        <x:v>2548.587442468447</x:v>
      </x:c>
      <x:c r="G2121" s="62" t="n">
        <x:v>66.3379534994263</x:v>
      </x:c>
      <x:c r="H2121" s="29" t="str">
        <x:v>YES</x:v>
      </x:c>
      <x:c r="I2121" s="29" t="str">
        <x:v>NHPN-gated shared-boundary SCA path</x:v>
      </x:c>
      <x:c r="J2121" s="29" t="str">
        <x:v>presence does not prove operability or capacity</x:v>
      </x:c>
    </x:row>
    <x:row r="2122" ht="64.80000305175781" hidden="0" customHeight="1">
      <x:c r="A2122" s="27" t="str">
        <x:v>SCA-18</x:v>
      </x:c>
      <x:c r="B2122" s="27" t="str">
        <x:v>SCA-03</x:v>
      </x:c>
      <x:c r="C2122" s="27" t="str">
        <x:v>Rail</x:v>
      </x:c>
      <x:c r="D2122" s="27" t="str">
        <x:v>YES</x:v>
      </x:c>
      <x:c r="E2122" s="27" t="str">
        <x:v>YES</x:v>
      </x:c>
      <x:c r="F2122" s="61" t="n">
        <x:v>2703.7188520100053</x:v>
      </x:c>
      <x:c r="G2122" s="61" t="n">
        <x:v>64.62455502871435</x:v>
      </x:c>
      <x:c r="H2122" s="27" t="str">
        <x:v>YES</x:v>
      </x:c>
      <x:c r="I2122" s="27" t="str">
        <x:v>NARN shared-node topology; deployable terminal required</x:v>
      </x:c>
      <x:c r="J2122" s="27" t="str">
        <x:v>presence does not prove operability or capacity</x:v>
      </x:c>
    </x:row>
    <x:row r="2123" ht="54" hidden="0" customHeight="1">
      <x:c r="A2123" s="29" t="str">
        <x:v>SCA-18</x:v>
      </x:c>
      <x:c r="B2123" s="29" t="str">
        <x:v>SCA-03</x:v>
      </x:c>
      <x:c r="C2123" s="29" t="str">
        <x:v>Air</x:v>
      </x:c>
      <x:c r="D2123" s="29" t="str">
        <x:v>YES</x:v>
      </x:c>
      <x:c r="E2123" s="29" t="str">
        <x:v>YES</x:v>
      </x:c>
      <x:c r="F2123" s="62" t="n">
        <x:v>2152.298482539406</x:v>
      </x:c>
      <x:c r="G2123" s="62" t="n">
        <x:v>27.31122843467601</x:v>
      </x:c>
      <x:c r="H2123" s="29" t="str">
        <x:v>YES</x:v>
      </x:c>
      <x:c r="I2123" s="29" t="str">
        <x:v>primary-airport endpoints; great-circle screen</x:v>
      </x:c>
      <x:c r="J2123" s="29" t="str">
        <x:v>presence does not prove operability or capacity</x:v>
      </x:c>
    </x:row>
    <x:row r="2124" ht="75.5999984741211" hidden="0" customHeight="1">
      <x:c r="A2124" s="27" t="str">
        <x:v>SCA-18</x:v>
      </x:c>
      <x:c r="B2124" s="27" t="str">
        <x:v>SCA-03</x:v>
      </x:c>
      <x:c r="C2124" s="27" t="str">
        <x:v>Water</x:v>
      </x:c>
      <x:c r="D2124" s="27" t="str">
        <x:v>YES</x:v>
      </x:c>
      <x:c r="E2124" s="27" t="str">
        <x:v>YES</x:v>
      </x:c>
      <x:c r="F2124" s="61" t="n">
        <x:v>10154.152327838756</x:v>
      </x:c>
      <x:c r="G2124" s="61" t="n">
        <x:v>320.1186379382502</x:v>
      </x:c>
      <x:c r="H2124" s="27" t="str">
        <x:v>NO</x:v>
      </x:c>
      <x:c r="I2124" s="27" t="str">
        <x:v>USACE waterway node topology; deployable terminal required</x:v>
      </x:c>
      <x:c r="J2124" s="27" t="str">
        <x:v>presence does not prove operability or capacity</x:v>
      </x:c>
    </x:row>
    <x:row r="2125" ht="54" hidden="0" customHeight="1">
      <x:c r="A2125" s="29" t="str">
        <x:v>SCA-18</x:v>
      </x:c>
      <x:c r="B2125" s="29" t="str">
        <x:v>SCA-04</x:v>
      </x:c>
      <x:c r="C2125" s="29" t="str">
        <x:v>Road</x:v>
      </x:c>
      <x:c r="D2125" s="29" t="str">
        <x:v>YES</x:v>
      </x:c>
      <x:c r="E2125" s="29" t="str">
        <x:v>YES</x:v>
      </x:c>
      <x:c r="F2125" s="62" t="n">
        <x:v>2959.0962417072196</x:v>
      </x:c>
      <x:c r="G2125" s="62" t="n">
        <x:v>73.80174984922218</x:v>
      </x:c>
      <x:c r="H2125" s="29" t="str">
        <x:v>NO</x:v>
      </x:c>
      <x:c r="I2125" s="29" t="str">
        <x:v>NHPN-gated shared-boundary SCA path</x:v>
      </x:c>
      <x:c r="J2125" s="29" t="str">
        <x:v>presence does not prove operability or capacity</x:v>
      </x:c>
    </x:row>
    <x:row r="2126" ht="64.80000305175781" hidden="0" customHeight="1">
      <x:c r="A2126" s="27" t="str">
        <x:v>SCA-18</x:v>
      </x:c>
      <x:c r="B2126" s="27" t="str">
        <x:v>SCA-04</x:v>
      </x:c>
      <x:c r="C2126" s="27" t="str">
        <x:v>Rail</x:v>
      </x:c>
      <x:c r="D2126" s="27" t="str">
        <x:v>YES</x:v>
      </x:c>
      <x:c r="E2126" s="27" t="str">
        <x:v>YES</x:v>
      </x:c>
      <x:c r="F2126" s="61" t="n">
        <x:v>3139.2151433763547</x:v>
      </x:c>
      <x:c r="G2126" s="61" t="n">
        <x:v>70.84593061966221</x:v>
      </x:c>
      <x:c r="H2126" s="27" t="str">
        <x:v>YES</x:v>
      </x:c>
      <x:c r="I2126" s="27" t="str">
        <x:v>NARN shared-node topology; deployable terminal required</x:v>
      </x:c>
      <x:c r="J2126" s="27" t="str">
        <x:v>presence does not prove operability or capacity</x:v>
      </x:c>
    </x:row>
    <x:row r="2127" ht="54" hidden="0" customHeight="1">
      <x:c r="A2127" s="29" t="str">
        <x:v>SCA-18</x:v>
      </x:c>
      <x:c r="B2127" s="29" t="str">
        <x:v>SCA-04</x:v>
      </x:c>
      <x:c r="C2127" s="29" t="str">
        <x:v>Air</x:v>
      </x:c>
      <x:c r="D2127" s="29" t="str">
        <x:v>YES</x:v>
      </x:c>
      <x:c r="E2127" s="29" t="str">
        <x:v>YES</x:v>
      </x:c>
      <x:c r="F2127" s="62" t="n">
        <x:v>2401.1905282186076</x:v>
      </x:c>
      <x:c r="G2127" s="62" t="n">
        <x:v>27.694139274182472</x:v>
      </x:c>
      <x:c r="H2127" s="29" t="str">
        <x:v>YES</x:v>
      </x:c>
      <x:c r="I2127" s="29" t="str">
        <x:v>primary-airport endpoints; great-circle screen</x:v>
      </x:c>
      <x:c r="J2127" s="29" t="str">
        <x:v>presence does not prove operability or capacity</x:v>
      </x:c>
    </x:row>
    <x:row r="2128" ht="75.5999984741211" hidden="0" customHeight="1">
      <x:c r="A2128" s="27" t="str">
        <x:v>SCA-18</x:v>
      </x:c>
      <x:c r="B2128" s="27" t="str">
        <x:v>SCA-04</x:v>
      </x:c>
      <x:c r="C2128" s="27" t="str">
        <x:v>Water</x:v>
      </x:c>
      <x:c r="D2128" s="27" t="str">
        <x:v>YES</x:v>
      </x:c>
      <x:c r="E2128" s="27" t="str">
        <x:v>YES</x:v>
      </x:c>
      <x:c r="F2128" s="61" t="n">
        <x:v>8941.89411945779</x:v>
      </x:c>
      <x:c r="G2128" s="61" t="n">
        <x:v>285.4826891273654</x:v>
      </x:c>
      <x:c r="H2128" s="27" t="str">
        <x:v>NO</x:v>
      </x:c>
      <x:c r="I2128" s="27" t="str">
        <x:v>USACE waterway node topology; deployable terminal required</x:v>
      </x:c>
      <x:c r="J2128" s="27" t="str">
        <x:v>presence does not prove operability or capacity</x:v>
      </x:c>
    </x:row>
    <x:row r="2129" ht="54" hidden="0" customHeight="1">
      <x:c r="A2129" s="29" t="str">
        <x:v>SCA-18</x:v>
      </x:c>
      <x:c r="B2129" s="29" t="str">
        <x:v>SCA-05</x:v>
      </x:c>
      <x:c r="C2129" s="29" t="str">
        <x:v>Road</x:v>
      </x:c>
      <x:c r="D2129" s="29" t="str">
        <x:v>YES</x:v>
      </x:c>
      <x:c r="E2129" s="29" t="str">
        <x:v>YES</x:v>
      </x:c>
      <x:c r="F2129" s="62" t="n">
        <x:v>3018.0074571722253</x:v>
      </x:c>
      <x:c r="G2129" s="62" t="n">
        <x:v>74.87286285767682</x:v>
      </x:c>
      <x:c r="H2129" s="29" t="str">
        <x:v>NO</x:v>
      </x:c>
      <x:c r="I2129" s="29" t="str">
        <x:v>NHPN-gated shared-boundary SCA path</x:v>
      </x:c>
      <x:c r="J2129" s="29" t="str">
        <x:v>presence does not prove operability or capacity</x:v>
      </x:c>
    </x:row>
    <x:row r="2130" ht="64.80000305175781" hidden="0" customHeight="1">
      <x:c r="A2130" s="27" t="str">
        <x:v>SCA-18</x:v>
      </x:c>
      <x:c r="B2130" s="27" t="str">
        <x:v>SCA-05</x:v>
      </x:c>
      <x:c r="C2130" s="27" t="str">
        <x:v>Rail</x:v>
      </x:c>
      <x:c r="D2130" s="27" t="str">
        <x:v>YES</x:v>
      </x:c>
      <x:c r="E2130" s="27" t="str">
        <x:v>YES</x:v>
      </x:c>
      <x:c r="F2130" s="61" t="n">
        <x:v>3269.719508169697</x:v>
      </x:c>
      <x:c r="G2130" s="61" t="n">
        <x:v>72.71027868813852</x:v>
      </x:c>
      <x:c r="H2130" s="27" t="str">
        <x:v>NO</x:v>
      </x:c>
      <x:c r="I2130" s="27" t="str">
        <x:v>NARN shared-node topology; deployable terminal required</x:v>
      </x:c>
      <x:c r="J2130" s="27" t="str">
        <x:v>presence does not prove operability or capacity</x:v>
      </x:c>
    </x:row>
    <x:row r="2131" ht="54" hidden="0" customHeight="1">
      <x:c r="A2131" s="29" t="str">
        <x:v>SCA-18</x:v>
      </x:c>
      <x:c r="B2131" s="29" t="str">
        <x:v>SCA-05</x:v>
      </x:c>
      <x:c r="C2131" s="29" t="str">
        <x:v>Air</x:v>
      </x:c>
      <x:c r="D2131" s="29" t="str">
        <x:v>YES</x:v>
      </x:c>
      <x:c r="E2131" s="29" t="str">
        <x:v>YES</x:v>
      </x:c>
      <x:c r="F2131" s="62" t="n">
        <x:v>2378.2962362023613</x:v>
      </x:c>
      <x:c r="G2131" s="62" t="n">
        <x:v>27.658917286465172</x:v>
      </x:c>
      <x:c r="H2131" s="29" t="str">
        <x:v>YES</x:v>
      </x:c>
      <x:c r="I2131" s="29" t="str">
        <x:v>primary-airport endpoints; great-circle screen</x:v>
      </x:c>
      <x:c r="J2131" s="29" t="str">
        <x:v>presence does not prove operability or capacity</x:v>
      </x:c>
    </x:row>
    <x:row r="2132" ht="75.5999984741211" hidden="0" customHeight="1">
      <x:c r="A2132" s="27" t="str">
        <x:v>SCA-18</x:v>
      </x:c>
      <x:c r="B2132" s="27" t="str">
        <x:v>SCA-05</x:v>
      </x:c>
      <x:c r="C2132" s="27" t="str">
        <x:v>Water</x:v>
      </x:c>
      <x:c r="D2132" s="27" t="str">
        <x:v>YES</x:v>
      </x:c>
      <x:c r="E2132" s="27" t="str">
        <x:v>YES</x:v>
      </x:c>
      <x:c r="F2132" s="61" t="n">
        <x:v>8285.94069998073</x:v>
      </x:c>
      <x:c r="G2132" s="61" t="n">
        <x:v>266.74116285659227</x:v>
      </x:c>
      <x:c r="H2132" s="27" t="str">
        <x:v>NO</x:v>
      </x:c>
      <x:c r="I2132" s="27" t="str">
        <x:v>USACE waterway node topology; deployable terminal required</x:v>
      </x:c>
      <x:c r="J2132" s="27" t="str">
        <x:v>presence does not prove operability or capacity</x:v>
      </x:c>
    </x:row>
    <x:row r="2133" ht="54" hidden="0" customHeight="1">
      <x:c r="A2133" s="29" t="str">
        <x:v>SCA-18</x:v>
      </x:c>
      <x:c r="B2133" s="29" t="str">
        <x:v>SCA-06</x:v>
      </x:c>
      <x:c r="C2133" s="29" t="str">
        <x:v>Road</x:v>
      </x:c>
      <x:c r="D2133" s="29" t="str">
        <x:v>YES</x:v>
      </x:c>
      <x:c r="E2133" s="29" t="str">
        <x:v>YES</x:v>
      </x:c>
      <x:c r="F2133" s="62" t="n">
        <x:v>2777.250084892102</x:v>
      </x:c>
      <x:c r="G2133" s="62" t="n">
        <x:v>70.49545608894732</x:v>
      </x:c>
      <x:c r="H2133" s="29" t="str">
        <x:v>YES</x:v>
      </x:c>
      <x:c r="I2133" s="29" t="str">
        <x:v>NHPN-gated shared-boundary SCA path</x:v>
      </x:c>
      <x:c r="J2133" s="29" t="str">
        <x:v>presence does not prove operability or capacity</x:v>
      </x:c>
    </x:row>
    <x:row r="2134" ht="64.80000305175781" hidden="0" customHeight="1">
      <x:c r="A2134" s="27" t="str">
        <x:v>SCA-18</x:v>
      </x:c>
      <x:c r="B2134" s="27" t="str">
        <x:v>SCA-06</x:v>
      </x:c>
      <x:c r="C2134" s="27" t="str">
        <x:v>Rail</x:v>
      </x:c>
      <x:c r="D2134" s="27" t="str">
        <x:v>YES</x:v>
      </x:c>
      <x:c r="E2134" s="27" t="str">
        <x:v>YES</x:v>
      </x:c>
      <x:c r="F2134" s="61" t="n">
        <x:v>3229.8128301968277</x:v>
      </x:c>
      <x:c r="G2134" s="61" t="n">
        <x:v>72.14018328852612</x:v>
      </x:c>
      <x:c r="H2134" s="27" t="str">
        <x:v>NO</x:v>
      </x:c>
      <x:c r="I2134" s="27" t="str">
        <x:v>NARN shared-node topology; deployable terminal required</x:v>
      </x:c>
      <x:c r="J2134" s="27" t="str">
        <x:v>presence does not prove operability or capacity</x:v>
      </x:c>
    </x:row>
    <x:row r="2135" ht="54" hidden="0" customHeight="1">
      <x:c r="A2135" s="29" t="str">
        <x:v>SCA-18</x:v>
      </x:c>
      <x:c r="B2135" s="29" t="str">
        <x:v>SCA-06</x:v>
      </x:c>
      <x:c r="C2135" s="29" t="str">
        <x:v>Air</x:v>
      </x:c>
      <x:c r="D2135" s="29" t="str">
        <x:v>YES</x:v>
      </x:c>
      <x:c r="E2135" s="29" t="str">
        <x:v>YES</x:v>
      </x:c>
      <x:c r="F2135" s="62" t="n">
        <x:v>2302.0855192679555</x:v>
      </x:c>
      <x:c r="G2135" s="62" t="n">
        <x:v>27.541670029643008</x:v>
      </x:c>
      <x:c r="H2135" s="29" t="str">
        <x:v>YES</x:v>
      </x:c>
      <x:c r="I2135" s="29" t="str">
        <x:v>primary-airport endpoints; great-circle screen</x:v>
      </x:c>
      <x:c r="J2135" s="29" t="str">
        <x:v>presence does not prove operability or capacity</x:v>
      </x:c>
    </x:row>
    <x:row r="2136" ht="75.5999984741211" hidden="0" customHeight="1">
      <x:c r="A2136" s="27" t="str">
        <x:v>SCA-18</x:v>
      </x:c>
      <x:c r="B2136" s="27" t="str">
        <x:v>SCA-06</x:v>
      </x:c>
      <x:c r="C2136" s="27" t="str">
        <x:v>Water</x:v>
      </x:c>
      <x:c r="D2136" s="27" t="str">
        <x:v>YES</x:v>
      </x:c>
      <x:c r="E2136" s="27" t="str">
        <x:v>YES</x:v>
      </x:c>
      <x:c r="F2136" s="61" t="n">
        <x:v>8017.967276921116</x:v>
      </x:c>
      <x:c r="G2136" s="61" t="n">
        <x:v>259.0847793406033</x:v>
      </x:c>
      <x:c r="H2136" s="27" t="str">
        <x:v>NO</x:v>
      </x:c>
      <x:c r="I2136" s="27" t="str">
        <x:v>USACE waterway node topology; deployable terminal required</x:v>
      </x:c>
      <x:c r="J2136" s="27" t="str">
        <x:v>presence does not prove operability or capacity</x:v>
      </x:c>
    </x:row>
    <x:row r="2137" ht="54" hidden="0" customHeight="1">
      <x:c r="A2137" s="29" t="str">
        <x:v>SCA-18</x:v>
      </x:c>
      <x:c r="B2137" s="29" t="str">
        <x:v>SCA-07</x:v>
      </x:c>
      <x:c r="C2137" s="29" t="str">
        <x:v>Road</x:v>
      </x:c>
      <x:c r="D2137" s="29" t="str">
        <x:v>YES</x:v>
      </x:c>
      <x:c r="E2137" s="29" t="str">
        <x:v>YES</x:v>
      </x:c>
      <x:c r="F2137" s="62" t="n">
        <x:v>2721.9115565273532</x:v>
      </x:c>
      <x:c r="G2137" s="62" t="n">
        <x:v>69.48930102777007</x:v>
      </x:c>
      <x:c r="H2137" s="29" t="str">
        <x:v>YES</x:v>
      </x:c>
      <x:c r="I2137" s="29" t="str">
        <x:v>NHPN-gated shared-boundary SCA path</x:v>
      </x:c>
      <x:c r="J2137" s="29" t="str">
        <x:v>presence does not prove operability or capacity</x:v>
      </x:c>
    </x:row>
    <x:row r="2138" ht="64.80000305175781" hidden="0" customHeight="1">
      <x:c r="A2138" s="27" t="str">
        <x:v>SCA-18</x:v>
      </x:c>
      <x:c r="B2138" s="27" t="str">
        <x:v>SCA-07</x:v>
      </x:c>
      <x:c r="C2138" s="27" t="str">
        <x:v>Rail</x:v>
      </x:c>
      <x:c r="D2138" s="27" t="str">
        <x:v>YES</x:v>
      </x:c>
      <x:c r="E2138" s="27" t="str">
        <x:v>YES</x:v>
      </x:c>
      <x:c r="F2138" s="61" t="n">
        <x:v>2887.5931295333667</x:v>
      </x:c>
      <x:c r="G2138" s="61" t="n">
        <x:v>67.25133042190524</x:v>
      </x:c>
      <x:c r="H2138" s="27" t="str">
        <x:v>YES</x:v>
      </x:c>
      <x:c r="I2138" s="27" t="str">
        <x:v>NARN shared-node topology; deployable terminal required</x:v>
      </x:c>
      <x:c r="J2138" s="27" t="str">
        <x:v>presence does not prove operability or capacity</x:v>
      </x:c>
    </x:row>
    <x:row r="2139" ht="54" hidden="0" customHeight="1">
      <x:c r="A2139" s="29" t="str">
        <x:v>SCA-18</x:v>
      </x:c>
      <x:c r="B2139" s="29" t="str">
        <x:v>SCA-07</x:v>
      </x:c>
      <x:c r="C2139" s="29" t="str">
        <x:v>Air</x:v>
      </x:c>
      <x:c r="D2139" s="29" t="str">
        <x:v>YES</x:v>
      </x:c>
      <x:c r="E2139" s="29" t="str">
        <x:v>YES</x:v>
      </x:c>
      <x:c r="F2139" s="62" t="n">
        <x:v>2066.560303988381</x:v>
      </x:c>
      <x:c r="G2139" s="62" t="n">
        <x:v>27.17932354459751</x:v>
      </x:c>
      <x:c r="H2139" s="29" t="str">
        <x:v>YES</x:v>
      </x:c>
      <x:c r="I2139" s="29" t="str">
        <x:v>primary-airport endpoints; great-circle screen</x:v>
      </x:c>
      <x:c r="J2139" s="29" t="str">
        <x:v>presence does not prove operability or capacity</x:v>
      </x:c>
    </x:row>
    <x:row r="2140" ht="64.80000305175781" hidden="0" customHeight="1">
      <x:c r="A2140" s="27" t="str">
        <x:v>SCA-18</x:v>
      </x:c>
      <x:c r="B2140" s="27" t="str">
        <x:v>SCA-07</x:v>
      </x:c>
      <x:c r="C2140" s="27" t="str">
        <x:v>Water</x:v>
      </x:c>
      <x:c r="D2140" s="27" t="str">
        <x:v>YES</x:v>
      </x:c>
      <x:c r="E2140" s="27" t="str">
        <x:v>YES</x:v>
      </x:c>
      <x:c r="F2140" s="61" t="n">
        <x:v>2583.200379985476</x:v>
      </x:c>
      <x:c r="G2140" s="61" t="n">
        <x:v>103.80572514244217</x:v>
      </x:c>
      <x:c r="H2140" s="27" t="str">
        <x:v>NO</x:v>
      </x:c>
      <x:c r="I2140" s="27" t="str">
        <x:v>observed water terminals; maritime great-circle screen</x:v>
      </x:c>
      <x:c r="J2140" s="27" t="str">
        <x:v>presence does not prove operability or capacity</x:v>
      </x:c>
    </x:row>
    <x:row r="2141" ht="54" hidden="0" customHeight="1">
      <x:c r="A2141" s="29" t="str">
        <x:v>SCA-18</x:v>
      </x:c>
      <x:c r="B2141" s="29" t="str">
        <x:v>SCA-08</x:v>
      </x:c>
      <x:c r="C2141" s="29" t="str">
        <x:v>Road</x:v>
      </x:c>
      <x:c r="D2141" s="29" t="str">
        <x:v>YES</x:v>
      </x:c>
      <x:c r="E2141" s="29" t="str">
        <x:v>YES</x:v>
      </x:c>
      <x:c r="F2141" s="62" t="n">
        <x:v>1903.9325673959372</x:v>
      </x:c>
      <x:c r="G2141" s="62" t="n">
        <x:v>54.61695577083522</x:v>
      </x:c>
      <x:c r="H2141" s="29" t="str">
        <x:v>YES</x:v>
      </x:c>
      <x:c r="I2141" s="29" t="str">
        <x:v>NHPN-gated shared-boundary SCA path</x:v>
      </x:c>
      <x:c r="J2141" s="29" t="str">
        <x:v>presence does not prove operability or capacity</x:v>
      </x:c>
    </x:row>
    <x:row r="2142" ht="64.80000305175781" hidden="0" customHeight="1">
      <x:c r="A2142" s="27" t="str">
        <x:v>SCA-18</x:v>
      </x:c>
      <x:c r="B2142" s="27" t="str">
        <x:v>SCA-08</x:v>
      </x:c>
      <x:c r="C2142" s="27" t="str">
        <x:v>Rail</x:v>
      </x:c>
      <x:c r="D2142" s="27" t="str">
        <x:v>YES</x:v>
      </x:c>
      <x:c r="E2142" s="27" t="str">
        <x:v>YES</x:v>
      </x:c>
      <x:c r="F2142" s="61" t="n">
        <x:v>2019.8241149765597</x:v>
      </x:c>
      <x:c r="G2142" s="61" t="n">
        <x:v>54.854630213950855</x:v>
      </x:c>
      <x:c r="H2142" s="27" t="str">
        <x:v>YES</x:v>
      </x:c>
      <x:c r="I2142" s="27" t="str">
        <x:v>NARN shared-node topology; deployable terminal required</x:v>
      </x:c>
      <x:c r="J2142" s="27" t="str">
        <x:v>presence does not prove operability or capacity</x:v>
      </x:c>
    </x:row>
    <x:row r="2143" ht="54" hidden="0" customHeight="1">
      <x:c r="A2143" s="29" t="str">
        <x:v>SCA-18</x:v>
      </x:c>
      <x:c r="B2143" s="29" t="str">
        <x:v>SCA-08</x:v>
      </x:c>
      <x:c r="C2143" s="29" t="str">
        <x:v>Air</x:v>
      </x:c>
      <x:c r="D2143" s="29" t="str">
        <x:v>YES</x:v>
      </x:c>
      <x:c r="E2143" s="29" t="str">
        <x:v>YES</x:v>
      </x:c>
      <x:c r="F2143" s="62" t="n">
        <x:v>1655.5935368660325</x:v>
      </x:c>
      <x:c r="G2143" s="62" t="n">
        <x:v>26.547066979793897</x:v>
      </x:c>
      <x:c r="H2143" s="29" t="str">
        <x:v>YES</x:v>
      </x:c>
      <x:c r="I2143" s="29" t="str">
        <x:v>primary-airport endpoints; great-circle screen</x:v>
      </x:c>
      <x:c r="J2143" s="29" t="str">
        <x:v>presence does not prove operability or capacity</x:v>
      </x:c>
    </x:row>
    <x:row r="2144" ht="75.5999984741211" hidden="0" customHeight="1">
      <x:c r="A2144" s="27" t="str">
        <x:v>SCA-18</x:v>
      </x:c>
      <x:c r="B2144" s="27" t="str">
        <x:v>SCA-08</x:v>
      </x:c>
      <x:c r="C2144" s="27" t="str">
        <x:v>Water</x:v>
      </x:c>
      <x:c r="D2144" s="27" t="str">
        <x:v>YES</x:v>
      </x:c>
      <x:c r="E2144" s="27" t="str">
        <x:v>YES</x:v>
      </x:c>
      <x:c r="F2144" s="61" t="n">
        <x:v>10871.681232267289</x:v>
      </x:c>
      <x:c r="G2144" s="61" t="n">
        <x:v>340.61946377906537</x:v>
      </x:c>
      <x:c r="H2144" s="27" t="str">
        <x:v>NO</x:v>
      </x:c>
      <x:c r="I2144" s="27" t="str">
        <x:v>USACE waterway node topology; deployable terminal required</x:v>
      </x:c>
      <x:c r="J2144" s="27" t="str">
        <x:v>presence does not prove operability or capacity</x:v>
      </x:c>
    </x:row>
    <x:row r="2145" ht="54" hidden="0" customHeight="1">
      <x:c r="A2145" s="29" t="str">
        <x:v>SCA-18</x:v>
      </x:c>
      <x:c r="B2145" s="29" t="str">
        <x:v>SCA-09</x:v>
      </x:c>
      <x:c r="C2145" s="29" t="str">
        <x:v>Road</x:v>
      </x:c>
      <x:c r="D2145" s="29" t="str">
        <x:v>YES</x:v>
      </x:c>
      <x:c r="E2145" s="29" t="str">
        <x:v>YES</x:v>
      </x:c>
      <x:c r="F2145" s="62" t="n">
        <x:v>2327.5306331302713</x:v>
      </x:c>
      <x:c r="G2145" s="62" t="n">
        <x:v>62.31873878418675</x:v>
      </x:c>
      <x:c r="H2145" s="29" t="str">
        <x:v>YES</x:v>
      </x:c>
      <x:c r="I2145" s="29" t="str">
        <x:v>NHPN-gated shared-boundary SCA path</x:v>
      </x:c>
      <x:c r="J2145" s="29" t="str">
        <x:v>presence does not prove operability or capacity</x:v>
      </x:c>
    </x:row>
    <x:row r="2146" ht="64.80000305175781" hidden="0" customHeight="1">
      <x:c r="A2146" s="27" t="str">
        <x:v>SCA-18</x:v>
      </x:c>
      <x:c r="B2146" s="27" t="str">
        <x:v>SCA-09</x:v>
      </x:c>
      <x:c r="C2146" s="27" t="str">
        <x:v>Rail</x:v>
      </x:c>
      <x:c r="D2146" s="27" t="str">
        <x:v>YES</x:v>
      </x:c>
      <x:c r="E2146" s="27" t="str">
        <x:v>YES</x:v>
      </x:c>
      <x:c r="F2146" s="61" t="n">
        <x:v>2952.7668796317507</x:v>
      </x:c>
      <x:c r="G2146" s="61" t="n">
        <x:v>68.1823839947393</x:v>
      </x:c>
      <x:c r="H2146" s="27" t="str">
        <x:v>YES</x:v>
      </x:c>
      <x:c r="I2146" s="27" t="str">
        <x:v>NARN shared-node topology; deployable terminal required</x:v>
      </x:c>
      <x:c r="J2146" s="27" t="str">
        <x:v>presence does not prove operability or capacity</x:v>
      </x:c>
    </x:row>
    <x:row r="2147" ht="54" hidden="0" customHeight="1">
      <x:c r="A2147" s="29" t="str">
        <x:v>SCA-18</x:v>
      </x:c>
      <x:c r="B2147" s="29" t="str">
        <x:v>SCA-09</x:v>
      </x:c>
      <x:c r="C2147" s="29" t="str">
        <x:v>Air</x:v>
      </x:c>
      <x:c r="D2147" s="29" t="str">
        <x:v>YES</x:v>
      </x:c>
      <x:c r="E2147" s="29" t="str">
        <x:v>YES</x:v>
      </x:c>
      <x:c r="F2147" s="62" t="n">
        <x:v>2019.3177436731562</x:v>
      </x:c>
      <x:c r="G2147" s="62" t="n">
        <x:v>27.106642682574087</x:v>
      </x:c>
      <x:c r="H2147" s="29" t="str">
        <x:v>YES</x:v>
      </x:c>
      <x:c r="I2147" s="29" t="str">
        <x:v>primary-airport endpoints; great-circle screen</x:v>
      </x:c>
      <x:c r="J2147" s="29" t="str">
        <x:v>presence does not prove operability or capacity</x:v>
      </x:c>
    </x:row>
    <x:row r="2148" ht="54" hidden="0" customHeight="1">
      <x:c r="A2148" s="27" t="str">
        <x:v>SCA-18</x:v>
      </x:c>
      <x:c r="B2148" s="27" t="str">
        <x:v>SCA-09</x:v>
      </x:c>
      <x:c r="C2148" s="27" t="str">
        <x:v>Water</x:v>
      </x:c>
      <x:c r="D2148" s="27" t="str">
        <x:v>NO</x:v>
      </x:c>
      <x:c r="E2148" s="27" t="str">
        <x:v>NO</x:v>
      </x:c>
      <x:c r="F2148" s="61"/>
      <x:c r="G2148" s="61"/>
      <x:c r="H2148" s="27" t="str">
        <x:v>NO</x:v>
      </x:c>
      <x:c r="I2148" s="27" t="str">
        <x:v>no screened path</x:v>
      </x:c>
      <x:c r="J2148" s="27" t="str">
        <x:v>presence does not prove operability or capacity</x:v>
      </x:c>
    </x:row>
    <x:row r="2149" ht="54" hidden="0" customHeight="1">
      <x:c r="A2149" s="29" t="str">
        <x:v>SCA-18</x:v>
      </x:c>
      <x:c r="B2149" s="29" t="str">
        <x:v>SCA-10</x:v>
      </x:c>
      <x:c r="C2149" s="29" t="str">
        <x:v>Road</x:v>
      </x:c>
      <x:c r="D2149" s="29" t="str">
        <x:v>YES</x:v>
      </x:c>
      <x:c r="E2149" s="29" t="str">
        <x:v>YES</x:v>
      </x:c>
      <x:c r="F2149" s="62" t="n">
        <x:v>1907.712253917899</x:v>
      </x:c>
      <x:c r="G2149" s="62" t="n">
        <x:v>54.6856773439618</x:v>
      </x:c>
      <x:c r="H2149" s="29" t="str">
        <x:v>YES</x:v>
      </x:c>
      <x:c r="I2149" s="29" t="str">
        <x:v>NHPN-gated shared-boundary SCA path</x:v>
      </x:c>
      <x:c r="J2149" s="29" t="str">
        <x:v>presence does not prove operability or capacity</x:v>
      </x:c>
    </x:row>
    <x:row r="2150" ht="64.80000305175781" hidden="0" customHeight="1">
      <x:c r="A2150" s="27" t="str">
        <x:v>SCA-18</x:v>
      </x:c>
      <x:c r="B2150" s="27" t="str">
        <x:v>SCA-10</x:v>
      </x:c>
      <x:c r="C2150" s="27" t="str">
        <x:v>Rail</x:v>
      </x:c>
      <x:c r="D2150" s="27" t="str">
        <x:v>YES</x:v>
      </x:c>
      <x:c r="E2150" s="27" t="str">
        <x:v>YES</x:v>
      </x:c>
      <x:c r="F2150" s="61" t="n">
        <x:v>2023.8338693737714</x:v>
      </x:c>
      <x:c r="G2150" s="61" t="n">
        <x:v>54.91191241962531</x:v>
      </x:c>
      <x:c r="H2150" s="27" t="str">
        <x:v>YES</x:v>
      </x:c>
      <x:c r="I2150" s="27" t="str">
        <x:v>NARN shared-node topology; deployable terminal required</x:v>
      </x:c>
      <x:c r="J2150" s="27" t="str">
        <x:v>presence does not prove operability or capacity</x:v>
      </x:c>
    </x:row>
    <x:row r="2151" ht="54" hidden="0" customHeight="1">
      <x:c r="A2151" s="29" t="str">
        <x:v>SCA-18</x:v>
      </x:c>
      <x:c r="B2151" s="29" t="str">
        <x:v>SCA-10</x:v>
      </x:c>
      <x:c r="C2151" s="29" t="str">
        <x:v>Air</x:v>
      </x:c>
      <x:c r="D2151" s="29" t="str">
        <x:v>YES</x:v>
      </x:c>
      <x:c r="E2151" s="29" t="str">
        <x:v>YES</x:v>
      </x:c>
      <x:c r="F2151" s="62" t="n">
        <x:v>1465.0312141161794</x:v>
      </x:c>
      <x:c r="G2151" s="62" t="n">
        <x:v>26.253894175563353</x:v>
      </x:c>
      <x:c r="H2151" s="29" t="str">
        <x:v>YES</x:v>
      </x:c>
      <x:c r="I2151" s="29" t="str">
        <x:v>primary-airport endpoints; great-circle screen</x:v>
      </x:c>
      <x:c r="J2151" s="29" t="str">
        <x:v>presence does not prove operability or capacity</x:v>
      </x:c>
    </x:row>
    <x:row r="2152" ht="54" hidden="0" customHeight="1">
      <x:c r="A2152" s="27" t="str">
        <x:v>SCA-18</x:v>
      </x:c>
      <x:c r="B2152" s="27" t="str">
        <x:v>SCA-10</x:v>
      </x:c>
      <x:c r="C2152" s="27" t="str">
        <x:v>Water</x:v>
      </x:c>
      <x:c r="D2152" s="27" t="str">
        <x:v>NO</x:v>
      </x:c>
      <x:c r="E2152" s="27" t="str">
        <x:v>NO</x:v>
      </x:c>
      <x:c r="F2152" s="61"/>
      <x:c r="G2152" s="61"/>
      <x:c r="H2152" s="27" t="str">
        <x:v>NO</x:v>
      </x:c>
      <x:c r="I2152" s="27" t="str">
        <x:v>no screened path</x:v>
      </x:c>
      <x:c r="J2152" s="27" t="str">
        <x:v>presence does not prove operability or capacity</x:v>
      </x:c>
    </x:row>
    <x:row r="2153" ht="54" hidden="0" customHeight="1">
      <x:c r="A2153" s="29" t="str">
        <x:v>SCA-18</x:v>
      </x:c>
      <x:c r="B2153" s="29" t="str">
        <x:v>SCA-11</x:v>
      </x:c>
      <x:c r="C2153" s="29" t="str">
        <x:v>Road</x:v>
      </x:c>
      <x:c r="D2153" s="29" t="str">
        <x:v>YES</x:v>
      </x:c>
      <x:c r="E2153" s="29" t="str">
        <x:v>YES</x:v>
      </x:c>
      <x:c r="F2153" s="62" t="n">
        <x:v>2031.593477691466</x:v>
      </x:c>
      <x:c r="G2153" s="62" t="n">
        <x:v>56.938063230753926</x:v>
      </x:c>
      <x:c r="H2153" s="29" t="str">
        <x:v>YES</x:v>
      </x:c>
      <x:c r="I2153" s="29" t="str">
        <x:v>NHPN-gated shared-boundary SCA path</x:v>
      </x:c>
      <x:c r="J2153" s="29" t="str">
        <x:v>presence does not prove operability or capacity</x:v>
      </x:c>
    </x:row>
    <x:row r="2154" ht="64.80000305175781" hidden="0" customHeight="1">
      <x:c r="A2154" s="27" t="str">
        <x:v>SCA-18</x:v>
      </x:c>
      <x:c r="B2154" s="27" t="str">
        <x:v>SCA-11</x:v>
      </x:c>
      <x:c r="C2154" s="27" t="str">
        <x:v>Rail</x:v>
      </x:c>
      <x:c r="D2154" s="27" t="str">
        <x:v>YES</x:v>
      </x:c>
      <x:c r="E2154" s="27" t="str">
        <x:v>YES</x:v>
      </x:c>
      <x:c r="F2154" s="61" t="n">
        <x:v>2155.2556893770334</x:v>
      </x:c>
      <x:c r="G2154" s="61" t="n">
        <x:v>56.78936699110048</x:v>
      </x:c>
      <x:c r="H2154" s="27" t="str">
        <x:v>YES</x:v>
      </x:c>
      <x:c r="I2154" s="27" t="str">
        <x:v>NARN shared-node topology; deployable terminal required</x:v>
      </x:c>
      <x:c r="J2154" s="27" t="str">
        <x:v>presence does not prove operability or capacity</x:v>
      </x:c>
    </x:row>
    <x:row r="2155" ht="54" hidden="0" customHeight="1">
      <x:c r="A2155" s="29" t="str">
        <x:v>SCA-18</x:v>
      </x:c>
      <x:c r="B2155" s="29" t="str">
        <x:v>SCA-11</x:v>
      </x:c>
      <x:c r="C2155" s="29" t="str">
        <x:v>Air</x:v>
      </x:c>
      <x:c r="D2155" s="29" t="str">
        <x:v>YES</x:v>
      </x:c>
      <x:c r="E2155" s="29" t="str">
        <x:v>YES</x:v>
      </x:c>
      <x:c r="F2155" s="62" t="n">
        <x:v>1600.9353113205043</x:v>
      </x:c>
      <x:c r="G2155" s="62" t="n">
        <x:v>26.462977402031544</x:v>
      </x:c>
      <x:c r="H2155" s="29" t="str">
        <x:v>YES</x:v>
      </x:c>
      <x:c r="I2155" s="29" t="str">
        <x:v>primary-airport endpoints; great-circle screen</x:v>
      </x:c>
      <x:c r="J2155" s="29" t="str">
        <x:v>presence does not prove operability or capacity</x:v>
      </x:c>
    </x:row>
    <x:row r="2156" ht="54" hidden="0" customHeight="1">
      <x:c r="A2156" s="27" t="str">
        <x:v>SCA-18</x:v>
      </x:c>
      <x:c r="B2156" s="27" t="str">
        <x:v>SCA-11</x:v>
      </x:c>
      <x:c r="C2156" s="27" t="str">
        <x:v>Water</x:v>
      </x:c>
      <x:c r="D2156" s="27" t="str">
        <x:v>NO</x:v>
      </x:c>
      <x:c r="E2156" s="27" t="str">
        <x:v>NO</x:v>
      </x:c>
      <x:c r="F2156" s="61"/>
      <x:c r="G2156" s="61"/>
      <x:c r="H2156" s="27" t="str">
        <x:v>NO</x:v>
      </x:c>
      <x:c r="I2156" s="27" t="str">
        <x:v>no screened path</x:v>
      </x:c>
      <x:c r="J2156" s="27" t="str">
        <x:v>presence does not prove operability or capacity</x:v>
      </x:c>
    </x:row>
    <x:row r="2157" ht="54" hidden="0" customHeight="1">
      <x:c r="A2157" s="29" t="str">
        <x:v>SCA-18</x:v>
      </x:c>
      <x:c r="B2157" s="29" t="str">
        <x:v>SCA-12</x:v>
      </x:c>
      <x:c r="C2157" s="29" t="str">
        <x:v>Road</x:v>
      </x:c>
      <x:c r="D2157" s="29" t="str">
        <x:v>YES</x:v>
      </x:c>
      <x:c r="E2157" s="29" t="str">
        <x:v>YES</x:v>
      </x:c>
      <x:c r="F2157" s="62" t="n">
        <x:v>1231.454291671457</x:v>
      </x:c>
      <x:c r="G2157" s="62" t="n">
        <x:v>42.39007803039013</x:v>
      </x:c>
      <x:c r="H2157" s="29" t="str">
        <x:v>YES</x:v>
      </x:c>
      <x:c r="I2157" s="29" t="str">
        <x:v>NHPN-gated shared-boundary SCA path</x:v>
      </x:c>
      <x:c r="J2157" s="29" t="str">
        <x:v>presence does not prove operability or capacity</x:v>
      </x:c>
    </x:row>
    <x:row r="2158" ht="64.80000305175781" hidden="0" customHeight="1">
      <x:c r="A2158" s="27" t="str">
        <x:v>SCA-18</x:v>
      </x:c>
      <x:c r="B2158" s="27" t="str">
        <x:v>SCA-12</x:v>
      </x:c>
      <x:c r="C2158" s="27" t="str">
        <x:v>Rail</x:v>
      </x:c>
      <x:c r="D2158" s="27" t="str">
        <x:v>YES</x:v>
      </x:c>
      <x:c r="E2158" s="27" t="str">
        <x:v>YES</x:v>
      </x:c>
      <x:c r="F2158" s="61" t="n">
        <x:v>1306.412378990589</x:v>
      </x:c>
      <x:c r="G2158" s="61" t="n">
        <x:v>44.663033985579844</x:v>
      </x:c>
      <x:c r="H2158" s="27" t="str">
        <x:v>YES</x:v>
      </x:c>
      <x:c r="I2158" s="27" t="str">
        <x:v>NARN shared-node topology; deployable terminal required</x:v>
      </x:c>
      <x:c r="J2158" s="27" t="str">
        <x:v>presence does not prove operability or capacity</x:v>
      </x:c>
    </x:row>
    <x:row r="2159" ht="54" hidden="0" customHeight="1">
      <x:c r="A2159" s="29" t="str">
        <x:v>SCA-18</x:v>
      </x:c>
      <x:c r="B2159" s="29" t="str">
        <x:v>SCA-12</x:v>
      </x:c>
      <x:c r="C2159" s="29" t="str">
        <x:v>Air</x:v>
      </x:c>
      <x:c r="D2159" s="29" t="str">
        <x:v>YES</x:v>
      </x:c>
      <x:c r="E2159" s="29" t="str">
        <x:v>YES</x:v>
      </x:c>
      <x:c r="F2159" s="62" t="n">
        <x:v>1070.8298188447452</x:v>
      </x:c>
      <x:c r="G2159" s="62" t="n">
        <x:v>25.647430490530375</x:v>
      </x:c>
      <x:c r="H2159" s="29" t="str">
        <x:v>YES</x:v>
      </x:c>
      <x:c r="I2159" s="29" t="str">
        <x:v>primary-airport endpoints; great-circle screen</x:v>
      </x:c>
      <x:c r="J2159" s="29" t="str">
        <x:v>presence does not prove operability or capacity</x:v>
      </x:c>
    </x:row>
    <x:row r="2160" ht="54" hidden="0" customHeight="1">
      <x:c r="A2160" s="27" t="str">
        <x:v>SCA-18</x:v>
      </x:c>
      <x:c r="B2160" s="27" t="str">
        <x:v>SCA-12</x:v>
      </x:c>
      <x:c r="C2160" s="27" t="str">
        <x:v>Water</x:v>
      </x:c>
      <x:c r="D2160" s="27" t="str">
        <x:v>NO</x:v>
      </x:c>
      <x:c r="E2160" s="27" t="str">
        <x:v>NO</x:v>
      </x:c>
      <x:c r="F2160" s="61"/>
      <x:c r="G2160" s="61"/>
      <x:c r="H2160" s="27" t="str">
        <x:v>NO</x:v>
      </x:c>
      <x:c r="I2160" s="27" t="str">
        <x:v>no screened path</x:v>
      </x:c>
      <x:c r="J2160" s="27" t="str">
        <x:v>presence does not prove operability or capacity</x:v>
      </x:c>
    </x:row>
    <x:row r="2161" ht="54" hidden="0" customHeight="1">
      <x:c r="A2161" s="29" t="str">
        <x:v>SCA-18</x:v>
      </x:c>
      <x:c r="B2161" s="29" t="str">
        <x:v>SCA-13</x:v>
      </x:c>
      <x:c r="C2161" s="29" t="str">
        <x:v>Road</x:v>
      </x:c>
      <x:c r="D2161" s="29" t="str">
        <x:v>NO</x:v>
      </x:c>
      <x:c r="E2161" s="29" t="str">
        <x:v>NO</x:v>
      </x:c>
      <x:c r="F2161" s="62"/>
      <x:c r="G2161" s="62"/>
      <x:c r="H2161" s="29" t="str">
        <x:v>NO</x:v>
      </x:c>
      <x:c r="I2161" s="29" t="str">
        <x:v>no screened path</x:v>
      </x:c>
      <x:c r="J2161" s="29" t="str">
        <x:v>presence does not prove operability or capacity</x:v>
      </x:c>
    </x:row>
    <x:row r="2162" ht="64.80000305175781" hidden="0" customHeight="1">
      <x:c r="A2162" s="27" t="str">
        <x:v>SCA-18</x:v>
      </x:c>
      <x:c r="B2162" s="27" t="str">
        <x:v>SCA-13</x:v>
      </x:c>
      <x:c r="C2162" s="27" t="str">
        <x:v>Rail</x:v>
      </x:c>
      <x:c r="D2162" s="27" t="str">
        <x:v>YES</x:v>
      </x:c>
      <x:c r="E2162" s="27" t="str">
        <x:v>YES</x:v>
      </x:c>
      <x:c r="F2162" s="61" t="n">
        <x:v>2062.9208652678026</x:v>
      </x:c>
      <x:c r="G2162" s="61" t="n">
        <x:v>55.47029807525432</x:v>
      </x:c>
      <x:c r="H2162" s="27" t="str">
        <x:v>YES</x:v>
      </x:c>
      <x:c r="I2162" s="27" t="str">
        <x:v>NARN shared-node topology; deployable terminal required</x:v>
      </x:c>
      <x:c r="J2162" s="27" t="str">
        <x:v>presence does not prove operability or capacity</x:v>
      </x:c>
    </x:row>
    <x:row r="2163" ht="54" hidden="0" customHeight="1">
      <x:c r="A2163" s="29" t="str">
        <x:v>SCA-18</x:v>
      </x:c>
      <x:c r="B2163" s="29" t="str">
        <x:v>SCA-13</x:v>
      </x:c>
      <x:c r="C2163" s="29" t="str">
        <x:v>Air</x:v>
      </x:c>
      <x:c r="D2163" s="29" t="str">
        <x:v>YES</x:v>
      </x:c>
      <x:c r="E2163" s="29" t="str">
        <x:v>YES</x:v>
      </x:c>
      <x:c r="F2163" s="62" t="n">
        <x:v>1681.3559644759157</x:v>
      </x:c>
      <x:c r="G2163" s="62" t="n">
        <x:v>26.5867014838091</x:v>
      </x:c>
      <x:c r="H2163" s="29" t="str">
        <x:v>YES</x:v>
      </x:c>
      <x:c r="I2163" s="29" t="str">
        <x:v>primary-airport endpoints; great-circle screen</x:v>
      </x:c>
      <x:c r="J2163" s="29" t="str">
        <x:v>presence does not prove operability or capacity</x:v>
      </x:c>
    </x:row>
    <x:row r="2164" ht="75.5999984741211" hidden="0" customHeight="1">
      <x:c r="A2164" s="27" t="str">
        <x:v>SCA-18</x:v>
      </x:c>
      <x:c r="B2164" s="27" t="str">
        <x:v>SCA-13</x:v>
      </x:c>
      <x:c r="C2164" s="27" t="str">
        <x:v>Water</x:v>
      </x:c>
      <x:c r="D2164" s="27" t="str">
        <x:v>YES</x:v>
      </x:c>
      <x:c r="E2164" s="27" t="str">
        <x:v>YES</x:v>
      </x:c>
      <x:c r="F2164" s="61" t="n">
        <x:v>2696.7618623950043</x:v>
      </x:c>
      <x:c r="G2164" s="61" t="n">
        <x:v>107.05033892557155</x:v>
      </x:c>
      <x:c r="H2164" s="27" t="str">
        <x:v>NO</x:v>
      </x:c>
      <x:c r="I2164" s="27" t="str">
        <x:v>USACE waterway node topology; deployable terminal required</x:v>
      </x:c>
      <x:c r="J2164" s="27" t="str">
        <x:v>presence does not prove operability or capacity</x:v>
      </x:c>
    </x:row>
    <x:row r="2165" ht="54" hidden="0" customHeight="1">
      <x:c r="A2165" s="29" t="str">
        <x:v>SCA-18</x:v>
      </x:c>
      <x:c r="B2165" s="29" t="str">
        <x:v>SCA-14</x:v>
      </x:c>
      <x:c r="C2165" s="29" t="str">
        <x:v>Road</x:v>
      </x:c>
      <x:c r="D2165" s="29" t="str">
        <x:v>NO</x:v>
      </x:c>
      <x:c r="E2165" s="29" t="str">
        <x:v>NO</x:v>
      </x:c>
      <x:c r="F2165" s="62"/>
      <x:c r="G2165" s="62"/>
      <x:c r="H2165" s="29" t="str">
        <x:v>NO</x:v>
      </x:c>
      <x:c r="I2165" s="29" t="str">
        <x:v>no screened path</x:v>
      </x:c>
      <x:c r="J2165" s="29" t="str">
        <x:v>presence does not prove operability or capacity</x:v>
      </x:c>
    </x:row>
    <x:row r="2166" ht="64.80000305175781" hidden="0" customHeight="1">
      <x:c r="A2166" s="27" t="str">
        <x:v>SCA-18</x:v>
      </x:c>
      <x:c r="B2166" s="27" t="str">
        <x:v>SCA-14</x:v>
      </x:c>
      <x:c r="C2166" s="27" t="str">
        <x:v>Rail</x:v>
      </x:c>
      <x:c r="D2166" s="27" t="str">
        <x:v>YES</x:v>
      </x:c>
      <x:c r="E2166" s="27" t="str">
        <x:v>YES</x:v>
      </x:c>
      <x:c r="F2166" s="61" t="n">
        <x:v>2491.0504937435207</x:v>
      </x:c>
      <x:c r="G2166" s="61" t="n">
        <x:v>61.58643562490744</x:v>
      </x:c>
      <x:c r="H2166" s="27" t="str">
        <x:v>YES</x:v>
      </x:c>
      <x:c r="I2166" s="27" t="str">
        <x:v>NARN shared-node topology; deployable terminal required</x:v>
      </x:c>
      <x:c r="J2166" s="27" t="str">
        <x:v>presence does not prove operability or capacity</x:v>
      </x:c>
    </x:row>
    <x:row r="2167" ht="54" hidden="0" customHeight="1">
      <x:c r="A2167" s="29" t="str">
        <x:v>SCA-18</x:v>
      </x:c>
      <x:c r="B2167" s="29" t="str">
        <x:v>SCA-14</x:v>
      </x:c>
      <x:c r="C2167" s="29" t="str">
        <x:v>Air</x:v>
      </x:c>
      <x:c r="D2167" s="29" t="str">
        <x:v>YES</x:v>
      </x:c>
      <x:c r="E2167" s="29" t="str">
        <x:v>YES</x:v>
      </x:c>
      <x:c r="F2167" s="62" t="n">
        <x:v>2025.1006598092665</x:v>
      </x:c>
      <x:c r="G2167" s="62" t="n">
        <x:v>27.115539476629642</x:v>
      </x:c>
      <x:c r="H2167" s="29" t="str">
        <x:v>YES</x:v>
      </x:c>
      <x:c r="I2167" s="29" t="str">
        <x:v>primary-airport endpoints; great-circle screen</x:v>
      </x:c>
      <x:c r="J2167" s="29" t="str">
        <x:v>presence does not prove operability or capacity</x:v>
      </x:c>
    </x:row>
    <x:row r="2168" ht="75.5999984741211" hidden="0" customHeight="1">
      <x:c r="A2168" s="27" t="str">
        <x:v>SCA-18</x:v>
      </x:c>
      <x:c r="B2168" s="27" t="str">
        <x:v>SCA-14</x:v>
      </x:c>
      <x:c r="C2168" s="27" t="str">
        <x:v>Water</x:v>
      </x:c>
      <x:c r="D2168" s="27" t="str">
        <x:v>YES</x:v>
      </x:c>
      <x:c r="E2168" s="27" t="str">
        <x:v>YES</x:v>
      </x:c>
      <x:c r="F2168" s="61" t="n">
        <x:v>2877.595306500983</x:v>
      </x:c>
      <x:c r="G2168" s="61" t="n">
        <x:v>112.21700875717094</x:v>
      </x:c>
      <x:c r="H2168" s="27" t="str">
        <x:v>NO</x:v>
      </x:c>
      <x:c r="I2168" s="27" t="str">
        <x:v>USACE waterway node topology; deployable terminal required</x:v>
      </x:c>
      <x:c r="J2168" s="27" t="str">
        <x:v>presence does not prove operability or capacity</x:v>
      </x:c>
    </x:row>
    <x:row r="2169" ht="54" hidden="0" customHeight="1">
      <x:c r="A2169" s="29" t="str">
        <x:v>SCA-18</x:v>
      </x:c>
      <x:c r="B2169" s="29" t="str">
        <x:v>SCA-15</x:v>
      </x:c>
      <x:c r="C2169" s="29" t="str">
        <x:v>Road</x:v>
      </x:c>
      <x:c r="D2169" s="29" t="str">
        <x:v>YES</x:v>
      </x:c>
      <x:c r="E2169" s="29" t="str">
        <x:v>YES</x:v>
      </x:c>
      <x:c r="F2169" s="62" t="n">
        <x:v>1521.7239519770685</x:v>
      </x:c>
      <x:c r="G2169" s="62" t="n">
        <x:v>47.66770821776488</x:v>
      </x:c>
      <x:c r="H2169" s="29" t="str">
        <x:v>YES</x:v>
      </x:c>
      <x:c r="I2169" s="29" t="str">
        <x:v>NHPN-gated shared-boundary SCA path</x:v>
      </x:c>
      <x:c r="J2169" s="29" t="str">
        <x:v>presence does not prove operability or capacity</x:v>
      </x:c>
    </x:row>
    <x:row r="2170" ht="64.80000305175781" hidden="0" customHeight="1">
      <x:c r="A2170" s="27" t="str">
        <x:v>SCA-18</x:v>
      </x:c>
      <x:c r="B2170" s="27" t="str">
        <x:v>SCA-15</x:v>
      </x:c>
      <x:c r="C2170" s="27" t="str">
        <x:v>Rail</x:v>
      </x:c>
      <x:c r="D2170" s="27" t="str">
        <x:v>YES</x:v>
      </x:c>
      <x:c r="E2170" s="27" t="str">
        <x:v>YES</x:v>
      </x:c>
      <x:c r="F2170" s="61" t="n">
        <x:v>1614.3506273148037</x:v>
      </x:c>
      <x:c r="G2170" s="61" t="n">
        <x:v>49.06215181878291</x:v>
      </x:c>
      <x:c r="H2170" s="27" t="str">
        <x:v>YES</x:v>
      </x:c>
      <x:c r="I2170" s="27" t="str">
        <x:v>NARN shared-node topology; deployable terminal required</x:v>
      </x:c>
      <x:c r="J2170" s="27" t="str">
        <x:v>presence does not prove operability or capacity</x:v>
      </x:c>
    </x:row>
    <x:row r="2171" ht="54" hidden="0" customHeight="1">
      <x:c r="A2171" s="29" t="str">
        <x:v>SCA-18</x:v>
      </x:c>
      <x:c r="B2171" s="29" t="str">
        <x:v>SCA-15</x:v>
      </x:c>
      <x:c r="C2171" s="29" t="str">
        <x:v>Air</x:v>
      </x:c>
      <x:c r="D2171" s="29" t="str">
        <x:v>YES</x:v>
      </x:c>
      <x:c r="E2171" s="29" t="str">
        <x:v>YES</x:v>
      </x:c>
      <x:c r="F2171" s="62" t="n">
        <x:v>1320.8752033394512</x:v>
      </x:c>
      <x:c r="G2171" s="62" t="n">
        <x:v>26.03211569744531</x:v>
      </x:c>
      <x:c r="H2171" s="29" t="str">
        <x:v>YES</x:v>
      </x:c>
      <x:c r="I2171" s="29" t="str">
        <x:v>primary-airport endpoints; great-circle screen</x:v>
      </x:c>
      <x:c r="J2171" s="29" t="str">
        <x:v>presence does not prove operability or capacity</x:v>
      </x:c>
    </x:row>
    <x:row r="2172" ht="75.5999984741211" hidden="0" customHeight="1">
      <x:c r="A2172" s="27" t="str">
        <x:v>SCA-18</x:v>
      </x:c>
      <x:c r="B2172" s="27" t="str">
        <x:v>SCA-15</x:v>
      </x:c>
      <x:c r="C2172" s="27" t="str">
        <x:v>Water</x:v>
      </x:c>
      <x:c r="D2172" s="27" t="str">
        <x:v>YES</x:v>
      </x:c>
      <x:c r="E2172" s="27" t="str">
        <x:v>YES</x:v>
      </x:c>
      <x:c r="F2172" s="61" t="n">
        <x:v>1693.7449204614331</x:v>
      </x:c>
      <x:c r="G2172" s="61" t="n">
        <x:v>78.3927120131838</x:v>
      </x:c>
      <x:c r="H2172" s="27" t="str">
        <x:v>NO</x:v>
      </x:c>
      <x:c r="I2172" s="27" t="str">
        <x:v>USACE waterway node topology; deployable terminal required</x:v>
      </x:c>
      <x:c r="J2172" s="27" t="str">
        <x:v>presence does not prove operability or capacity</x:v>
      </x:c>
    </x:row>
    <x:row r="2173" ht="54" hidden="0" customHeight="1">
      <x:c r="A2173" s="29" t="str">
        <x:v>SCA-18</x:v>
      </x:c>
      <x:c r="B2173" s="29" t="str">
        <x:v>SCA-16</x:v>
      </x:c>
      <x:c r="C2173" s="29" t="str">
        <x:v>Road</x:v>
      </x:c>
      <x:c r="D2173" s="29" t="str">
        <x:v>YES</x:v>
      </x:c>
      <x:c r="E2173" s="29" t="str">
        <x:v>YES</x:v>
      </x:c>
      <x:c r="F2173" s="62" t="n">
        <x:v>871.6972650281631</x:v>
      </x:c>
      <x:c r="G2173" s="62" t="n">
        <x:v>35.84904118233024</x:v>
      </x:c>
      <x:c r="H2173" s="29" t="str">
        <x:v>YES</x:v>
      </x:c>
      <x:c r="I2173" s="29" t="str">
        <x:v>NHPN-gated shared-boundary SCA path</x:v>
      </x:c>
      <x:c r="J2173" s="29" t="str">
        <x:v>presence does not prove operability or capacity</x:v>
      </x:c>
    </x:row>
    <x:row r="2174" ht="64.80000305175781" hidden="0" customHeight="1">
      <x:c r="A2174" s="27" t="str">
        <x:v>SCA-18</x:v>
      </x:c>
      <x:c r="B2174" s="27" t="str">
        <x:v>SCA-16</x:v>
      </x:c>
      <x:c r="C2174" s="27" t="str">
        <x:v>Rail</x:v>
      </x:c>
      <x:c r="D2174" s="27" t="str">
        <x:v>YES</x:v>
      </x:c>
      <x:c r="E2174" s="27" t="str">
        <x:v>YES</x:v>
      </x:c>
      <x:c r="F2174" s="61" t="n">
        <x:v>924.7570985516164</x:v>
      </x:c>
      <x:c r="G2174" s="61" t="n">
        <x:v>39.21081569359452</x:v>
      </x:c>
      <x:c r="H2174" s="27" t="str">
        <x:v>YES</x:v>
      </x:c>
      <x:c r="I2174" s="27" t="str">
        <x:v>NARN shared-node topology; deployable terminal required</x:v>
      </x:c>
      <x:c r="J2174" s="27" t="str">
        <x:v>presence does not prove operability or capacity</x:v>
      </x:c>
    </x:row>
    <x:row r="2175" ht="54" hidden="0" customHeight="1">
      <x:c r="A2175" s="29" t="str">
        <x:v>SCA-18</x:v>
      </x:c>
      <x:c r="B2175" s="29" t="str">
        <x:v>SCA-16</x:v>
      </x:c>
      <x:c r="C2175" s="29" t="str">
        <x:v>Air</x:v>
      </x:c>
      <x:c r="D2175" s="29" t="str">
        <x:v>YES</x:v>
      </x:c>
      <x:c r="E2175" s="29" t="str">
        <x:v>YES</x:v>
      </x:c>
      <x:c r="F2175" s="62" t="n">
        <x:v>757.99762176362</x:v>
      </x:c>
      <x:c r="G2175" s="62" t="n">
        <x:v>25.166150187328647</x:v>
      </x:c>
      <x:c r="H2175" s="29" t="str">
        <x:v>YES</x:v>
      </x:c>
      <x:c r="I2175" s="29" t="str">
        <x:v>primary-airport endpoints; great-circle screen</x:v>
      </x:c>
      <x:c r="J2175" s="29" t="str">
        <x:v>presence does not prove operability or capacity</x:v>
      </x:c>
    </x:row>
    <x:row r="2176" ht="75.5999984741211" hidden="0" customHeight="1">
      <x:c r="A2176" s="27" t="str">
        <x:v>SCA-18</x:v>
      </x:c>
      <x:c r="B2176" s="27" t="str">
        <x:v>SCA-16</x:v>
      </x:c>
      <x:c r="C2176" s="27" t="str">
        <x:v>Water</x:v>
      </x:c>
      <x:c r="D2176" s="27" t="str">
        <x:v>YES</x:v>
      </x:c>
      <x:c r="E2176" s="27" t="str">
        <x:v>YES</x:v>
      </x:c>
      <x:c r="F2176" s="61" t="n">
        <x:v>970.2369558574337</x:v>
      </x:c>
      <x:c r="G2176" s="61" t="n">
        <x:v>57.721055881640964</x:v>
      </x:c>
      <x:c r="H2176" s="27" t="str">
        <x:v>YES</x:v>
      </x:c>
      <x:c r="I2176" s="27" t="str">
        <x:v>USACE waterway node topology; deployable terminal required</x:v>
      </x:c>
      <x:c r="J2176" s="27" t="str">
        <x:v>presence does not prove operability or capacity</x:v>
      </x:c>
    </x:row>
    <x:row r="2177" ht="54" hidden="0" customHeight="1">
      <x:c r="A2177" s="29" t="str">
        <x:v>SCA-18</x:v>
      </x:c>
      <x:c r="B2177" s="29" t="str">
        <x:v>SCA-17</x:v>
      </x:c>
      <x:c r="C2177" s="29" t="str">
        <x:v>Road</x:v>
      </x:c>
      <x:c r="D2177" s="29" t="str">
        <x:v>YES</x:v>
      </x:c>
      <x:c r="E2177" s="29" t="str">
        <x:v>YES</x:v>
      </x:c>
      <x:c r="F2177" s="62" t="n">
        <x:v>1990.5363448000394</x:v>
      </x:c>
      <x:c r="G2177" s="62" t="n">
        <x:v>56.19156990545526</x:v>
      </x:c>
      <x:c r="H2177" s="29" t="str">
        <x:v>YES</x:v>
      </x:c>
      <x:c r="I2177" s="29" t="str">
        <x:v>NHPN-gated shared-boundary SCA path</x:v>
      </x:c>
      <x:c r="J2177" s="29" t="str">
        <x:v>presence does not prove operability or capacity</x:v>
      </x:c>
    </x:row>
    <x:row r="2178" ht="64.80000305175781" hidden="0" customHeight="1">
      <x:c r="A2178" s="27" t="str">
        <x:v>SCA-18</x:v>
      </x:c>
      <x:c r="B2178" s="27" t="str">
        <x:v>SCA-17</x:v>
      </x:c>
      <x:c r="C2178" s="27" t="str">
        <x:v>Rail</x:v>
      </x:c>
      <x:c r="D2178" s="27" t="str">
        <x:v>YES</x:v>
      </x:c>
      <x:c r="E2178" s="27" t="str">
        <x:v>YES</x:v>
      </x:c>
      <x:c r="F2178" s="61" t="n">
        <x:v>2111.6994266574334</x:v>
      </x:c>
      <x:c r="G2178" s="61" t="n">
        <x:v>56.167134666534764</x:v>
      </x:c>
      <x:c r="H2178" s="27" t="str">
        <x:v>YES</x:v>
      </x:c>
      <x:c r="I2178" s="27" t="str">
        <x:v>NARN shared-node topology; deployable terminal required</x:v>
      </x:c>
      <x:c r="J2178" s="27" t="str">
        <x:v>presence does not prove operability or capacity</x:v>
      </x:c>
    </x:row>
    <x:row r="2179" ht="54" hidden="0" customHeight="1">
      <x:c r="A2179" s="29" t="str">
        <x:v>SCA-18</x:v>
      </x:c>
      <x:c r="B2179" s="29" t="str">
        <x:v>SCA-17</x:v>
      </x:c>
      <x:c r="C2179" s="29" t="str">
        <x:v>Air</x:v>
      </x:c>
      <x:c r="D2179" s="29" t="str">
        <x:v>YES</x:v>
      </x:c>
      <x:c r="E2179" s="29" t="str">
        <x:v>YES</x:v>
      </x:c>
      <x:c r="F2179" s="62" t="n">
        <x:v>1634.5708127564574</x:v>
      </x:c>
      <x:c r="G2179" s="62" t="n">
        <x:v>26.514724327317627</x:v>
      </x:c>
      <x:c r="H2179" s="29" t="str">
        <x:v>YES</x:v>
      </x:c>
      <x:c r="I2179" s="29" t="str">
        <x:v>primary-airport endpoints; great-circle screen</x:v>
      </x:c>
      <x:c r="J2179" s="29" t="str">
        <x:v>presence does not prove operability or capacity</x:v>
      </x:c>
    </x:row>
    <x:row r="2180" ht="75.5999984741211" hidden="0" customHeight="1">
      <x:c r="A2180" s="27" t="str">
        <x:v>SCA-18</x:v>
      </x:c>
      <x:c r="B2180" s="27" t="str">
        <x:v>SCA-17</x:v>
      </x:c>
      <x:c r="C2180" s="27" t="str">
        <x:v>Water</x:v>
      </x:c>
      <x:c r="D2180" s="27" t="str">
        <x:v>YES</x:v>
      </x:c>
      <x:c r="E2180" s="27" t="str">
        <x:v>YES</x:v>
      </x:c>
      <x:c r="F2180" s="61" t="n">
        <x:v>2215.553496820914</x:v>
      </x:c>
      <x:c r="G2180" s="61" t="n">
        <x:v>93.30152848059754</x:v>
      </x:c>
      <x:c r="H2180" s="27" t="str">
        <x:v>NO</x:v>
      </x:c>
      <x:c r="I2180" s="27" t="str">
        <x:v>USACE waterway node topology; deployable terminal required</x:v>
      </x:c>
      <x:c r="J2180" s="27" t="str">
        <x:v>presence does not prove operability or capacity</x:v>
      </x:c>
    </x:row>
    <x:row r="2181" ht="54" hidden="0" customHeight="1">
      <x:c r="A2181" s="29" t="str">
        <x:v>SCA-18</x:v>
      </x:c>
      <x:c r="B2181" s="29" t="str">
        <x:v>SCA-19</x:v>
      </x:c>
      <x:c r="C2181" s="29" t="str">
        <x:v>Road</x:v>
      </x:c>
      <x:c r="D2181" s="29" t="str">
        <x:v>YES</x:v>
      </x:c>
      <x:c r="E2181" s="29" t="str">
        <x:v>YES</x:v>
      </x:c>
      <x:c r="F2181" s="62" t="n">
        <x:v>819.8756982586646</x:v>
      </x:c>
      <x:c r="G2181" s="62" t="n">
        <x:v>34.90683087743027</x:v>
      </x:c>
      <x:c r="H2181" s="29" t="str">
        <x:v>YES</x:v>
      </x:c>
      <x:c r="I2181" s="29" t="str">
        <x:v>NHPN-gated shared-boundary SCA path</x:v>
      </x:c>
      <x:c r="J2181" s="29" t="str">
        <x:v>presence does not prove operability or capacity</x:v>
      </x:c>
    </x:row>
    <x:row r="2182" ht="64.80000305175781" hidden="0" customHeight="1">
      <x:c r="A2182" s="27" t="str">
        <x:v>SCA-18</x:v>
      </x:c>
      <x:c r="B2182" s="27" t="str">
        <x:v>SCA-19</x:v>
      </x:c>
      <x:c r="C2182" s="27" t="str">
        <x:v>Rail</x:v>
      </x:c>
      <x:c r="D2182" s="27" t="str">
        <x:v>YES</x:v>
      </x:c>
      <x:c r="E2182" s="27" t="str">
        <x:v>YES</x:v>
      </x:c>
      <x:c r="F2182" s="61" t="n">
        <x:v>869.7811755439747</x:v>
      </x:c>
      <x:c r="G2182" s="61" t="n">
        <x:v>38.42544536491393</x:v>
      </x:c>
      <x:c r="H2182" s="27" t="str">
        <x:v>YES</x:v>
      </x:c>
      <x:c r="I2182" s="27" t="str">
        <x:v>NARN shared-node topology; deployable terminal required</x:v>
      </x:c>
      <x:c r="J2182" s="27" t="str">
        <x:v>presence does not prove operability or capacity</x:v>
      </x:c>
    </x:row>
    <x:row r="2183" ht="54" hidden="0" customHeight="1">
      <x:c r="A2183" s="29" t="str">
        <x:v>SCA-18</x:v>
      </x:c>
      <x:c r="B2183" s="29" t="str">
        <x:v>SCA-19</x:v>
      </x:c>
      <x:c r="C2183" s="29" t="str">
        <x:v>Air</x:v>
      </x:c>
      <x:c r="D2183" s="29" t="str">
        <x:v>YES</x:v>
      </x:c>
      <x:c r="E2183" s="29" t="str">
        <x:v>YES</x:v>
      </x:c>
      <x:c r="F2183" s="62" t="n">
        <x:v>712.9353897901432</x:v>
      </x:c>
      <x:c r="G2183" s="62" t="n">
        <x:v>25.09682367660022</x:v>
      </x:c>
      <x:c r="H2183" s="29" t="str">
        <x:v>YES</x:v>
      </x:c>
      <x:c r="I2183" s="29" t="str">
        <x:v>primary-airport endpoints; great-circle screen</x:v>
      </x:c>
      <x:c r="J2183" s="29" t="str">
        <x:v>presence does not prove operability or capacity</x:v>
      </x:c>
    </x:row>
    <x:row r="2184" ht="75.5999984741211" hidden="0" customHeight="1">
      <x:c r="A2184" s="27" t="str">
        <x:v>SCA-18</x:v>
      </x:c>
      <x:c r="B2184" s="27" t="str">
        <x:v>SCA-19</x:v>
      </x:c>
      <x:c r="C2184" s="27" t="str">
        <x:v>Water</x:v>
      </x:c>
      <x:c r="D2184" s="27" t="str">
        <x:v>YES</x:v>
      </x:c>
      <x:c r="E2184" s="27" t="str">
        <x:v>YES</x:v>
      </x:c>
      <x:c r="F2184" s="61" t="n">
        <x:v>1299.0652185388171</x:v>
      </x:c>
      <x:c r="G2184" s="61" t="n">
        <x:v>67.11614910110906</x:v>
      </x:c>
      <x:c r="H2184" s="27" t="str">
        <x:v>YES</x:v>
      </x:c>
      <x:c r="I2184" s="27" t="str">
        <x:v>USACE waterway node topology; deployable terminal required</x:v>
      </x:c>
      <x:c r="J2184" s="27" t="str">
        <x:v>presence does not prove operability or capacity</x:v>
      </x:c>
    </x:row>
    <x:row r="2185" ht="54" hidden="0" customHeight="1">
      <x:c r="A2185" s="29" t="str">
        <x:v>SCA-18</x:v>
      </x:c>
      <x:c r="B2185" s="29" t="str">
        <x:v>SCA-20</x:v>
      </x:c>
      <x:c r="C2185" s="29" t="str">
        <x:v>Road</x:v>
      </x:c>
      <x:c r="D2185" s="29" t="str">
        <x:v>YES</x:v>
      </x:c>
      <x:c r="E2185" s="29" t="str">
        <x:v>YES</x:v>
      </x:c>
      <x:c r="F2185" s="62" t="n">
        <x:v>1421.4217780744573</x:v>
      </x:c>
      <x:c r="G2185" s="62" t="n">
        <x:v>45.8440323286265</x:v>
      </x:c>
      <x:c r="H2185" s="29" t="str">
        <x:v>YES</x:v>
      </x:c>
      <x:c r="I2185" s="29" t="str">
        <x:v>NHPN-gated shared-boundary SCA path</x:v>
      </x:c>
      <x:c r="J2185" s="29" t="str">
        <x:v>presence does not prove operability or capacity</x:v>
      </x:c>
    </x:row>
    <x:row r="2186" ht="64.80000305175781" hidden="0" customHeight="1">
      <x:c r="A2186" s="27" t="str">
        <x:v>SCA-18</x:v>
      </x:c>
      <x:c r="B2186" s="27" t="str">
        <x:v>SCA-20</x:v>
      </x:c>
      <x:c r="C2186" s="27" t="str">
        <x:v>Rail</x:v>
      </x:c>
      <x:c r="D2186" s="27" t="str">
        <x:v>YES</x:v>
      </x:c>
      <x:c r="E2186" s="27" t="str">
        <x:v>YES</x:v>
      </x:c>
      <x:c r="F2186" s="61" t="n">
        <x:v>1507.943103696381</x:v>
      </x:c>
      <x:c r="G2186" s="61" t="n">
        <x:v>47.54204433851973</x:v>
      </x:c>
      <x:c r="H2186" s="27" t="str">
        <x:v>YES</x:v>
      </x:c>
      <x:c r="I2186" s="27" t="str">
        <x:v>NARN shared-node topology; deployable terminal required</x:v>
      </x:c>
      <x:c r="J2186" s="27" t="str">
        <x:v>presence does not prove operability or capacity</x:v>
      </x:c>
    </x:row>
    <x:row r="2187" ht="54" hidden="0" customHeight="1">
      <x:c r="A2187" s="29" t="str">
        <x:v>SCA-18</x:v>
      </x:c>
      <x:c r="B2187" s="29" t="str">
        <x:v>SCA-20</x:v>
      </x:c>
      <x:c r="C2187" s="29" t="str">
        <x:v>Air</x:v>
      </x:c>
      <x:c r="D2187" s="29" t="str">
        <x:v>YES</x:v>
      </x:c>
      <x:c r="E2187" s="29" t="str">
        <x:v>YES</x:v>
      </x:c>
      <x:c r="F2187" s="62" t="n">
        <x:v>1231.0291117686734</x:v>
      </x:c>
      <x:c r="G2187" s="62" t="n">
        <x:v>25.893890941182576</x:v>
      </x:c>
      <x:c r="H2187" s="29" t="str">
        <x:v>YES</x:v>
      </x:c>
      <x:c r="I2187" s="29" t="str">
        <x:v>primary-airport endpoints; great-circle screen</x:v>
      </x:c>
      <x:c r="J2187" s="29" t="str">
        <x:v>presence does not prove operability or capacity</x:v>
      </x:c>
    </x:row>
    <x:row r="2188" ht="75.5999984741211" hidden="0" customHeight="1">
      <x:c r="A2188" s="27" t="str">
        <x:v>SCA-18</x:v>
      </x:c>
      <x:c r="B2188" s="27" t="str">
        <x:v>SCA-20</x:v>
      </x:c>
      <x:c r="C2188" s="27" t="str">
        <x:v>Water</x:v>
      </x:c>
      <x:c r="D2188" s="27" t="str">
        <x:v>YES</x:v>
      </x:c>
      <x:c r="E2188" s="27" t="str">
        <x:v>YES</x:v>
      </x:c>
      <x:c r="F2188" s="61" t="n">
        <x:v>1870.829026592195</x:v>
      </x:c>
      <x:c r="G2188" s="61" t="n">
        <x:v>83.45225790263414</x:v>
      </x:c>
      <x:c r="H2188" s="27" t="str">
        <x:v>NO</x:v>
      </x:c>
      <x:c r="I2188" s="27" t="str">
        <x:v>USACE waterway node topology; deployable terminal required</x:v>
      </x:c>
      <x:c r="J2188" s="27" t="str">
        <x:v>presence does not prove operability or capacity</x:v>
      </x:c>
    </x:row>
    <x:row r="2189" ht="54" hidden="0" customHeight="1">
      <x:c r="A2189" s="29" t="str">
        <x:v>SCA-18</x:v>
      </x:c>
      <x:c r="B2189" s="29" t="str">
        <x:v>SCA-21</x:v>
      </x:c>
      <x:c r="C2189" s="29" t="str">
        <x:v>Road</x:v>
      </x:c>
      <x:c r="D2189" s="29" t="str">
        <x:v>YES</x:v>
      </x:c>
      <x:c r="E2189" s="29" t="str">
        <x:v>YES</x:v>
      </x:c>
      <x:c r="F2189" s="62" t="n">
        <x:v>641.6015461058649</x:v>
      </x:c>
      <x:c r="G2189" s="62" t="n">
        <x:v>31.66548265647027</x:v>
      </x:c>
      <x:c r="H2189" s="29" t="str">
        <x:v>YES</x:v>
      </x:c>
      <x:c r="I2189" s="29" t="str">
        <x:v>NHPN-gated shared-boundary SCA path</x:v>
      </x:c>
      <x:c r="J2189" s="29" t="str">
        <x:v>presence does not prove operability or capacity</x:v>
      </x:c>
    </x:row>
    <x:row r="2190" ht="64.80000305175781" hidden="0" customHeight="1">
      <x:c r="A2190" s="27" t="str">
        <x:v>SCA-18</x:v>
      </x:c>
      <x:c r="B2190" s="27" t="str">
        <x:v>SCA-21</x:v>
      </x:c>
      <x:c r="C2190" s="27" t="str">
        <x:v>Rail</x:v>
      </x:c>
      <x:c r="D2190" s="27" t="str">
        <x:v>YES</x:v>
      </x:c>
      <x:c r="E2190" s="27" t="str">
        <x:v>YES</x:v>
      </x:c>
      <x:c r="F2190" s="61" t="n">
        <x:v>680.655553260135</x:v>
      </x:c>
      <x:c r="G2190" s="61" t="n">
        <x:v>35.72365076085907</x:v>
      </x:c>
      <x:c r="H2190" s="27" t="str">
        <x:v>YES</x:v>
      </x:c>
      <x:c r="I2190" s="27" t="str">
        <x:v>NARN shared-node topology; deployable terminal required</x:v>
      </x:c>
      <x:c r="J2190" s="27" t="str">
        <x:v>presence does not prove operability or capacity</x:v>
      </x:c>
    </x:row>
    <x:row r="2191" ht="54" hidden="0" customHeight="1">
      <x:c r="A2191" s="29" t="str">
        <x:v>SCA-18</x:v>
      </x:c>
      <x:c r="B2191" s="29" t="str">
        <x:v>SCA-21</x:v>
      </x:c>
      <x:c r="C2191" s="29" t="str">
        <x:v>Air</x:v>
      </x:c>
      <x:c r="D2191" s="29" t="str">
        <x:v>YES</x:v>
      </x:c>
      <x:c r="E2191" s="29" t="str">
        <x:v>YES</x:v>
      </x:c>
      <x:c r="F2191" s="62" t="n">
        <x:v>557.9143879181435</x:v>
      </x:c>
      <x:c r="G2191" s="62" t="n">
        <x:v>24.858329827566376</x:v>
      </x:c>
      <x:c r="H2191" s="29" t="str">
        <x:v>YES</x:v>
      </x:c>
      <x:c r="I2191" s="29" t="str">
        <x:v>primary-airport endpoints; great-circle screen</x:v>
      </x:c>
      <x:c r="J2191" s="29" t="str">
        <x:v>presence does not prove operability or capacity</x:v>
      </x:c>
    </x:row>
    <x:row r="2192" ht="75.5999984741211" hidden="0" customHeight="1">
      <x:c r="A2192" s="27" t="str">
        <x:v>SCA-18</x:v>
      </x:c>
      <x:c r="B2192" s="27" t="str">
        <x:v>SCA-21</x:v>
      </x:c>
      <x:c r="C2192" s="27" t="str">
        <x:v>Water</x:v>
      </x:c>
      <x:c r="D2192" s="27" t="str">
        <x:v>YES</x:v>
      </x:c>
      <x:c r="E2192" s="27" t="str">
        <x:v>YES</x:v>
      </x:c>
      <x:c r="F2192" s="61" t="n">
        <x:v>714.1304165352236</x:v>
      </x:c>
      <x:c r="G2192" s="61" t="n">
        <x:v>50.403726186720675</x:v>
      </x:c>
      <x:c r="H2192" s="27" t="str">
        <x:v>YES</x:v>
      </x:c>
      <x:c r="I2192" s="27" t="str">
        <x:v>USACE waterway node topology; deployable terminal required</x:v>
      </x:c>
      <x:c r="J2192" s="27" t="str">
        <x:v>presence does not prove operability or capacity</x:v>
      </x:c>
    </x:row>
    <x:row r="2193" ht="54" hidden="0" customHeight="1">
      <x:c r="A2193" s="29" t="str">
        <x:v>SCA-18</x:v>
      </x:c>
      <x:c r="B2193" s="29" t="str">
        <x:v>SCA-22</x:v>
      </x:c>
      <x:c r="C2193" s="29" t="str">
        <x:v>Road</x:v>
      </x:c>
      <x:c r="D2193" s="29" t="str">
        <x:v>YES</x:v>
      </x:c>
      <x:c r="E2193" s="29" t="str">
        <x:v>YES</x:v>
      </x:c>
      <x:c r="F2193" s="62" t="n">
        <x:v>1190.931283347446</x:v>
      </x:c>
      <x:c r="G2193" s="62" t="n">
        <x:v>41.65329606086266</x:v>
      </x:c>
      <x:c r="H2193" s="29" t="str">
        <x:v>YES</x:v>
      </x:c>
      <x:c r="I2193" s="29" t="str">
        <x:v>NHPN-gated shared-boundary SCA path</x:v>
      </x:c>
      <x:c r="J2193" s="29" t="str">
        <x:v>presence does not prove operability or capacity</x:v>
      </x:c>
    </x:row>
    <x:row r="2194" ht="64.80000305175781" hidden="0" customHeight="1">
      <x:c r="A2194" s="27" t="str">
        <x:v>SCA-18</x:v>
      </x:c>
      <x:c r="B2194" s="27" t="str">
        <x:v>SCA-22</x:v>
      </x:c>
      <x:c r="C2194" s="27" t="str">
        <x:v>Rail</x:v>
      </x:c>
      <x:c r="D2194" s="27" t="str">
        <x:v>YES</x:v>
      </x:c>
      <x:c r="E2194" s="27" t="str">
        <x:v>YES</x:v>
      </x:c>
      <x:c r="F2194" s="61" t="n">
        <x:v>1263.4227527685948</x:v>
      </x:c>
      <x:c r="G2194" s="61" t="n">
        <x:v>44.048896468122784</x:v>
      </x:c>
      <x:c r="H2194" s="27" t="str">
        <x:v>YES</x:v>
      </x:c>
      <x:c r="I2194" s="27" t="str">
        <x:v>NARN shared-node topology; deployable terminal required</x:v>
      </x:c>
      <x:c r="J2194" s="27" t="str">
        <x:v>presence does not prove operability or capacity</x:v>
      </x:c>
    </x:row>
    <x:row r="2195" ht="54" hidden="0" customHeight="1">
      <x:c r="A2195" s="29" t="str">
        <x:v>SCA-18</x:v>
      </x:c>
      <x:c r="B2195" s="29" t="str">
        <x:v>SCA-22</x:v>
      </x:c>
      <x:c r="C2195" s="29" t="str">
        <x:v>Air</x:v>
      </x:c>
      <x:c r="D2195" s="29" t="str">
        <x:v>YES</x:v>
      </x:c>
      <x:c r="E2195" s="29" t="str">
        <x:v>YES</x:v>
      </x:c>
      <x:c r="F2195" s="62" t="n">
        <x:v>1003.2500178045785</x:v>
      </x:c>
      <x:c r="G2195" s="62" t="n">
        <x:v>25.5434615658532</x:v>
      </x:c>
      <x:c r="H2195" s="29" t="str">
        <x:v>YES</x:v>
      </x:c>
      <x:c r="I2195" s="29" t="str">
        <x:v>primary-airport endpoints; great-circle screen</x:v>
      </x:c>
      <x:c r="J2195" s="29" t="str">
        <x:v>presence does not prove operability or capacity</x:v>
      </x:c>
    </x:row>
    <x:row r="2196" ht="75.5999984741211" hidden="0" customHeight="1">
      <x:c r="A2196" s="27" t="str">
        <x:v>SCA-18</x:v>
      </x:c>
      <x:c r="B2196" s="27" t="str">
        <x:v>SCA-22</x:v>
      </x:c>
      <x:c r="C2196" s="27" t="str">
        <x:v>Water</x:v>
      </x:c>
      <x:c r="D2196" s="27" t="str">
        <x:v>YES</x:v>
      </x:c>
      <x:c r="E2196" s="27" t="str">
        <x:v>YES</x:v>
      </x:c>
      <x:c r="F2196" s="61" t="n">
        <x:v>1919.6789294094442</x:v>
      </x:c>
      <x:c r="G2196" s="61" t="n">
        <x:v>84.84796941169841</x:v>
      </x:c>
      <x:c r="H2196" s="27" t="str">
        <x:v>NO</x:v>
      </x:c>
      <x:c r="I2196" s="27" t="str">
        <x:v>USACE waterway node topology; deployable terminal required</x:v>
      </x:c>
      <x:c r="J2196" s="27" t="str">
        <x:v>presence does not prove operability or capacity</x:v>
      </x:c>
    </x:row>
    <x:row r="2197" ht="54" hidden="0" customHeight="1">
      <x:c r="A2197" s="29" t="str">
        <x:v>SCA-18</x:v>
      </x:c>
      <x:c r="B2197" s="29" t="str">
        <x:v>SCA-23</x:v>
      </x:c>
      <x:c r="C2197" s="29" t="str">
        <x:v>Road</x:v>
      </x:c>
      <x:c r="D2197" s="29" t="str">
        <x:v>YES</x:v>
      </x:c>
      <x:c r="E2197" s="29" t="str">
        <x:v>YES</x:v>
      </x:c>
      <x:c r="F2197" s="62" t="n">
        <x:v>1779.8441765308817</x:v>
      </x:c>
      <x:c r="G2197" s="62" t="n">
        <x:v>52.360803209652396</x:v>
      </x:c>
      <x:c r="H2197" s="29" t="str">
        <x:v>YES</x:v>
      </x:c>
      <x:c r="I2197" s="29" t="str">
        <x:v>NHPN-gated shared-boundary SCA path</x:v>
      </x:c>
      <x:c r="J2197" s="29" t="str">
        <x:v>presence does not prove operability or capacity</x:v>
      </x:c>
    </x:row>
    <x:row r="2198" ht="64.80000305175781" hidden="0" customHeight="1">
      <x:c r="A2198" s="27" t="str">
        <x:v>SCA-18</x:v>
      </x:c>
      <x:c r="B2198" s="27" t="str">
        <x:v>SCA-23</x:v>
      </x:c>
      <x:c r="C2198" s="27" t="str">
        <x:v>Rail</x:v>
      </x:c>
      <x:c r="D2198" s="27" t="str">
        <x:v>YES</x:v>
      </x:c>
      <x:c r="E2198" s="27" t="str">
        <x:v>YES</x:v>
      </x:c>
      <x:c r="F2198" s="61" t="n">
        <x:v>1888.1825177110222</x:v>
      </x:c>
      <x:c r="G2198" s="61" t="n">
        <x:v>52.97403596730032</x:v>
      </x:c>
      <x:c r="H2198" s="27" t="str">
        <x:v>YES</x:v>
      </x:c>
      <x:c r="I2198" s="27" t="str">
        <x:v>NARN shared-node topology; deployable terminal required</x:v>
      </x:c>
      <x:c r="J2198" s="27" t="str">
        <x:v>presence does not prove operability or capacity</x:v>
      </x:c>
    </x:row>
    <x:row r="2199" ht="54" hidden="0" customHeight="1">
      <x:c r="A2199" s="29" t="str">
        <x:v>SCA-18</x:v>
      </x:c>
      <x:c r="B2199" s="29" t="str">
        <x:v>SCA-23</x:v>
      </x:c>
      <x:c r="C2199" s="29" t="str">
        <x:v>Air</x:v>
      </x:c>
      <x:c r="D2199" s="29" t="str">
        <x:v>YES</x:v>
      </x:c>
      <x:c r="E2199" s="29" t="str">
        <x:v>YES</x:v>
      </x:c>
      <x:c r="F2199" s="62" t="n">
        <x:v>1455.3083923025347</x:v>
      </x:c>
      <x:c r="G2199" s="62" t="n">
        <x:v>26.238935988157746</x:v>
      </x:c>
      <x:c r="H2199" s="29" t="str">
        <x:v>YES</x:v>
      </x:c>
      <x:c r="I2199" s="29" t="str">
        <x:v>primary-airport endpoints; great-circle screen</x:v>
      </x:c>
      <x:c r="J2199" s="29" t="str">
        <x:v>presence does not prove operability or capacity</x:v>
      </x:c>
    </x:row>
    <x:row r="2200" ht="75.5999984741211" hidden="0" customHeight="1">
      <x:c r="A2200" s="27" t="str">
        <x:v>SCA-18</x:v>
      </x:c>
      <x:c r="B2200" s="27" t="str">
        <x:v>SCA-23</x:v>
      </x:c>
      <x:c r="C2200" s="27" t="str">
        <x:v>Water</x:v>
      </x:c>
      <x:c r="D2200" s="27" t="str">
        <x:v>YES</x:v>
      </x:c>
      <x:c r="E2200" s="27" t="str">
        <x:v>YES</x:v>
      </x:c>
      <x:c r="F2200" s="61" t="n">
        <x:v>2515.836602354778</x:v>
      </x:c>
      <x:c r="G2200" s="61" t="n">
        <x:v>101.88104578156508</x:v>
      </x:c>
      <x:c r="H2200" s="27" t="str">
        <x:v>NO</x:v>
      </x:c>
      <x:c r="I2200" s="27" t="str">
        <x:v>USACE waterway node topology; deployable terminal required</x:v>
      </x:c>
      <x:c r="J2200" s="27" t="str">
        <x:v>presence does not prove operability or capacity</x:v>
      </x:c>
    </x:row>
    <x:row r="2201" ht="54" hidden="0" customHeight="1">
      <x:c r="A2201" s="29" t="str">
        <x:v>SCA-18</x:v>
      </x:c>
      <x:c r="B2201" s="29" t="str">
        <x:v>SCA-24</x:v>
      </x:c>
      <x:c r="C2201" s="29" t="str">
        <x:v>Road</x:v>
      </x:c>
      <x:c r="D2201" s="29" t="str">
        <x:v>YES</x:v>
      </x:c>
      <x:c r="E2201" s="29" t="str">
        <x:v>YES</x:v>
      </x:c>
      <x:c r="F2201" s="62" t="n">
        <x:v>1038.8415992689024</x:v>
      </x:c>
      <x:c r="G2201" s="62" t="n">
        <x:v>38.88802907761641</x:v>
      </x:c>
      <x:c r="H2201" s="29" t="str">
        <x:v>YES</x:v>
      </x:c>
      <x:c r="I2201" s="29" t="str">
        <x:v>NHPN-gated shared-boundary SCA path</x:v>
      </x:c>
      <x:c r="J2201" s="29" t="str">
        <x:v>presence does not prove operability or capacity</x:v>
      </x:c>
    </x:row>
    <x:row r="2202" ht="64.80000305175781" hidden="0" customHeight="1">
      <x:c r="A2202" s="27" t="str">
        <x:v>SCA-18</x:v>
      </x:c>
      <x:c r="B2202" s="27" t="str">
        <x:v>SCA-24</x:v>
      </x:c>
      <x:c r="C2202" s="27" t="str">
        <x:v>Rail</x:v>
      </x:c>
      <x:c r="D2202" s="27" t="str">
        <x:v>YES</x:v>
      </x:c>
      <x:c r="E2202" s="27" t="str">
        <x:v>YES</x:v>
      </x:c>
      <x:c r="F2202" s="61" t="n">
        <x:v>1102.0754357461399</x:v>
      </x:c>
      <x:c r="G2202" s="61" t="n">
        <x:v>41.74393479637342</x:v>
      </x:c>
      <x:c r="H2202" s="27" t="str">
        <x:v>YES</x:v>
      </x:c>
      <x:c r="I2202" s="27" t="str">
        <x:v>NARN shared-node topology; deployable terminal required</x:v>
      </x:c>
      <x:c r="J2202" s="27" t="str">
        <x:v>presence does not prove operability or capacity</x:v>
      </x:c>
    </x:row>
    <x:row r="2203" ht="54" hidden="0" customHeight="1">
      <x:c r="A2203" s="29" t="str">
        <x:v>SCA-18</x:v>
      </x:c>
      <x:c r="B2203" s="29" t="str">
        <x:v>SCA-24</x:v>
      </x:c>
      <x:c r="C2203" s="29" t="str">
        <x:v>Air</x:v>
      </x:c>
      <x:c r="D2203" s="29" t="str">
        <x:v>YES</x:v>
      </x:c>
      <x:c r="E2203" s="29" t="str">
        <x:v>YES</x:v>
      </x:c>
      <x:c r="F2203" s="62" t="n">
        <x:v>856.887846063584</x:v>
      </x:c>
      <x:c r="G2203" s="62" t="n">
        <x:v>25.318288993943977</x:v>
      </x:c>
      <x:c r="H2203" s="29" t="str">
        <x:v>YES</x:v>
      </x:c>
      <x:c r="I2203" s="29" t="str">
        <x:v>primary-airport endpoints; great-circle screen</x:v>
      </x:c>
      <x:c r="J2203" s="29" t="str">
        <x:v>presence does not prove operability or capacity</x:v>
      </x:c>
    </x:row>
    <x:row r="2204" ht="75.5999984741211" hidden="0" customHeight="1">
      <x:c r="A2204" s="27" t="str">
        <x:v>SCA-18</x:v>
      </x:c>
      <x:c r="B2204" s="27" t="str">
        <x:v>SCA-24</x:v>
      </x:c>
      <x:c r="C2204" s="27" t="str">
        <x:v>Water</x:v>
      </x:c>
      <x:c r="D2204" s="27" t="str">
        <x:v>YES</x:v>
      </x:c>
      <x:c r="E2204" s="27" t="str">
        <x:v>YES</x:v>
      </x:c>
      <x:c r="F2204" s="61" t="n">
        <x:v>1096.8164429613876</x:v>
      </x:c>
      <x:c r="G2204" s="61" t="n">
        <x:v>61.337612656039646</x:v>
      </x:c>
      <x:c r="H2204" s="27" t="str">
        <x:v>YES</x:v>
      </x:c>
      <x:c r="I2204" s="27" t="str">
        <x:v>USACE waterway node topology; deployable terminal required</x:v>
      </x:c>
      <x:c r="J2204" s="27" t="str">
        <x:v>presence does not prove operability or capacity</x:v>
      </x:c>
    </x:row>
    <x:row r="2205" ht="54" hidden="0" customHeight="1">
      <x:c r="A2205" s="29" t="str">
        <x:v>SCA-18</x:v>
      </x:c>
      <x:c r="B2205" s="29" t="str">
        <x:v>SCA-25</x:v>
      </x:c>
      <x:c r="C2205" s="29" t="str">
        <x:v>Road</x:v>
      </x:c>
      <x:c r="D2205" s="29" t="str">
        <x:v>YES</x:v>
      </x:c>
      <x:c r="E2205" s="29" t="str">
        <x:v>YES</x:v>
      </x:c>
      <x:c r="F2205" s="62" t="n">
        <x:v>2274.428356450321</x:v>
      </x:c>
      <x:c r="G2205" s="62" t="n">
        <x:v>61.353242844551296</x:v>
      </x:c>
      <x:c r="H2205" s="29" t="str">
        <x:v>YES</x:v>
      </x:c>
      <x:c r="I2205" s="29" t="str">
        <x:v>NHPN-gated shared-boundary SCA path</x:v>
      </x:c>
      <x:c r="J2205" s="29" t="str">
        <x:v>presence does not prove operability or capacity</x:v>
      </x:c>
    </x:row>
    <x:row r="2206" ht="64.80000305175781" hidden="0" customHeight="1">
      <x:c r="A2206" s="27" t="str">
        <x:v>SCA-18</x:v>
      </x:c>
      <x:c r="B2206" s="27" t="str">
        <x:v>SCA-25</x:v>
      </x:c>
      <x:c r="C2206" s="27" t="str">
        <x:v>Rail</x:v>
      </x:c>
      <x:c r="D2206" s="27" t="str">
        <x:v>YES</x:v>
      </x:c>
      <x:c r="E2206" s="27" t="str">
        <x:v>YES</x:v>
      </x:c>
      <x:c r="F2206" s="61" t="n">
        <x:v>2412.8718216255584</x:v>
      </x:c>
      <x:c r="G2206" s="61" t="n">
        <x:v>60.46959745179369</x:v>
      </x:c>
      <x:c r="H2206" s="27" t="str">
        <x:v>YES</x:v>
      </x:c>
      <x:c r="I2206" s="27" t="str">
        <x:v>NARN shared-node topology; deployable terminal required</x:v>
      </x:c>
      <x:c r="J2206" s="27" t="str">
        <x:v>presence does not prove operability or capacity</x:v>
      </x:c>
    </x:row>
    <x:row r="2207" ht="54" hidden="0" customHeight="1">
      <x:c r="A2207" s="29" t="str">
        <x:v>SCA-18</x:v>
      </x:c>
      <x:c r="B2207" s="29" t="str">
        <x:v>SCA-25</x:v>
      </x:c>
      <x:c r="C2207" s="29" t="str">
        <x:v>Air</x:v>
      </x:c>
      <x:c r="D2207" s="29" t="str">
        <x:v>YES</x:v>
      </x:c>
      <x:c r="E2207" s="29" t="str">
        <x:v>YES</x:v>
      </x:c>
      <x:c r="F2207" s="62" t="n">
        <x:v>1884.9747256922542</x:v>
      </x:c>
      <x:c r="G2207" s="62" t="n">
        <x:v>26.89996111644962</x:v>
      </x:c>
      <x:c r="H2207" s="29" t="str">
        <x:v>YES</x:v>
      </x:c>
      <x:c r="I2207" s="29" t="str">
        <x:v>primary-airport endpoints; great-circle screen</x:v>
      </x:c>
      <x:c r="J2207" s="29" t="str">
        <x:v>presence does not prove operability or capacity</x:v>
      </x:c>
    </x:row>
    <x:row r="2208" ht="75.5999984741211" hidden="0" customHeight="1">
      <x:c r="A2208" s="27" t="str">
        <x:v>SCA-18</x:v>
      </x:c>
      <x:c r="B2208" s="27" t="str">
        <x:v>SCA-25</x:v>
      </x:c>
      <x:c r="C2208" s="27" t="str">
        <x:v>Water</x:v>
      </x:c>
      <x:c r="D2208" s="27" t="str">
        <x:v>YES</x:v>
      </x:c>
      <x:c r="E2208" s="27" t="str">
        <x:v>YES</x:v>
      </x:c>
      <x:c r="F2208" s="61" t="n">
        <x:v>2947.833961943971</x:v>
      </x:c>
      <x:c r="G2208" s="61" t="n">
        <x:v>114.22382748411346</x:v>
      </x:c>
      <x:c r="H2208" s="27" t="str">
        <x:v>NO</x:v>
      </x:c>
      <x:c r="I2208" s="27" t="str">
        <x:v>USACE waterway node topology; deployable terminal required</x:v>
      </x:c>
      <x:c r="J2208" s="27" t="str">
        <x:v>presence does not prove operability or capacity</x:v>
      </x:c>
    </x:row>
    <x:row r="2209" ht="54" hidden="0" customHeight="1">
      <x:c r="A2209" s="29" t="str">
        <x:v>SCA-18</x:v>
      </x:c>
      <x:c r="B2209" s="29" t="str">
        <x:v>SCA-26</x:v>
      </x:c>
      <x:c r="C2209" s="29" t="str">
        <x:v>Road</x:v>
      </x:c>
      <x:c r="D2209" s="29" t="str">
        <x:v>YES</x:v>
      </x:c>
      <x:c r="E2209" s="29" t="str">
        <x:v>YES</x:v>
      </x:c>
      <x:c r="F2209" s="62" t="n">
        <x:v>2602.9278122151436</x:v>
      </x:c>
      <x:c r="G2209" s="62" t="n">
        <x:v>67.32596022209353</x:v>
      </x:c>
      <x:c r="H2209" s="29" t="str">
        <x:v>YES</x:v>
      </x:c>
      <x:c r="I2209" s="29" t="str">
        <x:v>NHPN-gated shared-boundary SCA path</x:v>
      </x:c>
      <x:c r="J2209" s="29" t="str">
        <x:v>presence does not prove operability or capacity</x:v>
      </x:c>
    </x:row>
    <x:row r="2210" ht="64.80000305175781" hidden="0" customHeight="1">
      <x:c r="A2210" s="27" t="str">
        <x:v>SCA-18</x:v>
      </x:c>
      <x:c r="B2210" s="27" t="str">
        <x:v>SCA-26</x:v>
      </x:c>
      <x:c r="C2210" s="27" t="str">
        <x:v>Rail</x:v>
      </x:c>
      <x:c r="D2210" s="27" t="str">
        <x:v>YES</x:v>
      </x:c>
      <x:c r="E2210" s="27" t="str">
        <x:v>YES</x:v>
      </x:c>
      <x:c r="F2210" s="61" t="n">
        <x:v>2761.3668964369344</x:v>
      </x:c>
      <x:c r="G2210" s="61" t="n">
        <x:v>65.44809852052764</x:v>
      </x:c>
      <x:c r="H2210" s="27" t="str">
        <x:v>YES</x:v>
      </x:c>
      <x:c r="I2210" s="27" t="str">
        <x:v>NARN shared-node topology; deployable terminal required</x:v>
      </x:c>
      <x:c r="J2210" s="27" t="str">
        <x:v>presence does not prove operability or capacity</x:v>
      </x:c>
    </x:row>
    <x:row r="2211" ht="54" hidden="0" customHeight="1">
      <x:c r="A2211" s="29" t="str">
        <x:v>SCA-18</x:v>
      </x:c>
      <x:c r="B2211" s="29" t="str">
        <x:v>SCA-26</x:v>
      </x:c>
      <x:c r="C2211" s="29" t="str">
        <x:v>Air</x:v>
      </x:c>
      <x:c r="D2211" s="29" t="str">
        <x:v>YES</x:v>
      </x:c>
      <x:c r="E2211" s="29" t="str">
        <x:v>YES</x:v>
      </x:c>
      <x:c r="F2211" s="62" t="n">
        <x:v>2146.0836724354835</x:v>
      </x:c>
      <x:c r="G2211" s="62" t="n">
        <x:v>27.30166718836228</x:v>
      </x:c>
      <x:c r="H2211" s="29" t="str">
        <x:v>YES</x:v>
      </x:c>
      <x:c r="I2211" s="29" t="str">
        <x:v>primary-airport endpoints; great-circle screen</x:v>
      </x:c>
      <x:c r="J2211" s="29" t="str">
        <x:v>presence does not prove operability or capacity</x:v>
      </x:c>
    </x:row>
    <x:row r="2212" ht="75.5999984741211" hidden="0" customHeight="1">
      <x:c r="A2212" s="27" t="str">
        <x:v>SCA-18</x:v>
      </x:c>
      <x:c r="B2212" s="27" t="str">
        <x:v>SCA-26</x:v>
      </x:c>
      <x:c r="C2212" s="27" t="str">
        <x:v>Water</x:v>
      </x:c>
      <x:c r="D2212" s="27" t="str">
        <x:v>YES</x:v>
      </x:c>
      <x:c r="E2212" s="27" t="str">
        <x:v>YES</x:v>
      </x:c>
      <x:c r="F2212" s="61" t="n">
        <x:v>3313.4681387952514</x:v>
      </x:c>
      <x:c r="G2212" s="61" t="n">
        <x:v>124.6705182512929</x:v>
      </x:c>
      <x:c r="H2212" s="27" t="str">
        <x:v>NO</x:v>
      </x:c>
      <x:c r="I2212" s="27" t="str">
        <x:v>USACE waterway node topology; deployable terminal required</x:v>
      </x:c>
      <x:c r="J2212" s="27" t="str">
        <x:v>presence does not prove operability or capacity</x:v>
      </x:c>
    </x:row>
    <x:row r="2213" ht="54" hidden="0" customHeight="1">
      <x:c r="A2213" s="29" t="str">
        <x:v>SCA-18</x:v>
      </x:c>
      <x:c r="B2213" s="29" t="str">
        <x:v>SCA-27</x:v>
      </x:c>
      <x:c r="C2213" s="29" t="str">
        <x:v>Road</x:v>
      </x:c>
      <x:c r="D2213" s="29" t="str">
        <x:v>YES</x:v>
      </x:c>
      <x:c r="E2213" s="29" t="str">
        <x:v>YES</x:v>
      </x:c>
      <x:c r="F2213" s="62" t="n">
        <x:v>2882.556076334692</x:v>
      </x:c>
      <x:c r="G2213" s="62" t="n">
        <x:v>72.41011047881258</x:v>
      </x:c>
      <x:c r="H2213" s="29" t="str">
        <x:v>NO</x:v>
      </x:c>
      <x:c r="I2213" s="29" t="str">
        <x:v>NHPN-gated shared-boundary SCA path</x:v>
      </x:c>
      <x:c r="J2213" s="29" t="str">
        <x:v>presence does not prove operability or capacity</x:v>
      </x:c>
    </x:row>
    <x:row r="2214" ht="64.80000305175781" hidden="0" customHeight="1">
      <x:c r="A2214" s="27" t="str">
        <x:v>SCA-18</x:v>
      </x:c>
      <x:c r="B2214" s="27" t="str">
        <x:v>SCA-27</x:v>
      </x:c>
      <x:c r="C2214" s="27" t="str">
        <x:v>Rail</x:v>
      </x:c>
      <x:c r="D2214" s="27" t="str">
        <x:v>YES</x:v>
      </x:c>
      <x:c r="E2214" s="27" t="str">
        <x:v>YES</x:v>
      </x:c>
      <x:c r="F2214" s="61" t="n">
        <x:v>3058.0160114159344</x:v>
      </x:c>
      <x:c r="G2214" s="61" t="n">
        <x:v>69.68594302022763</x:v>
      </x:c>
      <x:c r="H2214" s="27" t="str">
        <x:v>YES</x:v>
      </x:c>
      <x:c r="I2214" s="27" t="str">
        <x:v>NARN shared-node topology; deployable terminal required</x:v>
      </x:c>
      <x:c r="J2214" s="27" t="str">
        <x:v>presence does not prove operability or capacity</x:v>
      </x:c>
    </x:row>
    <x:row r="2215" ht="54" hidden="0" customHeight="1">
      <x:c r="A2215" s="29" t="str">
        <x:v>SCA-18</x:v>
      </x:c>
      <x:c r="B2215" s="29" t="str">
        <x:v>SCA-27</x:v>
      </x:c>
      <x:c r="C2215" s="29" t="str">
        <x:v>Air</x:v>
      </x:c>
      <x:c r="D2215" s="29" t="str">
        <x:v>YES</x:v>
      </x:c>
      <x:c r="E2215" s="29" t="str">
        <x:v>YES</x:v>
      </x:c>
      <x:c r="F2215" s="62" t="n">
        <x:v>2387.643939247437</x:v>
      </x:c>
      <x:c r="G2215" s="62" t="n">
        <x:v>27.67329836807298</x:v>
      </x:c>
      <x:c r="H2215" s="29" t="str">
        <x:v>YES</x:v>
      </x:c>
      <x:c r="I2215" s="29" t="str">
        <x:v>primary-airport endpoints; great-circle screen</x:v>
      </x:c>
      <x:c r="J2215" s="29" t="str">
        <x:v>presence does not prove operability or capacity</x:v>
      </x:c>
    </x:row>
    <x:row r="2216" ht="75.5999984741211" hidden="0" customHeight="1">
      <x:c r="A2216" s="27" t="str">
        <x:v>SCA-18</x:v>
      </x:c>
      <x:c r="B2216" s="27" t="str">
        <x:v>SCA-27</x:v>
      </x:c>
      <x:c r="C2216" s="27" t="str">
        <x:v>Water</x:v>
      </x:c>
      <x:c r="D2216" s="27" t="str">
        <x:v>YES</x:v>
      </x:c>
      <x:c r="E2216" s="27" t="str">
        <x:v>YES</x:v>
      </x:c>
      <x:c r="F2216" s="61" t="n">
        <x:v>3492.6906985281794</x:v>
      </x:c>
      <x:c r="G2216" s="61" t="n">
        <x:v>129.79116281509084</x:v>
      </x:c>
      <x:c r="H2216" s="27" t="str">
        <x:v>NO</x:v>
      </x:c>
      <x:c r="I2216" s="27" t="str">
        <x:v>USACE waterway node topology; deployable terminal required</x:v>
      </x:c>
      <x:c r="J2216" s="27" t="str">
        <x:v>presence does not prove operability or capacity</x:v>
      </x:c>
    </x:row>
    <x:row r="2217" ht="54" hidden="0" customHeight="1">
      <x:c r="A2217" s="29" t="str">
        <x:v>SCA-18</x:v>
      </x:c>
      <x:c r="B2217" s="29" t="str">
        <x:v>SCA-28</x:v>
      </x:c>
      <x:c r="C2217" s="29" t="str">
        <x:v>Road</x:v>
      </x:c>
      <x:c r="D2217" s="29" t="str">
        <x:v>YES</x:v>
      </x:c>
      <x:c r="E2217" s="29" t="str">
        <x:v>YES</x:v>
      </x:c>
      <x:c r="F2217" s="62" t="n">
        <x:v>1534.6570958275668</x:v>
      </x:c>
      <x:c r="G2217" s="62" t="n">
        <x:v>47.90285628777394</x:v>
      </x:c>
      <x:c r="H2217" s="29" t="str">
        <x:v>YES</x:v>
      </x:c>
      <x:c r="I2217" s="29" t="str">
        <x:v>NHPN-gated shared-boundary SCA path</x:v>
      </x:c>
      <x:c r="J2217" s="29" t="str">
        <x:v>presence does not prove operability or capacity</x:v>
      </x:c>
    </x:row>
    <x:row r="2218" ht="64.80000305175781" hidden="0" customHeight="1">
      <x:c r="A2218" s="27" t="str">
        <x:v>SCA-18</x:v>
      </x:c>
      <x:c r="B2218" s="27" t="str">
        <x:v>SCA-28</x:v>
      </x:c>
      <x:c r="C2218" s="27" t="str">
        <x:v>Rail</x:v>
      </x:c>
      <x:c r="D2218" s="27" t="str">
        <x:v>YES</x:v>
      </x:c>
      <x:c r="E2218" s="27" t="str">
        <x:v>YES</x:v>
      </x:c>
      <x:c r="F2218" s="61" t="n">
        <x:v>1628.0710060083748</x:v>
      </x:c>
      <x:c r="G2218" s="61" t="n">
        <x:v>49.25815722869107</x:v>
      </x:c>
      <x:c r="H2218" s="27" t="str">
        <x:v>YES</x:v>
      </x:c>
      <x:c r="I2218" s="27" t="str">
        <x:v>NARN shared-node topology; deployable terminal required</x:v>
      </x:c>
      <x:c r="J2218" s="27" t="str">
        <x:v>presence does not prove operability or capacity</x:v>
      </x:c>
    </x:row>
    <x:row r="2219" ht="54" hidden="0" customHeight="1">
      <x:c r="A2219" s="29" t="str">
        <x:v>SCA-18</x:v>
      </x:c>
      <x:c r="B2219" s="29" t="str">
        <x:v>SCA-28</x:v>
      </x:c>
      <x:c r="C2219" s="29" t="str">
        <x:v>Air</x:v>
      </x:c>
      <x:c r="D2219" s="29" t="str">
        <x:v>YES</x:v>
      </x:c>
      <x:c r="E2219" s="29" t="str">
        <x:v>YES</x:v>
      </x:c>
      <x:c r="F2219" s="62" t="n">
        <x:v>1284.7494109238478</x:v>
      </x:c>
      <x:c r="G2219" s="62" t="n">
        <x:v>25.97653755526746</x:v>
      </x:c>
      <x:c r="H2219" s="29" t="str">
        <x:v>YES</x:v>
      </x:c>
      <x:c r="I2219" s="29" t="str">
        <x:v>primary-airport endpoints; great-circle screen</x:v>
      </x:c>
      <x:c r="J2219" s="29" t="str">
        <x:v>presence does not prove operability or capacity</x:v>
      </x:c>
    </x:row>
    <x:row r="2220" ht="75.5999984741211" hidden="0" customHeight="1">
      <x:c r="A2220" s="27" t="str">
        <x:v>SCA-18</x:v>
      </x:c>
      <x:c r="B2220" s="27" t="str">
        <x:v>SCA-28</x:v>
      </x:c>
      <x:c r="C2220" s="27" t="str">
        <x:v>Water</x:v>
      </x:c>
      <x:c r="D2220" s="27" t="str">
        <x:v>YES</x:v>
      </x:c>
      <x:c r="E2220" s="27" t="str">
        <x:v>YES</x:v>
      </x:c>
      <x:c r="F2220" s="61" t="n">
        <x:v>1648.680647826683</x:v>
      </x:c>
      <x:c r="G2220" s="61" t="n">
        <x:v>77.10516136647666</x:v>
      </x:c>
      <x:c r="H2220" s="27" t="str">
        <x:v>NO</x:v>
      </x:c>
      <x:c r="I2220" s="27" t="str">
        <x:v>USACE waterway node topology; deployable terminal required</x:v>
      </x:c>
      <x:c r="J2220" s="27" t="str">
        <x:v>presence does not prove operability or capacity</x:v>
      </x:c>
    </x:row>
    <x:row r="2221" ht="54" hidden="0" customHeight="1">
      <x:c r="A2221" s="29" t="str">
        <x:v>SCA-18</x:v>
      </x:c>
      <x:c r="B2221" s="29" t="str">
        <x:v>SCA-29</x:v>
      </x:c>
      <x:c r="C2221" s="29" t="str">
        <x:v>Road</x:v>
      </x:c>
      <x:c r="D2221" s="29" t="str">
        <x:v>YES</x:v>
      </x:c>
      <x:c r="E2221" s="29" t="str">
        <x:v>YES</x:v>
      </x:c>
      <x:c r="F2221" s="62" t="n">
        <x:v>1908.4738080615907</x:v>
      </x:c>
      <x:c r="G2221" s="62" t="n">
        <x:v>54.699523782938016</x:v>
      </x:c>
      <x:c r="H2221" s="29" t="str">
        <x:v>YES</x:v>
      </x:c>
      <x:c r="I2221" s="29" t="str">
        <x:v>NHPN-gated shared-boundary SCA path</x:v>
      </x:c>
      <x:c r="J2221" s="29" t="str">
        <x:v>presence does not prove operability or capacity</x:v>
      </x:c>
    </x:row>
    <x:row r="2222" ht="64.80000305175781" hidden="0" customHeight="1">
      <x:c r="A2222" s="27" t="str">
        <x:v>SCA-18</x:v>
      </x:c>
      <x:c r="B2222" s="27" t="str">
        <x:v>SCA-29</x:v>
      </x:c>
      <x:c r="C2222" s="27" t="str">
        <x:v>Rail</x:v>
      </x:c>
      <x:c r="D2222" s="27" t="str">
        <x:v>YES</x:v>
      </x:c>
      <x:c r="E2222" s="27" t="str">
        <x:v>YES</x:v>
      </x:c>
      <x:c r="F2222" s="61" t="n">
        <x:v>2024.6417789870786</x:v>
      </x:c>
      <x:c r="G2222" s="61" t="n">
        <x:v>54.92345398552969</x:v>
      </x:c>
      <x:c r="H2222" s="27" t="str">
        <x:v>YES</x:v>
      </x:c>
      <x:c r="I2222" s="27" t="str">
        <x:v>NARN shared-node topology; deployable terminal required</x:v>
      </x:c>
      <x:c r="J2222" s="27" t="str">
        <x:v>presence does not prove operability or capacity</x:v>
      </x:c>
    </x:row>
    <x:row r="2223" ht="54" hidden="0" customHeight="1">
      <x:c r="A2223" s="29" t="str">
        <x:v>SCA-18</x:v>
      </x:c>
      <x:c r="B2223" s="29" t="str">
        <x:v>SCA-29</x:v>
      </x:c>
      <x:c r="C2223" s="29" t="str">
        <x:v>Air</x:v>
      </x:c>
      <x:c r="D2223" s="29" t="str">
        <x:v>YES</x:v>
      </x:c>
      <x:c r="E2223" s="29" t="str">
        <x:v>YES</x:v>
      </x:c>
      <x:c r="F2223" s="62" t="n">
        <x:v>1596.011834022533</x:v>
      </x:c>
      <x:c r="G2223" s="62" t="n">
        <x:v>26.455402821573127</x:v>
      </x:c>
      <x:c r="H2223" s="29" t="str">
        <x:v>YES</x:v>
      </x:c>
      <x:c r="I2223" s="29" t="str">
        <x:v>primary-airport endpoints; great-circle screen</x:v>
      </x:c>
      <x:c r="J2223" s="29" t="str">
        <x:v>presence does not prove operability or capacity</x:v>
      </x:c>
    </x:row>
    <x:row r="2224" ht="75.5999984741211" hidden="0" customHeight="1">
      <x:c r="A2224" s="27" t="str">
        <x:v>SCA-18</x:v>
      </x:c>
      <x:c r="B2224" s="27" t="str">
        <x:v>SCA-29</x:v>
      </x:c>
      <x:c r="C2224" s="27" t="str">
        <x:v>Water</x:v>
      </x:c>
      <x:c r="D2224" s="27" t="str">
        <x:v>YES</x:v>
      </x:c>
      <x:c r="E2224" s="27" t="str">
        <x:v>YES</x:v>
      </x:c>
      <x:c r="F2224" s="61" t="n">
        <x:v>2290.077841930119</x:v>
      </x:c>
      <x:c r="G2224" s="61" t="n">
        <x:v>95.43079548371769</x:v>
      </x:c>
      <x:c r="H2224" s="27" t="str">
        <x:v>NO</x:v>
      </x:c>
      <x:c r="I2224" s="27" t="str">
        <x:v>USACE waterway node topology; deployable terminal required</x:v>
      </x:c>
      <x:c r="J2224" s="27" t="str">
        <x:v>presence does not prove operability or capacity</x:v>
      </x:c>
    </x:row>
    <x:row r="2225" ht="54" hidden="0" customHeight="1">
      <x:c r="A2225" s="29" t="str">
        <x:v>SCA-18</x:v>
      </x:c>
      <x:c r="B2225" s="29" t="str">
        <x:v>SCA-30</x:v>
      </x:c>
      <x:c r="C2225" s="29" t="str">
        <x:v>Road</x:v>
      </x:c>
      <x:c r="D2225" s="29" t="str">
        <x:v>YES</x:v>
      </x:c>
      <x:c r="E2225" s="29" t="str">
        <x:v>YES</x:v>
      </x:c>
      <x:c r="F2225" s="62" t="n">
        <x:v>1998.2208117588068</x:v>
      </x:c>
      <x:c r="G2225" s="62" t="n">
        <x:v>56.33128748652376</x:v>
      </x:c>
      <x:c r="H2225" s="29" t="str">
        <x:v>YES</x:v>
      </x:c>
      <x:c r="I2225" s="29" t="str">
        <x:v>NHPN-gated shared-boundary SCA path</x:v>
      </x:c>
      <x:c r="J2225" s="29" t="str">
        <x:v>presence does not prove operability or capacity</x:v>
      </x:c>
    </x:row>
    <x:row r="2226" ht="64.80000305175781" hidden="0" customHeight="1">
      <x:c r="A2226" s="27" t="str">
        <x:v>SCA-18</x:v>
      </x:c>
      <x:c r="B2226" s="27" t="str">
        <x:v>SCA-30</x:v>
      </x:c>
      <x:c r="C2226" s="27" t="str">
        <x:v>Rail</x:v>
      </x:c>
      <x:c r="D2226" s="27" t="str">
        <x:v>YES</x:v>
      </x:c>
      <x:c r="E2226" s="27" t="str">
        <x:v>YES</x:v>
      </x:c>
      <x:c r="F2226" s="61" t="n">
        <x:v>2119.8516437789076</x:v>
      </x:c>
      <x:c r="G2226" s="61" t="n">
        <x:v>56.28359491112725</x:v>
      </x:c>
      <x:c r="H2226" s="27" t="str">
        <x:v>YES</x:v>
      </x:c>
      <x:c r="I2226" s="27" t="str">
        <x:v>NARN shared-node topology; deployable terminal required</x:v>
      </x:c>
      <x:c r="J2226" s="27" t="str">
        <x:v>presence does not prove operability or capacity</x:v>
      </x:c>
    </x:row>
    <x:row r="2227" ht="54" hidden="0" customHeight="1">
      <x:c r="A2227" s="29" t="str">
        <x:v>SCA-18</x:v>
      </x:c>
      <x:c r="B2227" s="29" t="str">
        <x:v>SCA-30</x:v>
      </x:c>
      <x:c r="C2227" s="29" t="str">
        <x:v>Air</x:v>
      </x:c>
      <x:c r="D2227" s="29" t="str">
        <x:v>YES</x:v>
      </x:c>
      <x:c r="E2227" s="29" t="str">
        <x:v>YES</x:v>
      </x:c>
      <x:c r="F2227" s="62" t="n">
        <x:v>1640.067536088698</x:v>
      </x:c>
      <x:c r="G2227" s="62" t="n">
        <x:v>26.523180824751844</x:v>
      </x:c>
      <x:c r="H2227" s="29" t="str">
        <x:v>YES</x:v>
      </x:c>
      <x:c r="I2227" s="29" t="str">
        <x:v>primary-airport endpoints; great-circle screen</x:v>
      </x:c>
      <x:c r="J2227" s="29" t="str">
        <x:v>presence does not prove operability or capacity</x:v>
      </x:c>
    </x:row>
    <x:row r="2228" ht="75.5999984741211" hidden="0" customHeight="1">
      <x:c r="A2228" s="27" t="str">
        <x:v>SCA-18</x:v>
      </x:c>
      <x:c r="B2228" s="27" t="str">
        <x:v>SCA-30</x:v>
      </x:c>
      <x:c r="C2228" s="27" t="str">
        <x:v>Water</x:v>
      </x:c>
      <x:c r="D2228" s="27" t="str">
        <x:v>YES</x:v>
      </x:c>
      <x:c r="E2228" s="27" t="str">
        <x:v>YES</x:v>
      </x:c>
      <x:c r="F2228" s="61" t="n">
        <x:v>2164.6472186023243</x:v>
      </x:c>
      <x:c r="G2228" s="61" t="n">
        <x:v>91.84706338863784</x:v>
      </x:c>
      <x:c r="H2228" s="27" t="str">
        <x:v>NO</x:v>
      </x:c>
      <x:c r="I2228" s="27" t="str">
        <x:v>USACE waterway node topology; deployable terminal required</x:v>
      </x:c>
      <x:c r="J2228" s="27" t="str">
        <x:v>presence does not prove operability or capacity</x:v>
      </x:c>
    </x:row>
    <x:row r="2229" ht="54" hidden="0" customHeight="1">
      <x:c r="A2229" s="29" t="str">
        <x:v>SCA-18</x:v>
      </x:c>
      <x:c r="B2229" s="29" t="str">
        <x:v>SCA-31</x:v>
      </x:c>
      <x:c r="C2229" s="29" t="str">
        <x:v>Road</x:v>
      </x:c>
      <x:c r="D2229" s="29" t="str">
        <x:v>YES</x:v>
      </x:c>
      <x:c r="E2229" s="29" t="str">
        <x:v>YES</x:v>
      </x:c>
      <x:c r="F2229" s="62" t="n">
        <x:v>2391.302956945313</x:v>
      </x:c>
      <x:c r="G2229" s="62" t="n">
        <x:v>63.47823558082387</x:v>
      </x:c>
      <x:c r="H2229" s="29" t="str">
        <x:v>YES</x:v>
      </x:c>
      <x:c r="I2229" s="29" t="str">
        <x:v>NHPN-gated shared-boundary SCA path</x:v>
      </x:c>
      <x:c r="J2229" s="29" t="str">
        <x:v>presence does not prove operability or capacity</x:v>
      </x:c>
    </x:row>
    <x:row r="2230" ht="64.80000305175781" hidden="0" customHeight="1">
      <x:c r="A2230" s="27" t="str">
        <x:v>SCA-18</x:v>
      </x:c>
      <x:c r="B2230" s="27" t="str">
        <x:v>SCA-31</x:v>
      </x:c>
      <x:c r="C2230" s="27" t="str">
        <x:v>Rail</x:v>
      </x:c>
      <x:c r="D2230" s="27" t="str">
        <x:v>YES</x:v>
      </x:c>
      <x:c r="E2230" s="27" t="str">
        <x:v>YES</x:v>
      </x:c>
      <x:c r="F2230" s="61" t="n">
        <x:v>2536.8605282376357</x:v>
      </x:c>
      <x:c r="G2230" s="61" t="n">
        <x:v>62.24086468910908</x:v>
      </x:c>
      <x:c r="H2230" s="27" t="str">
        <x:v>YES</x:v>
      </x:c>
      <x:c r="I2230" s="27" t="str">
        <x:v>NARN shared-node topology; deployable terminal required</x:v>
      </x:c>
      <x:c r="J2230" s="27" t="str">
        <x:v>presence does not prove operability or capacity</x:v>
      </x:c>
    </x:row>
    <x:row r="2231" ht="54" hidden="0" customHeight="1">
      <x:c r="A2231" s="29" t="str">
        <x:v>SCA-18</x:v>
      </x:c>
      <x:c r="B2231" s="29" t="str">
        <x:v>SCA-31</x:v>
      </x:c>
      <x:c r="C2231" s="29" t="str">
        <x:v>Air</x:v>
      </x:c>
      <x:c r="D2231" s="29" t="str">
        <x:v>YES</x:v>
      </x:c>
      <x:c r="E2231" s="29" t="str">
        <x:v>YES</x:v>
      </x:c>
      <x:c r="F2231" s="62" t="n">
        <x:v>1804.9024742278598</x:v>
      </x:c>
      <x:c r="G2231" s="62" t="n">
        <x:v>26.77677303727363</x:v>
      </x:c>
      <x:c r="H2231" s="29" t="str">
        <x:v>YES</x:v>
      </x:c>
      <x:c r="I2231" s="29" t="str">
        <x:v>primary-airport endpoints; great-circle screen</x:v>
      </x:c>
      <x:c r="J2231" s="29" t="str">
        <x:v>presence does not prove operability or capacity</x:v>
      </x:c>
    </x:row>
    <x:row r="2232" ht="75.5999984741211" hidden="0" customHeight="1">
      <x:c r="A2232" s="27" t="str">
        <x:v>SCA-18</x:v>
      </x:c>
      <x:c r="B2232" s="27" t="str">
        <x:v>SCA-31</x:v>
      </x:c>
      <x:c r="C2232" s="27" t="str">
        <x:v>Water</x:v>
      </x:c>
      <x:c r="D2232" s="27" t="str">
        <x:v>YES</x:v>
      </x:c>
      <x:c r="E2232" s="27" t="str">
        <x:v>YES</x:v>
      </x:c>
      <x:c r="F2232" s="61" t="n">
        <x:v>2602.164736722957</x:v>
      </x:c>
      <x:c r="G2232" s="61" t="n">
        <x:v>104.3475639063702</x:v>
      </x:c>
      <x:c r="H2232" s="27" t="str">
        <x:v>NO</x:v>
      </x:c>
      <x:c r="I2232" s="27" t="str">
        <x:v>USACE waterway node topology; deployable terminal required</x:v>
      </x:c>
      <x:c r="J2232" s="27" t="str">
        <x:v>presence does not prove operability or capacity</x:v>
      </x:c>
    </x:row>
    <x:row r="2233" ht="54" hidden="0" customHeight="1">
      <x:c r="A2233" s="29" t="str">
        <x:v>SCA-18</x:v>
      </x:c>
      <x:c r="B2233" s="29" t="str">
        <x:v>SCA-32</x:v>
      </x:c>
      <x:c r="C2233" s="29" t="str">
        <x:v>Road</x:v>
      </x:c>
      <x:c r="D2233" s="29" t="str">
        <x:v>NO</x:v>
      </x:c>
      <x:c r="E2233" s="29" t="str">
        <x:v>NO</x:v>
      </x:c>
      <x:c r="F2233" s="62"/>
      <x:c r="G2233" s="62"/>
      <x:c r="H2233" s="29" t="str">
        <x:v>NO</x:v>
      </x:c>
      <x:c r="I2233" s="29" t="str">
        <x:v>no screened path</x:v>
      </x:c>
      <x:c r="J2233" s="29" t="str">
        <x:v>presence does not prove operability or capacity</x:v>
      </x:c>
    </x:row>
    <x:row r="2234" ht="54" hidden="0" customHeight="1">
      <x:c r="A2234" s="27" t="str">
        <x:v>SCA-18</x:v>
      </x:c>
      <x:c r="B2234" s="27" t="str">
        <x:v>SCA-32</x:v>
      </x:c>
      <x:c r="C2234" s="27" t="str">
        <x:v>Rail</x:v>
      </x:c>
      <x:c r="D2234" s="27" t="str">
        <x:v>NO</x:v>
      </x:c>
      <x:c r="E2234" s="27" t="str">
        <x:v>NO</x:v>
      </x:c>
      <x:c r="F2234" s="61"/>
      <x:c r="G2234" s="61"/>
      <x:c r="H2234" s="27" t="str">
        <x:v>NO</x:v>
      </x:c>
      <x:c r="I2234" s="27" t="str">
        <x:v>no screened path</x:v>
      </x:c>
      <x:c r="J2234" s="27" t="str">
        <x:v>presence does not prove operability or capacity</x:v>
      </x:c>
    </x:row>
    <x:row r="2235" ht="54" hidden="0" customHeight="1">
      <x:c r="A2235" s="29" t="str">
        <x:v>SCA-18</x:v>
      </x:c>
      <x:c r="B2235" s="29" t="str">
        <x:v>SCA-32</x:v>
      </x:c>
      <x:c r="C2235" s="29" t="str">
        <x:v>Air</x:v>
      </x:c>
      <x:c r="D2235" s="29" t="str">
        <x:v>YES</x:v>
      </x:c>
      <x:c r="E2235" s="29" t="str">
        <x:v>YES</x:v>
      </x:c>
      <x:c r="F2235" s="62" t="n">
        <x:v>3896.731066159853</x:v>
      </x:c>
      <x:c r="G2235" s="62" t="n">
        <x:v>29.99497087101516</x:v>
      </x:c>
      <x:c r="H2235" s="29" t="str">
        <x:v>YES</x:v>
      </x:c>
      <x:c r="I2235" s="29" t="str">
        <x:v>primary-airport endpoints; great-circle screen</x:v>
      </x:c>
      <x:c r="J2235" s="29" t="str">
        <x:v>presence does not prove operability or capacity</x:v>
      </x:c>
    </x:row>
    <x:row r="2236" ht="75.5999984741211" hidden="0" customHeight="1">
      <x:c r="A2236" s="27" t="str">
        <x:v>SCA-18</x:v>
      </x:c>
      <x:c r="B2236" s="27" t="str">
        <x:v>SCA-32</x:v>
      </x:c>
      <x:c r="C2236" s="27" t="str">
        <x:v>Water</x:v>
      </x:c>
      <x:c r="D2236" s="27" t="str">
        <x:v>YES</x:v>
      </x:c>
      <x:c r="E2236" s="27" t="str">
        <x:v>YES</x:v>
      </x:c>
      <x:c r="F2236" s="61" t="n">
        <x:v>5259.892061936698</x:v>
      </x:c>
      <x:c r="G2236" s="61" t="n">
        <x:v>180.28263034104853</x:v>
      </x:c>
      <x:c r="H2236" s="27" t="str">
        <x:v>NO</x:v>
      </x:c>
      <x:c r="I2236" s="27" t="str">
        <x:v>USACE waterway node topology; deployable terminal required</x:v>
      </x:c>
      <x:c r="J2236" s="27" t="str">
        <x:v>presence does not prove operability or capacity</x:v>
      </x:c>
    </x:row>
    <x:row r="2237" ht="54" hidden="0" customHeight="1">
      <x:c r="A2237" s="29" t="str">
        <x:v>SCA-19</x:v>
      </x:c>
      <x:c r="B2237" s="29" t="str">
        <x:v>SCA-01</x:v>
      </x:c>
      <x:c r="C2237" s="29" t="str">
        <x:v>Road</x:v>
      </x:c>
      <x:c r="D2237" s="29" t="str">
        <x:v>NO</x:v>
      </x:c>
      <x:c r="E2237" s="29" t="str">
        <x:v>NO</x:v>
      </x:c>
      <x:c r="F2237" s="62"/>
      <x:c r="G2237" s="62"/>
      <x:c r="H2237" s="29" t="str">
        <x:v>NO</x:v>
      </x:c>
      <x:c r="I2237" s="29" t="str">
        <x:v>no screened path</x:v>
      </x:c>
      <x:c r="J2237" s="29" t="str">
        <x:v>presence does not prove operability or capacity</x:v>
      </x:c>
    </x:row>
    <x:row r="2238" ht="54" hidden="0" customHeight="1">
      <x:c r="A2238" s="27" t="str">
        <x:v>SCA-19</x:v>
      </x:c>
      <x:c r="B2238" s="27" t="str">
        <x:v>SCA-01</x:v>
      </x:c>
      <x:c r="C2238" s="27" t="str">
        <x:v>Rail</x:v>
      </x:c>
      <x:c r="D2238" s="27" t="str">
        <x:v>NO</x:v>
      </x:c>
      <x:c r="E2238" s="27" t="str">
        <x:v>NO</x:v>
      </x:c>
      <x:c r="F2238" s="61"/>
      <x:c r="G2238" s="61"/>
      <x:c r="H2238" s="27" t="str">
        <x:v>NO</x:v>
      </x:c>
      <x:c r="I2238" s="27" t="str">
        <x:v>no screened path</x:v>
      </x:c>
      <x:c r="J2238" s="27" t="str">
        <x:v>presence does not prove operability or capacity</x:v>
      </x:c>
    </x:row>
    <x:row r="2239" ht="54" hidden="0" customHeight="1">
      <x:c r="A2239" s="29" t="str">
        <x:v>SCA-19</x:v>
      </x:c>
      <x:c r="B2239" s="29" t="str">
        <x:v>SCA-01</x:v>
      </x:c>
      <x:c r="C2239" s="29" t="str">
        <x:v>Air</x:v>
      </x:c>
      <x:c r="D2239" s="29" t="str">
        <x:v>YES</x:v>
      </x:c>
      <x:c r="E2239" s="29" t="str">
        <x:v>YES</x:v>
      </x:c>
      <x:c r="F2239" s="62" t="n">
        <x:v>6576.204953120168</x:v>
      </x:c>
      <x:c r="G2239" s="62" t="n">
        <x:v>34.11723838941565</x:v>
      </x:c>
      <x:c r="H2239" s="29" t="str">
        <x:v>YES</x:v>
      </x:c>
      <x:c r="I2239" s="29" t="str">
        <x:v>primary-airport endpoints; great-circle screen</x:v>
      </x:c>
      <x:c r="J2239" s="29" t="str">
        <x:v>presence does not prove operability or capacity</x:v>
      </x:c>
    </x:row>
    <x:row r="2240" ht="75.5999984741211" hidden="0" customHeight="1">
      <x:c r="A2240" s="27" t="str">
        <x:v>SCA-19</x:v>
      </x:c>
      <x:c r="B2240" s="27" t="str">
        <x:v>SCA-01</x:v>
      </x:c>
      <x:c r="C2240" s="27" t="str">
        <x:v>Water</x:v>
      </x:c>
      <x:c r="D2240" s="27" t="str">
        <x:v>YES</x:v>
      </x:c>
      <x:c r="E2240" s="27" t="str">
        <x:v>YES</x:v>
      </x:c>
      <x:c r="F2240" s="61" t="n">
        <x:v>12343.631554930578</x:v>
      </x:c>
      <x:c r="G2240" s="61" t="n">
        <x:v>382.6751872837308</x:v>
      </x:c>
      <x:c r="H2240" s="27" t="str">
        <x:v>NO</x:v>
      </x:c>
      <x:c r="I2240" s="27" t="str">
        <x:v>USACE waterway node topology; deployable terminal required</x:v>
      </x:c>
      <x:c r="J2240" s="27" t="str">
        <x:v>presence does not prove operability or capacity</x:v>
      </x:c>
    </x:row>
    <x:row r="2241" ht="54" hidden="0" customHeight="1">
      <x:c r="A2241" s="29" t="str">
        <x:v>SCA-19</x:v>
      </x:c>
      <x:c r="B2241" s="29" t="str">
        <x:v>SCA-02</x:v>
      </x:c>
      <x:c r="C2241" s="29" t="str">
        <x:v>Road</x:v>
      </x:c>
      <x:c r="D2241" s="29" t="str">
        <x:v>NO</x:v>
      </x:c>
      <x:c r="E2241" s="29" t="str">
        <x:v>NO</x:v>
      </x:c>
      <x:c r="F2241" s="62"/>
      <x:c r="G2241" s="62"/>
      <x:c r="H2241" s="29" t="str">
        <x:v>NO</x:v>
      </x:c>
      <x:c r="I2241" s="29" t="str">
        <x:v>no screened path</x:v>
      </x:c>
      <x:c r="J2241" s="29" t="str">
        <x:v>presence does not prove operability or capacity</x:v>
      </x:c>
    </x:row>
    <x:row r="2242" ht="54" hidden="0" customHeight="1">
      <x:c r="A2242" s="27" t="str">
        <x:v>SCA-19</x:v>
      </x:c>
      <x:c r="B2242" s="27" t="str">
        <x:v>SCA-02</x:v>
      </x:c>
      <x:c r="C2242" s="27" t="str">
        <x:v>Rail</x:v>
      </x:c>
      <x:c r="D2242" s="27" t="str">
        <x:v>NO</x:v>
      </x:c>
      <x:c r="E2242" s="27" t="str">
        <x:v>NO</x:v>
      </x:c>
      <x:c r="F2242" s="61"/>
      <x:c r="G2242" s="61"/>
      <x:c r="H2242" s="27" t="str">
        <x:v>NO</x:v>
      </x:c>
      <x:c r="I2242" s="27" t="str">
        <x:v>no screened path</x:v>
      </x:c>
      <x:c r="J2242" s="27" t="str">
        <x:v>presence does not prove operability or capacity</x:v>
      </x:c>
    </x:row>
    <x:row r="2243" ht="54" hidden="0" customHeight="1">
      <x:c r="A2243" s="29" t="str">
        <x:v>SCA-19</x:v>
      </x:c>
      <x:c r="B2243" s="29" t="str">
        <x:v>SCA-02</x:v>
      </x:c>
      <x:c r="C2243" s="29" t="str">
        <x:v>Air</x:v>
      </x:c>
      <x:c r="D2243" s="29" t="str">
        <x:v>YES</x:v>
      </x:c>
      <x:c r="E2243" s="29" t="str">
        <x:v>YES</x:v>
      </x:c>
      <x:c r="F2243" s="62" t="n">
        <x:v>4495.298066022545</x:v>
      </x:c>
      <x:c r="G2243" s="62" t="n">
        <x:v>30.915843178496225</x:v>
      </x:c>
      <x:c r="H2243" s="29" t="str">
        <x:v>YES</x:v>
      </x:c>
      <x:c r="I2243" s="29" t="str">
        <x:v>primary-airport endpoints; great-circle screen</x:v>
      </x:c>
      <x:c r="J2243" s="29" t="str">
        <x:v>presence does not prove operability or capacity</x:v>
      </x:c>
    </x:row>
    <x:row r="2244" ht="75.5999984741211" hidden="0" customHeight="1">
      <x:c r="A2244" s="27" t="str">
        <x:v>SCA-19</x:v>
      </x:c>
      <x:c r="B2244" s="27" t="str">
        <x:v>SCA-02</x:v>
      </x:c>
      <x:c r="C2244" s="27" t="str">
        <x:v>Water</x:v>
      </x:c>
      <x:c r="D2244" s="27" t="str">
        <x:v>YES</x:v>
      </x:c>
      <x:c r="E2244" s="27" t="str">
        <x:v>YES</x:v>
      </x:c>
      <x:c r="F2244" s="61" t="n">
        <x:v>8910.062063672913</x:v>
      </x:c>
      <x:c r="G2244" s="61" t="n">
        <x:v>284.5732018192261</x:v>
      </x:c>
      <x:c r="H2244" s="27" t="str">
        <x:v>NO</x:v>
      </x:c>
      <x:c r="I2244" s="27" t="str">
        <x:v>USACE waterway node topology; deployable terminal required</x:v>
      </x:c>
      <x:c r="J2244" s="27" t="str">
        <x:v>presence does not prove operability or capacity</x:v>
      </x:c>
    </x:row>
    <x:row r="2245" ht="54" hidden="0" customHeight="1">
      <x:c r="A2245" s="29" t="str">
        <x:v>SCA-19</x:v>
      </x:c>
      <x:c r="B2245" s="29" t="str">
        <x:v>SCA-03</x:v>
      </x:c>
      <x:c r="C2245" s="29" t="str">
        <x:v>Road</x:v>
      </x:c>
      <x:c r="D2245" s="29" t="str">
        <x:v>YES</x:v>
      </x:c>
      <x:c r="E2245" s="29" t="str">
        <x:v>YES</x:v>
      </x:c>
      <x:c r="F2245" s="62" t="n">
        <x:v>3230.0916856570043</x:v>
      </x:c>
      <x:c r="G2245" s="62" t="n">
        <x:v>78.72893973921826</x:v>
      </x:c>
      <x:c r="H2245" s="29" t="str">
        <x:v>NO</x:v>
      </x:c>
      <x:c r="I2245" s="29" t="str">
        <x:v>NHPN-gated shared-boundary SCA path</x:v>
      </x:c>
      <x:c r="J2245" s="29" t="str">
        <x:v>presence does not prove operability or capacity</x:v>
      </x:c>
    </x:row>
    <x:row r="2246" ht="64.80000305175781" hidden="0" customHeight="1">
      <x:c r="A2246" s="27" t="str">
        <x:v>SCA-19</x:v>
      </x:c>
      <x:c r="B2246" s="27" t="str">
        <x:v>SCA-03</x:v>
      </x:c>
      <x:c r="C2246" s="27" t="str">
        <x:v>Rail</x:v>
      </x:c>
      <x:c r="D2246" s="27" t="str">
        <x:v>YES</x:v>
      </x:c>
      <x:c r="E2246" s="27" t="str">
        <x:v>YES</x:v>
      </x:c>
      <x:c r="F2246" s="61" t="n">
        <x:v>3426.705962175257</x:v>
      </x:c>
      <x:c r="G2246" s="61" t="n">
        <x:v>74.95294231678938</x:v>
      </x:c>
      <x:c r="H2246" s="27" t="str">
        <x:v>NO</x:v>
      </x:c>
      <x:c r="I2246" s="27" t="str">
        <x:v>NARN shared-node topology; deployable terminal required</x:v>
      </x:c>
      <x:c r="J2246" s="27" t="str">
        <x:v>presence does not prove operability or capacity</x:v>
      </x:c>
    </x:row>
    <x:row r="2247" ht="54" hidden="0" customHeight="1">
      <x:c r="A2247" s="29" t="str">
        <x:v>SCA-19</x:v>
      </x:c>
      <x:c r="B2247" s="29" t="str">
        <x:v>SCA-03</x:v>
      </x:c>
      <x:c r="C2247" s="29" t="str">
        <x:v>Air</x:v>
      </x:c>
      <x:c r="D2247" s="29" t="str">
        <x:v>YES</x:v>
      </x:c>
      <x:c r="E2247" s="29" t="str">
        <x:v>YES</x:v>
      </x:c>
      <x:c r="F2247" s="62" t="n">
        <x:v>2642.2234291020027</x:v>
      </x:c>
      <x:c r="G2247" s="62" t="n">
        <x:v>28.064959121695388</x:v>
      </x:c>
      <x:c r="H2247" s="29" t="str">
        <x:v>YES</x:v>
      </x:c>
      <x:c r="I2247" s="29" t="str">
        <x:v>primary-airport endpoints; great-circle screen</x:v>
      </x:c>
      <x:c r="J2247" s="29" t="str">
        <x:v>presence does not prove operability or capacity</x:v>
      </x:c>
    </x:row>
    <x:row r="2248" ht="75.5999984741211" hidden="0" customHeight="1">
      <x:c r="A2248" s="27" t="str">
        <x:v>SCA-19</x:v>
      </x:c>
      <x:c r="B2248" s="27" t="str">
        <x:v>SCA-03</x:v>
      </x:c>
      <x:c r="C2248" s="27" t="str">
        <x:v>Water</x:v>
      </x:c>
      <x:c r="D2248" s="27" t="str">
        <x:v>YES</x:v>
      </x:c>
      <x:c r="E2248" s="27" t="str">
        <x:v>YES</x:v>
      </x:c>
      <x:c r="F2248" s="61" t="n">
        <x:v>8952.870242258921</x:v>
      </x:c>
      <x:c r="G2248" s="61" t="n">
        <x:v>285.79629263596917</x:v>
      </x:c>
      <x:c r="H2248" s="27" t="str">
        <x:v>NO</x:v>
      </x:c>
      <x:c r="I2248" s="27" t="str">
        <x:v>USACE waterway node topology; deployable terminal required</x:v>
      </x:c>
      <x:c r="J2248" s="27" t="str">
        <x:v>presence does not prove operability or capacity</x:v>
      </x:c>
    </x:row>
    <x:row r="2249" ht="54" hidden="0" customHeight="1">
      <x:c r="A2249" s="29" t="str">
        <x:v>SCA-19</x:v>
      </x:c>
      <x:c r="B2249" s="29" t="str">
        <x:v>SCA-04</x:v>
      </x:c>
      <x:c r="C2249" s="29" t="str">
        <x:v>Road</x:v>
      </x:c>
      <x:c r="D2249" s="29" t="str">
        <x:v>YES</x:v>
      </x:c>
      <x:c r="E2249" s="29" t="str">
        <x:v>YES</x:v>
      </x:c>
      <x:c r="F2249" s="62" t="n">
        <x:v>3604.6638674306587</x:v>
      </x:c>
      <x:c r="G2249" s="62" t="n">
        <x:v>85.5393430441938</x:v>
      </x:c>
      <x:c r="H2249" s="29" t="str">
        <x:v>NO</x:v>
      </x:c>
      <x:c r="I2249" s="29" t="str">
        <x:v>NHPN-gated shared-boundary SCA path</x:v>
      </x:c>
      <x:c r="J2249" s="29" t="str">
        <x:v>presence does not prove operability or capacity</x:v>
      </x:c>
    </x:row>
    <x:row r="2250" ht="64.80000305175781" hidden="0" customHeight="1">
      <x:c r="A2250" s="27" t="str">
        <x:v>SCA-19</x:v>
      </x:c>
      <x:c r="B2250" s="27" t="str">
        <x:v>SCA-04</x:v>
      </x:c>
      <x:c r="C2250" s="27" t="str">
        <x:v>Rail</x:v>
      </x:c>
      <x:c r="D2250" s="27" t="str">
        <x:v>YES</x:v>
      </x:c>
      <x:c r="E2250" s="27" t="str">
        <x:v>YES</x:v>
      </x:c>
      <x:c r="F2250" s="61" t="n">
        <x:v>3862.2022535416063</x:v>
      </x:c>
      <x:c r="G2250" s="61" t="n">
        <x:v>81.17431790773723</x:v>
      </x:c>
      <x:c r="H2250" s="27" t="str">
        <x:v>NO</x:v>
      </x:c>
      <x:c r="I2250" s="27" t="str">
        <x:v>NARN shared-node topology; deployable terminal required</x:v>
      </x:c>
      <x:c r="J2250" s="27" t="str">
        <x:v>presence does not prove operability or capacity</x:v>
      </x:c>
    </x:row>
    <x:row r="2251" ht="54" hidden="0" customHeight="1">
      <x:c r="A2251" s="29" t="str">
        <x:v>SCA-19</x:v>
      </x:c>
      <x:c r="B2251" s="29" t="str">
        <x:v>SCA-04</x:v>
      </x:c>
      <x:c r="C2251" s="29" t="str">
        <x:v>Air</x:v>
      </x:c>
      <x:c r="D2251" s="29" t="str">
        <x:v>YES</x:v>
      </x:c>
      <x:c r="E2251" s="29" t="str">
        <x:v>YES</x:v>
      </x:c>
      <x:c r="F2251" s="62" t="n">
        <x:v>2654.9085690254196</x:v>
      </x:c>
      <x:c r="G2251" s="62" t="n">
        <x:v>28.084474721577568</x:v>
      </x:c>
      <x:c r="H2251" s="29" t="str">
        <x:v>YES</x:v>
      </x:c>
      <x:c r="I2251" s="29" t="str">
        <x:v>primary-airport endpoints; great-circle screen</x:v>
      </x:c>
      <x:c r="J2251" s="29" t="str">
        <x:v>presence does not prove operability or capacity</x:v>
      </x:c>
    </x:row>
    <x:row r="2252" ht="75.5999984741211" hidden="0" customHeight="1">
      <x:c r="A2252" s="27" t="str">
        <x:v>SCA-19</x:v>
      </x:c>
      <x:c r="B2252" s="27" t="str">
        <x:v>SCA-04</x:v>
      </x:c>
      <x:c r="C2252" s="27" t="str">
        <x:v>Water</x:v>
      </x:c>
      <x:c r="D2252" s="27" t="str">
        <x:v>YES</x:v>
      </x:c>
      <x:c r="E2252" s="27" t="str">
        <x:v>YES</x:v>
      </x:c>
      <x:c r="F2252" s="61" t="n">
        <x:v>7740.612033877955</x:v>
      </x:c>
      <x:c r="G2252" s="61" t="n">
        <x:v>251.16034382508442</x:v>
      </x:c>
      <x:c r="H2252" s="27" t="str">
        <x:v>NO</x:v>
      </x:c>
      <x:c r="I2252" s="27" t="str">
        <x:v>USACE waterway node topology; deployable terminal required</x:v>
      </x:c>
      <x:c r="J2252" s="27" t="str">
        <x:v>presence does not prove operability or capacity</x:v>
      </x:c>
    </x:row>
    <x:row r="2253" ht="54" hidden="0" customHeight="1">
      <x:c r="A2253" s="29" t="str">
        <x:v>SCA-19</x:v>
      </x:c>
      <x:c r="B2253" s="29" t="str">
        <x:v>SCA-05</x:v>
      </x:c>
      <x:c r="C2253" s="29" t="str">
        <x:v>Road</x:v>
      </x:c>
      <x:c r="D2253" s="29" t="str">
        <x:v>YES</x:v>
      </x:c>
      <x:c r="E2253" s="29" t="str">
        <x:v>YES</x:v>
      </x:c>
      <x:c r="F2253" s="62" t="n">
        <x:v>3200.155581422886</x:v>
      </x:c>
      <x:c r="G2253" s="62" t="n">
        <x:v>78.18464693496156</x:v>
      </x:c>
      <x:c r="H2253" s="29" t="str">
        <x:v>NO</x:v>
      </x:c>
      <x:c r="I2253" s="29" t="str">
        <x:v>NHPN-gated shared-boundary SCA path</x:v>
      </x:c>
      <x:c r="J2253" s="29" t="str">
        <x:v>presence does not prove operability or capacity</x:v>
      </x:c>
    </x:row>
    <x:row r="2254" ht="64.80000305175781" hidden="0" customHeight="1">
      <x:c r="A2254" s="27" t="str">
        <x:v>SCA-19</x:v>
      </x:c>
      <x:c r="B2254" s="27" t="str">
        <x:v>SCA-05</x:v>
      </x:c>
      <x:c r="C2254" s="27" t="str">
        <x:v>Rail</x:v>
      </x:c>
      <x:c r="D2254" s="27" t="str">
        <x:v>YES</x:v>
      </x:c>
      <x:c r="E2254" s="27" t="str">
        <x:v>YES</x:v>
      </x:c>
      <x:c r="F2254" s="61" t="n">
        <x:v>3462.9549095486577</x:v>
      </x:c>
      <x:c r="G2254" s="61" t="n">
        <x:v>75.47078442212367</x:v>
      </x:c>
      <x:c r="H2254" s="27" t="str">
        <x:v>NO</x:v>
      </x:c>
      <x:c r="I2254" s="27" t="str">
        <x:v>NARN shared-node topology; deployable terminal required</x:v>
      </x:c>
      <x:c r="J2254" s="27" t="str">
        <x:v>presence does not prove operability or capacity</x:v>
      </x:c>
    </x:row>
    <x:row r="2255" ht="54" hidden="0" customHeight="1">
      <x:c r="A2255" s="29" t="str">
        <x:v>SCA-19</x:v>
      </x:c>
      <x:c r="B2255" s="29" t="str">
        <x:v>SCA-05</x:v>
      </x:c>
      <x:c r="C2255" s="29" t="str">
        <x:v>Air</x:v>
      </x:c>
      <x:c r="D2255" s="29" t="str">
        <x:v>YES</x:v>
      </x:c>
      <x:c r="E2255" s="29" t="str">
        <x:v>YES</x:v>
      </x:c>
      <x:c r="F2255" s="62" t="n">
        <x:v>2488.5614986919595</x:v>
      </x:c>
      <x:c r="G2255" s="62" t="n">
        <x:v>27.828556151833784</x:v>
      </x:c>
      <x:c r="H2255" s="29" t="str">
        <x:v>YES</x:v>
      </x:c>
      <x:c r="I2255" s="29" t="str">
        <x:v>primary-airport endpoints; great-circle screen</x:v>
      </x:c>
      <x:c r="J2255" s="29" t="str">
        <x:v>presence does not prove operability or capacity</x:v>
      </x:c>
    </x:row>
    <x:row r="2256" ht="75.5999984741211" hidden="0" customHeight="1">
      <x:c r="A2256" s="27" t="str">
        <x:v>SCA-19</x:v>
      </x:c>
      <x:c r="B2256" s="27" t="str">
        <x:v>SCA-05</x:v>
      </x:c>
      <x:c r="C2256" s="27" t="str">
        <x:v>Water</x:v>
      </x:c>
      <x:c r="D2256" s="27" t="str">
        <x:v>YES</x:v>
      </x:c>
      <x:c r="E2256" s="27" t="str">
        <x:v>YES</x:v>
      </x:c>
      <x:c r="F2256" s="61" t="n">
        <x:v>7084.658614400897</x:v>
      </x:c>
      <x:c r="G2256" s="61" t="n">
        <x:v>232.41881755431135</x:v>
      </x:c>
      <x:c r="H2256" s="27" t="str">
        <x:v>NO</x:v>
      </x:c>
      <x:c r="I2256" s="27" t="str">
        <x:v>USACE waterway node topology; deployable terminal required</x:v>
      </x:c>
      <x:c r="J2256" s="27" t="str">
        <x:v>presence does not prove operability or capacity</x:v>
      </x:c>
    </x:row>
    <x:row r="2257" ht="54" hidden="0" customHeight="1">
      <x:c r="A2257" s="29" t="str">
        <x:v>SCA-19</x:v>
      </x:c>
      <x:c r="B2257" s="29" t="str">
        <x:v>SCA-06</x:v>
      </x:c>
      <x:c r="C2257" s="29" t="str">
        <x:v>Road</x:v>
      </x:c>
      <x:c r="D2257" s="29" t="str">
        <x:v>YES</x:v>
      </x:c>
      <x:c r="E2257" s="29" t="str">
        <x:v>YES</x:v>
      </x:c>
      <x:c r="F2257" s="62" t="n">
        <x:v>2959.3982091427624</x:v>
      </x:c>
      <x:c r="G2257" s="62" t="n">
        <x:v>73.80724016623205</x:v>
      </x:c>
      <x:c r="H2257" s="29" t="str">
        <x:v>NO</x:v>
      </x:c>
      <x:c r="I2257" s="29" t="str">
        <x:v>NHPN-gated shared-boundary SCA path</x:v>
      </x:c>
      <x:c r="J2257" s="29" t="str">
        <x:v>presence does not prove operability or capacity</x:v>
      </x:c>
    </x:row>
    <x:row r="2258" ht="64.80000305175781" hidden="0" customHeight="1">
      <x:c r="A2258" s="27" t="str">
        <x:v>SCA-19</x:v>
      </x:c>
      <x:c r="B2258" s="27" t="str">
        <x:v>SCA-06</x:v>
      </x:c>
      <x:c r="C2258" s="27" t="str">
        <x:v>Rail</x:v>
      </x:c>
      <x:c r="D2258" s="27" t="str">
        <x:v>YES</x:v>
      </x:c>
      <x:c r="E2258" s="27" t="str">
        <x:v>YES</x:v>
      </x:c>
      <x:c r="F2258" s="61" t="n">
        <x:v>3423.0482315757886</x:v>
      </x:c>
      <x:c r="G2258" s="61" t="n">
        <x:v>74.90068902251127</x:v>
      </x:c>
      <x:c r="H2258" s="27" t="str">
        <x:v>NO</x:v>
      </x:c>
      <x:c r="I2258" s="27" t="str">
        <x:v>NARN shared-node topology; deployable terminal required</x:v>
      </x:c>
      <x:c r="J2258" s="27" t="str">
        <x:v>presence does not prove operability or capacity</x:v>
      </x:c>
    </x:row>
    <x:row r="2259" ht="54" hidden="0" customHeight="1">
      <x:c r="A2259" s="29" t="str">
        <x:v>SCA-19</x:v>
      </x:c>
      <x:c r="B2259" s="29" t="str">
        <x:v>SCA-06</x:v>
      </x:c>
      <x:c r="C2259" s="29" t="str">
        <x:v>Air</x:v>
      </x:c>
      <x:c r="D2259" s="29" t="str">
        <x:v>YES</x:v>
      </x:c>
      <x:c r="E2259" s="29" t="str">
        <x:v>YES</x:v>
      </x:c>
      <x:c r="F2259" s="62" t="n">
        <x:v>2357.23112003132</x:v>
      </x:c>
      <x:c r="G2259" s="62" t="n">
        <x:v>27.6265094154328</x:v>
      </x:c>
      <x:c r="H2259" s="29" t="str">
        <x:v>YES</x:v>
      </x:c>
      <x:c r="I2259" s="29" t="str">
        <x:v>primary-airport endpoints; great-circle screen</x:v>
      </x:c>
      <x:c r="J2259" s="29" t="str">
        <x:v>presence does not prove operability or capacity</x:v>
      </x:c>
    </x:row>
    <x:row r="2260" ht="75.5999984741211" hidden="0" customHeight="1">
      <x:c r="A2260" s="27" t="str">
        <x:v>SCA-19</x:v>
      </x:c>
      <x:c r="B2260" s="27" t="str">
        <x:v>SCA-06</x:v>
      </x:c>
      <x:c r="C2260" s="27" t="str">
        <x:v>Water</x:v>
      </x:c>
      <x:c r="D2260" s="27" t="str">
        <x:v>YES</x:v>
      </x:c>
      <x:c r="E2260" s="27" t="str">
        <x:v>YES</x:v>
      </x:c>
      <x:c r="F2260" s="61" t="n">
        <x:v>6816.685191341281</x:v>
      </x:c>
      <x:c r="G2260" s="61" t="n">
        <x:v>224.7624340383223</x:v>
      </x:c>
      <x:c r="H2260" s="27" t="str">
        <x:v>NO</x:v>
      </x:c>
      <x:c r="I2260" s="27" t="str">
        <x:v>USACE waterway node topology; deployable terminal required</x:v>
      </x:c>
      <x:c r="J2260" s="27" t="str">
        <x:v>presence does not prove operability or capacity</x:v>
      </x:c>
    </x:row>
    <x:row r="2261" ht="54" hidden="0" customHeight="1">
      <x:c r="A2261" s="29" t="str">
        <x:v>SCA-19</x:v>
      </x:c>
      <x:c r="B2261" s="29" t="str">
        <x:v>SCA-07</x:v>
      </x:c>
      <x:c r="C2261" s="29" t="str">
        <x:v>Road</x:v>
      </x:c>
      <x:c r="D2261" s="29" t="str">
        <x:v>YES</x:v>
      </x:c>
      <x:c r="E2261" s="29" t="str">
        <x:v>YES</x:v>
      </x:c>
      <x:c r="F2261" s="62" t="n">
        <x:v>2904.059680778014</x:v>
      </x:c>
      <x:c r="G2261" s="62" t="n">
        <x:v>72.8010851050548</x:v>
      </x:c>
      <x:c r="H2261" s="29" t="str">
        <x:v>NO</x:v>
      </x:c>
      <x:c r="I2261" s="29" t="str">
        <x:v>NHPN-gated shared-boundary SCA path</x:v>
      </x:c>
      <x:c r="J2261" s="29" t="str">
        <x:v>presence does not prove operability or capacity</x:v>
      </x:c>
    </x:row>
    <x:row r="2262" ht="64.80000305175781" hidden="0" customHeight="1">
      <x:c r="A2262" s="27" t="str">
        <x:v>SCA-19</x:v>
      </x:c>
      <x:c r="B2262" s="27" t="str">
        <x:v>SCA-07</x:v>
      </x:c>
      <x:c r="C2262" s="27" t="str">
        <x:v>Rail</x:v>
      </x:c>
      <x:c r="D2262" s="27" t="str">
        <x:v>YES</x:v>
      </x:c>
      <x:c r="E2262" s="27" t="str">
        <x:v>YES</x:v>
      </x:c>
      <x:c r="F2262" s="61" t="n">
        <x:v>3080.8285309123276</x:v>
      </x:c>
      <x:c r="G2262" s="61" t="n">
        <x:v>70.01183615589039</x:v>
      </x:c>
      <x:c r="H2262" s="27" t="str">
        <x:v>YES</x:v>
      </x:c>
      <x:c r="I2262" s="27" t="str">
        <x:v>NARN shared-node topology; deployable terminal required</x:v>
      </x:c>
      <x:c r="J2262" s="27" t="str">
        <x:v>presence does not prove operability or capacity</x:v>
      </x:c>
    </x:row>
    <x:row r="2263" ht="54" hidden="0" customHeight="1">
      <x:c r="A2263" s="29" t="str">
        <x:v>SCA-19</x:v>
      </x:c>
      <x:c r="B2263" s="29" t="str">
        <x:v>SCA-07</x:v>
      </x:c>
      <x:c r="C2263" s="29" t="str">
        <x:v>Air</x:v>
      </x:c>
      <x:c r="D2263" s="29" t="str">
        <x:v>YES</x:v>
      </x:c>
      <x:c r="E2263" s="29" t="str">
        <x:v>YES</x:v>
      </x:c>
      <x:c r="F2263" s="62" t="n">
        <x:v>2182.904581818888</x:v>
      </x:c>
      <x:c r="G2263" s="62" t="n">
        <x:v>27.35831474125983</x:v>
      </x:c>
      <x:c r="H2263" s="29" t="str">
        <x:v>YES</x:v>
      </x:c>
      <x:c r="I2263" s="29" t="str">
        <x:v>primary-airport endpoints; great-circle screen</x:v>
      </x:c>
      <x:c r="J2263" s="29" t="str">
        <x:v>presence does not prove operability or capacity</x:v>
      </x:c>
    </x:row>
    <x:row r="2264" ht="64.80000305175781" hidden="0" customHeight="1">
      <x:c r="A2264" s="27" t="str">
        <x:v>SCA-19</x:v>
      </x:c>
      <x:c r="B2264" s="27" t="str">
        <x:v>SCA-07</x:v>
      </x:c>
      <x:c r="C2264" s="27" t="str">
        <x:v>Water</x:v>
      </x:c>
      <x:c r="D2264" s="27" t="str">
        <x:v>YES</x:v>
      </x:c>
      <x:c r="E2264" s="27" t="str">
        <x:v>YES</x:v>
      </x:c>
      <x:c r="F2264" s="61" t="n">
        <x:v>2728.63072727361</x:v>
      </x:c>
      <x:c r="G2264" s="61" t="n">
        <x:v>107.96087792210314</x:v>
      </x:c>
      <x:c r="H2264" s="27" t="str">
        <x:v>NO</x:v>
      </x:c>
      <x:c r="I2264" s="27" t="str">
        <x:v>observed water terminals; maritime great-circle screen</x:v>
      </x:c>
      <x:c r="J2264" s="27" t="str">
        <x:v>presence does not prove operability or capacity</x:v>
      </x:c>
    </x:row>
    <x:row r="2265" ht="54" hidden="0" customHeight="1">
      <x:c r="A2265" s="29" t="str">
        <x:v>SCA-19</x:v>
      </x:c>
      <x:c r="B2265" s="29" t="str">
        <x:v>SCA-08</x:v>
      </x:c>
      <x:c r="C2265" s="29" t="str">
        <x:v>Road</x:v>
      </x:c>
      <x:c r="D2265" s="29" t="str">
        <x:v>YES</x:v>
      </x:c>
      <x:c r="E2265" s="29" t="str">
        <x:v>YES</x:v>
      </x:c>
      <x:c r="F2265" s="62" t="n">
        <x:v>2585.436810584494</x:v>
      </x:c>
      <x:c r="G2265" s="62" t="n">
        <x:v>67.00794201062718</x:v>
      </x:c>
      <x:c r="H2265" s="29" t="str">
        <x:v>YES</x:v>
      </x:c>
      <x:c r="I2265" s="29" t="str">
        <x:v>NHPN-gated shared-boundary SCA path</x:v>
      </x:c>
      <x:c r="J2265" s="29" t="str">
        <x:v>presence does not prove operability or capacity</x:v>
      </x:c>
    </x:row>
    <x:row r="2266" ht="64.80000305175781" hidden="0" customHeight="1">
      <x:c r="A2266" s="27" t="str">
        <x:v>SCA-19</x:v>
      </x:c>
      <x:c r="B2266" s="27" t="str">
        <x:v>SCA-08</x:v>
      </x:c>
      <x:c r="C2266" s="27" t="str">
        <x:v>Rail</x:v>
      </x:c>
      <x:c r="D2266" s="27" t="str">
        <x:v>YES</x:v>
      </x:c>
      <x:c r="E2266" s="27" t="str">
        <x:v>YES</x:v>
      </x:c>
      <x:c r="F2266" s="61" t="n">
        <x:v>2742.811225141811</x:v>
      </x:c>
      <x:c r="G2266" s="61" t="n">
        <x:v>65.18301750202588</x:v>
      </x:c>
      <x:c r="H2266" s="27" t="str">
        <x:v>YES</x:v>
      </x:c>
      <x:c r="I2266" s="27" t="str">
        <x:v>NARN shared-node topology; deployable terminal required</x:v>
      </x:c>
      <x:c r="J2266" s="27" t="str">
        <x:v>presence does not prove operability or capacity</x:v>
      </x:c>
    </x:row>
    <x:row r="2267" ht="54" hidden="0" customHeight="1">
      <x:c r="A2267" s="29" t="str">
        <x:v>SCA-19</x:v>
      </x:c>
      <x:c r="B2267" s="29" t="str">
        <x:v>SCA-08</x:v>
      </x:c>
      <x:c r="C2267" s="29" t="str">
        <x:v>Air</x:v>
      </x:c>
      <x:c r="D2267" s="29" t="str">
        <x:v>YES</x:v>
      </x:c>
      <x:c r="E2267" s="29" t="str">
        <x:v>YES</x:v>
      </x:c>
      <x:c r="F2267" s="62" t="n">
        <x:v>2095.193124012963</x:v>
      </x:c>
      <x:c r="G2267" s="62" t="n">
        <x:v>27.22337403694302</x:v>
      </x:c>
      <x:c r="H2267" s="29" t="str">
        <x:v>YES</x:v>
      </x:c>
      <x:c r="I2267" s="29" t="str">
        <x:v>primary-airport endpoints; great-circle screen</x:v>
      </x:c>
      <x:c r="J2267" s="29" t="str">
        <x:v>presence does not prove operability or capacity</x:v>
      </x:c>
    </x:row>
    <x:row r="2268" ht="75.5999984741211" hidden="0" customHeight="1">
      <x:c r="A2268" s="27" t="str">
        <x:v>SCA-19</x:v>
      </x:c>
      <x:c r="B2268" s="27" t="str">
        <x:v>SCA-08</x:v>
      </x:c>
      <x:c r="C2268" s="27" t="str">
        <x:v>Water</x:v>
      </x:c>
      <x:c r="D2268" s="27" t="str">
        <x:v>YES</x:v>
      </x:c>
      <x:c r="E2268" s="27" t="str">
        <x:v>YES</x:v>
      </x:c>
      <x:c r="F2268" s="61" t="n">
        <x:v>9670.399146687454</x:v>
      </x:c>
      <x:c r="G2268" s="61" t="n">
        <x:v>306.2971184767844</x:v>
      </x:c>
      <x:c r="H2268" s="27" t="str">
        <x:v>NO</x:v>
      </x:c>
      <x:c r="I2268" s="27" t="str">
        <x:v>USACE waterway node topology; deployable terminal required</x:v>
      </x:c>
      <x:c r="J2268" s="27" t="str">
        <x:v>presence does not prove operability or capacity</x:v>
      </x:c>
    </x:row>
    <x:row r="2269" ht="54" hidden="0" customHeight="1">
      <x:c r="A2269" s="29" t="str">
        <x:v>SCA-19</x:v>
      </x:c>
      <x:c r="B2269" s="29" t="str">
        <x:v>SCA-09</x:v>
      </x:c>
      <x:c r="C2269" s="29" t="str">
        <x:v>Road</x:v>
      </x:c>
      <x:c r="D2269" s="29" t="str">
        <x:v>YES</x:v>
      </x:c>
      <x:c r="E2269" s="29" t="str">
        <x:v>YES</x:v>
      </x:c>
      <x:c r="F2269" s="62" t="n">
        <x:v>2509.6787573809315</x:v>
      </x:c>
      <x:c r="G2269" s="62" t="n">
        <x:v>65.63052286147149</x:v>
      </x:c>
      <x:c r="H2269" s="29" t="str">
        <x:v>YES</x:v>
      </x:c>
      <x:c r="I2269" s="29" t="str">
        <x:v>NHPN-gated shared-boundary SCA path</x:v>
      </x:c>
      <x:c r="J2269" s="29" t="str">
        <x:v>presence does not prove operability or capacity</x:v>
      </x:c>
    </x:row>
    <x:row r="2270" ht="64.80000305175781" hidden="0" customHeight="1">
      <x:c r="A2270" s="27" t="str">
        <x:v>SCA-19</x:v>
      </x:c>
      <x:c r="B2270" s="27" t="str">
        <x:v>SCA-09</x:v>
      </x:c>
      <x:c r="C2270" s="27" t="str">
        <x:v>Rail</x:v>
      </x:c>
      <x:c r="D2270" s="27" t="str">
        <x:v>YES</x:v>
      </x:c>
      <x:c r="E2270" s="27" t="str">
        <x:v>YES</x:v>
      </x:c>
      <x:c r="F2270" s="61" t="n">
        <x:v>3000.8200822526983</x:v>
      </x:c>
      <x:c r="G2270" s="61" t="n">
        <x:v>68.8688583178957</x:v>
      </x:c>
      <x:c r="H2270" s="27" t="str">
        <x:v>YES</x:v>
      </x:c>
      <x:c r="I2270" s="27" t="str">
        <x:v>NARN shared-node topology; deployable terminal required</x:v>
      </x:c>
      <x:c r="J2270" s="27" t="str">
        <x:v>presence does not prove operability or capacity</x:v>
      </x:c>
    </x:row>
    <x:row r="2271" ht="54" hidden="0" customHeight="1">
      <x:c r="A2271" s="29" t="str">
        <x:v>SCA-19</x:v>
      </x:c>
      <x:c r="B2271" s="29" t="str">
        <x:v>SCA-09</x:v>
      </x:c>
      <x:c r="C2271" s="29" t="str">
        <x:v>Air</x:v>
      </x:c>
      <x:c r="D2271" s="29" t="str">
        <x:v>YES</x:v>
      </x:c>
      <x:c r="E2271" s="29" t="str">
        <x:v>YES</x:v>
      </x:c>
      <x:c r="F2271" s="62" t="n">
        <x:v>2001.0173705210557</x:v>
      </x:c>
      <x:c r="G2271" s="62" t="n">
        <x:v>27.078488262340088</x:v>
      </x:c>
      <x:c r="H2271" s="29" t="str">
        <x:v>YES</x:v>
      </x:c>
      <x:c r="I2271" s="29" t="str">
        <x:v>primary-airport endpoints; great-circle screen</x:v>
      </x:c>
      <x:c r="J2271" s="29" t="str">
        <x:v>presence does not prove operability or capacity</x:v>
      </x:c>
    </x:row>
    <x:row r="2272" ht="54" hidden="0" customHeight="1">
      <x:c r="A2272" s="27" t="str">
        <x:v>SCA-19</x:v>
      </x:c>
      <x:c r="B2272" s="27" t="str">
        <x:v>SCA-09</x:v>
      </x:c>
      <x:c r="C2272" s="27" t="str">
        <x:v>Water</x:v>
      </x:c>
      <x:c r="D2272" s="27" t="str">
        <x:v>NO</x:v>
      </x:c>
      <x:c r="E2272" s="27" t="str">
        <x:v>NO</x:v>
      </x:c>
      <x:c r="F2272" s="61"/>
      <x:c r="G2272" s="61"/>
      <x:c r="H2272" s="27" t="str">
        <x:v>NO</x:v>
      </x:c>
      <x:c r="I2272" s="27" t="str">
        <x:v>no screened path</x:v>
      </x:c>
      <x:c r="J2272" s="27" t="str">
        <x:v>presence does not prove operability or capacity</x:v>
      </x:c>
    </x:row>
    <x:row r="2273" ht="54" hidden="0" customHeight="1">
      <x:c r="A2273" s="29" t="str">
        <x:v>SCA-19</x:v>
      </x:c>
      <x:c r="B2273" s="29" t="str">
        <x:v>SCA-10</x:v>
      </x:c>
      <x:c r="C2273" s="29" t="str">
        <x:v>Road</x:v>
      </x:c>
      <x:c r="D2273" s="29" t="str">
        <x:v>YES</x:v>
      </x:c>
      <x:c r="E2273" s="29" t="str">
        <x:v>YES</x:v>
      </x:c>
      <x:c r="F2273" s="62" t="n">
        <x:v>2089.8603781685592</x:v>
      </x:c>
      <x:c r="G2273" s="62" t="n">
        <x:v>57.997461421246534</x:v>
      </x:c>
      <x:c r="H2273" s="29" t="str">
        <x:v>YES</x:v>
      </x:c>
      <x:c r="I2273" s="29" t="str">
        <x:v>NHPN-gated shared-boundary SCA path</x:v>
      </x:c>
      <x:c r="J2273" s="29" t="str">
        <x:v>presence does not prove operability or capacity</x:v>
      </x:c>
    </x:row>
    <x:row r="2274" ht="64.80000305175781" hidden="0" customHeight="1">
      <x:c r="A2274" s="27" t="str">
        <x:v>SCA-19</x:v>
      </x:c>
      <x:c r="B2274" s="27" t="str">
        <x:v>SCA-10</x:v>
      </x:c>
      <x:c r="C2274" s="27" t="str">
        <x:v>Rail</x:v>
      </x:c>
      <x:c r="D2274" s="27" t="str">
        <x:v>YES</x:v>
      </x:c>
      <x:c r="E2274" s="27" t="str">
        <x:v>YES</x:v>
      </x:c>
      <x:c r="F2274" s="61" t="n">
        <x:v>2217.0692707527323</x:v>
      </x:c>
      <x:c r="G2274" s="61" t="n">
        <x:v>57.672418153610465</x:v>
      </x:c>
      <x:c r="H2274" s="27" t="str">
        <x:v>YES</x:v>
      </x:c>
      <x:c r="I2274" s="27" t="str">
        <x:v>NARN shared-node topology; deployable terminal required</x:v>
      </x:c>
      <x:c r="J2274" s="27" t="str">
        <x:v>presence does not prove operability or capacity</x:v>
      </x:c>
    </x:row>
    <x:row r="2275" ht="54" hidden="0" customHeight="1">
      <x:c r="A2275" s="29" t="str">
        <x:v>SCA-19</x:v>
      </x:c>
      <x:c r="B2275" s="29" t="str">
        <x:v>SCA-10</x:v>
      </x:c>
      <x:c r="C2275" s="29" t="str">
        <x:v>Air</x:v>
      </x:c>
      <x:c r="D2275" s="29" t="str">
        <x:v>YES</x:v>
      </x:c>
      <x:c r="E2275" s="29" t="str">
        <x:v>YES</x:v>
      </x:c>
      <x:c r="F2275" s="62" t="n">
        <x:v>1760.6803683004102</x:v>
      </x:c>
      <x:c r="G2275" s="62" t="n">
        <x:v>26.708739028154476</x:v>
      </x:c>
      <x:c r="H2275" s="29" t="str">
        <x:v>YES</x:v>
      </x:c>
      <x:c r="I2275" s="29" t="str">
        <x:v>primary-airport endpoints; great-circle screen</x:v>
      </x:c>
      <x:c r="J2275" s="29" t="str">
        <x:v>presence does not prove operability or capacity</x:v>
      </x:c>
    </x:row>
    <x:row r="2276" ht="54" hidden="0" customHeight="1">
      <x:c r="A2276" s="27" t="str">
        <x:v>SCA-19</x:v>
      </x:c>
      <x:c r="B2276" s="27" t="str">
        <x:v>SCA-10</x:v>
      </x:c>
      <x:c r="C2276" s="27" t="str">
        <x:v>Water</x:v>
      </x:c>
      <x:c r="D2276" s="27" t="str">
        <x:v>NO</x:v>
      </x:c>
      <x:c r="E2276" s="27" t="str">
        <x:v>NO</x:v>
      </x:c>
      <x:c r="F2276" s="61"/>
      <x:c r="G2276" s="61"/>
      <x:c r="H2276" s="27" t="str">
        <x:v>NO</x:v>
      </x:c>
      <x:c r="I2276" s="27" t="str">
        <x:v>no screened path</x:v>
      </x:c>
      <x:c r="J2276" s="27" t="str">
        <x:v>presence does not prove operability or capacity</x:v>
      </x:c>
    </x:row>
    <x:row r="2277" ht="54" hidden="0" customHeight="1">
      <x:c r="A2277" s="29" t="str">
        <x:v>SCA-19</x:v>
      </x:c>
      <x:c r="B2277" s="29" t="str">
        <x:v>SCA-11</x:v>
      </x:c>
      <x:c r="C2277" s="29" t="str">
        <x:v>Road</x:v>
      </x:c>
      <x:c r="D2277" s="29" t="str">
        <x:v>YES</x:v>
      </x:c>
      <x:c r="E2277" s="29" t="str">
        <x:v>YES</x:v>
      </x:c>
      <x:c r="F2277" s="62" t="n">
        <x:v>2076.8895293423584</x:v>
      </x:c>
      <x:c r="G2277" s="62" t="n">
        <x:v>57.761627806224695</x:v>
      </x:c>
      <x:c r="H2277" s="29" t="str">
        <x:v>YES</x:v>
      </x:c>
      <x:c r="I2277" s="29" t="str">
        <x:v>NHPN-gated shared-boundary SCA path</x:v>
      </x:c>
      <x:c r="J2277" s="29" t="str">
        <x:v>presence does not prove operability or capacity</x:v>
      </x:c>
    </x:row>
    <x:row r="2278" ht="64.80000305175781" hidden="0" customHeight="1">
      <x:c r="A2278" s="27" t="str">
        <x:v>SCA-19</x:v>
      </x:c>
      <x:c r="B2278" s="27" t="str">
        <x:v>SCA-11</x:v>
      </x:c>
      <x:c r="C2278" s="27" t="str">
        <x:v>Rail</x:v>
      </x:c>
      <x:c r="D2278" s="27" t="str">
        <x:v>YES</x:v>
      </x:c>
      <x:c r="E2278" s="27" t="str">
        <x:v>YES</x:v>
      </x:c>
      <x:c r="F2278" s="61" t="n">
        <x:v>2203.308891997981</x:v>
      </x:c>
      <x:c r="G2278" s="61" t="n">
        <x:v>57.47584131425687</x:v>
      </x:c>
      <x:c r="H2278" s="27" t="str">
        <x:v>YES</x:v>
      </x:c>
      <x:c r="I2278" s="27" t="str">
        <x:v>NARN shared-node topology; deployable terminal required</x:v>
      </x:c>
      <x:c r="J2278" s="27" t="str">
        <x:v>presence does not prove operability or capacity</x:v>
      </x:c>
    </x:row>
    <x:row r="2279" ht="54" hidden="0" customHeight="1">
      <x:c r="A2279" s="29" t="str">
        <x:v>SCA-19</x:v>
      </x:c>
      <x:c r="B2279" s="29" t="str">
        <x:v>SCA-11</x:v>
      </x:c>
      <x:c r="C2279" s="29" t="str">
        <x:v>Air</x:v>
      </x:c>
      <x:c r="D2279" s="29" t="str">
        <x:v>YES</x:v>
      </x:c>
      <x:c r="E2279" s="29" t="str">
        <x:v>YES</x:v>
      </x:c>
      <x:c r="F2279" s="62" t="n">
        <x:v>1416.1396139861617</x:v>
      </x:c>
      <x:c r="G2279" s="62" t="n">
        <x:v>26.17867632920948</x:v>
      </x:c>
      <x:c r="H2279" s="29" t="str">
        <x:v>YES</x:v>
      </x:c>
      <x:c r="I2279" s="29" t="str">
        <x:v>primary-airport endpoints; great-circle screen</x:v>
      </x:c>
      <x:c r="J2279" s="29" t="str">
        <x:v>presence does not prove operability or capacity</x:v>
      </x:c>
    </x:row>
    <x:row r="2280" ht="54" hidden="0" customHeight="1">
      <x:c r="A2280" s="27" t="str">
        <x:v>SCA-19</x:v>
      </x:c>
      <x:c r="B2280" s="27" t="str">
        <x:v>SCA-11</x:v>
      </x:c>
      <x:c r="C2280" s="27" t="str">
        <x:v>Water</x:v>
      </x:c>
      <x:c r="D2280" s="27" t="str">
        <x:v>NO</x:v>
      </x:c>
      <x:c r="E2280" s="27" t="str">
        <x:v>NO</x:v>
      </x:c>
      <x:c r="F2280" s="61"/>
      <x:c r="G2280" s="61"/>
      <x:c r="H2280" s="27" t="str">
        <x:v>NO</x:v>
      </x:c>
      <x:c r="I2280" s="27" t="str">
        <x:v>no screened path</x:v>
      </x:c>
      <x:c r="J2280" s="27" t="str">
        <x:v>presence does not prove operability or capacity</x:v>
      </x:c>
    </x:row>
    <x:row r="2281" ht="54" hidden="0" customHeight="1">
      <x:c r="A2281" s="29" t="str">
        <x:v>SCA-19</x:v>
      </x:c>
      <x:c r="B2281" s="29" t="str">
        <x:v>SCA-12</x:v>
      </x:c>
      <x:c r="C2281" s="29" t="str">
        <x:v>Road</x:v>
      </x:c>
      <x:c r="D2281" s="29" t="str">
        <x:v>YES</x:v>
      </x:c>
      <x:c r="E2281" s="29" t="str">
        <x:v>YES</x:v>
      </x:c>
      <x:c r="F2281" s="62" t="n">
        <x:v>1413.602415922117</x:v>
      </x:c>
      <x:c r="G2281" s="62" t="n">
        <x:v>45.701862107674856</x:v>
      </x:c>
      <x:c r="H2281" s="29" t="str">
        <x:v>YES</x:v>
      </x:c>
      <x:c r="I2281" s="29" t="str">
        <x:v>NHPN-gated shared-boundary SCA path</x:v>
      </x:c>
      <x:c r="J2281" s="29" t="str">
        <x:v>presence does not prove operability or capacity</x:v>
      </x:c>
    </x:row>
    <x:row r="2282" ht="64.80000305175781" hidden="0" customHeight="1">
      <x:c r="A2282" s="27" t="str">
        <x:v>SCA-19</x:v>
      </x:c>
      <x:c r="B2282" s="27" t="str">
        <x:v>SCA-12</x:v>
      </x:c>
      <x:c r="C2282" s="27" t="str">
        <x:v>Rail</x:v>
      </x:c>
      <x:c r="D2282" s="27" t="str">
        <x:v>YES</x:v>
      </x:c>
      <x:c r="E2282" s="27" t="str">
        <x:v>YES</x:v>
      </x:c>
      <x:c r="F2282" s="61" t="n">
        <x:v>1499.64778036955</x:v>
      </x:c>
      <x:c r="G2282" s="61" t="n">
        <x:v>47.423539719565</x:v>
      </x:c>
      <x:c r="H2282" s="27" t="str">
        <x:v>YES</x:v>
      </x:c>
      <x:c r="I2282" s="27" t="str">
        <x:v>NARN shared-node topology; deployable terminal required</x:v>
      </x:c>
      <x:c r="J2282" s="27" t="str">
        <x:v>presence does not prove operability or capacity</x:v>
      </x:c>
    </x:row>
    <x:row r="2283" ht="54" hidden="0" customHeight="1">
      <x:c r="A2283" s="29" t="str">
        <x:v>SCA-19</x:v>
      </x:c>
      <x:c r="B2283" s="29" t="str">
        <x:v>SCA-12</x:v>
      </x:c>
      <x:c r="C2283" s="29" t="str">
        <x:v>Air</x:v>
      </x:c>
      <x:c r="D2283" s="29" t="str">
        <x:v>YES</x:v>
      </x:c>
      <x:c r="E2283" s="29" t="str">
        <x:v>YES</x:v>
      </x:c>
      <x:c r="F2283" s="62" t="n">
        <x:v>1203.0338759881367</x:v>
      </x:c>
      <x:c r="G2283" s="62" t="n">
        <x:v>25.850821347674056</x:v>
      </x:c>
      <x:c r="H2283" s="29" t="str">
        <x:v>YES</x:v>
      </x:c>
      <x:c r="I2283" s="29" t="str">
        <x:v>primary-airport endpoints; great-circle screen</x:v>
      </x:c>
      <x:c r="J2283" s="29" t="str">
        <x:v>presence does not prove operability or capacity</x:v>
      </x:c>
    </x:row>
    <x:row r="2284" ht="54" hidden="0" customHeight="1">
      <x:c r="A2284" s="27" t="str">
        <x:v>SCA-19</x:v>
      </x:c>
      <x:c r="B2284" s="27" t="str">
        <x:v>SCA-12</x:v>
      </x:c>
      <x:c r="C2284" s="27" t="str">
        <x:v>Water</x:v>
      </x:c>
      <x:c r="D2284" s="27" t="str">
        <x:v>NO</x:v>
      </x:c>
      <x:c r="E2284" s="27" t="str">
        <x:v>NO</x:v>
      </x:c>
      <x:c r="F2284" s="61"/>
      <x:c r="G2284" s="61"/>
      <x:c r="H2284" s="27" t="str">
        <x:v>NO</x:v>
      </x:c>
      <x:c r="I2284" s="27" t="str">
        <x:v>no screened path</x:v>
      </x:c>
      <x:c r="J2284" s="27" t="str">
        <x:v>presence does not prove operability or capacity</x:v>
      </x:c>
    </x:row>
    <x:row r="2285" ht="54" hidden="0" customHeight="1">
      <x:c r="A2285" s="29" t="str">
        <x:v>SCA-19</x:v>
      </x:c>
      <x:c r="B2285" s="29" t="str">
        <x:v>SCA-13</x:v>
      </x:c>
      <x:c r="C2285" s="29" t="str">
        <x:v>Road</x:v>
      </x:c>
      <x:c r="D2285" s="29" t="str">
        <x:v>NO</x:v>
      </x:c>
      <x:c r="E2285" s="29" t="str">
        <x:v>NO</x:v>
      </x:c>
      <x:c r="F2285" s="62"/>
      <x:c r="G2285" s="62"/>
      <x:c r="H2285" s="29" t="str">
        <x:v>NO</x:v>
      </x:c>
      <x:c r="I2285" s="29" t="str">
        <x:v>no screened path</x:v>
      </x:c>
      <x:c r="J2285" s="29" t="str">
        <x:v>presence does not prove operability or capacity</x:v>
      </x:c>
    </x:row>
    <x:row r="2286" ht="64.80000305175781" hidden="0" customHeight="1">
      <x:c r="A2286" s="27" t="str">
        <x:v>SCA-19</x:v>
      </x:c>
      <x:c r="B2286" s="27" t="str">
        <x:v>SCA-13</x:v>
      </x:c>
      <x:c r="C2286" s="27" t="str">
        <x:v>Rail</x:v>
      </x:c>
      <x:c r="D2286" s="27" t="str">
        <x:v>YES</x:v>
      </x:c>
      <x:c r="E2286" s="27" t="str">
        <x:v>YES</x:v>
      </x:c>
      <x:c r="F2286" s="61" t="n">
        <x:v>1691.3915164495768</x:v>
      </x:c>
      <x:c r="G2286" s="61" t="n">
        <x:v>50.162735949279664</x:v>
      </x:c>
      <x:c r="H2286" s="27" t="str">
        <x:v>YES</x:v>
      </x:c>
      <x:c r="I2286" s="27" t="str">
        <x:v>NARN shared-node topology; deployable terminal required</x:v>
      </x:c>
      <x:c r="J2286" s="27" t="str">
        <x:v>presence does not prove operability or capacity</x:v>
      </x:c>
    </x:row>
    <x:row r="2287" ht="54" hidden="0" customHeight="1">
      <x:c r="A2287" s="29" t="str">
        <x:v>SCA-19</x:v>
      </x:c>
      <x:c r="B2287" s="29" t="str">
        <x:v>SCA-13</x:v>
      </x:c>
      <x:c r="C2287" s="29" t="str">
        <x:v>Air</x:v>
      </x:c>
      <x:c r="D2287" s="29" t="str">
        <x:v>YES</x:v>
      </x:c>
      <x:c r="E2287" s="29" t="str">
        <x:v>YES</x:v>
      </x:c>
      <x:c r="F2287" s="62" t="n">
        <x:v>1176.169124774308</x:v>
      </x:c>
      <x:c r="G2287" s="62" t="n">
        <x:v>25.809490961191244</x:v>
      </x:c>
      <x:c r="H2287" s="29" t="str">
        <x:v>YES</x:v>
      </x:c>
      <x:c r="I2287" s="29" t="str">
        <x:v>primary-airport endpoints; great-circle screen</x:v>
      </x:c>
      <x:c r="J2287" s="29" t="str">
        <x:v>presence does not prove operability or capacity</x:v>
      </x:c>
    </x:row>
    <x:row r="2288" ht="75.5999984741211" hidden="0" customHeight="1">
      <x:c r="A2288" s="27" t="str">
        <x:v>SCA-19</x:v>
      </x:c>
      <x:c r="B2288" s="27" t="str">
        <x:v>SCA-13</x:v>
      </x:c>
      <x:c r="C2288" s="27" t="str">
        <x:v>Water</x:v>
      </x:c>
      <x:c r="D2288" s="27" t="str">
        <x:v>YES</x:v>
      </x:c>
      <x:c r="E2288" s="27" t="str">
        <x:v>YES</x:v>
      </x:c>
      <x:c r="F2288" s="61" t="n">
        <x:v>1919.0781165355388</x:v>
      </x:c>
      <x:c r="G2288" s="61" t="n">
        <x:v>84.83080332958681</x:v>
      </x:c>
      <x:c r="H2288" s="27" t="str">
        <x:v>NO</x:v>
      </x:c>
      <x:c r="I2288" s="27" t="str">
        <x:v>USACE waterway node topology; deployable terminal required</x:v>
      </x:c>
      <x:c r="J2288" s="27" t="str">
        <x:v>presence does not prove operability or capacity</x:v>
      </x:c>
    </x:row>
    <x:row r="2289" ht="54" hidden="0" customHeight="1">
      <x:c r="A2289" s="29" t="str">
        <x:v>SCA-19</x:v>
      </x:c>
      <x:c r="B2289" s="29" t="str">
        <x:v>SCA-14</x:v>
      </x:c>
      <x:c r="C2289" s="29" t="str">
        <x:v>Road</x:v>
      </x:c>
      <x:c r="D2289" s="29" t="str">
        <x:v>NO</x:v>
      </x:c>
      <x:c r="E2289" s="29" t="str">
        <x:v>NO</x:v>
      </x:c>
      <x:c r="F2289" s="62"/>
      <x:c r="G2289" s="62"/>
      <x:c r="H2289" s="29" t="str">
        <x:v>NO</x:v>
      </x:c>
      <x:c r="I2289" s="29" t="str">
        <x:v>no screened path</x:v>
      </x:c>
      <x:c r="J2289" s="29" t="str">
        <x:v>presence does not prove operability or capacity</x:v>
      </x:c>
    </x:row>
    <x:row r="2290" ht="64.80000305175781" hidden="0" customHeight="1">
      <x:c r="A2290" s="27" t="str">
        <x:v>SCA-19</x:v>
      </x:c>
      <x:c r="B2290" s="27" t="str">
        <x:v>SCA-14</x:v>
      </x:c>
      <x:c r="C2290" s="27" t="str">
        <x:v>Rail</x:v>
      </x:c>
      <x:c r="D2290" s="27" t="str">
        <x:v>YES</x:v>
      </x:c>
      <x:c r="E2290" s="27" t="str">
        <x:v>YES</x:v>
      </x:c>
      <x:c r="F2290" s="61" t="n">
        <x:v>2119.5211449252947</x:v>
      </x:c>
      <x:c r="G2290" s="61" t="n">
        <x:v>56.27887349893278</x:v>
      </x:c>
      <x:c r="H2290" s="27" t="str">
        <x:v>YES</x:v>
      </x:c>
      <x:c r="I2290" s="27" t="str">
        <x:v>NARN shared-node topology; deployable terminal required</x:v>
      </x:c>
      <x:c r="J2290" s="27" t="str">
        <x:v>presence does not prove operability or capacity</x:v>
      </x:c>
    </x:row>
    <x:row r="2291" ht="54" hidden="0" customHeight="1">
      <x:c r="A2291" s="29" t="str">
        <x:v>SCA-19</x:v>
      </x:c>
      <x:c r="B2291" s="29" t="str">
        <x:v>SCA-14</x:v>
      </x:c>
      <x:c r="C2291" s="29" t="str">
        <x:v>Air</x:v>
      </x:c>
      <x:c r="D2291" s="29" t="str">
        <x:v>YES</x:v>
      </x:c>
      <x:c r="E2291" s="29" t="str">
        <x:v>YES</x:v>
      </x:c>
      <x:c r="F2291" s="62" t="n">
        <x:v>1481.373408299319</x:v>
      </x:c>
      <x:c r="G2291" s="62" t="n">
        <x:v>26.279036012768184</x:v>
      </x:c>
      <x:c r="H2291" s="29" t="str">
        <x:v>YES</x:v>
      </x:c>
      <x:c r="I2291" s="29" t="str">
        <x:v>primary-airport endpoints; great-circle screen</x:v>
      </x:c>
      <x:c r="J2291" s="29" t="str">
        <x:v>presence does not prove operability or capacity</x:v>
      </x:c>
    </x:row>
    <x:row r="2292" ht="75.5999984741211" hidden="0" customHeight="1">
      <x:c r="A2292" s="27" t="str">
        <x:v>SCA-19</x:v>
      </x:c>
      <x:c r="B2292" s="27" t="str">
        <x:v>SCA-14</x:v>
      </x:c>
      <x:c r="C2292" s="27" t="str">
        <x:v>Water</x:v>
      </x:c>
      <x:c r="D2292" s="27" t="str">
        <x:v>YES</x:v>
      </x:c>
      <x:c r="E2292" s="27" t="str">
        <x:v>YES</x:v>
      </x:c>
      <x:c r="F2292" s="61" t="n">
        <x:v>2099.9115606415176</x:v>
      </x:c>
      <x:c r="G2292" s="61" t="n">
        <x:v>89.9974731611862</x:v>
      </x:c>
      <x:c r="H2292" s="27" t="str">
        <x:v>NO</x:v>
      </x:c>
      <x:c r="I2292" s="27" t="str">
        <x:v>USACE waterway node topology; deployable terminal required</x:v>
      </x:c>
      <x:c r="J2292" s="27" t="str">
        <x:v>presence does not prove operability or capacity</x:v>
      </x:c>
    </x:row>
    <x:row r="2293" ht="54" hidden="0" customHeight="1">
      <x:c r="A2293" s="29" t="str">
        <x:v>SCA-19</x:v>
      </x:c>
      <x:c r="B2293" s="29" t="str">
        <x:v>SCA-15</x:v>
      </x:c>
      <x:c r="C2293" s="29" t="str">
        <x:v>Road</x:v>
      </x:c>
      <x:c r="D2293" s="29" t="str">
        <x:v>YES</x:v>
      </x:c>
      <x:c r="E2293" s="29" t="str">
        <x:v>YES</x:v>
      </x:c>
      <x:c r="F2293" s="62" t="n">
        <x:v>1171.5118608779212</x:v>
      </x:c>
      <x:c r="G2293" s="62" t="n">
        <x:v>41.30021565232584</x:v>
      </x:c>
      <x:c r="H2293" s="29" t="str">
        <x:v>YES</x:v>
      </x:c>
      <x:c r="I2293" s="29" t="str">
        <x:v>NHPN-gated shared-boundary SCA path</x:v>
      </x:c>
      <x:c r="J2293" s="29" t="str">
        <x:v>presence does not prove operability or capacity</x:v>
      </x:c>
    </x:row>
    <x:row r="2294" ht="64.80000305175781" hidden="0" customHeight="1">
      <x:c r="A2294" s="27" t="str">
        <x:v>SCA-19</x:v>
      </x:c>
      <x:c r="B2294" s="27" t="str">
        <x:v>SCA-15</x:v>
      </x:c>
      <x:c r="C2294" s="27" t="str">
        <x:v>Rail</x:v>
      </x:c>
      <x:c r="D2294" s="27" t="str">
        <x:v>YES</x:v>
      </x:c>
      <x:c r="E2294" s="27" t="str">
        <x:v>YES</x:v>
      </x:c>
      <x:c r="F2294" s="61" t="n">
        <x:v>1242.821278496578</x:v>
      </x:c>
      <x:c r="G2294" s="61" t="n">
        <x:v>43.75458969280826</x:v>
      </x:c>
      <x:c r="H2294" s="27" t="str">
        <x:v>YES</x:v>
      </x:c>
      <x:c r="I2294" s="27" t="str">
        <x:v>NARN shared-node topology; deployable terminal required</x:v>
      </x:c>
      <x:c r="J2294" s="27" t="str">
        <x:v>presence does not prove operability or capacity</x:v>
      </x:c>
    </x:row>
    <x:row r="2295" ht="54" hidden="0" customHeight="1">
      <x:c r="A2295" s="29" t="str">
        <x:v>SCA-19</x:v>
      </x:c>
      <x:c r="B2295" s="29" t="str">
        <x:v>SCA-15</x:v>
      </x:c>
      <x:c r="C2295" s="29" t="str">
        <x:v>Air</x:v>
      </x:c>
      <x:c r="D2295" s="29" t="str">
        <x:v>YES</x:v>
      </x:c>
      <x:c r="E2295" s="29" t="str">
        <x:v>YES</x:v>
      </x:c>
      <x:c r="F2295" s="62" t="n">
        <x:v>817.6988900187017</x:v>
      </x:c>
      <x:c r="G2295" s="62" t="n">
        <x:v>25.257998292336463</x:v>
      </x:c>
      <x:c r="H2295" s="29" t="str">
        <x:v>YES</x:v>
      </x:c>
      <x:c r="I2295" s="29" t="str">
        <x:v>primary-airport endpoints; great-circle screen</x:v>
      </x:c>
      <x:c r="J2295" s="29" t="str">
        <x:v>presence does not prove operability or capacity</x:v>
      </x:c>
    </x:row>
    <x:row r="2296" ht="75.5999984741211" hidden="0" customHeight="1">
      <x:c r="A2296" s="27" t="str">
        <x:v>SCA-19</x:v>
      </x:c>
      <x:c r="B2296" s="27" t="str">
        <x:v>SCA-15</x:v>
      </x:c>
      <x:c r="C2296" s="27" t="str">
        <x:v>Water</x:v>
      </x:c>
      <x:c r="D2296" s="27" t="str">
        <x:v>YES</x:v>
      </x:c>
      <x:c r="E2296" s="27" t="str">
        <x:v>YES</x:v>
      </x:c>
      <x:c r="F2296" s="61" t="n">
        <x:v>1303.943636455426</x:v>
      </x:c>
      <x:c r="G2296" s="61" t="n">
        <x:v>67.25553247015503</x:v>
      </x:c>
      <x:c r="H2296" s="27" t="str">
        <x:v>YES</x:v>
      </x:c>
      <x:c r="I2296" s="27" t="str">
        <x:v>USACE waterway node topology; deployable terminal required</x:v>
      </x:c>
      <x:c r="J2296" s="27" t="str">
        <x:v>presence does not prove operability or capacity</x:v>
      </x:c>
    </x:row>
    <x:row r="2297" ht="54" hidden="0" customHeight="1">
      <x:c r="A2297" s="29" t="str">
        <x:v>SCA-19</x:v>
      </x:c>
      <x:c r="B2297" s="29" t="str">
        <x:v>SCA-16</x:v>
      </x:c>
      <x:c r="C2297" s="29" t="str">
        <x:v>Road</x:v>
      </x:c>
      <x:c r="D2297" s="29" t="str">
        <x:v>YES</x:v>
      </x:c>
      <x:c r="E2297" s="29" t="str">
        <x:v>YES</x:v>
      </x:c>
      <x:c r="F2297" s="62" t="n">
        <x:v>521.4851739290159</x:v>
      </x:c>
      <x:c r="G2297" s="62" t="n">
        <x:v>29.481548616891196</x:v>
      </x:c>
      <x:c r="H2297" s="29" t="str">
        <x:v>YES</x:v>
      </x:c>
      <x:c r="I2297" s="29" t="str">
        <x:v>NHPN-gated shared-boundary SCA path</x:v>
      </x:c>
      <x:c r="J2297" s="29" t="str">
        <x:v>presence does not prove operability or capacity</x:v>
      </x:c>
    </x:row>
    <x:row r="2298" ht="64.80000305175781" hidden="0" customHeight="1">
      <x:c r="A2298" s="27" t="str">
        <x:v>SCA-19</x:v>
      </x:c>
      <x:c r="B2298" s="27" t="str">
        <x:v>SCA-16</x:v>
      </x:c>
      <x:c r="C2298" s="27" t="str">
        <x:v>Rail</x:v>
      </x:c>
      <x:c r="D2298" s="27" t="str">
        <x:v>YES</x:v>
      </x:c>
      <x:c r="E2298" s="27" t="str">
        <x:v>YES</x:v>
      </x:c>
      <x:c r="F2298" s="61" t="n">
        <x:v>553.2277497333909</x:v>
      </x:c>
      <x:c r="G2298" s="61" t="n">
        <x:v>33.90325356761987</x:v>
      </x:c>
      <x:c r="H2298" s="27" t="str">
        <x:v>YES</x:v>
      </x:c>
      <x:c r="I2298" s="27" t="str">
        <x:v>NARN shared-node topology; deployable terminal required</x:v>
      </x:c>
      <x:c r="J2298" s="27" t="str">
        <x:v>presence does not prove operability or capacity</x:v>
      </x:c>
    </x:row>
    <x:row r="2299" ht="54" hidden="0" customHeight="1">
      <x:c r="A2299" s="29" t="str">
        <x:v>SCA-19</x:v>
      </x:c>
      <x:c r="B2299" s="29" t="str">
        <x:v>SCA-16</x:v>
      </x:c>
      <x:c r="C2299" s="29" t="str">
        <x:v>Air</x:v>
      </x:c>
      <x:c r="D2299" s="29" t="str">
        <x:v>YES</x:v>
      </x:c>
      <x:c r="E2299" s="29" t="str">
        <x:v>YES</x:v>
      </x:c>
      <x:c r="F2299" s="62" t="n">
        <x:v>453.4653686339269</x:v>
      </x:c>
      <x:c r="G2299" s="62" t="n">
        <x:v>24.69763902866758</x:v>
      </x:c>
      <x:c r="H2299" s="29" t="str">
        <x:v>YES</x:v>
      </x:c>
      <x:c r="I2299" s="29" t="str">
        <x:v>primary-airport endpoints; great-circle screen</x:v>
      </x:c>
      <x:c r="J2299" s="29" t="str">
        <x:v>presence does not prove operability or capacity</x:v>
      </x:c>
    </x:row>
    <x:row r="2300" ht="75.5999984741211" hidden="0" customHeight="1">
      <x:c r="A2300" s="27" t="str">
        <x:v>SCA-19</x:v>
      </x:c>
      <x:c r="B2300" s="27" t="str">
        <x:v>SCA-16</x:v>
      </x:c>
      <x:c r="C2300" s="27" t="str">
        <x:v>Water</x:v>
      </x:c>
      <x:c r="D2300" s="27" t="str">
        <x:v>YES</x:v>
      </x:c>
      <x:c r="E2300" s="27" t="str">
        <x:v>YES</x:v>
      </x:c>
      <x:c r="F2300" s="61" t="n">
        <x:v>580.4356718514265</x:v>
      </x:c>
      <x:c r="G2300" s="61" t="n">
        <x:v>46.583876338612185</x:v>
      </x:c>
      <x:c r="H2300" s="27" t="str">
        <x:v>YES</x:v>
      </x:c>
      <x:c r="I2300" s="27" t="str">
        <x:v>USACE waterway node topology; deployable terminal required</x:v>
      </x:c>
      <x:c r="J2300" s="27" t="str">
        <x:v>presence does not prove operability or capacity</x:v>
      </x:c>
    </x:row>
    <x:row r="2301" ht="54" hidden="0" customHeight="1">
      <x:c r="A2301" s="29" t="str">
        <x:v>SCA-19</x:v>
      </x:c>
      <x:c r="B2301" s="29" t="str">
        <x:v>SCA-17</x:v>
      </x:c>
      <x:c r="C2301" s="29" t="str">
        <x:v>Road</x:v>
      </x:c>
      <x:c r="D2301" s="29" t="str">
        <x:v>YES</x:v>
      </x:c>
      <x:c r="E2301" s="29" t="str">
        <x:v>YES</x:v>
      </x:c>
      <x:c r="F2301" s="62" t="n">
        <x:v>1291.8361043794262</x:v>
      </x:c>
      <x:c r="G2301" s="62" t="n">
        <x:v>43.487929170535025</x:v>
      </x:c>
      <x:c r="H2301" s="29" t="str">
        <x:v>YES</x:v>
      </x:c>
      <x:c r="I2301" s="29" t="str">
        <x:v>NHPN-gated shared-boundary SCA path</x:v>
      </x:c>
      <x:c r="J2301" s="29" t="str">
        <x:v>presence does not prove operability or capacity</x:v>
      </x:c>
    </x:row>
    <x:row r="2302" ht="64.80000305175781" hidden="0" customHeight="1">
      <x:c r="A2302" s="27" t="str">
        <x:v>SCA-19</x:v>
      </x:c>
      <x:c r="B2302" s="27" t="str">
        <x:v>SCA-17</x:v>
      </x:c>
      <x:c r="C2302" s="27" t="str">
        <x:v>Rail</x:v>
      </x:c>
      <x:c r="D2302" s="27" t="str">
        <x:v>YES</x:v>
      </x:c>
      <x:c r="E2302" s="27" t="str">
        <x:v>YES</x:v>
      </x:c>
      <x:c r="F2302" s="61" t="n">
        <x:v>1370.4696063851306</x:v>
      </x:c>
      <x:c r="G2302" s="61" t="n">
        <x:v>45.578137234073296</x:v>
      </x:c>
      <x:c r="H2302" s="27" t="str">
        <x:v>YES</x:v>
      </x:c>
      <x:c r="I2302" s="27" t="str">
        <x:v>NARN shared-node topology; deployable terminal required</x:v>
      </x:c>
      <x:c r="J2302" s="27" t="str">
        <x:v>presence does not prove operability or capacity</x:v>
      </x:c>
    </x:row>
    <x:row r="2303" ht="54" hidden="0" customHeight="1">
      <x:c r="A2303" s="29" t="str">
        <x:v>SCA-19</x:v>
      </x:c>
      <x:c r="B2303" s="29" t="str">
        <x:v>SCA-17</x:v>
      </x:c>
      <x:c r="C2303" s="29" t="str">
        <x:v>Air</x:v>
      </x:c>
      <x:c r="D2303" s="29" t="str">
        <x:v>YES</x:v>
      </x:c>
      <x:c r="E2303" s="29" t="str">
        <x:v>YES</x:v>
      </x:c>
      <x:c r="F2303" s="62" t="n">
        <x:v>1013.244913536584</x:v>
      </x:c>
      <x:c r="G2303" s="62" t="n">
        <x:v>25.558838328517822</x:v>
      </x:c>
      <x:c r="H2303" s="29" t="str">
        <x:v>YES</x:v>
      </x:c>
      <x:c r="I2303" s="29" t="str">
        <x:v>primary-airport endpoints; great-circle screen</x:v>
      </x:c>
      <x:c r="J2303" s="29" t="str">
        <x:v>presence does not prove operability or capacity</x:v>
      </x:c>
    </x:row>
    <x:row r="2304" ht="75.5999984741211" hidden="0" customHeight="1">
      <x:c r="A2304" s="27" t="str">
        <x:v>SCA-19</x:v>
      </x:c>
      <x:c r="B2304" s="27" t="str">
        <x:v>SCA-17</x:v>
      </x:c>
      <x:c r="C2304" s="27" t="str">
        <x:v>Water</x:v>
      </x:c>
      <x:c r="D2304" s="27" t="str">
        <x:v>YES</x:v>
      </x:c>
      <x:c r="E2304" s="27" t="str">
        <x:v>YES</x:v>
      </x:c>
      <x:c r="F2304" s="61" t="n">
        <x:v>1437.8697509614485</x:v>
      </x:c>
      <x:c r="G2304" s="61" t="n">
        <x:v>71.08199288461282</x:v>
      </x:c>
      <x:c r="H2304" s="27" t="str">
        <x:v>YES</x:v>
      </x:c>
      <x:c r="I2304" s="27" t="str">
        <x:v>USACE waterway node topology; deployable terminal required</x:v>
      </x:c>
      <x:c r="J2304" s="27" t="str">
        <x:v>presence does not prove operability or capacity</x:v>
      </x:c>
    </x:row>
    <x:row r="2305" ht="54" hidden="0" customHeight="1">
      <x:c r="A2305" s="29" t="str">
        <x:v>SCA-19</x:v>
      </x:c>
      <x:c r="B2305" s="29" t="str">
        <x:v>SCA-18</x:v>
      </x:c>
      <x:c r="C2305" s="29" t="str">
        <x:v>Road</x:v>
      </x:c>
      <x:c r="D2305" s="29" t="str">
        <x:v>YES</x:v>
      </x:c>
      <x:c r="E2305" s="29" t="str">
        <x:v>YES</x:v>
      </x:c>
      <x:c r="F2305" s="62" t="n">
        <x:v>819.8756982586646</x:v>
      </x:c>
      <x:c r="G2305" s="62" t="n">
        <x:v>34.90683087743027</x:v>
      </x:c>
      <x:c r="H2305" s="29" t="str">
        <x:v>YES</x:v>
      </x:c>
      <x:c r="I2305" s="29" t="str">
        <x:v>NHPN-gated shared-boundary SCA path</x:v>
      </x:c>
      <x:c r="J2305" s="29" t="str">
        <x:v>presence does not prove operability or capacity</x:v>
      </x:c>
    </x:row>
    <x:row r="2306" ht="64.80000305175781" hidden="0" customHeight="1">
      <x:c r="A2306" s="27" t="str">
        <x:v>SCA-19</x:v>
      </x:c>
      <x:c r="B2306" s="27" t="str">
        <x:v>SCA-18</x:v>
      </x:c>
      <x:c r="C2306" s="27" t="str">
        <x:v>Rail</x:v>
      </x:c>
      <x:c r="D2306" s="27" t="str">
        <x:v>YES</x:v>
      </x:c>
      <x:c r="E2306" s="27" t="str">
        <x:v>YES</x:v>
      </x:c>
      <x:c r="F2306" s="61" t="n">
        <x:v>869.7811755439747</x:v>
      </x:c>
      <x:c r="G2306" s="61" t="n">
        <x:v>38.42544536491393</x:v>
      </x:c>
      <x:c r="H2306" s="27" t="str">
        <x:v>YES</x:v>
      </x:c>
      <x:c r="I2306" s="27" t="str">
        <x:v>NARN shared-node topology; deployable terminal required</x:v>
      </x:c>
      <x:c r="J2306" s="27" t="str">
        <x:v>presence does not prove operability or capacity</x:v>
      </x:c>
    </x:row>
    <x:row r="2307" ht="54" hidden="0" customHeight="1">
      <x:c r="A2307" s="29" t="str">
        <x:v>SCA-19</x:v>
      </x:c>
      <x:c r="B2307" s="29" t="str">
        <x:v>SCA-18</x:v>
      </x:c>
      <x:c r="C2307" s="29" t="str">
        <x:v>Air</x:v>
      </x:c>
      <x:c r="D2307" s="29" t="str">
        <x:v>YES</x:v>
      </x:c>
      <x:c r="E2307" s="29" t="str">
        <x:v>YES</x:v>
      </x:c>
      <x:c r="F2307" s="62" t="n">
        <x:v>712.9353897901432</x:v>
      </x:c>
      <x:c r="G2307" s="62" t="n">
        <x:v>25.09682367660022</x:v>
      </x:c>
      <x:c r="H2307" s="29" t="str">
        <x:v>YES</x:v>
      </x:c>
      <x:c r="I2307" s="29" t="str">
        <x:v>primary-airport endpoints; great-circle screen</x:v>
      </x:c>
      <x:c r="J2307" s="29" t="str">
        <x:v>presence does not prove operability or capacity</x:v>
      </x:c>
    </x:row>
    <x:row r="2308" ht="75.5999984741211" hidden="0" customHeight="1">
      <x:c r="A2308" s="27" t="str">
        <x:v>SCA-19</x:v>
      </x:c>
      <x:c r="B2308" s="27" t="str">
        <x:v>SCA-18</x:v>
      </x:c>
      <x:c r="C2308" s="27" t="str">
        <x:v>Water</x:v>
      </x:c>
      <x:c r="D2308" s="27" t="str">
        <x:v>YES</x:v>
      </x:c>
      <x:c r="E2308" s="27" t="str">
        <x:v>YES</x:v>
      </x:c>
      <x:c r="F2308" s="61" t="n">
        <x:v>1299.0652185388171</x:v>
      </x:c>
      <x:c r="G2308" s="61" t="n">
        <x:v>67.11614910110906</x:v>
      </x:c>
      <x:c r="H2308" s="27" t="str">
        <x:v>YES</x:v>
      </x:c>
      <x:c r="I2308" s="27" t="str">
        <x:v>USACE waterway node topology; deployable terminal required</x:v>
      </x:c>
      <x:c r="J2308" s="27" t="str">
        <x:v>presence does not prove operability or capacity</x:v>
      </x:c>
    </x:row>
    <x:row r="2309" ht="54" hidden="0" customHeight="1">
      <x:c r="A2309" s="29" t="str">
        <x:v>SCA-19</x:v>
      </x:c>
      <x:c r="B2309" s="29" t="str">
        <x:v>SCA-20</x:v>
      </x:c>
      <x:c r="C2309" s="29" t="str">
        <x:v>Road</x:v>
      </x:c>
      <x:c r="D2309" s="29" t="str">
        <x:v>YES</x:v>
      </x:c>
      <x:c r="E2309" s="29" t="str">
        <x:v>YES</x:v>
      </x:c>
      <x:c r="F2309" s="62" t="n">
        <x:v>601.5460798157927</x:v>
      </x:c>
      <x:c r="G2309" s="62" t="n">
        <x:v>30.93720145119623</x:v>
      </x:c>
      <x:c r="H2309" s="29" t="str">
        <x:v>YES</x:v>
      </x:c>
      <x:c r="I2309" s="29" t="str">
        <x:v>NHPN-gated shared-boundary SCA path</x:v>
      </x:c>
      <x:c r="J2309" s="29" t="str">
        <x:v>presence does not prove operability or capacity</x:v>
      </x:c>
    </x:row>
    <x:row r="2310" ht="64.80000305175781" hidden="0" customHeight="1">
      <x:c r="A2310" s="27" t="str">
        <x:v>SCA-19</x:v>
      </x:c>
      <x:c r="B2310" s="27" t="str">
        <x:v>SCA-20</x:v>
      </x:c>
      <x:c r="C2310" s="27" t="str">
        <x:v>Rail</x:v>
      </x:c>
      <x:c r="D2310" s="27" t="str">
        <x:v>YES</x:v>
      </x:c>
      <x:c r="E2310" s="27" t="str">
        <x:v>YES</x:v>
      </x:c>
      <x:c r="F2310" s="61" t="n">
        <x:v>638.1619281524065</x:v>
      </x:c>
      <x:c r="G2310" s="61" t="n">
        <x:v>35.116598973605804</x:v>
      </x:c>
      <x:c r="H2310" s="27" t="str">
        <x:v>YES</x:v>
      </x:c>
      <x:c r="I2310" s="27" t="str">
        <x:v>NARN shared-node topology; deployable terminal required</x:v>
      </x:c>
      <x:c r="J2310" s="27" t="str">
        <x:v>presence does not prove operability or capacity</x:v>
      </x:c>
    </x:row>
    <x:row r="2311" ht="54" hidden="0" customHeight="1">
      <x:c r="A2311" s="29" t="str">
        <x:v>SCA-19</x:v>
      </x:c>
      <x:c r="B2311" s="29" t="str">
        <x:v>SCA-20</x:v>
      </x:c>
      <x:c r="C2311" s="29" t="str">
        <x:v>Air</x:v>
      </x:c>
      <x:c r="D2311" s="29" t="str">
        <x:v>YES</x:v>
      </x:c>
      <x:c r="E2311" s="29" t="str">
        <x:v>YES</x:v>
      </x:c>
      <x:c r="F2311" s="62" t="n">
        <x:v>523.083547665907</x:v>
      </x:c>
      <x:c r="G2311" s="62" t="n">
        <x:v>24.80474391948601</x:v>
      </x:c>
      <x:c r="H2311" s="29" t="str">
        <x:v>YES</x:v>
      </x:c>
      <x:c r="I2311" s="29" t="str">
        <x:v>primary-airport endpoints; great-circle screen</x:v>
      </x:c>
      <x:c r="J2311" s="29" t="str">
        <x:v>presence does not prove operability or capacity</x:v>
      </x:c>
    </x:row>
    <x:row r="2312" ht="75.5999984741211" hidden="0" customHeight="1">
      <x:c r="A2312" s="27" t="str">
        <x:v>SCA-19</x:v>
      </x:c>
      <x:c r="B2312" s="27" t="str">
        <x:v>SCA-20</x:v>
      </x:c>
      <x:c r="C2312" s="27" t="str">
        <x:v>Water</x:v>
      </x:c>
      <x:c r="D2312" s="27" t="str">
        <x:v>YES</x:v>
      </x:c>
      <x:c r="E2312" s="27" t="str">
        <x:v>YES</x:v>
      </x:c>
      <x:c r="F2312" s="61" t="n">
        <x:v>669.5469410123609</x:v>
      </x:c>
      <x:c r="G2312" s="61" t="n">
        <x:v>49.129912600353165</x:v>
      </x:c>
      <x:c r="H2312" s="27" t="str">
        <x:v>YES</x:v>
      </x:c>
      <x:c r="I2312" s="27" t="str">
        <x:v>USACE waterway node topology; deployable terminal required</x:v>
      </x:c>
      <x:c r="J2312" s="27" t="str">
        <x:v>presence does not prove operability or capacity</x:v>
      </x:c>
    </x:row>
    <x:row r="2313" ht="54" hidden="0" customHeight="1">
      <x:c r="A2313" s="29" t="str">
        <x:v>SCA-19</x:v>
      </x:c>
      <x:c r="B2313" s="29" t="str">
        <x:v>SCA-21</x:v>
      </x:c>
      <x:c r="C2313" s="29" t="str">
        <x:v>Road</x:v>
      </x:c>
      <x:c r="D2313" s="29" t="str">
        <x:v>YES</x:v>
      </x:c>
      <x:c r="E2313" s="29" t="str">
        <x:v>YES</x:v>
      </x:c>
      <x:c r="F2313" s="62" t="n">
        <x:v>525.5273611751038</x:v>
      </x:c>
      <x:c r="G2313" s="62" t="n">
        <x:v>29.55504293045643</x:v>
      </x:c>
      <x:c r="H2313" s="29" t="str">
        <x:v>YES</x:v>
      </x:c>
      <x:c r="I2313" s="29" t="str">
        <x:v>NHPN-gated shared-boundary SCA path</x:v>
      </x:c>
      <x:c r="J2313" s="29" t="str">
        <x:v>presence does not prove operability or capacity</x:v>
      </x:c>
    </x:row>
    <x:row r="2314" ht="64.80000305175781" hidden="0" customHeight="1">
      <x:c r="A2314" s="27" t="str">
        <x:v>SCA-19</x:v>
      </x:c>
      <x:c r="B2314" s="27" t="str">
        <x:v>SCA-21</x:v>
      </x:c>
      <x:c r="C2314" s="27" t="str">
        <x:v>Rail</x:v>
      </x:c>
      <x:c r="D2314" s="27" t="str">
        <x:v>YES</x:v>
      </x:c>
      <x:c r="E2314" s="27" t="str">
        <x:v>YES</x:v>
      </x:c>
      <x:c r="F2314" s="61" t="n">
        <x:v>557.5159831596751</x:v>
      </x:c>
      <x:c r="G2314" s="61" t="n">
        <x:v>33.964514045138216</x:v>
      </x:c>
      <x:c r="H2314" s="27" t="str">
        <x:v>YES</x:v>
      </x:c>
      <x:c r="I2314" s="27" t="str">
        <x:v>NARN shared-node topology; deployable terminal required</x:v>
      </x:c>
      <x:c r="J2314" s="27" t="str">
        <x:v>presence does not prove operability or capacity</x:v>
      </x:c>
    </x:row>
    <x:row r="2315" ht="54" hidden="0" customHeight="1">
      <x:c r="A2315" s="29" t="str">
        <x:v>SCA-19</x:v>
      </x:c>
      <x:c r="B2315" s="29" t="str">
        <x:v>SCA-21</x:v>
      </x:c>
      <x:c r="C2315" s="29" t="str">
        <x:v>Air</x:v>
      </x:c>
      <x:c r="D2315" s="29" t="str">
        <x:v>YES</x:v>
      </x:c>
      <x:c r="E2315" s="29" t="str">
        <x:v>YES</x:v>
      </x:c>
      <x:c r="F2315" s="62" t="n">
        <x:v>456.9803140653075</x:v>
      </x:c>
      <x:c r="G2315" s="62" t="n">
        <x:v>24.70304663702355</x:v>
      </x:c>
      <x:c r="H2315" s="29" t="str">
        <x:v>YES</x:v>
      </x:c>
      <x:c r="I2315" s="29" t="str">
        <x:v>primary-airport endpoints; great-circle screen</x:v>
      </x:c>
      <x:c r="J2315" s="29" t="str">
        <x:v>presence does not prove operability or capacity</x:v>
      </x:c>
    </x:row>
    <x:row r="2316" ht="75.5999984741211" hidden="0" customHeight="1">
      <x:c r="A2316" s="27" t="str">
        <x:v>SCA-19</x:v>
      </x:c>
      <x:c r="B2316" s="27" t="str">
        <x:v>SCA-21</x:v>
      </x:c>
      <x:c r="C2316" s="27" t="str">
        <x:v>Water</x:v>
      </x:c>
      <x:c r="D2316" s="27" t="str">
        <x:v>YES</x:v>
      </x:c>
      <x:c r="E2316" s="27" t="str">
        <x:v>YES</x:v>
      </x:c>
      <x:c r="F2316" s="61" t="n">
        <x:v>584.9348020035936</x:v>
      </x:c>
      <x:c r="G2316" s="61" t="n">
        <x:v>46.71242291438839</x:v>
      </x:c>
      <x:c r="H2316" s="27" t="str">
        <x:v>YES</x:v>
      </x:c>
      <x:c r="I2316" s="27" t="str">
        <x:v>USACE waterway node topology; deployable terminal required</x:v>
      </x:c>
      <x:c r="J2316" s="27" t="str">
        <x:v>presence does not prove operability or capacity</x:v>
      </x:c>
    </x:row>
    <x:row r="2317" ht="54" hidden="0" customHeight="1">
      <x:c r="A2317" s="29" t="str">
        <x:v>SCA-19</x:v>
      </x:c>
      <x:c r="B2317" s="29" t="str">
        <x:v>SCA-22</x:v>
      </x:c>
      <x:c r="C2317" s="29" t="str">
        <x:v>Road</x:v>
      </x:c>
      <x:c r="D2317" s="29" t="str">
        <x:v>YES</x:v>
      </x:c>
      <x:c r="E2317" s="29" t="str">
        <x:v>YES</x:v>
      </x:c>
      <x:c r="F2317" s="62" t="n">
        <x:v>557.5826308603289</x:v>
      </x:c>
      <x:c r="G2317" s="62" t="n">
        <x:v>30.137866015642345</x:v>
      </x:c>
      <x:c r="H2317" s="29" t="str">
        <x:v>YES</x:v>
      </x:c>
      <x:c r="I2317" s="29" t="str">
        <x:v>NHPN-gated shared-boundary SCA path</x:v>
      </x:c>
      <x:c r="J2317" s="29" t="str">
        <x:v>presence does not prove operability or capacity</x:v>
      </x:c>
    </x:row>
    <x:row r="2318" ht="64.80000305175781" hidden="0" customHeight="1">
      <x:c r="A2318" s="27" t="str">
        <x:v>SCA-19</x:v>
      </x:c>
      <x:c r="B2318" s="27" t="str">
        <x:v>SCA-22</x:v>
      </x:c>
      <x:c r="C2318" s="27" t="str">
        <x:v>Rail</x:v>
      </x:c>
      <x:c r="D2318" s="27" t="str">
        <x:v>YES</x:v>
      </x:c>
      <x:c r="E2318" s="27" t="str">
        <x:v>YES</x:v>
      </x:c>
      <x:c r="F2318" s="61" t="n">
        <x:v>591.5224431735664</x:v>
      </x:c>
      <x:c r="G2318" s="61" t="n">
        <x:v>34.45032061676523</x:v>
      </x:c>
      <x:c r="H2318" s="27" t="str">
        <x:v>YES</x:v>
      </x:c>
      <x:c r="I2318" s="27" t="str">
        <x:v>NARN shared-node topology; deployable terminal required</x:v>
      </x:c>
      <x:c r="J2318" s="27" t="str">
        <x:v>presence does not prove operability or capacity</x:v>
      </x:c>
    </x:row>
    <x:row r="2319" ht="54" hidden="0" customHeight="1">
      <x:c r="A2319" s="29" t="str">
        <x:v>SCA-19</x:v>
      </x:c>
      <x:c r="B2319" s="29" t="str">
        <x:v>SCA-22</x:v>
      </x:c>
      <x:c r="C2319" s="29" t="str">
        <x:v>Air</x:v>
      </x:c>
      <x:c r="D2319" s="29" t="str">
        <x:v>YES</x:v>
      </x:c>
      <x:c r="E2319" s="29" t="str">
        <x:v>YES</x:v>
      </x:c>
      <x:c r="F2319" s="62" t="n">
        <x:v>484.85446161767743</x:v>
      </x:c>
      <x:c r="G2319" s="62" t="n">
        <x:v>24.745929940950273</x:v>
      </x:c>
      <x:c r="H2319" s="29" t="str">
        <x:v>YES</x:v>
      </x:c>
      <x:c r="I2319" s="29" t="str">
        <x:v>primary-airport endpoints; great-circle screen</x:v>
      </x:c>
      <x:c r="J2319" s="29" t="str">
        <x:v>presence does not prove operability or capacity</x:v>
      </x:c>
    </x:row>
    <x:row r="2320" ht="75.5999984741211" hidden="0" customHeight="1">
      <x:c r="A2320" s="27" t="str">
        <x:v>SCA-19</x:v>
      </x:c>
      <x:c r="B2320" s="27" t="str">
        <x:v>SCA-22</x:v>
      </x:c>
      <x:c r="C2320" s="27" t="str">
        <x:v>Water</x:v>
      </x:c>
      <x:c r="D2320" s="27" t="str">
        <x:v>YES</x:v>
      </x:c>
      <x:c r="E2320" s="27" t="str">
        <x:v>YES</x:v>
      </x:c>
      <x:c r="F2320" s="61" t="n">
        <x:v>620.6137108706271</x:v>
      </x:c>
      <x:c r="G2320" s="61" t="n">
        <x:v>47.73182031058934</x:v>
      </x:c>
      <x:c r="H2320" s="27" t="str">
        <x:v>YES</x:v>
      </x:c>
      <x:c r="I2320" s="27" t="str">
        <x:v>USACE waterway node topology; deployable terminal required</x:v>
      </x:c>
      <x:c r="J2320" s="27" t="str">
        <x:v>presence does not prove operability or capacity</x:v>
      </x:c>
    </x:row>
    <x:row r="2321" ht="54" hidden="0" customHeight="1">
      <x:c r="A2321" s="29" t="str">
        <x:v>SCA-19</x:v>
      </x:c>
      <x:c r="B2321" s="29" t="str">
        <x:v>SCA-23</x:v>
      </x:c>
      <x:c r="C2321" s="29" t="str">
        <x:v>Road</x:v>
      </x:c>
      <x:c r="D2321" s="29" t="str">
        <x:v>YES</x:v>
      </x:c>
      <x:c r="E2321" s="29" t="str">
        <x:v>YES</x:v>
      </x:c>
      <x:c r="F2321" s="62" t="n">
        <x:v>1146.4955240437646</x:v>
      </x:c>
      <x:c r="G2321" s="62" t="n">
        <x:v>40.84537316443208</x:v>
      </x:c>
      <x:c r="H2321" s="29" t="str">
        <x:v>YES</x:v>
      </x:c>
      <x:c r="I2321" s="29" t="str">
        <x:v>NHPN-gated shared-boundary SCA path</x:v>
      </x:c>
      <x:c r="J2321" s="29" t="str">
        <x:v>presence does not prove operability or capacity</x:v>
      </x:c>
    </x:row>
    <x:row r="2322" ht="64.80000305175781" hidden="0" customHeight="1">
      <x:c r="A2322" s="27" t="str">
        <x:v>SCA-19</x:v>
      </x:c>
      <x:c r="B2322" s="27" t="str">
        <x:v>SCA-23</x:v>
      </x:c>
      <x:c r="C2322" s="27" t="str">
        <x:v>Rail</x:v>
      </x:c>
      <x:c r="D2322" s="27" t="str">
        <x:v>YES</x:v>
      </x:c>
      <x:c r="E2322" s="27" t="str">
        <x:v>YES</x:v>
      </x:c>
      <x:c r="F2322" s="61" t="n">
        <x:v>1216.2822081159939</x:v>
      </x:c>
      <x:c r="G2322" s="61" t="n">
        <x:v>43.37546011594277</x:v>
      </x:c>
      <x:c r="H2322" s="27" t="str">
        <x:v>YES</x:v>
      </x:c>
      <x:c r="I2322" s="27" t="str">
        <x:v>NARN shared-node topology; deployable terminal required</x:v>
      </x:c>
      <x:c r="J2322" s="27" t="str">
        <x:v>presence does not prove operability or capacity</x:v>
      </x:c>
    </x:row>
    <x:row r="2323" ht="54" hidden="0" customHeight="1">
      <x:c r="A2323" s="29" t="str">
        <x:v>SCA-19</x:v>
      </x:c>
      <x:c r="B2323" s="29" t="str">
        <x:v>SCA-23</x:v>
      </x:c>
      <x:c r="C2323" s="29" t="str">
        <x:v>Air</x:v>
      </x:c>
      <x:c r="D2323" s="29" t="str">
        <x:v>YES</x:v>
      </x:c>
      <x:c r="E2323" s="29" t="str">
        <x:v>YES</x:v>
      </x:c>
      <x:c r="F2323" s="62" t="n">
        <x:v>788.9215573008609</x:v>
      </x:c>
      <x:c r="G2323" s="62" t="n">
        <x:v>25.213725472770555</x:v>
      </x:c>
      <x:c r="H2323" s="29" t="str">
        <x:v>YES</x:v>
      </x:c>
      <x:c r="I2323" s="29" t="str">
        <x:v>primary-airport endpoints; great-circle screen</x:v>
      </x:c>
      <x:c r="J2323" s="29" t="str">
        <x:v>presence does not prove operability or capacity</x:v>
      </x:c>
    </x:row>
    <x:row r="2324" ht="75.5999984741211" hidden="0" customHeight="1">
      <x:c r="A2324" s="27" t="str">
        <x:v>SCA-19</x:v>
      </x:c>
      <x:c r="B2324" s="27" t="str">
        <x:v>SCA-23</x:v>
      </x:c>
      <x:c r="C2324" s="27" t="str">
        <x:v>Water</x:v>
      </x:c>
      <x:c r="D2324" s="27" t="str">
        <x:v>YES</x:v>
      </x:c>
      <x:c r="E2324" s="27" t="str">
        <x:v>YES</x:v>
      </x:c>
      <x:c r="F2324" s="61" t="n">
        <x:v>1314.5545167749437</x:v>
      </x:c>
      <x:c r="G2324" s="61" t="n">
        <x:v>67.55870047928411</x:v>
      </x:c>
      <x:c r="H2324" s="27" t="str">
        <x:v>YES</x:v>
      </x:c>
      <x:c r="I2324" s="27" t="str">
        <x:v>USACE waterway node topology; deployable terminal required</x:v>
      </x:c>
      <x:c r="J2324" s="27" t="str">
        <x:v>presence does not prove operability or capacity</x:v>
      </x:c>
    </x:row>
    <x:row r="2325" ht="54" hidden="0" customHeight="1">
      <x:c r="A2325" s="29" t="str">
        <x:v>SCA-19</x:v>
      </x:c>
      <x:c r="B2325" s="29" t="str">
        <x:v>SCA-24</x:v>
      </x:c>
      <x:c r="C2325" s="29" t="str">
        <x:v>Road</x:v>
      </x:c>
      <x:c r="D2325" s="29" t="str">
        <x:v>YES</x:v>
      </x:c>
      <x:c r="E2325" s="29" t="str">
        <x:v>YES</x:v>
      </x:c>
      <x:c r="F2325" s="62" t="n">
        <x:v>922.7674143381412</x:v>
      </x:c>
      <x:c r="G2325" s="62" t="n">
        <x:v>36.77758935160257</x:v>
      </x:c>
      <x:c r="H2325" s="29" t="str">
        <x:v>YES</x:v>
      </x:c>
      <x:c r="I2325" s="29" t="str">
        <x:v>NHPN-gated shared-boundary SCA path</x:v>
      </x:c>
      <x:c r="J2325" s="29" t="str">
        <x:v>presence does not prove operability or capacity</x:v>
      </x:c>
    </x:row>
    <x:row r="2326" ht="64.80000305175781" hidden="0" customHeight="1">
      <x:c r="A2326" s="27" t="str">
        <x:v>SCA-19</x:v>
      </x:c>
      <x:c r="B2326" s="27" t="str">
        <x:v>SCA-24</x:v>
      </x:c>
      <x:c r="C2326" s="27" t="str">
        <x:v>Rail</x:v>
      </x:c>
      <x:c r="D2326" s="27" t="str">
        <x:v>YES</x:v>
      </x:c>
      <x:c r="E2326" s="27" t="str">
        <x:v>YES</x:v>
      </x:c>
      <x:c r="F2326" s="61" t="n">
        <x:v>978.93586564568</x:v>
      </x:c>
      <x:c r="G2326" s="61" t="n">
        <x:v>39.984798080652574</x:v>
      </x:c>
      <x:c r="H2326" s="27" t="str">
        <x:v>YES</x:v>
      </x:c>
      <x:c r="I2326" s="27" t="str">
        <x:v>NARN shared-node topology; deployable terminal required</x:v>
      </x:c>
      <x:c r="J2326" s="27" t="str">
        <x:v>presence does not prove operability or capacity</x:v>
      </x:c>
    </x:row>
    <x:row r="2327" ht="54" hidden="0" customHeight="1">
      <x:c r="A2327" s="29" t="str">
        <x:v>SCA-19</x:v>
      </x:c>
      <x:c r="B2327" s="29" t="str">
        <x:v>SCA-24</x:v>
      </x:c>
      <x:c r="C2327" s="29" t="str">
        <x:v>Air</x:v>
      </x:c>
      <x:c r="D2327" s="29" t="str">
        <x:v>YES</x:v>
      </x:c>
      <x:c r="E2327" s="29" t="str">
        <x:v>YES</x:v>
      </x:c>
      <x:c r="F2327" s="62" t="n">
        <x:v>726.4962164662102</x:v>
      </x:c>
      <x:c r="G2327" s="62" t="n">
        <x:v>25.117686486871094</x:v>
      </x:c>
      <x:c r="H2327" s="29" t="str">
        <x:v>YES</x:v>
      </x:c>
      <x:c r="I2327" s="29" t="str">
        <x:v>primary-airport endpoints; great-circle screen</x:v>
      </x:c>
      <x:c r="J2327" s="29" t="str">
        <x:v>presence does not prove operability or capacity</x:v>
      </x:c>
    </x:row>
    <x:row r="2328" ht="75.5999984741211" hidden="0" customHeight="1">
      <x:c r="A2328" s="27" t="str">
        <x:v>SCA-19</x:v>
      </x:c>
      <x:c r="B2328" s="27" t="str">
        <x:v>SCA-24</x:v>
      </x:c>
      <x:c r="C2328" s="27" t="str">
        <x:v>Water</x:v>
      </x:c>
      <x:c r="D2328" s="27" t="str">
        <x:v>YES</x:v>
      </x:c>
      <x:c r="E2328" s="27" t="str">
        <x:v>YES</x:v>
      </x:c>
      <x:c r="F2328" s="61" t="n">
        <x:v>1027.0802524807136</x:v>
      </x:c>
      <x:c r="G2328" s="61" t="n">
        <x:v>59.34515007087754</x:v>
      </x:c>
      <x:c r="H2328" s="27" t="str">
        <x:v>YES</x:v>
      </x:c>
      <x:c r="I2328" s="27" t="str">
        <x:v>USACE waterway node topology; deployable terminal required</x:v>
      </x:c>
      <x:c r="J2328" s="27" t="str">
        <x:v>presence does not prove operability or capacity</x:v>
      </x:c>
    </x:row>
    <x:row r="2329" ht="54" hidden="0" customHeight="1">
      <x:c r="A2329" s="29" t="str">
        <x:v>SCA-19</x:v>
      </x:c>
      <x:c r="B2329" s="29" t="str">
        <x:v>SCA-25</x:v>
      </x:c>
      <x:c r="C2329" s="29" t="str">
        <x:v>Road</x:v>
      </x:c>
      <x:c r="D2329" s="29" t="str">
        <x:v>YES</x:v>
      </x:c>
      <x:c r="E2329" s="29" t="str">
        <x:v>YES</x:v>
      </x:c>
      <x:c r="F2329" s="62" t="n">
        <x:v>1641.0797039632039</x:v>
      </x:c>
      <x:c r="G2329" s="62" t="n">
        <x:v>49.837812799330976</x:v>
      </x:c>
      <x:c r="H2329" s="29" t="str">
        <x:v>YES</x:v>
      </x:c>
      <x:c r="I2329" s="29" t="str">
        <x:v>NHPN-gated shared-boundary SCA path</x:v>
      </x:c>
      <x:c r="J2329" s="29" t="str">
        <x:v>presence does not prove operability or capacity</x:v>
      </x:c>
    </x:row>
    <x:row r="2330" ht="64.80000305175781" hidden="0" customHeight="1">
      <x:c r="A2330" s="27" t="str">
        <x:v>SCA-19</x:v>
      </x:c>
      <x:c r="B2330" s="27" t="str">
        <x:v>SCA-25</x:v>
      </x:c>
      <x:c r="C2330" s="27" t="str">
        <x:v>Rail</x:v>
      </x:c>
      <x:c r="D2330" s="27" t="str">
        <x:v>YES</x:v>
      </x:c>
      <x:c r="E2330" s="27" t="str">
        <x:v>YES</x:v>
      </x:c>
      <x:c r="F2330" s="61" t="n">
        <x:v>1740.9715120305298</x:v>
      </x:c>
      <x:c r="G2330" s="61" t="n">
        <x:v>50.87102160043614</x:v>
      </x:c>
      <x:c r="H2330" s="27" t="str">
        <x:v>YES</x:v>
      </x:c>
      <x:c r="I2330" s="27" t="str">
        <x:v>NARN shared-node topology; deployable terminal required</x:v>
      </x:c>
      <x:c r="J2330" s="27" t="str">
        <x:v>presence does not prove operability or capacity</x:v>
      </x:c>
    </x:row>
    <x:row r="2331" ht="54" hidden="0" customHeight="1">
      <x:c r="A2331" s="29" t="str">
        <x:v>SCA-19</x:v>
      </x:c>
      <x:c r="B2331" s="29" t="str">
        <x:v>SCA-25</x:v>
      </x:c>
      <x:c r="C2331" s="29" t="str">
        <x:v>Air</x:v>
      </x:c>
      <x:c r="D2331" s="29" t="str">
        <x:v>YES</x:v>
      </x:c>
      <x:c r="E2331" s="29" t="str">
        <x:v>YES</x:v>
      </x:c>
      <x:c r="F2331" s="62" t="n">
        <x:v>1214.0269844776678</x:v>
      </x:c>
      <x:c r="G2331" s="62" t="n">
        <x:v>25.867733822273337</x:v>
      </x:c>
      <x:c r="H2331" s="29" t="str">
        <x:v>YES</x:v>
      </x:c>
      <x:c r="I2331" s="29" t="str">
        <x:v>primary-airport endpoints; great-circle screen</x:v>
      </x:c>
      <x:c r="J2331" s="29" t="str">
        <x:v>presence does not prove operability or capacity</x:v>
      </x:c>
    </x:row>
    <x:row r="2332" ht="75.5999984741211" hidden="0" customHeight="1">
      <x:c r="A2332" s="27" t="str">
        <x:v>SCA-19</x:v>
      </x:c>
      <x:c r="B2332" s="27" t="str">
        <x:v>SCA-25</x:v>
      </x:c>
      <x:c r="C2332" s="27" t="str">
        <x:v>Water</x:v>
      </x:c>
      <x:c r="D2332" s="27" t="str">
        <x:v>YES</x:v>
      </x:c>
      <x:c r="E2332" s="27" t="str">
        <x:v>YES</x:v>
      </x:c>
      <x:c r="F2332" s="61" t="n">
        <x:v>1746.5518763641367</x:v>
      </x:c>
      <x:c r="G2332" s="61" t="n">
        <x:v>79.90148218183248</x:v>
      </x:c>
      <x:c r="H2332" s="27" t="str">
        <x:v>NO</x:v>
      </x:c>
      <x:c r="I2332" s="27" t="str">
        <x:v>USACE waterway node topology; deployable terminal required</x:v>
      </x:c>
      <x:c r="J2332" s="27" t="str">
        <x:v>presence does not prove operability or capacity</x:v>
      </x:c>
    </x:row>
    <x:row r="2333" ht="54" hidden="0" customHeight="1">
      <x:c r="A2333" s="29" t="str">
        <x:v>SCA-19</x:v>
      </x:c>
      <x:c r="B2333" s="29" t="str">
        <x:v>SCA-26</x:v>
      </x:c>
      <x:c r="C2333" s="29" t="str">
        <x:v>Road</x:v>
      </x:c>
      <x:c r="D2333" s="29" t="str">
        <x:v>YES</x:v>
      </x:c>
      <x:c r="E2333" s="29" t="str">
        <x:v>YES</x:v>
      </x:c>
      <x:c r="F2333" s="62" t="n">
        <x:v>1969.5791597280263</x:v>
      </x:c>
      <x:c r="G2333" s="62" t="n">
        <x:v>55.81053017687321</x:v>
      </x:c>
      <x:c r="H2333" s="29" t="str">
        <x:v>YES</x:v>
      </x:c>
      <x:c r="I2333" s="29" t="str">
        <x:v>NHPN-gated shared-boundary SCA path</x:v>
      </x:c>
      <x:c r="J2333" s="29" t="str">
        <x:v>presence does not prove operability or capacity</x:v>
      </x:c>
    </x:row>
    <x:row r="2334" ht="64.80000305175781" hidden="0" customHeight="1">
      <x:c r="A2334" s="27" t="str">
        <x:v>SCA-19</x:v>
      </x:c>
      <x:c r="B2334" s="27" t="str">
        <x:v>SCA-26</x:v>
      </x:c>
      <x:c r="C2334" s="27" t="str">
        <x:v>Rail</x:v>
      </x:c>
      <x:c r="D2334" s="27" t="str">
        <x:v>YES</x:v>
      </x:c>
      <x:c r="E2334" s="27" t="str">
        <x:v>YES</x:v>
      </x:c>
      <x:c r="F2334" s="61" t="n">
        <x:v>2089.466586841906</x:v>
      </x:c>
      <x:c r="G2334" s="61" t="n">
        <x:v>55.849522669170085</x:v>
      </x:c>
      <x:c r="H2334" s="27" t="str">
        <x:v>YES</x:v>
      </x:c>
      <x:c r="I2334" s="27" t="str">
        <x:v>NARN shared-node topology; deployable terminal required</x:v>
      </x:c>
      <x:c r="J2334" s="27" t="str">
        <x:v>presence does not prove operability or capacity</x:v>
      </x:c>
    </x:row>
    <x:row r="2335" ht="54" hidden="0" customHeight="1">
      <x:c r="A2335" s="29" t="str">
        <x:v>SCA-19</x:v>
      </x:c>
      <x:c r="B2335" s="29" t="str">
        <x:v>SCA-26</x:v>
      </x:c>
      <x:c r="C2335" s="29" t="str">
        <x:v>Air</x:v>
      </x:c>
      <x:c r="D2335" s="29" t="str">
        <x:v>YES</x:v>
      </x:c>
      <x:c r="E2335" s="29" t="str">
        <x:v>YES</x:v>
      </x:c>
      <x:c r="F2335" s="62" t="n">
        <x:v>1457.6265754208143</x:v>
      </x:c>
      <x:c r="G2335" s="62" t="n">
        <x:v>26.24250242372433</x:v>
      </x:c>
      <x:c r="H2335" s="29" t="str">
        <x:v>YES</x:v>
      </x:c>
      <x:c r="I2335" s="29" t="str">
        <x:v>primary-airport endpoints; great-circle screen</x:v>
      </x:c>
      <x:c r="J2335" s="29" t="str">
        <x:v>presence does not prove operability or capacity</x:v>
      </x:c>
    </x:row>
    <x:row r="2336" ht="75.5999984741211" hidden="0" customHeight="1">
      <x:c r="A2336" s="27" t="str">
        <x:v>SCA-19</x:v>
      </x:c>
      <x:c r="B2336" s="27" t="str">
        <x:v>SCA-26</x:v>
      </x:c>
      <x:c r="C2336" s="27" t="str">
        <x:v>Water</x:v>
      </x:c>
      <x:c r="D2336" s="27" t="str">
        <x:v>YES</x:v>
      </x:c>
      <x:c r="E2336" s="27" t="str">
        <x:v>YES</x:v>
      </x:c>
      <x:c r="F2336" s="61" t="n">
        <x:v>2112.186053215417</x:v>
      </x:c>
      <x:c r="G2336" s="61" t="n">
        <x:v>90.34817294901191</x:v>
      </x:c>
      <x:c r="H2336" s="27" t="str">
        <x:v>NO</x:v>
      </x:c>
      <x:c r="I2336" s="27" t="str">
        <x:v>USACE waterway node topology; deployable terminal required</x:v>
      </x:c>
      <x:c r="J2336" s="27" t="str">
        <x:v>presence does not prove operability or capacity</x:v>
      </x:c>
    </x:row>
    <x:row r="2337" ht="54" hidden="0" customHeight="1">
      <x:c r="A2337" s="29" t="str">
        <x:v>SCA-19</x:v>
      </x:c>
      <x:c r="B2337" s="29" t="str">
        <x:v>SCA-27</x:v>
      </x:c>
      <x:c r="C2337" s="29" t="str">
        <x:v>Road</x:v>
      </x:c>
      <x:c r="D2337" s="29" t="str">
        <x:v>YES</x:v>
      </x:c>
      <x:c r="E2337" s="29" t="str">
        <x:v>YES</x:v>
      </x:c>
      <x:c r="F2337" s="62" t="n">
        <x:v>2249.207423847575</x:v>
      </x:c>
      <x:c r="G2337" s="62" t="n">
        <x:v>60.89468043359227</x:v>
      </x:c>
      <x:c r="H2337" s="29" t="str">
        <x:v>YES</x:v>
      </x:c>
      <x:c r="I2337" s="29" t="str">
        <x:v>NHPN-gated shared-boundary SCA path</x:v>
      </x:c>
      <x:c r="J2337" s="29" t="str">
        <x:v>presence does not prove operability or capacity</x:v>
      </x:c>
    </x:row>
    <x:row r="2338" ht="64.80000305175781" hidden="0" customHeight="1">
      <x:c r="A2338" s="27" t="str">
        <x:v>SCA-19</x:v>
      </x:c>
      <x:c r="B2338" s="27" t="str">
        <x:v>SCA-27</x:v>
      </x:c>
      <x:c r="C2338" s="27" t="str">
        <x:v>Rail</x:v>
      </x:c>
      <x:c r="D2338" s="27" t="str">
        <x:v>YES</x:v>
      </x:c>
      <x:c r="E2338" s="27" t="str">
        <x:v>YES</x:v>
      </x:c>
      <x:c r="F2338" s="61" t="n">
        <x:v>2386.115701820906</x:v>
      </x:c>
      <x:c r="G2338" s="61" t="n">
        <x:v>60.08736716887009</x:v>
      </x:c>
      <x:c r="H2338" s="27" t="str">
        <x:v>YES</x:v>
      </x:c>
      <x:c r="I2338" s="27" t="str">
        <x:v>NARN shared-node topology; deployable terminal required</x:v>
      </x:c>
      <x:c r="J2338" s="27" t="str">
        <x:v>presence does not prove operability or capacity</x:v>
      </x:c>
    </x:row>
    <x:row r="2339" ht="54" hidden="0" customHeight="1">
      <x:c r="A2339" s="29" t="str">
        <x:v>SCA-19</x:v>
      </x:c>
      <x:c r="B2339" s="29" t="str">
        <x:v>SCA-27</x:v>
      </x:c>
      <x:c r="C2339" s="29" t="str">
        <x:v>Air</x:v>
      </x:c>
      <x:c r="D2339" s="29" t="str">
        <x:v>YES</x:v>
      </x:c>
      <x:c r="E2339" s="29" t="str">
        <x:v>YES</x:v>
      </x:c>
      <x:c r="F2339" s="62" t="n">
        <x:v>1700.7595740069144</x:v>
      </x:c>
      <x:c r="G2339" s="62" t="n">
        <x:v>26.616553190779868</x:v>
      </x:c>
      <x:c r="H2339" s="29" t="str">
        <x:v>YES</x:v>
      </x:c>
      <x:c r="I2339" s="29" t="str">
        <x:v>primary-airport endpoints; great-circle screen</x:v>
      </x:c>
      <x:c r="J2339" s="29" t="str">
        <x:v>presence does not prove operability or capacity</x:v>
      </x:c>
    </x:row>
    <x:row r="2340" ht="75.5999984741211" hidden="0" customHeight="1">
      <x:c r="A2340" s="27" t="str">
        <x:v>SCA-19</x:v>
      </x:c>
      <x:c r="B2340" s="27" t="str">
        <x:v>SCA-27</x:v>
      </x:c>
      <x:c r="C2340" s="27" t="str">
        <x:v>Water</x:v>
      </x:c>
      <x:c r="D2340" s="27" t="str">
        <x:v>YES</x:v>
      </x:c>
      <x:c r="E2340" s="27" t="str">
        <x:v>YES</x:v>
      </x:c>
      <x:c r="F2340" s="61" t="n">
        <x:v>2291.408612948345</x:v>
      </x:c>
      <x:c r="G2340" s="61" t="n">
        <x:v>95.46881751280985</x:v>
      </x:c>
      <x:c r="H2340" s="27" t="str">
        <x:v>NO</x:v>
      </x:c>
      <x:c r="I2340" s="27" t="str">
        <x:v>USACE waterway node topology; deployable terminal required</x:v>
      </x:c>
      <x:c r="J2340" s="27" t="str">
        <x:v>presence does not prove operability or capacity</x:v>
      </x:c>
    </x:row>
    <x:row r="2341" ht="54" hidden="0" customHeight="1">
      <x:c r="A2341" s="29" t="str">
        <x:v>SCA-19</x:v>
      </x:c>
      <x:c r="B2341" s="29" t="str">
        <x:v>SCA-28</x:v>
      </x:c>
      <x:c r="C2341" s="29" t="str">
        <x:v>Road</x:v>
      </x:c>
      <x:c r="D2341" s="29" t="str">
        <x:v>YES</x:v>
      </x:c>
      <x:c r="E2341" s="29" t="str">
        <x:v>YES</x:v>
      </x:c>
      <x:c r="F2341" s="62" t="n">
        <x:v>1202.237606124667</x:v>
      </x:c>
      <x:c r="G2341" s="62" t="n">
        <x:v>41.85886556590304</x:v>
      </x:c>
      <x:c r="H2341" s="29" t="str">
        <x:v>YES</x:v>
      </x:c>
      <x:c r="I2341" s="29" t="str">
        <x:v>NHPN-gated shared-boundary SCA path</x:v>
      </x:c>
      <x:c r="J2341" s="29" t="str">
        <x:v>presence does not prove operability or capacity</x:v>
      </x:c>
    </x:row>
    <x:row r="2342" ht="64.80000305175781" hidden="0" customHeight="1">
      <x:c r="A2342" s="27" t="str">
        <x:v>SCA-19</x:v>
      </x:c>
      <x:c r="B2342" s="27" t="str">
        <x:v>SCA-28</x:v>
      </x:c>
      <x:c r="C2342" s="27" t="str">
        <x:v>Rail</x:v>
      </x:c>
      <x:c r="D2342" s="27" t="str">
        <x:v>YES</x:v>
      </x:c>
      <x:c r="E2342" s="27" t="str">
        <x:v>YES</x:v>
      </x:c>
      <x:c r="F2342" s="61" t="n">
        <x:v>1275.4172864974732</x:v>
      </x:c>
      <x:c r="G2342" s="61" t="n">
        <x:v>44.22024694996391</x:v>
      </x:c>
      <x:c r="H2342" s="27" t="str">
        <x:v>YES</x:v>
      </x:c>
      <x:c r="I2342" s="27" t="str">
        <x:v>NARN shared-node topology; deployable terminal required</x:v>
      </x:c>
      <x:c r="J2342" s="27" t="str">
        <x:v>presence does not prove operability or capacity</x:v>
      </x:c>
    </x:row>
    <x:row r="2343" ht="54" hidden="0" customHeight="1">
      <x:c r="A2343" s="29" t="str">
        <x:v>SCA-19</x:v>
      </x:c>
      <x:c r="B2343" s="29" t="str">
        <x:v>SCA-28</x:v>
      </x:c>
      <x:c r="C2343" s="29" t="str">
        <x:v>Air</x:v>
      </x:c>
      <x:c r="D2343" s="29" t="str">
        <x:v>YES</x:v>
      </x:c>
      <x:c r="E2343" s="29" t="str">
        <x:v>YES</x:v>
      </x:c>
      <x:c r="F2343" s="62" t="n">
        <x:v>1005.8949257334239</x:v>
      </x:c>
      <x:c r="G2343" s="62" t="n">
        <x:v>25.547530654974498</x:v>
      </x:c>
      <x:c r="H2343" s="29" t="str">
        <x:v>YES</x:v>
      </x:c>
      <x:c r="I2343" s="29" t="str">
        <x:v>primary-airport endpoints; great-circle screen</x:v>
      </x:c>
      <x:c r="J2343" s="29" t="str">
        <x:v>presence does not prove operability or capacity</x:v>
      </x:c>
    </x:row>
    <x:row r="2344" ht="75.5999984741211" hidden="0" customHeight="1">
      <x:c r="A2344" s="27" t="str">
        <x:v>SCA-19</x:v>
      </x:c>
      <x:c r="B2344" s="27" t="str">
        <x:v>SCA-28</x:v>
      </x:c>
      <x:c r="C2344" s="27" t="str">
        <x:v>Water</x:v>
      </x:c>
      <x:c r="D2344" s="27" t="str">
        <x:v>YES</x:v>
      </x:c>
      <x:c r="E2344" s="27" t="str">
        <x:v>YES</x:v>
      </x:c>
      <x:c r="F2344" s="61" t="n">
        <x:v>1338.1427268170212</x:v>
      </x:c>
      <x:c r="G2344" s="61" t="n">
        <x:v>68.23264933762917</x:v>
      </x:c>
      <x:c r="H2344" s="27" t="str">
        <x:v>YES</x:v>
      </x:c>
      <x:c r="I2344" s="27" t="str">
        <x:v>USACE waterway node topology; deployable terminal required</x:v>
      </x:c>
      <x:c r="J2344" s="27" t="str">
        <x:v>presence does not prove operability or capacity</x:v>
      </x:c>
    </x:row>
    <x:row r="2345" ht="54" hidden="0" customHeight="1">
      <x:c r="A2345" s="29" t="str">
        <x:v>SCA-19</x:v>
      </x:c>
      <x:c r="B2345" s="29" t="str">
        <x:v>SCA-29</x:v>
      </x:c>
      <x:c r="C2345" s="29" t="str">
        <x:v>Road</x:v>
      </x:c>
      <x:c r="D2345" s="29" t="str">
        <x:v>YES</x:v>
      </x:c>
      <x:c r="E2345" s="29" t="str">
        <x:v>YES</x:v>
      </x:c>
      <x:c r="F2345" s="62" t="n">
        <x:v>1275.1251555744734</x:v>
      </x:c>
      <x:c r="G2345" s="62" t="n">
        <x:v>43.1840937377177</x:v>
      </x:c>
      <x:c r="H2345" s="29" t="str">
        <x:v>YES</x:v>
      </x:c>
      <x:c r="I2345" s="29" t="str">
        <x:v>NHPN-gated shared-boundary SCA path</x:v>
      </x:c>
      <x:c r="J2345" s="29" t="str">
        <x:v>presence does not prove operability or capacity</x:v>
      </x:c>
    </x:row>
    <x:row r="2346" ht="64.80000305175781" hidden="0" customHeight="1">
      <x:c r="A2346" s="27" t="str">
        <x:v>SCA-19</x:v>
      </x:c>
      <x:c r="B2346" s="27" t="str">
        <x:v>SCA-29</x:v>
      </x:c>
      <x:c r="C2346" s="27" t="str">
        <x:v>Rail</x:v>
      </x:c>
      <x:c r="D2346" s="27" t="str">
        <x:v>YES</x:v>
      </x:c>
      <x:c r="E2346" s="27" t="str">
        <x:v>YES</x:v>
      </x:c>
      <x:c r="F2346" s="61" t="n">
        <x:v>1352.7414693920502</x:v>
      </x:c>
      <x:c r="G2346" s="61" t="n">
        <x:v>45.324878134172145</x:v>
      </x:c>
      <x:c r="H2346" s="27" t="str">
        <x:v>YES</x:v>
      </x:c>
      <x:c r="I2346" s="27" t="str">
        <x:v>NARN shared-node topology; deployable terminal required</x:v>
      </x:c>
      <x:c r="J2346" s="27" t="str">
        <x:v>presence does not prove operability or capacity</x:v>
      </x:c>
    </x:row>
    <x:row r="2347" ht="54" hidden="0" customHeight="1">
      <x:c r="A2347" s="29" t="str">
        <x:v>SCA-19</x:v>
      </x:c>
      <x:c r="B2347" s="29" t="str">
        <x:v>SCA-29</x:v>
      </x:c>
      <x:c r="C2347" s="29" t="str">
        <x:v>Air</x:v>
      </x:c>
      <x:c r="D2347" s="29" t="str">
        <x:v>YES</x:v>
      </x:c>
      <x:c r="E2347" s="29" t="str">
        <x:v>YES</x:v>
      </x:c>
      <x:c r="F2347" s="62" t="n">
        <x:v>1095.1900640528218</x:v>
      </x:c>
      <x:c r="G2347" s="62" t="n">
        <x:v>25.684907790850495</x:v>
      </x:c>
      <x:c r="H2347" s="29" t="str">
        <x:v>YES</x:v>
      </x:c>
      <x:c r="I2347" s="29" t="str">
        <x:v>primary-airport endpoints; great-circle screen</x:v>
      </x:c>
      <x:c r="J2347" s="29" t="str">
        <x:v>presence does not prove operability or capacity</x:v>
      </x:c>
    </x:row>
    <x:row r="2348" ht="75.5999984741211" hidden="0" customHeight="1">
      <x:c r="A2348" s="27" t="str">
        <x:v>SCA-19</x:v>
      </x:c>
      <x:c r="B2348" s="27" t="str">
        <x:v>SCA-29</x:v>
      </x:c>
      <x:c r="C2348" s="27" t="str">
        <x:v>Water</x:v>
      </x:c>
      <x:c r="D2348" s="27" t="str">
        <x:v>YES</x:v>
      </x:c>
      <x:c r="E2348" s="27" t="str">
        <x:v>YES</x:v>
      </x:c>
      <x:c r="F2348" s="61" t="n">
        <x:v>1419.2697383785444</x:v>
      </x:c>
      <x:c r="G2348" s="61" t="n">
        <x:v>70.55056395367271</x:v>
      </x:c>
      <x:c r="H2348" s="27" t="str">
        <x:v>YES</x:v>
      </x:c>
      <x:c r="I2348" s="27" t="str">
        <x:v>USACE waterway node topology; deployable terminal required</x:v>
      </x:c>
      <x:c r="J2348" s="27" t="str">
        <x:v>presence does not prove operability or capacity</x:v>
      </x:c>
    </x:row>
    <x:row r="2349" ht="54" hidden="0" customHeight="1">
      <x:c r="A2349" s="29" t="str">
        <x:v>SCA-19</x:v>
      </x:c>
      <x:c r="B2349" s="29" t="str">
        <x:v>SCA-30</x:v>
      </x:c>
      <x:c r="C2349" s="29" t="str">
        <x:v>Road</x:v>
      </x:c>
      <x:c r="D2349" s="29" t="str">
        <x:v>YES</x:v>
      </x:c>
      <x:c r="E2349" s="29" t="str">
        <x:v>YES</x:v>
      </x:c>
      <x:c r="F2349" s="62" t="n">
        <x:v>1665.8013220559071</x:v>
      </x:c>
      <x:c r="G2349" s="62" t="n">
        <x:v>50.28729676465286</x:v>
      </x:c>
      <x:c r="H2349" s="29" t="str">
        <x:v>YES</x:v>
      </x:c>
      <x:c r="I2349" s="29" t="str">
        <x:v>NHPN-gated shared-boundary SCA path</x:v>
      </x:c>
      <x:c r="J2349" s="29" t="str">
        <x:v>presence does not prove operability or capacity</x:v>
      </x:c>
    </x:row>
    <x:row r="2350" ht="64.80000305175781" hidden="0" customHeight="1">
      <x:c r="A2350" s="27" t="str">
        <x:v>SCA-19</x:v>
      </x:c>
      <x:c r="B2350" s="27" t="str">
        <x:v>SCA-30</x:v>
      </x:c>
      <x:c r="C2350" s="27" t="str">
        <x:v>Rail</x:v>
      </x:c>
      <x:c r="D2350" s="27" t="str">
        <x:v>YES</x:v>
      </x:c>
      <x:c r="E2350" s="27" t="str">
        <x:v>YES</x:v>
      </x:c>
      <x:c r="F2350" s="61" t="n">
        <x:v>1767.1979242680063</x:v>
      </x:c>
      <x:c r="G2350" s="61" t="n">
        <x:v>51.245684632400085</x:v>
      </x:c>
      <x:c r="H2350" s="27" t="str">
        <x:v>YES</x:v>
      </x:c>
      <x:c r="I2350" s="27" t="str">
        <x:v>NARN shared-node topology; deployable terminal required</x:v>
      </x:c>
      <x:c r="J2350" s="27" t="str">
        <x:v>presence does not prove operability or capacity</x:v>
      </x:c>
    </x:row>
    <x:row r="2351" ht="54" hidden="0" customHeight="1">
      <x:c r="A2351" s="29" t="str">
        <x:v>SCA-19</x:v>
      </x:c>
      <x:c r="B2351" s="29" t="str">
        <x:v>SCA-30</x:v>
      </x:c>
      <x:c r="C2351" s="29" t="str">
        <x:v>Air</x:v>
      </x:c>
      <x:c r="D2351" s="29" t="str">
        <x:v>YES</x:v>
      </x:c>
      <x:c r="E2351" s="29" t="str">
        <x:v>YES</x:v>
      </x:c>
      <x:c r="F2351" s="62" t="n">
        <x:v>1408.879593440501</x:v>
      </x:c>
      <x:c r="G2351" s="62" t="n">
        <x:v>26.16750706683154</x:v>
      </x:c>
      <x:c r="H2351" s="29" t="str">
        <x:v>YES</x:v>
      </x:c>
      <x:c r="I2351" s="29" t="str">
        <x:v>primary-airport endpoints; great-circle screen</x:v>
      </x:c>
      <x:c r="J2351" s="29" t="str">
        <x:v>presence does not prove operability or capacity</x:v>
      </x:c>
    </x:row>
    <x:row r="2352" ht="75.5999984741211" hidden="0" customHeight="1">
      <x:c r="A2352" s="27" t="str">
        <x:v>SCA-19</x:v>
      </x:c>
      <x:c r="B2352" s="27" t="str">
        <x:v>SCA-30</x:v>
      </x:c>
      <x:c r="C2352" s="27" t="str">
        <x:v>Water</x:v>
      </x:c>
      <x:c r="D2352" s="27" t="str">
        <x:v>YES</x:v>
      </x:c>
      <x:c r="E2352" s="27" t="str">
        <x:v>YES</x:v>
      </x:c>
      <x:c r="F2352" s="61" t="n">
        <x:v>1854.1092975926622</x:v>
      </x:c>
      <x:c r="G2352" s="61" t="n">
        <x:v>82.97455135979035</x:v>
      </x:c>
      <x:c r="H2352" s="27" t="str">
        <x:v>NO</x:v>
      </x:c>
      <x:c r="I2352" s="27" t="str">
        <x:v>USACE waterway node topology; deployable terminal required</x:v>
      </x:c>
      <x:c r="J2352" s="27" t="str">
        <x:v>presence does not prove operability or capacity</x:v>
      </x:c>
    </x:row>
    <x:row r="2353" ht="54" hidden="0" customHeight="1">
      <x:c r="A2353" s="29" t="str">
        <x:v>SCA-19</x:v>
      </x:c>
      <x:c r="B2353" s="29" t="str">
        <x:v>SCA-31</x:v>
      </x:c>
      <x:c r="C2353" s="29" t="str">
        <x:v>Road</x:v>
      </x:c>
      <x:c r="D2353" s="29" t="str">
        <x:v>YES</x:v>
      </x:c>
      <x:c r="E2353" s="29" t="str">
        <x:v>YES</x:v>
      </x:c>
      <x:c r="F2353" s="62" t="n">
        <x:v>2058.883467242413</x:v>
      </x:c>
      <x:c r="G2353" s="62" t="n">
        <x:v>57.434244858952965</x:v>
      </x:c>
      <x:c r="H2353" s="29" t="str">
        <x:v>YES</x:v>
      </x:c>
      <x:c r="I2353" s="29" t="str">
        <x:v>NHPN-gated shared-boundary SCA path</x:v>
      </x:c>
      <x:c r="J2353" s="29" t="str">
        <x:v>presence does not prove operability or capacity</x:v>
      </x:c>
    </x:row>
    <x:row r="2354" ht="64.80000305175781" hidden="0" customHeight="1">
      <x:c r="A2354" s="27" t="str">
        <x:v>SCA-19</x:v>
      </x:c>
      <x:c r="B2354" s="27" t="str">
        <x:v>SCA-31</x:v>
      </x:c>
      <x:c r="C2354" s="27" t="str">
        <x:v>Rail</x:v>
      </x:c>
      <x:c r="D2354" s="27" t="str">
        <x:v>YES</x:v>
      </x:c>
      <x:c r="E2354" s="27" t="str">
        <x:v>YES</x:v>
      </x:c>
      <x:c r="F2354" s="61" t="n">
        <x:v>2184.2068087267344</x:v>
      </x:c>
      <x:c r="G2354" s="61" t="n">
        <x:v>57.20295441038192</x:v>
      </x:c>
      <x:c r="H2354" s="27" t="str">
        <x:v>YES</x:v>
      </x:c>
      <x:c r="I2354" s="27" t="str">
        <x:v>NARN shared-node topology; deployable terminal required</x:v>
      </x:c>
      <x:c r="J2354" s="27" t="str">
        <x:v>presence does not prove operability or capacity</x:v>
      </x:c>
    </x:row>
    <x:row r="2355" ht="54" hidden="0" customHeight="1">
      <x:c r="A2355" s="29" t="str">
        <x:v>SCA-19</x:v>
      </x:c>
      <x:c r="B2355" s="29" t="str">
        <x:v>SCA-31</x:v>
      </x:c>
      <x:c r="C2355" s="29" t="str">
        <x:v>Air</x:v>
      </x:c>
      <x:c r="D2355" s="29" t="str">
        <x:v>YES</x:v>
      </x:c>
      <x:c r="E2355" s="29" t="str">
        <x:v>YES</x:v>
      </x:c>
      <x:c r="F2355" s="62" t="n">
        <x:v>1683.9410467309676</x:v>
      </x:c>
      <x:c r="G2355" s="62" t="n">
        <x:v>26.590678533432257</x:v>
      </x:c>
      <x:c r="H2355" s="29" t="str">
        <x:v>YES</x:v>
      </x:c>
      <x:c r="I2355" s="29" t="str">
        <x:v>primary-airport endpoints; great-circle screen</x:v>
      </x:c>
      <x:c r="J2355" s="29" t="str">
        <x:v>presence does not prove operability or capacity</x:v>
      </x:c>
    </x:row>
    <x:row r="2356" ht="75.5999984741211" hidden="0" customHeight="1">
      <x:c r="A2356" s="27" t="str">
        <x:v>SCA-19</x:v>
      </x:c>
      <x:c r="B2356" s="27" t="str">
        <x:v>SCA-31</x:v>
      </x:c>
      <x:c r="C2356" s="27" t="str">
        <x:v>Water</x:v>
      </x:c>
      <x:c r="D2356" s="27" t="str">
        <x:v>YES</x:v>
      </x:c>
      <x:c r="E2356" s="27" t="str">
        <x:v>YES</x:v>
      </x:c>
      <x:c r="F2356" s="61" t="n">
        <x:v>2291.626815713295</x:v>
      </x:c>
      <x:c r="G2356" s="61" t="n">
        <x:v>95.47505187752272</x:v>
      </x:c>
      <x:c r="H2356" s="27" t="str">
        <x:v>NO</x:v>
      </x:c>
      <x:c r="I2356" s="27" t="str">
        <x:v>USACE waterway node topology; deployable terminal required</x:v>
      </x:c>
      <x:c r="J2356" s="27" t="str">
        <x:v>presence does not prove operability or capacity</x:v>
      </x:c>
    </x:row>
    <x:row r="2357" ht="54" hidden="0" customHeight="1">
      <x:c r="A2357" s="29" t="str">
        <x:v>SCA-19</x:v>
      </x:c>
      <x:c r="B2357" s="29" t="str">
        <x:v>SCA-32</x:v>
      </x:c>
      <x:c r="C2357" s="29" t="str">
        <x:v>Road</x:v>
      </x:c>
      <x:c r="D2357" s="29" t="str">
        <x:v>NO</x:v>
      </x:c>
      <x:c r="E2357" s="29" t="str">
        <x:v>NO</x:v>
      </x:c>
      <x:c r="F2357" s="62"/>
      <x:c r="G2357" s="62"/>
      <x:c r="H2357" s="29" t="str">
        <x:v>NO</x:v>
      </x:c>
      <x:c r="I2357" s="29" t="str">
        <x:v>no screened path</x:v>
      </x:c>
      <x:c r="J2357" s="29" t="str">
        <x:v>presence does not prove operability or capacity</x:v>
      </x:c>
    </x:row>
    <x:row r="2358" ht="54" hidden="0" customHeight="1">
      <x:c r="A2358" s="27" t="str">
        <x:v>SCA-19</x:v>
      </x:c>
      <x:c r="B2358" s="27" t="str">
        <x:v>SCA-32</x:v>
      </x:c>
      <x:c r="C2358" s="27" t="str">
        <x:v>Rail</x:v>
      </x:c>
      <x:c r="D2358" s="27" t="str">
        <x:v>NO</x:v>
      </x:c>
      <x:c r="E2358" s="27" t="str">
        <x:v>NO</x:v>
      </x:c>
      <x:c r="F2358" s="61"/>
      <x:c r="G2358" s="61"/>
      <x:c r="H2358" s="27" t="str">
        <x:v>NO</x:v>
      </x:c>
      <x:c r="I2358" s="27" t="str">
        <x:v>no screened path</x:v>
      </x:c>
      <x:c r="J2358" s="27" t="str">
        <x:v>presence does not prove operability or capacity</x:v>
      </x:c>
    </x:row>
    <x:row r="2359" ht="54" hidden="0" customHeight="1">
      <x:c r="A2359" s="29" t="str">
        <x:v>SCA-19</x:v>
      </x:c>
      <x:c r="B2359" s="29" t="str">
        <x:v>SCA-32</x:v>
      </x:c>
      <x:c r="C2359" s="29" t="str">
        <x:v>Air</x:v>
      </x:c>
      <x:c r="D2359" s="29" t="str">
        <x:v>YES</x:v>
      </x:c>
      <x:c r="E2359" s="29" t="str">
        <x:v>YES</x:v>
      </x:c>
      <x:c r="F2359" s="62" t="n">
        <x:v>3285.178712868547</x:v>
      </x:c>
      <x:c r="G2359" s="62" t="n">
        <x:v>29.05412109672084</x:v>
      </x:c>
      <x:c r="H2359" s="29" t="str">
        <x:v>YES</x:v>
      </x:c>
      <x:c r="I2359" s="29" t="str">
        <x:v>primary-airport endpoints; great-circle screen</x:v>
      </x:c>
      <x:c r="J2359" s="29" t="str">
        <x:v>presence does not prove operability or capacity</x:v>
      </x:c>
    </x:row>
    <x:row r="2360" ht="75.5999984741211" hidden="0" customHeight="1">
      <x:c r="A2360" s="27" t="str">
        <x:v>SCA-19</x:v>
      </x:c>
      <x:c r="B2360" s="27" t="str">
        <x:v>SCA-32</x:v>
      </x:c>
      <x:c r="C2360" s="27" t="str">
        <x:v>Water</x:v>
      </x:c>
      <x:c r="D2360" s="27" t="str">
        <x:v>YES</x:v>
      </x:c>
      <x:c r="E2360" s="27" t="str">
        <x:v>YES</x:v>
      </x:c>
      <x:c r="F2360" s="61" t="n">
        <x:v>4389.083958385124</x:v>
      </x:c>
      <x:c r="G2360" s="61" t="n">
        <x:v>155.40239881100354</x:v>
      </x:c>
      <x:c r="H2360" s="27" t="str">
        <x:v>NO</x:v>
      </x:c>
      <x:c r="I2360" s="27" t="str">
        <x:v>USACE waterway node topology; deployable terminal required</x:v>
      </x:c>
      <x:c r="J2360" s="27" t="str">
        <x:v>presence does not prove operability or capacity</x:v>
      </x:c>
    </x:row>
    <x:row r="2361" ht="54" hidden="0" customHeight="1">
      <x:c r="A2361" s="29" t="str">
        <x:v>SCA-20</x:v>
      </x:c>
      <x:c r="B2361" s="29" t="str">
        <x:v>SCA-01</x:v>
      </x:c>
      <x:c r="C2361" s="29" t="str">
        <x:v>Road</x:v>
      </x:c>
      <x:c r="D2361" s="29" t="str">
        <x:v>NO</x:v>
      </x:c>
      <x:c r="E2361" s="29" t="str">
        <x:v>NO</x:v>
      </x:c>
      <x:c r="F2361" s="62"/>
      <x:c r="G2361" s="62"/>
      <x:c r="H2361" s="29" t="str">
        <x:v>NO</x:v>
      </x:c>
      <x:c r="I2361" s="29" t="str">
        <x:v>no screened path</x:v>
      </x:c>
      <x:c r="J2361" s="29" t="str">
        <x:v>presence does not prove operability or capacity</x:v>
      </x:c>
    </x:row>
    <x:row r="2362" ht="54" hidden="0" customHeight="1">
      <x:c r="A2362" s="27" t="str">
        <x:v>SCA-20</x:v>
      </x:c>
      <x:c r="B2362" s="27" t="str">
        <x:v>SCA-01</x:v>
      </x:c>
      <x:c r="C2362" s="27" t="str">
        <x:v>Rail</x:v>
      </x:c>
      <x:c r="D2362" s="27" t="str">
        <x:v>NO</x:v>
      </x:c>
      <x:c r="E2362" s="27" t="str">
        <x:v>NO</x:v>
      </x:c>
      <x:c r="F2362" s="61"/>
      <x:c r="G2362" s="61"/>
      <x:c r="H2362" s="27" t="str">
        <x:v>NO</x:v>
      </x:c>
      <x:c r="I2362" s="27" t="str">
        <x:v>no screened path</x:v>
      </x:c>
      <x:c r="J2362" s="27" t="str">
        <x:v>presence does not prove operability or capacity</x:v>
      </x:c>
    </x:row>
    <x:row r="2363" ht="54" hidden="0" customHeight="1">
      <x:c r="A2363" s="29" t="str">
        <x:v>SCA-20</x:v>
      </x:c>
      <x:c r="B2363" s="29" t="str">
        <x:v>SCA-01</x:v>
      </x:c>
      <x:c r="C2363" s="29" t="str">
        <x:v>Air</x:v>
      </x:c>
      <x:c r="D2363" s="29" t="str">
        <x:v>YES</x:v>
      </x:c>
      <x:c r="E2363" s="29" t="str">
        <x:v>YES</x:v>
      </x:c>
      <x:c r="F2363" s="62" t="n">
        <x:v>6702.35136076878</x:v>
      </x:c>
      <x:c r="G2363" s="62" t="n">
        <x:v>34.31130978579812</x:v>
      </x:c>
      <x:c r="H2363" s="29" t="str">
        <x:v>YES</x:v>
      </x:c>
      <x:c r="I2363" s="29" t="str">
        <x:v>primary-airport endpoints; great-circle screen</x:v>
      </x:c>
      <x:c r="J2363" s="29" t="str">
        <x:v>presence does not prove operability or capacity</x:v>
      </x:c>
    </x:row>
    <x:row r="2364" ht="75.5999984741211" hidden="0" customHeight="1">
      <x:c r="A2364" s="27" t="str">
        <x:v>SCA-20</x:v>
      </x:c>
      <x:c r="B2364" s="27" t="str">
        <x:v>SCA-01</x:v>
      </x:c>
      <x:c r="C2364" s="27" t="str">
        <x:v>Water</x:v>
      </x:c>
      <x:c r="D2364" s="27" t="str">
        <x:v>YES</x:v>
      </x:c>
      <x:c r="E2364" s="27" t="str">
        <x:v>YES</x:v>
      </x:c>
      <x:c r="F2364" s="61" t="n">
        <x:v>11674.084613918218</x:v>
      </x:c>
      <x:c r="G2364" s="61" t="n">
        <x:v>363.54527468337767</x:v>
      </x:c>
      <x:c r="H2364" s="27" t="str">
        <x:v>NO</x:v>
      </x:c>
      <x:c r="I2364" s="27" t="str">
        <x:v>USACE waterway node topology; deployable terminal required</x:v>
      </x:c>
      <x:c r="J2364" s="27" t="str">
        <x:v>presence does not prove operability or capacity</x:v>
      </x:c>
    </x:row>
    <x:row r="2365" ht="54" hidden="0" customHeight="1">
      <x:c r="A2365" s="29" t="str">
        <x:v>SCA-20</x:v>
      </x:c>
      <x:c r="B2365" s="29" t="str">
        <x:v>SCA-02</x:v>
      </x:c>
      <x:c r="C2365" s="29" t="str">
        <x:v>Road</x:v>
      </x:c>
      <x:c r="D2365" s="29" t="str">
        <x:v>NO</x:v>
      </x:c>
      <x:c r="E2365" s="29" t="str">
        <x:v>NO</x:v>
      </x:c>
      <x:c r="F2365" s="62"/>
      <x:c r="G2365" s="62"/>
      <x:c r="H2365" s="29" t="str">
        <x:v>NO</x:v>
      </x:c>
      <x:c r="I2365" s="29" t="str">
        <x:v>no screened path</x:v>
      </x:c>
      <x:c r="J2365" s="29" t="str">
        <x:v>presence does not prove operability or capacity</x:v>
      </x:c>
    </x:row>
    <x:row r="2366" ht="54" hidden="0" customHeight="1">
      <x:c r="A2366" s="27" t="str">
        <x:v>SCA-20</x:v>
      </x:c>
      <x:c r="B2366" s="27" t="str">
        <x:v>SCA-02</x:v>
      </x:c>
      <x:c r="C2366" s="27" t="str">
        <x:v>Rail</x:v>
      </x:c>
      <x:c r="D2366" s="27" t="str">
        <x:v>NO</x:v>
      </x:c>
      <x:c r="E2366" s="27" t="str">
        <x:v>NO</x:v>
      </x:c>
      <x:c r="F2366" s="61"/>
      <x:c r="G2366" s="61"/>
      <x:c r="H2366" s="27" t="str">
        <x:v>NO</x:v>
      </x:c>
      <x:c r="I2366" s="27" t="str">
        <x:v>no screened path</x:v>
      </x:c>
      <x:c r="J2366" s="27" t="str">
        <x:v>presence does not prove operability or capacity</x:v>
      </x:c>
    </x:row>
    <x:row r="2367" ht="54" hidden="0" customHeight="1">
      <x:c r="A2367" s="29" t="str">
        <x:v>SCA-20</x:v>
      </x:c>
      <x:c r="B2367" s="29" t="str">
        <x:v>SCA-02</x:v>
      </x:c>
      <x:c r="C2367" s="29" t="str">
        <x:v>Air</x:v>
      </x:c>
      <x:c r="D2367" s="29" t="str">
        <x:v>YES</x:v>
      </x:c>
      <x:c r="E2367" s="29" t="str">
        <x:v>YES</x:v>
      </x:c>
      <x:c r="F2367" s="62" t="n">
        <x:v>4961.790969845168</x:v>
      </x:c>
      <x:c r="G2367" s="62" t="n">
        <x:v>31.633524568992566</x:v>
      </x:c>
      <x:c r="H2367" s="29" t="str">
        <x:v>YES</x:v>
      </x:c>
      <x:c r="I2367" s="29" t="str">
        <x:v>primary-airport endpoints; great-circle screen</x:v>
      </x:c>
      <x:c r="J2367" s="29" t="str">
        <x:v>presence does not prove operability or capacity</x:v>
      </x:c>
    </x:row>
    <x:row r="2368" ht="75.5999984741211" hidden="0" customHeight="1">
      <x:c r="A2368" s="27" t="str">
        <x:v>SCA-20</x:v>
      </x:c>
      <x:c r="B2368" s="27" t="str">
        <x:v>SCA-02</x:v>
      </x:c>
      <x:c r="C2368" s="27" t="str">
        <x:v>Water</x:v>
      </x:c>
      <x:c r="D2368" s="27" t="str">
        <x:v>YES</x:v>
      </x:c>
      <x:c r="E2368" s="27" t="str">
        <x:v>YES</x:v>
      </x:c>
      <x:c r="F2368" s="61" t="n">
        <x:v>9101.402307352531</x:v>
      </x:c>
      <x:c r="G2368" s="61" t="n">
        <x:v>290.04006592435803</x:v>
      </x:c>
      <x:c r="H2368" s="27" t="str">
        <x:v>NO</x:v>
      </x:c>
      <x:c r="I2368" s="27" t="str">
        <x:v>USACE waterway node topology; deployable terminal required</x:v>
      </x:c>
      <x:c r="J2368" s="27" t="str">
        <x:v>presence does not prove operability or capacity</x:v>
      </x:c>
    </x:row>
    <x:row r="2369" ht="54" hidden="0" customHeight="1">
      <x:c r="A2369" s="29" t="str">
        <x:v>SCA-20</x:v>
      </x:c>
      <x:c r="B2369" s="29" t="str">
        <x:v>SCA-03</x:v>
      </x:c>
      <x:c r="C2369" s="29" t="str">
        <x:v>Road</x:v>
      </x:c>
      <x:c r="D2369" s="29" t="str">
        <x:v>YES</x:v>
      </x:c>
      <x:c r="E2369" s="29" t="str">
        <x:v>YES</x:v>
      </x:c>
      <x:c r="F2369" s="62" t="n">
        <x:v>3517.73220027875</x:v>
      </x:c>
      <x:c r="G2369" s="62" t="n">
        <x:v>83.95876727779546</x:v>
      </x:c>
      <x:c r="H2369" s="29" t="str">
        <x:v>NO</x:v>
      </x:c>
      <x:c r="I2369" s="29" t="str">
        <x:v>NHPN-gated shared-boundary SCA path</x:v>
      </x:c>
      <x:c r="J2369" s="29" t="str">
        <x:v>presence does not prove operability or capacity</x:v>
      </x:c>
    </x:row>
    <x:row r="2370" ht="64.80000305175781" hidden="0" customHeight="1">
      <x:c r="A2370" s="27" t="str">
        <x:v>SCA-20</x:v>
      </x:c>
      <x:c r="B2370" s="27" t="str">
        <x:v>SCA-03</x:v>
      </x:c>
      <x:c r="C2370" s="27" t="str">
        <x:v>Rail</x:v>
      </x:c>
      <x:c r="D2370" s="27" t="str">
        <x:v>YES</x:v>
      </x:c>
      <x:c r="E2370" s="27" t="str">
        <x:v>YES</x:v>
      </x:c>
      <x:c r="F2370" s="61" t="n">
        <x:v>3731.8550298609352</x:v>
      </x:c>
      <x:c r="G2370" s="61" t="n">
        <x:v>79.31221471229907</x:v>
      </x:c>
      <x:c r="H2370" s="27" t="str">
        <x:v>NO</x:v>
      </x:c>
      <x:c r="I2370" s="27" t="str">
        <x:v>NARN shared-node topology; deployable terminal required</x:v>
      </x:c>
      <x:c r="J2370" s="27" t="str">
        <x:v>presence does not prove operability or capacity</x:v>
      </x:c>
    </x:row>
    <x:row r="2371" ht="54" hidden="0" customHeight="1">
      <x:c r="A2371" s="29" t="str">
        <x:v>SCA-20</x:v>
      </x:c>
      <x:c r="B2371" s="29" t="str">
        <x:v>SCA-03</x:v>
      </x:c>
      <x:c r="C2371" s="29" t="str">
        <x:v>Air</x:v>
      </x:c>
      <x:c r="D2371" s="29" t="str">
        <x:v>YES</x:v>
      </x:c>
      <x:c r="E2371" s="29" t="str">
        <x:v>YES</x:v>
      </x:c>
      <x:c r="F2371" s="62" t="n">
        <x:v>2995.094342787121</x:v>
      </x:c>
      <x:c r="G2371" s="62" t="n">
        <x:v>28.607837450441725</x:v>
      </x:c>
      <x:c r="H2371" s="29" t="str">
        <x:v>YES</x:v>
      </x:c>
      <x:c r="I2371" s="29" t="str">
        <x:v>primary-airport endpoints; great-circle screen</x:v>
      </x:c>
      <x:c r="J2371" s="29" t="str">
        <x:v>presence does not prove operability or capacity</x:v>
      </x:c>
    </x:row>
    <x:row r="2372" ht="75.5999984741211" hidden="0" customHeight="1">
      <x:c r="A2372" s="27" t="str">
        <x:v>SCA-20</x:v>
      </x:c>
      <x:c r="B2372" s="27" t="str">
        <x:v>SCA-03</x:v>
      </x:c>
      <x:c r="C2372" s="27" t="str">
        <x:v>Water</x:v>
      </x:c>
      <x:c r="D2372" s="27" t="str">
        <x:v>YES</x:v>
      </x:c>
      <x:c r="E2372" s="27" t="str">
        <x:v>YES</x:v>
      </x:c>
      <x:c r="F2372" s="61" t="n">
        <x:v>8283.32330124656</x:v>
      </x:c>
      <x:c r="G2372" s="61" t="n">
        <x:v>266.66638003561604</x:v>
      </x:c>
      <x:c r="H2372" s="27" t="str">
        <x:v>NO</x:v>
      </x:c>
      <x:c r="I2372" s="27" t="str">
        <x:v>USACE waterway node topology; deployable terminal required</x:v>
      </x:c>
      <x:c r="J2372" s="27" t="str">
        <x:v>presence does not prove operability or capacity</x:v>
      </x:c>
    </x:row>
    <x:row r="2373" ht="54" hidden="0" customHeight="1">
      <x:c r="A2373" s="29" t="str">
        <x:v>SCA-20</x:v>
      </x:c>
      <x:c r="B2373" s="29" t="str">
        <x:v>SCA-04</x:v>
      </x:c>
      <x:c r="C2373" s="29" t="str">
        <x:v>Road</x:v>
      </x:c>
      <x:c r="D2373" s="29" t="str">
        <x:v>YES</x:v>
      </x:c>
      <x:c r="E2373" s="29" t="str">
        <x:v>YES</x:v>
      </x:c>
      <x:c r="F2373" s="62" t="n">
        <x:v>3542.863743941167</x:v>
      </x:c>
      <x:c r="G2373" s="62" t="n">
        <x:v>84.41570443529395</x:v>
      </x:c>
      <x:c r="H2373" s="29" t="str">
        <x:v>NO</x:v>
      </x:c>
      <x:c r="I2373" s="29" t="str">
        <x:v>NHPN-gated shared-boundary SCA path</x:v>
      </x:c>
      <x:c r="J2373" s="29" t="str">
        <x:v>presence does not prove operability or capacity</x:v>
      </x:c>
    </x:row>
    <x:row r="2374" ht="64.80000305175781" hidden="0" customHeight="1">
      <x:c r="A2374" s="27" t="str">
        <x:v>SCA-20</x:v>
      </x:c>
      <x:c r="B2374" s="27" t="str">
        <x:v>SCA-04</x:v>
      </x:c>
      <x:c r="C2374" s="27" t="str">
        <x:v>Rail</x:v>
      </x:c>
      <x:c r="D2374" s="27" t="str">
        <x:v>YES</x:v>
      </x:c>
      <x:c r="E2374" s="27" t="str">
        <x:v>YES</x:v>
      </x:c>
      <x:c r="F2374" s="61" t="n">
        <x:v>3882.71189003548</x:v>
      </x:c>
      <x:c r="G2374" s="61" t="n">
        <x:v>81.46731271479257</x:v>
      </x:c>
      <x:c r="H2374" s="27" t="str">
        <x:v>NO</x:v>
      </x:c>
      <x:c r="I2374" s="27" t="str">
        <x:v>NARN shared-node topology; deployable terminal required</x:v>
      </x:c>
      <x:c r="J2374" s="27" t="str">
        <x:v>presence does not prove operability or capacity</x:v>
      </x:c>
    </x:row>
    <x:row r="2375" ht="54" hidden="0" customHeight="1">
      <x:c r="A2375" s="29" t="str">
        <x:v>SCA-20</x:v>
      </x:c>
      <x:c r="B2375" s="29" t="str">
        <x:v>SCA-04</x:v>
      </x:c>
      <x:c r="C2375" s="29" t="str">
        <x:v>Air</x:v>
      </x:c>
      <x:c r="D2375" s="29" t="str">
        <x:v>YES</x:v>
      </x:c>
      <x:c r="E2375" s="29" t="str">
        <x:v>YES</x:v>
      </x:c>
      <x:c r="F2375" s="62" t="n">
        <x:v>2853.0029461487047</x:v>
      </x:c>
      <x:c r="G2375" s="62" t="n">
        <x:v>28.389235301767236</x:v>
      </x:c>
      <x:c r="H2375" s="29" t="str">
        <x:v>YES</x:v>
      </x:c>
      <x:c r="I2375" s="29" t="str">
        <x:v>primary-airport endpoints; great-circle screen</x:v>
      </x:c>
      <x:c r="J2375" s="29" t="str">
        <x:v>presence does not prove operability or capacity</x:v>
      </x:c>
    </x:row>
    <x:row r="2376" ht="75.5999984741211" hidden="0" customHeight="1">
      <x:c r="A2376" s="27" t="str">
        <x:v>SCA-20</x:v>
      </x:c>
      <x:c r="B2376" s="27" t="str">
        <x:v>SCA-04</x:v>
      </x:c>
      <x:c r="C2376" s="27" t="str">
        <x:v>Water</x:v>
      </x:c>
      <x:c r="D2376" s="27" t="str">
        <x:v>YES</x:v>
      </x:c>
      <x:c r="E2376" s="27" t="str">
        <x:v>YES</x:v>
      </x:c>
      <x:c r="F2376" s="61" t="n">
        <x:v>7071.065092865594</x:v>
      </x:c>
      <x:c r="G2376" s="61" t="n">
        <x:v>232.03043122473127</x:v>
      </x:c>
      <x:c r="H2376" s="27" t="str">
        <x:v>NO</x:v>
      </x:c>
      <x:c r="I2376" s="27" t="str">
        <x:v>USACE waterway node topology; deployable terminal required</x:v>
      </x:c>
      <x:c r="J2376" s="27" t="str">
        <x:v>presence does not prove operability or capacity</x:v>
      </x:c>
    </x:row>
    <x:row r="2377" ht="54" hidden="0" customHeight="1">
      <x:c r="A2377" s="29" t="str">
        <x:v>SCA-20</x:v>
      </x:c>
      <x:c r="B2377" s="29" t="str">
        <x:v>SCA-05</x:v>
      </x:c>
      <x:c r="C2377" s="29" t="str">
        <x:v>Road</x:v>
      </x:c>
      <x:c r="D2377" s="29" t="str">
        <x:v>YES</x:v>
      </x:c>
      <x:c r="E2377" s="29" t="str">
        <x:v>YES</x:v>
      </x:c>
      <x:c r="F2377" s="62" t="n">
        <x:v>3070.600188656451</x:v>
      </x:c>
      <x:c r="G2377" s="62" t="n">
        <x:v>75.8290943392082</x:v>
      </x:c>
      <x:c r="H2377" s="29" t="str">
        <x:v>NO</x:v>
      </x:c>
      <x:c r="I2377" s="29" t="str">
        <x:v>NHPN-gated shared-boundary SCA path</x:v>
      </x:c>
      <x:c r="J2377" s="29" t="str">
        <x:v>presence does not prove operability or capacity</x:v>
      </x:c>
    </x:row>
    <x:row r="2378" ht="64.80000305175781" hidden="0" customHeight="1">
      <x:c r="A2378" s="27" t="str">
        <x:v>SCA-20</x:v>
      </x:c>
      <x:c r="B2378" s="27" t="str">
        <x:v>SCA-05</x:v>
      </x:c>
      <x:c r="C2378" s="27" t="str">
        <x:v>Rail</x:v>
      </x:c>
      <x:c r="D2378" s="27" t="str">
        <x:v>YES</x:v>
      </x:c>
      <x:c r="E2378" s="27" t="str">
        <x:v>YES</x:v>
      </x:c>
      <x:c r="F2378" s="61" t="n">
        <x:v>3257.5062870964093</x:v>
      </x:c>
      <x:c r="G2378" s="61" t="n">
        <x:v>72.53580410137727</x:v>
      </x:c>
      <x:c r="H2378" s="27" t="str">
        <x:v>NO</x:v>
      </x:c>
      <x:c r="I2378" s="27" t="str">
        <x:v>NARN shared-node topology; deployable terminal required</x:v>
      </x:c>
      <x:c r="J2378" s="27" t="str">
        <x:v>presence does not prove operability or capacity</x:v>
      </x:c>
    </x:row>
    <x:row r="2379" ht="54" hidden="0" customHeight="1">
      <x:c r="A2379" s="29" t="str">
        <x:v>SCA-20</x:v>
      </x:c>
      <x:c r="B2379" s="29" t="str">
        <x:v>SCA-05</x:v>
      </x:c>
      <x:c r="C2379" s="29" t="str">
        <x:v>Air</x:v>
      </x:c>
      <x:c r="D2379" s="29" t="str">
        <x:v>YES</x:v>
      </x:c>
      <x:c r="E2379" s="29" t="str">
        <x:v>YES</x:v>
      </x:c>
      <x:c r="F2379" s="62" t="n">
        <x:v>2595.9587603730465</x:v>
      </x:c>
      <x:c r="G2379" s="62" t="n">
        <x:v>27.993782708266224</x:v>
      </x:c>
      <x:c r="H2379" s="29" t="str">
        <x:v>YES</x:v>
      </x:c>
      <x:c r="I2379" s="29" t="str">
        <x:v>primary-airport endpoints; great-circle screen</x:v>
      </x:c>
      <x:c r="J2379" s="29" t="str">
        <x:v>presence does not prove operability or capacity</x:v>
      </x:c>
    </x:row>
    <x:row r="2380" ht="75.5999984741211" hidden="0" customHeight="1">
      <x:c r="A2380" s="27" t="str">
        <x:v>SCA-20</x:v>
      </x:c>
      <x:c r="B2380" s="27" t="str">
        <x:v>SCA-05</x:v>
      </x:c>
      <x:c r="C2380" s="27" t="str">
        <x:v>Water</x:v>
      </x:c>
      <x:c r="D2380" s="27" t="str">
        <x:v>YES</x:v>
      </x:c>
      <x:c r="E2380" s="27" t="str">
        <x:v>YES</x:v>
      </x:c>
      <x:c r="F2380" s="61" t="n">
        <x:v>6415.1116733885365</x:v>
      </x:c>
      <x:c r="G2380" s="61" t="n">
        <x:v>213.2889049539582</x:v>
      </x:c>
      <x:c r="H2380" s="27" t="str">
        <x:v>NO</x:v>
      </x:c>
      <x:c r="I2380" s="27" t="str">
        <x:v>USACE waterway node topology; deployable terminal required</x:v>
      </x:c>
      <x:c r="J2380" s="27" t="str">
        <x:v>presence does not prove operability or capacity</x:v>
      </x:c>
    </x:row>
    <x:row r="2381" ht="54" hidden="0" customHeight="1">
      <x:c r="A2381" s="29" t="str">
        <x:v>SCA-20</x:v>
      </x:c>
      <x:c r="B2381" s="29" t="str">
        <x:v>SCA-06</x:v>
      </x:c>
      <x:c r="C2381" s="29" t="str">
        <x:v>Road</x:v>
      </x:c>
      <x:c r="D2381" s="29" t="str">
        <x:v>YES</x:v>
      </x:c>
      <x:c r="E2381" s="29" t="str">
        <x:v>YES</x:v>
      </x:c>
      <x:c r="F2381" s="62" t="n">
        <x:v>2829.842816376328</x:v>
      </x:c>
      <x:c r="G2381" s="62" t="n">
        <x:v>71.4516875704787</x:v>
      </x:c>
      <x:c r="H2381" s="29" t="str">
        <x:v>YES</x:v>
      </x:c>
      <x:c r="I2381" s="29" t="str">
        <x:v>NHPN-gated shared-boundary SCA path</x:v>
      </x:c>
      <x:c r="J2381" s="29" t="str">
        <x:v>presence does not prove operability or capacity</x:v>
      </x:c>
    </x:row>
    <x:row r="2382" ht="64.80000305175781" hidden="0" customHeight="1">
      <x:c r="A2382" s="27" t="str">
        <x:v>SCA-20</x:v>
      </x:c>
      <x:c r="B2382" s="27" t="str">
        <x:v>SCA-06</x:v>
      </x:c>
      <x:c r="C2382" s="27" t="str">
        <x:v>Rail</x:v>
      </x:c>
      <x:c r="D2382" s="27" t="str">
        <x:v>YES</x:v>
      </x:c>
      <x:c r="E2382" s="27" t="str">
        <x:v>YES</x:v>
      </x:c>
      <x:c r="F2382" s="61" t="n">
        <x:v>3002.094118242713</x:v>
      </x:c>
      <x:c r="G2382" s="61" t="n">
        <x:v>68.88705883203876</x:v>
      </x:c>
      <x:c r="H2382" s="27" t="str">
        <x:v>YES</x:v>
      </x:c>
      <x:c r="I2382" s="27" t="str">
        <x:v>NARN shared-node topology; deployable terminal required</x:v>
      </x:c>
      <x:c r="J2382" s="27" t="str">
        <x:v>presence does not prove operability or capacity</x:v>
      </x:c>
    </x:row>
    <x:row r="2383" ht="54" hidden="0" customHeight="1">
      <x:c r="A2383" s="29" t="str">
        <x:v>SCA-20</x:v>
      </x:c>
      <x:c r="B2383" s="29" t="str">
        <x:v>SCA-06</x:v>
      </x:c>
      <x:c r="C2383" s="29" t="str">
        <x:v>Air</x:v>
      </x:c>
      <x:c r="D2383" s="29" t="str">
        <x:v>YES</x:v>
      </x:c>
      <x:c r="E2383" s="29" t="str">
        <x:v>YES</x:v>
      </x:c>
      <x:c r="F2383" s="62" t="n">
        <x:v>2432.9468291272347</x:v>
      </x:c>
      <x:c r="G2383" s="62" t="n">
        <x:v>27.742995121734207</x:v>
      </x:c>
      <x:c r="H2383" s="29" t="str">
        <x:v>YES</x:v>
      </x:c>
      <x:c r="I2383" s="29" t="str">
        <x:v>primary-airport endpoints; great-circle screen</x:v>
      </x:c>
      <x:c r="J2383" s="29" t="str">
        <x:v>presence does not prove operability or capacity</x:v>
      </x:c>
    </x:row>
    <x:row r="2384" ht="75.5999984741211" hidden="0" customHeight="1">
      <x:c r="A2384" s="27" t="str">
        <x:v>SCA-20</x:v>
      </x:c>
      <x:c r="B2384" s="27" t="str">
        <x:v>SCA-06</x:v>
      </x:c>
      <x:c r="C2384" s="27" t="str">
        <x:v>Water</x:v>
      </x:c>
      <x:c r="D2384" s="27" t="str">
        <x:v>YES</x:v>
      </x:c>
      <x:c r="E2384" s="27" t="str">
        <x:v>YES</x:v>
      </x:c>
      <x:c r="F2384" s="61" t="n">
        <x:v>6147.138250328921</x:v>
      </x:c>
      <x:c r="G2384" s="61" t="n">
        <x:v>205.63252143796916</x:v>
      </x:c>
      <x:c r="H2384" s="27" t="str">
        <x:v>NO</x:v>
      </x:c>
      <x:c r="I2384" s="27" t="str">
        <x:v>USACE waterway node topology; deployable terminal required</x:v>
      </x:c>
      <x:c r="J2384" s="27" t="str">
        <x:v>presence does not prove operability or capacity</x:v>
      </x:c>
    </x:row>
    <x:row r="2385" ht="54" hidden="0" customHeight="1">
      <x:c r="A2385" s="29" t="str">
        <x:v>SCA-20</x:v>
      </x:c>
      <x:c r="B2385" s="29" t="str">
        <x:v>SCA-07</x:v>
      </x:c>
      <x:c r="C2385" s="29" t="str">
        <x:v>Road</x:v>
      </x:c>
      <x:c r="D2385" s="29" t="str">
        <x:v>YES</x:v>
      </x:c>
      <x:c r="E2385" s="29" t="str">
        <x:v>YES</x:v>
      </x:c>
      <x:c r="F2385" s="62" t="n">
        <x:v>2842.259557288522</x:v>
      </x:c>
      <x:c r="G2385" s="62" t="n">
        <x:v>71.67744649615494</x:v>
      </x:c>
      <x:c r="H2385" s="29" t="str">
        <x:v>YES</x:v>
      </x:c>
      <x:c r="I2385" s="29" t="str">
        <x:v>NHPN-gated shared-boundary SCA path</x:v>
      </x:c>
      <x:c r="J2385" s="29" t="str">
        <x:v>presence does not prove operability or capacity</x:v>
      </x:c>
    </x:row>
    <x:row r="2386" ht="64.80000305175781" hidden="0" customHeight="1">
      <x:c r="A2386" s="27" t="str">
        <x:v>SCA-20</x:v>
      </x:c>
      <x:c r="B2386" s="27" t="str">
        <x:v>SCA-07</x:v>
      </x:c>
      <x:c r="C2386" s="27" t="str">
        <x:v>Rail</x:v>
      </x:c>
      <x:c r="D2386" s="27" t="str">
        <x:v>YES</x:v>
      </x:c>
      <x:c r="E2386" s="27" t="str">
        <x:v>YES</x:v>
      </x:c>
      <x:c r="F2386" s="61" t="n">
        <x:v>3015.26666077565</x:v>
      </x:c>
      <x:c r="G2386" s="61" t="n">
        <x:v>69.07523801108071</x:v>
      </x:c>
      <x:c r="H2386" s="27" t="str">
        <x:v>YES</x:v>
      </x:c>
      <x:c r="I2386" s="27" t="str">
        <x:v>NARN shared-node topology; deployable terminal required</x:v>
      </x:c>
      <x:c r="J2386" s="27" t="str">
        <x:v>presence does not prove operability or capacity</x:v>
      </x:c>
    </x:row>
    <x:row r="2387" ht="54" hidden="0" customHeight="1">
      <x:c r="A2387" s="29" t="str">
        <x:v>SCA-20</x:v>
      </x:c>
      <x:c r="B2387" s="29" t="str">
        <x:v>SCA-07</x:v>
      </x:c>
      <x:c r="C2387" s="29" t="str">
        <x:v>Air</x:v>
      </x:c>
      <x:c r="D2387" s="29" t="str">
        <x:v>YES</x:v>
      </x:c>
      <x:c r="E2387" s="29" t="str">
        <x:v>YES</x:v>
      </x:c>
      <x:c r="F2387" s="62" t="n">
        <x:v>2312.41962279493</x:v>
      </x:c>
      <x:c r="G2387" s="62" t="n">
        <x:v>27.55756865045374</x:v>
      </x:c>
      <x:c r="H2387" s="29" t="str">
        <x:v>YES</x:v>
      </x:c>
      <x:c r="I2387" s="29" t="str">
        <x:v>primary-airport endpoints; great-circle screen</x:v>
      </x:c>
      <x:c r="J2387" s="29" t="str">
        <x:v>presence does not prove operability or capacity</x:v>
      </x:c>
    </x:row>
    <x:row r="2388" ht="64.80000305175781" hidden="0" customHeight="1">
      <x:c r="A2388" s="27" t="str">
        <x:v>SCA-20</x:v>
      </x:c>
      <x:c r="B2388" s="27" t="str">
        <x:v>SCA-07</x:v>
      </x:c>
      <x:c r="C2388" s="27" t="str">
        <x:v>Water</x:v>
      </x:c>
      <x:c r="D2388" s="27" t="str">
        <x:v>YES</x:v>
      </x:c>
      <x:c r="E2388" s="27" t="str">
        <x:v>YES</x:v>
      </x:c>
      <x:c r="F2388" s="61" t="n">
        <x:v>2890.5245284936627</x:v>
      </x:c>
      <x:c r="G2388" s="61" t="n">
        <x:v>112.58641509981894</x:v>
      </x:c>
      <x:c r="H2388" s="27" t="str">
        <x:v>NO</x:v>
      </x:c>
      <x:c r="I2388" s="27" t="str">
        <x:v>observed water terminals; maritime great-circle screen</x:v>
      </x:c>
      <x:c r="J2388" s="27" t="str">
        <x:v>presence does not prove operability or capacity</x:v>
      </x:c>
    </x:row>
    <x:row r="2389" ht="54" hidden="0" customHeight="1">
      <x:c r="A2389" s="29" t="str">
        <x:v>SCA-20</x:v>
      </x:c>
      <x:c r="B2389" s="29" t="str">
        <x:v>SCA-08</x:v>
      </x:c>
      <x:c r="C2389" s="29" t="str">
        <x:v>Road</x:v>
      </x:c>
      <x:c r="D2389" s="29" t="str">
        <x:v>YES</x:v>
      </x:c>
      <x:c r="E2389" s="29" t="str">
        <x:v>YES</x:v>
      </x:c>
      <x:c r="F2389" s="62" t="n">
        <x:v>2873.07732520624</x:v>
      </x:c>
      <x:c r="G2389" s="62" t="n">
        <x:v>72.23776954920436</x:v>
      </x:c>
      <x:c r="H2389" s="29" t="str">
        <x:v>NO</x:v>
      </x:c>
      <x:c r="I2389" s="29" t="str">
        <x:v>NHPN-gated shared-boundary SCA path</x:v>
      </x:c>
      <x:c r="J2389" s="29" t="str">
        <x:v>presence does not prove operability or capacity</x:v>
      </x:c>
    </x:row>
    <x:row r="2390" ht="64.80000305175781" hidden="0" customHeight="1">
      <x:c r="A2390" s="27" t="str">
        <x:v>SCA-20</x:v>
      </x:c>
      <x:c r="B2390" s="27" t="str">
        <x:v>SCA-08</x:v>
      </x:c>
      <x:c r="C2390" s="27" t="str">
        <x:v>Rail</x:v>
      </x:c>
      <x:c r="D2390" s="27" t="str">
        <x:v>YES</x:v>
      </x:c>
      <x:c r="E2390" s="27" t="str">
        <x:v>YES</x:v>
      </x:c>
      <x:c r="F2390" s="61" t="n">
        <x:v>3047.96029282749</x:v>
      </x:c>
      <x:c r="G2390" s="61" t="n">
        <x:v>69.54228989753557</x:v>
      </x:c>
      <x:c r="H2390" s="27" t="str">
        <x:v>YES</x:v>
      </x:c>
      <x:c r="I2390" s="27" t="str">
        <x:v>NARN shared-node topology; deployable terminal required</x:v>
      </x:c>
      <x:c r="J2390" s="27" t="str">
        <x:v>presence does not prove operability or capacity</x:v>
      </x:c>
    </x:row>
    <x:row r="2391" ht="54" hidden="0" customHeight="1">
      <x:c r="A2391" s="29" t="str">
        <x:v>SCA-20</x:v>
      </x:c>
      <x:c r="B2391" s="29" t="str">
        <x:v>SCA-08</x:v>
      </x:c>
      <x:c r="C2391" s="29" t="str">
        <x:v>Air</x:v>
      </x:c>
      <x:c r="D2391" s="29" t="str">
        <x:v>YES</x:v>
      </x:c>
      <x:c r="E2391" s="29" t="str">
        <x:v>YES</x:v>
      </x:c>
      <x:c r="F2391" s="62" t="n">
        <x:v>2435.5524569574695</x:v>
      </x:c>
      <x:c r="G2391" s="62" t="n">
        <x:v>27.74700377993457</x:v>
      </x:c>
      <x:c r="H2391" s="29" t="str">
        <x:v>YES</x:v>
      </x:c>
      <x:c r="I2391" s="29" t="str">
        <x:v>primary-airport endpoints; great-circle screen</x:v>
      </x:c>
      <x:c r="J2391" s="29" t="str">
        <x:v>presence does not prove operability or capacity</x:v>
      </x:c>
    </x:row>
    <x:row r="2392" ht="75.5999984741211" hidden="0" customHeight="1">
      <x:c r="A2392" s="27" t="str">
        <x:v>SCA-20</x:v>
      </x:c>
      <x:c r="B2392" s="27" t="str">
        <x:v>SCA-08</x:v>
      </x:c>
      <x:c r="C2392" s="27" t="str">
        <x:v>Water</x:v>
      </x:c>
      <x:c r="D2392" s="27" t="str">
        <x:v>YES</x:v>
      </x:c>
      <x:c r="E2392" s="27" t="str">
        <x:v>YES</x:v>
      </x:c>
      <x:c r="F2392" s="61" t="n">
        <x:v>9000.852205675094</x:v>
      </x:c>
      <x:c r="G2392" s="61" t="n">
        <x:v>287.16720587643124</x:v>
      </x:c>
      <x:c r="H2392" s="27" t="str">
        <x:v>NO</x:v>
      </x:c>
      <x:c r="I2392" s="27" t="str">
        <x:v>USACE waterway node topology; deployable terminal required</x:v>
      </x:c>
      <x:c r="J2392" s="27" t="str">
        <x:v>presence does not prove operability or capacity</x:v>
      </x:c>
    </x:row>
    <x:row r="2393" ht="54" hidden="0" customHeight="1">
      <x:c r="A2393" s="29" t="str">
        <x:v>SCA-20</x:v>
      </x:c>
      <x:c r="B2393" s="29" t="str">
        <x:v>SCA-09</x:v>
      </x:c>
      <x:c r="C2393" s="29" t="str">
        <x:v>Road</x:v>
      </x:c>
      <x:c r="D2393" s="29" t="str">
        <x:v>YES</x:v>
      </x:c>
      <x:c r="E2393" s="29" t="str">
        <x:v>YES</x:v>
      </x:c>
      <x:c r="F2393" s="62" t="n">
        <x:v>2380.123364614497</x:v>
      </x:c>
      <x:c r="G2393" s="62" t="n">
        <x:v>63.274970265718125</x:v>
      </x:c>
      <x:c r="H2393" s="29" t="str">
        <x:v>YES</x:v>
      </x:c>
      <x:c r="I2393" s="29" t="str">
        <x:v>NHPN-gated shared-boundary SCA path</x:v>
      </x:c>
      <x:c r="J2393" s="29" t="str">
        <x:v>presence does not prove operability or capacity</x:v>
      </x:c>
    </x:row>
    <x:row r="2394" ht="64.80000305175781" hidden="0" customHeight="1">
      <x:c r="A2394" s="27" t="str">
        <x:v>SCA-20</x:v>
      </x:c>
      <x:c r="B2394" s="27" t="str">
        <x:v>SCA-09</x:v>
      </x:c>
      <x:c r="C2394" s="27" t="str">
        <x:v>Rail</x:v>
      </x:c>
      <x:c r="D2394" s="27" t="str">
        <x:v>YES</x:v>
      </x:c>
      <x:c r="E2394" s="27" t="str">
        <x:v>YES</x:v>
      </x:c>
      <x:c r="F2394" s="61" t="n">
        <x:v>2525.000438982336</x:v>
      </x:c>
      <x:c r="G2394" s="61" t="n">
        <x:v>62.0714348426048</x:v>
      </x:c>
      <x:c r="H2394" s="27" t="str">
        <x:v>YES</x:v>
      </x:c>
      <x:c r="I2394" s="27" t="str">
        <x:v>NARN shared-node topology; deployable terminal required</x:v>
      </x:c>
      <x:c r="J2394" s="27" t="str">
        <x:v>presence does not prove operability or capacity</x:v>
      </x:c>
    </x:row>
    <x:row r="2395" ht="54" hidden="0" customHeight="1">
      <x:c r="A2395" s="29" t="str">
        <x:v>SCA-20</x:v>
      </x:c>
      <x:c r="B2395" s="29" t="str">
        <x:v>SCA-09</x:v>
      </x:c>
      <x:c r="C2395" s="29" t="str">
        <x:v>Air</x:v>
      </x:c>
      <x:c r="D2395" s="29" t="str">
        <x:v>YES</x:v>
      </x:c>
      <x:c r="E2395" s="29" t="str">
        <x:v>YES</x:v>
      </x:c>
      <x:c r="F2395" s="62" t="n">
        <x:v>2048.499408171667</x:v>
      </x:c>
      <x:c r="G2395" s="62" t="n">
        <x:v>27.151537551033332</x:v>
      </x:c>
      <x:c r="H2395" s="29" t="str">
        <x:v>YES</x:v>
      </x:c>
      <x:c r="I2395" s="29" t="str">
        <x:v>primary-airport endpoints; great-circle screen</x:v>
      </x:c>
      <x:c r="J2395" s="29" t="str">
        <x:v>presence does not prove operability or capacity</x:v>
      </x:c>
    </x:row>
    <x:row r="2396" ht="54" hidden="0" customHeight="1">
      <x:c r="A2396" s="27" t="str">
        <x:v>SCA-20</x:v>
      </x:c>
      <x:c r="B2396" s="27" t="str">
        <x:v>SCA-09</x:v>
      </x:c>
      <x:c r="C2396" s="27" t="str">
        <x:v>Water</x:v>
      </x:c>
      <x:c r="D2396" s="27" t="str">
        <x:v>NO</x:v>
      </x:c>
      <x:c r="E2396" s="27" t="str">
        <x:v>NO</x:v>
      </x:c>
      <x:c r="F2396" s="61"/>
      <x:c r="G2396" s="61"/>
      <x:c r="H2396" s="27" t="str">
        <x:v>NO</x:v>
      </x:c>
      <x:c r="I2396" s="27" t="str">
        <x:v>no screened path</x:v>
      </x:c>
      <x:c r="J2396" s="27" t="str">
        <x:v>presence does not prove operability or capacity</x:v>
      </x:c>
    </x:row>
    <x:row r="2397" ht="54" hidden="0" customHeight="1">
      <x:c r="A2397" s="29" t="str">
        <x:v>SCA-20</x:v>
      </x:c>
      <x:c r="B2397" s="29" t="str">
        <x:v>SCA-10</x:v>
      </x:c>
      <x:c r="C2397" s="29" t="str">
        <x:v>Road</x:v>
      </x:c>
      <x:c r="D2397" s="29" t="str">
        <x:v>YES</x:v>
      </x:c>
      <x:c r="E2397" s="29" t="str">
        <x:v>YES</x:v>
      </x:c>
      <x:c r="F2397" s="62" t="n">
        <x:v>2377.500892790305</x:v>
      </x:c>
      <x:c r="G2397" s="62" t="n">
        <x:v>63.227288959823724</x:v>
      </x:c>
      <x:c r="H2397" s="29" t="str">
        <x:v>YES</x:v>
      </x:c>
      <x:c r="I2397" s="29" t="str">
        <x:v>NHPN-gated shared-boundary SCA path</x:v>
      </x:c>
      <x:c r="J2397" s="29" t="str">
        <x:v>presence does not prove operability or capacity</x:v>
      </x:c>
    </x:row>
    <x:row r="2398" ht="64.80000305175781" hidden="0" customHeight="1">
      <x:c r="A2398" s="27" t="str">
        <x:v>SCA-20</x:v>
      </x:c>
      <x:c r="B2398" s="27" t="str">
        <x:v>SCA-10</x:v>
      </x:c>
      <x:c r="C2398" s="27" t="str">
        <x:v>Rail</x:v>
      </x:c>
      <x:c r="D2398" s="27" t="str">
        <x:v>YES</x:v>
      </x:c>
      <x:c r="E2398" s="27" t="str">
        <x:v>YES</x:v>
      </x:c>
      <x:c r="F2398" s="61" t="n">
        <x:v>2522.2183384384107</x:v>
      </x:c>
      <x:c r="G2398" s="61" t="n">
        <x:v>62.03169054912015</x:v>
      </x:c>
      <x:c r="H2398" s="27" t="str">
        <x:v>YES</x:v>
      </x:c>
      <x:c r="I2398" s="27" t="str">
        <x:v>NARN shared-node topology; deployable terminal required</x:v>
      </x:c>
      <x:c r="J2398" s="27" t="str">
        <x:v>presence does not prove operability or capacity</x:v>
      </x:c>
    </x:row>
    <x:row r="2399" ht="54" hidden="0" customHeight="1">
      <x:c r="A2399" s="29" t="str">
        <x:v>SCA-20</x:v>
      </x:c>
      <x:c r="B2399" s="29" t="str">
        <x:v>SCA-10</x:v>
      </x:c>
      <x:c r="C2399" s="29" t="str">
        <x:v>Air</x:v>
      </x:c>
      <x:c r="D2399" s="29" t="str">
        <x:v>YES</x:v>
      </x:c>
      <x:c r="E2399" s="29" t="str">
        <x:v>YES</x:v>
      </x:c>
      <x:c r="F2399" s="62" t="n">
        <x:v>2035.9952026777562</x:v>
      </x:c>
      <x:c r="G2399" s="62" t="n">
        <x:v>27.13230031181193</x:v>
      </x:c>
      <x:c r="H2399" s="29" t="str">
        <x:v>YES</x:v>
      </x:c>
      <x:c r="I2399" s="29" t="str">
        <x:v>primary-airport endpoints; great-circle screen</x:v>
      </x:c>
      <x:c r="J2399" s="29" t="str">
        <x:v>presence does not prove operability or capacity</x:v>
      </x:c>
    </x:row>
    <x:row r="2400" ht="54" hidden="0" customHeight="1">
      <x:c r="A2400" s="27" t="str">
        <x:v>SCA-20</x:v>
      </x:c>
      <x:c r="B2400" s="27" t="str">
        <x:v>SCA-10</x:v>
      </x:c>
      <x:c r="C2400" s="27" t="str">
        <x:v>Water</x:v>
      </x:c>
      <x:c r="D2400" s="27" t="str">
        <x:v>NO</x:v>
      </x:c>
      <x:c r="E2400" s="27" t="str">
        <x:v>NO</x:v>
      </x:c>
      <x:c r="F2400" s="61"/>
      <x:c r="G2400" s="61"/>
      <x:c r="H2400" s="27" t="str">
        <x:v>NO</x:v>
      </x:c>
      <x:c r="I2400" s="27" t="str">
        <x:v>no screened path</x:v>
      </x:c>
      <x:c r="J2400" s="27" t="str">
        <x:v>presence does not prove operability or capacity</x:v>
      </x:c>
    </x:row>
    <x:row r="2401" ht="54" hidden="0" customHeight="1">
      <x:c r="A2401" s="29" t="str">
        <x:v>SCA-20</x:v>
      </x:c>
      <x:c r="B2401" s="29" t="str">
        <x:v>SCA-11</x:v>
      </x:c>
      <x:c r="C2401" s="29" t="str">
        <x:v>Road</x:v>
      </x:c>
      <x:c r="D2401" s="29" t="str">
        <x:v>YES</x:v>
      </x:c>
      <x:c r="E2401" s="29" t="str">
        <x:v>YES</x:v>
      </x:c>
      <x:c r="F2401" s="62" t="n">
        <x:v>1628.3710131448865</x:v>
      </x:c>
      <x:c r="G2401" s="62" t="n">
        <x:v>49.60674569354339</x:v>
      </x:c>
      <x:c r="H2401" s="29" t="str">
        <x:v>YES</x:v>
      </x:c>
      <x:c r="I2401" s="29" t="str">
        <x:v>NHPN-gated shared-boundary SCA path</x:v>
      </x:c>
      <x:c r="J2401" s="29" t="str">
        <x:v>presence does not prove operability or capacity</x:v>
      </x:c>
    </x:row>
    <x:row r="2402" ht="64.80000305175781" hidden="0" customHeight="1">
      <x:c r="A2402" s="27" t="str">
        <x:v>SCA-20</x:v>
      </x:c>
      <x:c r="B2402" s="27" t="str">
        <x:v>SCA-11</x:v>
      </x:c>
      <x:c r="C2402" s="27" t="str">
        <x:v>Rail</x:v>
      </x:c>
      <x:c r="D2402" s="27" t="str">
        <x:v>YES</x:v>
      </x:c>
      <x:c r="E2402" s="27" t="str">
        <x:v>YES</x:v>
      </x:c>
      <x:c r="F2402" s="61" t="n">
        <x:v>1727.4892487276188</x:v>
      </x:c>
      <x:c r="G2402" s="61" t="n">
        <x:v>50.678417838965984</x:v>
      </x:c>
      <x:c r="H2402" s="27" t="str">
        <x:v>YES</x:v>
      </x:c>
      <x:c r="I2402" s="27" t="str">
        <x:v>NARN shared-node topology; deployable terminal required</x:v>
      </x:c>
      <x:c r="J2402" s="27" t="str">
        <x:v>presence does not prove operability or capacity</x:v>
      </x:c>
    </x:row>
    <x:row r="2403" ht="54" hidden="0" customHeight="1">
      <x:c r="A2403" s="29" t="str">
        <x:v>SCA-20</x:v>
      </x:c>
      <x:c r="B2403" s="29" t="str">
        <x:v>SCA-11</x:v>
      </x:c>
      <x:c r="C2403" s="29" t="str">
        <x:v>Air</x:v>
      </x:c>
      <x:c r="D2403" s="29" t="str">
        <x:v>YES</x:v>
      </x:c>
      <x:c r="E2403" s="29" t="str">
        <x:v>YES</x:v>
      </x:c>
      <x:c r="F2403" s="62" t="n">
        <x:v>1401.994310192248</x:v>
      </x:c>
      <x:c r="G2403" s="62" t="n">
        <x:v>26.15691432337269</x:v>
      </x:c>
      <x:c r="H2403" s="29" t="str">
        <x:v>YES</x:v>
      </x:c>
      <x:c r="I2403" s="29" t="str">
        <x:v>primary-airport endpoints; great-circle screen</x:v>
      </x:c>
      <x:c r="J2403" s="29" t="str">
        <x:v>presence does not prove operability or capacity</x:v>
      </x:c>
    </x:row>
    <x:row r="2404" ht="54" hidden="0" customHeight="1">
      <x:c r="A2404" s="27" t="str">
        <x:v>SCA-20</x:v>
      </x:c>
      <x:c r="B2404" s="27" t="str">
        <x:v>SCA-11</x:v>
      </x:c>
      <x:c r="C2404" s="27" t="str">
        <x:v>Water</x:v>
      </x:c>
      <x:c r="D2404" s="27" t="str">
        <x:v>NO</x:v>
      </x:c>
      <x:c r="E2404" s="27" t="str">
        <x:v>NO</x:v>
      </x:c>
      <x:c r="F2404" s="61"/>
      <x:c r="G2404" s="61"/>
      <x:c r="H2404" s="27" t="str">
        <x:v>NO</x:v>
      </x:c>
      <x:c r="I2404" s="27" t="str">
        <x:v>no screened path</x:v>
      </x:c>
      <x:c r="J2404" s="27" t="str">
        <x:v>presence does not prove operability or capacity</x:v>
      </x:c>
    </x:row>
    <x:row r="2405" ht="54" hidden="0" customHeight="1">
      <x:c r="A2405" s="29" t="str">
        <x:v>SCA-20</x:v>
      </x:c>
      <x:c r="B2405" s="29" t="str">
        <x:v>SCA-12</x:v>
      </x:c>
      <x:c r="C2405" s="29" t="str">
        <x:v>Road</x:v>
      </x:c>
      <x:c r="D2405" s="29" t="str">
        <x:v>YES</x:v>
      </x:c>
      <x:c r="E2405" s="29" t="str">
        <x:v>YES</x:v>
      </x:c>
      <x:c r="F2405" s="62" t="n">
        <x:v>1701.242930543863</x:v>
      </x:c>
      <x:c r="G2405" s="62" t="n">
        <x:v>50.93168964625205</x:v>
      </x:c>
      <x:c r="H2405" s="29" t="str">
        <x:v>YES</x:v>
      </x:c>
      <x:c r="I2405" s="29" t="str">
        <x:v>NHPN-gated shared-boundary SCA path</x:v>
      </x:c>
      <x:c r="J2405" s="29" t="str">
        <x:v>presence does not prove operability or capacity</x:v>
      </x:c>
    </x:row>
    <x:row r="2406" ht="64.80000305175781" hidden="0" customHeight="1">
      <x:c r="A2406" s="27" t="str">
        <x:v>SCA-20</x:v>
      </x:c>
      <x:c r="B2406" s="27" t="str">
        <x:v>SCA-12</x:v>
      </x:c>
      <x:c r="C2406" s="27" t="str">
        <x:v>Rail</x:v>
      </x:c>
      <x:c r="D2406" s="27" t="str">
        <x:v>YES</x:v>
      </x:c>
      <x:c r="E2406" s="27" t="str">
        <x:v>YES</x:v>
      </x:c>
      <x:c r="F2406" s="61" t="n">
        <x:v>1804.7968480552286</x:v>
      </x:c>
      <x:c r="G2406" s="61" t="n">
        <x:v>51.78281211507469</x:v>
      </x:c>
      <x:c r="H2406" s="27" t="str">
        <x:v>YES</x:v>
      </x:c>
      <x:c r="I2406" s="27" t="str">
        <x:v>NARN shared-node topology; deployable terminal required</x:v>
      </x:c>
      <x:c r="J2406" s="27" t="str">
        <x:v>presence does not prove operability or capacity</x:v>
      </x:c>
    </x:row>
    <x:row r="2407" ht="54" hidden="0" customHeight="1">
      <x:c r="A2407" s="29" t="str">
        <x:v>SCA-20</x:v>
      </x:c>
      <x:c r="B2407" s="29" t="str">
        <x:v>SCA-12</x:v>
      </x:c>
      <x:c r="C2407" s="29" t="str">
        <x:v>Air</x:v>
      </x:c>
      <x:c r="D2407" s="29" t="str">
        <x:v>YES</x:v>
      </x:c>
      <x:c r="E2407" s="29" t="str">
        <x:v>YES</x:v>
      </x:c>
      <x:c r="F2407" s="62" t="n">
        <x:v>1448.2452371444426</x:v>
      </x:c>
      <x:c r="G2407" s="62" t="n">
        <x:v>26.228069595606833</x:v>
      </x:c>
      <x:c r="H2407" s="29" t="str">
        <x:v>YES</x:v>
      </x:c>
      <x:c r="I2407" s="29" t="str">
        <x:v>primary-airport endpoints; great-circle screen</x:v>
      </x:c>
      <x:c r="J2407" s="29" t="str">
        <x:v>presence does not prove operability or capacity</x:v>
      </x:c>
    </x:row>
    <x:row r="2408" ht="54" hidden="0" customHeight="1">
      <x:c r="A2408" s="27" t="str">
        <x:v>SCA-20</x:v>
      </x:c>
      <x:c r="B2408" s="27" t="str">
        <x:v>SCA-12</x:v>
      </x:c>
      <x:c r="C2408" s="27" t="str">
        <x:v>Water</x:v>
      </x:c>
      <x:c r="D2408" s="27" t="str">
        <x:v>NO</x:v>
      </x:c>
      <x:c r="E2408" s="27" t="str">
        <x:v>NO</x:v>
      </x:c>
      <x:c r="F2408" s="61"/>
      <x:c r="G2408" s="61"/>
      <x:c r="H2408" s="27" t="str">
        <x:v>NO</x:v>
      </x:c>
      <x:c r="I2408" s="27" t="str">
        <x:v>no screened path</x:v>
      </x:c>
      <x:c r="J2408" s="27" t="str">
        <x:v>presence does not prove operability or capacity</x:v>
      </x:c>
    </x:row>
    <x:row r="2409" ht="54" hidden="0" customHeight="1">
      <x:c r="A2409" s="29" t="str">
        <x:v>SCA-20</x:v>
      </x:c>
      <x:c r="B2409" s="29" t="str">
        <x:v>SCA-13</x:v>
      </x:c>
      <x:c r="C2409" s="29" t="str">
        <x:v>Road</x:v>
      </x:c>
      <x:c r="D2409" s="29" t="str">
        <x:v>NO</x:v>
      </x:c>
      <x:c r="E2409" s="29" t="str">
        <x:v>NO</x:v>
      </x:c>
      <x:c r="F2409" s="62"/>
      <x:c r="G2409" s="62"/>
      <x:c r="H2409" s="29" t="str">
        <x:v>NO</x:v>
      </x:c>
      <x:c r="I2409" s="29" t="str">
        <x:v>no screened path</x:v>
      </x:c>
      <x:c r="J2409" s="29" t="str">
        <x:v>presence does not prove operability or capacity</x:v>
      </x:c>
    </x:row>
    <x:row r="2410" ht="64.80000305175781" hidden="0" customHeight="1">
      <x:c r="A2410" s="27" t="str">
        <x:v>SCA-20</x:v>
      </x:c>
      <x:c r="B2410" s="27" t="str">
        <x:v>SCA-13</x:v>
      </x:c>
      <x:c r="C2410" s="27" t="str">
        <x:v>Rail</x:v>
      </x:c>
      <x:c r="D2410" s="27" t="str">
        <x:v>YES</x:v>
      </x:c>
      <x:c r="E2410" s="27" t="str">
        <x:v>YES</x:v>
      </x:c>
      <x:c r="F2410" s="61" t="n">
        <x:v>1190.9594016705287</x:v>
      </x:c>
      <x:c r="G2410" s="61" t="n">
        <x:v>43.013705738150406</x:v>
      </x:c>
      <x:c r="H2410" s="27" t="str">
        <x:v>YES</x:v>
      </x:c>
      <x:c r="I2410" s="27" t="str">
        <x:v>NARN shared-node topology; deployable terminal required</x:v>
      </x:c>
      <x:c r="J2410" s="27" t="str">
        <x:v>presence does not prove operability or capacity</x:v>
      </x:c>
    </x:row>
    <x:row r="2411" ht="54" hidden="0" customHeight="1">
      <x:c r="A2411" s="29" t="str">
        <x:v>SCA-20</x:v>
      </x:c>
      <x:c r="B2411" s="29" t="str">
        <x:v>SCA-13</x:v>
      </x:c>
      <x:c r="C2411" s="29" t="str">
        <x:v>Air</x:v>
      </x:c>
      <x:c r="D2411" s="29" t="str">
        <x:v>YES</x:v>
      </x:c>
      <x:c r="E2411" s="29" t="str">
        <x:v>YES</x:v>
      </x:c>
      <x:c r="F2411" s="62" t="n">
        <x:v>890.7427370403685</x:v>
      </x:c>
      <x:c r="G2411" s="62" t="n">
        <x:v>25.370373441600567</x:v>
      </x:c>
      <x:c r="H2411" s="29" t="str">
        <x:v>YES</x:v>
      </x:c>
      <x:c r="I2411" s="29" t="str">
        <x:v>primary-airport endpoints; great-circle screen</x:v>
      </x:c>
      <x:c r="J2411" s="29" t="str">
        <x:v>presence does not prove operability or capacity</x:v>
      </x:c>
    </x:row>
    <x:row r="2412" ht="75.5999984741211" hidden="0" customHeight="1">
      <x:c r="A2412" s="27" t="str">
        <x:v>SCA-20</x:v>
      </x:c>
      <x:c r="B2412" s="27" t="str">
        <x:v>SCA-13</x:v>
      </x:c>
      <x:c r="C2412" s="27" t="str">
        <x:v>Water</x:v>
      </x:c>
      <x:c r="D2412" s="27" t="str">
        <x:v>YES</x:v>
      </x:c>
      <x:c r="E2412" s="27" t="str">
        <x:v>YES</x:v>
      </x:c>
      <x:c r="F2412" s="61" t="n">
        <x:v>1249.5311755231778</x:v>
      </x:c>
      <x:c r="G2412" s="61" t="n">
        <x:v>65.70089072923365</x:v>
      </x:c>
      <x:c r="H2412" s="27" t="str">
        <x:v>YES</x:v>
      </x:c>
      <x:c r="I2412" s="27" t="str">
        <x:v>USACE waterway node topology; deployable terminal required</x:v>
      </x:c>
      <x:c r="J2412" s="27" t="str">
        <x:v>presence does not prove operability or capacity</x:v>
      </x:c>
    </x:row>
    <x:row r="2413" ht="54" hidden="0" customHeight="1">
      <x:c r="A2413" s="29" t="str">
        <x:v>SCA-20</x:v>
      </x:c>
      <x:c r="B2413" s="29" t="str">
        <x:v>SCA-14</x:v>
      </x:c>
      <x:c r="C2413" s="29" t="str">
        <x:v>Road</x:v>
      </x:c>
      <x:c r="D2413" s="29" t="str">
        <x:v>NO</x:v>
      </x:c>
      <x:c r="E2413" s="29" t="str">
        <x:v>NO</x:v>
      </x:c>
      <x:c r="F2413" s="62"/>
      <x:c r="G2413" s="62"/>
      <x:c r="H2413" s="29" t="str">
        <x:v>NO</x:v>
      </x:c>
      <x:c r="I2413" s="29" t="str">
        <x:v>no screened path</x:v>
      </x:c>
      <x:c r="J2413" s="29" t="str">
        <x:v>presence does not prove operability or capacity</x:v>
      </x:c>
    </x:row>
    <x:row r="2414" ht="64.80000305175781" hidden="0" customHeight="1">
      <x:c r="A2414" s="27" t="str">
        <x:v>SCA-20</x:v>
      </x:c>
      <x:c r="B2414" s="27" t="str">
        <x:v>SCA-14</x:v>
      </x:c>
      <x:c r="C2414" s="27" t="str">
        <x:v>Rail</x:v>
      </x:c>
      <x:c r="D2414" s="27" t="str">
        <x:v>YES</x:v>
      </x:c>
      <x:c r="E2414" s="27" t="str">
        <x:v>YES</x:v>
      </x:c>
      <x:c r="F2414" s="61" t="n">
        <x:v>1619.0890301462466</x:v>
      </x:c>
      <x:c r="G2414" s="61" t="n">
        <x:v>49.129843287803524</x:v>
      </x:c>
      <x:c r="H2414" s="27" t="str">
        <x:v>YES</x:v>
      </x:c>
      <x:c r="I2414" s="27" t="str">
        <x:v>NARN shared-node topology; deployable terminal required</x:v>
      </x:c>
      <x:c r="J2414" s="27" t="str">
        <x:v>presence does not prove operability or capacity</x:v>
      </x:c>
    </x:row>
    <x:row r="2415" ht="54" hidden="0" customHeight="1">
      <x:c r="A2415" s="29" t="str">
        <x:v>SCA-20</x:v>
      </x:c>
      <x:c r="B2415" s="29" t="str">
        <x:v>SCA-14</x:v>
      </x:c>
      <x:c r="C2415" s="29" t="str">
        <x:v>Air</x:v>
      </x:c>
      <x:c r="D2415" s="29" t="str">
        <x:v>YES</x:v>
      </x:c>
      <x:c r="E2415" s="29" t="str">
        <x:v>YES</x:v>
      </x:c>
      <x:c r="F2415" s="62" t="n">
        <x:v>1115.4371903991243</x:v>
      </x:c>
      <x:c r="G2415" s="62" t="n">
        <x:v>25.716057215998653</x:v>
      </x:c>
      <x:c r="H2415" s="29" t="str">
        <x:v>YES</x:v>
      </x:c>
      <x:c r="I2415" s="29" t="str">
        <x:v>primary-airport endpoints; great-circle screen</x:v>
      </x:c>
      <x:c r="J2415" s="29" t="str">
        <x:v>presence does not prove operability or capacity</x:v>
      </x:c>
    </x:row>
    <x:row r="2416" ht="75.5999984741211" hidden="0" customHeight="1">
      <x:c r="A2416" s="27" t="str">
        <x:v>SCA-20</x:v>
      </x:c>
      <x:c r="B2416" s="27" t="str">
        <x:v>SCA-14</x:v>
      </x:c>
      <x:c r="C2416" s="27" t="str">
        <x:v>Water</x:v>
      </x:c>
      <x:c r="D2416" s="27" t="str">
        <x:v>YES</x:v>
      </x:c>
      <x:c r="E2416" s="27" t="str">
        <x:v>YES</x:v>
      </x:c>
      <x:c r="F2416" s="61" t="n">
        <x:v>1430.3646196291566</x:v>
      </x:c>
      <x:c r="G2416" s="61" t="n">
        <x:v>70.86756056083304</x:v>
      </x:c>
      <x:c r="H2416" s="27" t="str">
        <x:v>YES</x:v>
      </x:c>
      <x:c r="I2416" s="27" t="str">
        <x:v>USACE waterway node topology; deployable terminal required</x:v>
      </x:c>
      <x:c r="J2416" s="27" t="str">
        <x:v>presence does not prove operability or capacity</x:v>
      </x:c>
    </x:row>
    <x:row r="2417" ht="54" hidden="0" customHeight="1">
      <x:c r="A2417" s="29" t="str">
        <x:v>SCA-20</x:v>
      </x:c>
      <x:c r="B2417" s="29" t="str">
        <x:v>SCA-15</x:v>
      </x:c>
      <x:c r="C2417" s="29" t="str">
        <x:v>Road</x:v>
      </x:c>
      <x:c r="D2417" s="29" t="str">
        <x:v>YES</x:v>
      </x:c>
      <x:c r="E2417" s="29" t="str">
        <x:v>YES</x:v>
      </x:c>
      <x:c r="F2417" s="62" t="n">
        <x:v>722.9933446804496</x:v>
      </x:c>
      <x:c r="G2417" s="62" t="n">
        <x:v>33.14533353964454</x:v>
      </x:c>
      <x:c r="H2417" s="29" t="str">
        <x:v>YES</x:v>
      </x:c>
      <x:c r="I2417" s="29" t="str">
        <x:v>NHPN-gated shared-boundary SCA path</x:v>
      </x:c>
      <x:c r="J2417" s="29" t="str">
        <x:v>presence does not prove operability or capacity</x:v>
      </x:c>
    </x:row>
    <x:row r="2418" ht="64.80000305175781" hidden="0" customHeight="1">
      <x:c r="A2418" s="27" t="str">
        <x:v>SCA-20</x:v>
      </x:c>
      <x:c r="B2418" s="27" t="str">
        <x:v>SCA-15</x:v>
      </x:c>
      <x:c r="C2418" s="27" t="str">
        <x:v>Rail</x:v>
      </x:c>
      <x:c r="D2418" s="27" t="str">
        <x:v>YES</x:v>
      </x:c>
      <x:c r="E2418" s="27" t="str">
        <x:v>YES</x:v>
      </x:c>
      <x:c r="F2418" s="61" t="n">
        <x:v>767.0016352262161</x:v>
      </x:c>
      <x:c r="G2418" s="61" t="n">
        <x:v>36.95716621751737</x:v>
      </x:c>
      <x:c r="H2418" s="27" t="str">
        <x:v>YES</x:v>
      </x:c>
      <x:c r="I2418" s="27" t="str">
        <x:v>NARN shared-node topology; deployable terminal required</x:v>
      </x:c>
      <x:c r="J2418" s="27" t="str">
        <x:v>presence does not prove operability or capacity</x:v>
      </x:c>
    </x:row>
    <x:row r="2419" ht="54" hidden="0" customHeight="1">
      <x:c r="A2419" s="29" t="str">
        <x:v>SCA-20</x:v>
      </x:c>
      <x:c r="B2419" s="29" t="str">
        <x:v>SCA-15</x:v>
      </x:c>
      <x:c r="C2419" s="29" t="str">
        <x:v>Air</x:v>
      </x:c>
      <x:c r="D2419" s="29" t="str">
        <x:v>YES</x:v>
      </x:c>
      <x:c r="E2419" s="29" t="str">
        <x:v>YES</x:v>
      </x:c>
      <x:c r="F2419" s="62" t="n">
        <x:v>628.6898649395214</x:v>
      </x:c>
      <x:c r="G2419" s="62" t="n">
        <x:v>24.967215176830035</x:v>
      </x:c>
      <x:c r="H2419" s="29" t="str">
        <x:v>YES</x:v>
      </x:c>
      <x:c r="I2419" s="29" t="str">
        <x:v>primary-airport endpoints; great-circle screen</x:v>
      </x:c>
      <x:c r="J2419" s="29" t="str">
        <x:v>presence does not prove operability or capacity</x:v>
      </x:c>
    </x:row>
    <x:row r="2420" ht="75.5999984741211" hidden="0" customHeight="1">
      <x:c r="A2420" s="27" t="str">
        <x:v>SCA-20</x:v>
      </x:c>
      <x:c r="B2420" s="27" t="str">
        <x:v>SCA-15</x:v>
      </x:c>
      <x:c r="C2420" s="27" t="str">
        <x:v>Water</x:v>
      </x:c>
      <x:c r="D2420" s="27" t="str">
        <x:v>YES</x:v>
      </x:c>
      <x:c r="E2420" s="27" t="str">
        <x:v>YES</x:v>
      </x:c>
      <x:c r="F2420" s="61" t="n">
        <x:v>1290.1313863085682</x:v>
      </x:c>
      <x:c r="G2420" s="61" t="n">
        <x:v>66.86089675167338</x:v>
      </x:c>
      <x:c r="H2420" s="27" t="str">
        <x:v>YES</x:v>
      </x:c>
      <x:c r="I2420" s="27" t="str">
        <x:v>USACE waterway node topology; deployable terminal required</x:v>
      </x:c>
      <x:c r="J2420" s="27" t="str">
        <x:v>presence does not prove operability or capacity</x:v>
      </x:c>
    </x:row>
    <x:row r="2421" ht="54" hidden="0" customHeight="1">
      <x:c r="A2421" s="29" t="str">
        <x:v>SCA-20</x:v>
      </x:c>
      <x:c r="B2421" s="29" t="str">
        <x:v>SCA-16</x:v>
      </x:c>
      <x:c r="C2421" s="29" t="str">
        <x:v>Road</x:v>
      </x:c>
      <x:c r="D2421" s="29" t="str">
        <x:v>YES</x:v>
      </x:c>
      <x:c r="E2421" s="29" t="str">
        <x:v>YES</x:v>
      </x:c>
      <x:c r="F2421" s="62" t="n">
        <x:v>809.125688550762</x:v>
      </x:c>
      <x:c r="G2421" s="62" t="n">
        <x:v>34.7113761554684</x:v>
      </x:c>
      <x:c r="H2421" s="29" t="str">
        <x:v>YES</x:v>
      </x:c>
      <x:c r="I2421" s="29" t="str">
        <x:v>NHPN-gated shared-boundary SCA path</x:v>
      </x:c>
      <x:c r="J2421" s="29" t="str">
        <x:v>presence does not prove operability or capacity</x:v>
      </x:c>
    </x:row>
    <x:row r="2422" ht="64.80000305175781" hidden="0" customHeight="1">
      <x:c r="A2422" s="27" t="str">
        <x:v>SCA-20</x:v>
      </x:c>
      <x:c r="B2422" s="27" t="str">
        <x:v>SCA-16</x:v>
      </x:c>
      <x:c r="C2422" s="27" t="str">
        <x:v>Rail</x:v>
      </x:c>
      <x:c r="D2422" s="27" t="str">
        <x:v>YES</x:v>
      </x:c>
      <x:c r="E2422" s="27" t="str">
        <x:v>YES</x:v>
      </x:c>
      <x:c r="F2422" s="61" t="n">
        <x:v>858.3768174190695</x:v>
      </x:c>
      <x:c r="G2422" s="61" t="n">
        <x:v>38.26252596312956</x:v>
      </x:c>
      <x:c r="H2422" s="27" t="str">
        <x:v>YES</x:v>
      </x:c>
      <x:c r="I2422" s="27" t="str">
        <x:v>NARN shared-node topology; deployable terminal required</x:v>
      </x:c>
      <x:c r="J2422" s="27" t="str">
        <x:v>presence does not prove operability or capacity</x:v>
      </x:c>
    </x:row>
    <x:row r="2423" ht="54" hidden="0" customHeight="1">
      <x:c r="A2423" s="29" t="str">
        <x:v>SCA-20</x:v>
      </x:c>
      <x:c r="B2423" s="29" t="str">
        <x:v>SCA-16</x:v>
      </x:c>
      <x:c r="C2423" s="29" t="str">
        <x:v>Air</x:v>
      </x:c>
      <x:c r="D2423" s="29" t="str">
        <x:v>YES</x:v>
      </x:c>
      <x:c r="E2423" s="29" t="str">
        <x:v>YES</x:v>
      </x:c>
      <x:c r="F2423" s="62" t="n">
        <x:v>703.5875552615324</x:v>
      </x:c>
      <x:c r="G2423" s="62" t="n">
        <x:v>25.08244239271005</x:v>
      </x:c>
      <x:c r="H2423" s="29" t="str">
        <x:v>YES</x:v>
      </x:c>
      <x:c r="I2423" s="29" t="str">
        <x:v>primary-airport endpoints; great-circle screen</x:v>
      </x:c>
      <x:c r="J2423" s="29" t="str">
        <x:v>presence does not prove operability or capacity</x:v>
      </x:c>
    </x:row>
    <x:row r="2424" ht="75.5999984741211" hidden="0" customHeight="1">
      <x:c r="A2424" s="27" t="str">
        <x:v>SCA-20</x:v>
      </x:c>
      <x:c r="B2424" s="27" t="str">
        <x:v>SCA-16</x:v>
      </x:c>
      <x:c r="C2424" s="27" t="str">
        <x:v>Water</x:v>
      </x:c>
      <x:c r="D2424" s="27" t="str">
        <x:v>YES</x:v>
      </x:c>
      <x:c r="E2424" s="27" t="str">
        <x:v>YES</x:v>
      </x:c>
      <x:c r="F2424" s="61" t="n">
        <x:v>900.5920707347615</x:v>
      </x:c>
      <x:c r="G2424" s="61" t="n">
        <x:v>55.73120202099318</x:v>
      </x:c>
      <x:c r="H2424" s="27" t="str">
        <x:v>YES</x:v>
      </x:c>
      <x:c r="I2424" s="27" t="str">
        <x:v>USACE waterway node topology; deployable terminal required</x:v>
      </x:c>
      <x:c r="J2424" s="27" t="str">
        <x:v>presence does not prove operability or capacity</x:v>
      </x:c>
    </x:row>
    <x:row r="2425" ht="54" hidden="0" customHeight="1">
      <x:c r="A2425" s="29" t="str">
        <x:v>SCA-20</x:v>
      </x:c>
      <x:c r="B2425" s="29" t="str">
        <x:v>SCA-17</x:v>
      </x:c>
      <x:c r="C2425" s="29" t="str">
        <x:v>Road</x:v>
      </x:c>
      <x:c r="D2425" s="29" t="str">
        <x:v>YES</x:v>
      </x:c>
      <x:c r="E2425" s="29" t="str">
        <x:v>YES</x:v>
      </x:c>
      <x:c r="F2425" s="62" t="n">
        <x:v>690.2900245636336</x:v>
      </x:c>
      <x:c r="G2425" s="62" t="n">
        <x:v>32.550727719338795</x:v>
      </x:c>
      <x:c r="H2425" s="29" t="str">
        <x:v>YES</x:v>
      </x:c>
      <x:c r="I2425" s="29" t="str">
        <x:v>NHPN-gated shared-boundary SCA path</x:v>
      </x:c>
      <x:c r="J2425" s="29" t="str">
        <x:v>presence does not prove operability or capacity</x:v>
      </x:c>
    </x:row>
    <x:row r="2426" ht="64.80000305175781" hidden="0" customHeight="1">
      <x:c r="A2426" s="27" t="str">
        <x:v>SCA-20</x:v>
      </x:c>
      <x:c r="B2426" s="27" t="str">
        <x:v>SCA-17</x:v>
      </x:c>
      <x:c r="C2426" s="27" t="str">
        <x:v>Rail</x:v>
      </x:c>
      <x:c r="D2426" s="27" t="str">
        <x:v>YES</x:v>
      </x:c>
      <x:c r="E2426" s="27" t="str">
        <x:v>YES</x:v>
      </x:c>
      <x:c r="F2426" s="61" t="n">
        <x:v>732.307678232724</x:v>
      </x:c>
      <x:c r="G2426" s="61" t="n">
        <x:v>36.461538260467485</x:v>
      </x:c>
      <x:c r="H2426" s="27" t="str">
        <x:v>YES</x:v>
      </x:c>
      <x:c r="I2426" s="27" t="str">
        <x:v>NARN shared-node topology; deployable terminal required</x:v>
      </x:c>
      <x:c r="J2426" s="27" t="str">
        <x:v>presence does not prove operability or capacity</x:v>
      </x:c>
    </x:row>
    <x:row r="2427" ht="54" hidden="0" customHeight="1">
      <x:c r="A2427" s="29" t="str">
        <x:v>SCA-20</x:v>
      </x:c>
      <x:c r="B2427" s="29" t="str">
        <x:v>SCA-17</x:v>
      </x:c>
      <x:c r="C2427" s="29" t="str">
        <x:v>Air</x:v>
      </x:c>
      <x:c r="D2427" s="29" t="str">
        <x:v>YES</x:v>
      </x:c>
      <x:c r="E2427" s="29" t="str">
        <x:v>YES</x:v>
      </x:c>
      <x:c r="F2427" s="62" t="n">
        <x:v>600.2521952727246</x:v>
      </x:c>
      <x:c r="G2427" s="62" t="n">
        <x:v>24.923464915804193</x:v>
      </x:c>
      <x:c r="H2427" s="29" t="str">
        <x:v>YES</x:v>
      </x:c>
      <x:c r="I2427" s="29" t="str">
        <x:v>primary-airport endpoints; great-circle screen</x:v>
      </x:c>
      <x:c r="J2427" s="29" t="str">
        <x:v>presence does not prove operability or capacity</x:v>
      </x:c>
    </x:row>
    <x:row r="2428" ht="75.5999984741211" hidden="0" customHeight="1">
      <x:c r="A2428" s="27" t="str">
        <x:v>SCA-20</x:v>
      </x:c>
      <x:c r="B2428" s="27" t="str">
        <x:v>SCA-17</x:v>
      </x:c>
      <x:c r="C2428" s="27" t="str">
        <x:v>Water</x:v>
      </x:c>
      <x:c r="D2428" s="27" t="str">
        <x:v>YES</x:v>
      </x:c>
      <x:c r="E2428" s="27" t="str">
        <x:v>YES</x:v>
      </x:c>
      <x:c r="F2428" s="61" t="n">
        <x:v>768.3228099490875</x:v>
      </x:c>
      <x:c r="G2428" s="61" t="n">
        <x:v>51.952080284259644</x:v>
      </x:c>
      <x:c r="H2428" s="27" t="str">
        <x:v>YES</x:v>
      </x:c>
      <x:c r="I2428" s="27" t="str">
        <x:v>USACE waterway node topology; deployable terminal required</x:v>
      </x:c>
      <x:c r="J2428" s="27" t="str">
        <x:v>presence does not prove operability or capacity</x:v>
      </x:c>
    </x:row>
    <x:row r="2429" ht="54" hidden="0" customHeight="1">
      <x:c r="A2429" s="29" t="str">
        <x:v>SCA-20</x:v>
      </x:c>
      <x:c r="B2429" s="29" t="str">
        <x:v>SCA-18</x:v>
      </x:c>
      <x:c r="C2429" s="29" t="str">
        <x:v>Road</x:v>
      </x:c>
      <x:c r="D2429" s="29" t="str">
        <x:v>YES</x:v>
      </x:c>
      <x:c r="E2429" s="29" t="str">
        <x:v>YES</x:v>
      </x:c>
      <x:c r="F2429" s="62" t="n">
        <x:v>1421.4217780744573</x:v>
      </x:c>
      <x:c r="G2429" s="62" t="n">
        <x:v>45.8440323286265</x:v>
      </x:c>
      <x:c r="H2429" s="29" t="str">
        <x:v>YES</x:v>
      </x:c>
      <x:c r="I2429" s="29" t="str">
        <x:v>NHPN-gated shared-boundary SCA path</x:v>
      </x:c>
      <x:c r="J2429" s="29" t="str">
        <x:v>presence does not prove operability or capacity</x:v>
      </x:c>
    </x:row>
    <x:row r="2430" ht="64.80000305175781" hidden="0" customHeight="1">
      <x:c r="A2430" s="27" t="str">
        <x:v>SCA-20</x:v>
      </x:c>
      <x:c r="B2430" s="27" t="str">
        <x:v>SCA-18</x:v>
      </x:c>
      <x:c r="C2430" s="27" t="str">
        <x:v>Rail</x:v>
      </x:c>
      <x:c r="D2430" s="27" t="str">
        <x:v>YES</x:v>
      </x:c>
      <x:c r="E2430" s="27" t="str">
        <x:v>YES</x:v>
      </x:c>
      <x:c r="F2430" s="61" t="n">
        <x:v>1507.943103696381</x:v>
      </x:c>
      <x:c r="G2430" s="61" t="n">
        <x:v>47.54204433851973</x:v>
      </x:c>
      <x:c r="H2430" s="27" t="str">
        <x:v>YES</x:v>
      </x:c>
      <x:c r="I2430" s="27" t="str">
        <x:v>NARN shared-node topology; deployable terminal required</x:v>
      </x:c>
      <x:c r="J2430" s="27" t="str">
        <x:v>presence does not prove operability or capacity</x:v>
      </x:c>
    </x:row>
    <x:row r="2431" ht="54" hidden="0" customHeight="1">
      <x:c r="A2431" s="29" t="str">
        <x:v>SCA-20</x:v>
      </x:c>
      <x:c r="B2431" s="29" t="str">
        <x:v>SCA-18</x:v>
      </x:c>
      <x:c r="C2431" s="29" t="str">
        <x:v>Air</x:v>
      </x:c>
      <x:c r="D2431" s="29" t="str">
        <x:v>YES</x:v>
      </x:c>
      <x:c r="E2431" s="29" t="str">
        <x:v>YES</x:v>
      </x:c>
      <x:c r="F2431" s="62" t="n">
        <x:v>1231.0291117686734</x:v>
      </x:c>
      <x:c r="G2431" s="62" t="n">
        <x:v>25.893890941182576</x:v>
      </x:c>
      <x:c r="H2431" s="29" t="str">
        <x:v>YES</x:v>
      </x:c>
      <x:c r="I2431" s="29" t="str">
        <x:v>primary-airport endpoints; great-circle screen</x:v>
      </x:c>
      <x:c r="J2431" s="29" t="str">
        <x:v>presence does not prove operability or capacity</x:v>
      </x:c>
    </x:row>
    <x:row r="2432" ht="75.5999984741211" hidden="0" customHeight="1">
      <x:c r="A2432" s="27" t="str">
        <x:v>SCA-20</x:v>
      </x:c>
      <x:c r="B2432" s="27" t="str">
        <x:v>SCA-18</x:v>
      </x:c>
      <x:c r="C2432" s="27" t="str">
        <x:v>Water</x:v>
      </x:c>
      <x:c r="D2432" s="27" t="str">
        <x:v>YES</x:v>
      </x:c>
      <x:c r="E2432" s="27" t="str">
        <x:v>YES</x:v>
      </x:c>
      <x:c r="F2432" s="61" t="n">
        <x:v>1870.829026592195</x:v>
      </x:c>
      <x:c r="G2432" s="61" t="n">
        <x:v>83.45225790263414</x:v>
      </x:c>
      <x:c r="H2432" s="27" t="str">
        <x:v>NO</x:v>
      </x:c>
      <x:c r="I2432" s="27" t="str">
        <x:v>USACE waterway node topology; deployable terminal required</x:v>
      </x:c>
      <x:c r="J2432" s="27" t="str">
        <x:v>presence does not prove operability or capacity</x:v>
      </x:c>
    </x:row>
    <x:row r="2433" ht="54" hidden="0" customHeight="1">
      <x:c r="A2433" s="29" t="str">
        <x:v>SCA-20</x:v>
      </x:c>
      <x:c r="B2433" s="29" t="str">
        <x:v>SCA-19</x:v>
      </x:c>
      <x:c r="C2433" s="29" t="str">
        <x:v>Road</x:v>
      </x:c>
      <x:c r="D2433" s="29" t="str">
        <x:v>YES</x:v>
      </x:c>
      <x:c r="E2433" s="29" t="str">
        <x:v>YES</x:v>
      </x:c>
      <x:c r="F2433" s="62" t="n">
        <x:v>601.5460798157927</x:v>
      </x:c>
      <x:c r="G2433" s="62" t="n">
        <x:v>30.93720145119623</x:v>
      </x:c>
      <x:c r="H2433" s="29" t="str">
        <x:v>YES</x:v>
      </x:c>
      <x:c r="I2433" s="29" t="str">
        <x:v>NHPN-gated shared-boundary SCA path</x:v>
      </x:c>
      <x:c r="J2433" s="29" t="str">
        <x:v>presence does not prove operability or capacity</x:v>
      </x:c>
    </x:row>
    <x:row r="2434" ht="64.80000305175781" hidden="0" customHeight="1">
      <x:c r="A2434" s="27" t="str">
        <x:v>SCA-20</x:v>
      </x:c>
      <x:c r="B2434" s="27" t="str">
        <x:v>SCA-19</x:v>
      </x:c>
      <x:c r="C2434" s="27" t="str">
        <x:v>Rail</x:v>
      </x:c>
      <x:c r="D2434" s="27" t="str">
        <x:v>YES</x:v>
      </x:c>
      <x:c r="E2434" s="27" t="str">
        <x:v>YES</x:v>
      </x:c>
      <x:c r="F2434" s="61" t="n">
        <x:v>638.1619281524065</x:v>
      </x:c>
      <x:c r="G2434" s="61" t="n">
        <x:v>35.116598973605804</x:v>
      </x:c>
      <x:c r="H2434" s="27" t="str">
        <x:v>YES</x:v>
      </x:c>
      <x:c r="I2434" s="27" t="str">
        <x:v>NARN shared-node topology; deployable terminal required</x:v>
      </x:c>
      <x:c r="J2434" s="27" t="str">
        <x:v>presence does not prove operability or capacity</x:v>
      </x:c>
    </x:row>
    <x:row r="2435" ht="54" hidden="0" customHeight="1">
      <x:c r="A2435" s="29" t="str">
        <x:v>SCA-20</x:v>
      </x:c>
      <x:c r="B2435" s="29" t="str">
        <x:v>SCA-19</x:v>
      </x:c>
      <x:c r="C2435" s="29" t="str">
        <x:v>Air</x:v>
      </x:c>
      <x:c r="D2435" s="29" t="str">
        <x:v>YES</x:v>
      </x:c>
      <x:c r="E2435" s="29" t="str">
        <x:v>YES</x:v>
      </x:c>
      <x:c r="F2435" s="62" t="n">
        <x:v>523.083547665907</x:v>
      </x:c>
      <x:c r="G2435" s="62" t="n">
        <x:v>24.80474391948601</x:v>
      </x:c>
      <x:c r="H2435" s="29" t="str">
        <x:v>YES</x:v>
      </x:c>
      <x:c r="I2435" s="29" t="str">
        <x:v>primary-airport endpoints; great-circle screen</x:v>
      </x:c>
      <x:c r="J2435" s="29" t="str">
        <x:v>presence does not prove operability or capacity</x:v>
      </x:c>
    </x:row>
    <x:row r="2436" ht="75.5999984741211" hidden="0" customHeight="1">
      <x:c r="A2436" s="27" t="str">
        <x:v>SCA-20</x:v>
      </x:c>
      <x:c r="B2436" s="27" t="str">
        <x:v>SCA-19</x:v>
      </x:c>
      <x:c r="C2436" s="27" t="str">
        <x:v>Water</x:v>
      </x:c>
      <x:c r="D2436" s="27" t="str">
        <x:v>YES</x:v>
      </x:c>
      <x:c r="E2436" s="27" t="str">
        <x:v>YES</x:v>
      </x:c>
      <x:c r="F2436" s="61" t="n">
        <x:v>669.5469410123609</x:v>
      </x:c>
      <x:c r="G2436" s="61" t="n">
        <x:v>49.129912600353165</x:v>
      </x:c>
      <x:c r="H2436" s="27" t="str">
        <x:v>YES</x:v>
      </x:c>
      <x:c r="I2436" s="27" t="str">
        <x:v>USACE waterway node topology; deployable terminal required</x:v>
      </x:c>
      <x:c r="J2436" s="27" t="str">
        <x:v>presence does not prove operability or capacity</x:v>
      </x:c>
    </x:row>
    <x:row r="2437" ht="54" hidden="0" customHeight="1">
      <x:c r="A2437" s="29" t="str">
        <x:v>SCA-20</x:v>
      </x:c>
      <x:c r="B2437" s="29" t="str">
        <x:v>SCA-21</x:v>
      </x:c>
      <x:c r="C2437" s="29" t="str">
        <x:v>Road</x:v>
      </x:c>
      <x:c r="D2437" s="29" t="str">
        <x:v>YES</x:v>
      </x:c>
      <x:c r="E2437" s="29" t="str">
        <x:v>YES</x:v>
      </x:c>
      <x:c r="F2437" s="62" t="n">
        <x:v>1127.0734409908964</x:v>
      </x:c>
      <x:c r="G2437" s="62" t="n">
        <x:v>40.49224438165266</x:v>
      </x:c>
      <x:c r="H2437" s="29" t="str">
        <x:v>YES</x:v>
      </x:c>
      <x:c r="I2437" s="29" t="str">
        <x:v>NHPN-gated shared-boundary SCA path</x:v>
      </x:c>
      <x:c r="J2437" s="29" t="str">
        <x:v>presence does not prove operability or capacity</x:v>
      </x:c>
    </x:row>
    <x:row r="2438" ht="64.80000305175781" hidden="0" customHeight="1">
      <x:c r="A2438" s="27" t="str">
        <x:v>SCA-20</x:v>
      </x:c>
      <x:c r="B2438" s="27" t="str">
        <x:v>SCA-21</x:v>
      </x:c>
      <x:c r="C2438" s="27" t="str">
        <x:v>Rail</x:v>
      </x:c>
      <x:c r="D2438" s="27" t="str">
        <x:v>YES</x:v>
      </x:c>
      <x:c r="E2438" s="27" t="str">
        <x:v>YES</x:v>
      </x:c>
      <x:c r="F2438" s="61" t="n">
        <x:v>1195.6779113120815</x:v>
      </x:c>
      <x:c r="G2438" s="61" t="n">
        <x:v>43.08111301874402</x:v>
      </x:c>
      <x:c r="H2438" s="27" t="str">
        <x:v>YES</x:v>
      </x:c>
      <x:c r="I2438" s="27" t="str">
        <x:v>NARN shared-node topology; deployable terminal required</x:v>
      </x:c>
      <x:c r="J2438" s="27" t="str">
        <x:v>presence does not prove operability or capacity</x:v>
      </x:c>
    </x:row>
    <x:row r="2439" ht="54" hidden="0" customHeight="1">
      <x:c r="A2439" s="29" t="str">
        <x:v>SCA-20</x:v>
      </x:c>
      <x:c r="B2439" s="29" t="str">
        <x:v>SCA-21</x:v>
      </x:c>
      <x:c r="C2439" s="29" t="str">
        <x:v>Air</x:v>
      </x:c>
      <x:c r="D2439" s="29" t="str">
        <x:v>YES</x:v>
      </x:c>
      <x:c r="E2439" s="29" t="str">
        <x:v>YES</x:v>
      </x:c>
      <x:c r="F2439" s="62" t="n">
        <x:v>917.7978123021429</x:v>
      </x:c>
      <x:c r="G2439" s="62" t="n">
        <x:v>25.411996634310988</x:v>
      </x:c>
      <x:c r="H2439" s="29" t="str">
        <x:v>YES</x:v>
      </x:c>
      <x:c r="I2439" s="29" t="str">
        <x:v>primary-airport endpoints; great-circle screen</x:v>
      </x:c>
      <x:c r="J2439" s="29" t="str">
        <x:v>presence does not prove operability or capacity</x:v>
      </x:c>
    </x:row>
    <x:row r="2440" ht="75.5999984741211" hidden="0" customHeight="1">
      <x:c r="A2440" s="27" t="str">
        <x:v>SCA-20</x:v>
      </x:c>
      <x:c r="B2440" s="27" t="str">
        <x:v>SCA-21</x:v>
      </x:c>
      <x:c r="C2440" s="27" t="str">
        <x:v>Water</x:v>
      </x:c>
      <x:c r="D2440" s="27" t="str">
        <x:v>YES</x:v>
      </x:c>
      <x:c r="E2440" s="27" t="str">
        <x:v>YES</x:v>
      </x:c>
      <x:c r="F2440" s="61" t="n">
        <x:v>1254.4817430159546</x:v>
      </x:c>
      <x:c r="G2440" s="61" t="n">
        <x:v>65.84233551474156</x:v>
      </x:c>
      <x:c r="H2440" s="27" t="str">
        <x:v>YES</x:v>
      </x:c>
      <x:c r="I2440" s="27" t="str">
        <x:v>USACE waterway node topology; deployable terminal required</x:v>
      </x:c>
      <x:c r="J2440" s="27" t="str">
        <x:v>presence does not prove operability or capacity</x:v>
      </x:c>
    </x:row>
    <x:row r="2441" ht="54" hidden="0" customHeight="1">
      <x:c r="A2441" s="29" t="str">
        <x:v>SCA-20</x:v>
      </x:c>
      <x:c r="B2441" s="29" t="str">
        <x:v>SCA-22</x:v>
      </x:c>
      <x:c r="C2441" s="29" t="str">
        <x:v>Road</x:v>
      </x:c>
      <x:c r="D2441" s="29" t="str">
        <x:v>YES</x:v>
      </x:c>
      <x:c r="E2441" s="29" t="str">
        <x:v>YES</x:v>
      </x:c>
      <x:c r="F2441" s="62" t="n">
        <x:v>729.489881041236</x:v>
      </x:c>
      <x:c r="G2441" s="62" t="n">
        <x:v>33.26345238256793</x:v>
      </x:c>
      <x:c r="H2441" s="29" t="str">
        <x:v>YES</x:v>
      </x:c>
      <x:c r="I2441" s="29" t="str">
        <x:v>NHPN-gated shared-boundary SCA path</x:v>
      </x:c>
      <x:c r="J2441" s="29" t="str">
        <x:v>presence does not prove operability or capacity</x:v>
      </x:c>
    </x:row>
    <x:row r="2442" ht="64.80000305175781" hidden="0" customHeight="1">
      <x:c r="A2442" s="27" t="str">
        <x:v>SCA-20</x:v>
      </x:c>
      <x:c r="B2442" s="27" t="str">
        <x:v>SCA-22</x:v>
      </x:c>
      <x:c r="C2442" s="27" t="str">
        <x:v>Rail</x:v>
      </x:c>
      <x:c r="D2442" s="27" t="str">
        <x:v>YES</x:v>
      </x:c>
      <x:c r="E2442" s="27" t="str">
        <x:v>YES</x:v>
      </x:c>
      <x:c r="F2442" s="61" t="n">
        <x:v>773.8936129307025</x:v>
      </x:c>
      <x:c r="G2442" s="61" t="n">
        <x:v>37.05562304186718</x:v>
      </x:c>
      <x:c r="H2442" s="27" t="str">
        <x:v>YES</x:v>
      </x:c>
      <x:c r="I2442" s="27" t="str">
        <x:v>NARN shared-node topology; deployable terminal required</x:v>
      </x:c>
      <x:c r="J2442" s="27" t="str">
        <x:v>presence does not prove operability or capacity</x:v>
      </x:c>
    </x:row>
    <x:row r="2443" ht="54" hidden="0" customHeight="1">
      <x:c r="A2443" s="29" t="str">
        <x:v>SCA-20</x:v>
      </x:c>
      <x:c r="B2443" s="29" t="str">
        <x:v>SCA-22</x:v>
      </x:c>
      <x:c r="C2443" s="29" t="str">
        <x:v>Air</x:v>
      </x:c>
      <x:c r="D2443" s="29" t="str">
        <x:v>YES</x:v>
      </x:c>
      <x:c r="E2443" s="29" t="str">
        <x:v>YES</x:v>
      </x:c>
      <x:c r="F2443" s="62" t="n">
        <x:v>634.3390269923791</x:v>
      </x:c>
      <x:c r="G2443" s="62" t="n">
        <x:v>24.97590619537289</x:v>
      </x:c>
      <x:c r="H2443" s="29" t="str">
        <x:v>YES</x:v>
      </x:c>
      <x:c r="I2443" s="29" t="str">
        <x:v>primary-airport endpoints; great-circle screen</x:v>
      </x:c>
      <x:c r="J2443" s="29" t="str">
        <x:v>presence does not prove operability or capacity</x:v>
      </x:c>
    </x:row>
    <x:row r="2444" ht="75.5999984741211" hidden="0" customHeight="1">
      <x:c r="A2444" s="27" t="str">
        <x:v>SCA-20</x:v>
      </x:c>
      <x:c r="B2444" s="27" t="str">
        <x:v>SCA-22</x:v>
      </x:c>
      <x:c r="C2444" s="27" t="str">
        <x:v>Water</x:v>
      </x:c>
      <x:c r="D2444" s="27" t="str">
        <x:v>YES</x:v>
      </x:c>
      <x:c r="E2444" s="27" t="str">
        <x:v>YES</x:v>
      </x:c>
      <x:c r="F2444" s="61" t="n">
        <x:v>811.9539545502453</x:v>
      </x:c>
      <x:c r="G2444" s="61" t="n">
        <x:v>53.19868441572129</x:v>
      </x:c>
      <x:c r="H2444" s="27" t="str">
        <x:v>YES</x:v>
      </x:c>
      <x:c r="I2444" s="27" t="str">
        <x:v>USACE waterway node topology; deployable terminal required</x:v>
      </x:c>
      <x:c r="J2444" s="27" t="str">
        <x:v>presence does not prove operability or capacity</x:v>
      </x:c>
    </x:row>
    <x:row r="2445" ht="54" hidden="0" customHeight="1">
      <x:c r="A2445" s="29" t="str">
        <x:v>SCA-20</x:v>
      </x:c>
      <x:c r="B2445" s="29" t="str">
        <x:v>SCA-23</x:v>
      </x:c>
      <x:c r="C2445" s="29" t="str">
        <x:v>Road</x:v>
      </x:c>
      <x:c r="D2445" s="29" t="str">
        <x:v>YES</x:v>
      </x:c>
      <x:c r="E2445" s="29" t="str">
        <x:v>YES</x:v>
      </x:c>
      <x:c r="F2445" s="62" t="n">
        <x:v>579.4989938491954</x:v>
      </x:c>
      <x:c r="G2445" s="62" t="n">
        <x:v>30.536345342712643</x:v>
      </x:c>
      <x:c r="H2445" s="29" t="str">
        <x:v>YES</x:v>
      </x:c>
      <x:c r="I2445" s="29" t="str">
        <x:v>NHPN-gated shared-boundary SCA path</x:v>
      </x:c>
      <x:c r="J2445" s="29" t="str">
        <x:v>presence does not prove operability or capacity</x:v>
      </x:c>
    </x:row>
    <x:row r="2446" ht="64.80000305175781" hidden="0" customHeight="1">
      <x:c r="A2446" s="27" t="str">
        <x:v>SCA-20</x:v>
      </x:c>
      <x:c r="B2446" s="27" t="str">
        <x:v>SCA-23</x:v>
      </x:c>
      <x:c r="C2446" s="27" t="str">
        <x:v>Rail</x:v>
      </x:c>
      <x:c r="D2446" s="27" t="str">
        <x:v>YES</x:v>
      </x:c>
      <x:c r="E2446" s="27" t="str">
        <x:v>YES</x:v>
      </x:c>
      <x:c r="F2446" s="61" t="n">
        <x:v>614.7728456487116</x:v>
      </x:c>
      <x:c r="G2446" s="61" t="n">
        <x:v>34.78246922355302</x:v>
      </x:c>
      <x:c r="H2446" s="27" t="str">
        <x:v>YES</x:v>
      </x:c>
      <x:c r="I2446" s="27" t="str">
        <x:v>NARN shared-node topology; deployable terminal required</x:v>
      </x:c>
      <x:c r="J2446" s="27" t="str">
        <x:v>presence does not prove operability or capacity</x:v>
      </x:c>
    </x:row>
    <x:row r="2447" ht="54" hidden="0" customHeight="1">
      <x:c r="A2447" s="29" t="str">
        <x:v>SCA-20</x:v>
      </x:c>
      <x:c r="B2447" s="29" t="str">
        <x:v>SCA-23</x:v>
      </x:c>
      <x:c r="C2447" s="29" t="str">
        <x:v>Air</x:v>
      </x:c>
      <x:c r="D2447" s="29" t="str">
        <x:v>YES</x:v>
      </x:c>
      <x:c r="E2447" s="29" t="str">
        <x:v>YES</x:v>
      </x:c>
      <x:c r="F2447" s="62" t="n">
        <x:v>503.91216856451774</x:v>
      </x:c>
      <x:c r="G2447" s="62" t="n">
        <x:v>24.77524949009926</x:v>
      </x:c>
      <x:c r="H2447" s="29" t="str">
        <x:v>YES</x:v>
      </x:c>
      <x:c r="I2447" s="29" t="str">
        <x:v>primary-airport endpoints; great-circle screen</x:v>
      </x:c>
      <x:c r="J2447" s="29" t="str">
        <x:v>presence does not prove operability or capacity</x:v>
      </x:c>
    </x:row>
    <x:row r="2448" ht="75.5999984741211" hidden="0" customHeight="1">
      <x:c r="A2448" s="27" t="str">
        <x:v>SCA-20</x:v>
      </x:c>
      <x:c r="B2448" s="27" t="str">
        <x:v>SCA-23</x:v>
      </x:c>
      <x:c r="C2448" s="27" t="str">
        <x:v>Water</x:v>
      </x:c>
      <x:c r="D2448" s="27" t="str">
        <x:v>YES</x:v>
      </x:c>
      <x:c r="E2448" s="27" t="str">
        <x:v>YES</x:v>
      </x:c>
      <x:c r="F2448" s="61" t="n">
        <x:v>645.0075757625827</x:v>
      </x:c>
      <x:c r="G2448" s="61" t="n">
        <x:v>48.42878787893093</x:v>
      </x:c>
      <x:c r="H2448" s="27" t="str">
        <x:v>YES</x:v>
      </x:c>
      <x:c r="I2448" s="27" t="str">
        <x:v>USACE waterway node topology; deployable terminal required</x:v>
      </x:c>
      <x:c r="J2448" s="27" t="str">
        <x:v>presence does not prove operability or capacity</x:v>
      </x:c>
    </x:row>
    <x:row r="2449" ht="54" hidden="0" customHeight="1">
      <x:c r="A2449" s="29" t="str">
        <x:v>SCA-20</x:v>
      </x:c>
      <x:c r="B2449" s="29" t="str">
        <x:v>SCA-24</x:v>
      </x:c>
      <x:c r="C2449" s="29" t="str">
        <x:v>Road</x:v>
      </x:c>
      <x:c r="D2449" s="29" t="str">
        <x:v>YES</x:v>
      </x:c>
      <x:c r="E2449" s="29" t="str">
        <x:v>YES</x:v>
      </x:c>
      <x:c r="F2449" s="62" t="n">
        <x:v>1265.3023588550795</x:v>
      </x:c>
      <x:c r="G2449" s="62" t="n">
        <x:v>43.00549743372872</x:v>
      </x:c>
      <x:c r="H2449" s="29" t="str">
        <x:v>YES</x:v>
      </x:c>
      <x:c r="I2449" s="29" t="str">
        <x:v>NHPN-gated shared-boundary SCA path</x:v>
      </x:c>
      <x:c r="J2449" s="29" t="str">
        <x:v>presence does not prove operability or capacity</x:v>
      </x:c>
    </x:row>
    <x:row r="2450" ht="64.80000305175781" hidden="0" customHeight="1">
      <x:c r="A2450" s="27" t="str">
        <x:v>SCA-20</x:v>
      </x:c>
      <x:c r="B2450" s="27" t="str">
        <x:v>SCA-24</x:v>
      </x:c>
      <x:c r="C2450" s="27" t="str">
        <x:v>Rail</x:v>
      </x:c>
      <x:c r="D2450" s="27" t="str">
        <x:v>YES</x:v>
      </x:c>
      <x:c r="E2450" s="27" t="str">
        <x:v>YES</x:v>
      </x:c>
      <x:c r="F2450" s="61" t="n">
        <x:v>1342.320763307128</x:v>
      </x:c>
      <x:c r="G2450" s="61" t="n">
        <x:v>45.17601090438754</x:v>
      </x:c>
      <x:c r="H2450" s="27" t="str">
        <x:v>YES</x:v>
      </x:c>
      <x:c r="I2450" s="27" t="str">
        <x:v>NARN shared-node topology; deployable terminal required</x:v>
      </x:c>
      <x:c r="J2450" s="27" t="str">
        <x:v>presence does not prove operability or capacity</x:v>
      </x:c>
    </x:row>
    <x:row r="2451" ht="54" hidden="0" customHeight="1">
      <x:c r="A2451" s="29" t="str">
        <x:v>SCA-20</x:v>
      </x:c>
      <x:c r="B2451" s="29" t="str">
        <x:v>SCA-24</x:v>
      </x:c>
      <x:c r="C2451" s="29" t="str">
        <x:v>Air</x:v>
      </x:c>
      <x:c r="D2451" s="29" t="str">
        <x:v>YES</x:v>
      </x:c>
      <x:c r="E2451" s="29" t="str">
        <x:v>YES</x:v>
      </x:c>
      <x:c r="F2451" s="62" t="n">
        <x:v>1071.5639191866312</x:v>
      </x:c>
      <x:c r="G2451" s="62" t="n">
        <x:v>25.64855987567174</x:v>
      </x:c>
      <x:c r="H2451" s="29" t="str">
        <x:v>YES</x:v>
      </x:c>
      <x:c r="I2451" s="29" t="str">
        <x:v>primary-airport endpoints; great-circle screen</x:v>
      </x:c>
      <x:c r="J2451" s="29" t="str">
        <x:v>presence does not prove operability or capacity</x:v>
      </x:c>
    </x:row>
    <x:row r="2452" ht="75.5999984741211" hidden="0" customHeight="1">
      <x:c r="A2452" s="27" t="str">
        <x:v>SCA-20</x:v>
      </x:c>
      <x:c r="B2452" s="27" t="str">
        <x:v>SCA-24</x:v>
      </x:c>
      <x:c r="C2452" s="27" t="str">
        <x:v>Water</x:v>
      </x:c>
      <x:c r="D2452" s="27" t="str">
        <x:v>YES</x:v>
      </x:c>
      <x:c r="E2452" s="27" t="str">
        <x:v>YES</x:v>
      </x:c>
      <x:c r="F2452" s="61" t="n">
        <x:v>1696.6271934930746</x:v>
      </x:c>
      <x:c r="G2452" s="61" t="n">
        <x:v>78.4750626712307</x:v>
      </x:c>
      <x:c r="H2452" s="27" t="str">
        <x:v>NO</x:v>
      </x:c>
      <x:c r="I2452" s="27" t="str">
        <x:v>USACE waterway node topology; deployable terminal required</x:v>
      </x:c>
      <x:c r="J2452" s="27" t="str">
        <x:v>presence does not prove operability or capacity</x:v>
      </x:c>
    </x:row>
    <x:row r="2453" ht="54" hidden="0" customHeight="1">
      <x:c r="A2453" s="29" t="str">
        <x:v>SCA-20</x:v>
      </x:c>
      <x:c r="B2453" s="29" t="str">
        <x:v>SCA-25</x:v>
      </x:c>
      <x:c r="C2453" s="29" t="str">
        <x:v>Road</x:v>
      </x:c>
      <x:c r="D2453" s="29" t="str">
        <x:v>YES</x:v>
      </x:c>
      <x:c r="E2453" s="29" t="str">
        <x:v>YES</x:v>
      </x:c>
      <x:c r="F2453" s="62" t="n">
        <x:v>1074.0831737686347</x:v>
      </x:c>
      <x:c r="G2453" s="62" t="n">
        <x:v>39.52878497761154</x:v>
      </x:c>
      <x:c r="H2453" s="29" t="str">
        <x:v>YES</x:v>
      </x:c>
      <x:c r="I2453" s="29" t="str">
        <x:v>NHPN-gated shared-boundary SCA path</x:v>
      </x:c>
      <x:c r="J2453" s="29" t="str">
        <x:v>presence does not prove operability or capacity</x:v>
      </x:c>
    </x:row>
    <x:row r="2454" ht="64.80000305175781" hidden="0" customHeight="1">
      <x:c r="A2454" s="27" t="str">
        <x:v>SCA-20</x:v>
      </x:c>
      <x:c r="B2454" s="27" t="str">
        <x:v>SCA-25</x:v>
      </x:c>
      <x:c r="C2454" s="27" t="str">
        <x:v>Rail</x:v>
      </x:c>
      <x:c r="D2454" s="27" t="str">
        <x:v>YES</x:v>
      </x:c>
      <x:c r="E2454" s="27" t="str">
        <x:v>YES</x:v>
      </x:c>
      <x:c r="F2454" s="61" t="n">
        <x:v>1139.4621495632475</x:v>
      </x:c>
      <x:c r="G2454" s="61" t="n">
        <x:v>42.278030708046394</x:v>
      </x:c>
      <x:c r="H2454" s="27" t="str">
        <x:v>YES</x:v>
      </x:c>
      <x:c r="I2454" s="27" t="str">
        <x:v>NARN shared-node topology; deployable terminal required</x:v>
      </x:c>
      <x:c r="J2454" s="27" t="str">
        <x:v>presence does not prove operability or capacity</x:v>
      </x:c>
    </x:row>
    <x:row r="2455" ht="54" hidden="0" customHeight="1">
      <x:c r="A2455" s="29" t="str">
        <x:v>SCA-20</x:v>
      </x:c>
      <x:c r="B2455" s="29" t="str">
        <x:v>SCA-25</x:v>
      </x:c>
      <x:c r="C2455" s="29" t="str">
        <x:v>Air</x:v>
      </x:c>
      <x:c r="D2455" s="29" t="str">
        <x:v>YES</x:v>
      </x:c>
      <x:c r="E2455" s="29" t="str">
        <x:v>YES</x:v>
      </x:c>
      <x:c r="F2455" s="62" t="n">
        <x:v>841.410105743575</x:v>
      </x:c>
      <x:c r="G2455" s="62" t="n">
        <x:v>25.294477085759347</x:v>
      </x:c>
      <x:c r="H2455" s="29" t="str">
        <x:v>YES</x:v>
      </x:c>
      <x:c r="I2455" s="29" t="str">
        <x:v>primary-airport endpoints; great-circle screen</x:v>
      </x:c>
      <x:c r="J2455" s="29" t="str">
        <x:v>presence does not prove operability or capacity</x:v>
      </x:c>
    </x:row>
    <x:row r="2456" ht="75.5999984741211" hidden="0" customHeight="1">
      <x:c r="A2456" s="27" t="str">
        <x:v>SCA-20</x:v>
      </x:c>
      <x:c r="B2456" s="27" t="str">
        <x:v>SCA-25</x:v>
      </x:c>
      <x:c r="C2456" s="27" t="str">
        <x:v>Water</x:v>
      </x:c>
      <x:c r="D2456" s="27" t="str">
        <x:v>YES</x:v>
      </x:c>
      <x:c r="E2456" s="27" t="str">
        <x:v>YES</x:v>
      </x:c>
      <x:c r="F2456" s="61" t="n">
        <x:v>1077.0049353517759</x:v>
      </x:c>
      <x:c r="G2456" s="61" t="n">
        <x:v>60.77156958147931</x:v>
      </x:c>
      <x:c r="H2456" s="27" t="str">
        <x:v>YES</x:v>
      </x:c>
      <x:c r="I2456" s="27" t="str">
        <x:v>USACE waterway node topology; deployable terminal required</x:v>
      </x:c>
      <x:c r="J2456" s="27" t="str">
        <x:v>presence does not prove operability or capacity</x:v>
      </x:c>
    </x:row>
    <x:row r="2457" ht="54" hidden="0" customHeight="1">
      <x:c r="A2457" s="29" t="str">
        <x:v>SCA-20</x:v>
      </x:c>
      <x:c r="B2457" s="29" t="str">
        <x:v>SCA-26</x:v>
      </x:c>
      <x:c r="C2457" s="29" t="str">
        <x:v>Road</x:v>
      </x:c>
      <x:c r="D2457" s="29" t="str">
        <x:v>YES</x:v>
      </x:c>
      <x:c r="E2457" s="29" t="str">
        <x:v>YES</x:v>
      </x:c>
      <x:c r="F2457" s="62" t="n">
        <x:v>1402.582629533457</x:v>
      </x:c>
      <x:c r="G2457" s="62" t="n">
        <x:v>45.50150235515376</x:v>
      </x:c>
      <x:c r="H2457" s="29" t="str">
        <x:v>YES</x:v>
      </x:c>
      <x:c r="I2457" s="29" t="str">
        <x:v>NHPN-gated shared-boundary SCA path</x:v>
      </x:c>
      <x:c r="J2457" s="29" t="str">
        <x:v>presence does not prove operability or capacity</x:v>
      </x:c>
    </x:row>
    <x:row r="2458" ht="64.80000305175781" hidden="0" customHeight="1">
      <x:c r="A2458" s="27" t="str">
        <x:v>SCA-20</x:v>
      </x:c>
      <x:c r="B2458" s="27" t="str">
        <x:v>SCA-26</x:v>
      </x:c>
      <x:c r="C2458" s="27" t="str">
        <x:v>Rail</x:v>
      </x:c>
      <x:c r="D2458" s="27" t="str">
        <x:v>YES</x:v>
      </x:c>
      <x:c r="E2458" s="27" t="str">
        <x:v>YES</x:v>
      </x:c>
      <x:c r="F2458" s="61" t="n">
        <x:v>1487.9572243746238</x:v>
      </x:c>
      <x:c r="G2458" s="61" t="n">
        <x:v>47.256531776780335</x:v>
      </x:c>
      <x:c r="H2458" s="27" t="str">
        <x:v>YES</x:v>
      </x:c>
      <x:c r="I2458" s="27" t="str">
        <x:v>NARN shared-node topology; deployable terminal required</x:v>
      </x:c>
      <x:c r="J2458" s="27" t="str">
        <x:v>presence does not prove operability or capacity</x:v>
      </x:c>
    </x:row>
    <x:row r="2459" ht="54" hidden="0" customHeight="1">
      <x:c r="A2459" s="29" t="str">
        <x:v>SCA-20</x:v>
      </x:c>
      <x:c r="B2459" s="29" t="str">
        <x:v>SCA-26</x:v>
      </x:c>
      <x:c r="C2459" s="29" t="str">
        <x:v>Air</x:v>
      </x:c>
      <x:c r="D2459" s="29" t="str">
        <x:v>YES</x:v>
      </x:c>
      <x:c r="E2459" s="29" t="str">
        <x:v>YES</x:v>
      </x:c>
      <x:c r="F2459" s="62" t="n">
        <x:v>1029.2468198754977</x:v>
      </x:c>
      <x:c r="G2459" s="62" t="n">
        <x:v>25.583456645962304</x:v>
      </x:c>
      <x:c r="H2459" s="29" t="str">
        <x:v>YES</x:v>
      </x:c>
      <x:c r="I2459" s="29" t="str">
        <x:v>primary-airport endpoints; great-circle screen</x:v>
      </x:c>
      <x:c r="J2459" s="29" t="str">
        <x:v>presence does not prove operability or capacity</x:v>
      </x:c>
    </x:row>
    <x:row r="2460" ht="75.5999984741211" hidden="0" customHeight="1">
      <x:c r="A2460" s="27" t="str">
        <x:v>SCA-20</x:v>
      </x:c>
      <x:c r="B2460" s="27" t="str">
        <x:v>SCA-26</x:v>
      </x:c>
      <x:c r="C2460" s="27" t="str">
        <x:v>Water</x:v>
      </x:c>
      <x:c r="D2460" s="27" t="str">
        <x:v>YES</x:v>
      </x:c>
      <x:c r="E2460" s="27" t="str">
        <x:v>YES</x:v>
      </x:c>
      <x:c r="F2460" s="61" t="n">
        <x:v>1442.639112203056</x:v>
      </x:c>
      <x:c r="G2460" s="61" t="n">
        <x:v>71.21826034865873</x:v>
      </x:c>
      <x:c r="H2460" s="27" t="str">
        <x:v>YES</x:v>
      </x:c>
      <x:c r="I2460" s="27" t="str">
        <x:v>USACE waterway node topology; deployable terminal required</x:v>
      </x:c>
      <x:c r="J2460" s="27" t="str">
        <x:v>presence does not prove operability or capacity</x:v>
      </x:c>
    </x:row>
    <x:row r="2461" ht="54" hidden="0" customHeight="1">
      <x:c r="A2461" s="29" t="str">
        <x:v>SCA-20</x:v>
      </x:c>
      <x:c r="B2461" s="29" t="str">
        <x:v>SCA-27</x:v>
      </x:c>
      <x:c r="C2461" s="29" t="str">
        <x:v>Road</x:v>
      </x:c>
      <x:c r="D2461" s="29" t="str">
        <x:v>YES</x:v>
      </x:c>
      <x:c r="E2461" s="29" t="str">
        <x:v>YES</x:v>
      </x:c>
      <x:c r="F2461" s="62" t="n">
        <x:v>1682.2108936530058</x:v>
      </x:c>
      <x:c r="G2461" s="62" t="n">
        <x:v>50.58565261187283</x:v>
      </x:c>
      <x:c r="H2461" s="29" t="str">
        <x:v>YES</x:v>
      </x:c>
      <x:c r="I2461" s="29" t="str">
        <x:v>NHPN-gated shared-boundary SCA path</x:v>
      </x:c>
      <x:c r="J2461" s="29" t="str">
        <x:v>presence does not prove operability or capacity</x:v>
      </x:c>
    </x:row>
    <x:row r="2462" ht="64.80000305175781" hidden="0" customHeight="1">
      <x:c r="A2462" s="27" t="str">
        <x:v>SCA-20</x:v>
      </x:c>
      <x:c r="B2462" s="27" t="str">
        <x:v>SCA-27</x:v>
      </x:c>
      <x:c r="C2462" s="27" t="str">
        <x:v>Rail</x:v>
      </x:c>
      <x:c r="D2462" s="27" t="str">
        <x:v>YES</x:v>
      </x:c>
      <x:c r="E2462" s="27" t="str">
        <x:v>YES</x:v>
      </x:c>
      <x:c r="F2462" s="61" t="n">
        <x:v>1784.6063393536235</x:v>
      </x:c>
      <x:c r="G2462" s="61" t="n">
        <x:v>51.49437627648034</x:v>
      </x:c>
      <x:c r="H2462" s="27" t="str">
        <x:v>YES</x:v>
      </x:c>
      <x:c r="I2462" s="27" t="str">
        <x:v>NARN shared-node topology; deployable terminal required</x:v>
      </x:c>
      <x:c r="J2462" s="27" t="str">
        <x:v>presence does not prove operability or capacity</x:v>
      </x:c>
    </x:row>
    <x:row r="2463" ht="54" hidden="0" customHeight="1">
      <x:c r="A2463" s="29" t="str">
        <x:v>SCA-20</x:v>
      </x:c>
      <x:c r="B2463" s="29" t="str">
        <x:v>SCA-27</x:v>
      </x:c>
      <x:c r="C2463" s="29" t="str">
        <x:v>Air</x:v>
      </x:c>
      <x:c r="D2463" s="29" t="str">
        <x:v>YES</x:v>
      </x:c>
      <x:c r="E2463" s="29" t="str">
        <x:v>YES</x:v>
      </x:c>
      <x:c r="F2463" s="62" t="n">
        <x:v>1267.0794311999875</x:v>
      </x:c>
      <x:c r="G2463" s="62" t="n">
        <x:v>25.949352971076905</x:v>
      </x:c>
      <x:c r="H2463" s="29" t="str">
        <x:v>YES</x:v>
      </x:c>
      <x:c r="I2463" s="29" t="str">
        <x:v>primary-airport endpoints; great-circle screen</x:v>
      </x:c>
      <x:c r="J2463" s="29" t="str">
        <x:v>presence does not prove operability or capacity</x:v>
      </x:c>
    </x:row>
    <x:row r="2464" ht="75.5999984741211" hidden="0" customHeight="1">
      <x:c r="A2464" s="27" t="str">
        <x:v>SCA-20</x:v>
      </x:c>
      <x:c r="B2464" s="27" t="str">
        <x:v>SCA-27</x:v>
      </x:c>
      <x:c r="C2464" s="27" t="str">
        <x:v>Water</x:v>
      </x:c>
      <x:c r="D2464" s="27" t="str">
        <x:v>YES</x:v>
      </x:c>
      <x:c r="E2464" s="27" t="str">
        <x:v>YES</x:v>
      </x:c>
      <x:c r="F2464" s="61" t="n">
        <x:v>1621.861671935984</x:v>
      </x:c>
      <x:c r="G2464" s="61" t="n">
        <x:v>76.33890491245668</x:v>
      </x:c>
      <x:c r="H2464" s="27" t="str">
        <x:v>NO</x:v>
      </x:c>
      <x:c r="I2464" s="27" t="str">
        <x:v>USACE waterway node topology; deployable terminal required</x:v>
      </x:c>
      <x:c r="J2464" s="27" t="str">
        <x:v>presence does not prove operability or capacity</x:v>
      </x:c>
    </x:row>
    <x:row r="2465" ht="54" hidden="0" customHeight="1">
      <x:c r="A2465" s="29" t="str">
        <x:v>SCA-20</x:v>
      </x:c>
      <x:c r="B2465" s="29" t="str">
        <x:v>SCA-28</x:v>
      </x:c>
      <x:c r="C2465" s="29" t="str">
        <x:v>Road</x:v>
      </x:c>
      <x:c r="D2465" s="29" t="str">
        <x:v>YES</x:v>
      </x:c>
      <x:c r="E2465" s="29" t="str">
        <x:v>YES</x:v>
      </x:c>
      <x:c r="F2465" s="62" t="n">
        <x:v>1374.1448563055742</x:v>
      </x:c>
      <x:c r="G2465" s="62" t="n">
        <x:v>44.98445193282862</x:v>
      </x:c>
      <x:c r="H2465" s="29" t="str">
        <x:v>YES</x:v>
      </x:c>
      <x:c r="I2465" s="29" t="str">
        <x:v>NHPN-gated shared-boundary SCA path</x:v>
      </x:c>
      <x:c r="J2465" s="29" t="str">
        <x:v>presence does not prove operability or capacity</x:v>
      </x:c>
    </x:row>
    <x:row r="2466" ht="64.80000305175781" hidden="0" customHeight="1">
      <x:c r="A2466" s="27" t="str">
        <x:v>SCA-20</x:v>
      </x:c>
      <x:c r="B2466" s="27" t="str">
        <x:v>SCA-28</x:v>
      </x:c>
      <x:c r="C2466" s="27" t="str">
        <x:v>Rail</x:v>
      </x:c>
      <x:c r="D2466" s="27" t="str">
        <x:v>YES</x:v>
      </x:c>
      <x:c r="E2466" s="27" t="str">
        <x:v>YES</x:v>
      </x:c>
      <x:c r="F2466" s="61" t="n">
        <x:v>1457.7884562546092</x:v>
      </x:c>
      <x:c r="G2466" s="61" t="n">
        <x:v>46.82554937506585</x:v>
      </x:c>
      <x:c r="H2466" s="27" t="str">
        <x:v>YES</x:v>
      </x:c>
      <x:c r="I2466" s="27" t="str">
        <x:v>NARN shared-node topology; deployable terminal required</x:v>
      </x:c>
      <x:c r="J2466" s="27" t="str">
        <x:v>presence does not prove operability or capacity</x:v>
      </x:c>
    </x:row>
    <x:row r="2467" ht="54" hidden="0" customHeight="1">
      <x:c r="A2467" s="29" t="str">
        <x:v>SCA-20</x:v>
      </x:c>
      <x:c r="B2467" s="29" t="str">
        <x:v>SCA-28</x:v>
      </x:c>
      <x:c r="C2467" s="29" t="str">
        <x:v>Air</x:v>
      </x:c>
      <x:c r="D2467" s="29" t="str">
        <x:v>YES</x:v>
      </x:c>
      <x:c r="E2467" s="29" t="str">
        <x:v>YES</x:v>
      </x:c>
      <x:c r="F2467" s="62" t="n">
        <x:v>1172.7181584451764</x:v>
      </x:c>
      <x:c r="G2467" s="62" t="n">
        <x:v>25.80418178222335</x:v>
      </x:c>
      <x:c r="H2467" s="29" t="str">
        <x:v>YES</x:v>
      </x:c>
      <x:c r="I2467" s="29" t="str">
        <x:v>primary-airport endpoints; great-circle screen</x:v>
      </x:c>
      <x:c r="J2467" s="29" t="str">
        <x:v>presence does not prove operability or capacity</x:v>
      </x:c>
    </x:row>
    <x:row r="2468" ht="75.5999984741211" hidden="0" customHeight="1">
      <x:c r="A2468" s="27" t="str">
        <x:v>SCA-20</x:v>
      </x:c>
      <x:c r="B2468" s="27" t="str">
        <x:v>SCA-28</x:v>
      </x:c>
      <x:c r="C2468" s="27" t="str">
        <x:v>Water</x:v>
      </x:c>
      <x:c r="D2468" s="27" t="str">
        <x:v>YES</x:v>
      </x:c>
      <x:c r="E2468" s="27" t="str">
        <x:v>YES</x:v>
      </x:c>
      <x:c r="F2468" s="61" t="n">
        <x:v>1529.4829704966394</x:v>
      </x:c>
      <x:c r="G2468" s="61" t="n">
        <x:v>73.69951344276112</x:v>
      </x:c>
      <x:c r="H2468" s="27" t="str">
        <x:v>NO</x:v>
      </x:c>
      <x:c r="I2468" s="27" t="str">
        <x:v>USACE waterway node topology; deployable terminal required</x:v>
      </x:c>
      <x:c r="J2468" s="27" t="str">
        <x:v>presence does not prove operability or capacity</x:v>
      </x:c>
    </x:row>
    <x:row r="2469" ht="54" hidden="0" customHeight="1">
      <x:c r="A2469" s="29" t="str">
        <x:v>SCA-20</x:v>
      </x:c>
      <x:c r="B2469" s="29" t="str">
        <x:v>SCA-29</x:v>
      </x:c>
      <x:c r="C2469" s="29" t="str">
        <x:v>Road</x:v>
      </x:c>
      <x:c r="D2469" s="29" t="str">
        <x:v>YES</x:v>
      </x:c>
      <x:c r="E2469" s="29" t="str">
        <x:v>YES</x:v>
      </x:c>
      <x:c r="F2469" s="62" t="n">
        <x:v>1214.9539428722444</x:v>
      </x:c>
      <x:c r="G2469" s="62" t="n">
        <x:v>42.090071688586264</x:v>
      </x:c>
      <x:c r="H2469" s="29" t="str">
        <x:v>YES</x:v>
      </x:c>
      <x:c r="I2469" s="29" t="str">
        <x:v>NHPN-gated shared-boundary SCA path</x:v>
      </x:c>
      <x:c r="J2469" s="29" t="str">
        <x:v>presence does not prove operability or capacity</x:v>
      </x:c>
    </x:row>
    <x:row r="2470" ht="64.80000305175781" hidden="0" customHeight="1">
      <x:c r="A2470" s="27" t="str">
        <x:v>SCA-20</x:v>
      </x:c>
      <x:c r="B2470" s="27" t="str">
        <x:v>SCA-29</x:v>
      </x:c>
      <x:c r="C2470" s="27" t="str">
        <x:v>Rail</x:v>
      </x:c>
      <x:c r="D2470" s="27" t="str">
        <x:v>YES</x:v>
      </x:c>
      <x:c r="E2470" s="27" t="str">
        <x:v>YES</x:v>
      </x:c>
      <x:c r="F2470" s="61" t="n">
        <x:v>1288.9076611340333</x:v>
      </x:c>
      <x:c r="G2470" s="61" t="n">
        <x:v>44.41296658762904</x:v>
      </x:c>
      <x:c r="H2470" s="27" t="str">
        <x:v>YES</x:v>
      </x:c>
      <x:c r="I2470" s="27" t="str">
        <x:v>NARN shared-node topology; deployable terminal required</x:v>
      </x:c>
      <x:c r="J2470" s="27" t="str">
        <x:v>presence does not prove operability or capacity</x:v>
      </x:c>
    </x:row>
    <x:row r="2471" ht="54" hidden="0" customHeight="1">
      <x:c r="A2471" s="29" t="str">
        <x:v>SCA-20</x:v>
      </x:c>
      <x:c r="B2471" s="29" t="str">
        <x:v>SCA-29</x:v>
      </x:c>
      <x:c r="C2471" s="29" t="str">
        <x:v>Air</x:v>
      </x:c>
      <x:c r="D2471" s="29" t="str">
        <x:v>YES</x:v>
      </x:c>
      <x:c r="E2471" s="29" t="str">
        <x:v>YES</x:v>
      </x:c>
      <x:c r="F2471" s="62" t="n">
        <x:v>1018.121250216765</x:v>
      </x:c>
      <x:c r="G2471" s="62" t="n">
        <x:v>25.56634038494887</x:v>
      </x:c>
      <x:c r="H2471" s="29" t="str">
        <x:v>YES</x:v>
      </x:c>
      <x:c r="I2471" s="29" t="str">
        <x:v>primary-airport endpoints; great-circle screen</x:v>
      </x:c>
      <x:c r="J2471" s="29" t="str">
        <x:v>presence does not prove operability or capacity</x:v>
      </x:c>
    </x:row>
    <x:row r="2472" ht="75.5999984741211" hidden="0" customHeight="1">
      <x:c r="A2472" s="27" t="str">
        <x:v>SCA-20</x:v>
      </x:c>
      <x:c r="B2472" s="27" t="str">
        <x:v>SCA-29</x:v>
      </x:c>
      <x:c r="C2472" s="27" t="str">
        <x:v>Water</x:v>
      </x:c>
      <x:c r="D2472" s="27" t="str">
        <x:v>YES</x:v>
      </x:c>
      <x:c r="E2472" s="27" t="str">
        <x:v>YES</x:v>
      </x:c>
      <x:c r="F2472" s="61" t="n">
        <x:v>1610.6099820581626</x:v>
      </x:c>
      <x:c r="G2472" s="61" t="n">
        <x:v>76.01742805880465</x:v>
      </x:c>
      <x:c r="H2472" s="27" t="str">
        <x:v>NO</x:v>
      </x:c>
      <x:c r="I2472" s="27" t="str">
        <x:v>USACE waterway node topology; deployable terminal required</x:v>
      </x:c>
      <x:c r="J2472" s="27" t="str">
        <x:v>presence does not prove operability or capacity</x:v>
      </x:c>
    </x:row>
    <x:row r="2473" ht="54" hidden="0" customHeight="1">
      <x:c r="A2473" s="29" t="str">
        <x:v>SCA-20</x:v>
      </x:c>
      <x:c r="B2473" s="29" t="str">
        <x:v>SCA-30</x:v>
      </x:c>
      <x:c r="C2473" s="29" t="str">
        <x:v>Road</x:v>
      </x:c>
      <x:c r="D2473" s="29" t="str">
        <x:v>YES</x:v>
      </x:c>
      <x:c r="E2473" s="29" t="str">
        <x:v>YES</x:v>
      </x:c>
      <x:c r="F2473" s="62" t="n">
        <x:v>1837.7085722368142</x:v>
      </x:c>
      <x:c r="G2473" s="62" t="n">
        <x:v>53.41288313157844</x:v>
      </x:c>
      <x:c r="H2473" s="29" t="str">
        <x:v>YES</x:v>
      </x:c>
      <x:c r="I2473" s="29" t="str">
        <x:v>NHPN-gated shared-boundary SCA path</x:v>
      </x:c>
      <x:c r="J2473" s="29" t="str">
        <x:v>presence does not prove operability or capacity</x:v>
      </x:c>
    </x:row>
    <x:row r="2474" ht="64.80000305175781" hidden="0" customHeight="1">
      <x:c r="A2474" s="27" t="str">
        <x:v>SCA-20</x:v>
      </x:c>
      <x:c r="B2474" s="27" t="str">
        <x:v>SCA-30</x:v>
      </x:c>
      <x:c r="C2474" s="27" t="str">
        <x:v>Rail</x:v>
      </x:c>
      <x:c r="D2474" s="27" t="str">
        <x:v>YES</x:v>
      </x:c>
      <x:c r="E2474" s="27" t="str">
        <x:v>YES</x:v>
      </x:c>
      <x:c r="F2474" s="61" t="n">
        <x:v>1949.569094025142</x:v>
      </x:c>
      <x:c r="G2474" s="61" t="n">
        <x:v>53.850987057502024</x:v>
      </x:c>
      <x:c r="H2474" s="27" t="str">
        <x:v>YES</x:v>
      </x:c>
      <x:c r="I2474" s="27" t="str">
        <x:v>NARN shared-node topology; deployable terminal required</x:v>
      </x:c>
      <x:c r="J2474" s="27" t="str">
        <x:v>presence does not prove operability or capacity</x:v>
      </x:c>
    </x:row>
    <x:row r="2475" ht="54" hidden="0" customHeight="1">
      <x:c r="A2475" s="29" t="str">
        <x:v>SCA-20</x:v>
      </x:c>
      <x:c r="B2475" s="29" t="str">
        <x:v>SCA-30</x:v>
      </x:c>
      <x:c r="C2475" s="29" t="str">
        <x:v>Air</x:v>
      </x:c>
      <x:c r="D2475" s="29" t="str">
        <x:v>YES</x:v>
      </x:c>
      <x:c r="E2475" s="29" t="str">
        <x:v>YES</x:v>
      </x:c>
      <x:c r="F2475" s="62" t="n">
        <x:v>1539.8641010871777</x:v>
      </x:c>
      <x:c r="G2475" s="62" t="n">
        <x:v>26.369021693980272</x:v>
      </x:c>
      <x:c r="H2475" s="29" t="str">
        <x:v>YES</x:v>
      </x:c>
      <x:c r="I2475" s="29" t="str">
        <x:v>primary-airport endpoints; great-circle screen</x:v>
      </x:c>
      <x:c r="J2475" s="29" t="str">
        <x:v>presence does not prove operability or capacity</x:v>
      </x:c>
    </x:row>
    <x:row r="2476" ht="75.5999984741211" hidden="0" customHeight="1">
      <x:c r="A2476" s="27" t="str">
        <x:v>SCA-20</x:v>
      </x:c>
      <x:c r="B2476" s="27" t="str">
        <x:v>SCA-30</x:v>
      </x:c>
      <x:c r="C2476" s="27" t="str">
        <x:v>Water</x:v>
      </x:c>
      <x:c r="D2476" s="27" t="str">
        <x:v>YES</x:v>
      </x:c>
      <x:c r="E2476" s="27" t="str">
        <x:v>YES</x:v>
      </x:c>
      <x:c r="F2476" s="61" t="n">
        <x:v>2045.4495412722804</x:v>
      </x:c>
      <x:c r="G2476" s="61" t="n">
        <x:v>88.4414154649223</x:v>
      </x:c>
      <x:c r="H2476" s="27" t="str">
        <x:v>NO</x:v>
      </x:c>
      <x:c r="I2476" s="27" t="str">
        <x:v>USACE waterway node topology; deployable terminal required</x:v>
      </x:c>
      <x:c r="J2476" s="27" t="str">
        <x:v>presence does not prove operability or capacity</x:v>
      </x:c>
    </x:row>
    <x:row r="2477" ht="54" hidden="0" customHeight="1">
      <x:c r="A2477" s="29" t="str">
        <x:v>SCA-20</x:v>
      </x:c>
      <x:c r="B2477" s="29" t="str">
        <x:v>SCA-31</x:v>
      </x:c>
      <x:c r="C2477" s="29" t="str">
        <x:v>Road</x:v>
      </x:c>
      <x:c r="D2477" s="29" t="str">
        <x:v>YES</x:v>
      </x:c>
      <x:c r="E2477" s="29" t="str">
        <x:v>YES</x:v>
      </x:c>
      <x:c r="F2477" s="62" t="n">
        <x:v>2230.7907174233205</x:v>
      </x:c>
      <x:c r="G2477" s="62" t="n">
        <x:v>60.559831225878554</x:v>
      </x:c>
      <x:c r="H2477" s="29" t="str">
        <x:v>YES</x:v>
      </x:c>
      <x:c r="I2477" s="29" t="str">
        <x:v>NHPN-gated shared-boundary SCA path</x:v>
      </x:c>
      <x:c r="J2477" s="29" t="str">
        <x:v>presence does not prove operability or capacity</x:v>
      </x:c>
    </x:row>
    <x:row r="2478" ht="64.80000305175781" hidden="0" customHeight="1">
      <x:c r="A2478" s="27" t="str">
        <x:v>SCA-20</x:v>
      </x:c>
      <x:c r="B2478" s="27" t="str">
        <x:v>SCA-31</x:v>
      </x:c>
      <x:c r="C2478" s="27" t="str">
        <x:v>Rail</x:v>
      </x:c>
      <x:c r="D2478" s="27" t="str">
        <x:v>YES</x:v>
      </x:c>
      <x:c r="E2478" s="27" t="str">
        <x:v>YES</x:v>
      </x:c>
      <x:c r="F2478" s="61" t="n">
        <x:v>2366.57797848387</x:v>
      </x:c>
      <x:c r="G2478" s="61" t="n">
        <x:v>59.80825683548386</x:v>
      </x:c>
      <x:c r="H2478" s="27" t="str">
        <x:v>YES</x:v>
      </x:c>
      <x:c r="I2478" s="27" t="str">
        <x:v>NARN shared-node topology; deployable terminal required</x:v>
      </x:c>
      <x:c r="J2478" s="27" t="str">
        <x:v>presence does not prove operability or capacity</x:v>
      </x:c>
    </x:row>
    <x:row r="2479" ht="54" hidden="0" customHeight="1">
      <x:c r="A2479" s="29" t="str">
        <x:v>SCA-20</x:v>
      </x:c>
      <x:c r="B2479" s="29" t="str">
        <x:v>SCA-31</x:v>
      </x:c>
      <x:c r="C2479" s="29" t="str">
        <x:v>Air</x:v>
      </x:c>
      <x:c r="D2479" s="29" t="str">
        <x:v>YES</x:v>
      </x:c>
      <x:c r="E2479" s="29" t="str">
        <x:v>YES</x:v>
      </x:c>
      <x:c r="F2479" s="62" t="n">
        <x:v>1864.1174227857275</x:v>
      </x:c>
      <x:c r="G2479" s="62" t="n">
        <x:v>26.86787295813189</x:v>
      </x:c>
      <x:c r="H2479" s="29" t="str">
        <x:v>YES</x:v>
      </x:c>
      <x:c r="I2479" s="29" t="str">
        <x:v>primary-airport endpoints; great-circle screen</x:v>
      </x:c>
      <x:c r="J2479" s="29" t="str">
        <x:v>presence does not prove operability or capacity</x:v>
      </x:c>
    </x:row>
    <x:row r="2480" ht="75.5999984741211" hidden="0" customHeight="1">
      <x:c r="A2480" s="27" t="str">
        <x:v>SCA-20</x:v>
      </x:c>
      <x:c r="B2480" s="27" t="str">
        <x:v>SCA-31</x:v>
      </x:c>
      <x:c r="C2480" s="27" t="str">
        <x:v>Water</x:v>
      </x:c>
      <x:c r="D2480" s="27" t="str">
        <x:v>YES</x:v>
      </x:c>
      <x:c r="E2480" s="27" t="str">
        <x:v>YES</x:v>
      </x:c>
      <x:c r="F2480" s="61" t="n">
        <x:v>2482.967059392913</x:v>
      </x:c>
      <x:c r="G2480" s="61" t="n">
        <x:v>100.94191598265466</x:v>
      </x:c>
      <x:c r="H2480" s="27" t="str">
        <x:v>NO</x:v>
      </x:c>
      <x:c r="I2480" s="27" t="str">
        <x:v>USACE waterway node topology; deployable terminal required</x:v>
      </x:c>
      <x:c r="J2480" s="27" t="str">
        <x:v>presence does not prove operability or capacity</x:v>
      </x:c>
    </x:row>
    <x:row r="2481" ht="54" hidden="0" customHeight="1">
      <x:c r="A2481" s="29" t="str">
        <x:v>SCA-20</x:v>
      </x:c>
      <x:c r="B2481" s="29" t="str">
        <x:v>SCA-32</x:v>
      </x:c>
      <x:c r="C2481" s="29" t="str">
        <x:v>Road</x:v>
      </x:c>
      <x:c r="D2481" s="29" t="str">
        <x:v>NO</x:v>
      </x:c>
      <x:c r="E2481" s="29" t="str">
        <x:v>NO</x:v>
      </x:c>
      <x:c r="F2481" s="62"/>
      <x:c r="G2481" s="62"/>
      <x:c r="H2481" s="29" t="str">
        <x:v>NO</x:v>
      </x:c>
      <x:c r="I2481" s="29" t="str">
        <x:v>no screened path</x:v>
      </x:c>
      <x:c r="J2481" s="29" t="str">
        <x:v>presence does not prove operability or capacity</x:v>
      </x:c>
    </x:row>
    <x:row r="2482" ht="54" hidden="0" customHeight="1">
      <x:c r="A2482" s="27" t="str">
        <x:v>SCA-20</x:v>
      </x:c>
      <x:c r="B2482" s="27" t="str">
        <x:v>SCA-32</x:v>
      </x:c>
      <x:c r="C2482" s="27" t="str">
        <x:v>Rail</x:v>
      </x:c>
      <x:c r="D2482" s="27" t="str">
        <x:v>NO</x:v>
      </x:c>
      <x:c r="E2482" s="27" t="str">
        <x:v>NO</x:v>
      </x:c>
      <x:c r="F2482" s="61"/>
      <x:c r="G2482" s="61"/>
      <x:c r="H2482" s="27" t="str">
        <x:v>NO</x:v>
      </x:c>
      <x:c r="I2482" s="27" t="str">
        <x:v>no screened path</x:v>
      </x:c>
      <x:c r="J2482" s="27" t="str">
        <x:v>presence does not prove operability or capacity</x:v>
      </x:c>
    </x:row>
    <x:row r="2483" ht="54" hidden="0" customHeight="1">
      <x:c r="A2483" s="29" t="str">
        <x:v>SCA-20</x:v>
      </x:c>
      <x:c r="B2483" s="29" t="str">
        <x:v>SCA-32</x:v>
      </x:c>
      <x:c r="C2483" s="29" t="str">
        <x:v>Air</x:v>
      </x:c>
      <x:c r="D2483" s="29" t="str">
        <x:v>YES</x:v>
      </x:c>
      <x:c r="E2483" s="29" t="str">
        <x:v>YES</x:v>
      </x:c>
      <x:c r="F2483" s="62" t="n">
        <x:v>2930.0910222827733</x:v>
      </x:c>
      <x:c r="G2483" s="62" t="n">
        <x:v>28.507832341973497</x:v>
      </x:c>
      <x:c r="H2483" s="29" t="str">
        <x:v>YES</x:v>
      </x:c>
      <x:c r="I2483" s="29" t="str">
        <x:v>primary-airport endpoints; great-circle screen</x:v>
      </x:c>
      <x:c r="J2483" s="29" t="str">
        <x:v>presence does not prove operability or capacity</x:v>
      </x:c>
    </x:row>
    <x:row r="2484" ht="75.5999984741211" hidden="0" customHeight="1">
      <x:c r="A2484" s="27" t="str">
        <x:v>SCA-20</x:v>
      </x:c>
      <x:c r="B2484" s="27" t="str">
        <x:v>SCA-32</x:v>
      </x:c>
      <x:c r="C2484" s="27" t="str">
        <x:v>Water</x:v>
      </x:c>
      <x:c r="D2484" s="27" t="str">
        <x:v>YES</x:v>
      </x:c>
      <x:c r="E2484" s="27" t="str">
        <x:v>YES</x:v>
      </x:c>
      <x:c r="F2484" s="61" t="n">
        <x:v>3756.831420089161</x:v>
      </x:c>
      <x:c r="G2484" s="61" t="n">
        <x:v>137.33804057397603</x:v>
      </x:c>
      <x:c r="H2484" s="27" t="str">
        <x:v>NO</x:v>
      </x:c>
      <x:c r="I2484" s="27" t="str">
        <x:v>USACE waterway node topology; deployable terminal required</x:v>
      </x:c>
      <x:c r="J2484" s="27" t="str">
        <x:v>presence does not prove operability or capacity</x:v>
      </x:c>
    </x:row>
    <x:row r="2485" ht="54" hidden="0" customHeight="1">
      <x:c r="A2485" s="29" t="str">
        <x:v>SCA-21</x:v>
      </x:c>
      <x:c r="B2485" s="29" t="str">
        <x:v>SCA-01</x:v>
      </x:c>
      <x:c r="C2485" s="29" t="str">
        <x:v>Road</x:v>
      </x:c>
      <x:c r="D2485" s="29" t="str">
        <x:v>NO</x:v>
      </x:c>
      <x:c r="E2485" s="29" t="str">
        <x:v>NO</x:v>
      </x:c>
      <x:c r="F2485" s="62"/>
      <x:c r="G2485" s="62"/>
      <x:c r="H2485" s="29" t="str">
        <x:v>NO</x:v>
      </x:c>
      <x:c r="I2485" s="29" t="str">
        <x:v>no screened path</x:v>
      </x:c>
      <x:c r="J2485" s="29" t="str">
        <x:v>presence does not prove operability or capacity</x:v>
      </x:c>
    </x:row>
    <x:row r="2486" ht="54" hidden="0" customHeight="1">
      <x:c r="A2486" s="27" t="str">
        <x:v>SCA-21</x:v>
      </x:c>
      <x:c r="B2486" s="27" t="str">
        <x:v>SCA-01</x:v>
      </x:c>
      <x:c r="C2486" s="27" t="str">
        <x:v>Rail</x:v>
      </x:c>
      <x:c r="D2486" s="27" t="str">
        <x:v>NO</x:v>
      </x:c>
      <x:c r="E2486" s="27" t="str">
        <x:v>NO</x:v>
      </x:c>
      <x:c r="F2486" s="61"/>
      <x:c r="G2486" s="61"/>
      <x:c r="H2486" s="27" t="str">
        <x:v>NO</x:v>
      </x:c>
      <x:c r="I2486" s="27" t="str">
        <x:v>no screened path</x:v>
      </x:c>
      <x:c r="J2486" s="27" t="str">
        <x:v>presence does not prove operability or capacity</x:v>
      </x:c>
    </x:row>
    <x:row r="2487" ht="54" hidden="0" customHeight="1">
      <x:c r="A2487" s="29" t="str">
        <x:v>SCA-21</x:v>
      </x:c>
      <x:c r="B2487" s="29" t="str">
        <x:v>SCA-01</x:v>
      </x:c>
      <x:c r="C2487" s="29" t="str">
        <x:v>Air</x:v>
      </x:c>
      <x:c r="D2487" s="29" t="str">
        <x:v>YES</x:v>
      </x:c>
      <x:c r="E2487" s="29" t="str">
        <x:v>YES</x:v>
      </x:c>
      <x:c r="F2487" s="62" t="n">
        <x:v>6801.653544887236</x:v>
      </x:c>
      <x:c r="G2487" s="62" t="n">
        <x:v>34.464082376749595</x:v>
      </x:c>
      <x:c r="H2487" s="29" t="str">
        <x:v>YES</x:v>
      </x:c>
      <x:c r="I2487" s="29" t="str">
        <x:v>primary-airport endpoints; great-circle screen</x:v>
      </x:c>
      <x:c r="J2487" s="29" t="str">
        <x:v>presence does not prove operability or capacity</x:v>
      </x:c>
    </x:row>
    <x:row r="2488" ht="75.5999984741211" hidden="0" customHeight="1">
      <x:c r="A2488" s="27" t="str">
        <x:v>SCA-21</x:v>
      </x:c>
      <x:c r="B2488" s="27" t="str">
        <x:v>SCA-01</x:v>
      </x:c>
      <x:c r="C2488" s="27" t="str">
        <x:v>Water</x:v>
      </x:c>
      <x:c r="D2488" s="27" t="str">
        <x:v>YES</x:v>
      </x:c>
      <x:c r="E2488" s="27" t="str">
        <x:v>YES</x:v>
      </x:c>
      <x:c r="F2488" s="61" t="n">
        <x:v>12928.566356934172</x:v>
      </x:c>
      <x:c r="G2488" s="61" t="n">
        <x:v>399.3876101981192</x:v>
      </x:c>
      <x:c r="H2488" s="27" t="str">
        <x:v>NO</x:v>
      </x:c>
      <x:c r="I2488" s="27" t="str">
        <x:v>USACE waterway node topology; deployable terminal required</x:v>
      </x:c>
      <x:c r="J2488" s="27" t="str">
        <x:v>presence does not prove operability or capacity</x:v>
      </x:c>
    </x:row>
    <x:row r="2489" ht="54" hidden="0" customHeight="1">
      <x:c r="A2489" s="29" t="str">
        <x:v>SCA-21</x:v>
      </x:c>
      <x:c r="B2489" s="29" t="str">
        <x:v>SCA-02</x:v>
      </x:c>
      <x:c r="C2489" s="29" t="str">
        <x:v>Road</x:v>
      </x:c>
      <x:c r="D2489" s="29" t="str">
        <x:v>NO</x:v>
      </x:c>
      <x:c r="E2489" s="29" t="str">
        <x:v>NO</x:v>
      </x:c>
      <x:c r="F2489" s="62"/>
      <x:c r="G2489" s="62"/>
      <x:c r="H2489" s="29" t="str">
        <x:v>NO</x:v>
      </x:c>
      <x:c r="I2489" s="29" t="str">
        <x:v>no screened path</x:v>
      </x:c>
      <x:c r="J2489" s="29" t="str">
        <x:v>presence does not prove operability or capacity</x:v>
      </x:c>
    </x:row>
    <x:row r="2490" ht="54" hidden="0" customHeight="1">
      <x:c r="A2490" s="27" t="str">
        <x:v>SCA-21</x:v>
      </x:c>
      <x:c r="B2490" s="27" t="str">
        <x:v>SCA-02</x:v>
      </x:c>
      <x:c r="C2490" s="27" t="str">
        <x:v>Rail</x:v>
      </x:c>
      <x:c r="D2490" s="27" t="str">
        <x:v>NO</x:v>
      </x:c>
      <x:c r="E2490" s="27" t="str">
        <x:v>NO</x:v>
      </x:c>
      <x:c r="F2490" s="61"/>
      <x:c r="G2490" s="61"/>
      <x:c r="H2490" s="27" t="str">
        <x:v>NO</x:v>
      </x:c>
      <x:c r="I2490" s="27" t="str">
        <x:v>no screened path</x:v>
      </x:c>
      <x:c r="J2490" s="27" t="str">
        <x:v>presence does not prove operability or capacity</x:v>
      </x:c>
    </x:row>
    <x:row r="2491" ht="54" hidden="0" customHeight="1">
      <x:c r="A2491" s="29" t="str">
        <x:v>SCA-21</x:v>
      </x:c>
      <x:c r="B2491" s="29" t="str">
        <x:v>SCA-02</x:v>
      </x:c>
      <x:c r="C2491" s="29" t="str">
        <x:v>Air</x:v>
      </x:c>
      <x:c r="D2491" s="29" t="str">
        <x:v>YES</x:v>
      </x:c>
      <x:c r="E2491" s="29" t="str">
        <x:v>YES</x:v>
      </x:c>
      <x:c r="F2491" s="62" t="n">
        <x:v>4350.6332246754155</x:v>
      </x:c>
      <x:c r="G2491" s="62" t="n">
        <x:v>30.693281884116026</x:v>
      </x:c>
      <x:c r="H2491" s="29" t="str">
        <x:v>YES</x:v>
      </x:c>
      <x:c r="I2491" s="29" t="str">
        <x:v>primary-airport endpoints; great-circle screen</x:v>
      </x:c>
      <x:c r="J2491" s="29" t="str">
        <x:v>presence does not prove operability or capacity</x:v>
      </x:c>
    </x:row>
    <x:row r="2492" ht="75.5999984741211" hidden="0" customHeight="1">
      <x:c r="A2492" s="27" t="str">
        <x:v>SCA-21</x:v>
      </x:c>
      <x:c r="B2492" s="27" t="str">
        <x:v>SCA-02</x:v>
      </x:c>
      <x:c r="C2492" s="27" t="str">
        <x:v>Water</x:v>
      </x:c>
      <x:c r="D2492" s="27" t="str">
        <x:v>YES</x:v>
      </x:c>
      <x:c r="E2492" s="27" t="str">
        <x:v>YES</x:v>
      </x:c>
      <x:c r="F2492" s="61" t="n">
        <x:v>8565.928992198307</x:v>
      </x:c>
      <x:c r="G2492" s="61" t="n">
        <x:v>274.74082834852305</x:v>
      </x:c>
      <x:c r="H2492" s="27" t="str">
        <x:v>NO</x:v>
      </x:c>
      <x:c r="I2492" s="27" t="str">
        <x:v>USACE waterway node topology; deployable terminal required</x:v>
      </x:c>
      <x:c r="J2492" s="27" t="str">
        <x:v>presence does not prove operability or capacity</x:v>
      </x:c>
    </x:row>
    <x:row r="2493" ht="54" hidden="0" customHeight="1">
      <x:c r="A2493" s="29" t="str">
        <x:v>SCA-21</x:v>
      </x:c>
      <x:c r="B2493" s="29" t="str">
        <x:v>SCA-03</x:v>
      </x:c>
      <x:c r="C2493" s="29" t="str">
        <x:v>Road</x:v>
      </x:c>
      <x:c r="D2493" s="29" t="str">
        <x:v>YES</x:v>
      </x:c>
      <x:c r="E2493" s="29" t="str">
        <x:v>YES</x:v>
      </x:c>
      <x:c r="F2493" s="62" t="n">
        <x:v>3190.188988574312</x:v>
      </x:c>
      <x:c r="G2493" s="62" t="n">
        <x:v>78.0034361558966</x:v>
      </x:c>
      <x:c r="H2493" s="29" t="str">
        <x:v>NO</x:v>
      </x:c>
      <x:c r="I2493" s="29" t="str">
        <x:v>NHPN-gated shared-boundary SCA path</x:v>
      </x:c>
      <x:c r="J2493" s="29" t="str">
        <x:v>presence does not prove operability or capacity</x:v>
      </x:c>
    </x:row>
    <x:row r="2494" ht="64.80000305175781" hidden="0" customHeight="1">
      <x:c r="A2494" s="27" t="str">
        <x:v>SCA-21</x:v>
      </x:c>
      <x:c r="B2494" s="27" t="str">
        <x:v>SCA-03</x:v>
      </x:c>
      <x:c r="C2494" s="27" t="str">
        <x:v>Rail</x:v>
      </x:c>
      <x:c r="D2494" s="27" t="str">
        <x:v>YES</x:v>
      </x:c>
      <x:c r="E2494" s="27" t="str">
        <x:v>YES</x:v>
      </x:c>
      <x:c r="F2494" s="61" t="n">
        <x:v>3384.3744052701404</x:v>
      </x:c>
      <x:c r="G2494" s="61" t="n">
        <x:v>74.34820578957343</x:v>
      </x:c>
      <x:c r="H2494" s="27" t="str">
        <x:v>NO</x:v>
      </x:c>
      <x:c r="I2494" s="27" t="str">
        <x:v>NARN shared-node topology; deployable terminal required</x:v>
      </x:c>
      <x:c r="J2494" s="27" t="str">
        <x:v>presence does not prove operability or capacity</x:v>
      </x:c>
    </x:row>
    <x:row r="2495" ht="54" hidden="0" customHeight="1">
      <x:c r="A2495" s="29" t="str">
        <x:v>SCA-21</x:v>
      </x:c>
      <x:c r="B2495" s="29" t="str">
        <x:v>SCA-03</x:v>
      </x:c>
      <x:c r="C2495" s="29" t="str">
        <x:v>Air</x:v>
      </x:c>
      <x:c r="D2495" s="29" t="str">
        <x:v>YES</x:v>
      </x:c>
      <x:c r="E2495" s="29" t="str">
        <x:v>YES</x:v>
      </x:c>
      <x:c r="F2495" s="62" t="n">
        <x:v>2698.823162785475</x:v>
      </x:c>
      <x:c r="G2495" s="62" t="n">
        <x:v>28.152035635054578</x:v>
      </x:c>
      <x:c r="H2495" s="29" t="str">
        <x:v>YES</x:v>
      </x:c>
      <x:c r="I2495" s="29" t="str">
        <x:v>primary-airport endpoints; great-circle screen</x:v>
      </x:c>
      <x:c r="J2495" s="29" t="str">
        <x:v>presence does not prove operability or capacity</x:v>
      </x:c>
    </x:row>
    <x:row r="2496" ht="75.5999984741211" hidden="0" customHeight="1">
      <x:c r="A2496" s="27" t="str">
        <x:v>SCA-21</x:v>
      </x:c>
      <x:c r="B2496" s="27" t="str">
        <x:v>SCA-03</x:v>
      </x:c>
      <x:c r="C2496" s="27" t="str">
        <x:v>Water</x:v>
      </x:c>
      <x:c r="D2496" s="27" t="str">
        <x:v>YES</x:v>
      </x:c>
      <x:c r="E2496" s="27" t="str">
        <x:v>YES</x:v>
      </x:c>
      <x:c r="F2496" s="61" t="n">
        <x:v>9537.805044262515</x:v>
      </x:c>
      <x:c r="G2496" s="61" t="n">
        <x:v>302.5087155503576</x:v>
      </x:c>
      <x:c r="H2496" s="27" t="str">
        <x:v>NO</x:v>
      </x:c>
      <x:c r="I2496" s="27" t="str">
        <x:v>USACE waterway node topology; deployable terminal required</x:v>
      </x:c>
      <x:c r="J2496" s="27" t="str">
        <x:v>presence does not prove operability or capacity</x:v>
      </x:c>
    </x:row>
    <x:row r="2497" ht="54" hidden="0" customHeight="1">
      <x:c r="A2497" s="29" t="str">
        <x:v>SCA-21</x:v>
      </x:c>
      <x:c r="B2497" s="29" t="str">
        <x:v>SCA-04</x:v>
      </x:c>
      <x:c r="C2497" s="29" t="str">
        <x:v>Road</x:v>
      </x:c>
      <x:c r="D2497" s="29" t="str">
        <x:v>YES</x:v>
      </x:c>
      <x:c r="E2497" s="29" t="str">
        <x:v>YES</x:v>
      </x:c>
      <x:c r="F2497" s="62" t="n">
        <x:v>3600.6977878130847</x:v>
      </x:c>
      <x:c r="G2497" s="62" t="n">
        <x:v>85.46723250569245</x:v>
      </x:c>
      <x:c r="H2497" s="29" t="str">
        <x:v>NO</x:v>
      </x:c>
      <x:c r="I2497" s="29" t="str">
        <x:v>NHPN-gated shared-boundary SCA path</x:v>
      </x:c>
      <x:c r="J2497" s="29" t="str">
        <x:v>presence does not prove operability or capacity</x:v>
      </x:c>
    </x:row>
    <x:row r="2498" ht="64.80000305175781" hidden="0" customHeight="1">
      <x:c r="A2498" s="27" t="str">
        <x:v>SCA-21</x:v>
      </x:c>
      <x:c r="B2498" s="27" t="str">
        <x:v>SCA-04</x:v>
      </x:c>
      <x:c r="C2498" s="27" t="str">
        <x:v>Rail</x:v>
      </x:c>
      <x:c r="D2498" s="27" t="str">
        <x:v>YES</x:v>
      </x:c>
      <x:c r="E2498" s="27" t="str">
        <x:v>YES</x:v>
      </x:c>
      <x:c r="F2498" s="61" t="n">
        <x:v>3819.87069663649</x:v>
      </x:c>
      <x:c r="G2498" s="61" t="n">
        <x:v>80.56958138052129</x:v>
      </x:c>
      <x:c r="H2498" s="27" t="str">
        <x:v>NO</x:v>
      </x:c>
      <x:c r="I2498" s="27" t="str">
        <x:v>NARN shared-node topology; deployable terminal required</x:v>
      </x:c>
      <x:c r="J2498" s="27" t="str">
        <x:v>presence does not prove operability or capacity</x:v>
      </x:c>
    </x:row>
    <x:row r="2499" ht="54" hidden="0" customHeight="1">
      <x:c r="A2499" s="29" t="str">
        <x:v>SCA-21</x:v>
      </x:c>
      <x:c r="B2499" s="29" t="str">
        <x:v>SCA-04</x:v>
      </x:c>
      <x:c r="C2499" s="29" t="str">
        <x:v>Air</x:v>
      </x:c>
      <x:c r="D2499" s="29" t="str">
        <x:v>YES</x:v>
      </x:c>
      <x:c r="E2499" s="29" t="str">
        <x:v>YES</x:v>
      </x:c>
      <x:c r="F2499" s="62" t="n">
        <x:v>2867.4382104426472</x:v>
      </x:c>
      <x:c r="G2499" s="62" t="n">
        <x:v>28.411443400680994</x:v>
      </x:c>
      <x:c r="H2499" s="29" t="str">
        <x:v>YES</x:v>
      </x:c>
      <x:c r="I2499" s="29" t="str">
        <x:v>primary-airport endpoints; great-circle screen</x:v>
      </x:c>
      <x:c r="J2499" s="29" t="str">
        <x:v>presence does not prove operability or capacity</x:v>
      </x:c>
    </x:row>
    <x:row r="2500" ht="75.5999984741211" hidden="0" customHeight="1">
      <x:c r="A2500" s="27" t="str">
        <x:v>SCA-21</x:v>
      </x:c>
      <x:c r="B2500" s="27" t="str">
        <x:v>SCA-04</x:v>
      </x:c>
      <x:c r="C2500" s="27" t="str">
        <x:v>Water</x:v>
      </x:c>
      <x:c r="D2500" s="27" t="str">
        <x:v>YES</x:v>
      </x:c>
      <x:c r="E2500" s="27" t="str">
        <x:v>YES</x:v>
      </x:c>
      <x:c r="F2500" s="61" t="n">
        <x:v>8325.546835881549</x:v>
      </x:c>
      <x:c r="G2500" s="61" t="n">
        <x:v>267.8727667394728</x:v>
      </x:c>
      <x:c r="H2500" s="27" t="str">
        <x:v>NO</x:v>
      </x:c>
      <x:c r="I2500" s="27" t="str">
        <x:v>USACE waterway node topology; deployable terminal required</x:v>
      </x:c>
      <x:c r="J2500" s="27" t="str">
        <x:v>presence does not prove operability or capacity</x:v>
      </x:c>
    </x:row>
    <x:row r="2501" ht="54" hidden="0" customHeight="1">
      <x:c r="A2501" s="29" t="str">
        <x:v>SCA-21</x:v>
      </x:c>
      <x:c r="B2501" s="29" t="str">
        <x:v>SCA-05</x:v>
      </x:c>
      <x:c r="C2501" s="29" t="str">
        <x:v>Road</x:v>
      </x:c>
      <x:c r="D2501" s="29" t="str">
        <x:v>YES</x:v>
      </x:c>
      <x:c r="E2501" s="29" t="str">
        <x:v>YES</x:v>
      </x:c>
      <x:c r="F2501" s="62" t="n">
        <x:v>3659.6090032780903</x:v>
      </x:c>
      <x:c r="G2501" s="62" t="n">
        <x:v>86.5383455141471</x:v>
      </x:c>
      <x:c r="H2501" s="29" t="str">
        <x:v>NO</x:v>
      </x:c>
      <x:c r="I2501" s="29" t="str">
        <x:v>NHPN-gated shared-boundary SCA path</x:v>
      </x:c>
      <x:c r="J2501" s="29" t="str">
        <x:v>presence does not prove operability or capacity</x:v>
      </x:c>
    </x:row>
    <x:row r="2502" ht="64.80000305175781" hidden="0" customHeight="1">
      <x:c r="A2502" s="27" t="str">
        <x:v>SCA-21</x:v>
      </x:c>
      <x:c r="B2502" s="27" t="str">
        <x:v>SCA-05</x:v>
      </x:c>
      <x:c r="C2502" s="27" t="str">
        <x:v>Rail</x:v>
      </x:c>
      <x:c r="D2502" s="27" t="str">
        <x:v>YES</x:v>
      </x:c>
      <x:c r="E2502" s="27" t="str">
        <x:v>YES</x:v>
      </x:c>
      <x:c r="F2502" s="61" t="n">
        <x:v>3950.375061429832</x:v>
      </x:c>
      <x:c r="G2502" s="61" t="n">
        <x:v>82.43392944899759</x:v>
      </x:c>
      <x:c r="H2502" s="27" t="str">
        <x:v>NO</x:v>
      </x:c>
      <x:c r="I2502" s="27" t="str">
        <x:v>NARN shared-node topology; deployable terminal required</x:v>
      </x:c>
      <x:c r="J2502" s="27" t="str">
        <x:v>presence does not prove operability or capacity</x:v>
      </x:c>
    </x:row>
    <x:row r="2503" ht="54" hidden="0" customHeight="1">
      <x:c r="A2503" s="29" t="str">
        <x:v>SCA-21</x:v>
      </x:c>
      <x:c r="B2503" s="29" t="str">
        <x:v>SCA-05</x:v>
      </x:c>
      <x:c r="C2503" s="29" t="str">
        <x:v>Air</x:v>
      </x:c>
      <x:c r="D2503" s="29" t="str">
        <x:v>YES</x:v>
      </x:c>
      <x:c r="E2503" s="29" t="str">
        <x:v>YES</x:v>
      </x:c>
      <x:c r="F2503" s="62" t="n">
        <x:v>2773.623622558731</x:v>
      </x:c>
      <x:c r="G2503" s="62" t="n">
        <x:v>28.26711326547497</x:v>
      </x:c>
      <x:c r="H2503" s="29" t="str">
        <x:v>YES</x:v>
      </x:c>
      <x:c r="I2503" s="29" t="str">
        <x:v>primary-airport endpoints; great-circle screen</x:v>
      </x:c>
      <x:c r="J2503" s="29" t="str">
        <x:v>presence does not prove operability or capacity</x:v>
      </x:c>
    </x:row>
    <x:row r="2504" ht="75.5999984741211" hidden="0" customHeight="1">
      <x:c r="A2504" s="27" t="str">
        <x:v>SCA-21</x:v>
      </x:c>
      <x:c r="B2504" s="27" t="str">
        <x:v>SCA-05</x:v>
      </x:c>
      <x:c r="C2504" s="27" t="str">
        <x:v>Water</x:v>
      </x:c>
      <x:c r="D2504" s="27" t="str">
        <x:v>YES</x:v>
      </x:c>
      <x:c r="E2504" s="27" t="str">
        <x:v>YES</x:v>
      </x:c>
      <x:c r="F2504" s="61" t="n">
        <x:v>7669.593416404491</x:v>
      </x:c>
      <x:c r="G2504" s="61" t="n">
        <x:v>249.13124046869976</x:v>
      </x:c>
      <x:c r="H2504" s="27" t="str">
        <x:v>NO</x:v>
      </x:c>
      <x:c r="I2504" s="27" t="str">
        <x:v>USACE waterway node topology; deployable terminal required</x:v>
      </x:c>
      <x:c r="J2504" s="27" t="str">
        <x:v>presence does not prove operability or capacity</x:v>
      </x:c>
    </x:row>
    <x:row r="2505" ht="54" hidden="0" customHeight="1">
      <x:c r="A2505" s="29" t="str">
        <x:v>SCA-21</x:v>
      </x:c>
      <x:c r="B2505" s="29" t="str">
        <x:v>SCA-06</x:v>
      </x:c>
      <x:c r="C2505" s="29" t="str">
        <x:v>Road</x:v>
      </x:c>
      <x:c r="D2505" s="29" t="str">
        <x:v>YES</x:v>
      </x:c>
      <x:c r="E2505" s="29" t="str">
        <x:v>YES</x:v>
      </x:c>
      <x:c r="F2505" s="62" t="n">
        <x:v>3418.851630997967</x:v>
      </x:c>
      <x:c r="G2505" s="62" t="n">
        <x:v>82.16093874541758</x:v>
      </x:c>
      <x:c r="H2505" s="29" t="str">
        <x:v>NO</x:v>
      </x:c>
      <x:c r="I2505" s="29" t="str">
        <x:v>NHPN-gated shared-boundary SCA path</x:v>
      </x:c>
      <x:c r="J2505" s="29" t="str">
        <x:v>presence does not prove operability or capacity</x:v>
      </x:c>
    </x:row>
    <x:row r="2506" ht="64.80000305175781" hidden="0" customHeight="1">
      <x:c r="A2506" s="27" t="str">
        <x:v>SCA-21</x:v>
      </x:c>
      <x:c r="B2506" s="27" t="str">
        <x:v>SCA-06</x:v>
      </x:c>
      <x:c r="C2506" s="27" t="str">
        <x:v>Rail</x:v>
      </x:c>
      <x:c r="D2506" s="27" t="str">
        <x:v>YES</x:v>
      </x:c>
      <x:c r="E2506" s="27" t="str">
        <x:v>YES</x:v>
      </x:c>
      <x:c r="F2506" s="61" t="n">
        <x:v>3910.468383456963</x:v>
      </x:c>
      <x:c r="G2506" s="61" t="n">
        <x:v>81.86383404938519</x:v>
      </x:c>
      <x:c r="H2506" s="27" t="str">
        <x:v>NO</x:v>
      </x:c>
      <x:c r="I2506" s="27" t="str">
        <x:v>NARN shared-node topology; deployable terminal required</x:v>
      </x:c>
      <x:c r="J2506" s="27" t="str">
        <x:v>presence does not prove operability or capacity</x:v>
      </x:c>
    </x:row>
    <x:row r="2507" ht="54" hidden="0" customHeight="1">
      <x:c r="A2507" s="29" t="str">
        <x:v>SCA-21</x:v>
      </x:c>
      <x:c r="B2507" s="29" t="str">
        <x:v>SCA-06</x:v>
      </x:c>
      <x:c r="C2507" s="29" t="str">
        <x:v>Air</x:v>
      </x:c>
      <x:c r="D2507" s="29" t="str">
        <x:v>YES</x:v>
      </x:c>
      <x:c r="E2507" s="29" t="str">
        <x:v>YES</x:v>
      </x:c>
      <x:c r="F2507" s="62" t="n">
        <x:v>2666.165624474246</x:v>
      </x:c>
      <x:c r="G2507" s="62" t="n">
        <x:v>28.10179326842192</x:v>
      </x:c>
      <x:c r="H2507" s="29" t="str">
        <x:v>YES</x:v>
      </x:c>
      <x:c r="I2507" s="29" t="str">
        <x:v>primary-airport endpoints; great-circle screen</x:v>
      </x:c>
      <x:c r="J2507" s="29" t="str">
        <x:v>presence does not prove operability or capacity</x:v>
      </x:c>
    </x:row>
    <x:row r="2508" ht="75.5999984741211" hidden="0" customHeight="1">
      <x:c r="A2508" s="27" t="str">
        <x:v>SCA-21</x:v>
      </x:c>
      <x:c r="B2508" s="27" t="str">
        <x:v>SCA-06</x:v>
      </x:c>
      <x:c r="C2508" s="27" t="str">
        <x:v>Water</x:v>
      </x:c>
      <x:c r="D2508" s="27" t="str">
        <x:v>YES</x:v>
      </x:c>
      <x:c r="E2508" s="27" t="str">
        <x:v>YES</x:v>
      </x:c>
      <x:c r="F2508" s="61" t="n">
        <x:v>7401.619993344875</x:v>
      </x:c>
      <x:c r="G2508" s="61" t="n">
        <x:v>241.47485695271072</x:v>
      </x:c>
      <x:c r="H2508" s="27" t="str">
        <x:v>NO</x:v>
      </x:c>
      <x:c r="I2508" s="27" t="str">
        <x:v>USACE waterway node topology; deployable terminal required</x:v>
      </x:c>
      <x:c r="J2508" s="27" t="str">
        <x:v>presence does not prove operability or capacity</x:v>
      </x:c>
    </x:row>
    <x:row r="2509" ht="54" hidden="0" customHeight="1">
      <x:c r="A2509" s="29" t="str">
        <x:v>SCA-21</x:v>
      </x:c>
      <x:c r="B2509" s="29" t="str">
        <x:v>SCA-07</x:v>
      </x:c>
      <x:c r="C2509" s="29" t="str">
        <x:v>Road</x:v>
      </x:c>
      <x:c r="D2509" s="29" t="str">
        <x:v>YES</x:v>
      </x:c>
      <x:c r="E2509" s="29" t="str">
        <x:v>YES</x:v>
      </x:c>
      <x:c r="F2509" s="62" t="n">
        <x:v>3363.5131026332183</x:v>
      </x:c>
      <x:c r="G2509" s="62" t="n">
        <x:v>81.15478368424033</x:v>
      </x:c>
      <x:c r="H2509" s="29" t="str">
        <x:v>NO</x:v>
      </x:c>
      <x:c r="I2509" s="29" t="str">
        <x:v>NHPN-gated shared-boundary SCA path</x:v>
      </x:c>
      <x:c r="J2509" s="29" t="str">
        <x:v>presence does not prove operability or capacity</x:v>
      </x:c>
    </x:row>
    <x:row r="2510" ht="64.80000305175781" hidden="0" customHeight="1">
      <x:c r="A2510" s="27" t="str">
        <x:v>SCA-21</x:v>
      </x:c>
      <x:c r="B2510" s="27" t="str">
        <x:v>SCA-07</x:v>
      </x:c>
      <x:c r="C2510" s="27" t="str">
        <x:v>Rail</x:v>
      </x:c>
      <x:c r="D2510" s="27" t="str">
        <x:v>YES</x:v>
      </x:c>
      <x:c r="E2510" s="27" t="str">
        <x:v>YES</x:v>
      </x:c>
      <x:c r="F2510" s="61" t="n">
        <x:v>3568.2486827935018</x:v>
      </x:c>
      <x:c r="G2510" s="61" t="n">
        <x:v>76.97498118276431</x:v>
      </x:c>
      <x:c r="H2510" s="27" t="str">
        <x:v>NO</x:v>
      </x:c>
      <x:c r="I2510" s="27" t="str">
        <x:v>NARN shared-node topology; deployable terminal required</x:v>
      </x:c>
      <x:c r="J2510" s="27" t="str">
        <x:v>presence does not prove operability or capacity</x:v>
      </x:c>
    </x:row>
    <x:row r="2511" ht="54" hidden="0" customHeight="1">
      <x:c r="A2511" s="29" t="str">
        <x:v>SCA-21</x:v>
      </x:c>
      <x:c r="B2511" s="29" t="str">
        <x:v>SCA-07</x:v>
      </x:c>
      <x:c r="C2511" s="29" t="str">
        <x:v>Air</x:v>
      </x:c>
      <x:c r="D2511" s="29" t="str">
        <x:v>YES</x:v>
      </x:c>
      <x:c r="E2511" s="29" t="str">
        <x:v>YES</x:v>
      </x:c>
      <x:c r="F2511" s="62" t="n">
        <x:v>2461.18386721968</x:v>
      </x:c>
      <x:c r="G2511" s="62" t="n">
        <x:v>27.786436718799507</x:v>
      </x:c>
      <x:c r="H2511" s="29" t="str">
        <x:v>YES</x:v>
      </x:c>
      <x:c r="I2511" s="29" t="str">
        <x:v>primary-airport endpoints; great-circle screen</x:v>
      </x:c>
      <x:c r="J2511" s="29" t="str">
        <x:v>presence does not prove operability or capacity</x:v>
      </x:c>
    </x:row>
    <x:row r="2512" ht="64.80000305175781" hidden="0" customHeight="1">
      <x:c r="A2512" s="27" t="str">
        <x:v>SCA-21</x:v>
      </x:c>
      <x:c r="B2512" s="27" t="str">
        <x:v>SCA-07</x:v>
      </x:c>
      <x:c r="C2512" s="27" t="str">
        <x:v>Water</x:v>
      </x:c>
      <x:c r="D2512" s="27" t="str">
        <x:v>YES</x:v>
      </x:c>
      <x:c r="E2512" s="27" t="str">
        <x:v>YES</x:v>
      </x:c>
      <x:c r="F2512" s="61" t="n">
        <x:v>3076.4798340245998</x:v>
      </x:c>
      <x:c r="G2512" s="61" t="n">
        <x:v>117.89942382927428</x:v>
      </x:c>
      <x:c r="H2512" s="27" t="str">
        <x:v>NO</x:v>
      </x:c>
      <x:c r="I2512" s="27" t="str">
        <x:v>observed water terminals; maritime great-circle screen</x:v>
      </x:c>
      <x:c r="J2512" s="27" t="str">
        <x:v>presence does not prove operability or capacity</x:v>
      </x:c>
    </x:row>
    <x:row r="2513" ht="54" hidden="0" customHeight="1">
      <x:c r="A2513" s="29" t="str">
        <x:v>SCA-21</x:v>
      </x:c>
      <x:c r="B2513" s="29" t="str">
        <x:v>SCA-08</x:v>
      </x:c>
      <x:c r="C2513" s="29" t="str">
        <x:v>Road</x:v>
      </x:c>
      <x:c r="D2513" s="29" t="str">
        <x:v>YES</x:v>
      </x:c>
      <x:c r="E2513" s="29" t="str">
        <x:v>YES</x:v>
      </x:c>
      <x:c r="F2513" s="62" t="n">
        <x:v>2545.534113501802</x:v>
      </x:c>
      <x:c r="G2513" s="62" t="n">
        <x:v>66.2824384273055</x:v>
      </x:c>
      <x:c r="H2513" s="29" t="str">
        <x:v>YES</x:v>
      </x:c>
      <x:c r="I2513" s="29" t="str">
        <x:v>NHPN-gated shared-boundary SCA path</x:v>
      </x:c>
      <x:c r="J2513" s="29" t="str">
        <x:v>presence does not prove operability or capacity</x:v>
      </x:c>
    </x:row>
    <x:row r="2514" ht="64.80000305175781" hidden="0" customHeight="1">
      <x:c r="A2514" s="27" t="str">
        <x:v>SCA-21</x:v>
      </x:c>
      <x:c r="B2514" s="27" t="str">
        <x:v>SCA-08</x:v>
      </x:c>
      <x:c r="C2514" s="27" t="str">
        <x:v>Rail</x:v>
      </x:c>
      <x:c r="D2514" s="27" t="str">
        <x:v>YES</x:v>
      </x:c>
      <x:c r="E2514" s="27" t="str">
        <x:v>YES</x:v>
      </x:c>
      <x:c r="F2514" s="61" t="n">
        <x:v>2700.4796682366946</x:v>
      </x:c>
      <x:c r="G2514" s="61" t="n">
        <x:v>64.57828097480993</x:v>
      </x:c>
      <x:c r="H2514" s="27" t="str">
        <x:v>YES</x:v>
      </x:c>
      <x:c r="I2514" s="27" t="str">
        <x:v>NARN shared-node topology; deployable terminal required</x:v>
      </x:c>
      <x:c r="J2514" s="27" t="str">
        <x:v>presence does not prove operability or capacity</x:v>
      </x:c>
    </x:row>
    <x:row r="2515" ht="54" hidden="0" customHeight="1">
      <x:c r="A2515" s="29" t="str">
        <x:v>SCA-21</x:v>
      </x:c>
      <x:c r="B2515" s="29" t="str">
        <x:v>SCA-08</x:v>
      </x:c>
      <x:c r="C2515" s="29" t="str">
        <x:v>Air</x:v>
      </x:c>
      <x:c r="D2515" s="29" t="str">
        <x:v>YES</x:v>
      </x:c>
      <x:c r="E2515" s="29" t="str">
        <x:v>YES</x:v>
      </x:c>
      <x:c r="F2515" s="62" t="n">
        <x:v>2185.5370503366594</x:v>
      </x:c>
      <x:c r="G2515" s="62" t="n">
        <x:v>27.36236469282563</x:v>
      </x:c>
      <x:c r="H2515" s="29" t="str">
        <x:v>YES</x:v>
      </x:c>
      <x:c r="I2515" s="29" t="str">
        <x:v>primary-airport endpoints; great-circle screen</x:v>
      </x:c>
      <x:c r="J2515" s="29" t="str">
        <x:v>presence does not prove operability or capacity</x:v>
      </x:c>
    </x:row>
    <x:row r="2516" ht="75.5999984741211" hidden="0" customHeight="1">
      <x:c r="A2516" s="27" t="str">
        <x:v>SCA-21</x:v>
      </x:c>
      <x:c r="B2516" s="27" t="str">
        <x:v>SCA-08</x:v>
      </x:c>
      <x:c r="C2516" s="27" t="str">
        <x:v>Water</x:v>
      </x:c>
      <x:c r="D2516" s="27" t="str">
        <x:v>YES</x:v>
      </x:c>
      <x:c r="E2516" s="27" t="str">
        <x:v>YES</x:v>
      </x:c>
      <x:c r="F2516" s="61" t="n">
        <x:v>10255.333948691048</x:v>
      </x:c>
      <x:c r="G2516" s="61" t="n">
        <x:v>323.00954139117283</x:v>
      </x:c>
      <x:c r="H2516" s="27" t="str">
        <x:v>NO</x:v>
      </x:c>
      <x:c r="I2516" s="27" t="str">
        <x:v>USACE waterway node topology; deployable terminal required</x:v>
      </x:c>
      <x:c r="J2516" s="27" t="str">
        <x:v>presence does not prove operability or capacity</x:v>
      </x:c>
    </x:row>
    <x:row r="2517" ht="54" hidden="0" customHeight="1">
      <x:c r="A2517" s="29" t="str">
        <x:v>SCA-21</x:v>
      </x:c>
      <x:c r="B2517" s="29" t="str">
        <x:v>SCA-09</x:v>
      </x:c>
      <x:c r="C2517" s="29" t="str">
        <x:v>Road</x:v>
      </x:c>
      <x:c r="D2517" s="29" t="str">
        <x:v>YES</x:v>
      </x:c>
      <x:c r="E2517" s="29" t="str">
        <x:v>YES</x:v>
      </x:c>
      <x:c r="F2517" s="62" t="n">
        <x:v>2969.132179236136</x:v>
      </x:c>
      <x:c r="G2517" s="62" t="n">
        <x:v>73.98422144065702</x:v>
      </x:c>
      <x:c r="H2517" s="29" t="str">
        <x:v>NO</x:v>
      </x:c>
      <x:c r="I2517" s="29" t="str">
        <x:v>NHPN-gated shared-boundary SCA path</x:v>
      </x:c>
      <x:c r="J2517" s="29" t="str">
        <x:v>presence does not prove operability or capacity</x:v>
      </x:c>
    </x:row>
    <x:row r="2518" ht="64.80000305175781" hidden="0" customHeight="1">
      <x:c r="A2518" s="27" t="str">
        <x:v>SCA-21</x:v>
      </x:c>
      <x:c r="B2518" s="27" t="str">
        <x:v>SCA-09</x:v>
      </x:c>
      <x:c r="C2518" s="27" t="str">
        <x:v>Rail</x:v>
      </x:c>
      <x:c r="D2518" s="27" t="str">
        <x:v>YES</x:v>
      </x:c>
      <x:c r="E2518" s="27" t="str">
        <x:v>YES</x:v>
      </x:c>
      <x:c r="F2518" s="61" t="n">
        <x:v>3558.336065412373</x:v>
      </x:c>
      <x:c r="G2518" s="61" t="n">
        <x:v>76.8333723630339</x:v>
      </x:c>
      <x:c r="H2518" s="27" t="str">
        <x:v>NO</x:v>
      </x:c>
      <x:c r="I2518" s="27" t="str">
        <x:v>NARN shared-node topology; deployable terminal required</x:v>
      </x:c>
      <x:c r="J2518" s="27" t="str">
        <x:v>presence does not prove operability or capacity</x:v>
      </x:c>
    </x:row>
    <x:row r="2519" ht="54" hidden="0" customHeight="1">
      <x:c r="A2519" s="29" t="str">
        <x:v>SCA-21</x:v>
      </x:c>
      <x:c r="B2519" s="29" t="str">
        <x:v>SCA-09</x:v>
      </x:c>
      <x:c r="C2519" s="29" t="str">
        <x:v>Air</x:v>
      </x:c>
      <x:c r="D2519" s="29" t="str">
        <x:v>YES</x:v>
      </x:c>
      <x:c r="E2519" s="29" t="str">
        <x:v>YES</x:v>
      </x:c>
      <x:c r="F2519" s="62" t="n">
        <x:v>2336.4429478904735</x:v>
      </x:c>
      <x:c r="G2519" s="62" t="n">
        <x:v>27.59452761213919</x:v>
      </x:c>
      <x:c r="H2519" s="29" t="str">
        <x:v>YES</x:v>
      </x:c>
      <x:c r="I2519" s="29" t="str">
        <x:v>primary-airport endpoints; great-circle screen</x:v>
      </x:c>
      <x:c r="J2519" s="29" t="str">
        <x:v>presence does not prove operability or capacity</x:v>
      </x:c>
    </x:row>
    <x:row r="2520" ht="54" hidden="0" customHeight="1">
      <x:c r="A2520" s="27" t="str">
        <x:v>SCA-21</x:v>
      </x:c>
      <x:c r="B2520" s="27" t="str">
        <x:v>SCA-09</x:v>
      </x:c>
      <x:c r="C2520" s="27" t="str">
        <x:v>Water</x:v>
      </x:c>
      <x:c r="D2520" s="27" t="str">
        <x:v>NO</x:v>
      </x:c>
      <x:c r="E2520" s="27" t="str">
        <x:v>NO</x:v>
      </x:c>
      <x:c r="F2520" s="61"/>
      <x:c r="G2520" s="61"/>
      <x:c r="H2520" s="27" t="str">
        <x:v>NO</x:v>
      </x:c>
      <x:c r="I2520" s="27" t="str">
        <x:v>no screened path</x:v>
      </x:c>
      <x:c r="J2520" s="27" t="str">
        <x:v>presence does not prove operability or capacity</x:v>
      </x:c>
    </x:row>
    <x:row r="2521" ht="54" hidden="0" customHeight="1">
      <x:c r="A2521" s="29" t="str">
        <x:v>SCA-21</x:v>
      </x:c>
      <x:c r="B2521" s="29" t="str">
        <x:v>SCA-10</x:v>
      </x:c>
      <x:c r="C2521" s="29" t="str">
        <x:v>Road</x:v>
      </x:c>
      <x:c r="D2521" s="29" t="str">
        <x:v>YES</x:v>
      </x:c>
      <x:c r="E2521" s="29" t="str">
        <x:v>YES</x:v>
      </x:c>
      <x:c r="F2521" s="62" t="n">
        <x:v>2549.313800023764</x:v>
      </x:c>
      <x:c r="G2521" s="62" t="n">
        <x:v>66.35116000043207</x:v>
      </x:c>
      <x:c r="H2521" s="29" t="str">
        <x:v>YES</x:v>
      </x:c>
      <x:c r="I2521" s="29" t="str">
        <x:v>NHPN-gated shared-boundary SCA path</x:v>
      </x:c>
      <x:c r="J2521" s="29" t="str">
        <x:v>presence does not prove operability or capacity</x:v>
      </x:c>
    </x:row>
    <x:row r="2522" ht="64.80000305175781" hidden="0" customHeight="1">
      <x:c r="A2522" s="27" t="str">
        <x:v>SCA-21</x:v>
      </x:c>
      <x:c r="B2522" s="27" t="str">
        <x:v>SCA-10</x:v>
      </x:c>
      <x:c r="C2522" s="27" t="str">
        <x:v>Rail</x:v>
      </x:c>
      <x:c r="D2522" s="27" t="str">
        <x:v>YES</x:v>
      </x:c>
      <x:c r="E2522" s="27" t="str">
        <x:v>YES</x:v>
      </x:c>
      <x:c r="F2522" s="61" t="n">
        <x:v>2704.4894226339065</x:v>
      </x:c>
      <x:c r="G2522" s="61" t="n">
        <x:v>64.63556318048438</x:v>
      </x:c>
      <x:c r="H2522" s="27" t="str">
        <x:v>YES</x:v>
      </x:c>
      <x:c r="I2522" s="27" t="str">
        <x:v>NARN shared-node topology; deployable terminal required</x:v>
      </x:c>
      <x:c r="J2522" s="27" t="str">
        <x:v>presence does not prove operability or capacity</x:v>
      </x:c>
    </x:row>
    <x:row r="2523" ht="54" hidden="0" customHeight="1">
      <x:c r="A2523" s="29" t="str">
        <x:v>SCA-21</x:v>
      </x:c>
      <x:c r="B2523" s="29" t="str">
        <x:v>SCA-10</x:v>
      </x:c>
      <x:c r="C2523" s="29" t="str">
        <x:v>Air</x:v>
      </x:c>
      <x:c r="D2523" s="29" t="str">
        <x:v>YES</x:v>
      </x:c>
      <x:c r="E2523" s="29" t="str">
        <x:v>YES</x:v>
      </x:c>
      <x:c r="F2523" s="62" t="n">
        <x:v>1936.964192038679</x:v>
      </x:c>
      <x:c r="G2523" s="62" t="n">
        <x:v>26.979944910828735</x:v>
      </x:c>
      <x:c r="H2523" s="29" t="str">
        <x:v>YES</x:v>
      </x:c>
      <x:c r="I2523" s="29" t="str">
        <x:v>primary-airport endpoints; great-circle screen</x:v>
      </x:c>
      <x:c r="J2523" s="29" t="str">
        <x:v>presence does not prove operability or capacity</x:v>
      </x:c>
    </x:row>
    <x:row r="2524" ht="54" hidden="0" customHeight="1">
      <x:c r="A2524" s="27" t="str">
        <x:v>SCA-21</x:v>
      </x:c>
      <x:c r="B2524" s="27" t="str">
        <x:v>SCA-10</x:v>
      </x:c>
      <x:c r="C2524" s="27" t="str">
        <x:v>Water</x:v>
      </x:c>
      <x:c r="D2524" s="27" t="str">
        <x:v>NO</x:v>
      </x:c>
      <x:c r="E2524" s="27" t="str">
        <x:v>NO</x:v>
      </x:c>
      <x:c r="F2524" s="61"/>
      <x:c r="G2524" s="61"/>
      <x:c r="H2524" s="27" t="str">
        <x:v>NO</x:v>
      </x:c>
      <x:c r="I2524" s="27" t="str">
        <x:v>no screened path</x:v>
      </x:c>
      <x:c r="J2524" s="27" t="str">
        <x:v>presence does not prove operability or capacity</x:v>
      </x:c>
    </x:row>
    <x:row r="2525" ht="54" hidden="0" customHeight="1">
      <x:c r="A2525" s="29" t="str">
        <x:v>SCA-21</x:v>
      </x:c>
      <x:c r="B2525" s="29" t="str">
        <x:v>SCA-11</x:v>
      </x:c>
      <x:c r="C2525" s="29" t="str">
        <x:v>Road</x:v>
      </x:c>
      <x:c r="D2525" s="29" t="str">
        <x:v>YES</x:v>
      </x:c>
      <x:c r="E2525" s="29" t="str">
        <x:v>YES</x:v>
      </x:c>
      <x:c r="F2525" s="62" t="n">
        <x:v>2602.4168905174624</x:v>
      </x:c>
      <x:c r="G2525" s="62" t="n">
        <x:v>67.31667073668113</x:v>
      </x:c>
      <x:c r="H2525" s="29" t="str">
        <x:v>YES</x:v>
      </x:c>
      <x:c r="I2525" s="29" t="str">
        <x:v>NHPN-gated shared-boundary SCA path</x:v>
      </x:c>
      <x:c r="J2525" s="29" t="str">
        <x:v>presence does not prove operability or capacity</x:v>
      </x:c>
    </x:row>
    <x:row r="2526" ht="64.80000305175781" hidden="0" customHeight="1">
      <x:c r="A2526" s="27" t="str">
        <x:v>SCA-21</x:v>
      </x:c>
      <x:c r="B2526" s="27" t="str">
        <x:v>SCA-11</x:v>
      </x:c>
      <x:c r="C2526" s="27" t="str">
        <x:v>Rail</x:v>
      </x:c>
      <x:c r="D2526" s="27" t="str">
        <x:v>YES</x:v>
      </x:c>
      <x:c r="E2526" s="27" t="str">
        <x:v>YES</x:v>
      </x:c>
      <x:c r="F2526" s="61" t="n">
        <x:v>2760.8248751576557</x:v>
      </x:c>
      <x:c r="G2526" s="61" t="n">
        <x:v>65.44035535939508</x:v>
      </x:c>
      <x:c r="H2526" s="27" t="str">
        <x:v>YES</x:v>
      </x:c>
      <x:c r="I2526" s="27" t="str">
        <x:v>NARN shared-node topology; deployable terminal required</x:v>
      </x:c>
      <x:c r="J2526" s="27" t="str">
        <x:v>presence does not prove operability or capacity</x:v>
      </x:c>
    </x:row>
    <x:row r="2527" ht="54" hidden="0" customHeight="1">
      <x:c r="A2527" s="29" t="str">
        <x:v>SCA-21</x:v>
      </x:c>
      <x:c r="B2527" s="29" t="str">
        <x:v>SCA-11</x:v>
      </x:c>
      <x:c r="C2527" s="29" t="str">
        <x:v>Air</x:v>
      </x:c>
      <x:c r="D2527" s="29" t="str">
        <x:v>YES</x:v>
      </x:c>
      <x:c r="E2527" s="29" t="str">
        <x:v>YES</x:v>
      </x:c>
      <x:c r="F2527" s="62" t="n">
        <x:v>1802.5125938753442</x:v>
      </x:c>
      <x:c r="G2527" s="62" t="n">
        <x:v>26.77309629826976</x:v>
      </x:c>
      <x:c r="H2527" s="29" t="str">
        <x:v>YES</x:v>
      </x:c>
      <x:c r="I2527" s="29" t="str">
        <x:v>primary-airport endpoints; great-circle screen</x:v>
      </x:c>
      <x:c r="J2527" s="29" t="str">
        <x:v>presence does not prove operability or capacity</x:v>
      </x:c>
    </x:row>
    <x:row r="2528" ht="54" hidden="0" customHeight="1">
      <x:c r="A2528" s="27" t="str">
        <x:v>SCA-21</x:v>
      </x:c>
      <x:c r="B2528" s="27" t="str">
        <x:v>SCA-11</x:v>
      </x:c>
      <x:c r="C2528" s="27" t="str">
        <x:v>Water</x:v>
      </x:c>
      <x:c r="D2528" s="27" t="str">
        <x:v>NO</x:v>
      </x:c>
      <x:c r="E2528" s="27" t="str">
        <x:v>NO</x:v>
      </x:c>
      <x:c r="F2528" s="61"/>
      <x:c r="G2528" s="61"/>
      <x:c r="H2528" s="27" t="str">
        <x:v>NO</x:v>
      </x:c>
      <x:c r="I2528" s="27" t="str">
        <x:v>no screened path</x:v>
      </x:c>
      <x:c r="J2528" s="27" t="str">
        <x:v>presence does not prove operability or capacity</x:v>
      </x:c>
    </x:row>
    <x:row r="2529" ht="54" hidden="0" customHeight="1">
      <x:c r="A2529" s="29" t="str">
        <x:v>SCA-21</x:v>
      </x:c>
      <x:c r="B2529" s="29" t="str">
        <x:v>SCA-12</x:v>
      </x:c>
      <x:c r="C2529" s="29" t="str">
        <x:v>Road</x:v>
      </x:c>
      <x:c r="D2529" s="29" t="str">
        <x:v>YES</x:v>
      </x:c>
      <x:c r="E2529" s="29" t="str">
        <x:v>YES</x:v>
      </x:c>
      <x:c r="F2529" s="62" t="n">
        <x:v>1873.0558377773218</x:v>
      </x:c>
      <x:c r="G2529" s="62" t="n">
        <x:v>54.055560686860396</x:v>
      </x:c>
      <x:c r="H2529" s="29" t="str">
        <x:v>YES</x:v>
      </x:c>
      <x:c r="I2529" s="29" t="str">
        <x:v>NHPN-gated shared-boundary SCA path</x:v>
      </x:c>
      <x:c r="J2529" s="29" t="str">
        <x:v>presence does not prove operability or capacity</x:v>
      </x:c>
    </x:row>
    <x:row r="2530" ht="64.80000305175781" hidden="0" customHeight="1">
      <x:c r="A2530" s="27" t="str">
        <x:v>SCA-21</x:v>
      </x:c>
      <x:c r="B2530" s="27" t="str">
        <x:v>SCA-12</x:v>
      </x:c>
      <x:c r="C2530" s="27" t="str">
        <x:v>Rail</x:v>
      </x:c>
      <x:c r="D2530" s="27" t="str">
        <x:v>YES</x:v>
      </x:c>
      <x:c r="E2530" s="27" t="str">
        <x:v>YES</x:v>
      </x:c>
      <x:c r="F2530" s="61" t="n">
        <x:v>1987.067932250724</x:v>
      </x:c>
      <x:c r="G2530" s="61" t="n">
        <x:v>54.38668474643892</x:v>
      </x:c>
      <x:c r="H2530" s="27" t="str">
        <x:v>YES</x:v>
      </x:c>
      <x:c r="I2530" s="27" t="str">
        <x:v>NARN shared-node topology; deployable terminal required</x:v>
      </x:c>
      <x:c r="J2530" s="27" t="str">
        <x:v>presence does not prove operability or capacity</x:v>
      </x:c>
    </x:row>
    <x:row r="2531" ht="54" hidden="0" customHeight="1">
      <x:c r="A2531" s="29" t="str">
        <x:v>SCA-21</x:v>
      </x:c>
      <x:c r="B2531" s="29" t="str">
        <x:v>SCA-12</x:v>
      </x:c>
      <x:c r="C2531" s="29" t="str">
        <x:v>Air</x:v>
      </x:c>
      <x:c r="D2531" s="29" t="str">
        <x:v>YES</x:v>
      </x:c>
      <x:c r="E2531" s="29" t="str">
        <x:v>YES</x:v>
      </x:c>
      <x:c r="F2531" s="62" t="n">
        <x:v>1447.017689083886</x:v>
      </x:c>
      <x:c r="G2531" s="62" t="n">
        <x:v>26.226181060129054</x:v>
      </x:c>
      <x:c r="H2531" s="29" t="str">
        <x:v>YES</x:v>
      </x:c>
      <x:c r="I2531" s="29" t="str">
        <x:v>primary-airport endpoints; great-circle screen</x:v>
      </x:c>
      <x:c r="J2531" s="29" t="str">
        <x:v>presence does not prove operability or capacity</x:v>
      </x:c>
    </x:row>
    <x:row r="2532" ht="54" hidden="0" customHeight="1">
      <x:c r="A2532" s="27" t="str">
        <x:v>SCA-21</x:v>
      </x:c>
      <x:c r="B2532" s="27" t="str">
        <x:v>SCA-12</x:v>
      </x:c>
      <x:c r="C2532" s="27" t="str">
        <x:v>Water</x:v>
      </x:c>
      <x:c r="D2532" s="27" t="str">
        <x:v>NO</x:v>
      </x:c>
      <x:c r="E2532" s="27" t="str">
        <x:v>NO</x:v>
      </x:c>
      <x:c r="F2532" s="61"/>
      <x:c r="G2532" s="61"/>
      <x:c r="H2532" s="27" t="str">
        <x:v>NO</x:v>
      </x:c>
      <x:c r="I2532" s="27" t="str">
        <x:v>no screened path</x:v>
      </x:c>
      <x:c r="J2532" s="27" t="str">
        <x:v>presence does not prove operability or capacity</x:v>
      </x:c>
    </x:row>
    <x:row r="2533" ht="54" hidden="0" customHeight="1">
      <x:c r="A2533" s="29" t="str">
        <x:v>SCA-21</x:v>
      </x:c>
      <x:c r="B2533" s="29" t="str">
        <x:v>SCA-13</x:v>
      </x:c>
      <x:c r="C2533" s="29" t="str">
        <x:v>Road</x:v>
      </x:c>
      <x:c r="D2533" s="29" t="str">
        <x:v>NO</x:v>
      </x:c>
      <x:c r="E2533" s="29" t="str">
        <x:v>NO</x:v>
      </x:c>
      <x:c r="F2533" s="62"/>
      <x:c r="G2533" s="62"/>
      <x:c r="H2533" s="29" t="str">
        <x:v>NO</x:v>
      </x:c>
      <x:c r="I2533" s="29" t="str">
        <x:v>no screened path</x:v>
      </x:c>
      <x:c r="J2533" s="29" t="str">
        <x:v>presence does not prove operability or capacity</x:v>
      </x:c>
    </x:row>
    <x:row r="2534" ht="64.80000305175781" hidden="0" customHeight="1">
      <x:c r="A2534" s="27" t="str">
        <x:v>SCA-21</x:v>
      </x:c>
      <x:c r="B2534" s="27" t="str">
        <x:v>SCA-13</x:v>
      </x:c>
      <x:c r="C2534" s="27" t="str">
        <x:v>Rail</x:v>
      </x:c>
      <x:c r="D2534" s="27" t="str">
        <x:v>YES</x:v>
      </x:c>
      <x:c r="E2534" s="27" t="str">
        <x:v>YES</x:v>
      </x:c>
      <x:c r="F2534" s="61" t="n">
        <x:v>2248.9074996092518</x:v>
      </x:c>
      <x:c r="G2534" s="61" t="n">
        <x:v>58.12724999441788</x:v>
      </x:c>
      <x:c r="H2534" s="27" t="str">
        <x:v>YES</x:v>
      </x:c>
      <x:c r="I2534" s="27" t="str">
        <x:v>NARN shared-node topology; deployable terminal required</x:v>
      </x:c>
      <x:c r="J2534" s="27" t="str">
        <x:v>presence does not prove operability or capacity</x:v>
      </x:c>
    </x:row>
    <x:row r="2535" ht="54" hidden="0" customHeight="1">
      <x:c r="A2535" s="29" t="str">
        <x:v>SCA-21</x:v>
      </x:c>
      <x:c r="B2535" s="29" t="str">
        <x:v>SCA-13</x:v>
      </x:c>
      <x:c r="C2535" s="29" t="str">
        <x:v>Air</x:v>
      </x:c>
      <x:c r="D2535" s="29" t="str">
        <x:v>YES</x:v>
      </x:c>
      <x:c r="E2535" s="29" t="str">
        <x:v>YES</x:v>
      </x:c>
      <x:c r="F2535" s="62" t="n">
        <x:v>1632.1738598152517</x:v>
      </x:c>
      <x:c r="G2535" s="62" t="n">
        <x:v>26.51103670740808</x:v>
      </x:c>
      <x:c r="H2535" s="29" t="str">
        <x:v>YES</x:v>
      </x:c>
      <x:c r="I2535" s="29" t="str">
        <x:v>primary-airport endpoints; great-circle screen</x:v>
      </x:c>
      <x:c r="J2535" s="29" t="str">
        <x:v>presence does not prove operability or capacity</x:v>
      </x:c>
    </x:row>
    <x:row r="2536" ht="75.5999984741211" hidden="0" customHeight="1">
      <x:c r="A2536" s="27" t="str">
        <x:v>SCA-21</x:v>
      </x:c>
      <x:c r="B2536" s="27" t="str">
        <x:v>SCA-13</x:v>
      </x:c>
      <x:c r="C2536" s="27" t="str">
        <x:v>Water</x:v>
      </x:c>
      <x:c r="D2536" s="27" t="str">
        <x:v>YES</x:v>
      </x:c>
      <x:c r="E2536" s="27" t="str">
        <x:v>YES</x:v>
      </x:c>
      <x:c r="F2536" s="61" t="n">
        <x:v>2504.0129185391324</x:v>
      </x:c>
      <x:c r="G2536" s="61" t="n">
        <x:v>101.54322624397521</x:v>
      </x:c>
      <x:c r="H2536" s="27" t="str">
        <x:v>NO</x:v>
      </x:c>
      <x:c r="I2536" s="27" t="str">
        <x:v>USACE waterway node topology; deployable terminal required</x:v>
      </x:c>
      <x:c r="J2536" s="27" t="str">
        <x:v>presence does not prove operability or capacity</x:v>
      </x:c>
    </x:row>
    <x:row r="2537" ht="54" hidden="0" customHeight="1">
      <x:c r="A2537" s="29" t="str">
        <x:v>SCA-21</x:v>
      </x:c>
      <x:c r="B2537" s="29" t="str">
        <x:v>SCA-14</x:v>
      </x:c>
      <x:c r="C2537" s="29" t="str">
        <x:v>Road</x:v>
      </x:c>
      <x:c r="D2537" s="29" t="str">
        <x:v>NO</x:v>
      </x:c>
      <x:c r="E2537" s="29" t="str">
        <x:v>NO</x:v>
      </x:c>
      <x:c r="F2537" s="62"/>
      <x:c r="G2537" s="62"/>
      <x:c r="H2537" s="29" t="str">
        <x:v>NO</x:v>
      </x:c>
      <x:c r="I2537" s="29" t="str">
        <x:v>no screened path</x:v>
      </x:c>
      <x:c r="J2537" s="29" t="str">
        <x:v>presence does not prove operability or capacity</x:v>
      </x:c>
    </x:row>
    <x:row r="2538" ht="64.80000305175781" hidden="0" customHeight="1">
      <x:c r="A2538" s="27" t="str">
        <x:v>SCA-21</x:v>
      </x:c>
      <x:c r="B2538" s="27" t="str">
        <x:v>SCA-14</x:v>
      </x:c>
      <x:c r="C2538" s="27" t="str">
        <x:v>Rail</x:v>
      </x:c>
      <x:c r="D2538" s="27" t="str">
        <x:v>YES</x:v>
      </x:c>
      <x:c r="E2538" s="27" t="str">
        <x:v>YES</x:v>
      </x:c>
      <x:c r="F2538" s="61" t="n">
        <x:v>2677.03712808497</x:v>
      </x:c>
      <x:c r="G2538" s="61" t="n">
        <x:v>64.243387544071</x:v>
      </x:c>
      <x:c r="H2538" s="27" t="str">
        <x:v>YES</x:v>
      </x:c>
      <x:c r="I2538" s="27" t="str">
        <x:v>NARN shared-node topology; deployable terminal required</x:v>
      </x:c>
      <x:c r="J2538" s="27" t="str">
        <x:v>presence does not prove operability or capacity</x:v>
      </x:c>
    </x:row>
    <x:row r="2539" ht="54" hidden="0" customHeight="1">
      <x:c r="A2539" s="29" t="str">
        <x:v>SCA-21</x:v>
      </x:c>
      <x:c r="B2539" s="29" t="str">
        <x:v>SCA-14</x:v>
      </x:c>
      <x:c r="C2539" s="29" t="str">
        <x:v>Air</x:v>
      </x:c>
      <x:c r="D2539" s="29" t="str">
        <x:v>YES</x:v>
      </x:c>
      <x:c r="E2539" s="29" t="str">
        <x:v>YES</x:v>
      </x:c>
      <x:c r="F2539" s="62" t="n">
        <x:v>1937.8144908211675</x:v>
      </x:c>
      <x:c r="G2539" s="62" t="n">
        <x:v>26.981253062801798</x:v>
      </x:c>
      <x:c r="H2539" s="29" t="str">
        <x:v>YES</x:v>
      </x:c>
      <x:c r="I2539" s="29" t="str">
        <x:v>primary-airport endpoints; great-circle screen</x:v>
      </x:c>
      <x:c r="J2539" s="29" t="str">
        <x:v>presence does not prove operability or capacity</x:v>
      </x:c>
    </x:row>
    <x:row r="2540" ht="75.5999984741211" hidden="0" customHeight="1">
      <x:c r="A2540" s="27" t="str">
        <x:v>SCA-21</x:v>
      </x:c>
      <x:c r="B2540" s="27" t="str">
        <x:v>SCA-14</x:v>
      </x:c>
      <x:c r="C2540" s="27" t="str">
        <x:v>Water</x:v>
      </x:c>
      <x:c r="D2540" s="27" t="str">
        <x:v>YES</x:v>
      </x:c>
      <x:c r="E2540" s="27" t="str">
        <x:v>YES</x:v>
      </x:c>
      <x:c r="F2540" s="61" t="n">
        <x:v>2684.846362645111</x:v>
      </x:c>
      <x:c r="G2540" s="61" t="n">
        <x:v>106.7098960755746</x:v>
      </x:c>
      <x:c r="H2540" s="27" t="str">
        <x:v>NO</x:v>
      </x:c>
      <x:c r="I2540" s="27" t="str">
        <x:v>USACE waterway node topology; deployable terminal required</x:v>
      </x:c>
      <x:c r="J2540" s="27" t="str">
        <x:v>presence does not prove operability or capacity</x:v>
      </x:c>
    </x:row>
    <x:row r="2541" ht="54" hidden="0" customHeight="1">
      <x:c r="A2541" s="29" t="str">
        <x:v>SCA-21</x:v>
      </x:c>
      <x:c r="B2541" s="29" t="str">
        <x:v>SCA-15</x:v>
      </x:c>
      <x:c r="C2541" s="29" t="str">
        <x:v>Road</x:v>
      </x:c>
      <x:c r="D2541" s="29" t="str">
        <x:v>YES</x:v>
      </x:c>
      <x:c r="E2541" s="29" t="str">
        <x:v>YES</x:v>
      </x:c>
      <x:c r="F2541" s="62" t="n">
        <x:v>1697.0392220530252</x:v>
      </x:c>
      <x:c r="G2541" s="62" t="n">
        <x:v>50.85525858278228</x:v>
      </x:c>
      <x:c r="H2541" s="29" t="str">
        <x:v>YES</x:v>
      </x:c>
      <x:c r="I2541" s="29" t="str">
        <x:v>NHPN-gated shared-boundary SCA path</x:v>
      </x:c>
      <x:c r="J2541" s="29" t="str">
        <x:v>presence does not prove operability or capacity</x:v>
      </x:c>
    </x:row>
    <x:row r="2542" ht="64.80000305175781" hidden="0" customHeight="1">
      <x:c r="A2542" s="27" t="str">
        <x:v>SCA-21</x:v>
      </x:c>
      <x:c r="B2542" s="27" t="str">
        <x:v>SCA-15</x:v>
      </x:c>
      <x:c r="C2542" s="27" t="str">
        <x:v>Rail</x:v>
      </x:c>
      <x:c r="D2542" s="27" t="str">
        <x:v>YES</x:v>
      </x:c>
      <x:c r="E2542" s="27" t="str">
        <x:v>YES</x:v>
      </x:c>
      <x:c r="F2542" s="61" t="n">
        <x:v>1800.337261656253</x:v>
      </x:c>
      <x:c r="G2542" s="61" t="n">
        <x:v>51.71910373794647</x:v>
      </x:c>
      <x:c r="H2542" s="27" t="str">
        <x:v>YES</x:v>
      </x:c>
      <x:c r="I2542" s="27" t="str">
        <x:v>NARN shared-node topology; deployable terminal required</x:v>
      </x:c>
      <x:c r="J2542" s="27" t="str">
        <x:v>presence does not prove operability or capacity</x:v>
      </x:c>
    </x:row>
    <x:row r="2543" ht="54" hidden="0" customHeight="1">
      <x:c r="A2543" s="29" t="str">
        <x:v>SCA-21</x:v>
      </x:c>
      <x:c r="B2543" s="29" t="str">
        <x:v>SCA-15</x:v>
      </x:c>
      <x:c r="C2543" s="29" t="str">
        <x:v>Air</x:v>
      </x:c>
      <x:c r="D2543" s="29" t="str">
        <x:v>YES</x:v>
      </x:c>
      <x:c r="E2543" s="29" t="str">
        <x:v>YES</x:v>
      </x:c>
      <x:c r="F2543" s="62" t="n">
        <x:v>1270.890588314744</x:v>
      </x:c>
      <x:c r="G2543" s="62" t="n">
        <x:v>25.95521628971499</x:v>
      </x:c>
      <x:c r="H2543" s="29" t="str">
        <x:v>YES</x:v>
      </x:c>
      <x:c r="I2543" s="29" t="str">
        <x:v>primary-airport endpoints; great-circle screen</x:v>
      </x:c>
      <x:c r="J2543" s="29" t="str">
        <x:v>presence does not prove operability or capacity</x:v>
      </x:c>
    </x:row>
    <x:row r="2544" ht="75.5999984741211" hidden="0" customHeight="1">
      <x:c r="A2544" s="27" t="str">
        <x:v>SCA-21</x:v>
      </x:c>
      <x:c r="B2544" s="27" t="str">
        <x:v>SCA-15</x:v>
      </x:c>
      <x:c r="C2544" s="27" t="str">
        <x:v>Water</x:v>
      </x:c>
      <x:c r="D2544" s="27" t="str">
        <x:v>YES</x:v>
      </x:c>
      <x:c r="E2544" s="27" t="str">
        <x:v>YES</x:v>
      </x:c>
      <x:c r="F2544" s="61" t="n">
        <x:v>1888.8784384590194</x:v>
      </x:c>
      <x:c r="G2544" s="61" t="n">
        <x:v>83.96795538454342</x:v>
      </x:c>
      <x:c r="H2544" s="27" t="str">
        <x:v>NO</x:v>
      </x:c>
      <x:c r="I2544" s="27" t="str">
        <x:v>USACE waterway node topology; deployable terminal required</x:v>
      </x:c>
      <x:c r="J2544" s="27" t="str">
        <x:v>presence does not prove operability or capacity</x:v>
      </x:c>
    </x:row>
    <x:row r="2545" ht="54" hidden="0" customHeight="1">
      <x:c r="A2545" s="29" t="str">
        <x:v>SCA-21</x:v>
      </x:c>
      <x:c r="B2545" s="29" t="str">
        <x:v>SCA-16</x:v>
      </x:c>
      <x:c r="C2545" s="29" t="str">
        <x:v>Road</x:v>
      </x:c>
      <x:c r="D2545" s="29" t="str">
        <x:v>YES</x:v>
      </x:c>
      <x:c r="E2545" s="29" t="str">
        <x:v>YES</x:v>
      </x:c>
      <x:c r="F2545" s="62" t="n">
        <x:v>1047.0125351041197</x:v>
      </x:c>
      <x:c r="G2545" s="62" t="n">
        <x:v>39.036591547347626</x:v>
      </x:c>
      <x:c r="H2545" s="29" t="str">
        <x:v>YES</x:v>
      </x:c>
      <x:c r="I2545" s="29" t="str">
        <x:v>NHPN-gated shared-boundary SCA path</x:v>
      </x:c>
      <x:c r="J2545" s="29" t="str">
        <x:v>presence does not prove operability or capacity</x:v>
      </x:c>
    </x:row>
    <x:row r="2546" ht="64.80000305175781" hidden="0" customHeight="1">
      <x:c r="A2546" s="27" t="str">
        <x:v>SCA-21</x:v>
      </x:c>
      <x:c r="B2546" s="27" t="str">
        <x:v>SCA-16</x:v>
      </x:c>
      <x:c r="C2546" s="27" t="str">
        <x:v>Rail</x:v>
      </x:c>
      <x:c r="D2546" s="27" t="str">
        <x:v>YES</x:v>
      </x:c>
      <x:c r="E2546" s="27" t="str">
        <x:v>YES</x:v>
      </x:c>
      <x:c r="F2546" s="61" t="n">
        <x:v>1110.743732893066</x:v>
      </x:c>
      <x:c r="G2546" s="61" t="n">
        <x:v>41.86776761275809</x:v>
      </x:c>
      <x:c r="H2546" s="27" t="str">
        <x:v>YES</x:v>
      </x:c>
      <x:c r="I2546" s="27" t="str">
        <x:v>NARN shared-node topology; deployable terminal required</x:v>
      </x:c>
      <x:c r="J2546" s="27" t="str">
        <x:v>presence does not prove operability or capacity</x:v>
      </x:c>
    </x:row>
    <x:row r="2547" ht="54" hidden="0" customHeight="1">
      <x:c r="A2547" s="29" t="str">
        <x:v>SCA-21</x:v>
      </x:c>
      <x:c r="B2547" s="29" t="str">
        <x:v>SCA-16</x:v>
      </x:c>
      <x:c r="C2547" s="29" t="str">
        <x:v>Air</x:v>
      </x:c>
      <x:c r="D2547" s="29" t="str">
        <x:v>YES</x:v>
      </x:c>
      <x:c r="E2547" s="29" t="str">
        <x:v>YES</x:v>
      </x:c>
      <x:c r="F2547" s="62" t="n">
        <x:v>822.1903591911682</x:v>
      </x:c>
      <x:c r="G2547" s="62" t="n">
        <x:v>25.26490824490949</x:v>
      </x:c>
      <x:c r="H2547" s="29" t="str">
        <x:v>YES</x:v>
      </x:c>
      <x:c r="I2547" s="29" t="str">
        <x:v>primary-airport endpoints; great-circle screen</x:v>
      </x:c>
      <x:c r="J2547" s="29" t="str">
        <x:v>presence does not prove operability or capacity</x:v>
      </x:c>
    </x:row>
    <x:row r="2548" ht="75.5999984741211" hidden="0" customHeight="1">
      <x:c r="A2548" s="27" t="str">
        <x:v>SCA-21</x:v>
      </x:c>
      <x:c r="B2548" s="27" t="str">
        <x:v>SCA-16</x:v>
      </x:c>
      <x:c r="C2548" s="27" t="str">
        <x:v>Water</x:v>
      </x:c>
      <x:c r="D2548" s="27" t="str">
        <x:v>YES</x:v>
      </x:c>
      <x:c r="E2548" s="27" t="str">
        <x:v>YES</x:v>
      </x:c>
      <x:c r="F2548" s="61" t="n">
        <x:v>1165.37047385502</x:v>
      </x:c>
      <x:c r="G2548" s="61" t="n">
        <x:v>63.29629925300057</x:v>
      </x:c>
      <x:c r="H2548" s="27" t="str">
        <x:v>YES</x:v>
      </x:c>
      <x:c r="I2548" s="27" t="str">
        <x:v>USACE waterway node topology; deployable terminal required</x:v>
      </x:c>
      <x:c r="J2548" s="27" t="str">
        <x:v>presence does not prove operability or capacity</x:v>
      </x:c>
    </x:row>
    <x:row r="2549" ht="54" hidden="0" customHeight="1">
      <x:c r="A2549" s="29" t="str">
        <x:v>SCA-21</x:v>
      </x:c>
      <x:c r="B2549" s="29" t="str">
        <x:v>SCA-17</x:v>
      </x:c>
      <x:c r="C2549" s="29" t="str">
        <x:v>Road</x:v>
      </x:c>
      <x:c r="D2549" s="29" t="str">
        <x:v>YES</x:v>
      </x:c>
      <x:c r="E2549" s="29" t="str">
        <x:v>YES</x:v>
      </x:c>
      <x:c r="F2549" s="62" t="n">
        <x:v>1817.36346555453</x:v>
      </x:c>
      <x:c r="G2549" s="62" t="n">
        <x:v>53.042972100991456</x:v>
      </x:c>
      <x:c r="H2549" s="29" t="str">
        <x:v>YES</x:v>
      </x:c>
      <x:c r="I2549" s="29" t="str">
        <x:v>NHPN-gated shared-boundary SCA path</x:v>
      </x:c>
      <x:c r="J2549" s="29" t="str">
        <x:v>presence does not prove operability or capacity</x:v>
      </x:c>
    </x:row>
    <x:row r="2550" ht="64.80000305175781" hidden="0" customHeight="1">
      <x:c r="A2550" s="27" t="str">
        <x:v>SCA-21</x:v>
      </x:c>
      <x:c r="B2550" s="27" t="str">
        <x:v>SCA-17</x:v>
      </x:c>
      <x:c r="C2550" s="27" t="str">
        <x:v>Rail</x:v>
      </x:c>
      <x:c r="D2550" s="27" t="str">
        <x:v>YES</x:v>
      </x:c>
      <x:c r="E2550" s="27" t="str">
        <x:v>YES</x:v>
      </x:c>
      <x:c r="F2550" s="61" t="n">
        <x:v>1927.9855895448054</x:v>
      </x:c>
      <x:c r="G2550" s="61" t="n">
        <x:v>53.542651279211505</x:v>
      </x:c>
      <x:c r="H2550" s="27" t="str">
        <x:v>YES</x:v>
      </x:c>
      <x:c r="I2550" s="27" t="str">
        <x:v>NARN shared-node topology; deployable terminal required</x:v>
      </x:c>
      <x:c r="J2550" s="27" t="str">
        <x:v>presence does not prove operability or capacity</x:v>
      </x:c>
    </x:row>
    <x:row r="2551" ht="54" hidden="0" customHeight="1">
      <x:c r="A2551" s="29" t="str">
        <x:v>SCA-21</x:v>
      </x:c>
      <x:c r="B2551" s="29" t="str">
        <x:v>SCA-17</x:v>
      </x:c>
      <x:c r="C2551" s="29" t="str">
        <x:v>Air</x:v>
      </x:c>
      <x:c r="D2551" s="29" t="str">
        <x:v>YES</x:v>
      </x:c>
      <x:c r="E2551" s="29" t="str">
        <x:v>YES</x:v>
      </x:c>
      <x:c r="F2551" s="62" t="n">
        <x:v>1461.414987169098</x:v>
      </x:c>
      <x:c r="G2551" s="62" t="n">
        <x:v>26.24833074949092</x:v>
      </x:c>
      <x:c r="H2551" s="29" t="str">
        <x:v>YES</x:v>
      </x:c>
      <x:c r="I2551" s="29" t="str">
        <x:v>primary-airport endpoints; great-circle screen</x:v>
      </x:c>
      <x:c r="J2551" s="29" t="str">
        <x:v>presence does not prove operability or capacity</x:v>
      </x:c>
    </x:row>
    <x:row r="2552" ht="75.5999984741211" hidden="0" customHeight="1">
      <x:c r="A2552" s="27" t="str">
        <x:v>SCA-21</x:v>
      </x:c>
      <x:c r="B2552" s="27" t="str">
        <x:v>SCA-17</x:v>
      </x:c>
      <x:c r="C2552" s="27" t="str">
        <x:v>Water</x:v>
      </x:c>
      <x:c r="D2552" s="27" t="str">
        <x:v>YES</x:v>
      </x:c>
      <x:c r="E2552" s="27" t="str">
        <x:v>YES</x:v>
      </x:c>
      <x:c r="F2552" s="61" t="n">
        <x:v>2022.8045529650421</x:v>
      </x:c>
      <x:c r="G2552" s="61" t="n">
        <x:v>87.7944157990012</x:v>
      </x:c>
      <x:c r="H2552" s="27" t="str">
        <x:v>NO</x:v>
      </x:c>
      <x:c r="I2552" s="27" t="str">
        <x:v>USACE waterway node topology; deployable terminal required</x:v>
      </x:c>
      <x:c r="J2552" s="27" t="str">
        <x:v>presence does not prove operability or capacity</x:v>
      </x:c>
    </x:row>
    <x:row r="2553" ht="54" hidden="0" customHeight="1">
      <x:c r="A2553" s="29" t="str">
        <x:v>SCA-21</x:v>
      </x:c>
      <x:c r="B2553" s="29" t="str">
        <x:v>SCA-18</x:v>
      </x:c>
      <x:c r="C2553" s="29" t="str">
        <x:v>Road</x:v>
      </x:c>
      <x:c r="D2553" s="29" t="str">
        <x:v>YES</x:v>
      </x:c>
      <x:c r="E2553" s="29" t="str">
        <x:v>YES</x:v>
      </x:c>
      <x:c r="F2553" s="62" t="n">
        <x:v>641.6015461058649</x:v>
      </x:c>
      <x:c r="G2553" s="62" t="n">
        <x:v>31.66548265647027</x:v>
      </x:c>
      <x:c r="H2553" s="29" t="str">
        <x:v>YES</x:v>
      </x:c>
      <x:c r="I2553" s="29" t="str">
        <x:v>NHPN-gated shared-boundary SCA path</x:v>
      </x:c>
      <x:c r="J2553" s="29" t="str">
        <x:v>presence does not prove operability or capacity</x:v>
      </x:c>
    </x:row>
    <x:row r="2554" ht="64.80000305175781" hidden="0" customHeight="1">
      <x:c r="A2554" s="27" t="str">
        <x:v>SCA-21</x:v>
      </x:c>
      <x:c r="B2554" s="27" t="str">
        <x:v>SCA-18</x:v>
      </x:c>
      <x:c r="C2554" s="27" t="str">
        <x:v>Rail</x:v>
      </x:c>
      <x:c r="D2554" s="27" t="str">
        <x:v>YES</x:v>
      </x:c>
      <x:c r="E2554" s="27" t="str">
        <x:v>YES</x:v>
      </x:c>
      <x:c r="F2554" s="61" t="n">
        <x:v>680.655553260135</x:v>
      </x:c>
      <x:c r="G2554" s="61" t="n">
        <x:v>35.72365076085907</x:v>
      </x:c>
      <x:c r="H2554" s="27" t="str">
        <x:v>YES</x:v>
      </x:c>
      <x:c r="I2554" s="27" t="str">
        <x:v>NARN shared-node topology; deployable terminal required</x:v>
      </x:c>
      <x:c r="J2554" s="27" t="str">
        <x:v>presence does not prove operability or capacity</x:v>
      </x:c>
    </x:row>
    <x:row r="2555" ht="54" hidden="0" customHeight="1">
      <x:c r="A2555" s="29" t="str">
        <x:v>SCA-21</x:v>
      </x:c>
      <x:c r="B2555" s="29" t="str">
        <x:v>SCA-18</x:v>
      </x:c>
      <x:c r="C2555" s="29" t="str">
        <x:v>Air</x:v>
      </x:c>
      <x:c r="D2555" s="29" t="str">
        <x:v>YES</x:v>
      </x:c>
      <x:c r="E2555" s="29" t="str">
        <x:v>YES</x:v>
      </x:c>
      <x:c r="F2555" s="62" t="n">
        <x:v>557.9143879181435</x:v>
      </x:c>
      <x:c r="G2555" s="62" t="n">
        <x:v>24.858329827566376</x:v>
      </x:c>
      <x:c r="H2555" s="29" t="str">
        <x:v>YES</x:v>
      </x:c>
      <x:c r="I2555" s="29" t="str">
        <x:v>primary-airport endpoints; great-circle screen</x:v>
      </x:c>
      <x:c r="J2555" s="29" t="str">
        <x:v>presence does not prove operability or capacity</x:v>
      </x:c>
    </x:row>
    <x:row r="2556" ht="75.5999984741211" hidden="0" customHeight="1">
      <x:c r="A2556" s="27" t="str">
        <x:v>SCA-21</x:v>
      </x:c>
      <x:c r="B2556" s="27" t="str">
        <x:v>SCA-18</x:v>
      </x:c>
      <x:c r="C2556" s="27" t="str">
        <x:v>Water</x:v>
      </x:c>
      <x:c r="D2556" s="27" t="str">
        <x:v>YES</x:v>
      </x:c>
      <x:c r="E2556" s="27" t="str">
        <x:v>YES</x:v>
      </x:c>
      <x:c r="F2556" s="61" t="n">
        <x:v>714.1304165352236</x:v>
      </x:c>
      <x:c r="G2556" s="61" t="n">
        <x:v>50.403726186720675</x:v>
      </x:c>
      <x:c r="H2556" s="27" t="str">
        <x:v>YES</x:v>
      </x:c>
      <x:c r="I2556" s="27" t="str">
        <x:v>USACE waterway node topology; deployable terminal required</x:v>
      </x:c>
      <x:c r="J2556" s="27" t="str">
        <x:v>presence does not prove operability or capacity</x:v>
      </x:c>
    </x:row>
    <x:row r="2557" ht="54" hidden="0" customHeight="1">
      <x:c r="A2557" s="29" t="str">
        <x:v>SCA-21</x:v>
      </x:c>
      <x:c r="B2557" s="29" t="str">
        <x:v>SCA-19</x:v>
      </x:c>
      <x:c r="C2557" s="29" t="str">
        <x:v>Road</x:v>
      </x:c>
      <x:c r="D2557" s="29" t="str">
        <x:v>YES</x:v>
      </x:c>
      <x:c r="E2557" s="29" t="str">
        <x:v>YES</x:v>
      </x:c>
      <x:c r="F2557" s="62" t="n">
        <x:v>525.5273611751038</x:v>
      </x:c>
      <x:c r="G2557" s="62" t="n">
        <x:v>29.55504293045643</x:v>
      </x:c>
      <x:c r="H2557" s="29" t="str">
        <x:v>YES</x:v>
      </x:c>
      <x:c r="I2557" s="29" t="str">
        <x:v>NHPN-gated shared-boundary SCA path</x:v>
      </x:c>
      <x:c r="J2557" s="29" t="str">
        <x:v>presence does not prove operability or capacity</x:v>
      </x:c>
    </x:row>
    <x:row r="2558" ht="64.80000305175781" hidden="0" customHeight="1">
      <x:c r="A2558" s="27" t="str">
        <x:v>SCA-21</x:v>
      </x:c>
      <x:c r="B2558" s="27" t="str">
        <x:v>SCA-19</x:v>
      </x:c>
      <x:c r="C2558" s="27" t="str">
        <x:v>Rail</x:v>
      </x:c>
      <x:c r="D2558" s="27" t="str">
        <x:v>YES</x:v>
      </x:c>
      <x:c r="E2558" s="27" t="str">
        <x:v>YES</x:v>
      </x:c>
      <x:c r="F2558" s="61" t="n">
        <x:v>557.5159831596751</x:v>
      </x:c>
      <x:c r="G2558" s="61" t="n">
        <x:v>33.964514045138216</x:v>
      </x:c>
      <x:c r="H2558" s="27" t="str">
        <x:v>YES</x:v>
      </x:c>
      <x:c r="I2558" s="27" t="str">
        <x:v>NARN shared-node topology; deployable terminal required</x:v>
      </x:c>
      <x:c r="J2558" s="27" t="str">
        <x:v>presence does not prove operability or capacity</x:v>
      </x:c>
    </x:row>
    <x:row r="2559" ht="54" hidden="0" customHeight="1">
      <x:c r="A2559" s="29" t="str">
        <x:v>SCA-21</x:v>
      </x:c>
      <x:c r="B2559" s="29" t="str">
        <x:v>SCA-19</x:v>
      </x:c>
      <x:c r="C2559" s="29" t="str">
        <x:v>Air</x:v>
      </x:c>
      <x:c r="D2559" s="29" t="str">
        <x:v>YES</x:v>
      </x:c>
      <x:c r="E2559" s="29" t="str">
        <x:v>YES</x:v>
      </x:c>
      <x:c r="F2559" s="62" t="n">
        <x:v>456.9803140653075</x:v>
      </x:c>
      <x:c r="G2559" s="62" t="n">
        <x:v>24.70304663702355</x:v>
      </x:c>
      <x:c r="H2559" s="29" t="str">
        <x:v>YES</x:v>
      </x:c>
      <x:c r="I2559" s="29" t="str">
        <x:v>primary-airport endpoints; great-circle screen</x:v>
      </x:c>
      <x:c r="J2559" s="29" t="str">
        <x:v>presence does not prove operability or capacity</x:v>
      </x:c>
    </x:row>
    <x:row r="2560" ht="75.5999984741211" hidden="0" customHeight="1">
      <x:c r="A2560" s="27" t="str">
        <x:v>SCA-21</x:v>
      </x:c>
      <x:c r="B2560" s="27" t="str">
        <x:v>SCA-19</x:v>
      </x:c>
      <x:c r="C2560" s="27" t="str">
        <x:v>Water</x:v>
      </x:c>
      <x:c r="D2560" s="27" t="str">
        <x:v>YES</x:v>
      </x:c>
      <x:c r="E2560" s="27" t="str">
        <x:v>YES</x:v>
      </x:c>
      <x:c r="F2560" s="61" t="n">
        <x:v>584.9348020035936</x:v>
      </x:c>
      <x:c r="G2560" s="61" t="n">
        <x:v>46.71242291438839</x:v>
      </x:c>
      <x:c r="H2560" s="27" t="str">
        <x:v>YES</x:v>
      </x:c>
      <x:c r="I2560" s="27" t="str">
        <x:v>USACE waterway node topology; deployable terminal required</x:v>
      </x:c>
      <x:c r="J2560" s="27" t="str">
        <x:v>presence does not prove operability or capacity</x:v>
      </x:c>
    </x:row>
    <x:row r="2561" ht="54" hidden="0" customHeight="1">
      <x:c r="A2561" s="29" t="str">
        <x:v>SCA-21</x:v>
      </x:c>
      <x:c r="B2561" s="29" t="str">
        <x:v>SCA-20</x:v>
      </x:c>
      <x:c r="C2561" s="29" t="str">
        <x:v>Road</x:v>
      </x:c>
      <x:c r="D2561" s="29" t="str">
        <x:v>YES</x:v>
      </x:c>
      <x:c r="E2561" s="29" t="str">
        <x:v>YES</x:v>
      </x:c>
      <x:c r="F2561" s="62" t="n">
        <x:v>1127.0734409908964</x:v>
      </x:c>
      <x:c r="G2561" s="62" t="n">
        <x:v>40.49224438165266</x:v>
      </x:c>
      <x:c r="H2561" s="29" t="str">
        <x:v>YES</x:v>
      </x:c>
      <x:c r="I2561" s="29" t="str">
        <x:v>NHPN-gated shared-boundary SCA path</x:v>
      </x:c>
      <x:c r="J2561" s="29" t="str">
        <x:v>presence does not prove operability or capacity</x:v>
      </x:c>
    </x:row>
    <x:row r="2562" ht="64.80000305175781" hidden="0" customHeight="1">
      <x:c r="A2562" s="27" t="str">
        <x:v>SCA-21</x:v>
      </x:c>
      <x:c r="B2562" s="27" t="str">
        <x:v>SCA-20</x:v>
      </x:c>
      <x:c r="C2562" s="27" t="str">
        <x:v>Rail</x:v>
      </x:c>
      <x:c r="D2562" s="27" t="str">
        <x:v>YES</x:v>
      </x:c>
      <x:c r="E2562" s="27" t="str">
        <x:v>YES</x:v>
      </x:c>
      <x:c r="F2562" s="61" t="n">
        <x:v>1195.6779113120815</x:v>
      </x:c>
      <x:c r="G2562" s="61" t="n">
        <x:v>43.08111301874402</x:v>
      </x:c>
      <x:c r="H2562" s="27" t="str">
        <x:v>YES</x:v>
      </x:c>
      <x:c r="I2562" s="27" t="str">
        <x:v>NARN shared-node topology; deployable terminal required</x:v>
      </x:c>
      <x:c r="J2562" s="27" t="str">
        <x:v>presence does not prove operability or capacity</x:v>
      </x:c>
    </x:row>
    <x:row r="2563" ht="54" hidden="0" customHeight="1">
      <x:c r="A2563" s="29" t="str">
        <x:v>SCA-21</x:v>
      </x:c>
      <x:c r="B2563" s="29" t="str">
        <x:v>SCA-20</x:v>
      </x:c>
      <x:c r="C2563" s="29" t="str">
        <x:v>Air</x:v>
      </x:c>
      <x:c r="D2563" s="29" t="str">
        <x:v>YES</x:v>
      </x:c>
      <x:c r="E2563" s="29" t="str">
        <x:v>YES</x:v>
      </x:c>
      <x:c r="F2563" s="62" t="n">
        <x:v>917.7978123021429</x:v>
      </x:c>
      <x:c r="G2563" s="62" t="n">
        <x:v>25.411996634310988</x:v>
      </x:c>
      <x:c r="H2563" s="29" t="str">
        <x:v>YES</x:v>
      </x:c>
      <x:c r="I2563" s="29" t="str">
        <x:v>primary-airport endpoints; great-circle screen</x:v>
      </x:c>
      <x:c r="J2563" s="29" t="str">
        <x:v>presence does not prove operability or capacity</x:v>
      </x:c>
    </x:row>
    <x:row r="2564" ht="75.5999984741211" hidden="0" customHeight="1">
      <x:c r="A2564" s="27" t="str">
        <x:v>SCA-21</x:v>
      </x:c>
      <x:c r="B2564" s="27" t="str">
        <x:v>SCA-20</x:v>
      </x:c>
      <x:c r="C2564" s="27" t="str">
        <x:v>Water</x:v>
      </x:c>
      <x:c r="D2564" s="27" t="str">
        <x:v>YES</x:v>
      </x:c>
      <x:c r="E2564" s="27" t="str">
        <x:v>YES</x:v>
      </x:c>
      <x:c r="F2564" s="61" t="n">
        <x:v>1254.4817430159546</x:v>
      </x:c>
      <x:c r="G2564" s="61" t="n">
        <x:v>65.84233551474156</x:v>
      </x:c>
      <x:c r="H2564" s="27" t="str">
        <x:v>YES</x:v>
      </x:c>
      <x:c r="I2564" s="27" t="str">
        <x:v>USACE waterway node topology; deployable terminal required</x:v>
      </x:c>
      <x:c r="J2564" s="27" t="str">
        <x:v>presence does not prove operability or capacity</x:v>
      </x:c>
    </x:row>
    <x:row r="2565" ht="54" hidden="0" customHeight="1">
      <x:c r="A2565" s="29" t="str">
        <x:v>SCA-21</x:v>
      </x:c>
      <x:c r="B2565" s="29" t="str">
        <x:v>SCA-22</x:v>
      </x:c>
      <x:c r="C2565" s="29" t="str">
        <x:v>Road</x:v>
      </x:c>
      <x:c r="D2565" s="29" t="str">
        <x:v>YES</x:v>
      </x:c>
      <x:c r="E2565" s="29" t="str">
        <x:v>YES</x:v>
      </x:c>
      <x:c r="F2565" s="62" t="n">
        <x:v>549.329737241581</x:v>
      </x:c>
      <x:c r="G2565" s="62" t="n">
        <x:v>29.987813404392384</x:v>
      </x:c>
      <x:c r="H2565" s="29" t="str">
        <x:v>YES</x:v>
      </x:c>
      <x:c r="I2565" s="29" t="str">
        <x:v>NHPN-gated shared-boundary SCA path</x:v>
      </x:c>
      <x:c r="J2565" s="29" t="str">
        <x:v>presence does not prove operability or capacity</x:v>
      </x:c>
    </x:row>
    <x:row r="2566" ht="64.80000305175781" hidden="0" customHeight="1">
      <x:c r="A2566" s="27" t="str">
        <x:v>SCA-21</x:v>
      </x:c>
      <x:c r="B2566" s="27" t="str">
        <x:v>SCA-22</x:v>
      </x:c>
      <x:c r="C2566" s="27" t="str">
        <x:v>Rail</x:v>
      </x:c>
      <x:c r="D2566" s="27" t="str">
        <x:v>YES</x:v>
      </x:c>
      <x:c r="E2566" s="27" t="str">
        <x:v>YES</x:v>
      </x:c>
      <x:c r="F2566" s="61" t="n">
        <x:v>582.7671995084598</x:v>
      </x:c>
      <x:c r="G2566" s="61" t="n">
        <x:v>34.32524570726371</x:v>
      </x:c>
      <x:c r="H2566" s="27" t="str">
        <x:v>YES</x:v>
      </x:c>
      <x:c r="I2566" s="27" t="str">
        <x:v>NARN shared-node topology; deployable terminal required</x:v>
      </x:c>
      <x:c r="J2566" s="27" t="str">
        <x:v>presence does not prove operability or capacity</x:v>
      </x:c>
    </x:row>
    <x:row r="2567" ht="54" hidden="0" customHeight="1">
      <x:c r="A2567" s="29" t="str">
        <x:v>SCA-21</x:v>
      </x:c>
      <x:c r="B2567" s="29" t="str">
        <x:v>SCA-22</x:v>
      </x:c>
      <x:c r="C2567" s="29" t="str">
        <x:v>Air</x:v>
      </x:c>
      <x:c r="D2567" s="29" t="str">
        <x:v>YES</x:v>
      </x:c>
      <x:c r="E2567" s="29" t="str">
        <x:v>YES</x:v>
      </x:c>
      <x:c r="F2567" s="62" t="n">
        <x:v>477.6780323839835</x:v>
      </x:c>
      <x:c r="G2567" s="62" t="n">
        <x:v>24.734889280590743</x:v>
      </x:c>
      <x:c r="H2567" s="29" t="str">
        <x:v>YES</x:v>
      </x:c>
      <x:c r="I2567" s="29" t="str">
        <x:v>primary-airport endpoints; great-circle screen</x:v>
      </x:c>
      <x:c r="J2567" s="29" t="str">
        <x:v>presence does not prove operability or capacity</x:v>
      </x:c>
    </x:row>
    <x:row r="2568" ht="75.5999984741211" hidden="0" customHeight="1">
      <x:c r="A2568" s="27" t="str">
        <x:v>SCA-21</x:v>
      </x:c>
      <x:c r="B2568" s="27" t="str">
        <x:v>SCA-22</x:v>
      </x:c>
      <x:c r="C2568" s="27" t="str">
        <x:v>Water</x:v>
      </x:c>
      <x:c r="D2568" s="27" t="str">
        <x:v>YES</x:v>
      </x:c>
      <x:c r="E2568" s="27" t="str">
        <x:v>YES</x:v>
      </x:c>
      <x:c r="F2568" s="61" t="n">
        <x:v>1205.5485128742207</x:v>
      </x:c>
      <x:c r="G2568" s="61" t="n">
        <x:v>64.44424322497773</x:v>
      </x:c>
      <x:c r="H2568" s="27" t="str">
        <x:v>YES</x:v>
      </x:c>
      <x:c r="I2568" s="27" t="str">
        <x:v>USACE waterway node topology; deployable terminal required</x:v>
      </x:c>
      <x:c r="J2568" s="27" t="str">
        <x:v>presence does not prove operability or capacity</x:v>
      </x:c>
    </x:row>
    <x:row r="2569" ht="54" hidden="0" customHeight="1">
      <x:c r="A2569" s="29" t="str">
        <x:v>SCA-21</x:v>
      </x:c>
      <x:c r="B2569" s="29" t="str">
        <x:v>SCA-23</x:v>
      </x:c>
      <x:c r="C2569" s="29" t="str">
        <x:v>Road</x:v>
      </x:c>
      <x:c r="D2569" s="29" t="str">
        <x:v>YES</x:v>
      </x:c>
      <x:c r="E2569" s="29" t="str">
        <x:v>YES</x:v>
      </x:c>
      <x:c r="F2569" s="62" t="n">
        <x:v>1138.2426304250166</x:v>
      </x:c>
      <x:c r="G2569" s="62" t="n">
        <x:v>40.69532055318212</x:v>
      </x:c>
      <x:c r="H2569" s="29" t="str">
        <x:v>YES</x:v>
      </x:c>
      <x:c r="I2569" s="29" t="str">
        <x:v>NHPN-gated shared-boundary SCA path</x:v>
      </x:c>
      <x:c r="J2569" s="29" t="str">
        <x:v>presence does not prove operability or capacity</x:v>
      </x:c>
    </x:row>
    <x:row r="2570" ht="64.80000305175781" hidden="0" customHeight="1">
      <x:c r="A2570" s="27" t="str">
        <x:v>SCA-21</x:v>
      </x:c>
      <x:c r="B2570" s="27" t="str">
        <x:v>SCA-23</x:v>
      </x:c>
      <x:c r="C2570" s="27" t="str">
        <x:v>Rail</x:v>
      </x:c>
      <x:c r="D2570" s="27" t="str">
        <x:v>YES</x:v>
      </x:c>
      <x:c r="E2570" s="27" t="str">
        <x:v>YES</x:v>
      </x:c>
      <x:c r="F2570" s="61" t="n">
        <x:v>1207.5269644508871</x:v>
      </x:c>
      <x:c r="G2570" s="61" t="n">
        <x:v>43.250385206441244</x:v>
      </x:c>
      <x:c r="H2570" s="27" t="str">
        <x:v>YES</x:v>
      </x:c>
      <x:c r="I2570" s="27" t="str">
        <x:v>NARN shared-node topology; deployable terminal required</x:v>
      </x:c>
      <x:c r="J2570" s="27" t="str">
        <x:v>presence does not prove operability or capacity</x:v>
      </x:c>
    </x:row>
    <x:row r="2571" ht="54" hidden="0" customHeight="1">
      <x:c r="A2571" s="29" t="str">
        <x:v>SCA-21</x:v>
      </x:c>
      <x:c r="B2571" s="29" t="str">
        <x:v>SCA-23</x:v>
      </x:c>
      <x:c r="C2571" s="29" t="str">
        <x:v>Air</x:v>
      </x:c>
      <x:c r="D2571" s="29" t="str">
        <x:v>YES</x:v>
      </x:c>
      <x:c r="E2571" s="29" t="str">
        <x:v>YES</x:v>
      </x:c>
      <x:c r="F2571" s="62" t="n">
        <x:v>976.7177217877312</x:v>
      </x:c>
      <x:c r="G2571" s="62" t="n">
        <x:v>25.502642648904203</x:v>
      </x:c>
      <x:c r="H2571" s="29" t="str">
        <x:v>YES</x:v>
      </x:c>
      <x:c r="I2571" s="29" t="str">
        <x:v>primary-airport endpoints; great-circle screen</x:v>
      </x:c>
      <x:c r="J2571" s="29" t="str">
        <x:v>presence does not prove operability or capacity</x:v>
      </x:c>
    </x:row>
    <x:row r="2572" ht="75.5999984741211" hidden="0" customHeight="1">
      <x:c r="A2572" s="27" t="str">
        <x:v>SCA-21</x:v>
      </x:c>
      <x:c r="B2572" s="27" t="str">
        <x:v>SCA-23</x:v>
      </x:c>
      <x:c r="C2572" s="27" t="str">
        <x:v>Water</x:v>
      </x:c>
      <x:c r="D2572" s="27" t="str">
        <x:v>YES</x:v>
      </x:c>
      <x:c r="E2572" s="27" t="str">
        <x:v>YES</x:v>
      </x:c>
      <x:c r="F2572" s="61" t="n">
        <x:v>1899.4893187785374</x:v>
      </x:c>
      <x:c r="G2572" s="61" t="n">
        <x:v>84.2711233936725</x:v>
      </x:c>
      <x:c r="H2572" s="27" t="str">
        <x:v>NO</x:v>
      </x:c>
      <x:c r="I2572" s="27" t="str">
        <x:v>USACE waterway node topology; deployable terminal required</x:v>
      </x:c>
      <x:c r="J2572" s="27" t="str">
        <x:v>presence does not prove operability or capacity</x:v>
      </x:c>
    </x:row>
    <x:row r="2573" ht="54" hidden="0" customHeight="1">
      <x:c r="A2573" s="29" t="str">
        <x:v>SCA-21</x:v>
      </x:c>
      <x:c r="B2573" s="29" t="str">
        <x:v>SCA-24</x:v>
      </x:c>
      <x:c r="C2573" s="29" t="str">
        <x:v>Road</x:v>
      </x:c>
      <x:c r="D2573" s="29" t="str">
        <x:v>YES</x:v>
      </x:c>
      <x:c r="E2573" s="29" t="str">
        <x:v>YES</x:v>
      </x:c>
      <x:c r="F2573" s="62" t="n">
        <x:v>397.24005316303743</x:v>
      </x:c>
      <x:c r="G2573" s="62" t="n">
        <x:v>27.222546421146134</x:v>
      </x:c>
      <x:c r="H2573" s="29" t="str">
        <x:v>YES</x:v>
      </x:c>
      <x:c r="I2573" s="29" t="str">
        <x:v>NHPN-gated shared-boundary SCA path</x:v>
      </x:c>
      <x:c r="J2573" s="29" t="str">
        <x:v>presence does not prove operability or capacity</x:v>
      </x:c>
    </x:row>
    <x:row r="2574" ht="64.80000305175781" hidden="0" customHeight="1">
      <x:c r="A2574" s="27" t="str">
        <x:v>SCA-21</x:v>
      </x:c>
      <x:c r="B2574" s="27" t="str">
        <x:v>SCA-24</x:v>
      </x:c>
      <x:c r="C2574" s="27" t="str">
        <x:v>Rail</x:v>
      </x:c>
      <x:c r="D2574" s="27" t="str">
        <x:v>YES</x:v>
      </x:c>
      <x:c r="E2574" s="27" t="str">
        <x:v>YES</x:v>
      </x:c>
      <x:c r="F2574" s="61" t="n">
        <x:v>421.41988248600495</x:v>
      </x:c>
      <x:c r="G2574" s="61" t="n">
        <x:v>32.02028403551436</x:v>
      </x:c>
      <x:c r="H2574" s="27" t="str">
        <x:v>YES</x:v>
      </x:c>
      <x:c r="I2574" s="27" t="str">
        <x:v>NARN shared-node topology; deployable terminal required</x:v>
      </x:c>
      <x:c r="J2574" s="27" t="str">
        <x:v>presence does not prove operability or capacity</x:v>
      </x:c>
    </x:row>
    <x:row r="2575" ht="54" hidden="0" customHeight="1">
      <x:c r="A2575" s="29" t="str">
        <x:v>SCA-21</x:v>
      </x:c>
      <x:c r="B2575" s="29" t="str">
        <x:v>SCA-24</x:v>
      </x:c>
      <x:c r="C2575" s="29" t="str">
        <x:v>Air</x:v>
      </x:c>
      <x:c r="D2575" s="29" t="str">
        <x:v>YES</x:v>
      </x:c>
      <x:c r="E2575" s="29" t="str">
        <x:v>YES</x:v>
      </x:c>
      <x:c r="F2575" s="62" t="n">
        <x:v>345.42613318524997</x:v>
      </x:c>
      <x:c r="G2575" s="62" t="n">
        <x:v>24.531424820285</x:v>
      </x:c>
      <x:c r="H2575" s="29" t="str">
        <x:v>YES</x:v>
      </x:c>
      <x:c r="I2575" s="29" t="str">
        <x:v>primary-airport endpoints; great-circle screen</x:v>
      </x:c>
      <x:c r="J2575" s="29" t="str">
        <x:v>presence does not prove operability or capacity</x:v>
      </x:c>
    </x:row>
    <x:row r="2576" ht="75.5999984741211" hidden="0" customHeight="1">
      <x:c r="A2576" s="27" t="str">
        <x:v>SCA-21</x:v>
      </x:c>
      <x:c r="B2576" s="27" t="str">
        <x:v>SCA-24</x:v>
      </x:c>
      <x:c r="C2576" s="27" t="str">
        <x:v>Water</x:v>
      </x:c>
      <x:c r="D2576" s="27" t="str">
        <x:v>YES</x:v>
      </x:c>
      <x:c r="E2576" s="27" t="str">
        <x:v>YES</x:v>
      </x:c>
      <x:c r="F2576" s="61" t="n">
        <x:v>442.14545047712</x:v>
      </x:c>
      <x:c r="G2576" s="61" t="n">
        <x:v>42.63272715648914</x:v>
      </x:c>
      <x:c r="H2576" s="27" t="str">
        <x:v>YES</x:v>
      </x:c>
      <x:c r="I2576" s="27" t="str">
        <x:v>USACE waterway node topology; deployable terminal required</x:v>
      </x:c>
      <x:c r="J2576" s="27" t="str">
        <x:v>presence does not prove operability or capacity</x:v>
      </x:c>
    </x:row>
    <x:row r="2577" ht="54" hidden="0" customHeight="1">
      <x:c r="A2577" s="29" t="str">
        <x:v>SCA-21</x:v>
      </x:c>
      <x:c r="B2577" s="29" t="str">
        <x:v>SCA-25</x:v>
      </x:c>
      <x:c r="C2577" s="29" t="str">
        <x:v>Road</x:v>
      </x:c>
      <x:c r="D2577" s="29" t="str">
        <x:v>YES</x:v>
      </x:c>
      <x:c r="E2577" s="29" t="str">
        <x:v>YES</x:v>
      </x:c>
      <x:c r="F2577" s="62" t="n">
        <x:v>1632.826810344456</x:v>
      </x:c>
      <x:c r="G2577" s="62" t="n">
        <x:v>49.687760188081015</x:v>
      </x:c>
      <x:c r="H2577" s="29" t="str">
        <x:v>YES</x:v>
      </x:c>
      <x:c r="I2577" s="29" t="str">
        <x:v>NHPN-gated shared-boundary SCA path</x:v>
      </x:c>
      <x:c r="J2577" s="29" t="str">
        <x:v>presence does not prove operability or capacity</x:v>
      </x:c>
    </x:row>
    <x:row r="2578" ht="64.80000305175781" hidden="0" customHeight="1">
      <x:c r="A2578" s="27" t="str">
        <x:v>SCA-21</x:v>
      </x:c>
      <x:c r="B2578" s="27" t="str">
        <x:v>SCA-25</x:v>
      </x:c>
      <x:c r="C2578" s="27" t="str">
        <x:v>Rail</x:v>
      </x:c>
      <x:c r="D2578" s="27" t="str">
        <x:v>YES</x:v>
      </x:c>
      <x:c r="E2578" s="27" t="str">
        <x:v>YES</x:v>
      </x:c>
      <x:c r="F2578" s="61" t="n">
        <x:v>1732.216268365423</x:v>
      </x:c>
      <x:c r="G2578" s="61" t="n">
        <x:v>50.745946690934616</x:v>
      </x:c>
      <x:c r="H2578" s="27" t="str">
        <x:v>YES</x:v>
      </x:c>
      <x:c r="I2578" s="27" t="str">
        <x:v>NARN shared-node topology; deployable terminal required</x:v>
      </x:c>
      <x:c r="J2578" s="27" t="str">
        <x:v>presence does not prove operability or capacity</x:v>
      </x:c>
    </x:row>
    <x:row r="2579" ht="54" hidden="0" customHeight="1">
      <x:c r="A2579" s="29" t="str">
        <x:v>SCA-21</x:v>
      </x:c>
      <x:c r="B2579" s="29" t="str">
        <x:v>SCA-25</x:v>
      </x:c>
      <x:c r="C2579" s="29" t="str">
        <x:v>Air</x:v>
      </x:c>
      <x:c r="D2579" s="29" t="str">
        <x:v>YES</x:v>
      </x:c>
      <x:c r="E2579" s="29" t="str">
        <x:v>YES</x:v>
      </x:c>
      <x:c r="F2579" s="62" t="n">
        <x:v>1394.0618843360046</x:v>
      </x:c>
      <x:c r="G2579" s="62" t="n">
        <x:v>26.14471059128616</x:v>
      </x:c>
      <x:c r="H2579" s="29" t="str">
        <x:v>YES</x:v>
      </x:c>
      <x:c r="I2579" s="29" t="str">
        <x:v>primary-airport endpoints; great-circle screen</x:v>
      </x:c>
      <x:c r="J2579" s="29" t="str">
        <x:v>presence does not prove operability or capacity</x:v>
      </x:c>
    </x:row>
    <x:row r="2580" ht="75.5999984741211" hidden="0" customHeight="1">
      <x:c r="A2580" s="27" t="str">
        <x:v>SCA-21</x:v>
      </x:c>
      <x:c r="B2580" s="27" t="str">
        <x:v>SCA-25</x:v>
      </x:c>
      <x:c r="C2580" s="27" t="str">
        <x:v>Water</x:v>
      </x:c>
      <x:c r="D2580" s="27" t="str">
        <x:v>YES</x:v>
      </x:c>
      <x:c r="E2580" s="27" t="str">
        <x:v>YES</x:v>
      </x:c>
      <x:c r="F2580" s="61" t="n">
        <x:v>2331.4866783677307</x:v>
      </x:c>
      <x:c r="G2580" s="61" t="n">
        <x:v>96.61390509622088</x:v>
      </x:c>
      <x:c r="H2580" s="27" t="str">
        <x:v>NO</x:v>
      </x:c>
      <x:c r="I2580" s="27" t="str">
        <x:v>USACE waterway node topology; deployable terminal required</x:v>
      </x:c>
      <x:c r="J2580" s="27" t="str">
        <x:v>presence does not prove operability or capacity</x:v>
      </x:c>
    </x:row>
    <x:row r="2581" ht="54" hidden="0" customHeight="1">
      <x:c r="A2581" s="29" t="str">
        <x:v>SCA-21</x:v>
      </x:c>
      <x:c r="B2581" s="29" t="str">
        <x:v>SCA-26</x:v>
      </x:c>
      <x:c r="C2581" s="29" t="str">
        <x:v>Road</x:v>
      </x:c>
      <x:c r="D2581" s="29" t="str">
        <x:v>YES</x:v>
      </x:c>
      <x:c r="E2581" s="29" t="str">
        <x:v>YES</x:v>
      </x:c>
      <x:c r="F2581" s="62" t="n">
        <x:v>1961.3262661092783</x:v>
      </x:c>
      <x:c r="G2581" s="62" t="n">
        <x:v>55.66047756562324</x:v>
      </x:c>
      <x:c r="H2581" s="29" t="str">
        <x:v>YES</x:v>
      </x:c>
      <x:c r="I2581" s="29" t="str">
        <x:v>NHPN-gated shared-boundary SCA path</x:v>
      </x:c>
      <x:c r="J2581" s="29" t="str">
        <x:v>presence does not prove operability or capacity</x:v>
      </x:c>
    </x:row>
    <x:row r="2582" ht="64.80000305175781" hidden="0" customHeight="1">
      <x:c r="A2582" s="27" t="str">
        <x:v>SCA-21</x:v>
      </x:c>
      <x:c r="B2582" s="27" t="str">
        <x:v>SCA-26</x:v>
      </x:c>
      <x:c r="C2582" s="27" t="str">
        <x:v>Rail</x:v>
      </x:c>
      <x:c r="D2582" s="27" t="str">
        <x:v>YES</x:v>
      </x:c>
      <x:c r="E2582" s="27" t="str">
        <x:v>YES</x:v>
      </x:c>
      <x:c r="F2582" s="61" t="n">
        <x:v>2080.7113431767993</x:v>
      </x:c>
      <x:c r="G2582" s="61" t="n">
        <x:v>55.724447759668564</x:v>
      </x:c>
      <x:c r="H2582" s="27" t="str">
        <x:v>YES</x:v>
      </x:c>
      <x:c r="I2582" s="27" t="str">
        <x:v>NARN shared-node topology; deployable terminal required</x:v>
      </x:c>
      <x:c r="J2582" s="27" t="str">
        <x:v>presence does not prove operability or capacity</x:v>
      </x:c>
    </x:row>
    <x:row r="2583" ht="54" hidden="0" customHeight="1">
      <x:c r="A2583" s="29" t="str">
        <x:v>SCA-21</x:v>
      </x:c>
      <x:c r="B2583" s="29" t="str">
        <x:v>SCA-26</x:v>
      </x:c>
      <x:c r="C2583" s="29" t="str">
        <x:v>Air</x:v>
      </x:c>
      <x:c r="D2583" s="29" t="str">
        <x:v>YES</x:v>
      </x:c>
      <x:c r="E2583" s="29" t="str">
        <x:v>YES</x:v>
      </x:c>
      <x:c r="F2583" s="62" t="n">
        <x:v>1670.369431152733</x:v>
      </x:c>
      <x:c r="G2583" s="62" t="n">
        <x:v>26.56979912485036</x:v>
      </x:c>
      <x:c r="H2583" s="29" t="str">
        <x:v>YES</x:v>
      </x:c>
      <x:c r="I2583" s="29" t="str">
        <x:v>primary-airport endpoints; great-circle screen</x:v>
      </x:c>
      <x:c r="J2583" s="29" t="str">
        <x:v>presence does not prove operability or capacity</x:v>
      </x:c>
    </x:row>
    <x:row r="2584" ht="75.5999984741211" hidden="0" customHeight="1">
      <x:c r="A2584" s="27" t="str">
        <x:v>SCA-21</x:v>
      </x:c>
      <x:c r="B2584" s="27" t="str">
        <x:v>SCA-26</x:v>
      </x:c>
      <x:c r="C2584" s="27" t="str">
        <x:v>Water</x:v>
      </x:c>
      <x:c r="D2584" s="27" t="str">
        <x:v>YES</x:v>
      </x:c>
      <x:c r="E2584" s="27" t="str">
        <x:v>YES</x:v>
      </x:c>
      <x:c r="F2584" s="61" t="n">
        <x:v>2697.120855219011</x:v>
      </x:c>
      <x:c r="G2584" s="61" t="n">
        <x:v>107.06059586340031</x:v>
      </x:c>
      <x:c r="H2584" s="27" t="str">
        <x:v>NO</x:v>
      </x:c>
      <x:c r="I2584" s="27" t="str">
        <x:v>USACE waterway node topology; deployable terminal required</x:v>
      </x:c>
      <x:c r="J2584" s="27" t="str">
        <x:v>presence does not prove operability or capacity</x:v>
      </x:c>
    </x:row>
    <x:row r="2585" ht="54" hidden="0" customHeight="1">
      <x:c r="A2585" s="29" t="str">
        <x:v>SCA-21</x:v>
      </x:c>
      <x:c r="B2585" s="29" t="str">
        <x:v>SCA-27</x:v>
      </x:c>
      <x:c r="C2585" s="29" t="str">
        <x:v>Road</x:v>
      </x:c>
      <x:c r="D2585" s="29" t="str">
        <x:v>YES</x:v>
      </x:c>
      <x:c r="E2585" s="29" t="str">
        <x:v>YES</x:v>
      </x:c>
      <x:c r="F2585" s="62" t="n">
        <x:v>2240.954530228827</x:v>
      </x:c>
      <x:c r="G2585" s="62" t="n">
        <x:v>60.74462782234231</x:v>
      </x:c>
      <x:c r="H2585" s="29" t="str">
        <x:v>YES</x:v>
      </x:c>
      <x:c r="I2585" s="29" t="str">
        <x:v>NHPN-gated shared-boundary SCA path</x:v>
      </x:c>
      <x:c r="J2585" s="29" t="str">
        <x:v>presence does not prove operability or capacity</x:v>
      </x:c>
    </x:row>
    <x:row r="2586" ht="64.80000305175781" hidden="0" customHeight="1">
      <x:c r="A2586" s="27" t="str">
        <x:v>SCA-21</x:v>
      </x:c>
      <x:c r="B2586" s="27" t="str">
        <x:v>SCA-27</x:v>
      </x:c>
      <x:c r="C2586" s="27" t="str">
        <x:v>Rail</x:v>
      </x:c>
      <x:c r="D2586" s="27" t="str">
        <x:v>YES</x:v>
      </x:c>
      <x:c r="E2586" s="27" t="str">
        <x:v>YES</x:v>
      </x:c>
      <x:c r="F2586" s="61" t="n">
        <x:v>2377.3604581557993</x:v>
      </x:c>
      <x:c r="G2586" s="61" t="n">
        <x:v>59.96229225936856</x:v>
      </x:c>
      <x:c r="H2586" s="27" t="str">
        <x:v>YES</x:v>
      </x:c>
      <x:c r="I2586" s="27" t="str">
        <x:v>NARN shared-node topology; deployable terminal required</x:v>
      </x:c>
      <x:c r="J2586" s="27" t="str">
        <x:v>presence does not prove operability or capacity</x:v>
      </x:c>
    </x:row>
    <x:row r="2587" ht="54" hidden="0" customHeight="1">
      <x:c r="A2587" s="29" t="str">
        <x:v>SCA-21</x:v>
      </x:c>
      <x:c r="B2587" s="29" t="str">
        <x:v>SCA-27</x:v>
      </x:c>
      <x:c r="C2587" s="29" t="str">
        <x:v>Air</x:v>
      </x:c>
      <x:c r="D2587" s="29" t="str">
        <x:v>YES</x:v>
      </x:c>
      <x:c r="E2587" s="29" t="str">
        <x:v>YES</x:v>
      </x:c>
      <x:c r="F2587" s="62" t="n">
        <x:v>1905.3877334088872</x:v>
      </x:c>
      <x:c r="G2587" s="62" t="n">
        <x:v>26.93136574370598</x:v>
      </x:c>
      <x:c r="H2587" s="29" t="str">
        <x:v>YES</x:v>
      </x:c>
      <x:c r="I2587" s="29" t="str">
        <x:v>primary-airport endpoints; great-circle screen</x:v>
      </x:c>
      <x:c r="J2587" s="29" t="str">
        <x:v>presence does not prove operability or capacity</x:v>
      </x:c>
    </x:row>
    <x:row r="2588" ht="75.5999984741211" hidden="0" customHeight="1">
      <x:c r="A2588" s="27" t="str">
        <x:v>SCA-21</x:v>
      </x:c>
      <x:c r="B2588" s="27" t="str">
        <x:v>SCA-27</x:v>
      </x:c>
      <x:c r="C2588" s="27" t="str">
        <x:v>Water</x:v>
      </x:c>
      <x:c r="D2588" s="27" t="str">
        <x:v>YES</x:v>
      </x:c>
      <x:c r="E2588" s="27" t="str">
        <x:v>YES</x:v>
      </x:c>
      <x:c r="F2588" s="61" t="n">
        <x:v>2876.343414951939</x:v>
      </x:c>
      <x:c r="G2588" s="61" t="n">
        <x:v>112.18124042719826</x:v>
      </x:c>
      <x:c r="H2588" s="27" t="str">
        <x:v>NO</x:v>
      </x:c>
      <x:c r="I2588" s="27" t="str">
        <x:v>USACE waterway node topology; deployable terminal required</x:v>
      </x:c>
      <x:c r="J2588" s="27" t="str">
        <x:v>presence does not prove operability or capacity</x:v>
      </x:c>
    </x:row>
    <x:row r="2589" ht="54" hidden="0" customHeight="1">
      <x:c r="A2589" s="29" t="str">
        <x:v>SCA-21</x:v>
      </x:c>
      <x:c r="B2589" s="29" t="str">
        <x:v>SCA-28</x:v>
      </x:c>
      <x:c r="C2589" s="29" t="str">
        <x:v>Road</x:v>
      </x:c>
      <x:c r="D2589" s="29" t="str">
        <x:v>YES</x:v>
      </x:c>
      <x:c r="E2589" s="29" t="str">
        <x:v>YES</x:v>
      </x:c>
      <x:c r="F2589" s="62" t="n">
        <x:v>893.0555497217017</x:v>
      </x:c>
      <x:c r="G2589" s="62" t="n">
        <x:v>36.23737363130367</x:v>
      </x:c>
      <x:c r="H2589" s="29" t="str">
        <x:v>YES</x:v>
      </x:c>
      <x:c r="I2589" s="29" t="str">
        <x:v>NHPN-gated shared-boundary SCA path</x:v>
      </x:c>
      <x:c r="J2589" s="29" t="str">
        <x:v>presence does not prove operability or capacity</x:v>
      </x:c>
    </x:row>
    <x:row r="2590" ht="64.80000305175781" hidden="0" customHeight="1">
      <x:c r="A2590" s="27" t="str">
        <x:v>SCA-21</x:v>
      </x:c>
      <x:c r="B2590" s="27" t="str">
        <x:v>SCA-28</x:v>
      </x:c>
      <x:c r="C2590" s="27" t="str">
        <x:v>Rail</x:v>
      </x:c>
      <x:c r="D2590" s="27" t="str">
        <x:v>YES</x:v>
      </x:c>
      <x:c r="E2590" s="27" t="str">
        <x:v>YES</x:v>
      </x:c>
      <x:c r="F2590" s="61" t="n">
        <x:v>947.4154527482399</x:v>
      </x:c>
      <x:c r="G2590" s="61" t="n">
        <x:v>39.534506467831996</x:v>
      </x:c>
      <x:c r="H2590" s="27" t="str">
        <x:v>YES</x:v>
      </x:c>
      <x:c r="I2590" s="27" t="str">
        <x:v>NARN shared-node topology; deployable terminal required</x:v>
      </x:c>
      <x:c r="J2590" s="27" t="str">
        <x:v>presence does not prove operability or capacity</x:v>
      </x:c>
    </x:row>
    <x:row r="2591" ht="54" hidden="0" customHeight="1">
      <x:c r="A2591" s="29" t="str">
        <x:v>SCA-21</x:v>
      </x:c>
      <x:c r="B2591" s="29" t="str">
        <x:v>SCA-28</x:v>
      </x:c>
      <x:c r="C2591" s="29" t="str">
        <x:v>Air</x:v>
      </x:c>
      <x:c r="D2591" s="29" t="str">
        <x:v>YES</x:v>
      </x:c>
      <x:c r="E2591" s="29" t="str">
        <x:v>YES</x:v>
      </x:c>
      <x:c r="F2591" s="62" t="n">
        <x:v>746.2233599027646</x:v>
      </x:c>
      <x:c r="G2591" s="62" t="n">
        <x:v>25.148035938311946</x:v>
      </x:c>
      <x:c r="H2591" s="29" t="str">
        <x:v>YES</x:v>
      </x:c>
      <x:c r="I2591" s="29" t="str">
        <x:v>primary-airport endpoints; great-circle screen</x:v>
      </x:c>
      <x:c r="J2591" s="29" t="str">
        <x:v>presence does not prove operability or capacity</x:v>
      </x:c>
    </x:row>
    <x:row r="2592" ht="75.5999984741211" hidden="0" customHeight="1">
      <x:c r="A2592" s="27" t="str">
        <x:v>SCA-21</x:v>
      </x:c>
      <x:c r="B2592" s="27" t="str">
        <x:v>SCA-28</x:v>
      </x:c>
      <x:c r="C2592" s="27" t="str">
        <x:v>Water</x:v>
      </x:c>
      <x:c r="D2592" s="27" t="str">
        <x:v>YES</x:v>
      </x:c>
      <x:c r="E2592" s="27" t="str">
        <x:v>YES</x:v>
      </x:c>
      <x:c r="F2592" s="61" t="n">
        <x:v>994.0096553424156</x:v>
      </x:c>
      <x:c r="G2592" s="61" t="n">
        <x:v>58.400275866926165</x:v>
      </x:c>
      <x:c r="H2592" s="27" t="str">
        <x:v>YES</x:v>
      </x:c>
      <x:c r="I2592" s="27" t="str">
        <x:v>USACE waterway node topology; deployable terminal required</x:v>
      </x:c>
      <x:c r="J2592" s="27" t="str">
        <x:v>presence does not prove operability or capacity</x:v>
      </x:c>
    </x:row>
    <x:row r="2593" ht="54" hidden="0" customHeight="1">
      <x:c r="A2593" s="29" t="str">
        <x:v>SCA-21</x:v>
      </x:c>
      <x:c r="B2593" s="29" t="str">
        <x:v>SCA-29</x:v>
      </x:c>
      <x:c r="C2593" s="29" t="str">
        <x:v>Road</x:v>
      </x:c>
      <x:c r="D2593" s="29" t="str">
        <x:v>YES</x:v>
      </x:c>
      <x:c r="E2593" s="29" t="str">
        <x:v>YES</x:v>
      </x:c>
      <x:c r="F2593" s="62" t="n">
        <x:v>1266.8722619557257</x:v>
      </x:c>
      <x:c r="G2593" s="62" t="n">
        <x:v>43.03404112646774</x:v>
      </x:c>
      <x:c r="H2593" s="29" t="str">
        <x:v>YES</x:v>
      </x:c>
      <x:c r="I2593" s="29" t="str">
        <x:v>NHPN-gated shared-boundary SCA path</x:v>
      </x:c>
      <x:c r="J2593" s="29" t="str">
        <x:v>presence does not prove operability or capacity</x:v>
      </x:c>
    </x:row>
    <x:row r="2594" ht="64.80000305175781" hidden="0" customHeight="1">
      <x:c r="A2594" s="27" t="str">
        <x:v>SCA-21</x:v>
      </x:c>
      <x:c r="B2594" s="27" t="str">
        <x:v>SCA-29</x:v>
      </x:c>
      <x:c r="C2594" s="27" t="str">
        <x:v>Rail</x:v>
      </x:c>
      <x:c r="D2594" s="27" t="str">
        <x:v>YES</x:v>
      </x:c>
      <x:c r="E2594" s="27" t="str">
        <x:v>YES</x:v>
      </x:c>
      <x:c r="F2594" s="61" t="n">
        <x:v>1343.9862257269438</x:v>
      </x:c>
      <x:c r="G2594" s="61" t="n">
        <x:v>45.199803224670625</x:v>
      </x:c>
      <x:c r="H2594" s="27" t="str">
        <x:v>YES</x:v>
      </x:c>
      <x:c r="I2594" s="27" t="str">
        <x:v>NARN shared-node topology; deployable terminal required</x:v>
      </x:c>
      <x:c r="J2594" s="27" t="str">
        <x:v>presence does not prove operability or capacity</x:v>
      </x:c>
    </x:row>
    <x:row r="2595" ht="54" hidden="0" customHeight="1">
      <x:c r="A2595" s="29" t="str">
        <x:v>SCA-21</x:v>
      </x:c>
      <x:c r="B2595" s="29" t="str">
        <x:v>SCA-29</x:v>
      </x:c>
      <x:c r="C2595" s="29" t="str">
        <x:v>Air</x:v>
      </x:c>
      <x:c r="D2595" s="29" t="str">
        <x:v>YES</x:v>
      </x:c>
      <x:c r="E2595" s="29" t="str">
        <x:v>YES</x:v>
      </x:c>
      <x:c r="F2595" s="62" t="n">
        <x:v>1040.60918726073</x:v>
      </x:c>
      <x:c r="G2595" s="62" t="n">
        <x:v>25.600937211170354</x:v>
      </x:c>
      <x:c r="H2595" s="29" t="str">
        <x:v>YES</x:v>
      </x:c>
      <x:c r="I2595" s="29" t="str">
        <x:v>primary-airport endpoints; great-circle screen</x:v>
      </x:c>
      <x:c r="J2595" s="29" t="str">
        <x:v>presence does not prove operability or capacity</x:v>
      </x:c>
    </x:row>
    <x:row r="2596" ht="75.5999984741211" hidden="0" customHeight="1">
      <x:c r="A2596" s="27" t="str">
        <x:v>SCA-21</x:v>
      </x:c>
      <x:c r="B2596" s="27" t="str">
        <x:v>SCA-29</x:v>
      </x:c>
      <x:c r="C2596" s="27" t="str">
        <x:v>Water</x:v>
      </x:c>
      <x:c r="D2596" s="27" t="str">
        <x:v>YES</x:v>
      </x:c>
      <x:c r="E2596" s="27" t="str">
        <x:v>YES</x:v>
      </x:c>
      <x:c r="F2596" s="61" t="n">
        <x:v>1635.4068494458515</x:v>
      </x:c>
      <x:c r="G2596" s="61" t="n">
        <x:v>76.72590998416719</x:v>
      </x:c>
      <x:c r="H2596" s="27" t="str">
        <x:v>NO</x:v>
      </x:c>
      <x:c r="I2596" s="27" t="str">
        <x:v>USACE waterway node topology; deployable terminal required</x:v>
      </x:c>
      <x:c r="J2596" s="27" t="str">
        <x:v>presence does not prove operability or capacity</x:v>
      </x:c>
    </x:row>
    <x:row r="2597" ht="54" hidden="0" customHeight="1">
      <x:c r="A2597" s="29" t="str">
        <x:v>SCA-21</x:v>
      </x:c>
      <x:c r="B2597" s="29" t="str">
        <x:v>SCA-30</x:v>
      </x:c>
      <x:c r="C2597" s="29" t="str">
        <x:v>Road</x:v>
      </x:c>
      <x:c r="D2597" s="29" t="str">
        <x:v>YES</x:v>
      </x:c>
      <x:c r="E2597" s="29" t="str">
        <x:v>YES</x:v>
      </x:c>
      <x:c r="F2597" s="62" t="n">
        <x:v>1356.6192656529417</x:v>
      </x:c>
      <x:c r="G2597" s="62" t="n">
        <x:v>44.66580483005349</x:v>
      </x:c>
      <x:c r="H2597" s="29" t="str">
        <x:v>YES</x:v>
      </x:c>
      <x:c r="I2597" s="29" t="str">
        <x:v>NHPN-gated shared-boundary SCA path</x:v>
      </x:c>
      <x:c r="J2597" s="29" t="str">
        <x:v>presence does not prove operability or capacity</x:v>
      </x:c>
    </x:row>
    <x:row r="2598" ht="64.80000305175781" hidden="0" customHeight="1">
      <x:c r="A2598" s="27" t="str">
        <x:v>SCA-21</x:v>
      </x:c>
      <x:c r="B2598" s="27" t="str">
        <x:v>SCA-30</x:v>
      </x:c>
      <x:c r="C2598" s="27" t="str">
        <x:v>Rail</x:v>
      </x:c>
      <x:c r="D2598" s="27" t="str">
        <x:v>YES</x:v>
      </x:c>
      <x:c r="E2598" s="27" t="str">
        <x:v>YES</x:v>
      </x:c>
      <x:c r="F2598" s="61" t="n">
        <x:v>1439.196090518773</x:v>
      </x:c>
      <x:c r="G2598" s="61" t="n">
        <x:v>46.55994415026818</x:v>
      </x:c>
      <x:c r="H2598" s="27" t="str">
        <x:v>YES</x:v>
      </x:c>
      <x:c r="I2598" s="27" t="str">
        <x:v>NARN shared-node topology; deployable terminal required</x:v>
      </x:c>
      <x:c r="J2598" s="27" t="str">
        <x:v>presence does not prove operability or capacity</x:v>
      </x:c>
    </x:row>
    <x:row r="2599" ht="54" hidden="0" customHeight="1">
      <x:c r="A2599" s="29" t="str">
        <x:v>SCA-21</x:v>
      </x:c>
      <x:c r="B2599" s="29" t="str">
        <x:v>SCA-30</x:v>
      </x:c>
      <x:c r="C2599" s="29" t="str">
        <x:v>Air</x:v>
      </x:c>
      <x:c r="D2599" s="29" t="str">
        <x:v>YES</x:v>
      </x:c>
      <x:c r="E2599" s="29" t="str">
        <x:v>YES</x:v>
      </x:c>
      <x:c r="F2599" s="62" t="n">
        <x:v>1127.2963240646693</x:v>
      </x:c>
      <x:c r="G2599" s="62" t="n">
        <x:v>25.73430203702257</x:v>
      </x:c>
      <x:c r="H2599" s="29" t="str">
        <x:v>YES</x:v>
      </x:c>
      <x:c r="I2599" s="29" t="str">
        <x:v>primary-airport endpoints; great-circle screen</x:v>
      </x:c>
      <x:c r="J2599" s="29" t="str">
        <x:v>presence does not prove operability or capacity</x:v>
      </x:c>
    </x:row>
    <x:row r="2600" ht="75.5999984741211" hidden="0" customHeight="1">
      <x:c r="A2600" s="27" t="str">
        <x:v>SCA-21</x:v>
      </x:c>
      <x:c r="B2600" s="27" t="str">
        <x:v>SCA-30</x:v>
      </x:c>
      <x:c r="C2600" s="27" t="str">
        <x:v>Water</x:v>
      </x:c>
      <x:c r="D2600" s="27" t="str">
        <x:v>YES</x:v>
      </x:c>
      <x:c r="E2600" s="27" t="str">
        <x:v>YES</x:v>
      </x:c>
      <x:c r="F2600" s="61" t="n">
        <x:v>1509.9762261180567</x:v>
      </x:c>
      <x:c r="G2600" s="61" t="n">
        <x:v>73.14217788908734</x:v>
      </x:c>
      <x:c r="H2600" s="27" t="str">
        <x:v>NO</x:v>
      </x:c>
      <x:c r="I2600" s="27" t="str">
        <x:v>USACE waterway node topology; deployable terminal required</x:v>
      </x:c>
      <x:c r="J2600" s="27" t="str">
        <x:v>presence does not prove operability or capacity</x:v>
      </x:c>
    </x:row>
    <x:row r="2601" ht="54" hidden="0" customHeight="1">
      <x:c r="A2601" s="29" t="str">
        <x:v>SCA-21</x:v>
      </x:c>
      <x:c r="B2601" s="29" t="str">
        <x:v>SCA-31</x:v>
      </x:c>
      <x:c r="C2601" s="29" t="str">
        <x:v>Road</x:v>
      </x:c>
      <x:c r="D2601" s="29" t="str">
        <x:v>YES</x:v>
      </x:c>
      <x:c r="E2601" s="29" t="str">
        <x:v>YES</x:v>
      </x:c>
      <x:c r="F2601" s="62" t="n">
        <x:v>1749.7014108394478</x:v>
      </x:c>
      <x:c r="G2601" s="62" t="n">
        <x:v>51.812752924353596</x:v>
      </x:c>
      <x:c r="H2601" s="29" t="str">
        <x:v>YES</x:v>
      </x:c>
      <x:c r="I2601" s="29" t="str">
        <x:v>NHPN-gated shared-boundary SCA path</x:v>
      </x:c>
      <x:c r="J2601" s="29" t="str">
        <x:v>presence does not prove operability or capacity</x:v>
      </x:c>
    </x:row>
    <x:row r="2602" ht="64.80000305175781" hidden="0" customHeight="1">
      <x:c r="A2602" s="27" t="str">
        <x:v>SCA-21</x:v>
      </x:c>
      <x:c r="B2602" s="27" t="str">
        <x:v>SCA-31</x:v>
      </x:c>
      <x:c r="C2602" s="27" t="str">
        <x:v>Rail</x:v>
      </x:c>
      <x:c r="D2602" s="27" t="str">
        <x:v>YES</x:v>
      </x:c>
      <x:c r="E2602" s="27" t="str">
        <x:v>YES</x:v>
      </x:c>
      <x:c r="F2602" s="61" t="n">
        <x:v>1856.204974977501</x:v>
      </x:c>
      <x:c r="G2602" s="61" t="n">
        <x:v>52.517213928250015</x:v>
      </x:c>
      <x:c r="H2602" s="27" t="str">
        <x:v>YES</x:v>
      </x:c>
      <x:c r="I2602" s="27" t="str">
        <x:v>NARN shared-node topology; deployable terminal required</x:v>
      </x:c>
      <x:c r="J2602" s="27" t="str">
        <x:v>presence does not prove operability or capacity</x:v>
      </x:c>
    </x:row>
    <x:row r="2603" ht="54" hidden="0" customHeight="1">
      <x:c r="A2603" s="29" t="str">
        <x:v>SCA-21</x:v>
      </x:c>
      <x:c r="B2603" s="29" t="str">
        <x:v>SCA-31</x:v>
      </x:c>
      <x:c r="C2603" s="29" t="str">
        <x:v>Air</x:v>
      </x:c>
      <x:c r="D2603" s="29" t="str">
        <x:v>YES</x:v>
      </x:c>
      <x:c r="E2603" s="29" t="str">
        <x:v>YES</x:v>
      </x:c>
      <x:c r="F2603" s="62" t="n">
        <x:v>1344.8394053125296</x:v>
      </x:c>
      <x:c r="G2603" s="62" t="n">
        <x:v>26.068983700480814</x:v>
      </x:c>
      <x:c r="H2603" s="29" t="str">
        <x:v>YES</x:v>
      </x:c>
      <x:c r="I2603" s="29" t="str">
        <x:v>primary-airport endpoints; great-circle screen</x:v>
      </x:c>
      <x:c r="J2603" s="29" t="str">
        <x:v>presence does not prove operability or capacity</x:v>
      </x:c>
    </x:row>
    <x:row r="2604" ht="75.5999984741211" hidden="0" customHeight="1">
      <x:c r="A2604" s="27" t="str">
        <x:v>SCA-21</x:v>
      </x:c>
      <x:c r="B2604" s="27" t="str">
        <x:v>SCA-31</x:v>
      </x:c>
      <x:c r="C2604" s="27" t="str">
        <x:v>Water</x:v>
      </x:c>
      <x:c r="D2604" s="27" t="str">
        <x:v>YES</x:v>
      </x:c>
      <x:c r="E2604" s="27" t="str">
        <x:v>YES</x:v>
      </x:c>
      <x:c r="F2604" s="61" t="n">
        <x:v>1947.4937442386893</x:v>
      </x:c>
      <x:c r="G2604" s="61" t="n">
        <x:v>85.6426784068197</x:v>
      </x:c>
      <x:c r="H2604" s="27" t="str">
        <x:v>NO</x:v>
      </x:c>
      <x:c r="I2604" s="27" t="str">
        <x:v>USACE waterway node topology; deployable terminal required</x:v>
      </x:c>
      <x:c r="J2604" s="27" t="str">
        <x:v>presence does not prove operability or capacity</x:v>
      </x:c>
    </x:row>
    <x:row r="2605" ht="54" hidden="0" customHeight="1">
      <x:c r="A2605" s="29" t="str">
        <x:v>SCA-21</x:v>
      </x:c>
      <x:c r="B2605" s="29" t="str">
        <x:v>SCA-32</x:v>
      </x:c>
      <x:c r="C2605" s="29" t="str">
        <x:v>Road</x:v>
      </x:c>
      <x:c r="D2605" s="29" t="str">
        <x:v>NO</x:v>
      </x:c>
      <x:c r="E2605" s="29" t="str">
        <x:v>NO</x:v>
      </x:c>
      <x:c r="F2605" s="62"/>
      <x:c r="G2605" s="62"/>
      <x:c r="H2605" s="29" t="str">
        <x:v>NO</x:v>
      </x:c>
      <x:c r="I2605" s="29" t="str">
        <x:v>no screened path</x:v>
      </x:c>
      <x:c r="J2605" s="29" t="str">
        <x:v>presence does not prove operability or capacity</x:v>
      </x:c>
    </x:row>
    <x:row r="2606" ht="54" hidden="0" customHeight="1">
      <x:c r="A2606" s="27" t="str">
        <x:v>SCA-21</x:v>
      </x:c>
      <x:c r="B2606" s="27" t="str">
        <x:v>SCA-32</x:v>
      </x:c>
      <x:c r="C2606" s="27" t="str">
        <x:v>Rail</x:v>
      </x:c>
      <x:c r="D2606" s="27" t="str">
        <x:v>NO</x:v>
      </x:c>
      <x:c r="E2606" s="27" t="str">
        <x:v>NO</x:v>
      </x:c>
      <x:c r="F2606" s="61"/>
      <x:c r="G2606" s="61"/>
      <x:c r="H2606" s="27" t="str">
        <x:v>NO</x:v>
      </x:c>
      <x:c r="I2606" s="27" t="str">
        <x:v>no screened path</x:v>
      </x:c>
      <x:c r="J2606" s="27" t="str">
        <x:v>presence does not prove operability or capacity</x:v>
      </x:c>
    </x:row>
    <x:row r="2607" ht="54" hidden="0" customHeight="1">
      <x:c r="A2607" s="29" t="str">
        <x:v>SCA-21</x:v>
      </x:c>
      <x:c r="B2607" s="29" t="str">
        <x:v>SCA-32</x:v>
      </x:c>
      <x:c r="C2607" s="29" t="str">
        <x:v>Air</x:v>
      </x:c>
      <x:c r="D2607" s="29" t="str">
        <x:v>YES</x:v>
      </x:c>
      <x:c r="E2607" s="29" t="str">
        <x:v>YES</x:v>
      </x:c>
      <x:c r="F2607" s="62" t="n">
        <x:v>3351.5781183892404</x:v>
      </x:c>
      <x:c r="G2607" s="62" t="n">
        <x:v>29.15627402829114</x:v>
      </x:c>
      <x:c r="H2607" s="29" t="str">
        <x:v>YES</x:v>
      </x:c>
      <x:c r="I2607" s="29" t="str">
        <x:v>primary-airport endpoints; great-circle screen</x:v>
      </x:c>
      <x:c r="J2607" s="29" t="str">
        <x:v>presence does not prove operability or capacity</x:v>
      </x:c>
    </x:row>
    <x:row r="2608" ht="75.5999984741211" hidden="0" customHeight="1">
      <x:c r="A2608" s="27" t="str">
        <x:v>SCA-21</x:v>
      </x:c>
      <x:c r="B2608" s="27" t="str">
        <x:v>SCA-32</x:v>
      </x:c>
      <x:c r="C2608" s="27" t="str">
        <x:v>Water</x:v>
      </x:c>
      <x:c r="D2608" s="27" t="str">
        <x:v>YES</x:v>
      </x:c>
      <x:c r="E2608" s="27" t="str">
        <x:v>YES</x:v>
      </x:c>
      <x:c r="F2608" s="61" t="n">
        <x:v>4605.221069452431</x:v>
      </x:c>
      <x:c r="G2608" s="61" t="n">
        <x:v>161.57774484149803</x:v>
      </x:c>
      <x:c r="H2608" s="27" t="str">
        <x:v>NO</x:v>
      </x:c>
      <x:c r="I2608" s="27" t="str">
        <x:v>USACE waterway node topology; deployable terminal required</x:v>
      </x:c>
      <x:c r="J2608" s="27" t="str">
        <x:v>presence does not prove operability or capacity</x:v>
      </x:c>
    </x:row>
    <x:row r="2609" ht="54" hidden="0" customHeight="1">
      <x:c r="A2609" s="29" t="str">
        <x:v>SCA-22</x:v>
      </x:c>
      <x:c r="B2609" s="29" t="str">
        <x:v>SCA-01</x:v>
      </x:c>
      <x:c r="C2609" s="29" t="str">
        <x:v>Road</x:v>
      </x:c>
      <x:c r="D2609" s="29" t="str">
        <x:v>NO</x:v>
      </x:c>
      <x:c r="E2609" s="29" t="str">
        <x:v>NO</x:v>
      </x:c>
      <x:c r="F2609" s="62"/>
      <x:c r="G2609" s="62"/>
      <x:c r="H2609" s="29" t="str">
        <x:v>NO</x:v>
      </x:c>
      <x:c r="I2609" s="29" t="str">
        <x:v>no screened path</x:v>
      </x:c>
      <x:c r="J2609" s="29" t="str">
        <x:v>presence does not prove operability or capacity</x:v>
      </x:c>
    </x:row>
    <x:row r="2610" ht="54" hidden="0" customHeight="1">
      <x:c r="A2610" s="27" t="str">
        <x:v>SCA-22</x:v>
      </x:c>
      <x:c r="B2610" s="27" t="str">
        <x:v>SCA-01</x:v>
      </x:c>
      <x:c r="C2610" s="27" t="str">
        <x:v>Rail</x:v>
      </x:c>
      <x:c r="D2610" s="27" t="str">
        <x:v>NO</x:v>
      </x:c>
      <x:c r="E2610" s="27" t="str">
        <x:v>NO</x:v>
      </x:c>
      <x:c r="F2610" s="61"/>
      <x:c r="G2610" s="61"/>
      <x:c r="H2610" s="27" t="str">
        <x:v>NO</x:v>
      </x:c>
      <x:c r="I2610" s="27" t="str">
        <x:v>no screened path</x:v>
      </x:c>
      <x:c r="J2610" s="27" t="str">
        <x:v>presence does not prove operability or capacity</x:v>
      </x:c>
    </x:row>
    <x:row r="2611" ht="54" hidden="0" customHeight="1">
      <x:c r="A2611" s="29" t="str">
        <x:v>SCA-22</x:v>
      </x:c>
      <x:c r="B2611" s="29" t="str">
        <x:v>SCA-01</x:v>
      </x:c>
      <x:c r="C2611" s="29" t="str">
        <x:v>Air</x:v>
      </x:c>
      <x:c r="D2611" s="29" t="str">
        <x:v>YES</x:v>
      </x:c>
      <x:c r="E2611" s="29" t="str">
        <x:v>YES</x:v>
      </x:c>
      <x:c r="F2611" s="62" t="n">
        <x:v>7061.036501807717</x:v>
      </x:c>
      <x:c r="G2611" s="62" t="n">
        <x:v>34.863133079704184</x:v>
      </x:c>
      <x:c r="H2611" s="29" t="str">
        <x:v>YES</x:v>
      </x:c>
      <x:c r="I2611" s="29" t="str">
        <x:v>primary-airport endpoints; great-circle screen</x:v>
      </x:c>
      <x:c r="J2611" s="29" t="str">
        <x:v>presence does not prove operability or capacity</x:v>
      </x:c>
    </x:row>
    <x:row r="2612" ht="75.5999984741211" hidden="0" customHeight="1">
      <x:c r="A2612" s="27" t="str">
        <x:v>SCA-22</x:v>
      </x:c>
      <x:c r="B2612" s="27" t="str">
        <x:v>SCA-01</x:v>
      </x:c>
      <x:c r="C2612" s="27" t="str">
        <x:v>Water</x:v>
      </x:c>
      <x:c r="D2612" s="27" t="str">
        <x:v>YES</x:v>
      </x:c>
      <x:c r="E2612" s="27" t="str">
        <x:v>YES</x:v>
      </x:c>
      <x:c r="F2612" s="61" t="n">
        <x:v>12243.034545279113</x:v>
      </x:c>
      <x:c r="G2612" s="61" t="n">
        <x:v>379.8009870079747</x:v>
      </x:c>
      <x:c r="H2612" s="27" t="str">
        <x:v>NO</x:v>
      </x:c>
      <x:c r="I2612" s="27" t="str">
        <x:v>USACE waterway node topology; deployable terminal required</x:v>
      </x:c>
      <x:c r="J2612" s="27" t="str">
        <x:v>presence does not prove operability or capacity</x:v>
      </x:c>
    </x:row>
    <x:row r="2613" ht="54" hidden="0" customHeight="1">
      <x:c r="A2613" s="29" t="str">
        <x:v>SCA-22</x:v>
      </x:c>
      <x:c r="B2613" s="29" t="str">
        <x:v>SCA-02</x:v>
      </x:c>
      <x:c r="C2613" s="29" t="str">
        <x:v>Road</x:v>
      </x:c>
      <x:c r="D2613" s="29" t="str">
        <x:v>NO</x:v>
      </x:c>
      <x:c r="E2613" s="29" t="str">
        <x:v>NO</x:v>
      </x:c>
      <x:c r="F2613" s="62"/>
      <x:c r="G2613" s="62"/>
      <x:c r="H2613" s="29" t="str">
        <x:v>NO</x:v>
      </x:c>
      <x:c r="I2613" s="29" t="str">
        <x:v>no screened path</x:v>
      </x:c>
      <x:c r="J2613" s="29" t="str">
        <x:v>presence does not prove operability or capacity</x:v>
      </x:c>
    </x:row>
    <x:row r="2614" ht="54" hidden="0" customHeight="1">
      <x:c r="A2614" s="27" t="str">
        <x:v>SCA-22</x:v>
      </x:c>
      <x:c r="B2614" s="27" t="str">
        <x:v>SCA-02</x:v>
      </x:c>
      <x:c r="C2614" s="27" t="str">
        <x:v>Rail</x:v>
      </x:c>
      <x:c r="D2614" s="27" t="str">
        <x:v>NO</x:v>
      </x:c>
      <x:c r="E2614" s="27" t="str">
        <x:v>NO</x:v>
      </x:c>
      <x:c r="F2614" s="61"/>
      <x:c r="G2614" s="61"/>
      <x:c r="H2614" s="27" t="str">
        <x:v>NO</x:v>
      </x:c>
      <x:c r="I2614" s="27" t="str">
        <x:v>no screened path</x:v>
      </x:c>
      <x:c r="J2614" s="27" t="str">
        <x:v>presence does not prove operability or capacity</x:v>
      </x:c>
    </x:row>
    <x:row r="2615" ht="54" hidden="0" customHeight="1">
      <x:c r="A2615" s="29" t="str">
        <x:v>SCA-22</x:v>
      </x:c>
      <x:c r="B2615" s="29" t="str">
        <x:v>SCA-02</x:v>
      </x:c>
      <x:c r="C2615" s="29" t="str">
        <x:v>Air</x:v>
      </x:c>
      <x:c r="D2615" s="29" t="str">
        <x:v>YES</x:v>
      </x:c>
      <x:c r="E2615" s="29" t="str">
        <x:v>YES</x:v>
      </x:c>
      <x:c r="F2615" s="62" t="n">
        <x:v>4819.638575513851</x:v>
      </x:c>
      <x:c r="G2615" s="62" t="n">
        <x:v>31.414828577713617</x:v>
      </x:c>
      <x:c r="H2615" s="29" t="str">
        <x:v>YES</x:v>
      </x:c>
      <x:c r="I2615" s="29" t="str">
        <x:v>primary-airport endpoints; great-circle screen</x:v>
      </x:c>
      <x:c r="J2615" s="29" t="str">
        <x:v>presence does not prove operability or capacity</x:v>
      </x:c>
    </x:row>
    <x:row r="2616" ht="75.5999984741211" hidden="0" customHeight="1">
      <x:c r="A2616" s="27" t="str">
        <x:v>SCA-22</x:v>
      </x:c>
      <x:c r="B2616" s="27" t="str">
        <x:v>SCA-02</x:v>
      </x:c>
      <x:c r="C2616" s="27" t="str">
        <x:v>Water</x:v>
      </x:c>
      <x:c r="D2616" s="27" t="str">
        <x:v>YES</x:v>
      </x:c>
      <x:c r="E2616" s="27" t="str">
        <x:v>YES</x:v>
      </x:c>
      <x:c r="F2616" s="61" t="n">
        <x:v>8289.448352802287</x:v>
      </x:c>
      <x:c r="G2616" s="61" t="n">
        <x:v>266.8413815086368</x:v>
      </x:c>
      <x:c r="H2616" s="27" t="str">
        <x:v>NO</x:v>
      </x:c>
      <x:c r="I2616" s="27" t="str">
        <x:v>USACE waterway node topology; deployable terminal required</x:v>
      </x:c>
      <x:c r="J2616" s="27" t="str">
        <x:v>presence does not prove operability or capacity</x:v>
      </x:c>
    </x:row>
    <x:row r="2617" ht="54" hidden="0" customHeight="1">
      <x:c r="A2617" s="29" t="str">
        <x:v>SCA-22</x:v>
      </x:c>
      <x:c r="B2617" s="29" t="str">
        <x:v>SCA-03</x:v>
      </x:c>
      <x:c r="C2617" s="29" t="str">
        <x:v>Road</x:v>
      </x:c>
      <x:c r="D2617" s="29" t="str">
        <x:v>YES</x:v>
      </x:c>
      <x:c r="E2617" s="29" t="str">
        <x:v>YES</x:v>
      </x:c>
      <x:c r="F2617" s="62" t="n">
        <x:v>3739.5187258158935</x:v>
      </x:c>
      <x:c r="G2617" s="62" t="n">
        <x:v>87.99124956028898</x:v>
      </x:c>
      <x:c r="H2617" s="29" t="str">
        <x:v>NO</x:v>
      </x:c>
      <x:c r="I2617" s="29" t="str">
        <x:v>NHPN-gated shared-boundary SCA path</x:v>
      </x:c>
      <x:c r="J2617" s="29" t="str">
        <x:v>presence does not prove operability or capacity</x:v>
      </x:c>
    </x:row>
    <x:row r="2618" ht="64.80000305175781" hidden="0" customHeight="1">
      <x:c r="A2618" s="27" t="str">
        <x:v>SCA-22</x:v>
      </x:c>
      <x:c r="B2618" s="27" t="str">
        <x:v>SCA-03</x:v>
      </x:c>
      <x:c r="C2618" s="27" t="str">
        <x:v>Rail</x:v>
      </x:c>
      <x:c r="D2618" s="27" t="str">
        <x:v>YES</x:v>
      </x:c>
      <x:c r="E2618" s="27" t="str">
        <x:v>YES</x:v>
      </x:c>
      <x:c r="F2618" s="61" t="n">
        <x:v>3967.1416047785997</x:v>
      </x:c>
      <x:c r="G2618" s="61" t="n">
        <x:v>82.67345149683715</x:v>
      </x:c>
      <x:c r="H2618" s="27" t="str">
        <x:v>NO</x:v>
      </x:c>
      <x:c r="I2618" s="27" t="str">
        <x:v>NARN shared-node topology; deployable terminal required</x:v>
      </x:c>
      <x:c r="J2618" s="27" t="str">
        <x:v>presence does not prove operability or capacity</x:v>
      </x:c>
    </x:row>
    <x:row r="2619" ht="54" hidden="0" customHeight="1">
      <x:c r="A2619" s="29" t="str">
        <x:v>SCA-22</x:v>
      </x:c>
      <x:c r="B2619" s="29" t="str">
        <x:v>SCA-03</x:v>
      </x:c>
      <x:c r="C2619" s="29" t="str">
        <x:v>Air</x:v>
      </x:c>
      <x:c r="D2619" s="29" t="str">
        <x:v>YES</x:v>
      </x:c>
      <x:c r="E2619" s="29" t="str">
        <x:v>YES</x:v>
      </x:c>
      <x:c r="F2619" s="62" t="n">
        <x:v>3083.0217762193315</x:v>
      </x:c>
      <x:c r="G2619" s="62" t="n">
        <x:v>28.743110424952818</x:v>
      </x:c>
      <x:c r="H2619" s="29" t="str">
        <x:v>YES</x:v>
      </x:c>
      <x:c r="I2619" s="29" t="str">
        <x:v>primary-airport endpoints; great-circle screen</x:v>
      </x:c>
      <x:c r="J2619" s="29" t="str">
        <x:v>presence does not prove operability or capacity</x:v>
      </x:c>
    </x:row>
    <x:row r="2620" ht="75.5999984741211" hidden="0" customHeight="1">
      <x:c r="A2620" s="27" t="str">
        <x:v>SCA-22</x:v>
      </x:c>
      <x:c r="B2620" s="27" t="str">
        <x:v>SCA-03</x:v>
      </x:c>
      <x:c r="C2620" s="27" t="str">
        <x:v>Water</x:v>
      </x:c>
      <x:c r="D2620" s="27" t="str">
        <x:v>YES</x:v>
      </x:c>
      <x:c r="E2620" s="27" t="str">
        <x:v>YES</x:v>
      </x:c>
      <x:c r="F2620" s="61" t="n">
        <x:v>8852.273232607457</x:v>
      </x:c>
      <x:c r="G2620" s="61" t="n">
        <x:v>282.922092360213</x:v>
      </x:c>
      <x:c r="H2620" s="27" t="str">
        <x:v>NO</x:v>
      </x:c>
      <x:c r="I2620" s="27" t="str">
        <x:v>USACE waterway node topology; deployable terminal required</x:v>
      </x:c>
      <x:c r="J2620" s="27" t="str">
        <x:v>presence does not prove operability or capacity</x:v>
      </x:c>
    </x:row>
    <x:row r="2621" ht="54" hidden="0" customHeight="1">
      <x:c r="A2621" s="29" t="str">
        <x:v>SCA-22</x:v>
      </x:c>
      <x:c r="B2621" s="29" t="str">
        <x:v>SCA-04</x:v>
      </x:c>
      <x:c r="C2621" s="29" t="str">
        <x:v>Road</x:v>
      </x:c>
      <x:c r="D2621" s="29" t="str">
        <x:v>YES</x:v>
      </x:c>
      <x:c r="E2621" s="29" t="str">
        <x:v>YES</x:v>
      </x:c>
      <x:c r="F2621" s="62" t="n">
        <x:v>4150.027525054666</x:v>
      </x:c>
      <x:c r="G2621" s="62" t="n">
        <x:v>95.45504591008483</x:v>
      </x:c>
      <x:c r="H2621" s="29" t="str">
        <x:v>NO</x:v>
      </x:c>
      <x:c r="I2621" s="29" t="str">
        <x:v>NHPN-gated shared-boundary SCA path</x:v>
      </x:c>
      <x:c r="J2621" s="29" t="str">
        <x:v>presence does not prove operability or capacity</x:v>
      </x:c>
    </x:row>
    <x:row r="2622" ht="64.80000305175781" hidden="0" customHeight="1">
      <x:c r="A2622" s="27" t="str">
        <x:v>SCA-22</x:v>
      </x:c>
      <x:c r="B2622" s="27" t="str">
        <x:v>SCA-04</x:v>
      </x:c>
      <x:c r="C2622" s="27" t="str">
        <x:v>Rail</x:v>
      </x:c>
      <x:c r="D2622" s="27" t="str">
        <x:v>YES</x:v>
      </x:c>
      <x:c r="E2622" s="27" t="str">
        <x:v>YES</x:v>
      </x:c>
      <x:c r="F2622" s="61" t="n">
        <x:v>4402.637896144949</x:v>
      </x:c>
      <x:c r="G2622" s="61" t="n">
        <x:v>88.89482708778499</x:v>
      </x:c>
      <x:c r="H2622" s="27" t="str">
        <x:v>NO</x:v>
      </x:c>
      <x:c r="I2622" s="27" t="str">
        <x:v>NARN shared-node topology; deployable terminal required</x:v>
      </x:c>
      <x:c r="J2622" s="27" t="str">
        <x:v>presence does not prove operability or capacity</x:v>
      </x:c>
    </x:row>
    <x:row r="2623" ht="54" hidden="0" customHeight="1">
      <x:c r="A2623" s="29" t="str">
        <x:v>SCA-22</x:v>
      </x:c>
      <x:c r="B2623" s="29" t="str">
        <x:v>SCA-04</x:v>
      </x:c>
      <x:c r="C2623" s="29" t="str">
        <x:v>Air</x:v>
      </x:c>
      <x:c r="D2623" s="29" t="str">
        <x:v>YES</x:v>
      </x:c>
      <x:c r="E2623" s="29" t="str">
        <x:v>YES</x:v>
      </x:c>
      <x:c r="F2623" s="62" t="n">
        <x:v>3137.928308811481</x:v>
      </x:c>
      <x:c r="G2623" s="62" t="n">
        <x:v>28.827582013556125</x:v>
      </x:c>
      <x:c r="H2623" s="29" t="str">
        <x:v>YES</x:v>
      </x:c>
      <x:c r="I2623" s="29" t="str">
        <x:v>primary-airport endpoints; great-circle screen</x:v>
      </x:c>
      <x:c r="J2623" s="29" t="str">
        <x:v>presence does not prove operability or capacity</x:v>
      </x:c>
    </x:row>
    <x:row r="2624" ht="75.5999984741211" hidden="0" customHeight="1">
      <x:c r="A2624" s="27" t="str">
        <x:v>SCA-22</x:v>
      </x:c>
      <x:c r="B2624" s="27" t="str">
        <x:v>SCA-04</x:v>
      </x:c>
      <x:c r="C2624" s="27" t="str">
        <x:v>Water</x:v>
      </x:c>
      <x:c r="D2624" s="27" t="str">
        <x:v>YES</x:v>
      </x:c>
      <x:c r="E2624" s="27" t="str">
        <x:v>YES</x:v>
      </x:c>
      <x:c r="F2624" s="61" t="n">
        <x:v>7640.01502422649</x:v>
      </x:c>
      <x:c r="G2624" s="61" t="n">
        <x:v>248.28614354932827</x:v>
      </x:c>
      <x:c r="H2624" s="27" t="str">
        <x:v>NO</x:v>
      </x:c>
      <x:c r="I2624" s="27" t="str">
        <x:v>USACE waterway node topology; deployable terminal required</x:v>
      </x:c>
      <x:c r="J2624" s="27" t="str">
        <x:v>presence does not prove operability or capacity</x:v>
      </x:c>
    </x:row>
    <x:row r="2625" ht="54" hidden="0" customHeight="1">
      <x:c r="A2625" s="29" t="str">
        <x:v>SCA-22</x:v>
      </x:c>
      <x:c r="B2625" s="29" t="str">
        <x:v>SCA-05</x:v>
      </x:c>
      <x:c r="C2625" s="29" t="str">
        <x:v>Road</x:v>
      </x:c>
      <x:c r="D2625" s="29" t="str">
        <x:v>YES</x:v>
      </x:c>
      <x:c r="E2625" s="29" t="str">
        <x:v>YES</x:v>
      </x:c>
      <x:c r="F2625" s="62" t="n">
        <x:v>3757.738212283214</x:v>
      </x:c>
      <x:c r="G2625" s="62" t="n">
        <x:v>88.3225129506039</x:v>
      </x:c>
      <x:c r="H2625" s="29" t="str">
        <x:v>NO</x:v>
      </x:c>
      <x:c r="I2625" s="29" t="str">
        <x:v>NHPN-gated shared-boundary SCA path</x:v>
      </x:c>
      <x:c r="J2625" s="29" t="str">
        <x:v>presence does not prove operability or capacity</x:v>
      </x:c>
    </x:row>
    <x:row r="2626" ht="64.80000305175781" hidden="0" customHeight="1">
      <x:c r="A2626" s="27" t="str">
        <x:v>SCA-22</x:v>
      </x:c>
      <x:c r="B2626" s="27" t="str">
        <x:v>SCA-05</x:v>
      </x:c>
      <x:c r="C2626" s="27" t="str">
        <x:v>Rail</x:v>
      </x:c>
      <x:c r="D2626" s="27" t="str">
        <x:v>YES</x:v>
      </x:c>
      <x:c r="E2626" s="27" t="str">
        <x:v>YES</x:v>
      </x:c>
      <x:c r="F2626" s="61" t="n">
        <x:v>4031.3999000271124</x:v>
      </x:c>
      <x:c r="G2626" s="61" t="n">
        <x:v>83.59142714324446</x:v>
      </x:c>
      <x:c r="H2626" s="27" t="str">
        <x:v>NO</x:v>
      </x:c>
      <x:c r="I2626" s="27" t="str">
        <x:v>NARN shared-node topology; deployable terminal required</x:v>
      </x:c>
      <x:c r="J2626" s="27" t="str">
        <x:v>presence does not prove operability or capacity</x:v>
      </x:c>
    </x:row>
    <x:row r="2627" ht="54" hidden="0" customHeight="1">
      <x:c r="A2627" s="29" t="str">
        <x:v>SCA-22</x:v>
      </x:c>
      <x:c r="B2627" s="29" t="str">
        <x:v>SCA-05</x:v>
      </x:c>
      <x:c r="C2627" s="29" t="str">
        <x:v>Air</x:v>
      </x:c>
      <x:c r="D2627" s="29" t="str">
        <x:v>YES</x:v>
      </x:c>
      <x:c r="E2627" s="29" t="str">
        <x:v>YES</x:v>
      </x:c>
      <x:c r="F2627" s="62" t="n">
        <x:v>2971.3705558164966</x:v>
      </x:c>
      <x:c r="G2627" s="62" t="n">
        <x:v>28.571339316640763</x:v>
      </x:c>
      <x:c r="H2627" s="29" t="str">
        <x:v>YES</x:v>
      </x:c>
      <x:c r="I2627" s="29" t="str">
        <x:v>primary-airport endpoints; great-circle screen</x:v>
      </x:c>
      <x:c r="J2627" s="29" t="str">
        <x:v>presence does not prove operability or capacity</x:v>
      </x:c>
    </x:row>
    <x:row r="2628" ht="75.5999984741211" hidden="0" customHeight="1">
      <x:c r="A2628" s="27" t="str">
        <x:v>SCA-22</x:v>
      </x:c>
      <x:c r="B2628" s="27" t="str">
        <x:v>SCA-05</x:v>
      </x:c>
      <x:c r="C2628" s="27" t="str">
        <x:v>Water</x:v>
      </x:c>
      <x:c r="D2628" s="27" t="str">
        <x:v>YES</x:v>
      </x:c>
      <x:c r="E2628" s="27" t="str">
        <x:v>YES</x:v>
      </x:c>
      <x:c r="F2628" s="61" t="n">
        <x:v>6984.061604749432</x:v>
      </x:c>
      <x:c r="G2628" s="61" t="n">
        <x:v>229.5446172785552</x:v>
      </x:c>
      <x:c r="H2628" s="27" t="str">
        <x:v>NO</x:v>
      </x:c>
      <x:c r="I2628" s="27" t="str">
        <x:v>USACE waterway node topology; deployable terminal required</x:v>
      </x:c>
      <x:c r="J2628" s="27" t="str">
        <x:v>presence does not prove operability or capacity</x:v>
      </x:c>
    </x:row>
    <x:row r="2629" ht="54" hidden="0" customHeight="1">
      <x:c r="A2629" s="29" t="str">
        <x:v>SCA-22</x:v>
      </x:c>
      <x:c r="B2629" s="29" t="str">
        <x:v>SCA-06</x:v>
      </x:c>
      <x:c r="C2629" s="29" t="str">
        <x:v>Road</x:v>
      </x:c>
      <x:c r="D2629" s="29" t="str">
        <x:v>YES</x:v>
      </x:c>
      <x:c r="E2629" s="29" t="str">
        <x:v>YES</x:v>
      </x:c>
      <x:c r="F2629" s="62" t="n">
        <x:v>3516.9808400030906</x:v>
      </x:c>
      <x:c r="G2629" s="62" t="n">
        <x:v>83.94510618187437</x:v>
      </x:c>
      <x:c r="H2629" s="29" t="str">
        <x:v>NO</x:v>
      </x:c>
      <x:c r="I2629" s="29" t="str">
        <x:v>NHPN-gated shared-boundary SCA path</x:v>
      </x:c>
      <x:c r="J2629" s="29" t="str">
        <x:v>presence does not prove operability or capacity</x:v>
      </x:c>
    </x:row>
    <x:row r="2630" ht="64.80000305175781" hidden="0" customHeight="1">
      <x:c r="A2630" s="27" t="str">
        <x:v>SCA-22</x:v>
      </x:c>
      <x:c r="B2630" s="27" t="str">
        <x:v>SCA-06</x:v>
      </x:c>
      <x:c r="C2630" s="27" t="str">
        <x:v>Rail</x:v>
      </x:c>
      <x:c r="D2630" s="27" t="str">
        <x:v>YES</x:v>
      </x:c>
      <x:c r="E2630" s="27" t="str">
        <x:v>YES</x:v>
      </x:c>
      <x:c r="F2630" s="61" t="n">
        <x:v>3775.9877311734163</x:v>
      </x:c>
      <x:c r="G2630" s="61" t="n">
        <x:v>79.94268187390594</x:v>
      </x:c>
      <x:c r="H2630" s="27" t="str">
        <x:v>NO</x:v>
      </x:c>
      <x:c r="I2630" s="27" t="str">
        <x:v>NARN shared-node topology; deployable terminal required</x:v>
      </x:c>
      <x:c r="J2630" s="27" t="str">
        <x:v>presence does not prove operability or capacity</x:v>
      </x:c>
    </x:row>
    <x:row r="2631" ht="54" hidden="0" customHeight="1">
      <x:c r="A2631" s="29" t="str">
        <x:v>SCA-22</x:v>
      </x:c>
      <x:c r="B2631" s="29" t="str">
        <x:v>SCA-06</x:v>
      </x:c>
      <x:c r="C2631" s="29" t="str">
        <x:v>Air</x:v>
      </x:c>
      <x:c r="D2631" s="29" t="str">
        <x:v>YES</x:v>
      </x:c>
      <x:c r="E2631" s="29" t="str">
        <x:v>YES</x:v>
      </x:c>
      <x:c r="F2631" s="62" t="n">
        <x:v>2836.302885038354</x:v>
      </x:c>
      <x:c r="G2631" s="62" t="n">
        <x:v>28.363542900059006</x:v>
      </x:c>
      <x:c r="H2631" s="29" t="str">
        <x:v>YES</x:v>
      </x:c>
      <x:c r="I2631" s="29" t="str">
        <x:v>primary-airport endpoints; great-circle screen</x:v>
      </x:c>
      <x:c r="J2631" s="29" t="str">
        <x:v>presence does not prove operability or capacity</x:v>
      </x:c>
    </x:row>
    <x:row r="2632" ht="75.5999984741211" hidden="0" customHeight="1">
      <x:c r="A2632" s="27" t="str">
        <x:v>SCA-22</x:v>
      </x:c>
      <x:c r="B2632" s="27" t="str">
        <x:v>SCA-06</x:v>
      </x:c>
      <x:c r="C2632" s="27" t="str">
        <x:v>Water</x:v>
      </x:c>
      <x:c r="D2632" s="27" t="str">
        <x:v>YES</x:v>
      </x:c>
      <x:c r="E2632" s="27" t="str">
        <x:v>YES</x:v>
      </x:c>
      <x:c r="F2632" s="61" t="n">
        <x:v>6716.088181689816</x:v>
      </x:c>
      <x:c r="G2632" s="61" t="n">
        <x:v>221.8882337625662</x:v>
      </x:c>
      <x:c r="H2632" s="27" t="str">
        <x:v>NO</x:v>
      </x:c>
      <x:c r="I2632" s="27" t="str">
        <x:v>USACE waterway node topology; deployable terminal required</x:v>
      </x:c>
      <x:c r="J2632" s="27" t="str">
        <x:v>presence does not prove operability or capacity</x:v>
      </x:c>
    </x:row>
    <x:row r="2633" ht="54" hidden="0" customHeight="1">
      <x:c r="A2633" s="29" t="str">
        <x:v>SCA-22</x:v>
      </x:c>
      <x:c r="B2633" s="29" t="str">
        <x:v>SCA-07</x:v>
      </x:c>
      <x:c r="C2633" s="29" t="str">
        <x:v>Road</x:v>
      </x:c>
      <x:c r="D2633" s="29" t="str">
        <x:v>YES</x:v>
      </x:c>
      <x:c r="E2633" s="29" t="str">
        <x:v>YES</x:v>
      </x:c>
      <x:c r="F2633" s="62" t="n">
        <x:v>3461.642311638342</x:v>
      </x:c>
      <x:c r="G2633" s="62" t="n">
        <x:v>82.93895112069713</x:v>
      </x:c>
      <x:c r="H2633" s="29" t="str">
        <x:v>NO</x:v>
      </x:c>
      <x:c r="I2633" s="29" t="str">
        <x:v>NHPN-gated shared-boundary SCA path</x:v>
      </x:c>
      <x:c r="J2633" s="29" t="str">
        <x:v>presence does not prove operability or capacity</x:v>
      </x:c>
    </x:row>
    <x:row r="2634" ht="64.80000305175781" hidden="0" customHeight="1">
      <x:c r="A2634" s="27" t="str">
        <x:v>SCA-22</x:v>
      </x:c>
      <x:c r="B2634" s="27" t="str">
        <x:v>SCA-07</x:v>
      </x:c>
      <x:c r="C2634" s="27" t="str">
        <x:v>Rail</x:v>
      </x:c>
      <x:c r="D2634" s="27" t="str">
        <x:v>YES</x:v>
      </x:c>
      <x:c r="E2634" s="27" t="str">
        <x:v>YES</x:v>
      </x:c>
      <x:c r="F2634" s="61" t="n">
        <x:v>3672.3509740858935</x:v>
      </x:c>
      <x:c r="G2634" s="61" t="n">
        <x:v>78.46215677265562</x:v>
      </x:c>
      <x:c r="H2634" s="27" t="str">
        <x:v>NO</x:v>
      </x:c>
      <x:c r="I2634" s="27" t="str">
        <x:v>NARN shared-node topology; deployable terminal required</x:v>
      </x:c>
      <x:c r="J2634" s="27" t="str">
        <x:v>presence does not prove operability or capacity</x:v>
      </x:c>
    </x:row>
    <x:row r="2635" ht="54" hidden="0" customHeight="1">
      <x:c r="A2635" s="29" t="str">
        <x:v>SCA-22</x:v>
      </x:c>
      <x:c r="B2635" s="29" t="str">
        <x:v>SCA-07</x:v>
      </x:c>
      <x:c r="C2635" s="29" t="str">
        <x:v>Air</x:v>
      </x:c>
      <x:c r="D2635" s="29" t="str">
        <x:v>YES</x:v>
      </x:c>
      <x:c r="E2635" s="29" t="str">
        <x:v>YES</x:v>
      </x:c>
      <x:c r="F2635" s="62" t="n">
        <x:v>2666.7811991867484</x:v>
      </x:c>
      <x:c r="G2635" s="62" t="n">
        <x:v>28.102740306441152</x:v>
      </x:c>
      <x:c r="H2635" s="29" t="str">
        <x:v>YES</x:v>
      </x:c>
      <x:c r="I2635" s="29" t="str">
        <x:v>primary-airport endpoints; great-circle screen</x:v>
      </x:c>
      <x:c r="J2635" s="29" t="str">
        <x:v>presence does not prove operability or capacity</x:v>
      </x:c>
    </x:row>
    <x:row r="2636" ht="64.80000305175781" hidden="0" customHeight="1">
      <x:c r="A2636" s="27" t="str">
        <x:v>SCA-22</x:v>
      </x:c>
      <x:c r="B2636" s="27" t="str">
        <x:v>SCA-07</x:v>
      </x:c>
      <x:c r="C2636" s="27" t="str">
        <x:v>Water</x:v>
      </x:c>
      <x:c r="D2636" s="27" t="str">
        <x:v>YES</x:v>
      </x:c>
      <x:c r="E2636" s="27" t="str">
        <x:v>YES</x:v>
      </x:c>
      <x:c r="F2636" s="61" t="n">
        <x:v>3333.4764989834357</x:v>
      </x:c>
      <x:c r="G2636" s="61" t="n">
        <x:v>125.24218568524103</x:v>
      </x:c>
      <x:c r="H2636" s="27" t="str">
        <x:v>NO</x:v>
      </x:c>
      <x:c r="I2636" s="27" t="str">
        <x:v>observed water terminals; maritime great-circle screen</x:v>
      </x:c>
      <x:c r="J2636" s="27" t="str">
        <x:v>presence does not prove operability or capacity</x:v>
      </x:c>
    </x:row>
    <x:row r="2637" ht="54" hidden="0" customHeight="1">
      <x:c r="A2637" s="29" t="str">
        <x:v>SCA-22</x:v>
      </x:c>
      <x:c r="B2637" s="29" t="str">
        <x:v>SCA-08</x:v>
      </x:c>
      <x:c r="C2637" s="29" t="str">
        <x:v>Road</x:v>
      </x:c>
      <x:c r="D2637" s="29" t="str">
        <x:v>YES</x:v>
      </x:c>
      <x:c r="E2637" s="29" t="str">
        <x:v>YES</x:v>
      </x:c>
      <x:c r="F2637" s="62" t="n">
        <x:v>3094.8638507433834</x:v>
      </x:c>
      <x:c r="G2637" s="62" t="n">
        <x:v>76.27025183169788</x:v>
      </x:c>
      <x:c r="H2637" s="29" t="str">
        <x:v>NO</x:v>
      </x:c>
      <x:c r="I2637" s="29" t="str">
        <x:v>NHPN-gated shared-boundary SCA path</x:v>
      </x:c>
      <x:c r="J2637" s="29" t="str">
        <x:v>presence does not prove operability or capacity</x:v>
      </x:c>
    </x:row>
    <x:row r="2638" ht="64.80000305175781" hidden="0" customHeight="1">
      <x:c r="A2638" s="27" t="str">
        <x:v>SCA-22</x:v>
      </x:c>
      <x:c r="B2638" s="27" t="str">
        <x:v>SCA-08</x:v>
      </x:c>
      <x:c r="C2638" s="27" t="str">
        <x:v>Rail</x:v>
      </x:c>
      <x:c r="D2638" s="27" t="str">
        <x:v>YES</x:v>
      </x:c>
      <x:c r="E2638" s="27" t="str">
        <x:v>YES</x:v>
      </x:c>
      <x:c r="F2638" s="61" t="n">
        <x:v>3283.2468677451543</x:v>
      </x:c>
      <x:c r="G2638" s="61" t="n">
        <x:v>72.90352668207363</x:v>
      </x:c>
      <x:c r="H2638" s="27" t="str">
        <x:v>NO</x:v>
      </x:c>
      <x:c r="I2638" s="27" t="str">
        <x:v>NARN shared-node topology; deployable terminal required</x:v>
      </x:c>
      <x:c r="J2638" s="27" t="str">
        <x:v>presence does not prove operability or capacity</x:v>
      </x:c>
    </x:row>
    <x:row r="2639" ht="54" hidden="0" customHeight="1">
      <x:c r="A2639" s="29" t="str">
        <x:v>SCA-22</x:v>
      </x:c>
      <x:c r="B2639" s="29" t="str">
        <x:v>SCA-08</x:v>
      </x:c>
      <x:c r="C2639" s="29" t="str">
        <x:v>Air</x:v>
      </x:c>
      <x:c r="D2639" s="29" t="str">
        <x:v>YES</x:v>
      </x:c>
      <x:c r="E2639" s="29" t="str">
        <x:v>YES</x:v>
      </x:c>
      <x:c r="F2639" s="62" t="n">
        <x:v>2546.826802912629</x:v>
      </x:c>
      <x:c r="G2639" s="62" t="n">
        <x:v>27.918195081404043</x:v>
      </x:c>
      <x:c r="H2639" s="29" t="str">
        <x:v>YES</x:v>
      </x:c>
      <x:c r="I2639" s="29" t="str">
        <x:v>primary-airport endpoints; great-circle screen</x:v>
      </x:c>
      <x:c r="J2639" s="29" t="str">
        <x:v>presence does not prove operability or capacity</x:v>
      </x:c>
    </x:row>
    <x:row r="2640" ht="75.5999984741211" hidden="0" customHeight="1">
      <x:c r="A2640" s="27" t="str">
        <x:v>SCA-22</x:v>
      </x:c>
      <x:c r="B2640" s="27" t="str">
        <x:v>SCA-08</x:v>
      </x:c>
      <x:c r="C2640" s="27" t="str">
        <x:v>Water</x:v>
      </x:c>
      <x:c r="D2640" s="27" t="str">
        <x:v>YES</x:v>
      </x:c>
      <x:c r="E2640" s="27" t="str">
        <x:v>YES</x:v>
      </x:c>
      <x:c r="F2640" s="61" t="n">
        <x:v>9569.80213703599</x:v>
      </x:c>
      <x:c r="G2640" s="61" t="n">
        <x:v>303.42291820102827</x:v>
      </x:c>
      <x:c r="H2640" s="27" t="str">
        <x:v>NO</x:v>
      </x:c>
      <x:c r="I2640" s="27" t="str">
        <x:v>USACE waterway node topology; deployable terminal required</x:v>
      </x:c>
      <x:c r="J2640" s="27" t="str">
        <x:v>presence does not prove operability or capacity</x:v>
      </x:c>
    </x:row>
    <x:row r="2641" ht="54" hidden="0" customHeight="1">
      <x:c r="A2641" s="29" t="str">
        <x:v>SCA-22</x:v>
      </x:c>
      <x:c r="B2641" s="29" t="str">
        <x:v>SCA-09</x:v>
      </x:c>
      <x:c r="C2641" s="29" t="str">
        <x:v>Road</x:v>
      </x:c>
      <x:c r="D2641" s="29" t="str">
        <x:v>YES</x:v>
      </x:c>
      <x:c r="E2641" s="29" t="str">
        <x:v>YES</x:v>
      </x:c>
      <x:c r="F2641" s="62" t="n">
        <x:v>3067.2613882412597</x:v>
      </x:c>
      <x:c r="G2641" s="62" t="n">
        <x:v>75.76838887711381</x:v>
      </x:c>
      <x:c r="H2641" s="29" t="str">
        <x:v>NO</x:v>
      </x:c>
      <x:c r="I2641" s="29" t="str">
        <x:v>NHPN-gated shared-boundary SCA path</x:v>
      </x:c>
      <x:c r="J2641" s="29" t="str">
        <x:v>presence does not prove operability or capacity</x:v>
      </x:c>
    </x:row>
    <x:row r="2642" ht="64.80000305175781" hidden="0" customHeight="1">
      <x:c r="A2642" s="27" t="str">
        <x:v>SCA-22</x:v>
      </x:c>
      <x:c r="B2642" s="27" t="str">
        <x:v>SCA-09</x:v>
      </x:c>
      <x:c r="C2642" s="27" t="str">
        <x:v>Rail</x:v>
      </x:c>
      <x:c r="D2642" s="27" t="str">
        <x:v>YES</x:v>
      </x:c>
      <x:c r="E2642" s="27" t="str">
        <x:v>YES</x:v>
      </x:c>
      <x:c r="F2642" s="61" t="n">
        <x:v>3298.8940519130388</x:v>
      </x:c>
      <x:c r="G2642" s="61" t="n">
        <x:v>73.12705788447198</x:v>
      </x:c>
      <x:c r="H2642" s="27" t="str">
        <x:v>NO</x:v>
      </x:c>
      <x:c r="I2642" s="27" t="str">
        <x:v>NARN shared-node topology; deployable terminal required</x:v>
      </x:c>
      <x:c r="J2642" s="27" t="str">
        <x:v>presence does not prove operability or capacity</x:v>
      </x:c>
    </x:row>
    <x:row r="2643" ht="54" hidden="0" customHeight="1">
      <x:c r="A2643" s="29" t="str">
        <x:v>SCA-22</x:v>
      </x:c>
      <x:c r="B2643" s="29" t="str">
        <x:v>SCA-09</x:v>
      </x:c>
      <x:c r="C2643" s="29" t="str">
        <x:v>Air</x:v>
      </x:c>
      <x:c r="D2643" s="29" t="str">
        <x:v>YES</x:v>
      </x:c>
      <x:c r="E2643" s="29" t="str">
        <x:v>YES</x:v>
      </x:c>
      <x:c r="F2643" s="62" t="n">
        <x:v>2474.1269463994977</x:v>
      </x:c>
      <x:c r="G2643" s="62" t="n">
        <x:v>27.80634914830692</x:v>
      </x:c>
      <x:c r="H2643" s="29" t="str">
        <x:v>YES</x:v>
      </x:c>
      <x:c r="I2643" s="29" t="str">
        <x:v>primary-airport endpoints; great-circle screen</x:v>
      </x:c>
      <x:c r="J2643" s="29" t="str">
        <x:v>presence does not prove operability or capacity</x:v>
      </x:c>
    </x:row>
    <x:row r="2644" ht="54" hidden="0" customHeight="1">
      <x:c r="A2644" s="27" t="str">
        <x:v>SCA-22</x:v>
      </x:c>
      <x:c r="B2644" s="27" t="str">
        <x:v>SCA-09</x:v>
      </x:c>
      <x:c r="C2644" s="27" t="str">
        <x:v>Water</x:v>
      </x:c>
      <x:c r="D2644" s="27" t="str">
        <x:v>NO</x:v>
      </x:c>
      <x:c r="E2644" s="27" t="str">
        <x:v>NO</x:v>
      </x:c>
      <x:c r="F2644" s="61"/>
      <x:c r="G2644" s="61"/>
      <x:c r="H2644" s="27" t="str">
        <x:v>NO</x:v>
      </x:c>
      <x:c r="I2644" s="27" t="str">
        <x:v>no screened path</x:v>
      </x:c>
      <x:c r="J2644" s="27" t="str">
        <x:v>presence does not prove operability or capacity</x:v>
      </x:c>
    </x:row>
    <x:row r="2645" ht="54" hidden="0" customHeight="1">
      <x:c r="A2645" s="29" t="str">
        <x:v>SCA-22</x:v>
      </x:c>
      <x:c r="B2645" s="29" t="str">
        <x:v>SCA-10</x:v>
      </x:c>
      <x:c r="C2645" s="29" t="str">
        <x:v>Road</x:v>
      </x:c>
      <x:c r="D2645" s="29" t="str">
        <x:v>YES</x:v>
      </x:c>
      <x:c r="E2645" s="29" t="str">
        <x:v>YES</x:v>
      </x:c>
      <x:c r="F2645" s="62" t="n">
        <x:v>2647.443009028888</x:v>
      </x:c>
      <x:c r="G2645" s="62" t="n">
        <x:v>68.13532743688887</x:v>
      </x:c>
      <x:c r="H2645" s="29" t="str">
        <x:v>YES</x:v>
      </x:c>
      <x:c r="I2645" s="29" t="str">
        <x:v>NHPN-gated shared-boundary SCA path</x:v>
      </x:c>
      <x:c r="J2645" s="29" t="str">
        <x:v>presence does not prove operability or capacity</x:v>
      </x:c>
    </x:row>
    <x:row r="2646" ht="64.80000305175781" hidden="0" customHeight="1">
      <x:c r="A2646" s="27" t="str">
        <x:v>SCA-22</x:v>
      </x:c>
      <x:c r="B2646" s="27" t="str">
        <x:v>SCA-10</x:v>
      </x:c>
      <x:c r="C2646" s="27" t="str">
        <x:v>Rail</x:v>
      </x:c>
      <x:c r="D2646" s="27" t="str">
        <x:v>YES</x:v>
      </x:c>
      <x:c r="E2646" s="27" t="str">
        <x:v>YES</x:v>
      </x:c>
      <x:c r="F2646" s="61" t="n">
        <x:v>2808.5917139262983</x:v>
      </x:c>
      <x:c r="G2646" s="61" t="n">
        <x:v>66.12273877037569</x:v>
      </x:c>
      <x:c r="H2646" s="27" t="str">
        <x:v>YES</x:v>
      </x:c>
      <x:c r="I2646" s="27" t="str">
        <x:v>NARN shared-node topology; deployable terminal required</x:v>
      </x:c>
      <x:c r="J2646" s="27" t="str">
        <x:v>presence does not prove operability or capacity</x:v>
      </x:c>
    </x:row>
    <x:row r="2647" ht="54" hidden="0" customHeight="1">
      <x:c r="A2647" s="29" t="str">
        <x:v>SCA-22</x:v>
      </x:c>
      <x:c r="B2647" s="29" t="str">
        <x:v>SCA-10</x:v>
      </x:c>
      <x:c r="C2647" s="29" t="str">
        <x:v>Air</x:v>
      </x:c>
      <x:c r="D2647" s="29" t="str">
        <x:v>YES</x:v>
      </x:c>
      <x:c r="E2647" s="29" t="str">
        <x:v>YES</x:v>
      </x:c>
      <x:c r="F2647" s="62" t="n">
        <x:v>2235.8142673052434</x:v>
      </x:c>
      <x:c r="G2647" s="62" t="n">
        <x:v>27.439714257392684</x:v>
      </x:c>
      <x:c r="H2647" s="29" t="str">
        <x:v>YES</x:v>
      </x:c>
      <x:c r="I2647" s="29" t="str">
        <x:v>primary-airport endpoints; great-circle screen</x:v>
      </x:c>
      <x:c r="J2647" s="29" t="str">
        <x:v>presence does not prove operability or capacity</x:v>
      </x:c>
    </x:row>
    <x:row r="2648" ht="54" hidden="0" customHeight="1">
      <x:c r="A2648" s="27" t="str">
        <x:v>SCA-22</x:v>
      </x:c>
      <x:c r="B2648" s="27" t="str">
        <x:v>SCA-10</x:v>
      </x:c>
      <x:c r="C2648" s="27" t="str">
        <x:v>Water</x:v>
      </x:c>
      <x:c r="D2648" s="27" t="str">
        <x:v>NO</x:v>
      </x:c>
      <x:c r="E2648" s="27" t="str">
        <x:v>NO</x:v>
      </x:c>
      <x:c r="F2648" s="61"/>
      <x:c r="G2648" s="61"/>
      <x:c r="H2648" s="27" t="str">
        <x:v>NO</x:v>
      </x:c>
      <x:c r="I2648" s="27" t="str">
        <x:v>no screened path</x:v>
      </x:c>
      <x:c r="J2648" s="27" t="str">
        <x:v>presence does not prove operability or capacity</x:v>
      </x:c>
    </x:row>
    <x:row r="2649" ht="54" hidden="0" customHeight="1">
      <x:c r="A2649" s="29" t="str">
        <x:v>SCA-22</x:v>
      </x:c>
      <x:c r="B2649" s="29" t="str">
        <x:v>SCA-11</x:v>
      </x:c>
      <x:c r="C2649" s="29" t="str">
        <x:v>Road</x:v>
      </x:c>
      <x:c r="D2649" s="29" t="str">
        <x:v>YES</x:v>
      </x:c>
      <x:c r="E2649" s="29" t="str">
        <x:v>YES</x:v>
      </x:c>
      <x:c r="F2649" s="62" t="n">
        <x:v>2357.8608941861226</x:v>
      </x:c>
      <x:c r="G2649" s="62" t="n">
        <x:v>62.87019807611132</x:v>
      </x:c>
      <x:c r="H2649" s="29" t="str">
        <x:v>YES</x:v>
      </x:c>
      <x:c r="I2649" s="29" t="str">
        <x:v>NHPN-gated shared-boundary SCA path</x:v>
      </x:c>
      <x:c r="J2649" s="29" t="str">
        <x:v>presence does not prove operability or capacity</x:v>
      </x:c>
    </x:row>
    <x:row r="2650" ht="64.80000305175781" hidden="0" customHeight="1">
      <x:c r="A2650" s="27" t="str">
        <x:v>SCA-22</x:v>
      </x:c>
      <x:c r="B2650" s="27" t="str">
        <x:v>SCA-11</x:v>
      </x:c>
      <x:c r="C2650" s="27" t="str">
        <x:v>Rail</x:v>
      </x:c>
      <x:c r="D2650" s="27" t="str">
        <x:v>YES</x:v>
      </x:c>
      <x:c r="E2650" s="27" t="str">
        <x:v>YES</x:v>
      </x:c>
      <x:c r="F2650" s="61" t="n">
        <x:v>2501.3828616583214</x:v>
      </x:c>
      <x:c r="G2650" s="61" t="n">
        <x:v>61.73404088083316</x:v>
      </x:c>
      <x:c r="H2650" s="27" t="str">
        <x:v>YES</x:v>
      </x:c>
      <x:c r="I2650" s="27" t="str">
        <x:v>NARN shared-node topology; deployable terminal required</x:v>
      </x:c>
      <x:c r="J2650" s="27" t="str">
        <x:v>presence does not prove operability or capacity</x:v>
      </x:c>
    </x:row>
    <x:row r="2651" ht="54" hidden="0" customHeight="1">
      <x:c r="A2651" s="29" t="str">
        <x:v>SCA-22</x:v>
      </x:c>
      <x:c r="B2651" s="29" t="str">
        <x:v>SCA-11</x:v>
      </x:c>
      <x:c r="C2651" s="29" t="str">
        <x:v>Air</x:v>
      </x:c>
      <x:c r="D2651" s="29" t="str">
        <x:v>YES</x:v>
      </x:c>
      <x:c r="E2651" s="29" t="str">
        <x:v>YES</x:v>
      </x:c>
      <x:c r="F2651" s="62" t="n">
        <x:v>1869.1109617187035</x:v>
      </x:c>
      <x:c r="G2651" s="62" t="n">
        <x:v>26.87555532572108</x:v>
      </x:c>
      <x:c r="H2651" s="29" t="str">
        <x:v>YES</x:v>
      </x:c>
      <x:c r="I2651" s="29" t="str">
        <x:v>primary-airport endpoints; great-circle screen</x:v>
      </x:c>
      <x:c r="J2651" s="29" t="str">
        <x:v>presence does not prove operability or capacity</x:v>
      </x:c>
    </x:row>
    <x:row r="2652" ht="54" hidden="0" customHeight="1">
      <x:c r="A2652" s="27" t="str">
        <x:v>SCA-22</x:v>
      </x:c>
      <x:c r="B2652" s="27" t="str">
        <x:v>SCA-11</x:v>
      </x:c>
      <x:c r="C2652" s="27" t="str">
        <x:v>Water</x:v>
      </x:c>
      <x:c r="D2652" s="27" t="str">
        <x:v>NO</x:v>
      </x:c>
      <x:c r="E2652" s="27" t="str">
        <x:v>NO</x:v>
      </x:c>
      <x:c r="F2652" s="61"/>
      <x:c r="G2652" s="61"/>
      <x:c r="H2652" s="27" t="str">
        <x:v>NO</x:v>
      </x:c>
      <x:c r="I2652" s="27" t="str">
        <x:v>no screened path</x:v>
      </x:c>
      <x:c r="J2652" s="27" t="str">
        <x:v>presence does not prove operability or capacity</x:v>
      </x:c>
    </x:row>
    <x:row r="2653" ht="54" hidden="0" customHeight="1">
      <x:c r="A2653" s="29" t="str">
        <x:v>SCA-22</x:v>
      </x:c>
      <x:c r="B2653" s="29" t="str">
        <x:v>SCA-12</x:v>
      </x:c>
      <x:c r="C2653" s="29" t="str">
        <x:v>Road</x:v>
      </x:c>
      <x:c r="D2653" s="29" t="str">
        <x:v>YES</x:v>
      </x:c>
      <x:c r="E2653" s="29" t="str">
        <x:v>YES</x:v>
      </x:c>
      <x:c r="F2653" s="62" t="n">
        <x:v>1971.1850467824456</x:v>
      </x:c>
      <x:c r="G2653" s="62" t="n">
        <x:v>55.839728123317194</x:v>
      </x:c>
      <x:c r="H2653" s="29" t="str">
        <x:v>YES</x:v>
      </x:c>
      <x:c r="I2653" s="29" t="str">
        <x:v>NHPN-gated shared-boundary SCA path</x:v>
      </x:c>
      <x:c r="J2653" s="29" t="str">
        <x:v>presence does not prove operability or capacity</x:v>
      </x:c>
    </x:row>
    <x:row r="2654" ht="64.80000305175781" hidden="0" customHeight="1">
      <x:c r="A2654" s="27" t="str">
        <x:v>SCA-22</x:v>
      </x:c>
      <x:c r="B2654" s="27" t="str">
        <x:v>SCA-12</x:v>
      </x:c>
      <x:c r="C2654" s="27" t="str">
        <x:v>Rail</x:v>
      </x:c>
      <x:c r="D2654" s="27" t="str">
        <x:v>YES</x:v>
      </x:c>
      <x:c r="E2654" s="27" t="str">
        <x:v>YES</x:v>
      </x:c>
      <x:c r="F2654" s="61" t="n">
        <x:v>2091.170223543116</x:v>
      </x:c>
      <x:c r="G2654" s="61" t="n">
        <x:v>55.87386033633023</x:v>
      </x:c>
      <x:c r="H2654" s="27" t="str">
        <x:v>YES</x:v>
      </x:c>
      <x:c r="I2654" s="27" t="str">
        <x:v>NARN shared-node topology; deployable terminal required</x:v>
      </x:c>
      <x:c r="J2654" s="27" t="str">
        <x:v>presence does not prove operability or capacity</x:v>
      </x:c>
    </x:row>
    <x:row r="2655" ht="54" hidden="0" customHeight="1">
      <x:c r="A2655" s="29" t="str">
        <x:v>SCA-22</x:v>
      </x:c>
      <x:c r="B2655" s="29" t="str">
        <x:v>SCA-12</x:v>
      </x:c>
      <x:c r="C2655" s="29" t="str">
        <x:v>Air</x:v>
      </x:c>
      <x:c r="D2655" s="29" t="str">
        <x:v>YES</x:v>
      </x:c>
      <x:c r="E2655" s="29" t="str">
        <x:v>YES</x:v>
      </x:c>
      <x:c r="F2655" s="62" t="n">
        <x:v>1686.2841308567363</x:v>
      </x:c>
      <x:c r="G2655" s="62" t="n">
        <x:v>26.594283278241132</x:v>
      </x:c>
      <x:c r="H2655" s="29" t="str">
        <x:v>YES</x:v>
      </x:c>
      <x:c r="I2655" s="29" t="str">
        <x:v>primary-airport endpoints; great-circle screen</x:v>
      </x:c>
      <x:c r="J2655" s="29" t="str">
        <x:v>presence does not prove operability or capacity</x:v>
      </x:c>
    </x:row>
    <x:row r="2656" ht="54" hidden="0" customHeight="1">
      <x:c r="A2656" s="27" t="str">
        <x:v>SCA-22</x:v>
      </x:c>
      <x:c r="B2656" s="27" t="str">
        <x:v>SCA-12</x:v>
      </x:c>
      <x:c r="C2656" s="27" t="str">
        <x:v>Water</x:v>
      </x:c>
      <x:c r="D2656" s="27" t="str">
        <x:v>NO</x:v>
      </x:c>
      <x:c r="E2656" s="27" t="str">
        <x:v>NO</x:v>
      </x:c>
      <x:c r="F2656" s="61"/>
      <x:c r="G2656" s="61"/>
      <x:c r="H2656" s="27" t="str">
        <x:v>NO</x:v>
      </x:c>
      <x:c r="I2656" s="27" t="str">
        <x:v>no screened path</x:v>
      </x:c>
      <x:c r="J2656" s="27" t="str">
        <x:v>presence does not prove operability or capacity</x:v>
      </x:c>
    </x:row>
    <x:row r="2657" ht="54" hidden="0" customHeight="1">
      <x:c r="A2657" s="29" t="str">
        <x:v>SCA-22</x:v>
      </x:c>
      <x:c r="B2657" s="29" t="str">
        <x:v>SCA-13</x:v>
      </x:c>
      <x:c r="C2657" s="29" t="str">
        <x:v>Road</x:v>
      </x:c>
      <x:c r="D2657" s="29" t="str">
        <x:v>NO</x:v>
      </x:c>
      <x:c r="E2657" s="29" t="str">
        <x:v>NO</x:v>
      </x:c>
      <x:c r="F2657" s="62"/>
      <x:c r="G2657" s="62"/>
      <x:c r="H2657" s="29" t="str">
        <x:v>NO</x:v>
      </x:c>
      <x:c r="I2657" s="29" t="str">
        <x:v>no screened path</x:v>
      </x:c>
      <x:c r="J2657" s="29" t="str">
        <x:v>presence does not prove operability or capacity</x:v>
      </x:c>
    </x:row>
    <x:row r="2658" ht="64.80000305175781" hidden="0" customHeight="1">
      <x:c r="A2658" s="27" t="str">
        <x:v>SCA-22</x:v>
      </x:c>
      <x:c r="B2658" s="27" t="str">
        <x:v>SCA-13</x:v>
      </x:c>
      <x:c r="C2658" s="27" t="str">
        <x:v>Rail</x:v>
      </x:c>
      <x:c r="D2658" s="27" t="str">
        <x:v>YES</x:v>
      </x:c>
      <x:c r="E2658" s="27" t="str">
        <x:v>YES</x:v>
      </x:c>
      <x:c r="F2658" s="61" t="n">
        <x:v>1964.8530146012313</x:v>
      </x:c>
      <x:c r="G2658" s="61" t="n">
        <x:v>54.069328780017585</x:v>
      </x:c>
      <x:c r="H2658" s="27" t="str">
        <x:v>YES</x:v>
      </x:c>
      <x:c r="I2658" s="27" t="str">
        <x:v>NARN shared-node topology; deployable terminal required</x:v>
      </x:c>
      <x:c r="J2658" s="27" t="str">
        <x:v>presence does not prove operability or capacity</x:v>
      </x:c>
    </x:row>
    <x:row r="2659" ht="54" hidden="0" customHeight="1">
      <x:c r="A2659" s="29" t="str">
        <x:v>SCA-22</x:v>
      </x:c>
      <x:c r="B2659" s="29" t="str">
        <x:v>SCA-13</x:v>
      </x:c>
      <x:c r="C2659" s="29" t="str">
        <x:v>Air</x:v>
      </x:c>
      <x:c r="D2659" s="29" t="str">
        <x:v>YES</x:v>
      </x:c>
      <x:c r="E2659" s="29" t="str">
        <x:v>YES</x:v>
      </x:c>
      <x:c r="F2659" s="62" t="n">
        <x:v>1498.6436483014447</x:v>
      </x:c>
      <x:c r="G2659" s="62" t="n">
        <x:v>26.305605612771455</x:v>
      </x:c>
      <x:c r="H2659" s="29" t="str">
        <x:v>YES</x:v>
      </x:c>
      <x:c r="I2659" s="29" t="str">
        <x:v>primary-airport endpoints; great-circle screen</x:v>
      </x:c>
      <x:c r="J2659" s="29" t="str">
        <x:v>presence does not prove operability or capacity</x:v>
      </x:c>
    </x:row>
    <x:row r="2660" ht="75.5999984741211" hidden="0" customHeight="1">
      <x:c r="A2660" s="27" t="str">
        <x:v>SCA-22</x:v>
      </x:c>
      <x:c r="B2660" s="27" t="str">
        <x:v>SCA-13</x:v>
      </x:c>
      <x:c r="C2660" s="27" t="str">
        <x:v>Water</x:v>
      </x:c>
      <x:c r="D2660" s="27" t="str">
        <x:v>YES</x:v>
      </x:c>
      <x:c r="E2660" s="27" t="str">
        <x:v>YES</x:v>
      </x:c>
      <x:c r="F2660" s="61" t="n">
        <x:v>2061.485130073423</x:v>
      </x:c>
      <x:c r="G2660" s="61" t="n">
        <x:v>88.89957514495495</x:v>
      </x:c>
      <x:c r="H2660" s="27" t="str">
        <x:v>NO</x:v>
      </x:c>
      <x:c r="I2660" s="27" t="str">
        <x:v>USACE waterway node topology; deployable terminal required</x:v>
      </x:c>
      <x:c r="J2660" s="27" t="str">
        <x:v>presence does not prove operability or capacity</x:v>
      </x:c>
    </x:row>
    <x:row r="2661" ht="54" hidden="0" customHeight="1">
      <x:c r="A2661" s="29" t="str">
        <x:v>SCA-22</x:v>
      </x:c>
      <x:c r="B2661" s="29" t="str">
        <x:v>SCA-14</x:v>
      </x:c>
      <x:c r="C2661" s="29" t="str">
        <x:v>Road</x:v>
      </x:c>
      <x:c r="D2661" s="29" t="str">
        <x:v>NO</x:v>
      </x:c>
      <x:c r="E2661" s="29" t="str">
        <x:v>NO</x:v>
      </x:c>
      <x:c r="F2661" s="62"/>
      <x:c r="G2661" s="62"/>
      <x:c r="H2661" s="29" t="str">
        <x:v>NO</x:v>
      </x:c>
      <x:c r="I2661" s="29" t="str">
        <x:v>no screened path</x:v>
      </x:c>
      <x:c r="J2661" s="29" t="str">
        <x:v>presence does not prove operability or capacity</x:v>
      </x:c>
    </x:row>
    <x:row r="2662" ht="64.80000305175781" hidden="0" customHeight="1">
      <x:c r="A2662" s="27" t="str">
        <x:v>SCA-22</x:v>
      </x:c>
      <x:c r="B2662" s="27" t="str">
        <x:v>SCA-14</x:v>
      </x:c>
      <x:c r="C2662" s="27" t="str">
        <x:v>Rail</x:v>
      </x:c>
      <x:c r="D2662" s="27" t="str">
        <x:v>YES</x:v>
      </x:c>
      <x:c r="E2662" s="27" t="str">
        <x:v>YES</x:v>
      </x:c>
      <x:c r="F2662" s="61" t="n">
        <x:v>2392.9826430769494</x:v>
      </x:c>
      <x:c r="G2662" s="61" t="n">
        <x:v>60.1854663296707</x:v>
      </x:c>
      <x:c r="H2662" s="27" t="str">
        <x:v>YES</x:v>
      </x:c>
      <x:c r="I2662" s="27" t="str">
        <x:v>NARN shared-node topology; deployable terminal required</x:v>
      </x:c>
      <x:c r="J2662" s="27" t="str">
        <x:v>presence does not prove operability or capacity</x:v>
      </x:c>
    </x:row>
    <x:row r="2663" ht="54" hidden="0" customHeight="1">
      <x:c r="A2663" s="29" t="str">
        <x:v>SCA-22</x:v>
      </x:c>
      <x:c r="B2663" s="29" t="str">
        <x:v>SCA-14</x:v>
      </x:c>
      <x:c r="C2663" s="29" t="str">
        <x:v>Air</x:v>
      </x:c>
      <x:c r="D2663" s="29" t="str">
        <x:v>YES</x:v>
      </x:c>
      <x:c r="E2663" s="29" t="str">
        <x:v>YES</x:v>
      </x:c>
      <x:c r="F2663" s="62" t="n">
        <x:v>1747.5270982124475</x:v>
      </x:c>
      <x:c r="G2663" s="62" t="n">
        <x:v>26.68850322801915</x:v>
      </x:c>
      <x:c r="H2663" s="29" t="str">
        <x:v>YES</x:v>
      </x:c>
      <x:c r="I2663" s="29" t="str">
        <x:v>primary-airport endpoints; great-circle screen</x:v>
      </x:c>
      <x:c r="J2663" s="29" t="str">
        <x:v>presence does not prove operability or capacity</x:v>
      </x:c>
    </x:row>
    <x:row r="2664" ht="75.5999984741211" hidden="0" customHeight="1">
      <x:c r="A2664" s="27" t="str">
        <x:v>SCA-22</x:v>
      </x:c>
      <x:c r="B2664" s="27" t="str">
        <x:v>SCA-14</x:v>
      </x:c>
      <x:c r="C2664" s="27" t="str">
        <x:v>Water</x:v>
      </x:c>
      <x:c r="D2664" s="27" t="str">
        <x:v>YES</x:v>
      </x:c>
      <x:c r="E2664" s="27" t="str">
        <x:v>YES</x:v>
      </x:c>
      <x:c r="F2664" s="61" t="n">
        <x:v>2242.318574179402</x:v>
      </x:c>
      <x:c r="G2664" s="61" t="n">
        <x:v>94.06624497655434</x:v>
      </x:c>
      <x:c r="H2664" s="27" t="str">
        <x:v>NO</x:v>
      </x:c>
      <x:c r="I2664" s="27" t="str">
        <x:v>USACE waterway node topology; deployable terminal required</x:v>
      </x:c>
      <x:c r="J2664" s="27" t="str">
        <x:v>presence does not prove operability or capacity</x:v>
      </x:c>
    </x:row>
    <x:row r="2665" ht="54" hidden="0" customHeight="1">
      <x:c r="A2665" s="29" t="str">
        <x:v>SCA-22</x:v>
      </x:c>
      <x:c r="B2665" s="29" t="str">
        <x:v>SCA-15</x:v>
      </x:c>
      <x:c r="C2665" s="29" t="str">
        <x:v>Road</x:v>
      </x:c>
      <x:c r="D2665" s="29" t="str">
        <x:v>YES</x:v>
      </x:c>
      <x:c r="E2665" s="29" t="str">
        <x:v>YES</x:v>
      </x:c>
      <x:c r="F2665" s="62" t="n">
        <x:v>1452.4832257216856</x:v>
      </x:c>
      <x:c r="G2665" s="62" t="n">
        <x:v>46.408785922212466</x:v>
      </x:c>
      <x:c r="H2665" s="29" t="str">
        <x:v>YES</x:v>
      </x:c>
      <x:c r="I2665" s="29" t="str">
        <x:v>NHPN-gated shared-boundary SCA path</x:v>
      </x:c>
      <x:c r="J2665" s="29" t="str">
        <x:v>presence does not prove operability or capacity</x:v>
      </x:c>
    </x:row>
    <x:row r="2666" ht="64.80000305175781" hidden="0" customHeight="1">
      <x:c r="A2666" s="27" t="str">
        <x:v>SCA-22</x:v>
      </x:c>
      <x:c r="B2666" s="27" t="str">
        <x:v>SCA-15</x:v>
      </x:c>
      <x:c r="C2666" s="27" t="str">
        <x:v>Rail</x:v>
      </x:c>
      <x:c r="D2666" s="27" t="str">
        <x:v>YES</x:v>
      </x:c>
      <x:c r="E2666" s="27" t="str">
        <x:v>YES</x:v>
      </x:c>
      <x:c r="F2666" s="61" t="n">
        <x:v>1540.8952481569186</x:v>
      </x:c>
      <x:c r="G2666" s="61" t="n">
        <x:v>48.01278925938455</x:v>
      </x:c>
      <x:c r="H2666" s="27" t="str">
        <x:v>YES</x:v>
      </x:c>
      <x:c r="I2666" s="27" t="str">
        <x:v>NARN shared-node topology; deployable terminal required</x:v>
      </x:c>
      <x:c r="J2666" s="27" t="str">
        <x:v>presence does not prove operability or capacity</x:v>
      </x:c>
    </x:row>
    <x:row r="2667" ht="54" hidden="0" customHeight="1">
      <x:c r="A2667" s="29" t="str">
        <x:v>SCA-22</x:v>
      </x:c>
      <x:c r="B2667" s="29" t="str">
        <x:v>SCA-15</x:v>
      </x:c>
      <x:c r="C2667" s="29" t="str">
        <x:v>Air</x:v>
      </x:c>
      <x:c r="D2667" s="29" t="str">
        <x:v>YES</x:v>
      </x:c>
      <x:c r="E2667" s="29" t="str">
        <x:v>YES</x:v>
      </x:c>
      <x:c r="F2667" s="62" t="n">
        <x:v>1180.7757625169359</x:v>
      </x:c>
      <x:c r="G2667" s="62" t="n">
        <x:v>25.816578096179903</x:v>
      </x:c>
      <x:c r="H2667" s="29" t="str">
        <x:v>YES</x:v>
      </x:c>
      <x:c r="I2667" s="29" t="str">
        <x:v>primary-airport endpoints; great-circle screen</x:v>
      </x:c>
      <x:c r="J2667" s="29" t="str">
        <x:v>presence does not prove operability or capacity</x:v>
      </x:c>
    </x:row>
    <x:row r="2668" ht="75.5999984741211" hidden="0" customHeight="1">
      <x:c r="A2668" s="27" t="str">
        <x:v>SCA-22</x:v>
      </x:c>
      <x:c r="B2668" s="27" t="str">
        <x:v>SCA-15</x:v>
      </x:c>
      <x:c r="C2668" s="27" t="str">
        <x:v>Water</x:v>
      </x:c>
      <x:c r="D2668" s="27" t="str">
        <x:v>YES</x:v>
      </x:c>
      <x:c r="E2668" s="27" t="str">
        <x:v>YES</x:v>
      </x:c>
      <x:c r="F2668" s="61" t="n">
        <x:v>1924.5573473260529</x:v>
      </x:c>
      <x:c r="G2668" s="61" t="n">
        <x:v>84.98735278074437</x:v>
      </x:c>
      <x:c r="H2668" s="27" t="str">
        <x:v>NO</x:v>
      </x:c>
      <x:c r="I2668" s="27" t="str">
        <x:v>USACE waterway node topology; deployable terminal required</x:v>
      </x:c>
      <x:c r="J2668" s="27" t="str">
        <x:v>presence does not prove operability or capacity</x:v>
      </x:c>
    </x:row>
    <x:row r="2669" ht="54" hidden="0" customHeight="1">
      <x:c r="A2669" s="29" t="str">
        <x:v>SCA-22</x:v>
      </x:c>
      <x:c r="B2669" s="29" t="str">
        <x:v>SCA-16</x:v>
      </x:c>
      <x:c r="C2669" s="29" t="str">
        <x:v>Road</x:v>
      </x:c>
      <x:c r="D2669" s="29" t="str">
        <x:v>YES</x:v>
      </x:c>
      <x:c r="E2669" s="29" t="str">
        <x:v>YES</x:v>
      </x:c>
      <x:c r="F2669" s="62" t="n">
        <x:v>1079.0678047893448</x:v>
      </x:c>
      <x:c r="G2669" s="62" t="n">
        <x:v>39.61941463253354</x:v>
      </x:c>
      <x:c r="H2669" s="29" t="str">
        <x:v>YES</x:v>
      </x:c>
      <x:c r="I2669" s="29" t="str">
        <x:v>NHPN-gated shared-boundary SCA path</x:v>
      </x:c>
      <x:c r="J2669" s="29" t="str">
        <x:v>presence does not prove operability or capacity</x:v>
      </x:c>
    </x:row>
    <x:row r="2670" ht="64.80000305175781" hidden="0" customHeight="1">
      <x:c r="A2670" s="27" t="str">
        <x:v>SCA-22</x:v>
      </x:c>
      <x:c r="B2670" s="27" t="str">
        <x:v>SCA-16</x:v>
      </x:c>
      <x:c r="C2670" s="27" t="str">
        <x:v>Rail</x:v>
      </x:c>
      <x:c r="D2670" s="27" t="str">
        <x:v>YES</x:v>
      </x:c>
      <x:c r="E2670" s="27" t="str">
        <x:v>YES</x:v>
      </x:c>
      <x:c r="F2670" s="61" t="n">
        <x:v>1144.7501929069572</x:v>
      </x:c>
      <x:c r="G2670" s="61" t="n">
        <x:v>42.3535741843851</x:v>
      </x:c>
      <x:c r="H2670" s="27" t="str">
        <x:v>YES</x:v>
      </x:c>
      <x:c r="I2670" s="27" t="str">
        <x:v>NARN shared-node topology; deployable terminal required</x:v>
      </x:c>
      <x:c r="J2670" s="27" t="str">
        <x:v>presence does not prove operability or capacity</x:v>
      </x:c>
    </x:row>
    <x:row r="2671" ht="54" hidden="0" customHeight="1">
      <x:c r="A2671" s="29" t="str">
        <x:v>SCA-22</x:v>
      </x:c>
      <x:c r="B2671" s="29" t="str">
        <x:v>SCA-16</x:v>
      </x:c>
      <x:c r="C2671" s="29" t="str">
        <x:v>Air</x:v>
      </x:c>
      <x:c r="D2671" s="29" t="str">
        <x:v>YES</x:v>
      </x:c>
      <x:c r="E2671" s="29" t="str">
        <x:v>YES</x:v>
      </x:c>
      <x:c r="F2671" s="62" t="n">
        <x:v>934.6914951262081</x:v>
      </x:c>
      <x:c r="G2671" s="62" t="n">
        <x:v>25.437986915578783</x:v>
      </x:c>
      <x:c r="H2671" s="29" t="str">
        <x:v>YES</x:v>
      </x:c>
      <x:c r="I2671" s="29" t="str">
        <x:v>primary-airport endpoints; great-circle screen</x:v>
      </x:c>
      <x:c r="J2671" s="29" t="str">
        <x:v>presence does not prove operability or capacity</x:v>
      </x:c>
    </x:row>
    <x:row r="2672" ht="75.5999984741211" hidden="0" customHeight="1">
      <x:c r="A2672" s="27" t="str">
        <x:v>SCA-22</x:v>
      </x:c>
      <x:c r="B2672" s="27" t="str">
        <x:v>SCA-16</x:v>
      </x:c>
      <x:c r="C2672" s="27" t="str">
        <x:v>Water</x:v>
      </x:c>
      <x:c r="D2672" s="27" t="str">
        <x:v>YES</x:v>
      </x:c>
      <x:c r="E2672" s="27" t="str">
        <x:v>YES</x:v>
      </x:c>
      <x:c r="F2672" s="61" t="n">
        <x:v>1201.0493827220535</x:v>
      </x:c>
      <x:c r="G2672" s="61" t="n">
        <x:v>64.31569664920153</x:v>
      </x:c>
      <x:c r="H2672" s="27" t="str">
        <x:v>YES</x:v>
      </x:c>
      <x:c r="I2672" s="27" t="str">
        <x:v>USACE waterway node topology; deployable terminal required</x:v>
      </x:c>
      <x:c r="J2672" s="27" t="str">
        <x:v>presence does not prove operability or capacity</x:v>
      </x:c>
    </x:row>
    <x:row r="2673" ht="54" hidden="0" customHeight="1">
      <x:c r="A2673" s="29" t="str">
        <x:v>SCA-22</x:v>
      </x:c>
      <x:c r="B2673" s="29" t="str">
        <x:v>SCA-17</x:v>
      </x:c>
      <x:c r="C2673" s="29" t="str">
        <x:v>Road</x:v>
      </x:c>
      <x:c r="D2673" s="29" t="str">
        <x:v>YES</x:v>
      </x:c>
      <x:c r="E2673" s="29" t="str">
        <x:v>YES</x:v>
      </x:c>
      <x:c r="F2673" s="62" t="n">
        <x:v>1419.7799056048696</x:v>
      </x:c>
      <x:c r="G2673" s="62" t="n">
        <x:v>45.814180101906715</x:v>
      </x:c>
      <x:c r="H2673" s="29" t="str">
        <x:v>YES</x:v>
      </x:c>
      <x:c r="I2673" s="29" t="str">
        <x:v>NHPN-gated shared-boundary SCA path</x:v>
      </x:c>
      <x:c r="J2673" s="29" t="str">
        <x:v>presence does not prove operability or capacity</x:v>
      </x:c>
    </x:row>
    <x:row r="2674" ht="64.80000305175781" hidden="0" customHeight="1">
      <x:c r="A2674" s="27" t="str">
        <x:v>SCA-22</x:v>
      </x:c>
      <x:c r="B2674" s="27" t="str">
        <x:v>SCA-17</x:v>
      </x:c>
      <x:c r="C2674" s="27" t="str">
        <x:v>Rail</x:v>
      </x:c>
      <x:c r="D2674" s="27" t="str">
        <x:v>YES</x:v>
      </x:c>
      <x:c r="E2674" s="27" t="str">
        <x:v>YES</x:v>
      </x:c>
      <x:c r="F2674" s="61" t="n">
        <x:v>1506.2012911634265</x:v>
      </x:c>
      <x:c r="G2674" s="61" t="n">
        <x:v>47.517161302334664</x:v>
      </x:c>
      <x:c r="H2674" s="27" t="str">
        <x:v>YES</x:v>
      </x:c>
      <x:c r="I2674" s="27" t="str">
        <x:v>NARN shared-node topology; deployable terminal required</x:v>
      </x:c>
      <x:c r="J2674" s="27" t="str">
        <x:v>presence does not prove operability or capacity</x:v>
      </x:c>
    </x:row>
    <x:row r="2675" ht="54" hidden="0" customHeight="1">
      <x:c r="A2675" s="29" t="str">
        <x:v>SCA-22</x:v>
      </x:c>
      <x:c r="B2675" s="29" t="str">
        <x:v>SCA-17</x:v>
      </x:c>
      <x:c r="C2675" s="29" t="str">
        <x:v>Air</x:v>
      </x:c>
      <x:c r="D2675" s="29" t="str">
        <x:v>YES</x:v>
      </x:c>
      <x:c r="E2675" s="29" t="str">
        <x:v>YES</x:v>
      </x:c>
      <x:c r="F2675" s="62" t="n">
        <x:v>1234.2198673905793</x:v>
      </x:c>
      <x:c r="G2675" s="62" t="n">
        <x:v>25.898799795985507</x:v>
      </x:c>
      <x:c r="H2675" s="29" t="str">
        <x:v>YES</x:v>
      </x:c>
      <x:c r="I2675" s="29" t="str">
        <x:v>primary-airport endpoints; great-circle screen</x:v>
      </x:c>
      <x:c r="J2675" s="29" t="str">
        <x:v>presence does not prove operability or capacity</x:v>
      </x:c>
    </x:row>
    <x:row r="2676" ht="75.5999984741211" hidden="0" customHeight="1">
      <x:c r="A2676" s="27" t="str">
        <x:v>SCA-22</x:v>
      </x:c>
      <x:c r="B2676" s="27" t="str">
        <x:v>SCA-17</x:v>
      </x:c>
      <x:c r="C2676" s="27" t="str">
        <x:v>Water</x:v>
      </x:c>
      <x:c r="D2676" s="27" t="str">
        <x:v>YES</x:v>
      </x:c>
      <x:c r="E2676" s="27" t="str">
        <x:v>YES</x:v>
      </x:c>
      <x:c r="F2676" s="61" t="n">
        <x:v>1580.2767644993328</x:v>
      </x:c>
      <x:c r="G2676" s="61" t="n">
        <x:v>75.15076469998094</x:v>
      </x:c>
      <x:c r="H2676" s="27" t="str">
        <x:v>NO</x:v>
      </x:c>
      <x:c r="I2676" s="27" t="str">
        <x:v>USACE waterway node topology; deployable terminal required</x:v>
      </x:c>
      <x:c r="J2676" s="27" t="str">
        <x:v>presence does not prove operability or capacity</x:v>
      </x:c>
    </x:row>
    <x:row r="2677" ht="54" hidden="0" customHeight="1">
      <x:c r="A2677" s="29" t="str">
        <x:v>SCA-22</x:v>
      </x:c>
      <x:c r="B2677" s="29" t="str">
        <x:v>SCA-18</x:v>
      </x:c>
      <x:c r="C2677" s="29" t="str">
        <x:v>Road</x:v>
      </x:c>
      <x:c r="D2677" s="29" t="str">
        <x:v>YES</x:v>
      </x:c>
      <x:c r="E2677" s="29" t="str">
        <x:v>YES</x:v>
      </x:c>
      <x:c r="F2677" s="62" t="n">
        <x:v>1190.931283347446</x:v>
      </x:c>
      <x:c r="G2677" s="62" t="n">
        <x:v>41.65329606086266</x:v>
      </x:c>
      <x:c r="H2677" s="29" t="str">
        <x:v>YES</x:v>
      </x:c>
      <x:c r="I2677" s="29" t="str">
        <x:v>NHPN-gated shared-boundary SCA path</x:v>
      </x:c>
      <x:c r="J2677" s="29" t="str">
        <x:v>presence does not prove operability or capacity</x:v>
      </x:c>
    </x:row>
    <x:row r="2678" ht="64.80000305175781" hidden="0" customHeight="1">
      <x:c r="A2678" s="27" t="str">
        <x:v>SCA-22</x:v>
      </x:c>
      <x:c r="B2678" s="27" t="str">
        <x:v>SCA-18</x:v>
      </x:c>
      <x:c r="C2678" s="27" t="str">
        <x:v>Rail</x:v>
      </x:c>
      <x:c r="D2678" s="27" t="str">
        <x:v>YES</x:v>
      </x:c>
      <x:c r="E2678" s="27" t="str">
        <x:v>YES</x:v>
      </x:c>
      <x:c r="F2678" s="61" t="n">
        <x:v>1263.4227527685948</x:v>
      </x:c>
      <x:c r="G2678" s="61" t="n">
        <x:v>44.048896468122784</x:v>
      </x:c>
      <x:c r="H2678" s="27" t="str">
        <x:v>YES</x:v>
      </x:c>
      <x:c r="I2678" s="27" t="str">
        <x:v>NARN shared-node topology; deployable terminal required</x:v>
      </x:c>
      <x:c r="J2678" s="27" t="str">
        <x:v>presence does not prove operability or capacity</x:v>
      </x:c>
    </x:row>
    <x:row r="2679" ht="54" hidden="0" customHeight="1">
      <x:c r="A2679" s="29" t="str">
        <x:v>SCA-22</x:v>
      </x:c>
      <x:c r="B2679" s="29" t="str">
        <x:v>SCA-18</x:v>
      </x:c>
      <x:c r="C2679" s="29" t="str">
        <x:v>Air</x:v>
      </x:c>
      <x:c r="D2679" s="29" t="str">
        <x:v>YES</x:v>
      </x:c>
      <x:c r="E2679" s="29" t="str">
        <x:v>YES</x:v>
      </x:c>
      <x:c r="F2679" s="62" t="n">
        <x:v>1003.2500178045785</x:v>
      </x:c>
      <x:c r="G2679" s="62" t="n">
        <x:v>25.5434615658532</x:v>
      </x:c>
      <x:c r="H2679" s="29" t="str">
        <x:v>YES</x:v>
      </x:c>
      <x:c r="I2679" s="29" t="str">
        <x:v>primary-airport endpoints; great-circle screen</x:v>
      </x:c>
      <x:c r="J2679" s="29" t="str">
        <x:v>presence does not prove operability or capacity</x:v>
      </x:c>
    </x:row>
    <x:row r="2680" ht="75.5999984741211" hidden="0" customHeight="1">
      <x:c r="A2680" s="27" t="str">
        <x:v>SCA-22</x:v>
      </x:c>
      <x:c r="B2680" s="27" t="str">
        <x:v>SCA-18</x:v>
      </x:c>
      <x:c r="C2680" s="27" t="str">
        <x:v>Water</x:v>
      </x:c>
      <x:c r="D2680" s="27" t="str">
        <x:v>YES</x:v>
      </x:c>
      <x:c r="E2680" s="27" t="str">
        <x:v>YES</x:v>
      </x:c>
      <x:c r="F2680" s="61" t="n">
        <x:v>1919.6789294094442</x:v>
      </x:c>
      <x:c r="G2680" s="61" t="n">
        <x:v>84.84796941169841</x:v>
      </x:c>
      <x:c r="H2680" s="27" t="str">
        <x:v>NO</x:v>
      </x:c>
      <x:c r="I2680" s="27" t="str">
        <x:v>USACE waterway node topology; deployable terminal required</x:v>
      </x:c>
      <x:c r="J2680" s="27" t="str">
        <x:v>presence does not prove operability or capacity</x:v>
      </x:c>
    </x:row>
    <x:row r="2681" ht="54" hidden="0" customHeight="1">
      <x:c r="A2681" s="29" t="str">
        <x:v>SCA-22</x:v>
      </x:c>
      <x:c r="B2681" s="29" t="str">
        <x:v>SCA-19</x:v>
      </x:c>
      <x:c r="C2681" s="29" t="str">
        <x:v>Road</x:v>
      </x:c>
      <x:c r="D2681" s="29" t="str">
        <x:v>YES</x:v>
      </x:c>
      <x:c r="E2681" s="29" t="str">
        <x:v>YES</x:v>
      </x:c>
      <x:c r="F2681" s="62" t="n">
        <x:v>557.5826308603289</x:v>
      </x:c>
      <x:c r="G2681" s="62" t="n">
        <x:v>30.137866015642345</x:v>
      </x:c>
      <x:c r="H2681" s="29" t="str">
        <x:v>YES</x:v>
      </x:c>
      <x:c r="I2681" s="29" t="str">
        <x:v>NHPN-gated shared-boundary SCA path</x:v>
      </x:c>
      <x:c r="J2681" s="29" t="str">
        <x:v>presence does not prove operability or capacity</x:v>
      </x:c>
    </x:row>
    <x:row r="2682" ht="64.80000305175781" hidden="0" customHeight="1">
      <x:c r="A2682" s="27" t="str">
        <x:v>SCA-22</x:v>
      </x:c>
      <x:c r="B2682" s="27" t="str">
        <x:v>SCA-19</x:v>
      </x:c>
      <x:c r="C2682" s="27" t="str">
        <x:v>Rail</x:v>
      </x:c>
      <x:c r="D2682" s="27" t="str">
        <x:v>YES</x:v>
      </x:c>
      <x:c r="E2682" s="27" t="str">
        <x:v>YES</x:v>
      </x:c>
      <x:c r="F2682" s="61" t="n">
        <x:v>591.5224431735664</x:v>
      </x:c>
      <x:c r="G2682" s="61" t="n">
        <x:v>34.45032061676523</x:v>
      </x:c>
      <x:c r="H2682" s="27" t="str">
        <x:v>YES</x:v>
      </x:c>
      <x:c r="I2682" s="27" t="str">
        <x:v>NARN shared-node topology; deployable terminal required</x:v>
      </x:c>
      <x:c r="J2682" s="27" t="str">
        <x:v>presence does not prove operability or capacity</x:v>
      </x:c>
    </x:row>
    <x:row r="2683" ht="54" hidden="0" customHeight="1">
      <x:c r="A2683" s="29" t="str">
        <x:v>SCA-22</x:v>
      </x:c>
      <x:c r="B2683" s="29" t="str">
        <x:v>SCA-19</x:v>
      </x:c>
      <x:c r="C2683" s="29" t="str">
        <x:v>Air</x:v>
      </x:c>
      <x:c r="D2683" s="29" t="str">
        <x:v>YES</x:v>
      </x:c>
      <x:c r="E2683" s="29" t="str">
        <x:v>YES</x:v>
      </x:c>
      <x:c r="F2683" s="62" t="n">
        <x:v>484.85446161767743</x:v>
      </x:c>
      <x:c r="G2683" s="62" t="n">
        <x:v>24.745929940950273</x:v>
      </x:c>
      <x:c r="H2683" s="29" t="str">
        <x:v>YES</x:v>
      </x:c>
      <x:c r="I2683" s="29" t="str">
        <x:v>primary-airport endpoints; great-circle screen</x:v>
      </x:c>
      <x:c r="J2683" s="29" t="str">
        <x:v>presence does not prove operability or capacity</x:v>
      </x:c>
    </x:row>
    <x:row r="2684" ht="75.5999984741211" hidden="0" customHeight="1">
      <x:c r="A2684" s="27" t="str">
        <x:v>SCA-22</x:v>
      </x:c>
      <x:c r="B2684" s="27" t="str">
        <x:v>SCA-19</x:v>
      </x:c>
      <x:c r="C2684" s="27" t="str">
        <x:v>Water</x:v>
      </x:c>
      <x:c r="D2684" s="27" t="str">
        <x:v>YES</x:v>
      </x:c>
      <x:c r="E2684" s="27" t="str">
        <x:v>YES</x:v>
      </x:c>
      <x:c r="F2684" s="61" t="n">
        <x:v>620.6137108706271</x:v>
      </x:c>
      <x:c r="G2684" s="61" t="n">
        <x:v>47.73182031058934</x:v>
      </x:c>
      <x:c r="H2684" s="27" t="str">
        <x:v>YES</x:v>
      </x:c>
      <x:c r="I2684" s="27" t="str">
        <x:v>USACE waterway node topology; deployable terminal required</x:v>
      </x:c>
      <x:c r="J2684" s="27" t="str">
        <x:v>presence does not prove operability or capacity</x:v>
      </x:c>
    </x:row>
    <x:row r="2685" ht="54" hidden="0" customHeight="1">
      <x:c r="A2685" s="29" t="str">
        <x:v>SCA-22</x:v>
      </x:c>
      <x:c r="B2685" s="29" t="str">
        <x:v>SCA-20</x:v>
      </x:c>
      <x:c r="C2685" s="29" t="str">
        <x:v>Road</x:v>
      </x:c>
      <x:c r="D2685" s="29" t="str">
        <x:v>YES</x:v>
      </x:c>
      <x:c r="E2685" s="29" t="str">
        <x:v>YES</x:v>
      </x:c>
      <x:c r="F2685" s="62" t="n">
        <x:v>729.489881041236</x:v>
      </x:c>
      <x:c r="G2685" s="62" t="n">
        <x:v>33.26345238256793</x:v>
      </x:c>
      <x:c r="H2685" s="29" t="str">
        <x:v>YES</x:v>
      </x:c>
      <x:c r="I2685" s="29" t="str">
        <x:v>NHPN-gated shared-boundary SCA path</x:v>
      </x:c>
      <x:c r="J2685" s="29" t="str">
        <x:v>presence does not prove operability or capacity</x:v>
      </x:c>
    </x:row>
    <x:row r="2686" ht="64.80000305175781" hidden="0" customHeight="1">
      <x:c r="A2686" s="27" t="str">
        <x:v>SCA-22</x:v>
      </x:c>
      <x:c r="B2686" s="27" t="str">
        <x:v>SCA-20</x:v>
      </x:c>
      <x:c r="C2686" s="27" t="str">
        <x:v>Rail</x:v>
      </x:c>
      <x:c r="D2686" s="27" t="str">
        <x:v>YES</x:v>
      </x:c>
      <x:c r="E2686" s="27" t="str">
        <x:v>YES</x:v>
      </x:c>
      <x:c r="F2686" s="61" t="n">
        <x:v>773.8936129307025</x:v>
      </x:c>
      <x:c r="G2686" s="61" t="n">
        <x:v>37.05562304186718</x:v>
      </x:c>
      <x:c r="H2686" s="27" t="str">
        <x:v>YES</x:v>
      </x:c>
      <x:c r="I2686" s="27" t="str">
        <x:v>NARN shared-node topology; deployable terminal required</x:v>
      </x:c>
      <x:c r="J2686" s="27" t="str">
        <x:v>presence does not prove operability or capacity</x:v>
      </x:c>
    </x:row>
    <x:row r="2687" ht="54" hidden="0" customHeight="1">
      <x:c r="A2687" s="29" t="str">
        <x:v>SCA-22</x:v>
      </x:c>
      <x:c r="B2687" s="29" t="str">
        <x:v>SCA-20</x:v>
      </x:c>
      <x:c r="C2687" s="29" t="str">
        <x:v>Air</x:v>
      </x:c>
      <x:c r="D2687" s="29" t="str">
        <x:v>YES</x:v>
      </x:c>
      <x:c r="E2687" s="29" t="str">
        <x:v>YES</x:v>
      </x:c>
      <x:c r="F2687" s="62" t="n">
        <x:v>634.3390269923791</x:v>
      </x:c>
      <x:c r="G2687" s="62" t="n">
        <x:v>24.97590619537289</x:v>
      </x:c>
      <x:c r="H2687" s="29" t="str">
        <x:v>YES</x:v>
      </x:c>
      <x:c r="I2687" s="29" t="str">
        <x:v>primary-airport endpoints; great-circle screen</x:v>
      </x:c>
      <x:c r="J2687" s="29" t="str">
        <x:v>presence does not prove operability or capacity</x:v>
      </x:c>
    </x:row>
    <x:row r="2688" ht="75.5999984741211" hidden="0" customHeight="1">
      <x:c r="A2688" s="27" t="str">
        <x:v>SCA-22</x:v>
      </x:c>
      <x:c r="B2688" s="27" t="str">
        <x:v>SCA-20</x:v>
      </x:c>
      <x:c r="C2688" s="27" t="str">
        <x:v>Water</x:v>
      </x:c>
      <x:c r="D2688" s="27" t="str">
        <x:v>YES</x:v>
      </x:c>
      <x:c r="E2688" s="27" t="str">
        <x:v>YES</x:v>
      </x:c>
      <x:c r="F2688" s="61" t="n">
        <x:v>811.9539545502453</x:v>
      </x:c>
      <x:c r="G2688" s="61" t="n">
        <x:v>53.19868441572129</x:v>
      </x:c>
      <x:c r="H2688" s="27" t="str">
        <x:v>YES</x:v>
      </x:c>
      <x:c r="I2688" s="27" t="str">
        <x:v>USACE waterway node topology; deployable terminal required</x:v>
      </x:c>
      <x:c r="J2688" s="27" t="str">
        <x:v>presence does not prove operability or capacity</x:v>
      </x:c>
    </x:row>
    <x:row r="2689" ht="54" hidden="0" customHeight="1">
      <x:c r="A2689" s="29" t="str">
        <x:v>SCA-22</x:v>
      </x:c>
      <x:c r="B2689" s="29" t="str">
        <x:v>SCA-21</x:v>
      </x:c>
      <x:c r="C2689" s="29" t="str">
        <x:v>Road</x:v>
      </x:c>
      <x:c r="D2689" s="29" t="str">
        <x:v>YES</x:v>
      </x:c>
      <x:c r="E2689" s="29" t="str">
        <x:v>YES</x:v>
      </x:c>
      <x:c r="F2689" s="62" t="n">
        <x:v>549.329737241581</x:v>
      </x:c>
      <x:c r="G2689" s="62" t="n">
        <x:v>29.987813404392384</x:v>
      </x:c>
      <x:c r="H2689" s="29" t="str">
        <x:v>YES</x:v>
      </x:c>
      <x:c r="I2689" s="29" t="str">
        <x:v>NHPN-gated shared-boundary SCA path</x:v>
      </x:c>
      <x:c r="J2689" s="29" t="str">
        <x:v>presence does not prove operability or capacity</x:v>
      </x:c>
    </x:row>
    <x:row r="2690" ht="64.80000305175781" hidden="0" customHeight="1">
      <x:c r="A2690" s="27" t="str">
        <x:v>SCA-22</x:v>
      </x:c>
      <x:c r="B2690" s="27" t="str">
        <x:v>SCA-21</x:v>
      </x:c>
      <x:c r="C2690" s="27" t="str">
        <x:v>Rail</x:v>
      </x:c>
      <x:c r="D2690" s="27" t="str">
        <x:v>YES</x:v>
      </x:c>
      <x:c r="E2690" s="27" t="str">
        <x:v>YES</x:v>
      </x:c>
      <x:c r="F2690" s="61" t="n">
        <x:v>582.7671995084598</x:v>
      </x:c>
      <x:c r="G2690" s="61" t="n">
        <x:v>34.32524570726371</x:v>
      </x:c>
      <x:c r="H2690" s="27" t="str">
        <x:v>YES</x:v>
      </x:c>
      <x:c r="I2690" s="27" t="str">
        <x:v>NARN shared-node topology; deployable terminal required</x:v>
      </x:c>
      <x:c r="J2690" s="27" t="str">
        <x:v>presence does not prove operability or capacity</x:v>
      </x:c>
    </x:row>
    <x:row r="2691" ht="54" hidden="0" customHeight="1">
      <x:c r="A2691" s="29" t="str">
        <x:v>SCA-22</x:v>
      </x:c>
      <x:c r="B2691" s="29" t="str">
        <x:v>SCA-21</x:v>
      </x:c>
      <x:c r="C2691" s="29" t="str">
        <x:v>Air</x:v>
      </x:c>
      <x:c r="D2691" s="29" t="str">
        <x:v>YES</x:v>
      </x:c>
      <x:c r="E2691" s="29" t="str">
        <x:v>YES</x:v>
      </x:c>
      <x:c r="F2691" s="62" t="n">
        <x:v>477.6780323839835</x:v>
      </x:c>
      <x:c r="G2691" s="62" t="n">
        <x:v>24.734889280590743</x:v>
      </x:c>
      <x:c r="H2691" s="29" t="str">
        <x:v>YES</x:v>
      </x:c>
      <x:c r="I2691" s="29" t="str">
        <x:v>primary-airport endpoints; great-circle screen</x:v>
      </x:c>
      <x:c r="J2691" s="29" t="str">
        <x:v>presence does not prove operability or capacity</x:v>
      </x:c>
    </x:row>
    <x:row r="2692" ht="75.5999984741211" hidden="0" customHeight="1">
      <x:c r="A2692" s="27" t="str">
        <x:v>SCA-22</x:v>
      </x:c>
      <x:c r="B2692" s="27" t="str">
        <x:v>SCA-21</x:v>
      </x:c>
      <x:c r="C2692" s="27" t="str">
        <x:v>Water</x:v>
      </x:c>
      <x:c r="D2692" s="27" t="str">
        <x:v>YES</x:v>
      </x:c>
      <x:c r="E2692" s="27" t="str">
        <x:v>YES</x:v>
      </x:c>
      <x:c r="F2692" s="61" t="n">
        <x:v>1205.5485128742207</x:v>
      </x:c>
      <x:c r="G2692" s="61" t="n">
        <x:v>64.44424322497773</x:v>
      </x:c>
      <x:c r="H2692" s="27" t="str">
        <x:v>YES</x:v>
      </x:c>
      <x:c r="I2692" s="27" t="str">
        <x:v>USACE waterway node topology; deployable terminal required</x:v>
      </x:c>
      <x:c r="J2692" s="27" t="str">
        <x:v>presence does not prove operability or capacity</x:v>
      </x:c>
    </x:row>
    <x:row r="2693" ht="54" hidden="0" customHeight="1">
      <x:c r="A2693" s="29" t="str">
        <x:v>SCA-22</x:v>
      </x:c>
      <x:c r="B2693" s="29" t="str">
        <x:v>SCA-23</x:v>
      </x:c>
      <x:c r="C2693" s="29" t="str">
        <x:v>Road</x:v>
      </x:c>
      <x:c r="D2693" s="29" t="str">
        <x:v>YES</x:v>
      </x:c>
      <x:c r="E2693" s="29" t="str">
        <x:v>YES</x:v>
      </x:c>
      <x:c r="F2693" s="62" t="n">
        <x:v>588.9128931834357</x:v>
      </x:c>
      <x:c r="G2693" s="62" t="n">
        <x:v>30.707507148789738</x:v>
      </x:c>
      <x:c r="H2693" s="29" t="str">
        <x:v>YES</x:v>
      </x:c>
      <x:c r="I2693" s="29" t="str">
        <x:v>NHPN-gated shared-boundary SCA path</x:v>
      </x:c>
      <x:c r="J2693" s="29" t="str">
        <x:v>presence does not prove operability or capacity</x:v>
      </x:c>
    </x:row>
    <x:row r="2694" ht="64.80000305175781" hidden="0" customHeight="1">
      <x:c r="A2694" s="27" t="str">
        <x:v>SCA-22</x:v>
      </x:c>
      <x:c r="B2694" s="27" t="str">
        <x:v>SCA-23</x:v>
      </x:c>
      <x:c r="C2694" s="27" t="str">
        <x:v>Rail</x:v>
      </x:c>
      <x:c r="D2694" s="27" t="str">
        <x:v>YES</x:v>
      </x:c>
      <x:c r="E2694" s="27" t="str">
        <x:v>YES</x:v>
      </x:c>
      <x:c r="F2694" s="61" t="n">
        <x:v>624.7597649424274</x:v>
      </x:c>
      <x:c r="G2694" s="61" t="n">
        <x:v>34.92513949917753</x:v>
      </x:c>
      <x:c r="H2694" s="27" t="str">
        <x:v>YES</x:v>
      </x:c>
      <x:c r="I2694" s="27" t="str">
        <x:v>NARN shared-node topology; deployable terminal required</x:v>
      </x:c>
      <x:c r="J2694" s="27" t="str">
        <x:v>presence does not prove operability or capacity</x:v>
      </x:c>
    </x:row>
    <x:row r="2695" ht="54" hidden="0" customHeight="1">
      <x:c r="A2695" s="29" t="str">
        <x:v>SCA-22</x:v>
      </x:c>
      <x:c r="B2695" s="29" t="str">
        <x:v>SCA-23</x:v>
      </x:c>
      <x:c r="C2695" s="29" t="str">
        <x:v>Air</x:v>
      </x:c>
      <x:c r="D2695" s="29" t="str">
        <x:v>YES</x:v>
      </x:c>
      <x:c r="E2695" s="29" t="str">
        <x:v>YES</x:v>
      </x:c>
      <x:c r="F2695" s="62" t="n">
        <x:v>512.0981679855962</x:v>
      </x:c>
      <x:c r="G2695" s="62" t="n">
        <x:v>24.787843335362457</x:v>
      </x:c>
      <x:c r="H2695" s="29" t="str">
        <x:v>YES</x:v>
      </x:c>
      <x:c r="I2695" s="29" t="str">
        <x:v>primary-airport endpoints; great-circle screen</x:v>
      </x:c>
      <x:c r="J2695" s="29" t="str">
        <x:v>presence does not prove operability or capacity</x:v>
      </x:c>
    </x:row>
    <x:row r="2696" ht="75.5999984741211" hidden="0" customHeight="1">
      <x:c r="A2696" s="27" t="str">
        <x:v>SCA-22</x:v>
      </x:c>
      <x:c r="B2696" s="27" t="str">
        <x:v>SCA-23</x:v>
      </x:c>
      <x:c r="C2696" s="27" t="str">
        <x:v>Water</x:v>
      </x:c>
      <x:c r="D2696" s="27" t="str">
        <x:v>YES</x:v>
      </x:c>
      <x:c r="E2696" s="27" t="str">
        <x:v>YES</x:v>
      </x:c>
      <x:c r="F2696" s="61" t="n">
        <x:v>1456.961530312828</x:v>
      </x:c>
      <x:c r="G2696" s="61" t="n">
        <x:v>71.62747229465222</x:v>
      </x:c>
      <x:c r="H2696" s="27" t="str">
        <x:v>YES</x:v>
      </x:c>
      <x:c r="I2696" s="27" t="str">
        <x:v>USACE waterway node topology; deployable terminal required</x:v>
      </x:c>
      <x:c r="J2696" s="27" t="str">
        <x:v>presence does not prove operability or capacity</x:v>
      </x:c>
    </x:row>
    <x:row r="2697" ht="54" hidden="0" customHeight="1">
      <x:c r="A2697" s="29" t="str">
        <x:v>SCA-22</x:v>
      </x:c>
      <x:c r="B2697" s="29" t="str">
        <x:v>SCA-24</x:v>
      </x:c>
      <x:c r="C2697" s="29" t="str">
        <x:v>Road</x:v>
      </x:c>
      <x:c r="D2697" s="29" t="str">
        <x:v>YES</x:v>
      </x:c>
      <x:c r="E2697" s="29" t="str">
        <x:v>YES</x:v>
      </x:c>
      <x:c r="F2697" s="62" t="n">
        <x:v>535.8124778138437</x:v>
      </x:c>
      <x:c r="G2697" s="62" t="n">
        <x:v>29.742045051160794</x:v>
      </x:c>
      <x:c r="H2697" s="29" t="str">
        <x:v>YES</x:v>
      </x:c>
      <x:c r="I2697" s="29" t="str">
        <x:v>NHPN-gated shared-boundary SCA path</x:v>
      </x:c>
      <x:c r="J2697" s="29" t="str">
        <x:v>presence does not prove operability or capacity</x:v>
      </x:c>
    </x:row>
    <x:row r="2698" ht="64.80000305175781" hidden="0" customHeight="1">
      <x:c r="A2698" s="27" t="str">
        <x:v>SCA-22</x:v>
      </x:c>
      <x:c r="B2698" s="27" t="str">
        <x:v>SCA-24</x:v>
      </x:c>
      <x:c r="C2698" s="27" t="str">
        <x:v>Rail</x:v>
      </x:c>
      <x:c r="D2698" s="27" t="str">
        <x:v>YES</x:v>
      </x:c>
      <x:c r="E2698" s="27" t="str">
        <x:v>YES</x:v>
      </x:c>
      <x:c r="F2698" s="61" t="n">
        <x:v>568.4271503764254</x:v>
      </x:c>
      <x:c r="G2698" s="61" t="n">
        <x:v>34.12038786252036</x:v>
      </x:c>
      <x:c r="H2698" s="27" t="str">
        <x:v>YES</x:v>
      </x:c>
      <x:c r="I2698" s="27" t="str">
        <x:v>NARN shared-node topology; deployable terminal required</x:v>
      </x:c>
      <x:c r="J2698" s="27" t="str">
        <x:v>presence does not prove operability or capacity</x:v>
      </x:c>
    </x:row>
    <x:row r="2699" ht="54" hidden="0" customHeight="1">
      <x:c r="A2699" s="29" t="str">
        <x:v>SCA-22</x:v>
      </x:c>
      <x:c r="B2699" s="29" t="str">
        <x:v>SCA-24</x:v>
      </x:c>
      <x:c r="C2699" s="29" t="str">
        <x:v>Air</x:v>
      </x:c>
      <x:c r="D2699" s="29" t="str">
        <x:v>YES</x:v>
      </x:c>
      <x:c r="E2699" s="29" t="str">
        <x:v>YES</x:v>
      </x:c>
      <x:c r="F2699" s="62" t="n">
        <x:v>465.92389375116835</x:v>
      </x:c>
      <x:c r="G2699" s="62" t="n">
        <x:v>24.716805990386412</x:v>
      </x:c>
      <x:c r="H2699" s="29" t="str">
        <x:v>YES</x:v>
      </x:c>
      <x:c r="I2699" s="29" t="str">
        <x:v>primary-airport endpoints; great-circle screen</x:v>
      </x:c>
      <x:c r="J2699" s="29" t="str">
        <x:v>presence does not prove operability or capacity</x:v>
      </x:c>
    </x:row>
    <x:row r="2700" ht="75.5999984741211" hidden="0" customHeight="1">
      <x:c r="A2700" s="27" t="str">
        <x:v>SCA-22</x:v>
      </x:c>
      <x:c r="B2700" s="27" t="str">
        <x:v>SCA-24</x:v>
      </x:c>
      <x:c r="C2700" s="27" t="str">
        <x:v>Water</x:v>
      </x:c>
      <x:c r="D2700" s="27" t="str">
        <x:v>YES</x:v>
      </x:c>
      <x:c r="E2700" s="27" t="str">
        <x:v>YES</x:v>
      </x:c>
      <x:c r="F2700" s="61" t="n">
        <x:v>1269.3932208116898</x:v>
      </x:c>
      <x:c r="G2700" s="61" t="n">
        <x:v>66.26837773747685</x:v>
      </x:c>
      <x:c r="H2700" s="27" t="str">
        <x:v>YES</x:v>
      </x:c>
      <x:c r="I2700" s="27" t="str">
        <x:v>USACE waterway node topology; deployable terminal required</x:v>
      </x:c>
      <x:c r="J2700" s="27" t="str">
        <x:v>presence does not prove operability or capacity</x:v>
      </x:c>
    </x:row>
    <x:row r="2701" ht="54" hidden="0" customHeight="1">
      <x:c r="A2701" s="29" t="str">
        <x:v>SCA-22</x:v>
      </x:c>
      <x:c r="B2701" s="29" t="str">
        <x:v>SCA-25</x:v>
      </x:c>
      <x:c r="C2701" s="29" t="str">
        <x:v>Road</x:v>
      </x:c>
      <x:c r="D2701" s="29" t="str">
        <x:v>YES</x:v>
      </x:c>
      <x:c r="E2701" s="29" t="str">
        <x:v>YES</x:v>
      </x:c>
      <x:c r="F2701" s="62" t="n">
        <x:v>1083.497073102875</x:v>
      </x:c>
      <x:c r="G2701" s="62" t="n">
        <x:v>39.69994678368863</x:v>
      </x:c>
      <x:c r="H2701" s="29" t="str">
        <x:v>YES</x:v>
      </x:c>
      <x:c r="I2701" s="29" t="str">
        <x:v>NHPN-gated shared-boundary SCA path</x:v>
      </x:c>
      <x:c r="J2701" s="29" t="str">
        <x:v>presence does not prove operability or capacity</x:v>
      </x:c>
    </x:row>
    <x:row r="2702" ht="64.80000305175781" hidden="0" customHeight="1">
      <x:c r="A2702" s="27" t="str">
        <x:v>SCA-22</x:v>
      </x:c>
      <x:c r="B2702" s="27" t="str">
        <x:v>SCA-25</x:v>
      </x:c>
      <x:c r="C2702" s="27" t="str">
        <x:v>Rail</x:v>
      </x:c>
      <x:c r="D2702" s="27" t="str">
        <x:v>YES</x:v>
      </x:c>
      <x:c r="E2702" s="27" t="str">
        <x:v>YES</x:v>
      </x:c>
      <x:c r="F2702" s="61" t="n">
        <x:v>1149.4490688569633</x:v>
      </x:c>
      <x:c r="G2702" s="61" t="n">
        <x:v>42.420700983670905</x:v>
      </x:c>
      <x:c r="H2702" s="27" t="str">
        <x:v>YES</x:v>
      </x:c>
      <x:c r="I2702" s="27" t="str">
        <x:v>NARN shared-node topology; deployable terminal required</x:v>
      </x:c>
      <x:c r="J2702" s="27" t="str">
        <x:v>presence does not prove operability or capacity</x:v>
      </x:c>
    </x:row>
    <x:row r="2703" ht="54" hidden="0" customHeight="1">
      <x:c r="A2703" s="29" t="str">
        <x:v>SCA-22</x:v>
      </x:c>
      <x:c r="B2703" s="29" t="str">
        <x:v>SCA-25</x:v>
      </x:c>
      <x:c r="C2703" s="29" t="str">
        <x:v>Air</x:v>
      </x:c>
      <x:c r="D2703" s="29" t="str">
        <x:v>YES</x:v>
      </x:c>
      <x:c r="E2703" s="29" t="str">
        <x:v>YES</x:v>
      </x:c>
      <x:c r="F2703" s="62" t="n">
        <x:v>918.6473301631299</x:v>
      </x:c>
      <x:c r="G2703" s="62" t="n">
        <x:v>25.413303584866355</x:v>
      </x:c>
      <x:c r="H2703" s="29" t="str">
        <x:v>YES</x:v>
      </x:c>
      <x:c r="I2703" s="29" t="str">
        <x:v>primary-airport endpoints; great-circle screen</x:v>
      </x:c>
      <x:c r="J2703" s="29" t="str">
        <x:v>presence does not prove operability or capacity</x:v>
      </x:c>
    </x:row>
    <x:row r="2704" ht="75.5999984741211" hidden="0" customHeight="1">
      <x:c r="A2704" s="27" t="str">
        <x:v>SCA-22</x:v>
      </x:c>
      <x:c r="B2704" s="27" t="str">
        <x:v>SCA-25</x:v>
      </x:c>
      <x:c r="C2704" s="27" t="str">
        <x:v>Water</x:v>
      </x:c>
      <x:c r="D2704" s="27" t="str">
        <x:v>YES</x:v>
      </x:c>
      <x:c r="E2704" s="27" t="str">
        <x:v>YES</x:v>
      </x:c>
      <x:c r="F2704" s="61" t="n">
        <x:v>1636.3372179417634</x:v>
      </x:c>
      <x:c r="G2704" s="61" t="n">
        <x:v>76.75249194119324</x:v>
      </x:c>
      <x:c r="H2704" s="27" t="str">
        <x:v>NO</x:v>
      </x:c>
      <x:c r="I2704" s="27" t="str">
        <x:v>USACE waterway node topology; deployable terminal required</x:v>
      </x:c>
      <x:c r="J2704" s="27" t="str">
        <x:v>presence does not prove operability or capacity</x:v>
      </x:c>
    </x:row>
    <x:row r="2705" ht="54" hidden="0" customHeight="1">
      <x:c r="A2705" s="29" t="str">
        <x:v>SCA-22</x:v>
      </x:c>
      <x:c r="B2705" s="29" t="str">
        <x:v>SCA-26</x:v>
      </x:c>
      <x:c r="C2705" s="29" t="str">
        <x:v>Road</x:v>
      </x:c>
      <x:c r="D2705" s="29" t="str">
        <x:v>YES</x:v>
      </x:c>
      <x:c r="E2705" s="29" t="str">
        <x:v>YES</x:v>
      </x:c>
      <x:c r="F2705" s="62" t="n">
        <x:v>1411.9965288676974</x:v>
      </x:c>
      <x:c r="G2705" s="62" t="n">
        <x:v>45.67266416123086</x:v>
      </x:c>
      <x:c r="H2705" s="29" t="str">
        <x:v>YES</x:v>
      </x:c>
      <x:c r="I2705" s="29" t="str">
        <x:v>NHPN-gated shared-boundary SCA path</x:v>
      </x:c>
      <x:c r="J2705" s="29" t="str">
        <x:v>presence does not prove operability or capacity</x:v>
      </x:c>
    </x:row>
    <x:row r="2706" ht="64.80000305175781" hidden="0" customHeight="1">
      <x:c r="A2706" s="27" t="str">
        <x:v>SCA-22</x:v>
      </x:c>
      <x:c r="B2706" s="27" t="str">
        <x:v>SCA-26</x:v>
      </x:c>
      <x:c r="C2706" s="27" t="str">
        <x:v>Rail</x:v>
      </x:c>
      <x:c r="D2706" s="27" t="str">
        <x:v>YES</x:v>
      </x:c>
      <x:c r="E2706" s="27" t="str">
        <x:v>YES</x:v>
      </x:c>
      <x:c r="F2706" s="61" t="n">
        <x:v>1497.9441436683396</x:v>
      </x:c>
      <x:c r="G2706" s="61" t="n">
        <x:v>47.39920205240485</x:v>
      </x:c>
      <x:c r="H2706" s="27" t="str">
        <x:v>YES</x:v>
      </x:c>
      <x:c r="I2706" s="27" t="str">
        <x:v>NARN shared-node topology; deployable terminal required</x:v>
      </x:c>
      <x:c r="J2706" s="27" t="str">
        <x:v>presence does not prove operability or capacity</x:v>
      </x:c>
    </x:row>
    <x:row r="2707" ht="54" hidden="0" customHeight="1">
      <x:c r="A2707" s="29" t="str">
        <x:v>SCA-22</x:v>
      </x:c>
      <x:c r="B2707" s="29" t="str">
        <x:v>SCA-26</x:v>
      </x:c>
      <x:c r="C2707" s="29" t="str">
        <x:v>Air</x:v>
      </x:c>
      <x:c r="D2707" s="29" t="str">
        <x:v>YES</x:v>
      </x:c>
      <x:c r="E2707" s="29" t="str">
        <x:v>YES</x:v>
      </x:c>
      <x:c r="F2707" s="62" t="n">
        <x:v>1198.045753794591</x:v>
      </x:c>
      <x:c r="G2707" s="62" t="n">
        <x:v>25.84314731353014</x:v>
      </x:c>
      <x:c r="H2707" s="29" t="str">
        <x:v>YES</x:v>
      </x:c>
      <x:c r="I2707" s="29" t="str">
        <x:v>primary-airport endpoints; great-circle screen</x:v>
      </x:c>
      <x:c r="J2707" s="29" t="str">
        <x:v>presence does not prove operability or capacity</x:v>
      </x:c>
    </x:row>
    <x:row r="2708" ht="75.5999984741211" hidden="0" customHeight="1">
      <x:c r="A2708" s="27" t="str">
        <x:v>SCA-22</x:v>
      </x:c>
      <x:c r="B2708" s="27" t="str">
        <x:v>SCA-26</x:v>
      </x:c>
      <x:c r="C2708" s="27" t="str">
        <x:v>Water</x:v>
      </x:c>
      <x:c r="D2708" s="27" t="str">
        <x:v>YES</x:v>
      </x:c>
      <x:c r="E2708" s="27" t="str">
        <x:v>YES</x:v>
      </x:c>
      <x:c r="F2708" s="61" t="n">
        <x:v>2001.9713947930434</x:v>
      </x:c>
      <x:c r="G2708" s="61" t="n">
        <x:v>87.19918270837266</x:v>
      </x:c>
      <x:c r="H2708" s="27" t="str">
        <x:v>NO</x:v>
      </x:c>
      <x:c r="I2708" s="27" t="str">
        <x:v>USACE waterway node topology; deployable terminal required</x:v>
      </x:c>
      <x:c r="J2708" s="27" t="str">
        <x:v>presence does not prove operability or capacity</x:v>
      </x:c>
    </x:row>
    <x:row r="2709" ht="54" hidden="0" customHeight="1">
      <x:c r="A2709" s="29" t="str">
        <x:v>SCA-22</x:v>
      </x:c>
      <x:c r="B2709" s="29" t="str">
        <x:v>SCA-27</x:v>
      </x:c>
      <x:c r="C2709" s="29" t="str">
        <x:v>Road</x:v>
      </x:c>
      <x:c r="D2709" s="29" t="str">
        <x:v>YES</x:v>
      </x:c>
      <x:c r="E2709" s="29" t="str">
        <x:v>YES</x:v>
      </x:c>
      <x:c r="F2709" s="62" t="n">
        <x:v>1691.624792987246</x:v>
      </x:c>
      <x:c r="G2709" s="62" t="n">
        <x:v>50.756814417949926</x:v>
      </x:c>
      <x:c r="H2709" s="29" t="str">
        <x:v>YES</x:v>
      </x:c>
      <x:c r="I2709" s="29" t="str">
        <x:v>NHPN-gated shared-boundary SCA path</x:v>
      </x:c>
      <x:c r="J2709" s="29" t="str">
        <x:v>presence does not prove operability or capacity</x:v>
      </x:c>
    </x:row>
    <x:row r="2710" ht="64.80000305175781" hidden="0" customHeight="1">
      <x:c r="A2710" s="27" t="str">
        <x:v>SCA-22</x:v>
      </x:c>
      <x:c r="B2710" s="27" t="str">
        <x:v>SCA-27</x:v>
      </x:c>
      <x:c r="C2710" s="27" t="str">
        <x:v>Rail</x:v>
      </x:c>
      <x:c r="D2710" s="27" t="str">
        <x:v>YES</x:v>
      </x:c>
      <x:c r="E2710" s="27" t="str">
        <x:v>YES</x:v>
      </x:c>
      <x:c r="F2710" s="61" t="n">
        <x:v>1794.5932586473393</x:v>
      </x:c>
      <x:c r="G2710" s="61" t="n">
        <x:v>51.63704655210485</x:v>
      </x:c>
      <x:c r="H2710" s="27" t="str">
        <x:v>YES</x:v>
      </x:c>
      <x:c r="I2710" s="27" t="str">
        <x:v>NARN shared-node topology; deployable terminal required</x:v>
      </x:c>
      <x:c r="J2710" s="27" t="str">
        <x:v>presence does not prove operability or capacity</x:v>
      </x:c>
    </x:row>
    <x:row r="2711" ht="54" hidden="0" customHeight="1">
      <x:c r="A2711" s="29" t="str">
        <x:v>SCA-22</x:v>
      </x:c>
      <x:c r="B2711" s="29" t="str">
        <x:v>SCA-27</x:v>
      </x:c>
      <x:c r="C2711" s="29" t="str">
        <x:v>Air</x:v>
      </x:c>
      <x:c r="D2711" s="29" t="str">
        <x:v>YES</x:v>
      </x:c>
      <x:c r="E2711" s="29" t="str">
        <x:v>YES</x:v>
      </x:c>
      <x:c r="F2711" s="62" t="n">
        <x:v>1430.3677709252113</x:v>
      </x:c>
      <x:c r="G2711" s="62" t="n">
        <x:v>26.2005658014234</x:v>
      </x:c>
      <x:c r="H2711" s="29" t="str">
        <x:v>YES</x:v>
      </x:c>
      <x:c r="I2711" s="29" t="str">
        <x:v>primary-airport endpoints; great-circle screen</x:v>
      </x:c>
      <x:c r="J2711" s="29" t="str">
        <x:v>presence does not prove operability or capacity</x:v>
      </x:c>
    </x:row>
    <x:row r="2712" ht="75.5999984741211" hidden="0" customHeight="1">
      <x:c r="A2712" s="27" t="str">
        <x:v>SCA-22</x:v>
      </x:c>
      <x:c r="B2712" s="27" t="str">
        <x:v>SCA-27</x:v>
      </x:c>
      <x:c r="C2712" s="27" t="str">
        <x:v>Water</x:v>
      </x:c>
      <x:c r="D2712" s="27" t="str">
        <x:v>YES</x:v>
      </x:c>
      <x:c r="E2712" s="27" t="str">
        <x:v>YES</x:v>
      </x:c>
      <x:c r="F2712" s="61" t="n">
        <x:v>2190.8116032968796</x:v>
      </x:c>
      <x:c r="G2712" s="61" t="n">
        <x:v>92.59461723705371</x:v>
      </x:c>
      <x:c r="H2712" s="27" t="str">
        <x:v>NO</x:v>
      </x:c>
      <x:c r="I2712" s="27" t="str">
        <x:v>USACE waterway node topology; deployable terminal required</x:v>
      </x:c>
      <x:c r="J2712" s="27" t="str">
        <x:v>presence does not prove operability or capacity</x:v>
      </x:c>
    </x:row>
    <x:row r="2713" ht="54" hidden="0" customHeight="1">
      <x:c r="A2713" s="29" t="str">
        <x:v>SCA-22</x:v>
      </x:c>
      <x:c r="B2713" s="29" t="str">
        <x:v>SCA-28</x:v>
      </x:c>
      <x:c r="C2713" s="29" t="str">
        <x:v>Road</x:v>
      </x:c>
      <x:c r="D2713" s="29" t="str">
        <x:v>YES</x:v>
      </x:c>
      <x:c r="E2713" s="29" t="str">
        <x:v>YES</x:v>
      </x:c>
      <x:c r="F2713" s="62" t="n">
        <x:v>644.6549752643382</x:v>
      </x:c>
      <x:c r="G2713" s="62" t="n">
        <x:v>31.720999550260693</x:v>
      </x:c>
      <x:c r="H2713" s="29" t="str">
        <x:v>YES</x:v>
      </x:c>
      <x:c r="I2713" s="29" t="str">
        <x:v>NHPN-gated shared-boundary SCA path</x:v>
      </x:c>
      <x:c r="J2713" s="29" t="str">
        <x:v>presence does not prove operability or capacity</x:v>
      </x:c>
    </x:row>
    <x:row r="2714" ht="64.80000305175781" hidden="0" customHeight="1">
      <x:c r="A2714" s="27" t="str">
        <x:v>SCA-22</x:v>
      </x:c>
      <x:c r="B2714" s="27" t="str">
        <x:v>SCA-28</x:v>
      </x:c>
      <x:c r="C2714" s="27" t="str">
        <x:v>Rail</x:v>
      </x:c>
      <x:c r="D2714" s="27" t="str">
        <x:v>YES</x:v>
      </x:c>
      <x:c r="E2714" s="27" t="str">
        <x:v>YES</x:v>
      </x:c>
      <x:c r="F2714" s="61" t="n">
        <x:v>683.8948433239068</x:v>
      </x:c>
      <x:c r="G2714" s="61" t="n">
        <x:v>35.76992633319867</x:v>
      </x:c>
      <x:c r="H2714" s="27" t="str">
        <x:v>YES</x:v>
      </x:c>
      <x:c r="I2714" s="27" t="str">
        <x:v>NARN shared-node topology; deployable terminal required</x:v>
      </x:c>
      <x:c r="J2714" s="27" t="str">
        <x:v>presence does not prove operability or capacity</x:v>
      </x:c>
    </x:row>
    <x:row r="2715" ht="54" hidden="0" customHeight="1">
      <x:c r="A2715" s="29" t="str">
        <x:v>SCA-22</x:v>
      </x:c>
      <x:c r="B2715" s="29" t="str">
        <x:v>SCA-28</x:v>
      </x:c>
      <x:c r="C2715" s="29" t="str">
        <x:v>Air</x:v>
      </x:c>
      <x:c r="D2715" s="29" t="str">
        <x:v>YES</x:v>
      </x:c>
      <x:c r="E2715" s="29" t="str">
        <x:v>YES</x:v>
      </x:c>
      <x:c r="F2715" s="62" t="n">
        <x:v>560.5695437081204</x:v>
      </x:c>
      <x:c r="G2715" s="62" t="n">
        <x:v>24.86241468262788</x:v>
      </x:c>
      <x:c r="H2715" s="29" t="str">
        <x:v>YES</x:v>
      </x:c>
      <x:c r="I2715" s="29" t="str">
        <x:v>primary-airport endpoints; great-circle screen</x:v>
      </x:c>
      <x:c r="J2715" s="29" t="str">
        <x:v>presence does not prove operability or capacity</x:v>
      </x:c>
    </x:row>
    <x:row r="2716" ht="75.5999984741211" hidden="0" customHeight="1">
      <x:c r="A2716" s="27" t="str">
        <x:v>SCA-22</x:v>
      </x:c>
      <x:c r="B2716" s="27" t="str">
        <x:v>SCA-28</x:v>
      </x:c>
      <x:c r="C2716" s="27" t="str">
        <x:v>Water</x:v>
      </x:c>
      <x:c r="D2716" s="27" t="str">
        <x:v>YES</x:v>
      </x:c>
      <x:c r="E2716" s="27" t="str">
        <x:v>YES</x:v>
      </x:c>
      <x:c r="F2716" s="61" t="n">
        <x:v>717.5290159463941</x:v>
      </x:c>
      <x:c r="G2716" s="61" t="n">
        <x:v>50.50082902703983</x:v>
      </x:c>
      <x:c r="H2716" s="27" t="str">
        <x:v>YES</x:v>
      </x:c>
      <x:c r="I2716" s="27" t="str">
        <x:v>USACE waterway node topology; deployable terminal required</x:v>
      </x:c>
      <x:c r="J2716" s="27" t="str">
        <x:v>presence does not prove operability or capacity</x:v>
      </x:c>
    </x:row>
    <x:row r="2717" ht="54" hidden="0" customHeight="1">
      <x:c r="A2717" s="29" t="str">
        <x:v>SCA-22</x:v>
      </x:c>
      <x:c r="B2717" s="29" t="str">
        <x:v>SCA-29</x:v>
      </x:c>
      <x:c r="C2717" s="29" t="str">
        <x:v>Road</x:v>
      </x:c>
      <x:c r="D2717" s="29" t="str">
        <x:v>YES</x:v>
      </x:c>
      <x:c r="E2717" s="29" t="str">
        <x:v>YES</x:v>
      </x:c>
      <x:c r="F2717" s="62" t="n">
        <x:v>717.5425247141446</x:v>
      </x:c>
      <x:c r="G2717" s="62" t="n">
        <x:v>33.04622772207536</x:v>
      </x:c>
      <x:c r="H2717" s="29" t="str">
        <x:v>YES</x:v>
      </x:c>
      <x:c r="I2717" s="29" t="str">
        <x:v>NHPN-gated shared-boundary SCA path</x:v>
      </x:c>
      <x:c r="J2717" s="29" t="str">
        <x:v>presence does not prove operability or capacity</x:v>
      </x:c>
    </x:row>
    <x:row r="2718" ht="64.80000305175781" hidden="0" customHeight="1">
      <x:c r="A2718" s="27" t="str">
        <x:v>SCA-22</x:v>
      </x:c>
      <x:c r="B2718" s="27" t="str">
        <x:v>SCA-29</x:v>
      </x:c>
      <x:c r="C2718" s="27" t="str">
        <x:v>Rail</x:v>
      </x:c>
      <x:c r="D2718" s="27" t="str">
        <x:v>YES</x:v>
      </x:c>
      <x:c r="E2718" s="27" t="str">
        <x:v>YES</x:v>
      </x:c>
      <x:c r="F2718" s="61" t="n">
        <x:v>761.2190262184838</x:v>
      </x:c>
      <x:c r="G2718" s="61" t="n">
        <x:v>36.87455751740691</x:v>
      </x:c>
      <x:c r="H2718" s="27" t="str">
        <x:v>YES</x:v>
      </x:c>
      <x:c r="I2718" s="27" t="str">
        <x:v>NARN shared-node topology; deployable terminal required</x:v>
      </x:c>
      <x:c r="J2718" s="27" t="str">
        <x:v>presence does not prove operability or capacity</x:v>
      </x:c>
    </x:row>
    <x:row r="2719" ht="54" hidden="0" customHeight="1">
      <x:c r="A2719" s="29" t="str">
        <x:v>SCA-22</x:v>
      </x:c>
      <x:c r="B2719" s="29" t="str">
        <x:v>SCA-29</x:v>
      </x:c>
      <x:c r="C2719" s="29" t="str">
        <x:v>Air</x:v>
      </x:c>
      <x:c r="D2719" s="29" t="str">
        <x:v>YES</x:v>
      </x:c>
      <x:c r="E2719" s="29" t="str">
        <x:v>YES</x:v>
      </x:c>
      <x:c r="F2719" s="62" t="n">
        <x:v>623.9500214905605</x:v>
      </x:c>
      <x:c r="G2719" s="62" t="n">
        <x:v>24.95992310998548</x:v>
      </x:c>
      <x:c r="H2719" s="29" t="str">
        <x:v>YES</x:v>
      </x:c>
      <x:c r="I2719" s="29" t="str">
        <x:v>primary-airport endpoints; great-circle screen</x:v>
      </x:c>
      <x:c r="J2719" s="29" t="str">
        <x:v>presence does not prove operability or capacity</x:v>
      </x:c>
    </x:row>
    <x:row r="2720" ht="75.5999984741211" hidden="0" customHeight="1">
      <x:c r="A2720" s="27" t="str">
        <x:v>SCA-22</x:v>
      </x:c>
      <x:c r="B2720" s="27" t="str">
        <x:v>SCA-29</x:v>
      </x:c>
      <x:c r="C2720" s="27" t="str">
        <x:v>Water</x:v>
      </x:c>
      <x:c r="D2720" s="27" t="str">
        <x:v>YES</x:v>
      </x:c>
      <x:c r="E2720" s="27" t="str">
        <x:v>YES</x:v>
      </x:c>
      <x:c r="F2720" s="61" t="n">
        <x:v>798.6560275079174</x:v>
      </x:c>
      <x:c r="G2720" s="61" t="n">
        <x:v>52.81874364308335</x:v>
      </x:c>
      <x:c r="H2720" s="27" t="str">
        <x:v>YES</x:v>
      </x:c>
      <x:c r="I2720" s="27" t="str">
        <x:v>USACE waterway node topology; deployable terminal required</x:v>
      </x:c>
      <x:c r="J2720" s="27" t="str">
        <x:v>presence does not prove operability or capacity</x:v>
      </x:c>
    </x:row>
    <x:row r="2721" ht="54" hidden="0" customHeight="1">
      <x:c r="A2721" s="29" t="str">
        <x:v>SCA-22</x:v>
      </x:c>
      <x:c r="B2721" s="29" t="str">
        <x:v>SCA-30</x:v>
      </x:c>
      <x:c r="C2721" s="29" t="str">
        <x:v>Road</x:v>
      </x:c>
      <x:c r="D2721" s="29" t="str">
        <x:v>YES</x:v>
      </x:c>
      <x:c r="E2721" s="29" t="str">
        <x:v>YES</x:v>
      </x:c>
      <x:c r="F2721" s="62" t="n">
        <x:v>1108.2186911955782</x:v>
      </x:c>
      <x:c r="G2721" s="62" t="n">
        <x:v>40.14943074901051</x:v>
      </x:c>
      <x:c r="H2721" s="29" t="str">
        <x:v>YES</x:v>
      </x:c>
      <x:c r="I2721" s="29" t="str">
        <x:v>NHPN-gated shared-boundary SCA path</x:v>
      </x:c>
      <x:c r="J2721" s="29" t="str">
        <x:v>presence does not prove operability or capacity</x:v>
      </x:c>
    </x:row>
    <x:row r="2722" ht="64.80000305175781" hidden="0" customHeight="1">
      <x:c r="A2722" s="27" t="str">
        <x:v>SCA-22</x:v>
      </x:c>
      <x:c r="B2722" s="27" t="str">
        <x:v>SCA-30</x:v>
      </x:c>
      <x:c r="C2722" s="27" t="str">
        <x:v>Rail</x:v>
      </x:c>
      <x:c r="D2722" s="27" t="str">
        <x:v>YES</x:v>
      </x:c>
      <x:c r="E2722" s="27" t="str">
        <x:v>YES</x:v>
      </x:c>
      <x:c r="F2722" s="61" t="n">
        <x:v>1175.6754810944399</x:v>
      </x:c>
      <x:c r="G2722" s="61" t="n">
        <x:v>42.79536401563486</x:v>
      </x:c>
      <x:c r="H2722" s="27" t="str">
        <x:v>YES</x:v>
      </x:c>
      <x:c r="I2722" s="27" t="str">
        <x:v>NARN shared-node topology; deployable terminal required</x:v>
      </x:c>
      <x:c r="J2722" s="27" t="str">
        <x:v>presence does not prove operability or capacity</x:v>
      </x:c>
    </x:row>
    <x:row r="2723" ht="54" hidden="0" customHeight="1">
      <x:c r="A2723" s="29" t="str">
        <x:v>SCA-22</x:v>
      </x:c>
      <x:c r="B2723" s="29" t="str">
        <x:v>SCA-30</x:v>
      </x:c>
      <x:c r="C2723" s="29" t="str">
        <x:v>Air</x:v>
      </x:c>
      <x:c r="D2723" s="29" t="str">
        <x:v>YES</x:v>
      </x:c>
      <x:c r="E2723" s="29" t="str">
        <x:v>YES</x:v>
      </x:c>
      <x:c r="F2723" s="62" t="n">
        <x:v>954.1605883028462</x:v>
      </x:c>
      <x:c r="G2723" s="62" t="n">
        <x:v>25.467939366619763</x:v>
      </x:c>
      <x:c r="H2723" s="29" t="str">
        <x:v>YES</x:v>
      </x:c>
      <x:c r="I2723" s="29" t="str">
        <x:v>primary-airport endpoints; great-circle screen</x:v>
      </x:c>
      <x:c r="J2723" s="29" t="str">
        <x:v>presence does not prove operability or capacity</x:v>
      </x:c>
    </x:row>
    <x:row r="2724" ht="75.5999984741211" hidden="0" customHeight="1">
      <x:c r="A2724" s="27" t="str">
        <x:v>SCA-22</x:v>
      </x:c>
      <x:c r="B2724" s="27" t="str">
        <x:v>SCA-30</x:v>
      </x:c>
      <x:c r="C2724" s="27" t="str">
        <x:v>Water</x:v>
      </x:c>
      <x:c r="D2724" s="27" t="str">
        <x:v>YES</x:v>
      </x:c>
      <x:c r="E2724" s="27" t="str">
        <x:v>YES</x:v>
      </x:c>
      <x:c r="F2724" s="61" t="n">
        <x:v>1233.4955867220351</x:v>
      </x:c>
      <x:c r="G2724" s="61" t="n">
        <x:v>65.24273104920101</x:v>
      </x:c>
      <x:c r="H2724" s="27" t="str">
        <x:v>YES</x:v>
      </x:c>
      <x:c r="I2724" s="27" t="str">
        <x:v>USACE waterway node topology; deployable terminal required</x:v>
      </x:c>
      <x:c r="J2724" s="27" t="str">
        <x:v>presence does not prove operability or capacity</x:v>
      </x:c>
    </x:row>
    <x:row r="2725" ht="54" hidden="0" customHeight="1">
      <x:c r="A2725" s="29" t="str">
        <x:v>SCA-22</x:v>
      </x:c>
      <x:c r="B2725" s="29" t="str">
        <x:v>SCA-31</x:v>
      </x:c>
      <x:c r="C2725" s="29" t="str">
        <x:v>Road</x:v>
      </x:c>
      <x:c r="D2725" s="29" t="str">
        <x:v>YES</x:v>
      </x:c>
      <x:c r="E2725" s="29" t="str">
        <x:v>YES</x:v>
      </x:c>
      <x:c r="F2725" s="62" t="n">
        <x:v>1501.3008363820843</x:v>
      </x:c>
      <x:c r="G2725" s="62" t="n">
        <x:v>47.29637884331062</x:v>
      </x:c>
      <x:c r="H2725" s="29" t="str">
        <x:v>YES</x:v>
      </x:c>
      <x:c r="I2725" s="29" t="str">
        <x:v>NHPN-gated shared-boundary SCA path</x:v>
      </x:c>
      <x:c r="J2725" s="29" t="str">
        <x:v>presence does not prove operability or capacity</x:v>
      </x:c>
    </x:row>
    <x:row r="2726" ht="64.80000305175781" hidden="0" customHeight="1">
      <x:c r="A2726" s="27" t="str">
        <x:v>SCA-22</x:v>
      </x:c>
      <x:c r="B2726" s="27" t="str">
        <x:v>SCA-31</x:v>
      </x:c>
      <x:c r="C2726" s="27" t="str">
        <x:v>Rail</x:v>
      </x:c>
      <x:c r="D2726" s="27" t="str">
        <x:v>YES</x:v>
      </x:c>
      <x:c r="E2726" s="27" t="str">
        <x:v>YES</x:v>
      </x:c>
      <x:c r="F2726" s="61" t="n">
        <x:v>1592.684365553168</x:v>
      </x:c>
      <x:c r="G2726" s="61" t="n">
        <x:v>48.75263379361668</x:v>
      </x:c>
      <x:c r="H2726" s="27" t="str">
        <x:v>YES</x:v>
      </x:c>
      <x:c r="I2726" s="27" t="str">
        <x:v>NARN shared-node topology; deployable terminal required</x:v>
      </x:c>
      <x:c r="J2726" s="27" t="str">
        <x:v>presence does not prove operability or capacity</x:v>
      </x:c>
    </x:row>
    <x:row r="2727" ht="54" hidden="0" customHeight="1">
      <x:c r="A2727" s="29" t="str">
        <x:v>SCA-22</x:v>
      </x:c>
      <x:c r="B2727" s="29" t="str">
        <x:v>SCA-31</x:v>
      </x:c>
      <x:c r="C2727" s="29" t="str">
        <x:v>Air</x:v>
      </x:c>
      <x:c r="D2727" s="29" t="str">
        <x:v>YES</x:v>
      </x:c>
      <x:c r="E2727" s="29" t="str">
        <x:v>YES</x:v>
      </x:c>
      <x:c r="F2727" s="62" t="n">
        <x:v>1257.2444691421306</x:v>
      </x:c>
      <x:c r="G2727" s="62" t="n">
        <x:v>25.93422226021866</x:v>
      </x:c>
      <x:c r="H2727" s="29" t="str">
        <x:v>YES</x:v>
      </x:c>
      <x:c r="I2727" s="29" t="str">
        <x:v>primary-airport endpoints; great-circle screen</x:v>
      </x:c>
      <x:c r="J2727" s="29" t="str">
        <x:v>presence does not prove operability or capacity</x:v>
      </x:c>
    </x:row>
    <x:row r="2728" ht="75.5999984741211" hidden="0" customHeight="1">
      <x:c r="A2728" s="27" t="str">
        <x:v>SCA-22</x:v>
      </x:c>
      <x:c r="B2728" s="27" t="str">
        <x:v>SCA-31</x:v>
      </x:c>
      <x:c r="C2728" s="27" t="str">
        <x:v>Water</x:v>
      </x:c>
      <x:c r="D2728" s="27" t="str">
        <x:v>YES</x:v>
      </x:c>
      <x:c r="E2728" s="27" t="str">
        <x:v>YES</x:v>
      </x:c>
      <x:c r="F2728" s="61" t="n">
        <x:v>1671.0131048426676</x:v>
      </x:c>
      <x:c r="G2728" s="61" t="n">
        <x:v>77.74323156693336</x:v>
      </x:c>
      <x:c r="H2728" s="27" t="str">
        <x:v>NO</x:v>
      </x:c>
      <x:c r="I2728" s="27" t="str">
        <x:v>USACE waterway node topology; deployable terminal required</x:v>
      </x:c>
      <x:c r="J2728" s="27" t="str">
        <x:v>presence does not prove operability or capacity</x:v>
      </x:c>
    </x:row>
    <x:row r="2729" ht="54" hidden="0" customHeight="1">
      <x:c r="A2729" s="29" t="str">
        <x:v>SCA-22</x:v>
      </x:c>
      <x:c r="B2729" s="29" t="str">
        <x:v>SCA-32</x:v>
      </x:c>
      <x:c r="C2729" s="29" t="str">
        <x:v>Road</x:v>
      </x:c>
      <x:c r="D2729" s="29" t="str">
        <x:v>NO</x:v>
      </x:c>
      <x:c r="E2729" s="29" t="str">
        <x:v>NO</x:v>
      </x:c>
      <x:c r="F2729" s="62"/>
      <x:c r="G2729" s="62"/>
      <x:c r="H2729" s="29" t="str">
        <x:v>NO</x:v>
      </x:c>
      <x:c r="I2729" s="29" t="str">
        <x:v>no screened path</x:v>
      </x:c>
      <x:c r="J2729" s="29" t="str">
        <x:v>presence does not prove operability or capacity</x:v>
      </x:c>
    </x:row>
    <x:row r="2730" ht="54" hidden="0" customHeight="1">
      <x:c r="A2730" s="27" t="str">
        <x:v>SCA-22</x:v>
      </x:c>
      <x:c r="B2730" s="27" t="str">
        <x:v>SCA-32</x:v>
      </x:c>
      <x:c r="C2730" s="27" t="str">
        <x:v>Rail</x:v>
      </x:c>
      <x:c r="D2730" s="27" t="str">
        <x:v>NO</x:v>
      </x:c>
      <x:c r="E2730" s="27" t="str">
        <x:v>NO</x:v>
      </x:c>
      <x:c r="F2730" s="61"/>
      <x:c r="G2730" s="61"/>
      <x:c r="H2730" s="27" t="str">
        <x:v>NO</x:v>
      </x:c>
      <x:c r="I2730" s="27" t="str">
        <x:v>no screened path</x:v>
      </x:c>
      <x:c r="J2730" s="27" t="str">
        <x:v>presence does not prove operability or capacity</x:v>
      </x:c>
    </x:row>
    <x:row r="2731" ht="54" hidden="0" customHeight="1">
      <x:c r="A2731" s="29" t="str">
        <x:v>SCA-22</x:v>
      </x:c>
      <x:c r="B2731" s="29" t="str">
        <x:v>SCA-32</x:v>
      </x:c>
      <x:c r="C2731" s="29" t="str">
        <x:v>Air</x:v>
      </x:c>
      <x:c r="D2731" s="29" t="str">
        <x:v>YES</x:v>
      </x:c>
      <x:c r="E2731" s="29" t="str">
        <x:v>YES</x:v>
      </x:c>
      <x:c r="F2731" s="62" t="n">
        <x:v>2894.1372760476793</x:v>
      </x:c>
      <x:c r="G2731" s="62" t="n">
        <x:v>28.4525188862272</x:v>
      </x:c>
      <x:c r="H2731" s="29" t="str">
        <x:v>YES</x:v>
      </x:c>
      <x:c r="I2731" s="29" t="str">
        <x:v>primary-airport endpoints; great-circle screen</x:v>
      </x:c>
      <x:c r="J2731" s="29" t="str">
        <x:v>presence does not prove operability or capacity</x:v>
      </x:c>
    </x:row>
    <x:row r="2732" ht="75.5999984741211" hidden="0" customHeight="1">
      <x:c r="A2732" s="27" t="str">
        <x:v>SCA-22</x:v>
      </x:c>
      <x:c r="B2732" s="27" t="str">
        <x:v>SCA-32</x:v>
      </x:c>
      <x:c r="C2732" s="27" t="str">
        <x:v>Water</x:v>
      </x:c>
      <x:c r="D2732" s="27" t="str">
        <x:v>YES</x:v>
      </x:c>
      <x:c r="E2732" s="27" t="str">
        <x:v>YES</x:v>
      </x:c>
      <x:c r="F2732" s="61" t="n">
        <x:v>3768.470247514497</x:v>
      </x:c>
      <x:c r="G2732" s="61" t="n">
        <x:v>137.6705785004142</x:v>
      </x:c>
      <x:c r="H2732" s="27" t="str">
        <x:v>NO</x:v>
      </x:c>
      <x:c r="I2732" s="27" t="str">
        <x:v>USACE waterway node topology; deployable terminal required</x:v>
      </x:c>
      <x:c r="J2732" s="27" t="str">
        <x:v>presence does not prove operability or capacity</x:v>
      </x:c>
    </x:row>
    <x:row r="2733" ht="54" hidden="0" customHeight="1">
      <x:c r="A2733" s="29" t="str">
        <x:v>SCA-23</x:v>
      </x:c>
      <x:c r="B2733" s="29" t="str">
        <x:v>SCA-01</x:v>
      </x:c>
      <x:c r="C2733" s="29" t="str">
        <x:v>Road</x:v>
      </x:c>
      <x:c r="D2733" s="29" t="str">
        <x:v>NO</x:v>
      </x:c>
      <x:c r="E2733" s="29" t="str">
        <x:v>NO</x:v>
      </x:c>
      <x:c r="F2733" s="62"/>
      <x:c r="G2733" s="62"/>
      <x:c r="H2733" s="29" t="str">
        <x:v>NO</x:v>
      </x:c>
      <x:c r="I2733" s="29" t="str">
        <x:v>no screened path</x:v>
      </x:c>
      <x:c r="J2733" s="29" t="str">
        <x:v>presence does not prove operability or capacity</x:v>
      </x:c>
    </x:row>
    <x:row r="2734" ht="54" hidden="0" customHeight="1">
      <x:c r="A2734" s="27" t="str">
        <x:v>SCA-23</x:v>
      </x:c>
      <x:c r="B2734" s="27" t="str">
        <x:v>SCA-01</x:v>
      </x:c>
      <x:c r="C2734" s="27" t="str">
        <x:v>Rail</x:v>
      </x:c>
      <x:c r="D2734" s="27" t="str">
        <x:v>NO</x:v>
      </x:c>
      <x:c r="E2734" s="27" t="str">
        <x:v>NO</x:v>
      </x:c>
      <x:c r="F2734" s="61"/>
      <x:c r="G2734" s="61"/>
      <x:c r="H2734" s="27" t="str">
        <x:v>NO</x:v>
      </x:c>
      <x:c r="I2734" s="27" t="str">
        <x:v>no screened path</x:v>
      </x:c>
      <x:c r="J2734" s="27" t="str">
        <x:v>presence does not prove operability or capacity</x:v>
      </x:c>
    </x:row>
    <x:row r="2735" ht="54" hidden="0" customHeight="1">
      <x:c r="A2735" s="29" t="str">
        <x:v>SCA-23</x:v>
      </x:c>
      <x:c r="B2735" s="29" t="str">
        <x:v>SCA-01</x:v>
      </x:c>
      <x:c r="C2735" s="29" t="str">
        <x:v>Air</x:v>
      </x:c>
      <x:c r="D2735" s="29" t="str">
        <x:v>YES</x:v>
      </x:c>
      <x:c r="E2735" s="29" t="str">
        <x:v>YES</x:v>
      </x:c>
      <x:c r="F2735" s="62" t="n">
        <x:v>7204.5326635431775</x:v>
      </x:c>
      <x:c r="G2735" s="62" t="n">
        <x:v>35.08389640545104</x:v>
      </x:c>
      <x:c r="H2735" s="29" t="str">
        <x:v>YES</x:v>
      </x:c>
      <x:c r="I2735" s="29" t="str">
        <x:v>primary-airport endpoints; great-circle screen</x:v>
      </x:c>
      <x:c r="J2735" s="29" t="str">
        <x:v>presence does not prove operability or capacity</x:v>
      </x:c>
    </x:row>
    <x:row r="2736" ht="75.5999984741211" hidden="0" customHeight="1">
      <x:c r="A2736" s="27" t="str">
        <x:v>SCA-23</x:v>
      </x:c>
      <x:c r="B2736" s="27" t="str">
        <x:v>SCA-01</x:v>
      </x:c>
      <x:c r="C2736" s="27" t="str">
        <x:v>Water</x:v>
      </x:c>
      <x:c r="D2736" s="27" t="str">
        <x:v>YES</x:v>
      </x:c>
      <x:c r="E2736" s="27" t="str">
        <x:v>YES</x:v>
      </x:c>
      <x:c r="F2736" s="61" t="n">
        <x:v>11257.72353488433</x:v>
      </x:c>
      <x:c r="G2736" s="61" t="n">
        <x:v>351.649243853838</x:v>
      </x:c>
      <x:c r="H2736" s="27" t="str">
        <x:v>NO</x:v>
      </x:c>
      <x:c r="I2736" s="27" t="str">
        <x:v>USACE waterway node topology; deployable terminal required</x:v>
      </x:c>
      <x:c r="J2736" s="27" t="str">
        <x:v>presence does not prove operability or capacity</x:v>
      </x:c>
    </x:row>
    <x:row r="2737" ht="54" hidden="0" customHeight="1">
      <x:c r="A2737" s="29" t="str">
        <x:v>SCA-23</x:v>
      </x:c>
      <x:c r="B2737" s="29" t="str">
        <x:v>SCA-02</x:v>
      </x:c>
      <x:c r="C2737" s="29" t="str">
        <x:v>Road</x:v>
      </x:c>
      <x:c r="D2737" s="29" t="str">
        <x:v>NO</x:v>
      </x:c>
      <x:c r="E2737" s="29" t="str">
        <x:v>NO</x:v>
      </x:c>
      <x:c r="F2737" s="62"/>
      <x:c r="G2737" s="62"/>
      <x:c r="H2737" s="29" t="str">
        <x:v>NO</x:v>
      </x:c>
      <x:c r="I2737" s="29" t="str">
        <x:v>no screened path</x:v>
      </x:c>
      <x:c r="J2737" s="29" t="str">
        <x:v>presence does not prove operability or capacity</x:v>
      </x:c>
    </x:row>
    <x:row r="2738" ht="54" hidden="0" customHeight="1">
      <x:c r="A2738" s="27" t="str">
        <x:v>SCA-23</x:v>
      </x:c>
      <x:c r="B2738" s="27" t="str">
        <x:v>SCA-02</x:v>
      </x:c>
      <x:c r="C2738" s="27" t="str">
        <x:v>Rail</x:v>
      </x:c>
      <x:c r="D2738" s="27" t="str">
        <x:v>NO</x:v>
      </x:c>
      <x:c r="E2738" s="27" t="str">
        <x:v>NO</x:v>
      </x:c>
      <x:c r="F2738" s="61"/>
      <x:c r="G2738" s="61"/>
      <x:c r="H2738" s="27" t="str">
        <x:v>NO</x:v>
      </x:c>
      <x:c r="I2738" s="27" t="str">
        <x:v>no screened path</x:v>
      </x:c>
      <x:c r="J2738" s="27" t="str">
        <x:v>presence does not prove operability or capacity</x:v>
      </x:c>
    </x:row>
    <x:row r="2739" ht="54" hidden="0" customHeight="1">
      <x:c r="A2739" s="29" t="str">
        <x:v>SCA-23</x:v>
      </x:c>
      <x:c r="B2739" s="29" t="str">
        <x:v>SCA-02</x:v>
      </x:c>
      <x:c r="C2739" s="29" t="str">
        <x:v>Air</x:v>
      </x:c>
      <x:c r="D2739" s="29" t="str">
        <x:v>YES</x:v>
      </x:c>
      <x:c r="E2739" s="29" t="str">
        <x:v>YES</x:v>
      </x:c>
      <x:c r="F2739" s="62" t="n">
        <x:v>5271.748507830711</x:v>
      </x:c>
      <x:c r="G2739" s="62" t="n">
        <x:v>32.11038231973956</x:v>
      </x:c>
      <x:c r="H2739" s="29" t="str">
        <x:v>YES</x:v>
      </x:c>
      <x:c r="I2739" s="29" t="str">
        <x:v>primary-airport endpoints; great-circle screen</x:v>
      </x:c>
      <x:c r="J2739" s="29" t="str">
        <x:v>presence does not prove operability or capacity</x:v>
      </x:c>
    </x:row>
    <x:row r="2740" ht="75.5999984741211" hidden="0" customHeight="1">
      <x:c r="A2740" s="27" t="str">
        <x:v>SCA-23</x:v>
      </x:c>
      <x:c r="B2740" s="27" t="str">
        <x:v>SCA-02</x:v>
      </x:c>
      <x:c r="C2740" s="27" t="str">
        <x:v>Water</x:v>
      </x:c>
      <x:c r="D2740" s="27" t="str">
        <x:v>YES</x:v>
      </x:c>
      <x:c r="E2740" s="27" t="str">
        <x:v>YES</x:v>
      </x:c>
      <x:c r="F2740" s="61" t="n">
        <x:v>9276.756369395582</x:v>
      </x:c>
      <x:c r="G2740" s="61" t="n">
        <x:v>295.0501819827309</x:v>
      </x:c>
      <x:c r="H2740" s="27" t="str">
        <x:v>NO</x:v>
      </x:c>
      <x:c r="I2740" s="27" t="str">
        <x:v>USACE waterway node topology; deployable terminal required</x:v>
      </x:c>
      <x:c r="J2740" s="27" t="str">
        <x:v>presence does not prove operability or capacity</x:v>
      </x:c>
    </x:row>
    <x:row r="2741" ht="54" hidden="0" customHeight="1">
      <x:c r="A2741" s="29" t="str">
        <x:v>SCA-23</x:v>
      </x:c>
      <x:c r="B2741" s="29" t="str">
        <x:v>SCA-03</x:v>
      </x:c>
      <x:c r="C2741" s="29" t="str">
        <x:v>Road</x:v>
      </x:c>
      <x:c r="D2741" s="29" t="str">
        <x:v>YES</x:v>
      </x:c>
      <x:c r="E2741" s="29" t="str">
        <x:v>YES</x:v>
      </x:c>
      <x:c r="F2741" s="62" t="n">
        <x:v>4097.231194127945</x:v>
      </x:c>
      <x:c r="G2741" s="62" t="n">
        <x:v>94.4951126205081</x:v>
      </x:c>
      <x:c r="H2741" s="29" t="str">
        <x:v>NO</x:v>
      </x:c>
      <x:c r="I2741" s="29" t="str">
        <x:v>NHPN-gated shared-boundary SCA path</x:v>
      </x:c>
      <x:c r="J2741" s="29" t="str">
        <x:v>presence does not prove operability or capacity</x:v>
      </x:c>
    </x:row>
    <x:row r="2742" ht="64.80000305175781" hidden="0" customHeight="1">
      <x:c r="A2742" s="27" t="str">
        <x:v>SCA-23</x:v>
      </x:c>
      <x:c r="B2742" s="27" t="str">
        <x:v>SCA-03</x:v>
      </x:c>
      <x:c r="C2742" s="27" t="str">
        <x:v>Rail</x:v>
      </x:c>
      <x:c r="D2742" s="27" t="str">
        <x:v>YES</x:v>
      </x:c>
      <x:c r="E2742" s="27" t="str">
        <x:v>YES</x:v>
      </x:c>
      <x:c r="F2742" s="61" t="n">
        <x:v>4346.627875509646</x:v>
      </x:c>
      <x:c r="G2742" s="61" t="n">
        <x:v>88.09468393585209</x:v>
      </x:c>
      <x:c r="H2742" s="27" t="str">
        <x:v>NO</x:v>
      </x:c>
      <x:c r="I2742" s="27" t="str">
        <x:v>NARN shared-node topology; deployable terminal required</x:v>
      </x:c>
      <x:c r="J2742" s="27" t="str">
        <x:v>presence does not prove operability or capacity</x:v>
      </x:c>
    </x:row>
    <x:row r="2743" ht="54" hidden="0" customHeight="1">
      <x:c r="A2743" s="29" t="str">
        <x:v>SCA-23</x:v>
      </x:c>
      <x:c r="B2743" s="29" t="str">
        <x:v>SCA-03</x:v>
      </x:c>
      <x:c r="C2743" s="29" t="str">
        <x:v>Air</x:v>
      </x:c>
      <x:c r="D2743" s="29" t="str">
        <x:v>YES</x:v>
      </x:c>
      <x:c r="E2743" s="29" t="str">
        <x:v>YES</x:v>
      </x:c>
      <x:c r="F2743" s="62" t="n">
        <x:v>3416.7173928728503</x:v>
      </x:c>
      <x:c r="G2743" s="62" t="n">
        <x:v>29.25648829672746</x:v>
      </x:c>
      <x:c r="H2743" s="29" t="str">
        <x:v>YES</x:v>
      </x:c>
      <x:c r="I2743" s="29" t="str">
        <x:v>primary-airport endpoints; great-circle screen</x:v>
      </x:c>
      <x:c r="J2743" s="29" t="str">
        <x:v>presence does not prove operability or capacity</x:v>
      </x:c>
    </x:row>
    <x:row r="2744" ht="75.5999984741211" hidden="0" customHeight="1">
      <x:c r="A2744" s="27" t="str">
        <x:v>SCA-23</x:v>
      </x:c>
      <x:c r="B2744" s="27" t="str">
        <x:v>SCA-03</x:v>
      </x:c>
      <x:c r="C2744" s="27" t="str">
        <x:v>Water</x:v>
      </x:c>
      <x:c r="D2744" s="27" t="str">
        <x:v>YES</x:v>
      </x:c>
      <x:c r="E2744" s="27" t="str">
        <x:v>YES</x:v>
      </x:c>
      <x:c r="F2744" s="61" t="n">
        <x:v>7866.962222212673</x:v>
      </x:c>
      <x:c r="G2744" s="61" t="n">
        <x:v>254.77034920607636</x:v>
      </x:c>
      <x:c r="H2744" s="27" t="str">
        <x:v>NO</x:v>
      </x:c>
      <x:c r="I2744" s="27" t="str">
        <x:v>USACE waterway node topology; deployable terminal required</x:v>
      </x:c>
      <x:c r="J2744" s="27" t="str">
        <x:v>presence does not prove operability or capacity</x:v>
      </x:c>
    </x:row>
    <x:row r="2745" ht="54" hidden="0" customHeight="1">
      <x:c r="A2745" s="29" t="str">
        <x:v>SCA-23</x:v>
      </x:c>
      <x:c r="B2745" s="29" t="str">
        <x:v>SCA-04</x:v>
      </x:c>
      <x:c r="C2745" s="29" t="str">
        <x:v>Road</x:v>
      </x:c>
      <x:c r="D2745" s="29" t="str">
        <x:v>YES</x:v>
      </x:c>
      <x:c r="E2745" s="29" t="str">
        <x:v>YES</x:v>
      </x:c>
      <x:c r="F2745" s="62" t="n">
        <x:v>4122.362737790362</x:v>
      </x:c>
      <x:c r="G2745" s="62" t="n">
        <x:v>94.95204977800658</x:v>
      </x:c>
      <x:c r="H2745" s="29" t="str">
        <x:v>NO</x:v>
      </x:c>
      <x:c r="I2745" s="29" t="str">
        <x:v>NHPN-gated shared-boundary SCA path</x:v>
      </x:c>
      <x:c r="J2745" s="29" t="str">
        <x:v>presence does not prove operability or capacity</x:v>
      </x:c>
    </x:row>
    <x:row r="2746" ht="64.80000305175781" hidden="0" customHeight="1">
      <x:c r="A2746" s="27" t="str">
        <x:v>SCA-23</x:v>
      </x:c>
      <x:c r="B2746" s="27" t="str">
        <x:v>SCA-04</x:v>
      </x:c>
      <x:c r="C2746" s="27" t="str">
        <x:v>Rail</x:v>
      </x:c>
      <x:c r="D2746" s="27" t="str">
        <x:v>YES</x:v>
      </x:c>
      <x:c r="E2746" s="27" t="str">
        <x:v>YES</x:v>
      </x:c>
      <x:c r="F2746" s="61" t="n">
        <x:v>4497.484735684192</x:v>
      </x:c>
      <x:c r="G2746" s="61" t="n">
        <x:v>90.2497819383456</x:v>
      </x:c>
      <x:c r="H2746" s="27" t="str">
        <x:v>NO</x:v>
      </x:c>
      <x:c r="I2746" s="27" t="str">
        <x:v>NARN shared-node topology; deployable terminal required</x:v>
      </x:c>
      <x:c r="J2746" s="27" t="str">
        <x:v>presence does not prove operability or capacity</x:v>
      </x:c>
    </x:row>
    <x:row r="2747" ht="54" hidden="0" customHeight="1">
      <x:c r="A2747" s="29" t="str">
        <x:v>SCA-23</x:v>
      </x:c>
      <x:c r="B2747" s="29" t="str">
        <x:v>SCA-04</x:v>
      </x:c>
      <x:c r="C2747" s="29" t="str">
        <x:v>Air</x:v>
      </x:c>
      <x:c r="D2747" s="29" t="str">
        <x:v>YES</x:v>
      </x:c>
      <x:c r="E2747" s="29" t="str">
        <x:v>YES</x:v>
      </x:c>
      <x:c r="F2747" s="62" t="n">
        <x:v>3339.097138043137</x:v>
      </x:c>
      <x:c r="G2747" s="62" t="n">
        <x:v>29.137072520066365</x:v>
      </x:c>
      <x:c r="H2747" s="29" t="str">
        <x:v>YES</x:v>
      </x:c>
      <x:c r="I2747" s="29" t="str">
        <x:v>primary-airport endpoints; great-circle screen</x:v>
      </x:c>
      <x:c r="J2747" s="29" t="str">
        <x:v>presence does not prove operability or capacity</x:v>
      </x:c>
    </x:row>
    <x:row r="2748" ht="75.5999984741211" hidden="0" customHeight="1">
      <x:c r="A2748" s="27" t="str">
        <x:v>SCA-23</x:v>
      </x:c>
      <x:c r="B2748" s="27" t="str">
        <x:v>SCA-04</x:v>
      </x:c>
      <x:c r="C2748" s="27" t="str">
        <x:v>Water</x:v>
      </x:c>
      <x:c r="D2748" s="27" t="str">
        <x:v>YES</x:v>
      </x:c>
      <x:c r="E2748" s="27" t="str">
        <x:v>YES</x:v>
      </x:c>
      <x:c r="F2748" s="61" t="n">
        <x:v>6654.704013831706</x:v>
      </x:c>
      <x:c r="G2748" s="61" t="n">
        <x:v>220.1344003951916</x:v>
      </x:c>
      <x:c r="H2748" s="27" t="str">
        <x:v>NO</x:v>
      </x:c>
      <x:c r="I2748" s="27" t="str">
        <x:v>USACE waterway node topology; deployable terminal required</x:v>
      </x:c>
      <x:c r="J2748" s="27" t="str">
        <x:v>presence does not prove operability or capacity</x:v>
      </x:c>
    </x:row>
    <x:row r="2749" ht="54" hidden="0" customHeight="1">
      <x:c r="A2749" s="29" t="str">
        <x:v>SCA-23</x:v>
      </x:c>
      <x:c r="B2749" s="29" t="str">
        <x:v>SCA-05</x:v>
      </x:c>
      <x:c r="C2749" s="29" t="str">
        <x:v>Road</x:v>
      </x:c>
      <x:c r="D2749" s="29" t="str">
        <x:v>YES</x:v>
      </x:c>
      <x:c r="E2749" s="29" t="str">
        <x:v>YES</x:v>
      </x:c>
      <x:c r="F2749" s="62" t="n">
        <x:v>3650.0991825056462</x:v>
      </x:c>
      <x:c r="G2749" s="62" t="n">
        <x:v>86.36543968192085</x:v>
      </x:c>
      <x:c r="H2749" s="29" t="str">
        <x:v>NO</x:v>
      </x:c>
      <x:c r="I2749" s="29" t="str">
        <x:v>NHPN-gated shared-boundary SCA path</x:v>
      </x:c>
      <x:c r="J2749" s="29" t="str">
        <x:v>presence does not prove operability or capacity</x:v>
      </x:c>
    </x:row>
    <x:row r="2750" ht="64.80000305175781" hidden="0" customHeight="1">
      <x:c r="A2750" s="27" t="str">
        <x:v>SCA-23</x:v>
      </x:c>
      <x:c r="B2750" s="27" t="str">
        <x:v>SCA-05</x:v>
      </x:c>
      <x:c r="C2750" s="27" t="str">
        <x:v>Rail</x:v>
      </x:c>
      <x:c r="D2750" s="27" t="str">
        <x:v>YES</x:v>
      </x:c>
      <x:c r="E2750" s="27" t="str">
        <x:v>YES</x:v>
      </x:c>
      <x:c r="F2750" s="61" t="n">
        <x:v>3872.2791327451214</x:v>
      </x:c>
      <x:c r="G2750" s="61" t="n">
        <x:v>81.3182733249303</x:v>
      </x:c>
      <x:c r="H2750" s="27" t="str">
        <x:v>NO</x:v>
      </x:c>
      <x:c r="I2750" s="27" t="str">
        <x:v>NARN shared-node topology; deployable terminal required</x:v>
      </x:c>
      <x:c r="J2750" s="27" t="str">
        <x:v>presence does not prove operability or capacity</x:v>
      </x:c>
    </x:row>
    <x:row r="2751" ht="54" hidden="0" customHeight="1">
      <x:c r="A2751" s="29" t="str">
        <x:v>SCA-23</x:v>
      </x:c>
      <x:c r="B2751" s="29" t="str">
        <x:v>SCA-05</x:v>
      </x:c>
      <x:c r="C2751" s="29" t="str">
        <x:v>Air</x:v>
      </x:c>
      <x:c r="D2751" s="29" t="str">
        <x:v>YES</x:v>
      </x:c>
      <x:c r="E2751" s="29" t="str">
        <x:v>YES</x:v>
      </x:c>
      <x:c r="F2751" s="62" t="n">
        <x:v>3096.8400406041874</x:v>
      </x:c>
      <x:c r="G2751" s="62" t="n">
        <x:v>28.764369293237213</x:v>
      </x:c>
      <x:c r="H2751" s="29" t="str">
        <x:v>YES</x:v>
      </x:c>
      <x:c r="I2751" s="29" t="str">
        <x:v>primary-airport endpoints; great-circle screen</x:v>
      </x:c>
      <x:c r="J2751" s="29" t="str">
        <x:v>presence does not prove operability or capacity</x:v>
      </x:c>
    </x:row>
    <x:row r="2752" ht="75.5999984741211" hidden="0" customHeight="1">
      <x:c r="A2752" s="27" t="str">
        <x:v>SCA-23</x:v>
      </x:c>
      <x:c r="B2752" s="27" t="str">
        <x:v>SCA-05</x:v>
      </x:c>
      <x:c r="C2752" s="27" t="str">
        <x:v>Water</x:v>
      </x:c>
      <x:c r="D2752" s="27" t="str">
        <x:v>YES</x:v>
      </x:c>
      <x:c r="E2752" s="27" t="str">
        <x:v>YES</x:v>
      </x:c>
      <x:c r="F2752" s="61" t="n">
        <x:v>5998.7505943546485</x:v>
      </x:c>
      <x:c r="G2752" s="61" t="n">
        <x:v>201.39287412441854</x:v>
      </x:c>
      <x:c r="H2752" s="27" t="str">
        <x:v>NO</x:v>
      </x:c>
      <x:c r="I2752" s="27" t="str">
        <x:v>USACE waterway node topology; deployable terminal required</x:v>
      </x:c>
      <x:c r="J2752" s="27" t="str">
        <x:v>presence does not prove operability or capacity</x:v>
      </x:c>
    </x:row>
    <x:row r="2753" ht="54" hidden="0" customHeight="1">
      <x:c r="A2753" s="29" t="str">
        <x:v>SCA-23</x:v>
      </x:c>
      <x:c r="B2753" s="29" t="str">
        <x:v>SCA-06</x:v>
      </x:c>
      <x:c r="C2753" s="29" t="str">
        <x:v>Road</x:v>
      </x:c>
      <x:c r="D2753" s="29" t="str">
        <x:v>YES</x:v>
      </x:c>
      <x:c r="E2753" s="29" t="str">
        <x:v>YES</x:v>
      </x:c>
      <x:c r="F2753" s="62" t="n">
        <x:v>3409.341810225523</x:v>
      </x:c>
      <x:c r="G2753" s="62" t="n">
        <x:v>81.98803291319133</x:v>
      </x:c>
      <x:c r="H2753" s="29" t="str">
        <x:v>NO</x:v>
      </x:c>
      <x:c r="I2753" s="29" t="str">
        <x:v>NHPN-gated shared-boundary SCA path</x:v>
      </x:c>
      <x:c r="J2753" s="29" t="str">
        <x:v>presence does not prove operability or capacity</x:v>
      </x:c>
    </x:row>
    <x:row r="2754" ht="64.80000305175781" hidden="0" customHeight="1">
      <x:c r="A2754" s="27" t="str">
        <x:v>SCA-23</x:v>
      </x:c>
      <x:c r="B2754" s="27" t="str">
        <x:v>SCA-06</x:v>
      </x:c>
      <x:c r="C2754" s="27" t="str">
        <x:v>Rail</x:v>
      </x:c>
      <x:c r="D2754" s="27" t="str">
        <x:v>YES</x:v>
      </x:c>
      <x:c r="E2754" s="27" t="str">
        <x:v>YES</x:v>
      </x:c>
      <x:c r="F2754" s="61" t="n">
        <x:v>3616.8669638914253</x:v>
      </x:c>
      <x:c r="G2754" s="61" t="n">
        <x:v>77.6695280555918</x:v>
      </x:c>
      <x:c r="H2754" s="27" t="str">
        <x:v>NO</x:v>
      </x:c>
      <x:c r="I2754" s="27" t="str">
        <x:v>NARN shared-node topology; deployable terminal required</x:v>
      </x:c>
      <x:c r="J2754" s="27" t="str">
        <x:v>presence does not prove operability or capacity</x:v>
      </x:c>
    </x:row>
    <x:row r="2755" ht="54" hidden="0" customHeight="1">
      <x:c r="A2755" s="29" t="str">
        <x:v>SCA-23</x:v>
      </x:c>
      <x:c r="B2755" s="29" t="str">
        <x:v>SCA-06</x:v>
      </x:c>
      <x:c r="C2755" s="29" t="str">
        <x:v>Air</x:v>
      </x:c>
      <x:c r="D2755" s="29" t="str">
        <x:v>YES</x:v>
      </x:c>
      <x:c r="E2755" s="29" t="str">
        <x:v>YES</x:v>
      </x:c>
      <x:c r="F2755" s="62" t="n">
        <x:v>2935.95211291449</x:v>
      </x:c>
      <x:c r="G2755" s="62" t="n">
        <x:v>28.516849404483832</x:v>
      </x:c>
      <x:c r="H2755" s="29" t="str">
        <x:v>YES</x:v>
      </x:c>
      <x:c r="I2755" s="29" t="str">
        <x:v>primary-airport endpoints; great-circle screen</x:v>
      </x:c>
      <x:c r="J2755" s="29" t="str">
        <x:v>presence does not prove operability or capacity</x:v>
      </x:c>
    </x:row>
    <x:row r="2756" ht="75.5999984741211" hidden="0" customHeight="1">
      <x:c r="A2756" s="27" t="str">
        <x:v>SCA-23</x:v>
      </x:c>
      <x:c r="B2756" s="27" t="str">
        <x:v>SCA-06</x:v>
      </x:c>
      <x:c r="C2756" s="27" t="str">
        <x:v>Water</x:v>
      </x:c>
      <x:c r="D2756" s="27" t="str">
        <x:v>YES</x:v>
      </x:c>
      <x:c r="E2756" s="27" t="str">
        <x:v>YES</x:v>
      </x:c>
      <x:c r="F2756" s="61" t="n">
        <x:v>5730.7771712950325</x:v>
      </x:c>
      <x:c r="G2756" s="61" t="n">
        <x:v>193.7364906084295</x:v>
      </x:c>
      <x:c r="H2756" s="27" t="str">
        <x:v>NO</x:v>
      </x:c>
      <x:c r="I2756" s="27" t="str">
        <x:v>USACE waterway node topology; deployable terminal required</x:v>
      </x:c>
      <x:c r="J2756" s="27" t="str">
        <x:v>presence does not prove operability or capacity</x:v>
      </x:c>
    </x:row>
    <x:row r="2757" ht="54" hidden="0" customHeight="1">
      <x:c r="A2757" s="29" t="str">
        <x:v>SCA-23</x:v>
      </x:c>
      <x:c r="B2757" s="29" t="str">
        <x:v>SCA-07</x:v>
      </x:c>
      <x:c r="C2757" s="29" t="str">
        <x:v>Road</x:v>
      </x:c>
      <x:c r="D2757" s="29" t="str">
        <x:v>YES</x:v>
      </x:c>
      <x:c r="E2757" s="29" t="str">
        <x:v>YES</x:v>
      </x:c>
      <x:c r="F2757" s="62" t="n">
        <x:v>3421.7585511377174</x:v>
      </x:c>
      <x:c r="G2757" s="62" t="n">
        <x:v>82.21379183886759</x:v>
      </x:c>
      <x:c r="H2757" s="29" t="str">
        <x:v>NO</x:v>
      </x:c>
      <x:c r="I2757" s="29" t="str">
        <x:v>NHPN-gated shared-boundary SCA path</x:v>
      </x:c>
      <x:c r="J2757" s="29" t="str">
        <x:v>presence does not prove operability or capacity</x:v>
      </x:c>
    </x:row>
    <x:row r="2758" ht="64.80000305175781" hidden="0" customHeight="1">
      <x:c r="A2758" s="27" t="str">
        <x:v>SCA-23</x:v>
      </x:c>
      <x:c r="B2758" s="27" t="str">
        <x:v>SCA-07</x:v>
      </x:c>
      <x:c r="C2758" s="27" t="str">
        <x:v>Rail</x:v>
      </x:c>
      <x:c r="D2758" s="27" t="str">
        <x:v>YES</x:v>
      </x:c>
      <x:c r="E2758" s="27" t="str">
        <x:v>YES</x:v>
      </x:c>
      <x:c r="F2758" s="61" t="n">
        <x:v>3630.0395064243617</x:v>
      </x:c>
      <x:c r="G2758" s="61" t="n">
        <x:v>77.85770723463374</x:v>
      </x:c>
      <x:c r="H2758" s="27" t="str">
        <x:v>NO</x:v>
      </x:c>
      <x:c r="I2758" s="27" t="str">
        <x:v>NARN shared-node topology; deployable terminal required</x:v>
      </x:c>
      <x:c r="J2758" s="27" t="str">
        <x:v>presence does not prove operability or capacity</x:v>
      </x:c>
    </x:row>
    <x:row r="2759" ht="54" hidden="0" customHeight="1">
      <x:c r="A2759" s="29" t="str">
        <x:v>SCA-23</x:v>
      </x:c>
      <x:c r="B2759" s="29" t="str">
        <x:v>SCA-07</x:v>
      </x:c>
      <x:c r="C2759" s="29" t="str">
        <x:v>Air</x:v>
      </x:c>
      <x:c r="D2759" s="29" t="str">
        <x:v>YES</x:v>
      </x:c>
      <x:c r="E2759" s="29" t="str">
        <x:v>YES</x:v>
      </x:c>
      <x:c r="F2759" s="62" t="n">
        <x:v>2809.949164661699</x:v>
      </x:c>
      <x:c r="G2759" s="62" t="n">
        <x:v>28.322998714864152</x:v>
      </x:c>
      <x:c r="H2759" s="29" t="str">
        <x:v>YES</x:v>
      </x:c>
      <x:c r="I2759" s="29" t="str">
        <x:v>primary-airport endpoints; great-circle screen</x:v>
      </x:c>
      <x:c r="J2759" s="29" t="str">
        <x:v>presence does not prove operability or capacity</x:v>
      </x:c>
    </x:row>
    <x:row r="2760" ht="64.80000305175781" hidden="0" customHeight="1">
      <x:c r="A2760" s="27" t="str">
        <x:v>SCA-23</x:v>
      </x:c>
      <x:c r="B2760" s="27" t="str">
        <x:v>SCA-07</x:v>
      </x:c>
      <x:c r="C2760" s="27" t="str">
        <x:v>Water</x:v>
      </x:c>
      <x:c r="D2760" s="27" t="str">
        <x:v>YES</x:v>
      </x:c>
      <x:c r="E2760" s="27" t="str">
        <x:v>YES</x:v>
      </x:c>
      <x:c r="F2760" s="61" t="n">
        <x:v>3512.4364558271236</x:v>
      </x:c>
      <x:c r="G2760" s="61" t="n">
        <x:v>130.3553273093464</x:v>
      </x:c>
      <x:c r="H2760" s="27" t="str">
        <x:v>NO</x:v>
      </x:c>
      <x:c r="I2760" s="27" t="str">
        <x:v>observed water terminals; maritime great-circle screen</x:v>
      </x:c>
      <x:c r="J2760" s="27" t="str">
        <x:v>presence does not prove operability or capacity</x:v>
      </x:c>
    </x:row>
    <x:row r="2761" ht="54" hidden="0" customHeight="1">
      <x:c r="A2761" s="29" t="str">
        <x:v>SCA-23</x:v>
      </x:c>
      <x:c r="B2761" s="29" t="str">
        <x:v>SCA-08</x:v>
      </x:c>
      <x:c r="C2761" s="29" t="str">
        <x:v>Road</x:v>
      </x:c>
      <x:c r="D2761" s="29" t="str">
        <x:v>YES</x:v>
      </x:c>
      <x:c r="E2761" s="29" t="str">
        <x:v>YES</x:v>
      </x:c>
      <x:c r="F2761" s="62" t="n">
        <x:v>3452.5763190554353</x:v>
      </x:c>
      <x:c r="G2761" s="62" t="n">
        <x:v>82.77411489191701</x:v>
      </x:c>
      <x:c r="H2761" s="29" t="str">
        <x:v>NO</x:v>
      </x:c>
      <x:c r="I2761" s="29" t="str">
        <x:v>NHPN-gated shared-boundary SCA path</x:v>
      </x:c>
      <x:c r="J2761" s="29" t="str">
        <x:v>presence does not prove operability or capacity</x:v>
      </x:c>
    </x:row>
    <x:row r="2762" ht="64.80000305175781" hidden="0" customHeight="1">
      <x:c r="A2762" s="27" t="str">
        <x:v>SCA-23</x:v>
      </x:c>
      <x:c r="B2762" s="27" t="str">
        <x:v>SCA-08</x:v>
      </x:c>
      <x:c r="C2762" s="27" t="str">
        <x:v>Rail</x:v>
      </x:c>
      <x:c r="D2762" s="27" t="str">
        <x:v>YES</x:v>
      </x:c>
      <x:c r="E2762" s="27" t="str">
        <x:v>YES</x:v>
      </x:c>
      <x:c r="F2762" s="61" t="n">
        <x:v>3662.733138476201</x:v>
      </x:c>
      <x:c r="G2762" s="61" t="n">
        <x:v>78.32475912108859</x:v>
      </x:c>
      <x:c r="H2762" s="27" t="str">
        <x:v>NO</x:v>
      </x:c>
      <x:c r="I2762" s="27" t="str">
        <x:v>NARN shared-node topology; deployable terminal required</x:v>
      </x:c>
      <x:c r="J2762" s="27" t="str">
        <x:v>presence does not prove operability or capacity</x:v>
      </x:c>
    </x:row>
    <x:row r="2763" ht="54" hidden="0" customHeight="1">
      <x:c r="A2763" s="29" t="str">
        <x:v>SCA-23</x:v>
      </x:c>
      <x:c r="B2763" s="29" t="str">
        <x:v>SCA-08</x:v>
      </x:c>
      <x:c r="C2763" s="29" t="str">
        <x:v>Air</x:v>
      </x:c>
      <x:c r="D2763" s="29" t="str">
        <x:v>YES</x:v>
      </x:c>
      <x:c r="E2763" s="29" t="str">
        <x:v>YES</x:v>
      </x:c>
      <x:c r="F2763" s="62" t="n">
        <x:v>2863.067062287433</x:v>
      </x:c>
      <x:c r="G2763" s="62" t="n">
        <x:v>28.404718557365282</x:v>
      </x:c>
      <x:c r="H2763" s="29" t="str">
        <x:v>YES</x:v>
      </x:c>
      <x:c r="I2763" s="29" t="str">
        <x:v>primary-airport endpoints; great-circle screen</x:v>
      </x:c>
      <x:c r="J2763" s="29" t="str">
        <x:v>presence does not prove operability or capacity</x:v>
      </x:c>
    </x:row>
    <x:row r="2764" ht="75.5999984741211" hidden="0" customHeight="1">
      <x:c r="A2764" s="27" t="str">
        <x:v>SCA-23</x:v>
      </x:c>
      <x:c r="B2764" s="27" t="str">
        <x:v>SCA-08</x:v>
      </x:c>
      <x:c r="C2764" s="27" t="str">
        <x:v>Water</x:v>
      </x:c>
      <x:c r="D2764" s="27" t="str">
        <x:v>YES</x:v>
      </x:c>
      <x:c r="E2764" s="27" t="str">
        <x:v>YES</x:v>
      </x:c>
      <x:c r="F2764" s="61" t="n">
        <x:v>8584.491126641205</x:v>
      </x:c>
      <x:c r="G2764" s="61" t="n">
        <x:v>275.2711750468916</x:v>
      </x:c>
      <x:c r="H2764" s="27" t="str">
        <x:v>NO</x:v>
      </x:c>
      <x:c r="I2764" s="27" t="str">
        <x:v>USACE waterway node topology; deployable terminal required</x:v>
      </x:c>
      <x:c r="J2764" s="27" t="str">
        <x:v>presence does not prove operability or capacity</x:v>
      </x:c>
    </x:row>
    <x:row r="2765" ht="54" hidden="0" customHeight="1">
      <x:c r="A2765" s="29" t="str">
        <x:v>SCA-23</x:v>
      </x:c>
      <x:c r="B2765" s="29" t="str">
        <x:v>SCA-09</x:v>
      </x:c>
      <x:c r="C2765" s="29" t="str">
        <x:v>Road</x:v>
      </x:c>
      <x:c r="D2765" s="29" t="str">
        <x:v>YES</x:v>
      </x:c>
      <x:c r="E2765" s="29" t="str">
        <x:v>YES</x:v>
      </x:c>
      <x:c r="F2765" s="62" t="n">
        <x:v>2959.6223584636923</x:v>
      </x:c>
      <x:c r="G2765" s="62" t="n">
        <x:v>73.81131560843076</x:v>
      </x:c>
      <x:c r="H2765" s="29" t="str">
        <x:v>NO</x:v>
      </x:c>
      <x:c r="I2765" s="29" t="str">
        <x:v>NHPN-gated shared-boundary SCA path</x:v>
      </x:c>
      <x:c r="J2765" s="29" t="str">
        <x:v>presence does not prove operability or capacity</x:v>
      </x:c>
    </x:row>
    <x:row r="2766" ht="64.80000305175781" hidden="0" customHeight="1">
      <x:c r="A2766" s="27" t="str">
        <x:v>SCA-23</x:v>
      </x:c>
      <x:c r="B2766" s="27" t="str">
        <x:v>SCA-09</x:v>
      </x:c>
      <x:c r="C2766" s="27" t="str">
        <x:v>Rail</x:v>
      </x:c>
      <x:c r="D2766" s="27" t="str">
        <x:v>YES</x:v>
      </x:c>
      <x:c r="E2766" s="27" t="str">
        <x:v>YES</x:v>
      </x:c>
      <x:c r="F2766" s="61" t="n">
        <x:v>3139.7732846310478</x:v>
      </x:c>
      <x:c r="G2766" s="61" t="n">
        <x:v>70.85390406615782</x:v>
      </x:c>
      <x:c r="H2766" s="27" t="str">
        <x:v>YES</x:v>
      </x:c>
      <x:c r="I2766" s="27" t="str">
        <x:v>NARN shared-node topology; deployable terminal required</x:v>
      </x:c>
      <x:c r="J2766" s="27" t="str">
        <x:v>presence does not prove operability or capacity</x:v>
      </x:c>
    </x:row>
    <x:row r="2767" ht="54" hidden="0" customHeight="1">
      <x:c r="A2767" s="29" t="str">
        <x:v>SCA-23</x:v>
      </x:c>
      <x:c r="B2767" s="29" t="str">
        <x:v>SCA-09</x:v>
      </x:c>
      <x:c r="C2767" s="29" t="str">
        <x:v>Air</x:v>
      </x:c>
      <x:c r="D2767" s="29" t="str">
        <x:v>YES</x:v>
      </x:c>
      <x:c r="E2767" s="29" t="str">
        <x:v>YES</x:v>
      </x:c>
      <x:c r="F2767" s="62" t="n">
        <x:v>2552.1916065850182</x:v>
      </x:c>
      <x:c r="G2767" s="62" t="n">
        <x:v>27.926448625515413</x:v>
      </x:c>
      <x:c r="H2767" s="29" t="str">
        <x:v>YES</x:v>
      </x:c>
      <x:c r="I2767" s="29" t="str">
        <x:v>primary-airport endpoints; great-circle screen</x:v>
      </x:c>
      <x:c r="J2767" s="29" t="str">
        <x:v>presence does not prove operability or capacity</x:v>
      </x:c>
    </x:row>
    <x:row r="2768" ht="54" hidden="0" customHeight="1">
      <x:c r="A2768" s="27" t="str">
        <x:v>SCA-23</x:v>
      </x:c>
      <x:c r="B2768" s="27" t="str">
        <x:v>SCA-09</x:v>
      </x:c>
      <x:c r="C2768" s="27" t="str">
        <x:v>Water</x:v>
      </x:c>
      <x:c r="D2768" s="27" t="str">
        <x:v>NO</x:v>
      </x:c>
      <x:c r="E2768" s="27" t="str">
        <x:v>NO</x:v>
      </x:c>
      <x:c r="F2768" s="61"/>
      <x:c r="G2768" s="61"/>
      <x:c r="H2768" s="27" t="str">
        <x:v>NO</x:v>
      </x:c>
      <x:c r="I2768" s="27" t="str">
        <x:v>no screened path</x:v>
      </x:c>
      <x:c r="J2768" s="27" t="str">
        <x:v>presence does not prove operability or capacity</x:v>
      </x:c>
    </x:row>
    <x:row r="2769" ht="54" hidden="0" customHeight="1">
      <x:c r="A2769" s="29" t="str">
        <x:v>SCA-23</x:v>
      </x:c>
      <x:c r="B2769" s="29" t="str">
        <x:v>SCA-10</x:v>
      </x:c>
      <x:c r="C2769" s="29" t="str">
        <x:v>Road</x:v>
      </x:c>
      <x:c r="D2769" s="29" t="str">
        <x:v>YES</x:v>
      </x:c>
      <x:c r="E2769" s="29" t="str">
        <x:v>YES</x:v>
      </x:c>
      <x:c r="F2769" s="62" t="n">
        <x:v>2956.9998866395003</x:v>
      </x:c>
      <x:c r="G2769" s="62" t="n">
        <x:v>73.76363430253636</x:v>
      </x:c>
      <x:c r="H2769" s="29" t="str">
        <x:v>NO</x:v>
      </x:c>
      <x:c r="I2769" s="29" t="str">
        <x:v>NHPN-gated shared-boundary SCA path</x:v>
      </x:c>
      <x:c r="J2769" s="29" t="str">
        <x:v>presence does not prove operability or capacity</x:v>
      </x:c>
    </x:row>
    <x:row r="2770" ht="64.80000305175781" hidden="0" customHeight="1">
      <x:c r="A2770" s="27" t="str">
        <x:v>SCA-23</x:v>
      </x:c>
      <x:c r="B2770" s="27" t="str">
        <x:v>SCA-10</x:v>
      </x:c>
      <x:c r="C2770" s="27" t="str">
        <x:v>Rail</x:v>
      </x:c>
      <x:c r="D2770" s="27" t="str">
        <x:v>YES</x:v>
      </x:c>
      <x:c r="E2770" s="27" t="str">
        <x:v>YES</x:v>
      </x:c>
      <x:c r="F2770" s="61" t="n">
        <x:v>3136.9911840871227</x:v>
      </x:c>
      <x:c r="G2770" s="61" t="n">
        <x:v>70.81415977267318</x:v>
      </x:c>
      <x:c r="H2770" s="27" t="str">
        <x:v>YES</x:v>
      </x:c>
      <x:c r="I2770" s="27" t="str">
        <x:v>NARN shared-node topology; deployable terminal required</x:v>
      </x:c>
      <x:c r="J2770" s="27" t="str">
        <x:v>presence does not prove operability or capacity</x:v>
      </x:c>
    </x:row>
    <x:row r="2771" ht="54" hidden="0" customHeight="1">
      <x:c r="A2771" s="29" t="str">
        <x:v>SCA-23</x:v>
      </x:c>
      <x:c r="B2771" s="29" t="str">
        <x:v>SCA-10</x:v>
      </x:c>
      <x:c r="C2771" s="29" t="str">
        <x:v>Air</x:v>
      </x:c>
      <x:c r="D2771" s="29" t="str">
        <x:v>YES</x:v>
      </x:c>
      <x:c r="E2771" s="29" t="str">
        <x:v>YES</x:v>
      </x:c>
      <x:c r="F2771" s="62" t="n">
        <x:v>2493.028452721511</x:v>
      </x:c>
      <x:c r="G2771" s="62" t="n">
        <x:v>27.835428388802324</x:v>
      </x:c>
      <x:c r="H2771" s="29" t="str">
        <x:v>YES</x:v>
      </x:c>
      <x:c r="I2771" s="29" t="str">
        <x:v>primary-airport endpoints; great-circle screen</x:v>
      </x:c>
      <x:c r="J2771" s="29" t="str">
        <x:v>presence does not prove operability or capacity</x:v>
      </x:c>
    </x:row>
    <x:row r="2772" ht="54" hidden="0" customHeight="1">
      <x:c r="A2772" s="27" t="str">
        <x:v>SCA-23</x:v>
      </x:c>
      <x:c r="B2772" s="27" t="str">
        <x:v>SCA-10</x:v>
      </x:c>
      <x:c r="C2772" s="27" t="str">
        <x:v>Water</x:v>
      </x:c>
      <x:c r="D2772" s="27" t="str">
        <x:v>NO</x:v>
      </x:c>
      <x:c r="E2772" s="27" t="str">
        <x:v>NO</x:v>
      </x:c>
      <x:c r="F2772" s="61"/>
      <x:c r="G2772" s="61"/>
      <x:c r="H2772" s="27" t="str">
        <x:v>NO</x:v>
      </x:c>
      <x:c r="I2772" s="27" t="str">
        <x:v>no screened path</x:v>
      </x:c>
      <x:c r="J2772" s="27" t="str">
        <x:v>presence does not prove operability or capacity</x:v>
      </x:c>
    </x:row>
    <x:row r="2773" ht="54" hidden="0" customHeight="1">
      <x:c r="A2773" s="29" t="str">
        <x:v>SCA-23</x:v>
      </x:c>
      <x:c r="B2773" s="29" t="str">
        <x:v>SCA-11</x:v>
      </x:c>
      <x:c r="C2773" s="29" t="str">
        <x:v>Road</x:v>
      </x:c>
      <x:c r="D2773" s="29" t="str">
        <x:v>YES</x:v>
      </x:c>
      <x:c r="E2773" s="29" t="str">
        <x:v>YES</x:v>
      </x:c>
      <x:c r="F2773" s="62" t="n">
        <x:v>2207.870006994082</x:v>
      </x:c>
      <x:c r="G2773" s="62" t="n">
        <x:v>60.14309103625603</x:v>
      </x:c>
      <x:c r="H2773" s="29" t="str">
        <x:v>YES</x:v>
      </x:c>
      <x:c r="I2773" s="29" t="str">
        <x:v>NHPN-gated shared-boundary SCA path</x:v>
      </x:c>
      <x:c r="J2773" s="29" t="str">
        <x:v>presence does not prove operability or capacity</x:v>
      </x:c>
    </x:row>
    <x:row r="2774" ht="64.80000305175781" hidden="0" customHeight="1">
      <x:c r="A2774" s="27" t="str">
        <x:v>SCA-23</x:v>
      </x:c>
      <x:c r="B2774" s="27" t="str">
        <x:v>SCA-11</x:v>
      </x:c>
      <x:c r="C2774" s="27" t="str">
        <x:v>Rail</x:v>
      </x:c>
      <x:c r="D2774" s="27" t="str">
        <x:v>YES</x:v>
      </x:c>
      <x:c r="E2774" s="27" t="str">
        <x:v>YES</x:v>
      </x:c>
      <x:c r="F2774" s="61" t="n">
        <x:v>2342.2620943763304</x:v>
      </x:c>
      <x:c r="G2774" s="61" t="n">
        <x:v>59.46088706251901</x:v>
      </x:c>
      <x:c r="H2774" s="27" t="str">
        <x:v>YES</x:v>
      </x:c>
      <x:c r="I2774" s="27" t="str">
        <x:v>NARN shared-node topology; deployable terminal required</x:v>
      </x:c>
      <x:c r="J2774" s="27" t="str">
        <x:v>presence does not prove operability or capacity</x:v>
      </x:c>
    </x:row>
    <x:row r="2775" ht="54" hidden="0" customHeight="1">
      <x:c r="A2775" s="29" t="str">
        <x:v>SCA-23</x:v>
      </x:c>
      <x:c r="B2775" s="29" t="str">
        <x:v>SCA-11</x:v>
      </x:c>
      <x:c r="C2775" s="29" t="str">
        <x:v>Air</x:v>
      </x:c>
      <x:c r="D2775" s="29" t="str">
        <x:v>YES</x:v>
      </x:c>
      <x:c r="E2775" s="29" t="str">
        <x:v>YES</x:v>
      </x:c>
      <x:c r="F2775" s="62" t="n">
        <x:v>1905.7908226220752</x:v>
      </x:c>
      <x:c r="G2775" s="62" t="n">
        <x:v>26.93198588095704</x:v>
      </x:c>
      <x:c r="H2775" s="29" t="str">
        <x:v>YES</x:v>
      </x:c>
      <x:c r="I2775" s="29" t="str">
        <x:v>primary-airport endpoints; great-circle screen</x:v>
      </x:c>
      <x:c r="J2775" s="29" t="str">
        <x:v>presence does not prove operability or capacity</x:v>
      </x:c>
    </x:row>
    <x:row r="2776" ht="54" hidden="0" customHeight="1">
      <x:c r="A2776" s="27" t="str">
        <x:v>SCA-23</x:v>
      </x:c>
      <x:c r="B2776" s="27" t="str">
        <x:v>SCA-11</x:v>
      </x:c>
      <x:c r="C2776" s="27" t="str">
        <x:v>Water</x:v>
      </x:c>
      <x:c r="D2776" s="27" t="str">
        <x:v>NO</x:v>
      </x:c>
      <x:c r="E2776" s="27" t="str">
        <x:v>NO</x:v>
      </x:c>
      <x:c r="F2776" s="61"/>
      <x:c r="G2776" s="61"/>
      <x:c r="H2776" s="27" t="str">
        <x:v>NO</x:v>
      </x:c>
      <x:c r="I2776" s="27" t="str">
        <x:v>no screened path</x:v>
      </x:c>
      <x:c r="J2776" s="27" t="str">
        <x:v>presence does not prove operability or capacity</x:v>
      </x:c>
    </x:row>
    <x:row r="2777" ht="54" hidden="0" customHeight="1">
      <x:c r="A2777" s="29" t="str">
        <x:v>SCA-23</x:v>
      </x:c>
      <x:c r="B2777" s="29" t="str">
        <x:v>SCA-12</x:v>
      </x:c>
      <x:c r="C2777" s="29" t="str">
        <x:v>Road</x:v>
      </x:c>
      <x:c r="D2777" s="29" t="str">
        <x:v>YES</x:v>
      </x:c>
      <x:c r="E2777" s="29" t="str">
        <x:v>YES</x:v>
      </x:c>
      <x:c r="F2777" s="62" t="n">
        <x:v>2280.741924393058</x:v>
      </x:c>
      <x:c r="G2777" s="62" t="n">
        <x:v>61.46803498896469</x:v>
      </x:c>
      <x:c r="H2777" s="29" t="str">
        <x:v>YES</x:v>
      </x:c>
      <x:c r="I2777" s="29" t="str">
        <x:v>NHPN-gated shared-boundary SCA path</x:v>
      </x:c>
      <x:c r="J2777" s="29" t="str">
        <x:v>presence does not prove operability or capacity</x:v>
      </x:c>
    </x:row>
    <x:row r="2778" ht="64.80000305175781" hidden="0" customHeight="1">
      <x:c r="A2778" s="27" t="str">
        <x:v>SCA-23</x:v>
      </x:c>
      <x:c r="B2778" s="27" t="str">
        <x:v>SCA-12</x:v>
      </x:c>
      <x:c r="C2778" s="27" t="str">
        <x:v>Rail</x:v>
      </x:c>
      <x:c r="D2778" s="27" t="str">
        <x:v>YES</x:v>
      </x:c>
      <x:c r="E2778" s="27" t="str">
        <x:v>YES</x:v>
      </x:c>
      <x:c r="F2778" s="61" t="n">
        <x:v>2419.56969370394</x:v>
      </x:c>
      <x:c r="G2778" s="61" t="n">
        <x:v>60.56528133862772</x:v>
      </x:c>
      <x:c r="H2778" s="27" t="str">
        <x:v>YES</x:v>
      </x:c>
      <x:c r="I2778" s="27" t="str">
        <x:v>NARN shared-node topology; deployable terminal required</x:v>
      </x:c>
      <x:c r="J2778" s="27" t="str">
        <x:v>presence does not prove operability or capacity</x:v>
      </x:c>
    </x:row>
    <x:row r="2779" ht="54" hidden="0" customHeight="1">
      <x:c r="A2779" s="29" t="str">
        <x:v>SCA-23</x:v>
      </x:c>
      <x:c r="B2779" s="29" t="str">
        <x:v>SCA-12</x:v>
      </x:c>
      <x:c r="C2779" s="29" t="str">
        <x:v>Air</x:v>
      </x:c>
      <x:c r="D2779" s="29" t="str">
        <x:v>YES</x:v>
      </x:c>
      <x:c r="E2779" s="29" t="str">
        <x:v>YES</x:v>
      </x:c>
      <x:c r="F2779" s="62" t="n">
        <x:v>1910.7440988335175</x:v>
      </x:c>
      <x:c r="G2779" s="62" t="n">
        <x:v>26.93960630589772</x:v>
      </x:c>
      <x:c r="H2779" s="29" t="str">
        <x:v>YES</x:v>
      </x:c>
      <x:c r="I2779" s="29" t="str">
        <x:v>primary-airport endpoints; great-circle screen</x:v>
      </x:c>
      <x:c r="J2779" s="29" t="str">
        <x:v>presence does not prove operability or capacity</x:v>
      </x:c>
    </x:row>
    <x:row r="2780" ht="54" hidden="0" customHeight="1">
      <x:c r="A2780" s="27" t="str">
        <x:v>SCA-23</x:v>
      </x:c>
      <x:c r="B2780" s="27" t="str">
        <x:v>SCA-12</x:v>
      </x:c>
      <x:c r="C2780" s="27" t="str">
        <x:v>Water</x:v>
      </x:c>
      <x:c r="D2780" s="27" t="str">
        <x:v>NO</x:v>
      </x:c>
      <x:c r="E2780" s="27" t="str">
        <x:v>NO</x:v>
      </x:c>
      <x:c r="F2780" s="61"/>
      <x:c r="G2780" s="61"/>
      <x:c r="H2780" s="27" t="str">
        <x:v>NO</x:v>
      </x:c>
      <x:c r="I2780" s="27" t="str">
        <x:v>no screened path</x:v>
      </x:c>
      <x:c r="J2780" s="27" t="str">
        <x:v>presence does not prove operability or capacity</x:v>
      </x:c>
    </x:row>
    <x:row r="2781" ht="54" hidden="0" customHeight="1">
      <x:c r="A2781" s="29" t="str">
        <x:v>SCA-23</x:v>
      </x:c>
      <x:c r="B2781" s="29" t="str">
        <x:v>SCA-13</x:v>
      </x:c>
      <x:c r="C2781" s="29" t="str">
        <x:v>Road</x:v>
      </x:c>
      <x:c r="D2781" s="29" t="str">
        <x:v>NO</x:v>
      </x:c>
      <x:c r="E2781" s="29" t="str">
        <x:v>NO</x:v>
      </x:c>
      <x:c r="F2781" s="62"/>
      <x:c r="G2781" s="62"/>
      <x:c r="H2781" s="29" t="str">
        <x:v>NO</x:v>
      </x:c>
      <x:c r="I2781" s="29" t="str">
        <x:v>no screened path</x:v>
      </x:c>
      <x:c r="J2781" s="29" t="str">
        <x:v>presence does not prove operability or capacity</x:v>
      </x:c>
    </x:row>
    <x:row r="2782" ht="64.80000305175781" hidden="0" customHeight="1">
      <x:c r="A2782" s="27" t="str">
        <x:v>SCA-23</x:v>
      </x:c>
      <x:c r="B2782" s="27" t="str">
        <x:v>SCA-13</x:v>
      </x:c>
      <x:c r="C2782" s="27" t="str">
        <x:v>Rail</x:v>
      </x:c>
      <x:c r="D2782" s="27" t="str">
        <x:v>YES</x:v>
      </x:c>
      <x:c r="E2782" s="27" t="str">
        <x:v>YES</x:v>
      </x:c>
      <x:c r="F2782" s="61" t="n">
        <x:v>1805.7322473192403</x:v>
      </x:c>
      <x:c r="G2782" s="61" t="n">
        <x:v>51.79617496170343</x:v>
      </x:c>
      <x:c r="H2782" s="27" t="str">
        <x:v>YES</x:v>
      </x:c>
      <x:c r="I2782" s="27" t="str">
        <x:v>NARN shared-node topology; deployable terminal required</x:v>
      </x:c>
      <x:c r="J2782" s="27" t="str">
        <x:v>presence does not prove operability or capacity</x:v>
      </x:c>
    </x:row>
    <x:row r="2783" ht="54" hidden="0" customHeight="1">
      <x:c r="A2783" s="29" t="str">
        <x:v>SCA-23</x:v>
      </x:c>
      <x:c r="B2783" s="29" t="str">
        <x:v>SCA-13</x:v>
      </x:c>
      <x:c r="C2783" s="29" t="str">
        <x:v>Air</x:v>
      </x:c>
      <x:c r="D2783" s="29" t="str">
        <x:v>YES</x:v>
      </x:c>
      <x:c r="E2783" s="29" t="str">
        <x:v>YES</x:v>
      </x:c>
      <x:c r="F2783" s="62" t="n">
        <x:v>1349.599829946287</x:v>
      </x:c>
      <x:c r="G2783" s="62" t="n">
        <x:v>26.076307430686594</x:v>
      </x:c>
      <x:c r="H2783" s="29" t="str">
        <x:v>YES</x:v>
      </x:c>
      <x:c r="I2783" s="29" t="str">
        <x:v>primary-airport endpoints; great-circle screen</x:v>
      </x:c>
      <x:c r="J2783" s="29" t="str">
        <x:v>presence does not prove operability or capacity</x:v>
      </x:c>
    </x:row>
    <x:row r="2784" ht="75.5999984741211" hidden="0" customHeight="1">
      <x:c r="A2784" s="27" t="str">
        <x:v>SCA-23</x:v>
      </x:c>
      <x:c r="B2784" s="27" t="str">
        <x:v>SCA-13</x:v>
      </x:c>
      <x:c r="C2784" s="27" t="str">
        <x:v>Water</x:v>
      </x:c>
      <x:c r="D2784" s="27" t="str">
        <x:v>YES</x:v>
      </x:c>
      <x:c r="E2784" s="27" t="str">
        <x:v>YES</x:v>
      </x:c>
      <x:c r="F2784" s="61" t="n">
        <x:v>1894.5387512857606</x:v>
      </x:c>
      <x:c r="G2784" s="61" t="n">
        <x:v>84.1296786081646</x:v>
      </x:c>
      <x:c r="H2784" s="27" t="str">
        <x:v>NO</x:v>
      </x:c>
      <x:c r="I2784" s="27" t="str">
        <x:v>USACE waterway node topology; deployable terminal required</x:v>
      </x:c>
      <x:c r="J2784" s="27" t="str">
        <x:v>presence does not prove operability or capacity</x:v>
      </x:c>
    </x:row>
    <x:row r="2785" ht="54" hidden="0" customHeight="1">
      <x:c r="A2785" s="29" t="str">
        <x:v>SCA-23</x:v>
      </x:c>
      <x:c r="B2785" s="29" t="str">
        <x:v>SCA-14</x:v>
      </x:c>
      <x:c r="C2785" s="29" t="str">
        <x:v>Road</x:v>
      </x:c>
      <x:c r="D2785" s="29" t="str">
        <x:v>NO</x:v>
      </x:c>
      <x:c r="E2785" s="29" t="str">
        <x:v>NO</x:v>
      </x:c>
      <x:c r="F2785" s="62"/>
      <x:c r="G2785" s="62"/>
      <x:c r="H2785" s="29" t="str">
        <x:v>NO</x:v>
      </x:c>
      <x:c r="I2785" s="29" t="str">
        <x:v>no screened path</x:v>
      </x:c>
      <x:c r="J2785" s="29" t="str">
        <x:v>presence does not prove operability or capacity</x:v>
      </x:c>
    </x:row>
    <x:row r="2786" ht="64.80000305175781" hidden="0" customHeight="1">
      <x:c r="A2786" s="27" t="str">
        <x:v>SCA-23</x:v>
      </x:c>
      <x:c r="B2786" s="27" t="str">
        <x:v>SCA-14</x:v>
      </x:c>
      <x:c r="C2786" s="27" t="str">
        <x:v>Rail</x:v>
      </x:c>
      <x:c r="D2786" s="27" t="str">
        <x:v>YES</x:v>
      </x:c>
      <x:c r="E2786" s="27" t="str">
        <x:v>YES</x:v>
      </x:c>
      <x:c r="F2786" s="61" t="n">
        <x:v>2233.8618757949585</x:v>
      </x:c>
      <x:c r="G2786" s="61" t="n">
        <x:v>57.91231251135655</x:v>
      </x:c>
      <x:c r="H2786" s="27" t="str">
        <x:v>YES</x:v>
      </x:c>
      <x:c r="I2786" s="27" t="str">
        <x:v>NARN shared-node topology; deployable terminal required</x:v>
      </x:c>
      <x:c r="J2786" s="27" t="str">
        <x:v>presence does not prove operability or capacity</x:v>
      </x:c>
    </x:row>
    <x:row r="2787" ht="54" hidden="0" customHeight="1">
      <x:c r="A2787" s="29" t="str">
        <x:v>SCA-23</x:v>
      </x:c>
      <x:c r="B2787" s="29" t="str">
        <x:v>SCA-14</x:v>
      </x:c>
      <x:c r="C2787" s="29" t="str">
        <x:v>Air</x:v>
      </x:c>
      <x:c r="D2787" s="29" t="str">
        <x:v>YES</x:v>
      </x:c>
      <x:c r="E2787" s="29" t="str">
        <x:v>YES</x:v>
      </x:c>
      <x:c r="F2787" s="62" t="n">
        <x:v>1509.3000859141885</x:v>
      </x:c>
      <x:c r="G2787" s="62" t="n">
        <x:v>26.322000132175674</x:v>
      </x:c>
      <x:c r="H2787" s="29" t="str">
        <x:v>YES</x:v>
      </x:c>
      <x:c r="I2787" s="29" t="str">
        <x:v>primary-airport endpoints; great-circle screen</x:v>
      </x:c>
      <x:c r="J2787" s="29" t="str">
        <x:v>presence does not prove operability or capacity</x:v>
      </x:c>
    </x:row>
    <x:row r="2788" ht="75.5999984741211" hidden="0" customHeight="1">
      <x:c r="A2788" s="27" t="str">
        <x:v>SCA-23</x:v>
      </x:c>
      <x:c r="B2788" s="27" t="str">
        <x:v>SCA-14</x:v>
      </x:c>
      <x:c r="C2788" s="27" t="str">
        <x:v>Water</x:v>
      </x:c>
      <x:c r="D2788" s="27" t="str">
        <x:v>YES</x:v>
      </x:c>
      <x:c r="E2788" s="27" t="str">
        <x:v>YES</x:v>
      </x:c>
      <x:c r="F2788" s="61" t="n">
        <x:v>2075.3721953917393</x:v>
      </x:c>
      <x:c r="G2788" s="61" t="n">
        <x:v>89.29634843976399</x:v>
      </x:c>
      <x:c r="H2788" s="27" t="str">
        <x:v>NO</x:v>
      </x:c>
      <x:c r="I2788" s="27" t="str">
        <x:v>USACE waterway node topology; deployable terminal required</x:v>
      </x:c>
      <x:c r="J2788" s="27" t="str">
        <x:v>presence does not prove operability or capacity</x:v>
      </x:c>
    </x:row>
    <x:row r="2789" ht="54" hidden="0" customHeight="1">
      <x:c r="A2789" s="29" t="str">
        <x:v>SCA-23</x:v>
      </x:c>
      <x:c r="B2789" s="29" t="str">
        <x:v>SCA-15</x:v>
      </x:c>
      <x:c r="C2789" s="29" t="str">
        <x:v>Road</x:v>
      </x:c>
      <x:c r="D2789" s="29" t="str">
        <x:v>YES</x:v>
      </x:c>
      <x:c r="E2789" s="29" t="str">
        <x:v>YES</x:v>
      </x:c>
      <x:c r="F2789" s="62" t="n">
        <x:v>1302.492338529645</x:v>
      </x:c>
      <x:c r="G2789" s="62" t="n">
        <x:v>43.681678882357176</x:v>
      </x:c>
      <x:c r="H2789" s="29" t="str">
        <x:v>YES</x:v>
      </x:c>
      <x:c r="I2789" s="29" t="str">
        <x:v>NHPN-gated shared-boundary SCA path</x:v>
      </x:c>
      <x:c r="J2789" s="29" t="str">
        <x:v>presence does not prove operability or capacity</x:v>
      </x:c>
    </x:row>
    <x:row r="2790" ht="64.80000305175781" hidden="0" customHeight="1">
      <x:c r="A2790" s="27" t="str">
        <x:v>SCA-23</x:v>
      </x:c>
      <x:c r="B2790" s="27" t="str">
        <x:v>SCA-15</x:v>
      </x:c>
      <x:c r="C2790" s="27" t="str">
        <x:v>Rail</x:v>
      </x:c>
      <x:c r="D2790" s="27" t="str">
        <x:v>YES</x:v>
      </x:c>
      <x:c r="E2790" s="27" t="str">
        <x:v>YES</x:v>
      </x:c>
      <x:c r="F2790" s="61" t="n">
        <x:v>1381.7744808749276</x:v>
      </x:c>
      <x:c r="G2790" s="61" t="n">
        <x:v>45.73963544107039</x:v>
      </x:c>
      <x:c r="H2790" s="27" t="str">
        <x:v>YES</x:v>
      </x:c>
      <x:c r="I2790" s="27" t="str">
        <x:v>NARN shared-node topology; deployable terminal required</x:v>
      </x:c>
      <x:c r="J2790" s="27" t="str">
        <x:v>presence does not prove operability or capacity</x:v>
      </x:c>
    </x:row>
    <x:row r="2791" ht="54" hidden="0" customHeight="1">
      <x:c r="A2791" s="29" t="str">
        <x:v>SCA-23</x:v>
      </x:c>
      <x:c r="B2791" s="29" t="str">
        <x:v>SCA-15</x:v>
      </x:c>
      <x:c r="C2791" s="29" t="str">
        <x:v>Air</x:v>
      </x:c>
      <x:c r="D2791" s="29" t="str">
        <x:v>YES</x:v>
      </x:c>
      <x:c r="E2791" s="29" t="str">
        <x:v>YES</x:v>
      </x:c>
      <x:c r="F2791" s="62" t="n">
        <x:v>1127.9110875724646</x:v>
      </x:c>
      <x:c r="G2791" s="62" t="n">
        <x:v>25.73524782703456</x:v>
      </x:c>
      <x:c r="H2791" s="29" t="str">
        <x:v>YES</x:v>
      </x:c>
      <x:c r="I2791" s="29" t="str">
        <x:v>primary-airport endpoints; great-circle screen</x:v>
      </x:c>
      <x:c r="J2791" s="29" t="str">
        <x:v>presence does not prove operability or capacity</x:v>
      </x:c>
    </x:row>
    <x:row r="2792" ht="75.5999984741211" hidden="0" customHeight="1">
      <x:c r="A2792" s="27" t="str">
        <x:v>SCA-23</x:v>
      </x:c>
      <x:c r="B2792" s="27" t="str">
        <x:v>SCA-15</x:v>
      </x:c>
      <x:c r="C2792" s="27" t="str">
        <x:v>Water</x:v>
      </x:c>
      <x:c r="D2792" s="27" t="str">
        <x:v>YES</x:v>
      </x:c>
      <x:c r="E2792" s="27" t="str">
        <x:v>YES</x:v>
      </x:c>
      <x:c r="F2792" s="61" t="n">
        <x:v>1935.138962071151</x:v>
      </x:c>
      <x:c r="G2792" s="61" t="n">
        <x:v>85.28968463060431</x:v>
      </x:c>
      <x:c r="H2792" s="27" t="str">
        <x:v>NO</x:v>
      </x:c>
      <x:c r="I2792" s="27" t="str">
        <x:v>USACE waterway node topology; deployable terminal required</x:v>
      </x:c>
      <x:c r="J2792" s="27" t="str">
        <x:v>presence does not prove operability or capacity</x:v>
      </x:c>
    </x:row>
    <x:row r="2793" ht="54" hidden="0" customHeight="1">
      <x:c r="A2793" s="29" t="str">
        <x:v>SCA-23</x:v>
      </x:c>
      <x:c r="B2793" s="29" t="str">
        <x:v>SCA-16</x:v>
      </x:c>
      <x:c r="C2793" s="29" t="str">
        <x:v>Road</x:v>
      </x:c>
      <x:c r="D2793" s="29" t="str">
        <x:v>YES</x:v>
      </x:c>
      <x:c r="E2793" s="29" t="str">
        <x:v>YES</x:v>
      </x:c>
      <x:c r="F2793" s="62" t="n">
        <x:v>1388.6246823999572</x:v>
      </x:c>
      <x:c r="G2793" s="62" t="n">
        <x:v>45.247721498181036</x:v>
      </x:c>
      <x:c r="H2793" s="29" t="str">
        <x:v>YES</x:v>
      </x:c>
      <x:c r="I2793" s="29" t="str">
        <x:v>NHPN-gated shared-boundary SCA path</x:v>
      </x:c>
      <x:c r="J2793" s="29" t="str">
        <x:v>presence does not prove operability or capacity</x:v>
      </x:c>
    </x:row>
    <x:row r="2794" ht="64.80000305175781" hidden="0" customHeight="1">
      <x:c r="A2794" s="27" t="str">
        <x:v>SCA-23</x:v>
      </x:c>
      <x:c r="B2794" s="27" t="str">
        <x:v>SCA-16</x:v>
      </x:c>
      <x:c r="C2794" s="27" t="str">
        <x:v>Rail</x:v>
      </x:c>
      <x:c r="D2794" s="27" t="str">
        <x:v>YES</x:v>
      </x:c>
      <x:c r="E2794" s="27" t="str">
        <x:v>YES</x:v>
      </x:c>
      <x:c r="F2794" s="61" t="n">
        <x:v>1473.1496630677811</x:v>
      </x:c>
      <x:c r="G2794" s="61" t="n">
        <x:v>47.044995186682584</x:v>
      </x:c>
      <x:c r="H2794" s="27" t="str">
        <x:v>YES</x:v>
      </x:c>
      <x:c r="I2794" s="27" t="str">
        <x:v>NARN shared-node topology; deployable terminal required</x:v>
      </x:c>
      <x:c r="J2794" s="27" t="str">
        <x:v>presence does not prove operability or capacity</x:v>
      </x:c>
    </x:row>
    <x:row r="2795" ht="54" hidden="0" customHeight="1">
      <x:c r="A2795" s="29" t="str">
        <x:v>SCA-23</x:v>
      </x:c>
      <x:c r="B2795" s="29" t="str">
        <x:v>SCA-16</x:v>
      </x:c>
      <x:c r="C2795" s="29" t="str">
        <x:v>Air</x:v>
      </x:c>
      <x:c r="D2795" s="29" t="str">
        <x:v>YES</x:v>
      </x:c>
      <x:c r="E2795" s="29" t="str">
        <x:v>YES</x:v>
      </x:c>
      <x:c r="F2795" s="62" t="n">
        <x:v>1138.5785213748754</x:v>
      </x:c>
      <x:c r="G2795" s="62" t="n">
        <x:v>25.751659263653654</x:v>
      </x:c>
      <x:c r="H2795" s="29" t="str">
        <x:v>YES</x:v>
      </x:c>
      <x:c r="I2795" s="29" t="str">
        <x:v>primary-airport endpoints; great-circle screen</x:v>
      </x:c>
      <x:c r="J2795" s="29" t="str">
        <x:v>presence does not prove operability or capacity</x:v>
      </x:c>
    </x:row>
    <x:row r="2796" ht="75.5999984741211" hidden="0" customHeight="1">
      <x:c r="A2796" s="27" t="str">
        <x:v>SCA-23</x:v>
      </x:c>
      <x:c r="B2796" s="27" t="str">
        <x:v>SCA-16</x:v>
      </x:c>
      <x:c r="C2796" s="27" t="str">
        <x:v>Water</x:v>
      </x:c>
      <x:c r="D2796" s="27" t="str">
        <x:v>YES</x:v>
      </x:c>
      <x:c r="E2796" s="27" t="str">
        <x:v>YES</x:v>
      </x:c>
      <x:c r="F2796" s="61" t="n">
        <x:v>1545.599646497344</x:v>
      </x:c>
      <x:c r="G2796" s="61" t="n">
        <x:v>74.15998989992411</x:v>
      </x:c>
      <x:c r="H2796" s="27" t="str">
        <x:v>NO</x:v>
      </x:c>
      <x:c r="I2796" s="27" t="str">
        <x:v>USACE waterway node topology; deployable terminal required</x:v>
      </x:c>
      <x:c r="J2796" s="27" t="str">
        <x:v>presence does not prove operability or capacity</x:v>
      </x:c>
    </x:row>
    <x:row r="2797" ht="54" hidden="0" customHeight="1">
      <x:c r="A2797" s="29" t="str">
        <x:v>SCA-23</x:v>
      </x:c>
      <x:c r="B2797" s="29" t="str">
        <x:v>SCA-17</x:v>
      </x:c>
      <x:c r="C2797" s="29" t="str">
        <x:v>Road</x:v>
      </x:c>
      <x:c r="D2797" s="29" t="str">
        <x:v>YES</x:v>
      </x:c>
      <x:c r="E2797" s="29" t="str">
        <x:v>YES</x:v>
      </x:c>
      <x:c r="F2797" s="62" t="n">
        <x:v>1269.789018412829</x:v>
      </x:c>
      <x:c r="G2797" s="62" t="n">
        <x:v>43.08707306205143</x:v>
      </x:c>
      <x:c r="H2797" s="29" t="str">
        <x:v>YES</x:v>
      </x:c>
      <x:c r="I2797" s="29" t="str">
        <x:v>NHPN-gated shared-boundary SCA path</x:v>
      </x:c>
      <x:c r="J2797" s="29" t="str">
        <x:v>presence does not prove operability or capacity</x:v>
      </x:c>
    </x:row>
    <x:row r="2798" ht="64.80000305175781" hidden="0" customHeight="1">
      <x:c r="A2798" s="27" t="str">
        <x:v>SCA-23</x:v>
      </x:c>
      <x:c r="B2798" s="27" t="str">
        <x:v>SCA-17</x:v>
      </x:c>
      <x:c r="C2798" s="27" t="str">
        <x:v>Rail</x:v>
      </x:c>
      <x:c r="D2798" s="27" t="str">
        <x:v>YES</x:v>
      </x:c>
      <x:c r="E2798" s="27" t="str">
        <x:v>YES</x:v>
      </x:c>
      <x:c r="F2798" s="61" t="n">
        <x:v>1347.0805238814355</x:v>
      </x:c>
      <x:c r="G2798" s="61" t="n">
        <x:v>45.24400748402051</x:v>
      </x:c>
      <x:c r="H2798" s="27" t="str">
        <x:v>YES</x:v>
      </x:c>
      <x:c r="I2798" s="27" t="str">
        <x:v>NARN shared-node topology; deployable terminal required</x:v>
      </x:c>
      <x:c r="J2798" s="27" t="str">
        <x:v>presence does not prove operability or capacity</x:v>
      </x:c>
    </x:row>
    <x:row r="2799" ht="54" hidden="0" customHeight="1">
      <x:c r="A2799" s="29" t="str">
        <x:v>SCA-23</x:v>
      </x:c>
      <x:c r="B2799" s="29" t="str">
        <x:v>SCA-17</x:v>
      </x:c>
      <x:c r="C2799" s="29" t="str">
        <x:v>Air</x:v>
      </x:c>
      <x:c r="D2799" s="29" t="str">
        <x:v>YES</x:v>
      </x:c>
      <x:c r="E2799" s="29" t="str">
        <x:v>YES</x:v>
      </x:c>
      <x:c r="F2799" s="62" t="n">
        <x:v>1004.54054535118</x:v>
      </x:c>
      <x:c r="G2799" s="62" t="n">
        <x:v>25.54544699284797</x:v>
      </x:c>
      <x:c r="H2799" s="29" t="str">
        <x:v>YES</x:v>
      </x:c>
      <x:c r="I2799" s="29" t="str">
        <x:v>primary-airport endpoints; great-circle screen</x:v>
      </x:c>
      <x:c r="J2799" s="29" t="str">
        <x:v>presence does not prove operability or capacity</x:v>
      </x:c>
    </x:row>
    <x:row r="2800" ht="75.5999984741211" hidden="0" customHeight="1">
      <x:c r="A2800" s="27" t="str">
        <x:v>SCA-23</x:v>
      </x:c>
      <x:c r="B2800" s="27" t="str">
        <x:v>SCA-17</x:v>
      </x:c>
      <x:c r="C2800" s="27" t="str">
        <x:v>Water</x:v>
      </x:c>
      <x:c r="D2800" s="27" t="str">
        <x:v>YES</x:v>
      </x:c>
      <x:c r="E2800" s="27" t="str">
        <x:v>YES</x:v>
      </x:c>
      <x:c r="F2800" s="61" t="n">
        <x:v>1413.3303857116703</x:v>
      </x:c>
      <x:c r="G2800" s="61" t="n">
        <x:v>70.38086816319057</x:v>
      </x:c>
      <x:c r="H2800" s="27" t="str">
        <x:v>YES</x:v>
      </x:c>
      <x:c r="I2800" s="27" t="str">
        <x:v>USACE waterway node topology; deployable terminal required</x:v>
      </x:c>
      <x:c r="J2800" s="27" t="str">
        <x:v>presence does not prove operability or capacity</x:v>
      </x:c>
    </x:row>
    <x:row r="2801" ht="54" hidden="0" customHeight="1">
      <x:c r="A2801" s="29" t="str">
        <x:v>SCA-23</x:v>
      </x:c>
      <x:c r="B2801" s="29" t="str">
        <x:v>SCA-18</x:v>
      </x:c>
      <x:c r="C2801" s="29" t="str">
        <x:v>Road</x:v>
      </x:c>
      <x:c r="D2801" s="29" t="str">
        <x:v>YES</x:v>
      </x:c>
      <x:c r="E2801" s="29" t="str">
        <x:v>YES</x:v>
      </x:c>
      <x:c r="F2801" s="62" t="n">
        <x:v>1779.8441765308817</x:v>
      </x:c>
      <x:c r="G2801" s="62" t="n">
        <x:v>52.360803209652396</x:v>
      </x:c>
      <x:c r="H2801" s="29" t="str">
        <x:v>YES</x:v>
      </x:c>
      <x:c r="I2801" s="29" t="str">
        <x:v>NHPN-gated shared-boundary SCA path</x:v>
      </x:c>
      <x:c r="J2801" s="29" t="str">
        <x:v>presence does not prove operability or capacity</x:v>
      </x:c>
    </x:row>
    <x:row r="2802" ht="64.80000305175781" hidden="0" customHeight="1">
      <x:c r="A2802" s="27" t="str">
        <x:v>SCA-23</x:v>
      </x:c>
      <x:c r="B2802" s="27" t="str">
        <x:v>SCA-18</x:v>
      </x:c>
      <x:c r="C2802" s="27" t="str">
        <x:v>Rail</x:v>
      </x:c>
      <x:c r="D2802" s="27" t="str">
        <x:v>YES</x:v>
      </x:c>
      <x:c r="E2802" s="27" t="str">
        <x:v>YES</x:v>
      </x:c>
      <x:c r="F2802" s="61" t="n">
        <x:v>1888.1825177110222</x:v>
      </x:c>
      <x:c r="G2802" s="61" t="n">
        <x:v>52.97403596730032</x:v>
      </x:c>
      <x:c r="H2802" s="27" t="str">
        <x:v>YES</x:v>
      </x:c>
      <x:c r="I2802" s="27" t="str">
        <x:v>NARN shared-node topology; deployable terminal required</x:v>
      </x:c>
      <x:c r="J2802" s="27" t="str">
        <x:v>presence does not prove operability or capacity</x:v>
      </x:c>
    </x:row>
    <x:row r="2803" ht="54" hidden="0" customHeight="1">
      <x:c r="A2803" s="29" t="str">
        <x:v>SCA-23</x:v>
      </x:c>
      <x:c r="B2803" s="29" t="str">
        <x:v>SCA-18</x:v>
      </x:c>
      <x:c r="C2803" s="29" t="str">
        <x:v>Air</x:v>
      </x:c>
      <x:c r="D2803" s="29" t="str">
        <x:v>YES</x:v>
      </x:c>
      <x:c r="E2803" s="29" t="str">
        <x:v>YES</x:v>
      </x:c>
      <x:c r="F2803" s="62" t="n">
        <x:v>1455.3083923025347</x:v>
      </x:c>
      <x:c r="G2803" s="62" t="n">
        <x:v>26.238935988157746</x:v>
      </x:c>
      <x:c r="H2803" s="29" t="str">
        <x:v>YES</x:v>
      </x:c>
      <x:c r="I2803" s="29" t="str">
        <x:v>primary-airport endpoints; great-circle screen</x:v>
      </x:c>
      <x:c r="J2803" s="29" t="str">
        <x:v>presence does not prove operability or capacity</x:v>
      </x:c>
    </x:row>
    <x:row r="2804" ht="75.5999984741211" hidden="0" customHeight="1">
      <x:c r="A2804" s="27" t="str">
        <x:v>SCA-23</x:v>
      </x:c>
      <x:c r="B2804" s="27" t="str">
        <x:v>SCA-18</x:v>
      </x:c>
      <x:c r="C2804" s="27" t="str">
        <x:v>Water</x:v>
      </x:c>
      <x:c r="D2804" s="27" t="str">
        <x:v>YES</x:v>
      </x:c>
      <x:c r="E2804" s="27" t="str">
        <x:v>YES</x:v>
      </x:c>
      <x:c r="F2804" s="61" t="n">
        <x:v>2515.836602354778</x:v>
      </x:c>
      <x:c r="G2804" s="61" t="n">
        <x:v>101.88104578156508</x:v>
      </x:c>
      <x:c r="H2804" s="27" t="str">
        <x:v>NO</x:v>
      </x:c>
      <x:c r="I2804" s="27" t="str">
        <x:v>USACE waterway node topology; deployable terminal required</x:v>
      </x:c>
      <x:c r="J2804" s="27" t="str">
        <x:v>presence does not prove operability or capacity</x:v>
      </x:c>
    </x:row>
    <x:row r="2805" ht="54" hidden="0" customHeight="1">
      <x:c r="A2805" s="29" t="str">
        <x:v>SCA-23</x:v>
      </x:c>
      <x:c r="B2805" s="29" t="str">
        <x:v>SCA-19</x:v>
      </x:c>
      <x:c r="C2805" s="29" t="str">
        <x:v>Road</x:v>
      </x:c>
      <x:c r="D2805" s="29" t="str">
        <x:v>YES</x:v>
      </x:c>
      <x:c r="E2805" s="29" t="str">
        <x:v>YES</x:v>
      </x:c>
      <x:c r="F2805" s="62" t="n">
        <x:v>1146.4955240437646</x:v>
      </x:c>
      <x:c r="G2805" s="62" t="n">
        <x:v>40.84537316443208</x:v>
      </x:c>
      <x:c r="H2805" s="29" t="str">
        <x:v>YES</x:v>
      </x:c>
      <x:c r="I2805" s="29" t="str">
        <x:v>NHPN-gated shared-boundary SCA path</x:v>
      </x:c>
      <x:c r="J2805" s="29" t="str">
        <x:v>presence does not prove operability or capacity</x:v>
      </x:c>
    </x:row>
    <x:row r="2806" ht="64.80000305175781" hidden="0" customHeight="1">
      <x:c r="A2806" s="27" t="str">
        <x:v>SCA-23</x:v>
      </x:c>
      <x:c r="B2806" s="27" t="str">
        <x:v>SCA-19</x:v>
      </x:c>
      <x:c r="C2806" s="27" t="str">
        <x:v>Rail</x:v>
      </x:c>
      <x:c r="D2806" s="27" t="str">
        <x:v>YES</x:v>
      </x:c>
      <x:c r="E2806" s="27" t="str">
        <x:v>YES</x:v>
      </x:c>
      <x:c r="F2806" s="61" t="n">
        <x:v>1216.2822081159939</x:v>
      </x:c>
      <x:c r="G2806" s="61" t="n">
        <x:v>43.37546011594277</x:v>
      </x:c>
      <x:c r="H2806" s="27" t="str">
        <x:v>YES</x:v>
      </x:c>
      <x:c r="I2806" s="27" t="str">
        <x:v>NARN shared-node topology; deployable terminal required</x:v>
      </x:c>
      <x:c r="J2806" s="27" t="str">
        <x:v>presence does not prove operability or capacity</x:v>
      </x:c>
    </x:row>
    <x:row r="2807" ht="54" hidden="0" customHeight="1">
      <x:c r="A2807" s="29" t="str">
        <x:v>SCA-23</x:v>
      </x:c>
      <x:c r="B2807" s="29" t="str">
        <x:v>SCA-19</x:v>
      </x:c>
      <x:c r="C2807" s="29" t="str">
        <x:v>Air</x:v>
      </x:c>
      <x:c r="D2807" s="29" t="str">
        <x:v>YES</x:v>
      </x:c>
      <x:c r="E2807" s="29" t="str">
        <x:v>YES</x:v>
      </x:c>
      <x:c r="F2807" s="62" t="n">
        <x:v>788.9215573008609</x:v>
      </x:c>
      <x:c r="G2807" s="62" t="n">
        <x:v>25.213725472770555</x:v>
      </x:c>
      <x:c r="H2807" s="29" t="str">
        <x:v>YES</x:v>
      </x:c>
      <x:c r="I2807" s="29" t="str">
        <x:v>primary-airport endpoints; great-circle screen</x:v>
      </x:c>
      <x:c r="J2807" s="29" t="str">
        <x:v>presence does not prove operability or capacity</x:v>
      </x:c>
    </x:row>
    <x:row r="2808" ht="75.5999984741211" hidden="0" customHeight="1">
      <x:c r="A2808" s="27" t="str">
        <x:v>SCA-23</x:v>
      </x:c>
      <x:c r="B2808" s="27" t="str">
        <x:v>SCA-19</x:v>
      </x:c>
      <x:c r="C2808" s="27" t="str">
        <x:v>Water</x:v>
      </x:c>
      <x:c r="D2808" s="27" t="str">
        <x:v>YES</x:v>
      </x:c>
      <x:c r="E2808" s="27" t="str">
        <x:v>YES</x:v>
      </x:c>
      <x:c r="F2808" s="61" t="n">
        <x:v>1314.5545167749437</x:v>
      </x:c>
      <x:c r="G2808" s="61" t="n">
        <x:v>67.55870047928411</x:v>
      </x:c>
      <x:c r="H2808" s="27" t="str">
        <x:v>YES</x:v>
      </x:c>
      <x:c r="I2808" s="27" t="str">
        <x:v>USACE waterway node topology; deployable terminal required</x:v>
      </x:c>
      <x:c r="J2808" s="27" t="str">
        <x:v>presence does not prove operability or capacity</x:v>
      </x:c>
    </x:row>
    <x:row r="2809" ht="54" hidden="0" customHeight="1">
      <x:c r="A2809" s="29" t="str">
        <x:v>SCA-23</x:v>
      </x:c>
      <x:c r="B2809" s="29" t="str">
        <x:v>SCA-20</x:v>
      </x:c>
      <x:c r="C2809" s="29" t="str">
        <x:v>Road</x:v>
      </x:c>
      <x:c r="D2809" s="29" t="str">
        <x:v>YES</x:v>
      </x:c>
      <x:c r="E2809" s="29" t="str">
        <x:v>YES</x:v>
      </x:c>
      <x:c r="F2809" s="62" t="n">
        <x:v>579.4989938491954</x:v>
      </x:c>
      <x:c r="G2809" s="62" t="n">
        <x:v>30.536345342712643</x:v>
      </x:c>
      <x:c r="H2809" s="29" t="str">
        <x:v>YES</x:v>
      </x:c>
      <x:c r="I2809" s="29" t="str">
        <x:v>NHPN-gated shared-boundary SCA path</x:v>
      </x:c>
      <x:c r="J2809" s="29" t="str">
        <x:v>presence does not prove operability or capacity</x:v>
      </x:c>
    </x:row>
    <x:row r="2810" ht="64.80000305175781" hidden="0" customHeight="1">
      <x:c r="A2810" s="27" t="str">
        <x:v>SCA-23</x:v>
      </x:c>
      <x:c r="B2810" s="27" t="str">
        <x:v>SCA-20</x:v>
      </x:c>
      <x:c r="C2810" s="27" t="str">
        <x:v>Rail</x:v>
      </x:c>
      <x:c r="D2810" s="27" t="str">
        <x:v>YES</x:v>
      </x:c>
      <x:c r="E2810" s="27" t="str">
        <x:v>YES</x:v>
      </x:c>
      <x:c r="F2810" s="61" t="n">
        <x:v>614.7728456487116</x:v>
      </x:c>
      <x:c r="G2810" s="61" t="n">
        <x:v>34.78246922355302</x:v>
      </x:c>
      <x:c r="H2810" s="27" t="str">
        <x:v>YES</x:v>
      </x:c>
      <x:c r="I2810" s="27" t="str">
        <x:v>NARN shared-node topology; deployable terminal required</x:v>
      </x:c>
      <x:c r="J2810" s="27" t="str">
        <x:v>presence does not prove operability or capacity</x:v>
      </x:c>
    </x:row>
    <x:row r="2811" ht="54" hidden="0" customHeight="1">
      <x:c r="A2811" s="29" t="str">
        <x:v>SCA-23</x:v>
      </x:c>
      <x:c r="B2811" s="29" t="str">
        <x:v>SCA-20</x:v>
      </x:c>
      <x:c r="C2811" s="29" t="str">
        <x:v>Air</x:v>
      </x:c>
      <x:c r="D2811" s="29" t="str">
        <x:v>YES</x:v>
      </x:c>
      <x:c r="E2811" s="29" t="str">
        <x:v>YES</x:v>
      </x:c>
      <x:c r="F2811" s="62" t="n">
        <x:v>503.91216856451774</x:v>
      </x:c>
      <x:c r="G2811" s="62" t="n">
        <x:v>24.77524949009926</x:v>
      </x:c>
      <x:c r="H2811" s="29" t="str">
        <x:v>YES</x:v>
      </x:c>
      <x:c r="I2811" s="29" t="str">
        <x:v>primary-airport endpoints; great-circle screen</x:v>
      </x:c>
      <x:c r="J2811" s="29" t="str">
        <x:v>presence does not prove operability or capacity</x:v>
      </x:c>
    </x:row>
    <x:row r="2812" ht="75.5999984741211" hidden="0" customHeight="1">
      <x:c r="A2812" s="27" t="str">
        <x:v>SCA-23</x:v>
      </x:c>
      <x:c r="B2812" s="27" t="str">
        <x:v>SCA-20</x:v>
      </x:c>
      <x:c r="C2812" s="27" t="str">
        <x:v>Water</x:v>
      </x:c>
      <x:c r="D2812" s="27" t="str">
        <x:v>YES</x:v>
      </x:c>
      <x:c r="E2812" s="27" t="str">
        <x:v>YES</x:v>
      </x:c>
      <x:c r="F2812" s="61" t="n">
        <x:v>645.0075757625827</x:v>
      </x:c>
      <x:c r="G2812" s="61" t="n">
        <x:v>48.42878787893093</x:v>
      </x:c>
      <x:c r="H2812" s="27" t="str">
        <x:v>YES</x:v>
      </x:c>
      <x:c r="I2812" s="27" t="str">
        <x:v>USACE waterway node topology; deployable terminal required</x:v>
      </x:c>
      <x:c r="J2812" s="27" t="str">
        <x:v>presence does not prove operability or capacity</x:v>
      </x:c>
    </x:row>
    <x:row r="2813" ht="54" hidden="0" customHeight="1">
      <x:c r="A2813" s="29" t="str">
        <x:v>SCA-23</x:v>
      </x:c>
      <x:c r="B2813" s="29" t="str">
        <x:v>SCA-21</x:v>
      </x:c>
      <x:c r="C2813" s="29" t="str">
        <x:v>Road</x:v>
      </x:c>
      <x:c r="D2813" s="29" t="str">
        <x:v>YES</x:v>
      </x:c>
      <x:c r="E2813" s="29" t="str">
        <x:v>YES</x:v>
      </x:c>
      <x:c r="F2813" s="62" t="n">
        <x:v>1138.2426304250166</x:v>
      </x:c>
      <x:c r="G2813" s="62" t="n">
        <x:v>40.69532055318212</x:v>
      </x:c>
      <x:c r="H2813" s="29" t="str">
        <x:v>YES</x:v>
      </x:c>
      <x:c r="I2813" s="29" t="str">
        <x:v>NHPN-gated shared-boundary SCA path</x:v>
      </x:c>
      <x:c r="J2813" s="29" t="str">
        <x:v>presence does not prove operability or capacity</x:v>
      </x:c>
    </x:row>
    <x:row r="2814" ht="64.80000305175781" hidden="0" customHeight="1">
      <x:c r="A2814" s="27" t="str">
        <x:v>SCA-23</x:v>
      </x:c>
      <x:c r="B2814" s="27" t="str">
        <x:v>SCA-21</x:v>
      </x:c>
      <x:c r="C2814" s="27" t="str">
        <x:v>Rail</x:v>
      </x:c>
      <x:c r="D2814" s="27" t="str">
        <x:v>YES</x:v>
      </x:c>
      <x:c r="E2814" s="27" t="str">
        <x:v>YES</x:v>
      </x:c>
      <x:c r="F2814" s="61" t="n">
        <x:v>1207.5269644508871</x:v>
      </x:c>
      <x:c r="G2814" s="61" t="n">
        <x:v>43.250385206441244</x:v>
      </x:c>
      <x:c r="H2814" s="27" t="str">
        <x:v>YES</x:v>
      </x:c>
      <x:c r="I2814" s="27" t="str">
        <x:v>NARN shared-node topology; deployable terminal required</x:v>
      </x:c>
      <x:c r="J2814" s="27" t="str">
        <x:v>presence does not prove operability or capacity</x:v>
      </x:c>
    </x:row>
    <x:row r="2815" ht="54" hidden="0" customHeight="1">
      <x:c r="A2815" s="29" t="str">
        <x:v>SCA-23</x:v>
      </x:c>
      <x:c r="B2815" s="29" t="str">
        <x:v>SCA-21</x:v>
      </x:c>
      <x:c r="C2815" s="29" t="str">
        <x:v>Air</x:v>
      </x:c>
      <x:c r="D2815" s="29" t="str">
        <x:v>YES</x:v>
      </x:c>
      <x:c r="E2815" s="29" t="str">
        <x:v>YES</x:v>
      </x:c>
      <x:c r="F2815" s="62" t="n">
        <x:v>976.7177217877312</x:v>
      </x:c>
      <x:c r="G2815" s="62" t="n">
        <x:v>25.502642648904203</x:v>
      </x:c>
      <x:c r="H2815" s="29" t="str">
        <x:v>YES</x:v>
      </x:c>
      <x:c r="I2815" s="29" t="str">
        <x:v>primary-airport endpoints; great-circle screen</x:v>
      </x:c>
      <x:c r="J2815" s="29" t="str">
        <x:v>presence does not prove operability or capacity</x:v>
      </x:c>
    </x:row>
    <x:row r="2816" ht="75.5999984741211" hidden="0" customHeight="1">
      <x:c r="A2816" s="27" t="str">
        <x:v>SCA-23</x:v>
      </x:c>
      <x:c r="B2816" s="27" t="str">
        <x:v>SCA-21</x:v>
      </x:c>
      <x:c r="C2816" s="27" t="str">
        <x:v>Water</x:v>
      </x:c>
      <x:c r="D2816" s="27" t="str">
        <x:v>YES</x:v>
      </x:c>
      <x:c r="E2816" s="27" t="str">
        <x:v>YES</x:v>
      </x:c>
      <x:c r="F2816" s="61" t="n">
        <x:v>1899.4893187785374</x:v>
      </x:c>
      <x:c r="G2816" s="61" t="n">
        <x:v>84.2711233936725</x:v>
      </x:c>
      <x:c r="H2816" s="27" t="str">
        <x:v>NO</x:v>
      </x:c>
      <x:c r="I2816" s="27" t="str">
        <x:v>USACE waterway node topology; deployable terminal required</x:v>
      </x:c>
      <x:c r="J2816" s="27" t="str">
        <x:v>presence does not prove operability or capacity</x:v>
      </x:c>
    </x:row>
    <x:row r="2817" ht="54" hidden="0" customHeight="1">
      <x:c r="A2817" s="29" t="str">
        <x:v>SCA-23</x:v>
      </x:c>
      <x:c r="B2817" s="29" t="str">
        <x:v>SCA-22</x:v>
      </x:c>
      <x:c r="C2817" s="29" t="str">
        <x:v>Road</x:v>
      </x:c>
      <x:c r="D2817" s="29" t="str">
        <x:v>YES</x:v>
      </x:c>
      <x:c r="E2817" s="29" t="str">
        <x:v>YES</x:v>
      </x:c>
      <x:c r="F2817" s="62" t="n">
        <x:v>588.9128931834357</x:v>
      </x:c>
      <x:c r="G2817" s="62" t="n">
        <x:v>30.707507148789738</x:v>
      </x:c>
      <x:c r="H2817" s="29" t="str">
        <x:v>YES</x:v>
      </x:c>
      <x:c r="I2817" s="29" t="str">
        <x:v>NHPN-gated shared-boundary SCA path</x:v>
      </x:c>
      <x:c r="J2817" s="29" t="str">
        <x:v>presence does not prove operability or capacity</x:v>
      </x:c>
    </x:row>
    <x:row r="2818" ht="64.80000305175781" hidden="0" customHeight="1">
      <x:c r="A2818" s="27" t="str">
        <x:v>SCA-23</x:v>
      </x:c>
      <x:c r="B2818" s="27" t="str">
        <x:v>SCA-22</x:v>
      </x:c>
      <x:c r="C2818" s="27" t="str">
        <x:v>Rail</x:v>
      </x:c>
      <x:c r="D2818" s="27" t="str">
        <x:v>YES</x:v>
      </x:c>
      <x:c r="E2818" s="27" t="str">
        <x:v>YES</x:v>
      </x:c>
      <x:c r="F2818" s="61" t="n">
        <x:v>624.7597649424274</x:v>
      </x:c>
      <x:c r="G2818" s="61" t="n">
        <x:v>34.92513949917753</x:v>
      </x:c>
      <x:c r="H2818" s="27" t="str">
        <x:v>YES</x:v>
      </x:c>
      <x:c r="I2818" s="27" t="str">
        <x:v>NARN shared-node topology; deployable terminal required</x:v>
      </x:c>
      <x:c r="J2818" s="27" t="str">
        <x:v>presence does not prove operability or capacity</x:v>
      </x:c>
    </x:row>
    <x:row r="2819" ht="54" hidden="0" customHeight="1">
      <x:c r="A2819" s="29" t="str">
        <x:v>SCA-23</x:v>
      </x:c>
      <x:c r="B2819" s="29" t="str">
        <x:v>SCA-22</x:v>
      </x:c>
      <x:c r="C2819" s="29" t="str">
        <x:v>Air</x:v>
      </x:c>
      <x:c r="D2819" s="29" t="str">
        <x:v>YES</x:v>
      </x:c>
      <x:c r="E2819" s="29" t="str">
        <x:v>YES</x:v>
      </x:c>
      <x:c r="F2819" s="62" t="n">
        <x:v>512.0981679855962</x:v>
      </x:c>
      <x:c r="G2819" s="62" t="n">
        <x:v>24.787843335362457</x:v>
      </x:c>
      <x:c r="H2819" s="29" t="str">
        <x:v>YES</x:v>
      </x:c>
      <x:c r="I2819" s="29" t="str">
        <x:v>primary-airport endpoints; great-circle screen</x:v>
      </x:c>
      <x:c r="J2819" s="29" t="str">
        <x:v>presence does not prove operability or capacity</x:v>
      </x:c>
    </x:row>
    <x:row r="2820" ht="75.5999984741211" hidden="0" customHeight="1">
      <x:c r="A2820" s="27" t="str">
        <x:v>SCA-23</x:v>
      </x:c>
      <x:c r="B2820" s="27" t="str">
        <x:v>SCA-22</x:v>
      </x:c>
      <x:c r="C2820" s="27" t="str">
        <x:v>Water</x:v>
      </x:c>
      <x:c r="D2820" s="27" t="str">
        <x:v>YES</x:v>
      </x:c>
      <x:c r="E2820" s="27" t="str">
        <x:v>YES</x:v>
      </x:c>
      <x:c r="F2820" s="61" t="n">
        <x:v>1456.961530312828</x:v>
      </x:c>
      <x:c r="G2820" s="61" t="n">
        <x:v>71.62747229465222</x:v>
      </x:c>
      <x:c r="H2820" s="27" t="str">
        <x:v>YES</x:v>
      </x:c>
      <x:c r="I2820" s="27" t="str">
        <x:v>USACE waterway node topology; deployable terminal required</x:v>
      </x:c>
      <x:c r="J2820" s="27" t="str">
        <x:v>presence does not prove operability or capacity</x:v>
      </x:c>
    </x:row>
    <x:row r="2821" ht="54" hidden="0" customHeight="1">
      <x:c r="A2821" s="29" t="str">
        <x:v>SCA-23</x:v>
      </x:c>
      <x:c r="B2821" s="29" t="str">
        <x:v>SCA-24</x:v>
      </x:c>
      <x:c r="C2821" s="29" t="str">
        <x:v>Road</x:v>
      </x:c>
      <x:c r="D2821" s="29" t="str">
        <x:v>YES</x:v>
      </x:c>
      <x:c r="E2821" s="29" t="str">
        <x:v>YES</x:v>
      </x:c>
      <x:c r="F2821" s="62" t="n">
        <x:v>1124.7253709972792</x:v>
      </x:c>
      <x:c r="G2821" s="62" t="n">
        <x:v>40.44955219995053</x:v>
      </x:c>
      <x:c r="H2821" s="29" t="str">
        <x:v>YES</x:v>
      </x:c>
      <x:c r="I2821" s="29" t="str">
        <x:v>NHPN-gated shared-boundary SCA path</x:v>
      </x:c>
      <x:c r="J2821" s="29" t="str">
        <x:v>presence does not prove operability or capacity</x:v>
      </x:c>
    </x:row>
    <x:row r="2822" ht="64.80000305175781" hidden="0" customHeight="1">
      <x:c r="A2822" s="27" t="str">
        <x:v>SCA-23</x:v>
      </x:c>
      <x:c r="B2822" s="27" t="str">
        <x:v>SCA-24</x:v>
      </x:c>
      <x:c r="C2822" s="27" t="str">
        <x:v>Rail</x:v>
      </x:c>
      <x:c r="D2822" s="27" t="str">
        <x:v>YES</x:v>
      </x:c>
      <x:c r="E2822" s="27" t="str">
        <x:v>YES</x:v>
      </x:c>
      <x:c r="F2822" s="61" t="n">
        <x:v>1193.1869153188527</x:v>
      </x:c>
      <x:c r="G2822" s="61" t="n">
        <x:v>43.04552736169789</x:v>
      </x:c>
      <x:c r="H2822" s="27" t="str">
        <x:v>YES</x:v>
      </x:c>
      <x:c r="I2822" s="27" t="str">
        <x:v>NARN shared-node topology; deployable terminal required</x:v>
      </x:c>
      <x:c r="J2822" s="27" t="str">
        <x:v>presence does not prove operability or capacity</x:v>
      </x:c>
    </x:row>
    <x:row r="2823" ht="54" hidden="0" customHeight="1">
      <x:c r="A2823" s="29" t="str">
        <x:v>SCA-23</x:v>
      </x:c>
      <x:c r="B2823" s="29" t="str">
        <x:v>SCA-24</x:v>
      </x:c>
      <x:c r="C2823" s="29" t="str">
        <x:v>Air</x:v>
      </x:c>
      <x:c r="D2823" s="29" t="str">
        <x:v>YES</x:v>
      </x:c>
      <x:c r="E2823" s="29" t="str">
        <x:v>YES</x:v>
      </x:c>
      <x:c r="F2823" s="62" t="n">
        <x:v>956.0638682224336</x:v>
      </x:c>
      <x:c r="G2823" s="62" t="n">
        <x:v>25.470867489572974</x:v>
      </x:c>
      <x:c r="H2823" s="29" t="str">
        <x:v>YES</x:v>
      </x:c>
      <x:c r="I2823" s="29" t="str">
        <x:v>primary-airport endpoints; great-circle screen</x:v>
      </x:c>
      <x:c r="J2823" s="29" t="str">
        <x:v>presence does not prove operability or capacity</x:v>
      </x:c>
    </x:row>
    <x:row r="2824" ht="75.5999984741211" hidden="0" customHeight="1">
      <x:c r="A2824" s="27" t="str">
        <x:v>SCA-23</x:v>
      </x:c>
      <x:c r="B2824" s="27" t="str">
        <x:v>SCA-24</x:v>
      </x:c>
      <x:c r="C2824" s="27" t="str">
        <x:v>Water</x:v>
      </x:c>
      <x:c r="D2824" s="27" t="str">
        <x:v>YES</x:v>
      </x:c>
      <x:c r="E2824" s="27" t="str">
        <x:v>YES</x:v>
      </x:c>
      <x:c r="F2824" s="61" t="n">
        <x:v>2341.6347692556574</x:v>
      </x:c>
      <x:c r="G2824" s="61" t="n">
        <x:v>96.90385055016164</x:v>
      </x:c>
      <x:c r="H2824" s="27" t="str">
        <x:v>NO</x:v>
      </x:c>
      <x:c r="I2824" s="27" t="str">
        <x:v>USACE waterway node topology; deployable terminal required</x:v>
      </x:c>
      <x:c r="J2824" s="27" t="str">
        <x:v>presence does not prove operability or capacity</x:v>
      </x:c>
    </x:row>
    <x:row r="2825" ht="54" hidden="0" customHeight="1">
      <x:c r="A2825" s="29" t="str">
        <x:v>SCA-23</x:v>
      </x:c>
      <x:c r="B2825" s="29" t="str">
        <x:v>SCA-25</x:v>
      </x:c>
      <x:c r="C2825" s="29" t="str">
        <x:v>Road</x:v>
      </x:c>
      <x:c r="D2825" s="29" t="str">
        <x:v>YES</x:v>
      </x:c>
      <x:c r="E2825" s="29" t="str">
        <x:v>YES</x:v>
      </x:c>
      <x:c r="F2825" s="62" t="n">
        <x:v>494.58417991943935</x:v>
      </x:c>
      <x:c r="G2825" s="62" t="n">
        <x:v>28.992439634898897</x:v>
      </x:c>
      <x:c r="H2825" s="29" t="str">
        <x:v>YES</x:v>
      </x:c>
      <x:c r="I2825" s="29" t="str">
        <x:v>NHPN-gated shared-boundary SCA path</x:v>
      </x:c>
      <x:c r="J2825" s="29" t="str">
        <x:v>presence does not prove operability or capacity</x:v>
      </x:c>
    </x:row>
    <x:row r="2826" ht="64.80000305175781" hidden="0" customHeight="1">
      <x:c r="A2826" s="27" t="str">
        <x:v>SCA-23</x:v>
      </x:c>
      <x:c r="B2826" s="27" t="str">
        <x:v>SCA-25</x:v>
      </x:c>
      <x:c r="C2826" s="27" t="str">
        <x:v>Rail</x:v>
      </x:c>
      <x:c r="D2826" s="27" t="str">
        <x:v>YES</x:v>
      </x:c>
      <x:c r="E2826" s="27" t="str">
        <x:v>YES</x:v>
      </x:c>
      <x:c r="F2826" s="61" t="n">
        <x:v>524.6893039145359</x:v>
      </x:c>
      <x:c r="G2826" s="61" t="n">
        <x:v>33.49556148449337</x:v>
      </x:c>
      <x:c r="H2826" s="27" t="str">
        <x:v>YES</x:v>
      </x:c>
      <x:c r="I2826" s="27" t="str">
        <x:v>NARN shared-node topology; deployable terminal required</x:v>
      </x:c>
      <x:c r="J2826" s="27" t="str">
        <x:v>presence does not prove operability or capacity</x:v>
      </x:c>
    </x:row>
    <x:row r="2827" ht="54" hidden="0" customHeight="1">
      <x:c r="A2827" s="29" t="str">
        <x:v>SCA-23</x:v>
      </x:c>
      <x:c r="B2827" s="29" t="str">
        <x:v>SCA-25</x:v>
      </x:c>
      <x:c r="C2827" s="29" t="str">
        <x:v>Air</x:v>
      </x:c>
      <x:c r="D2827" s="29" t="str">
        <x:v>YES</x:v>
      </x:c>
      <x:c r="E2827" s="29" t="str">
        <x:v>YES</x:v>
      </x:c>
      <x:c r="F2827" s="62" t="n">
        <x:v>430.07319992994746</x:v>
      </x:c>
      <x:c r="G2827" s="62" t="n">
        <x:v>24.661651076815303</x:v>
      </x:c>
      <x:c r="H2827" s="29" t="str">
        <x:v>YES</x:v>
      </x:c>
      <x:c r="I2827" s="29" t="str">
        <x:v>primary-airport endpoints; great-circle screen</x:v>
      </x:c>
      <x:c r="J2827" s="29" t="str">
        <x:v>presence does not prove operability or capacity</x:v>
      </x:c>
    </x:row>
    <x:row r="2828" ht="75.5999984741211" hidden="0" customHeight="1">
      <x:c r="A2828" s="27" t="str">
        <x:v>SCA-23</x:v>
      </x:c>
      <x:c r="B2828" s="27" t="str">
        <x:v>SCA-25</x:v>
      </x:c>
      <x:c r="C2828" s="27" t="str">
        <x:v>Water</x:v>
      </x:c>
      <x:c r="D2828" s="27" t="str">
        <x:v>YES</x:v>
      </x:c>
      <x:c r="E2828" s="27" t="str">
        <x:v>YES</x:v>
      </x:c>
      <x:c r="F2828" s="61" t="n">
        <x:v>550.4936959103328</x:v>
      </x:c>
      <x:c r="G2828" s="61" t="n">
        <x:v>45.7283913117238</x:v>
      </x:c>
      <x:c r="H2828" s="27" t="str">
        <x:v>YES</x:v>
      </x:c>
      <x:c r="I2828" s="27" t="str">
        <x:v>USACE waterway node topology; deployable terminal required</x:v>
      </x:c>
      <x:c r="J2828" s="27" t="str">
        <x:v>presence does not prove operability or capacity</x:v>
      </x:c>
    </x:row>
    <x:row r="2829" ht="54" hidden="0" customHeight="1">
      <x:c r="A2829" s="29" t="str">
        <x:v>SCA-23</x:v>
      </x:c>
      <x:c r="B2829" s="29" t="str">
        <x:v>SCA-26</x:v>
      </x:c>
      <x:c r="C2829" s="29" t="str">
        <x:v>Road</x:v>
      </x:c>
      <x:c r="D2829" s="29" t="str">
        <x:v>YES</x:v>
      </x:c>
      <x:c r="E2829" s="29" t="str">
        <x:v>YES</x:v>
      </x:c>
      <x:c r="F2829" s="62" t="n">
        <x:v>823.0836356842618</x:v>
      </x:c>
      <x:c r="G2829" s="62" t="n">
        <x:v>34.965157012441125</x:v>
      </x:c>
      <x:c r="H2829" s="29" t="str">
        <x:v>YES</x:v>
      </x:c>
      <x:c r="I2829" s="29" t="str">
        <x:v>NHPN-gated shared-boundary SCA path</x:v>
      </x:c>
      <x:c r="J2829" s="29" t="str">
        <x:v>presence does not prove operability or capacity</x:v>
      </x:c>
    </x:row>
    <x:row r="2830" ht="64.80000305175781" hidden="0" customHeight="1">
      <x:c r="A2830" s="27" t="str">
        <x:v>SCA-23</x:v>
      </x:c>
      <x:c r="B2830" s="27" t="str">
        <x:v>SCA-26</x:v>
      </x:c>
      <x:c r="C2830" s="27" t="str">
        <x:v>Rail</x:v>
      </x:c>
      <x:c r="D2830" s="27" t="str">
        <x:v>YES</x:v>
      </x:c>
      <x:c r="E2830" s="27" t="str">
        <x:v>YES</x:v>
      </x:c>
      <x:c r="F2830" s="61" t="n">
        <x:v>873.1843787259122</x:v>
      </x:c>
      <x:c r="G2830" s="61" t="n">
        <x:v>38.47406255322732</x:v>
      </x:c>
      <x:c r="H2830" s="27" t="str">
        <x:v>YES</x:v>
      </x:c>
      <x:c r="I2830" s="27" t="str">
        <x:v>NARN shared-node topology; deployable terminal required</x:v>
      </x:c>
      <x:c r="J2830" s="27" t="str">
        <x:v>presence does not prove operability or capacity</x:v>
      </x:c>
    </x:row>
    <x:row r="2831" ht="54" hidden="0" customHeight="1">
      <x:c r="A2831" s="29" t="str">
        <x:v>SCA-23</x:v>
      </x:c>
      <x:c r="B2831" s="29" t="str">
        <x:v>SCA-26</x:v>
      </x:c>
      <x:c r="C2831" s="29" t="str">
        <x:v>Air</x:v>
      </x:c>
      <x:c r="D2831" s="29" t="str">
        <x:v>YES</x:v>
      </x:c>
      <x:c r="E2831" s="29" t="str">
        <x:v>YES</x:v>
      </x:c>
      <x:c r="F2831" s="62" t="n">
        <x:v>695.6552372351546</x:v>
      </x:c>
      <x:c r="G2831" s="62" t="n">
        <x:v>25.070238826515624</x:v>
      </x:c>
      <x:c r="H2831" s="29" t="str">
        <x:v>YES</x:v>
      </x:c>
      <x:c r="I2831" s="29" t="str">
        <x:v>primary-airport endpoints; great-circle screen</x:v>
      </x:c>
      <x:c r="J2831" s="29" t="str">
        <x:v>presence does not prove operability or capacity</x:v>
      </x:c>
    </x:row>
    <x:row r="2832" ht="75.5999984741211" hidden="0" customHeight="1">
      <x:c r="A2832" s="27" t="str">
        <x:v>SCA-23</x:v>
      </x:c>
      <x:c r="B2832" s="27" t="str">
        <x:v>SCA-26</x:v>
      </x:c>
      <x:c r="C2832" s="27" t="str">
        <x:v>Water</x:v>
      </x:c>
      <x:c r="D2832" s="27" t="str">
        <x:v>YES</x:v>
      </x:c>
      <x:c r="E2832" s="27" t="str">
        <x:v>YES</x:v>
      </x:c>
      <x:c r="F2832" s="61" t="n">
        <x:v>916.1278727616129</x:v>
      </x:c>
      <x:c r="G2832" s="61" t="n">
        <x:v>56.17508207890323</x:v>
      </x:c>
      <x:c r="H2832" s="27" t="str">
        <x:v>YES</x:v>
      </x:c>
      <x:c r="I2832" s="27" t="str">
        <x:v>USACE waterway node topology; deployable terminal required</x:v>
      </x:c>
      <x:c r="J2832" s="27" t="str">
        <x:v>presence does not prove operability or capacity</x:v>
      </x:c>
    </x:row>
    <x:row r="2833" ht="54" hidden="0" customHeight="1">
      <x:c r="A2833" s="29" t="str">
        <x:v>SCA-23</x:v>
      </x:c>
      <x:c r="B2833" s="29" t="str">
        <x:v>SCA-27</x:v>
      </x:c>
      <x:c r="C2833" s="29" t="str">
        <x:v>Road</x:v>
      </x:c>
      <x:c r="D2833" s="29" t="str">
        <x:v>YES</x:v>
      </x:c>
      <x:c r="E2833" s="29" t="str">
        <x:v>YES</x:v>
      </x:c>
      <x:c r="F2833" s="62" t="n">
        <x:v>1102.7118998038104</x:v>
      </x:c>
      <x:c r="G2833" s="62" t="n">
        <x:v>40.04930726916019</x:v>
      </x:c>
      <x:c r="H2833" s="29" t="str">
        <x:v>YES</x:v>
      </x:c>
      <x:c r="I2833" s="29" t="str">
        <x:v>NHPN-gated shared-boundary SCA path</x:v>
      </x:c>
      <x:c r="J2833" s="29" t="str">
        <x:v>presence does not prove operability or capacity</x:v>
      </x:c>
    </x:row>
    <x:row r="2834" ht="64.80000305175781" hidden="0" customHeight="1">
      <x:c r="A2834" s="27" t="str">
        <x:v>SCA-23</x:v>
      </x:c>
      <x:c r="B2834" s="27" t="str">
        <x:v>SCA-27</x:v>
      </x:c>
      <x:c r="C2834" s="27" t="str">
        <x:v>Rail</x:v>
      </x:c>
      <x:c r="D2834" s="27" t="str">
        <x:v>YES</x:v>
      </x:c>
      <x:c r="E2834" s="27" t="str">
        <x:v>YES</x:v>
      </x:c>
      <x:c r="F2834" s="61" t="n">
        <x:v>1169.833493704912</x:v>
      </x:c>
      <x:c r="G2834" s="61" t="n">
        <x:v>42.711907052927316</x:v>
      </x:c>
      <x:c r="H2834" s="27" t="str">
        <x:v>YES</x:v>
      </x:c>
      <x:c r="I2834" s="27" t="str">
        <x:v>NARN shared-node topology; deployable terminal required</x:v>
      </x:c>
      <x:c r="J2834" s="27" t="str">
        <x:v>presence does not prove operability or capacity</x:v>
      </x:c>
    </x:row>
    <x:row r="2835" ht="54" hidden="0" customHeight="1">
      <x:c r="A2835" s="29" t="str">
        <x:v>SCA-23</x:v>
      </x:c>
      <x:c r="B2835" s="29" t="str">
        <x:v>SCA-27</x:v>
      </x:c>
      <x:c r="C2835" s="29" t="str">
        <x:v>Air</x:v>
      </x:c>
      <x:c r="D2835" s="29" t="str">
        <x:v>YES</x:v>
      </x:c>
      <x:c r="E2835" s="29" t="str">
        <x:v>YES</x:v>
      </x:c>
      <x:c r="F2835" s="62" t="n">
        <x:v>934.5013409185312</x:v>
      </x:c>
      <x:c r="G2835" s="62" t="n">
        <x:v>25.437694370643893</x:v>
      </x:c>
      <x:c r="H2835" s="29" t="str">
        <x:v>YES</x:v>
      </x:c>
      <x:c r="I2835" s="29" t="str">
        <x:v>primary-airport endpoints; great-circle screen</x:v>
      </x:c>
      <x:c r="J2835" s="29" t="str">
        <x:v>presence does not prove operability or capacity</x:v>
      </x:c>
    </x:row>
    <x:row r="2836" ht="75.5999984741211" hidden="0" customHeight="1">
      <x:c r="A2836" s="27" t="str">
        <x:v>SCA-23</x:v>
      </x:c>
      <x:c r="B2836" s="27" t="str">
        <x:v>SCA-27</x:v>
      </x:c>
      <x:c r="C2836" s="27" t="str">
        <x:v>Water</x:v>
      </x:c>
      <x:c r="D2836" s="27" t="str">
        <x:v>YES</x:v>
      </x:c>
      <x:c r="E2836" s="27" t="str">
        <x:v>YES</x:v>
      </x:c>
      <x:c r="F2836" s="61" t="n">
        <x:v>1205.5005929020958</x:v>
      </x:c>
      <x:c r="G2836" s="61" t="n">
        <x:v>64.44287408291703</x:v>
      </x:c>
      <x:c r="H2836" s="27" t="str">
        <x:v>YES</x:v>
      </x:c>
      <x:c r="I2836" s="27" t="str">
        <x:v>USACE waterway node topology; deployable terminal required</x:v>
      </x:c>
      <x:c r="J2836" s="27" t="str">
        <x:v>presence does not prove operability or capacity</x:v>
      </x:c>
    </x:row>
    <x:row r="2837" ht="54" hidden="0" customHeight="1">
      <x:c r="A2837" s="29" t="str">
        <x:v>SCA-23</x:v>
      </x:c>
      <x:c r="B2837" s="29" t="str">
        <x:v>SCA-28</x:v>
      </x:c>
      <x:c r="C2837" s="29" t="str">
        <x:v>Road</x:v>
      </x:c>
      <x:c r="D2837" s="29" t="str">
        <x:v>YES</x:v>
      </x:c>
      <x:c r="E2837" s="29" t="str">
        <x:v>YES</x:v>
      </x:c>
      <x:c r="F2837" s="62" t="n">
        <x:v>1211.710240600355</x:v>
      </x:c>
      <x:c r="G2837" s="62" t="n">
        <x:v>42.03109528364282</x:v>
      </x:c>
      <x:c r="H2837" s="29" t="str">
        <x:v>YES</x:v>
      </x:c>
      <x:c r="I2837" s="29" t="str">
        <x:v>NHPN-gated shared-boundary SCA path</x:v>
      </x:c>
      <x:c r="J2837" s="29" t="str">
        <x:v>presence does not prove operability or capacity</x:v>
      </x:c>
    </x:row>
    <x:row r="2838" ht="64.80000305175781" hidden="0" customHeight="1">
      <x:c r="A2838" s="27" t="str">
        <x:v>SCA-23</x:v>
      </x:c>
      <x:c r="B2838" s="27" t="str">
        <x:v>SCA-28</x:v>
      </x:c>
      <x:c r="C2838" s="27" t="str">
        <x:v>Rail</x:v>
      </x:c>
      <x:c r="D2838" s="27" t="str">
        <x:v>YES</x:v>
      </x:c>
      <x:c r="E2838" s="27" t="str">
        <x:v>YES</x:v>
      </x:c>
      <x:c r="F2838" s="61" t="n">
        <x:v>1285.466516115159</x:v>
      </x:c>
      <x:c r="G2838" s="61" t="n">
        <x:v>44.3638073730737</x:v>
      </x:c>
      <x:c r="H2838" s="27" t="str">
        <x:v>YES</x:v>
      </x:c>
      <x:c r="I2838" s="27" t="str">
        <x:v>NARN shared-node topology; deployable terminal required</x:v>
      </x:c>
      <x:c r="J2838" s="27" t="str">
        <x:v>presence does not prove operability or capacity</x:v>
      </x:c>
    </x:row>
    <x:row r="2839" ht="54" hidden="0" customHeight="1">
      <x:c r="A2839" s="29" t="str">
        <x:v>SCA-23</x:v>
      </x:c>
      <x:c r="B2839" s="29" t="str">
        <x:v>SCA-28</x:v>
      </x:c>
      <x:c r="C2839" s="29" t="str">
        <x:v>Air</x:v>
      </x:c>
      <x:c r="D2839" s="29" t="str">
        <x:v>YES</x:v>
      </x:c>
      <x:c r="E2839" s="29" t="str">
        <x:v>YES</x:v>
      </x:c>
      <x:c r="F2839" s="62" t="n">
        <x:v>862.506150783151</x:v>
      </x:c>
      <x:c r="G2839" s="62" t="n">
        <x:v>25.326932539666387</x:v>
      </x:c>
      <x:c r="H2839" s="29" t="str">
        <x:v>YES</x:v>
      </x:c>
      <x:c r="I2839" s="29" t="str">
        <x:v>primary-airport endpoints; great-circle screen</x:v>
      </x:c>
      <x:c r="J2839" s="29" t="str">
        <x:v>presence does not prove operability or capacity</x:v>
      </x:c>
    </x:row>
    <x:row r="2840" ht="75.5999984741211" hidden="0" customHeight="1">
      <x:c r="A2840" s="27" t="str">
        <x:v>SCA-23</x:v>
      </x:c>
      <x:c r="B2840" s="27" t="str">
        <x:v>SCA-28</x:v>
      </x:c>
      <x:c r="C2840" s="27" t="str">
        <x:v>Water</x:v>
      </x:c>
      <x:c r="D2840" s="27" t="str">
        <x:v>YES</x:v>
      </x:c>
      <x:c r="E2840" s="27" t="str">
        <x:v>YES</x:v>
      </x:c>
      <x:c r="F2840" s="61" t="n">
        <x:v>2029.5720804476146</x:v>
      </x:c>
      <x:c r="G2840" s="61" t="n">
        <x:v>87.98777372707471</x:v>
      </x:c>
      <x:c r="H2840" s="27" t="str">
        <x:v>NO</x:v>
      </x:c>
      <x:c r="I2840" s="27" t="str">
        <x:v>USACE waterway node topology; deployable terminal required</x:v>
      </x:c>
      <x:c r="J2840" s="27" t="str">
        <x:v>presence does not prove operability or capacity</x:v>
      </x:c>
    </x:row>
    <x:row r="2841" ht="54" hidden="0" customHeight="1">
      <x:c r="A2841" s="29" t="str">
        <x:v>SCA-23</x:v>
      </x:c>
      <x:c r="B2841" s="29" t="str">
        <x:v>SCA-29</x:v>
      </x:c>
      <x:c r="C2841" s="29" t="str">
        <x:v>Road</x:v>
      </x:c>
      <x:c r="D2841" s="29" t="str">
        <x:v>YES</x:v>
      </x:c>
      <x:c r="E2841" s="29" t="str">
        <x:v>YES</x:v>
      </x:c>
      <x:c r="F2841" s="62" t="n">
        <x:v>635.454949023049</x:v>
      </x:c>
      <x:c r="G2841" s="62" t="n">
        <x:v>31.55372634587362</x:v>
      </x:c>
      <x:c r="H2841" s="29" t="str">
        <x:v>YES</x:v>
      </x:c>
      <x:c r="I2841" s="29" t="str">
        <x:v>NHPN-gated shared-boundary SCA path</x:v>
      </x:c>
      <x:c r="J2841" s="29" t="str">
        <x:v>presence does not prove operability or capacity</x:v>
      </x:c>
    </x:row>
    <x:row r="2842" ht="64.80000305175781" hidden="0" customHeight="1">
      <x:c r="A2842" s="27" t="str">
        <x:v>SCA-23</x:v>
      </x:c>
      <x:c r="B2842" s="27" t="str">
        <x:v>SCA-29</x:v>
      </x:c>
      <x:c r="C2842" s="27" t="str">
        <x:v>Rail</x:v>
      </x:c>
      <x:c r="D2842" s="27" t="str">
        <x:v>YES</x:v>
      </x:c>
      <x:c r="E2842" s="27" t="str">
        <x:v>YES</x:v>
      </x:c>
      <x:c r="F2842" s="61" t="n">
        <x:v>674.1348154853216</x:v>
      </x:c>
      <x:c r="G2842" s="61" t="n">
        <x:v>35.63049736407602</x:v>
      </x:c>
      <x:c r="H2842" s="27" t="str">
        <x:v>YES</x:v>
      </x:c>
      <x:c r="I2842" s="27" t="str">
        <x:v>NARN shared-node topology; deployable terminal required</x:v>
      </x:c>
      <x:c r="J2842" s="27" t="str">
        <x:v>presence does not prove operability or capacity</x:v>
      </x:c>
    </x:row>
    <x:row r="2843" ht="54" hidden="0" customHeight="1">
      <x:c r="A2843" s="29" t="str">
        <x:v>SCA-23</x:v>
      </x:c>
      <x:c r="B2843" s="29" t="str">
        <x:v>SCA-29</x:v>
      </x:c>
      <x:c r="C2843" s="29" t="str">
        <x:v>Air</x:v>
      </x:c>
      <x:c r="D2843" s="29" t="str">
        <x:v>YES</x:v>
      </x:c>
      <x:c r="E2843" s="29" t="str">
        <x:v>YES</x:v>
      </x:c>
      <x:c r="F2843" s="62" t="n">
        <x:v>552.5695208896079</x:v>
      </x:c>
      <x:c r="G2843" s="62" t="n">
        <x:v>24.85010695521478</x:v>
      </x:c>
      <x:c r="H2843" s="29" t="str">
        <x:v>YES</x:v>
      </x:c>
      <x:c r="I2843" s="29" t="str">
        <x:v>primary-airport endpoints; great-circle screen</x:v>
      </x:c>
      <x:c r="J2843" s="29" t="str">
        <x:v>presence does not prove operability or capacity</x:v>
      </x:c>
    </x:row>
    <x:row r="2844" ht="75.5999984741211" hidden="0" customHeight="1">
      <x:c r="A2844" s="27" t="str">
        <x:v>SCA-23</x:v>
      </x:c>
      <x:c r="B2844" s="27" t="str">
        <x:v>SCA-29</x:v>
      </x:c>
      <x:c r="C2844" s="27" t="str">
        <x:v>Water</x:v>
      </x:c>
      <x:c r="D2844" s="27" t="str">
        <x:v>YES</x:v>
      </x:c>
      <x:c r="E2844" s="27" t="str">
        <x:v>YES</x:v>
      </x:c>
      <x:c r="F2844" s="61" t="n">
        <x:v>1388.1748863441787</x:v>
      </x:c>
      <x:c r="G2844" s="61" t="n">
        <x:v>69.66213960983367</x:v>
      </x:c>
      <x:c r="H2844" s="27" t="str">
        <x:v>YES</x:v>
      </x:c>
      <x:c r="I2844" s="27" t="str">
        <x:v>USACE waterway node topology; deployable terminal required</x:v>
      </x:c>
      <x:c r="J2844" s="27" t="str">
        <x:v>presence does not prove operability or capacity</x:v>
      </x:c>
    </x:row>
    <x:row r="2845" ht="54" hidden="0" customHeight="1">
      <x:c r="A2845" s="29" t="str">
        <x:v>SCA-23</x:v>
      </x:c>
      <x:c r="B2845" s="29" t="str">
        <x:v>SCA-30</x:v>
      </x:c>
      <x:c r="C2845" s="29" t="str">
        <x:v>Road</x:v>
      </x:c>
      <x:c r="D2845" s="29" t="str">
        <x:v>YES</x:v>
      </x:c>
      <x:c r="E2845" s="29" t="str">
        <x:v>YES</x:v>
      </x:c>
      <x:c r="F2845" s="62" t="n">
        <x:v>1386.4842709681602</x:v>
      </x:c>
      <x:c r="G2845" s="62" t="n">
        <x:v>45.20880492669382</x:v>
      </x:c>
      <x:c r="H2845" s="29" t="str">
        <x:v>YES</x:v>
      </x:c>
      <x:c r="I2845" s="29" t="str">
        <x:v>NHPN-gated shared-boundary SCA path</x:v>
      </x:c>
      <x:c r="J2845" s="29" t="str">
        <x:v>presence does not prove operability or capacity</x:v>
      </x:c>
    </x:row>
    <x:row r="2846" ht="64.80000305175781" hidden="0" customHeight="1">
      <x:c r="A2846" s="27" t="str">
        <x:v>SCA-23</x:v>
      </x:c>
      <x:c r="B2846" s="27" t="str">
        <x:v>SCA-30</x:v>
      </x:c>
      <x:c r="C2846" s="27" t="str">
        <x:v>Rail</x:v>
      </x:c>
      <x:c r="D2846" s="27" t="str">
        <x:v>YES</x:v>
      </x:c>
      <x:c r="E2846" s="27" t="str">
        <x:v>YES</x:v>
      </x:c>
      <x:c r="F2846" s="61" t="n">
        <x:v>1470.8789657227437</x:v>
      </x:c>
      <x:c r="G2846" s="61" t="n">
        <x:v>47.01255665318205</x:v>
      </x:c>
      <x:c r="H2846" s="27" t="str">
        <x:v>YES</x:v>
      </x:c>
      <x:c r="I2846" s="27" t="str">
        <x:v>NARN shared-node topology; deployable terminal required</x:v>
      </x:c>
      <x:c r="J2846" s="27" t="str">
        <x:v>presence does not prove operability or capacity</x:v>
      </x:c>
    </x:row>
    <x:row r="2847" ht="54" hidden="0" customHeight="1">
      <x:c r="A2847" s="29" t="str">
        <x:v>SCA-23</x:v>
      </x:c>
      <x:c r="B2847" s="29" t="str">
        <x:v>SCA-30</x:v>
      </x:c>
      <x:c r="C2847" s="29" t="str">
        <x:v>Air</x:v>
      </x:c>
      <x:c r="D2847" s="29" t="str">
        <x:v>YES</x:v>
      </x:c>
      <x:c r="E2847" s="29" t="str">
        <x:v>YES</x:v>
      </x:c>
      <x:c r="F2847" s="62" t="n">
        <x:v>1159.1071762210101</x:v>
      </x:c>
      <x:c r="G2847" s="62" t="n">
        <x:v>25.783241809570786</x:v>
      </x:c>
      <x:c r="H2847" s="29" t="str">
        <x:v>YES</x:v>
      </x:c>
      <x:c r="I2847" s="29" t="str">
        <x:v>primary-airport endpoints; great-circle screen</x:v>
      </x:c>
      <x:c r="J2847" s="29" t="str">
        <x:v>presence does not prove operability or capacity</x:v>
      </x:c>
    </x:row>
    <x:row r="2848" ht="75.5999984741211" hidden="0" customHeight="1">
      <x:c r="A2848" s="27" t="str">
        <x:v>SCA-23</x:v>
      </x:c>
      <x:c r="B2848" s="27" t="str">
        <x:v>SCA-30</x:v>
      </x:c>
      <x:c r="C2848" s="27" t="str">
        <x:v>Water</x:v>
      </x:c>
      <x:c r="D2848" s="27" t="str">
        <x:v>YES</x:v>
      </x:c>
      <x:c r="E2848" s="27" t="str">
        <x:v>YES</x:v>
      </x:c>
      <x:c r="F2848" s="61" t="n">
        <x:v>2224.1031751178675</x:v>
      </x:c>
      <x:c r="G2848" s="61" t="n">
        <x:v>93.54580500336763</x:v>
      </x:c>
      <x:c r="H2848" s="27" t="str">
        <x:v>NO</x:v>
      </x:c>
      <x:c r="I2848" s="27" t="str">
        <x:v>USACE waterway node topology; deployable terminal required</x:v>
      </x:c>
      <x:c r="J2848" s="27" t="str">
        <x:v>presence does not prove operability or capacity</x:v>
      </x:c>
    </x:row>
    <x:row r="2849" ht="54" hidden="0" customHeight="1">
      <x:c r="A2849" s="29" t="str">
        <x:v>SCA-23</x:v>
      </x:c>
      <x:c r="B2849" s="29" t="str">
        <x:v>SCA-31</x:v>
      </x:c>
      <x:c r="C2849" s="29" t="str">
        <x:v>Road</x:v>
      </x:c>
      <x:c r="D2849" s="29" t="str">
        <x:v>YES</x:v>
      </x:c>
      <x:c r="E2849" s="29" t="str">
        <x:v>YES</x:v>
      </x:c>
      <x:c r="F2849" s="62" t="n">
        <x:v>1779.5664161546663</x:v>
      </x:c>
      <x:c r="G2849" s="62" t="n">
        <x:v>52.35575302099393</x:v>
      </x:c>
      <x:c r="H2849" s="29" t="str">
        <x:v>YES</x:v>
      </x:c>
      <x:c r="I2849" s="29" t="str">
        <x:v>NHPN-gated shared-boundary SCA path</x:v>
      </x:c>
      <x:c r="J2849" s="29" t="str">
        <x:v>presence does not prove operability or capacity</x:v>
      </x:c>
    </x:row>
    <x:row r="2850" ht="64.80000305175781" hidden="0" customHeight="1">
      <x:c r="A2850" s="27" t="str">
        <x:v>SCA-23</x:v>
      </x:c>
      <x:c r="B2850" s="27" t="str">
        <x:v>SCA-31</x:v>
      </x:c>
      <x:c r="C2850" s="27" t="str">
        <x:v>Rail</x:v>
      </x:c>
      <x:c r="D2850" s="27" t="str">
        <x:v>YES</x:v>
      </x:c>
      <x:c r="E2850" s="27" t="str">
        <x:v>YES</x:v>
      </x:c>
      <x:c r="F2850" s="61" t="n">
        <x:v>1887.8878501814715</x:v>
      </x:c>
      <x:c r="G2850" s="61" t="n">
        <x:v>52.96982643116388</x:v>
      </x:c>
      <x:c r="H2850" s="27" t="str">
        <x:v>YES</x:v>
      </x:c>
      <x:c r="I2850" s="27" t="str">
        <x:v>NARN shared-node topology; deployable terminal required</x:v>
      </x:c>
      <x:c r="J2850" s="27" t="str">
        <x:v>presence does not prove operability or capacity</x:v>
      </x:c>
    </x:row>
    <x:row r="2851" ht="54" hidden="0" customHeight="1">
      <x:c r="A2851" s="29" t="str">
        <x:v>SCA-23</x:v>
      </x:c>
      <x:c r="B2851" s="29" t="str">
        <x:v>SCA-31</x:v>
      </x:c>
      <x:c r="C2851" s="29" t="str">
        <x:v>Air</x:v>
      </x:c>
      <x:c r="D2851" s="29" t="str">
        <x:v>YES</x:v>
      </x:c>
      <x:c r="E2851" s="29" t="str">
        <x:v>YES</x:v>
      </x:c>
      <x:c r="F2851" s="62" t="n">
        <x:v>1499.4560905158776</x:v>
      </x:c>
      <x:c r="G2851" s="62" t="n">
        <x:v>26.30685552387058</x:v>
      </x:c>
      <x:c r="H2851" s="29" t="str">
        <x:v>YES</x:v>
      </x:c>
      <x:c r="I2851" s="29" t="str">
        <x:v>primary-airport endpoints; great-circle screen</x:v>
      </x:c>
      <x:c r="J2851" s="29" t="str">
        <x:v>presence does not prove operability or capacity</x:v>
      </x:c>
    </x:row>
    <x:row r="2852" ht="75.5999984741211" hidden="0" customHeight="1">
      <x:c r="A2852" s="27" t="str">
        <x:v>SCA-23</x:v>
      </x:c>
      <x:c r="B2852" s="27" t="str">
        <x:v>SCA-31</x:v>
      </x:c>
      <x:c r="C2852" s="27" t="str">
        <x:v>Water</x:v>
      </x:c>
      <x:c r="D2852" s="27" t="str">
        <x:v>YES</x:v>
      </x:c>
      <x:c r="E2852" s="27" t="str">
        <x:v>YES</x:v>
      </x:c>
      <x:c r="F2852" s="61" t="n">
        <x:v>2658.3211214359644</x:v>
      </x:c>
      <x:c r="G2852" s="61" t="n">
        <x:v>105.95203204102755</x:v>
      </x:c>
      <x:c r="H2852" s="27" t="str">
        <x:v>NO</x:v>
      </x:c>
      <x:c r="I2852" s="27" t="str">
        <x:v>USACE waterway node topology; deployable terminal required</x:v>
      </x:c>
      <x:c r="J2852" s="27" t="str">
        <x:v>presence does not prove operability or capacity</x:v>
      </x:c>
    </x:row>
    <x:row r="2853" ht="54" hidden="0" customHeight="1">
      <x:c r="A2853" s="29" t="str">
        <x:v>SCA-23</x:v>
      </x:c>
      <x:c r="B2853" s="29" t="str">
        <x:v>SCA-32</x:v>
      </x:c>
      <x:c r="C2853" s="29" t="str">
        <x:v>Road</x:v>
      </x:c>
      <x:c r="D2853" s="29" t="str">
        <x:v>NO</x:v>
      </x:c>
      <x:c r="E2853" s="29" t="str">
        <x:v>NO</x:v>
      </x:c>
      <x:c r="F2853" s="62"/>
      <x:c r="G2853" s="62"/>
      <x:c r="H2853" s="29" t="str">
        <x:v>NO</x:v>
      </x:c>
      <x:c r="I2853" s="29" t="str">
        <x:v>no screened path</x:v>
      </x:c>
      <x:c r="J2853" s="29" t="str">
        <x:v>presence does not prove operability or capacity</x:v>
      </x:c>
    </x:row>
    <x:row r="2854" ht="54" hidden="0" customHeight="1">
      <x:c r="A2854" s="27" t="str">
        <x:v>SCA-23</x:v>
      </x:c>
      <x:c r="B2854" s="27" t="str">
        <x:v>SCA-32</x:v>
      </x:c>
      <x:c r="C2854" s="27" t="str">
        <x:v>Rail</x:v>
      </x:c>
      <x:c r="D2854" s="27" t="str">
        <x:v>NO</x:v>
      </x:c>
      <x:c r="E2854" s="27" t="str">
        <x:v>NO</x:v>
      </x:c>
      <x:c r="F2854" s="61"/>
      <x:c r="G2854" s="61"/>
      <x:c r="H2854" s="27" t="str">
        <x:v>NO</x:v>
      </x:c>
      <x:c r="I2854" s="27" t="str">
        <x:v>no screened path</x:v>
      </x:c>
      <x:c r="J2854" s="27" t="str">
        <x:v>presence does not prove operability or capacity</x:v>
      </x:c>
    </x:row>
    <x:row r="2855" ht="54" hidden="0" customHeight="1">
      <x:c r="A2855" s="29" t="str">
        <x:v>SCA-23</x:v>
      </x:c>
      <x:c r="B2855" s="29" t="str">
        <x:v>SCA-32</x:v>
      </x:c>
      <x:c r="C2855" s="29" t="str">
        <x:v>Air</x:v>
      </x:c>
      <x:c r="D2855" s="29" t="str">
        <x:v>YES</x:v>
      </x:c>
      <x:c r="E2855" s="29" t="str">
        <x:v>YES</x:v>
      </x:c>
      <x:c r="F2855" s="62" t="n">
        <x:v>2500.273802219088</x:v>
      </x:c>
      <x:c r="G2855" s="62" t="n">
        <x:v>27.846575080337058</x:v>
      </x:c>
      <x:c r="H2855" s="29" t="str">
        <x:v>YES</x:v>
      </x:c>
      <x:c r="I2855" s="29" t="str">
        <x:v>primary-airport endpoints; great-circle screen</x:v>
      </x:c>
      <x:c r="J2855" s="29" t="str">
        <x:v>presence does not prove operability or capacity</x:v>
      </x:c>
    </x:row>
    <x:row r="2856" ht="75.5999984741211" hidden="0" customHeight="1">
      <x:c r="A2856" s="27" t="str">
        <x:v>SCA-23</x:v>
      </x:c>
      <x:c r="B2856" s="27" t="str">
        <x:v>SCA-32</x:v>
      </x:c>
      <x:c r="C2856" s="27" t="str">
        <x:v>Water</x:v>
      </x:c>
      <x:c r="D2856" s="27" t="str">
        <x:v>YES</x:v>
      </x:c>
      <x:c r="E2856" s="27" t="str">
        <x:v>YES</x:v>
      </x:c>
      <x:c r="F2856" s="61" t="n">
        <x:v>3230.3201806477177</x:v>
      </x:c>
      <x:c r="G2856" s="61" t="n">
        <x:v>122.2948623042205</x:v>
      </x:c>
      <x:c r="H2856" s="27" t="str">
        <x:v>NO</x:v>
      </x:c>
      <x:c r="I2856" s="27" t="str">
        <x:v>USACE waterway node topology; deployable terminal required</x:v>
      </x:c>
      <x:c r="J2856" s="27" t="str">
        <x:v>presence does not prove operability or capacity</x:v>
      </x:c>
    </x:row>
    <x:row r="2857" ht="54" hidden="0" customHeight="1">
      <x:c r="A2857" s="29" t="str">
        <x:v>SCA-24</x:v>
      </x:c>
      <x:c r="B2857" s="29" t="str">
        <x:v>SCA-01</x:v>
      </x:c>
      <x:c r="C2857" s="29" t="str">
        <x:v>Road</x:v>
      </x:c>
      <x:c r="D2857" s="29" t="str">
        <x:v>NO</x:v>
      </x:c>
      <x:c r="E2857" s="29" t="str">
        <x:v>NO</x:v>
      </x:c>
      <x:c r="F2857" s="62"/>
      <x:c r="G2857" s="62"/>
      <x:c r="H2857" s="29" t="str">
        <x:v>NO</x:v>
      </x:c>
      <x:c r="I2857" s="29" t="str">
        <x:v>no screened path</x:v>
      </x:c>
      <x:c r="J2857" s="29" t="str">
        <x:v>presence does not prove operability or capacity</x:v>
      </x:c>
    </x:row>
    <x:row r="2858" ht="54" hidden="0" customHeight="1">
      <x:c r="A2858" s="27" t="str">
        <x:v>SCA-24</x:v>
      </x:c>
      <x:c r="B2858" s="27" t="str">
        <x:v>SCA-01</x:v>
      </x:c>
      <x:c r="C2858" s="27" t="str">
        <x:v>Rail</x:v>
      </x:c>
      <x:c r="D2858" s="27" t="str">
        <x:v>NO</x:v>
      </x:c>
      <x:c r="E2858" s="27" t="str">
        <x:v>NO</x:v>
      </x:c>
      <x:c r="F2858" s="61"/>
      <x:c r="G2858" s="61"/>
      <x:c r="H2858" s="27" t="str">
        <x:v>NO</x:v>
      </x:c>
      <x:c r="I2858" s="27" t="str">
        <x:v>no screened path</x:v>
      </x:c>
      <x:c r="J2858" s="27" t="str">
        <x:v>presence does not prove operability or capacity</x:v>
      </x:c>
    </x:row>
    <x:row r="2859" ht="54" hidden="0" customHeight="1">
      <x:c r="A2859" s="29" t="str">
        <x:v>SCA-24</x:v>
      </x:c>
      <x:c r="B2859" s="29" t="str">
        <x:v>SCA-01</x:v>
      </x:c>
      <x:c r="C2859" s="29" t="str">
        <x:v>Air</x:v>
      </x:c>
      <x:c r="D2859" s="29" t="str">
        <x:v>YES</x:v>
      </x:c>
      <x:c r="E2859" s="29" t="str">
        <x:v>YES</x:v>
      </x:c>
      <x:c r="F2859" s="62" t="n">
        <x:v>7143.230474659723</x:v>
      </x:c>
      <x:c r="G2859" s="62" t="n">
        <x:v>34.989585345630346</x:v>
      </x:c>
      <x:c r="H2859" s="29" t="str">
        <x:v>YES</x:v>
      </x:c>
      <x:c r="I2859" s="29" t="str">
        <x:v>primary-airport endpoints; great-circle screen</x:v>
      </x:c>
      <x:c r="J2859" s="29" t="str">
        <x:v>presence does not prove operability or capacity</x:v>
      </x:c>
    </x:row>
    <x:row r="2860" ht="75.5999984741211" hidden="0" customHeight="1">
      <x:c r="A2860" s="27" t="str">
        <x:v>SCA-24</x:v>
      </x:c>
      <x:c r="B2860" s="27" t="str">
        <x:v>SCA-01</x:v>
      </x:c>
      <x:c r="C2860" s="27" t="str">
        <x:v>Water</x:v>
      </x:c>
      <x:c r="D2860" s="27" t="str">
        <x:v>YES</x:v>
      </x:c>
      <x:c r="E2860" s="27" t="str">
        <x:v>YES</x:v>
      </x:c>
      <x:c r="F2860" s="61" t="n">
        <x:v>12637.639916739927</x:v>
      </x:c>
      <x:c r="G2860" s="61" t="n">
        <x:v>391.07542619256935</x:v>
      </x:c>
      <x:c r="H2860" s="27" t="str">
        <x:v>NO</x:v>
      </x:c>
      <x:c r="I2860" s="27" t="str">
        <x:v>USACE waterway node topology; deployable terminal required</x:v>
      </x:c>
      <x:c r="J2860" s="27" t="str">
        <x:v>presence does not prove operability or capacity</x:v>
      </x:c>
    </x:row>
    <x:row r="2861" ht="54" hidden="0" customHeight="1">
      <x:c r="A2861" s="29" t="str">
        <x:v>SCA-24</x:v>
      </x:c>
      <x:c r="B2861" s="29" t="str">
        <x:v>SCA-02</x:v>
      </x:c>
      <x:c r="C2861" s="29" t="str">
        <x:v>Road</x:v>
      </x:c>
      <x:c r="D2861" s="29" t="str">
        <x:v>NO</x:v>
      </x:c>
      <x:c r="E2861" s="29" t="str">
        <x:v>NO</x:v>
      </x:c>
      <x:c r="F2861" s="62"/>
      <x:c r="G2861" s="62"/>
      <x:c r="H2861" s="29" t="str">
        <x:v>NO</x:v>
      </x:c>
      <x:c r="I2861" s="29" t="str">
        <x:v>no screened path</x:v>
      </x:c>
      <x:c r="J2861" s="29" t="str">
        <x:v>presence does not prove operability or capacity</x:v>
      </x:c>
    </x:row>
    <x:row r="2862" ht="54" hidden="0" customHeight="1">
      <x:c r="A2862" s="27" t="str">
        <x:v>SCA-24</x:v>
      </x:c>
      <x:c r="B2862" s="27" t="str">
        <x:v>SCA-02</x:v>
      </x:c>
      <x:c r="C2862" s="27" t="str">
        <x:v>Rail</x:v>
      </x:c>
      <x:c r="D2862" s="27" t="str">
        <x:v>NO</x:v>
      </x:c>
      <x:c r="E2862" s="27" t="str">
        <x:v>NO</x:v>
      </x:c>
      <x:c r="F2862" s="61"/>
      <x:c r="G2862" s="61"/>
      <x:c r="H2862" s="27" t="str">
        <x:v>NO</x:v>
      </x:c>
      <x:c r="I2862" s="27" t="str">
        <x:v>no screened path</x:v>
      </x:c>
      <x:c r="J2862" s="27" t="str">
        <x:v>presence does not prove operability or capacity</x:v>
      </x:c>
    </x:row>
    <x:row r="2863" ht="54" hidden="0" customHeight="1">
      <x:c r="A2863" s="29" t="str">
        <x:v>SCA-24</x:v>
      </x:c>
      <x:c r="B2863" s="29" t="str">
        <x:v>SCA-02</x:v>
      </x:c>
      <x:c r="C2863" s="29" t="str">
        <x:v>Air</x:v>
      </x:c>
      <x:c r="D2863" s="29" t="str">
        <x:v>YES</x:v>
      </x:c>
      <x:c r="E2863" s="29" t="str">
        <x:v>YES</x:v>
      </x:c>
      <x:c r="F2863" s="62" t="n">
        <x:v>4554.499746410032</x:v>
      </x:c>
      <x:c r="G2863" s="62" t="n">
        <x:v>31.006922686784662</x:v>
      </x:c>
      <x:c r="H2863" s="29" t="str">
        <x:v>YES</x:v>
      </x:c>
      <x:c r="I2863" s="29" t="str">
        <x:v>primary-airport endpoints; great-circle screen</x:v>
      </x:c>
      <x:c r="J2863" s="29" t="str">
        <x:v>presence does not prove operability or capacity</x:v>
      </x:c>
    </x:row>
    <x:row r="2864" ht="75.5999984741211" hidden="0" customHeight="1">
      <x:c r="A2864" s="27" t="str">
        <x:v>SCA-24</x:v>
      </x:c>
      <x:c r="B2864" s="27" t="str">
        <x:v>SCA-02</x:v>
      </x:c>
      <x:c r="C2864" s="27" t="str">
        <x:v>Water</x:v>
      </x:c>
      <x:c r="D2864" s="27" t="str">
        <x:v>YES</x:v>
      </x:c>
      <x:c r="E2864" s="27" t="str">
        <x:v>YES</x:v>
      </x:c>
      <x:c r="F2864" s="61" t="n">
        <x:v>8123.783541721187</x:v>
      </x:c>
      <x:c r="G2864" s="61" t="n">
        <x:v>262.1081011920339</x:v>
      </x:c>
      <x:c r="H2864" s="27" t="str">
        <x:v>NO</x:v>
      </x:c>
      <x:c r="I2864" s="27" t="str">
        <x:v>USACE waterway node topology; deployable terminal required</x:v>
      </x:c>
      <x:c r="J2864" s="27" t="str">
        <x:v>presence does not prove operability or capacity</x:v>
      </x:c>
    </x:row>
    <x:row r="2865" ht="54" hidden="0" customHeight="1">
      <x:c r="A2865" s="29" t="str">
        <x:v>SCA-24</x:v>
      </x:c>
      <x:c r="B2865" s="29" t="str">
        <x:v>SCA-03</x:v>
      </x:c>
      <x:c r="C2865" s="29" t="str">
        <x:v>Road</x:v>
      </x:c>
      <x:c r="D2865" s="29" t="str">
        <x:v>YES</x:v>
      </x:c>
      <x:c r="E2865" s="29" t="str">
        <x:v>YES</x:v>
      </x:c>
      <x:c r="F2865" s="62" t="n">
        <x:v>3587.42904173735</x:v>
      </x:c>
      <x:c r="G2865" s="62" t="n">
        <x:v>85.22598257704273</x:v>
      </x:c>
      <x:c r="H2865" s="29" t="str">
        <x:v>NO</x:v>
      </x:c>
      <x:c r="I2865" s="29" t="str">
        <x:v>NHPN-gated shared-boundary SCA path</x:v>
      </x:c>
      <x:c r="J2865" s="29" t="str">
        <x:v>presence does not prove operability or capacity</x:v>
      </x:c>
    </x:row>
    <x:row r="2866" ht="64.80000305175781" hidden="0" customHeight="1">
      <x:c r="A2866" s="27" t="str">
        <x:v>SCA-24</x:v>
      </x:c>
      <x:c r="B2866" s="27" t="str">
        <x:v>SCA-03</x:v>
      </x:c>
      <x:c r="C2866" s="27" t="str">
        <x:v>Rail</x:v>
      </x:c>
      <x:c r="D2866" s="27" t="str">
        <x:v>YES</x:v>
      </x:c>
      <x:c r="E2866" s="27" t="str">
        <x:v>YES</x:v>
      </x:c>
      <x:c r="F2866" s="61" t="n">
        <x:v>3805.7942877561454</x:v>
      </x:c>
      <x:c r="G2866" s="61" t="n">
        <x:v>80.36848982508779</x:v>
      </x:c>
      <x:c r="H2866" s="27" t="str">
        <x:v>NO</x:v>
      </x:c>
      <x:c r="I2866" s="27" t="str">
        <x:v>NARN shared-node topology; deployable terminal required</x:v>
      </x:c>
      <x:c r="J2866" s="27" t="str">
        <x:v>presence does not prove operability or capacity</x:v>
      </x:c>
    </x:row>
    <x:row r="2867" ht="54" hidden="0" customHeight="1">
      <x:c r="A2867" s="29" t="str">
        <x:v>SCA-24</x:v>
      </x:c>
      <x:c r="B2867" s="29" t="str">
        <x:v>SCA-03</x:v>
      </x:c>
      <x:c r="C2867" s="29" t="str">
        <x:v>Air</x:v>
      </x:c>
      <x:c r="D2867" s="29" t="str">
        <x:v>YES</x:v>
      </x:c>
      <x:c r="E2867" s="29" t="str">
        <x:v>YES</x:v>
      </x:c>
      <x:c r="F2867" s="62" t="n">
        <x:v>3008.983990049101</x:v>
      </x:c>
      <x:c r="G2867" s="62" t="n">
        <x:v>28.62920613853708</x:v>
      </x:c>
      <x:c r="H2867" s="29" t="str">
        <x:v>YES</x:v>
      </x:c>
      <x:c r="I2867" s="29" t="str">
        <x:v>primary-airport endpoints; great-circle screen</x:v>
      </x:c>
      <x:c r="J2867" s="29" t="str">
        <x:v>presence does not prove operability or capacity</x:v>
      </x:c>
    </x:row>
    <x:row r="2868" ht="75.5999984741211" hidden="0" customHeight="1">
      <x:c r="A2868" s="27" t="str">
        <x:v>SCA-24</x:v>
      </x:c>
      <x:c r="B2868" s="27" t="str">
        <x:v>SCA-03</x:v>
      </x:c>
      <x:c r="C2868" s="27" t="str">
        <x:v>Water</x:v>
      </x:c>
      <x:c r="D2868" s="27" t="str">
        <x:v>YES</x:v>
      </x:c>
      <x:c r="E2868" s="27" t="str">
        <x:v>YES</x:v>
      </x:c>
      <x:c r="F2868" s="61" t="n">
        <x:v>9246.87860406827</x:v>
      </x:c>
      <x:c r="G2868" s="61" t="n">
        <x:v>294.1965315448077</x:v>
      </x:c>
      <x:c r="H2868" s="27" t="str">
        <x:v>NO</x:v>
      </x:c>
      <x:c r="I2868" s="27" t="str">
        <x:v>USACE waterway node topology; deployable terminal required</x:v>
      </x:c>
      <x:c r="J2868" s="27" t="str">
        <x:v>presence does not prove operability or capacity</x:v>
      </x:c>
    </x:row>
    <x:row r="2869" ht="54" hidden="0" customHeight="1">
      <x:c r="A2869" s="29" t="str">
        <x:v>SCA-24</x:v>
      </x:c>
      <x:c r="B2869" s="29" t="str">
        <x:v>SCA-04</x:v>
      </x:c>
      <x:c r="C2869" s="29" t="str">
        <x:v>Road</x:v>
      </x:c>
      <x:c r="D2869" s="29" t="str">
        <x:v>YES</x:v>
      </x:c>
      <x:c r="E2869" s="29" t="str">
        <x:v>YES</x:v>
      </x:c>
      <x:c r="F2869" s="62" t="n">
        <x:v>3997.9378409761225</x:v>
      </x:c>
      <x:c r="G2869" s="62" t="n">
        <x:v>92.68977892683858</x:v>
      </x:c>
      <x:c r="H2869" s="29" t="str">
        <x:v>NO</x:v>
      </x:c>
      <x:c r="I2869" s="29" t="str">
        <x:v>NHPN-gated shared-boundary SCA path</x:v>
      </x:c>
      <x:c r="J2869" s="29" t="str">
        <x:v>presence does not prove operability or capacity</x:v>
      </x:c>
    </x:row>
    <x:row r="2870" ht="64.80000305175781" hidden="0" customHeight="1">
      <x:c r="A2870" s="27" t="str">
        <x:v>SCA-24</x:v>
      </x:c>
      <x:c r="B2870" s="27" t="str">
        <x:v>SCA-04</x:v>
      </x:c>
      <x:c r="C2870" s="27" t="str">
        <x:v>Rail</x:v>
      </x:c>
      <x:c r="D2870" s="27" t="str">
        <x:v>YES</x:v>
      </x:c>
      <x:c r="E2870" s="27" t="str">
        <x:v>YES</x:v>
      </x:c>
      <x:c r="F2870" s="61" t="n">
        <x:v>4241.290579122495</x:v>
      </x:c>
      <x:c r="G2870" s="61" t="n">
        <x:v>86.58986541603565</x:v>
      </x:c>
      <x:c r="H2870" s="27" t="str">
        <x:v>NO</x:v>
      </x:c>
      <x:c r="I2870" s="27" t="str">
        <x:v>NARN shared-node topology; deployable terminal required</x:v>
      </x:c>
      <x:c r="J2870" s="27" t="str">
        <x:v>presence does not prove operability or capacity</x:v>
      </x:c>
    </x:row>
    <x:row r="2871" ht="54" hidden="0" customHeight="1">
      <x:c r="A2871" s="29" t="str">
        <x:v>SCA-24</x:v>
      </x:c>
      <x:c r="B2871" s="29" t="str">
        <x:v>SCA-04</x:v>
      </x:c>
      <x:c r="C2871" s="29" t="str">
        <x:v>Air</x:v>
      </x:c>
      <x:c r="D2871" s="29" t="str">
        <x:v>YES</x:v>
      </x:c>
      <x:c r="E2871" s="29" t="str">
        <x:v>YES</x:v>
      </x:c>
      <x:c r="F2871" s="62" t="n">
        <x:v>3210.073391259644</x:v>
      </x:c>
      <x:c r="G2871" s="62" t="n">
        <x:v>28.93857444809176</x:v>
      </x:c>
      <x:c r="H2871" s="29" t="str">
        <x:v>YES</x:v>
      </x:c>
      <x:c r="I2871" s="29" t="str">
        <x:v>primary-airport endpoints; great-circle screen</x:v>
      </x:c>
      <x:c r="J2871" s="29" t="str">
        <x:v>presence does not prove operability or capacity</x:v>
      </x:c>
    </x:row>
    <x:row r="2872" ht="75.5999984741211" hidden="0" customHeight="1">
      <x:c r="A2872" s="27" t="str">
        <x:v>SCA-24</x:v>
      </x:c>
      <x:c r="B2872" s="27" t="str">
        <x:v>SCA-04</x:v>
      </x:c>
      <x:c r="C2872" s="27" t="str">
        <x:v>Water</x:v>
      </x:c>
      <x:c r="D2872" s="27" t="str">
        <x:v>YES</x:v>
      </x:c>
      <x:c r="E2872" s="27" t="str">
        <x:v>YES</x:v>
      </x:c>
      <x:c r="F2872" s="61" t="n">
        <x:v>8034.620395687303</x:v>
      </x:c>
      <x:c r="G2872" s="61" t="n">
        <x:v>259.56058273392296</x:v>
      </x:c>
      <x:c r="H2872" s="27" t="str">
        <x:v>NO</x:v>
      </x:c>
      <x:c r="I2872" s="27" t="str">
        <x:v>USACE waterway node topology; deployable terminal required</x:v>
      </x:c>
      <x:c r="J2872" s="27" t="str">
        <x:v>presence does not prove operability or capacity</x:v>
      </x:c>
    </x:row>
    <x:row r="2873" ht="54" hidden="0" customHeight="1">
      <x:c r="A2873" s="29" t="str">
        <x:v>SCA-24</x:v>
      </x:c>
      <x:c r="B2873" s="29" t="str">
        <x:v>SCA-05</x:v>
      </x:c>
      <x:c r="C2873" s="29" t="str">
        <x:v>Road</x:v>
      </x:c>
      <x:c r="D2873" s="29" t="str">
        <x:v>YES</x:v>
      </x:c>
      <x:c r="E2873" s="29" t="str">
        <x:v>YES</x:v>
      </x:c>
      <x:c r="F2873" s="62" t="n">
        <x:v>4056.8490564411286</x:v>
      </x:c>
      <x:c r="G2873" s="62" t="n">
        <x:v>93.76089193529324</x:v>
      </x:c>
      <x:c r="H2873" s="29" t="str">
        <x:v>NO</x:v>
      </x:c>
      <x:c r="I2873" s="29" t="str">
        <x:v>NHPN-gated shared-boundary SCA path</x:v>
      </x:c>
      <x:c r="J2873" s="29" t="str">
        <x:v>presence does not prove operability or capacity</x:v>
      </x:c>
    </x:row>
    <x:row r="2874" ht="64.80000305175781" hidden="0" customHeight="1">
      <x:c r="A2874" s="27" t="str">
        <x:v>SCA-24</x:v>
      </x:c>
      <x:c r="B2874" s="27" t="str">
        <x:v>SCA-05</x:v>
      </x:c>
      <x:c r="C2874" s="27" t="str">
        <x:v>Rail</x:v>
      </x:c>
      <x:c r="D2874" s="27" t="str">
        <x:v>YES</x:v>
      </x:c>
      <x:c r="E2874" s="27" t="str">
        <x:v>YES</x:v>
      </x:c>
      <x:c r="F2874" s="61" t="n">
        <x:v>4371.7949439158365</x:v>
      </x:c>
      <x:c r="G2874" s="61" t="n">
        <x:v>88.45421348451194</x:v>
      </x:c>
      <x:c r="H2874" s="27" t="str">
        <x:v>NO</x:v>
      </x:c>
      <x:c r="I2874" s="27" t="str">
        <x:v>NARN shared-node topology; deployable terminal required</x:v>
      </x:c>
      <x:c r="J2874" s="27" t="str">
        <x:v>presence does not prove operability or capacity</x:v>
      </x:c>
    </x:row>
    <x:row r="2875" ht="54" hidden="0" customHeight="1">
      <x:c r="A2875" s="29" t="str">
        <x:v>SCA-24</x:v>
      </x:c>
      <x:c r="B2875" s="29" t="str">
        <x:v>SCA-05</x:v>
      </x:c>
      <x:c r="C2875" s="29" t="str">
        <x:v>Air</x:v>
      </x:c>
      <x:c r="D2875" s="29" t="str">
        <x:v>YES</x:v>
      </x:c>
      <x:c r="E2875" s="29" t="str">
        <x:v>YES</x:v>
      </x:c>
      <x:c r="F2875" s="62" t="n">
        <x:v>3118.651041248963</x:v>
      </x:c>
      <x:c r="G2875" s="62" t="n">
        <x:v>28.79792467884456</x:v>
      </x:c>
      <x:c r="H2875" s="29" t="str">
        <x:v>YES</x:v>
      </x:c>
      <x:c r="I2875" s="29" t="str">
        <x:v>primary-airport endpoints; great-circle screen</x:v>
      </x:c>
      <x:c r="J2875" s="29" t="str">
        <x:v>presence does not prove operability or capacity</x:v>
      </x:c>
    </x:row>
    <x:row r="2876" ht="75.5999984741211" hidden="0" customHeight="1">
      <x:c r="A2876" s="27" t="str">
        <x:v>SCA-24</x:v>
      </x:c>
      <x:c r="B2876" s="27" t="str">
        <x:v>SCA-05</x:v>
      </x:c>
      <x:c r="C2876" s="27" t="str">
        <x:v>Water</x:v>
      </x:c>
      <x:c r="D2876" s="27" t="str">
        <x:v>YES</x:v>
      </x:c>
      <x:c r="E2876" s="27" t="str">
        <x:v>YES</x:v>
      </x:c>
      <x:c r="F2876" s="61" t="n">
        <x:v>7378.666976210246</x:v>
      </x:c>
      <x:c r="G2876" s="61" t="n">
        <x:v>240.81905646314988</x:v>
      </x:c>
      <x:c r="H2876" s="27" t="str">
        <x:v>NO</x:v>
      </x:c>
      <x:c r="I2876" s="27" t="str">
        <x:v>USACE waterway node topology; deployable terminal required</x:v>
      </x:c>
      <x:c r="J2876" s="27" t="str">
        <x:v>presence does not prove operability or capacity</x:v>
      </x:c>
    </x:row>
    <x:row r="2877" ht="54" hidden="0" customHeight="1">
      <x:c r="A2877" s="29" t="str">
        <x:v>SCA-24</x:v>
      </x:c>
      <x:c r="B2877" s="29" t="str">
        <x:v>SCA-06</x:v>
      </x:c>
      <x:c r="C2877" s="29" t="str">
        <x:v>Road</x:v>
      </x:c>
      <x:c r="D2877" s="29" t="str">
        <x:v>YES</x:v>
      </x:c>
      <x:c r="E2877" s="29" t="str">
        <x:v>YES</x:v>
      </x:c>
      <x:c r="F2877" s="62" t="n">
        <x:v>3816.091684161005</x:v>
      </x:c>
      <x:c r="G2877" s="62" t="n">
        <x:v>89.38348516656373</x:v>
      </x:c>
      <x:c r="H2877" s="29" t="str">
        <x:v>NO</x:v>
      </x:c>
      <x:c r="I2877" s="29" t="str">
        <x:v>NHPN-gated shared-boundary SCA path</x:v>
      </x:c>
      <x:c r="J2877" s="29" t="str">
        <x:v>presence does not prove operability or capacity</x:v>
      </x:c>
    </x:row>
    <x:row r="2878" ht="64.80000305175781" hidden="0" customHeight="1">
      <x:c r="A2878" s="27" t="str">
        <x:v>SCA-24</x:v>
      </x:c>
      <x:c r="B2878" s="27" t="str">
        <x:v>SCA-06</x:v>
      </x:c>
      <x:c r="C2878" s="27" t="str">
        <x:v>Rail</x:v>
      </x:c>
      <x:c r="D2878" s="27" t="str">
        <x:v>YES</x:v>
      </x:c>
      <x:c r="E2878" s="27" t="str">
        <x:v>YES</x:v>
      </x:c>
      <x:c r="F2878" s="61" t="n">
        <x:v>4331.888265942967</x:v>
      </x:c>
      <x:c r="G2878" s="61" t="n">
        <x:v>87.88411808489954</x:v>
      </x:c>
      <x:c r="H2878" s="27" t="str">
        <x:v>NO</x:v>
      </x:c>
      <x:c r="I2878" s="27" t="str">
        <x:v>NARN shared-node topology; deployable terminal required</x:v>
      </x:c>
      <x:c r="J2878" s="27" t="str">
        <x:v>presence does not prove operability or capacity</x:v>
      </x:c>
    </x:row>
    <x:row r="2879" ht="54" hidden="0" customHeight="1">
      <x:c r="A2879" s="29" t="str">
        <x:v>SCA-24</x:v>
      </x:c>
      <x:c r="B2879" s="29" t="str">
        <x:v>SCA-06</x:v>
      </x:c>
      <x:c r="C2879" s="29" t="str">
        <x:v>Air</x:v>
      </x:c>
      <x:c r="D2879" s="29" t="str">
        <x:v>YES</x:v>
      </x:c>
      <x:c r="E2879" s="29" t="str">
        <x:v>YES</x:v>
      </x:c>
      <x:c r="F2879" s="62" t="n">
        <x:v>3009.415905534592</x:v>
      </x:c>
      <x:c r="G2879" s="62" t="n">
        <x:v>28.62987062389937</x:v>
      </x:c>
      <x:c r="H2879" s="29" t="str">
        <x:v>YES</x:v>
      </x:c>
      <x:c r="I2879" s="29" t="str">
        <x:v>primary-airport endpoints; great-circle screen</x:v>
      </x:c>
      <x:c r="J2879" s="29" t="str">
        <x:v>presence does not prove operability or capacity</x:v>
      </x:c>
    </x:row>
    <x:row r="2880" ht="75.5999984741211" hidden="0" customHeight="1">
      <x:c r="A2880" s="27" t="str">
        <x:v>SCA-24</x:v>
      </x:c>
      <x:c r="B2880" s="27" t="str">
        <x:v>SCA-06</x:v>
      </x:c>
      <x:c r="C2880" s="27" t="str">
        <x:v>Water</x:v>
      </x:c>
      <x:c r="D2880" s="27" t="str">
        <x:v>YES</x:v>
      </x:c>
      <x:c r="E2880" s="27" t="str">
        <x:v>YES</x:v>
      </x:c>
      <x:c r="F2880" s="61" t="n">
        <x:v>7110.69355315063</x:v>
      </x:c>
      <x:c r="G2880" s="61" t="n">
        <x:v>233.16267294716084</x:v>
      </x:c>
      <x:c r="H2880" s="27" t="str">
        <x:v>NO</x:v>
      </x:c>
      <x:c r="I2880" s="27" t="str">
        <x:v>USACE waterway node topology; deployable terminal required</x:v>
      </x:c>
      <x:c r="J2880" s="27" t="str">
        <x:v>presence does not prove operability or capacity</x:v>
      </x:c>
    </x:row>
    <x:row r="2881" ht="54" hidden="0" customHeight="1">
      <x:c r="A2881" s="29" t="str">
        <x:v>SCA-24</x:v>
      </x:c>
      <x:c r="B2881" s="29" t="str">
        <x:v>SCA-07</x:v>
      </x:c>
      <x:c r="C2881" s="29" t="str">
        <x:v>Road</x:v>
      </x:c>
      <x:c r="D2881" s="29" t="str">
        <x:v>YES</x:v>
      </x:c>
      <x:c r="E2881" s="29" t="str">
        <x:v>YES</x:v>
      </x:c>
      <x:c r="F2881" s="62" t="n">
        <x:v>3760.7531557962566</x:v>
      </x:c>
      <x:c r="G2881" s="62" t="n">
        <x:v>88.37733010538648</x:v>
      </x:c>
      <x:c r="H2881" s="29" t="str">
        <x:v>NO</x:v>
      </x:c>
      <x:c r="I2881" s="29" t="str">
        <x:v>NHPN-gated shared-boundary SCA path</x:v>
      </x:c>
      <x:c r="J2881" s="29" t="str">
        <x:v>presence does not prove operability or capacity</x:v>
      </x:c>
    </x:row>
    <x:row r="2882" ht="64.80000305175781" hidden="0" customHeight="1">
      <x:c r="A2882" s="27" t="str">
        <x:v>SCA-24</x:v>
      </x:c>
      <x:c r="B2882" s="27" t="str">
        <x:v>SCA-07</x:v>
      </x:c>
      <x:c r="C2882" s="27" t="str">
        <x:v>Rail</x:v>
      </x:c>
      <x:c r="D2882" s="27" t="str">
        <x:v>YES</x:v>
      </x:c>
      <x:c r="E2882" s="27" t="str">
        <x:v>YES</x:v>
      </x:c>
      <x:c r="F2882" s="61" t="n">
        <x:v>3989.6685652795068</x:v>
      </x:c>
      <x:c r="G2882" s="61" t="n">
        <x:v>82.99526521827866</x:v>
      </x:c>
      <x:c r="H2882" s="27" t="str">
        <x:v>NO</x:v>
      </x:c>
      <x:c r="I2882" s="27" t="str">
        <x:v>NARN shared-node topology; deployable terminal required</x:v>
      </x:c>
      <x:c r="J2882" s="27" t="str">
        <x:v>presence does not prove operability or capacity</x:v>
      </x:c>
    </x:row>
    <x:row r="2883" ht="54" hidden="0" customHeight="1">
      <x:c r="A2883" s="29" t="str">
        <x:v>SCA-24</x:v>
      </x:c>
      <x:c r="B2883" s="29" t="str">
        <x:v>SCA-07</x:v>
      </x:c>
      <x:c r="C2883" s="29" t="str">
        <x:v>Air</x:v>
      </x:c>
      <x:c r="D2883" s="29" t="str">
        <x:v>YES</x:v>
      </x:c>
      <x:c r="E2883" s="29" t="str">
        <x:v>YES</x:v>
      </x:c>
      <x:c r="F2883" s="62" t="n">
        <x:v>2806.3401545947927</x:v>
      </x:c>
      <x:c r="G2883" s="62" t="n">
        <x:v>28.317446391684296</x:v>
      </x:c>
      <x:c r="H2883" s="29" t="str">
        <x:v>YES</x:v>
      </x:c>
      <x:c r="I2883" s="29" t="str">
        <x:v>primary-airport endpoints; great-circle screen</x:v>
      </x:c>
      <x:c r="J2883" s="29" t="str">
        <x:v>presence does not prove operability or capacity</x:v>
      </x:c>
    </x:row>
    <x:row r="2884" ht="64.80000305175781" hidden="0" customHeight="1">
      <x:c r="A2884" s="27" t="str">
        <x:v>SCA-24</x:v>
      </x:c>
      <x:c r="B2884" s="27" t="str">
        <x:v>SCA-07</x:v>
      </x:c>
      <x:c r="C2884" s="27" t="str">
        <x:v>Water</x:v>
      </x:c>
      <x:c r="D2884" s="27" t="str">
        <x:v>YES</x:v>
      </x:c>
      <x:c r="E2884" s="27" t="str">
        <x:v>YES</x:v>
      </x:c>
      <x:c r="F2884" s="61" t="n">
        <x:v>3507.925193243491</x:v>
      </x:c>
      <x:c r="G2884" s="61" t="n">
        <x:v>130.22643409267118</x:v>
      </x:c>
      <x:c r="H2884" s="27" t="str">
        <x:v>NO</x:v>
      </x:c>
      <x:c r="I2884" s="27" t="str">
        <x:v>observed water terminals; maritime great-circle screen</x:v>
      </x:c>
      <x:c r="J2884" s="27" t="str">
        <x:v>presence does not prove operability or capacity</x:v>
      </x:c>
    </x:row>
    <x:row r="2885" ht="54" hidden="0" customHeight="1">
      <x:c r="A2885" s="29" t="str">
        <x:v>SCA-24</x:v>
      </x:c>
      <x:c r="B2885" s="29" t="str">
        <x:v>SCA-08</x:v>
      </x:c>
      <x:c r="C2885" s="29" t="str">
        <x:v>Road</x:v>
      </x:c>
      <x:c r="D2885" s="29" t="str">
        <x:v>YES</x:v>
      </x:c>
      <x:c r="E2885" s="29" t="str">
        <x:v>YES</x:v>
      </x:c>
      <x:c r="F2885" s="62" t="n">
        <x:v>2942.77416666484</x:v>
      </x:c>
      <x:c r="G2885" s="62" t="n">
        <x:v>73.50498484845164</x:v>
      </x:c>
      <x:c r="H2885" s="29" t="str">
        <x:v>NO</x:v>
      </x:c>
      <x:c r="I2885" s="29" t="str">
        <x:v>NHPN-gated shared-boundary SCA path</x:v>
      </x:c>
      <x:c r="J2885" s="29" t="str">
        <x:v>presence does not prove operability or capacity</x:v>
      </x:c>
    </x:row>
    <x:row r="2886" ht="64.80000305175781" hidden="0" customHeight="1">
      <x:c r="A2886" s="27" t="str">
        <x:v>SCA-24</x:v>
      </x:c>
      <x:c r="B2886" s="27" t="str">
        <x:v>SCA-08</x:v>
      </x:c>
      <x:c r="C2886" s="27" t="str">
        <x:v>Rail</x:v>
      </x:c>
      <x:c r="D2886" s="27" t="str">
        <x:v>YES</x:v>
      </x:c>
      <x:c r="E2886" s="27" t="str">
        <x:v>YES</x:v>
      </x:c>
      <x:c r="F2886" s="61" t="n">
        <x:v>3121.8995507226996</x:v>
      </x:c>
      <x:c r="G2886" s="61" t="n">
        <x:v>70.59856501032428</x:v>
      </x:c>
      <x:c r="H2886" s="27" t="str">
        <x:v>YES</x:v>
      </x:c>
      <x:c r="I2886" s="27" t="str">
        <x:v>NARN shared-node topology; deployable terminal required</x:v>
      </x:c>
      <x:c r="J2886" s="27" t="str">
        <x:v>presence does not prove operability or capacity</x:v>
      </x:c>
    </x:row>
    <x:row r="2887" ht="54" hidden="0" customHeight="1">
      <x:c r="A2887" s="29" t="str">
        <x:v>SCA-24</x:v>
      </x:c>
      <x:c r="B2887" s="29" t="str">
        <x:v>SCA-08</x:v>
      </x:c>
      <x:c r="C2887" s="29" t="str">
        <x:v>Air</x:v>
      </x:c>
      <x:c r="D2887" s="29" t="str">
        <x:v>YES</x:v>
      </x:c>
      <x:c r="E2887" s="29" t="str">
        <x:v>YES</x:v>
      </x:c>
      <x:c r="F2887" s="62" t="n">
        <x:v>2508.751046068208</x:v>
      </x:c>
      <x:c r="G2887" s="62" t="n">
        <x:v>27.85961699395109</x:v>
      </x:c>
      <x:c r="H2887" s="29" t="str">
        <x:v>YES</x:v>
      </x:c>
      <x:c r="I2887" s="29" t="str">
        <x:v>primary-airport endpoints; great-circle screen</x:v>
      </x:c>
      <x:c r="J2887" s="29" t="str">
        <x:v>presence does not prove operability or capacity</x:v>
      </x:c>
    </x:row>
    <x:row r="2888" ht="75.5999984741211" hidden="0" customHeight="1">
      <x:c r="A2888" s="27" t="str">
        <x:v>SCA-24</x:v>
      </x:c>
      <x:c r="B2888" s="27" t="str">
        <x:v>SCA-08</x:v>
      </x:c>
      <x:c r="C2888" s="27" t="str">
        <x:v>Water</x:v>
      </x:c>
      <x:c r="D2888" s="27" t="str">
        <x:v>YES</x:v>
      </x:c>
      <x:c r="E2888" s="27" t="str">
        <x:v>YES</x:v>
      </x:c>
      <x:c r="F2888" s="61" t="n">
        <x:v>9964.407508496803</x:v>
      </x:c>
      <x:c r="G2888" s="61" t="n">
        <x:v>314.6973573856229</x:v>
      </x:c>
      <x:c r="H2888" s="27" t="str">
        <x:v>NO</x:v>
      </x:c>
      <x:c r="I2888" s="27" t="str">
        <x:v>USACE waterway node topology; deployable terminal required</x:v>
      </x:c>
      <x:c r="J2888" s="27" t="str">
        <x:v>presence does not prove operability or capacity</x:v>
      </x:c>
    </x:row>
    <x:row r="2889" ht="54" hidden="0" customHeight="1">
      <x:c r="A2889" s="29" t="str">
        <x:v>SCA-24</x:v>
      </x:c>
      <x:c r="B2889" s="29" t="str">
        <x:v>SCA-09</x:v>
      </x:c>
      <x:c r="C2889" s="29" t="str">
        <x:v>Road</x:v>
      </x:c>
      <x:c r="D2889" s="29" t="str">
        <x:v>YES</x:v>
      </x:c>
      <x:c r="E2889" s="29" t="str">
        <x:v>YES</x:v>
      </x:c>
      <x:c r="F2889" s="62" t="n">
        <x:v>3366.372232399174</x:v>
      </x:c>
      <x:c r="G2889" s="62" t="n">
        <x:v>81.20676786180317</x:v>
      </x:c>
      <x:c r="H2889" s="29" t="str">
        <x:v>NO</x:v>
      </x:c>
      <x:c r="I2889" s="29" t="str">
        <x:v>NHPN-gated shared-boundary SCA path</x:v>
      </x:c>
      <x:c r="J2889" s="29" t="str">
        <x:v>presence does not prove operability or capacity</x:v>
      </x:c>
    </x:row>
    <x:row r="2890" ht="64.80000305175781" hidden="0" customHeight="1">
      <x:c r="A2890" s="27" t="str">
        <x:v>SCA-24</x:v>
      </x:c>
      <x:c r="B2890" s="27" t="str">
        <x:v>SCA-09</x:v>
      </x:c>
      <x:c r="C2890" s="27" t="str">
        <x:v>Rail</x:v>
      </x:c>
      <x:c r="D2890" s="27" t="str">
        <x:v>YES</x:v>
      </x:c>
      <x:c r="E2890" s="27" t="str">
        <x:v>YES</x:v>
      </x:c>
      <x:c r="F2890" s="61" t="n">
        <x:v>3867.321202289464</x:v>
      </x:c>
      <x:c r="G2890" s="61" t="n">
        <x:v>81.24744574699234</x:v>
      </x:c>
      <x:c r="H2890" s="27" t="str">
        <x:v>NO</x:v>
      </x:c>
      <x:c r="I2890" s="27" t="str">
        <x:v>NARN shared-node topology; deployable terminal required</x:v>
      </x:c>
      <x:c r="J2890" s="27" t="str">
        <x:v>presence does not prove operability or capacity</x:v>
      </x:c>
    </x:row>
    <x:row r="2891" ht="54" hidden="0" customHeight="1">
      <x:c r="A2891" s="29" t="str">
        <x:v>SCA-24</x:v>
      </x:c>
      <x:c r="B2891" s="29" t="str">
        <x:v>SCA-09</x:v>
      </x:c>
      <x:c r="C2891" s="29" t="str">
        <x:v>Air</x:v>
      </x:c>
      <x:c r="D2891" s="29" t="str">
        <x:v>YES</x:v>
      </x:c>
      <x:c r="E2891" s="29" t="str">
        <x:v>YES</x:v>
      </x:c>
      <x:c r="F2891" s="62" t="n">
        <x:v>2675.49689619561</x:v>
      </x:c>
      <x:c r="G2891" s="62" t="n">
        <x:v>28.11614907107017</x:v>
      </x:c>
      <x:c r="H2891" s="29" t="str">
        <x:v>YES</x:v>
      </x:c>
      <x:c r="I2891" s="29" t="str">
        <x:v>primary-airport endpoints; great-circle screen</x:v>
      </x:c>
      <x:c r="J2891" s="29" t="str">
        <x:v>presence does not prove operability or capacity</x:v>
      </x:c>
    </x:row>
    <x:row r="2892" ht="54" hidden="0" customHeight="1">
      <x:c r="A2892" s="27" t="str">
        <x:v>SCA-24</x:v>
      </x:c>
      <x:c r="B2892" s="27" t="str">
        <x:v>SCA-09</x:v>
      </x:c>
      <x:c r="C2892" s="27" t="str">
        <x:v>Water</x:v>
      </x:c>
      <x:c r="D2892" s="27" t="str">
        <x:v>NO</x:v>
      </x:c>
      <x:c r="E2892" s="27" t="str">
        <x:v>NO</x:v>
      </x:c>
      <x:c r="F2892" s="61"/>
      <x:c r="G2892" s="61"/>
      <x:c r="H2892" s="27" t="str">
        <x:v>NO</x:v>
      </x:c>
      <x:c r="I2892" s="27" t="str">
        <x:v>no screened path</x:v>
      </x:c>
      <x:c r="J2892" s="27" t="str">
        <x:v>presence does not prove operability or capacity</x:v>
      </x:c>
    </x:row>
    <x:row r="2893" ht="54" hidden="0" customHeight="1">
      <x:c r="A2893" s="29" t="str">
        <x:v>SCA-24</x:v>
      </x:c>
      <x:c r="B2893" s="29" t="str">
        <x:v>SCA-10</x:v>
      </x:c>
      <x:c r="C2893" s="29" t="str">
        <x:v>Road</x:v>
      </x:c>
      <x:c r="D2893" s="29" t="str">
        <x:v>YES</x:v>
      </x:c>
      <x:c r="E2893" s="29" t="str">
        <x:v>YES</x:v>
      </x:c>
      <x:c r="F2893" s="62" t="n">
        <x:v>2946.553853186802</x:v>
      </x:c>
      <x:c r="G2893" s="62" t="n">
        <x:v>73.57370642157821</x:v>
      </x:c>
      <x:c r="H2893" s="29" t="str">
        <x:v>NO</x:v>
      </x:c>
      <x:c r="I2893" s="29" t="str">
        <x:v>NHPN-gated shared-boundary SCA path</x:v>
      </x:c>
      <x:c r="J2893" s="29" t="str">
        <x:v>presence does not prove operability or capacity</x:v>
      </x:c>
    </x:row>
    <x:row r="2894" ht="64.80000305175781" hidden="0" customHeight="1">
      <x:c r="A2894" s="27" t="str">
        <x:v>SCA-24</x:v>
      </x:c>
      <x:c r="B2894" s="27" t="str">
        <x:v>SCA-10</x:v>
      </x:c>
      <x:c r="C2894" s="27" t="str">
        <x:v>Rail</x:v>
      </x:c>
      <x:c r="D2894" s="27" t="str">
        <x:v>YES</x:v>
      </x:c>
      <x:c r="E2894" s="27" t="str">
        <x:v>YES</x:v>
      </x:c>
      <x:c r="F2894" s="61" t="n">
        <x:v>3125.9093051199116</x:v>
      </x:c>
      <x:c r="G2894" s="61" t="n">
        <x:v>70.65584721599873</x:v>
      </x:c>
      <x:c r="H2894" s="27" t="str">
        <x:v>YES</x:v>
      </x:c>
      <x:c r="I2894" s="27" t="str">
        <x:v>NARN shared-node topology; deployable terminal required</x:v>
      </x:c>
      <x:c r="J2894" s="27" t="str">
        <x:v>presence does not prove operability or capacity</x:v>
      </x:c>
    </x:row>
    <x:row r="2895" ht="54" hidden="0" customHeight="1">
      <x:c r="A2895" s="29" t="str">
        <x:v>SCA-24</x:v>
      </x:c>
      <x:c r="B2895" s="29" t="str">
        <x:v>SCA-10</x:v>
      </x:c>
      <x:c r="C2895" s="29" t="str">
        <x:v>Air</x:v>
      </x:c>
      <x:c r="D2895" s="29" t="str">
        <x:v>YES</x:v>
      </x:c>
      <x:c r="E2895" s="29" t="str">
        <x:v>YES</x:v>
      </x:c>
      <x:c r="F2895" s="62" t="n">
        <x:v>2277.590006398683</x:v>
      </x:c>
      <x:c r="G2895" s="62" t="n">
        <x:v>27.503984625228743</x:v>
      </x:c>
      <x:c r="H2895" s="29" t="str">
        <x:v>YES</x:v>
      </x:c>
      <x:c r="I2895" s="29" t="str">
        <x:v>primary-airport endpoints; great-circle screen</x:v>
      </x:c>
      <x:c r="J2895" s="29" t="str">
        <x:v>presence does not prove operability or capacity</x:v>
      </x:c>
    </x:row>
    <x:row r="2896" ht="54" hidden="0" customHeight="1">
      <x:c r="A2896" s="27" t="str">
        <x:v>SCA-24</x:v>
      </x:c>
      <x:c r="B2896" s="27" t="str">
        <x:v>SCA-10</x:v>
      </x:c>
      <x:c r="C2896" s="27" t="str">
        <x:v>Water</x:v>
      </x:c>
      <x:c r="D2896" s="27" t="str">
        <x:v>NO</x:v>
      </x:c>
      <x:c r="E2896" s="27" t="str">
        <x:v>NO</x:v>
      </x:c>
      <x:c r="F2896" s="61"/>
      <x:c r="G2896" s="61"/>
      <x:c r="H2896" s="27" t="str">
        <x:v>NO</x:v>
      </x:c>
      <x:c r="I2896" s="27" t="str">
        <x:v>no screened path</x:v>
      </x:c>
      <x:c r="J2896" s="27" t="str">
        <x:v>presence does not prove operability or capacity</x:v>
      </x:c>
    </x:row>
    <x:row r="2897" ht="54" hidden="0" customHeight="1">
      <x:c r="A2897" s="29" t="str">
        <x:v>SCA-24</x:v>
      </x:c>
      <x:c r="B2897" s="29" t="str">
        <x:v>SCA-11</x:v>
      </x:c>
      <x:c r="C2897" s="29" t="str">
        <x:v>Road</x:v>
      </x:c>
      <x:c r="D2897" s="29" t="str">
        <x:v>YES</x:v>
      </x:c>
      <x:c r="E2897" s="29" t="str">
        <x:v>YES</x:v>
      </x:c>
      <x:c r="F2897" s="62" t="n">
        <x:v>2893.673371999966</x:v>
      </x:c>
      <x:c r="G2897" s="62" t="n">
        <x:v>72.61224312727211</x:v>
      </x:c>
      <x:c r="H2897" s="29" t="str">
        <x:v>NO</x:v>
      </x:c>
      <x:c r="I2897" s="29" t="str">
        <x:v>NHPN-gated shared-boundary SCA path</x:v>
      </x:c>
      <x:c r="J2897" s="29" t="str">
        <x:v>presence does not prove operability or capacity</x:v>
      </x:c>
    </x:row>
    <x:row r="2898" ht="64.80000305175781" hidden="0" customHeight="1">
      <x:c r="A2898" s="27" t="str">
        <x:v>SCA-24</x:v>
      </x:c>
      <x:c r="B2898" s="27" t="str">
        <x:v>SCA-11</x:v>
      </x:c>
      <x:c r="C2898" s="27" t="str">
        <x:v>Rail</x:v>
      </x:c>
      <x:c r="D2898" s="27" t="str">
        <x:v>YES</x:v>
      </x:c>
      <x:c r="E2898" s="27" t="str">
        <x:v>YES</x:v>
      </x:c>
      <x:c r="F2898" s="61" t="n">
        <x:v>3069.8100120347467</x:v>
      </x:c>
      <x:c r="G2898" s="61" t="n">
        <x:v>69.85442874335352</x:v>
      </x:c>
      <x:c r="H2898" s="27" t="str">
        <x:v>YES</x:v>
      </x:c>
      <x:c r="I2898" s="27" t="str">
        <x:v>NARN shared-node topology; deployable terminal required</x:v>
      </x:c>
      <x:c r="J2898" s="27" t="str">
        <x:v>presence does not prove operability or capacity</x:v>
      </x:c>
    </x:row>
    <x:row r="2899" ht="54" hidden="0" customHeight="1">
      <x:c r="A2899" s="29" t="str">
        <x:v>SCA-24</x:v>
      </x:c>
      <x:c r="B2899" s="29" t="str">
        <x:v>SCA-11</x:v>
      </x:c>
      <x:c r="C2899" s="29" t="str">
        <x:v>Air</x:v>
      </x:c>
      <x:c r="D2899" s="29" t="str">
        <x:v>YES</x:v>
      </x:c>
      <x:c r="E2899" s="29" t="str">
        <x:v>YES</x:v>
      </x:c>
      <x:c r="F2899" s="62" t="n">
        <x:v>2125.6604473933144</x:v>
      </x:c>
      <x:c r="G2899" s="62" t="n">
        <x:v>27.27024684214356</x:v>
      </x:c>
      <x:c r="H2899" s="29" t="str">
        <x:v>YES</x:v>
      </x:c>
      <x:c r="I2899" s="29" t="str">
        <x:v>primary-airport endpoints; great-circle screen</x:v>
      </x:c>
      <x:c r="J2899" s="29" t="str">
        <x:v>presence does not prove operability or capacity</x:v>
      </x:c>
    </x:row>
    <x:row r="2900" ht="54" hidden="0" customHeight="1">
      <x:c r="A2900" s="27" t="str">
        <x:v>SCA-24</x:v>
      </x:c>
      <x:c r="B2900" s="27" t="str">
        <x:v>SCA-11</x:v>
      </x:c>
      <x:c r="C2900" s="27" t="str">
        <x:v>Water</x:v>
      </x:c>
      <x:c r="D2900" s="27" t="str">
        <x:v>NO</x:v>
      </x:c>
      <x:c r="E2900" s="27" t="str">
        <x:v>NO</x:v>
      </x:c>
      <x:c r="F2900" s="61"/>
      <x:c r="G2900" s="61"/>
      <x:c r="H2900" s="27" t="str">
        <x:v>NO</x:v>
      </x:c>
      <x:c r="I2900" s="27" t="str">
        <x:v>no screened path</x:v>
      </x:c>
      <x:c r="J2900" s="27" t="str">
        <x:v>presence does not prove operability or capacity</x:v>
      </x:c>
    </x:row>
    <x:row r="2901" ht="54" hidden="0" customHeight="1">
      <x:c r="A2901" s="29" t="str">
        <x:v>SCA-24</x:v>
      </x:c>
      <x:c r="B2901" s="29" t="str">
        <x:v>SCA-12</x:v>
      </x:c>
      <x:c r="C2901" s="29" t="str">
        <x:v>Road</x:v>
      </x:c>
      <x:c r="D2901" s="29" t="str">
        <x:v>YES</x:v>
      </x:c>
      <x:c r="E2901" s="29" t="str">
        <x:v>YES</x:v>
      </x:c>
      <x:c r="F2901" s="62" t="n">
        <x:v>2270.2958909403596</x:v>
      </x:c>
      <x:c r="G2901" s="62" t="n">
        <x:v>61.27810710800654</x:v>
      </x:c>
      <x:c r="H2901" s="29" t="str">
        <x:v>YES</x:v>
      </x:c>
      <x:c r="I2901" s="29" t="str">
        <x:v>NHPN-gated shared-boundary SCA path</x:v>
      </x:c>
      <x:c r="J2901" s="29" t="str">
        <x:v>presence does not prove operability or capacity</x:v>
      </x:c>
    </x:row>
    <x:row r="2902" ht="64.80000305175781" hidden="0" customHeight="1">
      <x:c r="A2902" s="27" t="str">
        <x:v>SCA-24</x:v>
      </x:c>
      <x:c r="B2902" s="27" t="str">
        <x:v>SCA-12</x:v>
      </x:c>
      <x:c r="C2902" s="27" t="str">
        <x:v>Rail</x:v>
      </x:c>
      <x:c r="D2902" s="27" t="str">
        <x:v>YES</x:v>
      </x:c>
      <x:c r="E2902" s="27" t="str">
        <x:v>YES</x:v>
      </x:c>
      <x:c r="F2902" s="61" t="n">
        <x:v>2408.487814736729</x:v>
      </x:c>
      <x:c r="G2902" s="61" t="n">
        <x:v>60.406968781953275</x:v>
      </x:c>
      <x:c r="H2902" s="27" t="str">
        <x:v>YES</x:v>
      </x:c>
      <x:c r="I2902" s="27" t="str">
        <x:v>NARN shared-node topology; deployable terminal required</x:v>
      </x:c>
      <x:c r="J2902" s="27" t="str">
        <x:v>presence does not prove operability or capacity</x:v>
      </x:c>
    </x:row>
    <x:row r="2903" ht="54" hidden="0" customHeight="1">
      <x:c r="A2903" s="29" t="str">
        <x:v>SCA-24</x:v>
      </x:c>
      <x:c r="B2903" s="29" t="str">
        <x:v>SCA-12</x:v>
      </x:c>
      <x:c r="C2903" s="29" t="str">
        <x:v>Air</x:v>
      </x:c>
      <x:c r="D2903" s="29" t="str">
        <x:v>YES</x:v>
      </x:c>
      <x:c r="E2903" s="29" t="str">
        <x:v>YES</x:v>
      </x:c>
      <x:c r="F2903" s="62" t="n">
        <x:v>1792.4071998186919</x:v>
      </x:c>
      <x:c r="G2903" s="62" t="n">
        <x:v>26.7575495381826</x:v>
      </x:c>
      <x:c r="H2903" s="29" t="str">
        <x:v>YES</x:v>
      </x:c>
      <x:c r="I2903" s="29" t="str">
        <x:v>primary-airport endpoints; great-circle screen</x:v>
      </x:c>
      <x:c r="J2903" s="29" t="str">
        <x:v>presence does not prove operability or capacity</x:v>
      </x:c>
    </x:row>
    <x:row r="2904" ht="54" hidden="0" customHeight="1">
      <x:c r="A2904" s="27" t="str">
        <x:v>SCA-24</x:v>
      </x:c>
      <x:c r="B2904" s="27" t="str">
        <x:v>SCA-12</x:v>
      </x:c>
      <x:c r="C2904" s="27" t="str">
        <x:v>Water</x:v>
      </x:c>
      <x:c r="D2904" s="27" t="str">
        <x:v>NO</x:v>
      </x:c>
      <x:c r="E2904" s="27" t="str">
        <x:v>NO</x:v>
      </x:c>
      <x:c r="F2904" s="61"/>
      <x:c r="G2904" s="61"/>
      <x:c r="H2904" s="27" t="str">
        <x:v>NO</x:v>
      </x:c>
      <x:c r="I2904" s="27" t="str">
        <x:v>no screened path</x:v>
      </x:c>
      <x:c r="J2904" s="27" t="str">
        <x:v>presence does not prove operability or capacity</x:v>
      </x:c>
    </x:row>
    <x:row r="2905" ht="54" hidden="0" customHeight="1">
      <x:c r="A2905" s="29" t="str">
        <x:v>SCA-24</x:v>
      </x:c>
      <x:c r="B2905" s="29" t="str">
        <x:v>SCA-13</x:v>
      </x:c>
      <x:c r="C2905" s="29" t="str">
        <x:v>Road</x:v>
      </x:c>
      <x:c r="D2905" s="29" t="str">
        <x:v>NO</x:v>
      </x:c>
      <x:c r="E2905" s="29" t="str">
        <x:v>NO</x:v>
      </x:c>
      <x:c r="F2905" s="62"/>
      <x:c r="G2905" s="62"/>
      <x:c r="H2905" s="29" t="str">
        <x:v>NO</x:v>
      </x:c>
      <x:c r="I2905" s="29" t="str">
        <x:v>no screened path</x:v>
      </x:c>
      <x:c r="J2905" s="29" t="str">
        <x:v>presence does not prove operability or capacity</x:v>
      </x:c>
    </x:row>
    <x:row r="2906" ht="64.80000305175781" hidden="0" customHeight="1">
      <x:c r="A2906" s="27" t="str">
        <x:v>SCA-24</x:v>
      </x:c>
      <x:c r="B2906" s="27" t="str">
        <x:v>SCA-13</x:v>
      </x:c>
      <x:c r="C2906" s="27" t="str">
        <x:v>Rail</x:v>
      </x:c>
      <x:c r="D2906" s="27" t="str">
        <x:v>YES</x:v>
      </x:c>
      <x:c r="E2906" s="27" t="str">
        <x:v>YES</x:v>
      </x:c>
      <x:c r="F2906" s="61" t="n">
        <x:v>2533.2801649776566</x:v>
      </x:c>
      <x:c r="G2906" s="61" t="n">
        <x:v>62.18971664253795</x:v>
      </x:c>
      <x:c r="H2906" s="27" t="str">
        <x:v>YES</x:v>
      </x:c>
      <x:c r="I2906" s="27" t="str">
        <x:v>NARN shared-node topology; deployable terminal required</x:v>
      </x:c>
      <x:c r="J2906" s="27" t="str">
        <x:v>presence does not prove operability or capacity</x:v>
      </x:c>
    </x:row>
    <x:row r="2907" ht="54" hidden="0" customHeight="1">
      <x:c r="A2907" s="29" t="str">
        <x:v>SCA-24</x:v>
      </x:c>
      <x:c r="B2907" s="29" t="str">
        <x:v>SCA-13</x:v>
      </x:c>
      <x:c r="C2907" s="29" t="str">
        <x:v>Air</x:v>
      </x:c>
      <x:c r="D2907" s="29" t="str">
        <x:v>YES</x:v>
      </x:c>
      <x:c r="E2907" s="29" t="str">
        <x:v>YES</x:v>
      </x:c>
      <x:c r="F2907" s="62" t="n">
        <x:v>1882.2415850108794</x:v>
      </x:c>
      <x:c r="G2907" s="62" t="n">
        <x:v>26.89575628463212</x:v>
      </x:c>
      <x:c r="H2907" s="29" t="str">
        <x:v>YES</x:v>
      </x:c>
      <x:c r="I2907" s="29" t="str">
        <x:v>primary-airport endpoints; great-circle screen</x:v>
      </x:c>
      <x:c r="J2907" s="29" t="str">
        <x:v>presence does not prove operability or capacity</x:v>
      </x:c>
    </x:row>
    <x:row r="2908" ht="75.5999984741211" hidden="0" customHeight="1">
      <x:c r="A2908" s="27" t="str">
        <x:v>SCA-24</x:v>
      </x:c>
      <x:c r="B2908" s="27" t="str">
        <x:v>SCA-13</x:v>
      </x:c>
      <x:c r="C2908" s="27" t="str">
        <x:v>Water</x:v>
      </x:c>
      <x:c r="D2908" s="27" t="str">
        <x:v>YES</x:v>
      </x:c>
      <x:c r="E2908" s="27" t="str">
        <x:v>YES</x:v>
      </x:c>
      <x:c r="F2908" s="61" t="n">
        <x:v>2946.1583690162524</x:v>
      </x:c>
      <x:c r="G2908" s="61" t="n">
        <x:v>114.17595340046435</x:v>
      </x:c>
      <x:c r="H2908" s="27" t="str">
        <x:v>NO</x:v>
      </x:c>
      <x:c r="I2908" s="27" t="str">
        <x:v>USACE waterway node topology; deployable terminal required</x:v>
      </x:c>
      <x:c r="J2908" s="27" t="str">
        <x:v>presence does not prove operability or capacity</x:v>
      </x:c>
    </x:row>
    <x:row r="2909" ht="54" hidden="0" customHeight="1">
      <x:c r="A2909" s="29" t="str">
        <x:v>SCA-24</x:v>
      </x:c>
      <x:c r="B2909" s="29" t="str">
        <x:v>SCA-14</x:v>
      </x:c>
      <x:c r="C2909" s="29" t="str">
        <x:v>Road</x:v>
      </x:c>
      <x:c r="D2909" s="29" t="str">
        <x:v>NO</x:v>
      </x:c>
      <x:c r="E2909" s="29" t="str">
        <x:v>NO</x:v>
      </x:c>
      <x:c r="F2909" s="62"/>
      <x:c r="G2909" s="62"/>
      <x:c r="H2909" s="29" t="str">
        <x:v>NO</x:v>
      </x:c>
      <x:c r="I2909" s="29" t="str">
        <x:v>no screened path</x:v>
      </x:c>
      <x:c r="J2909" s="29" t="str">
        <x:v>presence does not prove operability or capacity</x:v>
      </x:c>
    </x:row>
    <x:row r="2910" ht="64.80000305175781" hidden="0" customHeight="1">
      <x:c r="A2910" s="27" t="str">
        <x:v>SCA-24</x:v>
      </x:c>
      <x:c r="B2910" s="27" t="str">
        <x:v>SCA-14</x:v>
      </x:c>
      <x:c r="C2910" s="27" t="str">
        <x:v>Rail</x:v>
      </x:c>
      <x:c r="D2910" s="27" t="str">
        <x:v>YES</x:v>
      </x:c>
      <x:c r="E2910" s="27" t="str">
        <x:v>YES</x:v>
      </x:c>
      <x:c r="F2910" s="61" t="n">
        <x:v>2961.4097934533747</x:v>
      </x:c>
      <x:c r="G2910" s="61" t="n">
        <x:v>68.30585419219108</x:v>
      </x:c>
      <x:c r="H2910" s="27" t="str">
        <x:v>YES</x:v>
      </x:c>
      <x:c r="I2910" s="27" t="str">
        <x:v>NARN shared-node topology; deployable terminal required</x:v>
      </x:c>
      <x:c r="J2910" s="27" t="str">
        <x:v>presence does not prove operability or capacity</x:v>
      </x:c>
    </x:row>
    <x:row r="2911" ht="54" hidden="0" customHeight="1">
      <x:c r="A2911" s="29" t="str">
        <x:v>SCA-24</x:v>
      </x:c>
      <x:c r="B2911" s="29" t="str">
        <x:v>SCA-14</x:v>
      </x:c>
      <x:c r="C2911" s="29" t="str">
        <x:v>Air</x:v>
      </x:c>
      <x:c r="D2911" s="29" t="str">
        <x:v>YES</x:v>
      </x:c>
      <x:c r="E2911" s="29" t="str">
        <x:v>YES</x:v>
      </x:c>
      <x:c r="F2911" s="62" t="n">
        <x:v>2161.9977174227574</x:v>
      </x:c>
      <x:c r="G2911" s="62" t="n">
        <x:v>27.32615033449655</x:v>
      </x:c>
      <x:c r="H2911" s="29" t="str">
        <x:v>YES</x:v>
      </x:c>
      <x:c r="I2911" s="29" t="str">
        <x:v>primary-airport endpoints; great-circle screen</x:v>
      </x:c>
      <x:c r="J2911" s="29" t="str">
        <x:v>presence does not prove operability or capacity</x:v>
      </x:c>
    </x:row>
    <x:row r="2912" ht="75.5999984741211" hidden="0" customHeight="1">
      <x:c r="A2912" s="27" t="str">
        <x:v>SCA-24</x:v>
      </x:c>
      <x:c r="B2912" s="27" t="str">
        <x:v>SCA-14</x:v>
      </x:c>
      <x:c r="C2912" s="27" t="str">
        <x:v>Water</x:v>
      </x:c>
      <x:c r="D2912" s="27" t="str">
        <x:v>YES</x:v>
      </x:c>
      <x:c r="E2912" s="27" t="str">
        <x:v>YES</x:v>
      </x:c>
      <x:c r="F2912" s="61" t="n">
        <x:v>3126.991813122231</x:v>
      </x:c>
      <x:c r="G2912" s="61" t="n">
        <x:v>119.34262323206374</x:v>
      </x:c>
      <x:c r="H2912" s="27" t="str">
        <x:v>NO</x:v>
      </x:c>
      <x:c r="I2912" s="27" t="str">
        <x:v>USACE waterway node topology; deployable terminal required</x:v>
      </x:c>
      <x:c r="J2912" s="27" t="str">
        <x:v>presence does not prove operability or capacity</x:v>
      </x:c>
    </x:row>
    <x:row r="2913" ht="54" hidden="0" customHeight="1">
      <x:c r="A2913" s="29" t="str">
        <x:v>SCA-24</x:v>
      </x:c>
      <x:c r="B2913" s="29" t="str">
        <x:v>SCA-15</x:v>
      </x:c>
      <x:c r="C2913" s="29" t="str">
        <x:v>Road</x:v>
      </x:c>
      <x:c r="D2913" s="29" t="str">
        <x:v>YES</x:v>
      </x:c>
      <x:c r="E2913" s="29" t="str">
        <x:v>YES</x:v>
      </x:c>
      <x:c r="F2913" s="62" t="n">
        <x:v>1988.2957035355291</x:v>
      </x:c>
      <x:c r="G2913" s="62" t="n">
        <x:v>56.15083097337326</x:v>
      </x:c>
      <x:c r="H2913" s="29" t="str">
        <x:v>YES</x:v>
      </x:c>
      <x:c r="I2913" s="29" t="str">
        <x:v>NHPN-gated shared-boundary SCA path</x:v>
      </x:c>
      <x:c r="J2913" s="29" t="str">
        <x:v>presence does not prove operability or capacity</x:v>
      </x:c>
    </x:row>
    <x:row r="2914" ht="64.80000305175781" hidden="0" customHeight="1">
      <x:c r="A2914" s="27" t="str">
        <x:v>SCA-24</x:v>
      </x:c>
      <x:c r="B2914" s="27" t="str">
        <x:v>SCA-15</x:v>
      </x:c>
      <x:c r="C2914" s="27" t="str">
        <x:v>Rail</x:v>
      </x:c>
      <x:c r="D2914" s="27" t="str">
        <x:v>YES</x:v>
      </x:c>
      <x:c r="E2914" s="27" t="str">
        <x:v>YES</x:v>
      </x:c>
      <x:c r="F2914" s="61" t="n">
        <x:v>2109.322398533344</x:v>
      </x:c>
      <x:c r="G2914" s="61" t="n">
        <x:v>56.13317712190491</x:v>
      </x:c>
      <x:c r="H2914" s="27" t="str">
        <x:v>YES</x:v>
      </x:c>
      <x:c r="I2914" s="27" t="str">
        <x:v>NARN shared-node topology; deployable terminal required</x:v>
      </x:c>
      <x:c r="J2914" s="27" t="str">
        <x:v>presence does not prove operability or capacity</x:v>
      </x:c>
    </x:row>
    <x:row r="2915" ht="54" hidden="0" customHeight="1">
      <x:c r="A2915" s="29" t="str">
        <x:v>SCA-24</x:v>
      </x:c>
      <x:c r="B2915" s="29" t="str">
        <x:v>SCA-15</x:v>
      </x:c>
      <x:c r="C2915" s="29" t="str">
        <x:v>Air</x:v>
      </x:c>
      <x:c r="D2915" s="29" t="str">
        <x:v>YES</x:v>
      </x:c>
      <x:c r="E2915" s="29" t="str">
        <x:v>YES</x:v>
      </x:c>
      <x:c r="F2915" s="62" t="n">
        <x:v>1535.0915731170667</x:v>
      </x:c>
      <x:c r="G2915" s="62" t="n">
        <x:v>26.361679343257027</x:v>
      </x:c>
      <x:c r="H2915" s="29" t="str">
        <x:v>YES</x:v>
      </x:c>
      <x:c r="I2915" s="29" t="str">
        <x:v>primary-airport endpoints; great-circle screen</x:v>
      </x:c>
      <x:c r="J2915" s="29" t="str">
        <x:v>presence does not prove operability or capacity</x:v>
      </x:c>
    </x:row>
    <x:row r="2916" ht="75.5999984741211" hidden="0" customHeight="1">
      <x:c r="A2916" s="27" t="str">
        <x:v>SCA-24</x:v>
      </x:c>
      <x:c r="B2916" s="27" t="str">
        <x:v>SCA-15</x:v>
      </x:c>
      <x:c r="C2916" s="27" t="str">
        <x:v>Water</x:v>
      </x:c>
      <x:c r="D2916" s="27" t="str">
        <x:v>YES</x:v>
      </x:c>
      <x:c r="E2916" s="27" t="str">
        <x:v>YES</x:v>
      </x:c>
      <x:c r="F2916" s="61" t="n">
        <x:v>2331.0238889361394</x:v>
      </x:c>
      <x:c r="G2916" s="61" t="n">
        <x:v>96.60068254103255</x:v>
      </x:c>
      <x:c r="H2916" s="27" t="str">
        <x:v>NO</x:v>
      </x:c>
      <x:c r="I2916" s="27" t="str">
        <x:v>USACE waterway node topology; deployable terminal required</x:v>
      </x:c>
      <x:c r="J2916" s="27" t="str">
        <x:v>presence does not prove operability or capacity</x:v>
      </x:c>
    </x:row>
    <x:row r="2917" ht="54" hidden="0" customHeight="1">
      <x:c r="A2917" s="29" t="str">
        <x:v>SCA-24</x:v>
      </x:c>
      <x:c r="B2917" s="29" t="str">
        <x:v>SCA-16</x:v>
      </x:c>
      <x:c r="C2917" s="29" t="str">
        <x:v>Road</x:v>
      </x:c>
      <x:c r="D2917" s="29" t="str">
        <x:v>YES</x:v>
      </x:c>
      <x:c r="E2917" s="29" t="str">
        <x:v>YES</x:v>
      </x:c>
      <x:c r="F2917" s="62" t="n">
        <x:v>1444.252588267157</x:v>
      </x:c>
      <x:c r="G2917" s="62" t="n">
        <x:v>46.25913796849376</x:v>
      </x:c>
      <x:c r="H2917" s="29" t="str">
        <x:v>YES</x:v>
      </x:c>
      <x:c r="I2917" s="29" t="str">
        <x:v>NHPN-gated shared-boundary SCA path</x:v>
      </x:c>
      <x:c r="J2917" s="29" t="str">
        <x:v>presence does not prove operability or capacity</x:v>
      </x:c>
    </x:row>
    <x:row r="2918" ht="64.80000305175781" hidden="0" customHeight="1">
      <x:c r="A2918" s="27" t="str">
        <x:v>SCA-24</x:v>
      </x:c>
      <x:c r="B2918" s="27" t="str">
        <x:v>SCA-16</x:v>
      </x:c>
      <x:c r="C2918" s="27" t="str">
        <x:v>Rail</x:v>
      </x:c>
      <x:c r="D2918" s="27" t="str">
        <x:v>YES</x:v>
      </x:c>
      <x:c r="E2918" s="27" t="str">
        <x:v>YES</x:v>
      </x:c>
      <x:c r="F2918" s="61" t="n">
        <x:v>1532.163615379071</x:v>
      </x:c>
      <x:c r="G2918" s="61" t="n">
        <x:v>47.88805164827244</x:v>
      </x:c>
      <x:c r="H2918" s="27" t="str">
        <x:v>YES</x:v>
      </x:c>
      <x:c r="I2918" s="27" t="str">
        <x:v>NARN shared-node topology; deployable terminal required</x:v>
      </x:c>
      <x:c r="J2918" s="27" t="str">
        <x:v>presence does not prove operability or capacity</x:v>
      </x:c>
    </x:row>
    <x:row r="2919" ht="54" hidden="0" customHeight="1">
      <x:c r="A2919" s="29" t="str">
        <x:v>SCA-24</x:v>
      </x:c>
      <x:c r="B2919" s="29" t="str">
        <x:v>SCA-16</x:v>
      </x:c>
      <x:c r="C2919" s="29" t="str">
        <x:v>Air</x:v>
      </x:c>
      <x:c r="D2919" s="29" t="str">
        <x:v>YES</x:v>
      </x:c>
      <x:c r="E2919" s="29" t="str">
        <x:v>YES</x:v>
      </x:c>
      <x:c r="F2919" s="62" t="n">
        <x:v>1143.853729754412</x:v>
      </x:c>
      <x:c r="G2919" s="62" t="n">
        <x:v>25.75977496885294</x:v>
      </x:c>
      <x:c r="H2919" s="29" t="str">
        <x:v>YES</x:v>
      </x:c>
      <x:c r="I2919" s="29" t="str">
        <x:v>primary-airport endpoints; great-circle screen</x:v>
      </x:c>
      <x:c r="J2919" s="29" t="str">
        <x:v>presence does not prove operability or capacity</x:v>
      </x:c>
    </x:row>
    <x:row r="2920" ht="75.5999984741211" hidden="0" customHeight="1">
      <x:c r="A2920" s="27" t="str">
        <x:v>SCA-24</x:v>
      </x:c>
      <x:c r="B2920" s="27" t="str">
        <x:v>SCA-16</x:v>
      </x:c>
      <x:c r="C2920" s="27" t="str">
        <x:v>Water</x:v>
      </x:c>
      <x:c r="D2920" s="27" t="str">
        <x:v>YES</x:v>
      </x:c>
      <x:c r="E2920" s="27" t="str">
        <x:v>YES</x:v>
      </x:c>
      <x:c r="F2920" s="61" t="n">
        <x:v>1607.51592433214</x:v>
      </x:c>
      <x:c r="G2920" s="61" t="n">
        <x:v>75.92902640948972</x:v>
      </x:c>
      <x:c r="H2920" s="27" t="str">
        <x:v>NO</x:v>
      </x:c>
      <x:c r="I2920" s="27" t="str">
        <x:v>USACE waterway node topology; deployable terminal required</x:v>
      </x:c>
      <x:c r="J2920" s="27" t="str">
        <x:v>presence does not prove operability or capacity</x:v>
      </x:c>
    </x:row>
    <x:row r="2921" ht="54" hidden="0" customHeight="1">
      <x:c r="A2921" s="29" t="str">
        <x:v>SCA-24</x:v>
      </x:c>
      <x:c r="B2921" s="29" t="str">
        <x:v>SCA-17</x:v>
      </x:c>
      <x:c r="C2921" s="29" t="str">
        <x:v>Road</x:v>
      </x:c>
      <x:c r="D2921" s="29" t="str">
        <x:v>YES</x:v>
      </x:c>
      <x:c r="E2921" s="29" t="str">
        <x:v>YES</x:v>
      </x:c>
      <x:c r="F2921" s="62" t="n">
        <x:v>1955.592383418713</x:v>
      </x:c>
      <x:c r="G2921" s="62" t="n">
        <x:v>55.55622515306751</x:v>
      </x:c>
      <x:c r="H2921" s="29" t="str">
        <x:v>YES</x:v>
      </x:c>
      <x:c r="I2921" s="29" t="str">
        <x:v>NHPN-gated shared-boundary SCA path</x:v>
      </x:c>
      <x:c r="J2921" s="29" t="str">
        <x:v>presence does not prove operability or capacity</x:v>
      </x:c>
    </x:row>
    <x:row r="2922" ht="64.80000305175781" hidden="0" customHeight="1">
      <x:c r="A2922" s="27" t="str">
        <x:v>SCA-24</x:v>
      </x:c>
      <x:c r="B2922" s="27" t="str">
        <x:v>SCA-17</x:v>
      </x:c>
      <x:c r="C2922" s="27" t="str">
        <x:v>Rail</x:v>
      </x:c>
      <x:c r="D2922" s="27" t="str">
        <x:v>YES</x:v>
      </x:c>
      <x:c r="E2922" s="27" t="str">
        <x:v>YES</x:v>
      </x:c>
      <x:c r="F2922" s="61" t="n">
        <x:v>2074.628441539852</x:v>
      </x:c>
      <x:c r="G2922" s="61" t="n">
        <x:v>55.63754916485503</x:v>
      </x:c>
      <x:c r="H2922" s="27" t="str">
        <x:v>YES</x:v>
      </x:c>
      <x:c r="I2922" s="27" t="str">
        <x:v>NARN shared-node topology; deployable terminal required</x:v>
      </x:c>
      <x:c r="J2922" s="27" t="str">
        <x:v>presence does not prove operability or capacity</x:v>
      </x:c>
    </x:row>
    <x:row r="2923" ht="54" hidden="0" customHeight="1">
      <x:c r="A2923" s="29" t="str">
        <x:v>SCA-24</x:v>
      </x:c>
      <x:c r="B2923" s="29" t="str">
        <x:v>SCA-17</x:v>
      </x:c>
      <x:c r="C2923" s="29" t="str">
        <x:v>Air</x:v>
      </x:c>
      <x:c r="D2923" s="29" t="str">
        <x:v>YES</x:v>
      </x:c>
      <x:c r="E2923" s="29" t="str">
        <x:v>YES</x:v>
      </x:c>
      <x:c r="F2923" s="62" t="n">
        <x:v>1660.2145744375484</x:v>
      </x:c>
      <x:c r="G2923" s="62" t="n">
        <x:v>26.55417626836546</x:v>
      </x:c>
      <x:c r="H2923" s="29" t="str">
        <x:v>YES</x:v>
      </x:c>
      <x:c r="I2923" s="29" t="str">
        <x:v>primary-airport endpoints; great-circle screen</x:v>
      </x:c>
      <x:c r="J2923" s="29" t="str">
        <x:v>presence does not prove operability or capacity</x:v>
      </x:c>
    </x:row>
    <x:row r="2924" ht="75.5999984741211" hidden="0" customHeight="1">
      <x:c r="A2924" s="27" t="str">
        <x:v>SCA-24</x:v>
      </x:c>
      <x:c r="B2924" s="27" t="str">
        <x:v>SCA-17</x:v>
      </x:c>
      <x:c r="C2924" s="27" t="str">
        <x:v>Water</x:v>
      </x:c>
      <x:c r="D2924" s="27" t="str">
        <x:v>YES</x:v>
      </x:c>
      <x:c r="E2924" s="27" t="str">
        <x:v>YES</x:v>
      </x:c>
      <x:c r="F2924" s="61" t="n">
        <x:v>2464.950003442162</x:v>
      </x:c>
      <x:c r="G2924" s="61" t="n">
        <x:v>100.42714295549035</x:v>
      </x:c>
      <x:c r="H2924" s="27" t="str">
        <x:v>NO</x:v>
      </x:c>
      <x:c r="I2924" s="27" t="str">
        <x:v>USACE waterway node topology; deployable terminal required</x:v>
      </x:c>
      <x:c r="J2924" s="27" t="str">
        <x:v>presence does not prove operability or capacity</x:v>
      </x:c>
    </x:row>
    <x:row r="2925" ht="54" hidden="0" customHeight="1">
      <x:c r="A2925" s="29" t="str">
        <x:v>SCA-24</x:v>
      </x:c>
      <x:c r="B2925" s="29" t="str">
        <x:v>SCA-18</x:v>
      </x:c>
      <x:c r="C2925" s="29" t="str">
        <x:v>Road</x:v>
      </x:c>
      <x:c r="D2925" s="29" t="str">
        <x:v>YES</x:v>
      </x:c>
      <x:c r="E2925" s="29" t="str">
        <x:v>YES</x:v>
      </x:c>
      <x:c r="F2925" s="62" t="n">
        <x:v>1038.8415992689024</x:v>
      </x:c>
      <x:c r="G2925" s="62" t="n">
        <x:v>38.88802907761641</x:v>
      </x:c>
      <x:c r="H2925" s="29" t="str">
        <x:v>YES</x:v>
      </x:c>
      <x:c r="I2925" s="29" t="str">
        <x:v>NHPN-gated shared-boundary SCA path</x:v>
      </x:c>
      <x:c r="J2925" s="29" t="str">
        <x:v>presence does not prove operability or capacity</x:v>
      </x:c>
    </x:row>
    <x:row r="2926" ht="64.80000305175781" hidden="0" customHeight="1">
      <x:c r="A2926" s="27" t="str">
        <x:v>SCA-24</x:v>
      </x:c>
      <x:c r="B2926" s="27" t="str">
        <x:v>SCA-18</x:v>
      </x:c>
      <x:c r="C2926" s="27" t="str">
        <x:v>Rail</x:v>
      </x:c>
      <x:c r="D2926" s="27" t="str">
        <x:v>YES</x:v>
      </x:c>
      <x:c r="E2926" s="27" t="str">
        <x:v>YES</x:v>
      </x:c>
      <x:c r="F2926" s="61" t="n">
        <x:v>1102.0754357461399</x:v>
      </x:c>
      <x:c r="G2926" s="61" t="n">
        <x:v>41.74393479637342</x:v>
      </x:c>
      <x:c r="H2926" s="27" t="str">
        <x:v>YES</x:v>
      </x:c>
      <x:c r="I2926" s="27" t="str">
        <x:v>NARN shared-node topology; deployable terminal required</x:v>
      </x:c>
      <x:c r="J2926" s="27" t="str">
        <x:v>presence does not prove operability or capacity</x:v>
      </x:c>
    </x:row>
    <x:row r="2927" ht="54" hidden="0" customHeight="1">
      <x:c r="A2927" s="29" t="str">
        <x:v>SCA-24</x:v>
      </x:c>
      <x:c r="B2927" s="29" t="str">
        <x:v>SCA-18</x:v>
      </x:c>
      <x:c r="C2927" s="29" t="str">
        <x:v>Air</x:v>
      </x:c>
      <x:c r="D2927" s="29" t="str">
        <x:v>YES</x:v>
      </x:c>
      <x:c r="E2927" s="29" t="str">
        <x:v>YES</x:v>
      </x:c>
      <x:c r="F2927" s="62" t="n">
        <x:v>856.887846063584</x:v>
      </x:c>
      <x:c r="G2927" s="62" t="n">
        <x:v>25.318288993943977</x:v>
      </x:c>
      <x:c r="H2927" s="29" t="str">
        <x:v>YES</x:v>
      </x:c>
      <x:c r="I2927" s="29" t="str">
        <x:v>primary-airport endpoints; great-circle screen</x:v>
      </x:c>
      <x:c r="J2927" s="29" t="str">
        <x:v>presence does not prove operability or capacity</x:v>
      </x:c>
    </x:row>
    <x:row r="2928" ht="75.5999984741211" hidden="0" customHeight="1">
      <x:c r="A2928" s="27" t="str">
        <x:v>SCA-24</x:v>
      </x:c>
      <x:c r="B2928" s="27" t="str">
        <x:v>SCA-18</x:v>
      </x:c>
      <x:c r="C2928" s="27" t="str">
        <x:v>Water</x:v>
      </x:c>
      <x:c r="D2928" s="27" t="str">
        <x:v>YES</x:v>
      </x:c>
      <x:c r="E2928" s="27" t="str">
        <x:v>YES</x:v>
      </x:c>
      <x:c r="F2928" s="61" t="n">
        <x:v>1096.8164429613876</x:v>
      </x:c>
      <x:c r="G2928" s="61" t="n">
        <x:v>61.337612656039646</x:v>
      </x:c>
      <x:c r="H2928" s="27" t="str">
        <x:v>YES</x:v>
      </x:c>
      <x:c r="I2928" s="27" t="str">
        <x:v>USACE waterway node topology; deployable terminal required</x:v>
      </x:c>
      <x:c r="J2928" s="27" t="str">
        <x:v>presence does not prove operability or capacity</x:v>
      </x:c>
    </x:row>
    <x:row r="2929" ht="54" hidden="0" customHeight="1">
      <x:c r="A2929" s="29" t="str">
        <x:v>SCA-24</x:v>
      </x:c>
      <x:c r="B2929" s="29" t="str">
        <x:v>SCA-19</x:v>
      </x:c>
      <x:c r="C2929" s="29" t="str">
        <x:v>Road</x:v>
      </x:c>
      <x:c r="D2929" s="29" t="str">
        <x:v>YES</x:v>
      </x:c>
      <x:c r="E2929" s="29" t="str">
        <x:v>YES</x:v>
      </x:c>
      <x:c r="F2929" s="62" t="n">
        <x:v>922.7674143381412</x:v>
      </x:c>
      <x:c r="G2929" s="62" t="n">
        <x:v>36.77758935160257</x:v>
      </x:c>
      <x:c r="H2929" s="29" t="str">
        <x:v>YES</x:v>
      </x:c>
      <x:c r="I2929" s="29" t="str">
        <x:v>NHPN-gated shared-boundary SCA path</x:v>
      </x:c>
      <x:c r="J2929" s="29" t="str">
        <x:v>presence does not prove operability or capacity</x:v>
      </x:c>
    </x:row>
    <x:row r="2930" ht="64.80000305175781" hidden="0" customHeight="1">
      <x:c r="A2930" s="27" t="str">
        <x:v>SCA-24</x:v>
      </x:c>
      <x:c r="B2930" s="27" t="str">
        <x:v>SCA-19</x:v>
      </x:c>
      <x:c r="C2930" s="27" t="str">
        <x:v>Rail</x:v>
      </x:c>
      <x:c r="D2930" s="27" t="str">
        <x:v>YES</x:v>
      </x:c>
      <x:c r="E2930" s="27" t="str">
        <x:v>YES</x:v>
      </x:c>
      <x:c r="F2930" s="61" t="n">
        <x:v>978.93586564568</x:v>
      </x:c>
      <x:c r="G2930" s="61" t="n">
        <x:v>39.984798080652574</x:v>
      </x:c>
      <x:c r="H2930" s="27" t="str">
        <x:v>YES</x:v>
      </x:c>
      <x:c r="I2930" s="27" t="str">
        <x:v>NARN shared-node topology; deployable terminal required</x:v>
      </x:c>
      <x:c r="J2930" s="27" t="str">
        <x:v>presence does not prove operability or capacity</x:v>
      </x:c>
    </x:row>
    <x:row r="2931" ht="54" hidden="0" customHeight="1">
      <x:c r="A2931" s="29" t="str">
        <x:v>SCA-24</x:v>
      </x:c>
      <x:c r="B2931" s="29" t="str">
        <x:v>SCA-19</x:v>
      </x:c>
      <x:c r="C2931" s="29" t="str">
        <x:v>Air</x:v>
      </x:c>
      <x:c r="D2931" s="29" t="str">
        <x:v>YES</x:v>
      </x:c>
      <x:c r="E2931" s="29" t="str">
        <x:v>YES</x:v>
      </x:c>
      <x:c r="F2931" s="62" t="n">
        <x:v>726.4962164662102</x:v>
      </x:c>
      <x:c r="G2931" s="62" t="n">
        <x:v>25.117686486871094</x:v>
      </x:c>
      <x:c r="H2931" s="29" t="str">
        <x:v>YES</x:v>
      </x:c>
      <x:c r="I2931" s="29" t="str">
        <x:v>primary-airport endpoints; great-circle screen</x:v>
      </x:c>
      <x:c r="J2931" s="29" t="str">
        <x:v>presence does not prove operability or capacity</x:v>
      </x:c>
    </x:row>
    <x:row r="2932" ht="75.5999984741211" hidden="0" customHeight="1">
      <x:c r="A2932" s="27" t="str">
        <x:v>SCA-24</x:v>
      </x:c>
      <x:c r="B2932" s="27" t="str">
        <x:v>SCA-19</x:v>
      </x:c>
      <x:c r="C2932" s="27" t="str">
        <x:v>Water</x:v>
      </x:c>
      <x:c r="D2932" s="27" t="str">
        <x:v>YES</x:v>
      </x:c>
      <x:c r="E2932" s="27" t="str">
        <x:v>YES</x:v>
      </x:c>
      <x:c r="F2932" s="61" t="n">
        <x:v>1027.0802524807136</x:v>
      </x:c>
      <x:c r="G2932" s="61" t="n">
        <x:v>59.34515007087754</x:v>
      </x:c>
      <x:c r="H2932" s="27" t="str">
        <x:v>YES</x:v>
      </x:c>
      <x:c r="I2932" s="27" t="str">
        <x:v>USACE waterway node topology; deployable terminal required</x:v>
      </x:c>
      <x:c r="J2932" s="27" t="str">
        <x:v>presence does not prove operability or capacity</x:v>
      </x:c>
    </x:row>
    <x:row r="2933" ht="54" hidden="0" customHeight="1">
      <x:c r="A2933" s="29" t="str">
        <x:v>SCA-24</x:v>
      </x:c>
      <x:c r="B2933" s="29" t="str">
        <x:v>SCA-20</x:v>
      </x:c>
      <x:c r="C2933" s="29" t="str">
        <x:v>Road</x:v>
      </x:c>
      <x:c r="D2933" s="29" t="str">
        <x:v>YES</x:v>
      </x:c>
      <x:c r="E2933" s="29" t="str">
        <x:v>YES</x:v>
      </x:c>
      <x:c r="F2933" s="62" t="n">
        <x:v>1265.3023588550795</x:v>
      </x:c>
      <x:c r="G2933" s="62" t="n">
        <x:v>43.00549743372872</x:v>
      </x:c>
      <x:c r="H2933" s="29" t="str">
        <x:v>YES</x:v>
      </x:c>
      <x:c r="I2933" s="29" t="str">
        <x:v>NHPN-gated shared-boundary SCA path</x:v>
      </x:c>
      <x:c r="J2933" s="29" t="str">
        <x:v>presence does not prove operability or capacity</x:v>
      </x:c>
    </x:row>
    <x:row r="2934" ht="64.80000305175781" hidden="0" customHeight="1">
      <x:c r="A2934" s="27" t="str">
        <x:v>SCA-24</x:v>
      </x:c>
      <x:c r="B2934" s="27" t="str">
        <x:v>SCA-20</x:v>
      </x:c>
      <x:c r="C2934" s="27" t="str">
        <x:v>Rail</x:v>
      </x:c>
      <x:c r="D2934" s="27" t="str">
        <x:v>YES</x:v>
      </x:c>
      <x:c r="E2934" s="27" t="str">
        <x:v>YES</x:v>
      </x:c>
      <x:c r="F2934" s="61" t="n">
        <x:v>1342.320763307128</x:v>
      </x:c>
      <x:c r="G2934" s="61" t="n">
        <x:v>45.17601090438754</x:v>
      </x:c>
      <x:c r="H2934" s="27" t="str">
        <x:v>YES</x:v>
      </x:c>
      <x:c r="I2934" s="27" t="str">
        <x:v>NARN shared-node topology; deployable terminal required</x:v>
      </x:c>
      <x:c r="J2934" s="27" t="str">
        <x:v>presence does not prove operability or capacity</x:v>
      </x:c>
    </x:row>
    <x:row r="2935" ht="54" hidden="0" customHeight="1">
      <x:c r="A2935" s="29" t="str">
        <x:v>SCA-24</x:v>
      </x:c>
      <x:c r="B2935" s="29" t="str">
        <x:v>SCA-20</x:v>
      </x:c>
      <x:c r="C2935" s="29" t="str">
        <x:v>Air</x:v>
      </x:c>
      <x:c r="D2935" s="29" t="str">
        <x:v>YES</x:v>
      </x:c>
      <x:c r="E2935" s="29" t="str">
        <x:v>YES</x:v>
      </x:c>
      <x:c r="F2935" s="62" t="n">
        <x:v>1071.5639191866312</x:v>
      </x:c>
      <x:c r="G2935" s="62" t="n">
        <x:v>25.64855987567174</x:v>
      </x:c>
      <x:c r="H2935" s="29" t="str">
        <x:v>YES</x:v>
      </x:c>
      <x:c r="I2935" s="29" t="str">
        <x:v>primary-airport endpoints; great-circle screen</x:v>
      </x:c>
      <x:c r="J2935" s="29" t="str">
        <x:v>presence does not prove operability or capacity</x:v>
      </x:c>
    </x:row>
    <x:row r="2936" ht="75.5999984741211" hidden="0" customHeight="1">
      <x:c r="A2936" s="27" t="str">
        <x:v>SCA-24</x:v>
      </x:c>
      <x:c r="B2936" s="27" t="str">
        <x:v>SCA-20</x:v>
      </x:c>
      <x:c r="C2936" s="27" t="str">
        <x:v>Water</x:v>
      </x:c>
      <x:c r="D2936" s="27" t="str">
        <x:v>YES</x:v>
      </x:c>
      <x:c r="E2936" s="27" t="str">
        <x:v>YES</x:v>
      </x:c>
      <x:c r="F2936" s="61" t="n">
        <x:v>1696.6271934930746</x:v>
      </x:c>
      <x:c r="G2936" s="61" t="n">
        <x:v>78.4750626712307</x:v>
      </x:c>
      <x:c r="H2936" s="27" t="str">
        <x:v>NO</x:v>
      </x:c>
      <x:c r="I2936" s="27" t="str">
        <x:v>USACE waterway node topology; deployable terminal required</x:v>
      </x:c>
      <x:c r="J2936" s="27" t="str">
        <x:v>presence does not prove operability or capacity</x:v>
      </x:c>
    </x:row>
    <x:row r="2937" ht="54" hidden="0" customHeight="1">
      <x:c r="A2937" s="29" t="str">
        <x:v>SCA-24</x:v>
      </x:c>
      <x:c r="B2937" s="29" t="str">
        <x:v>SCA-21</x:v>
      </x:c>
      <x:c r="C2937" s="29" t="str">
        <x:v>Road</x:v>
      </x:c>
      <x:c r="D2937" s="29" t="str">
        <x:v>YES</x:v>
      </x:c>
      <x:c r="E2937" s="29" t="str">
        <x:v>YES</x:v>
      </x:c>
      <x:c r="F2937" s="62" t="n">
        <x:v>397.24005316303743</x:v>
      </x:c>
      <x:c r="G2937" s="62" t="n">
        <x:v>27.222546421146134</x:v>
      </x:c>
      <x:c r="H2937" s="29" t="str">
        <x:v>YES</x:v>
      </x:c>
      <x:c r="I2937" s="29" t="str">
        <x:v>NHPN-gated shared-boundary SCA path</x:v>
      </x:c>
      <x:c r="J2937" s="29" t="str">
        <x:v>presence does not prove operability or capacity</x:v>
      </x:c>
    </x:row>
    <x:row r="2938" ht="64.80000305175781" hidden="0" customHeight="1">
      <x:c r="A2938" s="27" t="str">
        <x:v>SCA-24</x:v>
      </x:c>
      <x:c r="B2938" s="27" t="str">
        <x:v>SCA-21</x:v>
      </x:c>
      <x:c r="C2938" s="27" t="str">
        <x:v>Rail</x:v>
      </x:c>
      <x:c r="D2938" s="27" t="str">
        <x:v>YES</x:v>
      </x:c>
      <x:c r="E2938" s="27" t="str">
        <x:v>YES</x:v>
      </x:c>
      <x:c r="F2938" s="61" t="n">
        <x:v>421.41988248600495</x:v>
      </x:c>
      <x:c r="G2938" s="61" t="n">
        <x:v>32.02028403551436</x:v>
      </x:c>
      <x:c r="H2938" s="27" t="str">
        <x:v>YES</x:v>
      </x:c>
      <x:c r="I2938" s="27" t="str">
        <x:v>NARN shared-node topology; deployable terminal required</x:v>
      </x:c>
      <x:c r="J2938" s="27" t="str">
        <x:v>presence does not prove operability or capacity</x:v>
      </x:c>
    </x:row>
    <x:row r="2939" ht="54" hidden="0" customHeight="1">
      <x:c r="A2939" s="29" t="str">
        <x:v>SCA-24</x:v>
      </x:c>
      <x:c r="B2939" s="29" t="str">
        <x:v>SCA-21</x:v>
      </x:c>
      <x:c r="C2939" s="29" t="str">
        <x:v>Air</x:v>
      </x:c>
      <x:c r="D2939" s="29" t="str">
        <x:v>YES</x:v>
      </x:c>
      <x:c r="E2939" s="29" t="str">
        <x:v>YES</x:v>
      </x:c>
      <x:c r="F2939" s="62" t="n">
        <x:v>345.42613318524997</x:v>
      </x:c>
      <x:c r="G2939" s="62" t="n">
        <x:v>24.531424820285</x:v>
      </x:c>
      <x:c r="H2939" s="29" t="str">
        <x:v>YES</x:v>
      </x:c>
      <x:c r="I2939" s="29" t="str">
        <x:v>primary-airport endpoints; great-circle screen</x:v>
      </x:c>
      <x:c r="J2939" s="29" t="str">
        <x:v>presence does not prove operability or capacity</x:v>
      </x:c>
    </x:row>
    <x:row r="2940" ht="75.5999984741211" hidden="0" customHeight="1">
      <x:c r="A2940" s="27" t="str">
        <x:v>SCA-24</x:v>
      </x:c>
      <x:c r="B2940" s="27" t="str">
        <x:v>SCA-21</x:v>
      </x:c>
      <x:c r="C2940" s="27" t="str">
        <x:v>Water</x:v>
      </x:c>
      <x:c r="D2940" s="27" t="str">
        <x:v>YES</x:v>
      </x:c>
      <x:c r="E2940" s="27" t="str">
        <x:v>YES</x:v>
      </x:c>
      <x:c r="F2940" s="61" t="n">
        <x:v>442.14545047712</x:v>
      </x:c>
      <x:c r="G2940" s="61" t="n">
        <x:v>42.63272715648914</x:v>
      </x:c>
      <x:c r="H2940" s="27" t="str">
        <x:v>YES</x:v>
      </x:c>
      <x:c r="I2940" s="27" t="str">
        <x:v>USACE waterway node topology; deployable terminal required</x:v>
      </x:c>
      <x:c r="J2940" s="27" t="str">
        <x:v>presence does not prove operability or capacity</x:v>
      </x:c>
    </x:row>
    <x:row r="2941" ht="54" hidden="0" customHeight="1">
      <x:c r="A2941" s="29" t="str">
        <x:v>SCA-24</x:v>
      </x:c>
      <x:c r="B2941" s="29" t="str">
        <x:v>SCA-22</x:v>
      </x:c>
      <x:c r="C2941" s="29" t="str">
        <x:v>Road</x:v>
      </x:c>
      <x:c r="D2941" s="29" t="str">
        <x:v>YES</x:v>
      </x:c>
      <x:c r="E2941" s="29" t="str">
        <x:v>YES</x:v>
      </x:c>
      <x:c r="F2941" s="62" t="n">
        <x:v>535.8124778138437</x:v>
      </x:c>
      <x:c r="G2941" s="62" t="n">
        <x:v>29.742045051160794</x:v>
      </x:c>
      <x:c r="H2941" s="29" t="str">
        <x:v>YES</x:v>
      </x:c>
      <x:c r="I2941" s="29" t="str">
        <x:v>NHPN-gated shared-boundary SCA path</x:v>
      </x:c>
      <x:c r="J2941" s="29" t="str">
        <x:v>presence does not prove operability or capacity</x:v>
      </x:c>
    </x:row>
    <x:row r="2942" ht="64.80000305175781" hidden="0" customHeight="1">
      <x:c r="A2942" s="27" t="str">
        <x:v>SCA-24</x:v>
      </x:c>
      <x:c r="B2942" s="27" t="str">
        <x:v>SCA-22</x:v>
      </x:c>
      <x:c r="C2942" s="27" t="str">
        <x:v>Rail</x:v>
      </x:c>
      <x:c r="D2942" s="27" t="str">
        <x:v>YES</x:v>
      </x:c>
      <x:c r="E2942" s="27" t="str">
        <x:v>YES</x:v>
      </x:c>
      <x:c r="F2942" s="61" t="n">
        <x:v>568.4271503764254</x:v>
      </x:c>
      <x:c r="G2942" s="61" t="n">
        <x:v>34.12038786252036</x:v>
      </x:c>
      <x:c r="H2942" s="27" t="str">
        <x:v>YES</x:v>
      </x:c>
      <x:c r="I2942" s="27" t="str">
        <x:v>NARN shared-node topology; deployable terminal required</x:v>
      </x:c>
      <x:c r="J2942" s="27" t="str">
        <x:v>presence does not prove operability or capacity</x:v>
      </x:c>
    </x:row>
    <x:row r="2943" ht="54" hidden="0" customHeight="1">
      <x:c r="A2943" s="29" t="str">
        <x:v>SCA-24</x:v>
      </x:c>
      <x:c r="B2943" s="29" t="str">
        <x:v>SCA-22</x:v>
      </x:c>
      <x:c r="C2943" s="29" t="str">
        <x:v>Air</x:v>
      </x:c>
      <x:c r="D2943" s="29" t="str">
        <x:v>YES</x:v>
      </x:c>
      <x:c r="E2943" s="29" t="str">
        <x:v>YES</x:v>
      </x:c>
      <x:c r="F2943" s="62" t="n">
        <x:v>465.92389375116835</x:v>
      </x:c>
      <x:c r="G2943" s="62" t="n">
        <x:v>24.716805990386412</x:v>
      </x:c>
      <x:c r="H2943" s="29" t="str">
        <x:v>YES</x:v>
      </x:c>
      <x:c r="I2943" s="29" t="str">
        <x:v>primary-airport endpoints; great-circle screen</x:v>
      </x:c>
      <x:c r="J2943" s="29" t="str">
        <x:v>presence does not prove operability or capacity</x:v>
      </x:c>
    </x:row>
    <x:row r="2944" ht="75.5999984741211" hidden="0" customHeight="1">
      <x:c r="A2944" s="27" t="str">
        <x:v>SCA-24</x:v>
      </x:c>
      <x:c r="B2944" s="27" t="str">
        <x:v>SCA-22</x:v>
      </x:c>
      <x:c r="C2944" s="27" t="str">
        <x:v>Water</x:v>
      </x:c>
      <x:c r="D2944" s="27" t="str">
        <x:v>YES</x:v>
      </x:c>
      <x:c r="E2944" s="27" t="str">
        <x:v>YES</x:v>
      </x:c>
      <x:c r="F2944" s="61" t="n">
        <x:v>1269.3932208116898</x:v>
      </x:c>
      <x:c r="G2944" s="61" t="n">
        <x:v>66.26837773747685</x:v>
      </x:c>
      <x:c r="H2944" s="27" t="str">
        <x:v>YES</x:v>
      </x:c>
      <x:c r="I2944" s="27" t="str">
        <x:v>USACE waterway node topology; deployable terminal required</x:v>
      </x:c>
      <x:c r="J2944" s="27" t="str">
        <x:v>presence does not prove operability or capacity</x:v>
      </x:c>
    </x:row>
    <x:row r="2945" ht="54" hidden="0" customHeight="1">
      <x:c r="A2945" s="29" t="str">
        <x:v>SCA-24</x:v>
      </x:c>
      <x:c r="B2945" s="29" t="str">
        <x:v>SCA-23</x:v>
      </x:c>
      <x:c r="C2945" s="29" t="str">
        <x:v>Road</x:v>
      </x:c>
      <x:c r="D2945" s="29" t="str">
        <x:v>YES</x:v>
      </x:c>
      <x:c r="E2945" s="29" t="str">
        <x:v>YES</x:v>
      </x:c>
      <x:c r="F2945" s="62" t="n">
        <x:v>1124.7253709972792</x:v>
      </x:c>
      <x:c r="G2945" s="62" t="n">
        <x:v>40.44955219995053</x:v>
      </x:c>
      <x:c r="H2945" s="29" t="str">
        <x:v>YES</x:v>
      </x:c>
      <x:c r="I2945" s="29" t="str">
        <x:v>NHPN-gated shared-boundary SCA path</x:v>
      </x:c>
      <x:c r="J2945" s="29" t="str">
        <x:v>presence does not prove operability or capacity</x:v>
      </x:c>
    </x:row>
    <x:row r="2946" ht="64.80000305175781" hidden="0" customHeight="1">
      <x:c r="A2946" s="27" t="str">
        <x:v>SCA-24</x:v>
      </x:c>
      <x:c r="B2946" s="27" t="str">
        <x:v>SCA-23</x:v>
      </x:c>
      <x:c r="C2946" s="27" t="str">
        <x:v>Rail</x:v>
      </x:c>
      <x:c r="D2946" s="27" t="str">
        <x:v>YES</x:v>
      </x:c>
      <x:c r="E2946" s="27" t="str">
        <x:v>YES</x:v>
      </x:c>
      <x:c r="F2946" s="61" t="n">
        <x:v>1193.1869153188527</x:v>
      </x:c>
      <x:c r="G2946" s="61" t="n">
        <x:v>43.04552736169789</x:v>
      </x:c>
      <x:c r="H2946" s="27" t="str">
        <x:v>YES</x:v>
      </x:c>
      <x:c r="I2946" s="27" t="str">
        <x:v>NARN shared-node topology; deployable terminal required</x:v>
      </x:c>
      <x:c r="J2946" s="27" t="str">
        <x:v>presence does not prove operability or capacity</x:v>
      </x:c>
    </x:row>
    <x:row r="2947" ht="54" hidden="0" customHeight="1">
      <x:c r="A2947" s="29" t="str">
        <x:v>SCA-24</x:v>
      </x:c>
      <x:c r="B2947" s="29" t="str">
        <x:v>SCA-23</x:v>
      </x:c>
      <x:c r="C2947" s="29" t="str">
        <x:v>Air</x:v>
      </x:c>
      <x:c r="D2947" s="29" t="str">
        <x:v>YES</x:v>
      </x:c>
      <x:c r="E2947" s="29" t="str">
        <x:v>YES</x:v>
      </x:c>
      <x:c r="F2947" s="62" t="n">
        <x:v>956.0638682224336</x:v>
      </x:c>
      <x:c r="G2947" s="62" t="n">
        <x:v>25.470867489572974</x:v>
      </x:c>
      <x:c r="H2947" s="29" t="str">
        <x:v>YES</x:v>
      </x:c>
      <x:c r="I2947" s="29" t="str">
        <x:v>primary-airport endpoints; great-circle screen</x:v>
      </x:c>
      <x:c r="J2947" s="29" t="str">
        <x:v>presence does not prove operability or capacity</x:v>
      </x:c>
    </x:row>
    <x:row r="2948" ht="75.5999984741211" hidden="0" customHeight="1">
      <x:c r="A2948" s="27" t="str">
        <x:v>SCA-24</x:v>
      </x:c>
      <x:c r="B2948" s="27" t="str">
        <x:v>SCA-23</x:v>
      </x:c>
      <x:c r="C2948" s="27" t="str">
        <x:v>Water</x:v>
      </x:c>
      <x:c r="D2948" s="27" t="str">
        <x:v>YES</x:v>
      </x:c>
      <x:c r="E2948" s="27" t="str">
        <x:v>YES</x:v>
      </x:c>
      <x:c r="F2948" s="61" t="n">
        <x:v>2341.6347692556574</x:v>
      </x:c>
      <x:c r="G2948" s="61" t="n">
        <x:v>96.90385055016164</x:v>
      </x:c>
      <x:c r="H2948" s="27" t="str">
        <x:v>NO</x:v>
      </x:c>
      <x:c r="I2948" s="27" t="str">
        <x:v>USACE waterway node topology; deployable terminal required</x:v>
      </x:c>
      <x:c r="J2948" s="27" t="str">
        <x:v>presence does not prove operability or capacity</x:v>
      </x:c>
    </x:row>
    <x:row r="2949" ht="54" hidden="0" customHeight="1">
      <x:c r="A2949" s="29" t="str">
        <x:v>SCA-24</x:v>
      </x:c>
      <x:c r="B2949" s="29" t="str">
        <x:v>SCA-25</x:v>
      </x:c>
      <x:c r="C2949" s="29" t="str">
        <x:v>Road</x:v>
      </x:c>
      <x:c r="D2949" s="29" t="str">
        <x:v>YES</x:v>
      </x:c>
      <x:c r="E2949" s="29" t="str">
        <x:v>YES</x:v>
      </x:c>
      <x:c r="F2949" s="62" t="n">
        <x:v>1619.3095509167185</x:v>
      </x:c>
      <x:c r="G2949" s="62" t="n">
        <x:v>49.44199183484943</x:v>
      </x:c>
      <x:c r="H2949" s="29" t="str">
        <x:v>YES</x:v>
      </x:c>
      <x:c r="I2949" s="29" t="str">
        <x:v>NHPN-gated shared-boundary SCA path</x:v>
      </x:c>
      <x:c r="J2949" s="29" t="str">
        <x:v>presence does not prove operability or capacity</x:v>
      </x:c>
    </x:row>
    <x:row r="2950" ht="64.80000305175781" hidden="0" customHeight="1">
      <x:c r="A2950" s="27" t="str">
        <x:v>SCA-24</x:v>
      </x:c>
      <x:c r="B2950" s="27" t="str">
        <x:v>SCA-25</x:v>
      </x:c>
      <x:c r="C2950" s="27" t="str">
        <x:v>Rail</x:v>
      </x:c>
      <x:c r="D2950" s="27" t="str">
        <x:v>YES</x:v>
      </x:c>
      <x:c r="E2950" s="27" t="str">
        <x:v>YES</x:v>
      </x:c>
      <x:c r="F2950" s="61" t="n">
        <x:v>1717.8762192333886</x:v>
      </x:c>
      <x:c r="G2950" s="61" t="n">
        <x:v>50.541088846191265</x:v>
      </x:c>
      <x:c r="H2950" s="27" t="str">
        <x:v>YES</x:v>
      </x:c>
      <x:c r="I2950" s="27" t="str">
        <x:v>NARN shared-node topology; deployable terminal required</x:v>
      </x:c>
      <x:c r="J2950" s="27" t="str">
        <x:v>presence does not prove operability or capacity</x:v>
      </x:c>
    </x:row>
    <x:row r="2951" ht="54" hidden="0" customHeight="1">
      <x:c r="A2951" s="29" t="str">
        <x:v>SCA-24</x:v>
      </x:c>
      <x:c r="B2951" s="29" t="str">
        <x:v>SCA-25</x:v>
      </x:c>
      <x:c r="C2951" s="29" t="str">
        <x:v>Air</x:v>
      </x:c>
      <x:c r="D2951" s="29" t="str">
        <x:v>YES</x:v>
      </x:c>
      <x:c r="E2951" s="29" t="str">
        <x:v>YES</x:v>
      </x:c>
      <x:c r="F2951" s="62" t="n">
        <x:v>1323.704106769866</x:v>
      </x:c>
      <x:c r="G2951" s="62" t="n">
        <x:v>26.036467856569026</x:v>
      </x:c>
      <x:c r="H2951" s="29" t="str">
        <x:v>YES</x:v>
      </x:c>
      <x:c r="I2951" s="29" t="str">
        <x:v>primary-airport endpoints; great-circle screen</x:v>
      </x:c>
      <x:c r="J2951" s="29" t="str">
        <x:v>presence does not prove operability or capacity</x:v>
      </x:c>
    </x:row>
    <x:row r="2952" ht="75.5999984741211" hidden="0" customHeight="1">
      <x:c r="A2952" s="27" t="str">
        <x:v>SCA-24</x:v>
      </x:c>
      <x:c r="B2952" s="27" t="str">
        <x:v>SCA-25</x:v>
      </x:c>
      <x:c r="C2952" s="27" t="str">
        <x:v>Water</x:v>
      </x:c>
      <x:c r="D2952" s="27" t="str">
        <x:v>YES</x:v>
      </x:c>
      <x:c r="E2952" s="27" t="str">
        <x:v>YES</x:v>
      </x:c>
      <x:c r="F2952" s="61" t="n">
        <x:v>2030.9425894025776</x:v>
      </x:c>
      <x:c r="G2952" s="61" t="n">
        <x:v>88.02693112578794</x:v>
      </x:c>
      <x:c r="H2952" s="27" t="str">
        <x:v>NO</x:v>
      </x:c>
      <x:c r="I2952" s="27" t="str">
        <x:v>USACE waterway node topology; deployable terminal required</x:v>
      </x:c>
      <x:c r="J2952" s="27" t="str">
        <x:v>presence does not prove operability or capacity</x:v>
      </x:c>
    </x:row>
    <x:row r="2953" ht="54" hidden="0" customHeight="1">
      <x:c r="A2953" s="29" t="str">
        <x:v>SCA-24</x:v>
      </x:c>
      <x:c r="B2953" s="29" t="str">
        <x:v>SCA-26</x:v>
      </x:c>
      <x:c r="C2953" s="29" t="str">
        <x:v>Road</x:v>
      </x:c>
      <x:c r="D2953" s="29" t="str">
        <x:v>YES</x:v>
      </x:c>
      <x:c r="E2953" s="29" t="str">
        <x:v>YES</x:v>
      </x:c>
      <x:c r="F2953" s="62" t="n">
        <x:v>1947.809006681541</x:v>
      </x:c>
      <x:c r="G2953" s="62" t="n">
        <x:v>55.41470921239166</x:v>
      </x:c>
      <x:c r="H2953" s="29" t="str">
        <x:v>YES</x:v>
      </x:c>
      <x:c r="I2953" s="29" t="str">
        <x:v>NHPN-gated shared-boundary SCA path</x:v>
      </x:c>
      <x:c r="J2953" s="29" t="str">
        <x:v>presence does not prove operability or capacity</x:v>
      </x:c>
    </x:row>
    <x:row r="2954" ht="64.80000305175781" hidden="0" customHeight="1">
      <x:c r="A2954" s="27" t="str">
        <x:v>SCA-24</x:v>
      </x:c>
      <x:c r="B2954" s="27" t="str">
        <x:v>SCA-26</x:v>
      </x:c>
      <x:c r="C2954" s="27" t="str">
        <x:v>Rail</x:v>
      </x:c>
      <x:c r="D2954" s="27" t="str">
        <x:v>YES</x:v>
      </x:c>
      <x:c r="E2954" s="27" t="str">
        <x:v>YES</x:v>
      </x:c>
      <x:c r="F2954" s="61" t="n">
        <x:v>2066.371294044765</x:v>
      </x:c>
      <x:c r="G2954" s="61" t="n">
        <x:v>55.51958991492521</x:v>
      </x:c>
      <x:c r="H2954" s="27" t="str">
        <x:v>YES</x:v>
      </x:c>
      <x:c r="I2954" s="27" t="str">
        <x:v>NARN shared-node topology; deployable terminal required</x:v>
      </x:c>
      <x:c r="J2954" s="27" t="str">
        <x:v>presence does not prove operability or capacity</x:v>
      </x:c>
    </x:row>
    <x:row r="2955" ht="54" hidden="0" customHeight="1">
      <x:c r="A2955" s="29" t="str">
        <x:v>SCA-24</x:v>
      </x:c>
      <x:c r="B2955" s="29" t="str">
        <x:v>SCA-26</x:v>
      </x:c>
      <x:c r="C2955" s="29" t="str">
        <x:v>Air</x:v>
      </x:c>
      <x:c r="D2955" s="29" t="str">
        <x:v>YES</x:v>
      </x:c>
      <x:c r="E2955" s="29" t="str">
        <x:v>YES</x:v>
      </x:c>
      <x:c r="F2955" s="62" t="n">
        <x:v>1609.2542091708804</x:v>
      </x:c>
      <x:c r="G2955" s="62" t="n">
        <x:v>26.47577570641674</x:v>
      </x:c>
      <x:c r="H2955" s="29" t="str">
        <x:v>YES</x:v>
      </x:c>
      <x:c r="I2955" s="29" t="str">
        <x:v>primary-airport endpoints; great-circle screen</x:v>
      </x:c>
      <x:c r="J2955" s="29" t="str">
        <x:v>presence does not prove operability or capacity</x:v>
      </x:c>
    </x:row>
    <x:row r="2956" ht="75.5999984741211" hidden="0" customHeight="1">
      <x:c r="A2956" s="27" t="str">
        <x:v>SCA-24</x:v>
      </x:c>
      <x:c r="B2956" s="27" t="str">
        <x:v>SCA-26</x:v>
      </x:c>
      <x:c r="C2956" s="27" t="str">
        <x:v>Water</x:v>
      </x:c>
      <x:c r="D2956" s="27" t="str">
        <x:v>YES</x:v>
      </x:c>
      <x:c r="E2956" s="27" t="str">
        <x:v>YES</x:v>
      </x:c>
      <x:c r="F2956" s="61" t="n">
        <x:v>2396.576766253858</x:v>
      </x:c>
      <x:c r="G2956" s="61" t="n">
        <x:v>98.47362189296737</x:v>
      </x:c>
      <x:c r="H2956" s="27" t="str">
        <x:v>NO</x:v>
      </x:c>
      <x:c r="I2956" s="27" t="str">
        <x:v>USACE waterway node topology; deployable terminal required</x:v>
      </x:c>
      <x:c r="J2956" s="27" t="str">
        <x:v>presence does not prove operability or capacity</x:v>
      </x:c>
    </x:row>
    <x:row r="2957" ht="54" hidden="0" customHeight="1">
      <x:c r="A2957" s="29" t="str">
        <x:v>SCA-24</x:v>
      </x:c>
      <x:c r="B2957" s="29" t="str">
        <x:v>SCA-27</x:v>
      </x:c>
      <x:c r="C2957" s="29" t="str">
        <x:v>Road</x:v>
      </x:c>
      <x:c r="D2957" s="29" t="str">
        <x:v>YES</x:v>
      </x:c>
      <x:c r="E2957" s="29" t="str">
        <x:v>YES</x:v>
      </x:c>
      <x:c r="F2957" s="62" t="n">
        <x:v>2227.4372708010897</x:v>
      </x:c>
      <x:c r="G2957" s="62" t="n">
        <x:v>60.49885946911072</x:v>
      </x:c>
      <x:c r="H2957" s="29" t="str">
        <x:v>YES</x:v>
      </x:c>
      <x:c r="I2957" s="29" t="str">
        <x:v>NHPN-gated shared-boundary SCA path</x:v>
      </x:c>
      <x:c r="J2957" s="29" t="str">
        <x:v>presence does not prove operability or capacity</x:v>
      </x:c>
    </x:row>
    <x:row r="2958" ht="64.80000305175781" hidden="0" customHeight="1">
      <x:c r="A2958" s="27" t="str">
        <x:v>SCA-24</x:v>
      </x:c>
      <x:c r="B2958" s="27" t="str">
        <x:v>SCA-27</x:v>
      </x:c>
      <x:c r="C2958" s="27" t="str">
        <x:v>Rail</x:v>
      </x:c>
      <x:c r="D2958" s="27" t="str">
        <x:v>YES</x:v>
      </x:c>
      <x:c r="E2958" s="27" t="str">
        <x:v>YES</x:v>
      </x:c>
      <x:c r="F2958" s="61" t="n">
        <x:v>2363.020409023765</x:v>
      </x:c>
      <x:c r="G2958" s="61" t="n">
        <x:v>59.75743441462521</x:v>
      </x:c>
      <x:c r="H2958" s="27" t="str">
        <x:v>YES</x:v>
      </x:c>
      <x:c r="I2958" s="27" t="str">
        <x:v>NARN shared-node topology; deployable terminal required</x:v>
      </x:c>
      <x:c r="J2958" s="27" t="str">
        <x:v>presence does not prove operability or capacity</x:v>
      </x:c>
    </x:row>
    <x:row r="2959" ht="54" hidden="0" customHeight="1">
      <x:c r="A2959" s="29" t="str">
        <x:v>SCA-24</x:v>
      </x:c>
      <x:c r="B2959" s="29" t="str">
        <x:v>SCA-27</x:v>
      </x:c>
      <x:c r="C2959" s="29" t="str">
        <x:v>Air</x:v>
      </x:c>
      <x:c r="D2959" s="29" t="str">
        <x:v>YES</x:v>
      </x:c>
      <x:c r="E2959" s="29" t="str">
        <x:v>YES</x:v>
      </x:c>
      <x:c r="F2959" s="62" t="n">
        <x:v>1827.6043833773085</x:v>
      </x:c>
      <x:c r="G2959" s="62" t="n">
        <x:v>26.811699051349706</x:v>
      </x:c>
      <x:c r="H2959" s="29" t="str">
        <x:v>YES</x:v>
      </x:c>
      <x:c r="I2959" s="29" t="str">
        <x:v>primary-airport endpoints; great-circle screen</x:v>
      </x:c>
      <x:c r="J2959" s="29" t="str">
        <x:v>presence does not prove operability or capacity</x:v>
      </x:c>
    </x:row>
    <x:row r="2960" ht="75.5999984741211" hidden="0" customHeight="1">
      <x:c r="A2960" s="27" t="str">
        <x:v>SCA-24</x:v>
      </x:c>
      <x:c r="B2960" s="27" t="str">
        <x:v>SCA-27</x:v>
      </x:c>
      <x:c r="C2960" s="27" t="str">
        <x:v>Water</x:v>
      </x:c>
      <x:c r="D2960" s="27" t="str">
        <x:v>YES</x:v>
      </x:c>
      <x:c r="E2960" s="27" t="str">
        <x:v>YES</x:v>
      </x:c>
      <x:c r="F2960" s="61" t="n">
        <x:v>2585.4169747576934</x:v>
      </x:c>
      <x:c r="G2960" s="61" t="n">
        <x:v>103.86905642164838</x:v>
      </x:c>
      <x:c r="H2960" s="27" t="str">
        <x:v>NO</x:v>
      </x:c>
      <x:c r="I2960" s="27" t="str">
        <x:v>USACE waterway node topology; deployable terminal required</x:v>
      </x:c>
      <x:c r="J2960" s="27" t="str">
        <x:v>presence does not prove operability or capacity</x:v>
      </x:c>
    </x:row>
    <x:row r="2961" ht="54" hidden="0" customHeight="1">
      <x:c r="A2961" s="29" t="str">
        <x:v>SCA-24</x:v>
      </x:c>
      <x:c r="B2961" s="29" t="str">
        <x:v>SCA-28</x:v>
      </x:c>
      <x:c r="C2961" s="29" t="str">
        <x:v>Road</x:v>
      </x:c>
      <x:c r="D2961" s="29" t="str">
        <x:v>YES</x:v>
      </x:c>
      <x:c r="E2961" s="29" t="str">
        <x:v>YES</x:v>
      </x:c>
      <x:c r="F2961" s="62" t="n">
        <x:v>495.8154965586643</x:v>
      </x:c>
      <x:c r="G2961" s="62" t="n">
        <x:v>29.014827210157534</x:v>
      </x:c>
      <x:c r="H2961" s="29" t="str">
        <x:v>YES</x:v>
      </x:c>
      <x:c r="I2961" s="29" t="str">
        <x:v>NHPN-gated shared-boundary SCA path</x:v>
      </x:c>
      <x:c r="J2961" s="29" t="str">
        <x:v>presence does not prove operability or capacity</x:v>
      </x:c>
    </x:row>
    <x:row r="2962" ht="64.80000305175781" hidden="0" customHeight="1">
      <x:c r="A2962" s="27" t="str">
        <x:v>SCA-24</x:v>
      </x:c>
      <x:c r="B2962" s="27" t="str">
        <x:v>SCA-28</x:v>
      </x:c>
      <x:c r="C2962" s="27" t="str">
        <x:v>Rail</x:v>
      </x:c>
      <x:c r="D2962" s="27" t="str">
        <x:v>YES</x:v>
      </x:c>
      <x:c r="E2962" s="27" t="str">
        <x:v>YES</x:v>
      </x:c>
      <x:c r="F2962" s="61" t="n">
        <x:v>525.9955702622349</x:v>
      </x:c>
      <x:c r="G2962" s="61" t="n">
        <x:v>33.51422243231764</x:v>
      </x:c>
      <x:c r="H2962" s="27" t="str">
        <x:v>YES</x:v>
      </x:c>
      <x:c r="I2962" s="27" t="str">
        <x:v>NARN shared-node topology; deployable terminal required</x:v>
      </x:c>
      <x:c r="J2962" s="27" t="str">
        <x:v>presence does not prove operability or capacity</x:v>
      </x:c>
    </x:row>
    <x:row r="2963" ht="54" hidden="0" customHeight="1">
      <x:c r="A2963" s="29" t="str">
        <x:v>SCA-24</x:v>
      </x:c>
      <x:c r="B2963" s="29" t="str">
        <x:v>SCA-28</x:v>
      </x:c>
      <x:c r="C2963" s="29" t="str">
        <x:v>Air</x:v>
      </x:c>
      <x:c r="D2963" s="29" t="str">
        <x:v>YES</x:v>
      </x:c>
      <x:c r="E2963" s="29" t="str">
        <x:v>YES</x:v>
      </x:c>
      <x:c r="F2963" s="62" t="n">
        <x:v>431.1439100510122</x:v>
      </x:c>
      <x:c r="G2963" s="62" t="n">
        <x:v>24.663298323155402</x:v>
      </x:c>
      <x:c r="H2963" s="29" t="str">
        <x:v>YES</x:v>
      </x:c>
      <x:c r="I2963" s="29" t="str">
        <x:v>primary-airport endpoints; great-circle screen</x:v>
      </x:c>
      <x:c r="J2963" s="29" t="str">
        <x:v>presence does not prove operability or capacity</x:v>
      </x:c>
    </x:row>
    <x:row r="2964" ht="75.5999984741211" hidden="0" customHeight="1">
      <x:c r="A2964" s="27" t="str">
        <x:v>SCA-24</x:v>
      </x:c>
      <x:c r="B2964" s="27" t="str">
        <x:v>SCA-28</x:v>
      </x:c>
      <x:c r="C2964" s="27" t="str">
        <x:v>Water</x:v>
      </x:c>
      <x:c r="D2964" s="27" t="str">
        <x:v>YES</x:v>
      </x:c>
      <x:c r="E2964" s="27" t="str">
        <x:v>YES</x:v>
      </x:c>
      <x:c r="F2964" s="61" t="n">
        <x:v>551.8642048652956</x:v>
      </x:c>
      <x:c r="G2964" s="61" t="n">
        <x:v>45.76754871043702</x:v>
      </x:c>
      <x:c r="H2964" s="27" t="str">
        <x:v>YES</x:v>
      </x:c>
      <x:c r="I2964" s="27" t="str">
        <x:v>USACE waterway node topology; deployable terminal required</x:v>
      </x:c>
      <x:c r="J2964" s="27" t="str">
        <x:v>presence does not prove operability or capacity</x:v>
      </x:c>
    </x:row>
    <x:row r="2965" ht="54" hidden="0" customHeight="1">
      <x:c r="A2965" s="29" t="str">
        <x:v>SCA-24</x:v>
      </x:c>
      <x:c r="B2965" s="29" t="str">
        <x:v>SCA-29</x:v>
      </x:c>
      <x:c r="C2965" s="29" t="str">
        <x:v>Road</x:v>
      </x:c>
      <x:c r="D2965" s="29" t="str">
        <x:v>YES</x:v>
      </x:c>
      <x:c r="E2965" s="29" t="str">
        <x:v>YES</x:v>
      </x:c>
      <x:c r="F2965" s="62" t="n">
        <x:v>1072.0707881359701</x:v>
      </x:c>
      <x:c r="G2965" s="62" t="n">
        <x:v>39.492196147926734</x:v>
      </x:c>
      <x:c r="H2965" s="29" t="str">
        <x:v>YES</x:v>
      </x:c>
      <x:c r="I2965" s="29" t="str">
        <x:v>NHPN-gated shared-boundary SCA path</x:v>
      </x:c>
      <x:c r="J2965" s="29" t="str">
        <x:v>presence does not prove operability or capacity</x:v>
      </x:c>
    </x:row>
    <x:row r="2966" ht="64.80000305175781" hidden="0" customHeight="1">
      <x:c r="A2966" s="27" t="str">
        <x:v>SCA-24</x:v>
      </x:c>
      <x:c r="B2966" s="27" t="str">
        <x:v>SCA-29</x:v>
      </x:c>
      <x:c r="C2966" s="27" t="str">
        <x:v>Rail</x:v>
      </x:c>
      <x:c r="D2966" s="27" t="str">
        <x:v>YES</x:v>
      </x:c>
      <x:c r="E2966" s="27" t="str">
        <x:v>YES</x:v>
      </x:c>
      <x:c r="F2966" s="61" t="n">
        <x:v>1137.3272708920722</x:v>
      </x:c>
      <x:c r="G2966" s="61" t="n">
        <x:v>42.247532441315315</x:v>
      </x:c>
      <x:c r="H2966" s="27" t="str">
        <x:v>YES</x:v>
      </x:c>
      <x:c r="I2966" s="27" t="str">
        <x:v>NARN shared-node topology; deployable terminal required</x:v>
      </x:c>
      <x:c r="J2966" s="27" t="str">
        <x:v>presence does not prove operability or capacity</x:v>
      </x:c>
    </x:row>
    <x:row r="2967" ht="54" hidden="0" customHeight="1">
      <x:c r="A2967" s="29" t="str">
        <x:v>SCA-24</x:v>
      </x:c>
      <x:c r="B2967" s="29" t="str">
        <x:v>SCA-29</x:v>
      </x:c>
      <x:c r="C2967" s="29" t="str">
        <x:v>Air</x:v>
      </x:c>
      <x:c r="D2967" s="29" t="str">
        <x:v>YES</x:v>
      </x:c>
      <x:c r="E2967" s="29" t="str">
        <x:v>YES</x:v>
      </x:c>
      <x:c r="F2967" s="62" t="n">
        <x:v>831.1134008876988</x:v>
      </x:c>
      <x:c r="G2967" s="62" t="n">
        <x:v>25.27863600136569</x:v>
      </x:c>
      <x:c r="H2967" s="29" t="str">
        <x:v>YES</x:v>
      </x:c>
      <x:c r="I2967" s="29" t="str">
        <x:v>primary-airport endpoints; great-circle screen</x:v>
      </x:c>
      <x:c r="J2967" s="29" t="str">
        <x:v>presence does not prove operability or capacity</x:v>
      </x:c>
    </x:row>
    <x:row r="2968" ht="75.5999984741211" hidden="0" customHeight="1">
      <x:c r="A2968" s="27" t="str">
        <x:v>SCA-24</x:v>
      </x:c>
      <x:c r="B2968" s="27" t="str">
        <x:v>SCA-29</x:v>
      </x:c>
      <x:c r="C2968" s="27" t="str">
        <x:v>Water</x:v>
      </x:c>
      <x:c r="D2968" s="27" t="str">
        <x:v>YES</x:v>
      </x:c>
      <x:c r="E2968" s="27" t="str">
        <x:v>YES</x:v>
      </x:c>
      <x:c r="F2968" s="61" t="n">
        <x:v>1193.2613989687316</x:v>
      </x:c>
      <x:c r="G2968" s="61" t="n">
        <x:v>64.09318282767805</x:v>
      </x:c>
      <x:c r="H2968" s="27" t="str">
        <x:v>YES</x:v>
      </x:c>
      <x:c r="I2968" s="27" t="str">
        <x:v>USACE waterway node topology; deployable terminal required</x:v>
      </x:c>
      <x:c r="J2968" s="27" t="str">
        <x:v>presence does not prove operability or capacity</x:v>
      </x:c>
    </x:row>
    <x:row r="2969" ht="54" hidden="0" customHeight="1">
      <x:c r="A2969" s="29" t="str">
        <x:v>SCA-24</x:v>
      </x:c>
      <x:c r="B2969" s="29" t="str">
        <x:v>SCA-30</x:v>
      </x:c>
      <x:c r="C2969" s="29" t="str">
        <x:v>Road</x:v>
      </x:c>
      <x:c r="D2969" s="29" t="str">
        <x:v>YES</x:v>
      </x:c>
      <x:c r="E2969" s="29" t="str">
        <x:v>YES</x:v>
      </x:c>
      <x:c r="F2969" s="62" t="n">
        <x:v>959.3792124899044</x:v>
      </x:c>
      <x:c r="G2969" s="62" t="n">
        <x:v>37.443258408907354</x:v>
      </x:c>
      <x:c r="H2969" s="29" t="str">
        <x:v>YES</x:v>
      </x:c>
      <x:c r="I2969" s="29" t="str">
        <x:v>NHPN-gated shared-boundary SCA path</x:v>
      </x:c>
      <x:c r="J2969" s="29" t="str">
        <x:v>presence does not prove operability or capacity</x:v>
      </x:c>
    </x:row>
    <x:row r="2970" ht="64.80000305175781" hidden="0" customHeight="1">
      <x:c r="A2970" s="27" t="str">
        <x:v>SCA-24</x:v>
      </x:c>
      <x:c r="B2970" s="27" t="str">
        <x:v>SCA-30</x:v>
      </x:c>
      <x:c r="C2970" s="27" t="str">
        <x:v>Rail</x:v>
      </x:c>
      <x:c r="D2970" s="27" t="str">
        <x:v>YES</x:v>
      </x:c>
      <x:c r="E2970" s="27" t="str">
        <x:v>YES</x:v>
      </x:c>
      <x:c r="F2970" s="61" t="n">
        <x:v>1017.7762080327678</x:v>
      </x:c>
      <x:c r="G2970" s="61" t="n">
        <x:v>40.53966011475383</x:v>
      </x:c>
      <x:c r="H2970" s="27" t="str">
        <x:v>YES</x:v>
      </x:c>
      <x:c r="I2970" s="27" t="str">
        <x:v>NARN shared-node topology; deployable terminal required</x:v>
      </x:c>
      <x:c r="J2970" s="27" t="str">
        <x:v>presence does not prove operability or capacity</x:v>
      </x:c>
    </x:row>
    <x:row r="2971" ht="54" hidden="0" customHeight="1">
      <x:c r="A2971" s="29" t="str">
        <x:v>SCA-24</x:v>
      </x:c>
      <x:c r="B2971" s="29" t="str">
        <x:v>SCA-30</x:v>
      </x:c>
      <x:c r="C2971" s="29" t="str">
        <x:v>Air</x:v>
      </x:c>
      <x:c r="D2971" s="29" t="str">
        <x:v>YES</x:v>
      </x:c>
      <x:c r="E2971" s="29" t="str">
        <x:v>YES</x:v>
      </x:c>
      <x:c r="F2971" s="62" t="n">
        <x:v>789.0501586463954</x:v>
      </x:c>
      <x:c r="G2971" s="62" t="n">
        <x:v>25.213923320994454</x:v>
      </x:c>
      <x:c r="H2971" s="29" t="str">
        <x:v>YES</x:v>
      </x:c>
      <x:c r="I2971" s="29" t="str">
        <x:v>primary-airport endpoints; great-circle screen</x:v>
      </x:c>
      <x:c r="J2971" s="29" t="str">
        <x:v>presence does not prove operability or capacity</x:v>
      </x:c>
    </x:row>
    <x:row r="2972" ht="75.5999984741211" hidden="0" customHeight="1">
      <x:c r="A2972" s="27" t="str">
        <x:v>SCA-24</x:v>
      </x:c>
      <x:c r="B2972" s="27" t="str">
        <x:v>SCA-30</x:v>
      </x:c>
      <x:c r="C2972" s="27" t="str">
        <x:v>Water</x:v>
      </x:c>
      <x:c r="D2972" s="27" t="str">
        <x:v>YES</x:v>
      </x:c>
      <x:c r="E2972" s="27" t="str">
        <x:v>YES</x:v>
      </x:c>
      <x:c r="F2972" s="61" t="n">
        <x:v>1067.8307756409367</x:v>
      </x:c>
      <x:c r="G2972" s="61" t="n">
        <x:v>60.5094507325982</x:v>
      </x:c>
      <x:c r="H2972" s="27" t="str">
        <x:v>YES</x:v>
      </x:c>
      <x:c r="I2972" s="27" t="str">
        <x:v>USACE waterway node topology; deployable terminal required</x:v>
      </x:c>
      <x:c r="J2972" s="27" t="str">
        <x:v>presence does not prove operability or capacity</x:v>
      </x:c>
    </x:row>
    <x:row r="2973" ht="54" hidden="0" customHeight="1">
      <x:c r="A2973" s="29" t="str">
        <x:v>SCA-24</x:v>
      </x:c>
      <x:c r="B2973" s="29" t="str">
        <x:v>SCA-31</x:v>
      </x:c>
      <x:c r="C2973" s="29" t="str">
        <x:v>Road</x:v>
      </x:c>
      <x:c r="D2973" s="29" t="str">
        <x:v>YES</x:v>
      </x:c>
      <x:c r="E2973" s="29" t="str">
        <x:v>YES</x:v>
      </x:c>
      <x:c r="F2973" s="62" t="n">
        <x:v>1352.4613576764104</x:v>
      </x:c>
      <x:c r="G2973" s="62" t="n">
        <x:v>44.59020650320746</x:v>
      </x:c>
      <x:c r="H2973" s="29" t="str">
        <x:v>YES</x:v>
      </x:c>
      <x:c r="I2973" s="29" t="str">
        <x:v>NHPN-gated shared-boundary SCA path</x:v>
      </x:c>
      <x:c r="J2973" s="29" t="str">
        <x:v>presence does not prove operability or capacity</x:v>
      </x:c>
    </x:row>
    <x:row r="2974" ht="64.80000305175781" hidden="0" customHeight="1">
      <x:c r="A2974" s="27" t="str">
        <x:v>SCA-24</x:v>
      </x:c>
      <x:c r="B2974" s="27" t="str">
        <x:v>SCA-31</x:v>
      </x:c>
      <x:c r="C2974" s="27" t="str">
        <x:v>Rail</x:v>
      </x:c>
      <x:c r="D2974" s="27" t="str">
        <x:v>YES</x:v>
      </x:c>
      <x:c r="E2974" s="27" t="str">
        <x:v>YES</x:v>
      </x:c>
      <x:c r="F2974" s="61" t="n">
        <x:v>1434.7850924914958</x:v>
      </x:c>
      <x:c r="G2974" s="61" t="n">
        <x:v>46.49692989273565</x:v>
      </x:c>
      <x:c r="H2974" s="27" t="str">
        <x:v>YES</x:v>
      </x:c>
      <x:c r="I2974" s="27" t="str">
        <x:v>NARN shared-node topology; deployable terminal required</x:v>
      </x:c>
      <x:c r="J2974" s="27" t="str">
        <x:v>presence does not prove operability or capacity</x:v>
      </x:c>
    </x:row>
    <x:row r="2975" ht="54" hidden="0" customHeight="1">
      <x:c r="A2975" s="29" t="str">
        <x:v>SCA-24</x:v>
      </x:c>
      <x:c r="B2975" s="29" t="str">
        <x:v>SCA-31</x:v>
      </x:c>
      <x:c r="C2975" s="29" t="str">
        <x:v>Air</x:v>
      </x:c>
      <x:c r="D2975" s="29" t="str">
        <x:v>YES</x:v>
      </x:c>
      <x:c r="E2975" s="29" t="str">
        <x:v>YES</x:v>
      </x:c>
      <x:c r="F2975" s="62" t="n">
        <x:v>999.8860195669783</x:v>
      </x:c>
      <x:c r="G2975" s="62" t="n">
        <x:v>25.538286183949197</x:v>
      </x:c>
      <x:c r="H2975" s="29" t="str">
        <x:v>YES</x:v>
      </x:c>
      <x:c r="I2975" s="29" t="str">
        <x:v>primary-airport endpoints; great-circle screen</x:v>
      </x:c>
      <x:c r="J2975" s="29" t="str">
        <x:v>presence does not prove operability or capacity</x:v>
      </x:c>
    </x:row>
    <x:row r="2976" ht="75.5999984741211" hidden="0" customHeight="1">
      <x:c r="A2976" s="27" t="str">
        <x:v>SCA-24</x:v>
      </x:c>
      <x:c r="B2976" s="27" t="str">
        <x:v>SCA-31</x:v>
      </x:c>
      <x:c r="C2976" s="27" t="str">
        <x:v>Water</x:v>
      </x:c>
      <x:c r="D2976" s="27" t="str">
        <x:v>YES</x:v>
      </x:c>
      <x:c r="E2976" s="27" t="str">
        <x:v>YES</x:v>
      </x:c>
      <x:c r="F2976" s="61" t="n">
        <x:v>1505.3482937615693</x:v>
      </x:c>
      <x:c r="G2976" s="61" t="n">
        <x:v>73.00995125033054</x:v>
      </x:c>
      <x:c r="H2976" s="27" t="str">
        <x:v>NO</x:v>
      </x:c>
      <x:c r="I2976" s="27" t="str">
        <x:v>USACE waterway node topology; deployable terminal required</x:v>
      </x:c>
      <x:c r="J2976" s="27" t="str">
        <x:v>presence does not prove operability or capacity</x:v>
      </x:c>
    </x:row>
    <x:row r="2977" ht="54" hidden="0" customHeight="1">
      <x:c r="A2977" s="29" t="str">
        <x:v>SCA-24</x:v>
      </x:c>
      <x:c r="B2977" s="29" t="str">
        <x:v>SCA-32</x:v>
      </x:c>
      <x:c r="C2977" s="29" t="str">
        <x:v>Road</x:v>
      </x:c>
      <x:c r="D2977" s="29" t="str">
        <x:v>NO</x:v>
      </x:c>
      <x:c r="E2977" s="29" t="str">
        <x:v>NO</x:v>
      </x:c>
      <x:c r="F2977" s="62"/>
      <x:c r="G2977" s="62"/>
      <x:c r="H2977" s="29" t="str">
        <x:v>NO</x:v>
      </x:c>
      <x:c r="I2977" s="29" t="str">
        <x:v>no screened path</x:v>
      </x:c>
      <x:c r="J2977" s="29" t="str">
        <x:v>presence does not prove operability or capacity</x:v>
      </x:c>
    </x:row>
    <x:row r="2978" ht="54" hidden="0" customHeight="1">
      <x:c r="A2978" s="27" t="str">
        <x:v>SCA-24</x:v>
      </x:c>
      <x:c r="B2978" s="27" t="str">
        <x:v>SCA-32</x:v>
      </x:c>
      <x:c r="C2978" s="27" t="str">
        <x:v>Rail</x:v>
      </x:c>
      <x:c r="D2978" s="27" t="str">
        <x:v>NO</x:v>
      </x:c>
      <x:c r="E2978" s="27" t="str">
        <x:v>NO</x:v>
      </x:c>
      <x:c r="F2978" s="61"/>
      <x:c r="G2978" s="61"/>
      <x:c r="H2978" s="27" t="str">
        <x:v>NO</x:v>
      </x:c>
      <x:c r="I2978" s="27" t="str">
        <x:v>no screened path</x:v>
      </x:c>
      <x:c r="J2978" s="27" t="str">
        <x:v>presence does not prove operability or capacity</x:v>
      </x:c>
    </x:row>
    <x:row r="2979" ht="54" hidden="0" customHeight="1">
      <x:c r="A2979" s="29" t="str">
        <x:v>SCA-24</x:v>
      </x:c>
      <x:c r="B2979" s="29" t="str">
        <x:v>SCA-32</x:v>
      </x:c>
      <x:c r="C2979" s="29" t="str">
        <x:v>Air</x:v>
      </x:c>
      <x:c r="D2979" s="29" t="str">
        <x:v>YES</x:v>
      </x:c>
      <x:c r="E2979" s="29" t="str">
        <x:v>YES</x:v>
      </x:c>
      <x:c r="F2979" s="62" t="n">
        <x:v>3145.2813140978756</x:v>
      </x:c>
      <x:c r="G2979" s="62" t="n">
        <x:v>28.838894329381347</x:v>
      </x:c>
      <x:c r="H2979" s="29" t="str">
        <x:v>YES</x:v>
      </x:c>
      <x:c r="I2979" s="29" t="str">
        <x:v>primary-airport endpoints; great-circle screen</x:v>
      </x:c>
      <x:c r="J2979" s="29" t="str">
        <x:v>presence does not prove operability or capacity</x:v>
      </x:c>
    </x:row>
    <x:row r="2980" ht="75.5999984741211" hidden="0" customHeight="1">
      <x:c r="A2980" s="27" t="str">
        <x:v>SCA-24</x:v>
      </x:c>
      <x:c r="B2980" s="27" t="str">
        <x:v>SCA-32</x:v>
      </x:c>
      <x:c r="C2980" s="27" t="str">
        <x:v>Water</x:v>
      </x:c>
      <x:c r="D2980" s="27" t="str">
        <x:v>YES</x:v>
      </x:c>
      <x:c r="E2980" s="27" t="str">
        <x:v>YES</x:v>
      </x:c>
      <x:c r="F2980" s="61" t="n">
        <x:v>4163.075618975311</x:v>
      </x:c>
      <x:c r="G2980" s="61" t="n">
        <x:v>148.9450176850089</x:v>
      </x:c>
      <x:c r="H2980" s="27" t="str">
        <x:v>NO</x:v>
      </x:c>
      <x:c r="I2980" s="27" t="str">
        <x:v>USACE waterway node topology; deployable terminal required</x:v>
      </x:c>
      <x:c r="J2980" s="27" t="str">
        <x:v>presence does not prove operability or capacity</x:v>
      </x:c>
    </x:row>
    <x:row r="2981" ht="54" hidden="0" customHeight="1">
      <x:c r="A2981" s="29" t="str">
        <x:v>SCA-25</x:v>
      </x:c>
      <x:c r="B2981" s="29" t="str">
        <x:v>SCA-01</x:v>
      </x:c>
      <x:c r="C2981" s="29" t="str">
        <x:v>Road</x:v>
      </x:c>
      <x:c r="D2981" s="29" t="str">
        <x:v>NO</x:v>
      </x:c>
      <x:c r="E2981" s="29" t="str">
        <x:v>NO</x:v>
      </x:c>
      <x:c r="F2981" s="62"/>
      <x:c r="G2981" s="62"/>
      <x:c r="H2981" s="29" t="str">
        <x:v>NO</x:v>
      </x:c>
      <x:c r="I2981" s="29" t="str">
        <x:v>no screened path</x:v>
      </x:c>
      <x:c r="J2981" s="29" t="str">
        <x:v>presence does not prove operability or capacity</x:v>
      </x:c>
    </x:row>
    <x:row r="2982" ht="54" hidden="0" customHeight="1">
      <x:c r="A2982" s="27" t="str">
        <x:v>SCA-25</x:v>
      </x:c>
      <x:c r="B2982" s="27" t="str">
        <x:v>SCA-01</x:v>
      </x:c>
      <x:c r="C2982" s="27" t="str">
        <x:v>Rail</x:v>
      </x:c>
      <x:c r="D2982" s="27" t="str">
        <x:v>NO</x:v>
      </x:c>
      <x:c r="E2982" s="27" t="str">
        <x:v>NO</x:v>
      </x:c>
      <x:c r="F2982" s="61"/>
      <x:c r="G2982" s="61"/>
      <x:c r="H2982" s="27" t="str">
        <x:v>NO</x:v>
      </x:c>
      <x:c r="I2982" s="27" t="str">
        <x:v>no screened path</x:v>
      </x:c>
      <x:c r="J2982" s="27" t="str">
        <x:v>presence does not prove operability or capacity</x:v>
      </x:c>
    </x:row>
    <x:row r="2983" ht="54" hidden="0" customHeight="1">
      <x:c r="A2983" s="29" t="str">
        <x:v>SCA-25</x:v>
      </x:c>
      <x:c r="B2983" s="29" t="str">
        <x:v>SCA-01</x:v>
      </x:c>
      <x:c r="C2983" s="29" t="str">
        <x:v>Air</x:v>
      </x:c>
      <x:c r="D2983" s="29" t="str">
        <x:v>YES</x:v>
      </x:c>
      <x:c r="E2983" s="29" t="str">
        <x:v>YES</x:v>
      </x:c>
      <x:c r="F2983" s="62" t="n">
        <x:v>7501.685157546965</x:v>
      </x:c>
      <x:c r="G2983" s="62" t="n">
        <x:v>35.54105408853379</x:v>
      </x:c>
      <x:c r="H2983" s="29" t="str">
        <x:v>YES</x:v>
      </x:c>
      <x:c r="I2983" s="29" t="str">
        <x:v>primary-airport endpoints; great-circle screen</x:v>
      </x:c>
      <x:c r="J2983" s="29" t="str">
        <x:v>presence does not prove operability or capacity</x:v>
      </x:c>
    </x:row>
    <x:row r="2984" ht="75.5999984741211" hidden="0" customHeight="1">
      <x:c r="A2984" s="27" t="str">
        <x:v>SCA-25</x:v>
      </x:c>
      <x:c r="B2984" s="27" t="str">
        <x:v>SCA-01</x:v>
      </x:c>
      <x:c r="C2984" s="27" t="str">
        <x:v>Water</x:v>
      </x:c>
      <x:c r="D2984" s="27" t="str">
        <x:v>YES</x:v>
      </x:c>
      <x:c r="E2984" s="27" t="str">
        <x:v>YES</x:v>
      </x:c>
      <x:c r="F2984" s="61" t="n">
        <x:v>10707.229838973995</x:v>
      </x:c>
      <x:c r="G2984" s="61" t="n">
        <x:v>335.9208525421142</x:v>
      </x:c>
      <x:c r="H2984" s="27" t="str">
        <x:v>NO</x:v>
      </x:c>
      <x:c r="I2984" s="27" t="str">
        <x:v>USACE waterway node topology; deployable terminal required</x:v>
      </x:c>
      <x:c r="J2984" s="27" t="str">
        <x:v>presence does not prove operability or capacity</x:v>
      </x:c>
    </x:row>
    <x:row r="2985" ht="54" hidden="0" customHeight="1">
      <x:c r="A2985" s="29" t="str">
        <x:v>SCA-25</x:v>
      </x:c>
      <x:c r="B2985" s="29" t="str">
        <x:v>SCA-02</x:v>
      </x:c>
      <x:c r="C2985" s="29" t="str">
        <x:v>Road</x:v>
      </x:c>
      <x:c r="D2985" s="29" t="str">
        <x:v>NO</x:v>
      </x:c>
      <x:c r="E2985" s="29" t="str">
        <x:v>NO</x:v>
      </x:c>
      <x:c r="F2985" s="62"/>
      <x:c r="G2985" s="62"/>
      <x:c r="H2985" s="29" t="str">
        <x:v>NO</x:v>
      </x:c>
      <x:c r="I2985" s="29" t="str">
        <x:v>no screened path</x:v>
      </x:c>
      <x:c r="J2985" s="29" t="str">
        <x:v>presence does not prove operability or capacity</x:v>
      </x:c>
    </x:row>
    <x:row r="2986" ht="54" hidden="0" customHeight="1">
      <x:c r="A2986" s="27" t="str">
        <x:v>SCA-25</x:v>
      </x:c>
      <x:c r="B2986" s="27" t="str">
        <x:v>SCA-02</x:v>
      </x:c>
      <x:c r="C2986" s="27" t="str">
        <x:v>Rail</x:v>
      </x:c>
      <x:c r="D2986" s="27" t="str">
        <x:v>NO</x:v>
      </x:c>
      <x:c r="E2986" s="27" t="str">
        <x:v>NO</x:v>
      </x:c>
      <x:c r="F2986" s="61"/>
      <x:c r="G2986" s="61"/>
      <x:c r="H2986" s="27" t="str">
        <x:v>NO</x:v>
      </x:c>
      <x:c r="I2986" s="27" t="str">
        <x:v>no screened path</x:v>
      </x:c>
      <x:c r="J2986" s="27" t="str">
        <x:v>presence does not prove operability or capacity</x:v>
      </x:c>
    </x:row>
    <x:row r="2987" ht="54" hidden="0" customHeight="1">
      <x:c r="A2987" s="29" t="str">
        <x:v>SCA-25</x:v>
      </x:c>
      <x:c r="B2987" s="29" t="str">
        <x:v>SCA-02</x:v>
      </x:c>
      <x:c r="C2987" s="29" t="str">
        <x:v>Air</x:v>
      </x:c>
      <x:c r="D2987" s="29" t="str">
        <x:v>YES</x:v>
      </x:c>
      <x:c r="E2987" s="29" t="str">
        <x:v>YES</x:v>
      </x:c>
      <x:c r="F2987" s="62" t="n">
        <x:v>5701.727367291284</x:v>
      </x:c>
      <x:c r="G2987" s="62" t="n">
        <x:v>32.7718882573712</x:v>
      </x:c>
      <x:c r="H2987" s="29" t="str">
        <x:v>YES</x:v>
      </x:c>
      <x:c r="I2987" s="29" t="str">
        <x:v>primary-airport endpoints; great-circle screen</x:v>
      </x:c>
      <x:c r="J2987" s="29" t="str">
        <x:v>presence does not prove operability or capacity</x:v>
      </x:c>
    </x:row>
    <x:row r="2988" ht="75.5999984741211" hidden="0" customHeight="1">
      <x:c r="A2988" s="27" t="str">
        <x:v>SCA-25</x:v>
      </x:c>
      <x:c r="B2988" s="27" t="str">
        <x:v>SCA-02</x:v>
      </x:c>
      <x:c r="C2988" s="27" t="str">
        <x:v>Water</x:v>
      </x:c>
      <x:c r="D2988" s="27" t="str">
        <x:v>YES</x:v>
      </x:c>
      <x:c r="E2988" s="27" t="str">
        <x:v>YES</x:v>
      </x:c>
      <x:c r="F2988" s="61" t="n">
        <x:v>8726.26267348525</x:v>
      </x:c>
      <x:c r="G2988" s="61" t="n">
        <x:v>279.3217906710071</x:v>
      </x:c>
      <x:c r="H2988" s="27" t="str">
        <x:v>NO</x:v>
      </x:c>
      <x:c r="I2988" s="27" t="str">
        <x:v>USACE waterway node topology; deployable terminal required</x:v>
      </x:c>
      <x:c r="J2988" s="27" t="str">
        <x:v>presence does not prove operability or capacity</x:v>
      </x:c>
    </x:row>
    <x:row r="2989" ht="54" hidden="0" customHeight="1">
      <x:c r="A2989" s="29" t="str">
        <x:v>SCA-25</x:v>
      </x:c>
      <x:c r="B2989" s="29" t="str">
        <x:v>SCA-03</x:v>
      </x:c>
      <x:c r="C2989" s="29" t="str">
        <x:v>Road</x:v>
      </x:c>
      <x:c r="D2989" s="29" t="str">
        <x:v>YES</x:v>
      </x:c>
      <x:c r="E2989" s="29" t="str">
        <x:v>YES</x:v>
      </x:c>
      <x:c r="F2989" s="62" t="n">
        <x:v>4591.8153740473845</x:v>
      </x:c>
      <x:c r="G2989" s="62" t="n">
        <x:v>103.487552255407</x:v>
      </x:c>
      <x:c r="H2989" s="29" t="str">
        <x:v>NO</x:v>
      </x:c>
      <x:c r="I2989" s="29" t="str">
        <x:v>NHPN-gated shared-boundary SCA path</x:v>
      </x:c>
      <x:c r="J2989" s="29" t="str">
        <x:v>presence does not prove operability or capacity</x:v>
      </x:c>
    </x:row>
    <x:row r="2990" ht="64.80000305175781" hidden="0" customHeight="1">
      <x:c r="A2990" s="27" t="str">
        <x:v>SCA-25</x:v>
      </x:c>
      <x:c r="B2990" s="27" t="str">
        <x:v>SCA-03</x:v>
      </x:c>
      <x:c r="C2990" s="27" t="str">
        <x:v>Rail</x:v>
      </x:c>
      <x:c r="D2990" s="27" t="str">
        <x:v>YES</x:v>
      </x:c>
      <x:c r="E2990" s="27" t="str">
        <x:v>YES</x:v>
      </x:c>
      <x:c r="F2990" s="61" t="n">
        <x:v>4871.3171794241825</x:v>
      </x:c>
      <x:c r="G2990" s="61" t="n">
        <x:v>95.59024542034547</x:v>
      </x:c>
      <x:c r="H2990" s="27" t="str">
        <x:v>NO</x:v>
      </x:c>
      <x:c r="I2990" s="27" t="str">
        <x:v>NARN shared-node topology; deployable terminal required</x:v>
      </x:c>
      <x:c r="J2990" s="27" t="str">
        <x:v>presence does not prove operability or capacity</x:v>
      </x:c>
    </x:row>
    <x:row r="2991" ht="54" hidden="0" customHeight="1">
      <x:c r="A2991" s="29" t="str">
        <x:v>SCA-25</x:v>
      </x:c>
      <x:c r="B2991" s="29" t="str">
        <x:v>SCA-03</x:v>
      </x:c>
      <x:c r="C2991" s="29" t="str">
        <x:v>Air</x:v>
      </x:c>
      <x:c r="D2991" s="29" t="str">
        <x:v>YES</x:v>
      </x:c>
      <x:c r="E2991" s="29" t="str">
        <x:v>YES</x:v>
      </x:c>
      <x:c r="F2991" s="62" t="n">
        <x:v>3822.093500834457</x:v>
      </x:c>
      <x:c r="G2991" s="62" t="n">
        <x:v>29.880143847437626</x:v>
      </x:c>
      <x:c r="H2991" s="29" t="str">
        <x:v>YES</x:v>
      </x:c>
      <x:c r="I2991" s="29" t="str">
        <x:v>primary-airport endpoints; great-circle screen</x:v>
      </x:c>
      <x:c r="J2991" s="29" t="str">
        <x:v>presence does not prove operability or capacity</x:v>
      </x:c>
    </x:row>
    <x:row r="2992" ht="75.5999984741211" hidden="0" customHeight="1">
      <x:c r="A2992" s="27" t="str">
        <x:v>SCA-25</x:v>
      </x:c>
      <x:c r="B2992" s="27" t="str">
        <x:v>SCA-03</x:v>
      </x:c>
      <x:c r="C2992" s="27" t="str">
        <x:v>Water</x:v>
      </x:c>
      <x:c r="D2992" s="27" t="str">
        <x:v>YES</x:v>
      </x:c>
      <x:c r="E2992" s="27" t="str">
        <x:v>YES</x:v>
      </x:c>
      <x:c r="F2992" s="61" t="n">
        <x:v>7316.46852630234</x:v>
      </x:c>
      <x:c r="G2992" s="61" t="n">
        <x:v>239.04195789435258</x:v>
      </x:c>
      <x:c r="H2992" s="27" t="str">
        <x:v>NO</x:v>
      </x:c>
      <x:c r="I2992" s="27" t="str">
        <x:v>USACE waterway node topology; deployable terminal required</x:v>
      </x:c>
      <x:c r="J2992" s="27" t="str">
        <x:v>presence does not prove operability or capacity</x:v>
      </x:c>
    </x:row>
    <x:row r="2993" ht="54" hidden="0" customHeight="1">
      <x:c r="A2993" s="29" t="str">
        <x:v>SCA-25</x:v>
      </x:c>
      <x:c r="B2993" s="29" t="str">
        <x:v>SCA-04</x:v>
      </x:c>
      <x:c r="C2993" s="29" t="str">
        <x:v>Road</x:v>
      </x:c>
      <x:c r="D2993" s="29" t="str">
        <x:v>YES</x:v>
      </x:c>
      <x:c r="E2993" s="29" t="str">
        <x:v>YES</x:v>
      </x:c>
      <x:c r="F2993" s="62" t="n">
        <x:v>4616.946917709802</x:v>
      </x:c>
      <x:c r="G2993" s="62" t="n">
        <x:v>103.94448941290548</x:v>
      </x:c>
      <x:c r="H2993" s="29" t="str">
        <x:v>NO</x:v>
      </x:c>
      <x:c r="I2993" s="29" t="str">
        <x:v>NHPN-gated shared-boundary SCA path</x:v>
      </x:c>
      <x:c r="J2993" s="29" t="str">
        <x:v>presence does not prove operability or capacity</x:v>
      </x:c>
    </x:row>
    <x:row r="2994" ht="64.80000305175781" hidden="0" customHeight="1">
      <x:c r="A2994" s="27" t="str">
        <x:v>SCA-25</x:v>
      </x:c>
      <x:c r="B2994" s="27" t="str">
        <x:v>SCA-04</x:v>
      </x:c>
      <x:c r="C2994" s="27" t="str">
        <x:v>Rail</x:v>
      </x:c>
      <x:c r="D2994" s="27" t="str">
        <x:v>YES</x:v>
      </x:c>
      <x:c r="E2994" s="27" t="str">
        <x:v>YES</x:v>
      </x:c>
      <x:c r="F2994" s="61" t="n">
        <x:v>5022.174039598728</x:v>
      </x:c>
      <x:c r="G2994" s="61" t="n">
        <x:v>97.74534342283897</x:v>
      </x:c>
      <x:c r="H2994" s="27" t="str">
        <x:v>NO</x:v>
      </x:c>
      <x:c r="I2994" s="27" t="str">
        <x:v>NARN shared-node topology; deployable terminal required</x:v>
      </x:c>
      <x:c r="J2994" s="27" t="str">
        <x:v>presence does not prove operability or capacity</x:v>
      </x:c>
    </x:row>
    <x:row r="2995" ht="54" hidden="0" customHeight="1">
      <x:c r="A2995" s="29" t="str">
        <x:v>SCA-25</x:v>
      </x:c>
      <x:c r="B2995" s="29" t="str">
        <x:v>SCA-04</x:v>
      </x:c>
      <x:c r="C2995" s="29" t="str">
        <x:v>Air</x:v>
      </x:c>
      <x:c r="D2995" s="29" t="str">
        <x:v>YES</x:v>
      </x:c>
      <x:c r="E2995" s="29" t="str">
        <x:v>YES</x:v>
      </x:c>
      <x:c r="F2995" s="62" t="n">
        <x:v>3689.1858478762847</x:v>
      </x:c>
      <x:c r="G2995" s="62" t="n">
        <x:v>29.675670535194286</x:v>
      </x:c>
      <x:c r="H2995" s="29" t="str">
        <x:v>YES</x:v>
      </x:c>
      <x:c r="I2995" s="29" t="str">
        <x:v>primary-airport endpoints; great-circle screen</x:v>
      </x:c>
      <x:c r="J2995" s="29" t="str">
        <x:v>presence does not prove operability or capacity</x:v>
      </x:c>
    </x:row>
    <x:row r="2996" ht="75.5999984741211" hidden="0" customHeight="1">
      <x:c r="A2996" s="27" t="str">
        <x:v>SCA-25</x:v>
      </x:c>
      <x:c r="B2996" s="27" t="str">
        <x:v>SCA-04</x:v>
      </x:c>
      <x:c r="C2996" s="27" t="str">
        <x:v>Water</x:v>
      </x:c>
      <x:c r="D2996" s="27" t="str">
        <x:v>YES</x:v>
      </x:c>
      <x:c r="E2996" s="27" t="str">
        <x:v>YES</x:v>
      </x:c>
      <x:c r="F2996" s="61" t="n">
        <x:v>6104.210317921373</x:v>
      </x:c>
      <x:c r="G2996" s="61" t="n">
        <x:v>204.40600908346778</x:v>
      </x:c>
      <x:c r="H2996" s="27" t="str">
        <x:v>NO</x:v>
      </x:c>
      <x:c r="I2996" s="27" t="str">
        <x:v>USACE waterway node topology; deployable terminal required</x:v>
      </x:c>
      <x:c r="J2996" s="27" t="str">
        <x:v>presence does not prove operability or capacity</x:v>
      </x:c>
    </x:row>
    <x:row r="2997" ht="54" hidden="0" customHeight="1">
      <x:c r="A2997" s="29" t="str">
        <x:v>SCA-25</x:v>
      </x:c>
      <x:c r="B2997" s="29" t="str">
        <x:v>SCA-05</x:v>
      </x:c>
      <x:c r="C2997" s="29" t="str">
        <x:v>Road</x:v>
      </x:c>
      <x:c r="D2997" s="29" t="str">
        <x:v>YES</x:v>
      </x:c>
      <x:c r="E2997" s="29" t="str">
        <x:v>YES</x:v>
      </x:c>
      <x:c r="F2997" s="62" t="n">
        <x:v>4144.683362425086</x:v>
      </x:c>
      <x:c r="G2997" s="62" t="n">
        <x:v>95.35787931681975</x:v>
      </x:c>
      <x:c r="H2997" s="29" t="str">
        <x:v>NO</x:v>
      </x:c>
      <x:c r="I2997" s="29" t="str">
        <x:v>NHPN-gated shared-boundary SCA path</x:v>
      </x:c>
      <x:c r="J2997" s="29" t="str">
        <x:v>presence does not prove operability or capacity</x:v>
      </x:c>
    </x:row>
    <x:row r="2998" ht="64.80000305175781" hidden="0" customHeight="1">
      <x:c r="A2998" s="27" t="str">
        <x:v>SCA-25</x:v>
      </x:c>
      <x:c r="B2998" s="27" t="str">
        <x:v>SCA-05</x:v>
      </x:c>
      <x:c r="C2998" s="27" t="str">
        <x:v>Rail</x:v>
      </x:c>
      <x:c r="D2998" s="27" t="str">
        <x:v>YES</x:v>
      </x:c>
      <x:c r="E2998" s="27" t="str">
        <x:v>YES</x:v>
      </x:c>
      <x:c r="F2998" s="61" t="n">
        <x:v>4396.9684366596575</x:v>
      </x:c>
      <x:c r="G2998" s="61" t="n">
        <x:v>88.81383480942368</x:v>
      </x:c>
      <x:c r="H2998" s="27" t="str">
        <x:v>NO</x:v>
      </x:c>
      <x:c r="I2998" s="27" t="str">
        <x:v>NARN shared-node topology; deployable terminal required</x:v>
      </x:c>
      <x:c r="J2998" s="27" t="str">
        <x:v>presence does not prove operability or capacity</x:v>
      </x:c>
    </x:row>
    <x:row r="2999" ht="54" hidden="0" customHeight="1">
      <x:c r="A2999" s="29" t="str">
        <x:v>SCA-25</x:v>
      </x:c>
      <x:c r="B2999" s="29" t="str">
        <x:v>SCA-05</x:v>
      </x:c>
      <x:c r="C2999" s="29" t="str">
        <x:v>Air</x:v>
      </x:c>
      <x:c r="D2999" s="29" t="str">
        <x:v>YES</x:v>
      </x:c>
      <x:c r="E2999" s="29" t="str">
        <x:v>YES</x:v>
      </x:c>
      <x:c r="F2999" s="62" t="n">
        <x:v>3409.5467205855384</x:v>
      </x:c>
      <x:c r="G2999" s="62" t="n">
        <x:v>29.245456493208522</x:v>
      </x:c>
      <x:c r="H2999" s="29" t="str">
        <x:v>YES</x:v>
      </x:c>
      <x:c r="I2999" s="29" t="str">
        <x:v>primary-airport endpoints; great-circle screen</x:v>
      </x:c>
      <x:c r="J2999" s="29" t="str">
        <x:v>presence does not prove operability or capacity</x:v>
      </x:c>
    </x:row>
    <x:row r="3000" ht="75.5999984741211" hidden="0" customHeight="1">
      <x:c r="A3000" s="27" t="str">
        <x:v>SCA-25</x:v>
      </x:c>
      <x:c r="B3000" s="27" t="str">
        <x:v>SCA-05</x:v>
      </x:c>
      <x:c r="C3000" s="27" t="str">
        <x:v>Water</x:v>
      </x:c>
      <x:c r="D3000" s="27" t="str">
        <x:v>YES</x:v>
      </x:c>
      <x:c r="E3000" s="27" t="str">
        <x:v>YES</x:v>
      </x:c>
      <x:c r="F3000" s="61" t="n">
        <x:v>5448.256898444315</x:v>
      </x:c>
      <x:c r="G3000" s="61" t="n">
        <x:v>185.66448281269473</x:v>
      </x:c>
      <x:c r="H3000" s="27" t="str">
        <x:v>NO</x:v>
      </x:c>
      <x:c r="I3000" s="27" t="str">
        <x:v>USACE waterway node topology; deployable terminal required</x:v>
      </x:c>
      <x:c r="J3000" s="27" t="str">
        <x:v>presence does not prove operability or capacity</x:v>
      </x:c>
    </x:row>
    <x:row r="3001" ht="54" hidden="0" customHeight="1">
      <x:c r="A3001" s="29" t="str">
        <x:v>SCA-25</x:v>
      </x:c>
      <x:c r="B3001" s="29" t="str">
        <x:v>SCA-06</x:v>
      </x:c>
      <x:c r="C3001" s="29" t="str">
        <x:v>Road</x:v>
      </x:c>
      <x:c r="D3001" s="29" t="str">
        <x:v>YES</x:v>
      </x:c>
      <x:c r="E3001" s="29" t="str">
        <x:v>YES</x:v>
      </x:c>
      <x:c r="F3001" s="62" t="n">
        <x:v>3903.9259901449627</x:v>
      </x:c>
      <x:c r="G3001" s="62" t="n">
        <x:v>90.98047254809023</x:v>
      </x:c>
      <x:c r="H3001" s="29" t="str">
        <x:v>NO</x:v>
      </x:c>
      <x:c r="I3001" s="29" t="str">
        <x:v>NHPN-gated shared-boundary SCA path</x:v>
      </x:c>
      <x:c r="J3001" s="29" t="str">
        <x:v>presence does not prove operability or capacity</x:v>
      </x:c>
    </x:row>
    <x:row r="3002" ht="64.80000305175781" hidden="0" customHeight="1">
      <x:c r="A3002" s="27" t="str">
        <x:v>SCA-25</x:v>
      </x:c>
      <x:c r="B3002" s="27" t="str">
        <x:v>SCA-06</x:v>
      </x:c>
      <x:c r="C3002" s="27" t="str">
        <x:v>Rail</x:v>
      </x:c>
      <x:c r="D3002" s="27" t="str">
        <x:v>YES</x:v>
      </x:c>
      <x:c r="E3002" s="27" t="str">
        <x:v>YES</x:v>
      </x:c>
      <x:c r="F3002" s="61" t="n">
        <x:v>4141.556267805961</x:v>
      </x:c>
      <x:c r="G3002" s="61" t="n">
        <x:v>85.16508954008516</x:v>
      </x:c>
      <x:c r="H3002" s="27" t="str">
        <x:v>NO</x:v>
      </x:c>
      <x:c r="I3002" s="27" t="str">
        <x:v>NARN shared-node topology; deployable terminal required</x:v>
      </x:c>
      <x:c r="J3002" s="27" t="str">
        <x:v>presence does not prove operability or capacity</x:v>
      </x:c>
    </x:row>
    <x:row r="3003" ht="54" hidden="0" customHeight="1">
      <x:c r="A3003" s="29" t="str">
        <x:v>SCA-25</x:v>
      </x:c>
      <x:c r="B3003" s="29" t="str">
        <x:v>SCA-06</x:v>
      </x:c>
      <x:c r="C3003" s="29" t="str">
        <x:v>Air</x:v>
      </x:c>
      <x:c r="D3003" s="29" t="str">
        <x:v>YES</x:v>
      </x:c>
      <x:c r="E3003" s="29" t="str">
        <x:v>YES</x:v>
      </x:c>
      <x:c r="F3003" s="62" t="n">
        <x:v>3236.1610433857713</x:v>
      </x:c>
      <x:c r="G3003" s="62" t="n">
        <x:v>28.978709297516573</x:v>
      </x:c>
      <x:c r="H3003" s="29" t="str">
        <x:v>YES</x:v>
      </x:c>
      <x:c r="I3003" s="29" t="str">
        <x:v>primary-airport endpoints; great-circle screen</x:v>
      </x:c>
      <x:c r="J3003" s="29" t="str">
        <x:v>presence does not prove operability or capacity</x:v>
      </x:c>
    </x:row>
    <x:row r="3004" ht="75.5999984741211" hidden="0" customHeight="1">
      <x:c r="A3004" s="27" t="str">
        <x:v>SCA-25</x:v>
      </x:c>
      <x:c r="B3004" s="27" t="str">
        <x:v>SCA-06</x:v>
      </x:c>
      <x:c r="C3004" s="27" t="str">
        <x:v>Water</x:v>
      </x:c>
      <x:c r="D3004" s="27" t="str">
        <x:v>YES</x:v>
      </x:c>
      <x:c r="E3004" s="27" t="str">
        <x:v>YES</x:v>
      </x:c>
      <x:c r="F3004" s="61" t="n">
        <x:v>5180.283475384699</x:v>
      </x:c>
      <x:c r="G3004" s="61" t="n">
        <x:v>178.0080992967057</x:v>
      </x:c>
      <x:c r="H3004" s="27" t="str">
        <x:v>NO</x:v>
      </x:c>
      <x:c r="I3004" s="27" t="str">
        <x:v>USACE waterway node topology; deployable terminal required</x:v>
      </x:c>
      <x:c r="J3004" s="27" t="str">
        <x:v>presence does not prove operability or capacity</x:v>
      </x:c>
    </x:row>
    <x:row r="3005" ht="54" hidden="0" customHeight="1">
      <x:c r="A3005" s="29" t="str">
        <x:v>SCA-25</x:v>
      </x:c>
      <x:c r="B3005" s="29" t="str">
        <x:v>SCA-07</x:v>
      </x:c>
      <x:c r="C3005" s="29" t="str">
        <x:v>Road</x:v>
      </x:c>
      <x:c r="D3005" s="29" t="str">
        <x:v>YES</x:v>
      </x:c>
      <x:c r="E3005" s="29" t="str">
        <x:v>YES</x:v>
      </x:c>
      <x:c r="F3005" s="62" t="n">
        <x:v>3916.342731057157</x:v>
      </x:c>
      <x:c r="G3005" s="62" t="n">
        <x:v>91.2062314737665</x:v>
      </x:c>
      <x:c r="H3005" s="29" t="str">
        <x:v>NO</x:v>
      </x:c>
      <x:c r="I3005" s="29" t="str">
        <x:v>NHPN-gated shared-boundary SCA path</x:v>
      </x:c>
      <x:c r="J3005" s="29" t="str">
        <x:v>presence does not prove operability or capacity</x:v>
      </x:c>
    </x:row>
    <x:row r="3006" ht="64.80000305175781" hidden="0" customHeight="1">
      <x:c r="A3006" s="27" t="str">
        <x:v>SCA-25</x:v>
      </x:c>
      <x:c r="B3006" s="27" t="str">
        <x:v>SCA-07</x:v>
      </x:c>
      <x:c r="C3006" s="27" t="str">
        <x:v>Rail</x:v>
      </x:c>
      <x:c r="D3006" s="27" t="str">
        <x:v>YES</x:v>
      </x:c>
      <x:c r="E3006" s="27" t="str">
        <x:v>YES</x:v>
      </x:c>
      <x:c r="F3006" s="61" t="n">
        <x:v>4154.728810338897</x:v>
      </x:c>
      <x:c r="G3006" s="61" t="n">
        <x:v>85.3532687191271</x:v>
      </x:c>
      <x:c r="H3006" s="27" t="str">
        <x:v>NO</x:v>
      </x:c>
      <x:c r="I3006" s="27" t="str">
        <x:v>NARN shared-node topology; deployable terminal required</x:v>
      </x:c>
      <x:c r="J3006" s="27" t="str">
        <x:v>presence does not prove operability or capacity</x:v>
      </x:c>
    </x:row>
    <x:row r="3007" ht="54" hidden="0" customHeight="1">
      <x:c r="A3007" s="29" t="str">
        <x:v>SCA-25</x:v>
      </x:c>
      <x:c r="B3007" s="29" t="str">
        <x:v>SCA-07</x:v>
      </x:c>
      <x:c r="C3007" s="29" t="str">
        <x:v>Air</x:v>
      </x:c>
      <x:c r="D3007" s="29" t="str">
        <x:v>YES</x:v>
      </x:c>
      <x:c r="E3007" s="29" t="str">
        <x:v>YES</x:v>
      </x:c>
      <x:c r="F3007" s="62" t="n">
        <x:v>3136.100309661999</x:v>
      </x:c>
      <x:c r="G3007" s="62" t="n">
        <x:v>28.824769707172305</x:v>
      </x:c>
      <x:c r="H3007" s="29" t="str">
        <x:v>YES</x:v>
      </x:c>
      <x:c r="I3007" s="29" t="str">
        <x:v>primary-airport endpoints; great-circle screen</x:v>
      </x:c>
      <x:c r="J3007" s="29" t="str">
        <x:v>presence does not prove operability or capacity</x:v>
      </x:c>
    </x:row>
    <x:row r="3008" ht="64.80000305175781" hidden="0" customHeight="1">
      <x:c r="A3008" s="27" t="str">
        <x:v>SCA-25</x:v>
      </x:c>
      <x:c r="B3008" s="27" t="str">
        <x:v>SCA-07</x:v>
      </x:c>
      <x:c r="C3008" s="27" t="str">
        <x:v>Water</x:v>
      </x:c>
      <x:c r="D3008" s="27" t="str">
        <x:v>YES</x:v>
      </x:c>
      <x:c r="E3008" s="27" t="str">
        <x:v>YES</x:v>
      </x:c>
      <x:c r="F3008" s="61" t="n">
        <x:v>3920.1253870774985</x:v>
      </x:c>
      <x:c r="G3008" s="61" t="n">
        <x:v>142.00358248792853</x:v>
      </x:c>
      <x:c r="H3008" s="27" t="str">
        <x:v>NO</x:v>
      </x:c>
      <x:c r="I3008" s="27" t="str">
        <x:v>observed water terminals; maritime great-circle screen</x:v>
      </x:c>
      <x:c r="J3008" s="27" t="str">
        <x:v>presence does not prove operability or capacity</x:v>
      </x:c>
    </x:row>
    <x:row r="3009" ht="54" hidden="0" customHeight="1">
      <x:c r="A3009" s="29" t="str">
        <x:v>SCA-25</x:v>
      </x:c>
      <x:c r="B3009" s="29" t="str">
        <x:v>SCA-08</x:v>
      </x:c>
      <x:c r="C3009" s="29" t="str">
        <x:v>Road</x:v>
      </x:c>
      <x:c r="D3009" s="29" t="str">
        <x:v>YES</x:v>
      </x:c>
      <x:c r="E3009" s="29" t="str">
        <x:v>YES</x:v>
      </x:c>
      <x:c r="F3009" s="62" t="n">
        <x:v>3947.160498974875</x:v>
      </x:c>
      <x:c r="G3009" s="62" t="n">
        <x:v>91.76655452681591</x:v>
      </x:c>
      <x:c r="H3009" s="29" t="str">
        <x:v>NO</x:v>
      </x:c>
      <x:c r="I3009" s="29" t="str">
        <x:v>NHPN-gated shared-boundary SCA path</x:v>
      </x:c>
      <x:c r="J3009" s="29" t="str">
        <x:v>presence does not prove operability or capacity</x:v>
      </x:c>
    </x:row>
    <x:row r="3010" ht="64.80000305175781" hidden="0" customHeight="1">
      <x:c r="A3010" s="27" t="str">
        <x:v>SCA-25</x:v>
      </x:c>
      <x:c r="B3010" s="27" t="str">
        <x:v>SCA-08</x:v>
      </x:c>
      <x:c r="C3010" s="27" t="str">
        <x:v>Rail</x:v>
      </x:c>
      <x:c r="D3010" s="27" t="str">
        <x:v>YES</x:v>
      </x:c>
      <x:c r="E3010" s="27" t="str">
        <x:v>YES</x:v>
      </x:c>
      <x:c r="F3010" s="61" t="n">
        <x:v>4187.422442390737</x:v>
      </x:c>
      <x:c r="G3010" s="61" t="n">
        <x:v>85.82032060558197</x:v>
      </x:c>
      <x:c r="H3010" s="27" t="str">
        <x:v>NO</x:v>
      </x:c>
      <x:c r="I3010" s="27" t="str">
        <x:v>NARN shared-node topology; deployable terminal required</x:v>
      </x:c>
      <x:c r="J3010" s="27" t="str">
        <x:v>presence does not prove operability or capacity</x:v>
      </x:c>
    </x:row>
    <x:row r="3011" ht="54" hidden="0" customHeight="1">
      <x:c r="A3011" s="29" t="str">
        <x:v>SCA-25</x:v>
      </x:c>
      <x:c r="B3011" s="29" t="str">
        <x:v>SCA-08</x:v>
      </x:c>
      <x:c r="C3011" s="29" t="str">
        <x:v>Air</x:v>
      </x:c>
      <x:c r="D3011" s="29" t="str">
        <x:v>YES</x:v>
      </x:c>
      <x:c r="E3011" s="29" t="str">
        <x:v>YES</x:v>
      </x:c>
      <x:c r="F3011" s="62" t="n">
        <x:v>3264.945094007963</x:v>
      </x:c>
      <x:c r="G3011" s="62" t="n">
        <x:v>29.022992452319944</x:v>
      </x:c>
      <x:c r="H3011" s="29" t="str">
        <x:v>YES</x:v>
      </x:c>
      <x:c r="I3011" s="29" t="str">
        <x:v>primary-airport endpoints; great-circle screen</x:v>
      </x:c>
      <x:c r="J3011" s="29" t="str">
        <x:v>presence does not prove operability or capacity</x:v>
      </x:c>
    </x:row>
    <x:row r="3012" ht="75.5999984741211" hidden="0" customHeight="1">
      <x:c r="A3012" s="27" t="str">
        <x:v>SCA-25</x:v>
      </x:c>
      <x:c r="B3012" s="27" t="str">
        <x:v>SCA-08</x:v>
      </x:c>
      <x:c r="C3012" s="27" t="str">
        <x:v>Water</x:v>
      </x:c>
      <x:c r="D3012" s="27" t="str">
        <x:v>YES</x:v>
      </x:c>
      <x:c r="E3012" s="27" t="str">
        <x:v>YES</x:v>
      </x:c>
      <x:c r="F3012" s="61" t="n">
        <x:v>8033.997430730873</x:v>
      </x:c>
      <x:c r="G3012" s="61" t="n">
        <x:v>259.5427837351678</x:v>
      </x:c>
      <x:c r="H3012" s="27" t="str">
        <x:v>NO</x:v>
      </x:c>
      <x:c r="I3012" s="27" t="str">
        <x:v>USACE waterway node topology; deployable terminal required</x:v>
      </x:c>
      <x:c r="J3012" s="27" t="str">
        <x:v>presence does not prove operability or capacity</x:v>
      </x:c>
    </x:row>
    <x:row r="3013" ht="54" hidden="0" customHeight="1">
      <x:c r="A3013" s="29" t="str">
        <x:v>SCA-25</x:v>
      </x:c>
      <x:c r="B3013" s="29" t="str">
        <x:v>SCA-09</x:v>
      </x:c>
      <x:c r="C3013" s="29" t="str">
        <x:v>Road</x:v>
      </x:c>
      <x:c r="D3013" s="29" t="str">
        <x:v>YES</x:v>
      </x:c>
      <x:c r="E3013" s="29" t="str">
        <x:v>YES</x:v>
      </x:c>
      <x:c r="F3013" s="62" t="n">
        <x:v>3454.206538383132</x:v>
      </x:c>
      <x:c r="G3013" s="62" t="n">
        <x:v>82.80375524332968</x:v>
      </x:c>
      <x:c r="H3013" s="29" t="str">
        <x:v>NO</x:v>
      </x:c>
      <x:c r="I3013" s="29" t="str">
        <x:v>NHPN-gated shared-boundary SCA path</x:v>
      </x:c>
      <x:c r="J3013" s="29" t="str">
        <x:v>presence does not prove operability or capacity</x:v>
      </x:c>
    </x:row>
    <x:row r="3014" ht="64.80000305175781" hidden="0" customHeight="1">
      <x:c r="A3014" s="27" t="str">
        <x:v>SCA-25</x:v>
      </x:c>
      <x:c r="B3014" s="27" t="str">
        <x:v>SCA-09</x:v>
      </x:c>
      <x:c r="C3014" s="27" t="str">
        <x:v>Rail</x:v>
      </x:c>
      <x:c r="D3014" s="27" t="str">
        <x:v>YES</x:v>
      </x:c>
      <x:c r="E3014" s="27" t="str">
        <x:v>YES</x:v>
      </x:c>
      <x:c r="F3014" s="61" t="n">
        <x:v>3664.462588545584</x:v>
      </x:c>
      <x:c r="G3014" s="61" t="n">
        <x:v>78.34946555065119</x:v>
      </x:c>
      <x:c r="H3014" s="27" t="str">
        <x:v>NO</x:v>
      </x:c>
      <x:c r="I3014" s="27" t="str">
        <x:v>NARN shared-node topology; deployable terminal required</x:v>
      </x:c>
      <x:c r="J3014" s="27" t="str">
        <x:v>presence does not prove operability or capacity</x:v>
      </x:c>
    </x:row>
    <x:row r="3015" ht="54" hidden="0" customHeight="1">
      <x:c r="A3015" s="29" t="str">
        <x:v>SCA-25</x:v>
      </x:c>
      <x:c r="B3015" s="29" t="str">
        <x:v>SCA-09</x:v>
      </x:c>
      <x:c r="C3015" s="29" t="str">
        <x:v>Air</x:v>
      </x:c>
      <x:c r="D3015" s="29" t="str">
        <x:v>YES</x:v>
      </x:c>
      <x:c r="E3015" s="29" t="str">
        <x:v>YES</x:v>
      </x:c>
      <x:c r="F3015" s="62" t="n">
        <x:v>2846.410289520931</x:v>
      </x:c>
      <x:c r="G3015" s="62" t="n">
        <x:v>28.379092753109127</x:v>
      </x:c>
      <x:c r="H3015" s="29" t="str">
        <x:v>YES</x:v>
      </x:c>
      <x:c r="I3015" s="29" t="str">
        <x:v>primary-airport endpoints; great-circle screen</x:v>
      </x:c>
      <x:c r="J3015" s="29" t="str">
        <x:v>presence does not prove operability or capacity</x:v>
      </x:c>
    </x:row>
    <x:row r="3016" ht="54" hidden="0" customHeight="1">
      <x:c r="A3016" s="27" t="str">
        <x:v>SCA-25</x:v>
      </x:c>
      <x:c r="B3016" s="27" t="str">
        <x:v>SCA-09</x:v>
      </x:c>
      <x:c r="C3016" s="27" t="str">
        <x:v>Water</x:v>
      </x:c>
      <x:c r="D3016" s="27" t="str">
        <x:v>NO</x:v>
      </x:c>
      <x:c r="E3016" s="27" t="str">
        <x:v>NO</x:v>
      </x:c>
      <x:c r="F3016" s="61"/>
      <x:c r="G3016" s="61"/>
      <x:c r="H3016" s="27" t="str">
        <x:v>NO</x:v>
      </x:c>
      <x:c r="I3016" s="27" t="str">
        <x:v>no screened path</x:v>
      </x:c>
      <x:c r="J3016" s="27" t="str">
        <x:v>presence does not prove operability or capacity</x:v>
      </x:c>
    </x:row>
    <x:row r="3017" ht="54" hidden="0" customHeight="1">
      <x:c r="A3017" s="29" t="str">
        <x:v>SCA-25</x:v>
      </x:c>
      <x:c r="B3017" s="29" t="str">
        <x:v>SCA-10</x:v>
      </x:c>
      <x:c r="C3017" s="29" t="str">
        <x:v>Road</x:v>
      </x:c>
      <x:c r="D3017" s="29" t="str">
        <x:v>YES</x:v>
      </x:c>
      <x:c r="E3017" s="29" t="str">
        <x:v>YES</x:v>
      </x:c>
      <x:c r="F3017" s="62" t="n">
        <x:v>3451.58406655894</x:v>
      </x:c>
      <x:c r="G3017" s="62" t="n">
        <x:v>82.75607393743527</x:v>
      </x:c>
      <x:c r="H3017" s="29" t="str">
        <x:v>NO</x:v>
      </x:c>
      <x:c r="I3017" s="29" t="str">
        <x:v>NHPN-gated shared-boundary SCA path</x:v>
      </x:c>
      <x:c r="J3017" s="29" t="str">
        <x:v>presence does not prove operability or capacity</x:v>
      </x:c>
    </x:row>
    <x:row r="3018" ht="64.80000305175781" hidden="0" customHeight="1">
      <x:c r="A3018" s="27" t="str">
        <x:v>SCA-25</x:v>
      </x:c>
      <x:c r="B3018" s="27" t="str">
        <x:v>SCA-10</x:v>
      </x:c>
      <x:c r="C3018" s="27" t="str">
        <x:v>Rail</x:v>
      </x:c>
      <x:c r="D3018" s="27" t="str">
        <x:v>YES</x:v>
      </x:c>
      <x:c r="E3018" s="27" t="str">
        <x:v>YES</x:v>
      </x:c>
      <x:c r="F3018" s="61" t="n">
        <x:v>3661.680488001659</x:v>
      </x:c>
      <x:c r="G3018" s="61" t="n">
        <x:v>78.30972125716656</x:v>
      </x:c>
      <x:c r="H3018" s="27" t="str">
        <x:v>NO</x:v>
      </x:c>
      <x:c r="I3018" s="27" t="str">
        <x:v>NARN shared-node topology; deployable terminal required</x:v>
      </x:c>
      <x:c r="J3018" s="27" t="str">
        <x:v>presence does not prove operability or capacity</x:v>
      </x:c>
    </x:row>
    <x:row r="3019" ht="54" hidden="0" customHeight="1">
      <x:c r="A3019" s="29" t="str">
        <x:v>SCA-25</x:v>
      </x:c>
      <x:c r="B3019" s="29" t="str">
        <x:v>SCA-10</x:v>
      </x:c>
      <x:c r="C3019" s="29" t="str">
        <x:v>Air</x:v>
      </x:c>
      <x:c r="D3019" s="29" t="str">
        <x:v>YES</x:v>
      </x:c>
      <x:c r="E3019" s="29" t="str">
        <x:v>YES</x:v>
      </x:c>
      <x:c r="F3019" s="62" t="n">
        <x:v>2875.9554216856936</x:v>
      </x:c>
      <x:c r="G3019" s="62" t="n">
        <x:v>28.424546802593376</x:v>
      </x:c>
      <x:c r="H3019" s="29" t="str">
        <x:v>YES</x:v>
      </x:c>
      <x:c r="I3019" s="29" t="str">
        <x:v>primary-airport endpoints; great-circle screen</x:v>
      </x:c>
      <x:c r="J3019" s="29" t="str">
        <x:v>presence does not prove operability or capacity</x:v>
      </x:c>
    </x:row>
    <x:row r="3020" ht="54" hidden="0" customHeight="1">
      <x:c r="A3020" s="27" t="str">
        <x:v>SCA-25</x:v>
      </x:c>
      <x:c r="B3020" s="27" t="str">
        <x:v>SCA-10</x:v>
      </x:c>
      <x:c r="C3020" s="27" t="str">
        <x:v>Water</x:v>
      </x:c>
      <x:c r="D3020" s="27" t="str">
        <x:v>NO</x:v>
      </x:c>
      <x:c r="E3020" s="27" t="str">
        <x:v>NO</x:v>
      </x:c>
      <x:c r="F3020" s="61"/>
      <x:c r="G3020" s="61"/>
      <x:c r="H3020" s="27" t="str">
        <x:v>NO</x:v>
      </x:c>
      <x:c r="I3020" s="27" t="str">
        <x:v>no screened path</x:v>
      </x:c>
      <x:c r="J3020" s="27" t="str">
        <x:v>presence does not prove operability or capacity</x:v>
      </x:c>
    </x:row>
    <x:row r="3021" ht="54" hidden="0" customHeight="1">
      <x:c r="A3021" s="29" t="str">
        <x:v>SCA-25</x:v>
      </x:c>
      <x:c r="B3021" s="29" t="str">
        <x:v>SCA-11</x:v>
      </x:c>
      <x:c r="C3021" s="29" t="str">
        <x:v>Road</x:v>
      </x:c>
      <x:c r="D3021" s="29" t="str">
        <x:v>YES</x:v>
      </x:c>
      <x:c r="E3021" s="29" t="str">
        <x:v>YES</x:v>
      </x:c>
      <x:c r="F3021" s="62" t="n">
        <x:v>2702.4541869135214</x:v>
      </x:c>
      <x:c r="G3021" s="62" t="n">
        <x:v>69.13553067115492</x:v>
      </x:c>
      <x:c r="H3021" s="29" t="str">
        <x:v>YES</x:v>
      </x:c>
      <x:c r="I3021" s="29" t="str">
        <x:v>NHPN-gated shared-boundary SCA path</x:v>
      </x:c>
      <x:c r="J3021" s="29" t="str">
        <x:v>presence does not prove operability or capacity</x:v>
      </x:c>
    </x:row>
    <x:row r="3022" ht="64.80000305175781" hidden="0" customHeight="1">
      <x:c r="A3022" s="27" t="str">
        <x:v>SCA-25</x:v>
      </x:c>
      <x:c r="B3022" s="27" t="str">
        <x:v>SCA-11</x:v>
      </x:c>
      <x:c r="C3022" s="27" t="str">
        <x:v>Rail</x:v>
      </x:c>
      <x:c r="D3022" s="27" t="str">
        <x:v>YES</x:v>
      </x:c>
      <x:c r="E3022" s="27" t="str">
        <x:v>YES</x:v>
      </x:c>
      <x:c r="F3022" s="61" t="n">
        <x:v>2866.9513982908666</x:v>
      </x:c>
      <x:c r="G3022" s="61" t="n">
        <x:v>66.95644854701237</x:v>
      </x:c>
      <x:c r="H3022" s="27" t="str">
        <x:v>YES</x:v>
      </x:c>
      <x:c r="I3022" s="27" t="str">
        <x:v>NARN shared-node topology; deployable terminal required</x:v>
      </x:c>
      <x:c r="J3022" s="27" t="str">
        <x:v>presence does not prove operability or capacity</x:v>
      </x:c>
    </x:row>
    <x:row r="3023" ht="54" hidden="0" customHeight="1">
      <x:c r="A3023" s="29" t="str">
        <x:v>SCA-25</x:v>
      </x:c>
      <x:c r="B3023" s="29" t="str">
        <x:v>SCA-11</x:v>
      </x:c>
      <x:c r="C3023" s="29" t="str">
        <x:v>Air</x:v>
      </x:c>
      <x:c r="D3023" s="29" t="str">
        <x:v>YES</x:v>
      </x:c>
      <x:c r="E3023" s="29" t="str">
        <x:v>YES</x:v>
      </x:c>
      <x:c r="F3023" s="62" t="n">
        <x:v>2192.7542367696346</x:v>
      </x:c>
      <x:c r="G3023" s="62" t="n">
        <x:v>27.37346805656867</x:v>
      </x:c>
      <x:c r="H3023" s="29" t="str">
        <x:v>YES</x:v>
      </x:c>
      <x:c r="I3023" s="29" t="str">
        <x:v>primary-airport endpoints; great-circle screen</x:v>
      </x:c>
      <x:c r="J3023" s="29" t="str">
        <x:v>presence does not prove operability or capacity</x:v>
      </x:c>
    </x:row>
    <x:row r="3024" ht="54" hidden="0" customHeight="1">
      <x:c r="A3024" s="27" t="str">
        <x:v>SCA-25</x:v>
      </x:c>
      <x:c r="B3024" s="27" t="str">
        <x:v>SCA-11</x:v>
      </x:c>
      <x:c r="C3024" s="27" t="str">
        <x:v>Water</x:v>
      </x:c>
      <x:c r="D3024" s="27" t="str">
        <x:v>NO</x:v>
      </x:c>
      <x:c r="E3024" s="27" t="str">
        <x:v>NO</x:v>
      </x:c>
      <x:c r="F3024" s="61"/>
      <x:c r="G3024" s="61"/>
      <x:c r="H3024" s="27" t="str">
        <x:v>NO</x:v>
      </x:c>
      <x:c r="I3024" s="27" t="str">
        <x:v>no screened path</x:v>
      </x:c>
      <x:c r="J3024" s="27" t="str">
        <x:v>presence does not prove operability or capacity</x:v>
      </x:c>
    </x:row>
    <x:row r="3025" ht="54" hidden="0" customHeight="1">
      <x:c r="A3025" s="29" t="str">
        <x:v>SCA-25</x:v>
      </x:c>
      <x:c r="B3025" s="29" t="str">
        <x:v>SCA-12</x:v>
      </x:c>
      <x:c r="C3025" s="29" t="str">
        <x:v>Road</x:v>
      </x:c>
      <x:c r="D3025" s="29" t="str">
        <x:v>YES</x:v>
      </x:c>
      <x:c r="E3025" s="29" t="str">
        <x:v>YES</x:v>
      </x:c>
      <x:c r="F3025" s="62" t="n">
        <x:v>2775.3261043124976</x:v>
      </x:c>
      <x:c r="G3025" s="62" t="n">
        <x:v>70.46047462386359</x:v>
      </x:c>
      <x:c r="H3025" s="29" t="str">
        <x:v>YES</x:v>
      </x:c>
      <x:c r="I3025" s="29" t="str">
        <x:v>NHPN-gated shared-boundary SCA path</x:v>
      </x:c>
      <x:c r="J3025" s="29" t="str">
        <x:v>presence does not prove operability or capacity</x:v>
      </x:c>
    </x:row>
    <x:row r="3026" ht="64.80000305175781" hidden="0" customHeight="1">
      <x:c r="A3026" s="27" t="str">
        <x:v>SCA-25</x:v>
      </x:c>
      <x:c r="B3026" s="27" t="str">
        <x:v>SCA-12</x:v>
      </x:c>
      <x:c r="C3026" s="27" t="str">
        <x:v>Rail</x:v>
      </x:c>
      <x:c r="D3026" s="27" t="str">
        <x:v>YES</x:v>
      </x:c>
      <x:c r="E3026" s="27" t="str">
        <x:v>YES</x:v>
      </x:c>
      <x:c r="F3026" s="61" t="n">
        <x:v>2944.2589976184763</x:v>
      </x:c>
      <x:c r="G3026" s="61" t="n">
        <x:v>68.06084282312109</x:v>
      </x:c>
      <x:c r="H3026" s="27" t="str">
        <x:v>YES</x:v>
      </x:c>
      <x:c r="I3026" s="27" t="str">
        <x:v>NARN shared-node topology; deployable terminal required</x:v>
      </x:c>
      <x:c r="J3026" s="27" t="str">
        <x:v>presence does not prove operability or capacity</x:v>
      </x:c>
    </x:row>
    <x:row r="3027" ht="54" hidden="0" customHeight="1">
      <x:c r="A3027" s="29" t="str">
        <x:v>SCA-25</x:v>
      </x:c>
      <x:c r="B3027" s="29" t="str">
        <x:v>SCA-12</x:v>
      </x:c>
      <x:c r="C3027" s="29" t="str">
        <x:v>Air</x:v>
      </x:c>
      <x:c r="D3027" s="29" t="str">
        <x:v>YES</x:v>
      </x:c>
      <x:c r="E3027" s="29" t="str">
        <x:v>YES</x:v>
      </x:c>
      <x:c r="F3027" s="62" t="n">
        <x:v>2288.744285572977</x:v>
      </x:c>
      <x:c r="G3027" s="62" t="n">
        <x:v>27.521145054727658</x:v>
      </x:c>
      <x:c r="H3027" s="29" t="str">
        <x:v>YES</x:v>
      </x:c>
      <x:c r="I3027" s="29" t="str">
        <x:v>primary-airport endpoints; great-circle screen</x:v>
      </x:c>
      <x:c r="J3027" s="29" t="str">
        <x:v>presence does not prove operability or capacity</x:v>
      </x:c>
    </x:row>
    <x:row r="3028" ht="54" hidden="0" customHeight="1">
      <x:c r="A3028" s="27" t="str">
        <x:v>SCA-25</x:v>
      </x:c>
      <x:c r="B3028" s="27" t="str">
        <x:v>SCA-12</x:v>
      </x:c>
      <x:c r="C3028" s="27" t="str">
        <x:v>Water</x:v>
      </x:c>
      <x:c r="D3028" s="27" t="str">
        <x:v>NO</x:v>
      </x:c>
      <x:c r="E3028" s="27" t="str">
        <x:v>NO</x:v>
      </x:c>
      <x:c r="F3028" s="61"/>
      <x:c r="G3028" s="61"/>
      <x:c r="H3028" s="27" t="str">
        <x:v>NO</x:v>
      </x:c>
      <x:c r="I3028" s="27" t="str">
        <x:v>no screened path</x:v>
      </x:c>
      <x:c r="J3028" s="27" t="str">
        <x:v>presence does not prove operability or capacity</x:v>
      </x:c>
    </x:row>
    <x:row r="3029" ht="54" hidden="0" customHeight="1">
      <x:c r="A3029" s="29" t="str">
        <x:v>SCA-25</x:v>
      </x:c>
      <x:c r="B3029" s="29" t="str">
        <x:v>SCA-13</x:v>
      </x:c>
      <x:c r="C3029" s="29" t="str">
        <x:v>Road</x:v>
      </x:c>
      <x:c r="D3029" s="29" t="str">
        <x:v>NO</x:v>
      </x:c>
      <x:c r="E3029" s="29" t="str">
        <x:v>NO</x:v>
      </x:c>
      <x:c r="F3029" s="62"/>
      <x:c r="G3029" s="62"/>
      <x:c r="H3029" s="29" t="str">
        <x:v>NO</x:v>
      </x:c>
      <x:c r="I3029" s="29" t="str">
        <x:v>no screened path</x:v>
      </x:c>
      <x:c r="J3029" s="29" t="str">
        <x:v>presence does not prove operability or capacity</x:v>
      </x:c>
    </x:row>
    <x:row r="3030" ht="64.80000305175781" hidden="0" customHeight="1">
      <x:c r="A3030" s="27" t="str">
        <x:v>SCA-25</x:v>
      </x:c>
      <x:c r="B3030" s="27" t="str">
        <x:v>SCA-13</x:v>
      </x:c>
      <x:c r="C3030" s="27" t="str">
        <x:v>Rail</x:v>
      </x:c>
      <x:c r="D3030" s="27" t="str">
        <x:v>YES</x:v>
      </x:c>
      <x:c r="E3030" s="27" t="str">
        <x:v>YES</x:v>
      </x:c>
      <x:c r="F3030" s="61" t="n">
        <x:v>2330.4215512337764</x:v>
      </x:c>
      <x:c r="G3030" s="61" t="n">
        <x:v>59.29173644619681</x:v>
      </x:c>
      <x:c r="H3030" s="27" t="str">
        <x:v>YES</x:v>
      </x:c>
      <x:c r="I3030" s="27" t="str">
        <x:v>NARN shared-node topology; deployable terminal required</x:v>
      </x:c>
      <x:c r="J3030" s="27" t="str">
        <x:v>presence does not prove operability or capacity</x:v>
      </x:c>
    </x:row>
    <x:row r="3031" ht="54" hidden="0" customHeight="1">
      <x:c r="A3031" s="29" t="str">
        <x:v>SCA-25</x:v>
      </x:c>
      <x:c r="B3031" s="29" t="str">
        <x:v>SCA-13</x:v>
      </x:c>
      <x:c r="C3031" s="29" t="str">
        <x:v>Air</x:v>
      </x:c>
      <x:c r="D3031" s="29" t="str">
        <x:v>YES</x:v>
      </x:c>
      <x:c r="E3031" s="29" t="str">
        <x:v>YES</x:v>
      </x:c>
      <x:c r="F3031" s="62" t="n">
        <x:v>1542.2851956895554</x:v>
      </x:c>
      <x:c r="G3031" s="62" t="n">
        <x:v>26.37274645490701</x:v>
      </x:c>
      <x:c r="H3031" s="29" t="str">
        <x:v>YES</x:v>
      </x:c>
      <x:c r="I3031" s="29" t="str">
        <x:v>primary-airport endpoints; great-circle screen</x:v>
      </x:c>
      <x:c r="J3031" s="29" t="str">
        <x:v>presence does not prove operability or capacity</x:v>
      </x:c>
    </x:row>
    <x:row r="3032" ht="75.5999984741211" hidden="0" customHeight="1">
      <x:c r="A3032" s="27" t="str">
        <x:v>SCA-25</x:v>
      </x:c>
      <x:c r="B3032" s="27" t="str">
        <x:v>SCA-13</x:v>
      </x:c>
      <x:c r="C3032" s="27" t="str">
        <x:v>Water</x:v>
      </x:c>
      <x:c r="D3032" s="27" t="str">
        <x:v>YES</x:v>
      </x:c>
      <x:c r="E3032" s="27" t="str">
        <x:v>YES</x:v>
      </x:c>
      <x:c r="F3032" s="61" t="n">
        <x:v>2326.536110874954</x:v>
      </x:c>
      <x:c r="G3032" s="61" t="n">
        <x:v>96.47246031071298</x:v>
      </x:c>
      <x:c r="H3032" s="27" t="str">
        <x:v>NO</x:v>
      </x:c>
      <x:c r="I3032" s="27" t="str">
        <x:v>USACE waterway node topology; deployable terminal required</x:v>
      </x:c>
      <x:c r="J3032" s="27" t="str">
        <x:v>presence does not prove operability or capacity</x:v>
      </x:c>
    </x:row>
    <x:row r="3033" ht="54" hidden="0" customHeight="1">
      <x:c r="A3033" s="29" t="str">
        <x:v>SCA-25</x:v>
      </x:c>
      <x:c r="B3033" s="29" t="str">
        <x:v>SCA-14</x:v>
      </x:c>
      <x:c r="C3033" s="29" t="str">
        <x:v>Road</x:v>
      </x:c>
      <x:c r="D3033" s="29" t="str">
        <x:v>NO</x:v>
      </x:c>
      <x:c r="E3033" s="29" t="str">
        <x:v>NO</x:v>
      </x:c>
      <x:c r="F3033" s="62"/>
      <x:c r="G3033" s="62"/>
      <x:c r="H3033" s="29" t="str">
        <x:v>NO</x:v>
      </x:c>
      <x:c r="I3033" s="29" t="str">
        <x:v>no screened path</x:v>
      </x:c>
      <x:c r="J3033" s="29" t="str">
        <x:v>presence does not prove operability or capacity</x:v>
      </x:c>
    </x:row>
    <x:row r="3034" ht="64.80000305175781" hidden="0" customHeight="1">
      <x:c r="A3034" s="27" t="str">
        <x:v>SCA-25</x:v>
      </x:c>
      <x:c r="B3034" s="27" t="str">
        <x:v>SCA-14</x:v>
      </x:c>
      <x:c r="C3034" s="27" t="str">
        <x:v>Rail</x:v>
      </x:c>
      <x:c r="D3034" s="27" t="str">
        <x:v>YES</x:v>
      </x:c>
      <x:c r="E3034" s="27" t="str">
        <x:v>YES</x:v>
      </x:c>
      <x:c r="F3034" s="61" t="n">
        <x:v>2758.5511797094946</x:v>
      </x:c>
      <x:c r="G3034" s="61" t="n">
        <x:v>65.40787399584993</x:v>
      </x:c>
      <x:c r="H3034" s="27" t="str">
        <x:v>YES</x:v>
      </x:c>
      <x:c r="I3034" s="27" t="str">
        <x:v>NARN shared-node topology; deployable terminal required</x:v>
      </x:c>
      <x:c r="J3034" s="27" t="str">
        <x:v>presence does not prove operability or capacity</x:v>
      </x:c>
    </x:row>
    <x:row r="3035" ht="54" hidden="0" customHeight="1">
      <x:c r="A3035" s="29" t="str">
        <x:v>SCA-25</x:v>
      </x:c>
      <x:c r="B3035" s="29" t="str">
        <x:v>SCA-14</x:v>
      </x:c>
      <x:c r="C3035" s="29" t="str">
        <x:v>Air</x:v>
      </x:c>
      <x:c r="D3035" s="29" t="str">
        <x:v>YES</x:v>
      </x:c>
      <x:c r="E3035" s="29" t="str">
        <x:v>YES</x:v>
      </x:c>
      <x:c r="F3035" s="62" t="n">
        <x:v>1612.0788255382108</x:v>
      </x:c>
      <x:c r="G3035" s="62" t="n">
        <x:v>26.480121270058785</x:v>
      </x:c>
      <x:c r="H3035" s="29" t="str">
        <x:v>YES</x:v>
      </x:c>
      <x:c r="I3035" s="29" t="str">
        <x:v>primary-airport endpoints; great-circle screen</x:v>
      </x:c>
      <x:c r="J3035" s="29" t="str">
        <x:v>presence does not prove operability or capacity</x:v>
      </x:c>
    </x:row>
    <x:row r="3036" ht="75.5999984741211" hidden="0" customHeight="1">
      <x:c r="A3036" s="27" t="str">
        <x:v>SCA-25</x:v>
      </x:c>
      <x:c r="B3036" s="27" t="str">
        <x:v>SCA-14</x:v>
      </x:c>
      <x:c r="C3036" s="27" t="str">
        <x:v>Water</x:v>
      </x:c>
      <x:c r="D3036" s="27" t="str">
        <x:v>YES</x:v>
      </x:c>
      <x:c r="E3036" s="27" t="str">
        <x:v>YES</x:v>
      </x:c>
      <x:c r="F3036" s="61" t="n">
        <x:v>2507.3695549809327</x:v>
      </x:c>
      <x:c r="G3036" s="61" t="n">
        <x:v>101.63913014231237</x:v>
      </x:c>
      <x:c r="H3036" s="27" t="str">
        <x:v>NO</x:v>
      </x:c>
      <x:c r="I3036" s="27" t="str">
        <x:v>USACE waterway node topology; deployable terminal required</x:v>
      </x:c>
      <x:c r="J3036" s="27" t="str">
        <x:v>presence does not prove operability or capacity</x:v>
      </x:c>
    </x:row>
    <x:row r="3037" ht="54" hidden="0" customHeight="1">
      <x:c r="A3037" s="29" t="str">
        <x:v>SCA-25</x:v>
      </x:c>
      <x:c r="B3037" s="29" t="str">
        <x:v>SCA-15</x:v>
      </x:c>
      <x:c r="C3037" s="29" t="str">
        <x:v>Road</x:v>
      </x:c>
      <x:c r="D3037" s="29" t="str">
        <x:v>YES</x:v>
      </x:c>
      <x:c r="E3037" s="29" t="str">
        <x:v>YES</x:v>
      </x:c>
      <x:c r="F3037" s="62" t="n">
        <x:v>1797.0765184490842</x:v>
      </x:c>
      <x:c r="G3037" s="62" t="n">
        <x:v>52.674118517256076</x:v>
      </x:c>
      <x:c r="H3037" s="29" t="str">
        <x:v>YES</x:v>
      </x:c>
      <x:c r="I3037" s="29" t="str">
        <x:v>NHPN-gated shared-boundary SCA path</x:v>
      </x:c>
      <x:c r="J3037" s="29" t="str">
        <x:v>presence does not prove operability or capacity</x:v>
      </x:c>
    </x:row>
    <x:row r="3038" ht="64.80000305175781" hidden="0" customHeight="1">
      <x:c r="A3038" s="27" t="str">
        <x:v>SCA-25</x:v>
      </x:c>
      <x:c r="B3038" s="27" t="str">
        <x:v>SCA-15</x:v>
      </x:c>
      <x:c r="C3038" s="27" t="str">
        <x:v>Rail</x:v>
      </x:c>
      <x:c r="D3038" s="27" t="str">
        <x:v>YES</x:v>
      </x:c>
      <x:c r="E3038" s="27" t="str">
        <x:v>YES</x:v>
      </x:c>
      <x:c r="F3038" s="61" t="n">
        <x:v>1906.4637847894637</x:v>
      </x:c>
      <x:c r="G3038" s="61" t="n">
        <x:v>53.23519692556377</x:v>
      </x:c>
      <x:c r="H3038" s="27" t="str">
        <x:v>YES</x:v>
      </x:c>
      <x:c r="I3038" s="27" t="str">
        <x:v>NARN shared-node topology; deployable terminal required</x:v>
      </x:c>
      <x:c r="J3038" s="27" t="str">
        <x:v>presence does not prove operability or capacity</x:v>
      </x:c>
    </x:row>
    <x:row r="3039" ht="54" hidden="0" customHeight="1">
      <x:c r="A3039" s="29" t="str">
        <x:v>SCA-25</x:v>
      </x:c>
      <x:c r="B3039" s="29" t="str">
        <x:v>SCA-15</x:v>
      </x:c>
      <x:c r="C3039" s="29" t="str">
        <x:v>Air</x:v>
      </x:c>
      <x:c r="D3039" s="29" t="str">
        <x:v>YES</x:v>
      </x:c>
      <x:c r="E3039" s="29" t="str">
        <x:v>YES</x:v>
      </x:c>
      <x:c r="F3039" s="62" t="n">
        <x:v>1406.4427074201728</x:v>
      </x:c>
      <x:c r="G3039" s="62" t="n">
        <x:v>26.163758011415652</x:v>
      </x:c>
      <x:c r="H3039" s="29" t="str">
        <x:v>YES</x:v>
      </x:c>
      <x:c r="I3039" s="29" t="str">
        <x:v>primary-airport endpoints; great-circle screen</x:v>
      </x:c>
      <x:c r="J3039" s="29" t="str">
        <x:v>presence does not prove operability or capacity</x:v>
      </x:c>
    </x:row>
    <x:row r="3040" ht="75.5999984741211" hidden="0" customHeight="1">
      <x:c r="A3040" s="27" t="str">
        <x:v>SCA-25</x:v>
      </x:c>
      <x:c r="B3040" s="27" t="str">
        <x:v>SCA-15</x:v>
      </x:c>
      <x:c r="C3040" s="27" t="str">
        <x:v>Water</x:v>
      </x:c>
      <x:c r="D3040" s="27" t="str">
        <x:v>YES</x:v>
      </x:c>
      <x:c r="E3040" s="27" t="str">
        <x:v>YES</x:v>
      </x:c>
      <x:c r="F3040" s="61" t="n">
        <x:v>2367.136321660344</x:v>
      </x:c>
      <x:c r="G3040" s="61" t="n">
        <x:v>97.63246633315269</x:v>
      </x:c>
      <x:c r="H3040" s="27" t="str">
        <x:v>NO</x:v>
      </x:c>
      <x:c r="I3040" s="27" t="str">
        <x:v>USACE waterway node topology; deployable terminal required</x:v>
      </x:c>
      <x:c r="J3040" s="27" t="str">
        <x:v>presence does not prove operability or capacity</x:v>
      </x:c>
    </x:row>
    <x:row r="3041" ht="54" hidden="0" customHeight="1">
      <x:c r="A3041" s="29" t="str">
        <x:v>SCA-25</x:v>
      </x:c>
      <x:c r="B3041" s="29" t="str">
        <x:v>SCA-16</x:v>
      </x:c>
      <x:c r="C3041" s="29" t="str">
        <x:v>Road</x:v>
      </x:c>
      <x:c r="D3041" s="29" t="str">
        <x:v>YES</x:v>
      </x:c>
      <x:c r="E3041" s="29" t="str">
        <x:v>YES</x:v>
      </x:c>
      <x:c r="F3041" s="62" t="n">
        <x:v>1883.2088623193968</x:v>
      </x:c>
      <x:c r="G3041" s="62" t="n">
        <x:v>54.240161133079944</x:v>
      </x:c>
      <x:c r="H3041" s="29" t="str">
        <x:v>YES</x:v>
      </x:c>
      <x:c r="I3041" s="29" t="str">
        <x:v>NHPN-gated shared-boundary SCA path</x:v>
      </x:c>
      <x:c r="J3041" s="29" t="str">
        <x:v>presence does not prove operability or capacity</x:v>
      </x:c>
    </x:row>
    <x:row r="3042" ht="64.80000305175781" hidden="0" customHeight="1">
      <x:c r="A3042" s="27" t="str">
        <x:v>SCA-25</x:v>
      </x:c>
      <x:c r="B3042" s="27" t="str">
        <x:v>SCA-16</x:v>
      </x:c>
      <x:c r="C3042" s="27" t="str">
        <x:v>Rail</x:v>
      </x:c>
      <x:c r="D3042" s="27" t="str">
        <x:v>YES</x:v>
      </x:c>
      <x:c r="E3042" s="27" t="str">
        <x:v>YES</x:v>
      </x:c>
      <x:c r="F3042" s="61" t="n">
        <x:v>1997.838966982317</x:v>
      </x:c>
      <x:c r="G3042" s="61" t="n">
        <x:v>54.54055667117596</x:v>
      </x:c>
      <x:c r="H3042" s="27" t="str">
        <x:v>YES</x:v>
      </x:c>
      <x:c r="I3042" s="27" t="str">
        <x:v>NARN shared-node topology; deployable terminal required</x:v>
      </x:c>
      <x:c r="J3042" s="27" t="str">
        <x:v>presence does not prove operability or capacity</x:v>
      </x:c>
    </x:row>
    <x:row r="3043" ht="54" hidden="0" customHeight="1">
      <x:c r="A3043" s="29" t="str">
        <x:v>SCA-25</x:v>
      </x:c>
      <x:c r="B3043" s="29" t="str">
        <x:v>SCA-16</x:v>
      </x:c>
      <x:c r="C3043" s="29" t="str">
        <x:v>Air</x:v>
      </x:c>
      <x:c r="D3043" s="29" t="str">
        <x:v>YES</x:v>
      </x:c>
      <x:c r="E3043" s="29" t="str">
        <x:v>YES</x:v>
      </x:c>
      <x:c r="F3043" s="62" t="n">
        <x:v>1530.468370725802</x:v>
      </x:c>
      <x:c r="G3043" s="62" t="n">
        <x:v>26.354566724193543</x:v>
      </x:c>
      <x:c r="H3043" s="29" t="str">
        <x:v>YES</x:v>
      </x:c>
      <x:c r="I3043" s="29" t="str">
        <x:v>primary-airport endpoints; great-circle screen</x:v>
      </x:c>
      <x:c r="J3043" s="29" t="str">
        <x:v>presence does not prove operability or capacity</x:v>
      </x:c>
    </x:row>
    <x:row r="3044" ht="75.5999984741211" hidden="0" customHeight="1">
      <x:c r="A3044" s="27" t="str">
        <x:v>SCA-25</x:v>
      </x:c>
      <x:c r="B3044" s="27" t="str">
        <x:v>SCA-16</x:v>
      </x:c>
      <x:c r="C3044" s="27" t="str">
        <x:v>Water</x:v>
      </x:c>
      <x:c r="D3044" s="27" t="str">
        <x:v>YES</x:v>
      </x:c>
      <x:c r="E3044" s="27" t="str">
        <x:v>YES</x:v>
      </x:c>
      <x:c r="F3044" s="61" t="n">
        <x:v>1977.5970060865375</x:v>
      </x:c>
      <x:c r="G3044" s="61" t="n">
        <x:v>86.5027716024725</x:v>
      </x:c>
      <x:c r="H3044" s="27" t="str">
        <x:v>NO</x:v>
      </x:c>
      <x:c r="I3044" s="27" t="str">
        <x:v>USACE waterway node topology; deployable terminal required</x:v>
      </x:c>
      <x:c r="J3044" s="27" t="str">
        <x:v>presence does not prove operability or capacity</x:v>
      </x:c>
    </x:row>
    <x:row r="3045" ht="54" hidden="0" customHeight="1">
      <x:c r="A3045" s="29" t="str">
        <x:v>SCA-25</x:v>
      </x:c>
      <x:c r="B3045" s="29" t="str">
        <x:v>SCA-17</x:v>
      </x:c>
      <x:c r="C3045" s="29" t="str">
        <x:v>Road</x:v>
      </x:c>
      <x:c r="D3045" s="29" t="str">
        <x:v>YES</x:v>
      </x:c>
      <x:c r="E3045" s="29" t="str">
        <x:v>YES</x:v>
      </x:c>
      <x:c r="F3045" s="62" t="n">
        <x:v>1764.3731983322682</x:v>
      </x:c>
      <x:c r="G3045" s="62" t="n">
        <x:v>52.07951269695033</x:v>
      </x:c>
      <x:c r="H3045" s="29" t="str">
        <x:v>YES</x:v>
      </x:c>
      <x:c r="I3045" s="29" t="str">
        <x:v>NHPN-gated shared-boundary SCA path</x:v>
      </x:c>
      <x:c r="J3045" s="29" t="str">
        <x:v>presence does not prove operability or capacity</x:v>
      </x:c>
    </x:row>
    <x:row r="3046" ht="64.80000305175781" hidden="0" customHeight="1">
      <x:c r="A3046" s="27" t="str">
        <x:v>SCA-25</x:v>
      </x:c>
      <x:c r="B3046" s="27" t="str">
        <x:v>SCA-17</x:v>
      </x:c>
      <x:c r="C3046" s="27" t="str">
        <x:v>Rail</x:v>
      </x:c>
      <x:c r="D3046" s="27" t="str">
        <x:v>YES</x:v>
      </x:c>
      <x:c r="E3046" s="27" t="str">
        <x:v>YES</x:v>
      </x:c>
      <x:c r="F3046" s="61" t="n">
        <x:v>1871.7698277959717</x:v>
      </x:c>
      <x:c r="G3046" s="61" t="n">
        <x:v>52.73956896851388</x:v>
      </x:c>
      <x:c r="H3046" s="27" t="str">
        <x:v>YES</x:v>
      </x:c>
      <x:c r="I3046" s="27" t="str">
        <x:v>NARN shared-node topology; deployable terminal required</x:v>
      </x:c>
      <x:c r="J3046" s="27" t="str">
        <x:v>presence does not prove operability or capacity</x:v>
      </x:c>
    </x:row>
    <x:row r="3047" ht="54" hidden="0" customHeight="1">
      <x:c r="A3047" s="29" t="str">
        <x:v>SCA-25</x:v>
      </x:c>
      <x:c r="B3047" s="29" t="str">
        <x:v>SCA-17</x:v>
      </x:c>
      <x:c r="C3047" s="29" t="str">
        <x:v>Air</x:v>
      </x:c>
      <x:c r="D3047" s="29" t="str">
        <x:v>YES</x:v>
      </x:c>
      <x:c r="E3047" s="29" t="str">
        <x:v>YES</x:v>
      </x:c>
      <x:c r="F3047" s="62" t="n">
        <x:v>1167.91927649809</x:v>
      </x:c>
      <x:c r="G3047" s="62" t="n">
        <x:v>25.79679888692014</x:v>
      </x:c>
      <x:c r="H3047" s="29" t="str">
        <x:v>YES</x:v>
      </x:c>
      <x:c r="I3047" s="29" t="str">
        <x:v>primary-airport endpoints; great-circle screen</x:v>
      </x:c>
      <x:c r="J3047" s="29" t="str">
        <x:v>presence does not prove operability or capacity</x:v>
      </x:c>
    </x:row>
    <x:row r="3048" ht="75.5999984741211" hidden="0" customHeight="1">
      <x:c r="A3048" s="27" t="str">
        <x:v>SCA-25</x:v>
      </x:c>
      <x:c r="B3048" s="27" t="str">
        <x:v>SCA-17</x:v>
      </x:c>
      <x:c r="C3048" s="27" t="str">
        <x:v>Water</x:v>
      </x:c>
      <x:c r="D3048" s="27" t="str">
        <x:v>YES</x:v>
      </x:c>
      <x:c r="E3048" s="27" t="str">
        <x:v>YES</x:v>
      </x:c>
      <x:c r="F3048" s="61" t="n">
        <x:v>1845.3277453008634</x:v>
      </x:c>
      <x:c r="G3048" s="61" t="n">
        <x:v>82.72364986573896</x:v>
      </x:c>
      <x:c r="H3048" s="27" t="str">
        <x:v>NO</x:v>
      </x:c>
      <x:c r="I3048" s="27" t="str">
        <x:v>USACE waterway node topology; deployable terminal required</x:v>
      </x:c>
      <x:c r="J3048" s="27" t="str">
        <x:v>presence does not prove operability or capacity</x:v>
      </x:c>
    </x:row>
    <x:row r="3049" ht="54" hidden="0" customHeight="1">
      <x:c r="A3049" s="29" t="str">
        <x:v>SCA-25</x:v>
      </x:c>
      <x:c r="B3049" s="29" t="str">
        <x:v>SCA-18</x:v>
      </x:c>
      <x:c r="C3049" s="29" t="str">
        <x:v>Road</x:v>
      </x:c>
      <x:c r="D3049" s="29" t="str">
        <x:v>YES</x:v>
      </x:c>
      <x:c r="E3049" s="29" t="str">
        <x:v>YES</x:v>
      </x:c>
      <x:c r="F3049" s="62" t="n">
        <x:v>2274.428356450321</x:v>
      </x:c>
      <x:c r="G3049" s="62" t="n">
        <x:v>61.353242844551296</x:v>
      </x:c>
      <x:c r="H3049" s="29" t="str">
        <x:v>YES</x:v>
      </x:c>
      <x:c r="I3049" s="29" t="str">
        <x:v>NHPN-gated shared-boundary SCA path</x:v>
      </x:c>
      <x:c r="J3049" s="29" t="str">
        <x:v>presence does not prove operability or capacity</x:v>
      </x:c>
    </x:row>
    <x:row r="3050" ht="64.80000305175781" hidden="0" customHeight="1">
      <x:c r="A3050" s="27" t="str">
        <x:v>SCA-25</x:v>
      </x:c>
      <x:c r="B3050" s="27" t="str">
        <x:v>SCA-18</x:v>
      </x:c>
      <x:c r="C3050" s="27" t="str">
        <x:v>Rail</x:v>
      </x:c>
      <x:c r="D3050" s="27" t="str">
        <x:v>YES</x:v>
      </x:c>
      <x:c r="E3050" s="27" t="str">
        <x:v>YES</x:v>
      </x:c>
      <x:c r="F3050" s="61" t="n">
        <x:v>2412.8718216255584</x:v>
      </x:c>
      <x:c r="G3050" s="61" t="n">
        <x:v>60.46959745179369</x:v>
      </x:c>
      <x:c r="H3050" s="27" t="str">
        <x:v>YES</x:v>
      </x:c>
      <x:c r="I3050" s="27" t="str">
        <x:v>NARN shared-node topology; deployable terminal required</x:v>
      </x:c>
      <x:c r="J3050" s="27" t="str">
        <x:v>presence does not prove operability or capacity</x:v>
      </x:c>
    </x:row>
    <x:row r="3051" ht="54" hidden="0" customHeight="1">
      <x:c r="A3051" s="29" t="str">
        <x:v>SCA-25</x:v>
      </x:c>
      <x:c r="B3051" s="29" t="str">
        <x:v>SCA-18</x:v>
      </x:c>
      <x:c r="C3051" s="29" t="str">
        <x:v>Air</x:v>
      </x:c>
      <x:c r="D3051" s="29" t="str">
        <x:v>YES</x:v>
      </x:c>
      <x:c r="E3051" s="29" t="str">
        <x:v>YES</x:v>
      </x:c>
      <x:c r="F3051" s="62" t="n">
        <x:v>1884.9747256922542</x:v>
      </x:c>
      <x:c r="G3051" s="62" t="n">
        <x:v>26.89996111644962</x:v>
      </x:c>
      <x:c r="H3051" s="29" t="str">
        <x:v>YES</x:v>
      </x:c>
      <x:c r="I3051" s="29" t="str">
        <x:v>primary-airport endpoints; great-circle screen</x:v>
      </x:c>
      <x:c r="J3051" s="29" t="str">
        <x:v>presence does not prove operability or capacity</x:v>
      </x:c>
    </x:row>
    <x:row r="3052" ht="75.5999984741211" hidden="0" customHeight="1">
      <x:c r="A3052" s="27" t="str">
        <x:v>SCA-25</x:v>
      </x:c>
      <x:c r="B3052" s="27" t="str">
        <x:v>SCA-18</x:v>
      </x:c>
      <x:c r="C3052" s="27" t="str">
        <x:v>Water</x:v>
      </x:c>
      <x:c r="D3052" s="27" t="str">
        <x:v>YES</x:v>
      </x:c>
      <x:c r="E3052" s="27" t="str">
        <x:v>YES</x:v>
      </x:c>
      <x:c r="F3052" s="61" t="n">
        <x:v>2947.833961943971</x:v>
      </x:c>
      <x:c r="G3052" s="61" t="n">
        <x:v>114.22382748411346</x:v>
      </x:c>
      <x:c r="H3052" s="27" t="str">
        <x:v>NO</x:v>
      </x:c>
      <x:c r="I3052" s="27" t="str">
        <x:v>USACE waterway node topology; deployable terminal required</x:v>
      </x:c>
      <x:c r="J3052" s="27" t="str">
        <x:v>presence does not prove operability or capacity</x:v>
      </x:c>
    </x:row>
    <x:row r="3053" ht="54" hidden="0" customHeight="1">
      <x:c r="A3053" s="29" t="str">
        <x:v>SCA-25</x:v>
      </x:c>
      <x:c r="B3053" s="29" t="str">
        <x:v>SCA-19</x:v>
      </x:c>
      <x:c r="C3053" s="29" t="str">
        <x:v>Road</x:v>
      </x:c>
      <x:c r="D3053" s="29" t="str">
        <x:v>YES</x:v>
      </x:c>
      <x:c r="E3053" s="29" t="str">
        <x:v>YES</x:v>
      </x:c>
      <x:c r="F3053" s="62" t="n">
        <x:v>1641.0797039632039</x:v>
      </x:c>
      <x:c r="G3053" s="62" t="n">
        <x:v>49.837812799330976</x:v>
      </x:c>
      <x:c r="H3053" s="29" t="str">
        <x:v>YES</x:v>
      </x:c>
      <x:c r="I3053" s="29" t="str">
        <x:v>NHPN-gated shared-boundary SCA path</x:v>
      </x:c>
      <x:c r="J3053" s="29" t="str">
        <x:v>presence does not prove operability or capacity</x:v>
      </x:c>
    </x:row>
    <x:row r="3054" ht="64.80000305175781" hidden="0" customHeight="1">
      <x:c r="A3054" s="27" t="str">
        <x:v>SCA-25</x:v>
      </x:c>
      <x:c r="B3054" s="27" t="str">
        <x:v>SCA-19</x:v>
      </x:c>
      <x:c r="C3054" s="27" t="str">
        <x:v>Rail</x:v>
      </x:c>
      <x:c r="D3054" s="27" t="str">
        <x:v>YES</x:v>
      </x:c>
      <x:c r="E3054" s="27" t="str">
        <x:v>YES</x:v>
      </x:c>
      <x:c r="F3054" s="61" t="n">
        <x:v>1740.9715120305298</x:v>
      </x:c>
      <x:c r="G3054" s="61" t="n">
        <x:v>50.87102160043614</x:v>
      </x:c>
      <x:c r="H3054" s="27" t="str">
        <x:v>YES</x:v>
      </x:c>
      <x:c r="I3054" s="27" t="str">
        <x:v>NARN shared-node topology; deployable terminal required</x:v>
      </x:c>
      <x:c r="J3054" s="27" t="str">
        <x:v>presence does not prove operability or capacity</x:v>
      </x:c>
    </x:row>
    <x:row r="3055" ht="54" hidden="0" customHeight="1">
      <x:c r="A3055" s="29" t="str">
        <x:v>SCA-25</x:v>
      </x:c>
      <x:c r="B3055" s="29" t="str">
        <x:v>SCA-19</x:v>
      </x:c>
      <x:c r="C3055" s="29" t="str">
        <x:v>Air</x:v>
      </x:c>
      <x:c r="D3055" s="29" t="str">
        <x:v>YES</x:v>
      </x:c>
      <x:c r="E3055" s="29" t="str">
        <x:v>YES</x:v>
      </x:c>
      <x:c r="F3055" s="62" t="n">
        <x:v>1214.0269844776678</x:v>
      </x:c>
      <x:c r="G3055" s="62" t="n">
        <x:v>25.867733822273337</x:v>
      </x:c>
      <x:c r="H3055" s="29" t="str">
        <x:v>YES</x:v>
      </x:c>
      <x:c r="I3055" s="29" t="str">
        <x:v>primary-airport endpoints; great-circle screen</x:v>
      </x:c>
      <x:c r="J3055" s="29" t="str">
        <x:v>presence does not prove operability or capacity</x:v>
      </x:c>
    </x:row>
    <x:row r="3056" ht="75.5999984741211" hidden="0" customHeight="1">
      <x:c r="A3056" s="27" t="str">
        <x:v>SCA-25</x:v>
      </x:c>
      <x:c r="B3056" s="27" t="str">
        <x:v>SCA-19</x:v>
      </x:c>
      <x:c r="C3056" s="27" t="str">
        <x:v>Water</x:v>
      </x:c>
      <x:c r="D3056" s="27" t="str">
        <x:v>YES</x:v>
      </x:c>
      <x:c r="E3056" s="27" t="str">
        <x:v>YES</x:v>
      </x:c>
      <x:c r="F3056" s="61" t="n">
        <x:v>1746.5518763641367</x:v>
      </x:c>
      <x:c r="G3056" s="61" t="n">
        <x:v>79.90148218183248</x:v>
      </x:c>
      <x:c r="H3056" s="27" t="str">
        <x:v>NO</x:v>
      </x:c>
      <x:c r="I3056" s="27" t="str">
        <x:v>USACE waterway node topology; deployable terminal required</x:v>
      </x:c>
      <x:c r="J3056" s="27" t="str">
        <x:v>presence does not prove operability or capacity</x:v>
      </x:c>
    </x:row>
    <x:row r="3057" ht="54" hidden="0" customHeight="1">
      <x:c r="A3057" s="29" t="str">
        <x:v>SCA-25</x:v>
      </x:c>
      <x:c r="B3057" s="29" t="str">
        <x:v>SCA-20</x:v>
      </x:c>
      <x:c r="C3057" s="29" t="str">
        <x:v>Road</x:v>
      </x:c>
      <x:c r="D3057" s="29" t="str">
        <x:v>YES</x:v>
      </x:c>
      <x:c r="E3057" s="29" t="str">
        <x:v>YES</x:v>
      </x:c>
      <x:c r="F3057" s="62" t="n">
        <x:v>1074.0831737686347</x:v>
      </x:c>
      <x:c r="G3057" s="62" t="n">
        <x:v>39.52878497761154</x:v>
      </x:c>
      <x:c r="H3057" s="29" t="str">
        <x:v>YES</x:v>
      </x:c>
      <x:c r="I3057" s="29" t="str">
        <x:v>NHPN-gated shared-boundary SCA path</x:v>
      </x:c>
      <x:c r="J3057" s="29" t="str">
        <x:v>presence does not prove operability or capacity</x:v>
      </x:c>
    </x:row>
    <x:row r="3058" ht="64.80000305175781" hidden="0" customHeight="1">
      <x:c r="A3058" s="27" t="str">
        <x:v>SCA-25</x:v>
      </x:c>
      <x:c r="B3058" s="27" t="str">
        <x:v>SCA-20</x:v>
      </x:c>
      <x:c r="C3058" s="27" t="str">
        <x:v>Rail</x:v>
      </x:c>
      <x:c r="D3058" s="27" t="str">
        <x:v>YES</x:v>
      </x:c>
      <x:c r="E3058" s="27" t="str">
        <x:v>YES</x:v>
      </x:c>
      <x:c r="F3058" s="61" t="n">
        <x:v>1139.4621495632475</x:v>
      </x:c>
      <x:c r="G3058" s="61" t="n">
        <x:v>42.278030708046394</x:v>
      </x:c>
      <x:c r="H3058" s="27" t="str">
        <x:v>YES</x:v>
      </x:c>
      <x:c r="I3058" s="27" t="str">
        <x:v>NARN shared-node topology; deployable terminal required</x:v>
      </x:c>
      <x:c r="J3058" s="27" t="str">
        <x:v>presence does not prove operability or capacity</x:v>
      </x:c>
    </x:row>
    <x:row r="3059" ht="54" hidden="0" customHeight="1">
      <x:c r="A3059" s="29" t="str">
        <x:v>SCA-25</x:v>
      </x:c>
      <x:c r="B3059" s="29" t="str">
        <x:v>SCA-20</x:v>
      </x:c>
      <x:c r="C3059" s="29" t="str">
        <x:v>Air</x:v>
      </x:c>
      <x:c r="D3059" s="29" t="str">
        <x:v>YES</x:v>
      </x:c>
      <x:c r="E3059" s="29" t="str">
        <x:v>YES</x:v>
      </x:c>
      <x:c r="F3059" s="62" t="n">
        <x:v>841.410105743575</x:v>
      </x:c>
      <x:c r="G3059" s="62" t="n">
        <x:v>25.294477085759347</x:v>
      </x:c>
      <x:c r="H3059" s="29" t="str">
        <x:v>YES</x:v>
      </x:c>
      <x:c r="I3059" s="29" t="str">
        <x:v>primary-airport endpoints; great-circle screen</x:v>
      </x:c>
      <x:c r="J3059" s="29" t="str">
        <x:v>presence does not prove operability or capacity</x:v>
      </x:c>
    </x:row>
    <x:row r="3060" ht="75.5999984741211" hidden="0" customHeight="1">
      <x:c r="A3060" s="27" t="str">
        <x:v>SCA-25</x:v>
      </x:c>
      <x:c r="B3060" s="27" t="str">
        <x:v>SCA-20</x:v>
      </x:c>
      <x:c r="C3060" s="27" t="str">
        <x:v>Water</x:v>
      </x:c>
      <x:c r="D3060" s="27" t="str">
        <x:v>YES</x:v>
      </x:c>
      <x:c r="E3060" s="27" t="str">
        <x:v>YES</x:v>
      </x:c>
      <x:c r="F3060" s="61" t="n">
        <x:v>1077.0049353517759</x:v>
      </x:c>
      <x:c r="G3060" s="61" t="n">
        <x:v>60.77156958147931</x:v>
      </x:c>
      <x:c r="H3060" s="27" t="str">
        <x:v>YES</x:v>
      </x:c>
      <x:c r="I3060" s="27" t="str">
        <x:v>USACE waterway node topology; deployable terminal required</x:v>
      </x:c>
      <x:c r="J3060" s="27" t="str">
        <x:v>presence does not prove operability or capacity</x:v>
      </x:c>
    </x:row>
    <x:row r="3061" ht="54" hidden="0" customHeight="1">
      <x:c r="A3061" s="29" t="str">
        <x:v>SCA-25</x:v>
      </x:c>
      <x:c r="B3061" s="29" t="str">
        <x:v>SCA-21</x:v>
      </x:c>
      <x:c r="C3061" s="29" t="str">
        <x:v>Road</x:v>
      </x:c>
      <x:c r="D3061" s="29" t="str">
        <x:v>YES</x:v>
      </x:c>
      <x:c r="E3061" s="29" t="str">
        <x:v>YES</x:v>
      </x:c>
      <x:c r="F3061" s="62" t="n">
        <x:v>1632.8268103444561</x:v>
      </x:c>
      <x:c r="G3061" s="62" t="n">
        <x:v>49.68776018808102</x:v>
      </x:c>
      <x:c r="H3061" s="29" t="str">
        <x:v>YES</x:v>
      </x:c>
      <x:c r="I3061" s="29" t="str">
        <x:v>NHPN-gated shared-boundary SCA path</x:v>
      </x:c>
      <x:c r="J3061" s="29" t="str">
        <x:v>presence does not prove operability or capacity</x:v>
      </x:c>
    </x:row>
    <x:row r="3062" ht="64.80000305175781" hidden="0" customHeight="1">
      <x:c r="A3062" s="27" t="str">
        <x:v>SCA-25</x:v>
      </x:c>
      <x:c r="B3062" s="27" t="str">
        <x:v>SCA-21</x:v>
      </x:c>
      <x:c r="C3062" s="27" t="str">
        <x:v>Rail</x:v>
      </x:c>
      <x:c r="D3062" s="27" t="str">
        <x:v>YES</x:v>
      </x:c>
      <x:c r="E3062" s="27" t="str">
        <x:v>YES</x:v>
      </x:c>
      <x:c r="F3062" s="61" t="n">
        <x:v>1732.2162683654233</x:v>
      </x:c>
      <x:c r="G3062" s="61" t="n">
        <x:v>50.745946690934616</x:v>
      </x:c>
      <x:c r="H3062" s="27" t="str">
        <x:v>YES</x:v>
      </x:c>
      <x:c r="I3062" s="27" t="str">
        <x:v>NARN shared-node topology; deployable terminal required</x:v>
      </x:c>
      <x:c r="J3062" s="27" t="str">
        <x:v>presence does not prove operability or capacity</x:v>
      </x:c>
    </x:row>
    <x:row r="3063" ht="54" hidden="0" customHeight="1">
      <x:c r="A3063" s="29" t="str">
        <x:v>SCA-25</x:v>
      </x:c>
      <x:c r="B3063" s="29" t="str">
        <x:v>SCA-21</x:v>
      </x:c>
      <x:c r="C3063" s="29" t="str">
        <x:v>Air</x:v>
      </x:c>
      <x:c r="D3063" s="29" t="str">
        <x:v>YES</x:v>
      </x:c>
      <x:c r="E3063" s="29" t="str">
        <x:v>YES</x:v>
      </x:c>
      <x:c r="F3063" s="62" t="n">
        <x:v>1394.0618843360046</x:v>
      </x:c>
      <x:c r="G3063" s="62" t="n">
        <x:v>26.14471059128616</x:v>
      </x:c>
      <x:c r="H3063" s="29" t="str">
        <x:v>YES</x:v>
      </x:c>
      <x:c r="I3063" s="29" t="str">
        <x:v>primary-airport endpoints; great-circle screen</x:v>
      </x:c>
      <x:c r="J3063" s="29" t="str">
        <x:v>presence does not prove operability or capacity</x:v>
      </x:c>
    </x:row>
    <x:row r="3064" ht="75.5999984741211" hidden="0" customHeight="1">
      <x:c r="A3064" s="27" t="str">
        <x:v>SCA-25</x:v>
      </x:c>
      <x:c r="B3064" s="27" t="str">
        <x:v>SCA-21</x:v>
      </x:c>
      <x:c r="C3064" s="27" t="str">
        <x:v>Water</x:v>
      </x:c>
      <x:c r="D3064" s="27" t="str">
        <x:v>YES</x:v>
      </x:c>
      <x:c r="E3064" s="27" t="str">
        <x:v>YES</x:v>
      </x:c>
      <x:c r="F3064" s="61" t="n">
        <x:v>2331.4866783677303</x:v>
      </x:c>
      <x:c r="G3064" s="61" t="n">
        <x:v>96.61390509622086</x:v>
      </x:c>
      <x:c r="H3064" s="27" t="str">
        <x:v>NO</x:v>
      </x:c>
      <x:c r="I3064" s="27" t="str">
        <x:v>USACE waterway node topology; deployable terminal required</x:v>
      </x:c>
      <x:c r="J3064" s="27" t="str">
        <x:v>presence does not prove operability or capacity</x:v>
      </x:c>
    </x:row>
    <x:row r="3065" ht="54" hidden="0" customHeight="1">
      <x:c r="A3065" s="29" t="str">
        <x:v>SCA-25</x:v>
      </x:c>
      <x:c r="B3065" s="29" t="str">
        <x:v>SCA-22</x:v>
      </x:c>
      <x:c r="C3065" s="29" t="str">
        <x:v>Road</x:v>
      </x:c>
      <x:c r="D3065" s="29" t="str">
        <x:v>YES</x:v>
      </x:c>
      <x:c r="E3065" s="29" t="str">
        <x:v>YES</x:v>
      </x:c>
      <x:c r="F3065" s="62" t="n">
        <x:v>1083.497073102875</x:v>
      </x:c>
      <x:c r="G3065" s="62" t="n">
        <x:v>39.69994678368863</x:v>
      </x:c>
      <x:c r="H3065" s="29" t="str">
        <x:v>YES</x:v>
      </x:c>
      <x:c r="I3065" s="29" t="str">
        <x:v>NHPN-gated shared-boundary SCA path</x:v>
      </x:c>
      <x:c r="J3065" s="29" t="str">
        <x:v>presence does not prove operability or capacity</x:v>
      </x:c>
    </x:row>
    <x:row r="3066" ht="64.80000305175781" hidden="0" customHeight="1">
      <x:c r="A3066" s="27" t="str">
        <x:v>SCA-25</x:v>
      </x:c>
      <x:c r="B3066" s="27" t="str">
        <x:v>SCA-22</x:v>
      </x:c>
      <x:c r="C3066" s="27" t="str">
        <x:v>Rail</x:v>
      </x:c>
      <x:c r="D3066" s="27" t="str">
        <x:v>YES</x:v>
      </x:c>
      <x:c r="E3066" s="27" t="str">
        <x:v>YES</x:v>
      </x:c>
      <x:c r="F3066" s="61" t="n">
        <x:v>1149.4490688569633</x:v>
      </x:c>
      <x:c r="G3066" s="61" t="n">
        <x:v>42.420700983670905</x:v>
      </x:c>
      <x:c r="H3066" s="27" t="str">
        <x:v>YES</x:v>
      </x:c>
      <x:c r="I3066" s="27" t="str">
        <x:v>NARN shared-node topology; deployable terminal required</x:v>
      </x:c>
      <x:c r="J3066" s="27" t="str">
        <x:v>presence does not prove operability or capacity</x:v>
      </x:c>
    </x:row>
    <x:row r="3067" ht="54" hidden="0" customHeight="1">
      <x:c r="A3067" s="29" t="str">
        <x:v>SCA-25</x:v>
      </x:c>
      <x:c r="B3067" s="29" t="str">
        <x:v>SCA-22</x:v>
      </x:c>
      <x:c r="C3067" s="29" t="str">
        <x:v>Air</x:v>
      </x:c>
      <x:c r="D3067" s="29" t="str">
        <x:v>YES</x:v>
      </x:c>
      <x:c r="E3067" s="29" t="str">
        <x:v>YES</x:v>
      </x:c>
      <x:c r="F3067" s="62" t="n">
        <x:v>918.6473301631299</x:v>
      </x:c>
      <x:c r="G3067" s="62" t="n">
        <x:v>25.413303584866355</x:v>
      </x:c>
      <x:c r="H3067" s="29" t="str">
        <x:v>YES</x:v>
      </x:c>
      <x:c r="I3067" s="29" t="str">
        <x:v>primary-airport endpoints; great-circle screen</x:v>
      </x:c>
      <x:c r="J3067" s="29" t="str">
        <x:v>presence does not prove operability or capacity</x:v>
      </x:c>
    </x:row>
    <x:row r="3068" ht="75.5999984741211" hidden="0" customHeight="1">
      <x:c r="A3068" s="27" t="str">
        <x:v>SCA-25</x:v>
      </x:c>
      <x:c r="B3068" s="27" t="str">
        <x:v>SCA-22</x:v>
      </x:c>
      <x:c r="C3068" s="27" t="str">
        <x:v>Water</x:v>
      </x:c>
      <x:c r="D3068" s="27" t="str">
        <x:v>YES</x:v>
      </x:c>
      <x:c r="E3068" s="27" t="str">
        <x:v>YES</x:v>
      </x:c>
      <x:c r="F3068" s="61" t="n">
        <x:v>1636.3372179417634</x:v>
      </x:c>
      <x:c r="G3068" s="61" t="n">
        <x:v>76.75249194119324</x:v>
      </x:c>
      <x:c r="H3068" s="27" t="str">
        <x:v>NO</x:v>
      </x:c>
      <x:c r="I3068" s="27" t="str">
        <x:v>USACE waterway node topology; deployable terminal required</x:v>
      </x:c>
      <x:c r="J3068" s="27" t="str">
        <x:v>presence does not prove operability or capacity</x:v>
      </x:c>
    </x:row>
    <x:row r="3069" ht="54" hidden="0" customHeight="1">
      <x:c r="A3069" s="29" t="str">
        <x:v>SCA-25</x:v>
      </x:c>
      <x:c r="B3069" s="29" t="str">
        <x:v>SCA-23</x:v>
      </x:c>
      <x:c r="C3069" s="29" t="str">
        <x:v>Road</x:v>
      </x:c>
      <x:c r="D3069" s="29" t="str">
        <x:v>YES</x:v>
      </x:c>
      <x:c r="E3069" s="29" t="str">
        <x:v>YES</x:v>
      </x:c>
      <x:c r="F3069" s="62" t="n">
        <x:v>494.58417991943935</x:v>
      </x:c>
      <x:c r="G3069" s="62" t="n">
        <x:v>28.992439634898897</x:v>
      </x:c>
      <x:c r="H3069" s="29" t="str">
        <x:v>YES</x:v>
      </x:c>
      <x:c r="I3069" s="29" t="str">
        <x:v>NHPN-gated shared-boundary SCA path</x:v>
      </x:c>
      <x:c r="J3069" s="29" t="str">
        <x:v>presence does not prove operability or capacity</x:v>
      </x:c>
    </x:row>
    <x:row r="3070" ht="64.80000305175781" hidden="0" customHeight="1">
      <x:c r="A3070" s="27" t="str">
        <x:v>SCA-25</x:v>
      </x:c>
      <x:c r="B3070" s="27" t="str">
        <x:v>SCA-23</x:v>
      </x:c>
      <x:c r="C3070" s="27" t="str">
        <x:v>Rail</x:v>
      </x:c>
      <x:c r="D3070" s="27" t="str">
        <x:v>YES</x:v>
      </x:c>
      <x:c r="E3070" s="27" t="str">
        <x:v>YES</x:v>
      </x:c>
      <x:c r="F3070" s="61" t="n">
        <x:v>524.6893039145359</x:v>
      </x:c>
      <x:c r="G3070" s="61" t="n">
        <x:v>33.49556148449337</x:v>
      </x:c>
      <x:c r="H3070" s="27" t="str">
        <x:v>YES</x:v>
      </x:c>
      <x:c r="I3070" s="27" t="str">
        <x:v>NARN shared-node topology; deployable terminal required</x:v>
      </x:c>
      <x:c r="J3070" s="27" t="str">
        <x:v>presence does not prove operability or capacity</x:v>
      </x:c>
    </x:row>
    <x:row r="3071" ht="54" hidden="0" customHeight="1">
      <x:c r="A3071" s="29" t="str">
        <x:v>SCA-25</x:v>
      </x:c>
      <x:c r="B3071" s="29" t="str">
        <x:v>SCA-23</x:v>
      </x:c>
      <x:c r="C3071" s="29" t="str">
        <x:v>Air</x:v>
      </x:c>
      <x:c r="D3071" s="29" t="str">
        <x:v>YES</x:v>
      </x:c>
      <x:c r="E3071" s="29" t="str">
        <x:v>YES</x:v>
      </x:c>
      <x:c r="F3071" s="62" t="n">
        <x:v>430.07319992994746</x:v>
      </x:c>
      <x:c r="G3071" s="62" t="n">
        <x:v>24.661651076815303</x:v>
      </x:c>
      <x:c r="H3071" s="29" t="str">
        <x:v>YES</x:v>
      </x:c>
      <x:c r="I3071" s="29" t="str">
        <x:v>primary-airport endpoints; great-circle screen</x:v>
      </x:c>
      <x:c r="J3071" s="29" t="str">
        <x:v>presence does not prove operability or capacity</x:v>
      </x:c>
    </x:row>
    <x:row r="3072" ht="75.5999984741211" hidden="0" customHeight="1">
      <x:c r="A3072" s="27" t="str">
        <x:v>SCA-25</x:v>
      </x:c>
      <x:c r="B3072" s="27" t="str">
        <x:v>SCA-23</x:v>
      </x:c>
      <x:c r="C3072" s="27" t="str">
        <x:v>Water</x:v>
      </x:c>
      <x:c r="D3072" s="27" t="str">
        <x:v>YES</x:v>
      </x:c>
      <x:c r="E3072" s="27" t="str">
        <x:v>YES</x:v>
      </x:c>
      <x:c r="F3072" s="61" t="n">
        <x:v>550.4936959103328</x:v>
      </x:c>
      <x:c r="G3072" s="61" t="n">
        <x:v>45.7283913117238</x:v>
      </x:c>
      <x:c r="H3072" s="27" t="str">
        <x:v>YES</x:v>
      </x:c>
      <x:c r="I3072" s="27" t="str">
        <x:v>USACE waterway node topology; deployable terminal required</x:v>
      </x:c>
      <x:c r="J3072" s="27" t="str">
        <x:v>presence does not prove operability or capacity</x:v>
      </x:c>
    </x:row>
    <x:row r="3073" ht="54" hidden="0" customHeight="1">
      <x:c r="A3073" s="29" t="str">
        <x:v>SCA-25</x:v>
      </x:c>
      <x:c r="B3073" s="29" t="str">
        <x:v>SCA-24</x:v>
      </x:c>
      <x:c r="C3073" s="29" t="str">
        <x:v>Road</x:v>
      </x:c>
      <x:c r="D3073" s="29" t="str">
        <x:v>YES</x:v>
      </x:c>
      <x:c r="E3073" s="29" t="str">
        <x:v>YES</x:v>
      </x:c>
      <x:c r="F3073" s="62" t="n">
        <x:v>1619.3095509167188</x:v>
      </x:c>
      <x:c r="G3073" s="62" t="n">
        <x:v>49.44199183484943</x:v>
      </x:c>
      <x:c r="H3073" s="29" t="str">
        <x:v>YES</x:v>
      </x:c>
      <x:c r="I3073" s="29" t="str">
        <x:v>NHPN-gated shared-boundary SCA path</x:v>
      </x:c>
      <x:c r="J3073" s="29" t="str">
        <x:v>presence does not prove operability or capacity</x:v>
      </x:c>
    </x:row>
    <x:row r="3074" ht="64.80000305175781" hidden="0" customHeight="1">
      <x:c r="A3074" s="27" t="str">
        <x:v>SCA-25</x:v>
      </x:c>
      <x:c r="B3074" s="27" t="str">
        <x:v>SCA-24</x:v>
      </x:c>
      <x:c r="C3074" s="27" t="str">
        <x:v>Rail</x:v>
      </x:c>
      <x:c r="D3074" s="27" t="str">
        <x:v>YES</x:v>
      </x:c>
      <x:c r="E3074" s="27" t="str">
        <x:v>YES</x:v>
      </x:c>
      <x:c r="F3074" s="61" t="n">
        <x:v>1717.8762192333888</x:v>
      </x:c>
      <x:c r="G3074" s="61" t="n">
        <x:v>50.54108884619127</x:v>
      </x:c>
      <x:c r="H3074" s="27" t="str">
        <x:v>YES</x:v>
      </x:c>
      <x:c r="I3074" s="27" t="str">
        <x:v>NARN shared-node topology; deployable terminal required</x:v>
      </x:c>
      <x:c r="J3074" s="27" t="str">
        <x:v>presence does not prove operability or capacity</x:v>
      </x:c>
    </x:row>
    <x:row r="3075" ht="54" hidden="0" customHeight="1">
      <x:c r="A3075" s="29" t="str">
        <x:v>SCA-25</x:v>
      </x:c>
      <x:c r="B3075" s="29" t="str">
        <x:v>SCA-24</x:v>
      </x:c>
      <x:c r="C3075" s="29" t="str">
        <x:v>Air</x:v>
      </x:c>
      <x:c r="D3075" s="29" t="str">
        <x:v>YES</x:v>
      </x:c>
      <x:c r="E3075" s="29" t="str">
        <x:v>YES</x:v>
      </x:c>
      <x:c r="F3075" s="62" t="n">
        <x:v>1323.704106769866</x:v>
      </x:c>
      <x:c r="G3075" s="62" t="n">
        <x:v>26.036467856569026</x:v>
      </x:c>
      <x:c r="H3075" s="29" t="str">
        <x:v>YES</x:v>
      </x:c>
      <x:c r="I3075" s="29" t="str">
        <x:v>primary-airport endpoints; great-circle screen</x:v>
      </x:c>
      <x:c r="J3075" s="29" t="str">
        <x:v>presence does not prove operability or capacity</x:v>
      </x:c>
    </x:row>
    <x:row r="3076" ht="75.5999984741211" hidden="0" customHeight="1">
      <x:c r="A3076" s="27" t="str">
        <x:v>SCA-25</x:v>
      </x:c>
      <x:c r="B3076" s="27" t="str">
        <x:v>SCA-24</x:v>
      </x:c>
      <x:c r="C3076" s="27" t="str">
        <x:v>Water</x:v>
      </x:c>
      <x:c r="D3076" s="27" t="str">
        <x:v>YES</x:v>
      </x:c>
      <x:c r="E3076" s="27" t="str">
        <x:v>YES</x:v>
      </x:c>
      <x:c r="F3076" s="61" t="n">
        <x:v>2030.9425894025776</x:v>
      </x:c>
      <x:c r="G3076" s="61" t="n">
        <x:v>88.02693112578794</x:v>
      </x:c>
      <x:c r="H3076" s="27" t="str">
        <x:v>NO</x:v>
      </x:c>
      <x:c r="I3076" s="27" t="str">
        <x:v>USACE waterway node topology; deployable terminal required</x:v>
      </x:c>
      <x:c r="J3076" s="27" t="str">
        <x:v>presence does not prove operability or capacity</x:v>
      </x:c>
    </x:row>
    <x:row r="3077" ht="54" hidden="0" customHeight="1">
      <x:c r="A3077" s="29" t="str">
        <x:v>SCA-25</x:v>
      </x:c>
      <x:c r="B3077" s="29" t="str">
        <x:v>SCA-26</x:v>
      </x:c>
      <x:c r="C3077" s="29" t="str">
        <x:v>Road</x:v>
      </x:c>
      <x:c r="D3077" s="29" t="str">
        <x:v>YES</x:v>
      </x:c>
      <x:c r="E3077" s="29" t="str">
        <x:v>YES</x:v>
      </x:c>
      <x:c r="F3077" s="62" t="n">
        <x:v>328.49945576482247</x:v>
      </x:c>
      <x:c r="G3077" s="62" t="n">
        <x:v>25.972717377542228</x:v>
      </x:c>
      <x:c r="H3077" s="29" t="str">
        <x:v>YES</x:v>
      </x:c>
      <x:c r="I3077" s="29" t="str">
        <x:v>NHPN-gated shared-boundary SCA path</x:v>
      </x:c>
      <x:c r="J3077" s="29" t="str">
        <x:v>presence does not prove operability or capacity</x:v>
      </x:c>
    </x:row>
    <x:row r="3078" ht="64.80000305175781" hidden="0" customHeight="1">
      <x:c r="A3078" s="27" t="str">
        <x:v>SCA-25</x:v>
      </x:c>
      <x:c r="B3078" s="27" t="str">
        <x:v>SCA-26</x:v>
      </x:c>
      <x:c r="C3078" s="27" t="str">
        <x:v>Rail</x:v>
      </x:c>
      <x:c r="D3078" s="27" t="str">
        <x:v>YES</x:v>
      </x:c>
      <x:c r="E3078" s="27" t="str">
        <x:v>YES</x:v>
      </x:c>
      <x:c r="F3078" s="61" t="n">
        <x:v>348.4950748113763</x:v>
      </x:c>
      <x:c r="G3078" s="61" t="n">
        <x:v>30.978501068733948</x:v>
      </x:c>
      <x:c r="H3078" s="27" t="str">
        <x:v>YES</x:v>
      </x:c>
      <x:c r="I3078" s="27" t="str">
        <x:v>NARN shared-node topology; deployable terminal required</x:v>
      </x:c>
      <x:c r="J3078" s="27" t="str">
        <x:v>presence does not prove operability or capacity</x:v>
      </x:c>
    </x:row>
    <x:row r="3079" ht="54" hidden="0" customHeight="1">
      <x:c r="A3079" s="29" t="str">
        <x:v>SCA-25</x:v>
      </x:c>
      <x:c r="B3079" s="29" t="str">
        <x:v>SCA-26</x:v>
      </x:c>
      <x:c r="C3079" s="29" t="str">
        <x:v>Air</x:v>
      </x:c>
      <x:c r="D3079" s="29" t="str">
        <x:v>YES</x:v>
      </x:c>
      <x:c r="E3079" s="29" t="str">
        <x:v>YES</x:v>
      </x:c>
      <x:c r="F3079" s="62" t="n">
        <x:v>285.65170066506255</x:v>
      </x:c>
      <x:c r="G3079" s="62" t="n">
        <x:v>24.439464154869327</x:v>
      </x:c>
      <x:c r="H3079" s="29" t="str">
        <x:v>YES</x:v>
      </x:c>
      <x:c r="I3079" s="29" t="str">
        <x:v>primary-airport endpoints; great-circle screen</x:v>
      </x:c>
      <x:c r="J3079" s="29" t="str">
        <x:v>presence does not prove operability or capacity</x:v>
      </x:c>
    </x:row>
    <x:row r="3080" ht="75.5999984741211" hidden="0" customHeight="1">
      <x:c r="A3080" s="27" t="str">
        <x:v>SCA-25</x:v>
      </x:c>
      <x:c r="B3080" s="27" t="str">
        <x:v>SCA-26</x:v>
      </x:c>
      <x:c r="C3080" s="27" t="str">
        <x:v>Water</x:v>
      </x:c>
      <x:c r="D3080" s="27" t="str">
        <x:v>YES</x:v>
      </x:c>
      <x:c r="E3080" s="27" t="str">
        <x:v>YES</x:v>
      </x:c>
      <x:c r="F3080" s="61" t="n">
        <x:v>365.6341768512801</x:v>
      </x:c>
      <x:c r="G3080" s="61" t="n">
        <x:v>40.44669076717943</x:v>
      </x:c>
      <x:c r="H3080" s="27" t="str">
        <x:v>YES</x:v>
      </x:c>
      <x:c r="I3080" s="27" t="str">
        <x:v>USACE waterway node topology; deployable terminal required</x:v>
      </x:c>
      <x:c r="J3080" s="27" t="str">
        <x:v>presence does not prove operability or capacity</x:v>
      </x:c>
    </x:row>
    <x:row r="3081" ht="54" hidden="0" customHeight="1">
      <x:c r="A3081" s="29" t="str">
        <x:v>SCA-25</x:v>
      </x:c>
      <x:c r="B3081" s="29" t="str">
        <x:v>SCA-27</x:v>
      </x:c>
      <x:c r="C3081" s="29" t="str">
        <x:v>Road</x:v>
      </x:c>
      <x:c r="D3081" s="29" t="str">
        <x:v>YES</x:v>
      </x:c>
      <x:c r="E3081" s="29" t="str">
        <x:v>YES</x:v>
      </x:c>
      <x:c r="F3081" s="62" t="n">
        <x:v>608.1277198843711</x:v>
      </x:c>
      <x:c r="G3081" s="62" t="n">
        <x:v>31.056867634261295</x:v>
      </x:c>
      <x:c r="H3081" s="29" t="str">
        <x:v>YES</x:v>
      </x:c>
      <x:c r="I3081" s="29" t="str">
        <x:v>NHPN-gated shared-boundary SCA path</x:v>
      </x:c>
      <x:c r="J3081" s="29" t="str">
        <x:v>presence does not prove operability or capacity</x:v>
      </x:c>
    </x:row>
    <x:row r="3082" ht="64.80000305175781" hidden="0" customHeight="1">
      <x:c r="A3082" s="27" t="str">
        <x:v>SCA-25</x:v>
      </x:c>
      <x:c r="B3082" s="27" t="str">
        <x:v>SCA-27</x:v>
      </x:c>
      <x:c r="C3082" s="27" t="str">
        <x:v>Rail</x:v>
      </x:c>
      <x:c r="D3082" s="27" t="str">
        <x:v>YES</x:v>
      </x:c>
      <x:c r="E3082" s="27" t="str">
        <x:v>YES</x:v>
      </x:c>
      <x:c r="F3082" s="61" t="n">
        <x:v>645.144189790376</x:v>
      </x:c>
      <x:c r="G3082" s="61" t="n">
        <x:v>35.216345568433944</x:v>
      </x:c>
      <x:c r="H3082" s="27" t="str">
        <x:v>YES</x:v>
      </x:c>
      <x:c r="I3082" s="27" t="str">
        <x:v>NARN shared-node topology; deployable terminal required</x:v>
      </x:c>
      <x:c r="J3082" s="27" t="str">
        <x:v>presence does not prove operability or capacity</x:v>
      </x:c>
    </x:row>
    <x:row r="3083" ht="54" hidden="0" customHeight="1">
      <x:c r="A3083" s="29" t="str">
        <x:v>SCA-25</x:v>
      </x:c>
      <x:c r="B3083" s="29" t="str">
        <x:v>SCA-27</x:v>
      </x:c>
      <x:c r="C3083" s="29" t="str">
        <x:v>Air</x:v>
      </x:c>
      <x:c r="D3083" s="29" t="str">
        <x:v>YES</x:v>
      </x:c>
      <x:c r="E3083" s="29" t="str">
        <x:v>YES</x:v>
      </x:c>
      <x:c r="F3083" s="62" t="n">
        <x:v>511.72413827481495</x:v>
      </x:c>
      <x:c r="G3083" s="62" t="n">
        <x:v>24.787267905038178</x:v>
      </x:c>
      <x:c r="H3083" s="29" t="str">
        <x:v>YES</x:v>
      </x:c>
      <x:c r="I3083" s="29" t="str">
        <x:v>primary-airport endpoints; great-circle screen</x:v>
      </x:c>
      <x:c r="J3083" s="29" t="str">
        <x:v>presence does not prove operability or capacity</x:v>
      </x:c>
    </x:row>
    <x:row r="3084" ht="75.5999984741211" hidden="0" customHeight="1">
      <x:c r="A3084" s="27" t="str">
        <x:v>SCA-25</x:v>
      </x:c>
      <x:c r="B3084" s="27" t="str">
        <x:v>SCA-27</x:v>
      </x:c>
      <x:c r="C3084" s="27" t="str">
        <x:v>Water</x:v>
      </x:c>
      <x:c r="D3084" s="27" t="str">
        <x:v>YES</x:v>
      </x:c>
      <x:c r="E3084" s="27" t="str">
        <x:v>YES</x:v>
      </x:c>
      <x:c r="F3084" s="61" t="n">
        <x:v>655.0068969917631</x:v>
      </x:c>
      <x:c r="G3084" s="61" t="n">
        <x:v>48.71448277119323</x:v>
      </x:c>
      <x:c r="H3084" s="27" t="str">
        <x:v>YES</x:v>
      </x:c>
      <x:c r="I3084" s="27" t="str">
        <x:v>USACE waterway node topology; deployable terminal required</x:v>
      </x:c>
      <x:c r="J3084" s="27" t="str">
        <x:v>presence does not prove operability or capacity</x:v>
      </x:c>
    </x:row>
    <x:row r="3085" ht="54" hidden="0" customHeight="1">
      <x:c r="A3085" s="29" t="str">
        <x:v>SCA-25</x:v>
      </x:c>
      <x:c r="B3085" s="29" t="str">
        <x:v>SCA-28</x:v>
      </x:c>
      <x:c r="C3085" s="29" t="str">
        <x:v>Road</x:v>
      </x:c>
      <x:c r="D3085" s="29" t="str">
        <x:v>YES</x:v>
      </x:c>
      <x:c r="E3085" s="29" t="str">
        <x:v>YES</x:v>
      </x:c>
      <x:c r="F3085" s="62" t="n">
        <x:v>1328.8594861077136</x:v>
      </x:c>
      <x:c r="G3085" s="62" t="n">
        <x:v>44.16108156559479</x:v>
      </x:c>
      <x:c r="H3085" s="29" t="str">
        <x:v>YES</x:v>
      </x:c>
      <x:c r="I3085" s="29" t="str">
        <x:v>NHPN-gated shared-boundary SCA path</x:v>
      </x:c>
      <x:c r="J3085" s="29" t="str">
        <x:v>presence does not prove operability or capacity</x:v>
      </x:c>
    </x:row>
    <x:row r="3086" ht="64.80000305175781" hidden="0" customHeight="1">
      <x:c r="A3086" s="27" t="str">
        <x:v>SCA-25</x:v>
      </x:c>
      <x:c r="B3086" s="27" t="str">
        <x:v>SCA-28</x:v>
      </x:c>
      <x:c r="C3086" s="27" t="str">
        <x:v>Rail</x:v>
      </x:c>
      <x:c r="D3086" s="27" t="str">
        <x:v>YES</x:v>
      </x:c>
      <x:c r="E3086" s="27" t="str">
        <x:v>YES</x:v>
      </x:c>
      <x:c r="F3086" s="61" t="n">
        <x:v>1409.7465852620967</x:v>
      </x:c>
      <x:c r="G3086" s="61" t="n">
        <x:v>46.13923693231567</x:v>
      </x:c>
      <x:c r="H3086" s="27" t="str">
        <x:v>YES</x:v>
      </x:c>
      <x:c r="I3086" s="27" t="str">
        <x:v>NARN shared-node topology; deployable terminal required</x:v>
      </x:c>
      <x:c r="J3086" s="27" t="str">
        <x:v>presence does not prove operability or capacity</x:v>
      </x:c>
    </x:row>
    <x:row r="3087" ht="54" hidden="0" customHeight="1">
      <x:c r="A3087" s="29" t="str">
        <x:v>SCA-25</x:v>
      </x:c>
      <x:c r="B3087" s="29" t="str">
        <x:v>SCA-28</x:v>
      </x:c>
      <x:c r="C3087" s="29" t="str">
        <x:v>Air</x:v>
      </x:c>
      <x:c r="D3087" s="29" t="str">
        <x:v>YES</x:v>
      </x:c>
      <x:c r="E3087" s="29" t="str">
        <x:v>YES</x:v>
      </x:c>
      <x:c r="F3087" s="62" t="n">
        <x:v>1118.2001619013483</x:v>
      </x:c>
      <x:c r="G3087" s="62" t="n">
        <x:v>25.72030794138669</x:v>
      </x:c>
      <x:c r="H3087" s="29" t="str">
        <x:v>YES</x:v>
      </x:c>
      <x:c r="I3087" s="29" t="str">
        <x:v>primary-airport endpoints; great-circle screen</x:v>
      </x:c>
      <x:c r="J3087" s="29" t="str">
        <x:v>presence does not prove operability or capacity</x:v>
      </x:c>
    </x:row>
    <x:row r="3088" ht="75.5999984741211" hidden="0" customHeight="1">
      <x:c r="A3088" s="27" t="str">
        <x:v>SCA-25</x:v>
      </x:c>
      <x:c r="B3088" s="27" t="str">
        <x:v>SCA-28</x:v>
      </x:c>
      <x:c r="C3088" s="27" t="str">
        <x:v>Water</x:v>
      </x:c>
      <x:c r="D3088" s="27" t="str">
        <x:v>YES</x:v>
      </x:c>
      <x:c r="E3088" s="27" t="str">
        <x:v>YES</x:v>
      </x:c>
      <x:c r="F3088" s="61" t="n">
        <x:v>1479.0783845372819</x:v>
      </x:c>
      <x:c r="G3088" s="61" t="n">
        <x:v>72.25938241535091</x:v>
      </x:c>
      <x:c r="H3088" s="27" t="str">
        <x:v>NO</x:v>
      </x:c>
      <x:c r="I3088" s="27" t="str">
        <x:v>USACE waterway node topology; deployable terminal required</x:v>
      </x:c>
      <x:c r="J3088" s="27" t="str">
        <x:v>presence does not prove operability or capacity</x:v>
      </x:c>
    </x:row>
    <x:row r="3089" ht="54" hidden="0" customHeight="1">
      <x:c r="A3089" s="29" t="str">
        <x:v>SCA-25</x:v>
      </x:c>
      <x:c r="B3089" s="29" t="str">
        <x:v>SCA-29</x:v>
      </x:c>
      <x:c r="C3089" s="29" t="str">
        <x:v>Road</x:v>
      </x:c>
      <x:c r="D3089" s="29" t="str">
        <x:v>YES</x:v>
      </x:c>
      <x:c r="E3089" s="29" t="str">
        <x:v>YES</x:v>
      </x:c>
      <x:c r="F3089" s="62" t="n">
        <x:v>752.6041945304078</x:v>
      </x:c>
      <x:c r="G3089" s="62" t="n">
        <x:v>33.6837126278256</x:v>
      </x:c>
      <x:c r="H3089" s="29" t="str">
        <x:v>YES</x:v>
      </x:c>
      <x:c r="I3089" s="29" t="str">
        <x:v>NHPN-gated shared-boundary SCA path</x:v>
      </x:c>
      <x:c r="J3089" s="29" t="str">
        <x:v>presence does not prove operability or capacity</x:v>
      </x:c>
    </x:row>
    <x:row r="3090" ht="64.80000305175781" hidden="0" customHeight="1">
      <x:c r="A3090" s="27" t="str">
        <x:v>SCA-25</x:v>
      </x:c>
      <x:c r="B3090" s="27" t="str">
        <x:v>SCA-29</x:v>
      </x:c>
      <x:c r="C3090" s="27" t="str">
        <x:v>Rail</x:v>
      </x:c>
      <x:c r="D3090" s="27" t="str">
        <x:v>YES</x:v>
      </x:c>
      <x:c r="E3090" s="27" t="str">
        <x:v>YES</x:v>
      </x:c>
      <x:c r="F3090" s="61" t="n">
        <x:v>798.4148846322594</x:v>
      </x:c>
      <x:c r="G3090" s="61" t="n">
        <x:v>37.40592692331799</x:v>
      </x:c>
      <x:c r="H3090" s="27" t="str">
        <x:v>YES</x:v>
      </x:c>
      <x:c r="I3090" s="27" t="str">
        <x:v>NARN shared-node topology; deployable terminal required</x:v>
      </x:c>
      <x:c r="J3090" s="27" t="str">
        <x:v>presence does not prove operability or capacity</x:v>
      </x:c>
    </x:row>
    <x:row r="3091" ht="54" hidden="0" customHeight="1">
      <x:c r="A3091" s="29" t="str">
        <x:v>SCA-25</x:v>
      </x:c>
      <x:c r="B3091" s="29" t="str">
        <x:v>SCA-29</x:v>
      </x:c>
      <x:c r="C3091" s="29" t="str">
        <x:v>Air</x:v>
      </x:c>
      <x:c r="D3091" s="29" t="str">
        <x:v>YES</x:v>
      </x:c>
      <x:c r="E3091" s="29" t="str">
        <x:v>YES</x:v>
      </x:c>
      <x:c r="F3091" s="62" t="n">
        <x:v>654.4384300264421</x:v>
      </x:c>
      <x:c r="G3091" s="62" t="n">
        <x:v>25.006828353886835</x:v>
      </x:c>
      <x:c r="H3091" s="29" t="str">
        <x:v>YES</x:v>
      </x:c>
      <x:c r="I3091" s="29" t="str">
        <x:v>primary-airport endpoints; great-circle screen</x:v>
      </x:c>
      <x:c r="J3091" s="29" t="str">
        <x:v>presence does not prove operability or capacity</x:v>
      </x:c>
    </x:row>
    <x:row r="3092" ht="75.5999984741211" hidden="0" customHeight="1">
      <x:c r="A3092" s="27" t="str">
        <x:v>SCA-25</x:v>
      </x:c>
      <x:c r="B3092" s="27" t="str">
        <x:v>SCA-29</x:v>
      </x:c>
      <x:c r="C3092" s="27" t="str">
        <x:v>Water</x:v>
      </x:c>
      <x:c r="D3092" s="27" t="str">
        <x:v>YES</x:v>
      </x:c>
      <x:c r="E3092" s="27" t="str">
        <x:v>YES</x:v>
      </x:c>
      <x:c r="F3092" s="61" t="n">
        <x:v>837.6811904338459</x:v>
      </x:c>
      <x:c r="G3092" s="61" t="n">
        <x:v>53.93374829810988</x:v>
      </x:c>
      <x:c r="H3092" s="27" t="str">
        <x:v>YES</x:v>
      </x:c>
      <x:c r="I3092" s="27" t="str">
        <x:v>USACE waterway node topology; deployable terminal required</x:v>
      </x:c>
      <x:c r="J3092" s="27" t="str">
        <x:v>presence does not prove operability or capacity</x:v>
      </x:c>
    </x:row>
    <x:row r="3093" ht="54" hidden="0" customHeight="1">
      <x:c r="A3093" s="29" t="str">
        <x:v>SCA-25</x:v>
      </x:c>
      <x:c r="B3093" s="29" t="str">
        <x:v>SCA-30</x:v>
      </x:c>
      <x:c r="C3093" s="29" t="str">
        <x:v>Road</x:v>
      </x:c>
      <x:c r="D3093" s="29" t="str">
        <x:v>YES</x:v>
      </x:c>
      <x:c r="E3093" s="29" t="str">
        <x:v>YES</x:v>
      </x:c>
      <x:c r="F3093" s="62" t="n">
        <x:v>1503.633516475519</x:v>
      </x:c>
      <x:c r="G3093" s="62" t="n">
        <x:v>47.3387912086458</x:v>
      </x:c>
      <x:c r="H3093" s="29" t="str">
        <x:v>YES</x:v>
      </x:c>
      <x:c r="I3093" s="29" t="str">
        <x:v>NHPN-gated shared-boundary SCA path</x:v>
      </x:c>
      <x:c r="J3093" s="29" t="str">
        <x:v>presence does not prove operability or capacity</x:v>
      </x:c>
    </x:row>
    <x:row r="3094" ht="64.80000305175781" hidden="0" customHeight="1">
      <x:c r="A3094" s="27" t="str">
        <x:v>SCA-25</x:v>
      </x:c>
      <x:c r="B3094" s="27" t="str">
        <x:v>SCA-30</x:v>
      </x:c>
      <x:c r="C3094" s="27" t="str">
        <x:v>Rail</x:v>
      </x:c>
      <x:c r="D3094" s="27" t="str">
        <x:v>YES</x:v>
      </x:c>
      <x:c r="E3094" s="27" t="str">
        <x:v>YES</x:v>
      </x:c>
      <x:c r="F3094" s="61" t="n">
        <x:v>1595.1590348696814</x:v>
      </x:c>
      <x:c r="G3094" s="61" t="n">
        <x:v>48.787986212424016</x:v>
      </x:c>
      <x:c r="H3094" s="27" t="str">
        <x:v>YES</x:v>
      </x:c>
      <x:c r="I3094" s="27" t="str">
        <x:v>NARN shared-node topology; deployable terminal required</x:v>
      </x:c>
      <x:c r="J3094" s="27" t="str">
        <x:v>presence does not prove operability or capacity</x:v>
      </x:c>
    </x:row>
    <x:row r="3095" ht="54" hidden="0" customHeight="1">
      <x:c r="A3095" s="29" t="str">
        <x:v>SCA-25</x:v>
      </x:c>
      <x:c r="B3095" s="29" t="str">
        <x:v>SCA-30</x:v>
      </x:c>
      <x:c r="C3095" s="29" t="str">
        <x:v>Air</x:v>
      </x:c>
      <x:c r="D3095" s="29" t="str">
        <x:v>YES</x:v>
      </x:c>
      <x:c r="E3095" s="29" t="str">
        <x:v>YES</x:v>
      </x:c>
      <x:c r="F3095" s="62" t="n">
        <x:v>1303.7240697792327</x:v>
      </x:c>
      <x:c r="G3095" s="62" t="n">
        <x:v>26.005729338121895</x:v>
      </x:c>
      <x:c r="H3095" s="29" t="str">
        <x:v>YES</x:v>
      </x:c>
      <x:c r="I3095" s="29" t="str">
        <x:v>primary-airport endpoints; great-circle screen</x:v>
      </x:c>
      <x:c r="J3095" s="29" t="str">
        <x:v>presence does not prove operability or capacity</x:v>
      </x:c>
    </x:row>
    <x:row r="3096" ht="75.5999984741211" hidden="0" customHeight="1">
      <x:c r="A3096" s="27" t="str">
        <x:v>SCA-25</x:v>
      </x:c>
      <x:c r="B3096" s="27" t="str">
        <x:v>SCA-30</x:v>
      </x:c>
      <x:c r="C3096" s="27" t="str">
        <x:v>Water</x:v>
      </x:c>
      <x:c r="D3096" s="27" t="str">
        <x:v>YES</x:v>
      </x:c>
      <x:c r="E3096" s="27" t="str">
        <x:v>YES</x:v>
      </x:c>
      <x:c r="F3096" s="61" t="n">
        <x:v>1673.6094792075348</x:v>
      </x:c>
      <x:c r="G3096" s="61" t="n">
        <x:v>77.81741369164385</x:v>
      </x:c>
      <x:c r="H3096" s="27" t="str">
        <x:v>NO</x:v>
      </x:c>
      <x:c r="I3096" s="27" t="str">
        <x:v>USACE waterway node topology; deployable terminal required</x:v>
      </x:c>
      <x:c r="J3096" s="27" t="str">
        <x:v>presence does not prove operability or capacity</x:v>
      </x:c>
    </x:row>
    <x:row r="3097" ht="54" hidden="0" customHeight="1">
      <x:c r="A3097" s="29" t="str">
        <x:v>SCA-25</x:v>
      </x:c>
      <x:c r="B3097" s="29" t="str">
        <x:v>SCA-31</x:v>
      </x:c>
      <x:c r="C3097" s="29" t="str">
        <x:v>Road</x:v>
      </x:c>
      <x:c r="D3097" s="29" t="str">
        <x:v>YES</x:v>
      </x:c>
      <x:c r="E3097" s="29" t="str">
        <x:v>YES</x:v>
      </x:c>
      <x:c r="F3097" s="62" t="n">
        <x:v>1896.715661662025</x:v>
      </x:c>
      <x:c r="G3097" s="62" t="n">
        <x:v>54.48573930294591</x:v>
      </x:c>
      <x:c r="H3097" s="29" t="str">
        <x:v>YES</x:v>
      </x:c>
      <x:c r="I3097" s="29" t="str">
        <x:v>NHPN-gated shared-boundary SCA path</x:v>
      </x:c>
      <x:c r="J3097" s="29" t="str">
        <x:v>presence does not prove operability or capacity</x:v>
      </x:c>
    </x:row>
    <x:row r="3098" ht="64.80000305175781" hidden="0" customHeight="1">
      <x:c r="A3098" s="27" t="str">
        <x:v>SCA-25</x:v>
      </x:c>
      <x:c r="B3098" s="27" t="str">
        <x:v>SCA-31</x:v>
      </x:c>
      <x:c r="C3098" s="27" t="str">
        <x:v>Rail</x:v>
      </x:c>
      <x:c r="D3098" s="27" t="str">
        <x:v>YES</x:v>
      </x:c>
      <x:c r="E3098" s="27" t="str">
        <x:v>YES</x:v>
      </x:c>
      <x:c r="F3098" s="61" t="n">
        <x:v>2012.1679193284094</x:v>
      </x:c>
      <x:c r="G3098" s="61" t="n">
        <x:v>54.74525599040585</x:v>
      </x:c>
      <x:c r="H3098" s="27" t="str">
        <x:v>YES</x:v>
      </x:c>
      <x:c r="I3098" s="27" t="str">
        <x:v>NARN shared-node topology; deployable terminal required</x:v>
      </x:c>
      <x:c r="J3098" s="27" t="str">
        <x:v>presence does not prove operability or capacity</x:v>
      </x:c>
    </x:row>
    <x:row r="3099" ht="54" hidden="0" customHeight="1">
      <x:c r="A3099" s="29" t="str">
        <x:v>SCA-25</x:v>
      </x:c>
      <x:c r="B3099" s="29" t="str">
        <x:v>SCA-31</x:v>
      </x:c>
      <x:c r="C3099" s="29" t="str">
        <x:v>Air</x:v>
      </x:c>
      <x:c r="D3099" s="29" t="str">
        <x:v>YES</x:v>
      </x:c>
      <x:c r="E3099" s="29" t="str">
        <x:v>YES</x:v>
      </x:c>
      <x:c r="F3099" s="62" t="n">
        <x:v>1638.489943869655</x:v>
      </x:c>
      <x:c r="G3099" s="62" t="n">
        <x:v>26.52075375979947</x:v>
      </x:c>
      <x:c r="H3099" s="29" t="str">
        <x:v>YES</x:v>
      </x:c>
      <x:c r="I3099" s="29" t="str">
        <x:v>primary-airport endpoints; great-circle screen</x:v>
      </x:c>
      <x:c r="J3099" s="29" t="str">
        <x:v>presence does not prove operability or capacity</x:v>
      </x:c>
    </x:row>
    <x:row r="3100" ht="75.5999984741211" hidden="0" customHeight="1">
      <x:c r="A3100" s="27" t="str">
        <x:v>SCA-25</x:v>
      </x:c>
      <x:c r="B3100" s="27" t="str">
        <x:v>SCA-31</x:v>
      </x:c>
      <x:c r="C3100" s="27" t="str">
        <x:v>Water</x:v>
      </x:c>
      <x:c r="D3100" s="27" t="str">
        <x:v>YES</x:v>
      </x:c>
      <x:c r="E3100" s="27" t="str">
        <x:v>YES</x:v>
      </x:c>
      <x:c r="F3100" s="61" t="n">
        <x:v>2107.8274255256315</x:v>
      </x:c>
      <x:c r="G3100" s="61" t="n">
        <x:v>90.22364072930375</x:v>
      </x:c>
      <x:c r="H3100" s="27" t="str">
        <x:v>NO</x:v>
      </x:c>
      <x:c r="I3100" s="27" t="str">
        <x:v>USACE waterway node topology; deployable terminal required</x:v>
      </x:c>
      <x:c r="J3100" s="27" t="str">
        <x:v>presence does not prove operability or capacity</x:v>
      </x:c>
    </x:row>
    <x:row r="3101" ht="54" hidden="0" customHeight="1">
      <x:c r="A3101" s="29" t="str">
        <x:v>SCA-25</x:v>
      </x:c>
      <x:c r="B3101" s="29" t="str">
        <x:v>SCA-32</x:v>
      </x:c>
      <x:c r="C3101" s="29" t="str">
        <x:v>Road</x:v>
      </x:c>
      <x:c r="D3101" s="29" t="str">
        <x:v>NO</x:v>
      </x:c>
      <x:c r="E3101" s="29" t="str">
        <x:v>NO</x:v>
      </x:c>
      <x:c r="F3101" s="62"/>
      <x:c r="G3101" s="62"/>
      <x:c r="H3101" s="29" t="str">
        <x:v>NO</x:v>
      </x:c>
      <x:c r="I3101" s="29" t="str">
        <x:v>no screened path</x:v>
      </x:c>
      <x:c r="J3101" s="29" t="str">
        <x:v>presence does not prove operability or capacity</x:v>
      </x:c>
    </x:row>
    <x:row r="3102" ht="54" hidden="0" customHeight="1">
      <x:c r="A3102" s="27" t="str">
        <x:v>SCA-25</x:v>
      </x:c>
      <x:c r="B3102" s="27" t="str">
        <x:v>SCA-32</x:v>
      </x:c>
      <x:c r="C3102" s="27" t="str">
        <x:v>Rail</x:v>
      </x:c>
      <x:c r="D3102" s="27" t="str">
        <x:v>NO</x:v>
      </x:c>
      <x:c r="E3102" s="27" t="str">
        <x:v>NO</x:v>
      </x:c>
      <x:c r="F3102" s="61"/>
      <x:c r="G3102" s="61"/>
      <x:c r="H3102" s="27" t="str">
        <x:v>NO</x:v>
      </x:c>
      <x:c r="I3102" s="27" t="str">
        <x:v>no screened path</x:v>
      </x:c>
      <x:c r="J3102" s="27" t="str">
        <x:v>presence does not prove operability or capacity</x:v>
      </x:c>
    </x:row>
    <x:row r="3103" ht="54" hidden="0" customHeight="1">
      <x:c r="A3103" s="29" t="str">
        <x:v>SCA-25</x:v>
      </x:c>
      <x:c r="B3103" s="29" t="str">
        <x:v>SCA-32</x:v>
      </x:c>
      <x:c r="C3103" s="29" t="str">
        <x:v>Air</x:v>
      </x:c>
      <x:c r="D3103" s="29" t="str">
        <x:v>YES</x:v>
      </x:c>
      <x:c r="E3103" s="29" t="str">
        <x:v>YES</x:v>
      </x:c>
      <x:c r="F3103" s="62" t="n">
        <x:v>2093.6144412010817</x:v>
      </x:c>
      <x:c r="G3103" s="62" t="n">
        <x:v>27.22094529415551</x:v>
      </x:c>
      <x:c r="H3103" s="29" t="str">
        <x:v>YES</x:v>
      </x:c>
      <x:c r="I3103" s="29" t="str">
        <x:v>primary-airport endpoints; great-circle screen</x:v>
      </x:c>
      <x:c r="J3103" s="29" t="str">
        <x:v>presence does not prove operability or capacity</x:v>
      </x:c>
    </x:row>
    <x:row r="3104" ht="75.5999984741211" hidden="0" customHeight="1">
      <x:c r="A3104" s="27" t="str">
        <x:v>SCA-25</x:v>
      </x:c>
      <x:c r="B3104" s="27" t="str">
        <x:v>SCA-32</x:v>
      </x:c>
      <x:c r="C3104" s="27" t="str">
        <x:v>Water</x:v>
      </x:c>
      <x:c r="D3104" s="27" t="str">
        <x:v>YES</x:v>
      </x:c>
      <x:c r="E3104" s="27" t="str">
        <x:v>YES</x:v>
      </x:c>
      <x:c r="F3104" s="61" t="n">
        <x:v>2679.826484737385</x:v>
      </x:c>
      <x:c r="G3104" s="61" t="n">
        <x:v>106.5664709924967</x:v>
      </x:c>
      <x:c r="H3104" s="27" t="str">
        <x:v>NO</x:v>
      </x:c>
      <x:c r="I3104" s="27" t="str">
        <x:v>USACE waterway node topology; deployable terminal required</x:v>
      </x:c>
      <x:c r="J3104" s="27" t="str">
        <x:v>presence does not prove operability or capacity</x:v>
      </x:c>
    </x:row>
    <x:row r="3105" ht="54" hidden="0" customHeight="1">
      <x:c r="A3105" s="29" t="str">
        <x:v>SCA-26</x:v>
      </x:c>
      <x:c r="B3105" s="29" t="str">
        <x:v>SCA-01</x:v>
      </x:c>
      <x:c r="C3105" s="29" t="str">
        <x:v>Road</x:v>
      </x:c>
      <x:c r="D3105" s="29" t="str">
        <x:v>NO</x:v>
      </x:c>
      <x:c r="E3105" s="29" t="str">
        <x:v>NO</x:v>
      </x:c>
      <x:c r="F3105" s="62"/>
      <x:c r="G3105" s="62"/>
      <x:c r="H3105" s="29" t="str">
        <x:v>NO</x:v>
      </x:c>
      <x:c r="I3105" s="29" t="str">
        <x:v>no screened path</x:v>
      </x:c>
      <x:c r="J3105" s="29" t="str">
        <x:v>presence does not prove operability or capacity</x:v>
      </x:c>
    </x:row>
    <x:row r="3106" ht="54" hidden="0" customHeight="1">
      <x:c r="A3106" s="27" t="str">
        <x:v>SCA-26</x:v>
      </x:c>
      <x:c r="B3106" s="27" t="str">
        <x:v>SCA-01</x:v>
      </x:c>
      <x:c r="C3106" s="27" t="str">
        <x:v>Rail</x:v>
      </x:c>
      <x:c r="D3106" s="27" t="str">
        <x:v>NO</x:v>
      </x:c>
      <x:c r="E3106" s="27" t="str">
        <x:v>NO</x:v>
      </x:c>
      <x:c r="F3106" s="61"/>
      <x:c r="G3106" s="61"/>
      <x:c r="H3106" s="27" t="str">
        <x:v>NO</x:v>
      </x:c>
      <x:c r="I3106" s="27" t="str">
        <x:v>no screened path</x:v>
      </x:c>
      <x:c r="J3106" s="27" t="str">
        <x:v>presence does not prove operability or capacity</x:v>
      </x:c>
    </x:row>
    <x:row r="3107" ht="54" hidden="0" customHeight="1">
      <x:c r="A3107" s="29" t="str">
        <x:v>SCA-26</x:v>
      </x:c>
      <x:c r="B3107" s="29" t="str">
        <x:v>SCA-01</x:v>
      </x:c>
      <x:c r="C3107" s="29" t="str">
        <x:v>Air</x:v>
      </x:c>
      <x:c r="D3107" s="29" t="str">
        <x:v>YES</x:v>
      </x:c>
      <x:c r="E3107" s="29" t="str">
        <x:v>YES</x:v>
      </x:c>
      <x:c r="F3107" s="62" t="n">
        <x:v>7585.4049826908</x:v>
      </x:c>
      <x:c r="G3107" s="62" t="n">
        <x:v>35.669853819524306</x:v>
      </x:c>
      <x:c r="H3107" s="29" t="str">
        <x:v>YES</x:v>
      </x:c>
      <x:c r="I3107" s="29" t="str">
        <x:v>primary-airport endpoints; great-circle screen</x:v>
      </x:c>
      <x:c r="J3107" s="29" t="str">
        <x:v>presence does not prove operability or capacity</x:v>
      </x:c>
    </x:row>
    <x:row r="3108" ht="75.5999984741211" hidden="0" customHeight="1">
      <x:c r="A3108" s="27" t="str">
        <x:v>SCA-26</x:v>
      </x:c>
      <x:c r="B3108" s="27" t="str">
        <x:v>SCA-01</x:v>
      </x:c>
      <x:c r="C3108" s="27" t="str">
        <x:v>Water</x:v>
      </x:c>
      <x:c r="D3108" s="27" t="str">
        <x:v>YES</x:v>
      </x:c>
      <x:c r="E3108" s="27" t="str">
        <x:v>YES</x:v>
      </x:c>
      <x:c r="F3108" s="61" t="n">
        <x:v>10363.461357697906</x:v>
      </x:c>
      <x:c r="G3108" s="61" t="n">
        <x:v>326.0988959342259</x:v>
      </x:c>
      <x:c r="H3108" s="27" t="str">
        <x:v>NO</x:v>
      </x:c>
      <x:c r="I3108" s="27" t="str">
        <x:v>USACE waterway node topology; deployable terminal required</x:v>
      </x:c>
      <x:c r="J3108" s="27" t="str">
        <x:v>presence does not prove operability or capacity</x:v>
      </x:c>
    </x:row>
    <x:row r="3109" ht="54" hidden="0" customHeight="1">
      <x:c r="A3109" s="29" t="str">
        <x:v>SCA-26</x:v>
      </x:c>
      <x:c r="B3109" s="29" t="str">
        <x:v>SCA-02</x:v>
      </x:c>
      <x:c r="C3109" s="29" t="str">
        <x:v>Road</x:v>
      </x:c>
      <x:c r="D3109" s="29" t="str">
        <x:v>NO</x:v>
      </x:c>
      <x:c r="E3109" s="29" t="str">
        <x:v>NO</x:v>
      </x:c>
      <x:c r="F3109" s="62"/>
      <x:c r="G3109" s="62"/>
      <x:c r="H3109" s="29" t="str">
        <x:v>NO</x:v>
      </x:c>
      <x:c r="I3109" s="29" t="str">
        <x:v>no screened path</x:v>
      </x:c>
      <x:c r="J3109" s="29" t="str">
        <x:v>presence does not prove operability or capacity</x:v>
      </x:c>
    </x:row>
    <x:row r="3110" ht="54" hidden="0" customHeight="1">
      <x:c r="A3110" s="27" t="str">
        <x:v>SCA-26</x:v>
      </x:c>
      <x:c r="B3110" s="27" t="str">
        <x:v>SCA-02</x:v>
      </x:c>
      <x:c r="C3110" s="27" t="str">
        <x:v>Rail</x:v>
      </x:c>
      <x:c r="D3110" s="27" t="str">
        <x:v>NO</x:v>
      </x:c>
      <x:c r="E3110" s="27" t="str">
        <x:v>NO</x:v>
      </x:c>
      <x:c r="F3110" s="61"/>
      <x:c r="G3110" s="61"/>
      <x:c r="H3110" s="27" t="str">
        <x:v>NO</x:v>
      </x:c>
      <x:c r="I3110" s="27" t="str">
        <x:v>no screened path</x:v>
      </x:c>
      <x:c r="J3110" s="27" t="str">
        <x:v>presence does not prove operability or capacity</x:v>
      </x:c>
    </x:row>
    <x:row r="3111" ht="54" hidden="0" customHeight="1">
      <x:c r="A3111" s="29" t="str">
        <x:v>SCA-26</x:v>
      </x:c>
      <x:c r="B3111" s="29" t="str">
        <x:v>SCA-02</x:v>
      </x:c>
      <x:c r="C3111" s="29" t="str">
        <x:v>Air</x:v>
      </x:c>
      <x:c r="D3111" s="29" t="str">
        <x:v>YES</x:v>
      </x:c>
      <x:c r="E3111" s="29" t="str">
        <x:v>YES</x:v>
      </x:c>
      <x:c r="F3111" s="62" t="n">
        <x:v>5952.864404219491</x:v>
      </x:c>
      <x:c r="G3111" s="62" t="n">
        <x:v>33.15825292956845</x:v>
      </x:c>
      <x:c r="H3111" s="29" t="str">
        <x:v>YES</x:v>
      </x:c>
      <x:c r="I3111" s="29" t="str">
        <x:v>primary-airport endpoints; great-circle screen</x:v>
      </x:c>
      <x:c r="J3111" s="29" t="str">
        <x:v>presence does not prove operability or capacity</x:v>
      </x:c>
    </x:row>
    <x:row r="3112" ht="75.5999984741211" hidden="0" customHeight="1">
      <x:c r="A3112" s="27" t="str">
        <x:v>SCA-26</x:v>
      </x:c>
      <x:c r="B3112" s="27" t="str">
        <x:v>SCA-02</x:v>
      </x:c>
      <x:c r="C3112" s="27" t="str">
        <x:v>Water</x:v>
      </x:c>
      <x:c r="D3112" s="27" t="str">
        <x:v>YES</x:v>
      </x:c>
      <x:c r="E3112" s="27" t="str">
        <x:v>YES</x:v>
      </x:c>
      <x:c r="F3112" s="61" t="n">
        <x:v>9091.89685033653</x:v>
      </x:c>
      <x:c r="G3112" s="61" t="n">
        <x:v>289.7684814381866</x:v>
      </x:c>
      <x:c r="H3112" s="27" t="str">
        <x:v>NO</x:v>
      </x:c>
      <x:c r="I3112" s="27" t="str">
        <x:v>USACE waterway node topology; deployable terminal required</x:v>
      </x:c>
      <x:c r="J3112" s="27" t="str">
        <x:v>presence does not prove operability or capacity</x:v>
      </x:c>
    </x:row>
    <x:row r="3113" ht="54" hidden="0" customHeight="1">
      <x:c r="A3113" s="29" t="str">
        <x:v>SCA-26</x:v>
      </x:c>
      <x:c r="B3113" s="29" t="str">
        <x:v>SCA-03</x:v>
      </x:c>
      <x:c r="C3113" s="29" t="str">
        <x:v>Road</x:v>
      </x:c>
      <x:c r="D3113" s="29" t="str">
        <x:v>YES</x:v>
      </x:c>
      <x:c r="E3113" s="29" t="str">
        <x:v>YES</x:v>
      </x:c>
      <x:c r="F3113" s="62" t="n">
        <x:v>4920.314829812207</x:v>
      </x:c>
      <x:c r="G3113" s="62" t="n">
        <x:v>109.46026963294922</x:v>
      </x:c>
      <x:c r="H3113" s="29" t="str">
        <x:v>NO</x:v>
      </x:c>
      <x:c r="I3113" s="29" t="str">
        <x:v>NHPN-gated shared-boundary SCA path</x:v>
      </x:c>
      <x:c r="J3113" s="29" t="str">
        <x:v>presence does not prove operability or capacity</x:v>
      </x:c>
    </x:row>
    <x:row r="3114" ht="64.80000305175781" hidden="0" customHeight="1">
      <x:c r="A3114" s="27" t="str">
        <x:v>SCA-26</x:v>
      </x:c>
      <x:c r="B3114" s="27" t="str">
        <x:v>SCA-03</x:v>
      </x:c>
      <x:c r="C3114" s="27" t="str">
        <x:v>Rail</x:v>
      </x:c>
      <x:c r="D3114" s="27" t="str">
        <x:v>YES</x:v>
      </x:c>
      <x:c r="E3114" s="27" t="str">
        <x:v>YES</x:v>
      </x:c>
      <x:c r="F3114" s="61" t="n">
        <x:v>5219.812254235559</x:v>
      </x:c>
      <x:c r="G3114" s="61" t="n">
        <x:v>100.5687464890794</x:v>
      </x:c>
      <x:c r="H3114" s="27" t="str">
        <x:v>NO</x:v>
      </x:c>
      <x:c r="I3114" s="27" t="str">
        <x:v>NARN shared-node topology; deployable terminal required</x:v>
      </x:c>
      <x:c r="J3114" s="27" t="str">
        <x:v>presence does not prove operability or capacity</x:v>
      </x:c>
    </x:row>
    <x:row r="3115" ht="54" hidden="0" customHeight="1">
      <x:c r="A3115" s="29" t="str">
        <x:v>SCA-26</x:v>
      </x:c>
      <x:c r="B3115" s="29" t="str">
        <x:v>SCA-03</x:v>
      </x:c>
      <x:c r="C3115" s="29" t="str">
        <x:v>Air</x:v>
      </x:c>
      <x:c r="D3115" s="29" t="str">
        <x:v>YES</x:v>
      </x:c>
      <x:c r="E3115" s="29" t="str">
        <x:v>YES</x:v>
      </x:c>
      <x:c r="F3115" s="62" t="n">
        <x:v>4024.0929642234305</x:v>
      </x:c>
      <x:c r="G3115" s="62" t="n">
        <x:v>30.19091225265143</x:v>
      </x:c>
      <x:c r="H3115" s="29" t="str">
        <x:v>YES</x:v>
      </x:c>
      <x:c r="I3115" s="29" t="str">
        <x:v>primary-airport endpoints; great-circle screen</x:v>
      </x:c>
      <x:c r="J3115" s="29" t="str">
        <x:v>presence does not prove operability or capacity</x:v>
      </x:c>
    </x:row>
    <x:row r="3116" ht="75.5999984741211" hidden="0" customHeight="1">
      <x:c r="A3116" s="27" t="str">
        <x:v>SCA-26</x:v>
      </x:c>
      <x:c r="B3116" s="27" t="str">
        <x:v>SCA-03</x:v>
      </x:c>
      <x:c r="C3116" s="27" t="str">
        <x:v>Water</x:v>
      </x:c>
      <x:c r="D3116" s="27" t="str">
        <x:v>YES</x:v>
      </x:c>
      <x:c r="E3116" s="27" t="str">
        <x:v>YES</x:v>
      </x:c>
      <x:c r="F3116" s="61" t="n">
        <x:v>6972.700045026249</x:v>
      </x:c>
      <x:c r="G3116" s="61" t="n">
        <x:v>229.22000128646428</x:v>
      </x:c>
      <x:c r="H3116" s="27" t="str">
        <x:v>NO</x:v>
      </x:c>
      <x:c r="I3116" s="27" t="str">
        <x:v>USACE waterway node topology; deployable terminal required</x:v>
      </x:c>
      <x:c r="J3116" s="27" t="str">
        <x:v>presence does not prove operability or capacity</x:v>
      </x:c>
    </x:row>
    <x:row r="3117" ht="54" hidden="0" customHeight="1">
      <x:c r="A3117" s="29" t="str">
        <x:v>SCA-26</x:v>
      </x:c>
      <x:c r="B3117" s="29" t="str">
        <x:v>SCA-04</x:v>
      </x:c>
      <x:c r="C3117" s="29" t="str">
        <x:v>Road</x:v>
      </x:c>
      <x:c r="D3117" s="29" t="str">
        <x:v>YES</x:v>
      </x:c>
      <x:c r="E3117" s="29" t="str">
        <x:v>YES</x:v>
      </x:c>
      <x:c r="F3117" s="62" t="n">
        <x:v>4945.446373474625</x:v>
      </x:c>
      <x:c r="G3117" s="62" t="n">
        <x:v>109.91720679044772</x:v>
      </x:c>
      <x:c r="H3117" s="29" t="str">
        <x:v>NO</x:v>
      </x:c>
      <x:c r="I3117" s="29" t="str">
        <x:v>NHPN-gated shared-boundary SCA path</x:v>
      </x:c>
      <x:c r="J3117" s="29" t="str">
        <x:v>presence does not prove operability or capacity</x:v>
      </x:c>
    </x:row>
    <x:row r="3118" ht="64.80000305175781" hidden="0" customHeight="1">
      <x:c r="A3118" s="27" t="str">
        <x:v>SCA-26</x:v>
      </x:c>
      <x:c r="B3118" s="27" t="str">
        <x:v>SCA-04</x:v>
      </x:c>
      <x:c r="C3118" s="27" t="str">
        <x:v>Rail</x:v>
      </x:c>
      <x:c r="D3118" s="27" t="str">
        <x:v>YES</x:v>
      </x:c>
      <x:c r="E3118" s="27" t="str">
        <x:v>YES</x:v>
      </x:c>
      <x:c r="F3118" s="61" t="n">
        <x:v>5370.669114410104</x:v>
      </x:c>
      <x:c r="G3118" s="61" t="n">
        <x:v>102.72384449157292</x:v>
      </x:c>
      <x:c r="H3118" s="27" t="str">
        <x:v>NO</x:v>
      </x:c>
      <x:c r="I3118" s="27" t="str">
        <x:v>NARN shared-node topology; deployable terminal required</x:v>
      </x:c>
      <x:c r="J3118" s="27" t="str">
        <x:v>presence does not prove operability or capacity</x:v>
      </x:c>
    </x:row>
    <x:row r="3119" ht="54" hidden="0" customHeight="1">
      <x:c r="A3119" s="29" t="str">
        <x:v>SCA-26</x:v>
      </x:c>
      <x:c r="B3119" s="29" t="str">
        <x:v>SCA-04</x:v>
      </x:c>
      <x:c r="C3119" s="29" t="str">
        <x:v>Air</x:v>
      </x:c>
      <x:c r="D3119" s="29" t="str">
        <x:v>YES</x:v>
      </x:c>
      <x:c r="E3119" s="29" t="str">
        <x:v>YES</x:v>
      </x:c>
      <x:c r="F3119" s="62" t="n">
        <x:v>3832.7644257312195</x:v>
      </x:c>
      <x:c r="G3119" s="62" t="n">
        <x:v>29.896560654971108</x:v>
      </x:c>
      <x:c r="H3119" s="29" t="str">
        <x:v>YES</x:v>
      </x:c>
      <x:c r="I3119" s="29" t="str">
        <x:v>primary-airport endpoints; great-circle screen</x:v>
      </x:c>
      <x:c r="J3119" s="29" t="str">
        <x:v>presence does not prove operability or capacity</x:v>
      </x:c>
    </x:row>
    <x:row r="3120" ht="75.5999984741211" hidden="0" customHeight="1">
      <x:c r="A3120" s="27" t="str">
        <x:v>SCA-26</x:v>
      </x:c>
      <x:c r="B3120" s="27" t="str">
        <x:v>SCA-04</x:v>
      </x:c>
      <x:c r="C3120" s="27" t="str">
        <x:v>Water</x:v>
      </x:c>
      <x:c r="D3120" s="27" t="str">
        <x:v>YES</x:v>
      </x:c>
      <x:c r="E3120" s="27" t="str">
        <x:v>YES</x:v>
      </x:c>
      <x:c r="F3120" s="61" t="n">
        <x:v>5760.441836645282</x:v>
      </x:c>
      <x:c r="G3120" s="61" t="n">
        <x:v>194.58405247557948</x:v>
      </x:c>
      <x:c r="H3120" s="27" t="str">
        <x:v>NO</x:v>
      </x:c>
      <x:c r="I3120" s="27" t="str">
        <x:v>USACE waterway node topology; deployable terminal required</x:v>
      </x:c>
      <x:c r="J3120" s="27" t="str">
        <x:v>presence does not prove operability or capacity</x:v>
      </x:c>
    </x:row>
    <x:row r="3121" ht="54" hidden="0" customHeight="1">
      <x:c r="A3121" s="29" t="str">
        <x:v>SCA-26</x:v>
      </x:c>
      <x:c r="B3121" s="29" t="str">
        <x:v>SCA-05</x:v>
      </x:c>
      <x:c r="C3121" s="29" t="str">
        <x:v>Road</x:v>
      </x:c>
      <x:c r="D3121" s="29" t="str">
        <x:v>YES</x:v>
      </x:c>
      <x:c r="E3121" s="29" t="str">
        <x:v>YES</x:v>
      </x:c>
      <x:c r="F3121" s="62" t="n">
        <x:v>4473.182818189909</x:v>
      </x:c>
      <x:c r="G3121" s="62" t="n">
        <x:v>101.33059669436199</x:v>
      </x:c>
      <x:c r="H3121" s="29" t="str">
        <x:v>NO</x:v>
      </x:c>
      <x:c r="I3121" s="29" t="str">
        <x:v>NHPN-gated shared-boundary SCA path</x:v>
      </x:c>
      <x:c r="J3121" s="29" t="str">
        <x:v>presence does not prove operability or capacity</x:v>
      </x:c>
    </x:row>
    <x:row r="3122" ht="64.80000305175781" hidden="0" customHeight="1">
      <x:c r="A3122" s="27" t="str">
        <x:v>SCA-26</x:v>
      </x:c>
      <x:c r="B3122" s="27" t="str">
        <x:v>SCA-05</x:v>
      </x:c>
      <x:c r="C3122" s="27" t="str">
        <x:v>Rail</x:v>
      </x:c>
      <x:c r="D3122" s="27" t="str">
        <x:v>YES</x:v>
      </x:c>
      <x:c r="E3122" s="27" t="str">
        <x:v>YES</x:v>
      </x:c>
      <x:c r="F3122" s="61" t="n">
        <x:v>4745.463511471034</x:v>
      </x:c>
      <x:c r="G3122" s="61" t="n">
        <x:v>93.79233587815763</x:v>
      </x:c>
      <x:c r="H3122" s="27" t="str">
        <x:v>NO</x:v>
      </x:c>
      <x:c r="I3122" s="27" t="str">
        <x:v>NARN shared-node topology; deployable terminal required</x:v>
      </x:c>
      <x:c r="J3122" s="27" t="str">
        <x:v>presence does not prove operability or capacity</x:v>
      </x:c>
    </x:row>
    <x:row r="3123" ht="54" hidden="0" customHeight="1">
      <x:c r="A3123" s="29" t="str">
        <x:v>SCA-26</x:v>
      </x:c>
      <x:c r="B3123" s="29" t="str">
        <x:v>SCA-05</x:v>
      </x:c>
      <x:c r="C3123" s="29" t="str">
        <x:v>Air</x:v>
      </x:c>
      <x:c r="D3123" s="29" t="str">
        <x:v>YES</x:v>
      </x:c>
      <x:c r="E3123" s="29" t="str">
        <x:v>YES</x:v>
      </x:c>
      <x:c r="F3123" s="62" t="n">
        <x:v>3521.8772834587367</x:v>
      </x:c>
      <x:c r="G3123" s="62" t="n">
        <x:v>29.418272743782673</x:v>
      </x:c>
      <x:c r="H3123" s="29" t="str">
        <x:v>YES</x:v>
      </x:c>
      <x:c r="I3123" s="29" t="str">
        <x:v>primary-airport endpoints; great-circle screen</x:v>
      </x:c>
      <x:c r="J3123" s="29" t="str">
        <x:v>presence does not prove operability or capacity</x:v>
      </x:c>
    </x:row>
    <x:row r="3124" ht="75.5999984741211" hidden="0" customHeight="1">
      <x:c r="A3124" s="27" t="str">
        <x:v>SCA-26</x:v>
      </x:c>
      <x:c r="B3124" s="27" t="str">
        <x:v>SCA-05</x:v>
      </x:c>
      <x:c r="C3124" s="27" t="str">
        <x:v>Water</x:v>
      </x:c>
      <x:c r="D3124" s="27" t="str">
        <x:v>YES</x:v>
      </x:c>
      <x:c r="E3124" s="27" t="str">
        <x:v>YES</x:v>
      </x:c>
      <x:c r="F3124" s="61" t="n">
        <x:v>5104.488417168224</x:v>
      </x:c>
      <x:c r="G3124" s="61" t="n">
        <x:v>175.8425262048064</x:v>
      </x:c>
      <x:c r="H3124" s="27" t="str">
        <x:v>NO</x:v>
      </x:c>
      <x:c r="I3124" s="27" t="str">
        <x:v>USACE waterway node topology; deployable terminal required</x:v>
      </x:c>
      <x:c r="J3124" s="27" t="str">
        <x:v>presence does not prove operability or capacity</x:v>
      </x:c>
    </x:row>
    <x:row r="3125" ht="54" hidden="0" customHeight="1">
      <x:c r="A3125" s="29" t="str">
        <x:v>SCA-26</x:v>
      </x:c>
      <x:c r="B3125" s="29" t="str">
        <x:v>SCA-06</x:v>
      </x:c>
      <x:c r="C3125" s="29" t="str">
        <x:v>Road</x:v>
      </x:c>
      <x:c r="D3125" s="29" t="str">
        <x:v>YES</x:v>
      </x:c>
      <x:c r="E3125" s="29" t="str">
        <x:v>YES</x:v>
      </x:c>
      <x:c r="F3125" s="62" t="n">
        <x:v>4232.425445909786</x:v>
      </x:c>
      <x:c r="G3125" s="62" t="n">
        <x:v>96.95318992563247</x:v>
      </x:c>
      <x:c r="H3125" s="29" t="str">
        <x:v>NO</x:v>
      </x:c>
      <x:c r="I3125" s="29" t="str">
        <x:v>NHPN-gated shared-boundary SCA path</x:v>
      </x:c>
      <x:c r="J3125" s="29" t="str">
        <x:v>presence does not prove operability or capacity</x:v>
      </x:c>
    </x:row>
    <x:row r="3126" ht="64.80000305175781" hidden="0" customHeight="1">
      <x:c r="A3126" s="27" t="str">
        <x:v>SCA-26</x:v>
      </x:c>
      <x:c r="B3126" s="27" t="str">
        <x:v>SCA-06</x:v>
      </x:c>
      <x:c r="C3126" s="27" t="str">
        <x:v>Rail</x:v>
      </x:c>
      <x:c r="D3126" s="27" t="str">
        <x:v>YES</x:v>
      </x:c>
      <x:c r="E3126" s="27" t="str">
        <x:v>YES</x:v>
      </x:c>
      <x:c r="F3126" s="61" t="n">
        <x:v>4490.0513426173375</x:v>
      </x:c>
      <x:c r="G3126" s="61" t="n">
        <x:v>90.14359060881911</x:v>
      </x:c>
      <x:c r="H3126" s="27" t="str">
        <x:v>NO</x:v>
      </x:c>
      <x:c r="I3126" s="27" t="str">
        <x:v>NARN shared-node topology; deployable terminal required</x:v>
      </x:c>
      <x:c r="J3126" s="27" t="str">
        <x:v>presence does not prove operability or capacity</x:v>
      </x:c>
    </x:row>
    <x:row r="3127" ht="54" hidden="0" customHeight="1">
      <x:c r="A3127" s="29" t="str">
        <x:v>SCA-26</x:v>
      </x:c>
      <x:c r="B3127" s="29" t="str">
        <x:v>SCA-06</x:v>
      </x:c>
      <x:c r="C3127" s="29" t="str">
        <x:v>Air</x:v>
      </x:c>
      <x:c r="D3127" s="29" t="str">
        <x:v>YES</x:v>
      </x:c>
      <x:c r="E3127" s="29" t="str">
        <x:v>YES</x:v>
      </x:c>
      <x:c r="F3127" s="62" t="n">
        <x:v>3339.4454412562472</x:v>
      </x:c>
      <x:c r="G3127" s="62" t="n">
        <x:v>29.13760837116346</x:v>
      </x:c>
      <x:c r="H3127" s="29" t="str">
        <x:v>YES</x:v>
      </x:c>
      <x:c r="I3127" s="29" t="str">
        <x:v>primary-airport endpoints; great-circle screen</x:v>
      </x:c>
      <x:c r="J3127" s="29" t="str">
        <x:v>presence does not prove operability or capacity</x:v>
      </x:c>
    </x:row>
    <x:row r="3128" ht="75.5999984741211" hidden="0" customHeight="1">
      <x:c r="A3128" s="27" t="str">
        <x:v>SCA-26</x:v>
      </x:c>
      <x:c r="B3128" s="27" t="str">
        <x:v>SCA-06</x:v>
      </x:c>
      <x:c r="C3128" s="27" t="str">
        <x:v>Water</x:v>
      </x:c>
      <x:c r="D3128" s="27" t="str">
        <x:v>YES</x:v>
      </x:c>
      <x:c r="E3128" s="27" t="str">
        <x:v>YES</x:v>
      </x:c>
      <x:c r="F3128" s="61" t="n">
        <x:v>4836.514994108608</x:v>
      </x:c>
      <x:c r="G3128" s="61" t="n">
        <x:v>168.18614268881737</x:v>
      </x:c>
      <x:c r="H3128" s="27" t="str">
        <x:v>NO</x:v>
      </x:c>
      <x:c r="I3128" s="27" t="str">
        <x:v>USACE waterway node topology; deployable terminal required</x:v>
      </x:c>
      <x:c r="J3128" s="27" t="str">
        <x:v>presence does not prove operability or capacity</x:v>
      </x:c>
    </x:row>
    <x:row r="3129" ht="54" hidden="0" customHeight="1">
      <x:c r="A3129" s="29" t="str">
        <x:v>SCA-26</x:v>
      </x:c>
      <x:c r="B3129" s="29" t="str">
        <x:v>SCA-07</x:v>
      </x:c>
      <x:c r="C3129" s="29" t="str">
        <x:v>Road</x:v>
      </x:c>
      <x:c r="D3129" s="29" t="str">
        <x:v>YES</x:v>
      </x:c>
      <x:c r="E3129" s="29" t="str">
        <x:v>YES</x:v>
      </x:c>
      <x:c r="F3129" s="62" t="n">
        <x:v>4244.84218682198</x:v>
      </x:c>
      <x:c r="G3129" s="62" t="n">
        <x:v>97.17894885130873</x:v>
      </x:c>
      <x:c r="H3129" s="29" t="str">
        <x:v>NO</x:v>
      </x:c>
      <x:c r="I3129" s="29" t="str">
        <x:v>NHPN-gated shared-boundary SCA path</x:v>
      </x:c>
      <x:c r="J3129" s="29" t="str">
        <x:v>presence does not prove operability or capacity</x:v>
      </x:c>
    </x:row>
    <x:row r="3130" ht="64.80000305175781" hidden="0" customHeight="1">
      <x:c r="A3130" s="27" t="str">
        <x:v>SCA-26</x:v>
      </x:c>
      <x:c r="B3130" s="27" t="str">
        <x:v>SCA-07</x:v>
      </x:c>
      <x:c r="C3130" s="27" t="str">
        <x:v>Rail</x:v>
      </x:c>
      <x:c r="D3130" s="27" t="str">
        <x:v>YES</x:v>
      </x:c>
      <x:c r="E3130" s="27" t="str">
        <x:v>YES</x:v>
      </x:c>
      <x:c r="F3130" s="61" t="n">
        <x:v>4503.223885150273</x:v>
      </x:c>
      <x:c r="G3130" s="61" t="n">
        <x:v>90.33176978786105</x:v>
      </x:c>
      <x:c r="H3130" s="27" t="str">
        <x:v>NO</x:v>
      </x:c>
      <x:c r="I3130" s="27" t="str">
        <x:v>NARN shared-node topology; deployable terminal required</x:v>
      </x:c>
      <x:c r="J3130" s="27" t="str">
        <x:v>presence does not prove operability or capacity</x:v>
      </x:c>
    </x:row>
    <x:row r="3131" ht="54" hidden="0" customHeight="1">
      <x:c r="A3131" s="29" t="str">
        <x:v>SCA-26</x:v>
      </x:c>
      <x:c r="B3131" s="29" t="str">
        <x:v>SCA-07</x:v>
      </x:c>
      <x:c r="C3131" s="29" t="str">
        <x:v>Air</x:v>
      </x:c>
      <x:c r="D3131" s="29" t="str">
        <x:v>YES</x:v>
      </x:c>
      <x:c r="E3131" s="29" t="str">
        <x:v>YES</x:v>
      </x:c>
      <x:c r="F3131" s="62" t="n">
        <x:v>3261.8048438838587</x:v>
      </x:c>
      <x:c r="G3131" s="62" t="n">
        <x:v>29.01816129828286</x:v>
      </x:c>
      <x:c r="H3131" s="29" t="str">
        <x:v>YES</x:v>
      </x:c>
      <x:c r="I3131" s="29" t="str">
        <x:v>primary-airport endpoints; great-circle screen</x:v>
      </x:c>
      <x:c r="J3131" s="29" t="str">
        <x:v>presence does not prove operability or capacity</x:v>
      </x:c>
    </x:row>
    <x:row r="3132" ht="64.80000305175781" hidden="0" customHeight="1">
      <x:c r="A3132" s="27" t="str">
        <x:v>SCA-26</x:v>
      </x:c>
      <x:c r="B3132" s="27" t="str">
        <x:v>SCA-07</x:v>
      </x:c>
      <x:c r="C3132" s="27" t="str">
        <x:v>Water</x:v>
      </x:c>
      <x:c r="D3132" s="27" t="str">
        <x:v>YES</x:v>
      </x:c>
      <x:c r="E3132" s="27" t="str">
        <x:v>YES</x:v>
      </x:c>
      <x:c r="F3132" s="61" t="n">
        <x:v>4077.2560548548236</x:v>
      </x:c>
      <x:c r="G3132" s="61" t="n">
        <x:v>146.49303013870923</x:v>
      </x:c>
      <x:c r="H3132" s="27" t="str">
        <x:v>NO</x:v>
      </x:c>
      <x:c r="I3132" s="27" t="str">
        <x:v>observed water terminals; maritime great-circle screen</x:v>
      </x:c>
      <x:c r="J3132" s="27" t="str">
        <x:v>presence does not prove operability or capacity</x:v>
      </x:c>
    </x:row>
    <x:row r="3133" ht="54" hidden="0" customHeight="1">
      <x:c r="A3133" s="29" t="str">
        <x:v>SCA-26</x:v>
      </x:c>
      <x:c r="B3133" s="29" t="str">
        <x:v>SCA-08</x:v>
      </x:c>
      <x:c r="C3133" s="29" t="str">
        <x:v>Road</x:v>
      </x:c>
      <x:c r="D3133" s="29" t="str">
        <x:v>YES</x:v>
      </x:c>
      <x:c r="E3133" s="29" t="str">
        <x:v>YES</x:v>
      </x:c>
      <x:c r="F3133" s="62" t="n">
        <x:v>4275.659954739697</x:v>
      </x:c>
      <x:c r="G3133" s="62" t="n">
        <x:v>97.73927190435813</x:v>
      </x:c>
      <x:c r="H3133" s="29" t="str">
        <x:v>NO</x:v>
      </x:c>
      <x:c r="I3133" s="29" t="str">
        <x:v>NHPN-gated shared-boundary SCA path</x:v>
      </x:c>
      <x:c r="J3133" s="29" t="str">
        <x:v>presence does not prove operability or capacity</x:v>
      </x:c>
    </x:row>
    <x:row r="3134" ht="64.80000305175781" hidden="0" customHeight="1">
      <x:c r="A3134" s="27" t="str">
        <x:v>SCA-26</x:v>
      </x:c>
      <x:c r="B3134" s="27" t="str">
        <x:v>SCA-08</x:v>
      </x:c>
      <x:c r="C3134" s="27" t="str">
        <x:v>Rail</x:v>
      </x:c>
      <x:c r="D3134" s="27" t="str">
        <x:v>YES</x:v>
      </x:c>
      <x:c r="E3134" s="27" t="str">
        <x:v>YES</x:v>
      </x:c>
      <x:c r="F3134" s="61" t="n">
        <x:v>4535.917517202113</x:v>
      </x:c>
      <x:c r="G3134" s="61" t="n">
        <x:v>90.7988216743159</x:v>
      </x:c>
      <x:c r="H3134" s="27" t="str">
        <x:v>NO</x:v>
      </x:c>
      <x:c r="I3134" s="27" t="str">
        <x:v>NARN shared-node topology; deployable terminal required</x:v>
      </x:c>
      <x:c r="J3134" s="27" t="str">
        <x:v>presence does not prove operability or capacity</x:v>
      </x:c>
    </x:row>
    <x:row r="3135" ht="54" hidden="0" customHeight="1">
      <x:c r="A3135" s="29" t="str">
        <x:v>SCA-26</x:v>
      </x:c>
      <x:c r="B3135" s="29" t="str">
        <x:v>SCA-08</x:v>
      </x:c>
      <x:c r="C3135" s="29" t="str">
        <x:v>Air</x:v>
      </x:c>
      <x:c r="D3135" s="29" t="str">
        <x:v>YES</x:v>
      </x:c>
      <x:c r="E3135" s="29" t="str">
        <x:v>YES</x:v>
      </x:c>
      <x:c r="F3135" s="62" t="n">
        <x:v>3464.263781620289</x:v>
      </x:c>
      <x:c r="G3135" s="62" t="n">
        <x:v>29.329636587108137</x:v>
      </x:c>
      <x:c r="H3135" s="29" t="str">
        <x:v>YES</x:v>
      </x:c>
      <x:c r="I3135" s="29" t="str">
        <x:v>primary-airport endpoints; great-circle screen</x:v>
      </x:c>
      <x:c r="J3135" s="29" t="str">
        <x:v>presence does not prove operability or capacity</x:v>
      </x:c>
    </x:row>
    <x:row r="3136" ht="75.5999984741211" hidden="0" customHeight="1">
      <x:c r="A3136" s="27" t="str">
        <x:v>SCA-26</x:v>
      </x:c>
      <x:c r="B3136" s="27" t="str">
        <x:v>SCA-08</x:v>
      </x:c>
      <x:c r="C3136" s="27" t="str">
        <x:v>Water</x:v>
      </x:c>
      <x:c r="D3136" s="27" t="str">
        <x:v>YES</x:v>
      </x:c>
      <x:c r="E3136" s="27" t="str">
        <x:v>YES</x:v>
      </x:c>
      <x:c r="F3136" s="61" t="n">
        <x:v>7690.228949454782</x:v>
      </x:c>
      <x:c r="G3136" s="61" t="n">
        <x:v>249.72082712727948</x:v>
      </x:c>
      <x:c r="H3136" s="27" t="str">
        <x:v>NO</x:v>
      </x:c>
      <x:c r="I3136" s="27" t="str">
        <x:v>USACE waterway node topology; deployable terminal required</x:v>
      </x:c>
      <x:c r="J3136" s="27" t="str">
        <x:v>presence does not prove operability or capacity</x:v>
      </x:c>
    </x:row>
    <x:row r="3137" ht="54" hidden="0" customHeight="1">
      <x:c r="A3137" s="29" t="str">
        <x:v>SCA-26</x:v>
      </x:c>
      <x:c r="B3137" s="29" t="str">
        <x:v>SCA-09</x:v>
      </x:c>
      <x:c r="C3137" s="29" t="str">
        <x:v>Road</x:v>
      </x:c>
      <x:c r="D3137" s="29" t="str">
        <x:v>YES</x:v>
      </x:c>
      <x:c r="E3137" s="29" t="str">
        <x:v>YES</x:v>
      </x:c>
      <x:c r="F3137" s="62" t="n">
        <x:v>3782.7059941479547</x:v>
      </x:c>
      <x:c r="G3137" s="62" t="n">
        <x:v>88.7764726208719</x:v>
      </x:c>
      <x:c r="H3137" s="29" t="str">
        <x:v>NO</x:v>
      </x:c>
      <x:c r="I3137" s="29" t="str">
        <x:v>NHPN-gated shared-boundary SCA path</x:v>
      </x:c>
      <x:c r="J3137" s="29" t="str">
        <x:v>presence does not prove operability or capacity</x:v>
      </x:c>
    </x:row>
    <x:row r="3138" ht="64.80000305175781" hidden="0" customHeight="1">
      <x:c r="A3138" s="27" t="str">
        <x:v>SCA-26</x:v>
      </x:c>
      <x:c r="B3138" s="27" t="str">
        <x:v>SCA-09</x:v>
      </x:c>
      <x:c r="C3138" s="27" t="str">
        <x:v>Rail</x:v>
      </x:c>
      <x:c r="D3138" s="27" t="str">
        <x:v>YES</x:v>
      </x:c>
      <x:c r="E3138" s="27" t="str">
        <x:v>YES</x:v>
      </x:c>
      <x:c r="F3138" s="61" t="n">
        <x:v>4012.95766335696</x:v>
      </x:c>
      <x:c r="G3138" s="61" t="n">
        <x:v>83.32796661938514</x:v>
      </x:c>
      <x:c r="H3138" s="27" t="str">
        <x:v>NO</x:v>
      </x:c>
      <x:c r="I3138" s="27" t="str">
        <x:v>NARN shared-node topology; deployable terminal required</x:v>
      </x:c>
      <x:c r="J3138" s="27" t="str">
        <x:v>presence does not prove operability or capacity</x:v>
      </x:c>
    </x:row>
    <x:row r="3139" ht="54" hidden="0" customHeight="1">
      <x:c r="A3139" s="29" t="str">
        <x:v>SCA-26</x:v>
      </x:c>
      <x:c r="B3139" s="29" t="str">
        <x:v>SCA-09</x:v>
      </x:c>
      <x:c r="C3139" s="29" t="str">
        <x:v>Air</x:v>
      </x:c>
      <x:c r="D3139" s="29" t="str">
        <x:v>YES</x:v>
      </x:c>
      <x:c r="E3139" s="29" t="str">
        <x:v>YES</x:v>
      </x:c>
      <x:c r="F3139" s="62" t="n">
        <x:v>2948.3976133779065</x:v>
      </x:c>
      <x:c r="G3139" s="62" t="n">
        <x:v>28.535996328273704</x:v>
      </x:c>
      <x:c r="H3139" s="29" t="str">
        <x:v>YES</x:v>
      </x:c>
      <x:c r="I3139" s="29" t="str">
        <x:v>primary-airport endpoints; great-circle screen</x:v>
      </x:c>
      <x:c r="J3139" s="29" t="str">
        <x:v>presence does not prove operability or capacity</x:v>
      </x:c>
    </x:row>
    <x:row r="3140" ht="54" hidden="0" customHeight="1">
      <x:c r="A3140" s="27" t="str">
        <x:v>SCA-26</x:v>
      </x:c>
      <x:c r="B3140" s="27" t="str">
        <x:v>SCA-09</x:v>
      </x:c>
      <x:c r="C3140" s="27" t="str">
        <x:v>Water</x:v>
      </x:c>
      <x:c r="D3140" s="27" t="str">
        <x:v>NO</x:v>
      </x:c>
      <x:c r="E3140" s="27" t="str">
        <x:v>NO</x:v>
      </x:c>
      <x:c r="F3140" s="61"/>
      <x:c r="G3140" s="61"/>
      <x:c r="H3140" s="27" t="str">
        <x:v>NO</x:v>
      </x:c>
      <x:c r="I3140" s="27" t="str">
        <x:v>no screened path</x:v>
      </x:c>
      <x:c r="J3140" s="27" t="str">
        <x:v>presence does not prove operability or capacity</x:v>
      </x:c>
    </x:row>
    <x:row r="3141" ht="54" hidden="0" customHeight="1">
      <x:c r="A3141" s="29" t="str">
        <x:v>SCA-26</x:v>
      </x:c>
      <x:c r="B3141" s="29" t="str">
        <x:v>SCA-10</x:v>
      </x:c>
      <x:c r="C3141" s="29" t="str">
        <x:v>Road</x:v>
      </x:c>
      <x:c r="D3141" s="29" t="str">
        <x:v>YES</x:v>
      </x:c>
      <x:c r="E3141" s="29" t="str">
        <x:v>YES</x:v>
      </x:c>
      <x:c r="F3141" s="62" t="n">
        <x:v>3780.0835223237623</x:v>
      </x:c>
      <x:c r="G3141" s="62" t="n">
        <x:v>88.7287913149775</x:v>
      </x:c>
      <x:c r="H3141" s="29" t="str">
        <x:v>NO</x:v>
      </x:c>
      <x:c r="I3141" s="29" t="str">
        <x:v>NHPN-gated shared-boundary SCA path</x:v>
      </x:c>
      <x:c r="J3141" s="29" t="str">
        <x:v>presence does not prove operability or capacity</x:v>
      </x:c>
    </x:row>
    <x:row r="3142" ht="64.80000305175781" hidden="0" customHeight="1">
      <x:c r="A3142" s="27" t="str">
        <x:v>SCA-26</x:v>
      </x:c>
      <x:c r="B3142" s="27" t="str">
        <x:v>SCA-10</x:v>
      </x:c>
      <x:c r="C3142" s="27" t="str">
        <x:v>Rail</x:v>
      </x:c>
      <x:c r="D3142" s="27" t="str">
        <x:v>YES</x:v>
      </x:c>
      <x:c r="E3142" s="27" t="str">
        <x:v>YES</x:v>
      </x:c>
      <x:c r="F3142" s="61" t="n">
        <x:v>4010.175562813035</x:v>
      </x:c>
      <x:c r="G3142" s="61" t="n">
        <x:v>83.2882223259005</x:v>
      </x:c>
      <x:c r="H3142" s="27" t="str">
        <x:v>NO</x:v>
      </x:c>
      <x:c r="I3142" s="27" t="str">
        <x:v>NARN shared-node topology; deployable terminal required</x:v>
      </x:c>
      <x:c r="J3142" s="27" t="str">
        <x:v>presence does not prove operability or capacity</x:v>
      </x:c>
    </x:row>
    <x:row r="3143" ht="54" hidden="0" customHeight="1">
      <x:c r="A3143" s="29" t="str">
        <x:v>SCA-26</x:v>
      </x:c>
      <x:c r="B3143" s="29" t="str">
        <x:v>SCA-10</x:v>
      </x:c>
      <x:c r="C3143" s="29" t="str">
        <x:v>Air</x:v>
      </x:c>
      <x:c r="D3143" s="29" t="str">
        <x:v>YES</x:v>
      </x:c>
      <x:c r="E3143" s="29" t="str">
        <x:v>YES</x:v>
      </x:c>
      <x:c r="F3143" s="62" t="n">
        <x:v>3055.974602205375</x:v>
      </x:c>
      <x:c r="G3143" s="62" t="n">
        <x:v>28.70149938800827</x:v>
      </x:c>
      <x:c r="H3143" s="29" t="str">
        <x:v>YES</x:v>
      </x:c>
      <x:c r="I3143" s="29" t="str">
        <x:v>primary-airport endpoints; great-circle screen</x:v>
      </x:c>
      <x:c r="J3143" s="29" t="str">
        <x:v>presence does not prove operability or capacity</x:v>
      </x:c>
    </x:row>
    <x:row r="3144" ht="54" hidden="0" customHeight="1">
      <x:c r="A3144" s="27" t="str">
        <x:v>SCA-26</x:v>
      </x:c>
      <x:c r="B3144" s="27" t="str">
        <x:v>SCA-10</x:v>
      </x:c>
      <x:c r="C3144" s="27" t="str">
        <x:v>Water</x:v>
      </x:c>
      <x:c r="D3144" s="27" t="str">
        <x:v>NO</x:v>
      </x:c>
      <x:c r="E3144" s="27" t="str">
        <x:v>NO</x:v>
      </x:c>
      <x:c r="F3144" s="61"/>
      <x:c r="G3144" s="61"/>
      <x:c r="H3144" s="27" t="str">
        <x:v>NO</x:v>
      </x:c>
      <x:c r="I3144" s="27" t="str">
        <x:v>no screened path</x:v>
      </x:c>
      <x:c r="J3144" s="27" t="str">
        <x:v>presence does not prove operability or capacity</x:v>
      </x:c>
    </x:row>
    <x:row r="3145" ht="54" hidden="0" customHeight="1">
      <x:c r="A3145" s="29" t="str">
        <x:v>SCA-26</x:v>
      </x:c>
      <x:c r="B3145" s="29" t="str">
        <x:v>SCA-11</x:v>
      </x:c>
      <x:c r="C3145" s="29" t="str">
        <x:v>Road</x:v>
      </x:c>
      <x:c r="D3145" s="29" t="str">
        <x:v>YES</x:v>
      </x:c>
      <x:c r="E3145" s="29" t="str">
        <x:v>YES</x:v>
      </x:c>
      <x:c r="F3145" s="62" t="n">
        <x:v>3030.9536426783443</x:v>
      </x:c>
      <x:c r="G3145" s="62" t="n">
        <x:v>75.10824804869716</x:v>
      </x:c>
      <x:c r="H3145" s="29" t="str">
        <x:v>NO</x:v>
      </x:c>
      <x:c r="I3145" s="29" t="str">
        <x:v>NHPN-gated shared-boundary SCA path</x:v>
      </x:c>
      <x:c r="J3145" s="29" t="str">
        <x:v>presence does not prove operability or capacity</x:v>
      </x:c>
    </x:row>
    <x:row r="3146" ht="64.80000305175781" hidden="0" customHeight="1">
      <x:c r="A3146" s="27" t="str">
        <x:v>SCA-26</x:v>
      </x:c>
      <x:c r="B3146" s="27" t="str">
        <x:v>SCA-11</x:v>
      </x:c>
      <x:c r="C3146" s="27" t="str">
        <x:v>Rail</x:v>
      </x:c>
      <x:c r="D3146" s="27" t="str">
        <x:v>YES</x:v>
      </x:c>
      <x:c r="E3146" s="27" t="str">
        <x:v>YES</x:v>
      </x:c>
      <x:c r="F3146" s="61" t="n">
        <x:v>3215.4464731022426</x:v>
      </x:c>
      <x:c r="G3146" s="61" t="n">
        <x:v>71.93494961574632</x:v>
      </x:c>
      <x:c r="H3146" s="27" t="str">
        <x:v>YES</x:v>
      </x:c>
      <x:c r="I3146" s="27" t="str">
        <x:v>NARN shared-node topology; deployable terminal required</x:v>
      </x:c>
      <x:c r="J3146" s="27" t="str">
        <x:v>presence does not prove operability or capacity</x:v>
      </x:c>
    </x:row>
    <x:row r="3147" ht="54" hidden="0" customHeight="1">
      <x:c r="A3147" s="29" t="str">
        <x:v>SCA-26</x:v>
      </x:c>
      <x:c r="B3147" s="29" t="str">
        <x:v>SCA-11</x:v>
      </x:c>
      <x:c r="C3147" s="29" t="str">
        <x:v>Air</x:v>
      </x:c>
      <x:c r="D3147" s="29" t="str">
        <x:v>YES</x:v>
      </x:c>
      <x:c r="E3147" s="29" t="str">
        <x:v>YES</x:v>
      </x:c>
      <x:c r="F3147" s="62" t="n">
        <x:v>2297.710633209766</x:v>
      </x:c>
      <x:c r="G3147" s="62" t="n">
        <x:v>27.534939435707333</x:v>
      </x:c>
      <x:c r="H3147" s="29" t="str">
        <x:v>YES</x:v>
      </x:c>
      <x:c r="I3147" s="29" t="str">
        <x:v>primary-airport endpoints; great-circle screen</x:v>
      </x:c>
      <x:c r="J3147" s="29" t="str">
        <x:v>presence does not prove operability or capacity</x:v>
      </x:c>
    </x:row>
    <x:row r="3148" ht="54" hidden="0" customHeight="1">
      <x:c r="A3148" s="27" t="str">
        <x:v>SCA-26</x:v>
      </x:c>
      <x:c r="B3148" s="27" t="str">
        <x:v>SCA-11</x:v>
      </x:c>
      <x:c r="C3148" s="27" t="str">
        <x:v>Water</x:v>
      </x:c>
      <x:c r="D3148" s="27" t="str">
        <x:v>NO</x:v>
      </x:c>
      <x:c r="E3148" s="27" t="str">
        <x:v>NO</x:v>
      </x:c>
      <x:c r="F3148" s="61"/>
      <x:c r="G3148" s="61"/>
      <x:c r="H3148" s="27" t="str">
        <x:v>NO</x:v>
      </x:c>
      <x:c r="I3148" s="27" t="str">
        <x:v>no screened path</x:v>
      </x:c>
      <x:c r="J3148" s="27" t="str">
        <x:v>presence does not prove operability or capacity</x:v>
      </x:c>
    </x:row>
    <x:row r="3149" ht="54" hidden="0" customHeight="1">
      <x:c r="A3149" s="29" t="str">
        <x:v>SCA-26</x:v>
      </x:c>
      <x:c r="B3149" s="29" t="str">
        <x:v>SCA-12</x:v>
      </x:c>
      <x:c r="C3149" s="29" t="str">
        <x:v>Road</x:v>
      </x:c>
      <x:c r="D3149" s="29" t="str">
        <x:v>YES</x:v>
      </x:c>
      <x:c r="E3149" s="29" t="str">
        <x:v>YES</x:v>
      </x:c>
      <x:c r="F3149" s="62" t="n">
        <x:v>3103.82556007732</x:v>
      </x:c>
      <x:c r="G3149" s="62" t="n">
        <x:v>76.43319200140581</x:v>
      </x:c>
      <x:c r="H3149" s="29" t="str">
        <x:v>NO</x:v>
      </x:c>
      <x:c r="I3149" s="29" t="str">
        <x:v>NHPN-gated shared-boundary SCA path</x:v>
      </x:c>
      <x:c r="J3149" s="29" t="str">
        <x:v>presence does not prove operability or capacity</x:v>
      </x:c>
    </x:row>
    <x:row r="3150" ht="64.80000305175781" hidden="0" customHeight="1">
      <x:c r="A3150" s="27" t="str">
        <x:v>SCA-26</x:v>
      </x:c>
      <x:c r="B3150" s="27" t="str">
        <x:v>SCA-12</x:v>
      </x:c>
      <x:c r="C3150" s="27" t="str">
        <x:v>Rail</x:v>
      </x:c>
      <x:c r="D3150" s="27" t="str">
        <x:v>YES</x:v>
      </x:c>
      <x:c r="E3150" s="27" t="str">
        <x:v>YES</x:v>
      </x:c>
      <x:c r="F3150" s="61" t="n">
        <x:v>3292.7540724298524</x:v>
      </x:c>
      <x:c r="G3150" s="61" t="n">
        <x:v>73.03934389185503</x:v>
      </x:c>
      <x:c r="H3150" s="27" t="str">
        <x:v>NO</x:v>
      </x:c>
      <x:c r="I3150" s="27" t="str">
        <x:v>NARN shared-node topology; deployable terminal required</x:v>
      </x:c>
      <x:c r="J3150" s="27" t="str">
        <x:v>presence does not prove operability or capacity</x:v>
      </x:c>
    </x:row>
    <x:row r="3151" ht="54" hidden="0" customHeight="1">
      <x:c r="A3151" s="29" t="str">
        <x:v>SCA-26</x:v>
      </x:c>
      <x:c r="B3151" s="29" t="str">
        <x:v>SCA-12</x:v>
      </x:c>
      <x:c r="C3151" s="29" t="str">
        <x:v>Air</x:v>
      </x:c>
      <x:c r="D3151" s="29" t="str">
        <x:v>YES</x:v>
      </x:c>
      <x:c r="E3151" s="29" t="str">
        <x:v>YES</x:v>
      </x:c>
      <x:c r="F3151" s="62" t="n">
        <x:v>2468.2384442368043</x:v>
      </x:c>
      <x:c r="G3151" s="62" t="n">
        <x:v>27.797289914210467</x:v>
      </x:c>
      <x:c r="H3151" s="29" t="str">
        <x:v>YES</x:v>
      </x:c>
      <x:c r="I3151" s="29" t="str">
        <x:v>primary-airport endpoints; great-circle screen</x:v>
      </x:c>
      <x:c r="J3151" s="29" t="str">
        <x:v>presence does not prove operability or capacity</x:v>
      </x:c>
    </x:row>
    <x:row r="3152" ht="54" hidden="0" customHeight="1">
      <x:c r="A3152" s="27" t="str">
        <x:v>SCA-26</x:v>
      </x:c>
      <x:c r="B3152" s="27" t="str">
        <x:v>SCA-12</x:v>
      </x:c>
      <x:c r="C3152" s="27" t="str">
        <x:v>Water</x:v>
      </x:c>
      <x:c r="D3152" s="27" t="str">
        <x:v>NO</x:v>
      </x:c>
      <x:c r="E3152" s="27" t="str">
        <x:v>NO</x:v>
      </x:c>
      <x:c r="F3152" s="61"/>
      <x:c r="G3152" s="61"/>
      <x:c r="H3152" s="27" t="str">
        <x:v>NO</x:v>
      </x:c>
      <x:c r="I3152" s="27" t="str">
        <x:v>no screened path</x:v>
      </x:c>
      <x:c r="J3152" s="27" t="str">
        <x:v>presence does not prove operability or capacity</x:v>
      </x:c>
    </x:row>
    <x:row r="3153" ht="54" hidden="0" customHeight="1">
      <x:c r="A3153" s="29" t="str">
        <x:v>SCA-26</x:v>
      </x:c>
      <x:c r="B3153" s="29" t="str">
        <x:v>SCA-13</x:v>
      </x:c>
      <x:c r="C3153" s="29" t="str">
        <x:v>Road</x:v>
      </x:c>
      <x:c r="D3153" s="29" t="str">
        <x:v>NO</x:v>
      </x:c>
      <x:c r="E3153" s="29" t="str">
        <x:v>NO</x:v>
      </x:c>
      <x:c r="F3153" s="62"/>
      <x:c r="G3153" s="62"/>
      <x:c r="H3153" s="29" t="str">
        <x:v>NO</x:v>
      </x:c>
      <x:c r="I3153" s="29" t="str">
        <x:v>no screened path</x:v>
      </x:c>
      <x:c r="J3153" s="29" t="str">
        <x:v>presence does not prove operability or capacity</x:v>
      </x:c>
    </x:row>
    <x:row r="3154" ht="64.80000305175781" hidden="0" customHeight="1">
      <x:c r="A3154" s="27" t="str">
        <x:v>SCA-26</x:v>
      </x:c>
      <x:c r="B3154" s="27" t="str">
        <x:v>SCA-13</x:v>
      </x:c>
      <x:c r="C3154" s="27" t="str">
        <x:v>Rail</x:v>
      </x:c>
      <x:c r="D3154" s="27" t="str">
        <x:v>YES</x:v>
      </x:c>
      <x:c r="E3154" s="27" t="str">
        <x:v>YES</x:v>
      </x:c>
      <x:c r="F3154" s="61" t="n">
        <x:v>2678.9166260451525</x:v>
      </x:c>
      <x:c r="G3154" s="61" t="n">
        <x:v>64.27023751493076</x:v>
      </x:c>
      <x:c r="H3154" s="27" t="str">
        <x:v>YES</x:v>
      </x:c>
      <x:c r="I3154" s="27" t="str">
        <x:v>NARN shared-node topology; deployable terminal required</x:v>
      </x:c>
      <x:c r="J3154" s="27" t="str">
        <x:v>presence does not prove operability or capacity</x:v>
      </x:c>
    </x:row>
    <x:row r="3155" ht="54" hidden="0" customHeight="1">
      <x:c r="A3155" s="29" t="str">
        <x:v>SCA-26</x:v>
      </x:c>
      <x:c r="B3155" s="29" t="str">
        <x:v>SCA-13</x:v>
      </x:c>
      <x:c r="C3155" s="29" t="str">
        <x:v>Air</x:v>
      </x:c>
      <x:c r="D3155" s="29" t="str">
        <x:v>YES</x:v>
      </x:c>
      <x:c r="E3155" s="29" t="str">
        <x:v>YES</x:v>
      </x:c>
      <x:c r="F3155" s="62" t="n">
        <x:v>1597.679776481019</x:v>
      </x:c>
      <x:c r="G3155" s="62" t="n">
        <x:v>26.457968886893877</x:v>
      </x:c>
      <x:c r="H3155" s="29" t="str">
        <x:v>YES</x:v>
      </x:c>
      <x:c r="I3155" s="29" t="str">
        <x:v>primary-airport endpoints; great-circle screen</x:v>
      </x:c>
      <x:c r="J3155" s="29" t="str">
        <x:v>presence does not prove operability or capacity</x:v>
      </x:c>
    </x:row>
    <x:row r="3156" ht="75.5999984741211" hidden="0" customHeight="1">
      <x:c r="A3156" s="27" t="str">
        <x:v>SCA-26</x:v>
      </x:c>
      <x:c r="B3156" s="27" t="str">
        <x:v>SCA-13</x:v>
      </x:c>
      <x:c r="C3156" s="27" t="str">
        <x:v>Water</x:v>
      </x:c>
      <x:c r="D3156" s="27" t="str">
        <x:v>YES</x:v>
      </x:c>
      <x:c r="E3156" s="27" t="str">
        <x:v>YES</x:v>
      </x:c>
      <x:c r="F3156" s="61" t="n">
        <x:v>2048.196006677661</x:v>
      </x:c>
      <x:c r="G3156" s="61" t="n">
        <x:v>88.51988590507602</x:v>
      </x:c>
      <x:c r="H3156" s="27" t="str">
        <x:v>NO</x:v>
      </x:c>
      <x:c r="I3156" s="27" t="str">
        <x:v>USACE waterway node topology; deployable terminal required</x:v>
      </x:c>
      <x:c r="J3156" s="27" t="str">
        <x:v>presence does not prove operability or capacity</x:v>
      </x:c>
    </x:row>
    <x:row r="3157" ht="54" hidden="0" customHeight="1">
      <x:c r="A3157" s="29" t="str">
        <x:v>SCA-26</x:v>
      </x:c>
      <x:c r="B3157" s="29" t="str">
        <x:v>SCA-14</x:v>
      </x:c>
      <x:c r="C3157" s="29" t="str">
        <x:v>Road</x:v>
      </x:c>
      <x:c r="D3157" s="29" t="str">
        <x:v>NO</x:v>
      </x:c>
      <x:c r="E3157" s="29" t="str">
        <x:v>NO</x:v>
      </x:c>
      <x:c r="F3157" s="62"/>
      <x:c r="G3157" s="62"/>
      <x:c r="H3157" s="29" t="str">
        <x:v>NO</x:v>
      </x:c>
      <x:c r="I3157" s="29" t="str">
        <x:v>no screened path</x:v>
      </x:c>
      <x:c r="J3157" s="29" t="str">
        <x:v>presence does not prove operability or capacity</x:v>
      </x:c>
    </x:row>
    <x:row r="3158" ht="64.80000305175781" hidden="0" customHeight="1">
      <x:c r="A3158" s="27" t="str">
        <x:v>SCA-26</x:v>
      </x:c>
      <x:c r="B3158" s="27" t="str">
        <x:v>SCA-14</x:v>
      </x:c>
      <x:c r="C3158" s="27" t="str">
        <x:v>Rail</x:v>
      </x:c>
      <x:c r="D3158" s="27" t="str">
        <x:v>YES</x:v>
      </x:c>
      <x:c r="E3158" s="27" t="str">
        <x:v>YES</x:v>
      </x:c>
      <x:c r="F3158" s="61" t="n">
        <x:v>3107.0462545208707</x:v>
      </x:c>
      <x:c r="G3158" s="61" t="n">
        <x:v>70.38637506458386</x:v>
      </x:c>
      <x:c r="H3158" s="27" t="str">
        <x:v>YES</x:v>
      </x:c>
      <x:c r="I3158" s="27" t="str">
        <x:v>NARN shared-node topology; deployable terminal required</x:v>
      </x:c>
      <x:c r="J3158" s="27" t="str">
        <x:v>presence does not prove operability or capacity</x:v>
      </x:c>
    </x:row>
    <x:row r="3159" ht="54" hidden="0" customHeight="1">
      <x:c r="A3159" s="29" t="str">
        <x:v>SCA-26</x:v>
      </x:c>
      <x:c r="B3159" s="29" t="str">
        <x:v>SCA-14</x:v>
      </x:c>
      <x:c r="C3159" s="29" t="str">
        <x:v>Air</x:v>
      </x:c>
      <x:c r="D3159" s="29" t="str">
        <x:v>YES</x:v>
      </x:c>
      <x:c r="E3159" s="29" t="str">
        <x:v>YES</x:v>
      </x:c>
      <x:c r="F3159" s="62" t="n">
        <x:v>1604.3460098962796</x:v>
      </x:c>
      <x:c r="G3159" s="62" t="n">
        <x:v>26.46822463060966</x:v>
      </x:c>
      <x:c r="H3159" s="29" t="str">
        <x:v>YES</x:v>
      </x:c>
      <x:c r="I3159" s="29" t="str">
        <x:v>primary-airport endpoints; great-circle screen</x:v>
      </x:c>
      <x:c r="J3159" s="29" t="str">
        <x:v>presence does not prove operability or capacity</x:v>
      </x:c>
    </x:row>
    <x:row r="3160" ht="75.5999984741211" hidden="0" customHeight="1">
      <x:c r="A3160" s="27" t="str">
        <x:v>SCA-26</x:v>
      </x:c>
      <x:c r="B3160" s="27" t="str">
        <x:v>SCA-14</x:v>
      </x:c>
      <x:c r="C3160" s="27" t="str">
        <x:v>Water</x:v>
      </x:c>
      <x:c r="D3160" s="27" t="str">
        <x:v>YES</x:v>
      </x:c>
      <x:c r="E3160" s="27" t="str">
        <x:v>YES</x:v>
      </x:c>
      <x:c r="F3160" s="61" t="n">
        <x:v>2229.02945078364</x:v>
      </x:c>
      <x:c r="G3160" s="61" t="n">
        <x:v>93.68655573667544</x:v>
      </x:c>
      <x:c r="H3160" s="27" t="str">
        <x:v>NO</x:v>
      </x:c>
      <x:c r="I3160" s="27" t="str">
        <x:v>USACE waterway node topology; deployable terminal required</x:v>
      </x:c>
      <x:c r="J3160" s="27" t="str">
        <x:v>presence does not prove operability or capacity</x:v>
      </x:c>
    </x:row>
    <x:row r="3161" ht="54" hidden="0" customHeight="1">
      <x:c r="A3161" s="29" t="str">
        <x:v>SCA-26</x:v>
      </x:c>
      <x:c r="B3161" s="29" t="str">
        <x:v>SCA-15</x:v>
      </x:c>
      <x:c r="C3161" s="29" t="str">
        <x:v>Road</x:v>
      </x:c>
      <x:c r="D3161" s="29" t="str">
        <x:v>YES</x:v>
      </x:c>
      <x:c r="E3161" s="29" t="str">
        <x:v>YES</x:v>
      </x:c>
      <x:c r="F3161" s="62" t="n">
        <x:v>2125.575974213907</x:v>
      </x:c>
      <x:c r="G3161" s="62" t="n">
        <x:v>58.64683589479831</x:v>
      </x:c>
      <x:c r="H3161" s="29" t="str">
        <x:v>YES</x:v>
      </x:c>
      <x:c r="I3161" s="29" t="str">
        <x:v>NHPN-gated shared-boundary SCA path</x:v>
      </x:c>
      <x:c r="J3161" s="29" t="str">
        <x:v>presence does not prove operability or capacity</x:v>
      </x:c>
    </x:row>
    <x:row r="3162" ht="64.80000305175781" hidden="0" customHeight="1">
      <x:c r="A3162" s="27" t="str">
        <x:v>SCA-26</x:v>
      </x:c>
      <x:c r="B3162" s="27" t="str">
        <x:v>SCA-15</x:v>
      </x:c>
      <x:c r="C3162" s="27" t="str">
        <x:v>Rail</x:v>
      </x:c>
      <x:c r="D3162" s="27" t="str">
        <x:v>YES</x:v>
      </x:c>
      <x:c r="E3162" s="27" t="str">
        <x:v>YES</x:v>
      </x:c>
      <x:c r="F3162" s="61" t="n">
        <x:v>2254.95885960084</x:v>
      </x:c>
      <x:c r="G3162" s="61" t="n">
        <x:v>58.21369799429771</x:v>
      </x:c>
      <x:c r="H3162" s="27" t="str">
        <x:v>YES</x:v>
      </x:c>
      <x:c r="I3162" s="27" t="str">
        <x:v>NARN shared-node topology; deployable terminal required</x:v>
      </x:c>
      <x:c r="J3162" s="27" t="str">
        <x:v>presence does not prove operability or capacity</x:v>
      </x:c>
    </x:row>
    <x:row r="3163" ht="54" hidden="0" customHeight="1">
      <x:c r="A3163" s="29" t="str">
        <x:v>SCA-26</x:v>
      </x:c>
      <x:c r="B3163" s="29" t="str">
        <x:v>SCA-15</x:v>
      </x:c>
      <x:c r="C3163" s="29" t="str">
        <x:v>Air</x:v>
      </x:c>
      <x:c r="D3163" s="29" t="str">
        <x:v>YES</x:v>
      </x:c>
      <x:c r="E3163" s="29" t="str">
        <x:v>YES</x:v>
      </x:c>
      <x:c r="F3163" s="62" t="n">
        <x:v>1525.6124778962158</x:v>
      </x:c>
      <x:c r="G3163" s="62" t="n">
        <x:v>26.34709611984033</x:v>
      </x:c>
      <x:c r="H3163" s="29" t="str">
        <x:v>YES</x:v>
      </x:c>
      <x:c r="I3163" s="29" t="str">
        <x:v>primary-airport endpoints; great-circle screen</x:v>
      </x:c>
      <x:c r="J3163" s="29" t="str">
        <x:v>presence does not prove operability or capacity</x:v>
      </x:c>
    </x:row>
    <x:row r="3164" ht="75.5999984741211" hidden="0" customHeight="1">
      <x:c r="A3164" s="27" t="str">
        <x:v>SCA-26</x:v>
      </x:c>
      <x:c r="B3164" s="27" t="str">
        <x:v>SCA-15</x:v>
      </x:c>
      <x:c r="C3164" s="27" t="str">
        <x:v>Water</x:v>
      </x:c>
      <x:c r="D3164" s="27" t="str">
        <x:v>YES</x:v>
      </x:c>
      <x:c r="E3164" s="27" t="str">
        <x:v>YES</x:v>
      </x:c>
      <x:c r="F3164" s="61" t="n">
        <x:v>2088.7962174630516</x:v>
      </x:c>
      <x:c r="G3164" s="61" t="n">
        <x:v>89.67989192751577</x:v>
      </x:c>
      <x:c r="H3164" s="27" t="str">
        <x:v>NO</x:v>
      </x:c>
      <x:c r="I3164" s="27" t="str">
        <x:v>USACE waterway node topology; deployable terminal required</x:v>
      </x:c>
      <x:c r="J3164" s="27" t="str">
        <x:v>presence does not prove operability or capacity</x:v>
      </x:c>
    </x:row>
    <x:row r="3165" ht="54" hidden="0" customHeight="1">
      <x:c r="A3165" s="29" t="str">
        <x:v>SCA-26</x:v>
      </x:c>
      <x:c r="B3165" s="29" t="str">
        <x:v>SCA-16</x:v>
      </x:c>
      <x:c r="C3165" s="29" t="str">
        <x:v>Road</x:v>
      </x:c>
      <x:c r="D3165" s="29" t="str">
        <x:v>YES</x:v>
      </x:c>
      <x:c r="E3165" s="29" t="str">
        <x:v>YES</x:v>
      </x:c>
      <x:c r="F3165" s="62" t="n">
        <x:v>2211.708318084219</x:v>
      </x:c>
      <x:c r="G3165" s="62" t="n">
        <x:v>60.21287851062217</x:v>
      </x:c>
      <x:c r="H3165" s="29" t="str">
        <x:v>YES</x:v>
      </x:c>
      <x:c r="I3165" s="29" t="str">
        <x:v>NHPN-gated shared-boundary SCA path</x:v>
      </x:c>
      <x:c r="J3165" s="29" t="str">
        <x:v>presence does not prove operability or capacity</x:v>
      </x:c>
    </x:row>
    <x:row r="3166" ht="64.80000305175781" hidden="0" customHeight="1">
      <x:c r="A3166" s="27" t="str">
        <x:v>SCA-26</x:v>
      </x:c>
      <x:c r="B3166" s="27" t="str">
        <x:v>SCA-16</x:v>
      </x:c>
      <x:c r="C3166" s="27" t="str">
        <x:v>Rail</x:v>
      </x:c>
      <x:c r="D3166" s="27" t="str">
        <x:v>YES</x:v>
      </x:c>
      <x:c r="E3166" s="27" t="str">
        <x:v>YES</x:v>
      </x:c>
      <x:c r="F3166" s="61" t="n">
        <x:v>2346.3340417936934</x:v>
      </x:c>
      <x:c r="G3166" s="61" t="n">
        <x:v>59.519057739909904</x:v>
      </x:c>
      <x:c r="H3166" s="27" t="str">
        <x:v>YES</x:v>
      </x:c>
      <x:c r="I3166" s="27" t="str">
        <x:v>NARN shared-node topology; deployable terminal required</x:v>
      </x:c>
      <x:c r="J3166" s="27" t="str">
        <x:v>presence does not prove operability or capacity</x:v>
      </x:c>
    </x:row>
    <x:row r="3167" ht="54" hidden="0" customHeight="1">
      <x:c r="A3167" s="29" t="str">
        <x:v>SCA-26</x:v>
      </x:c>
      <x:c r="B3167" s="29" t="str">
        <x:v>SCA-16</x:v>
      </x:c>
      <x:c r="C3167" s="29" t="str">
        <x:v>Air</x:v>
      </x:c>
      <x:c r="D3167" s="29" t="str">
        <x:v>YES</x:v>
      </x:c>
      <x:c r="E3167" s="29" t="str">
        <x:v>YES</x:v>
      </x:c>
      <x:c r="F3167" s="62" t="n">
        <x:v>1732.4573791460982</x:v>
      </x:c>
      <x:c r="G3167" s="62" t="n">
        <x:v>26.66531904484015</x:v>
      </x:c>
      <x:c r="H3167" s="29" t="str">
        <x:v>YES</x:v>
      </x:c>
      <x:c r="I3167" s="29" t="str">
        <x:v>primary-airport endpoints; great-circle screen</x:v>
      </x:c>
      <x:c r="J3167" s="29" t="str">
        <x:v>presence does not prove operability or capacity</x:v>
      </x:c>
    </x:row>
    <x:row r="3168" ht="75.5999984741211" hidden="0" customHeight="1">
      <x:c r="A3168" s="27" t="str">
        <x:v>SCA-26</x:v>
      </x:c>
      <x:c r="B3168" s="27" t="str">
        <x:v>SCA-16</x:v>
      </x:c>
      <x:c r="C3168" s="27" t="str">
        <x:v>Water</x:v>
      </x:c>
      <x:c r="D3168" s="27" t="str">
        <x:v>YES</x:v>
      </x:c>
      <x:c r="E3168" s="27" t="str">
        <x:v>YES</x:v>
      </x:c>
      <x:c r="F3168" s="61" t="n">
        <x:v>2343.2311829378173</x:v>
      </x:c>
      <x:c r="G3168" s="61" t="n">
        <x:v>96.94946236965193</x:v>
      </x:c>
      <x:c r="H3168" s="27" t="str">
        <x:v>NO</x:v>
      </x:c>
      <x:c r="I3168" s="27" t="str">
        <x:v>USACE waterway node topology; deployable terminal required</x:v>
      </x:c>
      <x:c r="J3168" s="27" t="str">
        <x:v>presence does not prove operability or capacity</x:v>
      </x:c>
    </x:row>
    <x:row r="3169" ht="54" hidden="0" customHeight="1">
      <x:c r="A3169" s="29" t="str">
        <x:v>SCA-26</x:v>
      </x:c>
      <x:c r="B3169" s="29" t="str">
        <x:v>SCA-17</x:v>
      </x:c>
      <x:c r="C3169" s="29" t="str">
        <x:v>Road</x:v>
      </x:c>
      <x:c r="D3169" s="29" t="str">
        <x:v>YES</x:v>
      </x:c>
      <x:c r="E3169" s="29" t="str">
        <x:v>YES</x:v>
      </x:c>
      <x:c r="F3169" s="62" t="n">
        <x:v>2092.872654097091</x:v>
      </x:c>
      <x:c r="G3169" s="62" t="n">
        <x:v>58.05223007449256</x:v>
      </x:c>
      <x:c r="H3169" s="29" t="str">
        <x:v>YES</x:v>
      </x:c>
      <x:c r="I3169" s="29" t="str">
        <x:v>NHPN-gated shared-boundary SCA path</x:v>
      </x:c>
      <x:c r="J3169" s="29" t="str">
        <x:v>presence does not prove operability or capacity</x:v>
      </x:c>
    </x:row>
    <x:row r="3170" ht="64.80000305175781" hidden="0" customHeight="1">
      <x:c r="A3170" s="27" t="str">
        <x:v>SCA-26</x:v>
      </x:c>
      <x:c r="B3170" s="27" t="str">
        <x:v>SCA-17</x:v>
      </x:c>
      <x:c r="C3170" s="27" t="str">
        <x:v>Rail</x:v>
      </x:c>
      <x:c r="D3170" s="27" t="str">
        <x:v>YES</x:v>
      </x:c>
      <x:c r="E3170" s="27" t="str">
        <x:v>YES</x:v>
      </x:c>
      <x:c r="F3170" s="61" t="n">
        <x:v>2220.2649026073477</x:v>
      </x:c>
      <x:c r="G3170" s="61" t="n">
        <x:v>57.71807003724783</x:v>
      </x:c>
      <x:c r="H3170" s="27" t="str">
        <x:v>YES</x:v>
      </x:c>
      <x:c r="I3170" s="27" t="str">
        <x:v>NARN shared-node topology; deployable terminal required</x:v>
      </x:c>
      <x:c r="J3170" s="27" t="str">
        <x:v>presence does not prove operability or capacity</x:v>
      </x:c>
    </x:row>
    <x:row r="3171" ht="54" hidden="0" customHeight="1">
      <x:c r="A3171" s="29" t="str">
        <x:v>SCA-26</x:v>
      </x:c>
      <x:c r="B3171" s="29" t="str">
        <x:v>SCA-17</x:v>
      </x:c>
      <x:c r="C3171" s="29" t="str">
        <x:v>Air</x:v>
      </x:c>
      <x:c r="D3171" s="29" t="str">
        <x:v>YES</x:v>
      </x:c>
      <x:c r="E3171" s="29" t="str">
        <x:v>YES</x:v>
      </x:c>
      <x:c r="F3171" s="62" t="n">
        <x:v>1224.2090946121648</x:v>
      </x:c>
      <x:c r="G3171" s="62" t="n">
        <x:v>25.88339860709564</x:v>
      </x:c>
      <x:c r="H3171" s="29" t="str">
        <x:v>YES</x:v>
      </x:c>
      <x:c r="I3171" s="29" t="str">
        <x:v>primary-airport endpoints; great-circle screen</x:v>
      </x:c>
      <x:c r="J3171" s="29" t="str">
        <x:v>presence does not prove operability or capacity</x:v>
      </x:c>
    </x:row>
    <x:row r="3172" ht="75.5999984741211" hidden="0" customHeight="1">
      <x:c r="A3172" s="27" t="str">
        <x:v>SCA-26</x:v>
      </x:c>
      <x:c r="B3172" s="27" t="str">
        <x:v>SCA-17</x:v>
      </x:c>
      <x:c r="C3172" s="27" t="str">
        <x:v>Water</x:v>
      </x:c>
      <x:c r="D3172" s="27" t="str">
        <x:v>YES</x:v>
      </x:c>
      <x:c r="E3172" s="27" t="str">
        <x:v>YES</x:v>
      </x:c>
      <x:c r="F3172" s="61" t="n">
        <x:v>1566.987641103571</x:v>
      </x:c>
      <x:c r="G3172" s="61" t="n">
        <x:v>74.77107546010203</x:v>
      </x:c>
      <x:c r="H3172" s="27" t="str">
        <x:v>NO</x:v>
      </x:c>
      <x:c r="I3172" s="27" t="str">
        <x:v>USACE waterway node topology; deployable terminal required</x:v>
      </x:c>
      <x:c r="J3172" s="27" t="str">
        <x:v>presence does not prove operability or capacity</x:v>
      </x:c>
    </x:row>
    <x:row r="3173" ht="54" hidden="0" customHeight="1">
      <x:c r="A3173" s="29" t="str">
        <x:v>SCA-26</x:v>
      </x:c>
      <x:c r="B3173" s="29" t="str">
        <x:v>SCA-18</x:v>
      </x:c>
      <x:c r="C3173" s="29" t="str">
        <x:v>Road</x:v>
      </x:c>
      <x:c r="D3173" s="29" t="str">
        <x:v>YES</x:v>
      </x:c>
      <x:c r="E3173" s="29" t="str">
        <x:v>YES</x:v>
      </x:c>
      <x:c r="F3173" s="62" t="n">
        <x:v>2602.9278122151436</x:v>
      </x:c>
      <x:c r="G3173" s="62" t="n">
        <x:v>67.32596022209353</x:v>
      </x:c>
      <x:c r="H3173" s="29" t="str">
        <x:v>YES</x:v>
      </x:c>
      <x:c r="I3173" s="29" t="str">
        <x:v>NHPN-gated shared-boundary SCA path</x:v>
      </x:c>
      <x:c r="J3173" s="29" t="str">
        <x:v>presence does not prove operability or capacity</x:v>
      </x:c>
    </x:row>
    <x:row r="3174" ht="64.80000305175781" hidden="0" customHeight="1">
      <x:c r="A3174" s="27" t="str">
        <x:v>SCA-26</x:v>
      </x:c>
      <x:c r="B3174" s="27" t="str">
        <x:v>SCA-18</x:v>
      </x:c>
      <x:c r="C3174" s="27" t="str">
        <x:v>Rail</x:v>
      </x:c>
      <x:c r="D3174" s="27" t="str">
        <x:v>YES</x:v>
      </x:c>
      <x:c r="E3174" s="27" t="str">
        <x:v>YES</x:v>
      </x:c>
      <x:c r="F3174" s="61" t="n">
        <x:v>2761.3668964369344</x:v>
      </x:c>
      <x:c r="G3174" s="61" t="n">
        <x:v>65.44809852052764</x:v>
      </x:c>
      <x:c r="H3174" s="27" t="str">
        <x:v>YES</x:v>
      </x:c>
      <x:c r="I3174" s="27" t="str">
        <x:v>NARN shared-node topology; deployable terminal required</x:v>
      </x:c>
      <x:c r="J3174" s="27" t="str">
        <x:v>presence does not prove operability or capacity</x:v>
      </x:c>
    </x:row>
    <x:row r="3175" ht="54" hidden="0" customHeight="1">
      <x:c r="A3175" s="29" t="str">
        <x:v>SCA-26</x:v>
      </x:c>
      <x:c r="B3175" s="29" t="str">
        <x:v>SCA-18</x:v>
      </x:c>
      <x:c r="C3175" s="29" t="str">
        <x:v>Air</x:v>
      </x:c>
      <x:c r="D3175" s="29" t="str">
        <x:v>YES</x:v>
      </x:c>
      <x:c r="E3175" s="29" t="str">
        <x:v>YES</x:v>
      </x:c>
      <x:c r="F3175" s="62" t="n">
        <x:v>2146.0836724354835</x:v>
      </x:c>
      <x:c r="G3175" s="62" t="n">
        <x:v>27.30166718836228</x:v>
      </x:c>
      <x:c r="H3175" s="29" t="str">
        <x:v>YES</x:v>
      </x:c>
      <x:c r="I3175" s="29" t="str">
        <x:v>primary-airport endpoints; great-circle screen</x:v>
      </x:c>
      <x:c r="J3175" s="29" t="str">
        <x:v>presence does not prove operability or capacity</x:v>
      </x:c>
    </x:row>
    <x:row r="3176" ht="75.5999984741211" hidden="0" customHeight="1">
      <x:c r="A3176" s="27" t="str">
        <x:v>SCA-26</x:v>
      </x:c>
      <x:c r="B3176" s="27" t="str">
        <x:v>SCA-18</x:v>
      </x:c>
      <x:c r="C3176" s="27" t="str">
        <x:v>Water</x:v>
      </x:c>
      <x:c r="D3176" s="27" t="str">
        <x:v>YES</x:v>
      </x:c>
      <x:c r="E3176" s="27" t="str">
        <x:v>YES</x:v>
      </x:c>
      <x:c r="F3176" s="61" t="n">
        <x:v>3313.468138795251</x:v>
      </x:c>
      <x:c r="G3176" s="61" t="n">
        <x:v>124.67051825129289</x:v>
      </x:c>
      <x:c r="H3176" s="27" t="str">
        <x:v>NO</x:v>
      </x:c>
      <x:c r="I3176" s="27" t="str">
        <x:v>USACE waterway node topology; deployable terminal required</x:v>
      </x:c>
      <x:c r="J3176" s="27" t="str">
        <x:v>presence does not prove operability or capacity</x:v>
      </x:c>
    </x:row>
    <x:row r="3177" ht="54" hidden="0" customHeight="1">
      <x:c r="A3177" s="29" t="str">
        <x:v>SCA-26</x:v>
      </x:c>
      <x:c r="B3177" s="29" t="str">
        <x:v>SCA-19</x:v>
      </x:c>
      <x:c r="C3177" s="29" t="str">
        <x:v>Road</x:v>
      </x:c>
      <x:c r="D3177" s="29" t="str">
        <x:v>YES</x:v>
      </x:c>
      <x:c r="E3177" s="29" t="str">
        <x:v>YES</x:v>
      </x:c>
      <x:c r="F3177" s="62" t="n">
        <x:v>1969.5791597280265</x:v>
      </x:c>
      <x:c r="G3177" s="62" t="n">
        <x:v>55.81053017687321</x:v>
      </x:c>
      <x:c r="H3177" s="29" t="str">
        <x:v>YES</x:v>
      </x:c>
      <x:c r="I3177" s="29" t="str">
        <x:v>NHPN-gated shared-boundary SCA path</x:v>
      </x:c>
      <x:c r="J3177" s="29" t="str">
        <x:v>presence does not prove operability or capacity</x:v>
      </x:c>
    </x:row>
    <x:row r="3178" ht="64.80000305175781" hidden="0" customHeight="1">
      <x:c r="A3178" s="27" t="str">
        <x:v>SCA-26</x:v>
      </x:c>
      <x:c r="B3178" s="27" t="str">
        <x:v>SCA-19</x:v>
      </x:c>
      <x:c r="C3178" s="27" t="str">
        <x:v>Rail</x:v>
      </x:c>
      <x:c r="D3178" s="27" t="str">
        <x:v>YES</x:v>
      </x:c>
      <x:c r="E3178" s="27" t="str">
        <x:v>YES</x:v>
      </x:c>
      <x:c r="F3178" s="61" t="n">
        <x:v>2089.466586841906</x:v>
      </x:c>
      <x:c r="G3178" s="61" t="n">
        <x:v>55.849522669170085</x:v>
      </x:c>
      <x:c r="H3178" s="27" t="str">
        <x:v>YES</x:v>
      </x:c>
      <x:c r="I3178" s="27" t="str">
        <x:v>NARN shared-node topology; deployable terminal required</x:v>
      </x:c>
      <x:c r="J3178" s="27" t="str">
        <x:v>presence does not prove operability or capacity</x:v>
      </x:c>
    </x:row>
    <x:row r="3179" ht="54" hidden="0" customHeight="1">
      <x:c r="A3179" s="29" t="str">
        <x:v>SCA-26</x:v>
      </x:c>
      <x:c r="B3179" s="29" t="str">
        <x:v>SCA-19</x:v>
      </x:c>
      <x:c r="C3179" s="29" t="str">
        <x:v>Air</x:v>
      </x:c>
      <x:c r="D3179" s="29" t="str">
        <x:v>YES</x:v>
      </x:c>
      <x:c r="E3179" s="29" t="str">
        <x:v>YES</x:v>
      </x:c>
      <x:c r="F3179" s="62" t="n">
        <x:v>1457.6265754208143</x:v>
      </x:c>
      <x:c r="G3179" s="62" t="n">
        <x:v>26.24250242372433</x:v>
      </x:c>
      <x:c r="H3179" s="29" t="str">
        <x:v>YES</x:v>
      </x:c>
      <x:c r="I3179" s="29" t="str">
        <x:v>primary-airport endpoints; great-circle screen</x:v>
      </x:c>
      <x:c r="J3179" s="29" t="str">
        <x:v>presence does not prove operability or capacity</x:v>
      </x:c>
    </x:row>
    <x:row r="3180" ht="75.5999984741211" hidden="0" customHeight="1">
      <x:c r="A3180" s="27" t="str">
        <x:v>SCA-26</x:v>
      </x:c>
      <x:c r="B3180" s="27" t="str">
        <x:v>SCA-19</x:v>
      </x:c>
      <x:c r="C3180" s="27" t="str">
        <x:v>Water</x:v>
      </x:c>
      <x:c r="D3180" s="27" t="str">
        <x:v>YES</x:v>
      </x:c>
      <x:c r="E3180" s="27" t="str">
        <x:v>YES</x:v>
      </x:c>
      <x:c r="F3180" s="61" t="n">
        <x:v>2112.186053215417</x:v>
      </x:c>
      <x:c r="G3180" s="61" t="n">
        <x:v>90.34817294901191</x:v>
      </x:c>
      <x:c r="H3180" s="27" t="str">
        <x:v>NO</x:v>
      </x:c>
      <x:c r="I3180" s="27" t="str">
        <x:v>USACE waterway node topology; deployable terminal required</x:v>
      </x:c>
      <x:c r="J3180" s="27" t="str">
        <x:v>presence does not prove operability or capacity</x:v>
      </x:c>
    </x:row>
    <x:row r="3181" ht="54" hidden="0" customHeight="1">
      <x:c r="A3181" s="29" t="str">
        <x:v>SCA-26</x:v>
      </x:c>
      <x:c r="B3181" s="29" t="str">
        <x:v>SCA-20</x:v>
      </x:c>
      <x:c r="C3181" s="29" t="str">
        <x:v>Road</x:v>
      </x:c>
      <x:c r="D3181" s="29" t="str">
        <x:v>YES</x:v>
      </x:c>
      <x:c r="E3181" s="29" t="str">
        <x:v>YES</x:v>
      </x:c>
      <x:c r="F3181" s="62" t="n">
        <x:v>1402.5826295334573</x:v>
      </x:c>
      <x:c r="G3181" s="62" t="n">
        <x:v>45.50150235515377</x:v>
      </x:c>
      <x:c r="H3181" s="29" t="str">
        <x:v>YES</x:v>
      </x:c>
      <x:c r="I3181" s="29" t="str">
        <x:v>NHPN-gated shared-boundary SCA path</x:v>
      </x:c>
      <x:c r="J3181" s="29" t="str">
        <x:v>presence does not prove operability or capacity</x:v>
      </x:c>
    </x:row>
    <x:row r="3182" ht="64.80000305175781" hidden="0" customHeight="1">
      <x:c r="A3182" s="27" t="str">
        <x:v>SCA-26</x:v>
      </x:c>
      <x:c r="B3182" s="27" t="str">
        <x:v>SCA-20</x:v>
      </x:c>
      <x:c r="C3182" s="27" t="str">
        <x:v>Rail</x:v>
      </x:c>
      <x:c r="D3182" s="27" t="str">
        <x:v>YES</x:v>
      </x:c>
      <x:c r="E3182" s="27" t="str">
        <x:v>YES</x:v>
      </x:c>
      <x:c r="F3182" s="61" t="n">
        <x:v>1487.9572243746238</x:v>
      </x:c>
      <x:c r="G3182" s="61" t="n">
        <x:v>47.256531776780335</x:v>
      </x:c>
      <x:c r="H3182" s="27" t="str">
        <x:v>YES</x:v>
      </x:c>
      <x:c r="I3182" s="27" t="str">
        <x:v>NARN shared-node topology; deployable terminal required</x:v>
      </x:c>
      <x:c r="J3182" s="27" t="str">
        <x:v>presence does not prove operability or capacity</x:v>
      </x:c>
    </x:row>
    <x:row r="3183" ht="54" hidden="0" customHeight="1">
      <x:c r="A3183" s="29" t="str">
        <x:v>SCA-26</x:v>
      </x:c>
      <x:c r="B3183" s="29" t="str">
        <x:v>SCA-20</x:v>
      </x:c>
      <x:c r="C3183" s="29" t="str">
        <x:v>Air</x:v>
      </x:c>
      <x:c r="D3183" s="29" t="str">
        <x:v>YES</x:v>
      </x:c>
      <x:c r="E3183" s="29" t="str">
        <x:v>YES</x:v>
      </x:c>
      <x:c r="F3183" s="62" t="n">
        <x:v>1029.2468198754977</x:v>
      </x:c>
      <x:c r="G3183" s="62" t="n">
        <x:v>25.583456645962304</x:v>
      </x:c>
      <x:c r="H3183" s="29" t="str">
        <x:v>YES</x:v>
      </x:c>
      <x:c r="I3183" s="29" t="str">
        <x:v>primary-airport endpoints; great-circle screen</x:v>
      </x:c>
      <x:c r="J3183" s="29" t="str">
        <x:v>presence does not prove operability or capacity</x:v>
      </x:c>
    </x:row>
    <x:row r="3184" ht="75.5999984741211" hidden="0" customHeight="1">
      <x:c r="A3184" s="27" t="str">
        <x:v>SCA-26</x:v>
      </x:c>
      <x:c r="B3184" s="27" t="str">
        <x:v>SCA-20</x:v>
      </x:c>
      <x:c r="C3184" s="27" t="str">
        <x:v>Water</x:v>
      </x:c>
      <x:c r="D3184" s="27" t="str">
        <x:v>YES</x:v>
      </x:c>
      <x:c r="E3184" s="27" t="str">
        <x:v>YES</x:v>
      </x:c>
      <x:c r="F3184" s="61" t="n">
        <x:v>1442.639112203056</x:v>
      </x:c>
      <x:c r="G3184" s="61" t="n">
        <x:v>71.21826034865873</x:v>
      </x:c>
      <x:c r="H3184" s="27" t="str">
        <x:v>YES</x:v>
      </x:c>
      <x:c r="I3184" s="27" t="str">
        <x:v>USACE waterway node topology; deployable terminal required</x:v>
      </x:c>
      <x:c r="J3184" s="27" t="str">
        <x:v>presence does not prove operability or capacity</x:v>
      </x:c>
    </x:row>
    <x:row r="3185" ht="54" hidden="0" customHeight="1">
      <x:c r="A3185" s="29" t="str">
        <x:v>SCA-26</x:v>
      </x:c>
      <x:c r="B3185" s="29" t="str">
        <x:v>SCA-21</x:v>
      </x:c>
      <x:c r="C3185" s="29" t="str">
        <x:v>Road</x:v>
      </x:c>
      <x:c r="D3185" s="29" t="str">
        <x:v>YES</x:v>
      </x:c>
      <x:c r="E3185" s="29" t="str">
        <x:v>YES</x:v>
      </x:c>
      <x:c r="F3185" s="62" t="n">
        <x:v>1961.3262661092785</x:v>
      </x:c>
      <x:c r="G3185" s="62" t="n">
        <x:v>55.660477565623246</x:v>
      </x:c>
      <x:c r="H3185" s="29" t="str">
        <x:v>YES</x:v>
      </x:c>
      <x:c r="I3185" s="29" t="str">
        <x:v>NHPN-gated shared-boundary SCA path</x:v>
      </x:c>
      <x:c r="J3185" s="29" t="str">
        <x:v>presence does not prove operability or capacity</x:v>
      </x:c>
    </x:row>
    <x:row r="3186" ht="64.80000305175781" hidden="0" customHeight="1">
      <x:c r="A3186" s="27" t="str">
        <x:v>SCA-26</x:v>
      </x:c>
      <x:c r="B3186" s="27" t="str">
        <x:v>SCA-21</x:v>
      </x:c>
      <x:c r="C3186" s="27" t="str">
        <x:v>Rail</x:v>
      </x:c>
      <x:c r="D3186" s="27" t="str">
        <x:v>YES</x:v>
      </x:c>
      <x:c r="E3186" s="27" t="str">
        <x:v>YES</x:v>
      </x:c>
      <x:c r="F3186" s="61" t="n">
        <x:v>2080.7113431767993</x:v>
      </x:c>
      <x:c r="G3186" s="61" t="n">
        <x:v>55.724447759668564</x:v>
      </x:c>
      <x:c r="H3186" s="27" t="str">
        <x:v>YES</x:v>
      </x:c>
      <x:c r="I3186" s="27" t="str">
        <x:v>NARN shared-node topology; deployable terminal required</x:v>
      </x:c>
      <x:c r="J3186" s="27" t="str">
        <x:v>presence does not prove operability or capacity</x:v>
      </x:c>
    </x:row>
    <x:row r="3187" ht="54" hidden="0" customHeight="1">
      <x:c r="A3187" s="29" t="str">
        <x:v>SCA-26</x:v>
      </x:c>
      <x:c r="B3187" s="29" t="str">
        <x:v>SCA-21</x:v>
      </x:c>
      <x:c r="C3187" s="29" t="str">
        <x:v>Air</x:v>
      </x:c>
      <x:c r="D3187" s="29" t="str">
        <x:v>YES</x:v>
      </x:c>
      <x:c r="E3187" s="29" t="str">
        <x:v>YES</x:v>
      </x:c>
      <x:c r="F3187" s="62" t="n">
        <x:v>1670.369431152733</x:v>
      </x:c>
      <x:c r="G3187" s="62" t="n">
        <x:v>26.56979912485036</x:v>
      </x:c>
      <x:c r="H3187" s="29" t="str">
        <x:v>YES</x:v>
      </x:c>
      <x:c r="I3187" s="29" t="str">
        <x:v>primary-airport endpoints; great-circle screen</x:v>
      </x:c>
      <x:c r="J3187" s="29" t="str">
        <x:v>presence does not prove operability or capacity</x:v>
      </x:c>
    </x:row>
    <x:row r="3188" ht="75.5999984741211" hidden="0" customHeight="1">
      <x:c r="A3188" s="27" t="str">
        <x:v>SCA-26</x:v>
      </x:c>
      <x:c r="B3188" s="27" t="str">
        <x:v>SCA-21</x:v>
      </x:c>
      <x:c r="C3188" s="27" t="str">
        <x:v>Water</x:v>
      </x:c>
      <x:c r="D3188" s="27" t="str">
        <x:v>YES</x:v>
      </x:c>
      <x:c r="E3188" s="27" t="str">
        <x:v>YES</x:v>
      </x:c>
      <x:c r="F3188" s="61" t="n">
        <x:v>2697.1208552190105</x:v>
      </x:c>
      <x:c r="G3188" s="61" t="n">
        <x:v>107.0605958634003</x:v>
      </x:c>
      <x:c r="H3188" s="27" t="str">
        <x:v>NO</x:v>
      </x:c>
      <x:c r="I3188" s="27" t="str">
        <x:v>USACE waterway node topology; deployable terminal required</x:v>
      </x:c>
      <x:c r="J3188" s="27" t="str">
        <x:v>presence does not prove operability or capacity</x:v>
      </x:c>
    </x:row>
    <x:row r="3189" ht="54" hidden="0" customHeight="1">
      <x:c r="A3189" s="29" t="str">
        <x:v>SCA-26</x:v>
      </x:c>
      <x:c r="B3189" s="29" t="str">
        <x:v>SCA-22</x:v>
      </x:c>
      <x:c r="C3189" s="29" t="str">
        <x:v>Road</x:v>
      </x:c>
      <x:c r="D3189" s="29" t="str">
        <x:v>YES</x:v>
      </x:c>
      <x:c r="E3189" s="29" t="str">
        <x:v>YES</x:v>
      </x:c>
      <x:c r="F3189" s="62" t="n">
        <x:v>1411.9965288676976</x:v>
      </x:c>
      <x:c r="G3189" s="62" t="n">
        <x:v>45.67266416123087</x:v>
      </x:c>
      <x:c r="H3189" s="29" t="str">
        <x:v>YES</x:v>
      </x:c>
      <x:c r="I3189" s="29" t="str">
        <x:v>NHPN-gated shared-boundary SCA path</x:v>
      </x:c>
      <x:c r="J3189" s="29" t="str">
        <x:v>presence does not prove operability or capacity</x:v>
      </x:c>
    </x:row>
    <x:row r="3190" ht="64.80000305175781" hidden="0" customHeight="1">
      <x:c r="A3190" s="27" t="str">
        <x:v>SCA-26</x:v>
      </x:c>
      <x:c r="B3190" s="27" t="str">
        <x:v>SCA-22</x:v>
      </x:c>
      <x:c r="C3190" s="27" t="str">
        <x:v>Rail</x:v>
      </x:c>
      <x:c r="D3190" s="27" t="str">
        <x:v>YES</x:v>
      </x:c>
      <x:c r="E3190" s="27" t="str">
        <x:v>YES</x:v>
      </x:c>
      <x:c r="F3190" s="61" t="n">
        <x:v>1497.9441436683396</x:v>
      </x:c>
      <x:c r="G3190" s="61" t="n">
        <x:v>47.39920205240485</x:v>
      </x:c>
      <x:c r="H3190" s="27" t="str">
        <x:v>YES</x:v>
      </x:c>
      <x:c r="I3190" s="27" t="str">
        <x:v>NARN shared-node topology; deployable terminal required</x:v>
      </x:c>
      <x:c r="J3190" s="27" t="str">
        <x:v>presence does not prove operability or capacity</x:v>
      </x:c>
    </x:row>
    <x:row r="3191" ht="54" hidden="0" customHeight="1">
      <x:c r="A3191" s="29" t="str">
        <x:v>SCA-26</x:v>
      </x:c>
      <x:c r="B3191" s="29" t="str">
        <x:v>SCA-22</x:v>
      </x:c>
      <x:c r="C3191" s="29" t="str">
        <x:v>Air</x:v>
      </x:c>
      <x:c r="D3191" s="29" t="str">
        <x:v>YES</x:v>
      </x:c>
      <x:c r="E3191" s="29" t="str">
        <x:v>YES</x:v>
      </x:c>
      <x:c r="F3191" s="62" t="n">
        <x:v>1198.045753794591</x:v>
      </x:c>
      <x:c r="G3191" s="62" t="n">
        <x:v>25.84314731353014</x:v>
      </x:c>
      <x:c r="H3191" s="29" t="str">
        <x:v>YES</x:v>
      </x:c>
      <x:c r="I3191" s="29" t="str">
        <x:v>primary-airport endpoints; great-circle screen</x:v>
      </x:c>
      <x:c r="J3191" s="29" t="str">
        <x:v>presence does not prove operability or capacity</x:v>
      </x:c>
    </x:row>
    <x:row r="3192" ht="75.5999984741211" hidden="0" customHeight="1">
      <x:c r="A3192" s="27" t="str">
        <x:v>SCA-26</x:v>
      </x:c>
      <x:c r="B3192" s="27" t="str">
        <x:v>SCA-22</x:v>
      </x:c>
      <x:c r="C3192" s="27" t="str">
        <x:v>Water</x:v>
      </x:c>
      <x:c r="D3192" s="27" t="str">
        <x:v>YES</x:v>
      </x:c>
      <x:c r="E3192" s="27" t="str">
        <x:v>YES</x:v>
      </x:c>
      <x:c r="F3192" s="61" t="n">
        <x:v>2001.9713947930436</x:v>
      </x:c>
      <x:c r="G3192" s="61" t="n">
        <x:v>87.19918270837267</x:v>
      </x:c>
      <x:c r="H3192" s="27" t="str">
        <x:v>NO</x:v>
      </x:c>
      <x:c r="I3192" s="27" t="str">
        <x:v>USACE waterway node topology; deployable terminal required</x:v>
      </x:c>
      <x:c r="J3192" s="27" t="str">
        <x:v>presence does not prove operability or capacity</x:v>
      </x:c>
    </x:row>
    <x:row r="3193" ht="54" hidden="0" customHeight="1">
      <x:c r="A3193" s="29" t="str">
        <x:v>SCA-26</x:v>
      </x:c>
      <x:c r="B3193" s="29" t="str">
        <x:v>SCA-23</x:v>
      </x:c>
      <x:c r="C3193" s="29" t="str">
        <x:v>Road</x:v>
      </x:c>
      <x:c r="D3193" s="29" t="str">
        <x:v>YES</x:v>
      </x:c>
      <x:c r="E3193" s="29" t="str">
        <x:v>YES</x:v>
      </x:c>
      <x:c r="F3193" s="62" t="n">
        <x:v>823.0836356842618</x:v>
      </x:c>
      <x:c r="G3193" s="62" t="n">
        <x:v>34.965157012441125</x:v>
      </x:c>
      <x:c r="H3193" s="29" t="str">
        <x:v>YES</x:v>
      </x:c>
      <x:c r="I3193" s="29" t="str">
        <x:v>NHPN-gated shared-boundary SCA path</x:v>
      </x:c>
      <x:c r="J3193" s="29" t="str">
        <x:v>presence does not prove operability or capacity</x:v>
      </x:c>
    </x:row>
    <x:row r="3194" ht="64.80000305175781" hidden="0" customHeight="1">
      <x:c r="A3194" s="27" t="str">
        <x:v>SCA-26</x:v>
      </x:c>
      <x:c r="B3194" s="27" t="str">
        <x:v>SCA-23</x:v>
      </x:c>
      <x:c r="C3194" s="27" t="str">
        <x:v>Rail</x:v>
      </x:c>
      <x:c r="D3194" s="27" t="str">
        <x:v>YES</x:v>
      </x:c>
      <x:c r="E3194" s="27" t="str">
        <x:v>YES</x:v>
      </x:c>
      <x:c r="F3194" s="61" t="n">
        <x:v>873.1843787259122</x:v>
      </x:c>
      <x:c r="G3194" s="61" t="n">
        <x:v>38.47406255322732</x:v>
      </x:c>
      <x:c r="H3194" s="27" t="str">
        <x:v>YES</x:v>
      </x:c>
      <x:c r="I3194" s="27" t="str">
        <x:v>NARN shared-node topology; deployable terminal required</x:v>
      </x:c>
      <x:c r="J3194" s="27" t="str">
        <x:v>presence does not prove operability or capacity</x:v>
      </x:c>
    </x:row>
    <x:row r="3195" ht="54" hidden="0" customHeight="1">
      <x:c r="A3195" s="29" t="str">
        <x:v>SCA-26</x:v>
      </x:c>
      <x:c r="B3195" s="29" t="str">
        <x:v>SCA-23</x:v>
      </x:c>
      <x:c r="C3195" s="29" t="str">
        <x:v>Air</x:v>
      </x:c>
      <x:c r="D3195" s="29" t="str">
        <x:v>YES</x:v>
      </x:c>
      <x:c r="E3195" s="29" t="str">
        <x:v>YES</x:v>
      </x:c>
      <x:c r="F3195" s="62" t="n">
        <x:v>695.6552372351546</x:v>
      </x:c>
      <x:c r="G3195" s="62" t="n">
        <x:v>25.070238826515624</x:v>
      </x:c>
      <x:c r="H3195" s="29" t="str">
        <x:v>YES</x:v>
      </x:c>
      <x:c r="I3195" s="29" t="str">
        <x:v>primary-airport endpoints; great-circle screen</x:v>
      </x:c>
      <x:c r="J3195" s="29" t="str">
        <x:v>presence does not prove operability or capacity</x:v>
      </x:c>
    </x:row>
    <x:row r="3196" ht="75.5999984741211" hidden="0" customHeight="1">
      <x:c r="A3196" s="27" t="str">
        <x:v>SCA-26</x:v>
      </x:c>
      <x:c r="B3196" s="27" t="str">
        <x:v>SCA-23</x:v>
      </x:c>
      <x:c r="C3196" s="27" t="str">
        <x:v>Water</x:v>
      </x:c>
      <x:c r="D3196" s="27" t="str">
        <x:v>YES</x:v>
      </x:c>
      <x:c r="E3196" s="27" t="str">
        <x:v>YES</x:v>
      </x:c>
      <x:c r="F3196" s="61" t="n">
        <x:v>916.1278727616129</x:v>
      </x:c>
      <x:c r="G3196" s="61" t="n">
        <x:v>56.17508207890323</x:v>
      </x:c>
      <x:c r="H3196" s="27" t="str">
        <x:v>YES</x:v>
      </x:c>
      <x:c r="I3196" s="27" t="str">
        <x:v>USACE waterway node topology; deployable terminal required</x:v>
      </x:c>
      <x:c r="J3196" s="27" t="str">
        <x:v>presence does not prove operability or capacity</x:v>
      </x:c>
    </x:row>
    <x:row r="3197" ht="54" hidden="0" customHeight="1">
      <x:c r="A3197" s="29" t="str">
        <x:v>SCA-26</x:v>
      </x:c>
      <x:c r="B3197" s="29" t="str">
        <x:v>SCA-24</x:v>
      </x:c>
      <x:c r="C3197" s="29" t="str">
        <x:v>Road</x:v>
      </x:c>
      <x:c r="D3197" s="29" t="str">
        <x:v>YES</x:v>
      </x:c>
      <x:c r="E3197" s="29" t="str">
        <x:v>YES</x:v>
      </x:c>
      <x:c r="F3197" s="62" t="n">
        <x:v>1947.8090066815412</x:v>
      </x:c>
      <x:c r="G3197" s="62" t="n">
        <x:v>55.41470921239166</x:v>
      </x:c>
      <x:c r="H3197" s="29" t="str">
        <x:v>YES</x:v>
      </x:c>
      <x:c r="I3197" s="29" t="str">
        <x:v>NHPN-gated shared-boundary SCA path</x:v>
      </x:c>
      <x:c r="J3197" s="29" t="str">
        <x:v>presence does not prove operability or capacity</x:v>
      </x:c>
    </x:row>
    <x:row r="3198" ht="64.80000305175781" hidden="0" customHeight="1">
      <x:c r="A3198" s="27" t="str">
        <x:v>SCA-26</x:v>
      </x:c>
      <x:c r="B3198" s="27" t="str">
        <x:v>SCA-24</x:v>
      </x:c>
      <x:c r="C3198" s="27" t="str">
        <x:v>Rail</x:v>
      </x:c>
      <x:c r="D3198" s="27" t="str">
        <x:v>YES</x:v>
      </x:c>
      <x:c r="E3198" s="27" t="str">
        <x:v>YES</x:v>
      </x:c>
      <x:c r="F3198" s="61" t="n">
        <x:v>2066.371294044765</x:v>
      </x:c>
      <x:c r="G3198" s="61" t="n">
        <x:v>55.51958991492521</x:v>
      </x:c>
      <x:c r="H3198" s="27" t="str">
        <x:v>YES</x:v>
      </x:c>
      <x:c r="I3198" s="27" t="str">
        <x:v>NARN shared-node topology; deployable terminal required</x:v>
      </x:c>
      <x:c r="J3198" s="27" t="str">
        <x:v>presence does not prove operability or capacity</x:v>
      </x:c>
    </x:row>
    <x:row r="3199" ht="54" hidden="0" customHeight="1">
      <x:c r="A3199" s="29" t="str">
        <x:v>SCA-26</x:v>
      </x:c>
      <x:c r="B3199" s="29" t="str">
        <x:v>SCA-24</x:v>
      </x:c>
      <x:c r="C3199" s="29" t="str">
        <x:v>Air</x:v>
      </x:c>
      <x:c r="D3199" s="29" t="str">
        <x:v>YES</x:v>
      </x:c>
      <x:c r="E3199" s="29" t="str">
        <x:v>YES</x:v>
      </x:c>
      <x:c r="F3199" s="62" t="n">
        <x:v>1609.2542091708804</x:v>
      </x:c>
      <x:c r="G3199" s="62" t="n">
        <x:v>26.47577570641674</x:v>
      </x:c>
      <x:c r="H3199" s="29" t="str">
        <x:v>YES</x:v>
      </x:c>
      <x:c r="I3199" s="29" t="str">
        <x:v>primary-airport endpoints; great-circle screen</x:v>
      </x:c>
      <x:c r="J3199" s="29" t="str">
        <x:v>presence does not prove operability or capacity</x:v>
      </x:c>
    </x:row>
    <x:row r="3200" ht="75.5999984741211" hidden="0" customHeight="1">
      <x:c r="A3200" s="27" t="str">
        <x:v>SCA-26</x:v>
      </x:c>
      <x:c r="B3200" s="27" t="str">
        <x:v>SCA-24</x:v>
      </x:c>
      <x:c r="C3200" s="27" t="str">
        <x:v>Water</x:v>
      </x:c>
      <x:c r="D3200" s="27" t="str">
        <x:v>YES</x:v>
      </x:c>
      <x:c r="E3200" s="27" t="str">
        <x:v>YES</x:v>
      </x:c>
      <x:c r="F3200" s="61" t="n">
        <x:v>2396.5767662538574</x:v>
      </x:c>
      <x:c r="G3200" s="61" t="n">
        <x:v>98.47362189296736</x:v>
      </x:c>
      <x:c r="H3200" s="27" t="str">
        <x:v>NO</x:v>
      </x:c>
      <x:c r="I3200" s="27" t="str">
        <x:v>USACE waterway node topology; deployable terminal required</x:v>
      </x:c>
      <x:c r="J3200" s="27" t="str">
        <x:v>presence does not prove operability or capacity</x:v>
      </x:c>
    </x:row>
    <x:row r="3201" ht="54" hidden="0" customHeight="1">
      <x:c r="A3201" s="29" t="str">
        <x:v>SCA-26</x:v>
      </x:c>
      <x:c r="B3201" s="29" t="str">
        <x:v>SCA-25</x:v>
      </x:c>
      <x:c r="C3201" s="29" t="str">
        <x:v>Road</x:v>
      </x:c>
      <x:c r="D3201" s="29" t="str">
        <x:v>YES</x:v>
      </x:c>
      <x:c r="E3201" s="29" t="str">
        <x:v>YES</x:v>
      </x:c>
      <x:c r="F3201" s="62" t="n">
        <x:v>328.49945576482247</x:v>
      </x:c>
      <x:c r="G3201" s="62" t="n">
        <x:v>25.972717377542228</x:v>
      </x:c>
      <x:c r="H3201" s="29" t="str">
        <x:v>YES</x:v>
      </x:c>
      <x:c r="I3201" s="29" t="str">
        <x:v>NHPN-gated shared-boundary SCA path</x:v>
      </x:c>
      <x:c r="J3201" s="29" t="str">
        <x:v>presence does not prove operability or capacity</x:v>
      </x:c>
    </x:row>
    <x:row r="3202" ht="64.80000305175781" hidden="0" customHeight="1">
      <x:c r="A3202" s="27" t="str">
        <x:v>SCA-26</x:v>
      </x:c>
      <x:c r="B3202" s="27" t="str">
        <x:v>SCA-25</x:v>
      </x:c>
      <x:c r="C3202" s="27" t="str">
        <x:v>Rail</x:v>
      </x:c>
      <x:c r="D3202" s="27" t="str">
        <x:v>YES</x:v>
      </x:c>
      <x:c r="E3202" s="27" t="str">
        <x:v>YES</x:v>
      </x:c>
      <x:c r="F3202" s="61" t="n">
        <x:v>348.4950748113763</x:v>
      </x:c>
      <x:c r="G3202" s="61" t="n">
        <x:v>30.978501068733948</x:v>
      </x:c>
      <x:c r="H3202" s="27" t="str">
        <x:v>YES</x:v>
      </x:c>
      <x:c r="I3202" s="27" t="str">
        <x:v>NARN shared-node topology; deployable terminal required</x:v>
      </x:c>
      <x:c r="J3202" s="27" t="str">
        <x:v>presence does not prove operability or capacity</x:v>
      </x:c>
    </x:row>
    <x:row r="3203" ht="54" hidden="0" customHeight="1">
      <x:c r="A3203" s="29" t="str">
        <x:v>SCA-26</x:v>
      </x:c>
      <x:c r="B3203" s="29" t="str">
        <x:v>SCA-25</x:v>
      </x:c>
      <x:c r="C3203" s="29" t="str">
        <x:v>Air</x:v>
      </x:c>
      <x:c r="D3203" s="29" t="str">
        <x:v>YES</x:v>
      </x:c>
      <x:c r="E3203" s="29" t="str">
        <x:v>YES</x:v>
      </x:c>
      <x:c r="F3203" s="62" t="n">
        <x:v>285.65170066506255</x:v>
      </x:c>
      <x:c r="G3203" s="62" t="n">
        <x:v>24.439464154869327</x:v>
      </x:c>
      <x:c r="H3203" s="29" t="str">
        <x:v>YES</x:v>
      </x:c>
      <x:c r="I3203" s="29" t="str">
        <x:v>primary-airport endpoints; great-circle screen</x:v>
      </x:c>
      <x:c r="J3203" s="29" t="str">
        <x:v>presence does not prove operability or capacity</x:v>
      </x:c>
    </x:row>
    <x:row r="3204" ht="75.5999984741211" hidden="0" customHeight="1">
      <x:c r="A3204" s="27" t="str">
        <x:v>SCA-26</x:v>
      </x:c>
      <x:c r="B3204" s="27" t="str">
        <x:v>SCA-25</x:v>
      </x:c>
      <x:c r="C3204" s="27" t="str">
        <x:v>Water</x:v>
      </x:c>
      <x:c r="D3204" s="27" t="str">
        <x:v>YES</x:v>
      </x:c>
      <x:c r="E3204" s="27" t="str">
        <x:v>YES</x:v>
      </x:c>
      <x:c r="F3204" s="61" t="n">
        <x:v>365.6341768512801</x:v>
      </x:c>
      <x:c r="G3204" s="61" t="n">
        <x:v>40.44669076717943</x:v>
      </x:c>
      <x:c r="H3204" s="27" t="str">
        <x:v>YES</x:v>
      </x:c>
      <x:c r="I3204" s="27" t="str">
        <x:v>USACE waterway node topology; deployable terminal required</x:v>
      </x:c>
      <x:c r="J3204" s="27" t="str">
        <x:v>presence does not prove operability or capacity</x:v>
      </x:c>
    </x:row>
    <x:row r="3205" ht="54" hidden="0" customHeight="1">
      <x:c r="A3205" s="29" t="str">
        <x:v>SCA-26</x:v>
      </x:c>
      <x:c r="B3205" s="29" t="str">
        <x:v>SCA-27</x:v>
      </x:c>
      <x:c r="C3205" s="29" t="str">
        <x:v>Road</x:v>
      </x:c>
      <x:c r="D3205" s="29" t="str">
        <x:v>YES</x:v>
      </x:c>
      <x:c r="E3205" s="29" t="str">
        <x:v>YES</x:v>
      </x:c>
      <x:c r="F3205" s="62" t="n">
        <x:v>279.62826411954865</x:v>
      </x:c>
      <x:c r="G3205" s="62" t="n">
        <x:v>25.084150256719067</x:v>
      </x:c>
      <x:c r="H3205" s="29" t="str">
        <x:v>YES</x:v>
      </x:c>
      <x:c r="I3205" s="29" t="str">
        <x:v>NHPN-gated shared-boundary SCA path</x:v>
      </x:c>
      <x:c r="J3205" s="29" t="str">
        <x:v>presence does not prove operability or capacity</x:v>
      </x:c>
    </x:row>
    <x:row r="3206" ht="64.80000305175781" hidden="0" customHeight="1">
      <x:c r="A3206" s="27" t="str">
        <x:v>SCA-26</x:v>
      </x:c>
      <x:c r="B3206" s="27" t="str">
        <x:v>SCA-27</x:v>
      </x:c>
      <x:c r="C3206" s="27" t="str">
        <x:v>Rail</x:v>
      </x:c>
      <x:c r="D3206" s="27" t="str">
        <x:v>YES</x:v>
      </x:c>
      <x:c r="E3206" s="27" t="str">
        <x:v>YES</x:v>
      </x:c>
      <x:c r="F3206" s="61" t="n">
        <x:v>296.6491149789997</x:v>
      </x:c>
      <x:c r="G3206" s="61" t="n">
        <x:v>30.237844499699996</x:v>
      </x:c>
      <x:c r="H3206" s="27" t="str">
        <x:v>YES</x:v>
      </x:c>
      <x:c r="I3206" s="27" t="str">
        <x:v>NARN shared-node topology; deployable terminal required</x:v>
      </x:c>
      <x:c r="J3206" s="27" t="str">
        <x:v>presence does not prove operability or capacity</x:v>
      </x:c>
    </x:row>
    <x:row r="3207" ht="54" hidden="0" customHeight="1">
      <x:c r="A3207" s="29" t="str">
        <x:v>SCA-26</x:v>
      </x:c>
      <x:c r="B3207" s="29" t="str">
        <x:v>SCA-27</x:v>
      </x:c>
      <x:c r="C3207" s="29" t="str">
        <x:v>Air</x:v>
      </x:c>
      <x:c r="D3207" s="29" t="str">
        <x:v>YES</x:v>
      </x:c>
      <x:c r="E3207" s="29" t="str">
        <x:v>YES</x:v>
      </x:c>
      <x:c r="F3207" s="62" t="n">
        <x:v>243.1550122778686</x:v>
      </x:c>
      <x:c r="G3207" s="62" t="n">
        <x:v>24.374084634273643</x:v>
      </x:c>
      <x:c r="H3207" s="29" t="str">
        <x:v>YES</x:v>
      </x:c>
      <x:c r="I3207" s="29" t="str">
        <x:v>primary-airport endpoints; great-circle screen</x:v>
      </x:c>
      <x:c r="J3207" s="29" t="str">
        <x:v>presence does not prove operability or capacity</x:v>
      </x:c>
    </x:row>
    <x:row r="3208" ht="75.5999984741211" hidden="0" customHeight="1">
      <x:c r="A3208" s="27" t="str">
        <x:v>SCA-26</x:v>
      </x:c>
      <x:c r="B3208" s="27" t="str">
        <x:v>SCA-27</x:v>
      </x:c>
      <x:c r="C3208" s="27" t="str">
        <x:v>Water</x:v>
      </x:c>
      <x:c r="D3208" s="27" t="str">
        <x:v>YES</x:v>
      </x:c>
      <x:c r="E3208" s="27" t="str">
        <x:v>YES</x:v>
      </x:c>
      <x:c r="F3208" s="61" t="n">
        <x:v>311.2384157156718</x:v>
      </x:c>
      <x:c r="G3208" s="61" t="n">
        <x:v>38.89252616330491</x:v>
      </x:c>
      <x:c r="H3208" s="27" t="str">
        <x:v>YES</x:v>
      </x:c>
      <x:c r="I3208" s="27" t="str">
        <x:v>USACE waterway node topology; deployable terminal required</x:v>
      </x:c>
      <x:c r="J3208" s="27" t="str">
        <x:v>presence does not prove operability or capacity</x:v>
      </x:c>
    </x:row>
    <x:row r="3209" ht="54" hidden="0" customHeight="1">
      <x:c r="A3209" s="29" t="str">
        <x:v>SCA-26</x:v>
      </x:c>
      <x:c r="B3209" s="29" t="str">
        <x:v>SCA-28</x:v>
      </x:c>
      <x:c r="C3209" s="29" t="str">
        <x:v>Road</x:v>
      </x:c>
      <x:c r="D3209" s="29" t="str">
        <x:v>YES</x:v>
      </x:c>
      <x:c r="E3209" s="29" t="str">
        <x:v>YES</x:v>
      </x:c>
      <x:c r="F3209" s="62" t="n">
        <x:v>1657.358941872536</x:v>
      </x:c>
      <x:c r="G3209" s="62" t="n">
        <x:v>50.133798943137016</x:v>
      </x:c>
      <x:c r="H3209" s="29" t="str">
        <x:v>YES</x:v>
      </x:c>
      <x:c r="I3209" s="29" t="str">
        <x:v>NHPN-gated shared-boundary SCA path</x:v>
      </x:c>
      <x:c r="J3209" s="29" t="str">
        <x:v>presence does not prove operability or capacity</x:v>
      </x:c>
    </x:row>
    <x:row r="3210" ht="64.80000305175781" hidden="0" customHeight="1">
      <x:c r="A3210" s="27" t="str">
        <x:v>SCA-26</x:v>
      </x:c>
      <x:c r="B3210" s="27" t="str">
        <x:v>SCA-28</x:v>
      </x:c>
      <x:c r="C3210" s="27" t="str">
        <x:v>Rail</x:v>
      </x:c>
      <x:c r="D3210" s="27" t="str">
        <x:v>YES</x:v>
      </x:c>
      <x:c r="E3210" s="27" t="str">
        <x:v>YES</x:v>
      </x:c>
      <x:c r="F3210" s="61" t="n">
        <x:v>1758.2416600734732</x:v>
      </x:c>
      <x:c r="G3210" s="61" t="n">
        <x:v>51.11773800104962</x:v>
      </x:c>
      <x:c r="H3210" s="27" t="str">
        <x:v>YES</x:v>
      </x:c>
      <x:c r="I3210" s="27" t="str">
        <x:v>NARN shared-node topology; deployable terminal required</x:v>
      </x:c>
      <x:c r="J3210" s="27" t="str">
        <x:v>presence does not prove operability or capacity</x:v>
      </x:c>
    </x:row>
    <x:row r="3211" ht="54" hidden="0" customHeight="1">
      <x:c r="A3211" s="29" t="str">
        <x:v>SCA-26</x:v>
      </x:c>
      <x:c r="B3211" s="29" t="str">
        <x:v>SCA-28</x:v>
      </x:c>
      <x:c r="C3211" s="29" t="str">
        <x:v>Air</x:v>
      </x:c>
      <x:c r="D3211" s="29" t="str">
        <x:v>YES</x:v>
      </x:c>
      <x:c r="E3211" s="29" t="str">
        <x:v>YES</x:v>
      </x:c>
      <x:c r="F3211" s="62" t="n">
        <x:v>1394.598978934129</x:v>
      </x:c>
      <x:c r="G3211" s="62" t="n">
        <x:v>26.14553689066789</x:v>
      </x:c>
      <x:c r="H3211" s="29" t="str">
        <x:v>YES</x:v>
      </x:c>
      <x:c r="I3211" s="29" t="str">
        <x:v>primary-airport endpoints; great-circle screen</x:v>
      </x:c>
      <x:c r="J3211" s="29" t="str">
        <x:v>presence does not prove operability or capacity</x:v>
      </x:c>
    </x:row>
    <x:row r="3212" ht="75.5999984741211" hidden="0" customHeight="1">
      <x:c r="A3212" s="27" t="str">
        <x:v>SCA-26</x:v>
      </x:c>
      <x:c r="B3212" s="27" t="str">
        <x:v>SCA-28</x:v>
      </x:c>
      <x:c r="C3212" s="27" t="str">
        <x:v>Water</x:v>
      </x:c>
      <x:c r="D3212" s="27" t="str">
        <x:v>YES</x:v>
      </x:c>
      <x:c r="E3212" s="27" t="str">
        <x:v>YES</x:v>
      </x:c>
      <x:c r="F3212" s="61" t="n">
        <x:v>1844.7125613885619</x:v>
      </x:c>
      <x:c r="G3212" s="61" t="n">
        <x:v>82.70607318253033</x:v>
      </x:c>
      <x:c r="H3212" s="27" t="str">
        <x:v>NO</x:v>
      </x:c>
      <x:c r="I3212" s="27" t="str">
        <x:v>USACE waterway node topology; deployable terminal required</x:v>
      </x:c>
      <x:c r="J3212" s="27" t="str">
        <x:v>presence does not prove operability or capacity</x:v>
      </x:c>
    </x:row>
    <x:row r="3213" ht="54" hidden="0" customHeight="1">
      <x:c r="A3213" s="29" t="str">
        <x:v>SCA-26</x:v>
      </x:c>
      <x:c r="B3213" s="29" t="str">
        <x:v>SCA-29</x:v>
      </x:c>
      <x:c r="C3213" s="29" t="str">
        <x:v>Road</x:v>
      </x:c>
      <x:c r="D3213" s="29" t="str">
        <x:v>YES</x:v>
      </x:c>
      <x:c r="E3213" s="29" t="str">
        <x:v>YES</x:v>
      </x:c>
      <x:c r="F3213" s="62" t="n">
        <x:v>1081.1036502952302</x:v>
      </x:c>
      <x:c r="G3213" s="62" t="n">
        <x:v>39.656430005367824</x:v>
      </x:c>
      <x:c r="H3213" s="29" t="str">
        <x:v>YES</x:v>
      </x:c>
      <x:c r="I3213" s="29" t="str">
        <x:v>NHPN-gated shared-boundary SCA path</x:v>
      </x:c>
      <x:c r="J3213" s="29" t="str">
        <x:v>presence does not prove operability or capacity</x:v>
      </x:c>
    </x:row>
    <x:row r="3214" ht="64.80000305175781" hidden="0" customHeight="1">
      <x:c r="A3214" s="27" t="str">
        <x:v>SCA-26</x:v>
      </x:c>
      <x:c r="B3214" s="27" t="str">
        <x:v>SCA-29</x:v>
      </x:c>
      <x:c r="C3214" s="27" t="str">
        <x:v>Rail</x:v>
      </x:c>
      <x:c r="D3214" s="27" t="str">
        <x:v>YES</x:v>
      </x:c>
      <x:c r="E3214" s="27" t="str">
        <x:v>YES</x:v>
      </x:c>
      <x:c r="F3214" s="61" t="n">
        <x:v>1146.9099594436357</x:v>
      </x:c>
      <x:c r="G3214" s="61" t="n">
        <x:v>42.38442799205194</x:v>
      </x:c>
      <x:c r="H3214" s="27" t="str">
        <x:v>YES</x:v>
      </x:c>
      <x:c r="I3214" s="27" t="str">
        <x:v>NARN shared-node topology; deployable terminal required</x:v>
      </x:c>
      <x:c r="J3214" s="27" t="str">
        <x:v>presence does not prove operability or capacity</x:v>
      </x:c>
    </x:row>
    <x:row r="3215" ht="54" hidden="0" customHeight="1">
      <x:c r="A3215" s="29" t="str">
        <x:v>SCA-26</x:v>
      </x:c>
      <x:c r="B3215" s="29" t="str">
        <x:v>SCA-29</x:v>
      </x:c>
      <x:c r="C3215" s="29" t="str">
        <x:v>Air</x:v>
      </x:c>
      <x:c r="D3215" s="29" t="str">
        <x:v>YES</x:v>
      </x:c>
      <x:c r="E3215" s="29" t="str">
        <x:v>YES</x:v>
      </x:c>
      <x:c r="F3215" s="62" t="n">
        <x:v>914.5673239680137</x:v>
      </x:c>
      <x:c r="G3215" s="62" t="n">
        <x:v>25.407026652258484</x:v>
      </x:c>
      <x:c r="H3215" s="29" t="str">
        <x:v>YES</x:v>
      </x:c>
      <x:c r="I3215" s="29" t="str">
        <x:v>primary-airport endpoints; great-circle screen</x:v>
      </x:c>
      <x:c r="J3215" s="29" t="str">
        <x:v>presence does not prove operability or capacity</x:v>
      </x:c>
    </x:row>
    <x:row r="3216" ht="75.5999984741211" hidden="0" customHeight="1">
      <x:c r="A3216" s="27" t="str">
        <x:v>SCA-26</x:v>
      </x:c>
      <x:c r="B3216" s="27" t="str">
        <x:v>SCA-29</x:v>
      </x:c>
      <x:c r="C3216" s="27" t="str">
        <x:v>Water</x:v>
      </x:c>
      <x:c r="D3216" s="27" t="str">
        <x:v>YES</x:v>
      </x:c>
      <x:c r="E3216" s="27" t="str">
        <x:v>YES</x:v>
      </x:c>
      <x:c r="F3216" s="61" t="n">
        <x:v>1203.315367285126</x:v>
      </x:c>
      <x:c r="G3216" s="61" t="n">
        <x:v>64.38043906528932</x:v>
      </x:c>
      <x:c r="H3216" s="27" t="str">
        <x:v>YES</x:v>
      </x:c>
      <x:c r="I3216" s="27" t="str">
        <x:v>USACE waterway node topology; deployable terminal required</x:v>
      </x:c>
      <x:c r="J3216" s="27" t="str">
        <x:v>presence does not prove operability or capacity</x:v>
      </x:c>
    </x:row>
    <x:row r="3217" ht="54" hidden="0" customHeight="1">
      <x:c r="A3217" s="29" t="str">
        <x:v>SCA-26</x:v>
      </x:c>
      <x:c r="B3217" s="29" t="str">
        <x:v>SCA-30</x:v>
      </x:c>
      <x:c r="C3217" s="29" t="str">
        <x:v>Road</x:v>
      </x:c>
      <x:c r="D3217" s="29" t="str">
        <x:v>YES</x:v>
      </x:c>
      <x:c r="E3217" s="29" t="str">
        <x:v>YES</x:v>
      </x:c>
      <x:c r="F3217" s="62" t="n">
        <x:v>1832.1329722403414</x:v>
      </x:c>
      <x:c r="G3217" s="62" t="n">
        <x:v>53.311508586188026</x:v>
      </x:c>
      <x:c r="H3217" s="29" t="str">
        <x:v>YES</x:v>
      </x:c>
      <x:c r="I3217" s="29" t="str">
        <x:v>NHPN-gated shared-boundary SCA path</x:v>
      </x:c>
      <x:c r="J3217" s="29" t="str">
        <x:v>presence does not prove operability or capacity</x:v>
      </x:c>
    </x:row>
    <x:row r="3218" ht="64.80000305175781" hidden="0" customHeight="1">
      <x:c r="A3218" s="27" t="str">
        <x:v>SCA-26</x:v>
      </x:c>
      <x:c r="B3218" s="27" t="str">
        <x:v>SCA-30</x:v>
      </x:c>
      <x:c r="C3218" s="27" t="str">
        <x:v>Rail</x:v>
      </x:c>
      <x:c r="D3218" s="27" t="str">
        <x:v>YES</x:v>
      </x:c>
      <x:c r="E3218" s="27" t="str">
        <x:v>YES</x:v>
      </x:c>
      <x:c r="F3218" s="61" t="n">
        <x:v>1943.654109681058</x:v>
      </x:c>
      <x:c r="G3218" s="61" t="n">
        <x:v>53.76648728115797</x:v>
      </x:c>
      <x:c r="H3218" s="27" t="str">
        <x:v>YES</x:v>
      </x:c>
      <x:c r="I3218" s="27" t="str">
        <x:v>NARN shared-node topology; deployable terminal required</x:v>
      </x:c>
      <x:c r="J3218" s="27" t="str">
        <x:v>presence does not prove operability or capacity</x:v>
      </x:c>
    </x:row>
    <x:row r="3219" ht="54" hidden="0" customHeight="1">
      <x:c r="A3219" s="29" t="str">
        <x:v>SCA-26</x:v>
      </x:c>
      <x:c r="B3219" s="29" t="str">
        <x:v>SCA-30</x:v>
      </x:c>
      <x:c r="C3219" s="29" t="str">
        <x:v>Air</x:v>
      </x:c>
      <x:c r="D3219" s="29" t="str">
        <x:v>YES</x:v>
      </x:c>
      <x:c r="E3219" s="29" t="str">
        <x:v>YES</x:v>
      </x:c>
      <x:c r="F3219" s="62" t="n">
        <x:v>1549.8668349843417</x:v>
      </x:c>
      <x:c r="G3219" s="62" t="n">
        <x:v>26.384410515360525</x:v>
      </x:c>
      <x:c r="H3219" s="29" t="str">
        <x:v>YES</x:v>
      </x:c>
      <x:c r="I3219" s="29" t="str">
        <x:v>primary-airport endpoints; great-circle screen</x:v>
      </x:c>
      <x:c r="J3219" s="29" t="str">
        <x:v>presence does not prove operability or capacity</x:v>
      </x:c>
    </x:row>
    <x:row r="3220" ht="75.5999984741211" hidden="0" customHeight="1">
      <x:c r="A3220" s="27" t="str">
        <x:v>SCA-26</x:v>
      </x:c>
      <x:c r="B3220" s="27" t="str">
        <x:v>SCA-30</x:v>
      </x:c>
      <x:c r="C3220" s="27" t="str">
        <x:v>Water</x:v>
      </x:c>
      <x:c r="D3220" s="27" t="str">
        <x:v>YES</x:v>
      </x:c>
      <x:c r="E3220" s="27" t="str">
        <x:v>YES</x:v>
      </x:c>
      <x:c r="F3220" s="61" t="n">
        <x:v>2039.2436560588148</x:v>
      </x:c>
      <x:c r="G3220" s="61" t="n">
        <x:v>88.26410445882328</x:v>
      </x:c>
      <x:c r="H3220" s="27" t="str">
        <x:v>NO</x:v>
      </x:c>
      <x:c r="I3220" s="27" t="str">
        <x:v>USACE waterway node topology; deployable terminal required</x:v>
      </x:c>
      <x:c r="J3220" s="27" t="str">
        <x:v>presence does not prove operability or capacity</x:v>
      </x:c>
    </x:row>
    <x:row r="3221" ht="54" hidden="0" customHeight="1">
      <x:c r="A3221" s="29" t="str">
        <x:v>SCA-26</x:v>
      </x:c>
      <x:c r="B3221" s="29" t="str">
        <x:v>SCA-31</x:v>
      </x:c>
      <x:c r="C3221" s="29" t="str">
        <x:v>Road</x:v>
      </x:c>
      <x:c r="D3221" s="29" t="str">
        <x:v>YES</x:v>
      </x:c>
      <x:c r="E3221" s="29" t="str">
        <x:v>YES</x:v>
      </x:c>
      <x:c r="F3221" s="62" t="n">
        <x:v>2225.2151174268474</x:v>
      </x:c>
      <x:c r="G3221" s="62" t="n">
        <x:v>60.45845668048813</x:v>
      </x:c>
      <x:c r="H3221" s="29" t="str">
        <x:v>YES</x:v>
      </x:c>
      <x:c r="I3221" s="29" t="str">
        <x:v>NHPN-gated shared-boundary SCA path</x:v>
      </x:c>
      <x:c r="J3221" s="29" t="str">
        <x:v>presence does not prove operability or capacity</x:v>
      </x:c>
    </x:row>
    <x:row r="3222" ht="64.80000305175781" hidden="0" customHeight="1">
      <x:c r="A3222" s="27" t="str">
        <x:v>SCA-26</x:v>
      </x:c>
      <x:c r="B3222" s="27" t="str">
        <x:v>SCA-31</x:v>
      </x:c>
      <x:c r="C3222" s="27" t="str">
        <x:v>Rail</x:v>
      </x:c>
      <x:c r="D3222" s="27" t="str">
        <x:v>YES</x:v>
      </x:c>
      <x:c r="E3222" s="27" t="str">
        <x:v>YES</x:v>
      </x:c>
      <x:c r="F3222" s="61" t="n">
        <x:v>2360.662994139786</x:v>
      </x:c>
      <x:c r="G3222" s="61" t="n">
        <x:v>59.7237570591398</x:v>
      </x:c>
      <x:c r="H3222" s="27" t="str">
        <x:v>YES</x:v>
      </x:c>
      <x:c r="I3222" s="27" t="str">
        <x:v>NARN shared-node topology; deployable terminal required</x:v>
      </x:c>
      <x:c r="J3222" s="27" t="str">
        <x:v>presence does not prove operability or capacity</x:v>
      </x:c>
    </x:row>
    <x:row r="3223" ht="54" hidden="0" customHeight="1">
      <x:c r="A3223" s="29" t="str">
        <x:v>SCA-26</x:v>
      </x:c>
      <x:c r="B3223" s="29" t="str">
        <x:v>SCA-31</x:v>
      </x:c>
      <x:c r="C3223" s="29" t="str">
        <x:v>Air</x:v>
      </x:c>
      <x:c r="D3223" s="29" t="str">
        <x:v>YES</x:v>
      </x:c>
      <x:c r="E3223" s="29" t="str">
        <x:v>YES</x:v>
      </x:c>
      <x:c r="F3223" s="62" t="n">
        <x:v>1876.3676507265861</x:v>
      </x:c>
      <x:c r="G3223" s="62" t="n">
        <x:v>26.886719462656288</x:v>
      </x:c>
      <x:c r="H3223" s="29" t="str">
        <x:v>YES</x:v>
      </x:c>
      <x:c r="I3223" s="29" t="str">
        <x:v>primary-airport endpoints; great-circle screen</x:v>
      </x:c>
      <x:c r="J3223" s="29" t="str">
        <x:v>presence does not prove operability or capacity</x:v>
      </x:c>
    </x:row>
    <x:row r="3224" ht="75.5999984741211" hidden="0" customHeight="1">
      <x:c r="A3224" s="27" t="str">
        <x:v>SCA-26</x:v>
      </x:c>
      <x:c r="B3224" s="27" t="str">
        <x:v>SCA-31</x:v>
      </x:c>
      <x:c r="C3224" s="27" t="str">
        <x:v>Water</x:v>
      </x:c>
      <x:c r="D3224" s="27" t="str">
        <x:v>YES</x:v>
      </x:c>
      <x:c r="E3224" s="27" t="str">
        <x:v>YES</x:v>
      </x:c>
      <x:c r="F3224" s="61" t="n">
        <x:v>2473.4616023769117</x:v>
      </x:c>
      <x:c r="G3224" s="61" t="n">
        <x:v>100.67033149648319</x:v>
      </x:c>
      <x:c r="H3224" s="27" t="str">
        <x:v>NO</x:v>
      </x:c>
      <x:c r="I3224" s="27" t="str">
        <x:v>USACE waterway node topology; deployable terminal required</x:v>
      </x:c>
      <x:c r="J3224" s="27" t="str">
        <x:v>presence does not prove operability or capacity</x:v>
      </x:c>
    </x:row>
    <x:row r="3225" ht="54" hidden="0" customHeight="1">
      <x:c r="A3225" s="29" t="str">
        <x:v>SCA-26</x:v>
      </x:c>
      <x:c r="B3225" s="29" t="str">
        <x:v>SCA-32</x:v>
      </x:c>
      <x:c r="C3225" s="29" t="str">
        <x:v>Road</x:v>
      </x:c>
      <x:c r="D3225" s="29" t="str">
        <x:v>NO</x:v>
      </x:c>
      <x:c r="E3225" s="29" t="str">
        <x:v>NO</x:v>
      </x:c>
      <x:c r="F3225" s="62"/>
      <x:c r="G3225" s="62"/>
      <x:c r="H3225" s="29" t="str">
        <x:v>NO</x:v>
      </x:c>
      <x:c r="I3225" s="29" t="str">
        <x:v>no screened path</x:v>
      </x:c>
      <x:c r="J3225" s="29" t="str">
        <x:v>presence does not prove operability or capacity</x:v>
      </x:c>
    </x:row>
    <x:row r="3226" ht="54" hidden="0" customHeight="1">
      <x:c r="A3226" s="27" t="str">
        <x:v>SCA-26</x:v>
      </x:c>
      <x:c r="B3226" s="27" t="str">
        <x:v>SCA-32</x:v>
      </x:c>
      <x:c r="C3226" s="27" t="str">
        <x:v>Rail</x:v>
      </x:c>
      <x:c r="D3226" s="27" t="str">
        <x:v>NO</x:v>
      </x:c>
      <x:c r="E3226" s="27" t="str">
        <x:v>NO</x:v>
      </x:c>
      <x:c r="F3226" s="61"/>
      <x:c r="G3226" s="61"/>
      <x:c r="H3226" s="27" t="str">
        <x:v>NO</x:v>
      </x:c>
      <x:c r="I3226" s="27" t="str">
        <x:v>no screened path</x:v>
      </x:c>
      <x:c r="J3226" s="27" t="str">
        <x:v>presence does not prove operability or capacity</x:v>
      </x:c>
    </x:row>
    <x:row r="3227" ht="54" hidden="0" customHeight="1">
      <x:c r="A3227" s="29" t="str">
        <x:v>SCA-26</x:v>
      </x:c>
      <x:c r="B3227" s="29" t="str">
        <x:v>SCA-32</x:v>
      </x:c>
      <x:c r="C3227" s="29" t="str">
        <x:v>Air</x:v>
      </x:c>
      <x:c r="D3227" s="29" t="str">
        <x:v>YES</x:v>
      </x:c>
      <x:c r="E3227" s="29" t="str">
        <x:v>YES</x:v>
      </x:c>
      <x:c r="F3227" s="62" t="n">
        <x:v>1915.95608426156</x:v>
      </x:c>
      <x:c r="G3227" s="62" t="n">
        <x:v>26.947624745017784</x:v>
      </x:c>
      <x:c r="H3227" s="29" t="str">
        <x:v>YES</x:v>
      </x:c>
      <x:c r="I3227" s="29" t="str">
        <x:v>primary-airport endpoints; great-circle screen</x:v>
      </x:c>
      <x:c r="J3227" s="29" t="str">
        <x:v>presence does not prove operability or capacity</x:v>
      </x:c>
    </x:row>
    <x:row r="3228" ht="75.5999984741211" hidden="0" customHeight="1">
      <x:c r="A3228" s="27" t="str">
        <x:v>SCA-26</x:v>
      </x:c>
      <x:c r="B3228" s="27" t="str">
        <x:v>SCA-32</x:v>
      </x:c>
      <x:c r="C3228" s="27" t="str">
        <x:v>Water</x:v>
      </x:c>
      <x:c r="D3228" s="27" t="str">
        <x:v>YES</x:v>
      </x:c>
      <x:c r="E3228" s="27" t="str">
        <x:v>YES</x:v>
      </x:c>
      <x:c r="F3228" s="61" t="n">
        <x:v>2486.5210611378857</x:v>
      </x:c>
      <x:c r="G3228" s="61" t="n">
        <x:v>101.04345888965388</x:v>
      </x:c>
      <x:c r="H3228" s="27" t="str">
        <x:v>NO</x:v>
      </x:c>
      <x:c r="I3228" s="27" t="str">
        <x:v>USACE waterway node topology; deployable terminal required</x:v>
      </x:c>
      <x:c r="J3228" s="27" t="str">
        <x:v>presence does not prove operability or capacity</x:v>
      </x:c>
    </x:row>
    <x:row r="3229" ht="54" hidden="0" customHeight="1">
      <x:c r="A3229" s="29" t="str">
        <x:v>SCA-27</x:v>
      </x:c>
      <x:c r="B3229" s="29" t="str">
        <x:v>SCA-01</x:v>
      </x:c>
      <x:c r="C3229" s="29" t="str">
        <x:v>Road</x:v>
      </x:c>
      <x:c r="D3229" s="29" t="str">
        <x:v>NO</x:v>
      </x:c>
      <x:c r="E3229" s="29" t="str">
        <x:v>NO</x:v>
      </x:c>
      <x:c r="F3229" s="62"/>
      <x:c r="G3229" s="62"/>
      <x:c r="H3229" s="29" t="str">
        <x:v>NO</x:v>
      </x:c>
      <x:c r="I3229" s="29" t="str">
        <x:v>no screened path</x:v>
      </x:c>
      <x:c r="J3229" s="29" t="str">
        <x:v>presence does not prove operability or capacity</x:v>
      </x:c>
    </x:row>
    <x:row r="3230" ht="54" hidden="0" customHeight="1">
      <x:c r="A3230" s="27" t="str">
        <x:v>SCA-27</x:v>
      </x:c>
      <x:c r="B3230" s="27" t="str">
        <x:v>SCA-01</x:v>
      </x:c>
      <x:c r="C3230" s="27" t="str">
        <x:v>Rail</x:v>
      </x:c>
      <x:c r="D3230" s="27" t="str">
        <x:v>NO</x:v>
      </x:c>
      <x:c r="E3230" s="27" t="str">
        <x:v>NO</x:v>
      </x:c>
      <x:c r="F3230" s="61"/>
      <x:c r="G3230" s="61"/>
      <x:c r="H3230" s="27" t="str">
        <x:v>NO</x:v>
      </x:c>
      <x:c r="I3230" s="27" t="str">
        <x:v>no screened path</x:v>
      </x:c>
      <x:c r="J3230" s="27" t="str">
        <x:v>presence does not prove operability or capacity</x:v>
      </x:c>
    </x:row>
    <x:row r="3231" ht="54" hidden="0" customHeight="1">
      <x:c r="A3231" s="29" t="str">
        <x:v>SCA-27</x:v>
      </x:c>
      <x:c r="B3231" s="29" t="str">
        <x:v>SCA-01</x:v>
      </x:c>
      <x:c r="C3231" s="29" t="str">
        <x:v>Air</x:v>
      </x:c>
      <x:c r="D3231" s="29" t="str">
        <x:v>YES</x:v>
      </x:c>
      <x:c r="E3231" s="29" t="str">
        <x:v>YES</x:v>
      </x:c>
      <x:c r="F3231" s="62" t="n">
        <x:v>7763.595806930106</x:v>
      </x:c>
      <x:c r="G3231" s="62" t="n">
        <x:v>35.94399354912324</x:v>
      </x:c>
      <x:c r="H3231" s="29" t="str">
        <x:v>YES</x:v>
      </x:c>
      <x:c r="I3231" s="29" t="str">
        <x:v>primary-airport endpoints; great-circle screen</x:v>
      </x:c>
      <x:c r="J3231" s="29" t="str">
        <x:v>presence does not prove operability or capacity</x:v>
      </x:c>
    </x:row>
    <x:row r="3232" ht="75.5999984741211" hidden="0" customHeight="1">
      <x:c r="A3232" s="27" t="str">
        <x:v>SCA-27</x:v>
      </x:c>
      <x:c r="B3232" s="27" t="str">
        <x:v>SCA-01</x:v>
      </x:c>
      <x:c r="C3232" s="27" t="str">
        <x:v>Water</x:v>
      </x:c>
      <x:c r="D3232" s="27" t="str">
        <x:v>YES</x:v>
      </x:c>
      <x:c r="E3232" s="27" t="str">
        <x:v>YES</x:v>
      </x:c>
      <x:c r="F3232" s="61" t="n">
        <x:v>10052.222941982232</x:v>
      </x:c>
      <x:c r="G3232" s="61" t="n">
        <x:v>317.2063697709209</x:v>
      </x:c>
      <x:c r="H3232" s="27" t="str">
        <x:v>NO</x:v>
      </x:c>
      <x:c r="I3232" s="27" t="str">
        <x:v>USACE waterway node topology; deployable terminal required</x:v>
      </x:c>
      <x:c r="J3232" s="27" t="str">
        <x:v>presence does not prove operability or capacity</x:v>
      </x:c>
    </x:row>
    <x:row r="3233" ht="54" hidden="0" customHeight="1">
      <x:c r="A3233" s="29" t="str">
        <x:v>SCA-27</x:v>
      </x:c>
      <x:c r="B3233" s="29" t="str">
        <x:v>SCA-02</x:v>
      </x:c>
      <x:c r="C3233" s="29" t="str">
        <x:v>Road</x:v>
      </x:c>
      <x:c r="D3233" s="29" t="str">
        <x:v>NO</x:v>
      </x:c>
      <x:c r="E3233" s="29" t="str">
        <x:v>NO</x:v>
      </x:c>
      <x:c r="F3233" s="62"/>
      <x:c r="G3233" s="62"/>
      <x:c r="H3233" s="29" t="str">
        <x:v>NO</x:v>
      </x:c>
      <x:c r="I3233" s="29" t="str">
        <x:v>no screened path</x:v>
      </x:c>
      <x:c r="J3233" s="29" t="str">
        <x:v>presence does not prove operability or capacity</x:v>
      </x:c>
    </x:row>
    <x:row r="3234" ht="54" hidden="0" customHeight="1">
      <x:c r="A3234" s="27" t="str">
        <x:v>SCA-27</x:v>
      </x:c>
      <x:c r="B3234" s="27" t="str">
        <x:v>SCA-02</x:v>
      </x:c>
      <x:c r="C3234" s="27" t="str">
        <x:v>Rail</x:v>
      </x:c>
      <x:c r="D3234" s="27" t="str">
        <x:v>NO</x:v>
      </x:c>
      <x:c r="E3234" s="27" t="str">
        <x:v>NO</x:v>
      </x:c>
      <x:c r="F3234" s="61"/>
      <x:c r="G3234" s="61"/>
      <x:c r="H3234" s="27" t="str">
        <x:v>NO</x:v>
      </x:c>
      <x:c r="I3234" s="27" t="str">
        <x:v>no screened path</x:v>
      </x:c>
      <x:c r="J3234" s="27" t="str">
        <x:v>presence does not prove operability or capacity</x:v>
      </x:c>
    </x:row>
    <x:row r="3235" ht="54" hidden="0" customHeight="1">
      <x:c r="A3235" s="29" t="str">
        <x:v>SCA-27</x:v>
      </x:c>
      <x:c r="B3235" s="29" t="str">
        <x:v>SCA-02</x:v>
      </x:c>
      <x:c r="C3235" s="29" t="str">
        <x:v>Air</x:v>
      </x:c>
      <x:c r="D3235" s="29" t="str">
        <x:v>YES</x:v>
      </x:c>
      <x:c r="E3235" s="29" t="str">
        <x:v>YES</x:v>
      </x:c>
      <x:c r="F3235" s="62" t="n">
        <x:v>6195.958388706716</x:v>
      </x:c>
      <x:c r="G3235" s="62" t="n">
        <x:v>33.53224367493341</x:v>
      </x:c>
      <x:c r="H3235" s="29" t="str">
        <x:v>YES</x:v>
      </x:c>
      <x:c r="I3235" s="29" t="str">
        <x:v>primary-airport endpoints; great-circle screen</x:v>
      </x:c>
      <x:c r="J3235" s="29" t="str">
        <x:v>presence does not prove operability or capacity</x:v>
      </x:c>
    </x:row>
    <x:row r="3236" ht="75.5999984741211" hidden="0" customHeight="1">
      <x:c r="A3236" s="27" t="str">
        <x:v>SCA-27</x:v>
      </x:c>
      <x:c r="B3236" s="27" t="str">
        <x:v>SCA-02</x:v>
      </x:c>
      <x:c r="C3236" s="27" t="str">
        <x:v>Water</x:v>
      </x:c>
      <x:c r="D3236" s="27" t="str">
        <x:v>YES</x:v>
      </x:c>
      <x:c r="E3236" s="27" t="str">
        <x:v>YES</x:v>
      </x:c>
      <x:c r="F3236" s="61" t="n">
        <x:v>9280.737058840366</x:v>
      </x:c>
      <x:c r="G3236" s="61" t="n">
        <x:v>295.1639159668676</x:v>
      </x:c>
      <x:c r="H3236" s="27" t="str">
        <x:v>NO</x:v>
      </x:c>
      <x:c r="I3236" s="27" t="str">
        <x:v>USACE waterway node topology; deployable terminal required</x:v>
      </x:c>
      <x:c r="J3236" s="27" t="str">
        <x:v>presence does not prove operability or capacity</x:v>
      </x:c>
    </x:row>
    <x:row r="3237" ht="54" hidden="0" customHeight="1">
      <x:c r="A3237" s="29" t="str">
        <x:v>SCA-27</x:v>
      </x:c>
      <x:c r="B3237" s="29" t="str">
        <x:v>SCA-03</x:v>
      </x:c>
      <x:c r="C3237" s="29" t="str">
        <x:v>Road</x:v>
      </x:c>
      <x:c r="D3237" s="29" t="str">
        <x:v>YES</x:v>
      </x:c>
      <x:c r="E3237" s="29" t="str">
        <x:v>YES</x:v>
      </x:c>
      <x:c r="F3237" s="62" t="n">
        <x:v>5199.943093931755</x:v>
      </x:c>
      <x:c r="G3237" s="62" t="n">
        <x:v>114.54441988966828</x:v>
      </x:c>
      <x:c r="H3237" s="29" t="str">
        <x:v>NO</x:v>
      </x:c>
      <x:c r="I3237" s="29" t="str">
        <x:v>NHPN-gated shared-boundary SCA path</x:v>
      </x:c>
      <x:c r="J3237" s="29" t="str">
        <x:v>presence does not prove operability or capacity</x:v>
      </x:c>
    </x:row>
    <x:row r="3238" ht="64.80000305175781" hidden="0" customHeight="1">
      <x:c r="A3238" s="27" t="str">
        <x:v>SCA-27</x:v>
      </x:c>
      <x:c r="B3238" s="27" t="str">
        <x:v>SCA-03</x:v>
      </x:c>
      <x:c r="C3238" s="27" t="str">
        <x:v>Rail</x:v>
      </x:c>
      <x:c r="D3238" s="27" t="str">
        <x:v>YES</x:v>
      </x:c>
      <x:c r="E3238" s="27" t="str">
        <x:v>YES</x:v>
      </x:c>
      <x:c r="F3238" s="61" t="n">
        <x:v>5516.4613692145585</x:v>
      </x:c>
      <x:c r="G3238" s="61" t="n">
        <x:v>104.8065909887794</x:v>
      </x:c>
      <x:c r="H3238" s="27" t="str">
        <x:v>NO</x:v>
      </x:c>
      <x:c r="I3238" s="27" t="str">
        <x:v>NARN shared-node topology; deployable terminal required</x:v>
      </x:c>
      <x:c r="J3238" s="27" t="str">
        <x:v>presence does not prove operability or capacity</x:v>
      </x:c>
    </x:row>
    <x:row r="3239" ht="54" hidden="0" customHeight="1">
      <x:c r="A3239" s="29" t="str">
        <x:v>SCA-27</x:v>
      </x:c>
      <x:c r="B3239" s="29" t="str">
        <x:v>SCA-03</x:v>
      </x:c>
      <x:c r="C3239" s="29" t="str">
        <x:v>Air</x:v>
      </x:c>
      <x:c r="D3239" s="29" t="str">
        <x:v>YES</x:v>
      </x:c>
      <x:c r="E3239" s="29" t="str">
        <x:v>YES</x:v>
      </x:c>
      <x:c r="F3239" s="62" t="n">
        <x:v>4259.9425174688995</x:v>
      </x:c>
      <x:c r="G3239" s="62" t="n">
        <x:v>30.553757719182922</x:v>
      </x:c>
      <x:c r="H3239" s="29" t="str">
        <x:v>YES</x:v>
      </x:c>
      <x:c r="I3239" s="29" t="str">
        <x:v>primary-airport endpoints; great-circle screen</x:v>
      </x:c>
      <x:c r="J3239" s="29" t="str">
        <x:v>presence does not prove operability or capacity</x:v>
      </x:c>
    </x:row>
    <x:row r="3240" ht="75.5999984741211" hidden="0" customHeight="1">
      <x:c r="A3240" s="27" t="str">
        <x:v>SCA-27</x:v>
      </x:c>
      <x:c r="B3240" s="27" t="str">
        <x:v>SCA-03</x:v>
      </x:c>
      <x:c r="C3240" s="27" t="str">
        <x:v>Water</x:v>
      </x:c>
      <x:c r="D3240" s="27" t="str">
        <x:v>YES</x:v>
      </x:c>
      <x:c r="E3240" s="27" t="str">
        <x:v>YES</x:v>
      </x:c>
      <x:c r="F3240" s="61" t="n">
        <x:v>6661.461629310577</x:v>
      </x:c>
      <x:c r="G3240" s="61" t="n">
        <x:v>220.32747512315936</x:v>
      </x:c>
      <x:c r="H3240" s="27" t="str">
        <x:v>NO</x:v>
      </x:c>
      <x:c r="I3240" s="27" t="str">
        <x:v>USACE waterway node topology; deployable terminal required</x:v>
      </x:c>
      <x:c r="J3240" s="27" t="str">
        <x:v>presence does not prove operability or capacity</x:v>
      </x:c>
    </x:row>
    <x:row r="3241" ht="54" hidden="0" customHeight="1">
      <x:c r="A3241" s="29" t="str">
        <x:v>SCA-27</x:v>
      </x:c>
      <x:c r="B3241" s="29" t="str">
        <x:v>SCA-04</x:v>
      </x:c>
      <x:c r="C3241" s="29" t="str">
        <x:v>Road</x:v>
      </x:c>
      <x:c r="D3241" s="29" t="str">
        <x:v>YES</x:v>
      </x:c>
      <x:c r="E3241" s="29" t="str">
        <x:v>YES</x:v>
      </x:c>
      <x:c r="F3241" s="62" t="n">
        <x:v>5225.0746375941735</x:v>
      </x:c>
      <x:c r="G3241" s="62" t="n">
        <x:v>115.00135704716679</x:v>
      </x:c>
      <x:c r="H3241" s="29" t="str">
        <x:v>NO</x:v>
      </x:c>
      <x:c r="I3241" s="29" t="str">
        <x:v>NHPN-gated shared-boundary SCA path</x:v>
      </x:c>
      <x:c r="J3241" s="29" t="str">
        <x:v>presence does not prove operability or capacity</x:v>
      </x:c>
    </x:row>
    <x:row r="3242" ht="64.80000305175781" hidden="0" customHeight="1">
      <x:c r="A3242" s="27" t="str">
        <x:v>SCA-27</x:v>
      </x:c>
      <x:c r="B3242" s="27" t="str">
        <x:v>SCA-04</x:v>
      </x:c>
      <x:c r="C3242" s="27" t="str">
        <x:v>Rail</x:v>
      </x:c>
      <x:c r="D3242" s="27" t="str">
        <x:v>YES</x:v>
      </x:c>
      <x:c r="E3242" s="27" t="str">
        <x:v>YES</x:v>
      </x:c>
      <x:c r="F3242" s="61" t="n">
        <x:v>5667.318229389103</x:v>
      </x:c>
      <x:c r="G3242" s="61" t="n">
        <x:v>106.96168899127291</x:v>
      </x:c>
      <x:c r="H3242" s="27" t="str">
        <x:v>NO</x:v>
      </x:c>
      <x:c r="I3242" s="27" t="str">
        <x:v>NARN shared-node topology; deployable terminal required</x:v>
      </x:c>
      <x:c r="J3242" s="27" t="str">
        <x:v>presence does not prove operability or capacity</x:v>
      </x:c>
    </x:row>
    <x:row r="3243" ht="54" hidden="0" customHeight="1">
      <x:c r="A3243" s="29" t="str">
        <x:v>SCA-27</x:v>
      </x:c>
      <x:c r="B3243" s="29" t="str">
        <x:v>SCA-04</x:v>
      </x:c>
      <x:c r="C3243" s="29" t="str">
        <x:v>Air</x:v>
      </x:c>
      <x:c r="D3243" s="29" t="str">
        <x:v>YES</x:v>
      </x:c>
      <x:c r="E3243" s="29" t="str">
        <x:v>YES</x:v>
      </x:c>
      <x:c r="F3243" s="62" t="n">
        <x:v>4047.1504366864456</x:v>
      </x:c>
      <x:c r="G3243" s="62" t="n">
        <x:v>30.226385287209915</x:v>
      </x:c>
      <x:c r="H3243" s="29" t="str">
        <x:v>YES</x:v>
      </x:c>
      <x:c r="I3243" s="29" t="str">
        <x:v>primary-airport endpoints; great-circle screen</x:v>
      </x:c>
      <x:c r="J3243" s="29" t="str">
        <x:v>presence does not prove operability or capacity</x:v>
      </x:c>
    </x:row>
    <x:row r="3244" ht="75.5999984741211" hidden="0" customHeight="1">
      <x:c r="A3244" s="27" t="str">
        <x:v>SCA-27</x:v>
      </x:c>
      <x:c r="B3244" s="27" t="str">
        <x:v>SCA-04</x:v>
      </x:c>
      <x:c r="C3244" s="27" t="str">
        <x:v>Water</x:v>
      </x:c>
      <x:c r="D3244" s="27" t="str">
        <x:v>YES</x:v>
      </x:c>
      <x:c r="E3244" s="27" t="str">
        <x:v>YES</x:v>
      </x:c>
      <x:c r="F3244" s="61" t="n">
        <x:v>5449.20342092961</x:v>
      </x:c>
      <x:c r="G3244" s="61" t="n">
        <x:v>185.69152631227456</x:v>
      </x:c>
      <x:c r="H3244" s="27" t="str">
        <x:v>NO</x:v>
      </x:c>
      <x:c r="I3244" s="27" t="str">
        <x:v>USACE waterway node topology; deployable terminal required</x:v>
      </x:c>
      <x:c r="J3244" s="27" t="str">
        <x:v>presence does not prove operability or capacity</x:v>
      </x:c>
    </x:row>
    <x:row r="3245" ht="54" hidden="0" customHeight="1">
      <x:c r="A3245" s="29" t="str">
        <x:v>SCA-27</x:v>
      </x:c>
      <x:c r="B3245" s="29" t="str">
        <x:v>SCA-05</x:v>
      </x:c>
      <x:c r="C3245" s="29" t="str">
        <x:v>Road</x:v>
      </x:c>
      <x:c r="D3245" s="29" t="str">
        <x:v>YES</x:v>
      </x:c>
      <x:c r="E3245" s="29" t="str">
        <x:v>YES</x:v>
      </x:c>
      <x:c r="F3245" s="62" t="n">
        <x:v>4752.811082309458</x:v>
      </x:c>
      <x:c r="G3245" s="62" t="n">
        <x:v>106.41474695108104</x:v>
      </x:c>
      <x:c r="H3245" s="29" t="str">
        <x:v>NO</x:v>
      </x:c>
      <x:c r="I3245" s="29" t="str">
        <x:v>NHPN-gated shared-boundary SCA path</x:v>
      </x:c>
      <x:c r="J3245" s="29" t="str">
        <x:v>presence does not prove operability or capacity</x:v>
      </x:c>
    </x:row>
    <x:row r="3246" ht="64.80000305175781" hidden="0" customHeight="1">
      <x:c r="A3246" s="27" t="str">
        <x:v>SCA-27</x:v>
      </x:c>
      <x:c r="B3246" s="27" t="str">
        <x:v>SCA-05</x:v>
      </x:c>
      <x:c r="C3246" s="27" t="str">
        <x:v>Rail</x:v>
      </x:c>
      <x:c r="D3246" s="27" t="str">
        <x:v>YES</x:v>
      </x:c>
      <x:c r="E3246" s="27" t="str">
        <x:v>YES</x:v>
      </x:c>
      <x:c r="F3246" s="61" t="n">
        <x:v>5042.112626450033</x:v>
      </x:c>
      <x:c r="G3246" s="61" t="n">
        <x:v>98.0301803778576</x:v>
      </x:c>
      <x:c r="H3246" s="27" t="str">
        <x:v>NO</x:v>
      </x:c>
      <x:c r="I3246" s="27" t="str">
        <x:v>NARN shared-node topology; deployable terminal required</x:v>
      </x:c>
      <x:c r="J3246" s="27" t="str">
        <x:v>presence does not prove operability or capacity</x:v>
      </x:c>
    </x:row>
    <x:row r="3247" ht="54" hidden="0" customHeight="1">
      <x:c r="A3247" s="29" t="str">
        <x:v>SCA-27</x:v>
      </x:c>
      <x:c r="B3247" s="29" t="str">
        <x:v>SCA-05</x:v>
      </x:c>
      <x:c r="C3247" s="29" t="str">
        <x:v>Air</x:v>
      </x:c>
      <x:c r="D3247" s="29" t="str">
        <x:v>YES</x:v>
      </x:c>
      <x:c r="E3247" s="29" t="str">
        <x:v>YES</x:v>
      </x:c>
      <x:c r="F3247" s="62" t="n">
        <x:v>3721.9674139181325</x:v>
      </x:c>
      <x:c r="G3247" s="62" t="n">
        <x:v>29.726103713720203</x:v>
      </x:c>
      <x:c r="H3247" s="29" t="str">
        <x:v>YES</x:v>
      </x:c>
      <x:c r="I3247" s="29" t="str">
        <x:v>primary-airport endpoints; great-circle screen</x:v>
      </x:c>
      <x:c r="J3247" s="29" t="str">
        <x:v>presence does not prove operability or capacity</x:v>
      </x:c>
    </x:row>
    <x:row r="3248" ht="75.5999984741211" hidden="0" customHeight="1">
      <x:c r="A3248" s="27" t="str">
        <x:v>SCA-27</x:v>
      </x:c>
      <x:c r="B3248" s="27" t="str">
        <x:v>SCA-05</x:v>
      </x:c>
      <x:c r="C3248" s="27" t="str">
        <x:v>Water</x:v>
      </x:c>
      <x:c r="D3248" s="27" t="str">
        <x:v>YES</x:v>
      </x:c>
      <x:c r="E3248" s="27" t="str">
        <x:v>YES</x:v>
      </x:c>
      <x:c r="F3248" s="61" t="n">
        <x:v>4793.250001452552</x:v>
      </x:c>
      <x:c r="G3248" s="61" t="n">
        <x:v>166.95000004150148</x:v>
      </x:c>
      <x:c r="H3248" s="27" t="str">
        <x:v>NO</x:v>
      </x:c>
      <x:c r="I3248" s="27" t="str">
        <x:v>USACE waterway node topology; deployable terminal required</x:v>
      </x:c>
      <x:c r="J3248" s="27" t="str">
        <x:v>presence does not prove operability or capacity</x:v>
      </x:c>
    </x:row>
    <x:row r="3249" ht="54" hidden="0" customHeight="1">
      <x:c r="A3249" s="29" t="str">
        <x:v>SCA-27</x:v>
      </x:c>
      <x:c r="B3249" s="29" t="str">
        <x:v>SCA-06</x:v>
      </x:c>
      <x:c r="C3249" s="29" t="str">
        <x:v>Road</x:v>
      </x:c>
      <x:c r="D3249" s="29" t="str">
        <x:v>YES</x:v>
      </x:c>
      <x:c r="E3249" s="29" t="str">
        <x:v>YES</x:v>
      </x:c>
      <x:c r="F3249" s="62" t="n">
        <x:v>4512.053710029334</x:v>
      </x:c>
      <x:c r="G3249" s="62" t="n">
        <x:v>102.03734018235153</x:v>
      </x:c>
      <x:c r="H3249" s="29" t="str">
        <x:v>NO</x:v>
      </x:c>
      <x:c r="I3249" s="29" t="str">
        <x:v>NHPN-gated shared-boundary SCA path</x:v>
      </x:c>
      <x:c r="J3249" s="29" t="str">
        <x:v>presence does not prove operability or capacity</x:v>
      </x:c>
    </x:row>
    <x:row r="3250" ht="64.80000305175781" hidden="0" customHeight="1">
      <x:c r="A3250" s="27" t="str">
        <x:v>SCA-27</x:v>
      </x:c>
      <x:c r="B3250" s="27" t="str">
        <x:v>SCA-06</x:v>
      </x:c>
      <x:c r="C3250" s="27" t="str">
        <x:v>Rail</x:v>
      </x:c>
      <x:c r="D3250" s="27" t="str">
        <x:v>YES</x:v>
      </x:c>
      <x:c r="E3250" s="27" t="str">
        <x:v>YES</x:v>
      </x:c>
      <x:c r="F3250" s="61" t="n">
        <x:v>4786.7004575963365</x:v>
      </x:c>
      <x:c r="G3250" s="61" t="n">
        <x:v>94.3814351085191</x:v>
      </x:c>
      <x:c r="H3250" s="27" t="str">
        <x:v>NO</x:v>
      </x:c>
      <x:c r="I3250" s="27" t="str">
        <x:v>NARN shared-node topology; deployable terminal required</x:v>
      </x:c>
      <x:c r="J3250" s="27" t="str">
        <x:v>presence does not prove operability or capacity</x:v>
      </x:c>
    </x:row>
    <x:row r="3251" ht="54" hidden="0" customHeight="1">
      <x:c r="A3251" s="29" t="str">
        <x:v>SCA-27</x:v>
      </x:c>
      <x:c r="B3251" s="29" t="str">
        <x:v>SCA-06</x:v>
      </x:c>
      <x:c r="C3251" s="29" t="str">
        <x:v>Air</x:v>
      </x:c>
      <x:c r="D3251" s="29" t="str">
        <x:v>YES</x:v>
      </x:c>
      <x:c r="E3251" s="29" t="str">
        <x:v>YES</x:v>
      </x:c>
      <x:c r="F3251" s="62" t="n">
        <x:v>3535.372326869481</x:v>
      </x:c>
      <x:c r="G3251" s="62" t="n">
        <x:v>29.43903434902997</x:v>
      </x:c>
      <x:c r="H3251" s="29" t="str">
        <x:v>YES</x:v>
      </x:c>
      <x:c r="I3251" s="29" t="str">
        <x:v>primary-airport endpoints; great-circle screen</x:v>
      </x:c>
      <x:c r="J3251" s="29" t="str">
        <x:v>presence does not prove operability or capacity</x:v>
      </x:c>
    </x:row>
    <x:row r="3252" ht="75.5999984741211" hidden="0" customHeight="1">
      <x:c r="A3252" s="27" t="str">
        <x:v>SCA-27</x:v>
      </x:c>
      <x:c r="B3252" s="27" t="str">
        <x:v>SCA-06</x:v>
      </x:c>
      <x:c r="C3252" s="27" t="str">
        <x:v>Water</x:v>
      </x:c>
      <x:c r="D3252" s="27" t="str">
        <x:v>YES</x:v>
      </x:c>
      <x:c r="E3252" s="27" t="str">
        <x:v>YES</x:v>
      </x:c>
      <x:c r="F3252" s="61" t="n">
        <x:v>4525.276578392936</x:v>
      </x:c>
      <x:c r="G3252" s="61" t="n">
        <x:v>159.29361652551248</x:v>
      </x:c>
      <x:c r="H3252" s="27" t="str">
        <x:v>NO</x:v>
      </x:c>
      <x:c r="I3252" s="27" t="str">
        <x:v>USACE waterway node topology; deployable terminal required</x:v>
      </x:c>
      <x:c r="J3252" s="27" t="str">
        <x:v>presence does not prove operability or capacity</x:v>
      </x:c>
    </x:row>
    <x:row r="3253" ht="54" hidden="0" customHeight="1">
      <x:c r="A3253" s="29" t="str">
        <x:v>SCA-27</x:v>
      </x:c>
      <x:c r="B3253" s="29" t="str">
        <x:v>SCA-07</x:v>
      </x:c>
      <x:c r="C3253" s="29" t="str">
        <x:v>Road</x:v>
      </x:c>
      <x:c r="D3253" s="29" t="str">
        <x:v>YES</x:v>
      </x:c>
      <x:c r="E3253" s="29" t="str">
        <x:v>YES</x:v>
      </x:c>
      <x:c r="F3253" s="62" t="n">
        <x:v>4524.470450941529</x:v>
      </x:c>
      <x:c r="G3253" s="62" t="n">
        <x:v>102.26309910802779</x:v>
      </x:c>
      <x:c r="H3253" s="29" t="str">
        <x:v>NO</x:v>
      </x:c>
      <x:c r="I3253" s="29" t="str">
        <x:v>NHPN-gated shared-boundary SCA path</x:v>
      </x:c>
      <x:c r="J3253" s="29" t="str">
        <x:v>presence does not prove operability or capacity</x:v>
      </x:c>
    </x:row>
    <x:row r="3254" ht="64.80000305175781" hidden="0" customHeight="1">
      <x:c r="A3254" s="27" t="str">
        <x:v>SCA-27</x:v>
      </x:c>
      <x:c r="B3254" s="27" t="str">
        <x:v>SCA-07</x:v>
      </x:c>
      <x:c r="C3254" s="27" t="str">
        <x:v>Rail</x:v>
      </x:c>
      <x:c r="D3254" s="27" t="str">
        <x:v>YES</x:v>
      </x:c>
      <x:c r="E3254" s="27" t="str">
        <x:v>YES</x:v>
      </x:c>
      <x:c r="F3254" s="61" t="n">
        <x:v>4799.873000129273</x:v>
      </x:c>
      <x:c r="G3254" s="61" t="n">
        <x:v>94.56961428756105</x:v>
      </x:c>
      <x:c r="H3254" s="27" t="str">
        <x:v>NO</x:v>
      </x:c>
      <x:c r="I3254" s="27" t="str">
        <x:v>NARN shared-node topology; deployable terminal required</x:v>
      </x:c>
      <x:c r="J3254" s="27" t="str">
        <x:v>presence does not prove operability or capacity</x:v>
      </x:c>
    </x:row>
    <x:row r="3255" ht="54" hidden="0" customHeight="1">
      <x:c r="A3255" s="29" t="str">
        <x:v>SCA-27</x:v>
      </x:c>
      <x:c r="B3255" s="29" t="str">
        <x:v>SCA-07</x:v>
      </x:c>
      <x:c r="C3255" s="29" t="str">
        <x:v>Air</x:v>
      </x:c>
      <x:c r="D3255" s="29" t="str">
        <x:v>YES</x:v>
      </x:c>
      <x:c r="E3255" s="29" t="str">
        <x:v>YES</x:v>
      </x:c>
      <x:c r="F3255" s="62" t="n">
        <x:v>3469.0819331959547</x:v>
      </x:c>
      <x:c r="G3255" s="62" t="n">
        <x:v>29.337049127993776</x:v>
      </x:c>
      <x:c r="H3255" s="29" t="str">
        <x:v>YES</x:v>
      </x:c>
      <x:c r="I3255" s="29" t="str">
        <x:v>primary-airport endpoints; great-circle screen</x:v>
      </x:c>
      <x:c r="J3255" s="29" t="str">
        <x:v>presence does not prove operability or capacity</x:v>
      </x:c>
    </x:row>
    <x:row r="3256" ht="64.80000305175781" hidden="0" customHeight="1">
      <x:c r="A3256" s="27" t="str">
        <x:v>SCA-27</x:v>
      </x:c>
      <x:c r="B3256" s="27" t="str">
        <x:v>SCA-07</x:v>
      </x:c>
      <x:c r="C3256" s="27" t="str">
        <x:v>Water</x:v>
      </x:c>
      <x:c r="D3256" s="27" t="str">
        <x:v>YES</x:v>
      </x:c>
      <x:c r="E3256" s="27" t="str">
        <x:v>YES</x:v>
      </x:c>
      <x:c r="F3256" s="61" t="n">
        <x:v>4336.352416494943</x:v>
      </x:c>
      <x:c r="G3256" s="61" t="n">
        <x:v>153.89578332842694</x:v>
      </x:c>
      <x:c r="H3256" s="27" t="str">
        <x:v>NO</x:v>
      </x:c>
      <x:c r="I3256" s="27" t="str">
        <x:v>observed water terminals; maritime great-circle screen</x:v>
      </x:c>
      <x:c r="J3256" s="27" t="str">
        <x:v>presence does not prove operability or capacity</x:v>
      </x:c>
    </x:row>
    <x:row r="3257" ht="54" hidden="0" customHeight="1">
      <x:c r="A3257" s="29" t="str">
        <x:v>SCA-27</x:v>
      </x:c>
      <x:c r="B3257" s="29" t="str">
        <x:v>SCA-08</x:v>
      </x:c>
      <x:c r="C3257" s="29" t="str">
        <x:v>Road</x:v>
      </x:c>
      <x:c r="D3257" s="29" t="str">
        <x:v>YES</x:v>
      </x:c>
      <x:c r="E3257" s="29" t="str">
        <x:v>YES</x:v>
      </x:c>
      <x:c r="F3257" s="62" t="n">
        <x:v>4555.288218859246</x:v>
      </x:c>
      <x:c r="G3257" s="62" t="n">
        <x:v>102.82342216107719</x:v>
      </x:c>
      <x:c r="H3257" s="29" t="str">
        <x:v>NO</x:v>
      </x:c>
      <x:c r="I3257" s="29" t="str">
        <x:v>NHPN-gated shared-boundary SCA path</x:v>
      </x:c>
      <x:c r="J3257" s="29" t="str">
        <x:v>presence does not prove operability or capacity</x:v>
      </x:c>
    </x:row>
    <x:row r="3258" ht="64.80000305175781" hidden="0" customHeight="1">
      <x:c r="A3258" s="27" t="str">
        <x:v>SCA-27</x:v>
      </x:c>
      <x:c r="B3258" s="27" t="str">
        <x:v>SCA-08</x:v>
      </x:c>
      <x:c r="C3258" s="27" t="str">
        <x:v>Rail</x:v>
      </x:c>
      <x:c r="D3258" s="27" t="str">
        <x:v>YES</x:v>
      </x:c>
      <x:c r="E3258" s="27" t="str">
        <x:v>YES</x:v>
      </x:c>
      <x:c r="F3258" s="61" t="n">
        <x:v>4832.566632181113</x:v>
      </x:c>
      <x:c r="G3258" s="61" t="n">
        <x:v>95.0366661740159</x:v>
      </x:c>
      <x:c r="H3258" s="27" t="str">
        <x:v>NO</x:v>
      </x:c>
      <x:c r="I3258" s="27" t="str">
        <x:v>NARN shared-node topology; deployable terminal required</x:v>
      </x:c>
      <x:c r="J3258" s="27" t="str">
        <x:v>presence does not prove operability or capacity</x:v>
      </x:c>
    </x:row>
    <x:row r="3259" ht="54" hidden="0" customHeight="1">
      <x:c r="A3259" s="29" t="str">
        <x:v>SCA-27</x:v>
      </x:c>
      <x:c r="B3259" s="29" t="str">
        <x:v>SCA-08</x:v>
      </x:c>
      <x:c r="C3259" s="29" t="str">
        <x:v>Air</x:v>
      </x:c>
      <x:c r="D3259" s="29" t="str">
        <x:v>YES</x:v>
      </x:c>
      <x:c r="E3259" s="29" t="str">
        <x:v>YES</x:v>
      </x:c>
      <x:c r="F3259" s="62" t="n">
        <x:v>3699.713206977636</x:v>
      </x:c>
      <x:c r="G3259" s="62" t="n">
        <x:v>29.691866472273286</x:v>
      </x:c>
      <x:c r="H3259" s="29" t="str">
        <x:v>YES</x:v>
      </x:c>
      <x:c r="I3259" s="29" t="str">
        <x:v>primary-airport endpoints; great-circle screen</x:v>
      </x:c>
      <x:c r="J3259" s="29" t="str">
        <x:v>presence does not prove operability or capacity</x:v>
      </x:c>
    </x:row>
    <x:row r="3260" ht="75.5999984741211" hidden="0" customHeight="1">
      <x:c r="A3260" s="27" t="str">
        <x:v>SCA-27</x:v>
      </x:c>
      <x:c r="B3260" s="27" t="str">
        <x:v>SCA-08</x:v>
      </x:c>
      <x:c r="C3260" s="27" t="str">
        <x:v>Water</x:v>
      </x:c>
      <x:c r="D3260" s="27" t="str">
        <x:v>YES</x:v>
      </x:c>
      <x:c r="E3260" s="27" t="str">
        <x:v>YES</x:v>
      </x:c>
      <x:c r="F3260" s="61" t="n">
        <x:v>7378.99053373911</x:v>
      </x:c>
      <x:c r="G3260" s="61" t="n">
        <x:v>240.82830096397458</x:v>
      </x:c>
      <x:c r="H3260" s="27" t="str">
        <x:v>NO</x:v>
      </x:c>
      <x:c r="I3260" s="27" t="str">
        <x:v>USACE waterway node topology; deployable terminal required</x:v>
      </x:c>
      <x:c r="J3260" s="27" t="str">
        <x:v>presence does not prove operability or capacity</x:v>
      </x:c>
    </x:row>
    <x:row r="3261" ht="54" hidden="0" customHeight="1">
      <x:c r="A3261" s="29" t="str">
        <x:v>SCA-27</x:v>
      </x:c>
      <x:c r="B3261" s="29" t="str">
        <x:v>SCA-09</x:v>
      </x:c>
      <x:c r="C3261" s="29" t="str">
        <x:v>Road</x:v>
      </x:c>
      <x:c r="D3261" s="29" t="str">
        <x:v>YES</x:v>
      </x:c>
      <x:c r="E3261" s="29" t="str">
        <x:v>YES</x:v>
      </x:c>
      <x:c r="F3261" s="62" t="n">
        <x:v>4062.334258267503</x:v>
      </x:c>
      <x:c r="G3261" s="62" t="n">
        <x:v>93.86062287759097</x:v>
      </x:c>
      <x:c r="H3261" s="29" t="str">
        <x:v>NO</x:v>
      </x:c>
      <x:c r="I3261" s="29" t="str">
        <x:v>NHPN-gated shared-boundary SCA path</x:v>
      </x:c>
      <x:c r="J3261" s="29" t="str">
        <x:v>presence does not prove operability or capacity</x:v>
      </x:c>
    </x:row>
    <x:row r="3262" ht="64.80000305175781" hidden="0" customHeight="1">
      <x:c r="A3262" s="27" t="str">
        <x:v>SCA-27</x:v>
      </x:c>
      <x:c r="B3262" s="27" t="str">
        <x:v>SCA-09</x:v>
      </x:c>
      <x:c r="C3262" s="27" t="str">
        <x:v>Rail</x:v>
      </x:c>
      <x:c r="D3262" s="27" t="str">
        <x:v>YES</x:v>
      </x:c>
      <x:c r="E3262" s="27" t="str">
        <x:v>YES</x:v>
      </x:c>
      <x:c r="F3262" s="61" t="n">
        <x:v>4309.6067783359595</x:v>
      </x:c>
      <x:c r="G3262" s="61" t="n">
        <x:v>87.56581111908514</x:v>
      </x:c>
      <x:c r="H3262" s="27" t="str">
        <x:v>NO</x:v>
      </x:c>
      <x:c r="I3262" s="27" t="str">
        <x:v>NARN shared-node topology; deployable terminal required</x:v>
      </x:c>
      <x:c r="J3262" s="27" t="str">
        <x:v>presence does not prove operability or capacity</x:v>
      </x:c>
    </x:row>
    <x:row r="3263" ht="54" hidden="0" customHeight="1">
      <x:c r="A3263" s="29" t="str">
        <x:v>SCA-27</x:v>
      </x:c>
      <x:c r="B3263" s="29" t="str">
        <x:v>SCA-09</x:v>
      </x:c>
      <x:c r="C3263" s="29" t="str">
        <x:v>Air</x:v>
      </x:c>
      <x:c r="D3263" s="29" t="str">
        <x:v>YES</x:v>
      </x:c>
      <x:c r="E3263" s="29" t="str">
        <x:v>YES</x:v>
      </x:c>
      <x:c r="F3263" s="62" t="n">
        <x:v>3144.8901471616127</x:v>
      </x:c>
      <x:c r="G3263" s="62" t="n">
        <x:v>28.83829253409479</x:v>
      </x:c>
      <x:c r="H3263" s="29" t="str">
        <x:v>YES</x:v>
      </x:c>
      <x:c r="I3263" s="29" t="str">
        <x:v>primary-airport endpoints; great-circle screen</x:v>
      </x:c>
      <x:c r="J3263" s="29" t="str">
        <x:v>presence does not prove operability or capacity</x:v>
      </x:c>
    </x:row>
    <x:row r="3264" ht="54" hidden="0" customHeight="1">
      <x:c r="A3264" s="27" t="str">
        <x:v>SCA-27</x:v>
      </x:c>
      <x:c r="B3264" s="27" t="str">
        <x:v>SCA-09</x:v>
      </x:c>
      <x:c r="C3264" s="27" t="str">
        <x:v>Water</x:v>
      </x:c>
      <x:c r="D3264" s="27" t="str">
        <x:v>NO</x:v>
      </x:c>
      <x:c r="E3264" s="27" t="str">
        <x:v>NO</x:v>
      </x:c>
      <x:c r="F3264" s="61"/>
      <x:c r="G3264" s="61"/>
      <x:c r="H3264" s="27" t="str">
        <x:v>NO</x:v>
      </x:c>
      <x:c r="I3264" s="27" t="str">
        <x:v>no screened path</x:v>
      </x:c>
      <x:c r="J3264" s="27" t="str">
        <x:v>presence does not prove operability or capacity</x:v>
      </x:c>
    </x:row>
    <x:row r="3265" ht="54" hidden="0" customHeight="1">
      <x:c r="A3265" s="29" t="str">
        <x:v>SCA-27</x:v>
      </x:c>
      <x:c r="B3265" s="29" t="str">
        <x:v>SCA-10</x:v>
      </x:c>
      <x:c r="C3265" s="29" t="str">
        <x:v>Road</x:v>
      </x:c>
      <x:c r="D3265" s="29" t="str">
        <x:v>YES</x:v>
      </x:c>
      <x:c r="E3265" s="29" t="str">
        <x:v>YES</x:v>
      </x:c>
      <x:c r="F3265" s="62" t="n">
        <x:v>4059.7117864433108</x:v>
      </x:c>
      <x:c r="G3265" s="62" t="n">
        <x:v>93.81294157169656</x:v>
      </x:c>
      <x:c r="H3265" s="29" t="str">
        <x:v>NO</x:v>
      </x:c>
      <x:c r="I3265" s="29" t="str">
        <x:v>NHPN-gated shared-boundary SCA path</x:v>
      </x:c>
      <x:c r="J3265" s="29" t="str">
        <x:v>presence does not prove operability or capacity</x:v>
      </x:c>
    </x:row>
    <x:row r="3266" ht="64.80000305175781" hidden="0" customHeight="1">
      <x:c r="A3266" s="27" t="str">
        <x:v>SCA-27</x:v>
      </x:c>
      <x:c r="B3266" s="27" t="str">
        <x:v>SCA-10</x:v>
      </x:c>
      <x:c r="C3266" s="27" t="str">
        <x:v>Rail</x:v>
      </x:c>
      <x:c r="D3266" s="27" t="str">
        <x:v>YES</x:v>
      </x:c>
      <x:c r="E3266" s="27" t="str">
        <x:v>YES</x:v>
      </x:c>
      <x:c r="F3266" s="61" t="n">
        <x:v>4306.824677792035</x:v>
      </x:c>
      <x:c r="G3266" s="61" t="n">
        <x:v>87.52606682560051</x:v>
      </x:c>
      <x:c r="H3266" s="27" t="str">
        <x:v>NO</x:v>
      </x:c>
      <x:c r="I3266" s="27" t="str">
        <x:v>NARN shared-node topology; deployable terminal required</x:v>
      </x:c>
      <x:c r="J3266" s="27" t="str">
        <x:v>presence does not prove operability or capacity</x:v>
      </x:c>
    </x:row>
    <x:row r="3267" ht="54" hidden="0" customHeight="1">
      <x:c r="A3267" s="29" t="str">
        <x:v>SCA-27</x:v>
      </x:c>
      <x:c r="B3267" s="29" t="str">
        <x:v>SCA-10</x:v>
      </x:c>
      <x:c r="C3267" s="29" t="str">
        <x:v>Air</x:v>
      </x:c>
      <x:c r="D3267" s="29" t="str">
        <x:v>YES</x:v>
      </x:c>
      <x:c r="E3267" s="29" t="str">
        <x:v>YES</x:v>
      </x:c>
      <x:c r="F3267" s="62" t="n">
        <x:v>3285.8595015823394</x:v>
      </x:c>
      <x:c r="G3267" s="62" t="n">
        <x:v>29.05516846397283</x:v>
      </x:c>
      <x:c r="H3267" s="29" t="str">
        <x:v>YES</x:v>
      </x:c>
      <x:c r="I3267" s="29" t="str">
        <x:v>primary-airport endpoints; great-circle screen</x:v>
      </x:c>
      <x:c r="J3267" s="29" t="str">
        <x:v>presence does not prove operability or capacity</x:v>
      </x:c>
    </x:row>
    <x:row r="3268" ht="54" hidden="0" customHeight="1">
      <x:c r="A3268" s="27" t="str">
        <x:v>SCA-27</x:v>
      </x:c>
      <x:c r="B3268" s="27" t="str">
        <x:v>SCA-10</x:v>
      </x:c>
      <x:c r="C3268" s="27" t="str">
        <x:v>Water</x:v>
      </x:c>
      <x:c r="D3268" s="27" t="str">
        <x:v>NO</x:v>
      </x:c>
      <x:c r="E3268" s="27" t="str">
        <x:v>NO</x:v>
      </x:c>
      <x:c r="F3268" s="61"/>
      <x:c r="G3268" s="61"/>
      <x:c r="H3268" s="27" t="str">
        <x:v>NO</x:v>
      </x:c>
      <x:c r="I3268" s="27" t="str">
        <x:v>no screened path</x:v>
      </x:c>
      <x:c r="J3268" s="27" t="str">
        <x:v>presence does not prove operability or capacity</x:v>
      </x:c>
    </x:row>
    <x:row r="3269" ht="54" hidden="0" customHeight="1">
      <x:c r="A3269" s="29" t="str">
        <x:v>SCA-27</x:v>
      </x:c>
      <x:c r="B3269" s="29" t="str">
        <x:v>SCA-11</x:v>
      </x:c>
      <x:c r="C3269" s="29" t="str">
        <x:v>Road</x:v>
      </x:c>
      <x:c r="D3269" s="29" t="str">
        <x:v>YES</x:v>
      </x:c>
      <x:c r="E3269" s="29" t="str">
        <x:v>YES</x:v>
      </x:c>
      <x:c r="F3269" s="62" t="n">
        <x:v>3310.5819067978928</x:v>
      </x:c>
      <x:c r="G3269" s="62" t="n">
        <x:v>80.19239830541623</x:v>
      </x:c>
      <x:c r="H3269" s="29" t="str">
        <x:v>NO</x:v>
      </x:c>
      <x:c r="I3269" s="29" t="str">
        <x:v>NHPN-gated shared-boundary SCA path</x:v>
      </x:c>
      <x:c r="J3269" s="29" t="str">
        <x:v>presence does not prove operability or capacity</x:v>
      </x:c>
    </x:row>
    <x:row r="3270" ht="64.80000305175781" hidden="0" customHeight="1">
      <x:c r="A3270" s="27" t="str">
        <x:v>SCA-27</x:v>
      </x:c>
      <x:c r="B3270" s="27" t="str">
        <x:v>SCA-11</x:v>
      </x:c>
      <x:c r="C3270" s="27" t="str">
        <x:v>Rail</x:v>
      </x:c>
      <x:c r="D3270" s="27" t="str">
        <x:v>YES</x:v>
      </x:c>
      <x:c r="E3270" s="27" t="str">
        <x:v>YES</x:v>
      </x:c>
      <x:c r="F3270" s="61" t="n">
        <x:v>3512.0955880812426</x:v>
      </x:c>
      <x:c r="G3270" s="61" t="n">
        <x:v>76.17279411544632</x:v>
      </x:c>
      <x:c r="H3270" s="27" t="str">
        <x:v>NO</x:v>
      </x:c>
      <x:c r="I3270" s="27" t="str">
        <x:v>NARN shared-node topology; deployable terminal required</x:v>
      </x:c>
      <x:c r="J3270" s="27" t="str">
        <x:v>presence does not prove operability or capacity</x:v>
      </x:c>
    </x:row>
    <x:row r="3271" ht="54" hidden="0" customHeight="1">
      <x:c r="A3271" s="29" t="str">
        <x:v>SCA-27</x:v>
      </x:c>
      <x:c r="B3271" s="29" t="str">
        <x:v>SCA-11</x:v>
      </x:c>
      <x:c r="C3271" s="29" t="str">
        <x:v>Air</x:v>
      </x:c>
      <x:c r="D3271" s="29" t="str">
        <x:v>YES</x:v>
      </x:c>
      <x:c r="E3271" s="29" t="str">
        <x:v>YES</x:v>
      </x:c>
      <x:c r="F3271" s="62" t="n">
        <x:v>2498.485605873928</x:v>
      </x:c>
      <x:c r="G3271" s="62" t="n">
        <x:v>27.843824009036812</x:v>
      </x:c>
      <x:c r="H3271" s="29" t="str">
        <x:v>YES</x:v>
      </x:c>
      <x:c r="I3271" s="29" t="str">
        <x:v>primary-airport endpoints; great-circle screen</x:v>
      </x:c>
      <x:c r="J3271" s="29" t="str">
        <x:v>presence does not prove operability or capacity</x:v>
      </x:c>
    </x:row>
    <x:row r="3272" ht="54" hidden="0" customHeight="1">
      <x:c r="A3272" s="27" t="str">
        <x:v>SCA-27</x:v>
      </x:c>
      <x:c r="B3272" s="27" t="str">
        <x:v>SCA-11</x:v>
      </x:c>
      <x:c r="C3272" s="27" t="str">
        <x:v>Water</x:v>
      </x:c>
      <x:c r="D3272" s="27" t="str">
        <x:v>NO</x:v>
      </x:c>
      <x:c r="E3272" s="27" t="str">
        <x:v>NO</x:v>
      </x:c>
      <x:c r="F3272" s="61"/>
      <x:c r="G3272" s="61"/>
      <x:c r="H3272" s="27" t="str">
        <x:v>NO</x:v>
      </x:c>
      <x:c r="I3272" s="27" t="str">
        <x:v>no screened path</x:v>
      </x:c>
      <x:c r="J3272" s="27" t="str">
        <x:v>presence does not prove operability or capacity</x:v>
      </x:c>
    </x:row>
    <x:row r="3273" ht="54" hidden="0" customHeight="1">
      <x:c r="A3273" s="29" t="str">
        <x:v>SCA-27</x:v>
      </x:c>
      <x:c r="B3273" s="29" t="str">
        <x:v>SCA-12</x:v>
      </x:c>
      <x:c r="C3273" s="29" t="str">
        <x:v>Road</x:v>
      </x:c>
      <x:c r="D3273" s="29" t="str">
        <x:v>YES</x:v>
      </x:c>
      <x:c r="E3273" s="29" t="str">
        <x:v>YES</x:v>
      </x:c>
      <x:c r="F3273" s="62" t="n">
        <x:v>3383.4538241968685</x:v>
      </x:c>
      <x:c r="G3273" s="62" t="n">
        <x:v>81.51734225812488</x:v>
      </x:c>
      <x:c r="H3273" s="29" t="str">
        <x:v>NO</x:v>
      </x:c>
      <x:c r="I3273" s="29" t="str">
        <x:v>NHPN-gated shared-boundary SCA path</x:v>
      </x:c>
      <x:c r="J3273" s="29" t="str">
        <x:v>presence does not prove operability or capacity</x:v>
      </x:c>
    </x:row>
    <x:row r="3274" ht="64.80000305175781" hidden="0" customHeight="1">
      <x:c r="A3274" s="27" t="str">
        <x:v>SCA-27</x:v>
      </x:c>
      <x:c r="B3274" s="27" t="str">
        <x:v>SCA-12</x:v>
      </x:c>
      <x:c r="C3274" s="27" t="str">
        <x:v>Rail</x:v>
      </x:c>
      <x:c r="D3274" s="27" t="str">
        <x:v>YES</x:v>
      </x:c>
      <x:c r="E3274" s="27" t="str">
        <x:v>YES</x:v>
      </x:c>
      <x:c r="F3274" s="61" t="n">
        <x:v>3589.4031874088523</x:v>
      </x:c>
      <x:c r="G3274" s="61" t="n">
        <x:v>77.27718839155503</x:v>
      </x:c>
      <x:c r="H3274" s="27" t="str">
        <x:v>NO</x:v>
      </x:c>
      <x:c r="I3274" s="27" t="str">
        <x:v>NARN shared-node topology; deployable terminal required</x:v>
      </x:c>
      <x:c r="J3274" s="27" t="str">
        <x:v>presence does not prove operability or capacity</x:v>
      </x:c>
    </x:row>
    <x:row r="3275" ht="54" hidden="0" customHeight="1">
      <x:c r="A3275" s="29" t="str">
        <x:v>SCA-27</x:v>
      </x:c>
      <x:c r="B3275" s="29" t="str">
        <x:v>SCA-12</x:v>
      </x:c>
      <x:c r="C3275" s="29" t="str">
        <x:v>Air</x:v>
      </x:c>
      <x:c r="D3275" s="29" t="str">
        <x:v>YES</x:v>
      </x:c>
      <x:c r="E3275" s="29" t="str">
        <x:v>YES</x:v>
      </x:c>
      <x:c r="F3275" s="62" t="n">
        <x:v>2698.9005771308584</x:v>
      </x:c>
      <x:c r="G3275" s="62" t="n">
        <x:v>28.152154734047475</x:v>
      </x:c>
      <x:c r="H3275" s="29" t="str">
        <x:v>YES</x:v>
      </x:c>
      <x:c r="I3275" s="29" t="str">
        <x:v>primary-airport endpoints; great-circle screen</x:v>
      </x:c>
      <x:c r="J3275" s="29" t="str">
        <x:v>presence does not prove operability or capacity</x:v>
      </x:c>
    </x:row>
    <x:row r="3276" ht="54" hidden="0" customHeight="1">
      <x:c r="A3276" s="27" t="str">
        <x:v>SCA-27</x:v>
      </x:c>
      <x:c r="B3276" s="27" t="str">
        <x:v>SCA-12</x:v>
      </x:c>
      <x:c r="C3276" s="27" t="str">
        <x:v>Water</x:v>
      </x:c>
      <x:c r="D3276" s="27" t="str">
        <x:v>NO</x:v>
      </x:c>
      <x:c r="E3276" s="27" t="str">
        <x:v>NO</x:v>
      </x:c>
      <x:c r="F3276" s="61"/>
      <x:c r="G3276" s="61"/>
      <x:c r="H3276" s="27" t="str">
        <x:v>NO</x:v>
      </x:c>
      <x:c r="I3276" s="27" t="str">
        <x:v>no screened path</x:v>
      </x:c>
      <x:c r="J3276" s="27" t="str">
        <x:v>presence does not prove operability or capacity</x:v>
      </x:c>
    </x:row>
    <x:row r="3277" ht="54" hidden="0" customHeight="1">
      <x:c r="A3277" s="29" t="str">
        <x:v>SCA-27</x:v>
      </x:c>
      <x:c r="B3277" s="29" t="str">
        <x:v>SCA-13</x:v>
      </x:c>
      <x:c r="C3277" s="29" t="str">
        <x:v>Road</x:v>
      </x:c>
      <x:c r="D3277" s="29" t="str">
        <x:v>NO</x:v>
      </x:c>
      <x:c r="E3277" s="29" t="str">
        <x:v>NO</x:v>
      </x:c>
      <x:c r="F3277" s="62"/>
      <x:c r="G3277" s="62"/>
      <x:c r="H3277" s="29" t="str">
        <x:v>NO</x:v>
      </x:c>
      <x:c r="I3277" s="29" t="str">
        <x:v>no screened path</x:v>
      </x:c>
      <x:c r="J3277" s="29" t="str">
        <x:v>presence does not prove operability or capacity</x:v>
      </x:c>
    </x:row>
    <x:row r="3278" ht="64.80000305175781" hidden="0" customHeight="1">
      <x:c r="A3278" s="27" t="str">
        <x:v>SCA-27</x:v>
      </x:c>
      <x:c r="B3278" s="27" t="str">
        <x:v>SCA-13</x:v>
      </x:c>
      <x:c r="C3278" s="27" t="str">
        <x:v>Rail</x:v>
      </x:c>
      <x:c r="D3278" s="27" t="str">
        <x:v>YES</x:v>
      </x:c>
      <x:c r="E3278" s="27" t="str">
        <x:v>YES</x:v>
      </x:c>
      <x:c r="F3278" s="61" t="n">
        <x:v>2975.5657410241524</x:v>
      </x:c>
      <x:c r="G3278" s="61" t="n">
        <x:v>68.50808201463076</x:v>
      </x:c>
      <x:c r="H3278" s="27" t="str">
        <x:v>YES</x:v>
      </x:c>
      <x:c r="I3278" s="27" t="str">
        <x:v>NARN shared-node topology; deployable terminal required</x:v>
      </x:c>
      <x:c r="J3278" s="27" t="str">
        <x:v>presence does not prove operability or capacity</x:v>
      </x:c>
    </x:row>
    <x:row r="3279" ht="54" hidden="0" customHeight="1">
      <x:c r="A3279" s="29" t="str">
        <x:v>SCA-27</x:v>
      </x:c>
      <x:c r="B3279" s="29" t="str">
        <x:v>SCA-13</x:v>
      </x:c>
      <x:c r="C3279" s="29" t="str">
        <x:v>Air</x:v>
      </x:c>
      <x:c r="D3279" s="29" t="str">
        <x:v>YES</x:v>
      </x:c>
      <x:c r="E3279" s="29" t="str">
        <x:v>YES</x:v>
      </x:c>
      <x:c r="F3279" s="62" t="n">
        <x:v>1778.9826014878633</x:v>
      </x:c>
      <x:c r="G3279" s="62" t="n">
        <x:v>26.73689630998133</x:v>
      </x:c>
      <x:c r="H3279" s="29" t="str">
        <x:v>YES</x:v>
      </x:c>
      <x:c r="I3279" s="29" t="str">
        <x:v>primary-airport endpoints; great-circle screen</x:v>
      </x:c>
      <x:c r="J3279" s="29" t="str">
        <x:v>presence does not prove operability or capacity</x:v>
      </x:c>
    </x:row>
    <x:row r="3280" ht="75.5999984741211" hidden="0" customHeight="1">
      <x:c r="A3280" s="27" t="str">
        <x:v>SCA-27</x:v>
      </x:c>
      <x:c r="B3280" s="27" t="str">
        <x:v>SCA-13</x:v>
      </x:c>
      <x:c r="C3280" s="27" t="str">
        <x:v>Water</x:v>
      </x:c>
      <x:c r="D3280" s="27" t="str">
        <x:v>YES</x:v>
      </x:c>
      <x:c r="E3280" s="27" t="str">
        <x:v>YES</x:v>
      </x:c>
      <x:c r="F3280" s="61" t="n">
        <x:v>2288.9062594641414</x:v>
      </x:c>
      <x:c r="G3280" s="61" t="n">
        <x:v>95.39732169897547</x:v>
      </x:c>
      <x:c r="H3280" s="27" t="str">
        <x:v>NO</x:v>
      </x:c>
      <x:c r="I3280" s="27" t="str">
        <x:v>USACE waterway node topology; deployable terminal required</x:v>
      </x:c>
      <x:c r="J3280" s="27" t="str">
        <x:v>presence does not prove operability or capacity</x:v>
      </x:c>
    </x:row>
    <x:row r="3281" ht="54" hidden="0" customHeight="1">
      <x:c r="A3281" s="29" t="str">
        <x:v>SCA-27</x:v>
      </x:c>
      <x:c r="B3281" s="29" t="str">
        <x:v>SCA-14</x:v>
      </x:c>
      <x:c r="C3281" s="29" t="str">
        <x:v>Road</x:v>
      </x:c>
      <x:c r="D3281" s="29" t="str">
        <x:v>NO</x:v>
      </x:c>
      <x:c r="E3281" s="29" t="str">
        <x:v>NO</x:v>
      </x:c>
      <x:c r="F3281" s="62"/>
      <x:c r="G3281" s="62"/>
      <x:c r="H3281" s="29" t="str">
        <x:v>NO</x:v>
      </x:c>
      <x:c r="I3281" s="29" t="str">
        <x:v>no screened path</x:v>
      </x:c>
      <x:c r="J3281" s="29" t="str">
        <x:v>presence does not prove operability or capacity</x:v>
      </x:c>
    </x:row>
    <x:row r="3282" ht="64.80000305175781" hidden="0" customHeight="1">
      <x:c r="A3282" s="27" t="str">
        <x:v>SCA-27</x:v>
      </x:c>
      <x:c r="B3282" s="27" t="str">
        <x:v>SCA-14</x:v>
      </x:c>
      <x:c r="C3282" s="27" t="str">
        <x:v>Rail</x:v>
      </x:c>
      <x:c r="D3282" s="27" t="str">
        <x:v>YES</x:v>
      </x:c>
      <x:c r="E3282" s="27" t="str">
        <x:v>YES</x:v>
      </x:c>
      <x:c r="F3282" s="61" t="n">
        <x:v>3403.6953694998706</x:v>
      </x:c>
      <x:c r="G3282" s="61" t="n">
        <x:v>74.62421956428386</x:v>
      </x:c>
      <x:c r="H3282" s="27" t="str">
        <x:v>NO</x:v>
      </x:c>
      <x:c r="I3282" s="27" t="str">
        <x:v>NARN shared-node topology; deployable terminal required</x:v>
      </x:c>
      <x:c r="J3282" s="27" t="str">
        <x:v>presence does not prove operability or capacity</x:v>
      </x:c>
    </x:row>
    <x:row r="3283" ht="54" hidden="0" customHeight="1">
      <x:c r="A3283" s="29" t="str">
        <x:v>SCA-27</x:v>
      </x:c>
      <x:c r="B3283" s="29" t="str">
        <x:v>SCA-14</x:v>
      </x:c>
      <x:c r="C3283" s="29" t="str">
        <x:v>Air</x:v>
      </x:c>
      <x:c r="D3283" s="29" t="str">
        <x:v>YES</x:v>
      </x:c>
      <x:c r="E3283" s="29" t="str">
        <x:v>YES</x:v>
      </x:c>
      <x:c r="F3283" s="62" t="n">
        <x:v>1747.5876929823921</x:v>
      </x:c>
      <x:c r="G3283" s="62" t="n">
        <x:v>26.688596450742143</x:v>
      </x:c>
      <x:c r="H3283" s="29" t="str">
        <x:v>YES</x:v>
      </x:c>
      <x:c r="I3283" s="29" t="str">
        <x:v>primary-airport endpoints; great-circle screen</x:v>
      </x:c>
      <x:c r="J3283" s="29" t="str">
        <x:v>presence does not prove operability or capacity</x:v>
      </x:c>
    </x:row>
    <x:row r="3284" ht="75.5999984741211" hidden="0" customHeight="1">
      <x:c r="A3284" s="27" t="str">
        <x:v>SCA-27</x:v>
      </x:c>
      <x:c r="B3284" s="27" t="str">
        <x:v>SCA-14</x:v>
      </x:c>
      <x:c r="C3284" s="27" t="str">
        <x:v>Water</x:v>
      </x:c>
      <x:c r="D3284" s="27" t="str">
        <x:v>YES</x:v>
      </x:c>
      <x:c r="E3284" s="27" t="str">
        <x:v>YES</x:v>
      </x:c>
      <x:c r="F3284" s="61" t="n">
        <x:v>2236.912247017462</x:v>
      </x:c>
      <x:c r="G3284" s="61" t="n">
        <x:v>93.9117784862132</x:v>
      </x:c>
      <x:c r="H3284" s="27" t="str">
        <x:v>NO</x:v>
      </x:c>
      <x:c r="I3284" s="27" t="str">
        <x:v>USACE waterway node topology; deployable terminal required</x:v>
      </x:c>
      <x:c r="J3284" s="27" t="str">
        <x:v>presence does not prove operability or capacity</x:v>
      </x:c>
    </x:row>
    <x:row r="3285" ht="54" hidden="0" customHeight="1">
      <x:c r="A3285" s="29" t="str">
        <x:v>SCA-27</x:v>
      </x:c>
      <x:c r="B3285" s="29" t="str">
        <x:v>SCA-15</x:v>
      </x:c>
      <x:c r="C3285" s="29" t="str">
        <x:v>Road</x:v>
      </x:c>
      <x:c r="D3285" s="29" t="str">
        <x:v>YES</x:v>
      </x:c>
      <x:c r="E3285" s="29" t="str">
        <x:v>YES</x:v>
      </x:c>
      <x:c r="F3285" s="62" t="n">
        <x:v>2405.2042383334556</x:v>
      </x:c>
      <x:c r="G3285" s="62" t="n">
        <x:v>63.73098615151737</x:v>
      </x:c>
      <x:c r="H3285" s="29" t="str">
        <x:v>YES</x:v>
      </x:c>
      <x:c r="I3285" s="29" t="str">
        <x:v>NHPN-gated shared-boundary SCA path</x:v>
      </x:c>
      <x:c r="J3285" s="29" t="str">
        <x:v>presence does not prove operability or capacity</x:v>
      </x:c>
    </x:row>
    <x:row r="3286" ht="64.80000305175781" hidden="0" customHeight="1">
      <x:c r="A3286" s="27" t="str">
        <x:v>SCA-27</x:v>
      </x:c>
      <x:c r="B3286" s="27" t="str">
        <x:v>SCA-15</x:v>
      </x:c>
      <x:c r="C3286" s="27" t="str">
        <x:v>Rail</x:v>
      </x:c>
      <x:c r="D3286" s="27" t="str">
        <x:v>YES</x:v>
      </x:c>
      <x:c r="E3286" s="27" t="str">
        <x:v>YES</x:v>
      </x:c>
      <x:c r="F3286" s="61" t="n">
        <x:v>2551.6079745798397</x:v>
      </x:c>
      <x:c r="G3286" s="61" t="n">
        <x:v>62.451542493997714</x:v>
      </x:c>
      <x:c r="H3286" s="27" t="str">
        <x:v>YES</x:v>
      </x:c>
      <x:c r="I3286" s="27" t="str">
        <x:v>NARN shared-node topology; deployable terminal required</x:v>
      </x:c>
      <x:c r="J3286" s="27" t="str">
        <x:v>presence does not prove operability or capacity</x:v>
      </x:c>
    </x:row>
    <x:row r="3287" ht="54" hidden="0" customHeight="1">
      <x:c r="A3287" s="29" t="str">
        <x:v>SCA-27</x:v>
      </x:c>
      <x:c r="B3287" s="29" t="str">
        <x:v>SCA-15</x:v>
      </x:c>
      <x:c r="C3287" s="29" t="str">
        <x:v>Air</x:v>
      </x:c>
      <x:c r="D3287" s="29" t="str">
        <x:v>YES</x:v>
      </x:c>
      <x:c r="E3287" s="29" t="str">
        <x:v>YES</x:v>
      </x:c>
      <x:c r="F3287" s="62" t="n">
        <x:v>1738.1638035475253</x:v>
      </x:c>
      <x:c r="G3287" s="62" t="n">
        <x:v>26.674098159303885</x:v>
      </x:c>
      <x:c r="H3287" s="29" t="str">
        <x:v>YES</x:v>
      </x:c>
      <x:c r="I3287" s="29" t="str">
        <x:v>primary-airport endpoints; great-circle screen</x:v>
      </x:c>
      <x:c r="J3287" s="29" t="str">
        <x:v>presence does not prove operability or capacity</x:v>
      </x:c>
    </x:row>
    <x:row r="3288" ht="75.5999984741211" hidden="0" customHeight="1">
      <x:c r="A3288" s="27" t="str">
        <x:v>SCA-27</x:v>
      </x:c>
      <x:c r="B3288" s="27" t="str">
        <x:v>SCA-15</x:v>
      </x:c>
      <x:c r="C3288" s="27" t="str">
        <x:v>Water</x:v>
      </x:c>
      <x:c r="D3288" s="27" t="str">
        <x:v>YES</x:v>
      </x:c>
      <x:c r="E3288" s="27" t="str">
        <x:v>YES</x:v>
      </x:c>
      <x:c r="F3288" s="61" t="n">
        <x:v>2329.506470249532</x:v>
      </x:c>
      <x:c r="G3288" s="61" t="n">
        <x:v>96.5573277214152</x:v>
      </x:c>
      <x:c r="H3288" s="27" t="str">
        <x:v>NO</x:v>
      </x:c>
      <x:c r="I3288" s="27" t="str">
        <x:v>USACE waterway node topology; deployable terminal required</x:v>
      </x:c>
      <x:c r="J3288" s="27" t="str">
        <x:v>presence does not prove operability or capacity</x:v>
      </x:c>
    </x:row>
    <x:row r="3289" ht="54" hidden="0" customHeight="1">
      <x:c r="A3289" s="29" t="str">
        <x:v>SCA-27</x:v>
      </x:c>
      <x:c r="B3289" s="29" t="str">
        <x:v>SCA-16</x:v>
      </x:c>
      <x:c r="C3289" s="29" t="str">
        <x:v>Road</x:v>
      </x:c>
      <x:c r="D3289" s="29" t="str">
        <x:v>YES</x:v>
      </x:c>
      <x:c r="E3289" s="29" t="str">
        <x:v>YES</x:v>
      </x:c>
      <x:c r="F3289" s="62" t="n">
        <x:v>2491.3365822037676</x:v>
      </x:c>
      <x:c r="G3289" s="62" t="n">
        <x:v>65.29702876734123</x:v>
      </x:c>
      <x:c r="H3289" s="29" t="str">
        <x:v>YES</x:v>
      </x:c>
      <x:c r="I3289" s="29" t="str">
        <x:v>NHPN-gated shared-boundary SCA path</x:v>
      </x:c>
      <x:c r="J3289" s="29" t="str">
        <x:v>presence does not prove operability or capacity</x:v>
      </x:c>
    </x:row>
    <x:row r="3290" ht="64.80000305175781" hidden="0" customHeight="1">
      <x:c r="A3290" s="27" t="str">
        <x:v>SCA-27</x:v>
      </x:c>
      <x:c r="B3290" s="27" t="str">
        <x:v>SCA-16</x:v>
      </x:c>
      <x:c r="C3290" s="27" t="str">
        <x:v>Rail</x:v>
      </x:c>
      <x:c r="D3290" s="27" t="str">
        <x:v>YES</x:v>
      </x:c>
      <x:c r="E3290" s="27" t="str">
        <x:v>YES</x:v>
      </x:c>
      <x:c r="F3290" s="61" t="n">
        <x:v>2642.9831567726933</x:v>
      </x:c>
      <x:c r="G3290" s="61" t="n">
        <x:v>63.75690223960991</x:v>
      </x:c>
      <x:c r="H3290" s="27" t="str">
        <x:v>YES</x:v>
      </x:c>
      <x:c r="I3290" s="27" t="str">
        <x:v>NARN shared-node topology; deployable terminal required</x:v>
      </x:c>
      <x:c r="J3290" s="27" t="str">
        <x:v>presence does not prove operability or capacity</x:v>
      </x:c>
    </x:row>
    <x:row r="3291" ht="54" hidden="0" customHeight="1">
      <x:c r="A3291" s="29" t="str">
        <x:v>SCA-27</x:v>
      </x:c>
      <x:c r="B3291" s="29" t="str">
        <x:v>SCA-16</x:v>
      </x:c>
      <x:c r="C3291" s="29" t="str">
        <x:v>Air</x:v>
      </x:c>
      <x:c r="D3291" s="29" t="str">
        <x:v>YES</x:v>
      </x:c>
      <x:c r="E3291" s="29" t="str">
        <x:v>YES</x:v>
      </x:c>
      <x:c r="F3291" s="62" t="n">
        <x:v>1970.6658864228084</x:v>
      </x:c>
      <x:c r="G3291" s="62" t="n">
        <x:v>27.031793671419706</x:v>
      </x:c>
      <x:c r="H3291" s="29" t="str">
        <x:v>YES</x:v>
      </x:c>
      <x:c r="I3291" s="29" t="str">
        <x:v>primary-airport endpoints; great-circle screen</x:v>
      </x:c>
      <x:c r="J3291" s="29" t="str">
        <x:v>presence does not prove operability or capacity</x:v>
      </x:c>
    </x:row>
    <x:row r="3292" ht="75.5999984741211" hidden="0" customHeight="1">
      <x:c r="A3292" s="27" t="str">
        <x:v>SCA-27</x:v>
      </x:c>
      <x:c r="B3292" s="27" t="str">
        <x:v>SCA-16</x:v>
      </x:c>
      <x:c r="C3292" s="27" t="str">
        <x:v>Water</x:v>
      </x:c>
      <x:c r="D3292" s="27" t="str">
        <x:v>YES</x:v>
      </x:c>
      <x:c r="E3292" s="27" t="str">
        <x:v>YES</x:v>
      </x:c>
      <x:c r="F3292" s="61" t="n">
        <x:v>2522.4537426707457</x:v>
      </x:c>
      <x:c r="G3292" s="61" t="n">
        <x:v>102.07010693344988</x:v>
      </x:c>
      <x:c r="H3292" s="27" t="str">
        <x:v>NO</x:v>
      </x:c>
      <x:c r="I3292" s="27" t="str">
        <x:v>USACE waterway node topology; deployable terminal required</x:v>
      </x:c>
      <x:c r="J3292" s="27" t="str">
        <x:v>presence does not prove operability or capacity</x:v>
      </x:c>
    </x:row>
    <x:row r="3293" ht="54" hidden="0" customHeight="1">
      <x:c r="A3293" s="29" t="str">
        <x:v>SCA-27</x:v>
      </x:c>
      <x:c r="B3293" s="29" t="str">
        <x:v>SCA-17</x:v>
      </x:c>
      <x:c r="C3293" s="29" t="str">
        <x:v>Road</x:v>
      </x:c>
      <x:c r="D3293" s="29" t="str">
        <x:v>YES</x:v>
      </x:c>
      <x:c r="E3293" s="29" t="str">
        <x:v>YES</x:v>
      </x:c>
      <x:c r="F3293" s="62" t="n">
        <x:v>2372.5009182166395</x:v>
      </x:c>
      <x:c r="G3293" s="62" t="n">
        <x:v>63.136380331211626</x:v>
      </x:c>
      <x:c r="H3293" s="29" t="str">
        <x:v>YES</x:v>
      </x:c>
      <x:c r="I3293" s="29" t="str">
        <x:v>NHPN-gated shared-boundary SCA path</x:v>
      </x:c>
      <x:c r="J3293" s="29" t="str">
        <x:v>presence does not prove operability or capacity</x:v>
      </x:c>
    </x:row>
    <x:row r="3294" ht="64.80000305175781" hidden="0" customHeight="1">
      <x:c r="A3294" s="27" t="str">
        <x:v>SCA-27</x:v>
      </x:c>
      <x:c r="B3294" s="27" t="str">
        <x:v>SCA-17</x:v>
      </x:c>
      <x:c r="C3294" s="27" t="str">
        <x:v>Rail</x:v>
      </x:c>
      <x:c r="D3294" s="27" t="str">
        <x:v>YES</x:v>
      </x:c>
      <x:c r="E3294" s="27" t="str">
        <x:v>YES</x:v>
      </x:c>
      <x:c r="F3294" s="61" t="n">
        <x:v>2516.9140175863477</x:v>
      </x:c>
      <x:c r="G3294" s="61" t="n">
        <x:v>61.95591453694782</x:v>
      </x:c>
      <x:c r="H3294" s="27" t="str">
        <x:v>YES</x:v>
      </x:c>
      <x:c r="I3294" s="27" t="str">
        <x:v>NARN shared-node topology; deployable terminal required</x:v>
      </x:c>
      <x:c r="J3294" s="27" t="str">
        <x:v>presence does not prove operability or capacity</x:v>
      </x:c>
    </x:row>
    <x:row r="3295" ht="54" hidden="0" customHeight="1">
      <x:c r="A3295" s="29" t="str">
        <x:v>SCA-27</x:v>
      </x:c>
      <x:c r="B3295" s="29" t="str">
        <x:v>SCA-17</x:v>
      </x:c>
      <x:c r="C3295" s="29" t="str">
        <x:v>Air</x:v>
      </x:c>
      <x:c r="D3295" s="29" t="str">
        <x:v>YES</x:v>
      </x:c>
      <x:c r="E3295" s="29" t="str">
        <x:v>YES</x:v>
      </x:c>
      <x:c r="F3295" s="62" t="n">
        <x:v>1412.2639796016024</x:v>
      </x:c>
      <x:c r="G3295" s="62" t="n">
        <x:v>26.172713814771697</x:v>
      </x:c>
      <x:c r="H3295" s="29" t="str">
        <x:v>YES</x:v>
      </x:c>
      <x:c r="I3295" s="29" t="str">
        <x:v>primary-airport endpoints; great-circle screen</x:v>
      </x:c>
      <x:c r="J3295" s="29" t="str">
        <x:v>presence does not prove operability or capacity</x:v>
      </x:c>
    </x:row>
    <x:row r="3296" ht="75.5999984741211" hidden="0" customHeight="1">
      <x:c r="A3296" s="27" t="str">
        <x:v>SCA-27</x:v>
      </x:c>
      <x:c r="B3296" s="27" t="str">
        <x:v>SCA-17</x:v>
      </x:c>
      <x:c r="C3296" s="27" t="str">
        <x:v>Water</x:v>
      </x:c>
      <x:c r="D3296" s="27" t="str">
        <x:v>YES</x:v>
      </x:c>
      <x:c r="E3296" s="27" t="str">
        <x:v>YES</x:v>
      </x:c>
      <x:c r="F3296" s="61" t="n">
        <x:v>1807.697893890051</x:v>
      </x:c>
      <x:c r="G3296" s="61" t="n">
        <x:v>81.64851125400146</x:v>
      </x:c>
      <x:c r="H3296" s="27" t="str">
        <x:v>NO</x:v>
      </x:c>
      <x:c r="I3296" s="27" t="str">
        <x:v>USACE waterway node topology; deployable terminal required</x:v>
      </x:c>
      <x:c r="J3296" s="27" t="str">
        <x:v>presence does not prove operability or capacity</x:v>
      </x:c>
    </x:row>
    <x:row r="3297" ht="54" hidden="0" customHeight="1">
      <x:c r="A3297" s="29" t="str">
        <x:v>SCA-27</x:v>
      </x:c>
      <x:c r="B3297" s="29" t="str">
        <x:v>SCA-18</x:v>
      </x:c>
      <x:c r="C3297" s="29" t="str">
        <x:v>Road</x:v>
      </x:c>
      <x:c r="D3297" s="29" t="str">
        <x:v>YES</x:v>
      </x:c>
      <x:c r="E3297" s="29" t="str">
        <x:v>YES</x:v>
      </x:c>
      <x:c r="F3297" s="62" t="n">
        <x:v>2882.556076334692</x:v>
      </x:c>
      <x:c r="G3297" s="62" t="n">
        <x:v>72.41011047881258</x:v>
      </x:c>
      <x:c r="H3297" s="29" t="str">
        <x:v>NO</x:v>
      </x:c>
      <x:c r="I3297" s="29" t="str">
        <x:v>NHPN-gated shared-boundary SCA path</x:v>
      </x:c>
      <x:c r="J3297" s="29" t="str">
        <x:v>presence does not prove operability or capacity</x:v>
      </x:c>
    </x:row>
    <x:row r="3298" ht="64.80000305175781" hidden="0" customHeight="1">
      <x:c r="A3298" s="27" t="str">
        <x:v>SCA-27</x:v>
      </x:c>
      <x:c r="B3298" s="27" t="str">
        <x:v>SCA-18</x:v>
      </x:c>
      <x:c r="C3298" s="27" t="str">
        <x:v>Rail</x:v>
      </x:c>
      <x:c r="D3298" s="27" t="str">
        <x:v>YES</x:v>
      </x:c>
      <x:c r="E3298" s="27" t="str">
        <x:v>YES</x:v>
      </x:c>
      <x:c r="F3298" s="61" t="n">
        <x:v>3058.0160114159344</x:v>
      </x:c>
      <x:c r="G3298" s="61" t="n">
        <x:v>69.68594302022763</x:v>
      </x:c>
      <x:c r="H3298" s="27" t="str">
        <x:v>YES</x:v>
      </x:c>
      <x:c r="I3298" s="27" t="str">
        <x:v>NARN shared-node topology; deployable terminal required</x:v>
      </x:c>
      <x:c r="J3298" s="27" t="str">
        <x:v>presence does not prove operability or capacity</x:v>
      </x:c>
    </x:row>
    <x:row r="3299" ht="54" hidden="0" customHeight="1">
      <x:c r="A3299" s="29" t="str">
        <x:v>SCA-27</x:v>
      </x:c>
      <x:c r="B3299" s="29" t="str">
        <x:v>SCA-18</x:v>
      </x:c>
      <x:c r="C3299" s="29" t="str">
        <x:v>Air</x:v>
      </x:c>
      <x:c r="D3299" s="29" t="str">
        <x:v>YES</x:v>
      </x:c>
      <x:c r="E3299" s="29" t="str">
        <x:v>YES</x:v>
      </x:c>
      <x:c r="F3299" s="62" t="n">
        <x:v>2387.643939247437</x:v>
      </x:c>
      <x:c r="G3299" s="62" t="n">
        <x:v>27.67329836807298</x:v>
      </x:c>
      <x:c r="H3299" s="29" t="str">
        <x:v>YES</x:v>
      </x:c>
      <x:c r="I3299" s="29" t="str">
        <x:v>primary-airport endpoints; great-circle screen</x:v>
      </x:c>
      <x:c r="J3299" s="29" t="str">
        <x:v>presence does not prove operability or capacity</x:v>
      </x:c>
    </x:row>
    <x:row r="3300" ht="75.5999984741211" hidden="0" customHeight="1">
      <x:c r="A3300" s="27" t="str">
        <x:v>SCA-27</x:v>
      </x:c>
      <x:c r="B3300" s="27" t="str">
        <x:v>SCA-18</x:v>
      </x:c>
      <x:c r="C3300" s="27" t="str">
        <x:v>Water</x:v>
      </x:c>
      <x:c r="D3300" s="27" t="str">
        <x:v>YES</x:v>
      </x:c>
      <x:c r="E3300" s="27" t="str">
        <x:v>YES</x:v>
      </x:c>
      <x:c r="F3300" s="61" t="n">
        <x:v>3492.6906985281794</x:v>
      </x:c>
      <x:c r="G3300" s="61" t="n">
        <x:v>129.79116281509084</x:v>
      </x:c>
      <x:c r="H3300" s="27" t="str">
        <x:v>NO</x:v>
      </x:c>
      <x:c r="I3300" s="27" t="str">
        <x:v>USACE waterway node topology; deployable terminal required</x:v>
      </x:c>
      <x:c r="J3300" s="27" t="str">
        <x:v>presence does not prove operability or capacity</x:v>
      </x:c>
    </x:row>
    <x:row r="3301" ht="54" hidden="0" customHeight="1">
      <x:c r="A3301" s="29" t="str">
        <x:v>SCA-27</x:v>
      </x:c>
      <x:c r="B3301" s="29" t="str">
        <x:v>SCA-19</x:v>
      </x:c>
      <x:c r="C3301" s="29" t="str">
        <x:v>Road</x:v>
      </x:c>
      <x:c r="D3301" s="29" t="str">
        <x:v>YES</x:v>
      </x:c>
      <x:c r="E3301" s="29" t="str">
        <x:v>YES</x:v>
      </x:c>
      <x:c r="F3301" s="62" t="n">
        <x:v>2249.2074238475752</x:v>
      </x:c>
      <x:c r="G3301" s="62" t="n">
        <x:v>60.89468043359228</x:v>
      </x:c>
      <x:c r="H3301" s="29" t="str">
        <x:v>YES</x:v>
      </x:c>
      <x:c r="I3301" s="29" t="str">
        <x:v>NHPN-gated shared-boundary SCA path</x:v>
      </x:c>
      <x:c r="J3301" s="29" t="str">
        <x:v>presence does not prove operability or capacity</x:v>
      </x:c>
    </x:row>
    <x:row r="3302" ht="64.80000305175781" hidden="0" customHeight="1">
      <x:c r="A3302" s="27" t="str">
        <x:v>SCA-27</x:v>
      </x:c>
      <x:c r="B3302" s="27" t="str">
        <x:v>SCA-19</x:v>
      </x:c>
      <x:c r="C3302" s="27" t="str">
        <x:v>Rail</x:v>
      </x:c>
      <x:c r="D3302" s="27" t="str">
        <x:v>YES</x:v>
      </x:c>
      <x:c r="E3302" s="27" t="str">
        <x:v>YES</x:v>
      </x:c>
      <x:c r="F3302" s="61" t="n">
        <x:v>2386.115701820906</x:v>
      </x:c>
      <x:c r="G3302" s="61" t="n">
        <x:v>60.08736716887009</x:v>
      </x:c>
      <x:c r="H3302" s="27" t="str">
        <x:v>YES</x:v>
      </x:c>
      <x:c r="I3302" s="27" t="str">
        <x:v>NARN shared-node topology; deployable terminal required</x:v>
      </x:c>
      <x:c r="J3302" s="27" t="str">
        <x:v>presence does not prove operability or capacity</x:v>
      </x:c>
    </x:row>
    <x:row r="3303" ht="54" hidden="0" customHeight="1">
      <x:c r="A3303" s="29" t="str">
        <x:v>SCA-27</x:v>
      </x:c>
      <x:c r="B3303" s="29" t="str">
        <x:v>SCA-19</x:v>
      </x:c>
      <x:c r="C3303" s="29" t="str">
        <x:v>Air</x:v>
      </x:c>
      <x:c r="D3303" s="29" t="str">
        <x:v>YES</x:v>
      </x:c>
      <x:c r="E3303" s="29" t="str">
        <x:v>YES</x:v>
      </x:c>
      <x:c r="F3303" s="62" t="n">
        <x:v>1700.7595740069144</x:v>
      </x:c>
      <x:c r="G3303" s="62" t="n">
        <x:v>26.616553190779868</x:v>
      </x:c>
      <x:c r="H3303" s="29" t="str">
        <x:v>YES</x:v>
      </x:c>
      <x:c r="I3303" s="29" t="str">
        <x:v>primary-airport endpoints; great-circle screen</x:v>
      </x:c>
      <x:c r="J3303" s="29" t="str">
        <x:v>presence does not prove operability or capacity</x:v>
      </x:c>
    </x:row>
    <x:row r="3304" ht="75.5999984741211" hidden="0" customHeight="1">
      <x:c r="A3304" s="27" t="str">
        <x:v>SCA-27</x:v>
      </x:c>
      <x:c r="B3304" s="27" t="str">
        <x:v>SCA-19</x:v>
      </x:c>
      <x:c r="C3304" s="27" t="str">
        <x:v>Water</x:v>
      </x:c>
      <x:c r="D3304" s="27" t="str">
        <x:v>YES</x:v>
      </x:c>
      <x:c r="E3304" s="27" t="str">
        <x:v>YES</x:v>
      </x:c>
      <x:c r="F3304" s="61" t="n">
        <x:v>2291.408612948345</x:v>
      </x:c>
      <x:c r="G3304" s="61" t="n">
        <x:v>95.46881751280985</x:v>
      </x:c>
      <x:c r="H3304" s="27" t="str">
        <x:v>NO</x:v>
      </x:c>
      <x:c r="I3304" s="27" t="str">
        <x:v>USACE waterway node topology; deployable terminal required</x:v>
      </x:c>
      <x:c r="J3304" s="27" t="str">
        <x:v>presence does not prove operability or capacity</x:v>
      </x:c>
    </x:row>
    <x:row r="3305" ht="54" hidden="0" customHeight="1">
      <x:c r="A3305" s="29" t="str">
        <x:v>SCA-27</x:v>
      </x:c>
      <x:c r="B3305" s="29" t="str">
        <x:v>SCA-20</x:v>
      </x:c>
      <x:c r="C3305" s="29" t="str">
        <x:v>Road</x:v>
      </x:c>
      <x:c r="D3305" s="29" t="str">
        <x:v>YES</x:v>
      </x:c>
      <x:c r="E3305" s="29" t="str">
        <x:v>YES</x:v>
      </x:c>
      <x:c r="F3305" s="62" t="n">
        <x:v>1682.2108936530058</x:v>
      </x:c>
      <x:c r="G3305" s="62" t="n">
        <x:v>50.58565261187283</x:v>
      </x:c>
      <x:c r="H3305" s="29" t="str">
        <x:v>YES</x:v>
      </x:c>
      <x:c r="I3305" s="29" t="str">
        <x:v>NHPN-gated shared-boundary SCA path</x:v>
      </x:c>
      <x:c r="J3305" s="29" t="str">
        <x:v>presence does not prove operability or capacity</x:v>
      </x:c>
    </x:row>
    <x:row r="3306" ht="64.80000305175781" hidden="0" customHeight="1">
      <x:c r="A3306" s="27" t="str">
        <x:v>SCA-27</x:v>
      </x:c>
      <x:c r="B3306" s="27" t="str">
        <x:v>SCA-20</x:v>
      </x:c>
      <x:c r="C3306" s="27" t="str">
        <x:v>Rail</x:v>
      </x:c>
      <x:c r="D3306" s="27" t="str">
        <x:v>YES</x:v>
      </x:c>
      <x:c r="E3306" s="27" t="str">
        <x:v>YES</x:v>
      </x:c>
      <x:c r="F3306" s="61" t="n">
        <x:v>1784.6063393536235</x:v>
      </x:c>
      <x:c r="G3306" s="61" t="n">
        <x:v>51.49437627648034</x:v>
      </x:c>
      <x:c r="H3306" s="27" t="str">
        <x:v>YES</x:v>
      </x:c>
      <x:c r="I3306" s="27" t="str">
        <x:v>NARN shared-node topology; deployable terminal required</x:v>
      </x:c>
      <x:c r="J3306" s="27" t="str">
        <x:v>presence does not prove operability or capacity</x:v>
      </x:c>
    </x:row>
    <x:row r="3307" ht="54" hidden="0" customHeight="1">
      <x:c r="A3307" s="29" t="str">
        <x:v>SCA-27</x:v>
      </x:c>
      <x:c r="B3307" s="29" t="str">
        <x:v>SCA-20</x:v>
      </x:c>
      <x:c r="C3307" s="29" t="str">
        <x:v>Air</x:v>
      </x:c>
      <x:c r="D3307" s="29" t="str">
        <x:v>YES</x:v>
      </x:c>
      <x:c r="E3307" s="29" t="str">
        <x:v>YES</x:v>
      </x:c>
      <x:c r="F3307" s="62" t="n">
        <x:v>1267.0794311999875</x:v>
      </x:c>
      <x:c r="G3307" s="62" t="n">
        <x:v>25.949352971076905</x:v>
      </x:c>
      <x:c r="H3307" s="29" t="str">
        <x:v>YES</x:v>
      </x:c>
      <x:c r="I3307" s="29" t="str">
        <x:v>primary-airport endpoints; great-circle screen</x:v>
      </x:c>
      <x:c r="J3307" s="29" t="str">
        <x:v>presence does not prove operability or capacity</x:v>
      </x:c>
    </x:row>
    <x:row r="3308" ht="75.5999984741211" hidden="0" customHeight="1">
      <x:c r="A3308" s="27" t="str">
        <x:v>SCA-27</x:v>
      </x:c>
      <x:c r="B3308" s="27" t="str">
        <x:v>SCA-20</x:v>
      </x:c>
      <x:c r="C3308" s="27" t="str">
        <x:v>Water</x:v>
      </x:c>
      <x:c r="D3308" s="27" t="str">
        <x:v>YES</x:v>
      </x:c>
      <x:c r="E3308" s="27" t="str">
        <x:v>YES</x:v>
      </x:c>
      <x:c r="F3308" s="61" t="n">
        <x:v>1621.861671935984</x:v>
      </x:c>
      <x:c r="G3308" s="61" t="n">
        <x:v>76.33890491245668</x:v>
      </x:c>
      <x:c r="H3308" s="27" t="str">
        <x:v>NO</x:v>
      </x:c>
      <x:c r="I3308" s="27" t="str">
        <x:v>USACE waterway node topology; deployable terminal required</x:v>
      </x:c>
      <x:c r="J3308" s="27" t="str">
        <x:v>presence does not prove operability or capacity</x:v>
      </x:c>
    </x:row>
    <x:row r="3309" ht="54" hidden="0" customHeight="1">
      <x:c r="A3309" s="29" t="str">
        <x:v>SCA-27</x:v>
      </x:c>
      <x:c r="B3309" s="29" t="str">
        <x:v>SCA-21</x:v>
      </x:c>
      <x:c r="C3309" s="29" t="str">
        <x:v>Road</x:v>
      </x:c>
      <x:c r="D3309" s="29" t="str">
        <x:v>YES</x:v>
      </x:c>
      <x:c r="E3309" s="29" t="str">
        <x:v>YES</x:v>
      </x:c>
      <x:c r="F3309" s="62" t="n">
        <x:v>2240.954530228827</x:v>
      </x:c>
      <x:c r="G3309" s="62" t="n">
        <x:v>60.74462782234231</x:v>
      </x:c>
      <x:c r="H3309" s="29" t="str">
        <x:v>YES</x:v>
      </x:c>
      <x:c r="I3309" s="29" t="str">
        <x:v>NHPN-gated shared-boundary SCA path</x:v>
      </x:c>
      <x:c r="J3309" s="29" t="str">
        <x:v>presence does not prove operability or capacity</x:v>
      </x:c>
    </x:row>
    <x:row r="3310" ht="64.80000305175781" hidden="0" customHeight="1">
      <x:c r="A3310" s="27" t="str">
        <x:v>SCA-27</x:v>
      </x:c>
      <x:c r="B3310" s="27" t="str">
        <x:v>SCA-21</x:v>
      </x:c>
      <x:c r="C3310" s="27" t="str">
        <x:v>Rail</x:v>
      </x:c>
      <x:c r="D3310" s="27" t="str">
        <x:v>YES</x:v>
      </x:c>
      <x:c r="E3310" s="27" t="str">
        <x:v>YES</x:v>
      </x:c>
      <x:c r="F3310" s="61" t="n">
        <x:v>2377.3604581557993</x:v>
      </x:c>
      <x:c r="G3310" s="61" t="n">
        <x:v>59.96229225936856</x:v>
      </x:c>
      <x:c r="H3310" s="27" t="str">
        <x:v>YES</x:v>
      </x:c>
      <x:c r="I3310" s="27" t="str">
        <x:v>NARN shared-node topology; deployable terminal required</x:v>
      </x:c>
      <x:c r="J3310" s="27" t="str">
        <x:v>presence does not prove operability or capacity</x:v>
      </x:c>
    </x:row>
    <x:row r="3311" ht="54" hidden="0" customHeight="1">
      <x:c r="A3311" s="29" t="str">
        <x:v>SCA-27</x:v>
      </x:c>
      <x:c r="B3311" s="29" t="str">
        <x:v>SCA-21</x:v>
      </x:c>
      <x:c r="C3311" s="29" t="str">
        <x:v>Air</x:v>
      </x:c>
      <x:c r="D3311" s="29" t="str">
        <x:v>YES</x:v>
      </x:c>
      <x:c r="E3311" s="29" t="str">
        <x:v>YES</x:v>
      </x:c>
      <x:c r="F3311" s="62" t="n">
        <x:v>1905.3877334088872</x:v>
      </x:c>
      <x:c r="G3311" s="62" t="n">
        <x:v>26.93136574370598</x:v>
      </x:c>
      <x:c r="H3311" s="29" t="str">
        <x:v>YES</x:v>
      </x:c>
      <x:c r="I3311" s="29" t="str">
        <x:v>primary-airport endpoints; great-circle screen</x:v>
      </x:c>
      <x:c r="J3311" s="29" t="str">
        <x:v>presence does not prove operability or capacity</x:v>
      </x:c>
    </x:row>
    <x:row r="3312" ht="75.5999984741211" hidden="0" customHeight="1">
      <x:c r="A3312" s="27" t="str">
        <x:v>SCA-27</x:v>
      </x:c>
      <x:c r="B3312" s="27" t="str">
        <x:v>SCA-21</x:v>
      </x:c>
      <x:c r="C3312" s="27" t="str">
        <x:v>Water</x:v>
      </x:c>
      <x:c r="D3312" s="27" t="str">
        <x:v>YES</x:v>
      </x:c>
      <x:c r="E3312" s="27" t="str">
        <x:v>YES</x:v>
      </x:c>
      <x:c r="F3312" s="61" t="n">
        <x:v>2876.3434149519385</x:v>
      </x:c>
      <x:c r="G3312" s="61" t="n">
        <x:v>112.18124042719825</x:v>
      </x:c>
      <x:c r="H3312" s="27" t="str">
        <x:v>NO</x:v>
      </x:c>
      <x:c r="I3312" s="27" t="str">
        <x:v>USACE waterway node topology; deployable terminal required</x:v>
      </x:c>
      <x:c r="J3312" s="27" t="str">
        <x:v>presence does not prove operability or capacity</x:v>
      </x:c>
    </x:row>
    <x:row r="3313" ht="54" hidden="0" customHeight="1">
      <x:c r="A3313" s="29" t="str">
        <x:v>SCA-27</x:v>
      </x:c>
      <x:c r="B3313" s="29" t="str">
        <x:v>SCA-22</x:v>
      </x:c>
      <x:c r="C3313" s="29" t="str">
        <x:v>Road</x:v>
      </x:c>
      <x:c r="D3313" s="29" t="str">
        <x:v>YES</x:v>
      </x:c>
      <x:c r="E3313" s="29" t="str">
        <x:v>YES</x:v>
      </x:c>
      <x:c r="F3313" s="62" t="n">
        <x:v>1691.624792987246</x:v>
      </x:c>
      <x:c r="G3313" s="62" t="n">
        <x:v>50.756814417949926</x:v>
      </x:c>
      <x:c r="H3313" s="29" t="str">
        <x:v>YES</x:v>
      </x:c>
      <x:c r="I3313" s="29" t="str">
        <x:v>NHPN-gated shared-boundary SCA path</x:v>
      </x:c>
      <x:c r="J3313" s="29" t="str">
        <x:v>presence does not prove operability or capacity</x:v>
      </x:c>
    </x:row>
    <x:row r="3314" ht="64.80000305175781" hidden="0" customHeight="1">
      <x:c r="A3314" s="27" t="str">
        <x:v>SCA-27</x:v>
      </x:c>
      <x:c r="B3314" s="27" t="str">
        <x:v>SCA-22</x:v>
      </x:c>
      <x:c r="C3314" s="27" t="str">
        <x:v>Rail</x:v>
      </x:c>
      <x:c r="D3314" s="27" t="str">
        <x:v>YES</x:v>
      </x:c>
      <x:c r="E3314" s="27" t="str">
        <x:v>YES</x:v>
      </x:c>
      <x:c r="F3314" s="61" t="n">
        <x:v>1794.5932586473393</x:v>
      </x:c>
      <x:c r="G3314" s="61" t="n">
        <x:v>51.63704655210485</x:v>
      </x:c>
      <x:c r="H3314" s="27" t="str">
        <x:v>YES</x:v>
      </x:c>
      <x:c r="I3314" s="27" t="str">
        <x:v>NARN shared-node topology; deployable terminal required</x:v>
      </x:c>
      <x:c r="J3314" s="27" t="str">
        <x:v>presence does not prove operability or capacity</x:v>
      </x:c>
    </x:row>
    <x:row r="3315" ht="54" hidden="0" customHeight="1">
      <x:c r="A3315" s="29" t="str">
        <x:v>SCA-27</x:v>
      </x:c>
      <x:c r="B3315" s="29" t="str">
        <x:v>SCA-22</x:v>
      </x:c>
      <x:c r="C3315" s="29" t="str">
        <x:v>Air</x:v>
      </x:c>
      <x:c r="D3315" s="29" t="str">
        <x:v>YES</x:v>
      </x:c>
      <x:c r="E3315" s="29" t="str">
        <x:v>YES</x:v>
      </x:c>
      <x:c r="F3315" s="62" t="n">
        <x:v>1430.3677709252113</x:v>
      </x:c>
      <x:c r="G3315" s="62" t="n">
        <x:v>26.2005658014234</x:v>
      </x:c>
      <x:c r="H3315" s="29" t="str">
        <x:v>YES</x:v>
      </x:c>
      <x:c r="I3315" s="29" t="str">
        <x:v>primary-airport endpoints; great-circle screen</x:v>
      </x:c>
      <x:c r="J3315" s="29" t="str">
        <x:v>presence does not prove operability or capacity</x:v>
      </x:c>
    </x:row>
    <x:row r="3316" ht="75.5999984741211" hidden="0" customHeight="1">
      <x:c r="A3316" s="27" t="str">
        <x:v>SCA-27</x:v>
      </x:c>
      <x:c r="B3316" s="27" t="str">
        <x:v>SCA-22</x:v>
      </x:c>
      <x:c r="C3316" s="27" t="str">
        <x:v>Water</x:v>
      </x:c>
      <x:c r="D3316" s="27" t="str">
        <x:v>YES</x:v>
      </x:c>
      <x:c r="E3316" s="27" t="str">
        <x:v>YES</x:v>
      </x:c>
      <x:c r="F3316" s="61" t="n">
        <x:v>2190.8116032968796</x:v>
      </x:c>
      <x:c r="G3316" s="61" t="n">
        <x:v>92.59461723705371</x:v>
      </x:c>
      <x:c r="H3316" s="27" t="str">
        <x:v>NO</x:v>
      </x:c>
      <x:c r="I3316" s="27" t="str">
        <x:v>USACE waterway node topology; deployable terminal required</x:v>
      </x:c>
      <x:c r="J3316" s="27" t="str">
        <x:v>presence does not prove operability or capacity</x:v>
      </x:c>
    </x:row>
    <x:row r="3317" ht="54" hidden="0" customHeight="1">
      <x:c r="A3317" s="29" t="str">
        <x:v>SCA-27</x:v>
      </x:c>
      <x:c r="B3317" s="29" t="str">
        <x:v>SCA-23</x:v>
      </x:c>
      <x:c r="C3317" s="29" t="str">
        <x:v>Road</x:v>
      </x:c>
      <x:c r="D3317" s="29" t="str">
        <x:v>YES</x:v>
      </x:c>
      <x:c r="E3317" s="29" t="str">
        <x:v>YES</x:v>
      </x:c>
      <x:c r="F3317" s="62" t="n">
        <x:v>1102.7118998038104</x:v>
      </x:c>
      <x:c r="G3317" s="62" t="n">
        <x:v>40.04930726916019</x:v>
      </x:c>
      <x:c r="H3317" s="29" t="str">
        <x:v>YES</x:v>
      </x:c>
      <x:c r="I3317" s="29" t="str">
        <x:v>NHPN-gated shared-boundary SCA path</x:v>
      </x:c>
      <x:c r="J3317" s="29" t="str">
        <x:v>presence does not prove operability or capacity</x:v>
      </x:c>
    </x:row>
    <x:row r="3318" ht="64.80000305175781" hidden="0" customHeight="1">
      <x:c r="A3318" s="27" t="str">
        <x:v>SCA-27</x:v>
      </x:c>
      <x:c r="B3318" s="27" t="str">
        <x:v>SCA-23</x:v>
      </x:c>
      <x:c r="C3318" s="27" t="str">
        <x:v>Rail</x:v>
      </x:c>
      <x:c r="D3318" s="27" t="str">
        <x:v>YES</x:v>
      </x:c>
      <x:c r="E3318" s="27" t="str">
        <x:v>YES</x:v>
      </x:c>
      <x:c r="F3318" s="61" t="n">
        <x:v>1169.833493704912</x:v>
      </x:c>
      <x:c r="G3318" s="61" t="n">
        <x:v>42.711907052927316</x:v>
      </x:c>
      <x:c r="H3318" s="27" t="str">
        <x:v>YES</x:v>
      </x:c>
      <x:c r="I3318" s="27" t="str">
        <x:v>NARN shared-node topology; deployable terminal required</x:v>
      </x:c>
      <x:c r="J3318" s="27" t="str">
        <x:v>presence does not prove operability or capacity</x:v>
      </x:c>
    </x:row>
    <x:row r="3319" ht="54" hidden="0" customHeight="1">
      <x:c r="A3319" s="29" t="str">
        <x:v>SCA-27</x:v>
      </x:c>
      <x:c r="B3319" s="29" t="str">
        <x:v>SCA-23</x:v>
      </x:c>
      <x:c r="C3319" s="29" t="str">
        <x:v>Air</x:v>
      </x:c>
      <x:c r="D3319" s="29" t="str">
        <x:v>YES</x:v>
      </x:c>
      <x:c r="E3319" s="29" t="str">
        <x:v>YES</x:v>
      </x:c>
      <x:c r="F3319" s="62" t="n">
        <x:v>934.5013409185312</x:v>
      </x:c>
      <x:c r="G3319" s="62" t="n">
        <x:v>25.437694370643893</x:v>
      </x:c>
      <x:c r="H3319" s="29" t="str">
        <x:v>YES</x:v>
      </x:c>
      <x:c r="I3319" s="29" t="str">
        <x:v>primary-airport endpoints; great-circle screen</x:v>
      </x:c>
      <x:c r="J3319" s="29" t="str">
        <x:v>presence does not prove operability or capacity</x:v>
      </x:c>
    </x:row>
    <x:row r="3320" ht="75.5999984741211" hidden="0" customHeight="1">
      <x:c r="A3320" s="27" t="str">
        <x:v>SCA-27</x:v>
      </x:c>
      <x:c r="B3320" s="27" t="str">
        <x:v>SCA-23</x:v>
      </x:c>
      <x:c r="C3320" s="27" t="str">
        <x:v>Water</x:v>
      </x:c>
      <x:c r="D3320" s="27" t="str">
        <x:v>YES</x:v>
      </x:c>
      <x:c r="E3320" s="27" t="str">
        <x:v>YES</x:v>
      </x:c>
      <x:c r="F3320" s="61" t="n">
        <x:v>1205.5005929020958</x:v>
      </x:c>
      <x:c r="G3320" s="61" t="n">
        <x:v>64.44287408291703</x:v>
      </x:c>
      <x:c r="H3320" s="27" t="str">
        <x:v>YES</x:v>
      </x:c>
      <x:c r="I3320" s="27" t="str">
        <x:v>USACE waterway node topology; deployable terminal required</x:v>
      </x:c>
      <x:c r="J3320" s="27" t="str">
        <x:v>presence does not prove operability or capacity</x:v>
      </x:c>
    </x:row>
    <x:row r="3321" ht="54" hidden="0" customHeight="1">
      <x:c r="A3321" s="29" t="str">
        <x:v>SCA-27</x:v>
      </x:c>
      <x:c r="B3321" s="29" t="str">
        <x:v>SCA-24</x:v>
      </x:c>
      <x:c r="C3321" s="29" t="str">
        <x:v>Road</x:v>
      </x:c>
      <x:c r="D3321" s="29" t="str">
        <x:v>YES</x:v>
      </x:c>
      <x:c r="E3321" s="29" t="str">
        <x:v>YES</x:v>
      </x:c>
      <x:c r="F3321" s="62" t="n">
        <x:v>2227.4372708010897</x:v>
      </x:c>
      <x:c r="G3321" s="62" t="n">
        <x:v>60.49885946911072</x:v>
      </x:c>
      <x:c r="H3321" s="29" t="str">
        <x:v>YES</x:v>
      </x:c>
      <x:c r="I3321" s="29" t="str">
        <x:v>NHPN-gated shared-boundary SCA path</x:v>
      </x:c>
      <x:c r="J3321" s="29" t="str">
        <x:v>presence does not prove operability or capacity</x:v>
      </x:c>
    </x:row>
    <x:row r="3322" ht="64.80000305175781" hidden="0" customHeight="1">
      <x:c r="A3322" s="27" t="str">
        <x:v>SCA-27</x:v>
      </x:c>
      <x:c r="B3322" s="27" t="str">
        <x:v>SCA-24</x:v>
      </x:c>
      <x:c r="C3322" s="27" t="str">
        <x:v>Rail</x:v>
      </x:c>
      <x:c r="D3322" s="27" t="str">
        <x:v>YES</x:v>
      </x:c>
      <x:c r="E3322" s="27" t="str">
        <x:v>YES</x:v>
      </x:c>
      <x:c r="F3322" s="61" t="n">
        <x:v>2363.020409023765</x:v>
      </x:c>
      <x:c r="G3322" s="61" t="n">
        <x:v>59.75743441462521</x:v>
      </x:c>
      <x:c r="H3322" s="27" t="str">
        <x:v>YES</x:v>
      </x:c>
      <x:c r="I3322" s="27" t="str">
        <x:v>NARN shared-node topology; deployable terminal required</x:v>
      </x:c>
      <x:c r="J3322" s="27" t="str">
        <x:v>presence does not prove operability or capacity</x:v>
      </x:c>
    </x:row>
    <x:row r="3323" ht="54" hidden="0" customHeight="1">
      <x:c r="A3323" s="29" t="str">
        <x:v>SCA-27</x:v>
      </x:c>
      <x:c r="B3323" s="29" t="str">
        <x:v>SCA-24</x:v>
      </x:c>
      <x:c r="C3323" s="29" t="str">
        <x:v>Air</x:v>
      </x:c>
      <x:c r="D3323" s="29" t="str">
        <x:v>YES</x:v>
      </x:c>
      <x:c r="E3323" s="29" t="str">
        <x:v>YES</x:v>
      </x:c>
      <x:c r="F3323" s="62" t="n">
        <x:v>1827.6043833773085</x:v>
      </x:c>
      <x:c r="G3323" s="62" t="n">
        <x:v>26.811699051349706</x:v>
      </x:c>
      <x:c r="H3323" s="29" t="str">
        <x:v>YES</x:v>
      </x:c>
      <x:c r="I3323" s="29" t="str">
        <x:v>primary-airport endpoints; great-circle screen</x:v>
      </x:c>
      <x:c r="J3323" s="29" t="str">
        <x:v>presence does not prove operability or capacity</x:v>
      </x:c>
    </x:row>
    <x:row r="3324" ht="75.5999984741211" hidden="0" customHeight="1">
      <x:c r="A3324" s="27" t="str">
        <x:v>SCA-27</x:v>
      </x:c>
      <x:c r="B3324" s="27" t="str">
        <x:v>SCA-24</x:v>
      </x:c>
      <x:c r="C3324" s="27" t="str">
        <x:v>Water</x:v>
      </x:c>
      <x:c r="D3324" s="27" t="str">
        <x:v>YES</x:v>
      </x:c>
      <x:c r="E3324" s="27" t="str">
        <x:v>YES</x:v>
      </x:c>
      <x:c r="F3324" s="61" t="n">
        <x:v>2585.4169747576934</x:v>
      </x:c>
      <x:c r="G3324" s="61" t="n">
        <x:v>103.86905642164838</x:v>
      </x:c>
      <x:c r="H3324" s="27" t="str">
        <x:v>NO</x:v>
      </x:c>
      <x:c r="I3324" s="27" t="str">
        <x:v>USACE waterway node topology; deployable terminal required</x:v>
      </x:c>
      <x:c r="J3324" s="27" t="str">
        <x:v>presence does not prove operability or capacity</x:v>
      </x:c>
    </x:row>
    <x:row r="3325" ht="54" hidden="0" customHeight="1">
      <x:c r="A3325" s="29" t="str">
        <x:v>SCA-27</x:v>
      </x:c>
      <x:c r="B3325" s="29" t="str">
        <x:v>SCA-25</x:v>
      </x:c>
      <x:c r="C3325" s="29" t="str">
        <x:v>Road</x:v>
      </x:c>
      <x:c r="D3325" s="29" t="str">
        <x:v>YES</x:v>
      </x:c>
      <x:c r="E3325" s="29" t="str">
        <x:v>YES</x:v>
      </x:c>
      <x:c r="F3325" s="62" t="n">
        <x:v>608.1277198843711</x:v>
      </x:c>
      <x:c r="G3325" s="62" t="n">
        <x:v>31.056867634261295</x:v>
      </x:c>
      <x:c r="H3325" s="29" t="str">
        <x:v>YES</x:v>
      </x:c>
      <x:c r="I3325" s="29" t="str">
        <x:v>NHPN-gated shared-boundary SCA path</x:v>
      </x:c>
      <x:c r="J3325" s="29" t="str">
        <x:v>presence does not prove operability or capacity</x:v>
      </x:c>
    </x:row>
    <x:row r="3326" ht="64.80000305175781" hidden="0" customHeight="1">
      <x:c r="A3326" s="27" t="str">
        <x:v>SCA-27</x:v>
      </x:c>
      <x:c r="B3326" s="27" t="str">
        <x:v>SCA-25</x:v>
      </x:c>
      <x:c r="C3326" s="27" t="str">
        <x:v>Rail</x:v>
      </x:c>
      <x:c r="D3326" s="27" t="str">
        <x:v>YES</x:v>
      </x:c>
      <x:c r="E3326" s="27" t="str">
        <x:v>YES</x:v>
      </x:c>
      <x:c r="F3326" s="61" t="n">
        <x:v>645.144189790376</x:v>
      </x:c>
      <x:c r="G3326" s="61" t="n">
        <x:v>35.216345568433944</x:v>
      </x:c>
      <x:c r="H3326" s="27" t="str">
        <x:v>YES</x:v>
      </x:c>
      <x:c r="I3326" s="27" t="str">
        <x:v>NARN shared-node topology; deployable terminal required</x:v>
      </x:c>
      <x:c r="J3326" s="27" t="str">
        <x:v>presence does not prove operability or capacity</x:v>
      </x:c>
    </x:row>
    <x:row r="3327" ht="54" hidden="0" customHeight="1">
      <x:c r="A3327" s="29" t="str">
        <x:v>SCA-27</x:v>
      </x:c>
      <x:c r="B3327" s="29" t="str">
        <x:v>SCA-25</x:v>
      </x:c>
      <x:c r="C3327" s="29" t="str">
        <x:v>Air</x:v>
      </x:c>
      <x:c r="D3327" s="29" t="str">
        <x:v>YES</x:v>
      </x:c>
      <x:c r="E3327" s="29" t="str">
        <x:v>YES</x:v>
      </x:c>
      <x:c r="F3327" s="62" t="n">
        <x:v>511.72413827481495</x:v>
      </x:c>
      <x:c r="G3327" s="62" t="n">
        <x:v>24.787267905038178</x:v>
      </x:c>
      <x:c r="H3327" s="29" t="str">
        <x:v>YES</x:v>
      </x:c>
      <x:c r="I3327" s="29" t="str">
        <x:v>primary-airport endpoints; great-circle screen</x:v>
      </x:c>
      <x:c r="J3327" s="29" t="str">
        <x:v>presence does not prove operability or capacity</x:v>
      </x:c>
    </x:row>
    <x:row r="3328" ht="75.5999984741211" hidden="0" customHeight="1">
      <x:c r="A3328" s="27" t="str">
        <x:v>SCA-27</x:v>
      </x:c>
      <x:c r="B3328" s="27" t="str">
        <x:v>SCA-25</x:v>
      </x:c>
      <x:c r="C3328" s="27" t="str">
        <x:v>Water</x:v>
      </x:c>
      <x:c r="D3328" s="27" t="str">
        <x:v>YES</x:v>
      </x:c>
      <x:c r="E3328" s="27" t="str">
        <x:v>YES</x:v>
      </x:c>
      <x:c r="F3328" s="61" t="n">
        <x:v>655.0068969917631</x:v>
      </x:c>
      <x:c r="G3328" s="61" t="n">
        <x:v>48.71448277119323</x:v>
      </x:c>
      <x:c r="H3328" s="27" t="str">
        <x:v>YES</x:v>
      </x:c>
      <x:c r="I3328" s="27" t="str">
        <x:v>USACE waterway node topology; deployable terminal required</x:v>
      </x:c>
      <x:c r="J3328" s="27" t="str">
        <x:v>presence does not prove operability or capacity</x:v>
      </x:c>
    </x:row>
    <x:row r="3329" ht="54" hidden="0" customHeight="1">
      <x:c r="A3329" s="29" t="str">
        <x:v>SCA-27</x:v>
      </x:c>
      <x:c r="B3329" s="29" t="str">
        <x:v>SCA-26</x:v>
      </x:c>
      <x:c r="C3329" s="29" t="str">
        <x:v>Road</x:v>
      </x:c>
      <x:c r="D3329" s="29" t="str">
        <x:v>YES</x:v>
      </x:c>
      <x:c r="E3329" s="29" t="str">
        <x:v>YES</x:v>
      </x:c>
      <x:c r="F3329" s="62" t="n">
        <x:v>279.62826411954865</x:v>
      </x:c>
      <x:c r="G3329" s="62" t="n">
        <x:v>25.084150256719067</x:v>
      </x:c>
      <x:c r="H3329" s="29" t="str">
        <x:v>YES</x:v>
      </x:c>
      <x:c r="I3329" s="29" t="str">
        <x:v>NHPN-gated shared-boundary SCA path</x:v>
      </x:c>
      <x:c r="J3329" s="29" t="str">
        <x:v>presence does not prove operability or capacity</x:v>
      </x:c>
    </x:row>
    <x:row r="3330" ht="64.80000305175781" hidden="0" customHeight="1">
      <x:c r="A3330" s="27" t="str">
        <x:v>SCA-27</x:v>
      </x:c>
      <x:c r="B3330" s="27" t="str">
        <x:v>SCA-26</x:v>
      </x:c>
      <x:c r="C3330" s="27" t="str">
        <x:v>Rail</x:v>
      </x:c>
      <x:c r="D3330" s="27" t="str">
        <x:v>YES</x:v>
      </x:c>
      <x:c r="E3330" s="27" t="str">
        <x:v>YES</x:v>
      </x:c>
      <x:c r="F3330" s="61" t="n">
        <x:v>296.6491149789997</x:v>
      </x:c>
      <x:c r="G3330" s="61" t="n">
        <x:v>30.237844499699996</x:v>
      </x:c>
      <x:c r="H3330" s="27" t="str">
        <x:v>YES</x:v>
      </x:c>
      <x:c r="I3330" s="27" t="str">
        <x:v>NARN shared-node topology; deployable terminal required</x:v>
      </x:c>
      <x:c r="J3330" s="27" t="str">
        <x:v>presence does not prove operability or capacity</x:v>
      </x:c>
    </x:row>
    <x:row r="3331" ht="54" hidden="0" customHeight="1">
      <x:c r="A3331" s="29" t="str">
        <x:v>SCA-27</x:v>
      </x:c>
      <x:c r="B3331" s="29" t="str">
        <x:v>SCA-26</x:v>
      </x:c>
      <x:c r="C3331" s="29" t="str">
        <x:v>Air</x:v>
      </x:c>
      <x:c r="D3331" s="29" t="str">
        <x:v>YES</x:v>
      </x:c>
      <x:c r="E3331" s="29" t="str">
        <x:v>YES</x:v>
      </x:c>
      <x:c r="F3331" s="62" t="n">
        <x:v>243.1550122778686</x:v>
      </x:c>
      <x:c r="G3331" s="62" t="n">
        <x:v>24.374084634273643</x:v>
      </x:c>
      <x:c r="H3331" s="29" t="str">
        <x:v>YES</x:v>
      </x:c>
      <x:c r="I3331" s="29" t="str">
        <x:v>primary-airport endpoints; great-circle screen</x:v>
      </x:c>
      <x:c r="J3331" s="29" t="str">
        <x:v>presence does not prove operability or capacity</x:v>
      </x:c>
    </x:row>
    <x:row r="3332" ht="75.5999984741211" hidden="0" customHeight="1">
      <x:c r="A3332" s="27" t="str">
        <x:v>SCA-27</x:v>
      </x:c>
      <x:c r="B3332" s="27" t="str">
        <x:v>SCA-26</x:v>
      </x:c>
      <x:c r="C3332" s="27" t="str">
        <x:v>Water</x:v>
      </x:c>
      <x:c r="D3332" s="27" t="str">
        <x:v>YES</x:v>
      </x:c>
      <x:c r="E3332" s="27" t="str">
        <x:v>YES</x:v>
      </x:c>
      <x:c r="F3332" s="61" t="n">
        <x:v>311.2384157156718</x:v>
      </x:c>
      <x:c r="G3332" s="61" t="n">
        <x:v>38.89252616330491</x:v>
      </x:c>
      <x:c r="H3332" s="27" t="str">
        <x:v>YES</x:v>
      </x:c>
      <x:c r="I3332" s="27" t="str">
        <x:v>USACE waterway node topology; deployable terminal required</x:v>
      </x:c>
      <x:c r="J3332" s="27" t="str">
        <x:v>presence does not prove operability or capacity</x:v>
      </x:c>
    </x:row>
    <x:row r="3333" ht="54" hidden="0" customHeight="1">
      <x:c r="A3333" s="29" t="str">
        <x:v>SCA-27</x:v>
      </x:c>
      <x:c r="B3333" s="29" t="str">
        <x:v>SCA-28</x:v>
      </x:c>
      <x:c r="C3333" s="29" t="str">
        <x:v>Road</x:v>
      </x:c>
      <x:c r="D3333" s="29" t="str">
        <x:v>YES</x:v>
      </x:c>
      <x:c r="E3333" s="29" t="str">
        <x:v>YES</x:v>
      </x:c>
      <x:c r="F3333" s="62" t="n">
        <x:v>1936.987205992085</x:v>
      </x:c>
      <x:c r="G3333" s="62" t="n">
        <x:v>55.217949199856086</x:v>
      </x:c>
      <x:c r="H3333" s="29" t="str">
        <x:v>YES</x:v>
      </x:c>
      <x:c r="I3333" s="29" t="str">
        <x:v>NHPN-gated shared-boundary SCA path</x:v>
      </x:c>
      <x:c r="J3333" s="29" t="str">
        <x:v>presence does not prove operability or capacity</x:v>
      </x:c>
    </x:row>
    <x:row r="3334" ht="64.80000305175781" hidden="0" customHeight="1">
      <x:c r="A3334" s="27" t="str">
        <x:v>SCA-27</x:v>
      </x:c>
      <x:c r="B3334" s="27" t="str">
        <x:v>SCA-28</x:v>
      </x:c>
      <x:c r="C3334" s="27" t="str">
        <x:v>Rail</x:v>
      </x:c>
      <x:c r="D3334" s="27" t="str">
        <x:v>YES</x:v>
      </x:c>
      <x:c r="E3334" s="27" t="str">
        <x:v>YES</x:v>
      </x:c>
      <x:c r="F3334" s="61" t="n">
        <x:v>2054.8907750524727</x:v>
      </x:c>
      <x:c r="G3334" s="61" t="n">
        <x:v>55.355582500749605</x:v>
      </x:c>
      <x:c r="H3334" s="27" t="str">
        <x:v>YES</x:v>
      </x:c>
      <x:c r="I3334" s="27" t="str">
        <x:v>NARN shared-node topology; deployable terminal required</x:v>
      </x:c>
      <x:c r="J3334" s="27" t="str">
        <x:v>presence does not prove operability or capacity</x:v>
      </x:c>
    </x:row>
    <x:row r="3335" ht="54" hidden="0" customHeight="1">
      <x:c r="A3335" s="29" t="str">
        <x:v>SCA-27</x:v>
      </x:c>
      <x:c r="B3335" s="29" t="str">
        <x:v>SCA-28</x:v>
      </x:c>
      <x:c r="C3335" s="29" t="str">
        <x:v>Air</x:v>
      </x:c>
      <x:c r="D3335" s="29" t="str">
        <x:v>YES</x:v>
      </x:c>
      <x:c r="E3335" s="29" t="str">
        <x:v>YES</x:v>
      </x:c>
      <x:c r="F3335" s="62" t="n">
        <x:v>1582.5986358506534</x:v>
      </x:c>
      <x:c r="G3335" s="62" t="n">
        <x:v>26.43476713207793</x:v>
      </x:c>
      <x:c r="H3335" s="29" t="str">
        <x:v>YES</x:v>
      </x:c>
      <x:c r="I3335" s="29" t="str">
        <x:v>primary-airport endpoints; great-circle screen</x:v>
      </x:c>
      <x:c r="J3335" s="29" t="str">
        <x:v>presence does not prove operability or capacity</x:v>
      </x:c>
    </x:row>
    <x:row r="3336" ht="75.5999984741211" hidden="0" customHeight="1">
      <x:c r="A3336" s="27" t="str">
        <x:v>SCA-27</x:v>
      </x:c>
      <x:c r="B3336" s="27" t="str">
        <x:v>SCA-28</x:v>
      </x:c>
      <x:c r="C3336" s="27" t="str">
        <x:v>Water</x:v>
      </x:c>
      <x:c r="D3336" s="27" t="str">
        <x:v>YES</x:v>
      </x:c>
      <x:c r="E3336" s="27" t="str">
        <x:v>YES</x:v>
      </x:c>
      <x:c r="F3336" s="61" t="n">
        <x:v>2033.552769892398</x:v>
      </x:c>
      <x:c r="G3336" s="61" t="n">
        <x:v>88.10150771121137</x:v>
      </x:c>
      <x:c r="H3336" s="27" t="str">
        <x:v>NO</x:v>
      </x:c>
      <x:c r="I3336" s="27" t="str">
        <x:v>USACE waterway node topology; deployable terminal required</x:v>
      </x:c>
      <x:c r="J3336" s="27" t="str">
        <x:v>presence does not prove operability or capacity</x:v>
      </x:c>
    </x:row>
    <x:row r="3337" ht="54" hidden="0" customHeight="1">
      <x:c r="A3337" s="29" t="str">
        <x:v>SCA-27</x:v>
      </x:c>
      <x:c r="B3337" s="29" t="str">
        <x:v>SCA-29</x:v>
      </x:c>
      <x:c r="C3337" s="29" t="str">
        <x:v>Road</x:v>
      </x:c>
      <x:c r="D3337" s="29" t="str">
        <x:v>YES</x:v>
      </x:c>
      <x:c r="E3337" s="29" t="str">
        <x:v>YES</x:v>
      </x:c>
      <x:c r="F3337" s="62" t="n">
        <x:v>1360.7319144147789</x:v>
      </x:c>
      <x:c r="G3337" s="62" t="n">
        <x:v>44.740580262086894</x:v>
      </x:c>
      <x:c r="H3337" s="29" t="str">
        <x:v>YES</x:v>
      </x:c>
      <x:c r="I3337" s="29" t="str">
        <x:v>NHPN-gated shared-boundary SCA path</x:v>
      </x:c>
      <x:c r="J3337" s="29" t="str">
        <x:v>presence does not prove operability or capacity</x:v>
      </x:c>
    </x:row>
    <x:row r="3338" ht="64.80000305175781" hidden="0" customHeight="1">
      <x:c r="A3338" s="27" t="str">
        <x:v>SCA-27</x:v>
      </x:c>
      <x:c r="B3338" s="27" t="str">
        <x:v>SCA-29</x:v>
      </x:c>
      <x:c r="C3338" s="27" t="str">
        <x:v>Rail</x:v>
      </x:c>
      <x:c r="D3338" s="27" t="str">
        <x:v>YES</x:v>
      </x:c>
      <x:c r="E3338" s="27" t="str">
        <x:v>YES</x:v>
      </x:c>
      <x:c r="F3338" s="61" t="n">
        <x:v>1443.5590744226354</x:v>
      </x:c>
      <x:c r="G3338" s="61" t="n">
        <x:v>46.62227249175193</x:v>
      </x:c>
      <x:c r="H3338" s="27" t="str">
        <x:v>YES</x:v>
      </x:c>
      <x:c r="I3338" s="27" t="str">
        <x:v>NARN shared-node topology; deployable terminal required</x:v>
      </x:c>
      <x:c r="J3338" s="27" t="str">
        <x:v>presence does not prove operability or capacity</x:v>
      </x:c>
    </x:row>
    <x:row r="3339" ht="54" hidden="0" customHeight="1">
      <x:c r="A3339" s="29" t="str">
        <x:v>SCA-27</x:v>
      </x:c>
      <x:c r="B3339" s="29" t="str">
        <x:v>SCA-29</x:v>
      </x:c>
      <x:c r="C3339" s="29" t="str">
        <x:v>Air</x:v>
      </x:c>
      <x:c r="D3339" s="29" t="str">
        <x:v>YES</x:v>
      </x:c>
      <x:c r="E3339" s="29" t="str">
        <x:v>YES</x:v>
      </x:c>
      <x:c r="F3339" s="62" t="n">
        <x:v>1087.6215435851266</x:v>
      </x:c>
      <x:c r="G3339" s="62" t="n">
        <x:v>25.673263913207887</x:v>
      </x:c>
      <x:c r="H3339" s="29" t="str">
        <x:v>YES</x:v>
      </x:c>
      <x:c r="I3339" s="29" t="str">
        <x:v>primary-airport endpoints; great-circle screen</x:v>
      </x:c>
      <x:c r="J3339" s="29" t="str">
        <x:v>presence does not prove operability or capacity</x:v>
      </x:c>
    </x:row>
    <x:row r="3340" ht="75.5999984741211" hidden="0" customHeight="1">
      <x:c r="A3340" s="27" t="str">
        <x:v>SCA-27</x:v>
      </x:c>
      <x:c r="B3340" s="27" t="str">
        <x:v>SCA-29</x:v>
      </x:c>
      <x:c r="C3340" s="27" t="str">
        <x:v>Water</x:v>
      </x:c>
      <x:c r="D3340" s="27" t="str">
        <x:v>YES</x:v>
      </x:c>
      <x:c r="E3340" s="27" t="str">
        <x:v>YES</x:v>
      </x:c>
      <x:c r="F3340" s="61" t="n">
        <x:v>1392.155575788962</x:v>
      </x:c>
      <x:c r="G3340" s="61" t="n">
        <x:v>69.77587359397035</x:v>
      </x:c>
      <x:c r="H3340" s="27" t="str">
        <x:v>YES</x:v>
      </x:c>
      <x:c r="I3340" s="27" t="str">
        <x:v>USACE waterway node topology; deployable terminal required</x:v>
      </x:c>
      <x:c r="J3340" s="27" t="str">
        <x:v>presence does not prove operability or capacity</x:v>
      </x:c>
    </x:row>
    <x:row r="3341" ht="54" hidden="0" customHeight="1">
      <x:c r="A3341" s="29" t="str">
        <x:v>SCA-27</x:v>
      </x:c>
      <x:c r="B3341" s="29" t="str">
        <x:v>SCA-30</x:v>
      </x:c>
      <x:c r="C3341" s="29" t="str">
        <x:v>Road</x:v>
      </x:c>
      <x:c r="D3341" s="29" t="str">
        <x:v>YES</x:v>
      </x:c>
      <x:c r="E3341" s="29" t="str">
        <x:v>YES</x:v>
      </x:c>
      <x:c r="F3341" s="62" t="n">
        <x:v>2111.76123635989</x:v>
      </x:c>
      <x:c r="G3341" s="62" t="n">
        <x:v>58.39565884290709</x:v>
      </x:c>
      <x:c r="H3341" s="29" t="str">
        <x:v>YES</x:v>
      </x:c>
      <x:c r="I3341" s="29" t="str">
        <x:v>NHPN-gated shared-boundary SCA path</x:v>
      </x:c>
      <x:c r="J3341" s="29" t="str">
        <x:v>presence does not prove operability or capacity</x:v>
      </x:c>
    </x:row>
    <x:row r="3342" ht="64.80000305175781" hidden="0" customHeight="1">
      <x:c r="A3342" s="27" t="str">
        <x:v>SCA-27</x:v>
      </x:c>
      <x:c r="B3342" s="27" t="str">
        <x:v>SCA-30</x:v>
      </x:c>
      <x:c r="C3342" s="27" t="str">
        <x:v>Rail</x:v>
      </x:c>
      <x:c r="D3342" s="27" t="str">
        <x:v>YES</x:v>
      </x:c>
      <x:c r="E3342" s="27" t="str">
        <x:v>YES</x:v>
      </x:c>
      <x:c r="F3342" s="61" t="n">
        <x:v>2240.3032246600574</x:v>
      </x:c>
      <x:c r="G3342" s="61" t="n">
        <x:v>58.00433178085796</x:v>
      </x:c>
      <x:c r="H3342" s="27" t="str">
        <x:v>YES</x:v>
      </x:c>
      <x:c r="I3342" s="27" t="str">
        <x:v>NARN shared-node topology; deployable terminal required</x:v>
      </x:c>
      <x:c r="J3342" s="27" t="str">
        <x:v>presence does not prove operability or capacity</x:v>
      </x:c>
    </x:row>
    <x:row r="3343" ht="54" hidden="0" customHeight="1">
      <x:c r="A3343" s="29" t="str">
        <x:v>SCA-27</x:v>
      </x:c>
      <x:c r="B3343" s="29" t="str">
        <x:v>SCA-30</x:v>
      </x:c>
      <x:c r="C3343" s="29" t="str">
        <x:v>Air</x:v>
      </x:c>
      <x:c r="D3343" s="29" t="str">
        <x:v>YES</x:v>
      </x:c>
      <x:c r="E3343" s="29" t="str">
        <x:v>YES</x:v>
      </x:c>
      <x:c r="F3343" s="62" t="n">
        <x:v>1694.2377397591135</x:v>
      </x:c>
      <x:c r="G3343" s="62" t="n">
        <x:v>26.606519599629404</x:v>
      </x:c>
      <x:c r="H3343" s="29" t="str">
        <x:v>YES</x:v>
      </x:c>
      <x:c r="I3343" s="29" t="str">
        <x:v>primary-airport endpoints; great-circle screen</x:v>
      </x:c>
      <x:c r="J3343" s="29" t="str">
        <x:v>presence does not prove operability or capacity</x:v>
      </x:c>
    </x:row>
    <x:row r="3344" ht="75.5999984741211" hidden="0" customHeight="1">
      <x:c r="A3344" s="27" t="str">
        <x:v>SCA-27</x:v>
      </x:c>
      <x:c r="B3344" s="27" t="str">
        <x:v>SCA-30</x:v>
      </x:c>
      <x:c r="C3344" s="27" t="str">
        <x:v>Water</x:v>
      </x:c>
      <x:c r="D3344" s="27" t="str">
        <x:v>YES</x:v>
      </x:c>
      <x:c r="E3344" s="27" t="str">
        <x:v>YES</x:v>
      </x:c>
      <x:c r="F3344" s="61" t="n">
        <x:v>2228.083864562651</x:v>
      </x:c>
      <x:c r="G3344" s="61" t="n">
        <x:v>93.6595389875043</x:v>
      </x:c>
      <x:c r="H3344" s="27" t="str">
        <x:v>NO</x:v>
      </x:c>
      <x:c r="I3344" s="27" t="str">
        <x:v>USACE waterway node topology; deployable terminal required</x:v>
      </x:c>
      <x:c r="J3344" s="27" t="str">
        <x:v>presence does not prove operability or capacity</x:v>
      </x:c>
    </x:row>
    <x:row r="3345" ht="54" hidden="0" customHeight="1">
      <x:c r="A3345" s="29" t="str">
        <x:v>SCA-27</x:v>
      </x:c>
      <x:c r="B3345" s="29" t="str">
        <x:v>SCA-31</x:v>
      </x:c>
      <x:c r="C3345" s="29" t="str">
        <x:v>Road</x:v>
      </x:c>
      <x:c r="D3345" s="29" t="str">
        <x:v>YES</x:v>
      </x:c>
      <x:c r="E3345" s="29" t="str">
        <x:v>YES</x:v>
      </x:c>
      <x:c r="F3345" s="62" t="n">
        <x:v>2504.8433815463964</x:v>
      </x:c>
      <x:c r="G3345" s="62" t="n">
        <x:v>65.54260693720721</x:v>
      </x:c>
      <x:c r="H3345" s="29" t="str">
        <x:v>YES</x:v>
      </x:c>
      <x:c r="I3345" s="29" t="str">
        <x:v>NHPN-gated shared-boundary SCA path</x:v>
      </x:c>
      <x:c r="J3345" s="29" t="str">
        <x:v>presence does not prove operability or capacity</x:v>
      </x:c>
    </x:row>
    <x:row r="3346" ht="64.80000305175781" hidden="0" customHeight="1">
      <x:c r="A3346" s="27" t="str">
        <x:v>SCA-27</x:v>
      </x:c>
      <x:c r="B3346" s="27" t="str">
        <x:v>SCA-31</x:v>
      </x:c>
      <x:c r="C3346" s="27" t="str">
        <x:v>Rail</x:v>
      </x:c>
      <x:c r="D3346" s="27" t="str">
        <x:v>YES</x:v>
      </x:c>
      <x:c r="E3346" s="27" t="str">
        <x:v>YES</x:v>
      </x:c>
      <x:c r="F3346" s="61" t="n">
        <x:v>2657.3121091187854</x:v>
      </x:c>
      <x:c r="G3346" s="61" t="n">
        <x:v>63.96160155883979</x:v>
      </x:c>
      <x:c r="H3346" s="27" t="str">
        <x:v>YES</x:v>
      </x:c>
      <x:c r="I3346" s="27" t="str">
        <x:v>NARN shared-node topology; deployable terminal required</x:v>
      </x:c>
      <x:c r="J3346" s="27" t="str">
        <x:v>presence does not prove operability or capacity</x:v>
      </x:c>
    </x:row>
    <x:row r="3347" ht="54" hidden="0" customHeight="1">
      <x:c r="A3347" s="29" t="str">
        <x:v>SCA-27</x:v>
      </x:c>
      <x:c r="B3347" s="29" t="str">
        <x:v>SCA-31</x:v>
      </x:c>
      <x:c r="C3347" s="29" t="str">
        <x:v>Air</x:v>
      </x:c>
      <x:c r="D3347" s="29" t="str">
        <x:v>YES</x:v>
      </x:c>
      <x:c r="E3347" s="29" t="str">
        <x:v>YES</x:v>
      </x:c>
      <x:c r="F3347" s="62" t="n">
        <x:v>2007.0328912526313</x:v>
      </x:c>
      <x:c r="G3347" s="62" t="n">
        <x:v>27.087742909619433</x:v>
      </x:c>
      <x:c r="H3347" s="29" t="str">
        <x:v>YES</x:v>
      </x:c>
      <x:c r="I3347" s="29" t="str">
        <x:v>primary-airport endpoints; great-circle screen</x:v>
      </x:c>
      <x:c r="J3347" s="29" t="str">
        <x:v>presence does not prove operability or capacity</x:v>
      </x:c>
    </x:row>
    <x:row r="3348" ht="75.5999984741211" hidden="0" customHeight="1">
      <x:c r="A3348" s="27" t="str">
        <x:v>SCA-27</x:v>
      </x:c>
      <x:c r="B3348" s="27" t="str">
        <x:v>SCA-31</x:v>
      </x:c>
      <x:c r="C3348" s="27" t="str">
        <x:v>Water</x:v>
      </x:c>
      <x:c r="D3348" s="27" t="str">
        <x:v>YES</x:v>
      </x:c>
      <x:c r="E3348" s="27" t="str">
        <x:v>YES</x:v>
      </x:c>
      <x:c r="F3348" s="61" t="n">
        <x:v>2662.301810880748</x:v>
      </x:c>
      <x:c r="G3348" s="61" t="n">
        <x:v>106.06576602516422</x:v>
      </x:c>
      <x:c r="H3348" s="27" t="str">
        <x:v>NO</x:v>
      </x:c>
      <x:c r="I3348" s="27" t="str">
        <x:v>USACE waterway node topology; deployable terminal required</x:v>
      </x:c>
      <x:c r="J3348" s="27" t="str">
        <x:v>presence does not prove operability or capacity</x:v>
      </x:c>
    </x:row>
    <x:row r="3349" ht="54" hidden="0" customHeight="1">
      <x:c r="A3349" s="29" t="str">
        <x:v>SCA-27</x:v>
      </x:c>
      <x:c r="B3349" s="29" t="str">
        <x:v>SCA-32</x:v>
      </x:c>
      <x:c r="C3349" s="29" t="str">
        <x:v>Road</x:v>
      </x:c>
      <x:c r="D3349" s="29" t="str">
        <x:v>NO</x:v>
      </x:c>
      <x:c r="E3349" s="29" t="str">
        <x:v>NO</x:v>
      </x:c>
      <x:c r="F3349" s="62"/>
      <x:c r="G3349" s="62"/>
      <x:c r="H3349" s="29" t="str">
        <x:v>NO</x:v>
      </x:c>
      <x:c r="I3349" s="29" t="str">
        <x:v>no screened path</x:v>
      </x:c>
      <x:c r="J3349" s="29" t="str">
        <x:v>presence does not prove operability or capacity</x:v>
      </x:c>
    </x:row>
    <x:row r="3350" ht="54" hidden="0" customHeight="1">
      <x:c r="A3350" s="27" t="str">
        <x:v>SCA-27</x:v>
      </x:c>
      <x:c r="B3350" s="27" t="str">
        <x:v>SCA-32</x:v>
      </x:c>
      <x:c r="C3350" s="27" t="str">
        <x:v>Rail</x:v>
      </x:c>
      <x:c r="D3350" s="27" t="str">
        <x:v>NO</x:v>
      </x:c>
      <x:c r="E3350" s="27" t="str">
        <x:v>NO</x:v>
      </x:c>
      <x:c r="F3350" s="61"/>
      <x:c r="G3350" s="61"/>
      <x:c r="H3350" s="27" t="str">
        <x:v>NO</x:v>
      </x:c>
      <x:c r="I3350" s="27" t="str">
        <x:v>no screened path</x:v>
      </x:c>
      <x:c r="J3350" s="27" t="str">
        <x:v>presence does not prove operability or capacity</x:v>
      </x:c>
    </x:row>
    <x:row r="3351" ht="54" hidden="0" customHeight="1">
      <x:c r="A3351" s="29" t="str">
        <x:v>SCA-27</x:v>
      </x:c>
      <x:c r="B3351" s="29" t="str">
        <x:v>SCA-32</x:v>
      </x:c>
      <x:c r="C3351" s="29" t="str">
        <x:v>Air</x:v>
      </x:c>
      <x:c r="D3351" s="29" t="str">
        <x:v>YES</x:v>
      </x:c>
      <x:c r="E3351" s="29" t="str">
        <x:v>YES</x:v>
      </x:c>
      <x:c r="F3351" s="62" t="n">
        <x:v>1699.4395667361046</x:v>
      </x:c>
      <x:c r="G3351" s="62" t="n">
        <x:v>26.614522410363236</x:v>
      </x:c>
      <x:c r="H3351" s="29" t="str">
        <x:v>YES</x:v>
      </x:c>
      <x:c r="I3351" s="29" t="str">
        <x:v>primary-airport endpoints; great-circle screen</x:v>
      </x:c>
      <x:c r="J3351" s="29" t="str">
        <x:v>presence does not prove operability or capacity</x:v>
      </x:c>
    </x:row>
    <x:row r="3352" ht="75.5999984741211" hidden="0" customHeight="1">
      <x:c r="A3352" s="27" t="str">
        <x:v>SCA-27</x:v>
      </x:c>
      <x:c r="B3352" s="27" t="str">
        <x:v>SCA-32</x:v>
      </x:c>
      <x:c r="C3352" s="27" t="str">
        <x:v>Water</x:v>
      </x:c>
      <x:c r="D3352" s="27" t="str">
        <x:v>YES</x:v>
      </x:c>
      <x:c r="E3352" s="27" t="str">
        <x:v>YES</x:v>
      </x:c>
      <x:c r="F3352" s="61" t="n">
        <x:v>2175.282645422214</x:v>
      </x:c>
      <x:c r="G3352" s="61" t="n">
        <x:v>92.15093272634897</x:v>
      </x:c>
      <x:c r="H3352" s="27" t="str">
        <x:v>NO</x:v>
      </x:c>
      <x:c r="I3352" s="27" t="str">
        <x:v>USACE waterway node topology; deployable terminal required</x:v>
      </x:c>
      <x:c r="J3352" s="27" t="str">
        <x:v>presence does not prove operability or capacity</x:v>
      </x:c>
    </x:row>
    <x:row r="3353" ht="54" hidden="0" customHeight="1">
      <x:c r="A3353" s="29" t="str">
        <x:v>SCA-28</x:v>
      </x:c>
      <x:c r="B3353" s="29" t="str">
        <x:v>SCA-01</x:v>
      </x:c>
      <x:c r="C3353" s="29" t="str">
        <x:v>Road</x:v>
      </x:c>
      <x:c r="D3353" s="29" t="str">
        <x:v>NO</x:v>
      </x:c>
      <x:c r="E3353" s="29" t="str">
        <x:v>NO</x:v>
      </x:c>
      <x:c r="F3353" s="62"/>
      <x:c r="G3353" s="62"/>
      <x:c r="H3353" s="29" t="str">
        <x:v>NO</x:v>
      </x:c>
      <x:c r="I3353" s="29" t="str">
        <x:v>no screened path</x:v>
      </x:c>
      <x:c r="J3353" s="29" t="str">
        <x:v>presence does not prove operability or capacity</x:v>
      </x:c>
    </x:row>
    <x:row r="3354" ht="54" hidden="0" customHeight="1">
      <x:c r="A3354" s="27" t="str">
        <x:v>SCA-28</x:v>
      </x:c>
      <x:c r="B3354" s="27" t="str">
        <x:v>SCA-01</x:v>
      </x:c>
      <x:c r="C3354" s="27" t="str">
        <x:v>Rail</x:v>
      </x:c>
      <x:c r="D3354" s="27" t="str">
        <x:v>NO</x:v>
      </x:c>
      <x:c r="E3354" s="27" t="str">
        <x:v>NO</x:v>
      </x:c>
      <x:c r="F3354" s="61"/>
      <x:c r="G3354" s="61"/>
      <x:c r="H3354" s="27" t="str">
        <x:v>NO</x:v>
      </x:c>
      <x:c r="I3354" s="27" t="str">
        <x:v>no screened path</x:v>
      </x:c>
      <x:c r="J3354" s="27" t="str">
        <x:v>presence does not prove operability or capacity</x:v>
      </x:c>
    </x:row>
    <x:row r="3355" ht="54" hidden="0" customHeight="1">
      <x:c r="A3355" s="29" t="str">
        <x:v>SCA-28</x:v>
      </x:c>
      <x:c r="B3355" s="29" t="str">
        <x:v>SCA-01</x:v>
      </x:c>
      <x:c r="C3355" s="29" t="str">
        <x:v>Air</x:v>
      </x:c>
      <x:c r="D3355" s="29" t="str">
        <x:v>YES</x:v>
      </x:c>
      <x:c r="E3355" s="29" t="str">
        <x:v>YES</x:v>
      </x:c>
      <x:c r="F3355" s="62" t="n">
        <x:v>7538.539640031522</x:v>
      </x:c>
      <x:c r="G3355" s="62" t="n">
        <x:v>35.59775329235619</x:v>
      </x:c>
      <x:c r="H3355" s="29" t="str">
        <x:v>YES</x:v>
      </x:c>
      <x:c r="I3355" s="29" t="str">
        <x:v>primary-airport endpoints; great-circle screen</x:v>
      </x:c>
      <x:c r="J3355" s="29" t="str">
        <x:v>presence does not prove operability or capacity</x:v>
      </x:c>
    </x:row>
    <x:row r="3356" ht="75.5999984741211" hidden="0" customHeight="1">
      <x:c r="A3356" s="27" t="str">
        <x:v>SCA-28</x:v>
      </x:c>
      <x:c r="B3356" s="27" t="str">
        <x:v>SCA-01</x:v>
      </x:c>
      <x:c r="C3356" s="27" t="str">
        <x:v>Water</x:v>
      </x:c>
      <x:c r="D3356" s="27" t="str">
        <x:v>YES</x:v>
      </x:c>
      <x:c r="E3356" s="27" t="str">
        <x:v>YES</x:v>
      </x:c>
      <x:c r="F3356" s="61" t="n">
        <x:v>12085.77571187463</x:v>
      </x:c>
      <x:c r="G3356" s="61" t="n">
        <x:v>375.3078774821323</x:v>
      </x:c>
      <x:c r="H3356" s="27" t="str">
        <x:v>NO</x:v>
      </x:c>
      <x:c r="I3356" s="27" t="str">
        <x:v>USACE waterway node topology; deployable terminal required</x:v>
      </x:c>
      <x:c r="J3356" s="27" t="str">
        <x:v>presence does not prove operability or capacity</x:v>
      </x:c>
    </x:row>
    <x:row r="3357" ht="54" hidden="0" customHeight="1">
      <x:c r="A3357" s="29" t="str">
        <x:v>SCA-28</x:v>
      </x:c>
      <x:c r="B3357" s="29" t="str">
        <x:v>SCA-02</x:v>
      </x:c>
      <x:c r="C3357" s="29" t="str">
        <x:v>Road</x:v>
      </x:c>
      <x:c r="D3357" s="29" t="str">
        <x:v>NO</x:v>
      </x:c>
      <x:c r="E3357" s="29" t="str">
        <x:v>NO</x:v>
      </x:c>
      <x:c r="F3357" s="62"/>
      <x:c r="G3357" s="62"/>
      <x:c r="H3357" s="29" t="str">
        <x:v>NO</x:v>
      </x:c>
      <x:c r="I3357" s="29" t="str">
        <x:v>no screened path</x:v>
      </x:c>
      <x:c r="J3357" s="29" t="str">
        <x:v>presence does not prove operability or capacity</x:v>
      </x:c>
    </x:row>
    <x:row r="3358" ht="54" hidden="0" customHeight="1">
      <x:c r="A3358" s="27" t="str">
        <x:v>SCA-28</x:v>
      </x:c>
      <x:c r="B3358" s="27" t="str">
        <x:v>SCA-02</x:v>
      </x:c>
      <x:c r="C3358" s="27" t="str">
        <x:v>Rail</x:v>
      </x:c>
      <x:c r="D3358" s="27" t="str">
        <x:v>NO</x:v>
      </x:c>
      <x:c r="E3358" s="27" t="str">
        <x:v>NO</x:v>
      </x:c>
      <x:c r="F3358" s="61"/>
      <x:c r="G3358" s="61"/>
      <x:c r="H3358" s="27" t="str">
        <x:v>NO</x:v>
      </x:c>
      <x:c r="I3358" s="27" t="str">
        <x:v>no screened path</x:v>
      </x:c>
      <x:c r="J3358" s="27" t="str">
        <x:v>presence does not prove operability or capacity</x:v>
      </x:c>
    </x:row>
    <x:row r="3359" ht="54" hidden="0" customHeight="1">
      <x:c r="A3359" s="29" t="str">
        <x:v>SCA-28</x:v>
      </x:c>
      <x:c r="B3359" s="29" t="str">
        <x:v>SCA-02</x:v>
      </x:c>
      <x:c r="C3359" s="29" t="str">
        <x:v>Air</x:v>
      </x:c>
      <x:c r="D3359" s="29" t="str">
        <x:v>YES</x:v>
      </x:c>
      <x:c r="E3359" s="29" t="str">
        <x:v>YES</x:v>
      </x:c>
      <x:c r="F3359" s="62" t="n">
        <x:v>4961.364543861344</x:v>
      </x:c>
      <x:c r="G3359" s="62" t="n">
        <x:v>31.63286852901745</x:v>
      </x:c>
      <x:c r="H3359" s="29" t="str">
        <x:v>YES</x:v>
      </x:c>
      <x:c r="I3359" s="29" t="str">
        <x:v>primary-airport endpoints; great-circle screen</x:v>
      </x:c>
      <x:c r="J3359" s="29" t="str">
        <x:v>presence does not prove operability or capacity</x:v>
      </x:c>
    </x:row>
    <x:row r="3360" ht="75.5999984741211" hidden="0" customHeight="1">
      <x:c r="A3360" s="27" t="str">
        <x:v>SCA-28</x:v>
      </x:c>
      <x:c r="B3360" s="27" t="str">
        <x:v>SCA-02</x:v>
      </x:c>
      <x:c r="C3360" s="27" t="str">
        <x:v>Water</x:v>
      </x:c>
      <x:c r="D3360" s="27" t="str">
        <x:v>YES</x:v>
      </x:c>
      <x:c r="E3360" s="27" t="str">
        <x:v>YES</x:v>
      </x:c>
      <x:c r="F3360" s="61" t="n">
        <x:v>7571.919336855892</x:v>
      </x:c>
      <x:c r="G3360" s="61" t="n">
        <x:v>246.34055248159692</x:v>
      </x:c>
      <x:c r="H3360" s="27" t="str">
        <x:v>NO</x:v>
      </x:c>
      <x:c r="I3360" s="27" t="str">
        <x:v>USACE waterway node topology; deployable terminal required</x:v>
      </x:c>
      <x:c r="J3360" s="27" t="str">
        <x:v>presence does not prove operability or capacity</x:v>
      </x:c>
    </x:row>
    <x:row r="3361" ht="54" hidden="0" customHeight="1">
      <x:c r="A3361" s="29" t="str">
        <x:v>SCA-28</x:v>
      </x:c>
      <x:c r="B3361" s="29" t="str">
        <x:v>SCA-03</x:v>
      </x:c>
      <x:c r="C3361" s="29" t="str">
        <x:v>Road</x:v>
      </x:c>
      <x:c r="D3361" s="29" t="str">
        <x:v>YES</x:v>
      </x:c>
      <x:c r="E3361" s="29" t="str">
        <x:v>YES</x:v>
      </x:c>
      <x:c r="F3361" s="62" t="n">
        <x:v>4083.2445382960136</x:v>
      </x:c>
      <x:c r="G3361" s="62" t="n">
        <x:v>94.24080978720025</x:v>
      </x:c>
      <x:c r="H3361" s="29" t="str">
        <x:v>NO</x:v>
      </x:c>
      <x:c r="I3361" s="29" t="str">
        <x:v>NHPN-gated shared-boundary SCA path</x:v>
      </x:c>
      <x:c r="J3361" s="29" t="str">
        <x:v>presence does not prove operability or capacity</x:v>
      </x:c>
    </x:row>
    <x:row r="3362" ht="64.80000305175781" hidden="0" customHeight="1">
      <x:c r="A3362" s="27" t="str">
        <x:v>SCA-28</x:v>
      </x:c>
      <x:c r="B3362" s="27" t="str">
        <x:v>SCA-03</x:v>
      </x:c>
      <x:c r="C3362" s="27" t="str">
        <x:v>Rail</x:v>
      </x:c>
      <x:c r="D3362" s="27" t="str">
        <x:v>YES</x:v>
      </x:c>
      <x:c r="E3362" s="27" t="str">
        <x:v>YES</x:v>
      </x:c>
      <x:c r="F3362" s="61" t="n">
        <x:v>4331.78985801838</x:v>
      </x:c>
      <x:c r="G3362" s="61" t="n">
        <x:v>87.88271225740543</x:v>
      </x:c>
      <x:c r="H3362" s="27" t="str">
        <x:v>NO</x:v>
      </x:c>
      <x:c r="I3362" s="27" t="str">
        <x:v>NARN shared-node topology; deployable terminal required</x:v>
      </x:c>
      <x:c r="J3362" s="27" t="str">
        <x:v>presence does not prove operability or capacity</x:v>
      </x:c>
    </x:row>
    <x:row r="3363" ht="54" hidden="0" customHeight="1">
      <x:c r="A3363" s="29" t="str">
        <x:v>SCA-28</x:v>
      </x:c>
      <x:c r="B3363" s="29" t="str">
        <x:v>SCA-03</x:v>
      </x:c>
      <x:c r="C3363" s="29" t="str">
        <x:v>Air</x:v>
      </x:c>
      <x:c r="D3363" s="29" t="str">
        <x:v>YES</x:v>
      </x:c>
      <x:c r="E3363" s="29" t="str">
        <x:v>YES</x:v>
      </x:c>
      <x:c r="F3363" s="62" t="n">
        <x:v>3436.7835009559035</x:v>
      </x:c>
      <x:c r="G3363" s="62" t="n">
        <x:v>29.28735923223985</x:v>
      </x:c>
      <x:c r="H3363" s="29" t="str">
        <x:v>YES</x:v>
      </x:c>
      <x:c r="I3363" s="29" t="str">
        <x:v>primary-airport endpoints; great-circle screen</x:v>
      </x:c>
      <x:c r="J3363" s="29" t="str">
        <x:v>presence does not prove operability or capacity</x:v>
      </x:c>
    </x:row>
    <x:row r="3364" ht="75.5999984741211" hidden="0" customHeight="1">
      <x:c r="A3364" s="27" t="str">
        <x:v>SCA-28</x:v>
      </x:c>
      <x:c r="B3364" s="27" t="str">
        <x:v>SCA-03</x:v>
      </x:c>
      <x:c r="C3364" s="27" t="str">
        <x:v>Water</x:v>
      </x:c>
      <x:c r="D3364" s="27" t="str">
        <x:v>YES</x:v>
      </x:c>
      <x:c r="E3364" s="27" t="str">
        <x:v>YES</x:v>
      </x:c>
      <x:c r="F3364" s="61" t="n">
        <x:v>8695.014399202975</x:v>
      </x:c>
      <x:c r="G3364" s="61" t="n">
        <x:v>278.4289828343707</x:v>
      </x:c>
      <x:c r="H3364" s="27" t="str">
        <x:v>NO</x:v>
      </x:c>
      <x:c r="I3364" s="27" t="str">
        <x:v>USACE waterway node topology; deployable terminal required</x:v>
      </x:c>
      <x:c r="J3364" s="27" t="str">
        <x:v>presence does not prove operability or capacity</x:v>
      </x:c>
    </x:row>
    <x:row r="3365" ht="54" hidden="0" customHeight="1">
      <x:c r="A3365" s="29" t="str">
        <x:v>SCA-28</x:v>
      </x:c>
      <x:c r="B3365" s="29" t="str">
        <x:v>SCA-04</x:v>
      </x:c>
      <x:c r="C3365" s="29" t="str">
        <x:v>Road</x:v>
      </x:c>
      <x:c r="D3365" s="29" t="str">
        <x:v>YES</x:v>
      </x:c>
      <x:c r="E3365" s="29" t="str">
        <x:v>YES</x:v>
      </x:c>
      <x:c r="F3365" s="62" t="n">
        <x:v>4493.753337534787</x:v>
      </x:c>
      <x:c r="G3365" s="62" t="n">
        <x:v>101.70460613699612</x:v>
      </x:c>
      <x:c r="H3365" s="29" t="str">
        <x:v>NO</x:v>
      </x:c>
      <x:c r="I3365" s="29" t="str">
        <x:v>NHPN-gated shared-boundary SCA path</x:v>
      </x:c>
      <x:c r="J3365" s="29" t="str">
        <x:v>presence does not prove operability or capacity</x:v>
      </x:c>
    </x:row>
    <x:row r="3366" ht="64.80000305175781" hidden="0" customHeight="1">
      <x:c r="A3366" s="27" t="str">
        <x:v>SCA-28</x:v>
      </x:c>
      <x:c r="B3366" s="27" t="str">
        <x:v>SCA-04</x:v>
      </x:c>
      <x:c r="C3366" s="27" t="str">
        <x:v>Rail</x:v>
      </x:c>
      <x:c r="D3366" s="27" t="str">
        <x:v>YES</x:v>
      </x:c>
      <x:c r="E3366" s="27" t="str">
        <x:v>YES</x:v>
      </x:c>
      <x:c r="F3366" s="61" t="n">
        <x:v>4767.2861493847295</x:v>
      </x:c>
      <x:c r="G3366" s="61" t="n">
        <x:v>94.10408784835327</x:v>
      </x:c>
      <x:c r="H3366" s="27" t="str">
        <x:v>NO</x:v>
      </x:c>
      <x:c r="I3366" s="27" t="str">
        <x:v>NARN shared-node topology; deployable terminal required</x:v>
      </x:c>
      <x:c r="J3366" s="27" t="str">
        <x:v>presence does not prove operability or capacity</x:v>
      </x:c>
    </x:row>
    <x:row r="3367" ht="54" hidden="0" customHeight="1">
      <x:c r="A3367" s="29" t="str">
        <x:v>SCA-28</x:v>
      </x:c>
      <x:c r="B3367" s="29" t="str">
        <x:v>SCA-04</x:v>
      </x:c>
      <x:c r="C3367" s="29" t="str">
        <x:v>Air</x:v>
      </x:c>
      <x:c r="D3367" s="29" t="str">
        <x:v>YES</x:v>
      </x:c>
      <x:c r="E3367" s="29" t="str">
        <x:v>YES</x:v>
      </x:c>
      <x:c r="F3367" s="62" t="n">
        <x:v>3603.855812355198</x:v>
      </x:c>
      <x:c r="G3367" s="62" t="n">
        <x:v>29.544393557469533</x:v>
      </x:c>
      <x:c r="H3367" s="29" t="str">
        <x:v>YES</x:v>
      </x:c>
      <x:c r="I3367" s="29" t="str">
        <x:v>primary-airport endpoints; great-circle screen</x:v>
      </x:c>
      <x:c r="J3367" s="29" t="str">
        <x:v>presence does not prove operability or capacity</x:v>
      </x:c>
    </x:row>
    <x:row r="3368" ht="75.5999984741211" hidden="0" customHeight="1">
      <x:c r="A3368" s="27" t="str">
        <x:v>SCA-28</x:v>
      </x:c>
      <x:c r="B3368" s="27" t="str">
        <x:v>SCA-04</x:v>
      </x:c>
      <x:c r="C3368" s="27" t="str">
        <x:v>Water</x:v>
      </x:c>
      <x:c r="D3368" s="27" t="str">
        <x:v>YES</x:v>
      </x:c>
      <x:c r="E3368" s="27" t="str">
        <x:v>YES</x:v>
      </x:c>
      <x:c r="F3368" s="61" t="n">
        <x:v>7482.756190822008</x:v>
      </x:c>
      <x:c r="G3368" s="61" t="n">
        <x:v>243.79303402348594</x:v>
      </x:c>
      <x:c r="H3368" s="27" t="str">
        <x:v>NO</x:v>
      </x:c>
      <x:c r="I3368" s="27" t="str">
        <x:v>USACE waterway node topology; deployable terminal required</x:v>
      </x:c>
      <x:c r="J3368" s="27" t="str">
        <x:v>presence does not prove operability or capacity</x:v>
      </x:c>
    </x:row>
    <x:row r="3369" ht="54" hidden="0" customHeight="1">
      <x:c r="A3369" s="29" t="str">
        <x:v>SCA-28</x:v>
      </x:c>
      <x:c r="B3369" s="29" t="str">
        <x:v>SCA-05</x:v>
      </x:c>
      <x:c r="C3369" s="29" t="str">
        <x:v>Road</x:v>
      </x:c>
      <x:c r="D3369" s="29" t="str">
        <x:v>YES</x:v>
      </x:c>
      <x:c r="E3369" s="29" t="str">
        <x:v>YES</x:v>
      </x:c>
      <x:c r="F3369" s="62" t="n">
        <x:v>4402.393187547553</x:v>
      </x:c>
      <x:c r="G3369" s="62" t="n">
        <x:v>100.0435125008646</x:v>
      </x:c>
      <x:c r="H3369" s="29" t="str">
        <x:v>NO</x:v>
      </x:c>
      <x:c r="I3369" s="29" t="str">
        <x:v>NHPN-gated shared-boundary SCA path</x:v>
      </x:c>
      <x:c r="J3369" s="29" t="str">
        <x:v>presence does not prove operability or capacity</x:v>
      </x:c>
    </x:row>
    <x:row r="3370" ht="64.80000305175781" hidden="0" customHeight="1">
      <x:c r="A3370" s="27" t="str">
        <x:v>SCA-28</x:v>
      </x:c>
      <x:c r="B3370" s="27" t="str">
        <x:v>SCA-05</x:v>
      </x:c>
      <x:c r="C3370" s="27" t="str">
        <x:v>Rail</x:v>
      </x:c>
      <x:c r="D3370" s="27" t="str">
        <x:v>YES</x:v>
      </x:c>
      <x:c r="E3370" s="27" t="str">
        <x:v>YES</x:v>
      </x:c>
      <x:c r="F3370" s="61" t="n">
        <x:v>4715.294743351019</x:v>
      </x:c>
      <x:c r="G3370" s="61" t="n">
        <x:v>93.36135347644313</x:v>
      </x:c>
      <x:c r="H3370" s="27" t="str">
        <x:v>NO</x:v>
      </x:c>
      <x:c r="I3370" s="27" t="str">
        <x:v>NARN shared-node topology; deployable terminal required</x:v>
      </x:c>
      <x:c r="J3370" s="27" t="str">
        <x:v>presence does not prove operability or capacity</x:v>
      </x:c>
    </x:row>
    <x:row r="3371" ht="54" hidden="0" customHeight="1">
      <x:c r="A3371" s="29" t="str">
        <x:v>SCA-28</x:v>
      </x:c>
      <x:c r="B3371" s="29" t="str">
        <x:v>SCA-05</x:v>
      </x:c>
      <x:c r="C3371" s="29" t="str">
        <x:v>Air</x:v>
      </x:c>
      <x:c r="D3371" s="29" t="str">
        <x:v>YES</x:v>
      </x:c>
      <x:c r="E3371" s="29" t="str">
        <x:v>YES</x:v>
      </x:c>
      <x:c r="F3371" s="62" t="n">
        <x:v>3480.161900349882</x:v>
      </x:c>
      <x:c r="G3371" s="62" t="n">
        <x:v>29.35409523130751</x:v>
      </x:c>
      <x:c r="H3371" s="29" t="str">
        <x:v>YES</x:v>
      </x:c>
      <x:c r="I3371" s="29" t="str">
        <x:v>primary-airport endpoints; great-circle screen</x:v>
      </x:c>
      <x:c r="J3371" s="29" t="str">
        <x:v>presence does not prove operability or capacity</x:v>
      </x:c>
    </x:row>
    <x:row r="3372" ht="75.5999984741211" hidden="0" customHeight="1">
      <x:c r="A3372" s="27" t="str">
        <x:v>SCA-28</x:v>
      </x:c>
      <x:c r="B3372" s="27" t="str">
        <x:v>SCA-05</x:v>
      </x:c>
      <x:c r="C3372" s="27" t="str">
        <x:v>Water</x:v>
      </x:c>
      <x:c r="D3372" s="27" t="str">
        <x:v>YES</x:v>
      </x:c>
      <x:c r="E3372" s="27" t="str">
        <x:v>YES</x:v>
      </x:c>
      <x:c r="F3372" s="61" t="n">
        <x:v>6826.80277134495</x:v>
      </x:c>
      <x:c r="G3372" s="61" t="n">
        <x:v>225.05150775271287</x:v>
      </x:c>
      <x:c r="H3372" s="27" t="str">
        <x:v>NO</x:v>
      </x:c>
      <x:c r="I3372" s="27" t="str">
        <x:v>USACE waterway node topology; deployable terminal required</x:v>
      </x:c>
      <x:c r="J3372" s="27" t="str">
        <x:v>presence does not prove operability or capacity</x:v>
      </x:c>
    </x:row>
    <x:row r="3373" ht="54" hidden="0" customHeight="1">
      <x:c r="A3373" s="29" t="str">
        <x:v>SCA-28</x:v>
      </x:c>
      <x:c r="B3373" s="29" t="str">
        <x:v>SCA-06</x:v>
      </x:c>
      <x:c r="C3373" s="29" t="str">
        <x:v>Road</x:v>
      </x:c>
      <x:c r="D3373" s="29" t="str">
        <x:v>YES</x:v>
      </x:c>
      <x:c r="E3373" s="29" t="str">
        <x:v>YES</x:v>
      </x:c>
      <x:c r="F3373" s="62" t="n">
        <x:v>4161.635815267429</x:v>
      </x:c>
      <x:c r="G3373" s="62" t="n">
        <x:v>95.66610573213508</x:v>
      </x:c>
      <x:c r="H3373" s="29" t="str">
        <x:v>NO</x:v>
      </x:c>
      <x:c r="I3373" s="29" t="str">
        <x:v>NHPN-gated shared-boundary SCA path</x:v>
      </x:c>
      <x:c r="J3373" s="29" t="str">
        <x:v>presence does not prove operability or capacity</x:v>
      </x:c>
    </x:row>
    <x:row r="3374" ht="64.80000305175781" hidden="0" customHeight="1">
      <x:c r="A3374" s="27" t="str">
        <x:v>SCA-28</x:v>
      </x:c>
      <x:c r="B3374" s="27" t="str">
        <x:v>SCA-06</x:v>
      </x:c>
      <x:c r="C3374" s="27" t="str">
        <x:v>Rail</x:v>
      </x:c>
      <x:c r="D3374" s="27" t="str">
        <x:v>YES</x:v>
      </x:c>
      <x:c r="E3374" s="27" t="str">
        <x:v>YES</x:v>
      </x:c>
      <x:c r="F3374" s="61" t="n">
        <x:v>4459.882574497323</x:v>
      </x:c>
      <x:c r="G3374" s="61" t="n">
        <x:v>89.71260820710461</x:v>
      </x:c>
      <x:c r="H3374" s="27" t="str">
        <x:v>NO</x:v>
      </x:c>
      <x:c r="I3374" s="27" t="str">
        <x:v>NARN shared-node topology; deployable terminal required</x:v>
      </x:c>
      <x:c r="J3374" s="27" t="str">
        <x:v>presence does not prove operability or capacity</x:v>
      </x:c>
    </x:row>
    <x:row r="3375" ht="54" hidden="0" customHeight="1">
      <x:c r="A3375" s="29" t="str">
        <x:v>SCA-28</x:v>
      </x:c>
      <x:c r="B3375" s="29" t="str">
        <x:v>SCA-06</x:v>
      </x:c>
      <x:c r="C3375" s="29" t="str">
        <x:v>Air</x:v>
      </x:c>
      <x:c r="D3375" s="29" t="str">
        <x:v>YES</x:v>
      </x:c>
      <x:c r="E3375" s="29" t="str">
        <x:v>YES</x:v>
      </x:c>
      <x:c r="F3375" s="62" t="n">
        <x:v>3357.1590785733724</x:v>
      </x:c>
      <x:c r="G3375" s="62" t="n">
        <x:v>29.16486012088211</x:v>
      </x:c>
      <x:c r="H3375" s="29" t="str">
        <x:v>YES</x:v>
      </x:c>
      <x:c r="I3375" s="29" t="str">
        <x:v>primary-airport endpoints; great-circle screen</x:v>
      </x:c>
      <x:c r="J3375" s="29" t="str">
        <x:v>presence does not prove operability or capacity</x:v>
      </x:c>
    </x:row>
    <x:row r="3376" ht="75.5999984741211" hidden="0" customHeight="1">
      <x:c r="A3376" s="27" t="str">
        <x:v>SCA-28</x:v>
      </x:c>
      <x:c r="B3376" s="27" t="str">
        <x:v>SCA-06</x:v>
      </x:c>
      <x:c r="C3376" s="27" t="str">
        <x:v>Water</x:v>
      </x:c>
      <x:c r="D3376" s="27" t="str">
        <x:v>YES</x:v>
      </x:c>
      <x:c r="E3376" s="27" t="str">
        <x:v>YES</x:v>
      </x:c>
      <x:c r="F3376" s="61" t="n">
        <x:v>6558.829348285334</x:v>
      </x:c>
      <x:c r="G3376" s="61" t="n">
        <x:v>217.39512423672383</x:v>
      </x:c>
      <x:c r="H3376" s="27" t="str">
        <x:v>NO</x:v>
      </x:c>
      <x:c r="I3376" s="27" t="str">
        <x:v>USACE waterway node topology; deployable terminal required</x:v>
      </x:c>
      <x:c r="J3376" s="27" t="str">
        <x:v>presence does not prove operability or capacity</x:v>
      </x:c>
    </x:row>
    <x:row r="3377" ht="54" hidden="0" customHeight="1">
      <x:c r="A3377" s="29" t="str">
        <x:v>SCA-28</x:v>
      </x:c>
      <x:c r="B3377" s="29" t="str">
        <x:v>SCA-07</x:v>
      </x:c>
      <x:c r="C3377" s="29" t="str">
        <x:v>Road</x:v>
      </x:c>
      <x:c r="D3377" s="29" t="str">
        <x:v>YES</x:v>
      </x:c>
      <x:c r="E3377" s="29" t="str">
        <x:v>YES</x:v>
      </x:c>
      <x:c r="F3377" s="62" t="n">
        <x:v>4106.297286902681</x:v>
      </x:c>
      <x:c r="G3377" s="62" t="n">
        <x:v>94.65995067095783</x:v>
      </x:c>
      <x:c r="H3377" s="29" t="str">
        <x:v>NO</x:v>
      </x:c>
      <x:c r="I3377" s="29" t="str">
        <x:v>NHPN-gated shared-boundary SCA path</x:v>
      </x:c>
      <x:c r="J3377" s="29" t="str">
        <x:v>presence does not prove operability or capacity</x:v>
      </x:c>
    </x:row>
    <x:row r="3378" ht="64.80000305175781" hidden="0" customHeight="1">
      <x:c r="A3378" s="27" t="str">
        <x:v>SCA-28</x:v>
      </x:c>
      <x:c r="B3378" s="27" t="str">
        <x:v>SCA-07</x:v>
      </x:c>
      <x:c r="C3378" s="27" t="str">
        <x:v>Rail</x:v>
      </x:c>
      <x:c r="D3378" s="27" t="str">
        <x:v>YES</x:v>
      </x:c>
      <x:c r="E3378" s="27" t="str">
        <x:v>YES</x:v>
      </x:c>
      <x:c r="F3378" s="61" t="n">
        <x:v>4356.245817409801</x:v>
      </x:c>
      <x:c r="G3378" s="61" t="n">
        <x:v>88.2320831058543</x:v>
      </x:c>
      <x:c r="H3378" s="27" t="str">
        <x:v>NO</x:v>
      </x:c>
      <x:c r="I3378" s="27" t="str">
        <x:v>NARN shared-node topology; deployable terminal required</x:v>
      </x:c>
      <x:c r="J3378" s="27" t="str">
        <x:v>presence does not prove operability or capacity</x:v>
      </x:c>
    </x:row>
    <x:row r="3379" ht="54" hidden="0" customHeight="1">
      <x:c r="A3379" s="29" t="str">
        <x:v>SCA-28</x:v>
      </x:c>
      <x:c r="B3379" s="29" t="str">
        <x:v>SCA-07</x:v>
      </x:c>
      <x:c r="C3379" s="29" t="str">
        <x:v>Air</x:v>
      </x:c>
      <x:c r="D3379" s="29" t="str">
        <x:v>YES</x:v>
      </x:c>
      <x:c r="E3379" s="29" t="str">
        <x:v>YES</x:v>
      </x:c>
      <x:c r="F3379" s="62" t="n">
        <x:v>3170.626074380347</x:v>
      </x:c>
      <x:c r="G3379" s="62" t="n">
        <x:v>28.877886268277457</x:v>
      </x:c>
      <x:c r="H3379" s="29" t="str">
        <x:v>YES</x:v>
      </x:c>
      <x:c r="I3379" s="29" t="str">
        <x:v>primary-airport endpoints; great-circle screen</x:v>
      </x:c>
      <x:c r="J3379" s="29" t="str">
        <x:v>presence does not prove operability or capacity</x:v>
      </x:c>
    </x:row>
    <x:row r="3380" ht="64.80000305175781" hidden="0" customHeight="1">
      <x:c r="A3380" s="27" t="str">
        <x:v>SCA-28</x:v>
      </x:c>
      <x:c r="B3380" s="27" t="str">
        <x:v>SCA-07</x:v>
      </x:c>
      <x:c r="C3380" s="27" t="str">
        <x:v>Water</x:v>
      </x:c>
      <x:c r="D3380" s="27" t="str">
        <x:v>YES</x:v>
      </x:c>
      <x:c r="E3380" s="27" t="str">
        <x:v>YES</x:v>
      </x:c>
      <x:c r="F3380" s="61" t="n">
        <x:v>3963.2825929754335</x:v>
      </x:c>
      <x:c r="G3380" s="61" t="n">
        <x:v>143.23664551358382</x:v>
      </x:c>
      <x:c r="H3380" s="27" t="str">
        <x:v>NO</x:v>
      </x:c>
      <x:c r="I3380" s="27" t="str">
        <x:v>observed water terminals; maritime great-circle screen</x:v>
      </x:c>
      <x:c r="J3380" s="27" t="str">
        <x:v>presence does not prove operability or capacity</x:v>
      </x:c>
    </x:row>
    <x:row r="3381" ht="54" hidden="0" customHeight="1">
      <x:c r="A3381" s="29" t="str">
        <x:v>SCA-28</x:v>
      </x:c>
      <x:c r="B3381" s="29" t="str">
        <x:v>SCA-08</x:v>
      </x:c>
      <x:c r="C3381" s="29" t="str">
        <x:v>Road</x:v>
      </x:c>
      <x:c r="D3381" s="29" t="str">
        <x:v>YES</x:v>
      </x:c>
      <x:c r="E3381" s="29" t="str">
        <x:v>YES</x:v>
      </x:c>
      <x:c r="F3381" s="62" t="n">
        <x:v>3438.5896632235035</x:v>
      </x:c>
      <x:c r="G3381" s="62" t="n">
        <x:v>82.51981205860915</x:v>
      </x:c>
      <x:c r="H3381" s="29" t="str">
        <x:v>NO</x:v>
      </x:c>
      <x:c r="I3381" s="29" t="str">
        <x:v>NHPN-gated shared-boundary SCA path</x:v>
      </x:c>
      <x:c r="J3381" s="29" t="str">
        <x:v>presence does not prove operability or capacity</x:v>
      </x:c>
    </x:row>
    <x:row r="3382" ht="64.80000305175781" hidden="0" customHeight="1">
      <x:c r="A3382" s="27" t="str">
        <x:v>SCA-28</x:v>
      </x:c>
      <x:c r="B3382" s="27" t="str">
        <x:v>SCA-08</x:v>
      </x:c>
      <x:c r="C3382" s="27" t="str">
        <x:v>Rail</x:v>
      </x:c>
      <x:c r="D3382" s="27" t="str">
        <x:v>YES</x:v>
      </x:c>
      <x:c r="E3382" s="27" t="str">
        <x:v>YES</x:v>
      </x:c>
      <x:c r="F3382" s="61" t="n">
        <x:v>3647.8951209849347</x:v>
      </x:c>
      <x:c r="G3382" s="61" t="n">
        <x:v>78.11278744264192</x:v>
      </x:c>
      <x:c r="H3382" s="27" t="str">
        <x:v>NO</x:v>
      </x:c>
      <x:c r="I3382" s="27" t="str">
        <x:v>NARN shared-node topology; deployable terminal required</x:v>
      </x:c>
      <x:c r="J3382" s="27" t="str">
        <x:v>presence does not prove operability or capacity</x:v>
      </x:c>
    </x:row>
    <x:row r="3383" ht="54" hidden="0" customHeight="1">
      <x:c r="A3383" s="29" t="str">
        <x:v>SCA-28</x:v>
      </x:c>
      <x:c r="B3383" s="29" t="str">
        <x:v>SCA-08</x:v>
      </x:c>
      <x:c r="C3383" s="29" t="str">
        <x:v>Air</x:v>
      </x:c>
      <x:c r="D3383" s="29" t="str">
        <x:v>YES</x:v>
      </x:c>
      <x:c r="E3383" s="29" t="str">
        <x:v>YES</x:v>
      </x:c>
      <x:c r="F3383" s="62" t="n">
        <x:v>2930.310038061673</x:v>
      </x:c>
      <x:c r="G3383" s="62" t="n">
        <x:v>28.50816928932565</x:v>
      </x:c>
      <x:c r="H3383" s="29" t="str">
        <x:v>YES</x:v>
      </x:c>
      <x:c r="I3383" s="29" t="str">
        <x:v>primary-airport endpoints; great-circle screen</x:v>
      </x:c>
      <x:c r="J3383" s="29" t="str">
        <x:v>presence does not prove operability or capacity</x:v>
      </x:c>
    </x:row>
    <x:row r="3384" ht="75.5999984741211" hidden="0" customHeight="1">
      <x:c r="A3384" s="27" t="str">
        <x:v>SCA-28</x:v>
      </x:c>
      <x:c r="B3384" s="27" t="str">
        <x:v>SCA-08</x:v>
      </x:c>
      <x:c r="C3384" s="27" t="str">
        <x:v>Water</x:v>
      </x:c>
      <x:c r="D3384" s="27" t="str">
        <x:v>YES</x:v>
      </x:c>
      <x:c r="E3384" s="27" t="str">
        <x:v>YES</x:v>
      </x:c>
      <x:c r="F3384" s="61" t="n">
        <x:v>9412.543303631508</x:v>
      </x:c>
      <x:c r="G3384" s="61" t="n">
        <x:v>298.92980867518594</x:v>
      </x:c>
      <x:c r="H3384" s="27" t="str">
        <x:v>NO</x:v>
      </x:c>
      <x:c r="I3384" s="27" t="str">
        <x:v>USACE waterway node topology; deployable terminal required</x:v>
      </x:c>
      <x:c r="J3384" s="27" t="str">
        <x:v>presence does not prove operability or capacity</x:v>
      </x:c>
    </x:row>
    <x:row r="3385" ht="54" hidden="0" customHeight="1">
      <x:c r="A3385" s="29" t="str">
        <x:v>SCA-28</x:v>
      </x:c>
      <x:c r="B3385" s="29" t="str">
        <x:v>SCA-09</x:v>
      </x:c>
      <x:c r="C3385" s="29" t="str">
        <x:v>Road</x:v>
      </x:c>
      <x:c r="D3385" s="29" t="str">
        <x:v>YES</x:v>
      </x:c>
      <x:c r="E3385" s="29" t="str">
        <x:v>YES</x:v>
      </x:c>
      <x:c r="F3385" s="62" t="n">
        <x:v>3711.9163635055984</x:v>
      </x:c>
      <x:c r="G3385" s="62" t="n">
        <x:v>87.48938842737452</x:v>
      </x:c>
      <x:c r="H3385" s="29" t="str">
        <x:v>NO</x:v>
      </x:c>
      <x:c r="I3385" s="29" t="str">
        <x:v>NHPN-gated shared-boundary SCA path</x:v>
      </x:c>
      <x:c r="J3385" s="29" t="str">
        <x:v>presence does not prove operability or capacity</x:v>
      </x:c>
    </x:row>
    <x:row r="3386" ht="64.80000305175781" hidden="0" customHeight="1">
      <x:c r="A3386" s="27" t="str">
        <x:v>SCA-28</x:v>
      </x:c>
      <x:c r="B3386" s="27" t="str">
        <x:v>SCA-09</x:v>
      </x:c>
      <x:c r="C3386" s="27" t="str">
        <x:v>Rail</x:v>
      </x:c>
      <x:c r="D3386" s="27" t="str">
        <x:v>YES</x:v>
      </x:c>
      <x:c r="E3386" s="27" t="str">
        <x:v>YES</x:v>
      </x:c>
      <x:c r="F3386" s="61" t="n">
        <x:v>3982.7888952369453</x:v>
      </x:c>
      <x:c r="G3386" s="61" t="n">
        <x:v>82.89698421767065</x:v>
      </x:c>
      <x:c r="H3386" s="27" t="str">
        <x:v>NO</x:v>
      </x:c>
      <x:c r="I3386" s="27" t="str">
        <x:v>NARN shared-node topology; deployable terminal required</x:v>
      </x:c>
      <x:c r="J3386" s="27" t="str">
        <x:v>presence does not prove operability or capacity</x:v>
      </x:c>
    </x:row>
    <x:row r="3387" ht="54" hidden="0" customHeight="1">
      <x:c r="A3387" s="29" t="str">
        <x:v>SCA-28</x:v>
      </x:c>
      <x:c r="B3387" s="29" t="str">
        <x:v>SCA-09</x:v>
      </x:c>
      <x:c r="C3387" s="29" t="str">
        <x:v>Air</x:v>
      </x:c>
      <x:c r="D3387" s="29" t="str">
        <x:v>YES</x:v>
      </x:c>
      <x:c r="E3387" s="29" t="str">
        <x:v>YES</x:v>
      </x:c>
      <x:c r="F3387" s="62" t="n">
        <x:v>3005.953370607002</x:v>
      </x:c>
      <x:c r="G3387" s="62" t="n">
        <x:v>28.624543647087695</x:v>
      </x:c>
      <x:c r="H3387" s="29" t="str">
        <x:v>YES</x:v>
      </x:c>
      <x:c r="I3387" s="29" t="str">
        <x:v>primary-airport endpoints; great-circle screen</x:v>
      </x:c>
      <x:c r="J3387" s="29" t="str">
        <x:v>presence does not prove operability or capacity</x:v>
      </x:c>
    </x:row>
    <x:row r="3388" ht="54" hidden="0" customHeight="1">
      <x:c r="A3388" s="27" t="str">
        <x:v>SCA-28</x:v>
      </x:c>
      <x:c r="B3388" s="27" t="str">
        <x:v>SCA-09</x:v>
      </x:c>
      <x:c r="C3388" s="27" t="str">
        <x:v>Water</x:v>
      </x:c>
      <x:c r="D3388" s="27" t="str">
        <x:v>NO</x:v>
      </x:c>
      <x:c r="E3388" s="27" t="str">
        <x:v>NO</x:v>
      </x:c>
      <x:c r="F3388" s="61"/>
      <x:c r="G3388" s="61"/>
      <x:c r="H3388" s="27" t="str">
        <x:v>NO</x:v>
      </x:c>
      <x:c r="I3388" s="27" t="str">
        <x:v>no screened path</x:v>
      </x:c>
      <x:c r="J3388" s="27" t="str">
        <x:v>presence does not prove operability or capacity</x:v>
      </x:c>
    </x:row>
    <x:row r="3389" ht="54" hidden="0" customHeight="1">
      <x:c r="A3389" s="29" t="str">
        <x:v>SCA-28</x:v>
      </x:c>
      <x:c r="B3389" s="29" t="str">
        <x:v>SCA-10</x:v>
      </x:c>
      <x:c r="C3389" s="29" t="str">
        <x:v>Road</x:v>
      </x:c>
      <x:c r="D3389" s="29" t="str">
        <x:v>YES</x:v>
      </x:c>
      <x:c r="E3389" s="29" t="str">
        <x:v>YES</x:v>
      </x:c>
      <x:c r="F3389" s="62" t="n">
        <x:v>3292.097984293226</x:v>
      </x:c>
      <x:c r="G3389" s="62" t="n">
        <x:v>79.85632698714957</x:v>
      </x:c>
      <x:c r="H3389" s="29" t="str">
        <x:v>NO</x:v>
      </x:c>
      <x:c r="I3389" s="29" t="str">
        <x:v>NHPN-gated shared-boundary SCA path</x:v>
      </x:c>
      <x:c r="J3389" s="29" t="str">
        <x:v>presence does not prove operability or capacity</x:v>
      </x:c>
    </x:row>
    <x:row r="3390" ht="64.80000305175781" hidden="0" customHeight="1">
      <x:c r="A3390" s="27" t="str">
        <x:v>SCA-28</x:v>
      </x:c>
      <x:c r="B3390" s="27" t="str">
        <x:v>SCA-10</x:v>
      </x:c>
      <x:c r="C3390" s="27" t="str">
        <x:v>Rail</x:v>
      </x:c>
      <x:c r="D3390" s="27" t="str">
        <x:v>YES</x:v>
      </x:c>
      <x:c r="E3390" s="27" t="str">
        <x:v>YES</x:v>
      </x:c>
      <x:c r="F3390" s="61" t="n">
        <x:v>3492.486557250206</x:v>
      </x:c>
      <x:c r="G3390" s="61" t="n">
        <x:v>75.89266510357436</x:v>
      </x:c>
      <x:c r="H3390" s="27" t="str">
        <x:v>NO</x:v>
      </x:c>
      <x:c r="I3390" s="27" t="str">
        <x:v>NARN shared-node topology; deployable terminal required</x:v>
      </x:c>
      <x:c r="J3390" s="27" t="str">
        <x:v>presence does not prove operability or capacity</x:v>
      </x:c>
    </x:row>
    <x:row r="3391" ht="54" hidden="0" customHeight="1">
      <x:c r="A3391" s="29" t="str">
        <x:v>SCA-28</x:v>
      </x:c>
      <x:c r="B3391" s="29" t="str">
        <x:v>SCA-10</x:v>
      </x:c>
      <x:c r="C3391" s="29" t="str">
        <x:v>Air</x:v>
      </x:c>
      <x:c r="D3391" s="29" t="str">
        <x:v>YES</x:v>
      </x:c>
      <x:c r="E3391" s="29" t="str">
        <x:v>YES</x:v>
      </x:c>
      <x:c r="F3391" s="62" t="n">
        <x:v>2678.2991747775727</x:v>
      </x:c>
      <x:c r="G3391" s="62" t="n">
        <x:v>28.12046026888857</x:v>
      </x:c>
      <x:c r="H3391" s="29" t="str">
        <x:v>YES</x:v>
      </x:c>
      <x:c r="I3391" s="29" t="str">
        <x:v>primary-airport endpoints; great-circle screen</x:v>
      </x:c>
      <x:c r="J3391" s="29" t="str">
        <x:v>presence does not prove operability or capacity</x:v>
      </x:c>
    </x:row>
    <x:row r="3392" ht="54" hidden="0" customHeight="1">
      <x:c r="A3392" s="27" t="str">
        <x:v>SCA-28</x:v>
      </x:c>
      <x:c r="B3392" s="27" t="str">
        <x:v>SCA-10</x:v>
      </x:c>
      <x:c r="C3392" s="27" t="str">
        <x:v>Water</x:v>
      </x:c>
      <x:c r="D3392" s="27" t="str">
        <x:v>NO</x:v>
      </x:c>
      <x:c r="E3392" s="27" t="str">
        <x:v>NO</x:v>
      </x:c>
      <x:c r="F3392" s="61"/>
      <x:c r="G3392" s="61"/>
      <x:c r="H3392" s="27" t="str">
        <x:v>NO</x:v>
      </x:c>
      <x:c r="I3392" s="27" t="str">
        <x:v>no screened path</x:v>
      </x:c>
      <x:c r="J3392" s="27" t="str">
        <x:v>presence does not prove operability or capacity</x:v>
      </x:c>
    </x:row>
    <x:row r="3393" ht="54" hidden="0" customHeight="1">
      <x:c r="A3393" s="29" t="str">
        <x:v>SCA-28</x:v>
      </x:c>
      <x:c r="B3393" s="29" t="str">
        <x:v>SCA-11</x:v>
      </x:c>
      <x:c r="C3393" s="29" t="str">
        <x:v>Road</x:v>
      </x:c>
      <x:c r="D3393" s="29" t="str">
        <x:v>YES</x:v>
      </x:c>
      <x:c r="E3393" s="29" t="str">
        <x:v>YES</x:v>
      </x:c>
      <x:c r="F3393" s="62" t="n">
        <x:v>3002.5158694504607</x:v>
      </x:c>
      <x:c r="G3393" s="62" t="n">
        <x:v>74.59119762637201</x:v>
      </x:c>
      <x:c r="H3393" s="29" t="str">
        <x:v>NO</x:v>
      </x:c>
      <x:c r="I3393" s="29" t="str">
        <x:v>NHPN-gated shared-boundary SCA path</x:v>
      </x:c>
      <x:c r="J3393" s="29" t="str">
        <x:v>presence does not prove operability or capacity</x:v>
      </x:c>
    </x:row>
    <x:row r="3394" ht="64.80000305175781" hidden="0" customHeight="1">
      <x:c r="A3394" s="27" t="str">
        <x:v>SCA-28</x:v>
      </x:c>
      <x:c r="B3394" s="27" t="str">
        <x:v>SCA-11</x:v>
      </x:c>
      <x:c r="C3394" s="27" t="str">
        <x:v>Rail</x:v>
      </x:c>
      <x:c r="D3394" s="27" t="str">
        <x:v>YES</x:v>
      </x:c>
      <x:c r="E3394" s="27" t="str">
        <x:v>YES</x:v>
      </x:c>
      <x:c r="F3394" s="61" t="n">
        <x:v>3185.277704982228</x:v>
      </x:c>
      <x:c r="G3394" s="61" t="n">
        <x:v>71.50396721403183</x:v>
      </x:c>
      <x:c r="H3394" s="27" t="str">
        <x:v>YES</x:v>
      </x:c>
      <x:c r="I3394" s="27" t="str">
        <x:v>NARN shared-node topology; deployable terminal required</x:v>
      </x:c>
      <x:c r="J3394" s="27" t="str">
        <x:v>presence does not prove operability or capacity</x:v>
      </x:c>
    </x:row>
    <x:row r="3395" ht="54" hidden="0" customHeight="1">
      <x:c r="A3395" s="29" t="str">
        <x:v>SCA-28</x:v>
      </x:c>
      <x:c r="B3395" s="29" t="str">
        <x:v>SCA-11</x:v>
      </x:c>
      <x:c r="C3395" s="29" t="str">
        <x:v>Air</x:v>
      </x:c>
      <x:c r="D3395" s="29" t="str">
        <x:v>YES</x:v>
      </x:c>
      <x:c r="E3395" s="29" t="str">
        <x:v>YES</x:v>
      </x:c>
      <x:c r="F3395" s="62" t="n">
        <x:v>2417.563648872542</x:v>
      </x:c>
      <x:c r="G3395" s="62" t="n">
        <x:v>27.719328690573143</x:v>
      </x:c>
      <x:c r="H3395" s="29" t="str">
        <x:v>YES</x:v>
      </x:c>
      <x:c r="I3395" s="29" t="str">
        <x:v>primary-airport endpoints; great-circle screen</x:v>
      </x:c>
      <x:c r="J3395" s="29" t="str">
        <x:v>presence does not prove operability or capacity</x:v>
      </x:c>
    </x:row>
    <x:row r="3396" ht="54" hidden="0" customHeight="1">
      <x:c r="A3396" s="27" t="str">
        <x:v>SCA-28</x:v>
      </x:c>
      <x:c r="B3396" s="27" t="str">
        <x:v>SCA-11</x:v>
      </x:c>
      <x:c r="C3396" s="27" t="str">
        <x:v>Water</x:v>
      </x:c>
      <x:c r="D3396" s="27" t="str">
        <x:v>NO</x:v>
      </x:c>
      <x:c r="E3396" s="27" t="str">
        <x:v>NO</x:v>
      </x:c>
      <x:c r="F3396" s="61"/>
      <x:c r="G3396" s="61"/>
      <x:c r="H3396" s="27" t="str">
        <x:v>NO</x:v>
      </x:c>
      <x:c r="I3396" s="27" t="str">
        <x:v>no screened path</x:v>
      </x:c>
      <x:c r="J3396" s="27" t="str">
        <x:v>presence does not prove operability or capacity</x:v>
      </x:c>
    </x:row>
    <x:row r="3397" ht="54" hidden="0" customHeight="1">
      <x:c r="A3397" s="29" t="str">
        <x:v>SCA-28</x:v>
      </x:c>
      <x:c r="B3397" s="29" t="str">
        <x:v>SCA-12</x:v>
      </x:c>
      <x:c r="C3397" s="29" t="str">
        <x:v>Road</x:v>
      </x:c>
      <x:c r="D3397" s="29" t="str">
        <x:v>YES</x:v>
      </x:c>
      <x:c r="E3397" s="29" t="str">
        <x:v>YES</x:v>
      </x:c>
      <x:c r="F3397" s="62" t="n">
        <x:v>2615.840022046784</x:v>
      </x:c>
      <x:c r="G3397" s="62" t="n">
        <x:v>67.56072767357789</x:v>
      </x:c>
      <x:c r="H3397" s="29" t="str">
        <x:v>YES</x:v>
      </x:c>
      <x:c r="I3397" s="29" t="str">
        <x:v>NHPN-gated shared-boundary SCA path</x:v>
      </x:c>
      <x:c r="J3397" s="29" t="str">
        <x:v>presence does not prove operability or capacity</x:v>
      </x:c>
    </x:row>
    <x:row r="3398" ht="64.80000305175781" hidden="0" customHeight="1">
      <x:c r="A3398" s="27" t="str">
        <x:v>SCA-28</x:v>
      </x:c>
      <x:c r="B3398" s="27" t="str">
        <x:v>SCA-12</x:v>
      </x:c>
      <x:c r="C3398" s="27" t="str">
        <x:v>Rail</x:v>
      </x:c>
      <x:c r="D3398" s="27" t="str">
        <x:v>YES</x:v>
      </x:c>
      <x:c r="E3398" s="27" t="str">
        <x:v>YES</x:v>
      </x:c>
      <x:c r="F3398" s="61" t="n">
        <x:v>2775.0650668670232</x:v>
      </x:c>
      <x:c r="G3398" s="61" t="n">
        <x:v>65.64378666952891</x:v>
      </x:c>
      <x:c r="H3398" s="27" t="str">
        <x:v>YES</x:v>
      </x:c>
      <x:c r="I3398" s="27" t="str">
        <x:v>NARN shared-node topology; deployable terminal required</x:v>
      </x:c>
      <x:c r="J3398" s="27" t="str">
        <x:v>presence does not prove operability or capacity</x:v>
      </x:c>
    </x:row>
    <x:row r="3399" ht="54" hidden="0" customHeight="1">
      <x:c r="A3399" s="29" t="str">
        <x:v>SCA-28</x:v>
      </x:c>
      <x:c r="B3399" s="29" t="str">
        <x:v>SCA-12</x:v>
      </x:c>
      <x:c r="C3399" s="29" t="str">
        <x:v>Air</x:v>
      </x:c>
      <x:c r="D3399" s="29" t="str">
        <x:v>YES</x:v>
      </x:c>
      <x:c r="E3399" s="29" t="str">
        <x:v>YES</x:v>
      </x:c>
      <x:c r="F3399" s="62" t="n">
        <x:v>2166.15573332884</x:v>
      </x:c>
      <x:c r="G3399" s="62" t="n">
        <x:v>27.33254728204437</x:v>
      </x:c>
      <x:c r="H3399" s="29" t="str">
        <x:v>YES</x:v>
      </x:c>
      <x:c r="I3399" s="29" t="str">
        <x:v>primary-airport endpoints; great-circle screen</x:v>
      </x:c>
      <x:c r="J3399" s="29" t="str">
        <x:v>presence does not prove operability or capacity</x:v>
      </x:c>
    </x:row>
    <x:row r="3400" ht="54" hidden="0" customHeight="1">
      <x:c r="A3400" s="27" t="str">
        <x:v>SCA-28</x:v>
      </x:c>
      <x:c r="B3400" s="27" t="str">
        <x:v>SCA-12</x:v>
      </x:c>
      <x:c r="C3400" s="27" t="str">
        <x:v>Water</x:v>
      </x:c>
      <x:c r="D3400" s="27" t="str">
        <x:v>NO</x:v>
      </x:c>
      <x:c r="E3400" s="27" t="str">
        <x:v>NO</x:v>
      </x:c>
      <x:c r="F3400" s="61"/>
      <x:c r="G3400" s="61"/>
      <x:c r="H3400" s="27" t="str">
        <x:v>NO</x:v>
      </x:c>
      <x:c r="I3400" s="27" t="str">
        <x:v>no screened path</x:v>
      </x:c>
      <x:c r="J3400" s="27" t="str">
        <x:v>presence does not prove operability or capacity</x:v>
      </x:c>
    </x:row>
    <x:row r="3401" ht="54" hidden="0" customHeight="1">
      <x:c r="A3401" s="29" t="str">
        <x:v>SCA-28</x:v>
      </x:c>
      <x:c r="B3401" s="29" t="str">
        <x:v>SCA-13</x:v>
      </x:c>
      <x:c r="C3401" s="29" t="str">
        <x:v>Road</x:v>
      </x:c>
      <x:c r="D3401" s="29" t="str">
        <x:v>NO</x:v>
      </x:c>
      <x:c r="E3401" s="29" t="str">
        <x:v>NO</x:v>
      </x:c>
      <x:c r="F3401" s="62"/>
      <x:c r="G3401" s="62"/>
      <x:c r="H3401" s="29" t="str">
        <x:v>NO</x:v>
      </x:c>
      <x:c r="I3401" s="29" t="str">
        <x:v>no screened path</x:v>
      </x:c>
      <x:c r="J3401" s="29" t="str">
        <x:v>presence does not prove operability or capacity</x:v>
      </x:c>
    </x:row>
    <x:row r="3402" ht="64.80000305175781" hidden="0" customHeight="1">
      <x:c r="A3402" s="27" t="str">
        <x:v>SCA-28</x:v>
      </x:c>
      <x:c r="B3402" s="27" t="str">
        <x:v>SCA-13</x:v>
      </x:c>
      <x:c r="C3402" s="27" t="str">
        <x:v>Rail</x:v>
      </x:c>
      <x:c r="D3402" s="27" t="str">
        <x:v>YES</x:v>
      </x:c>
      <x:c r="E3402" s="27" t="str">
        <x:v>YES</x:v>
      </x:c>
      <x:c r="F3402" s="61" t="n">
        <x:v>2648.747857925138</x:v>
      </x:c>
      <x:c r="G3402" s="61" t="n">
        <x:v>63.839255113216254</x:v>
      </x:c>
      <x:c r="H3402" s="27" t="str">
        <x:v>YES</x:v>
      </x:c>
      <x:c r="I3402" s="27" t="str">
        <x:v>NARN shared-node topology; deployable terminal required</x:v>
      </x:c>
      <x:c r="J3402" s="27" t="str">
        <x:v>presence does not prove operability or capacity</x:v>
      </x:c>
    </x:row>
    <x:row r="3403" ht="54" hidden="0" customHeight="1">
      <x:c r="A3403" s="29" t="str">
        <x:v>SCA-28</x:v>
      </x:c>
      <x:c r="B3403" s="29" t="str">
        <x:v>SCA-13</x:v>
      </x:c>
      <x:c r="C3403" s="29" t="str">
        <x:v>Air</x:v>
      </x:c>
      <x:c r="D3403" s="29" t="str">
        <x:v>YES</x:v>
      </x:c>
      <x:c r="E3403" s="29" t="str">
        <x:v>YES</x:v>
      </x:c>
      <x:c r="F3403" s="62" t="n">
        <x:v>2053.693979142265</x:v>
      </x:c>
      <x:c r="G3403" s="62" t="n">
        <x:v>27.159529198680406</x:v>
      </x:c>
      <x:c r="H3403" s="29" t="str">
        <x:v>YES</x:v>
      </x:c>
      <x:c r="I3403" s="29" t="str">
        <x:v>primary-airport endpoints; great-circle screen</x:v>
      </x:c>
      <x:c r="J3403" s="29" t="str">
        <x:v>presence does not prove operability or capacity</x:v>
      </x:c>
    </x:row>
    <x:row r="3404" ht="75.5999984741211" hidden="0" customHeight="1">
      <x:c r="A3404" s="27" t="str">
        <x:v>SCA-28</x:v>
      </x:c>
      <x:c r="B3404" s="27" t="str">
        <x:v>SCA-13</x:v>
      </x:c>
      <x:c r="C3404" s="27" t="str">
        <x:v>Water</x:v>
      </x:c>
      <x:c r="D3404" s="27" t="str">
        <x:v>YES</x:v>
      </x:c>
      <x:c r="E3404" s="27" t="str">
        <x:v>YES</x:v>
      </x:c>
      <x:c r="F3404" s="61" t="n">
        <x:v>2779.014146019817</x:v>
      </x:c>
      <x:c r="G3404" s="61" t="n">
        <x:v>109.40040417199477</x:v>
      </x:c>
      <x:c r="H3404" s="27" t="str">
        <x:v>NO</x:v>
      </x:c>
      <x:c r="I3404" s="27" t="str">
        <x:v>USACE waterway node topology; deployable terminal required</x:v>
      </x:c>
      <x:c r="J3404" s="27" t="str">
        <x:v>presence does not prove operability or capacity</x:v>
      </x:c>
    </x:row>
    <x:row r="3405" ht="54" hidden="0" customHeight="1">
      <x:c r="A3405" s="29" t="str">
        <x:v>SCA-28</x:v>
      </x:c>
      <x:c r="B3405" s="29" t="str">
        <x:v>SCA-14</x:v>
      </x:c>
      <x:c r="C3405" s="29" t="str">
        <x:v>Road</x:v>
      </x:c>
      <x:c r="D3405" s="29" t="str">
        <x:v>NO</x:v>
      </x:c>
      <x:c r="E3405" s="29" t="str">
        <x:v>NO</x:v>
      </x:c>
      <x:c r="F3405" s="62"/>
      <x:c r="G3405" s="62"/>
      <x:c r="H3405" s="29" t="str">
        <x:v>NO</x:v>
      </x:c>
      <x:c r="I3405" s="29" t="str">
        <x:v>no screened path</x:v>
      </x:c>
      <x:c r="J3405" s="29" t="str">
        <x:v>presence does not prove operability or capacity</x:v>
      </x:c>
    </x:row>
    <x:row r="3406" ht="64.80000305175781" hidden="0" customHeight="1">
      <x:c r="A3406" s="27" t="str">
        <x:v>SCA-28</x:v>
      </x:c>
      <x:c r="B3406" s="27" t="str">
        <x:v>SCA-14</x:v>
      </x:c>
      <x:c r="C3406" s="27" t="str">
        <x:v>Rail</x:v>
      </x:c>
      <x:c r="D3406" s="27" t="str">
        <x:v>YES</x:v>
      </x:c>
      <x:c r="E3406" s="27" t="str">
        <x:v>YES</x:v>
      </x:c>
      <x:c r="F3406" s="61" t="n">
        <x:v>3076.877486400856</x:v>
      </x:c>
      <x:c r="G3406" s="61" t="n">
        <x:v>69.95539266286937</x:v>
      </x:c>
      <x:c r="H3406" s="27" t="str">
        <x:v>YES</x:v>
      </x:c>
      <x:c r="I3406" s="27" t="str">
        <x:v>NARN shared-node topology; deployable terminal required</x:v>
      </x:c>
      <x:c r="J3406" s="27" t="str">
        <x:v>presence does not prove operability or capacity</x:v>
      </x:c>
    </x:row>
    <x:row r="3407" ht="54" hidden="0" customHeight="1">
      <x:c r="A3407" s="29" t="str">
        <x:v>SCA-28</x:v>
      </x:c>
      <x:c r="B3407" s="29" t="str">
        <x:v>SCA-14</x:v>
      </x:c>
      <x:c r="C3407" s="29" t="str">
        <x:v>Air</x:v>
      </x:c>
      <x:c r="D3407" s="29" t="str">
        <x:v>YES</x:v>
      </x:c>
      <x:c r="E3407" s="29" t="str">
        <x:v>YES</x:v>
      </x:c>
      <x:c r="F3407" s="62" t="n">
        <x:v>2286.456660549601</x:v>
      </x:c>
      <x:c r="G3407" s="62" t="n">
        <x:v>27.51762563161477</x:v>
      </x:c>
      <x:c r="H3407" s="29" t="str">
        <x:v>YES</x:v>
      </x:c>
      <x:c r="I3407" s="29" t="str">
        <x:v>primary-airport endpoints; great-circle screen</x:v>
      </x:c>
      <x:c r="J3407" s="29" t="str">
        <x:v>presence does not prove operability or capacity</x:v>
      </x:c>
    </x:row>
    <x:row r="3408" ht="75.5999984741211" hidden="0" customHeight="1">
      <x:c r="A3408" s="27" t="str">
        <x:v>SCA-28</x:v>
      </x:c>
      <x:c r="B3408" s="27" t="str">
        <x:v>SCA-14</x:v>
      </x:c>
      <x:c r="C3408" s="27" t="str">
        <x:v>Water</x:v>
      </x:c>
      <x:c r="D3408" s="27" t="str">
        <x:v>YES</x:v>
      </x:c>
      <x:c r="E3408" s="27" t="str">
        <x:v>YES</x:v>
      </x:c>
      <x:c r="F3408" s="61" t="n">
        <x:v>2959.8475901257957</x:v>
      </x:c>
      <x:c r="G3408" s="61" t="n">
        <x:v>114.56707400359416</x:v>
      </x:c>
      <x:c r="H3408" s="27" t="str">
        <x:v>NO</x:v>
      </x:c>
      <x:c r="I3408" s="27" t="str">
        <x:v>USACE waterway node topology; deployable terminal required</x:v>
      </x:c>
      <x:c r="J3408" s="27" t="str">
        <x:v>presence does not prove operability or capacity</x:v>
      </x:c>
    </x:row>
    <x:row r="3409" ht="54" hidden="0" customHeight="1">
      <x:c r="A3409" s="29" t="str">
        <x:v>SCA-28</x:v>
      </x:c>
      <x:c r="B3409" s="29" t="str">
        <x:v>SCA-15</x:v>
      </x:c>
      <x:c r="C3409" s="29" t="str">
        <x:v>Road</x:v>
      </x:c>
      <x:c r="D3409" s="29" t="str">
        <x:v>YES</x:v>
      </x:c>
      <x:c r="E3409" s="29" t="str">
        <x:v>YES</x:v>
      </x:c>
      <x:c r="F3409" s="62" t="n">
        <x:v>2097.1382009860235</x:v>
      </x:c>
      <x:c r="G3409" s="62" t="n">
        <x:v>58.12978547247315</x:v>
      </x:c>
      <x:c r="H3409" s="29" t="str">
        <x:v>YES</x:v>
      </x:c>
      <x:c r="I3409" s="29" t="str">
        <x:v>NHPN-gated shared-boundary SCA path</x:v>
      </x:c>
      <x:c r="J3409" s="29" t="str">
        <x:v>presence does not prove operability or capacity</x:v>
      </x:c>
    </x:row>
    <x:row r="3410" ht="64.80000305175781" hidden="0" customHeight="1">
      <x:c r="A3410" s="27" t="str">
        <x:v>SCA-28</x:v>
      </x:c>
      <x:c r="B3410" s="27" t="str">
        <x:v>SCA-15</x:v>
      </x:c>
      <x:c r="C3410" s="27" t="str">
        <x:v>Rail</x:v>
      </x:c>
      <x:c r="D3410" s="27" t="str">
        <x:v>YES</x:v>
      </x:c>
      <x:c r="E3410" s="27" t="str">
        <x:v>YES</x:v>
      </x:c>
      <x:c r="F3410" s="61" t="n">
        <x:v>2224.790091480825</x:v>
      </x:c>
      <x:c r="G3410" s="61" t="n">
        <x:v>57.782715592583216</x:v>
      </x:c>
      <x:c r="H3410" s="27" t="str">
        <x:v>YES</x:v>
      </x:c>
      <x:c r="I3410" s="27" t="str">
        <x:v>NARN shared-node topology; deployable terminal required</x:v>
      </x:c>
      <x:c r="J3410" s="27" t="str">
        <x:v>presence does not prove operability or capacity</x:v>
      </x:c>
    </x:row>
    <x:row r="3411" ht="54" hidden="0" customHeight="1">
      <x:c r="A3411" s="29" t="str">
        <x:v>SCA-28</x:v>
      </x:c>
      <x:c r="B3411" s="29" t="str">
        <x:v>SCA-15</x:v>
      </x:c>
      <x:c r="C3411" s="29" t="str">
        <x:v>Air</x:v>
      </x:c>
      <x:c r="D3411" s="29" t="str">
        <x:v>YES</x:v>
      </x:c>
      <x:c r="E3411" s="29" t="str">
        <x:v>YES</x:v>
      </x:c>
      <x:c r="F3411" s="62" t="n">
        <x:v>1741.2356341195168</x:v>
      </x:c>
      <x:c r="G3411" s="62" t="n">
        <x:v>26.678824052491564</x:v>
      </x:c>
      <x:c r="H3411" s="29" t="str">
        <x:v>YES</x:v>
      </x:c>
      <x:c r="I3411" s="29" t="str">
        <x:v>primary-airport endpoints; great-circle screen</x:v>
      </x:c>
      <x:c r="J3411" s="29" t="str">
        <x:v>presence does not prove operability or capacity</x:v>
      </x:c>
    </x:row>
    <x:row r="3412" ht="75.5999984741211" hidden="0" customHeight="1">
      <x:c r="A3412" s="27" t="str">
        <x:v>SCA-28</x:v>
      </x:c>
      <x:c r="B3412" s="27" t="str">
        <x:v>SCA-15</x:v>
      </x:c>
      <x:c r="C3412" s="27" t="str">
        <x:v>Water</x:v>
      </x:c>
      <x:c r="D3412" s="27" t="str">
        <x:v>YES</x:v>
      </x:c>
      <x:c r="E3412" s="27" t="str">
        <x:v>YES</x:v>
      </x:c>
      <x:c r="F3412" s="61" t="n">
        <x:v>2642.086363272447</x:v>
      </x:c>
      <x:c r="G3412" s="61" t="n">
        <x:v>105.4881818077842</x:v>
      </x:c>
      <x:c r="H3412" s="27" t="str">
        <x:v>NO</x:v>
      </x:c>
      <x:c r="I3412" s="27" t="str">
        <x:v>USACE waterway node topology; deployable terminal required</x:v>
      </x:c>
      <x:c r="J3412" s="27" t="str">
        <x:v>presence does not prove operability or capacity</x:v>
      </x:c>
    </x:row>
    <x:row r="3413" ht="54" hidden="0" customHeight="1">
      <x:c r="A3413" s="29" t="str">
        <x:v>SCA-28</x:v>
      </x:c>
      <x:c r="B3413" s="29" t="str">
        <x:v>SCA-16</x:v>
      </x:c>
      <x:c r="C3413" s="29" t="str">
        <x:v>Road</x:v>
      </x:c>
      <x:c r="D3413" s="29" t="str">
        <x:v>YES</x:v>
      </x:c>
      <x:c r="E3413" s="29" t="str">
        <x:v>YES</x:v>
      </x:c>
      <x:c r="F3413" s="62" t="n">
        <x:v>1723.722780053683</x:v>
      </x:c>
      <x:c r="G3413" s="62" t="n">
        <x:v>51.340414182794234</x:v>
      </x:c>
      <x:c r="H3413" s="29" t="str">
        <x:v>YES</x:v>
      </x:c>
      <x:c r="I3413" s="29" t="str">
        <x:v>NHPN-gated shared-boundary SCA path</x:v>
      </x:c>
      <x:c r="J3413" s="29" t="str">
        <x:v>presence does not prove operability or capacity</x:v>
      </x:c>
    </x:row>
    <x:row r="3414" ht="64.80000305175781" hidden="0" customHeight="1">
      <x:c r="A3414" s="27" t="str">
        <x:v>SCA-28</x:v>
      </x:c>
      <x:c r="B3414" s="27" t="str">
        <x:v>SCA-16</x:v>
      </x:c>
      <x:c r="C3414" s="27" t="str">
        <x:v>Rail</x:v>
      </x:c>
      <x:c r="D3414" s="27" t="str">
        <x:v>YES</x:v>
      </x:c>
      <x:c r="E3414" s="27" t="str">
        <x:v>YES</x:v>
      </x:c>
      <x:c r="F3414" s="61" t="n">
        <x:v>1828.6450362308642</x:v>
      </x:c>
      <x:c r="G3414" s="61" t="n">
        <x:v>52.12350051758378</x:v>
      </x:c>
      <x:c r="H3414" s="27" t="str">
        <x:v>YES</x:v>
      </x:c>
      <x:c r="I3414" s="27" t="str">
        <x:v>NARN shared-node topology; deployable terminal required</x:v>
      </x:c>
      <x:c r="J3414" s="27" t="str">
        <x:v>presence does not prove operability or capacity</x:v>
      </x:c>
    </x:row>
    <x:row r="3415" ht="54" hidden="0" customHeight="1">
      <x:c r="A3415" s="29" t="str">
        <x:v>SCA-28</x:v>
      </x:c>
      <x:c r="B3415" s="29" t="str">
        <x:v>SCA-16</x:v>
      </x:c>
      <x:c r="C3415" s="29" t="str">
        <x:v>Air</x:v>
      </x:c>
      <x:c r="D3415" s="29" t="str">
        <x:v>YES</x:v>
      </x:c>
      <x:c r="E3415" s="29" t="str">
        <x:v>YES</x:v>
      </x:c>
      <x:c r="F3415" s="62" t="n">
        <x:v>1457.0310496307354</x:v>
      </x:c>
      <x:c r="G3415" s="62" t="n">
        <x:v>26.241586230201133</x:v>
      </x:c>
      <x:c r="H3415" s="29" t="str">
        <x:v>YES</x:v>
      </x:c>
      <x:c r="I3415" s="29" t="str">
        <x:v>primary-airport endpoints; great-circle screen</x:v>
      </x:c>
      <x:c r="J3415" s="29" t="str">
        <x:v>presence does not prove operability or capacity</x:v>
      </x:c>
    </x:row>
    <x:row r="3416" ht="75.5999984741211" hidden="0" customHeight="1">
      <x:c r="A3416" s="27" t="str">
        <x:v>SCA-28</x:v>
      </x:c>
      <x:c r="B3416" s="27" t="str">
        <x:v>SCA-16</x:v>
      </x:c>
      <x:c r="C3416" s="27" t="str">
        <x:v>Water</x:v>
      </x:c>
      <x:c r="D3416" s="27" t="str">
        <x:v>YES</x:v>
      </x:c>
      <x:c r="E3416" s="27" t="str">
        <x:v>YES</x:v>
      </x:c>
      <x:c r="F3416" s="61" t="n">
        <x:v>1918.5783986684478</x:v>
      </x:c>
      <x:c r="G3416" s="61" t="n">
        <x:v>84.81652567624135</x:v>
      </x:c>
      <x:c r="H3416" s="27" t="str">
        <x:v>NO</x:v>
      </x:c>
      <x:c r="I3416" s="27" t="str">
        <x:v>USACE waterway node topology; deployable terminal required</x:v>
      </x:c>
      <x:c r="J3416" s="27" t="str">
        <x:v>presence does not prove operability or capacity</x:v>
      </x:c>
    </x:row>
    <x:row r="3417" ht="54" hidden="0" customHeight="1">
      <x:c r="A3417" s="29" t="str">
        <x:v>SCA-28</x:v>
      </x:c>
      <x:c r="B3417" s="29" t="str">
        <x:v>SCA-17</x:v>
      </x:c>
      <x:c r="C3417" s="29" t="str">
        <x:v>Road</x:v>
      </x:c>
      <x:c r="D3417" s="29" t="str">
        <x:v>YES</x:v>
      </x:c>
      <x:c r="E3417" s="29" t="str">
        <x:v>YES</x:v>
      </x:c>
      <x:c r="F3417" s="62" t="n">
        <x:v>2064.4348808692075</x:v>
      </x:c>
      <x:c r="G3417" s="62" t="n">
        <x:v>57.53517965216741</x:v>
      </x:c>
      <x:c r="H3417" s="29" t="str">
        <x:v>YES</x:v>
      </x:c>
      <x:c r="I3417" s="29" t="str">
        <x:v>NHPN-gated shared-boundary SCA path</x:v>
      </x:c>
      <x:c r="J3417" s="29" t="str">
        <x:v>presence does not prove operability or capacity</x:v>
      </x:c>
    </x:row>
    <x:row r="3418" ht="64.80000305175781" hidden="0" customHeight="1">
      <x:c r="A3418" s="27" t="str">
        <x:v>SCA-28</x:v>
      </x:c>
      <x:c r="B3418" s="27" t="str">
        <x:v>SCA-17</x:v>
      </x:c>
      <x:c r="C3418" s="27" t="str">
        <x:v>Rail</x:v>
      </x:c>
      <x:c r="D3418" s="27" t="str">
        <x:v>YES</x:v>
      </x:c>
      <x:c r="E3418" s="27" t="str">
        <x:v>YES</x:v>
      </x:c>
      <x:c r="F3418" s="61" t="n">
        <x:v>2190.096134487333</x:v>
      </x:c>
      <x:c r="G3418" s="61" t="n">
        <x:v>57.287087635533325</x:v>
      </x:c>
      <x:c r="H3418" s="27" t="str">
        <x:v>YES</x:v>
      </x:c>
      <x:c r="I3418" s="27" t="str">
        <x:v>NARN shared-node topology; deployable terminal required</x:v>
      </x:c>
      <x:c r="J3418" s="27" t="str">
        <x:v>presence does not prove operability or capacity</x:v>
      </x:c>
    </x:row>
    <x:row r="3419" ht="54" hidden="0" customHeight="1">
      <x:c r="A3419" s="29" t="str">
        <x:v>SCA-28</x:v>
      </x:c>
      <x:c r="B3419" s="29" t="str">
        <x:v>SCA-17</x:v>
      </x:c>
      <x:c r="C3419" s="29" t="str">
        <x:v>Air</x:v>
      </x:c>
      <x:c r="D3419" s="29" t="str">
        <x:v>YES</x:v>
      </x:c>
      <x:c r="E3419" s="29" t="str">
        <x:v>YES</x:v>
      </x:c>
      <x:c r="F3419" s="62" t="n">
        <x:v>1769.4475900277816</x:v>
      </x:c>
      <x:c r="G3419" s="62" t="n">
        <x:v>26.7222270615812</x:v>
      </x:c>
      <x:c r="H3419" s="29" t="str">
        <x:v>YES</x:v>
      </x:c>
      <x:c r="I3419" s="29" t="str">
        <x:v>primary-airport endpoints; great-circle screen</x:v>
      </x:c>
      <x:c r="J3419" s="29" t="str">
        <x:v>presence does not prove operability or capacity</x:v>
      </x:c>
    </x:row>
    <x:row r="3420" ht="75.5999984741211" hidden="0" customHeight="1">
      <x:c r="A3420" s="27" t="str">
        <x:v>SCA-28</x:v>
      </x:c>
      <x:c r="B3420" s="27" t="str">
        <x:v>SCA-17</x:v>
      </x:c>
      <x:c r="C3420" s="27" t="str">
        <x:v>Water</x:v>
      </x:c>
      <x:c r="D3420" s="27" t="str">
        <x:v>YES</x:v>
      </x:c>
      <x:c r="E3420" s="27" t="str">
        <x:v>YES</x:v>
      </x:c>
      <x:c r="F3420" s="61" t="n">
        <x:v>2297.8057804457267</x:v>
      </x:c>
      <x:c r="G3420" s="61" t="n">
        <x:v>95.65159372702077</x:v>
      </x:c>
      <x:c r="H3420" s="27" t="str">
        <x:v>NO</x:v>
      </x:c>
      <x:c r="I3420" s="27" t="str">
        <x:v>USACE waterway node topology; deployable terminal required</x:v>
      </x:c>
      <x:c r="J3420" s="27" t="str">
        <x:v>presence does not prove operability or capacity</x:v>
      </x:c>
    </x:row>
    <x:row r="3421" ht="54" hidden="0" customHeight="1">
      <x:c r="A3421" s="29" t="str">
        <x:v>SCA-28</x:v>
      </x:c>
      <x:c r="B3421" s="29" t="str">
        <x:v>SCA-18</x:v>
      </x:c>
      <x:c r="C3421" s="29" t="str">
        <x:v>Road</x:v>
      </x:c>
      <x:c r="D3421" s="29" t="str">
        <x:v>YES</x:v>
      </x:c>
      <x:c r="E3421" s="29" t="str">
        <x:v>YES</x:v>
      </x:c>
      <x:c r="F3421" s="62" t="n">
        <x:v>1534.6570958275665</x:v>
      </x:c>
      <x:c r="G3421" s="62" t="n">
        <x:v>47.902856287773936</x:v>
      </x:c>
      <x:c r="H3421" s="29" t="str">
        <x:v>YES</x:v>
      </x:c>
      <x:c r="I3421" s="29" t="str">
        <x:v>NHPN-gated shared-boundary SCA path</x:v>
      </x:c>
      <x:c r="J3421" s="29" t="str">
        <x:v>presence does not prove operability or capacity</x:v>
      </x:c>
    </x:row>
    <x:row r="3422" ht="64.80000305175781" hidden="0" customHeight="1">
      <x:c r="A3422" s="27" t="str">
        <x:v>SCA-28</x:v>
      </x:c>
      <x:c r="B3422" s="27" t="str">
        <x:v>SCA-18</x:v>
      </x:c>
      <x:c r="C3422" s="27" t="str">
        <x:v>Rail</x:v>
      </x:c>
      <x:c r="D3422" s="27" t="str">
        <x:v>YES</x:v>
      </x:c>
      <x:c r="E3422" s="27" t="str">
        <x:v>YES</x:v>
      </x:c>
      <x:c r="F3422" s="61" t="n">
        <x:v>1628.0710060083748</x:v>
      </x:c>
      <x:c r="G3422" s="61" t="n">
        <x:v>49.25815722869107</x:v>
      </x:c>
      <x:c r="H3422" s="27" t="str">
        <x:v>YES</x:v>
      </x:c>
      <x:c r="I3422" s="27" t="str">
        <x:v>NARN shared-node topology; deployable terminal required</x:v>
      </x:c>
      <x:c r="J3422" s="27" t="str">
        <x:v>presence does not prove operability or capacity</x:v>
      </x:c>
    </x:row>
    <x:row r="3423" ht="54" hidden="0" customHeight="1">
      <x:c r="A3423" s="29" t="str">
        <x:v>SCA-28</x:v>
      </x:c>
      <x:c r="B3423" s="29" t="str">
        <x:v>SCA-18</x:v>
      </x:c>
      <x:c r="C3423" s="29" t="str">
        <x:v>Air</x:v>
      </x:c>
      <x:c r="D3423" s="29" t="str">
        <x:v>YES</x:v>
      </x:c>
      <x:c r="E3423" s="29" t="str">
        <x:v>YES</x:v>
      </x:c>
      <x:c r="F3423" s="62" t="n">
        <x:v>1284.7494109238478</x:v>
      </x:c>
      <x:c r="G3423" s="62" t="n">
        <x:v>25.97653755526746</x:v>
      </x:c>
      <x:c r="H3423" s="29" t="str">
        <x:v>YES</x:v>
      </x:c>
      <x:c r="I3423" s="29" t="str">
        <x:v>primary-airport endpoints; great-circle screen</x:v>
      </x:c>
      <x:c r="J3423" s="29" t="str">
        <x:v>presence does not prove operability or capacity</x:v>
      </x:c>
    </x:row>
    <x:row r="3424" ht="75.5999984741211" hidden="0" customHeight="1">
      <x:c r="A3424" s="27" t="str">
        <x:v>SCA-28</x:v>
      </x:c>
      <x:c r="B3424" s="27" t="str">
        <x:v>SCA-18</x:v>
      </x:c>
      <x:c r="C3424" s="27" t="str">
        <x:v>Water</x:v>
      </x:c>
      <x:c r="D3424" s="27" t="str">
        <x:v>YES</x:v>
      </x:c>
      <x:c r="E3424" s="27" t="str">
        <x:v>YES</x:v>
      </x:c>
      <x:c r="F3424" s="61" t="n">
        <x:v>1648.680647826683</x:v>
      </x:c>
      <x:c r="G3424" s="61" t="n">
        <x:v>77.10516136647666</x:v>
      </x:c>
      <x:c r="H3424" s="27" t="str">
        <x:v>NO</x:v>
      </x:c>
      <x:c r="I3424" s="27" t="str">
        <x:v>USACE waterway node topology; deployable terminal required</x:v>
      </x:c>
      <x:c r="J3424" s="27" t="str">
        <x:v>presence does not prove operability or capacity</x:v>
      </x:c>
    </x:row>
    <x:row r="3425" ht="54" hidden="0" customHeight="1">
      <x:c r="A3425" s="29" t="str">
        <x:v>SCA-28</x:v>
      </x:c>
      <x:c r="B3425" s="29" t="str">
        <x:v>SCA-19</x:v>
      </x:c>
      <x:c r="C3425" s="29" t="str">
        <x:v>Road</x:v>
      </x:c>
      <x:c r="D3425" s="29" t="str">
        <x:v>YES</x:v>
      </x:c>
      <x:c r="E3425" s="29" t="str">
        <x:v>YES</x:v>
      </x:c>
      <x:c r="F3425" s="62" t="n">
        <x:v>1202.237606124667</x:v>
      </x:c>
      <x:c r="G3425" s="62" t="n">
        <x:v>41.85886556590304</x:v>
      </x:c>
      <x:c r="H3425" s="29" t="str">
        <x:v>YES</x:v>
      </x:c>
      <x:c r="I3425" s="29" t="str">
        <x:v>NHPN-gated shared-boundary SCA path</x:v>
      </x:c>
      <x:c r="J3425" s="29" t="str">
        <x:v>presence does not prove operability or capacity</x:v>
      </x:c>
    </x:row>
    <x:row r="3426" ht="64.80000305175781" hidden="0" customHeight="1">
      <x:c r="A3426" s="27" t="str">
        <x:v>SCA-28</x:v>
      </x:c>
      <x:c r="B3426" s="27" t="str">
        <x:v>SCA-19</x:v>
      </x:c>
      <x:c r="C3426" s="27" t="str">
        <x:v>Rail</x:v>
      </x:c>
      <x:c r="D3426" s="27" t="str">
        <x:v>YES</x:v>
      </x:c>
      <x:c r="E3426" s="27" t="str">
        <x:v>YES</x:v>
      </x:c>
      <x:c r="F3426" s="61" t="n">
        <x:v>1275.4172864974732</x:v>
      </x:c>
      <x:c r="G3426" s="61" t="n">
        <x:v>44.22024694996391</x:v>
      </x:c>
      <x:c r="H3426" s="27" t="str">
        <x:v>YES</x:v>
      </x:c>
      <x:c r="I3426" s="27" t="str">
        <x:v>NARN shared-node topology; deployable terminal required</x:v>
      </x:c>
      <x:c r="J3426" s="27" t="str">
        <x:v>presence does not prove operability or capacity</x:v>
      </x:c>
    </x:row>
    <x:row r="3427" ht="54" hidden="0" customHeight="1">
      <x:c r="A3427" s="29" t="str">
        <x:v>SCA-28</x:v>
      </x:c>
      <x:c r="B3427" s="29" t="str">
        <x:v>SCA-19</x:v>
      </x:c>
      <x:c r="C3427" s="29" t="str">
        <x:v>Air</x:v>
      </x:c>
      <x:c r="D3427" s="29" t="str">
        <x:v>YES</x:v>
      </x:c>
      <x:c r="E3427" s="29" t="str">
        <x:v>YES</x:v>
      </x:c>
      <x:c r="F3427" s="62" t="n">
        <x:v>1005.8949257334239</x:v>
      </x:c>
      <x:c r="G3427" s="62" t="n">
        <x:v>25.547530654974498</x:v>
      </x:c>
      <x:c r="H3427" s="29" t="str">
        <x:v>YES</x:v>
      </x:c>
      <x:c r="I3427" s="29" t="str">
        <x:v>primary-airport endpoints; great-circle screen</x:v>
      </x:c>
      <x:c r="J3427" s="29" t="str">
        <x:v>presence does not prove operability or capacity</x:v>
      </x:c>
    </x:row>
    <x:row r="3428" ht="75.5999984741211" hidden="0" customHeight="1">
      <x:c r="A3428" s="27" t="str">
        <x:v>SCA-28</x:v>
      </x:c>
      <x:c r="B3428" s="27" t="str">
        <x:v>SCA-19</x:v>
      </x:c>
      <x:c r="C3428" s="27" t="str">
        <x:v>Water</x:v>
      </x:c>
      <x:c r="D3428" s="27" t="str">
        <x:v>YES</x:v>
      </x:c>
      <x:c r="E3428" s="27" t="str">
        <x:v>YES</x:v>
      </x:c>
      <x:c r="F3428" s="61" t="n">
        <x:v>1338.1427268170212</x:v>
      </x:c>
      <x:c r="G3428" s="61" t="n">
        <x:v>68.23264933762917</x:v>
      </x:c>
      <x:c r="H3428" s="27" t="str">
        <x:v>YES</x:v>
      </x:c>
      <x:c r="I3428" s="27" t="str">
        <x:v>USACE waterway node topology; deployable terminal required</x:v>
      </x:c>
      <x:c r="J3428" s="27" t="str">
        <x:v>presence does not prove operability or capacity</x:v>
      </x:c>
    </x:row>
    <x:row r="3429" ht="54" hidden="0" customHeight="1">
      <x:c r="A3429" s="29" t="str">
        <x:v>SCA-28</x:v>
      </x:c>
      <x:c r="B3429" s="29" t="str">
        <x:v>SCA-20</x:v>
      </x:c>
      <x:c r="C3429" s="29" t="str">
        <x:v>Road</x:v>
      </x:c>
      <x:c r="D3429" s="29" t="str">
        <x:v>YES</x:v>
      </x:c>
      <x:c r="E3429" s="29" t="str">
        <x:v>YES</x:v>
      </x:c>
      <x:c r="F3429" s="62" t="n">
        <x:v>1374.1448563055742</x:v>
      </x:c>
      <x:c r="G3429" s="62" t="n">
        <x:v>44.98445193282862</x:v>
      </x:c>
      <x:c r="H3429" s="29" t="str">
        <x:v>YES</x:v>
      </x:c>
      <x:c r="I3429" s="29" t="str">
        <x:v>NHPN-gated shared-boundary SCA path</x:v>
      </x:c>
      <x:c r="J3429" s="29" t="str">
        <x:v>presence does not prove operability or capacity</x:v>
      </x:c>
    </x:row>
    <x:row r="3430" ht="64.80000305175781" hidden="0" customHeight="1">
      <x:c r="A3430" s="27" t="str">
        <x:v>SCA-28</x:v>
      </x:c>
      <x:c r="B3430" s="27" t="str">
        <x:v>SCA-20</x:v>
      </x:c>
      <x:c r="C3430" s="27" t="str">
        <x:v>Rail</x:v>
      </x:c>
      <x:c r="D3430" s="27" t="str">
        <x:v>YES</x:v>
      </x:c>
      <x:c r="E3430" s="27" t="str">
        <x:v>YES</x:v>
      </x:c>
      <x:c r="F3430" s="61" t="n">
        <x:v>1457.7884562546092</x:v>
      </x:c>
      <x:c r="G3430" s="61" t="n">
        <x:v>46.82554937506585</x:v>
      </x:c>
      <x:c r="H3430" s="27" t="str">
        <x:v>YES</x:v>
      </x:c>
      <x:c r="I3430" s="27" t="str">
        <x:v>NARN shared-node topology; deployable terminal required</x:v>
      </x:c>
      <x:c r="J3430" s="27" t="str">
        <x:v>presence does not prove operability or capacity</x:v>
      </x:c>
    </x:row>
    <x:row r="3431" ht="54" hidden="0" customHeight="1">
      <x:c r="A3431" s="29" t="str">
        <x:v>SCA-28</x:v>
      </x:c>
      <x:c r="B3431" s="29" t="str">
        <x:v>SCA-20</x:v>
      </x:c>
      <x:c r="C3431" s="29" t="str">
        <x:v>Air</x:v>
      </x:c>
      <x:c r="D3431" s="29" t="str">
        <x:v>YES</x:v>
      </x:c>
      <x:c r="E3431" s="29" t="str">
        <x:v>YES</x:v>
      </x:c>
      <x:c r="F3431" s="62" t="n">
        <x:v>1172.7181584451764</x:v>
      </x:c>
      <x:c r="G3431" s="62" t="n">
        <x:v>25.80418178222335</x:v>
      </x:c>
      <x:c r="H3431" s="29" t="str">
        <x:v>YES</x:v>
      </x:c>
      <x:c r="I3431" s="29" t="str">
        <x:v>primary-airport endpoints; great-circle screen</x:v>
      </x:c>
      <x:c r="J3431" s="29" t="str">
        <x:v>presence does not prove operability or capacity</x:v>
      </x:c>
    </x:row>
    <x:row r="3432" ht="75.5999984741211" hidden="0" customHeight="1">
      <x:c r="A3432" s="27" t="str">
        <x:v>SCA-28</x:v>
      </x:c>
      <x:c r="B3432" s="27" t="str">
        <x:v>SCA-20</x:v>
      </x:c>
      <x:c r="C3432" s="27" t="str">
        <x:v>Water</x:v>
      </x:c>
      <x:c r="D3432" s="27" t="str">
        <x:v>YES</x:v>
      </x:c>
      <x:c r="E3432" s="27" t="str">
        <x:v>YES</x:v>
      </x:c>
      <x:c r="F3432" s="61" t="n">
        <x:v>1529.4829704966394</x:v>
      </x:c>
      <x:c r="G3432" s="61" t="n">
        <x:v>73.69951344276112</x:v>
      </x:c>
      <x:c r="H3432" s="27" t="str">
        <x:v>NO</x:v>
      </x:c>
      <x:c r="I3432" s="27" t="str">
        <x:v>USACE waterway node topology; deployable terminal required</x:v>
      </x:c>
      <x:c r="J3432" s="27" t="str">
        <x:v>presence does not prove operability or capacity</x:v>
      </x:c>
    </x:row>
    <x:row r="3433" ht="54" hidden="0" customHeight="1">
      <x:c r="A3433" s="29" t="str">
        <x:v>SCA-28</x:v>
      </x:c>
      <x:c r="B3433" s="29" t="str">
        <x:v>SCA-21</x:v>
      </x:c>
      <x:c r="C3433" s="29" t="str">
        <x:v>Road</x:v>
      </x:c>
      <x:c r="D3433" s="29" t="str">
        <x:v>YES</x:v>
      </x:c>
      <x:c r="E3433" s="29" t="str">
        <x:v>YES</x:v>
      </x:c>
      <x:c r="F3433" s="62" t="n">
        <x:v>893.0555497217017</x:v>
      </x:c>
      <x:c r="G3433" s="62" t="n">
        <x:v>36.23737363130367</x:v>
      </x:c>
      <x:c r="H3433" s="29" t="str">
        <x:v>YES</x:v>
      </x:c>
      <x:c r="I3433" s="29" t="str">
        <x:v>NHPN-gated shared-boundary SCA path</x:v>
      </x:c>
      <x:c r="J3433" s="29" t="str">
        <x:v>presence does not prove operability or capacity</x:v>
      </x:c>
    </x:row>
    <x:row r="3434" ht="64.80000305175781" hidden="0" customHeight="1">
      <x:c r="A3434" s="27" t="str">
        <x:v>SCA-28</x:v>
      </x:c>
      <x:c r="B3434" s="27" t="str">
        <x:v>SCA-21</x:v>
      </x:c>
      <x:c r="C3434" s="27" t="str">
        <x:v>Rail</x:v>
      </x:c>
      <x:c r="D3434" s="27" t="str">
        <x:v>YES</x:v>
      </x:c>
      <x:c r="E3434" s="27" t="str">
        <x:v>YES</x:v>
      </x:c>
      <x:c r="F3434" s="61" t="n">
        <x:v>947.4154527482399</x:v>
      </x:c>
      <x:c r="G3434" s="61" t="n">
        <x:v>39.534506467831996</x:v>
      </x:c>
      <x:c r="H3434" s="27" t="str">
        <x:v>YES</x:v>
      </x:c>
      <x:c r="I3434" s="27" t="str">
        <x:v>NARN shared-node topology; deployable terminal required</x:v>
      </x:c>
      <x:c r="J3434" s="27" t="str">
        <x:v>presence does not prove operability or capacity</x:v>
      </x:c>
    </x:row>
    <x:row r="3435" ht="54" hidden="0" customHeight="1">
      <x:c r="A3435" s="29" t="str">
        <x:v>SCA-28</x:v>
      </x:c>
      <x:c r="B3435" s="29" t="str">
        <x:v>SCA-21</x:v>
      </x:c>
      <x:c r="C3435" s="29" t="str">
        <x:v>Air</x:v>
      </x:c>
      <x:c r="D3435" s="29" t="str">
        <x:v>YES</x:v>
      </x:c>
      <x:c r="E3435" s="29" t="str">
        <x:v>YES</x:v>
      </x:c>
      <x:c r="F3435" s="62" t="n">
        <x:v>746.2233599027646</x:v>
      </x:c>
      <x:c r="G3435" s="62" t="n">
        <x:v>25.148035938311946</x:v>
      </x:c>
      <x:c r="H3435" s="29" t="str">
        <x:v>YES</x:v>
      </x:c>
      <x:c r="I3435" s="29" t="str">
        <x:v>primary-airport endpoints; great-circle screen</x:v>
      </x:c>
      <x:c r="J3435" s="29" t="str">
        <x:v>presence does not prove operability or capacity</x:v>
      </x:c>
    </x:row>
    <x:row r="3436" ht="75.5999984741211" hidden="0" customHeight="1">
      <x:c r="A3436" s="27" t="str">
        <x:v>SCA-28</x:v>
      </x:c>
      <x:c r="B3436" s="27" t="str">
        <x:v>SCA-21</x:v>
      </x:c>
      <x:c r="C3436" s="27" t="str">
        <x:v>Water</x:v>
      </x:c>
      <x:c r="D3436" s="27" t="str">
        <x:v>YES</x:v>
      </x:c>
      <x:c r="E3436" s="27" t="str">
        <x:v>YES</x:v>
      </x:c>
      <x:c r="F3436" s="61" t="n">
        <x:v>994.0096553424156</x:v>
      </x:c>
      <x:c r="G3436" s="61" t="n">
        <x:v>58.400275866926165</x:v>
      </x:c>
      <x:c r="H3436" s="27" t="str">
        <x:v>YES</x:v>
      </x:c>
      <x:c r="I3436" s="27" t="str">
        <x:v>USACE waterway node topology; deployable terminal required</x:v>
      </x:c>
      <x:c r="J3436" s="27" t="str">
        <x:v>presence does not prove operability or capacity</x:v>
      </x:c>
    </x:row>
    <x:row r="3437" ht="54" hidden="0" customHeight="1">
      <x:c r="A3437" s="29" t="str">
        <x:v>SCA-28</x:v>
      </x:c>
      <x:c r="B3437" s="29" t="str">
        <x:v>SCA-22</x:v>
      </x:c>
      <x:c r="C3437" s="29" t="str">
        <x:v>Road</x:v>
      </x:c>
      <x:c r="D3437" s="29" t="str">
        <x:v>YES</x:v>
      </x:c>
      <x:c r="E3437" s="29" t="str">
        <x:v>YES</x:v>
      </x:c>
      <x:c r="F3437" s="62" t="n">
        <x:v>644.6549752643382</x:v>
      </x:c>
      <x:c r="G3437" s="62" t="n">
        <x:v>31.720999550260693</x:v>
      </x:c>
      <x:c r="H3437" s="29" t="str">
        <x:v>YES</x:v>
      </x:c>
      <x:c r="I3437" s="29" t="str">
        <x:v>NHPN-gated shared-boundary SCA path</x:v>
      </x:c>
      <x:c r="J3437" s="29" t="str">
        <x:v>presence does not prove operability or capacity</x:v>
      </x:c>
    </x:row>
    <x:row r="3438" ht="64.80000305175781" hidden="0" customHeight="1">
      <x:c r="A3438" s="27" t="str">
        <x:v>SCA-28</x:v>
      </x:c>
      <x:c r="B3438" s="27" t="str">
        <x:v>SCA-22</x:v>
      </x:c>
      <x:c r="C3438" s="27" t="str">
        <x:v>Rail</x:v>
      </x:c>
      <x:c r="D3438" s="27" t="str">
        <x:v>YES</x:v>
      </x:c>
      <x:c r="E3438" s="27" t="str">
        <x:v>YES</x:v>
      </x:c>
      <x:c r="F3438" s="61" t="n">
        <x:v>683.8948433239068</x:v>
      </x:c>
      <x:c r="G3438" s="61" t="n">
        <x:v>35.76992633319867</x:v>
      </x:c>
      <x:c r="H3438" s="27" t="str">
        <x:v>YES</x:v>
      </x:c>
      <x:c r="I3438" s="27" t="str">
        <x:v>NARN shared-node topology; deployable terminal required</x:v>
      </x:c>
      <x:c r="J3438" s="27" t="str">
        <x:v>presence does not prove operability or capacity</x:v>
      </x:c>
    </x:row>
    <x:row r="3439" ht="54" hidden="0" customHeight="1">
      <x:c r="A3439" s="29" t="str">
        <x:v>SCA-28</x:v>
      </x:c>
      <x:c r="B3439" s="29" t="str">
        <x:v>SCA-22</x:v>
      </x:c>
      <x:c r="C3439" s="29" t="str">
        <x:v>Air</x:v>
      </x:c>
      <x:c r="D3439" s="29" t="str">
        <x:v>YES</x:v>
      </x:c>
      <x:c r="E3439" s="29" t="str">
        <x:v>YES</x:v>
      </x:c>
      <x:c r="F3439" s="62" t="n">
        <x:v>560.5695437081204</x:v>
      </x:c>
      <x:c r="G3439" s="62" t="n">
        <x:v>24.86241468262788</x:v>
      </x:c>
      <x:c r="H3439" s="29" t="str">
        <x:v>YES</x:v>
      </x:c>
      <x:c r="I3439" s="29" t="str">
        <x:v>primary-airport endpoints; great-circle screen</x:v>
      </x:c>
      <x:c r="J3439" s="29" t="str">
        <x:v>presence does not prove operability or capacity</x:v>
      </x:c>
    </x:row>
    <x:row r="3440" ht="75.5999984741211" hidden="0" customHeight="1">
      <x:c r="A3440" s="27" t="str">
        <x:v>SCA-28</x:v>
      </x:c>
      <x:c r="B3440" s="27" t="str">
        <x:v>SCA-22</x:v>
      </x:c>
      <x:c r="C3440" s="27" t="str">
        <x:v>Water</x:v>
      </x:c>
      <x:c r="D3440" s="27" t="str">
        <x:v>YES</x:v>
      </x:c>
      <x:c r="E3440" s="27" t="str">
        <x:v>YES</x:v>
      </x:c>
      <x:c r="F3440" s="61" t="n">
        <x:v>717.5290159463941</x:v>
      </x:c>
      <x:c r="G3440" s="61" t="n">
        <x:v>50.50082902703983</x:v>
      </x:c>
      <x:c r="H3440" s="27" t="str">
        <x:v>YES</x:v>
      </x:c>
      <x:c r="I3440" s="27" t="str">
        <x:v>USACE waterway node topology; deployable terminal required</x:v>
      </x:c>
      <x:c r="J3440" s="27" t="str">
        <x:v>presence does not prove operability or capacity</x:v>
      </x:c>
    </x:row>
    <x:row r="3441" ht="54" hidden="0" customHeight="1">
      <x:c r="A3441" s="29" t="str">
        <x:v>SCA-28</x:v>
      </x:c>
      <x:c r="B3441" s="29" t="str">
        <x:v>SCA-23</x:v>
      </x:c>
      <x:c r="C3441" s="29" t="str">
        <x:v>Road</x:v>
      </x:c>
      <x:c r="D3441" s="29" t="str">
        <x:v>YES</x:v>
      </x:c>
      <x:c r="E3441" s="29" t="str">
        <x:v>YES</x:v>
      </x:c>
      <x:c r="F3441" s="62" t="n">
        <x:v>1211.710240600355</x:v>
      </x:c>
      <x:c r="G3441" s="62" t="n">
        <x:v>42.03109528364282</x:v>
      </x:c>
      <x:c r="H3441" s="29" t="str">
        <x:v>YES</x:v>
      </x:c>
      <x:c r="I3441" s="29" t="str">
        <x:v>NHPN-gated shared-boundary SCA path</x:v>
      </x:c>
      <x:c r="J3441" s="29" t="str">
        <x:v>presence does not prove operability or capacity</x:v>
      </x:c>
    </x:row>
    <x:row r="3442" ht="64.80000305175781" hidden="0" customHeight="1">
      <x:c r="A3442" s="27" t="str">
        <x:v>SCA-28</x:v>
      </x:c>
      <x:c r="B3442" s="27" t="str">
        <x:v>SCA-23</x:v>
      </x:c>
      <x:c r="C3442" s="27" t="str">
        <x:v>Rail</x:v>
      </x:c>
      <x:c r="D3442" s="27" t="str">
        <x:v>YES</x:v>
      </x:c>
      <x:c r="E3442" s="27" t="str">
        <x:v>YES</x:v>
      </x:c>
      <x:c r="F3442" s="61" t="n">
        <x:v>1285.466516115159</x:v>
      </x:c>
      <x:c r="G3442" s="61" t="n">
        <x:v>44.3638073730737</x:v>
      </x:c>
      <x:c r="H3442" s="27" t="str">
        <x:v>YES</x:v>
      </x:c>
      <x:c r="I3442" s="27" t="str">
        <x:v>NARN shared-node topology; deployable terminal required</x:v>
      </x:c>
      <x:c r="J3442" s="27" t="str">
        <x:v>presence does not prove operability or capacity</x:v>
      </x:c>
    </x:row>
    <x:row r="3443" ht="54" hidden="0" customHeight="1">
      <x:c r="A3443" s="29" t="str">
        <x:v>SCA-28</x:v>
      </x:c>
      <x:c r="B3443" s="29" t="str">
        <x:v>SCA-23</x:v>
      </x:c>
      <x:c r="C3443" s="29" t="str">
        <x:v>Air</x:v>
      </x:c>
      <x:c r="D3443" s="29" t="str">
        <x:v>YES</x:v>
      </x:c>
      <x:c r="E3443" s="29" t="str">
        <x:v>YES</x:v>
      </x:c>
      <x:c r="F3443" s="62" t="n">
        <x:v>862.506150783151</x:v>
      </x:c>
      <x:c r="G3443" s="62" t="n">
        <x:v>25.326932539666387</x:v>
      </x:c>
      <x:c r="H3443" s="29" t="str">
        <x:v>YES</x:v>
      </x:c>
      <x:c r="I3443" s="29" t="str">
        <x:v>primary-airport endpoints; great-circle screen</x:v>
      </x:c>
      <x:c r="J3443" s="29" t="str">
        <x:v>presence does not prove operability or capacity</x:v>
      </x:c>
    </x:row>
    <x:row r="3444" ht="75.5999984741211" hidden="0" customHeight="1">
      <x:c r="A3444" s="27" t="str">
        <x:v>SCA-28</x:v>
      </x:c>
      <x:c r="B3444" s="27" t="str">
        <x:v>SCA-23</x:v>
      </x:c>
      <x:c r="C3444" s="27" t="str">
        <x:v>Water</x:v>
      </x:c>
      <x:c r="D3444" s="27" t="str">
        <x:v>YES</x:v>
      </x:c>
      <x:c r="E3444" s="27" t="str">
        <x:v>YES</x:v>
      </x:c>
      <x:c r="F3444" s="61" t="n">
        <x:v>2029.5720804476146</x:v>
      </x:c>
      <x:c r="G3444" s="61" t="n">
        <x:v>87.98777372707471</x:v>
      </x:c>
      <x:c r="H3444" s="27" t="str">
        <x:v>NO</x:v>
      </x:c>
      <x:c r="I3444" s="27" t="str">
        <x:v>USACE waterway node topology; deployable terminal required</x:v>
      </x:c>
      <x:c r="J3444" s="27" t="str">
        <x:v>presence does not prove operability or capacity</x:v>
      </x:c>
    </x:row>
    <x:row r="3445" ht="54" hidden="0" customHeight="1">
      <x:c r="A3445" s="29" t="str">
        <x:v>SCA-28</x:v>
      </x:c>
      <x:c r="B3445" s="29" t="str">
        <x:v>SCA-24</x:v>
      </x:c>
      <x:c r="C3445" s="29" t="str">
        <x:v>Road</x:v>
      </x:c>
      <x:c r="D3445" s="29" t="str">
        <x:v>YES</x:v>
      </x:c>
      <x:c r="E3445" s="29" t="str">
        <x:v>YES</x:v>
      </x:c>
      <x:c r="F3445" s="62" t="n">
        <x:v>495.8154965586643</x:v>
      </x:c>
      <x:c r="G3445" s="62" t="n">
        <x:v>29.014827210157534</x:v>
      </x:c>
      <x:c r="H3445" s="29" t="str">
        <x:v>YES</x:v>
      </x:c>
      <x:c r="I3445" s="29" t="str">
        <x:v>NHPN-gated shared-boundary SCA path</x:v>
      </x:c>
      <x:c r="J3445" s="29" t="str">
        <x:v>presence does not prove operability or capacity</x:v>
      </x:c>
    </x:row>
    <x:row r="3446" ht="64.80000305175781" hidden="0" customHeight="1">
      <x:c r="A3446" s="27" t="str">
        <x:v>SCA-28</x:v>
      </x:c>
      <x:c r="B3446" s="27" t="str">
        <x:v>SCA-24</x:v>
      </x:c>
      <x:c r="C3446" s="27" t="str">
        <x:v>Rail</x:v>
      </x:c>
      <x:c r="D3446" s="27" t="str">
        <x:v>YES</x:v>
      </x:c>
      <x:c r="E3446" s="27" t="str">
        <x:v>YES</x:v>
      </x:c>
      <x:c r="F3446" s="61" t="n">
        <x:v>525.9955702622349</x:v>
      </x:c>
      <x:c r="G3446" s="61" t="n">
        <x:v>33.51422243231764</x:v>
      </x:c>
      <x:c r="H3446" s="27" t="str">
        <x:v>YES</x:v>
      </x:c>
      <x:c r="I3446" s="27" t="str">
        <x:v>NARN shared-node topology; deployable terminal required</x:v>
      </x:c>
      <x:c r="J3446" s="27" t="str">
        <x:v>presence does not prove operability or capacity</x:v>
      </x:c>
    </x:row>
    <x:row r="3447" ht="54" hidden="0" customHeight="1">
      <x:c r="A3447" s="29" t="str">
        <x:v>SCA-28</x:v>
      </x:c>
      <x:c r="B3447" s="29" t="str">
        <x:v>SCA-24</x:v>
      </x:c>
      <x:c r="C3447" s="29" t="str">
        <x:v>Air</x:v>
      </x:c>
      <x:c r="D3447" s="29" t="str">
        <x:v>YES</x:v>
      </x:c>
      <x:c r="E3447" s="29" t="str">
        <x:v>YES</x:v>
      </x:c>
      <x:c r="F3447" s="62" t="n">
        <x:v>431.1439100510122</x:v>
      </x:c>
      <x:c r="G3447" s="62" t="n">
        <x:v>24.663298323155402</x:v>
      </x:c>
      <x:c r="H3447" s="29" t="str">
        <x:v>YES</x:v>
      </x:c>
      <x:c r="I3447" s="29" t="str">
        <x:v>primary-airport endpoints; great-circle screen</x:v>
      </x:c>
      <x:c r="J3447" s="29" t="str">
        <x:v>presence does not prove operability or capacity</x:v>
      </x:c>
    </x:row>
    <x:row r="3448" ht="75.5999984741211" hidden="0" customHeight="1">
      <x:c r="A3448" s="27" t="str">
        <x:v>SCA-28</x:v>
      </x:c>
      <x:c r="B3448" s="27" t="str">
        <x:v>SCA-24</x:v>
      </x:c>
      <x:c r="C3448" s="27" t="str">
        <x:v>Water</x:v>
      </x:c>
      <x:c r="D3448" s="27" t="str">
        <x:v>YES</x:v>
      </x:c>
      <x:c r="E3448" s="27" t="str">
        <x:v>YES</x:v>
      </x:c>
      <x:c r="F3448" s="61" t="n">
        <x:v>551.8642048652956</x:v>
      </x:c>
      <x:c r="G3448" s="61" t="n">
        <x:v>45.76754871043702</x:v>
      </x:c>
      <x:c r="H3448" s="27" t="str">
        <x:v>YES</x:v>
      </x:c>
      <x:c r="I3448" s="27" t="str">
        <x:v>USACE waterway node topology; deployable terminal required</x:v>
      </x:c>
      <x:c r="J3448" s="27" t="str">
        <x:v>presence does not prove operability or capacity</x:v>
      </x:c>
    </x:row>
    <x:row r="3449" ht="54" hidden="0" customHeight="1">
      <x:c r="A3449" s="29" t="str">
        <x:v>SCA-28</x:v>
      </x:c>
      <x:c r="B3449" s="29" t="str">
        <x:v>SCA-25</x:v>
      </x:c>
      <x:c r="C3449" s="29" t="str">
        <x:v>Road</x:v>
      </x:c>
      <x:c r="D3449" s="29" t="str">
        <x:v>YES</x:v>
      </x:c>
      <x:c r="E3449" s="29" t="str">
        <x:v>YES</x:v>
      </x:c>
      <x:c r="F3449" s="62" t="n">
        <x:v>1328.8594861077136</x:v>
      </x:c>
      <x:c r="G3449" s="62" t="n">
        <x:v>44.16108156559479</x:v>
      </x:c>
      <x:c r="H3449" s="29" t="str">
        <x:v>YES</x:v>
      </x:c>
      <x:c r="I3449" s="29" t="str">
        <x:v>NHPN-gated shared-boundary SCA path</x:v>
      </x:c>
      <x:c r="J3449" s="29" t="str">
        <x:v>presence does not prove operability or capacity</x:v>
      </x:c>
    </x:row>
    <x:row r="3450" ht="64.80000305175781" hidden="0" customHeight="1">
      <x:c r="A3450" s="27" t="str">
        <x:v>SCA-28</x:v>
      </x:c>
      <x:c r="B3450" s="27" t="str">
        <x:v>SCA-25</x:v>
      </x:c>
      <x:c r="C3450" s="27" t="str">
        <x:v>Rail</x:v>
      </x:c>
      <x:c r="D3450" s="27" t="str">
        <x:v>YES</x:v>
      </x:c>
      <x:c r="E3450" s="27" t="str">
        <x:v>YES</x:v>
      </x:c>
      <x:c r="F3450" s="61" t="n">
        <x:v>1409.7465852620967</x:v>
      </x:c>
      <x:c r="G3450" s="61" t="n">
        <x:v>46.13923693231567</x:v>
      </x:c>
      <x:c r="H3450" s="27" t="str">
        <x:v>YES</x:v>
      </x:c>
      <x:c r="I3450" s="27" t="str">
        <x:v>NARN shared-node topology; deployable terminal required</x:v>
      </x:c>
      <x:c r="J3450" s="27" t="str">
        <x:v>presence does not prove operability or capacity</x:v>
      </x:c>
    </x:row>
    <x:row r="3451" ht="54" hidden="0" customHeight="1">
      <x:c r="A3451" s="29" t="str">
        <x:v>SCA-28</x:v>
      </x:c>
      <x:c r="B3451" s="29" t="str">
        <x:v>SCA-25</x:v>
      </x:c>
      <x:c r="C3451" s="29" t="str">
        <x:v>Air</x:v>
      </x:c>
      <x:c r="D3451" s="29" t="str">
        <x:v>YES</x:v>
      </x:c>
      <x:c r="E3451" s="29" t="str">
        <x:v>YES</x:v>
      </x:c>
      <x:c r="F3451" s="62" t="n">
        <x:v>1118.2001619013483</x:v>
      </x:c>
      <x:c r="G3451" s="62" t="n">
        <x:v>25.72030794138669</x:v>
      </x:c>
      <x:c r="H3451" s="29" t="str">
        <x:v>YES</x:v>
      </x:c>
      <x:c r="I3451" s="29" t="str">
        <x:v>primary-airport endpoints; great-circle screen</x:v>
      </x:c>
      <x:c r="J3451" s="29" t="str">
        <x:v>presence does not prove operability or capacity</x:v>
      </x:c>
    </x:row>
    <x:row r="3452" ht="75.5999984741211" hidden="0" customHeight="1">
      <x:c r="A3452" s="27" t="str">
        <x:v>SCA-28</x:v>
      </x:c>
      <x:c r="B3452" s="27" t="str">
        <x:v>SCA-25</x:v>
      </x:c>
      <x:c r="C3452" s="27" t="str">
        <x:v>Water</x:v>
      </x:c>
      <x:c r="D3452" s="27" t="str">
        <x:v>YES</x:v>
      </x:c>
      <x:c r="E3452" s="27" t="str">
        <x:v>YES</x:v>
      </x:c>
      <x:c r="F3452" s="61" t="n">
        <x:v>1479.0783845372819</x:v>
      </x:c>
      <x:c r="G3452" s="61" t="n">
        <x:v>72.25938241535091</x:v>
      </x:c>
      <x:c r="H3452" s="27" t="str">
        <x:v>NO</x:v>
      </x:c>
      <x:c r="I3452" s="27" t="str">
        <x:v>USACE waterway node topology; deployable terminal required</x:v>
      </x:c>
      <x:c r="J3452" s="27" t="str">
        <x:v>presence does not prove operability or capacity</x:v>
      </x:c>
    </x:row>
    <x:row r="3453" ht="54" hidden="0" customHeight="1">
      <x:c r="A3453" s="29" t="str">
        <x:v>SCA-28</x:v>
      </x:c>
      <x:c r="B3453" s="29" t="str">
        <x:v>SCA-26</x:v>
      </x:c>
      <x:c r="C3453" s="29" t="str">
        <x:v>Road</x:v>
      </x:c>
      <x:c r="D3453" s="29" t="str">
        <x:v>YES</x:v>
      </x:c>
      <x:c r="E3453" s="29" t="str">
        <x:v>YES</x:v>
      </x:c>
      <x:c r="F3453" s="62" t="n">
        <x:v>1657.358941872536</x:v>
      </x:c>
      <x:c r="G3453" s="62" t="n">
        <x:v>50.133798943137016</x:v>
      </x:c>
      <x:c r="H3453" s="29" t="str">
        <x:v>YES</x:v>
      </x:c>
      <x:c r="I3453" s="29" t="str">
        <x:v>NHPN-gated shared-boundary SCA path</x:v>
      </x:c>
      <x:c r="J3453" s="29" t="str">
        <x:v>presence does not prove operability or capacity</x:v>
      </x:c>
    </x:row>
    <x:row r="3454" ht="64.80000305175781" hidden="0" customHeight="1">
      <x:c r="A3454" s="27" t="str">
        <x:v>SCA-28</x:v>
      </x:c>
      <x:c r="B3454" s="27" t="str">
        <x:v>SCA-26</x:v>
      </x:c>
      <x:c r="C3454" s="27" t="str">
        <x:v>Rail</x:v>
      </x:c>
      <x:c r="D3454" s="27" t="str">
        <x:v>YES</x:v>
      </x:c>
      <x:c r="E3454" s="27" t="str">
        <x:v>YES</x:v>
      </x:c>
      <x:c r="F3454" s="61" t="n">
        <x:v>1758.241660073473</x:v>
      </x:c>
      <x:c r="G3454" s="61" t="n">
        <x:v>51.11773800104962</x:v>
      </x:c>
      <x:c r="H3454" s="27" t="str">
        <x:v>YES</x:v>
      </x:c>
      <x:c r="I3454" s="27" t="str">
        <x:v>NARN shared-node topology; deployable terminal required</x:v>
      </x:c>
      <x:c r="J3454" s="27" t="str">
        <x:v>presence does not prove operability or capacity</x:v>
      </x:c>
    </x:row>
    <x:row r="3455" ht="54" hidden="0" customHeight="1">
      <x:c r="A3455" s="29" t="str">
        <x:v>SCA-28</x:v>
      </x:c>
      <x:c r="B3455" s="29" t="str">
        <x:v>SCA-26</x:v>
      </x:c>
      <x:c r="C3455" s="29" t="str">
        <x:v>Air</x:v>
      </x:c>
      <x:c r="D3455" s="29" t="str">
        <x:v>YES</x:v>
      </x:c>
      <x:c r="E3455" s="29" t="str">
        <x:v>YES</x:v>
      </x:c>
      <x:c r="F3455" s="62" t="n">
        <x:v>1394.598978934129</x:v>
      </x:c>
      <x:c r="G3455" s="62" t="n">
        <x:v>26.14553689066789</x:v>
      </x:c>
      <x:c r="H3455" s="29" t="str">
        <x:v>YES</x:v>
      </x:c>
      <x:c r="I3455" s="29" t="str">
        <x:v>primary-airport endpoints; great-circle screen</x:v>
      </x:c>
      <x:c r="J3455" s="29" t="str">
        <x:v>presence does not prove operability or capacity</x:v>
      </x:c>
    </x:row>
    <x:row r="3456" ht="75.5999984741211" hidden="0" customHeight="1">
      <x:c r="A3456" s="27" t="str">
        <x:v>SCA-28</x:v>
      </x:c>
      <x:c r="B3456" s="27" t="str">
        <x:v>SCA-26</x:v>
      </x:c>
      <x:c r="C3456" s="27" t="str">
        <x:v>Water</x:v>
      </x:c>
      <x:c r="D3456" s="27" t="str">
        <x:v>YES</x:v>
      </x:c>
      <x:c r="E3456" s="27" t="str">
        <x:v>YES</x:v>
      </x:c>
      <x:c r="F3456" s="61" t="n">
        <x:v>1844.7125613885619</x:v>
      </x:c>
      <x:c r="G3456" s="61" t="n">
        <x:v>82.70607318253033</x:v>
      </x:c>
      <x:c r="H3456" s="27" t="str">
        <x:v>NO</x:v>
      </x:c>
      <x:c r="I3456" s="27" t="str">
        <x:v>USACE waterway node topology; deployable terminal required</x:v>
      </x:c>
      <x:c r="J3456" s="27" t="str">
        <x:v>presence does not prove operability or capacity</x:v>
      </x:c>
    </x:row>
    <x:row r="3457" ht="54" hidden="0" customHeight="1">
      <x:c r="A3457" s="29" t="str">
        <x:v>SCA-28</x:v>
      </x:c>
      <x:c r="B3457" s="29" t="str">
        <x:v>SCA-27</x:v>
      </x:c>
      <x:c r="C3457" s="29" t="str">
        <x:v>Road</x:v>
      </x:c>
      <x:c r="D3457" s="29" t="str">
        <x:v>YES</x:v>
      </x:c>
      <x:c r="E3457" s="29" t="str">
        <x:v>YES</x:v>
      </x:c>
      <x:c r="F3457" s="62" t="n">
        <x:v>1936.9872059920847</x:v>
      </x:c>
      <x:c r="G3457" s="62" t="n">
        <x:v>55.217949199856086</x:v>
      </x:c>
      <x:c r="H3457" s="29" t="str">
        <x:v>YES</x:v>
      </x:c>
      <x:c r="I3457" s="29" t="str">
        <x:v>NHPN-gated shared-boundary SCA path</x:v>
      </x:c>
      <x:c r="J3457" s="29" t="str">
        <x:v>presence does not prove operability or capacity</x:v>
      </x:c>
    </x:row>
    <x:row r="3458" ht="64.80000305175781" hidden="0" customHeight="1">
      <x:c r="A3458" s="27" t="str">
        <x:v>SCA-28</x:v>
      </x:c>
      <x:c r="B3458" s="27" t="str">
        <x:v>SCA-27</x:v>
      </x:c>
      <x:c r="C3458" s="27" t="str">
        <x:v>Rail</x:v>
      </x:c>
      <x:c r="D3458" s="27" t="str">
        <x:v>YES</x:v>
      </x:c>
      <x:c r="E3458" s="27" t="str">
        <x:v>YES</x:v>
      </x:c>
      <x:c r="F3458" s="61" t="n">
        <x:v>2054.8907750524727</x:v>
      </x:c>
      <x:c r="G3458" s="61" t="n">
        <x:v>55.355582500749605</x:v>
      </x:c>
      <x:c r="H3458" s="27" t="str">
        <x:v>YES</x:v>
      </x:c>
      <x:c r="I3458" s="27" t="str">
        <x:v>NARN shared-node topology; deployable terminal required</x:v>
      </x:c>
      <x:c r="J3458" s="27" t="str">
        <x:v>presence does not prove operability or capacity</x:v>
      </x:c>
    </x:row>
    <x:row r="3459" ht="54" hidden="0" customHeight="1">
      <x:c r="A3459" s="29" t="str">
        <x:v>SCA-28</x:v>
      </x:c>
      <x:c r="B3459" s="29" t="str">
        <x:v>SCA-27</x:v>
      </x:c>
      <x:c r="C3459" s="29" t="str">
        <x:v>Air</x:v>
      </x:c>
      <x:c r="D3459" s="29" t="str">
        <x:v>YES</x:v>
      </x:c>
      <x:c r="E3459" s="29" t="str">
        <x:v>YES</x:v>
      </x:c>
      <x:c r="F3459" s="62" t="n">
        <x:v>1582.5986358506534</x:v>
      </x:c>
      <x:c r="G3459" s="62" t="n">
        <x:v>26.43476713207793</x:v>
      </x:c>
      <x:c r="H3459" s="29" t="str">
        <x:v>YES</x:v>
      </x:c>
      <x:c r="I3459" s="29" t="str">
        <x:v>primary-airport endpoints; great-circle screen</x:v>
      </x:c>
      <x:c r="J3459" s="29" t="str">
        <x:v>presence does not prove operability or capacity</x:v>
      </x:c>
    </x:row>
    <x:row r="3460" ht="75.5999984741211" hidden="0" customHeight="1">
      <x:c r="A3460" s="27" t="str">
        <x:v>SCA-28</x:v>
      </x:c>
      <x:c r="B3460" s="27" t="str">
        <x:v>SCA-27</x:v>
      </x:c>
      <x:c r="C3460" s="27" t="str">
        <x:v>Water</x:v>
      </x:c>
      <x:c r="D3460" s="27" t="str">
        <x:v>YES</x:v>
      </x:c>
      <x:c r="E3460" s="27" t="str">
        <x:v>YES</x:v>
      </x:c>
      <x:c r="F3460" s="61" t="n">
        <x:v>2033.552769892398</x:v>
      </x:c>
      <x:c r="G3460" s="61" t="n">
        <x:v>88.10150771121137</x:v>
      </x:c>
      <x:c r="H3460" s="27" t="str">
        <x:v>NO</x:v>
      </x:c>
      <x:c r="I3460" s="27" t="str">
        <x:v>USACE waterway node topology; deployable terminal required</x:v>
      </x:c>
      <x:c r="J3460" s="27" t="str">
        <x:v>presence does not prove operability or capacity</x:v>
      </x:c>
    </x:row>
    <x:row r="3461" ht="54" hidden="0" customHeight="1">
      <x:c r="A3461" s="29" t="str">
        <x:v>SCA-28</x:v>
      </x:c>
      <x:c r="B3461" s="29" t="str">
        <x:v>SCA-29</x:v>
      </x:c>
      <x:c r="C3461" s="29" t="str">
        <x:v>Road</x:v>
      </x:c>
      <x:c r="D3461" s="29" t="str">
        <x:v>YES</x:v>
      </x:c>
      <x:c r="E3461" s="29" t="str">
        <x:v>YES</x:v>
      </x:c>
      <x:c r="F3461" s="62" t="n">
        <x:v>576.2552915773059</x:v>
      </x:c>
      <x:c r="G3461" s="62" t="n">
        <x:v>30.4773689377692</x:v>
      </x:c>
      <x:c r="H3461" s="29" t="str">
        <x:v>YES</x:v>
      </x:c>
      <x:c r="I3461" s="29" t="str">
        <x:v>NHPN-gated shared-boundary SCA path</x:v>
      </x:c>
      <x:c r="J3461" s="29" t="str">
        <x:v>presence does not prove operability or capacity</x:v>
      </x:c>
    </x:row>
    <x:row r="3462" ht="64.80000305175781" hidden="0" customHeight="1">
      <x:c r="A3462" s="27" t="str">
        <x:v>SCA-28</x:v>
      </x:c>
      <x:c r="B3462" s="27" t="str">
        <x:v>SCA-29</x:v>
      </x:c>
      <x:c r="C3462" s="27" t="str">
        <x:v>Rail</x:v>
      </x:c>
      <x:c r="D3462" s="27" t="str">
        <x:v>YES</x:v>
      </x:c>
      <x:c r="E3462" s="27" t="str">
        <x:v>YES</x:v>
      </x:c>
      <x:c r="F3462" s="61" t="n">
        <x:v>611.3317006298374</x:v>
      </x:c>
      <x:c r="G3462" s="61" t="n">
        <x:v>34.73331000899768</x:v>
      </x:c>
      <x:c r="H3462" s="27" t="str">
        <x:v>YES</x:v>
      </x:c>
      <x:c r="I3462" s="27" t="str">
        <x:v>NARN shared-node topology; deployable terminal required</x:v>
      </x:c>
      <x:c r="J3462" s="27" t="str">
        <x:v>presence does not prove operability or capacity</x:v>
      </x:c>
    </x:row>
    <x:row r="3463" ht="54" hidden="0" customHeight="1">
      <x:c r="A3463" s="29" t="str">
        <x:v>SCA-28</x:v>
      </x:c>
      <x:c r="B3463" s="29" t="str">
        <x:v>SCA-29</x:v>
      </x:c>
      <x:c r="C3463" s="29" t="str">
        <x:v>Air</x:v>
      </x:c>
      <x:c r="D3463" s="29" t="str">
        <x:v>YES</x:v>
      </x:c>
      <x:c r="E3463" s="29" t="str">
        <x:v>YES</x:v>
      </x:c>
      <x:c r="F3463" s="62" t="n">
        <x:v>501.09155789330936</x:v>
      </x:c>
      <x:c r="G3463" s="62" t="n">
        <x:v>24.77091008906663</x:v>
      </x:c>
      <x:c r="H3463" s="29" t="str">
        <x:v>YES</x:v>
      </x:c>
      <x:c r="I3463" s="29" t="str">
        <x:v>primary-airport endpoints; great-circle screen</x:v>
      </x:c>
      <x:c r="J3463" s="29" t="str">
        <x:v>presence does not prove operability or capacity</x:v>
      </x:c>
    </x:row>
    <x:row r="3464" ht="75.5999984741211" hidden="0" customHeight="1">
      <x:c r="A3464" s="27" t="str">
        <x:v>SCA-28</x:v>
      </x:c>
      <x:c r="B3464" s="27" t="str">
        <x:v>SCA-29</x:v>
      </x:c>
      <x:c r="C3464" s="27" t="str">
        <x:v>Water</x:v>
      </x:c>
      <x:c r="D3464" s="27" t="str">
        <x:v>YES</x:v>
      </x:c>
      <x:c r="E3464" s="27" t="str">
        <x:v>YES</x:v>
      </x:c>
      <x:c r="F3464" s="61" t="n">
        <x:v>641.3971941034359</x:v>
      </x:c>
      <x:c r="G3464" s="61" t="n">
        <x:v>48.32563411724102</x:v>
      </x:c>
      <x:c r="H3464" s="27" t="str">
        <x:v>YES</x:v>
      </x:c>
      <x:c r="I3464" s="27" t="str">
        <x:v>USACE waterway node topology; deployable terminal required</x:v>
      </x:c>
      <x:c r="J3464" s="27" t="str">
        <x:v>presence does not prove operability or capacity</x:v>
      </x:c>
    </x:row>
    <x:row r="3465" ht="54" hidden="0" customHeight="1">
      <x:c r="A3465" s="29" t="str">
        <x:v>SCA-28</x:v>
      </x:c>
      <x:c r="B3465" s="29" t="str">
        <x:v>SCA-30</x:v>
      </x:c>
      <x:c r="C3465" s="29" t="str">
        <x:v>Road</x:v>
      </x:c>
      <x:c r="D3465" s="29" t="str">
        <x:v>YES</x:v>
      </x:c>
      <x:c r="E3465" s="29" t="str">
        <x:v>YES</x:v>
      </x:c>
      <x:c r="F3465" s="62" t="n">
        <x:v>463.56371593124004</x:v>
      </x:c>
      <x:c r="G3465" s="62" t="n">
        <x:v>28.42843119874982</x:v>
      </x:c>
      <x:c r="H3465" s="29" t="str">
        <x:v>YES</x:v>
      </x:c>
      <x:c r="I3465" s="29" t="str">
        <x:v>NHPN-gated shared-boundary SCA path</x:v>
      </x:c>
      <x:c r="J3465" s="29" t="str">
        <x:v>presence does not prove operability or capacity</x:v>
      </x:c>
    </x:row>
    <x:row r="3466" ht="64.80000305175781" hidden="0" customHeight="1">
      <x:c r="A3466" s="27" t="str">
        <x:v>SCA-28</x:v>
      </x:c>
      <x:c r="B3466" s="27" t="str">
        <x:v>SCA-30</x:v>
      </x:c>
      <x:c r="C3466" s="27" t="str">
        <x:v>Rail</x:v>
      </x:c>
      <x:c r="D3466" s="27" t="str">
        <x:v>YES</x:v>
      </x:c>
      <x:c r="E3466" s="27" t="str">
        <x:v>YES</x:v>
      </x:c>
      <x:c r="F3466" s="61" t="n">
        <x:v>491.78063777053296</x:v>
      </x:c>
      <x:c r="G3466" s="61" t="n">
        <x:v>33.025437682436184</x:v>
      </x:c>
      <x:c r="H3466" s="27" t="str">
        <x:v>YES</x:v>
      </x:c>
      <x:c r="I3466" s="27" t="str">
        <x:v>NARN shared-node topology; deployable terminal required</x:v>
      </x:c>
      <x:c r="J3466" s="27" t="str">
        <x:v>presence does not prove operability or capacity</x:v>
      </x:c>
    </x:row>
    <x:row r="3467" ht="54" hidden="0" customHeight="1">
      <x:c r="A3467" s="29" t="str">
        <x:v>SCA-28</x:v>
      </x:c>
      <x:c r="B3467" s="29" t="str">
        <x:v>SCA-30</x:v>
      </x:c>
      <x:c r="C3467" s="29" t="str">
        <x:v>Air</x:v>
      </x:c>
      <x:c r="D3467" s="29" t="str">
        <x:v>YES</x:v>
      </x:c>
      <x:c r="E3467" s="29" t="str">
        <x:v>YES</x:v>
      </x:c>
      <x:c r="F3467" s="62" t="n">
        <x:v>403.09888341846965</x:v>
      </x:c>
      <x:c r="G3467" s="62" t="n">
        <x:v>24.62015212833611</x:v>
      </x:c>
      <x:c r="H3467" s="29" t="str">
        <x:v>YES</x:v>
      </x:c>
      <x:c r="I3467" s="29" t="str">
        <x:v>primary-airport endpoints; great-circle screen</x:v>
      </x:c>
      <x:c r="J3467" s="29" t="str">
        <x:v>presence does not prove operability or capacity</x:v>
      </x:c>
    </x:row>
    <x:row r="3468" ht="75.5999984741211" hidden="0" customHeight="1">
      <x:c r="A3468" s="27" t="str">
        <x:v>SCA-28</x:v>
      </x:c>
      <x:c r="B3468" s="27" t="str">
        <x:v>SCA-30</x:v>
      </x:c>
      <x:c r="C3468" s="27" t="str">
        <x:v>Water</x:v>
      </x:c>
      <x:c r="D3468" s="27" t="str">
        <x:v>YES</x:v>
      </x:c>
      <x:c r="E3468" s="27" t="str">
        <x:v>YES</x:v>
      </x:c>
      <x:c r="F3468" s="61" t="n">
        <x:v>515.9665707756411</x:v>
      </x:c>
      <x:c r="G3468" s="61" t="n">
        <x:v>44.74190202216118</x:v>
      </x:c>
      <x:c r="H3468" s="27" t="str">
        <x:v>YES</x:v>
      </x:c>
      <x:c r="I3468" s="27" t="str">
        <x:v>USACE waterway node topology; deployable terminal required</x:v>
      </x:c>
      <x:c r="J3468" s="27" t="str">
        <x:v>presence does not prove operability or capacity</x:v>
      </x:c>
    </x:row>
    <x:row r="3469" ht="54" hidden="0" customHeight="1">
      <x:c r="A3469" s="29" t="str">
        <x:v>SCA-28</x:v>
      </x:c>
      <x:c r="B3469" s="29" t="str">
        <x:v>SCA-31</x:v>
      </x:c>
      <x:c r="C3469" s="29" t="str">
        <x:v>Road</x:v>
      </x:c>
      <x:c r="D3469" s="29" t="str">
        <x:v>YES</x:v>
      </x:c>
      <x:c r="E3469" s="29" t="str">
        <x:v>YES</x:v>
      </x:c>
      <x:c r="F3469" s="62" t="n">
        <x:v>856.6458611177461</x:v>
      </x:c>
      <x:c r="G3469" s="62" t="n">
        <x:v>35.57537929304993</x:v>
      </x:c>
      <x:c r="H3469" s="29" t="str">
        <x:v>YES</x:v>
      </x:c>
      <x:c r="I3469" s="29" t="str">
        <x:v>NHPN-gated shared-boundary SCA path</x:v>
      </x:c>
      <x:c r="J3469" s="29" t="str">
        <x:v>presence does not prove operability or capacity</x:v>
      </x:c>
    </x:row>
    <x:row r="3470" ht="64.80000305175781" hidden="0" customHeight="1">
      <x:c r="A3470" s="27" t="str">
        <x:v>SCA-28</x:v>
      </x:c>
      <x:c r="B3470" s="27" t="str">
        <x:v>SCA-31</x:v>
      </x:c>
      <x:c r="C3470" s="27" t="str">
        <x:v>Rail</x:v>
      </x:c>
      <x:c r="D3470" s="27" t="str">
        <x:v>YES</x:v>
      </x:c>
      <x:c r="E3470" s="27" t="str">
        <x:v>YES</x:v>
      </x:c>
      <x:c r="F3470" s="61" t="n">
        <x:v>908.7895222292609</x:v>
      </x:c>
      <x:c r="G3470" s="61" t="n">
        <x:v>38.98270746041801</x:v>
      </x:c>
      <x:c r="H3470" s="27" t="str">
        <x:v>YES</x:v>
      </x:c>
      <x:c r="I3470" s="27" t="str">
        <x:v>NARN shared-node topology; deployable terminal required</x:v>
      </x:c>
      <x:c r="J3470" s="27" t="str">
        <x:v>presence does not prove operability or capacity</x:v>
      </x:c>
    </x:row>
    <x:row r="3471" ht="54" hidden="0" customHeight="1">
      <x:c r="A3471" s="29" t="str">
        <x:v>SCA-28</x:v>
      </x:c>
      <x:c r="B3471" s="29" t="str">
        <x:v>SCA-31</x:v>
      </x:c>
      <x:c r="C3471" s="29" t="str">
        <x:v>Air</x:v>
      </x:c>
      <x:c r="D3471" s="29" t="str">
        <x:v>YES</x:v>
      </x:c>
      <x:c r="E3471" s="29" t="str">
        <x:v>YES</x:v>
      </x:c>
      <x:c r="F3471" s="62" t="n">
        <x:v>697.0092882544535</x:v>
      </x:c>
      <x:c r="G3471" s="62" t="n">
        <x:v>25.072321981929928</x:v>
      </x:c>
      <x:c r="H3471" s="29" t="str">
        <x:v>YES</x:v>
      </x:c>
      <x:c r="I3471" s="29" t="str">
        <x:v>primary-airport endpoints; great-circle screen</x:v>
      </x:c>
      <x:c r="J3471" s="29" t="str">
        <x:v>presence does not prove operability or capacity</x:v>
      </x:c>
    </x:row>
    <x:row r="3472" ht="75.5999984741211" hidden="0" customHeight="1">
      <x:c r="A3472" s="27" t="str">
        <x:v>SCA-28</x:v>
      </x:c>
      <x:c r="B3472" s="27" t="str">
        <x:v>SCA-31</x:v>
      </x:c>
      <x:c r="C3472" s="27" t="str">
        <x:v>Water</x:v>
      </x:c>
      <x:c r="D3472" s="27" t="str">
        <x:v>YES</x:v>
      </x:c>
      <x:c r="E3472" s="27" t="str">
        <x:v>YES</x:v>
      </x:c>
      <x:c r="F3472" s="61" t="n">
        <x:v>953.4840888962738</x:v>
      </x:c>
      <x:c r="G3472" s="61" t="n">
        <x:v>57.24240253989353</x:v>
      </x:c>
      <x:c r="H3472" s="27" t="str">
        <x:v>YES</x:v>
      </x:c>
      <x:c r="I3472" s="27" t="str">
        <x:v>USACE waterway node topology; deployable terminal required</x:v>
      </x:c>
      <x:c r="J3472" s="27" t="str">
        <x:v>presence does not prove operability or capacity</x:v>
      </x:c>
    </x:row>
    <x:row r="3473" ht="54" hidden="0" customHeight="1">
      <x:c r="A3473" s="29" t="str">
        <x:v>SCA-28</x:v>
      </x:c>
      <x:c r="B3473" s="29" t="str">
        <x:v>SCA-32</x:v>
      </x:c>
      <x:c r="C3473" s="29" t="str">
        <x:v>Road</x:v>
      </x:c>
      <x:c r="D3473" s="29" t="str">
        <x:v>NO</x:v>
      </x:c>
      <x:c r="E3473" s="29" t="str">
        <x:v>NO</x:v>
      </x:c>
      <x:c r="F3473" s="62"/>
      <x:c r="G3473" s="62"/>
      <x:c r="H3473" s="29" t="str">
        <x:v>NO</x:v>
      </x:c>
      <x:c r="I3473" s="29" t="str">
        <x:v>no screened path</x:v>
      </x:c>
      <x:c r="J3473" s="29" t="str">
        <x:v>presence does not prove operability or capacity</x:v>
      </x:c>
    </x:row>
    <x:row r="3474" ht="54" hidden="0" customHeight="1">
      <x:c r="A3474" s="27" t="str">
        <x:v>SCA-28</x:v>
      </x:c>
      <x:c r="B3474" s="27" t="str">
        <x:v>SCA-32</x:v>
      </x:c>
      <x:c r="C3474" s="27" t="str">
        <x:v>Rail</x:v>
      </x:c>
      <x:c r="D3474" s="27" t="str">
        <x:v>NO</x:v>
      </x:c>
      <x:c r="E3474" s="27" t="str">
        <x:v>NO</x:v>
      </x:c>
      <x:c r="F3474" s="61"/>
      <x:c r="G3474" s="61"/>
      <x:c r="H3474" s="27" t="str">
        <x:v>NO</x:v>
      </x:c>
      <x:c r="I3474" s="27" t="str">
        <x:v>no screened path</x:v>
      </x:c>
      <x:c r="J3474" s="27" t="str">
        <x:v>presence does not prove operability or capacity</x:v>
      </x:c>
    </x:row>
    <x:row r="3475" ht="54" hidden="0" customHeight="1">
      <x:c r="A3475" s="29" t="str">
        <x:v>SCA-28</x:v>
      </x:c>
      <x:c r="B3475" s="29" t="str">
        <x:v>SCA-32</x:v>
      </x:c>
      <x:c r="C3475" s="29" t="str">
        <x:v>Air</x:v>
      </x:c>
      <x:c r="D3475" s="29" t="str">
        <x:v>YES</x:v>
      </x:c>
      <x:c r="E3475" s="29" t="str">
        <x:v>YES</x:v>
      </x:c>
      <x:c r="F3475" s="62" t="n">
        <x:v>2754.058376055981</x:v>
      </x:c>
      <x:c r="G3475" s="62" t="n">
        <x:v>28.23701288623997</x:v>
      </x:c>
      <x:c r="H3475" s="29" t="str">
        <x:v>YES</x:v>
      </x:c>
      <x:c r="I3475" s="29" t="str">
        <x:v>primary-airport endpoints; great-circle screen</x:v>
      </x:c>
      <x:c r="J3475" s="29" t="str">
        <x:v>presence does not prove operability or capacity</x:v>
      </x:c>
    </x:row>
    <x:row r="3476" ht="75.5999984741211" hidden="0" customHeight="1">
      <x:c r="A3476" s="27" t="str">
        <x:v>SCA-28</x:v>
      </x:c>
      <x:c r="B3476" s="27" t="str">
        <x:v>SCA-32</x:v>
      </x:c>
      <x:c r="C3476" s="27" t="str">
        <x:v>Water</x:v>
      </x:c>
      <x:c r="D3476" s="27" t="str">
        <x:v>YES</x:v>
      </x:c>
      <x:c r="E3476" s="27" t="str">
        <x:v>YES</x:v>
      </x:c>
      <x:c r="F3476" s="61" t="n">
        <x:v>3611.2114141100155</x:v>
      </x:c>
      <x:c r="G3476" s="61" t="n">
        <x:v>133.17746897457187</x:v>
      </x:c>
      <x:c r="H3476" s="27" t="str">
        <x:v>NO</x:v>
      </x:c>
      <x:c r="I3476" s="27" t="str">
        <x:v>USACE waterway node topology; deployable terminal required</x:v>
      </x:c>
      <x:c r="J3476" s="27" t="str">
        <x:v>presence does not prove operability or capacity</x:v>
      </x:c>
    </x:row>
    <x:row r="3477" ht="54" hidden="0" customHeight="1">
      <x:c r="A3477" s="29" t="str">
        <x:v>SCA-29</x:v>
      </x:c>
      <x:c r="B3477" s="29" t="str">
        <x:v>SCA-01</x:v>
      </x:c>
      <x:c r="C3477" s="29" t="str">
        <x:v>Road</x:v>
      </x:c>
      <x:c r="D3477" s="29" t="str">
        <x:v>NO</x:v>
      </x:c>
      <x:c r="E3477" s="29" t="str">
        <x:v>NO</x:v>
      </x:c>
      <x:c r="F3477" s="62"/>
      <x:c r="G3477" s="62"/>
      <x:c r="H3477" s="29" t="str">
        <x:v>NO</x:v>
      </x:c>
      <x:c r="I3477" s="29" t="str">
        <x:v>no screened path</x:v>
      </x:c>
      <x:c r="J3477" s="29" t="str">
        <x:v>presence does not prove operability or capacity</x:v>
      </x:c>
    </x:row>
    <x:row r="3478" ht="54" hidden="0" customHeight="1">
      <x:c r="A3478" s="27" t="str">
        <x:v>SCA-29</x:v>
      </x:c>
      <x:c r="B3478" s="27" t="str">
        <x:v>SCA-01</x:v>
      </x:c>
      <x:c r="C3478" s="27" t="str">
        <x:v>Rail</x:v>
      </x:c>
      <x:c r="D3478" s="27" t="str">
        <x:v>NO</x:v>
      </x:c>
      <x:c r="E3478" s="27" t="str">
        <x:v>NO</x:v>
      </x:c>
      <x:c r="F3478" s="61"/>
      <x:c r="G3478" s="61"/>
      <x:c r="H3478" s="27" t="str">
        <x:v>NO</x:v>
      </x:c>
      <x:c r="I3478" s="27" t="str">
        <x:v>no screened path</x:v>
      </x:c>
      <x:c r="J3478" s="27" t="str">
        <x:v>presence does not prove operability or capacity</x:v>
      </x:c>
    </x:row>
    <x:row r="3479" ht="54" hidden="0" customHeight="1">
      <x:c r="A3479" s="29" t="str">
        <x:v>SCA-29</x:v>
      </x:c>
      <x:c r="B3479" s="29" t="str">
        <x:v>SCA-01</x:v>
      </x:c>
      <x:c r="C3479" s="29" t="str">
        <x:v>Air</x:v>
      </x:c>
      <x:c r="D3479" s="29" t="str">
        <x:v>YES</x:v>
      </x:c>
      <x:c r="E3479" s="29" t="str">
        <x:v>YES</x:v>
      </x:c>
      <x:c r="F3479" s="62" t="n">
        <x:v>7657.181911806671</x:v>
      </x:c>
      <x:c r="G3479" s="62" t="n">
        <x:v>35.780279864317954</x:v>
      </x:c>
      <x:c r="H3479" s="29" t="str">
        <x:v>YES</x:v>
      </x:c>
      <x:c r="I3479" s="29" t="str">
        <x:v>primary-airport endpoints; great-circle screen</x:v>
      </x:c>
      <x:c r="J3479" s="29" t="str">
        <x:v>presence does not prove operability or capacity</x:v>
      </x:c>
    </x:row>
    <x:row r="3480" ht="75.5999984741211" hidden="0" customHeight="1">
      <x:c r="A3480" s="27" t="str">
        <x:v>SCA-29</x:v>
      </x:c>
      <x:c r="B3480" s="27" t="str">
        <x:v>SCA-01</x:v>
      </x:c>
      <x:c r="C3480" s="27" t="str">
        <x:v>Water</x:v>
      </x:c>
      <x:c r="D3480" s="27" t="str">
        <x:v>YES</x:v>
      </x:c>
      <x:c r="E3480" s="27" t="str">
        <x:v>YES</x:v>
      </x:c>
      <x:c r="F3480" s="61" t="n">
        <x:v>11444.378517771194</x:v>
      </x:c>
      <x:c r="G3480" s="61" t="n">
        <x:v>356.98224336489125</x:v>
      </x:c>
      <x:c r="H3480" s="27" t="str">
        <x:v>NO</x:v>
      </x:c>
      <x:c r="I3480" s="27" t="str">
        <x:v>USACE waterway node topology; deployable terminal required</x:v>
      </x:c>
      <x:c r="J3480" s="27" t="str">
        <x:v>presence does not prove operability or capacity</x:v>
      </x:c>
    </x:row>
    <x:row r="3481" ht="54" hidden="0" customHeight="1">
      <x:c r="A3481" s="29" t="str">
        <x:v>SCA-29</x:v>
      </x:c>
      <x:c r="B3481" s="29" t="str">
        <x:v>SCA-02</x:v>
      </x:c>
      <x:c r="C3481" s="29" t="str">
        <x:v>Road</x:v>
      </x:c>
      <x:c r="D3481" s="29" t="str">
        <x:v>NO</x:v>
      </x:c>
      <x:c r="E3481" s="29" t="str">
        <x:v>NO</x:v>
      </x:c>
      <x:c r="F3481" s="62"/>
      <x:c r="G3481" s="62"/>
      <x:c r="H3481" s="29" t="str">
        <x:v>NO</x:v>
      </x:c>
      <x:c r="I3481" s="29" t="str">
        <x:v>no screened path</x:v>
      </x:c>
      <x:c r="J3481" s="29" t="str">
        <x:v>presence does not prove operability or capacity</x:v>
      </x:c>
    </x:row>
    <x:row r="3482" ht="54" hidden="0" customHeight="1">
      <x:c r="A3482" s="27" t="str">
        <x:v>SCA-29</x:v>
      </x:c>
      <x:c r="B3482" s="27" t="str">
        <x:v>SCA-02</x:v>
      </x:c>
      <x:c r="C3482" s="27" t="str">
        <x:v>Rail</x:v>
      </x:c>
      <x:c r="D3482" s="27" t="str">
        <x:v>NO</x:v>
      </x:c>
      <x:c r="E3482" s="27" t="str">
        <x:v>NO</x:v>
      </x:c>
      <x:c r="F3482" s="61"/>
      <x:c r="G3482" s="61"/>
      <x:c r="H3482" s="27" t="str">
        <x:v>NO</x:v>
      </x:c>
      <x:c r="I3482" s="27" t="str">
        <x:v>no screened path</x:v>
      </x:c>
      <x:c r="J3482" s="27" t="str">
        <x:v>presence does not prove operability or capacity</x:v>
      </x:c>
    </x:row>
    <x:row r="3483" ht="54" hidden="0" customHeight="1">
      <x:c r="A3483" s="29" t="str">
        <x:v>SCA-29</x:v>
      </x:c>
      <x:c r="B3483" s="29" t="str">
        <x:v>SCA-02</x:v>
      </x:c>
      <x:c r="C3483" s="29" t="str">
        <x:v>Air</x:v>
      </x:c>
      <x:c r="D3483" s="29" t="str">
        <x:v>YES</x:v>
      </x:c>
      <x:c r="E3483" s="29" t="str">
        <x:v>YES</x:v>
      </x:c>
      <x:c r="F3483" s="62" t="n">
        <x:v>5376.233544625213</x:v>
      </x:c>
      <x:c r="G3483" s="62" t="n">
        <x:v>32.271128530192634</x:v>
      </x:c>
      <x:c r="H3483" s="29" t="str">
        <x:v>YES</x:v>
      </x:c>
      <x:c r="I3483" s="29" t="str">
        <x:v>primary-airport endpoints; great-circle screen</x:v>
      </x:c>
      <x:c r="J3483" s="29" t="str">
        <x:v>presence does not prove operability or capacity</x:v>
      </x:c>
    </x:row>
    <x:row r="3484" ht="75.5999984741211" hidden="0" customHeight="1">
      <x:c r="A3484" s="27" t="str">
        <x:v>SCA-29</x:v>
      </x:c>
      <x:c r="B3484" s="27" t="str">
        <x:v>SCA-02</x:v>
      </x:c>
      <x:c r="C3484" s="27" t="str">
        <x:v>Water</x:v>
      </x:c>
      <x:c r="D3484" s="27" t="str">
        <x:v>YES</x:v>
      </x:c>
      <x:c r="E3484" s="27" t="str">
        <x:v>YES</x:v>
      </x:c>
      <x:c r="F3484" s="61" t="n">
        <x:v>7888.581483051404</x:v>
      </x:c>
      <x:c r="G3484" s="61" t="n">
        <x:v>255.38804237289725</x:v>
      </x:c>
      <x:c r="H3484" s="27" t="str">
        <x:v>NO</x:v>
      </x:c>
      <x:c r="I3484" s="27" t="str">
        <x:v>USACE waterway node topology; deployable terminal required</x:v>
      </x:c>
      <x:c r="J3484" s="27" t="str">
        <x:v>presence does not prove operability or capacity</x:v>
      </x:c>
    </x:row>
    <x:row r="3485" ht="54" hidden="0" customHeight="1">
      <x:c r="A3485" s="29" t="str">
        <x:v>SCA-29</x:v>
      </x:c>
      <x:c r="B3485" s="29" t="str">
        <x:v>SCA-03</x:v>
      </x:c>
      <x:c r="C3485" s="29" t="str">
        <x:v>Road</x:v>
      </x:c>
      <x:c r="D3485" s="29" t="str">
        <x:v>YES</x:v>
      </x:c>
      <x:c r="E3485" s="29" t="str">
        <x:v>YES</x:v>
      </x:c>
      <x:c r="F3485" s="62" t="n">
        <x:v>4457.061250530038</x:v>
      </x:c>
      <x:c r="G3485" s="62" t="n">
        <x:v>101.03747728236432</x:v>
      </x:c>
      <x:c r="H3485" s="29" t="str">
        <x:v>NO</x:v>
      </x:c>
      <x:c r="I3485" s="29" t="str">
        <x:v>NHPN-gated shared-boundary SCA path</x:v>
      </x:c>
      <x:c r="J3485" s="29" t="str">
        <x:v>presence does not prove operability or capacity</x:v>
      </x:c>
    </x:row>
    <x:row r="3486" ht="64.80000305175781" hidden="0" customHeight="1">
      <x:c r="A3486" s="27" t="str">
        <x:v>SCA-29</x:v>
      </x:c>
      <x:c r="B3486" s="27" t="str">
        <x:v>SCA-03</x:v>
      </x:c>
      <x:c r="C3486" s="27" t="str">
        <x:v>Rail</x:v>
      </x:c>
      <x:c r="D3486" s="27" t="str">
        <x:v>YES</x:v>
      </x:c>
      <x:c r="E3486" s="27" t="str">
        <x:v>YES</x:v>
      </x:c>
      <x:c r="F3486" s="61" t="n">
        <x:v>4728.360630997084</x:v>
      </x:c>
      <x:c r="G3486" s="61" t="n">
        <x:v>93.54800901424406</x:v>
      </x:c>
      <x:c r="H3486" s="27" t="str">
        <x:v>NO</x:v>
      </x:c>
      <x:c r="I3486" s="27" t="str">
        <x:v>NARN shared-node topology; deployable terminal required</x:v>
      </x:c>
      <x:c r="J3486" s="27" t="str">
        <x:v>presence does not prove operability or capacity</x:v>
      </x:c>
    </x:row>
    <x:row r="3487" ht="54" hidden="0" customHeight="1">
      <x:c r="A3487" s="29" t="str">
        <x:v>SCA-29</x:v>
      </x:c>
      <x:c r="B3487" s="29" t="str">
        <x:v>SCA-03</x:v>
      </x:c>
      <x:c r="C3487" s="29" t="str">
        <x:v>Air</x:v>
      </x:c>
      <x:c r="D3487" s="29" t="str">
        <x:v>YES</x:v>
      </x:c>
      <x:c r="E3487" s="29" t="str">
        <x:v>YES</x:v>
      </x:c>
      <x:c r="F3487" s="62" t="n">
        <x:v>3705.1947198738926</x:v>
      </x:c>
      <x:c r="G3487" s="62" t="n">
        <x:v>29.70029956903676</x:v>
      </x:c>
      <x:c r="H3487" s="29" t="str">
        <x:v>YES</x:v>
      </x:c>
      <x:c r="I3487" s="29" t="str">
        <x:v>primary-airport endpoints; great-circle screen</x:v>
      </x:c>
      <x:c r="J3487" s="29" t="str">
        <x:v>presence does not prove operability or capacity</x:v>
      </x:c>
    </x:row>
    <x:row r="3488" ht="75.5999984741211" hidden="0" customHeight="1">
      <x:c r="A3488" s="27" t="str">
        <x:v>SCA-29</x:v>
      </x:c>
      <x:c r="B3488" s="27" t="str">
        <x:v>SCA-03</x:v>
      </x:c>
      <x:c r="C3488" s="27" t="str">
        <x:v>Water</x:v>
      </x:c>
      <x:c r="D3488" s="27" t="str">
        <x:v>YES</x:v>
      </x:c>
      <x:c r="E3488" s="27" t="str">
        <x:v>YES</x:v>
      </x:c>
      <x:c r="F3488" s="61" t="n">
        <x:v>8053.617205099539</x:v>
      </x:c>
      <x:c r="G3488" s="61" t="n">
        <x:v>260.10334871712973</x:v>
      </x:c>
      <x:c r="H3488" s="27" t="str">
        <x:v>NO</x:v>
      </x:c>
      <x:c r="I3488" s="27" t="str">
        <x:v>USACE waterway node topology; deployable terminal required</x:v>
      </x:c>
      <x:c r="J3488" s="27" t="str">
        <x:v>presence does not prove operability or capacity</x:v>
      </x:c>
    </x:row>
    <x:row r="3489" ht="54" hidden="0" customHeight="1">
      <x:c r="A3489" s="29" t="str">
        <x:v>SCA-29</x:v>
      </x:c>
      <x:c r="B3489" s="29" t="str">
        <x:v>SCA-04</x:v>
      </x:c>
      <x:c r="C3489" s="29" t="str">
        <x:v>Road</x:v>
      </x:c>
      <x:c r="D3489" s="29" t="str">
        <x:v>YES</x:v>
      </x:c>
      <x:c r="E3489" s="29" t="str">
        <x:v>YES</x:v>
      </x:c>
      <x:c r="F3489" s="62" t="n">
        <x:v>4757.8176868134115</x:v>
      </x:c>
      <x:c r="G3489" s="62" t="n">
        <x:v>106.50577612388021</x:v>
      </x:c>
      <x:c r="H3489" s="29" t="str">
        <x:v>NO</x:v>
      </x:c>
      <x:c r="I3489" s="29" t="str">
        <x:v>NHPN-gated shared-boundary SCA path</x:v>
      </x:c>
      <x:c r="J3489" s="29" t="str">
        <x:v>presence does not prove operability or capacity</x:v>
      </x:c>
    </x:row>
    <x:row r="3490" ht="64.80000305175781" hidden="0" customHeight="1">
      <x:c r="A3490" s="27" t="str">
        <x:v>SCA-29</x:v>
      </x:c>
      <x:c r="B3490" s="27" t="str">
        <x:v>SCA-04</x:v>
      </x:c>
      <x:c r="C3490" s="27" t="str">
        <x:v>Rail</x:v>
      </x:c>
      <x:c r="D3490" s="27" t="str">
        <x:v>YES</x:v>
      </x:c>
      <x:c r="E3490" s="27" t="str">
        <x:v>YES</x:v>
      </x:c>
      <x:c r="F3490" s="61" t="n">
        <x:v>5163.856922363433</x:v>
      </x:c>
      <x:c r="G3490" s="61" t="n">
        <x:v>99.7693846051919</x:v>
      </x:c>
      <x:c r="H3490" s="27" t="str">
        <x:v>NO</x:v>
      </x:c>
      <x:c r="I3490" s="27" t="str">
        <x:v>NARN shared-node topology; deployable terminal required</x:v>
      </x:c>
      <x:c r="J3490" s="27" t="str">
        <x:v>presence does not prove operability or capacity</x:v>
      </x:c>
    </x:row>
    <x:row r="3491" ht="54" hidden="0" customHeight="1">
      <x:c r="A3491" s="29" t="str">
        <x:v>SCA-29</x:v>
      </x:c>
      <x:c r="B3491" s="29" t="str">
        <x:v>SCA-04</x:v>
      </x:c>
      <x:c r="C3491" s="29" t="str">
        <x:v>Air</x:v>
      </x:c>
      <x:c r="D3491" s="29" t="str">
        <x:v>YES</x:v>
      </x:c>
      <x:c r="E3491" s="29" t="str">
        <x:v>YES</x:v>
      </x:c>
      <x:c r="F3491" s="62" t="n">
        <x:v>3747.2701166820643</x:v>
      </x:c>
      <x:c r="G3491" s="62" t="n">
        <x:v>29.76503094874164</x:v>
      </x:c>
      <x:c r="H3491" s="29" t="str">
        <x:v>YES</x:v>
      </x:c>
      <x:c r="I3491" s="29" t="str">
        <x:v>primary-airport endpoints; great-circle screen</x:v>
      </x:c>
      <x:c r="J3491" s="29" t="str">
        <x:v>presence does not prove operability or capacity</x:v>
      </x:c>
    </x:row>
    <x:row r="3492" ht="75.5999984741211" hidden="0" customHeight="1">
      <x:c r="A3492" s="27" t="str">
        <x:v>SCA-29</x:v>
      </x:c>
      <x:c r="B3492" s="27" t="str">
        <x:v>SCA-04</x:v>
      </x:c>
      <x:c r="C3492" s="27" t="str">
        <x:v>Water</x:v>
      </x:c>
      <x:c r="D3492" s="27" t="str">
        <x:v>YES</x:v>
      </x:c>
      <x:c r="E3492" s="27" t="str">
        <x:v>YES</x:v>
      </x:c>
      <x:c r="F3492" s="61" t="n">
        <x:v>6841.358996718572</x:v>
      </x:c>
      <x:c r="G3492" s="61" t="n">
        <x:v>225.4673999062449</x:v>
      </x:c>
      <x:c r="H3492" s="27" t="str">
        <x:v>NO</x:v>
      </x:c>
      <x:c r="I3492" s="27" t="str">
        <x:v>USACE waterway node topology; deployable terminal required</x:v>
      </x:c>
      <x:c r="J3492" s="27" t="str">
        <x:v>presence does not prove operability or capacity</x:v>
      </x:c>
    </x:row>
    <x:row r="3493" ht="54" hidden="0" customHeight="1">
      <x:c r="A3493" s="29" t="str">
        <x:v>SCA-29</x:v>
      </x:c>
      <x:c r="B3493" s="29" t="str">
        <x:v>SCA-05</x:v>
      </x:c>
      <x:c r="C3493" s="29" t="str">
        <x:v>Road</x:v>
      </x:c>
      <x:c r="D3493" s="29" t="str">
        <x:v>YES</x:v>
      </x:c>
      <x:c r="E3493" s="29" t="str">
        <x:v>YES</x:v>
      </x:c>
      <x:c r="F3493" s="62" t="n">
        <x:v>4285.5541315286955</x:v>
      </x:c>
      <x:c r="G3493" s="62" t="n">
        <x:v>97.91916602779446</x:v>
      </x:c>
      <x:c r="H3493" s="29" t="str">
        <x:v>NO</x:v>
      </x:c>
      <x:c r="I3493" s="29" t="str">
        <x:v>NHPN-gated shared-boundary SCA path</x:v>
      </x:c>
      <x:c r="J3493" s="29" t="str">
        <x:v>presence does not prove operability or capacity</x:v>
      </x:c>
    </x:row>
    <x:row r="3494" ht="64.80000305175781" hidden="0" customHeight="1">
      <x:c r="A3494" s="27" t="str">
        <x:v>SCA-29</x:v>
      </x:c>
      <x:c r="B3494" s="27" t="str">
        <x:v>SCA-05</x:v>
      </x:c>
      <x:c r="C3494" s="27" t="str">
        <x:v>Rail</x:v>
      </x:c>
      <x:c r="D3494" s="27" t="str">
        <x:v>YES</x:v>
      </x:c>
      <x:c r="E3494" s="27" t="str">
        <x:v>YES</x:v>
      </x:c>
      <x:c r="F3494" s="61" t="n">
        <x:v>4546.413948230443</x:v>
      </x:c>
      <x:c r="G3494" s="61" t="n">
        <x:v>90.94877068900632</x:v>
      </x:c>
      <x:c r="H3494" s="27" t="str">
        <x:v>NO</x:v>
      </x:c>
      <x:c r="I3494" s="27" t="str">
        <x:v>NARN shared-node topology; deployable terminal required</x:v>
      </x:c>
      <x:c r="J3494" s="27" t="str">
        <x:v>presence does not prove operability or capacity</x:v>
      </x:c>
    </x:row>
    <x:row r="3495" ht="54" hidden="0" customHeight="1">
      <x:c r="A3495" s="29" t="str">
        <x:v>SCA-29</x:v>
      </x:c>
      <x:c r="B3495" s="29" t="str">
        <x:v>SCA-05</x:v>
      </x:c>
      <x:c r="C3495" s="29" t="str">
        <x:v>Air</x:v>
      </x:c>
      <x:c r="D3495" s="29" t="str">
        <x:v>YES</x:v>
      </x:c>
      <x:c r="E3495" s="29" t="str">
        <x:v>YES</x:v>
      </x:c>
      <x:c r="F3495" s="62" t="n">
        <x:v>3553.6721081520814</x:v>
      </x:c>
      <x:c r="G3495" s="62" t="n">
        <x:v>29.46718785869551</x:v>
      </x:c>
      <x:c r="H3495" s="29" t="str">
        <x:v>YES</x:v>
      </x:c>
      <x:c r="I3495" s="29" t="str">
        <x:v>primary-airport endpoints; great-circle screen</x:v>
      </x:c>
      <x:c r="J3495" s="29" t="str">
        <x:v>presence does not prove operability or capacity</x:v>
      </x:c>
    </x:row>
    <x:row r="3496" ht="75.5999984741211" hidden="0" customHeight="1">
      <x:c r="A3496" s="27" t="str">
        <x:v>SCA-29</x:v>
      </x:c>
      <x:c r="B3496" s="27" t="str">
        <x:v>SCA-05</x:v>
      </x:c>
      <x:c r="C3496" s="27" t="str">
        <x:v>Water</x:v>
      </x:c>
      <x:c r="D3496" s="27" t="str">
        <x:v>YES</x:v>
      </x:c>
      <x:c r="E3496" s="27" t="str">
        <x:v>YES</x:v>
      </x:c>
      <x:c r="F3496" s="61" t="n">
        <x:v>6185.405577241514</x:v>
      </x:c>
      <x:c r="G3496" s="61" t="n">
        <x:v>206.72587363547183</x:v>
      </x:c>
      <x:c r="H3496" s="27" t="str">
        <x:v>NO</x:v>
      </x:c>
      <x:c r="I3496" s="27" t="str">
        <x:v>USACE waterway node topology; deployable terminal required</x:v>
      </x:c>
      <x:c r="J3496" s="27" t="str">
        <x:v>presence does not prove operability or capacity</x:v>
      </x:c>
    </x:row>
    <x:row r="3497" ht="54" hidden="0" customHeight="1">
      <x:c r="A3497" s="29" t="str">
        <x:v>SCA-29</x:v>
      </x:c>
      <x:c r="B3497" s="29" t="str">
        <x:v>SCA-06</x:v>
      </x:c>
      <x:c r="C3497" s="29" t="str">
        <x:v>Road</x:v>
      </x:c>
      <x:c r="D3497" s="29" t="str">
        <x:v>YES</x:v>
      </x:c>
      <x:c r="E3497" s="29" t="str">
        <x:v>YES</x:v>
      </x:c>
      <x:c r="F3497" s="62" t="n">
        <x:v>4044.7967592485725</x:v>
      </x:c>
      <x:c r="G3497" s="62" t="n">
        <x:v>93.54175925906496</x:v>
      </x:c>
      <x:c r="H3497" s="29" t="str">
        <x:v>NO</x:v>
      </x:c>
      <x:c r="I3497" s="29" t="str">
        <x:v>NHPN-gated shared-boundary SCA path</x:v>
      </x:c>
      <x:c r="J3497" s="29" t="str">
        <x:v>presence does not prove operability or capacity</x:v>
      </x:c>
    </x:row>
    <x:row r="3498" ht="64.80000305175781" hidden="0" customHeight="1">
      <x:c r="A3498" s="27" t="str">
        <x:v>SCA-29</x:v>
      </x:c>
      <x:c r="B3498" s="27" t="str">
        <x:v>SCA-06</x:v>
      </x:c>
      <x:c r="C3498" s="27" t="str">
        <x:v>Rail</x:v>
      </x:c>
      <x:c r="D3498" s="27" t="str">
        <x:v>YES</x:v>
      </x:c>
      <x:c r="E3498" s="27" t="str">
        <x:v>YES</x:v>
      </x:c>
      <x:c r="F3498" s="61" t="n">
        <x:v>4291.0017793767465</x:v>
      </x:c>
      <x:c r="G3498" s="61" t="n">
        <x:v>87.3000254196678</x:v>
      </x:c>
      <x:c r="H3498" s="27" t="str">
        <x:v>NO</x:v>
      </x:c>
      <x:c r="I3498" s="27" t="str">
        <x:v>NARN shared-node topology; deployable terminal required</x:v>
      </x:c>
      <x:c r="J3498" s="27" t="str">
        <x:v>presence does not prove operability or capacity</x:v>
      </x:c>
    </x:row>
    <x:row r="3499" ht="54" hidden="0" customHeight="1">
      <x:c r="A3499" s="29" t="str">
        <x:v>SCA-29</x:v>
      </x:c>
      <x:c r="B3499" s="29" t="str">
        <x:v>SCA-06</x:v>
      </x:c>
      <x:c r="C3499" s="29" t="str">
        <x:v>Air</x:v>
      </x:c>
      <x:c r="D3499" s="29" t="str">
        <x:v>YES</x:v>
      </x:c>
      <x:c r="E3499" s="29" t="str">
        <x:v>YES</x:v>
      </x:c>
      <x:c r="F3499" s="62" t="n">
        <x:v>3406.495684504516</x:v>
      </x:c>
      <x:c r="G3499" s="62" t="n">
        <x:v>29.24076259154541</x:v>
      </x:c>
      <x:c r="H3499" s="29" t="str">
        <x:v>YES</x:v>
      </x:c>
      <x:c r="I3499" s="29" t="str">
        <x:v>primary-airport endpoints; great-circle screen</x:v>
      </x:c>
      <x:c r="J3499" s="29" t="str">
        <x:v>presence does not prove operability or capacity</x:v>
      </x:c>
    </x:row>
    <x:row r="3500" ht="75.5999984741211" hidden="0" customHeight="1">
      <x:c r="A3500" s="27" t="str">
        <x:v>SCA-29</x:v>
      </x:c>
      <x:c r="B3500" s="27" t="str">
        <x:v>SCA-06</x:v>
      </x:c>
      <x:c r="C3500" s="27" t="str">
        <x:v>Water</x:v>
      </x:c>
      <x:c r="D3500" s="27" t="str">
        <x:v>YES</x:v>
      </x:c>
      <x:c r="E3500" s="27" t="str">
        <x:v>YES</x:v>
      </x:c>
      <x:c r="F3500" s="61" t="n">
        <x:v>5917.432154181898</x:v>
      </x:c>
      <x:c r="G3500" s="61" t="n">
        <x:v>199.0694901194828</x:v>
      </x:c>
      <x:c r="H3500" s="27" t="str">
        <x:v>NO</x:v>
      </x:c>
      <x:c r="I3500" s="27" t="str">
        <x:v>USACE waterway node topology; deployable terminal required</x:v>
      </x:c>
      <x:c r="J3500" s="27" t="str">
        <x:v>presence does not prove operability or capacity</x:v>
      </x:c>
    </x:row>
    <x:row r="3501" ht="54" hidden="0" customHeight="1">
      <x:c r="A3501" s="29" t="str">
        <x:v>SCA-29</x:v>
      </x:c>
      <x:c r="B3501" s="29" t="str">
        <x:v>SCA-07</x:v>
      </x:c>
      <x:c r="C3501" s="29" t="str">
        <x:v>Road</x:v>
      </x:c>
      <x:c r="D3501" s="29" t="str">
        <x:v>YES</x:v>
      </x:c>
      <x:c r="E3501" s="29" t="str">
        <x:v>YES</x:v>
      </x:c>
      <x:c r="F3501" s="62" t="n">
        <x:v>4057.2135001607667</x:v>
      </x:c>
      <x:c r="G3501" s="62" t="n">
        <x:v>93.7675181847412</x:v>
      </x:c>
      <x:c r="H3501" s="29" t="str">
        <x:v>NO</x:v>
      </x:c>
      <x:c r="I3501" s="29" t="str">
        <x:v>NHPN-gated shared-boundary SCA path</x:v>
      </x:c>
      <x:c r="J3501" s="29" t="str">
        <x:v>presence does not prove operability or capacity</x:v>
      </x:c>
    </x:row>
    <x:row r="3502" ht="64.80000305175781" hidden="0" customHeight="1">
      <x:c r="A3502" s="27" t="str">
        <x:v>SCA-29</x:v>
      </x:c>
      <x:c r="B3502" s="27" t="str">
        <x:v>SCA-07</x:v>
      </x:c>
      <x:c r="C3502" s="27" t="str">
        <x:v>Rail</x:v>
      </x:c>
      <x:c r="D3502" s="27" t="str">
        <x:v>YES</x:v>
      </x:c>
      <x:c r="E3502" s="27" t="str">
        <x:v>YES</x:v>
      </x:c>
      <x:c r="F3502" s="61" t="n">
        <x:v>4304.174321909683</x:v>
      </x:c>
      <x:c r="G3502" s="61" t="n">
        <x:v>87.48820459870976</x:v>
      </x:c>
      <x:c r="H3502" s="27" t="str">
        <x:v>NO</x:v>
      </x:c>
      <x:c r="I3502" s="27" t="str">
        <x:v>NARN shared-node topology; deployable terminal required</x:v>
      </x:c>
      <x:c r="J3502" s="27" t="str">
        <x:v>presence does not prove operability or capacity</x:v>
      </x:c>
    </x:row>
    <x:row r="3503" ht="54" hidden="0" customHeight="1">
      <x:c r="A3503" s="29" t="str">
        <x:v>SCA-29</x:v>
      </x:c>
      <x:c r="B3503" s="29" t="str">
        <x:v>SCA-07</x:v>
      </x:c>
      <x:c r="C3503" s="29" t="str">
        <x:v>Air</x:v>
      </x:c>
      <x:c r="D3503" s="29" t="str">
        <x:v>YES</x:v>
      </x:c>
      <x:c r="E3503" s="29" t="str">
        <x:v>YES</x:v>
      </x:c>
      <x:c r="F3503" s="62" t="n">
        <x:v>3255.181885074896</x:v>
      </x:c>
      <x:c r="G3503" s="62" t="n">
        <x:v>29.007972130884454</x:v>
      </x:c>
      <x:c r="H3503" s="29" t="str">
        <x:v>YES</x:v>
      </x:c>
      <x:c r="I3503" s="29" t="str">
        <x:v>primary-airport endpoints; great-circle screen</x:v>
      </x:c>
      <x:c r="J3503" s="29" t="str">
        <x:v>presence does not prove operability or capacity</x:v>
      </x:c>
    </x:row>
    <x:row r="3504" ht="64.80000305175781" hidden="0" customHeight="1">
      <x:c r="A3504" s="27" t="str">
        <x:v>SCA-29</x:v>
      </x:c>
      <x:c r="B3504" s="27" t="str">
        <x:v>SCA-07</x:v>
      </x:c>
      <x:c r="C3504" s="27" t="str">
        <x:v>Water</x:v>
      </x:c>
      <x:c r="D3504" s="27" t="str">
        <x:v>YES</x:v>
      </x:c>
      <x:c r="E3504" s="27" t="str">
        <x:v>YES</x:v>
      </x:c>
      <x:c r="F3504" s="61" t="n">
        <x:v>4068.97735634362</x:v>
      </x:c>
      <x:c r="G3504" s="61" t="n">
        <x:v>146.256495895532</x:v>
      </x:c>
      <x:c r="H3504" s="27" t="str">
        <x:v>NO</x:v>
      </x:c>
      <x:c r="I3504" s="27" t="str">
        <x:v>observed water terminals; maritime great-circle screen</x:v>
      </x:c>
      <x:c r="J3504" s="27" t="str">
        <x:v>presence does not prove operability or capacity</x:v>
      </x:c>
    </x:row>
    <x:row r="3505" ht="54" hidden="0" customHeight="1">
      <x:c r="A3505" s="29" t="str">
        <x:v>SCA-29</x:v>
      </x:c>
      <x:c r="B3505" s="29" t="str">
        <x:v>SCA-08</x:v>
      </x:c>
      <x:c r="C3505" s="29" t="str">
        <x:v>Road</x:v>
      </x:c>
      <x:c r="D3505" s="29" t="str">
        <x:v>YES</x:v>
      </x:c>
      <x:c r="E3505" s="29" t="str">
        <x:v>YES</x:v>
      </x:c>
      <x:c r="F3505" s="62" t="n">
        <x:v>3812.406375457528</x:v>
      </x:c>
      <x:c r="G3505" s="62" t="n">
        <x:v>89.31647955377323</x:v>
      </x:c>
      <x:c r="H3505" s="29" t="str">
        <x:v>NO</x:v>
      </x:c>
      <x:c r="I3505" s="29" t="str">
        <x:v>NHPN-gated shared-boundary SCA path</x:v>
      </x:c>
      <x:c r="J3505" s="29" t="str">
        <x:v>presence does not prove operability or capacity</x:v>
      </x:c>
    </x:row>
    <x:row r="3506" ht="64.80000305175781" hidden="0" customHeight="1">
      <x:c r="A3506" s="27" t="str">
        <x:v>SCA-29</x:v>
      </x:c>
      <x:c r="B3506" s="27" t="str">
        <x:v>SCA-08</x:v>
      </x:c>
      <x:c r="C3506" s="27" t="str">
        <x:v>Rail</x:v>
      </x:c>
      <x:c r="D3506" s="27" t="str">
        <x:v>YES</x:v>
      </x:c>
      <x:c r="E3506" s="27" t="str">
        <x:v>YES</x:v>
      </x:c>
      <x:c r="F3506" s="61" t="n">
        <x:v>4044.4658939636383</x:v>
      </x:c>
      <x:c r="G3506" s="61" t="n">
        <x:v>83.77808419948055</x:v>
      </x:c>
      <x:c r="H3506" s="27" t="str">
        <x:v>NO</x:v>
      </x:c>
      <x:c r="I3506" s="27" t="str">
        <x:v>NARN shared-node topology; deployable terminal required</x:v>
      </x:c>
      <x:c r="J3506" s="27" t="str">
        <x:v>presence does not prove operability or capacity</x:v>
      </x:c>
    </x:row>
    <x:row r="3507" ht="54" hidden="0" customHeight="1">
      <x:c r="A3507" s="29" t="str">
        <x:v>SCA-29</x:v>
      </x:c>
      <x:c r="B3507" s="29" t="str">
        <x:v>SCA-08</x:v>
      </x:c>
      <x:c r="C3507" s="29" t="str">
        <x:v>Air</x:v>
      </x:c>
      <x:c r="D3507" s="29" t="str">
        <x:v>YES</x:v>
      </x:c>
      <x:c r="E3507" s="29" t="str">
        <x:v>YES</x:v>
      </x:c>
      <x:c r="F3507" s="62" t="n">
        <x:v>3170.6558656883367</x:v>
      </x:c>
      <x:c r="G3507" s="62" t="n">
        <x:v>28.87793210105898</x:v>
      </x:c>
      <x:c r="H3507" s="29" t="str">
        <x:v>YES</x:v>
      </x:c>
      <x:c r="I3507" s="29" t="str">
        <x:v>primary-airport endpoints; great-circle screen</x:v>
      </x:c>
      <x:c r="J3507" s="29" t="str">
        <x:v>presence does not prove operability or capacity</x:v>
      </x:c>
    </x:row>
    <x:row r="3508" ht="75.5999984741211" hidden="0" customHeight="1">
      <x:c r="A3508" s="27" t="str">
        <x:v>SCA-29</x:v>
      </x:c>
      <x:c r="B3508" s="27" t="str">
        <x:v>SCA-08</x:v>
      </x:c>
      <x:c r="C3508" s="27" t="str">
        <x:v>Water</x:v>
      </x:c>
      <x:c r="D3508" s="27" t="str">
        <x:v>YES</x:v>
      </x:c>
      <x:c r="E3508" s="27" t="str">
        <x:v>YES</x:v>
      </x:c>
      <x:c r="F3508" s="61" t="n">
        <x:v>8771.146109528072</x:v>
      </x:c>
      <x:c r="G3508" s="61" t="n">
        <x:v>280.60417455794493</x:v>
      </x:c>
      <x:c r="H3508" s="27" t="str">
        <x:v>NO</x:v>
      </x:c>
      <x:c r="I3508" s="27" t="str">
        <x:v>USACE waterway node topology; deployable terminal required</x:v>
      </x:c>
      <x:c r="J3508" s="27" t="str">
        <x:v>presence does not prove operability or capacity</x:v>
      </x:c>
    </x:row>
    <x:row r="3509" ht="54" hidden="0" customHeight="1">
      <x:c r="A3509" s="29" t="str">
        <x:v>SCA-29</x:v>
      </x:c>
      <x:c r="B3509" s="29" t="str">
        <x:v>SCA-09</x:v>
      </x:c>
      <x:c r="C3509" s="29" t="str">
        <x:v>Road</x:v>
      </x:c>
      <x:c r="D3509" s="29" t="str">
        <x:v>YES</x:v>
      </x:c>
      <x:c r="E3509" s="29" t="str">
        <x:v>YES</x:v>
      </x:c>
      <x:c r="F3509" s="62" t="n">
        <x:v>3595.0773074867416</x:v>
      </x:c>
      <x:c r="G3509" s="62" t="n">
        <x:v>85.36504195430439</x:v>
      </x:c>
      <x:c r="H3509" s="29" t="str">
        <x:v>NO</x:v>
      </x:c>
      <x:c r="I3509" s="29" t="str">
        <x:v>NHPN-gated shared-boundary SCA path</x:v>
      </x:c>
      <x:c r="J3509" s="29" t="str">
        <x:v>presence does not prove operability or capacity</x:v>
      </x:c>
    </x:row>
    <x:row r="3510" ht="64.80000305175781" hidden="0" customHeight="1">
      <x:c r="A3510" s="27" t="str">
        <x:v>SCA-29</x:v>
      </x:c>
      <x:c r="B3510" s="27" t="str">
        <x:v>SCA-09</x:v>
      </x:c>
      <x:c r="C3510" s="27" t="str">
        <x:v>Rail</x:v>
      </x:c>
      <x:c r="D3510" s="27" t="str">
        <x:v>YES</x:v>
      </x:c>
      <x:c r="E3510" s="27" t="str">
        <x:v>YES</x:v>
      </x:c>
      <x:c r="F3510" s="61" t="n">
        <x:v>3813.9081001163695</x:v>
      </x:c>
      <x:c r="G3510" s="61" t="n">
        <x:v>80.48440143023385</x:v>
      </x:c>
      <x:c r="H3510" s="27" t="str">
        <x:v>NO</x:v>
      </x:c>
      <x:c r="I3510" s="27" t="str">
        <x:v>NARN shared-node topology; deployable terminal required</x:v>
      </x:c>
      <x:c r="J3510" s="27" t="str">
        <x:v>presence does not prove operability or capacity</x:v>
      </x:c>
    </x:row>
    <x:row r="3511" ht="54" hidden="0" customHeight="1">
      <x:c r="A3511" s="29" t="str">
        <x:v>SCA-29</x:v>
      </x:c>
      <x:c r="B3511" s="29" t="str">
        <x:v>SCA-09</x:v>
      </x:c>
      <x:c r="C3511" s="29" t="str">
        <x:v>Air</x:v>
      </x:c>
      <x:c r="D3511" s="29" t="str">
        <x:v>YES</x:v>
      </x:c>
      <x:c r="E3511" s="29" t="str">
        <x:v>YES</x:v>
      </x:c>
      <x:c r="F3511" s="62" t="n">
        <x:v>3032.002919095994</x:v>
      </x:c>
      <x:c r="G3511" s="62" t="n">
        <x:v>28.6646198755323</x:v>
      </x:c>
      <x:c r="H3511" s="29" t="str">
        <x:v>YES</x:v>
      </x:c>
      <x:c r="I3511" s="29" t="str">
        <x:v>primary-airport endpoints; great-circle screen</x:v>
      </x:c>
      <x:c r="J3511" s="29" t="str">
        <x:v>presence does not prove operability or capacity</x:v>
      </x:c>
    </x:row>
    <x:row r="3512" ht="54" hidden="0" customHeight="1">
      <x:c r="A3512" s="27" t="str">
        <x:v>SCA-29</x:v>
      </x:c>
      <x:c r="B3512" s="27" t="str">
        <x:v>SCA-09</x:v>
      </x:c>
      <x:c r="C3512" s="27" t="str">
        <x:v>Water</x:v>
      </x:c>
      <x:c r="D3512" s="27" t="str">
        <x:v>NO</x:v>
      </x:c>
      <x:c r="E3512" s="27" t="str">
        <x:v>NO</x:v>
      </x:c>
      <x:c r="F3512" s="61"/>
      <x:c r="G3512" s="61"/>
      <x:c r="H3512" s="27" t="str">
        <x:v>NO</x:v>
      </x:c>
      <x:c r="I3512" s="27" t="str">
        <x:v>no screened path</x:v>
      </x:c>
      <x:c r="J3512" s="27" t="str">
        <x:v>presence does not prove operability or capacity</x:v>
      </x:c>
    </x:row>
    <x:row r="3513" ht="54" hidden="0" customHeight="1">
      <x:c r="A3513" s="29" t="str">
        <x:v>SCA-29</x:v>
      </x:c>
      <x:c r="B3513" s="29" t="str">
        <x:v>SCA-10</x:v>
      </x:c>
      <x:c r="C3513" s="29" t="str">
        <x:v>Road</x:v>
      </x:c>
      <x:c r="D3513" s="29" t="str">
        <x:v>YES</x:v>
      </x:c>
      <x:c r="E3513" s="29" t="str">
        <x:v>YES</x:v>
      </x:c>
      <x:c r="F3513" s="62" t="n">
        <x:v>3364.9855337430326</x:v>
      </x:c>
      <x:c r="G3513" s="62" t="n">
        <x:v>81.18155515896423</x:v>
      </x:c>
      <x:c r="H3513" s="29" t="str">
        <x:v>NO</x:v>
      </x:c>
      <x:c r="I3513" s="29" t="str">
        <x:v>NHPN-gated shared-boundary SCA path</x:v>
      </x:c>
      <x:c r="J3513" s="29" t="str">
        <x:v>presence does not prove operability or capacity</x:v>
      </x:c>
    </x:row>
    <x:row r="3514" ht="64.80000305175781" hidden="0" customHeight="1">
      <x:c r="A3514" s="27" t="str">
        <x:v>SCA-29</x:v>
      </x:c>
      <x:c r="B3514" s="27" t="str">
        <x:v>SCA-10</x:v>
      </x:c>
      <x:c r="C3514" s="27" t="str">
        <x:v>Rail</x:v>
      </x:c>
      <x:c r="D3514" s="27" t="str">
        <x:v>YES</x:v>
      </x:c>
      <x:c r="E3514" s="27" t="str">
        <x:v>YES</x:v>
      </x:c>
      <x:c r="F3514" s="61" t="n">
        <x:v>3569.8107401447824</x:v>
      </x:c>
      <x:c r="G3514" s="61" t="n">
        <x:v>76.9972962877826</x:v>
      </x:c>
      <x:c r="H3514" s="27" t="str">
        <x:v>NO</x:v>
      </x:c>
      <x:c r="I3514" s="27" t="str">
        <x:v>NARN shared-node topology; deployable terminal required</x:v>
      </x:c>
      <x:c r="J3514" s="27" t="str">
        <x:v>presence does not prove operability or capacity</x:v>
      </x:c>
    </x:row>
    <x:row r="3515" ht="54" hidden="0" customHeight="1">
      <x:c r="A3515" s="29" t="str">
        <x:v>SCA-29</x:v>
      </x:c>
      <x:c r="B3515" s="29" t="str">
        <x:v>SCA-10</x:v>
      </x:c>
      <x:c r="C3515" s="29" t="str">
        <x:v>Air</x:v>
      </x:c>
      <x:c r="D3515" s="29" t="str">
        <x:v>YES</x:v>
      </x:c>
      <x:c r="E3515" s="29" t="str">
        <x:v>YES</x:v>
      </x:c>
      <x:c r="F3515" s="62" t="n">
        <x:v>2855.110395556962</x:v>
      </x:c>
      <x:c r="G3515" s="62" t="n">
        <x:v>28.392477531626096</x:v>
      </x:c>
      <x:c r="H3515" s="29" t="str">
        <x:v>YES</x:v>
      </x:c>
      <x:c r="I3515" s="29" t="str">
        <x:v>primary-airport endpoints; great-circle screen</x:v>
      </x:c>
      <x:c r="J3515" s="29" t="str">
        <x:v>presence does not prove operability or capacity</x:v>
      </x:c>
    </x:row>
    <x:row r="3516" ht="54" hidden="0" customHeight="1">
      <x:c r="A3516" s="27" t="str">
        <x:v>SCA-29</x:v>
      </x:c>
      <x:c r="B3516" s="27" t="str">
        <x:v>SCA-10</x:v>
      </x:c>
      <x:c r="C3516" s="27" t="str">
        <x:v>Water</x:v>
      </x:c>
      <x:c r="D3516" s="27" t="str">
        <x:v>NO</x:v>
      </x:c>
      <x:c r="E3516" s="27" t="str">
        <x:v>NO</x:v>
      </x:c>
      <x:c r="F3516" s="61"/>
      <x:c r="G3516" s="61"/>
      <x:c r="H3516" s="27" t="str">
        <x:v>NO</x:v>
      </x:c>
      <x:c r="I3516" s="27" t="str">
        <x:v>no screened path</x:v>
      </x:c>
      <x:c r="J3516" s="27" t="str">
        <x:v>presence does not prove operability or capacity</x:v>
      </x:c>
    </x:row>
    <x:row r="3517" ht="54" hidden="0" customHeight="1">
      <x:c r="A3517" s="29" t="str">
        <x:v>SCA-29</x:v>
      </x:c>
      <x:c r="B3517" s="29" t="str">
        <x:v>SCA-11</x:v>
      </x:c>
      <x:c r="C3517" s="29" t="str">
        <x:v>Road</x:v>
      </x:c>
      <x:c r="D3517" s="29" t="str">
        <x:v>YES</x:v>
      </x:c>
      <x:c r="E3517" s="29" t="str">
        <x:v>YES</x:v>
      </x:c>
      <x:c r="F3517" s="62" t="n">
        <x:v>2843.324956017131</x:v>
      </x:c>
      <x:c r="G3517" s="62" t="n">
        <x:v>71.69681738212967</x:v>
      </x:c>
      <x:c r="H3517" s="29" t="str">
        <x:v>YES</x:v>
      </x:c>
      <x:c r="I3517" s="29" t="str">
        <x:v>NHPN-gated shared-boundary SCA path</x:v>
      </x:c>
      <x:c r="J3517" s="29" t="str">
        <x:v>presence does not prove operability or capacity</x:v>
      </x:c>
    </x:row>
    <x:row r="3518" ht="64.80000305175781" hidden="0" customHeight="1">
      <x:c r="A3518" s="27" t="str">
        <x:v>SCA-29</x:v>
      </x:c>
      <x:c r="B3518" s="27" t="str">
        <x:v>SCA-11</x:v>
      </x:c>
      <x:c r="C3518" s="27" t="str">
        <x:v>Rail</x:v>
      </x:c>
      <x:c r="D3518" s="27" t="str">
        <x:v>YES</x:v>
      </x:c>
      <x:c r="E3518" s="27" t="str">
        <x:v>YES</x:v>
      </x:c>
      <x:c r="F3518" s="61" t="n">
        <x:v>3016.396909861652</x:v>
      </x:c>
      <x:c r="G3518" s="61" t="n">
        <x:v>69.09138442659503</x:v>
      </x:c>
      <x:c r="H3518" s="27" t="str">
        <x:v>YES</x:v>
      </x:c>
      <x:c r="I3518" s="27" t="str">
        <x:v>NARN shared-node topology; deployable terminal required</x:v>
      </x:c>
      <x:c r="J3518" s="27" t="str">
        <x:v>presence does not prove operability or capacity</x:v>
      </x:c>
    </x:row>
    <x:row r="3519" ht="54" hidden="0" customHeight="1">
      <x:c r="A3519" s="29" t="str">
        <x:v>SCA-29</x:v>
      </x:c>
      <x:c r="B3519" s="29" t="str">
        <x:v>SCA-11</x:v>
      </x:c>
      <x:c r="C3519" s="29" t="str">
        <x:v>Air</x:v>
      </x:c>
      <x:c r="D3519" s="29" t="str">
        <x:v>YES</x:v>
      </x:c>
      <x:c r="E3519" s="29" t="str">
        <x:v>YES</x:v>
      </x:c>
      <x:c r="F3519" s="62" t="n">
        <x:v>2400.122767485183</x:v>
      </x:c>
      <x:c r="G3519" s="62" t="n">
        <x:v>27.69249656536182</x:v>
      </x:c>
      <x:c r="H3519" s="29" t="str">
        <x:v>YES</x:v>
      </x:c>
      <x:c r="I3519" s="29" t="str">
        <x:v>primary-airport endpoints; great-circle screen</x:v>
      </x:c>
      <x:c r="J3519" s="29" t="str">
        <x:v>presence does not prove operability or capacity</x:v>
      </x:c>
    </x:row>
    <x:row r="3520" ht="54" hidden="0" customHeight="1">
      <x:c r="A3520" s="27" t="str">
        <x:v>SCA-29</x:v>
      </x:c>
      <x:c r="B3520" s="27" t="str">
        <x:v>SCA-11</x:v>
      </x:c>
      <x:c r="C3520" s="27" t="str">
        <x:v>Water</x:v>
      </x:c>
      <x:c r="D3520" s="27" t="str">
        <x:v>NO</x:v>
      </x:c>
      <x:c r="E3520" s="27" t="str">
        <x:v>NO</x:v>
      </x:c>
      <x:c r="F3520" s="61"/>
      <x:c r="G3520" s="61"/>
      <x:c r="H3520" s="27" t="str">
        <x:v>NO</x:v>
      </x:c>
      <x:c r="I3520" s="27" t="str">
        <x:v>no screened path</x:v>
      </x:c>
      <x:c r="J3520" s="27" t="str">
        <x:v>presence does not prove operability or capacity</x:v>
      </x:c>
    </x:row>
    <x:row r="3521" ht="54" hidden="0" customHeight="1">
      <x:c r="A3521" s="29" t="str">
        <x:v>SCA-29</x:v>
      </x:c>
      <x:c r="B3521" s="29" t="str">
        <x:v>SCA-12</x:v>
      </x:c>
      <x:c r="C3521" s="29" t="str">
        <x:v>Road</x:v>
      </x:c>
      <x:c r="D3521" s="29" t="str">
        <x:v>YES</x:v>
      </x:c>
      <x:c r="E3521" s="29" t="str">
        <x:v>YES</x:v>
      </x:c>
      <x:c r="F3521" s="62" t="n">
        <x:v>2688.7275714965904</x:v>
      </x:c>
      <x:c r="G3521" s="62" t="n">
        <x:v>68.88595584539254</x:v>
      </x:c>
      <x:c r="H3521" s="29" t="str">
        <x:v>YES</x:v>
      </x:c>
      <x:c r="I3521" s="29" t="str">
        <x:v>NHPN-gated shared-boundary SCA path</x:v>
      </x:c>
      <x:c r="J3521" s="29" t="str">
        <x:v>presence does not prove operability or capacity</x:v>
      </x:c>
    </x:row>
    <x:row r="3522" ht="64.80000305175781" hidden="0" customHeight="1">
      <x:c r="A3522" s="27" t="str">
        <x:v>SCA-29</x:v>
      </x:c>
      <x:c r="B3522" s="27" t="str">
        <x:v>SCA-12</x:v>
      </x:c>
      <x:c r="C3522" s="27" t="str">
        <x:v>Rail</x:v>
      </x:c>
      <x:c r="D3522" s="27" t="str">
        <x:v>YES</x:v>
      </x:c>
      <x:c r="E3522" s="27" t="str">
        <x:v>YES</x:v>
      </x:c>
      <x:c r="F3522" s="61" t="n">
        <x:v>2852.3892497616002</x:v>
      </x:c>
      <x:c r="G3522" s="61" t="n">
        <x:v>66.74841785373715</x:v>
      </x:c>
      <x:c r="H3522" s="27" t="str">
        <x:v>YES</x:v>
      </x:c>
      <x:c r="I3522" s="27" t="str">
        <x:v>NARN shared-node topology; deployable terminal required</x:v>
      </x:c>
      <x:c r="J3522" s="27" t="str">
        <x:v>presence does not prove operability or capacity</x:v>
      </x:c>
    </x:row>
    <x:row r="3523" ht="54" hidden="0" customHeight="1">
      <x:c r="A3523" s="29" t="str">
        <x:v>SCA-29</x:v>
      </x:c>
      <x:c r="B3523" s="29" t="str">
        <x:v>SCA-12</x:v>
      </x:c>
      <x:c r="C3523" s="29" t="str">
        <x:v>Air</x:v>
      </x:c>
      <x:c r="D3523" s="29" t="str">
        <x:v>YES</x:v>
      </x:c>
      <x:c r="E3523" s="29" t="str">
        <x:v>YES</x:v>
      </x:c>
      <x:c r="F3523" s="62" t="n">
        <x:v>2296.25775815371</x:v>
      </x:c>
      <x:c r="G3523" s="62" t="n">
        <x:v>27.5327042433134</x:v>
      </x:c>
      <x:c r="H3523" s="29" t="str">
        <x:v>YES</x:v>
      </x:c>
      <x:c r="I3523" s="29" t="str">
        <x:v>primary-airport endpoints; great-circle screen</x:v>
      </x:c>
      <x:c r="J3523" s="29" t="str">
        <x:v>presence does not prove operability or capacity</x:v>
      </x:c>
    </x:row>
    <x:row r="3524" ht="54" hidden="0" customHeight="1">
      <x:c r="A3524" s="27" t="str">
        <x:v>SCA-29</x:v>
      </x:c>
      <x:c r="B3524" s="27" t="str">
        <x:v>SCA-12</x:v>
      </x:c>
      <x:c r="C3524" s="27" t="str">
        <x:v>Water</x:v>
      </x:c>
      <x:c r="D3524" s="27" t="str">
        <x:v>NO</x:v>
      </x:c>
      <x:c r="E3524" s="27" t="str">
        <x:v>NO</x:v>
      </x:c>
      <x:c r="F3524" s="61"/>
      <x:c r="G3524" s="61"/>
      <x:c r="H3524" s="27" t="str">
        <x:v>NO</x:v>
      </x:c>
      <x:c r="I3524" s="27" t="str">
        <x:v>no screened path</x:v>
      </x:c>
      <x:c r="J3524" s="27" t="str">
        <x:v>presence does not prove operability or capacity</x:v>
      </x:c>
    </x:row>
    <x:row r="3525" ht="54" hidden="0" customHeight="1">
      <x:c r="A3525" s="29" t="str">
        <x:v>SCA-29</x:v>
      </x:c>
      <x:c r="B3525" s="29" t="str">
        <x:v>SCA-13</x:v>
      </x:c>
      <x:c r="C3525" s="29" t="str">
        <x:v>Road</x:v>
      </x:c>
      <x:c r="D3525" s="29" t="str">
        <x:v>NO</x:v>
      </x:c>
      <x:c r="E3525" s="29" t="str">
        <x:v>NO</x:v>
      </x:c>
      <x:c r="F3525" s="62"/>
      <x:c r="G3525" s="62"/>
      <x:c r="H3525" s="29" t="str">
        <x:v>NO</x:v>
      </x:c>
      <x:c r="I3525" s="29" t="str">
        <x:v>no screened path</x:v>
      </x:c>
      <x:c r="J3525" s="29" t="str">
        <x:v>presence does not prove operability or capacity</x:v>
      </x:c>
    </x:row>
    <x:row r="3526" ht="64.80000305175781" hidden="0" customHeight="1">
      <x:c r="A3526" s="27" t="str">
        <x:v>SCA-29</x:v>
      </x:c>
      <x:c r="B3526" s="27" t="str">
        <x:v>SCA-13</x:v>
      </x:c>
      <x:c r="C3526" s="27" t="str">
        <x:v>Rail</x:v>
      </x:c>
      <x:c r="D3526" s="27" t="str">
        <x:v>YES</x:v>
      </x:c>
      <x:c r="E3526" s="27" t="str">
        <x:v>YES</x:v>
      </x:c>
      <x:c r="F3526" s="61" t="n">
        <x:v>2479.867062804562</x:v>
      </x:c>
      <x:c r="G3526" s="61" t="n">
        <x:v>61.42667232577946</x:v>
      </x:c>
      <x:c r="H3526" s="27" t="str">
        <x:v>YES</x:v>
      </x:c>
      <x:c r="I3526" s="27" t="str">
        <x:v>NARN shared-node topology; deployable terminal required</x:v>
      </x:c>
      <x:c r="J3526" s="27" t="str">
        <x:v>presence does not prove operability or capacity</x:v>
      </x:c>
    </x:row>
    <x:row r="3527" ht="54" hidden="0" customHeight="1">
      <x:c r="A3527" s="29" t="str">
        <x:v>SCA-29</x:v>
      </x:c>
      <x:c r="B3527" s="29" t="str">
        <x:v>SCA-13</x:v>
      </x:c>
      <x:c r="C3527" s="29" t="str">
        <x:v>Air</x:v>
      </x:c>
      <x:c r="D3527" s="29" t="str">
        <x:v>YES</x:v>
      </x:c>
      <x:c r="E3527" s="29" t="str">
        <x:v>YES</x:v>
      </x:c>
      <x:c r="F3527" s="62" t="n">
        <x:v>1894.3808405771124</x:v>
      </x:c>
      <x:c r="G3527" s="62" t="n">
        <x:v>26.91443206242633</x:v>
      </x:c>
      <x:c r="H3527" s="29" t="str">
        <x:v>YES</x:v>
      </x:c>
      <x:c r="I3527" s="29" t="str">
        <x:v>primary-airport endpoints; great-circle screen</x:v>
      </x:c>
      <x:c r="J3527" s="29" t="str">
        <x:v>presence does not prove operability or capacity</x:v>
      </x:c>
    </x:row>
    <x:row r="3528" ht="75.5999984741211" hidden="0" customHeight="1">
      <x:c r="A3528" s="27" t="str">
        <x:v>SCA-29</x:v>
      </x:c>
      <x:c r="B3528" s="27" t="str">
        <x:v>SCA-13</x:v>
      </x:c>
      <x:c r="C3528" s="27" t="str">
        <x:v>Water</x:v>
      </x:c>
      <x:c r="D3528" s="27" t="str">
        <x:v>YES</x:v>
      </x:c>
      <x:c r="E3528" s="27" t="str">
        <x:v>YES</x:v>
      </x:c>
      <x:c r="F3528" s="61" t="n">
        <x:v>2860.1411575813404</x:v>
      </x:c>
      <x:c r="G3528" s="61" t="n">
        <x:v>111.7183187880383</x:v>
      </x:c>
      <x:c r="H3528" s="27" t="str">
        <x:v>NO</x:v>
      </x:c>
      <x:c r="I3528" s="27" t="str">
        <x:v>USACE waterway node topology; deployable terminal required</x:v>
      </x:c>
      <x:c r="J3528" s="27" t="str">
        <x:v>presence does not prove operability or capacity</x:v>
      </x:c>
    </x:row>
    <x:row r="3529" ht="54" hidden="0" customHeight="1">
      <x:c r="A3529" s="29" t="str">
        <x:v>SCA-29</x:v>
      </x:c>
      <x:c r="B3529" s="29" t="str">
        <x:v>SCA-14</x:v>
      </x:c>
      <x:c r="C3529" s="29" t="str">
        <x:v>Road</x:v>
      </x:c>
      <x:c r="D3529" s="29" t="str">
        <x:v>NO</x:v>
      </x:c>
      <x:c r="E3529" s="29" t="str">
        <x:v>NO</x:v>
      </x:c>
      <x:c r="F3529" s="62"/>
      <x:c r="G3529" s="62"/>
      <x:c r="H3529" s="29" t="str">
        <x:v>NO</x:v>
      </x:c>
      <x:c r="I3529" s="29" t="str">
        <x:v>no screened path</x:v>
      </x:c>
      <x:c r="J3529" s="29" t="str">
        <x:v>presence does not prove operability or capacity</x:v>
      </x:c>
    </x:row>
    <x:row r="3530" ht="64.80000305175781" hidden="0" customHeight="1">
      <x:c r="A3530" s="27" t="str">
        <x:v>SCA-29</x:v>
      </x:c>
      <x:c r="B3530" s="27" t="str">
        <x:v>SCA-14</x:v>
      </x:c>
      <x:c r="C3530" s="27" t="str">
        <x:v>Rail</x:v>
      </x:c>
      <x:c r="D3530" s="27" t="str">
        <x:v>YES</x:v>
      </x:c>
      <x:c r="E3530" s="27" t="str">
        <x:v>YES</x:v>
      </x:c>
      <x:c r="F3530" s="61" t="n">
        <x:v>2907.99669128028</x:v>
      </x:c>
      <x:c r="G3530" s="61" t="n">
        <x:v>67.54280987543257</x:v>
      </x:c>
      <x:c r="H3530" s="27" t="str">
        <x:v>YES</x:v>
      </x:c>
      <x:c r="I3530" s="27" t="str">
        <x:v>NARN shared-node topology; deployable terminal required</x:v>
      </x:c>
      <x:c r="J3530" s="27" t="str">
        <x:v>presence does not prove operability or capacity</x:v>
      </x:c>
    </x:row>
    <x:row r="3531" ht="54" hidden="0" customHeight="1">
      <x:c r="A3531" s="29" t="str">
        <x:v>SCA-29</x:v>
      </x:c>
      <x:c r="B3531" s="29" t="str">
        <x:v>SCA-14</x:v>
      </x:c>
      <x:c r="C3531" s="29" t="str">
        <x:v>Air</x:v>
      </x:c>
      <x:c r="D3531" s="29" t="str">
        <x:v>YES</x:v>
      </x:c>
      <x:c r="E3531" s="29" t="str">
        <x:v>YES</x:v>
      </x:c>
      <x:c r="F3531" s="62" t="n">
        <x:v>2061.767712673973</x:v>
      </x:c>
      <x:c r="G3531" s="62" t="n">
        <x:v>27.17195032719073</x:v>
      </x:c>
      <x:c r="H3531" s="29" t="str">
        <x:v>YES</x:v>
      </x:c>
      <x:c r="I3531" s="29" t="str">
        <x:v>primary-airport endpoints; great-circle screen</x:v>
      </x:c>
      <x:c r="J3531" s="29" t="str">
        <x:v>presence does not prove operability or capacity</x:v>
      </x:c>
    </x:row>
    <x:row r="3532" ht="75.5999984741211" hidden="0" customHeight="1">
      <x:c r="A3532" s="27" t="str">
        <x:v>SCA-29</x:v>
      </x:c>
      <x:c r="B3532" s="27" t="str">
        <x:v>SCA-14</x:v>
      </x:c>
      <x:c r="C3532" s="27" t="str">
        <x:v>Water</x:v>
      </x:c>
      <x:c r="D3532" s="27" t="str">
        <x:v>YES</x:v>
      </x:c>
      <x:c r="E3532" s="27" t="str">
        <x:v>YES</x:v>
      </x:c>
      <x:c r="F3532" s="61" t="n">
        <x:v>3040.974601687319</x:v>
      </x:c>
      <x:c r="G3532" s="61" t="n">
        <x:v>116.8849886196377</x:v>
      </x:c>
      <x:c r="H3532" s="27" t="str">
        <x:v>NO</x:v>
      </x:c>
      <x:c r="I3532" s="27" t="str">
        <x:v>USACE waterway node topology; deployable terminal required</x:v>
      </x:c>
      <x:c r="J3532" s="27" t="str">
        <x:v>presence does not prove operability or capacity</x:v>
      </x:c>
    </x:row>
    <x:row r="3533" ht="54" hidden="0" customHeight="1">
      <x:c r="A3533" s="29" t="str">
        <x:v>SCA-29</x:v>
      </x:c>
      <x:c r="B3533" s="29" t="str">
        <x:v>SCA-15</x:v>
      </x:c>
      <x:c r="C3533" s="29" t="str">
        <x:v>Road</x:v>
      </x:c>
      <x:c r="D3533" s="29" t="str">
        <x:v>YES</x:v>
      </x:c>
      <x:c r="E3533" s="29" t="str">
        <x:v>YES</x:v>
      </x:c>
      <x:c r="F3533" s="62" t="n">
        <x:v>1937.947287552694</x:v>
      </x:c>
      <x:c r="G3533" s="62" t="n">
        <x:v>55.235405228230796</x:v>
      </x:c>
      <x:c r="H3533" s="29" t="str">
        <x:v>YES</x:v>
      </x:c>
      <x:c r="I3533" s="29" t="str">
        <x:v>NHPN-gated shared-boundary SCA path</x:v>
      </x:c>
      <x:c r="J3533" s="29" t="str">
        <x:v>presence does not prove operability or capacity</x:v>
      </x:c>
    </x:row>
    <x:row r="3534" ht="64.80000305175781" hidden="0" customHeight="1">
      <x:c r="A3534" s="27" t="str">
        <x:v>SCA-29</x:v>
      </x:c>
      <x:c r="B3534" s="27" t="str">
        <x:v>SCA-15</x:v>
      </x:c>
      <x:c r="C3534" s="27" t="str">
        <x:v>Rail</x:v>
      </x:c>
      <x:c r="D3534" s="27" t="str">
        <x:v>YES</x:v>
      </x:c>
      <x:c r="E3534" s="27" t="str">
        <x:v>YES</x:v>
      </x:c>
      <x:c r="F3534" s="61" t="n">
        <x:v>2055.9092963602493</x:v>
      </x:c>
      <x:c r="G3534" s="61" t="n">
        <x:v>55.37013280514642</x:v>
      </x:c>
      <x:c r="H3534" s="27" t="str">
        <x:v>YES</x:v>
      </x:c>
      <x:c r="I3534" s="27" t="str">
        <x:v>NARN shared-node topology; deployable terminal required</x:v>
      </x:c>
      <x:c r="J3534" s="27" t="str">
        <x:v>presence does not prove operability or capacity</x:v>
      </x:c>
    </x:row>
    <x:row r="3535" ht="54" hidden="0" customHeight="1">
      <x:c r="A3535" s="29" t="str">
        <x:v>SCA-29</x:v>
      </x:c>
      <x:c r="B3535" s="29" t="str">
        <x:v>SCA-15</x:v>
      </x:c>
      <x:c r="C3535" s="29" t="str">
        <x:v>Air</x:v>
      </x:c>
      <x:c r="D3535" s="29" t="str">
        <x:v>YES</x:v>
      </x:c>
      <x:c r="E3535" s="29" t="str">
        <x:v>YES</x:v>
      </x:c>
      <x:c r="F3535" s="62" t="n">
        <x:v>1644.8190666364844</x:v>
      </x:c>
      <x:c r="G3535" s="62" t="n">
        <x:v>26.530490871748437</x:v>
      </x:c>
      <x:c r="H3535" s="29" t="str">
        <x:v>YES</x:v>
      </x:c>
      <x:c r="I3535" s="29" t="str">
        <x:v>primary-airport endpoints; great-circle screen</x:v>
      </x:c>
      <x:c r="J3535" s="29" t="str">
        <x:v>presence does not prove operability or capacity</x:v>
      </x:c>
    </x:row>
    <x:row r="3536" ht="75.5999984741211" hidden="0" customHeight="1">
      <x:c r="A3536" s="27" t="str">
        <x:v>SCA-29</x:v>
      </x:c>
      <x:c r="B3536" s="27" t="str">
        <x:v>SCA-15</x:v>
      </x:c>
      <x:c r="C3536" s="27" t="str">
        <x:v>Water</x:v>
      </x:c>
      <x:c r="D3536" s="27" t="str">
        <x:v>YES</x:v>
      </x:c>
      <x:c r="E3536" s="27" t="str">
        <x:v>YES</x:v>
      </x:c>
      <x:c r="F3536" s="61" t="n">
        <x:v>2723.21337483397</x:v>
      </x:c>
      <x:c r="G3536" s="61" t="n">
        <x:v>107.80609642382773</x:v>
      </x:c>
      <x:c r="H3536" s="27" t="str">
        <x:v>NO</x:v>
      </x:c>
      <x:c r="I3536" s="27" t="str">
        <x:v>USACE waterway node topology; deployable terminal required</x:v>
      </x:c>
      <x:c r="J3536" s="27" t="str">
        <x:v>presence does not prove operability or capacity</x:v>
      </x:c>
    </x:row>
    <x:row r="3537" ht="54" hidden="0" customHeight="1">
      <x:c r="A3537" s="29" t="str">
        <x:v>SCA-29</x:v>
      </x:c>
      <x:c r="B3537" s="29" t="str">
        <x:v>SCA-16</x:v>
      </x:c>
      <x:c r="C3537" s="29" t="str">
        <x:v>Road</x:v>
      </x:c>
      <x:c r="D3537" s="29" t="str">
        <x:v>YES</x:v>
      </x:c>
      <x:c r="E3537" s="29" t="str">
        <x:v>YES</x:v>
      </x:c>
      <x:c r="F3537" s="62" t="n">
        <x:v>1796.6103295034893</x:v>
      </x:c>
      <x:c r="G3537" s="62" t="n">
        <x:v>52.6656423546089</x:v>
      </x:c>
      <x:c r="H3537" s="29" t="str">
        <x:v>YES</x:v>
      </x:c>
      <x:c r="I3537" s="29" t="str">
        <x:v>NHPN-gated shared-boundary SCA path</x:v>
      </x:c>
      <x:c r="J3537" s="29" t="str">
        <x:v>presence does not prove operability or capacity</x:v>
      </x:c>
    </x:row>
    <x:row r="3538" ht="64.80000305175781" hidden="0" customHeight="1">
      <x:c r="A3538" s="27" t="str">
        <x:v>SCA-29</x:v>
      </x:c>
      <x:c r="B3538" s="27" t="str">
        <x:v>SCA-16</x:v>
      </x:c>
      <x:c r="C3538" s="27" t="str">
        <x:v>Rail</x:v>
      </x:c>
      <x:c r="D3538" s="27" t="str">
        <x:v>YES</x:v>
      </x:c>
      <x:c r="E3538" s="27" t="str">
        <x:v>YES</x:v>
      </x:c>
      <x:c r="F3538" s="61" t="n">
        <x:v>1905.9692191254412</x:v>
      </x:c>
      <x:c r="G3538" s="61" t="n">
        <x:v>53.228131701792016</x:v>
      </x:c>
      <x:c r="H3538" s="27" t="str">
        <x:v>YES</x:v>
      </x:c>
      <x:c r="I3538" s="27" t="str">
        <x:v>NARN shared-node topology; deployable terminal required</x:v>
      </x:c>
      <x:c r="J3538" s="27" t="str">
        <x:v>presence does not prove operability or capacity</x:v>
      </x:c>
    </x:row>
    <x:row r="3539" ht="54" hidden="0" customHeight="1">
      <x:c r="A3539" s="29" t="str">
        <x:v>SCA-29</x:v>
      </x:c>
      <x:c r="B3539" s="29" t="str">
        <x:v>SCA-16</x:v>
      </x:c>
      <x:c r="C3539" s="29" t="str">
        <x:v>Air</x:v>
      </x:c>
      <x:c r="D3539" s="29" t="str">
        <x:v>YES</x:v>
      </x:c>
      <x:c r="E3539" s="29" t="str">
        <x:v>YES</x:v>
      </x:c>
      <x:c r="F3539" s="62" t="n">
        <x:v>1528.516876407015</x:v>
      </x:c>
      <x:c r="G3539" s="62" t="n">
        <x:v>26.351564425241563</x:v>
      </x:c>
      <x:c r="H3539" s="29" t="str">
        <x:v>YES</x:v>
      </x:c>
      <x:c r="I3539" s="29" t="str">
        <x:v>primary-airport endpoints; great-circle screen</x:v>
      </x:c>
      <x:c r="J3539" s="29" t="str">
        <x:v>presence does not prove operability or capacity</x:v>
      </x:c>
    </x:row>
    <x:row r="3540" ht="75.5999984741211" hidden="0" customHeight="1">
      <x:c r="A3540" s="27" t="str">
        <x:v>SCA-29</x:v>
      </x:c>
      <x:c r="B3540" s="27" t="str">
        <x:v>SCA-16</x:v>
      </x:c>
      <x:c r="C3540" s="27" t="str">
        <x:v>Water</x:v>
      </x:c>
      <x:c r="D3540" s="27" t="str">
        <x:v>YES</x:v>
      </x:c>
      <x:c r="E3540" s="27" t="str">
        <x:v>YES</x:v>
      </x:c>
      <x:c r="F3540" s="61" t="n">
        <x:v>1999.7054102299708</x:v>
      </x:c>
      <x:c r="G3540" s="61" t="n">
        <x:v>87.13444029228488</x:v>
      </x:c>
      <x:c r="H3540" s="27" t="str">
        <x:v>NO</x:v>
      </x:c>
      <x:c r="I3540" s="27" t="str">
        <x:v>USACE waterway node topology; deployable terminal required</x:v>
      </x:c>
      <x:c r="J3540" s="27" t="str">
        <x:v>presence does not prove operability or capacity</x:v>
      </x:c>
    </x:row>
    <x:row r="3541" ht="54" hidden="0" customHeight="1">
      <x:c r="A3541" s="29" t="str">
        <x:v>SCA-29</x:v>
      </x:c>
      <x:c r="B3541" s="29" t="str">
        <x:v>SCA-17</x:v>
      </x:c>
      <x:c r="C3541" s="29" t="str">
        <x:v>Road</x:v>
      </x:c>
      <x:c r="D3541" s="29" t="str">
        <x:v>YES</x:v>
      </x:c>
      <x:c r="E3541" s="29" t="str">
        <x:v>YES</x:v>
      </x:c>
      <x:c r="F3541" s="62" t="n">
        <x:v>1905.243967435878</x:v>
      </x:c>
      <x:c r="G3541" s="62" t="n">
        <x:v>54.64079940792505</x:v>
      </x:c>
      <x:c r="H3541" s="29" t="str">
        <x:v>YES</x:v>
      </x:c>
      <x:c r="I3541" s="29" t="str">
        <x:v>NHPN-gated shared-boundary SCA path</x:v>
      </x:c>
      <x:c r="J3541" s="29" t="str">
        <x:v>presence does not prove operability or capacity</x:v>
      </x:c>
    </x:row>
    <x:row r="3542" ht="64.80000305175781" hidden="0" customHeight="1">
      <x:c r="A3542" s="27" t="str">
        <x:v>SCA-29</x:v>
      </x:c>
      <x:c r="B3542" s="27" t="str">
        <x:v>SCA-17</x:v>
      </x:c>
      <x:c r="C3542" s="27" t="str">
        <x:v>Rail</x:v>
      </x:c>
      <x:c r="D3542" s="27" t="str">
        <x:v>YES</x:v>
      </x:c>
      <x:c r="E3542" s="27" t="str">
        <x:v>YES</x:v>
      </x:c>
      <x:c r="F3542" s="61" t="n">
        <x:v>2021.2153393667572</x:v>
      </x:c>
      <x:c r="G3542" s="61" t="n">
        <x:v>54.874504848096535</x:v>
      </x:c>
      <x:c r="H3542" s="27" t="str">
        <x:v>YES</x:v>
      </x:c>
      <x:c r="I3542" s="27" t="str">
        <x:v>NARN shared-node topology; deployable terminal required</x:v>
      </x:c>
      <x:c r="J3542" s="27" t="str">
        <x:v>presence does not prove operability or capacity</x:v>
      </x:c>
    </x:row>
    <x:row r="3543" ht="54" hidden="0" customHeight="1">
      <x:c r="A3543" s="29" t="str">
        <x:v>SCA-29</x:v>
      </x:c>
      <x:c r="B3543" s="29" t="str">
        <x:v>SCA-17</x:v>
      </x:c>
      <x:c r="C3543" s="29" t="str">
        <x:v>Air</x:v>
      </x:c>
      <x:c r="D3543" s="29" t="str">
        <x:v>YES</x:v>
      </x:c>
      <x:c r="E3543" s="29" t="str">
        <x:v>YES</x:v>
      </x:c>
      <x:c r="F3543" s="62" t="n">
        <x:v>1556.2357297824017</x:v>
      </x:c>
      <x:c r="G3543" s="62" t="n">
        <x:v>26.39420881504985</x:v>
      </x:c>
      <x:c r="H3543" s="29" t="str">
        <x:v>YES</x:v>
      </x:c>
      <x:c r="I3543" s="29" t="str">
        <x:v>primary-airport endpoints; great-circle screen</x:v>
      </x:c>
      <x:c r="J3543" s="29" t="str">
        <x:v>presence does not prove operability or capacity</x:v>
      </x:c>
    </x:row>
    <x:row r="3544" ht="75.5999984741211" hidden="0" customHeight="1">
      <x:c r="A3544" s="27" t="str">
        <x:v>SCA-29</x:v>
      </x:c>
      <x:c r="B3544" s="27" t="str">
        <x:v>SCA-17</x:v>
      </x:c>
      <x:c r="C3544" s="27" t="str">
        <x:v>Water</x:v>
      </x:c>
      <x:c r="D3544" s="27" t="str">
        <x:v>YES</x:v>
      </x:c>
      <x:c r="E3544" s="27" t="str">
        <x:v>YES</x:v>
      </x:c>
      <x:c r="F3544" s="61" t="n">
        <x:v>2378.93279200725</x:v>
      </x:c>
      <x:c r="G3544" s="61" t="n">
        <x:v>97.96950834306429</x:v>
      </x:c>
      <x:c r="H3544" s="27" t="str">
        <x:v>NO</x:v>
      </x:c>
      <x:c r="I3544" s="27" t="str">
        <x:v>USACE waterway node topology; deployable terminal required</x:v>
      </x:c>
      <x:c r="J3544" s="27" t="str">
        <x:v>presence does not prove operability or capacity</x:v>
      </x:c>
    </x:row>
    <x:row r="3545" ht="54" hidden="0" customHeight="1">
      <x:c r="A3545" s="29" t="str">
        <x:v>SCA-29</x:v>
      </x:c>
      <x:c r="B3545" s="29" t="str">
        <x:v>SCA-18</x:v>
      </x:c>
      <x:c r="C3545" s="29" t="str">
        <x:v>Road</x:v>
      </x:c>
      <x:c r="D3545" s="29" t="str">
        <x:v>YES</x:v>
      </x:c>
      <x:c r="E3545" s="29" t="str">
        <x:v>YES</x:v>
      </x:c>
      <x:c r="F3545" s="62" t="n">
        <x:v>1908.4738080615907</x:v>
      </x:c>
      <x:c r="G3545" s="62" t="n">
        <x:v>54.699523782938016</x:v>
      </x:c>
      <x:c r="H3545" s="29" t="str">
        <x:v>YES</x:v>
      </x:c>
      <x:c r="I3545" s="29" t="str">
        <x:v>NHPN-gated shared-boundary SCA path</x:v>
      </x:c>
      <x:c r="J3545" s="29" t="str">
        <x:v>presence does not prove operability or capacity</x:v>
      </x:c>
    </x:row>
    <x:row r="3546" ht="64.80000305175781" hidden="0" customHeight="1">
      <x:c r="A3546" s="27" t="str">
        <x:v>SCA-29</x:v>
      </x:c>
      <x:c r="B3546" s="27" t="str">
        <x:v>SCA-18</x:v>
      </x:c>
      <x:c r="C3546" s="27" t="str">
        <x:v>Rail</x:v>
      </x:c>
      <x:c r="D3546" s="27" t="str">
        <x:v>YES</x:v>
      </x:c>
      <x:c r="E3546" s="27" t="str">
        <x:v>YES</x:v>
      </x:c>
      <x:c r="F3546" s="61" t="n">
        <x:v>2024.6417789870789</x:v>
      </x:c>
      <x:c r="G3546" s="61" t="n">
        <x:v>54.9234539855297</x:v>
      </x:c>
      <x:c r="H3546" s="27" t="str">
        <x:v>YES</x:v>
      </x:c>
      <x:c r="I3546" s="27" t="str">
        <x:v>NARN shared-node topology; deployable terminal required</x:v>
      </x:c>
      <x:c r="J3546" s="27" t="str">
        <x:v>presence does not prove operability or capacity</x:v>
      </x:c>
    </x:row>
    <x:row r="3547" ht="54" hidden="0" customHeight="1">
      <x:c r="A3547" s="29" t="str">
        <x:v>SCA-29</x:v>
      </x:c>
      <x:c r="B3547" s="29" t="str">
        <x:v>SCA-18</x:v>
      </x:c>
      <x:c r="C3547" s="29" t="str">
        <x:v>Air</x:v>
      </x:c>
      <x:c r="D3547" s="29" t="str">
        <x:v>YES</x:v>
      </x:c>
      <x:c r="E3547" s="29" t="str">
        <x:v>YES</x:v>
      </x:c>
      <x:c r="F3547" s="62" t="n">
        <x:v>1596.011834022533</x:v>
      </x:c>
      <x:c r="G3547" s="62" t="n">
        <x:v>26.455402821573127</x:v>
      </x:c>
      <x:c r="H3547" s="29" t="str">
        <x:v>YES</x:v>
      </x:c>
      <x:c r="I3547" s="29" t="str">
        <x:v>primary-airport endpoints; great-circle screen</x:v>
      </x:c>
      <x:c r="J3547" s="29" t="str">
        <x:v>presence does not prove operability or capacity</x:v>
      </x:c>
    </x:row>
    <x:row r="3548" ht="75.5999984741211" hidden="0" customHeight="1">
      <x:c r="A3548" s="27" t="str">
        <x:v>SCA-29</x:v>
      </x:c>
      <x:c r="B3548" s="27" t="str">
        <x:v>SCA-18</x:v>
      </x:c>
      <x:c r="C3548" s="27" t="str">
        <x:v>Water</x:v>
      </x:c>
      <x:c r="D3548" s="27" t="str">
        <x:v>YES</x:v>
      </x:c>
      <x:c r="E3548" s="27" t="str">
        <x:v>YES</x:v>
      </x:c>
      <x:c r="F3548" s="61" t="n">
        <x:v>2290.077841930119</x:v>
      </x:c>
      <x:c r="G3548" s="61" t="n">
        <x:v>95.43079548371769</x:v>
      </x:c>
      <x:c r="H3548" s="27" t="str">
        <x:v>NO</x:v>
      </x:c>
      <x:c r="I3548" s="27" t="str">
        <x:v>USACE waterway node topology; deployable terminal required</x:v>
      </x:c>
      <x:c r="J3548" s="27" t="str">
        <x:v>presence does not prove operability or capacity</x:v>
      </x:c>
    </x:row>
    <x:row r="3549" ht="54" hidden="0" customHeight="1">
      <x:c r="A3549" s="29" t="str">
        <x:v>SCA-29</x:v>
      </x:c>
      <x:c r="B3549" s="29" t="str">
        <x:v>SCA-19</x:v>
      </x:c>
      <x:c r="C3549" s="29" t="str">
        <x:v>Road</x:v>
      </x:c>
      <x:c r="D3549" s="29" t="str">
        <x:v>YES</x:v>
      </x:c>
      <x:c r="E3549" s="29" t="str">
        <x:v>YES</x:v>
      </x:c>
      <x:c r="F3549" s="62" t="n">
        <x:v>1275.1251555744734</x:v>
      </x:c>
      <x:c r="G3549" s="62" t="n">
        <x:v>43.1840937377177</x:v>
      </x:c>
      <x:c r="H3549" s="29" t="str">
        <x:v>YES</x:v>
      </x:c>
      <x:c r="I3549" s="29" t="str">
        <x:v>NHPN-gated shared-boundary SCA path</x:v>
      </x:c>
      <x:c r="J3549" s="29" t="str">
        <x:v>presence does not prove operability or capacity</x:v>
      </x:c>
    </x:row>
    <x:row r="3550" ht="64.80000305175781" hidden="0" customHeight="1">
      <x:c r="A3550" s="27" t="str">
        <x:v>SCA-29</x:v>
      </x:c>
      <x:c r="B3550" s="27" t="str">
        <x:v>SCA-19</x:v>
      </x:c>
      <x:c r="C3550" s="27" t="str">
        <x:v>Rail</x:v>
      </x:c>
      <x:c r="D3550" s="27" t="str">
        <x:v>YES</x:v>
      </x:c>
      <x:c r="E3550" s="27" t="str">
        <x:v>YES</x:v>
      </x:c>
      <x:c r="F3550" s="61" t="n">
        <x:v>1352.7414693920502</x:v>
      </x:c>
      <x:c r="G3550" s="61" t="n">
        <x:v>45.324878134172145</x:v>
      </x:c>
      <x:c r="H3550" s="27" t="str">
        <x:v>YES</x:v>
      </x:c>
      <x:c r="I3550" s="27" t="str">
        <x:v>NARN shared-node topology; deployable terminal required</x:v>
      </x:c>
      <x:c r="J3550" s="27" t="str">
        <x:v>presence does not prove operability or capacity</x:v>
      </x:c>
    </x:row>
    <x:row r="3551" ht="54" hidden="0" customHeight="1">
      <x:c r="A3551" s="29" t="str">
        <x:v>SCA-29</x:v>
      </x:c>
      <x:c r="B3551" s="29" t="str">
        <x:v>SCA-19</x:v>
      </x:c>
      <x:c r="C3551" s="29" t="str">
        <x:v>Air</x:v>
      </x:c>
      <x:c r="D3551" s="29" t="str">
        <x:v>YES</x:v>
      </x:c>
      <x:c r="E3551" s="29" t="str">
        <x:v>YES</x:v>
      </x:c>
      <x:c r="F3551" s="62" t="n">
        <x:v>1095.1900640528218</x:v>
      </x:c>
      <x:c r="G3551" s="62" t="n">
        <x:v>25.684907790850495</x:v>
      </x:c>
      <x:c r="H3551" s="29" t="str">
        <x:v>YES</x:v>
      </x:c>
      <x:c r="I3551" s="29" t="str">
        <x:v>primary-airport endpoints; great-circle screen</x:v>
      </x:c>
      <x:c r="J3551" s="29" t="str">
        <x:v>presence does not prove operability or capacity</x:v>
      </x:c>
    </x:row>
    <x:row r="3552" ht="75.5999984741211" hidden="0" customHeight="1">
      <x:c r="A3552" s="27" t="str">
        <x:v>SCA-29</x:v>
      </x:c>
      <x:c r="B3552" s="27" t="str">
        <x:v>SCA-19</x:v>
      </x:c>
      <x:c r="C3552" s="27" t="str">
        <x:v>Water</x:v>
      </x:c>
      <x:c r="D3552" s="27" t="str">
        <x:v>YES</x:v>
      </x:c>
      <x:c r="E3552" s="27" t="str">
        <x:v>YES</x:v>
      </x:c>
      <x:c r="F3552" s="61" t="n">
        <x:v>1419.2697383785444</x:v>
      </x:c>
      <x:c r="G3552" s="61" t="n">
        <x:v>70.55056395367271</x:v>
      </x:c>
      <x:c r="H3552" s="27" t="str">
        <x:v>YES</x:v>
      </x:c>
      <x:c r="I3552" s="27" t="str">
        <x:v>USACE waterway node topology; deployable terminal required</x:v>
      </x:c>
      <x:c r="J3552" s="27" t="str">
        <x:v>presence does not prove operability or capacity</x:v>
      </x:c>
    </x:row>
    <x:row r="3553" ht="54" hidden="0" customHeight="1">
      <x:c r="A3553" s="29" t="str">
        <x:v>SCA-29</x:v>
      </x:c>
      <x:c r="B3553" s="29" t="str">
        <x:v>SCA-20</x:v>
      </x:c>
      <x:c r="C3553" s="29" t="str">
        <x:v>Road</x:v>
      </x:c>
      <x:c r="D3553" s="29" t="str">
        <x:v>YES</x:v>
      </x:c>
      <x:c r="E3553" s="29" t="str">
        <x:v>YES</x:v>
      </x:c>
      <x:c r="F3553" s="62" t="n">
        <x:v>1214.9539428722444</x:v>
      </x:c>
      <x:c r="G3553" s="62" t="n">
        <x:v>42.090071688586264</x:v>
      </x:c>
      <x:c r="H3553" s="29" t="str">
        <x:v>YES</x:v>
      </x:c>
      <x:c r="I3553" s="29" t="str">
        <x:v>NHPN-gated shared-boundary SCA path</x:v>
      </x:c>
      <x:c r="J3553" s="29" t="str">
        <x:v>presence does not prove operability or capacity</x:v>
      </x:c>
    </x:row>
    <x:row r="3554" ht="64.80000305175781" hidden="0" customHeight="1">
      <x:c r="A3554" s="27" t="str">
        <x:v>SCA-29</x:v>
      </x:c>
      <x:c r="B3554" s="27" t="str">
        <x:v>SCA-20</x:v>
      </x:c>
      <x:c r="C3554" s="27" t="str">
        <x:v>Rail</x:v>
      </x:c>
      <x:c r="D3554" s="27" t="str">
        <x:v>YES</x:v>
      </x:c>
      <x:c r="E3554" s="27" t="str">
        <x:v>YES</x:v>
      </x:c>
      <x:c r="F3554" s="61" t="n">
        <x:v>1288.9076611340333</x:v>
      </x:c>
      <x:c r="G3554" s="61" t="n">
        <x:v>44.41296658762904</x:v>
      </x:c>
      <x:c r="H3554" s="27" t="str">
        <x:v>YES</x:v>
      </x:c>
      <x:c r="I3554" s="27" t="str">
        <x:v>NARN shared-node topology; deployable terminal required</x:v>
      </x:c>
      <x:c r="J3554" s="27" t="str">
        <x:v>presence does not prove operability or capacity</x:v>
      </x:c>
    </x:row>
    <x:row r="3555" ht="54" hidden="0" customHeight="1">
      <x:c r="A3555" s="29" t="str">
        <x:v>SCA-29</x:v>
      </x:c>
      <x:c r="B3555" s="29" t="str">
        <x:v>SCA-20</x:v>
      </x:c>
      <x:c r="C3555" s="29" t="str">
        <x:v>Air</x:v>
      </x:c>
      <x:c r="D3555" s="29" t="str">
        <x:v>YES</x:v>
      </x:c>
      <x:c r="E3555" s="29" t="str">
        <x:v>YES</x:v>
      </x:c>
      <x:c r="F3555" s="62" t="n">
        <x:v>1018.121250216765</x:v>
      </x:c>
      <x:c r="G3555" s="62" t="n">
        <x:v>25.56634038494887</x:v>
      </x:c>
      <x:c r="H3555" s="29" t="str">
        <x:v>YES</x:v>
      </x:c>
      <x:c r="I3555" s="29" t="str">
        <x:v>primary-airport endpoints; great-circle screen</x:v>
      </x:c>
      <x:c r="J3555" s="29" t="str">
        <x:v>presence does not prove operability or capacity</x:v>
      </x:c>
    </x:row>
    <x:row r="3556" ht="75.5999984741211" hidden="0" customHeight="1">
      <x:c r="A3556" s="27" t="str">
        <x:v>SCA-29</x:v>
      </x:c>
      <x:c r="B3556" s="27" t="str">
        <x:v>SCA-20</x:v>
      </x:c>
      <x:c r="C3556" s="27" t="str">
        <x:v>Water</x:v>
      </x:c>
      <x:c r="D3556" s="27" t="str">
        <x:v>YES</x:v>
      </x:c>
      <x:c r="E3556" s="27" t="str">
        <x:v>YES</x:v>
      </x:c>
      <x:c r="F3556" s="61" t="n">
        <x:v>1610.6099820581626</x:v>
      </x:c>
      <x:c r="G3556" s="61" t="n">
        <x:v>76.01742805880465</x:v>
      </x:c>
      <x:c r="H3556" s="27" t="str">
        <x:v>NO</x:v>
      </x:c>
      <x:c r="I3556" s="27" t="str">
        <x:v>USACE waterway node topology; deployable terminal required</x:v>
      </x:c>
      <x:c r="J3556" s="27" t="str">
        <x:v>presence does not prove operability or capacity</x:v>
      </x:c>
    </x:row>
    <x:row r="3557" ht="54" hidden="0" customHeight="1">
      <x:c r="A3557" s="29" t="str">
        <x:v>SCA-29</x:v>
      </x:c>
      <x:c r="B3557" s="29" t="str">
        <x:v>SCA-21</x:v>
      </x:c>
      <x:c r="C3557" s="29" t="str">
        <x:v>Road</x:v>
      </x:c>
      <x:c r="D3557" s="29" t="str">
        <x:v>YES</x:v>
      </x:c>
      <x:c r="E3557" s="29" t="str">
        <x:v>YES</x:v>
      </x:c>
      <x:c r="F3557" s="62" t="n">
        <x:v>1266.8722619557257</x:v>
      </x:c>
      <x:c r="G3557" s="62" t="n">
        <x:v>43.03404112646774</x:v>
      </x:c>
      <x:c r="H3557" s="29" t="str">
        <x:v>YES</x:v>
      </x:c>
      <x:c r="I3557" s="29" t="str">
        <x:v>NHPN-gated shared-boundary SCA path</x:v>
      </x:c>
      <x:c r="J3557" s="29" t="str">
        <x:v>presence does not prove operability or capacity</x:v>
      </x:c>
    </x:row>
    <x:row r="3558" ht="64.80000305175781" hidden="0" customHeight="1">
      <x:c r="A3558" s="27" t="str">
        <x:v>SCA-29</x:v>
      </x:c>
      <x:c r="B3558" s="27" t="str">
        <x:v>SCA-21</x:v>
      </x:c>
      <x:c r="C3558" s="27" t="str">
        <x:v>Rail</x:v>
      </x:c>
      <x:c r="D3558" s="27" t="str">
        <x:v>YES</x:v>
      </x:c>
      <x:c r="E3558" s="27" t="str">
        <x:v>YES</x:v>
      </x:c>
      <x:c r="F3558" s="61" t="n">
        <x:v>1343.9862257269438</x:v>
      </x:c>
      <x:c r="G3558" s="61" t="n">
        <x:v>45.199803224670625</x:v>
      </x:c>
      <x:c r="H3558" s="27" t="str">
        <x:v>YES</x:v>
      </x:c>
      <x:c r="I3558" s="27" t="str">
        <x:v>NARN shared-node topology; deployable terminal required</x:v>
      </x:c>
      <x:c r="J3558" s="27" t="str">
        <x:v>presence does not prove operability or capacity</x:v>
      </x:c>
    </x:row>
    <x:row r="3559" ht="54" hidden="0" customHeight="1">
      <x:c r="A3559" s="29" t="str">
        <x:v>SCA-29</x:v>
      </x:c>
      <x:c r="B3559" s="29" t="str">
        <x:v>SCA-21</x:v>
      </x:c>
      <x:c r="C3559" s="29" t="str">
        <x:v>Air</x:v>
      </x:c>
      <x:c r="D3559" s="29" t="str">
        <x:v>YES</x:v>
      </x:c>
      <x:c r="E3559" s="29" t="str">
        <x:v>YES</x:v>
      </x:c>
      <x:c r="F3559" s="62" t="n">
        <x:v>1040.60918726073</x:v>
      </x:c>
      <x:c r="G3559" s="62" t="n">
        <x:v>25.600937211170354</x:v>
      </x:c>
      <x:c r="H3559" s="29" t="str">
        <x:v>YES</x:v>
      </x:c>
      <x:c r="I3559" s="29" t="str">
        <x:v>primary-airport endpoints; great-circle screen</x:v>
      </x:c>
      <x:c r="J3559" s="29" t="str">
        <x:v>presence does not prove operability or capacity</x:v>
      </x:c>
    </x:row>
    <x:row r="3560" ht="75.5999984741211" hidden="0" customHeight="1">
      <x:c r="A3560" s="27" t="str">
        <x:v>SCA-29</x:v>
      </x:c>
      <x:c r="B3560" s="27" t="str">
        <x:v>SCA-21</x:v>
      </x:c>
      <x:c r="C3560" s="27" t="str">
        <x:v>Water</x:v>
      </x:c>
      <x:c r="D3560" s="27" t="str">
        <x:v>YES</x:v>
      </x:c>
      <x:c r="E3560" s="27" t="str">
        <x:v>YES</x:v>
      </x:c>
      <x:c r="F3560" s="61" t="n">
        <x:v>1635.4068494458515</x:v>
      </x:c>
      <x:c r="G3560" s="61" t="n">
        <x:v>76.72590998416719</x:v>
      </x:c>
      <x:c r="H3560" s="27" t="str">
        <x:v>NO</x:v>
      </x:c>
      <x:c r="I3560" s="27" t="str">
        <x:v>USACE waterway node topology; deployable terminal required</x:v>
      </x:c>
      <x:c r="J3560" s="27" t="str">
        <x:v>presence does not prove operability or capacity</x:v>
      </x:c>
    </x:row>
    <x:row r="3561" ht="54" hidden="0" customHeight="1">
      <x:c r="A3561" s="29" t="str">
        <x:v>SCA-29</x:v>
      </x:c>
      <x:c r="B3561" s="29" t="str">
        <x:v>SCA-22</x:v>
      </x:c>
      <x:c r="C3561" s="29" t="str">
        <x:v>Road</x:v>
      </x:c>
      <x:c r="D3561" s="29" t="str">
        <x:v>YES</x:v>
      </x:c>
      <x:c r="E3561" s="29" t="str">
        <x:v>YES</x:v>
      </x:c>
      <x:c r="F3561" s="62" t="n">
        <x:v>717.5425247141446</x:v>
      </x:c>
      <x:c r="G3561" s="62" t="n">
        <x:v>33.04622772207536</x:v>
      </x:c>
      <x:c r="H3561" s="29" t="str">
        <x:v>YES</x:v>
      </x:c>
      <x:c r="I3561" s="29" t="str">
        <x:v>NHPN-gated shared-boundary SCA path</x:v>
      </x:c>
      <x:c r="J3561" s="29" t="str">
        <x:v>presence does not prove operability or capacity</x:v>
      </x:c>
    </x:row>
    <x:row r="3562" ht="64.80000305175781" hidden="0" customHeight="1">
      <x:c r="A3562" s="27" t="str">
        <x:v>SCA-29</x:v>
      </x:c>
      <x:c r="B3562" s="27" t="str">
        <x:v>SCA-22</x:v>
      </x:c>
      <x:c r="C3562" s="27" t="str">
        <x:v>Rail</x:v>
      </x:c>
      <x:c r="D3562" s="27" t="str">
        <x:v>YES</x:v>
      </x:c>
      <x:c r="E3562" s="27" t="str">
        <x:v>YES</x:v>
      </x:c>
      <x:c r="F3562" s="61" t="n">
        <x:v>761.2190262184838</x:v>
      </x:c>
      <x:c r="G3562" s="61" t="n">
        <x:v>36.87455751740691</x:v>
      </x:c>
      <x:c r="H3562" s="27" t="str">
        <x:v>YES</x:v>
      </x:c>
      <x:c r="I3562" s="27" t="str">
        <x:v>NARN shared-node topology; deployable terminal required</x:v>
      </x:c>
      <x:c r="J3562" s="27" t="str">
        <x:v>presence does not prove operability or capacity</x:v>
      </x:c>
    </x:row>
    <x:row r="3563" ht="54" hidden="0" customHeight="1">
      <x:c r="A3563" s="29" t="str">
        <x:v>SCA-29</x:v>
      </x:c>
      <x:c r="B3563" s="29" t="str">
        <x:v>SCA-22</x:v>
      </x:c>
      <x:c r="C3563" s="29" t="str">
        <x:v>Air</x:v>
      </x:c>
      <x:c r="D3563" s="29" t="str">
        <x:v>YES</x:v>
      </x:c>
      <x:c r="E3563" s="29" t="str">
        <x:v>YES</x:v>
      </x:c>
      <x:c r="F3563" s="62" t="n">
        <x:v>623.9500214905605</x:v>
      </x:c>
      <x:c r="G3563" s="62" t="n">
        <x:v>24.95992310998548</x:v>
      </x:c>
      <x:c r="H3563" s="29" t="str">
        <x:v>YES</x:v>
      </x:c>
      <x:c r="I3563" s="29" t="str">
        <x:v>primary-airport endpoints; great-circle screen</x:v>
      </x:c>
      <x:c r="J3563" s="29" t="str">
        <x:v>presence does not prove operability or capacity</x:v>
      </x:c>
    </x:row>
    <x:row r="3564" ht="75.5999984741211" hidden="0" customHeight="1">
      <x:c r="A3564" s="27" t="str">
        <x:v>SCA-29</x:v>
      </x:c>
      <x:c r="B3564" s="27" t="str">
        <x:v>SCA-22</x:v>
      </x:c>
      <x:c r="C3564" s="27" t="str">
        <x:v>Water</x:v>
      </x:c>
      <x:c r="D3564" s="27" t="str">
        <x:v>YES</x:v>
      </x:c>
      <x:c r="E3564" s="27" t="str">
        <x:v>YES</x:v>
      </x:c>
      <x:c r="F3564" s="61" t="n">
        <x:v>798.6560275079174</x:v>
      </x:c>
      <x:c r="G3564" s="61" t="n">
        <x:v>52.81874364308335</x:v>
      </x:c>
      <x:c r="H3564" s="27" t="str">
        <x:v>YES</x:v>
      </x:c>
      <x:c r="I3564" s="27" t="str">
        <x:v>USACE waterway node topology; deployable terminal required</x:v>
      </x:c>
      <x:c r="J3564" s="27" t="str">
        <x:v>presence does not prove operability or capacity</x:v>
      </x:c>
    </x:row>
    <x:row r="3565" ht="54" hidden="0" customHeight="1">
      <x:c r="A3565" s="29" t="str">
        <x:v>SCA-29</x:v>
      </x:c>
      <x:c r="B3565" s="29" t="str">
        <x:v>SCA-23</x:v>
      </x:c>
      <x:c r="C3565" s="29" t="str">
        <x:v>Road</x:v>
      </x:c>
      <x:c r="D3565" s="29" t="str">
        <x:v>YES</x:v>
      </x:c>
      <x:c r="E3565" s="29" t="str">
        <x:v>YES</x:v>
      </x:c>
      <x:c r="F3565" s="62" t="n">
        <x:v>635.454949023049</x:v>
      </x:c>
      <x:c r="G3565" s="62" t="n">
        <x:v>31.55372634587362</x:v>
      </x:c>
      <x:c r="H3565" s="29" t="str">
        <x:v>YES</x:v>
      </x:c>
      <x:c r="I3565" s="29" t="str">
        <x:v>NHPN-gated shared-boundary SCA path</x:v>
      </x:c>
      <x:c r="J3565" s="29" t="str">
        <x:v>presence does not prove operability or capacity</x:v>
      </x:c>
    </x:row>
    <x:row r="3566" ht="64.80000305175781" hidden="0" customHeight="1">
      <x:c r="A3566" s="27" t="str">
        <x:v>SCA-29</x:v>
      </x:c>
      <x:c r="B3566" s="27" t="str">
        <x:v>SCA-23</x:v>
      </x:c>
      <x:c r="C3566" s="27" t="str">
        <x:v>Rail</x:v>
      </x:c>
      <x:c r="D3566" s="27" t="str">
        <x:v>YES</x:v>
      </x:c>
      <x:c r="E3566" s="27" t="str">
        <x:v>YES</x:v>
      </x:c>
      <x:c r="F3566" s="61" t="n">
        <x:v>674.1348154853216</x:v>
      </x:c>
      <x:c r="G3566" s="61" t="n">
        <x:v>35.63049736407602</x:v>
      </x:c>
      <x:c r="H3566" s="27" t="str">
        <x:v>YES</x:v>
      </x:c>
      <x:c r="I3566" s="27" t="str">
        <x:v>NARN shared-node topology; deployable terminal required</x:v>
      </x:c>
      <x:c r="J3566" s="27" t="str">
        <x:v>presence does not prove operability or capacity</x:v>
      </x:c>
    </x:row>
    <x:row r="3567" ht="54" hidden="0" customHeight="1">
      <x:c r="A3567" s="29" t="str">
        <x:v>SCA-29</x:v>
      </x:c>
      <x:c r="B3567" s="29" t="str">
        <x:v>SCA-23</x:v>
      </x:c>
      <x:c r="C3567" s="29" t="str">
        <x:v>Air</x:v>
      </x:c>
      <x:c r="D3567" s="29" t="str">
        <x:v>YES</x:v>
      </x:c>
      <x:c r="E3567" s="29" t="str">
        <x:v>YES</x:v>
      </x:c>
      <x:c r="F3567" s="62" t="n">
        <x:v>552.5695208896079</x:v>
      </x:c>
      <x:c r="G3567" s="62" t="n">
        <x:v>24.85010695521478</x:v>
      </x:c>
      <x:c r="H3567" s="29" t="str">
        <x:v>YES</x:v>
      </x:c>
      <x:c r="I3567" s="29" t="str">
        <x:v>primary-airport endpoints; great-circle screen</x:v>
      </x:c>
      <x:c r="J3567" s="29" t="str">
        <x:v>presence does not prove operability or capacity</x:v>
      </x:c>
    </x:row>
    <x:row r="3568" ht="75.5999984741211" hidden="0" customHeight="1">
      <x:c r="A3568" s="27" t="str">
        <x:v>SCA-29</x:v>
      </x:c>
      <x:c r="B3568" s="27" t="str">
        <x:v>SCA-23</x:v>
      </x:c>
      <x:c r="C3568" s="27" t="str">
        <x:v>Water</x:v>
      </x:c>
      <x:c r="D3568" s="27" t="str">
        <x:v>YES</x:v>
      </x:c>
      <x:c r="E3568" s="27" t="str">
        <x:v>YES</x:v>
      </x:c>
      <x:c r="F3568" s="61" t="n">
        <x:v>1388.1748863441787</x:v>
      </x:c>
      <x:c r="G3568" s="61" t="n">
        <x:v>69.66213960983367</x:v>
      </x:c>
      <x:c r="H3568" s="27" t="str">
        <x:v>YES</x:v>
      </x:c>
      <x:c r="I3568" s="27" t="str">
        <x:v>USACE waterway node topology; deployable terminal required</x:v>
      </x:c>
      <x:c r="J3568" s="27" t="str">
        <x:v>presence does not prove operability or capacity</x:v>
      </x:c>
    </x:row>
    <x:row r="3569" ht="54" hidden="0" customHeight="1">
      <x:c r="A3569" s="29" t="str">
        <x:v>SCA-29</x:v>
      </x:c>
      <x:c r="B3569" s="29" t="str">
        <x:v>SCA-24</x:v>
      </x:c>
      <x:c r="C3569" s="29" t="str">
        <x:v>Road</x:v>
      </x:c>
      <x:c r="D3569" s="29" t="str">
        <x:v>YES</x:v>
      </x:c>
      <x:c r="E3569" s="29" t="str">
        <x:v>YES</x:v>
      </x:c>
      <x:c r="F3569" s="62" t="n">
        <x:v>1072.0707881359701</x:v>
      </x:c>
      <x:c r="G3569" s="62" t="n">
        <x:v>39.492196147926734</x:v>
      </x:c>
      <x:c r="H3569" s="29" t="str">
        <x:v>YES</x:v>
      </x:c>
      <x:c r="I3569" s="29" t="str">
        <x:v>NHPN-gated shared-boundary SCA path</x:v>
      </x:c>
      <x:c r="J3569" s="29" t="str">
        <x:v>presence does not prove operability or capacity</x:v>
      </x:c>
    </x:row>
    <x:row r="3570" ht="64.80000305175781" hidden="0" customHeight="1">
      <x:c r="A3570" s="27" t="str">
        <x:v>SCA-29</x:v>
      </x:c>
      <x:c r="B3570" s="27" t="str">
        <x:v>SCA-24</x:v>
      </x:c>
      <x:c r="C3570" s="27" t="str">
        <x:v>Rail</x:v>
      </x:c>
      <x:c r="D3570" s="27" t="str">
        <x:v>YES</x:v>
      </x:c>
      <x:c r="E3570" s="27" t="str">
        <x:v>YES</x:v>
      </x:c>
      <x:c r="F3570" s="61" t="n">
        <x:v>1137.3272708920722</x:v>
      </x:c>
      <x:c r="G3570" s="61" t="n">
        <x:v>42.247532441315315</x:v>
      </x:c>
      <x:c r="H3570" s="27" t="str">
        <x:v>YES</x:v>
      </x:c>
      <x:c r="I3570" s="27" t="str">
        <x:v>NARN shared-node topology; deployable terminal required</x:v>
      </x:c>
      <x:c r="J3570" s="27" t="str">
        <x:v>presence does not prove operability or capacity</x:v>
      </x:c>
    </x:row>
    <x:row r="3571" ht="54" hidden="0" customHeight="1">
      <x:c r="A3571" s="29" t="str">
        <x:v>SCA-29</x:v>
      </x:c>
      <x:c r="B3571" s="29" t="str">
        <x:v>SCA-24</x:v>
      </x:c>
      <x:c r="C3571" s="29" t="str">
        <x:v>Air</x:v>
      </x:c>
      <x:c r="D3571" s="29" t="str">
        <x:v>YES</x:v>
      </x:c>
      <x:c r="E3571" s="29" t="str">
        <x:v>YES</x:v>
      </x:c>
      <x:c r="F3571" s="62" t="n">
        <x:v>831.1134008876988</x:v>
      </x:c>
      <x:c r="G3571" s="62" t="n">
        <x:v>25.27863600136569</x:v>
      </x:c>
      <x:c r="H3571" s="29" t="str">
        <x:v>YES</x:v>
      </x:c>
      <x:c r="I3571" s="29" t="str">
        <x:v>primary-airport endpoints; great-circle screen</x:v>
      </x:c>
      <x:c r="J3571" s="29" t="str">
        <x:v>presence does not prove operability or capacity</x:v>
      </x:c>
    </x:row>
    <x:row r="3572" ht="75.5999984741211" hidden="0" customHeight="1">
      <x:c r="A3572" s="27" t="str">
        <x:v>SCA-29</x:v>
      </x:c>
      <x:c r="B3572" s="27" t="str">
        <x:v>SCA-24</x:v>
      </x:c>
      <x:c r="C3572" s="27" t="str">
        <x:v>Water</x:v>
      </x:c>
      <x:c r="D3572" s="27" t="str">
        <x:v>YES</x:v>
      </x:c>
      <x:c r="E3572" s="27" t="str">
        <x:v>YES</x:v>
      </x:c>
      <x:c r="F3572" s="61" t="n">
        <x:v>1193.2613989687316</x:v>
      </x:c>
      <x:c r="G3572" s="61" t="n">
        <x:v>64.09318282767805</x:v>
      </x:c>
      <x:c r="H3572" s="27" t="str">
        <x:v>YES</x:v>
      </x:c>
      <x:c r="I3572" s="27" t="str">
        <x:v>USACE waterway node topology; deployable terminal required</x:v>
      </x:c>
      <x:c r="J3572" s="27" t="str">
        <x:v>presence does not prove operability or capacity</x:v>
      </x:c>
    </x:row>
    <x:row r="3573" ht="54" hidden="0" customHeight="1">
      <x:c r="A3573" s="29" t="str">
        <x:v>SCA-29</x:v>
      </x:c>
      <x:c r="B3573" s="29" t="str">
        <x:v>SCA-25</x:v>
      </x:c>
      <x:c r="C3573" s="29" t="str">
        <x:v>Road</x:v>
      </x:c>
      <x:c r="D3573" s="29" t="str">
        <x:v>YES</x:v>
      </x:c>
      <x:c r="E3573" s="29" t="str">
        <x:v>YES</x:v>
      </x:c>
      <x:c r="F3573" s="62" t="n">
        <x:v>752.6041945304078</x:v>
      </x:c>
      <x:c r="G3573" s="62" t="n">
        <x:v>33.6837126278256</x:v>
      </x:c>
      <x:c r="H3573" s="29" t="str">
        <x:v>YES</x:v>
      </x:c>
      <x:c r="I3573" s="29" t="str">
        <x:v>NHPN-gated shared-boundary SCA path</x:v>
      </x:c>
      <x:c r="J3573" s="29" t="str">
        <x:v>presence does not prove operability or capacity</x:v>
      </x:c>
    </x:row>
    <x:row r="3574" ht="64.80000305175781" hidden="0" customHeight="1">
      <x:c r="A3574" s="27" t="str">
        <x:v>SCA-29</x:v>
      </x:c>
      <x:c r="B3574" s="27" t="str">
        <x:v>SCA-25</x:v>
      </x:c>
      <x:c r="C3574" s="27" t="str">
        <x:v>Rail</x:v>
      </x:c>
      <x:c r="D3574" s="27" t="str">
        <x:v>YES</x:v>
      </x:c>
      <x:c r="E3574" s="27" t="str">
        <x:v>YES</x:v>
      </x:c>
      <x:c r="F3574" s="61" t="n">
        <x:v>798.4148846322594</x:v>
      </x:c>
      <x:c r="G3574" s="61" t="n">
        <x:v>37.40592692331799</x:v>
      </x:c>
      <x:c r="H3574" s="27" t="str">
        <x:v>YES</x:v>
      </x:c>
      <x:c r="I3574" s="27" t="str">
        <x:v>NARN shared-node topology; deployable terminal required</x:v>
      </x:c>
      <x:c r="J3574" s="27" t="str">
        <x:v>presence does not prove operability or capacity</x:v>
      </x:c>
    </x:row>
    <x:row r="3575" ht="54" hidden="0" customHeight="1">
      <x:c r="A3575" s="29" t="str">
        <x:v>SCA-29</x:v>
      </x:c>
      <x:c r="B3575" s="29" t="str">
        <x:v>SCA-25</x:v>
      </x:c>
      <x:c r="C3575" s="29" t="str">
        <x:v>Air</x:v>
      </x:c>
      <x:c r="D3575" s="29" t="str">
        <x:v>YES</x:v>
      </x:c>
      <x:c r="E3575" s="29" t="str">
        <x:v>YES</x:v>
      </x:c>
      <x:c r="F3575" s="62" t="n">
        <x:v>654.4384300264421</x:v>
      </x:c>
      <x:c r="G3575" s="62" t="n">
        <x:v>25.006828353886835</x:v>
      </x:c>
      <x:c r="H3575" s="29" t="str">
        <x:v>YES</x:v>
      </x:c>
      <x:c r="I3575" s="29" t="str">
        <x:v>primary-airport endpoints; great-circle screen</x:v>
      </x:c>
      <x:c r="J3575" s="29" t="str">
        <x:v>presence does not prove operability or capacity</x:v>
      </x:c>
    </x:row>
    <x:row r="3576" ht="75.5999984741211" hidden="0" customHeight="1">
      <x:c r="A3576" s="27" t="str">
        <x:v>SCA-29</x:v>
      </x:c>
      <x:c r="B3576" s="27" t="str">
        <x:v>SCA-25</x:v>
      </x:c>
      <x:c r="C3576" s="27" t="str">
        <x:v>Water</x:v>
      </x:c>
      <x:c r="D3576" s="27" t="str">
        <x:v>YES</x:v>
      </x:c>
      <x:c r="E3576" s="27" t="str">
        <x:v>YES</x:v>
      </x:c>
      <x:c r="F3576" s="61" t="n">
        <x:v>837.6811904338459</x:v>
      </x:c>
      <x:c r="G3576" s="61" t="n">
        <x:v>53.93374829810988</x:v>
      </x:c>
      <x:c r="H3576" s="27" t="str">
        <x:v>YES</x:v>
      </x:c>
      <x:c r="I3576" s="27" t="str">
        <x:v>USACE waterway node topology; deployable terminal required</x:v>
      </x:c>
      <x:c r="J3576" s="27" t="str">
        <x:v>presence does not prove operability or capacity</x:v>
      </x:c>
    </x:row>
    <x:row r="3577" ht="54" hidden="0" customHeight="1">
      <x:c r="A3577" s="29" t="str">
        <x:v>SCA-29</x:v>
      </x:c>
      <x:c r="B3577" s="29" t="str">
        <x:v>SCA-26</x:v>
      </x:c>
      <x:c r="C3577" s="29" t="str">
        <x:v>Road</x:v>
      </x:c>
      <x:c r="D3577" s="29" t="str">
        <x:v>YES</x:v>
      </x:c>
      <x:c r="E3577" s="29" t="str">
        <x:v>YES</x:v>
      </x:c>
      <x:c r="F3577" s="62" t="n">
        <x:v>1081.1036502952302</x:v>
      </x:c>
      <x:c r="G3577" s="62" t="n">
        <x:v>39.656430005367824</x:v>
      </x:c>
      <x:c r="H3577" s="29" t="str">
        <x:v>YES</x:v>
      </x:c>
      <x:c r="I3577" s="29" t="str">
        <x:v>NHPN-gated shared-boundary SCA path</x:v>
      </x:c>
      <x:c r="J3577" s="29" t="str">
        <x:v>presence does not prove operability or capacity</x:v>
      </x:c>
    </x:row>
    <x:row r="3578" ht="64.80000305175781" hidden="0" customHeight="1">
      <x:c r="A3578" s="27" t="str">
        <x:v>SCA-29</x:v>
      </x:c>
      <x:c r="B3578" s="27" t="str">
        <x:v>SCA-26</x:v>
      </x:c>
      <x:c r="C3578" s="27" t="str">
        <x:v>Rail</x:v>
      </x:c>
      <x:c r="D3578" s="27" t="str">
        <x:v>YES</x:v>
      </x:c>
      <x:c r="E3578" s="27" t="str">
        <x:v>YES</x:v>
      </x:c>
      <x:c r="F3578" s="61" t="n">
        <x:v>1146.9099594436357</x:v>
      </x:c>
      <x:c r="G3578" s="61" t="n">
        <x:v>42.38442799205194</x:v>
      </x:c>
      <x:c r="H3578" s="27" t="str">
        <x:v>YES</x:v>
      </x:c>
      <x:c r="I3578" s="27" t="str">
        <x:v>NARN shared-node topology; deployable terminal required</x:v>
      </x:c>
      <x:c r="J3578" s="27" t="str">
        <x:v>presence does not prove operability or capacity</x:v>
      </x:c>
    </x:row>
    <x:row r="3579" ht="54" hidden="0" customHeight="1">
      <x:c r="A3579" s="29" t="str">
        <x:v>SCA-29</x:v>
      </x:c>
      <x:c r="B3579" s="29" t="str">
        <x:v>SCA-26</x:v>
      </x:c>
      <x:c r="C3579" s="29" t="str">
        <x:v>Air</x:v>
      </x:c>
      <x:c r="D3579" s="29" t="str">
        <x:v>YES</x:v>
      </x:c>
      <x:c r="E3579" s="29" t="str">
        <x:v>YES</x:v>
      </x:c>
      <x:c r="F3579" s="62" t="n">
        <x:v>914.5673239680137</x:v>
      </x:c>
      <x:c r="G3579" s="62" t="n">
        <x:v>25.407026652258484</x:v>
      </x:c>
      <x:c r="H3579" s="29" t="str">
        <x:v>YES</x:v>
      </x:c>
      <x:c r="I3579" s="29" t="str">
        <x:v>primary-airport endpoints; great-circle screen</x:v>
      </x:c>
      <x:c r="J3579" s="29" t="str">
        <x:v>presence does not prove operability or capacity</x:v>
      </x:c>
    </x:row>
    <x:row r="3580" ht="75.5999984741211" hidden="0" customHeight="1">
      <x:c r="A3580" s="27" t="str">
        <x:v>SCA-29</x:v>
      </x:c>
      <x:c r="B3580" s="27" t="str">
        <x:v>SCA-26</x:v>
      </x:c>
      <x:c r="C3580" s="27" t="str">
        <x:v>Water</x:v>
      </x:c>
      <x:c r="D3580" s="27" t="str">
        <x:v>YES</x:v>
      </x:c>
      <x:c r="E3580" s="27" t="str">
        <x:v>YES</x:v>
      </x:c>
      <x:c r="F3580" s="61" t="n">
        <x:v>1203.315367285126</x:v>
      </x:c>
      <x:c r="G3580" s="61" t="n">
        <x:v>64.38043906528932</x:v>
      </x:c>
      <x:c r="H3580" s="27" t="str">
        <x:v>YES</x:v>
      </x:c>
      <x:c r="I3580" s="27" t="str">
        <x:v>USACE waterway node topology; deployable terminal required</x:v>
      </x:c>
      <x:c r="J3580" s="27" t="str">
        <x:v>presence does not prove operability or capacity</x:v>
      </x:c>
    </x:row>
    <x:row r="3581" ht="54" hidden="0" customHeight="1">
      <x:c r="A3581" s="29" t="str">
        <x:v>SCA-29</x:v>
      </x:c>
      <x:c r="B3581" s="29" t="str">
        <x:v>SCA-27</x:v>
      </x:c>
      <x:c r="C3581" s="29" t="str">
        <x:v>Road</x:v>
      </x:c>
      <x:c r="D3581" s="29" t="str">
        <x:v>YES</x:v>
      </x:c>
      <x:c r="E3581" s="29" t="str">
        <x:v>YES</x:v>
      </x:c>
      <x:c r="F3581" s="62" t="n">
        <x:v>1360.7319144147789</x:v>
      </x:c>
      <x:c r="G3581" s="62" t="n">
        <x:v>44.740580262086894</x:v>
      </x:c>
      <x:c r="H3581" s="29" t="str">
        <x:v>YES</x:v>
      </x:c>
      <x:c r="I3581" s="29" t="str">
        <x:v>NHPN-gated shared-boundary SCA path</x:v>
      </x:c>
      <x:c r="J3581" s="29" t="str">
        <x:v>presence does not prove operability or capacity</x:v>
      </x:c>
    </x:row>
    <x:row r="3582" ht="64.80000305175781" hidden="0" customHeight="1">
      <x:c r="A3582" s="27" t="str">
        <x:v>SCA-29</x:v>
      </x:c>
      <x:c r="B3582" s="27" t="str">
        <x:v>SCA-27</x:v>
      </x:c>
      <x:c r="C3582" s="27" t="str">
        <x:v>Rail</x:v>
      </x:c>
      <x:c r="D3582" s="27" t="str">
        <x:v>YES</x:v>
      </x:c>
      <x:c r="E3582" s="27" t="str">
        <x:v>YES</x:v>
      </x:c>
      <x:c r="F3582" s="61" t="n">
        <x:v>1443.5590744226354</x:v>
      </x:c>
      <x:c r="G3582" s="61" t="n">
        <x:v>46.62227249175193</x:v>
      </x:c>
      <x:c r="H3582" s="27" t="str">
        <x:v>YES</x:v>
      </x:c>
      <x:c r="I3582" s="27" t="str">
        <x:v>NARN shared-node topology; deployable terminal required</x:v>
      </x:c>
      <x:c r="J3582" s="27" t="str">
        <x:v>presence does not prove operability or capacity</x:v>
      </x:c>
    </x:row>
    <x:row r="3583" ht="54" hidden="0" customHeight="1">
      <x:c r="A3583" s="29" t="str">
        <x:v>SCA-29</x:v>
      </x:c>
      <x:c r="B3583" s="29" t="str">
        <x:v>SCA-27</x:v>
      </x:c>
      <x:c r="C3583" s="29" t="str">
        <x:v>Air</x:v>
      </x:c>
      <x:c r="D3583" s="29" t="str">
        <x:v>YES</x:v>
      </x:c>
      <x:c r="E3583" s="29" t="str">
        <x:v>YES</x:v>
      </x:c>
      <x:c r="F3583" s="62" t="n">
        <x:v>1087.6215435851266</x:v>
      </x:c>
      <x:c r="G3583" s="62" t="n">
        <x:v>25.673263913207887</x:v>
      </x:c>
      <x:c r="H3583" s="29" t="str">
        <x:v>YES</x:v>
      </x:c>
      <x:c r="I3583" s="29" t="str">
        <x:v>primary-airport endpoints; great-circle screen</x:v>
      </x:c>
      <x:c r="J3583" s="29" t="str">
        <x:v>presence does not prove operability or capacity</x:v>
      </x:c>
    </x:row>
    <x:row r="3584" ht="75.5999984741211" hidden="0" customHeight="1">
      <x:c r="A3584" s="27" t="str">
        <x:v>SCA-29</x:v>
      </x:c>
      <x:c r="B3584" s="27" t="str">
        <x:v>SCA-27</x:v>
      </x:c>
      <x:c r="C3584" s="27" t="str">
        <x:v>Water</x:v>
      </x:c>
      <x:c r="D3584" s="27" t="str">
        <x:v>YES</x:v>
      </x:c>
      <x:c r="E3584" s="27" t="str">
        <x:v>YES</x:v>
      </x:c>
      <x:c r="F3584" s="61" t="n">
        <x:v>1392.155575788962</x:v>
      </x:c>
      <x:c r="G3584" s="61" t="n">
        <x:v>69.77587359397035</x:v>
      </x:c>
      <x:c r="H3584" s="27" t="str">
        <x:v>YES</x:v>
      </x:c>
      <x:c r="I3584" s="27" t="str">
        <x:v>USACE waterway node topology; deployable terminal required</x:v>
      </x:c>
      <x:c r="J3584" s="27" t="str">
        <x:v>presence does not prove operability or capacity</x:v>
      </x:c>
    </x:row>
    <x:row r="3585" ht="54" hidden="0" customHeight="1">
      <x:c r="A3585" s="29" t="str">
        <x:v>SCA-29</x:v>
      </x:c>
      <x:c r="B3585" s="29" t="str">
        <x:v>SCA-28</x:v>
      </x:c>
      <x:c r="C3585" s="29" t="str">
        <x:v>Road</x:v>
      </x:c>
      <x:c r="D3585" s="29" t="str">
        <x:v>YES</x:v>
      </x:c>
      <x:c r="E3585" s="29" t="str">
        <x:v>YES</x:v>
      </x:c>
      <x:c r="F3585" s="62" t="n">
        <x:v>576.2552915773059</x:v>
      </x:c>
      <x:c r="G3585" s="62" t="n">
        <x:v>30.4773689377692</x:v>
      </x:c>
      <x:c r="H3585" s="29" t="str">
        <x:v>YES</x:v>
      </x:c>
      <x:c r="I3585" s="29" t="str">
        <x:v>NHPN-gated shared-boundary SCA path</x:v>
      </x:c>
      <x:c r="J3585" s="29" t="str">
        <x:v>presence does not prove operability or capacity</x:v>
      </x:c>
    </x:row>
    <x:row r="3586" ht="64.80000305175781" hidden="0" customHeight="1">
      <x:c r="A3586" s="27" t="str">
        <x:v>SCA-29</x:v>
      </x:c>
      <x:c r="B3586" s="27" t="str">
        <x:v>SCA-28</x:v>
      </x:c>
      <x:c r="C3586" s="27" t="str">
        <x:v>Rail</x:v>
      </x:c>
      <x:c r="D3586" s="27" t="str">
        <x:v>YES</x:v>
      </x:c>
      <x:c r="E3586" s="27" t="str">
        <x:v>YES</x:v>
      </x:c>
      <x:c r="F3586" s="61" t="n">
        <x:v>611.3317006298374</x:v>
      </x:c>
      <x:c r="G3586" s="61" t="n">
        <x:v>34.73331000899768</x:v>
      </x:c>
      <x:c r="H3586" s="27" t="str">
        <x:v>YES</x:v>
      </x:c>
      <x:c r="I3586" s="27" t="str">
        <x:v>NARN shared-node topology; deployable terminal required</x:v>
      </x:c>
      <x:c r="J3586" s="27" t="str">
        <x:v>presence does not prove operability or capacity</x:v>
      </x:c>
    </x:row>
    <x:row r="3587" ht="54" hidden="0" customHeight="1">
      <x:c r="A3587" s="29" t="str">
        <x:v>SCA-29</x:v>
      </x:c>
      <x:c r="B3587" s="29" t="str">
        <x:v>SCA-28</x:v>
      </x:c>
      <x:c r="C3587" s="29" t="str">
        <x:v>Air</x:v>
      </x:c>
      <x:c r="D3587" s="29" t="str">
        <x:v>YES</x:v>
      </x:c>
      <x:c r="E3587" s="29" t="str">
        <x:v>YES</x:v>
      </x:c>
      <x:c r="F3587" s="62" t="n">
        <x:v>501.09155789330936</x:v>
      </x:c>
      <x:c r="G3587" s="62" t="n">
        <x:v>24.77091008906663</x:v>
      </x:c>
      <x:c r="H3587" s="29" t="str">
        <x:v>YES</x:v>
      </x:c>
      <x:c r="I3587" s="29" t="str">
        <x:v>primary-airport endpoints; great-circle screen</x:v>
      </x:c>
      <x:c r="J3587" s="29" t="str">
        <x:v>presence does not prove operability or capacity</x:v>
      </x:c>
    </x:row>
    <x:row r="3588" ht="75.5999984741211" hidden="0" customHeight="1">
      <x:c r="A3588" s="27" t="str">
        <x:v>SCA-29</x:v>
      </x:c>
      <x:c r="B3588" s="27" t="str">
        <x:v>SCA-28</x:v>
      </x:c>
      <x:c r="C3588" s="27" t="str">
        <x:v>Water</x:v>
      </x:c>
      <x:c r="D3588" s="27" t="str">
        <x:v>YES</x:v>
      </x:c>
      <x:c r="E3588" s="27" t="str">
        <x:v>YES</x:v>
      </x:c>
      <x:c r="F3588" s="61" t="n">
        <x:v>641.3971941034359</x:v>
      </x:c>
      <x:c r="G3588" s="61" t="n">
        <x:v>48.32563411724102</x:v>
      </x:c>
      <x:c r="H3588" s="27" t="str">
        <x:v>YES</x:v>
      </x:c>
      <x:c r="I3588" s="27" t="str">
        <x:v>USACE waterway node topology; deployable terminal required</x:v>
      </x:c>
      <x:c r="J3588" s="27" t="str">
        <x:v>presence does not prove operability or capacity</x:v>
      </x:c>
    </x:row>
    <x:row r="3589" ht="54" hidden="0" customHeight="1">
      <x:c r="A3589" s="29" t="str">
        <x:v>SCA-29</x:v>
      </x:c>
      <x:c r="B3589" s="29" t="str">
        <x:v>SCA-30</x:v>
      </x:c>
      <x:c r="C3589" s="29" t="str">
        <x:v>Road</x:v>
      </x:c>
      <x:c r="D3589" s="29" t="str">
        <x:v>YES</x:v>
      </x:c>
      <x:c r="E3589" s="29" t="str">
        <x:v>YES</x:v>
      </x:c>
      <x:c r="F3589" s="62" t="n">
        <x:v>751.0293219451112</x:v>
      </x:c>
      <x:c r="G3589" s="62" t="n">
        <x:v>33.6550785808202</x:v>
      </x:c>
      <x:c r="H3589" s="29" t="str">
        <x:v>YES</x:v>
      </x:c>
      <x:c r="I3589" s="29" t="str">
        <x:v>NHPN-gated shared-boundary SCA path</x:v>
      </x:c>
      <x:c r="J3589" s="29" t="str">
        <x:v>presence does not prove operability or capacity</x:v>
      </x:c>
    </x:row>
    <x:row r="3590" ht="64.80000305175781" hidden="0" customHeight="1">
      <x:c r="A3590" s="27" t="str">
        <x:v>SCA-29</x:v>
      </x:c>
      <x:c r="B3590" s="27" t="str">
        <x:v>SCA-30</x:v>
      </x:c>
      <x:c r="C3590" s="27" t="str">
        <x:v>Rail</x:v>
      </x:c>
      <x:c r="D3590" s="27" t="str">
        <x:v>YES</x:v>
      </x:c>
      <x:c r="E3590" s="27" t="str">
        <x:v>YES</x:v>
      </x:c>
      <x:c r="F3590" s="61" t="n">
        <x:v>796.7441502374221</x:v>
      </x:c>
      <x:c r="G3590" s="61" t="n">
        <x:v>37.38205928910603</x:v>
      </x:c>
      <x:c r="H3590" s="27" t="str">
        <x:v>YES</x:v>
      </x:c>
      <x:c r="I3590" s="27" t="str">
        <x:v>NARN shared-node topology; deployable terminal required</x:v>
      </x:c>
      <x:c r="J3590" s="27" t="str">
        <x:v>presence does not prove operability or capacity</x:v>
      </x:c>
    </x:row>
    <x:row r="3591" ht="54" hidden="0" customHeight="1">
      <x:c r="A3591" s="29" t="str">
        <x:v>SCA-29</x:v>
      </x:c>
      <x:c r="B3591" s="29" t="str">
        <x:v>SCA-30</x:v>
      </x:c>
      <x:c r="C3591" s="29" t="str">
        <x:v>Air</x:v>
      </x:c>
      <x:c r="D3591" s="29" t="str">
        <x:v>YES</x:v>
      </x:c>
      <x:c r="E3591" s="29" t="str">
        <x:v>YES</x:v>
      </x:c>
      <x:c r="F3591" s="62" t="n">
        <x:v>653.0689756044444</x:v>
      </x:c>
      <x:c r="G3591" s="62" t="n">
        <x:v>25.004721500929914</x:v>
      </x:c>
      <x:c r="H3591" s="29" t="str">
        <x:v>YES</x:v>
      </x:c>
      <x:c r="I3591" s="29" t="str">
        <x:v>primary-airport endpoints; great-circle screen</x:v>
      </x:c>
      <x:c r="J3591" s="29" t="str">
        <x:v>presence does not prove operability or capacity</x:v>
      </x:c>
    </x:row>
    <x:row r="3592" ht="75.5999984741211" hidden="0" customHeight="1">
      <x:c r="A3592" s="27" t="str">
        <x:v>SCA-29</x:v>
      </x:c>
      <x:c r="B3592" s="27" t="str">
        <x:v>SCA-30</x:v>
      </x:c>
      <x:c r="C3592" s="27" t="str">
        <x:v>Water</x:v>
      </x:c>
      <x:c r="D3592" s="27" t="str">
        <x:v>YES</x:v>
      </x:c>
      <x:c r="E3592" s="27" t="str">
        <x:v>YES</x:v>
      </x:c>
      <x:c r="F3592" s="61" t="n">
        <x:v>835.9282887736889</x:v>
      </x:c>
      <x:c r="G3592" s="61" t="n">
        <x:v>53.883665393533974</x:v>
      </x:c>
      <x:c r="H3592" s="27" t="str">
        <x:v>YES</x:v>
      </x:c>
      <x:c r="I3592" s="27" t="str">
        <x:v>USACE waterway node topology; deployable terminal required</x:v>
      </x:c>
      <x:c r="J3592" s="27" t="str">
        <x:v>presence does not prove operability or capacity</x:v>
      </x:c>
    </x:row>
    <x:row r="3593" ht="54" hidden="0" customHeight="1">
      <x:c r="A3593" s="29" t="str">
        <x:v>SCA-29</x:v>
      </x:c>
      <x:c r="B3593" s="29" t="str">
        <x:v>SCA-31</x:v>
      </x:c>
      <x:c r="C3593" s="29" t="str">
        <x:v>Road</x:v>
      </x:c>
      <x:c r="D3593" s="29" t="str">
        <x:v>YES</x:v>
      </x:c>
      <x:c r="E3593" s="29" t="str">
        <x:v>YES</x:v>
      </x:c>
      <x:c r="F3593" s="62" t="n">
        <x:v>1144.1114671316172</x:v>
      </x:c>
      <x:c r="G3593" s="62" t="n">
        <x:v>40.80202667512032</x:v>
      </x:c>
      <x:c r="H3593" s="29" t="str">
        <x:v>YES</x:v>
      </x:c>
      <x:c r="I3593" s="29" t="str">
        <x:v>NHPN-gated shared-boundary SCA path</x:v>
      </x:c>
      <x:c r="J3593" s="29" t="str">
        <x:v>presence does not prove operability or capacity</x:v>
      </x:c>
    </x:row>
    <x:row r="3594" ht="64.80000305175781" hidden="0" customHeight="1">
      <x:c r="A3594" s="27" t="str">
        <x:v>SCA-29</x:v>
      </x:c>
      <x:c r="B3594" s="27" t="str">
        <x:v>SCA-31</x:v>
      </x:c>
      <x:c r="C3594" s="27" t="str">
        <x:v>Rail</x:v>
      </x:c>
      <x:c r="D3594" s="27" t="str">
        <x:v>YES</x:v>
      </x:c>
      <x:c r="E3594" s="27" t="str">
        <x:v>YES</x:v>
      </x:c>
      <x:c r="F3594" s="61" t="n">
        <x:v>1213.75303469615</x:v>
      </x:c>
      <x:c r="G3594" s="61" t="n">
        <x:v>43.33932906708786</x:v>
      </x:c>
      <x:c r="H3594" s="27" t="str">
        <x:v>YES</x:v>
      </x:c>
      <x:c r="I3594" s="27" t="str">
        <x:v>NARN shared-node topology; deployable terminal required</x:v>
      </x:c>
      <x:c r="J3594" s="27" t="str">
        <x:v>presence does not prove operability or capacity</x:v>
      </x:c>
    </x:row>
    <x:row r="3595" ht="54" hidden="0" customHeight="1">
      <x:c r="A3595" s="29" t="str">
        <x:v>SCA-29</x:v>
      </x:c>
      <x:c r="B3595" s="29" t="str">
        <x:v>SCA-31</x:v>
      </x:c>
      <x:c r="C3595" s="29" t="str">
        <x:v>Air</x:v>
      </x:c>
      <x:c r="D3595" s="29" t="str">
        <x:v>YES</x:v>
      </x:c>
      <x:c r="E3595" s="29" t="str">
        <x:v>YES</x:v>
      </x:c>
      <x:c r="F3595" s="62" t="n">
        <x:v>992.3017461654575</x:v>
      </x:c>
      <x:c r="G3595" s="62" t="n">
        <x:v>25.52661807102378</x:v>
      </x:c>
      <x:c r="H3595" s="29" t="str">
        <x:v>YES</x:v>
      </x:c>
      <x:c r="I3595" s="29" t="str">
        <x:v>primary-airport endpoints; great-circle screen</x:v>
      </x:c>
      <x:c r="J3595" s="29" t="str">
        <x:v>presence does not prove operability or capacity</x:v>
      </x:c>
    </x:row>
    <x:row r="3596" ht="75.5999984741211" hidden="0" customHeight="1">
      <x:c r="A3596" s="27" t="str">
        <x:v>SCA-29</x:v>
      </x:c>
      <x:c r="B3596" s="27" t="str">
        <x:v>SCA-31</x:v>
      </x:c>
      <x:c r="C3596" s="27" t="str">
        <x:v>Water</x:v>
      </x:c>
      <x:c r="D3596" s="27" t="str">
        <x:v>YES</x:v>
      </x:c>
      <x:c r="E3596" s="27" t="str">
        <x:v>YES</x:v>
      </x:c>
      <x:c r="F3596" s="61" t="n">
        <x:v>1270.1462350917857</x:v>
      </x:c>
      <x:c r="G3596" s="61" t="n">
        <x:v>66.28989243119388</x:v>
      </x:c>
      <x:c r="H3596" s="27" t="str">
        <x:v>YES</x:v>
      </x:c>
      <x:c r="I3596" s="27" t="str">
        <x:v>USACE waterway node topology; deployable terminal required</x:v>
      </x:c>
      <x:c r="J3596" s="27" t="str">
        <x:v>presence does not prove operability or capacity</x:v>
      </x:c>
    </x:row>
    <x:row r="3597" ht="54" hidden="0" customHeight="1">
      <x:c r="A3597" s="29" t="str">
        <x:v>SCA-29</x:v>
      </x:c>
      <x:c r="B3597" s="29" t="str">
        <x:v>SCA-32</x:v>
      </x:c>
      <x:c r="C3597" s="29" t="str">
        <x:v>Road</x:v>
      </x:c>
      <x:c r="D3597" s="29" t="str">
        <x:v>NO</x:v>
      </x:c>
      <x:c r="E3597" s="29" t="str">
        <x:v>NO</x:v>
      </x:c>
      <x:c r="F3597" s="62"/>
      <x:c r="G3597" s="62"/>
      <x:c r="H3597" s="29" t="str">
        <x:v>NO</x:v>
      </x:c>
      <x:c r="I3597" s="29" t="str">
        <x:v>no screened path</x:v>
      </x:c>
      <x:c r="J3597" s="29" t="str">
        <x:v>presence does not prove operability or capacity</x:v>
      </x:c>
    </x:row>
    <x:row r="3598" ht="54" hidden="0" customHeight="1">
      <x:c r="A3598" s="27" t="str">
        <x:v>SCA-29</x:v>
      </x:c>
      <x:c r="B3598" s="27" t="str">
        <x:v>SCA-32</x:v>
      </x:c>
      <x:c r="C3598" s="27" t="str">
        <x:v>Rail</x:v>
      </x:c>
      <x:c r="D3598" s="27" t="str">
        <x:v>NO</x:v>
      </x:c>
      <x:c r="E3598" s="27" t="str">
        <x:v>NO</x:v>
      </x:c>
      <x:c r="F3598" s="61"/>
      <x:c r="G3598" s="61"/>
      <x:c r="H3598" s="27" t="str">
        <x:v>NO</x:v>
      </x:c>
      <x:c r="I3598" s="27" t="str">
        <x:v>no screened path</x:v>
      </x:c>
      <x:c r="J3598" s="27" t="str">
        <x:v>presence does not prove operability or capacity</x:v>
      </x:c>
    </x:row>
    <x:row r="3599" ht="54" hidden="0" customHeight="1">
      <x:c r="A3599" s="29" t="str">
        <x:v>SCA-29</x:v>
      </x:c>
      <x:c r="B3599" s="29" t="str">
        <x:v>SCA-32</x:v>
      </x:c>
      <x:c r="C3599" s="29" t="str">
        <x:v>Air</x:v>
      </x:c>
      <x:c r="D3599" s="29" t="str">
        <x:v>YES</x:v>
      </x:c>
      <x:c r="E3599" s="29" t="str">
        <x:v>YES</x:v>
      </x:c>
      <x:c r="F3599" s="62" t="n">
        <x:v>2320.16735938014</x:v>
      </x:c>
      <x:c r="G3599" s="62" t="n">
        <x:v>27.569488245200215</x:v>
      </x:c>
      <x:c r="H3599" s="29" t="str">
        <x:v>YES</x:v>
      </x:c>
      <x:c r="I3599" s="29" t="str">
        <x:v>primary-airport endpoints; great-circle screen</x:v>
      </x:c>
      <x:c r="J3599" s="29" t="str">
        <x:v>presence does not prove operability or capacity</x:v>
      </x:c>
    </x:row>
    <x:row r="3600" ht="75.5999984741211" hidden="0" customHeight="1">
      <x:c r="A3600" s="27" t="str">
        <x:v>SCA-29</x:v>
      </x:c>
      <x:c r="B3600" s="27" t="str">
        <x:v>SCA-32</x:v>
      </x:c>
      <x:c r="C3600" s="27" t="str">
        <x:v>Water</x:v>
      </x:c>
      <x:c r="D3600" s="27" t="str">
        <x:v>YES</x:v>
      </x:c>
      <x:c r="E3600" s="27" t="str">
        <x:v>YES</x:v>
      </x:c>
      <x:c r="F3600" s="61" t="n">
        <x:v>2969.8142200065795</x:v>
      </x:c>
      <x:c r="G3600" s="61" t="n">
        <x:v>114.85183485733084</x:v>
      </x:c>
      <x:c r="H3600" s="27" t="str">
        <x:v>NO</x:v>
      </x:c>
      <x:c r="I3600" s="27" t="str">
        <x:v>USACE waterway node topology; deployable terminal required</x:v>
      </x:c>
      <x:c r="J3600" s="27" t="str">
        <x:v>presence does not prove operability or capacity</x:v>
      </x:c>
    </x:row>
    <x:row r="3601" ht="54" hidden="0" customHeight="1">
      <x:c r="A3601" s="29" t="str">
        <x:v>SCA-30</x:v>
      </x:c>
      <x:c r="B3601" s="29" t="str">
        <x:v>SCA-01</x:v>
      </x:c>
      <x:c r="C3601" s="29" t="str">
        <x:v>Road</x:v>
      </x:c>
      <x:c r="D3601" s="29" t="str">
        <x:v>NO</x:v>
      </x:c>
      <x:c r="E3601" s="29" t="str">
        <x:v>NO</x:v>
      </x:c>
      <x:c r="F3601" s="62"/>
      <x:c r="G3601" s="62"/>
      <x:c r="H3601" s="29" t="str">
        <x:v>NO</x:v>
      </x:c>
      <x:c r="I3601" s="29" t="str">
        <x:v>no screened path</x:v>
      </x:c>
      <x:c r="J3601" s="29" t="str">
        <x:v>presence does not prove operability or capacity</x:v>
      </x:c>
    </x:row>
    <x:row r="3602" ht="54" hidden="0" customHeight="1">
      <x:c r="A3602" s="27" t="str">
        <x:v>SCA-30</x:v>
      </x:c>
      <x:c r="B3602" s="27" t="str">
        <x:v>SCA-01</x:v>
      </x:c>
      <x:c r="C3602" s="27" t="str">
        <x:v>Rail</x:v>
      </x:c>
      <x:c r="D3602" s="27" t="str">
        <x:v>NO</x:v>
      </x:c>
      <x:c r="E3602" s="27" t="str">
        <x:v>NO</x:v>
      </x:c>
      <x:c r="F3602" s="61"/>
      <x:c r="G3602" s="61"/>
      <x:c r="H3602" s="27" t="str">
        <x:v>NO</x:v>
      </x:c>
      <x:c r="I3602" s="27" t="str">
        <x:v>no screened path</x:v>
      </x:c>
      <x:c r="J3602" s="27" t="str">
        <x:v>presence does not prove operability or capacity</x:v>
      </x:c>
    </x:row>
    <x:row r="3603" ht="54" hidden="0" customHeight="1">
      <x:c r="A3603" s="29" t="str">
        <x:v>SCA-30</x:v>
      </x:c>
      <x:c r="B3603" s="29" t="str">
        <x:v>SCA-01</x:v>
      </x:c>
      <x:c r="C3603" s="29" t="str">
        <x:v>Air</x:v>
      </x:c>
      <x:c r="D3603" s="29" t="str">
        <x:v>YES</x:v>
      </x:c>
      <x:c r="E3603" s="29" t="str">
        <x:v>YES</x:v>
      </x:c>
      <x:c r="F3603" s="62" t="n">
        <x:v>7928.7604943503875</x:v>
      </x:c>
      <x:c r="G3603" s="62" t="n">
        <x:v>36.198093068231366</x:v>
      </x:c>
      <x:c r="H3603" s="29" t="str">
        <x:v>YES</x:v>
      </x:c>
      <x:c r="I3603" s="29" t="str">
        <x:v>primary-airport endpoints; great-circle screen</x:v>
      </x:c>
      <x:c r="J3603" s="29" t="str">
        <x:v>presence does not prove operability or capacity</x:v>
      </x:c>
    </x:row>
    <x:row r="3604" ht="75.5999984741211" hidden="0" customHeight="1">
      <x:c r="A3604" s="27" t="str">
        <x:v>SCA-30</x:v>
      </x:c>
      <x:c r="B3604" s="27" t="str">
        <x:v>SCA-01</x:v>
      </x:c>
      <x:c r="C3604" s="27" t="str">
        <x:v>Water</x:v>
      </x:c>
      <x:c r="D3604" s="27" t="str">
        <x:v>YES</x:v>
      </x:c>
      <x:c r="E3604" s="27" t="str">
        <x:v>YES</x:v>
      </x:c>
      <x:c r="F3604" s="61" t="n">
        <x:v>12280.306806544884</x:v>
      </x:c>
      <x:c r="G3604" s="61" t="n">
        <x:v>380.8659087584253</x:v>
      </x:c>
      <x:c r="H3604" s="27" t="str">
        <x:v>NO</x:v>
      </x:c>
      <x:c r="I3604" s="27" t="str">
        <x:v>USACE waterway node topology; deployable terminal required</x:v>
      </x:c>
      <x:c r="J3604" s="27" t="str">
        <x:v>presence does not prove operability or capacity</x:v>
      </x:c>
    </x:row>
    <x:row r="3605" ht="54" hidden="0" customHeight="1">
      <x:c r="A3605" s="29" t="str">
        <x:v>SCA-30</x:v>
      </x:c>
      <x:c r="B3605" s="29" t="str">
        <x:v>SCA-02</x:v>
      </x:c>
      <x:c r="C3605" s="29" t="str">
        <x:v>Road</x:v>
      </x:c>
      <x:c r="D3605" s="29" t="str">
        <x:v>NO</x:v>
      </x:c>
      <x:c r="E3605" s="29" t="str">
        <x:v>NO</x:v>
      </x:c>
      <x:c r="F3605" s="62"/>
      <x:c r="G3605" s="62"/>
      <x:c r="H3605" s="29" t="str">
        <x:v>NO</x:v>
      </x:c>
      <x:c r="I3605" s="29" t="str">
        <x:v>no screened path</x:v>
      </x:c>
      <x:c r="J3605" s="29" t="str">
        <x:v>presence does not prove operability or capacity</x:v>
      </x:c>
    </x:row>
    <x:row r="3606" ht="54" hidden="0" customHeight="1">
      <x:c r="A3606" s="27" t="str">
        <x:v>SCA-30</x:v>
      </x:c>
      <x:c r="B3606" s="27" t="str">
        <x:v>SCA-02</x:v>
      </x:c>
      <x:c r="C3606" s="27" t="str">
        <x:v>Rail</x:v>
      </x:c>
      <x:c r="D3606" s="27" t="str">
        <x:v>NO</x:v>
      </x:c>
      <x:c r="E3606" s="27" t="str">
        <x:v>NO</x:v>
      </x:c>
      <x:c r="F3606" s="61"/>
      <x:c r="G3606" s="61"/>
      <x:c r="H3606" s="27" t="str">
        <x:v>NO</x:v>
      </x:c>
      <x:c r="I3606" s="27" t="str">
        <x:v>no screened path</x:v>
      </x:c>
      <x:c r="J3606" s="27" t="str">
        <x:v>presence does not prove operability or capacity</x:v>
      </x:c>
    </x:row>
    <x:row r="3607" ht="54" hidden="0" customHeight="1">
      <x:c r="A3607" s="29" t="str">
        <x:v>SCA-30</x:v>
      </x:c>
      <x:c r="B3607" s="29" t="str">
        <x:v>SCA-02</x:v>
      </x:c>
      <x:c r="C3607" s="29" t="str">
        <x:v>Air</x:v>
      </x:c>
      <x:c r="D3607" s="29" t="str">
        <x:v>YES</x:v>
      </x:c>
      <x:c r="E3607" s="29" t="str">
        <x:v>YES</x:v>
      </x:c>
      <x:c r="F3607" s="62" t="n">
        <x:v>5192.239378477204</x:v>
      </x:c>
      <x:c r="G3607" s="62" t="n">
        <x:v>31.98806058227262</x:v>
      </x:c>
      <x:c r="H3607" s="29" t="str">
        <x:v>YES</x:v>
      </x:c>
      <x:c r="I3607" s="29" t="str">
        <x:v>primary-airport endpoints; great-circle screen</x:v>
      </x:c>
      <x:c r="J3607" s="29" t="str">
        <x:v>presence does not prove operability or capacity</x:v>
      </x:c>
    </x:row>
    <x:row r="3608" ht="75.5999984741211" hidden="0" customHeight="1">
      <x:c r="A3608" s="27" t="str">
        <x:v>SCA-30</x:v>
      </x:c>
      <x:c r="B3608" s="27" t="str">
        <x:v>SCA-02</x:v>
      </x:c>
      <x:c r="C3608" s="27" t="str">
        <x:v>Water</x:v>
      </x:c>
      <x:c r="D3608" s="27" t="str">
        <x:v>YES</x:v>
      </x:c>
      <x:c r="E3608" s="27" t="str">
        <x:v>YES</x:v>
      </x:c>
      <x:c r="F3608" s="61" t="n">
        <x:v>7055.9527660802505</x:v>
      </x:c>
      <x:c r="G3608" s="61" t="n">
        <x:v>231.59865045943573</x:v>
      </x:c>
      <x:c r="H3608" s="27" t="str">
        <x:v>NO</x:v>
      </x:c>
      <x:c r="I3608" s="27" t="str">
        <x:v>USACE waterway node topology; deployable terminal required</x:v>
      </x:c>
      <x:c r="J3608" s="27" t="str">
        <x:v>presence does not prove operability or capacity</x:v>
      </x:c>
    </x:row>
    <x:row r="3609" ht="54" hidden="0" customHeight="1">
      <x:c r="A3609" s="29" t="str">
        <x:v>SCA-30</x:v>
      </x:c>
      <x:c r="B3609" s="29" t="str">
        <x:v>SCA-03</x:v>
      </x:c>
      <x:c r="C3609" s="29" t="str">
        <x:v>Road</x:v>
      </x:c>
      <x:c r="D3609" s="29" t="str">
        <x:v>YES</x:v>
      </x:c>
      <x:c r="E3609" s="29" t="str">
        <x:v>YES</x:v>
      </x:c>
      <x:c r="F3609" s="62" t="n">
        <x:v>4546.808254227253</x:v>
      </x:c>
      <x:c r="G3609" s="62" t="n">
        <x:v>102.66924098595005</x:v>
      </x:c>
      <x:c r="H3609" s="29" t="str">
        <x:v>NO</x:v>
      </x:c>
      <x:c r="I3609" s="29" t="str">
        <x:v>NHPN-gated shared-boundary SCA path</x:v>
      </x:c>
      <x:c r="J3609" s="29" t="str">
        <x:v>presence does not prove operability or capacity</x:v>
      </x:c>
    </x:row>
    <x:row r="3610" ht="64.80000305175781" hidden="0" customHeight="1">
      <x:c r="A3610" s="27" t="str">
        <x:v>SCA-30</x:v>
      </x:c>
      <x:c r="B3610" s="27" t="str">
        <x:v>SCA-03</x:v>
      </x:c>
      <x:c r="C3610" s="27" t="str">
        <x:v>Rail</x:v>
      </x:c>
      <x:c r="D3610" s="27" t="str">
        <x:v>YES</x:v>
      </x:c>
      <x:c r="E3610" s="27" t="str">
        <x:v>YES</x:v>
      </x:c>
      <x:c r="F3610" s="61" t="n">
        <x:v>4823.570495788913</x:v>
      </x:c>
      <x:c r="G3610" s="61" t="n">
        <x:v>94.9081499398416</x:v>
      </x:c>
      <x:c r="H3610" s="27" t="str">
        <x:v>NO</x:v>
      </x:c>
      <x:c r="I3610" s="27" t="str">
        <x:v>NARN shared-node topology; deployable terminal required</x:v>
      </x:c>
      <x:c r="J3610" s="27" t="str">
        <x:v>presence does not prove operability or capacity</x:v>
      </x:c>
    </x:row>
    <x:row r="3611" ht="54" hidden="0" customHeight="1">
      <x:c r="A3611" s="29" t="str">
        <x:v>SCA-30</x:v>
      </x:c>
      <x:c r="B3611" s="29" t="str">
        <x:v>SCA-03</x:v>
      </x:c>
      <x:c r="C3611" s="29" t="str">
        <x:v>Air</x:v>
      </x:c>
      <x:c r="D3611" s="29" t="str">
        <x:v>YES</x:v>
      </x:c>
      <x:c r="E3611" s="29" t="str">
        <x:v>YES</x:v>
      </x:c>
      <x:c r="F3611" s="62" t="n">
        <x:v>3786.8760403236406</x:v>
      </x:c>
      <x:c r="G3611" s="62" t="n">
        <x:v>29.825963138959448</x:v>
      </x:c>
      <x:c r="H3611" s="29" t="str">
        <x:v>YES</x:v>
      </x:c>
      <x:c r="I3611" s="29" t="str">
        <x:v>primary-airport endpoints; great-circle screen</x:v>
      </x:c>
      <x:c r="J3611" s="29" t="str">
        <x:v>presence does not prove operability or capacity</x:v>
      </x:c>
    </x:row>
    <x:row r="3612" ht="75.5999984741211" hidden="0" customHeight="1">
      <x:c r="A3612" s="27" t="str">
        <x:v>SCA-30</x:v>
      </x:c>
      <x:c r="B3612" s="27" t="str">
        <x:v>SCA-03</x:v>
      </x:c>
      <x:c r="C3612" s="27" t="str">
        <x:v>Water</x:v>
      </x:c>
      <x:c r="D3612" s="27" t="str">
        <x:v>YES</x:v>
      </x:c>
      <x:c r="E3612" s="27" t="str">
        <x:v>YES</x:v>
      </x:c>
      <x:c r="F3612" s="61" t="n">
        <x:v>8889.545493873227</x:v>
      </x:c>
      <x:c r="G3612" s="61" t="n">
        <x:v>283.9870141106636</x:v>
      </x:c>
      <x:c r="H3612" s="27" t="str">
        <x:v>NO</x:v>
      </x:c>
      <x:c r="I3612" s="27" t="str">
        <x:v>USACE waterway node topology; deployable terminal required</x:v>
      </x:c>
      <x:c r="J3612" s="27" t="str">
        <x:v>presence does not prove operability or capacity</x:v>
      </x:c>
    </x:row>
    <x:row r="3613" ht="54" hidden="0" customHeight="1">
      <x:c r="A3613" s="29" t="str">
        <x:v>SCA-30</x:v>
      </x:c>
      <x:c r="B3613" s="29" t="str">
        <x:v>SCA-04</x:v>
      </x:c>
      <x:c r="C3613" s="29" t="str">
        <x:v>Road</x:v>
      </x:c>
      <x:c r="D3613" s="29" t="str">
        <x:v>YES</x:v>
      </x:c>
      <x:c r="E3613" s="29" t="str">
        <x:v>YES</x:v>
      </x:c>
      <x:c r="F3613" s="62" t="n">
        <x:v>4957.317053466026</x:v>
      </x:c>
      <x:c r="G3613" s="62" t="n">
        <x:v>110.13303733574593</x:v>
      </x:c>
      <x:c r="H3613" s="29" t="str">
        <x:v>NO</x:v>
      </x:c>
      <x:c r="I3613" s="29" t="str">
        <x:v>NHPN-gated shared-boundary SCA path</x:v>
      </x:c>
      <x:c r="J3613" s="29" t="str">
        <x:v>presence does not prove operability or capacity</x:v>
      </x:c>
    </x:row>
    <x:row r="3614" ht="64.80000305175781" hidden="0" customHeight="1">
      <x:c r="A3614" s="27" t="str">
        <x:v>SCA-30</x:v>
      </x:c>
      <x:c r="B3614" s="27" t="str">
        <x:v>SCA-04</x:v>
      </x:c>
      <x:c r="C3614" s="27" t="str">
        <x:v>Rail</x:v>
      </x:c>
      <x:c r="D3614" s="27" t="str">
        <x:v>YES</x:v>
      </x:c>
      <x:c r="E3614" s="27" t="str">
        <x:v>YES</x:v>
      </x:c>
      <x:c r="F3614" s="61" t="n">
        <x:v>5259.066787155262</x:v>
      </x:c>
      <x:c r="G3614" s="61" t="n">
        <x:v>101.12952553078946</x:v>
      </x:c>
      <x:c r="H3614" s="27" t="str">
        <x:v>NO</x:v>
      </x:c>
      <x:c r="I3614" s="27" t="str">
        <x:v>NARN shared-node topology; deployable terminal required</x:v>
      </x:c>
      <x:c r="J3614" s="27" t="str">
        <x:v>presence does not prove operability or capacity</x:v>
      </x:c>
    </x:row>
    <x:row r="3615" ht="54" hidden="0" customHeight="1">
      <x:c r="A3615" s="29" t="str">
        <x:v>SCA-30</x:v>
      </x:c>
      <x:c r="B3615" s="29" t="str">
        <x:v>SCA-04</x:v>
      </x:c>
      <x:c r="C3615" s="29" t="str">
        <x:v>Air</x:v>
      </x:c>
      <x:c r="D3615" s="29" t="str">
        <x:v>YES</x:v>
      </x:c>
      <x:c r="E3615" s="29" t="str">
        <x:v>YES</x:v>
      </x:c>
      <x:c r="F3615" s="62" t="n">
        <x:v>3994.1778625840057</x:v>
      </x:c>
      <x:c r="G3615" s="62" t="n">
        <x:v>30.144889019360008</x:v>
      </x:c>
      <x:c r="H3615" s="29" t="str">
        <x:v>YES</x:v>
      </x:c>
      <x:c r="I3615" s="29" t="str">
        <x:v>primary-airport endpoints; great-circle screen</x:v>
      </x:c>
      <x:c r="J3615" s="29" t="str">
        <x:v>presence does not prove operability or capacity</x:v>
      </x:c>
    </x:row>
    <x:row r="3616" ht="75.5999984741211" hidden="0" customHeight="1">
      <x:c r="A3616" s="27" t="str">
        <x:v>SCA-30</x:v>
      </x:c>
      <x:c r="B3616" s="27" t="str">
        <x:v>SCA-04</x:v>
      </x:c>
      <x:c r="C3616" s="27" t="str">
        <x:v>Water</x:v>
      </x:c>
      <x:c r="D3616" s="27" t="str">
        <x:v>YES</x:v>
      </x:c>
      <x:c r="E3616" s="27" t="str">
        <x:v>YES</x:v>
      </x:c>
      <x:c r="F3616" s="61" t="n">
        <x:v>7677.287285492261</x:v>
      </x:c>
      <x:c r="G3616" s="61" t="n">
        <x:v>249.35106529977887</x:v>
      </x:c>
      <x:c r="H3616" s="27" t="str">
        <x:v>NO</x:v>
      </x:c>
      <x:c r="I3616" s="27" t="str">
        <x:v>USACE waterway node topology; deployable terminal required</x:v>
      </x:c>
      <x:c r="J3616" s="27" t="str">
        <x:v>presence does not prove operability or capacity</x:v>
      </x:c>
    </x:row>
    <x:row r="3617" ht="54" hidden="0" customHeight="1">
      <x:c r="A3617" s="29" t="str">
        <x:v>SCA-30</x:v>
      </x:c>
      <x:c r="B3617" s="29" t="str">
        <x:v>SCA-05</x:v>
      </x:c>
      <x:c r="C3617" s="29" t="str">
        <x:v>Road</x:v>
      </x:c>
      <x:c r="D3617" s="29" t="str">
        <x:v>YES</x:v>
      </x:c>
      <x:c r="E3617" s="29" t="str">
        <x:v>YES</x:v>
      </x:c>
      <x:c r="F3617" s="62" t="n">
        <x:v>4865.956903478793</x:v>
      </x:c>
      <x:c r="G3617" s="62" t="n">
        <x:v>108.47194369961441</x:v>
      </x:c>
      <x:c r="H3617" s="29" t="str">
        <x:v>NO</x:v>
      </x:c>
      <x:c r="I3617" s="29" t="str">
        <x:v>NHPN-gated shared-boundary SCA path</x:v>
      </x:c>
      <x:c r="J3617" s="29" t="str">
        <x:v>presence does not prove operability or capacity</x:v>
      </x:c>
    </x:row>
    <x:row r="3618" ht="64.80000305175781" hidden="0" customHeight="1">
      <x:c r="A3618" s="27" t="str">
        <x:v>SCA-30</x:v>
      </x:c>
      <x:c r="B3618" s="27" t="str">
        <x:v>SCA-05</x:v>
      </x:c>
      <x:c r="C3618" s="27" t="str">
        <x:v>Rail</x:v>
      </x:c>
      <x:c r="D3618" s="27" t="str">
        <x:v>YES</x:v>
      </x:c>
      <x:c r="E3618" s="27" t="str">
        <x:v>YES</x:v>
      </x:c>
      <x:c r="F3618" s="61" t="n">
        <x:v>5207.075381121552</x:v>
      </x:c>
      <x:c r="G3618" s="61" t="n">
        <x:v>100.3867911588793</x:v>
      </x:c>
      <x:c r="H3618" s="27" t="str">
        <x:v>NO</x:v>
      </x:c>
      <x:c r="I3618" s="27" t="str">
        <x:v>NARN shared-node topology; deployable terminal required</x:v>
      </x:c>
      <x:c r="J3618" s="27" t="str">
        <x:v>presence does not prove operability or capacity</x:v>
      </x:c>
    </x:row>
    <x:row r="3619" ht="54" hidden="0" customHeight="1">
      <x:c r="A3619" s="29" t="str">
        <x:v>SCA-30</x:v>
      </x:c>
      <x:c r="B3619" s="29" t="str">
        <x:v>SCA-05</x:v>
      </x:c>
      <x:c r="C3619" s="29" t="str">
        <x:v>Air</x:v>
      </x:c>
      <x:c r="D3619" s="29" t="str">
        <x:v>YES</x:v>
      </x:c>
      <x:c r="E3619" s="29" t="str">
        <x:v>YES</x:v>
      </x:c>
      <x:c r="F3619" s="62" t="n">
        <x:v>3880.785182935992</x:v>
      </x:c>
      <x:c r="G3619" s="62" t="n">
        <x:v>29.97043874297845</x:v>
      </x:c>
      <x:c r="H3619" s="29" t="str">
        <x:v>YES</x:v>
      </x:c>
      <x:c r="I3619" s="29" t="str">
        <x:v>primary-airport endpoints; great-circle screen</x:v>
      </x:c>
      <x:c r="J3619" s="29" t="str">
        <x:v>presence does not prove operability or capacity</x:v>
      </x:c>
    </x:row>
    <x:row r="3620" ht="75.5999984741211" hidden="0" customHeight="1">
      <x:c r="A3620" s="27" t="str">
        <x:v>SCA-30</x:v>
      </x:c>
      <x:c r="B3620" s="27" t="str">
        <x:v>SCA-05</x:v>
      </x:c>
      <x:c r="C3620" s="27" t="str">
        <x:v>Water</x:v>
      </x:c>
      <x:c r="D3620" s="27" t="str">
        <x:v>YES</x:v>
      </x:c>
      <x:c r="E3620" s="27" t="str">
        <x:v>YES</x:v>
      </x:c>
      <x:c r="F3620" s="61" t="n">
        <x:v>7021.333866015203</x:v>
      </x:c>
      <x:c r="G3620" s="61" t="n">
        <x:v>230.6095390290058</x:v>
      </x:c>
      <x:c r="H3620" s="27" t="str">
        <x:v>NO</x:v>
      </x:c>
      <x:c r="I3620" s="27" t="str">
        <x:v>USACE waterway node topology; deployable terminal required</x:v>
      </x:c>
      <x:c r="J3620" s="27" t="str">
        <x:v>presence does not prove operability or capacity</x:v>
      </x:c>
    </x:row>
    <x:row r="3621" ht="54" hidden="0" customHeight="1">
      <x:c r="A3621" s="29" t="str">
        <x:v>SCA-30</x:v>
      </x:c>
      <x:c r="B3621" s="29" t="str">
        <x:v>SCA-06</x:v>
      </x:c>
      <x:c r="C3621" s="29" t="str">
        <x:v>Road</x:v>
      </x:c>
      <x:c r="D3621" s="29" t="str">
        <x:v>YES</x:v>
      </x:c>
      <x:c r="E3621" s="29" t="str">
        <x:v>YES</x:v>
      </x:c>
      <x:c r="F3621" s="62" t="n">
        <x:v>4625.199531198669</x:v>
      </x:c>
      <x:c r="G3621" s="62" t="n">
        <x:v>104.0945369308849</x:v>
      </x:c>
      <x:c r="H3621" s="29" t="str">
        <x:v>NO</x:v>
      </x:c>
      <x:c r="I3621" s="29" t="str">
        <x:v>NHPN-gated shared-boundary SCA path</x:v>
      </x:c>
      <x:c r="J3621" s="29" t="str">
        <x:v>presence does not prove operability or capacity</x:v>
      </x:c>
    </x:row>
    <x:row r="3622" ht="64.80000305175781" hidden="0" customHeight="1">
      <x:c r="A3622" s="27" t="str">
        <x:v>SCA-30</x:v>
      </x:c>
      <x:c r="B3622" s="27" t="str">
        <x:v>SCA-06</x:v>
      </x:c>
      <x:c r="C3622" s="27" t="str">
        <x:v>Rail</x:v>
      </x:c>
      <x:c r="D3622" s="27" t="str">
        <x:v>YES</x:v>
      </x:c>
      <x:c r="E3622" s="27" t="str">
        <x:v>YES</x:v>
      </x:c>
      <x:c r="F3622" s="61" t="n">
        <x:v>4951.663212267856</x:v>
      </x:c>
      <x:c r="G3622" s="61" t="n">
        <x:v>96.7380458895408</x:v>
      </x:c>
      <x:c r="H3622" s="27" t="str">
        <x:v>NO</x:v>
      </x:c>
      <x:c r="I3622" s="27" t="str">
        <x:v>NARN shared-node topology; deployable terminal required</x:v>
      </x:c>
      <x:c r="J3622" s="27" t="str">
        <x:v>presence does not prove operability or capacity</x:v>
      </x:c>
    </x:row>
    <x:row r="3623" ht="54" hidden="0" customHeight="1">
      <x:c r="A3623" s="29" t="str">
        <x:v>SCA-30</x:v>
      </x:c>
      <x:c r="B3623" s="29" t="str">
        <x:v>SCA-06</x:v>
      </x:c>
      <x:c r="C3623" s="29" t="str">
        <x:v>Air</x:v>
      </x:c>
      <x:c r="D3623" s="29" t="str">
        <x:v>YES</x:v>
      </x:c>
      <x:c r="E3623" s="29" t="str">
        <x:v>YES</x:v>
      </x:c>
      <x:c r="F3623" s="62" t="n">
        <x:v>3759.50322470132</x:v>
      </x:c>
      <x:c r="G3623" s="62" t="n">
        <x:v>29.783851114925106</x:v>
      </x:c>
      <x:c r="H3623" s="29" t="str">
        <x:v>YES</x:v>
      </x:c>
      <x:c r="I3623" s="29" t="str">
        <x:v>primary-airport endpoints; great-circle screen</x:v>
      </x:c>
      <x:c r="J3623" s="29" t="str">
        <x:v>presence does not prove operability or capacity</x:v>
      </x:c>
    </x:row>
    <x:row r="3624" ht="75.5999984741211" hidden="0" customHeight="1">
      <x:c r="A3624" s="27" t="str">
        <x:v>SCA-30</x:v>
      </x:c>
      <x:c r="B3624" s="27" t="str">
        <x:v>SCA-06</x:v>
      </x:c>
      <x:c r="C3624" s="27" t="str">
        <x:v>Water</x:v>
      </x:c>
      <x:c r="D3624" s="27" t="str">
        <x:v>YES</x:v>
      </x:c>
      <x:c r="E3624" s="27" t="str">
        <x:v>YES</x:v>
      </x:c>
      <x:c r="F3624" s="61" t="n">
        <x:v>6753.360442955587</x:v>
      </x:c>
      <x:c r="G3624" s="61" t="n">
        <x:v>222.95315551301678</x:v>
      </x:c>
      <x:c r="H3624" s="27" t="str">
        <x:v>NO</x:v>
      </x:c>
      <x:c r="I3624" s="27" t="str">
        <x:v>USACE waterway node topology; deployable terminal required</x:v>
      </x:c>
      <x:c r="J3624" s="27" t="str">
        <x:v>presence does not prove operability or capacity</x:v>
      </x:c>
    </x:row>
    <x:row r="3625" ht="54" hidden="0" customHeight="1">
      <x:c r="A3625" s="29" t="str">
        <x:v>SCA-30</x:v>
      </x:c>
      <x:c r="B3625" s="29" t="str">
        <x:v>SCA-07</x:v>
      </x:c>
      <x:c r="C3625" s="29" t="str">
        <x:v>Road</x:v>
      </x:c>
      <x:c r="D3625" s="29" t="str">
        <x:v>YES</x:v>
      </x:c>
      <x:c r="E3625" s="29" t="str">
        <x:v>YES</x:v>
      </x:c>
      <x:c r="F3625" s="62" t="n">
        <x:v>4569.861002833921</x:v>
      </x:c>
      <x:c r="G3625" s="62" t="n">
        <x:v>103.08838186970765</x:v>
      </x:c>
      <x:c r="H3625" s="29" t="str">
        <x:v>NO</x:v>
      </x:c>
      <x:c r="I3625" s="29" t="str">
        <x:v>NHPN-gated shared-boundary SCA path</x:v>
      </x:c>
      <x:c r="J3625" s="29" t="str">
        <x:v>presence does not prove operability or capacity</x:v>
      </x:c>
    </x:row>
    <x:row r="3626" ht="64.80000305175781" hidden="0" customHeight="1">
      <x:c r="A3626" s="27" t="str">
        <x:v>SCA-30</x:v>
      </x:c>
      <x:c r="B3626" s="27" t="str">
        <x:v>SCA-07</x:v>
      </x:c>
      <x:c r="C3626" s="27" t="str">
        <x:v>Rail</x:v>
      </x:c>
      <x:c r="D3626" s="27" t="str">
        <x:v>YES</x:v>
      </x:c>
      <x:c r="E3626" s="27" t="str">
        <x:v>YES</x:v>
      </x:c>
      <x:c r="F3626" s="61" t="n">
        <x:v>4848.026455180334</x:v>
      </x:c>
      <x:c r="G3626" s="61" t="n">
        <x:v>95.25752078829048</x:v>
      </x:c>
      <x:c r="H3626" s="27" t="str">
        <x:v>NO</x:v>
      </x:c>
      <x:c r="I3626" s="27" t="str">
        <x:v>NARN shared-node topology; deployable terminal required</x:v>
      </x:c>
      <x:c r="J3626" s="27" t="str">
        <x:v>presence does not prove operability or capacity</x:v>
      </x:c>
    </x:row>
    <x:row r="3627" ht="54" hidden="0" customHeight="1">
      <x:c r="A3627" s="29" t="str">
        <x:v>SCA-30</x:v>
      </x:c>
      <x:c r="B3627" s="29" t="str">
        <x:v>SCA-07</x:v>
      </x:c>
      <x:c r="C3627" s="29" t="str">
        <x:v>Air</x:v>
      </x:c>
      <x:c r="D3627" s="29" t="str">
        <x:v>YES</x:v>
      </x:c>
      <x:c r="E3627" s="29" t="str">
        <x:v>YES</x:v>
      </x:c>
      <x:c r="F3627" s="62" t="n">
        <x:v>3570.6017459144277</x:v>
      </x:c>
      <x:c r="G3627" s="62" t="n">
        <x:v>29.493233455252966</x:v>
      </x:c>
      <x:c r="H3627" s="29" t="str">
        <x:v>YES</x:v>
      </x:c>
      <x:c r="I3627" s="29" t="str">
        <x:v>primary-airport endpoints; great-circle screen</x:v>
      </x:c>
      <x:c r="J3627" s="29" t="str">
        <x:v>presence does not prove operability or capacity</x:v>
      </x:c>
    </x:row>
    <x:row r="3628" ht="64.80000305175781" hidden="0" customHeight="1">
      <x:c r="A3628" s="27" t="str">
        <x:v>SCA-30</x:v>
      </x:c>
      <x:c r="B3628" s="27" t="str">
        <x:v>SCA-07</x:v>
      </x:c>
      <x:c r="C3628" s="27" t="str">
        <x:v>Water</x:v>
      </x:c>
      <x:c r="D3628" s="27" t="str">
        <x:v>YES</x:v>
      </x:c>
      <x:c r="E3628" s="27" t="str">
        <x:v>YES</x:v>
      </x:c>
      <x:c r="F3628" s="61" t="n">
        <x:v>4463.252182393035</x:v>
      </x:c>
      <x:c r="G3628" s="61" t="n">
        <x:v>157.52149092551528</x:v>
      </x:c>
      <x:c r="H3628" s="27" t="str">
        <x:v>NO</x:v>
      </x:c>
      <x:c r="I3628" s="27" t="str">
        <x:v>observed water terminals; maritime great-circle screen</x:v>
      </x:c>
      <x:c r="J3628" s="27" t="str">
        <x:v>presence does not prove operability or capacity</x:v>
      </x:c>
    </x:row>
    <x:row r="3629" ht="54" hidden="0" customHeight="1">
      <x:c r="A3629" s="29" t="str">
        <x:v>SCA-30</x:v>
      </x:c>
      <x:c r="B3629" s="29" t="str">
        <x:v>SCA-08</x:v>
      </x:c>
      <x:c r="C3629" s="29" t="str">
        <x:v>Road</x:v>
      </x:c>
      <x:c r="D3629" s="29" t="str">
        <x:v>YES</x:v>
      </x:c>
      <x:c r="E3629" s="29" t="str">
        <x:v>YES</x:v>
      </x:c>
      <x:c r="F3629" s="62" t="n">
        <x:v>3902.1533791547436</x:v>
      </x:c>
      <x:c r="G3629" s="62" t="n">
        <x:v>90.94824325735897</x:v>
      </x:c>
      <x:c r="H3629" s="29" t="str">
        <x:v>NO</x:v>
      </x:c>
      <x:c r="I3629" s="29" t="str">
        <x:v>NHPN-gated shared-boundary SCA path</x:v>
      </x:c>
      <x:c r="J3629" s="29" t="str">
        <x:v>presence does not prove operability or capacity</x:v>
      </x:c>
    </x:row>
    <x:row r="3630" ht="64.80000305175781" hidden="0" customHeight="1">
      <x:c r="A3630" s="27" t="str">
        <x:v>SCA-30</x:v>
      </x:c>
      <x:c r="B3630" s="27" t="str">
        <x:v>SCA-08</x:v>
      </x:c>
      <x:c r="C3630" s="27" t="str">
        <x:v>Rail</x:v>
      </x:c>
      <x:c r="D3630" s="27" t="str">
        <x:v>YES</x:v>
      </x:c>
      <x:c r="E3630" s="27" t="str">
        <x:v>YES</x:v>
      </x:c>
      <x:c r="F3630" s="61" t="n">
        <x:v>4139.6757587554675</x:v>
      </x:c>
      <x:c r="G3630" s="61" t="n">
        <x:v>85.13822512507811</x:v>
      </x:c>
      <x:c r="H3630" s="27" t="str">
        <x:v>NO</x:v>
      </x:c>
      <x:c r="I3630" s="27" t="str">
        <x:v>NARN shared-node topology; deployable terminal required</x:v>
      </x:c>
      <x:c r="J3630" s="27" t="str">
        <x:v>presence does not prove operability or capacity</x:v>
      </x:c>
    </x:row>
    <x:row r="3631" ht="54" hidden="0" customHeight="1">
      <x:c r="A3631" s="29" t="str">
        <x:v>SCA-30</x:v>
      </x:c>
      <x:c r="B3631" s="29" t="str">
        <x:v>SCA-08</x:v>
      </x:c>
      <x:c r="C3631" s="29" t="str">
        <x:v>Air</x:v>
      </x:c>
      <x:c r="D3631" s="29" t="str">
        <x:v>YES</x:v>
      </x:c>
      <x:c r="E3631" s="29" t="str">
        <x:v>YES</x:v>
      </x:c>
      <x:c r="F3631" s="62" t="n">
        <x:v>3295.2087354100786</x:v>
      </x:c>
      <x:c r="G3631" s="62" t="n">
        <x:v>29.06955190063089</x:v>
      </x:c>
      <x:c r="H3631" s="29" t="str">
        <x:v>YES</x:v>
      </x:c>
      <x:c r="I3631" s="29" t="str">
        <x:v>primary-airport endpoints; great-circle screen</x:v>
      </x:c>
      <x:c r="J3631" s="29" t="str">
        <x:v>presence does not prove operability or capacity</x:v>
      </x:c>
    </x:row>
    <x:row r="3632" ht="75.5999984741211" hidden="0" customHeight="1">
      <x:c r="A3632" s="27" t="str">
        <x:v>SCA-30</x:v>
      </x:c>
      <x:c r="B3632" s="27" t="str">
        <x:v>SCA-08</x:v>
      </x:c>
      <x:c r="C3632" s="27" t="str">
        <x:v>Water</x:v>
      </x:c>
      <x:c r="D3632" s="27" t="str">
        <x:v>YES</x:v>
      </x:c>
      <x:c r="E3632" s="27" t="str">
        <x:v>YES</x:v>
      </x:c>
      <x:c r="F3632" s="61" t="n">
        <x:v>9607.07439830176</x:v>
      </x:c>
      <x:c r="G3632" s="61" t="n">
        <x:v>304.48783995147886</x:v>
      </x:c>
      <x:c r="H3632" s="27" t="str">
        <x:v>NO</x:v>
      </x:c>
      <x:c r="I3632" s="27" t="str">
        <x:v>USACE waterway node topology; deployable terminal required</x:v>
      </x:c>
      <x:c r="J3632" s="27" t="str">
        <x:v>presence does not prove operability or capacity</x:v>
      </x:c>
    </x:row>
    <x:row r="3633" ht="54" hidden="0" customHeight="1">
      <x:c r="A3633" s="29" t="str">
        <x:v>SCA-30</x:v>
      </x:c>
      <x:c r="B3633" s="29" t="str">
        <x:v>SCA-09</x:v>
      </x:c>
      <x:c r="C3633" s="29" t="str">
        <x:v>Road</x:v>
      </x:c>
      <x:c r="D3633" s="29" t="str">
        <x:v>YES</x:v>
      </x:c>
      <x:c r="E3633" s="29" t="str">
        <x:v>YES</x:v>
      </x:c>
      <x:c r="F3633" s="62" t="n">
        <x:v>4175.480079436838</x:v>
      </x:c>
      <x:c r="G3633" s="62" t="n">
        <x:v>95.91781962612434</x:v>
      </x:c>
      <x:c r="H3633" s="29" t="str">
        <x:v>NO</x:v>
      </x:c>
      <x:c r="I3633" s="29" t="str">
        <x:v>NHPN-gated shared-boundary SCA path</x:v>
      </x:c>
      <x:c r="J3633" s="29" t="str">
        <x:v>presence does not prove operability or capacity</x:v>
      </x:c>
    </x:row>
    <x:row r="3634" ht="64.80000305175781" hidden="0" customHeight="1">
      <x:c r="A3634" s="27" t="str">
        <x:v>SCA-30</x:v>
      </x:c>
      <x:c r="B3634" s="27" t="str">
        <x:v>SCA-09</x:v>
      </x:c>
      <x:c r="C3634" s="27" t="str">
        <x:v>Rail</x:v>
      </x:c>
      <x:c r="D3634" s="27" t="str">
        <x:v>YES</x:v>
      </x:c>
      <x:c r="E3634" s="27" t="str">
        <x:v>YES</x:v>
      </x:c>
      <x:c r="F3634" s="61" t="n">
        <x:v>4474.569533007479</x:v>
      </x:c>
      <x:c r="G3634" s="61" t="n">
        <x:v>89.92242190010684</x:v>
      </x:c>
      <x:c r="H3634" s="27" t="str">
        <x:v>NO</x:v>
      </x:c>
      <x:c r="I3634" s="27" t="str">
        <x:v>NARN shared-node topology; deployable terminal required</x:v>
      </x:c>
      <x:c r="J3634" s="27" t="str">
        <x:v>presence does not prove operability or capacity</x:v>
      </x:c>
    </x:row>
    <x:row r="3635" ht="54" hidden="0" customHeight="1">
      <x:c r="A3635" s="29" t="str">
        <x:v>SCA-30</x:v>
      </x:c>
      <x:c r="B3635" s="29" t="str">
        <x:v>SCA-09</x:v>
      </x:c>
      <x:c r="C3635" s="29" t="str">
        <x:v>Air</x:v>
      </x:c>
      <x:c r="D3635" s="29" t="str">
        <x:v>YES</x:v>
      </x:c>
      <x:c r="E3635" s="29" t="str">
        <x:v>YES</x:v>
      </x:c>
      <x:c r="F3635" s="62" t="n">
        <x:v>3409.040921517798</x:v>
      </x:c>
      <x:c r="G3635" s="62" t="n">
        <x:v>29.24467834079661</x:v>
      </x:c>
      <x:c r="H3635" s="29" t="str">
        <x:v>YES</x:v>
      </x:c>
      <x:c r="I3635" s="29" t="str">
        <x:v>primary-airport endpoints; great-circle screen</x:v>
      </x:c>
      <x:c r="J3635" s="29" t="str">
        <x:v>presence does not prove operability or capacity</x:v>
      </x:c>
    </x:row>
    <x:row r="3636" ht="54" hidden="0" customHeight="1">
      <x:c r="A3636" s="27" t="str">
        <x:v>SCA-30</x:v>
      </x:c>
      <x:c r="B3636" s="27" t="str">
        <x:v>SCA-09</x:v>
      </x:c>
      <x:c r="C3636" s="27" t="str">
        <x:v>Water</x:v>
      </x:c>
      <x:c r="D3636" s="27" t="str">
        <x:v>NO</x:v>
      </x:c>
      <x:c r="E3636" s="27" t="str">
        <x:v>NO</x:v>
      </x:c>
      <x:c r="F3636" s="61"/>
      <x:c r="G3636" s="61"/>
      <x:c r="H3636" s="27" t="str">
        <x:v>NO</x:v>
      </x:c>
      <x:c r="I3636" s="27" t="str">
        <x:v>no screened path</x:v>
      </x:c>
      <x:c r="J3636" s="27" t="str">
        <x:v>presence does not prove operability or capacity</x:v>
      </x:c>
    </x:row>
    <x:row r="3637" ht="54" hidden="0" customHeight="1">
      <x:c r="A3637" s="29" t="str">
        <x:v>SCA-30</x:v>
      </x:c>
      <x:c r="B3637" s="29" t="str">
        <x:v>SCA-10</x:v>
      </x:c>
      <x:c r="C3637" s="29" t="str">
        <x:v>Road</x:v>
      </x:c>
      <x:c r="D3637" s="29" t="str">
        <x:v>YES</x:v>
      </x:c>
      <x:c r="E3637" s="29" t="str">
        <x:v>YES</x:v>
      </x:c>
      <x:c r="F3637" s="62" t="n">
        <x:v>3755.661700224466</x:v>
      </x:c>
      <x:c r="G3637" s="62" t="n">
        <x:v>88.28475818589938</x:v>
      </x:c>
      <x:c r="H3637" s="29" t="str">
        <x:v>NO</x:v>
      </x:c>
      <x:c r="I3637" s="29" t="str">
        <x:v>NHPN-gated shared-boundary SCA path</x:v>
      </x:c>
      <x:c r="J3637" s="29" t="str">
        <x:v>presence does not prove operability or capacity</x:v>
      </x:c>
    </x:row>
    <x:row r="3638" ht="64.80000305175781" hidden="0" customHeight="1">
      <x:c r="A3638" s="27" t="str">
        <x:v>SCA-30</x:v>
      </x:c>
      <x:c r="B3638" s="27" t="str">
        <x:v>SCA-10</x:v>
      </x:c>
      <x:c r="C3638" s="27" t="str">
        <x:v>Rail</x:v>
      </x:c>
      <x:c r="D3638" s="27" t="str">
        <x:v>YES</x:v>
      </x:c>
      <x:c r="E3638" s="27" t="str">
        <x:v>YES</x:v>
      </x:c>
      <x:c r="F3638" s="61" t="n">
        <x:v>3984.2671950207387</x:v>
      </x:c>
      <x:c r="G3638" s="61" t="n">
        <x:v>82.91810278601055</x:v>
      </x:c>
      <x:c r="H3638" s="27" t="str">
        <x:v>NO</x:v>
      </x:c>
      <x:c r="I3638" s="27" t="str">
        <x:v>NARN shared-node topology; deployable terminal required</x:v>
      </x:c>
      <x:c r="J3638" s="27" t="str">
        <x:v>presence does not prove operability or capacity</x:v>
      </x:c>
    </x:row>
    <x:row r="3639" ht="54" hidden="0" customHeight="1">
      <x:c r="A3639" s="29" t="str">
        <x:v>SCA-30</x:v>
      </x:c>
      <x:c r="B3639" s="29" t="str">
        <x:v>SCA-10</x:v>
      </x:c>
      <x:c r="C3639" s="29" t="str">
        <x:v>Air</x:v>
      </x:c>
      <x:c r="D3639" s="29" t="str">
        <x:v>YES</x:v>
      </x:c>
      <x:c r="E3639" s="29" t="str">
        <x:v>YES</x:v>
      </x:c>
      <x:c r="F3639" s="62" t="n">
        <x:v>3064.2245715024187</x:v>
      </x:c>
      <x:c r="G3639" s="62" t="n">
        <x:v>28.71419164846526</x:v>
      </x:c>
      <x:c r="H3639" s="29" t="str">
        <x:v>YES</x:v>
      </x:c>
      <x:c r="I3639" s="29" t="str">
        <x:v>primary-airport endpoints; great-circle screen</x:v>
      </x:c>
      <x:c r="J3639" s="29" t="str">
        <x:v>presence does not prove operability or capacity</x:v>
      </x:c>
    </x:row>
    <x:row r="3640" ht="54" hidden="0" customHeight="1">
      <x:c r="A3640" s="27" t="str">
        <x:v>SCA-30</x:v>
      </x:c>
      <x:c r="B3640" s="27" t="str">
        <x:v>SCA-10</x:v>
      </x:c>
      <x:c r="C3640" s="27" t="str">
        <x:v>Water</x:v>
      </x:c>
      <x:c r="D3640" s="27" t="str">
        <x:v>NO</x:v>
      </x:c>
      <x:c r="E3640" s="27" t="str">
        <x:v>NO</x:v>
      </x:c>
      <x:c r="F3640" s="61"/>
      <x:c r="G3640" s="61"/>
      <x:c r="H3640" s="27" t="str">
        <x:v>NO</x:v>
      </x:c>
      <x:c r="I3640" s="27" t="str">
        <x:v>no screened path</x:v>
      </x:c>
      <x:c r="J3640" s="27" t="str">
        <x:v>presence does not prove operability or capacity</x:v>
      </x:c>
    </x:row>
    <x:row r="3641" ht="54" hidden="0" customHeight="1">
      <x:c r="A3641" s="29" t="str">
        <x:v>SCA-30</x:v>
      </x:c>
      <x:c r="B3641" s="29" t="str">
        <x:v>SCA-11</x:v>
      </x:c>
      <x:c r="C3641" s="29" t="str">
        <x:v>Road</x:v>
      </x:c>
      <x:c r="D3641" s="29" t="str">
        <x:v>YES</x:v>
      </x:c>
      <x:c r="E3641" s="29" t="str">
        <x:v>YES</x:v>
      </x:c>
      <x:c r="F3641" s="62" t="n">
        <x:v>3466.079585381701</x:v>
      </x:c>
      <x:c r="G3641" s="62" t="n">
        <x:v>83.01962882512183</x:v>
      </x:c>
      <x:c r="H3641" s="29" t="str">
        <x:v>NO</x:v>
      </x:c>
      <x:c r="I3641" s="29" t="str">
        <x:v>NHPN-gated shared-boundary SCA path</x:v>
      </x:c>
      <x:c r="J3641" s="29" t="str">
        <x:v>presence does not prove operability or capacity</x:v>
      </x:c>
    </x:row>
    <x:row r="3642" ht="64.80000305175781" hidden="0" customHeight="1">
      <x:c r="A3642" s="27" t="str">
        <x:v>SCA-30</x:v>
      </x:c>
      <x:c r="B3642" s="27" t="str">
        <x:v>SCA-11</x:v>
      </x:c>
      <x:c r="C3642" s="27" t="str">
        <x:v>Rail</x:v>
      </x:c>
      <x:c r="D3642" s="27" t="str">
        <x:v>YES</x:v>
      </x:c>
      <x:c r="E3642" s="27" t="str">
        <x:v>YES</x:v>
      </x:c>
      <x:c r="F3642" s="61" t="n">
        <x:v>3677.0583427527613</x:v>
      </x:c>
      <x:c r="G3642" s="61" t="n">
        <x:v>78.52940489646801</x:v>
      </x:c>
      <x:c r="H3642" s="27" t="str">
        <x:v>NO</x:v>
      </x:c>
      <x:c r="I3642" s="27" t="str">
        <x:v>NARN shared-node topology; deployable terminal required</x:v>
      </x:c>
      <x:c r="J3642" s="27" t="str">
        <x:v>presence does not prove operability or capacity</x:v>
      </x:c>
    </x:row>
    <x:row r="3643" ht="54" hidden="0" customHeight="1">
      <x:c r="A3643" s="29" t="str">
        <x:v>SCA-30</x:v>
      </x:c>
      <x:c r="B3643" s="29" t="str">
        <x:v>SCA-11</x:v>
      </x:c>
      <x:c r="C3643" s="29" t="str">
        <x:v>Air</x:v>
      </x:c>
      <x:c r="D3643" s="29" t="str">
        <x:v>YES</x:v>
      </x:c>
      <x:c r="E3643" s="29" t="str">
        <x:v>YES</x:v>
      </x:c>
      <x:c r="F3643" s="62" t="n">
        <x:v>2818.8879254582434</x:v>
      </x:c>
      <x:c r="G3643" s="62" t="n">
        <x:v>28.336750654551143</x:v>
      </x:c>
      <x:c r="H3643" s="29" t="str">
        <x:v>YES</x:v>
      </x:c>
      <x:c r="I3643" s="29" t="str">
        <x:v>primary-airport endpoints; great-circle screen</x:v>
      </x:c>
      <x:c r="J3643" s="29" t="str">
        <x:v>presence does not prove operability or capacity</x:v>
      </x:c>
    </x:row>
    <x:row r="3644" ht="54" hidden="0" customHeight="1">
      <x:c r="A3644" s="27" t="str">
        <x:v>SCA-30</x:v>
      </x:c>
      <x:c r="B3644" s="27" t="str">
        <x:v>SCA-11</x:v>
      </x:c>
      <x:c r="C3644" s="27" t="str">
        <x:v>Water</x:v>
      </x:c>
      <x:c r="D3644" s="27" t="str">
        <x:v>NO</x:v>
      </x:c>
      <x:c r="E3644" s="27" t="str">
        <x:v>NO</x:v>
      </x:c>
      <x:c r="F3644" s="61"/>
      <x:c r="G3644" s="61"/>
      <x:c r="H3644" s="27" t="str">
        <x:v>NO</x:v>
      </x:c>
      <x:c r="I3644" s="27" t="str">
        <x:v>no screened path</x:v>
      </x:c>
      <x:c r="J3644" s="27" t="str">
        <x:v>presence does not prove operability or capacity</x:v>
      </x:c>
    </x:row>
    <x:row r="3645" ht="54" hidden="0" customHeight="1">
      <x:c r="A3645" s="29" t="str">
        <x:v>SCA-30</x:v>
      </x:c>
      <x:c r="B3645" s="29" t="str">
        <x:v>SCA-12</x:v>
      </x:c>
      <x:c r="C3645" s="29" t="str">
        <x:v>Road</x:v>
      </x:c>
      <x:c r="D3645" s="29" t="str">
        <x:v>YES</x:v>
      </x:c>
      <x:c r="E3645" s="29" t="str">
        <x:v>YES</x:v>
      </x:c>
      <x:c r="F3645" s="62" t="n">
        <x:v>3079.403737978024</x:v>
      </x:c>
      <x:c r="G3645" s="62" t="n">
        <x:v>75.9891588723277</x:v>
      </x:c>
      <x:c r="H3645" s="29" t="str">
        <x:v>NO</x:v>
      </x:c>
      <x:c r="I3645" s="29" t="str">
        <x:v>NHPN-gated shared-boundary SCA path</x:v>
      </x:c>
      <x:c r="J3645" s="29" t="str">
        <x:v>presence does not prove operability or capacity</x:v>
      </x:c>
    </x:row>
    <x:row r="3646" ht="64.80000305175781" hidden="0" customHeight="1">
      <x:c r="A3646" s="27" t="str">
        <x:v>SCA-30</x:v>
      </x:c>
      <x:c r="B3646" s="27" t="str">
        <x:v>SCA-12</x:v>
      </x:c>
      <x:c r="C3646" s="27" t="str">
        <x:v>Rail</x:v>
      </x:c>
      <x:c r="D3646" s="27" t="str">
        <x:v>YES</x:v>
      </x:c>
      <x:c r="E3646" s="27" t="str">
        <x:v>YES</x:v>
      </x:c>
      <x:c r="F3646" s="61" t="n">
        <x:v>3266.845704637556</x:v>
      </x:c>
      <x:c r="G3646" s="61" t="n">
        <x:v>72.66922435196508</x:v>
      </x:c>
      <x:c r="H3646" s="27" t="str">
        <x:v>NO</x:v>
      </x:c>
      <x:c r="I3646" s="27" t="str">
        <x:v>NARN shared-node topology; deployable terminal required</x:v>
      </x:c>
      <x:c r="J3646" s="27" t="str">
        <x:v>presence does not prove operability or capacity</x:v>
      </x:c>
    </x:row>
    <x:row r="3647" ht="54" hidden="0" customHeight="1">
      <x:c r="A3647" s="29" t="str">
        <x:v>SCA-30</x:v>
      </x:c>
      <x:c r="B3647" s="29" t="str">
        <x:v>SCA-12</x:v>
      </x:c>
      <x:c r="C3647" s="29" t="str">
        <x:v>Air</x:v>
      </x:c>
      <x:c r="D3647" s="29" t="str">
        <x:v>YES</x:v>
      </x:c>
      <x:c r="E3647" s="29" t="str">
        <x:v>YES</x:v>
      </x:c>
      <x:c r="F3647" s="62" t="n">
        <x:v>2563.1123056253705</x:v>
      </x:c>
      <x:c r="G3647" s="62" t="n">
        <x:v>27.94324970096211</x:v>
      </x:c>
      <x:c r="H3647" s="29" t="str">
        <x:v>YES</x:v>
      </x:c>
      <x:c r="I3647" s="29" t="str">
        <x:v>primary-airport endpoints; great-circle screen</x:v>
      </x:c>
      <x:c r="J3647" s="29" t="str">
        <x:v>presence does not prove operability or capacity</x:v>
      </x:c>
    </x:row>
    <x:row r="3648" ht="54" hidden="0" customHeight="1">
      <x:c r="A3648" s="27" t="str">
        <x:v>SCA-30</x:v>
      </x:c>
      <x:c r="B3648" s="27" t="str">
        <x:v>SCA-12</x:v>
      </x:c>
      <x:c r="C3648" s="27" t="str">
        <x:v>Water</x:v>
      </x:c>
      <x:c r="D3648" s="27" t="str">
        <x:v>NO</x:v>
      </x:c>
      <x:c r="E3648" s="27" t="str">
        <x:v>NO</x:v>
      </x:c>
      <x:c r="F3648" s="61"/>
      <x:c r="G3648" s="61"/>
      <x:c r="H3648" s="27" t="str">
        <x:v>NO</x:v>
      </x:c>
      <x:c r="I3648" s="27" t="str">
        <x:v>no screened path</x:v>
      </x:c>
      <x:c r="J3648" s="27" t="str">
        <x:v>presence does not prove operability or capacity</x:v>
      </x:c>
    </x:row>
    <x:row r="3649" ht="54" hidden="0" customHeight="1">
      <x:c r="A3649" s="29" t="str">
        <x:v>SCA-30</x:v>
      </x:c>
      <x:c r="B3649" s="29" t="str">
        <x:v>SCA-13</x:v>
      </x:c>
      <x:c r="C3649" s="29" t="str">
        <x:v>Road</x:v>
      </x:c>
      <x:c r="D3649" s="29" t="str">
        <x:v>NO</x:v>
      </x:c>
      <x:c r="E3649" s="29" t="str">
        <x:v>NO</x:v>
      </x:c>
      <x:c r="F3649" s="62"/>
      <x:c r="G3649" s="62"/>
      <x:c r="H3649" s="29" t="str">
        <x:v>NO</x:v>
      </x:c>
      <x:c r="I3649" s="29" t="str">
        <x:v>no screened path</x:v>
      </x:c>
      <x:c r="J3649" s="29" t="str">
        <x:v>presence does not prove operability or capacity</x:v>
      </x:c>
    </x:row>
    <x:row r="3650" ht="64.80000305175781" hidden="0" customHeight="1">
      <x:c r="A3650" s="27" t="str">
        <x:v>SCA-30</x:v>
      </x:c>
      <x:c r="B3650" s="27" t="str">
        <x:v>SCA-13</x:v>
      </x:c>
      <x:c r="C3650" s="27" t="str">
        <x:v>Rail</x:v>
      </x:c>
      <x:c r="D3650" s="27" t="str">
        <x:v>YES</x:v>
      </x:c>
      <x:c r="E3650" s="27" t="str">
        <x:v>YES</x:v>
      </x:c>
      <x:c r="F3650" s="61" t="n">
        <x:v>3140.528495695671</x:v>
      </x:c>
      <x:c r="G3650" s="61" t="n">
        <x:v>70.86469279565245</x:v>
      </x:c>
      <x:c r="H3650" s="27" t="str">
        <x:v>YES</x:v>
      </x:c>
      <x:c r="I3650" s="27" t="str">
        <x:v>NARN shared-node topology; deployable terminal required</x:v>
      </x:c>
      <x:c r="J3650" s="27" t="str">
        <x:v>presence does not prove operability or capacity</x:v>
      </x:c>
    </x:row>
    <x:row r="3651" ht="54" hidden="0" customHeight="1">
      <x:c r="A3651" s="29" t="str">
        <x:v>SCA-30</x:v>
      </x:c>
      <x:c r="B3651" s="29" t="str">
        <x:v>SCA-13</x:v>
      </x:c>
      <x:c r="C3651" s="29" t="str">
        <x:v>Air</x:v>
      </x:c>
      <x:c r="D3651" s="29" t="str">
        <x:v>YES</x:v>
      </x:c>
      <x:c r="E3651" s="29" t="str">
        <x:v>YES</x:v>
      </x:c>
      <x:c r="F3651" s="62" t="n">
        <x:v>2429.1748333538253</x:v>
      </x:c>
      <x:c r="G3651" s="62" t="n">
        <x:v>27.737192051313578</x:v>
      </x:c>
      <x:c r="H3651" s="29" t="str">
        <x:v>YES</x:v>
      </x:c>
      <x:c r="I3651" s="29" t="str">
        <x:v>primary-airport endpoints; great-circle screen</x:v>
      </x:c>
      <x:c r="J3651" s="29" t="str">
        <x:v>presence does not prove operability or capacity</x:v>
      </x:c>
    </x:row>
    <x:row r="3652" ht="75.5999984741211" hidden="0" customHeight="1">
      <x:c r="A3652" s="27" t="str">
        <x:v>SCA-30</x:v>
      </x:c>
      <x:c r="B3652" s="27" t="str">
        <x:v>SCA-13</x:v>
      </x:c>
      <x:c r="C3652" s="27" t="str">
        <x:v>Water</x:v>
      </x:c>
      <x:c r="D3652" s="27" t="str">
        <x:v>YES</x:v>
      </x:c>
      <x:c r="E3652" s="27" t="str">
        <x:v>YES</x:v>
      </x:c>
      <x:c r="F3652" s="61" t="n">
        <x:v>3294.980716795458</x:v>
      </x:c>
      <x:c r="G3652" s="61" t="n">
        <x:v>124.14230619415595</x:v>
      </x:c>
      <x:c r="H3652" s="27" t="str">
        <x:v>NO</x:v>
      </x:c>
      <x:c r="I3652" s="27" t="str">
        <x:v>USACE waterway node topology; deployable terminal required</x:v>
      </x:c>
      <x:c r="J3652" s="27" t="str">
        <x:v>presence does not prove operability or capacity</x:v>
      </x:c>
    </x:row>
    <x:row r="3653" ht="54" hidden="0" customHeight="1">
      <x:c r="A3653" s="29" t="str">
        <x:v>SCA-30</x:v>
      </x:c>
      <x:c r="B3653" s="29" t="str">
        <x:v>SCA-14</x:v>
      </x:c>
      <x:c r="C3653" s="29" t="str">
        <x:v>Road</x:v>
      </x:c>
      <x:c r="D3653" s="29" t="str">
        <x:v>NO</x:v>
      </x:c>
      <x:c r="E3653" s="29" t="str">
        <x:v>NO</x:v>
      </x:c>
      <x:c r="F3653" s="62"/>
      <x:c r="G3653" s="62"/>
      <x:c r="H3653" s="29" t="str">
        <x:v>NO</x:v>
      </x:c>
      <x:c r="I3653" s="29" t="str">
        <x:v>no screened path</x:v>
      </x:c>
      <x:c r="J3653" s="29" t="str">
        <x:v>presence does not prove operability or capacity</x:v>
      </x:c>
    </x:row>
    <x:row r="3654" ht="64.80000305175781" hidden="0" customHeight="1">
      <x:c r="A3654" s="27" t="str">
        <x:v>SCA-30</x:v>
      </x:c>
      <x:c r="B3654" s="27" t="str">
        <x:v>SCA-14</x:v>
      </x:c>
      <x:c r="C3654" s="27" t="str">
        <x:v>Rail</x:v>
      </x:c>
      <x:c r="D3654" s="27" t="str">
        <x:v>YES</x:v>
      </x:c>
      <x:c r="E3654" s="27" t="str">
        <x:v>YES</x:v>
      </x:c>
      <x:c r="F3654" s="61" t="n">
        <x:v>3568.6581241713893</x:v>
      </x:c>
      <x:c r="G3654" s="61" t="n">
        <x:v>76.98083034530556</x:v>
      </x:c>
      <x:c r="H3654" s="27" t="str">
        <x:v>NO</x:v>
      </x:c>
      <x:c r="I3654" s="27" t="str">
        <x:v>NARN shared-node topology; deployable terminal required</x:v>
      </x:c>
      <x:c r="J3654" s="27" t="str">
        <x:v>presence does not prove operability or capacity</x:v>
      </x:c>
    </x:row>
    <x:row r="3655" ht="54" hidden="0" customHeight="1">
      <x:c r="A3655" s="29" t="str">
        <x:v>SCA-30</x:v>
      </x:c>
      <x:c r="B3655" s="29" t="str">
        <x:v>SCA-14</x:v>
      </x:c>
      <x:c r="C3655" s="29" t="str">
        <x:v>Air</x:v>
      </x:c>
      <x:c r="D3655" s="29" t="str">
        <x:v>YES</x:v>
      </x:c>
      <x:c r="E3655" s="29" t="str">
        <x:v>YES</x:v>
      </x:c>
      <x:c r="F3655" s="62" t="n">
        <x:v>2641.992435178393</x:v>
      </x:c>
      <x:c r="G3655" s="62" t="n">
        <x:v>28.064603746428297</x:v>
      </x:c>
      <x:c r="H3655" s="29" t="str">
        <x:v>YES</x:v>
      </x:c>
      <x:c r="I3655" s="29" t="str">
        <x:v>primary-airport endpoints; great-circle screen</x:v>
      </x:c>
      <x:c r="J3655" s="29" t="str">
        <x:v>presence does not prove operability or capacity</x:v>
      </x:c>
    </x:row>
    <x:row r="3656" ht="75.5999984741211" hidden="0" customHeight="1">
      <x:c r="A3656" s="27" t="str">
        <x:v>SCA-30</x:v>
      </x:c>
      <x:c r="B3656" s="27" t="str">
        <x:v>SCA-14</x:v>
      </x:c>
      <x:c r="C3656" s="27" t="str">
        <x:v>Water</x:v>
      </x:c>
      <x:c r="D3656" s="27" t="str">
        <x:v>YES</x:v>
      </x:c>
      <x:c r="E3656" s="27" t="str">
        <x:v>YES</x:v>
      </x:c>
      <x:c r="F3656" s="61" t="n">
        <x:v>3475.814160901437</x:v>
      </x:c>
      <x:c r="G3656" s="61" t="n">
        <x:v>129.30897602575533</x:v>
      </x:c>
      <x:c r="H3656" s="27" t="str">
        <x:v>NO</x:v>
      </x:c>
      <x:c r="I3656" s="27" t="str">
        <x:v>USACE waterway node topology; deployable terminal required</x:v>
      </x:c>
      <x:c r="J3656" s="27" t="str">
        <x:v>presence does not prove operability or capacity</x:v>
      </x:c>
    </x:row>
    <x:row r="3657" ht="54" hidden="0" customHeight="1">
      <x:c r="A3657" s="29" t="str">
        <x:v>SCA-30</x:v>
      </x:c>
      <x:c r="B3657" s="29" t="str">
        <x:v>SCA-15</x:v>
      </x:c>
      <x:c r="C3657" s="29" t="str">
        <x:v>Road</x:v>
      </x:c>
      <x:c r="D3657" s="29" t="str">
        <x:v>YES</x:v>
      </x:c>
      <x:c r="E3657" s="29" t="str">
        <x:v>YES</x:v>
      </x:c>
      <x:c r="F3657" s="62" t="n">
        <x:v>2560.7019169172636</x:v>
      </x:c>
      <x:c r="G3657" s="62" t="n">
        <x:v>66.55821667122297</x:v>
      </x:c>
      <x:c r="H3657" s="29" t="str">
        <x:v>YES</x:v>
      </x:c>
      <x:c r="I3657" s="29" t="str">
        <x:v>NHPN-gated shared-boundary SCA path</x:v>
      </x:c>
      <x:c r="J3657" s="29" t="str">
        <x:v>presence does not prove operability or capacity</x:v>
      </x:c>
    </x:row>
    <x:row r="3658" ht="64.80000305175781" hidden="0" customHeight="1">
      <x:c r="A3658" s="27" t="str">
        <x:v>SCA-30</x:v>
      </x:c>
      <x:c r="B3658" s="27" t="str">
        <x:v>SCA-15</x:v>
      </x:c>
      <x:c r="C3658" s="27" t="str">
        <x:v>Rail</x:v>
      </x:c>
      <x:c r="D3658" s="27" t="str">
        <x:v>YES</x:v>
      </x:c>
      <x:c r="E3658" s="27" t="str">
        <x:v>YES</x:v>
      </x:c>
      <x:c r="F3658" s="61" t="n">
        <x:v>2716.5707292513584</x:v>
      </x:c>
      <x:c r="G3658" s="61" t="n">
        <x:v>64.80815327501941</x:v>
      </x:c>
      <x:c r="H3658" s="27" t="str">
        <x:v>YES</x:v>
      </x:c>
      <x:c r="I3658" s="27" t="str">
        <x:v>NARN shared-node topology; deployable terminal required</x:v>
      </x:c>
      <x:c r="J3658" s="27" t="str">
        <x:v>presence does not prove operability or capacity</x:v>
      </x:c>
    </x:row>
    <x:row r="3659" ht="54" hidden="0" customHeight="1">
      <x:c r="A3659" s="29" t="str">
        <x:v>SCA-30</x:v>
      </x:c>
      <x:c r="B3659" s="29" t="str">
        <x:v>SCA-15</x:v>
      </x:c>
      <x:c r="C3659" s="29" t="str">
        <x:v>Air</x:v>
      </x:c>
      <x:c r="D3659" s="29" t="str">
        <x:v>YES</x:v>
      </x:c>
      <x:c r="E3659" s="29" t="str">
        <x:v>YES</x:v>
      </x:c>
      <x:c r="F3659" s="62" t="n">
        <x:v>2129.4705453172364</x:v>
      </x:c>
      <x:c r="G3659" s="62" t="n">
        <x:v>27.276108531257286</x:v>
      </x:c>
      <x:c r="H3659" s="29" t="str">
        <x:v>YES</x:v>
      </x:c>
      <x:c r="I3659" s="29" t="str">
        <x:v>primary-airport endpoints; great-circle screen</x:v>
      </x:c>
      <x:c r="J3659" s="29" t="str">
        <x:v>presence does not prove operability or capacity</x:v>
      </x:c>
    </x:row>
    <x:row r="3660" ht="75.5999984741211" hidden="0" customHeight="1">
      <x:c r="A3660" s="27" t="str">
        <x:v>SCA-30</x:v>
      </x:c>
      <x:c r="B3660" s="27" t="str">
        <x:v>SCA-15</x:v>
      </x:c>
      <x:c r="C3660" s="27" t="str">
        <x:v>Water</x:v>
      </x:c>
      <x:c r="D3660" s="27" t="str">
        <x:v>YES</x:v>
      </x:c>
      <x:c r="E3660" s="27" t="str">
        <x:v>YES</x:v>
      </x:c>
      <x:c r="F3660" s="61" t="n">
        <x:v>3158.052934048088</x:v>
      </x:c>
      <x:c r="G3660" s="61" t="n">
        <x:v>120.23008382994537</x:v>
      </x:c>
      <x:c r="H3660" s="27" t="str">
        <x:v>NO</x:v>
      </x:c>
      <x:c r="I3660" s="27" t="str">
        <x:v>USACE waterway node topology; deployable terminal required</x:v>
      </x:c>
      <x:c r="J3660" s="27" t="str">
        <x:v>presence does not prove operability or capacity</x:v>
      </x:c>
    </x:row>
    <x:row r="3661" ht="54" hidden="0" customHeight="1">
      <x:c r="A3661" s="29" t="str">
        <x:v>SCA-30</x:v>
      </x:c>
      <x:c r="B3661" s="29" t="str">
        <x:v>SCA-16</x:v>
      </x:c>
      <x:c r="C3661" s="29" t="str">
        <x:v>Road</x:v>
      </x:c>
      <x:c r="D3661" s="29" t="str">
        <x:v>YES</x:v>
      </x:c>
      <x:c r="E3661" s="29" t="str">
        <x:v>YES</x:v>
      </x:c>
      <x:c r="F3661" s="62" t="n">
        <x:v>2187.286495984923</x:v>
      </x:c>
      <x:c r="G3661" s="62" t="n">
        <x:v>59.768845381544054</x:v>
      </x:c>
      <x:c r="H3661" s="29" t="str">
        <x:v>YES</x:v>
      </x:c>
      <x:c r="I3661" s="29" t="str">
        <x:v>NHPN-gated shared-boundary SCA path</x:v>
      </x:c>
      <x:c r="J3661" s="29" t="str">
        <x:v>presence does not prove operability or capacity</x:v>
      </x:c>
    </x:row>
    <x:row r="3662" ht="64.80000305175781" hidden="0" customHeight="1">
      <x:c r="A3662" s="27" t="str">
        <x:v>SCA-30</x:v>
      </x:c>
      <x:c r="B3662" s="27" t="str">
        <x:v>SCA-16</x:v>
      </x:c>
      <x:c r="C3662" s="27" t="str">
        <x:v>Rail</x:v>
      </x:c>
      <x:c r="D3662" s="27" t="str">
        <x:v>YES</x:v>
      </x:c>
      <x:c r="E3662" s="27" t="str">
        <x:v>YES</x:v>
      </x:c>
      <x:c r="F3662" s="61" t="n">
        <x:v>2320.425674001397</x:v>
      </x:c>
      <x:c r="G3662" s="61" t="n">
        <x:v>59.148938200019956</x:v>
      </x:c>
      <x:c r="H3662" s="27" t="str">
        <x:v>YES</x:v>
      </x:c>
      <x:c r="I3662" s="27" t="str">
        <x:v>NARN shared-node topology; deployable terminal required</x:v>
      </x:c>
      <x:c r="J3662" s="27" t="str">
        <x:v>presence does not prove operability or capacity</x:v>
      </x:c>
    </x:row>
    <x:row r="3663" ht="54" hidden="0" customHeight="1">
      <x:c r="A3663" s="29" t="str">
        <x:v>SCA-30</x:v>
      </x:c>
      <x:c r="B3663" s="29" t="str">
        <x:v>SCA-16</x:v>
      </x:c>
      <x:c r="C3663" s="29" t="str">
        <x:v>Air</x:v>
      </x:c>
      <x:c r="D3663" s="29" t="str">
        <x:v>YES</x:v>
      </x:c>
      <x:c r="E3663" s="29" t="str">
        <x:v>YES</x:v>
      </x:c>
      <x:c r="F3663" s="62" t="n">
        <x:v>1860.1140048478358</x:v>
      </x:c>
      <x:c r="G3663" s="62" t="n">
        <x:v>26.861713853612056</x:v>
      </x:c>
      <x:c r="H3663" s="29" t="str">
        <x:v>YES</x:v>
      </x:c>
      <x:c r="I3663" s="29" t="str">
        <x:v>primary-airport endpoints; great-circle screen</x:v>
      </x:c>
      <x:c r="J3663" s="29" t="str">
        <x:v>presence does not prove operability or capacity</x:v>
      </x:c>
    </x:row>
    <x:row r="3664" ht="75.5999984741211" hidden="0" customHeight="1">
      <x:c r="A3664" s="27" t="str">
        <x:v>SCA-30</x:v>
      </x:c>
      <x:c r="B3664" s="27" t="str">
        <x:v>SCA-16</x:v>
      </x:c>
      <x:c r="C3664" s="27" t="str">
        <x:v>Water</x:v>
      </x:c>
      <x:c r="D3664" s="27" t="str">
        <x:v>YES</x:v>
      </x:c>
      <x:c r="E3664" s="27" t="str">
        <x:v>YES</x:v>
      </x:c>
      <x:c r="F3664" s="61" t="n">
        <x:v>2434.5449694440886</x:v>
      </x:c>
      <x:c r="G3664" s="61" t="n">
        <x:v>99.55842769840253</x:v>
      </x:c>
      <x:c r="H3664" s="27" t="str">
        <x:v>NO</x:v>
      </x:c>
      <x:c r="I3664" s="27" t="str">
        <x:v>USACE waterway node topology; deployable terminal required</x:v>
      </x:c>
      <x:c r="J3664" s="27" t="str">
        <x:v>presence does not prove operability or capacity</x:v>
      </x:c>
    </x:row>
    <x:row r="3665" ht="54" hidden="0" customHeight="1">
      <x:c r="A3665" s="29" t="str">
        <x:v>SCA-30</x:v>
      </x:c>
      <x:c r="B3665" s="29" t="str">
        <x:v>SCA-17</x:v>
      </x:c>
      <x:c r="C3665" s="29" t="str">
        <x:v>Road</x:v>
      </x:c>
      <x:c r="D3665" s="29" t="str">
        <x:v>YES</x:v>
      </x:c>
      <x:c r="E3665" s="29" t="str">
        <x:v>YES</x:v>
      </x:c>
      <x:c r="F3665" s="62" t="n">
        <x:v>2527.9985968004476</x:v>
      </x:c>
      <x:c r="G3665" s="62" t="n">
        <x:v>65.96361085091723</x:v>
      </x:c>
      <x:c r="H3665" s="29" t="str">
        <x:v>YES</x:v>
      </x:c>
      <x:c r="I3665" s="29" t="str">
        <x:v>NHPN-gated shared-boundary SCA path</x:v>
      </x:c>
      <x:c r="J3665" s="29" t="str">
        <x:v>presence does not prove operability or capacity</x:v>
      </x:c>
    </x:row>
    <x:row r="3666" ht="64.80000305175781" hidden="0" customHeight="1">
      <x:c r="A3666" s="27" t="str">
        <x:v>SCA-30</x:v>
      </x:c>
      <x:c r="B3666" s="27" t="str">
        <x:v>SCA-17</x:v>
      </x:c>
      <x:c r="C3666" s="27" t="str">
        <x:v>Rail</x:v>
      </x:c>
      <x:c r="D3666" s="27" t="str">
        <x:v>YES</x:v>
      </x:c>
      <x:c r="E3666" s="27" t="str">
        <x:v>YES</x:v>
      </x:c>
      <x:c r="F3666" s="61" t="n">
        <x:v>2681.8767722578664</x:v>
      </x:c>
      <x:c r="G3666" s="61" t="n">
        <x:v>64.31252531796952</x:v>
      </x:c>
      <x:c r="H3666" s="27" t="str">
        <x:v>YES</x:v>
      </x:c>
      <x:c r="I3666" s="27" t="str">
        <x:v>NARN shared-node topology; deployable terminal required</x:v>
      </x:c>
      <x:c r="J3666" s="27" t="str">
        <x:v>presence does not prove operability or capacity</x:v>
      </x:c>
    </x:row>
    <x:row r="3667" ht="54" hidden="0" customHeight="1">
      <x:c r="A3667" s="29" t="str">
        <x:v>SCA-30</x:v>
      </x:c>
      <x:c r="B3667" s="29" t="str">
        <x:v>SCA-17</x:v>
      </x:c>
      <x:c r="C3667" s="29" t="str">
        <x:v>Air</x:v>
      </x:c>
      <x:c r="D3667" s="29" t="str">
        <x:v>YES</x:v>
      </x:c>
      <x:c r="E3667" s="29" t="str">
        <x:v>YES</x:v>
      </x:c>
      <x:c r="F3667" s="62" t="n">
        <x:v>2125.6989463565073</x:v>
      </x:c>
      <x:c r="G3667" s="62" t="n">
        <x:v>27.270306071317705</x:v>
      </x:c>
      <x:c r="H3667" s="29" t="str">
        <x:v>YES</x:v>
      </x:c>
      <x:c r="I3667" s="29" t="str">
        <x:v>primary-airport endpoints; great-circle screen</x:v>
      </x:c>
      <x:c r="J3667" s="29" t="str">
        <x:v>presence does not prove operability or capacity</x:v>
      </x:c>
    </x:row>
    <x:row r="3668" ht="75.5999984741211" hidden="0" customHeight="1">
      <x:c r="A3668" s="27" t="str">
        <x:v>SCA-30</x:v>
      </x:c>
      <x:c r="B3668" s="27" t="str">
        <x:v>SCA-17</x:v>
      </x:c>
      <x:c r="C3668" s="27" t="str">
        <x:v>Water</x:v>
      </x:c>
      <x:c r="D3668" s="27" t="str">
        <x:v>YES</x:v>
      </x:c>
      <x:c r="E3668" s="27" t="str">
        <x:v>YES</x:v>
      </x:c>
      <x:c r="F3668" s="61" t="n">
        <x:v>2813.772351221368</x:v>
      </x:c>
      <x:c r="G3668" s="61" t="n">
        <x:v>110.39349574918194</x:v>
      </x:c>
      <x:c r="H3668" s="27" t="str">
        <x:v>NO</x:v>
      </x:c>
      <x:c r="I3668" s="27" t="str">
        <x:v>USACE waterway node topology; deployable terminal required</x:v>
      </x:c>
      <x:c r="J3668" s="27" t="str">
        <x:v>presence does not prove operability or capacity</x:v>
      </x:c>
    </x:row>
    <x:row r="3669" ht="54" hidden="0" customHeight="1">
      <x:c r="A3669" s="29" t="str">
        <x:v>SCA-30</x:v>
      </x:c>
      <x:c r="B3669" s="29" t="str">
        <x:v>SCA-18</x:v>
      </x:c>
      <x:c r="C3669" s="29" t="str">
        <x:v>Road</x:v>
      </x:c>
      <x:c r="D3669" s="29" t="str">
        <x:v>YES</x:v>
      </x:c>
      <x:c r="E3669" s="29" t="str">
        <x:v>YES</x:v>
      </x:c>
      <x:c r="F3669" s="62" t="n">
        <x:v>1998.2208117588066</x:v>
      </x:c>
      <x:c r="G3669" s="62" t="n">
        <x:v>56.331287486523756</x:v>
      </x:c>
      <x:c r="H3669" s="29" t="str">
        <x:v>YES</x:v>
      </x:c>
      <x:c r="I3669" s="29" t="str">
        <x:v>NHPN-gated shared-boundary SCA path</x:v>
      </x:c>
      <x:c r="J3669" s="29" t="str">
        <x:v>presence does not prove operability or capacity</x:v>
      </x:c>
    </x:row>
    <x:row r="3670" ht="64.80000305175781" hidden="0" customHeight="1">
      <x:c r="A3670" s="27" t="str">
        <x:v>SCA-30</x:v>
      </x:c>
      <x:c r="B3670" s="27" t="str">
        <x:v>SCA-18</x:v>
      </x:c>
      <x:c r="C3670" s="27" t="str">
        <x:v>Rail</x:v>
      </x:c>
      <x:c r="D3670" s="27" t="str">
        <x:v>YES</x:v>
      </x:c>
      <x:c r="E3670" s="27" t="str">
        <x:v>YES</x:v>
      </x:c>
      <x:c r="F3670" s="61" t="n">
        <x:v>2119.8516437789076</x:v>
      </x:c>
      <x:c r="G3670" s="61" t="n">
        <x:v>56.28359491112725</x:v>
      </x:c>
      <x:c r="H3670" s="27" t="str">
        <x:v>YES</x:v>
      </x:c>
      <x:c r="I3670" s="27" t="str">
        <x:v>NARN shared-node topology; deployable terminal required</x:v>
      </x:c>
      <x:c r="J3670" s="27" t="str">
        <x:v>presence does not prove operability or capacity</x:v>
      </x:c>
    </x:row>
    <x:row r="3671" ht="54" hidden="0" customHeight="1">
      <x:c r="A3671" s="29" t="str">
        <x:v>SCA-30</x:v>
      </x:c>
      <x:c r="B3671" s="29" t="str">
        <x:v>SCA-18</x:v>
      </x:c>
      <x:c r="C3671" s="29" t="str">
        <x:v>Air</x:v>
      </x:c>
      <x:c r="D3671" s="29" t="str">
        <x:v>YES</x:v>
      </x:c>
      <x:c r="E3671" s="29" t="str">
        <x:v>YES</x:v>
      </x:c>
      <x:c r="F3671" s="62" t="n">
        <x:v>1640.067536088698</x:v>
      </x:c>
      <x:c r="G3671" s="62" t="n">
        <x:v>26.523180824751844</x:v>
      </x:c>
      <x:c r="H3671" s="29" t="str">
        <x:v>YES</x:v>
      </x:c>
      <x:c r="I3671" s="29" t="str">
        <x:v>primary-airport endpoints; great-circle screen</x:v>
      </x:c>
      <x:c r="J3671" s="29" t="str">
        <x:v>presence does not prove operability or capacity</x:v>
      </x:c>
    </x:row>
    <x:row r="3672" ht="75.5999984741211" hidden="0" customHeight="1">
      <x:c r="A3672" s="27" t="str">
        <x:v>SCA-30</x:v>
      </x:c>
      <x:c r="B3672" s="27" t="str">
        <x:v>SCA-18</x:v>
      </x:c>
      <x:c r="C3672" s="27" t="str">
        <x:v>Water</x:v>
      </x:c>
      <x:c r="D3672" s="27" t="str">
        <x:v>YES</x:v>
      </x:c>
      <x:c r="E3672" s="27" t="str">
        <x:v>YES</x:v>
      </x:c>
      <x:c r="F3672" s="61" t="n">
        <x:v>2164.6472186023243</x:v>
      </x:c>
      <x:c r="G3672" s="61" t="n">
        <x:v>91.84706338863784</x:v>
      </x:c>
      <x:c r="H3672" s="27" t="str">
        <x:v>NO</x:v>
      </x:c>
      <x:c r="I3672" s="27" t="str">
        <x:v>USACE waterway node topology; deployable terminal required</x:v>
      </x:c>
      <x:c r="J3672" s="27" t="str">
        <x:v>presence does not prove operability or capacity</x:v>
      </x:c>
    </x:row>
    <x:row r="3673" ht="54" hidden="0" customHeight="1">
      <x:c r="A3673" s="29" t="str">
        <x:v>SCA-30</x:v>
      </x:c>
      <x:c r="B3673" s="29" t="str">
        <x:v>SCA-19</x:v>
      </x:c>
      <x:c r="C3673" s="29" t="str">
        <x:v>Road</x:v>
      </x:c>
      <x:c r="D3673" s="29" t="str">
        <x:v>YES</x:v>
      </x:c>
      <x:c r="E3673" s="29" t="str">
        <x:v>YES</x:v>
      </x:c>
      <x:c r="F3673" s="62" t="n">
        <x:v>1665.8013220559071</x:v>
      </x:c>
      <x:c r="G3673" s="62" t="n">
        <x:v>50.28729676465286</x:v>
      </x:c>
      <x:c r="H3673" s="29" t="str">
        <x:v>YES</x:v>
      </x:c>
      <x:c r="I3673" s="29" t="str">
        <x:v>NHPN-gated shared-boundary SCA path</x:v>
      </x:c>
      <x:c r="J3673" s="29" t="str">
        <x:v>presence does not prove operability or capacity</x:v>
      </x:c>
    </x:row>
    <x:row r="3674" ht="64.80000305175781" hidden="0" customHeight="1">
      <x:c r="A3674" s="27" t="str">
        <x:v>SCA-30</x:v>
      </x:c>
      <x:c r="B3674" s="27" t="str">
        <x:v>SCA-19</x:v>
      </x:c>
      <x:c r="C3674" s="27" t="str">
        <x:v>Rail</x:v>
      </x:c>
      <x:c r="D3674" s="27" t="str">
        <x:v>YES</x:v>
      </x:c>
      <x:c r="E3674" s="27" t="str">
        <x:v>YES</x:v>
      </x:c>
      <x:c r="F3674" s="61" t="n">
        <x:v>1767.1979242680063</x:v>
      </x:c>
      <x:c r="G3674" s="61" t="n">
        <x:v>51.245684632400085</x:v>
      </x:c>
      <x:c r="H3674" s="27" t="str">
        <x:v>YES</x:v>
      </x:c>
      <x:c r="I3674" s="27" t="str">
        <x:v>NARN shared-node topology; deployable terminal required</x:v>
      </x:c>
      <x:c r="J3674" s="27" t="str">
        <x:v>presence does not prove operability or capacity</x:v>
      </x:c>
    </x:row>
    <x:row r="3675" ht="54" hidden="0" customHeight="1">
      <x:c r="A3675" s="29" t="str">
        <x:v>SCA-30</x:v>
      </x:c>
      <x:c r="B3675" s="29" t="str">
        <x:v>SCA-19</x:v>
      </x:c>
      <x:c r="C3675" s="29" t="str">
        <x:v>Air</x:v>
      </x:c>
      <x:c r="D3675" s="29" t="str">
        <x:v>YES</x:v>
      </x:c>
      <x:c r="E3675" s="29" t="str">
        <x:v>YES</x:v>
      </x:c>
      <x:c r="F3675" s="62" t="n">
        <x:v>1408.879593440501</x:v>
      </x:c>
      <x:c r="G3675" s="62" t="n">
        <x:v>26.16750706683154</x:v>
      </x:c>
      <x:c r="H3675" s="29" t="str">
        <x:v>YES</x:v>
      </x:c>
      <x:c r="I3675" s="29" t="str">
        <x:v>primary-airport endpoints; great-circle screen</x:v>
      </x:c>
      <x:c r="J3675" s="29" t="str">
        <x:v>presence does not prove operability or capacity</x:v>
      </x:c>
    </x:row>
    <x:row r="3676" ht="75.5999984741211" hidden="0" customHeight="1">
      <x:c r="A3676" s="27" t="str">
        <x:v>SCA-30</x:v>
      </x:c>
      <x:c r="B3676" s="27" t="str">
        <x:v>SCA-19</x:v>
      </x:c>
      <x:c r="C3676" s="27" t="str">
        <x:v>Water</x:v>
      </x:c>
      <x:c r="D3676" s="27" t="str">
        <x:v>YES</x:v>
      </x:c>
      <x:c r="E3676" s="27" t="str">
        <x:v>YES</x:v>
      </x:c>
      <x:c r="F3676" s="61" t="n">
        <x:v>1854.1092975926622</x:v>
      </x:c>
      <x:c r="G3676" s="61" t="n">
        <x:v>82.97455135979035</x:v>
      </x:c>
      <x:c r="H3676" s="27" t="str">
        <x:v>NO</x:v>
      </x:c>
      <x:c r="I3676" s="27" t="str">
        <x:v>USACE waterway node topology; deployable terminal required</x:v>
      </x:c>
      <x:c r="J3676" s="27" t="str">
        <x:v>presence does not prove operability or capacity</x:v>
      </x:c>
    </x:row>
    <x:row r="3677" ht="54" hidden="0" customHeight="1">
      <x:c r="A3677" s="29" t="str">
        <x:v>SCA-30</x:v>
      </x:c>
      <x:c r="B3677" s="29" t="str">
        <x:v>SCA-20</x:v>
      </x:c>
      <x:c r="C3677" s="29" t="str">
        <x:v>Road</x:v>
      </x:c>
      <x:c r="D3677" s="29" t="str">
        <x:v>YES</x:v>
      </x:c>
      <x:c r="E3677" s="29" t="str">
        <x:v>YES</x:v>
      </x:c>
      <x:c r="F3677" s="62" t="n">
        <x:v>1837.7085722368142</x:v>
      </x:c>
      <x:c r="G3677" s="62" t="n">
        <x:v>53.41288313157844</x:v>
      </x:c>
      <x:c r="H3677" s="29" t="str">
        <x:v>YES</x:v>
      </x:c>
      <x:c r="I3677" s="29" t="str">
        <x:v>NHPN-gated shared-boundary SCA path</x:v>
      </x:c>
      <x:c r="J3677" s="29" t="str">
        <x:v>presence does not prove operability or capacity</x:v>
      </x:c>
    </x:row>
    <x:row r="3678" ht="64.80000305175781" hidden="0" customHeight="1">
      <x:c r="A3678" s="27" t="str">
        <x:v>SCA-30</x:v>
      </x:c>
      <x:c r="B3678" s="27" t="str">
        <x:v>SCA-20</x:v>
      </x:c>
      <x:c r="C3678" s="27" t="str">
        <x:v>Rail</x:v>
      </x:c>
      <x:c r="D3678" s="27" t="str">
        <x:v>YES</x:v>
      </x:c>
      <x:c r="E3678" s="27" t="str">
        <x:v>YES</x:v>
      </x:c>
      <x:c r="F3678" s="61" t="n">
        <x:v>1949.5690940251425</x:v>
      </x:c>
      <x:c r="G3678" s="61" t="n">
        <x:v>53.85098705750204</x:v>
      </x:c>
      <x:c r="H3678" s="27" t="str">
        <x:v>YES</x:v>
      </x:c>
      <x:c r="I3678" s="27" t="str">
        <x:v>NARN shared-node topology; deployable terminal required</x:v>
      </x:c>
      <x:c r="J3678" s="27" t="str">
        <x:v>presence does not prove operability or capacity</x:v>
      </x:c>
    </x:row>
    <x:row r="3679" ht="54" hidden="0" customHeight="1">
      <x:c r="A3679" s="29" t="str">
        <x:v>SCA-30</x:v>
      </x:c>
      <x:c r="B3679" s="29" t="str">
        <x:v>SCA-20</x:v>
      </x:c>
      <x:c r="C3679" s="29" t="str">
        <x:v>Air</x:v>
      </x:c>
      <x:c r="D3679" s="29" t="str">
        <x:v>YES</x:v>
      </x:c>
      <x:c r="E3679" s="29" t="str">
        <x:v>YES</x:v>
      </x:c>
      <x:c r="F3679" s="62" t="n">
        <x:v>1539.8641010871777</x:v>
      </x:c>
      <x:c r="G3679" s="62" t="n">
        <x:v>26.369021693980272</x:v>
      </x:c>
      <x:c r="H3679" s="29" t="str">
        <x:v>YES</x:v>
      </x:c>
      <x:c r="I3679" s="29" t="str">
        <x:v>primary-airport endpoints; great-circle screen</x:v>
      </x:c>
      <x:c r="J3679" s="29" t="str">
        <x:v>presence does not prove operability or capacity</x:v>
      </x:c>
    </x:row>
    <x:row r="3680" ht="75.5999984741211" hidden="0" customHeight="1">
      <x:c r="A3680" s="27" t="str">
        <x:v>SCA-30</x:v>
      </x:c>
      <x:c r="B3680" s="27" t="str">
        <x:v>SCA-20</x:v>
      </x:c>
      <x:c r="C3680" s="27" t="str">
        <x:v>Water</x:v>
      </x:c>
      <x:c r="D3680" s="27" t="str">
        <x:v>YES</x:v>
      </x:c>
      <x:c r="E3680" s="27" t="str">
        <x:v>YES</x:v>
      </x:c>
      <x:c r="F3680" s="61" t="n">
        <x:v>2045.4495412722804</x:v>
      </x:c>
      <x:c r="G3680" s="61" t="n">
        <x:v>88.4414154649223</x:v>
      </x:c>
      <x:c r="H3680" s="27" t="str">
        <x:v>NO</x:v>
      </x:c>
      <x:c r="I3680" s="27" t="str">
        <x:v>USACE waterway node topology; deployable terminal required</x:v>
      </x:c>
      <x:c r="J3680" s="27" t="str">
        <x:v>presence does not prove operability or capacity</x:v>
      </x:c>
    </x:row>
    <x:row r="3681" ht="54" hidden="0" customHeight="1">
      <x:c r="A3681" s="29" t="str">
        <x:v>SCA-30</x:v>
      </x:c>
      <x:c r="B3681" s="29" t="str">
        <x:v>SCA-21</x:v>
      </x:c>
      <x:c r="C3681" s="29" t="str">
        <x:v>Road</x:v>
      </x:c>
      <x:c r="D3681" s="29" t="str">
        <x:v>YES</x:v>
      </x:c>
      <x:c r="E3681" s="29" t="str">
        <x:v>YES</x:v>
      </x:c>
      <x:c r="F3681" s="62" t="n">
        <x:v>1356.6192656529417</x:v>
      </x:c>
      <x:c r="G3681" s="62" t="n">
        <x:v>44.66580483005349</x:v>
      </x:c>
      <x:c r="H3681" s="29" t="str">
        <x:v>YES</x:v>
      </x:c>
      <x:c r="I3681" s="29" t="str">
        <x:v>NHPN-gated shared-boundary SCA path</x:v>
      </x:c>
      <x:c r="J3681" s="29" t="str">
        <x:v>presence does not prove operability or capacity</x:v>
      </x:c>
    </x:row>
    <x:row r="3682" ht="64.80000305175781" hidden="0" customHeight="1">
      <x:c r="A3682" s="27" t="str">
        <x:v>SCA-30</x:v>
      </x:c>
      <x:c r="B3682" s="27" t="str">
        <x:v>SCA-21</x:v>
      </x:c>
      <x:c r="C3682" s="27" t="str">
        <x:v>Rail</x:v>
      </x:c>
      <x:c r="D3682" s="27" t="str">
        <x:v>YES</x:v>
      </x:c>
      <x:c r="E3682" s="27" t="str">
        <x:v>YES</x:v>
      </x:c>
      <x:c r="F3682" s="61" t="n">
        <x:v>1439.1960905187727</x:v>
      </x:c>
      <x:c r="G3682" s="61" t="n">
        <x:v>46.55994415026818</x:v>
      </x:c>
      <x:c r="H3682" s="27" t="str">
        <x:v>YES</x:v>
      </x:c>
      <x:c r="I3682" s="27" t="str">
        <x:v>NARN shared-node topology; deployable terminal required</x:v>
      </x:c>
      <x:c r="J3682" s="27" t="str">
        <x:v>presence does not prove operability or capacity</x:v>
      </x:c>
    </x:row>
    <x:row r="3683" ht="54" hidden="0" customHeight="1">
      <x:c r="A3683" s="29" t="str">
        <x:v>SCA-30</x:v>
      </x:c>
      <x:c r="B3683" s="29" t="str">
        <x:v>SCA-21</x:v>
      </x:c>
      <x:c r="C3683" s="29" t="str">
        <x:v>Air</x:v>
      </x:c>
      <x:c r="D3683" s="29" t="str">
        <x:v>YES</x:v>
      </x:c>
      <x:c r="E3683" s="29" t="str">
        <x:v>YES</x:v>
      </x:c>
      <x:c r="F3683" s="62" t="n">
        <x:v>1127.2963240646693</x:v>
      </x:c>
      <x:c r="G3683" s="62" t="n">
        <x:v>25.73430203702257</x:v>
      </x:c>
      <x:c r="H3683" s="29" t="str">
        <x:v>YES</x:v>
      </x:c>
      <x:c r="I3683" s="29" t="str">
        <x:v>primary-airport endpoints; great-circle screen</x:v>
      </x:c>
      <x:c r="J3683" s="29" t="str">
        <x:v>presence does not prove operability or capacity</x:v>
      </x:c>
    </x:row>
    <x:row r="3684" ht="75.5999984741211" hidden="0" customHeight="1">
      <x:c r="A3684" s="27" t="str">
        <x:v>SCA-30</x:v>
      </x:c>
      <x:c r="B3684" s="27" t="str">
        <x:v>SCA-21</x:v>
      </x:c>
      <x:c r="C3684" s="27" t="str">
        <x:v>Water</x:v>
      </x:c>
      <x:c r="D3684" s="27" t="str">
        <x:v>YES</x:v>
      </x:c>
      <x:c r="E3684" s="27" t="str">
        <x:v>YES</x:v>
      </x:c>
      <x:c r="F3684" s="61" t="n">
        <x:v>1509.9762261180567</x:v>
      </x:c>
      <x:c r="G3684" s="61" t="n">
        <x:v>73.14217788908734</x:v>
      </x:c>
      <x:c r="H3684" s="27" t="str">
        <x:v>NO</x:v>
      </x:c>
      <x:c r="I3684" s="27" t="str">
        <x:v>USACE waterway node topology; deployable terminal required</x:v>
      </x:c>
      <x:c r="J3684" s="27" t="str">
        <x:v>presence does not prove operability or capacity</x:v>
      </x:c>
    </x:row>
    <x:row r="3685" ht="54" hidden="0" customHeight="1">
      <x:c r="A3685" s="29" t="str">
        <x:v>SCA-30</x:v>
      </x:c>
      <x:c r="B3685" s="29" t="str">
        <x:v>SCA-22</x:v>
      </x:c>
      <x:c r="C3685" s="29" t="str">
        <x:v>Road</x:v>
      </x:c>
      <x:c r="D3685" s="29" t="str">
        <x:v>YES</x:v>
      </x:c>
      <x:c r="E3685" s="29" t="str">
        <x:v>YES</x:v>
      </x:c>
      <x:c r="F3685" s="62" t="n">
        <x:v>1108.2186911955782</x:v>
      </x:c>
      <x:c r="G3685" s="62" t="n">
        <x:v>40.14943074901051</x:v>
      </x:c>
      <x:c r="H3685" s="29" t="str">
        <x:v>YES</x:v>
      </x:c>
      <x:c r="I3685" s="29" t="str">
        <x:v>NHPN-gated shared-boundary SCA path</x:v>
      </x:c>
      <x:c r="J3685" s="29" t="str">
        <x:v>presence does not prove operability or capacity</x:v>
      </x:c>
    </x:row>
    <x:row r="3686" ht="64.80000305175781" hidden="0" customHeight="1">
      <x:c r="A3686" s="27" t="str">
        <x:v>SCA-30</x:v>
      </x:c>
      <x:c r="B3686" s="27" t="str">
        <x:v>SCA-22</x:v>
      </x:c>
      <x:c r="C3686" s="27" t="str">
        <x:v>Rail</x:v>
      </x:c>
      <x:c r="D3686" s="27" t="str">
        <x:v>YES</x:v>
      </x:c>
      <x:c r="E3686" s="27" t="str">
        <x:v>YES</x:v>
      </x:c>
      <x:c r="F3686" s="61" t="n">
        <x:v>1175.6754810944399</x:v>
      </x:c>
      <x:c r="G3686" s="61" t="n">
        <x:v>42.79536401563486</x:v>
      </x:c>
      <x:c r="H3686" s="27" t="str">
        <x:v>YES</x:v>
      </x:c>
      <x:c r="I3686" s="27" t="str">
        <x:v>NARN shared-node topology; deployable terminal required</x:v>
      </x:c>
      <x:c r="J3686" s="27" t="str">
        <x:v>presence does not prove operability or capacity</x:v>
      </x:c>
    </x:row>
    <x:row r="3687" ht="54" hidden="0" customHeight="1">
      <x:c r="A3687" s="29" t="str">
        <x:v>SCA-30</x:v>
      </x:c>
      <x:c r="B3687" s="29" t="str">
        <x:v>SCA-22</x:v>
      </x:c>
      <x:c r="C3687" s="29" t="str">
        <x:v>Air</x:v>
      </x:c>
      <x:c r="D3687" s="29" t="str">
        <x:v>YES</x:v>
      </x:c>
      <x:c r="E3687" s="29" t="str">
        <x:v>YES</x:v>
      </x:c>
      <x:c r="F3687" s="62" t="n">
        <x:v>954.1605883028462</x:v>
      </x:c>
      <x:c r="G3687" s="62" t="n">
        <x:v>25.467939366619763</x:v>
      </x:c>
      <x:c r="H3687" s="29" t="str">
        <x:v>YES</x:v>
      </x:c>
      <x:c r="I3687" s="29" t="str">
        <x:v>primary-airport endpoints; great-circle screen</x:v>
      </x:c>
      <x:c r="J3687" s="29" t="str">
        <x:v>presence does not prove operability or capacity</x:v>
      </x:c>
    </x:row>
    <x:row r="3688" ht="75.5999984741211" hidden="0" customHeight="1">
      <x:c r="A3688" s="27" t="str">
        <x:v>SCA-30</x:v>
      </x:c>
      <x:c r="B3688" s="27" t="str">
        <x:v>SCA-22</x:v>
      </x:c>
      <x:c r="C3688" s="27" t="str">
        <x:v>Water</x:v>
      </x:c>
      <x:c r="D3688" s="27" t="str">
        <x:v>YES</x:v>
      </x:c>
      <x:c r="E3688" s="27" t="str">
        <x:v>YES</x:v>
      </x:c>
      <x:c r="F3688" s="61" t="n">
        <x:v>1233.4955867220351</x:v>
      </x:c>
      <x:c r="G3688" s="61" t="n">
        <x:v>65.24273104920101</x:v>
      </x:c>
      <x:c r="H3688" s="27" t="str">
        <x:v>YES</x:v>
      </x:c>
      <x:c r="I3688" s="27" t="str">
        <x:v>USACE waterway node topology; deployable terminal required</x:v>
      </x:c>
      <x:c r="J3688" s="27" t="str">
        <x:v>presence does not prove operability or capacity</x:v>
      </x:c>
    </x:row>
    <x:row r="3689" ht="54" hidden="0" customHeight="1">
      <x:c r="A3689" s="29" t="str">
        <x:v>SCA-30</x:v>
      </x:c>
      <x:c r="B3689" s="29" t="str">
        <x:v>SCA-23</x:v>
      </x:c>
      <x:c r="C3689" s="29" t="str">
        <x:v>Road</x:v>
      </x:c>
      <x:c r="D3689" s="29" t="str">
        <x:v>YES</x:v>
      </x:c>
      <x:c r="E3689" s="29" t="str">
        <x:v>YES</x:v>
      </x:c>
      <x:c r="F3689" s="62" t="n">
        <x:v>1386.4842709681602</x:v>
      </x:c>
      <x:c r="G3689" s="62" t="n">
        <x:v>45.20880492669382</x:v>
      </x:c>
      <x:c r="H3689" s="29" t="str">
        <x:v>YES</x:v>
      </x:c>
      <x:c r="I3689" s="29" t="str">
        <x:v>NHPN-gated shared-boundary SCA path</x:v>
      </x:c>
      <x:c r="J3689" s="29" t="str">
        <x:v>presence does not prove operability or capacity</x:v>
      </x:c>
    </x:row>
    <x:row r="3690" ht="64.80000305175781" hidden="0" customHeight="1">
      <x:c r="A3690" s="27" t="str">
        <x:v>SCA-30</x:v>
      </x:c>
      <x:c r="B3690" s="27" t="str">
        <x:v>SCA-23</x:v>
      </x:c>
      <x:c r="C3690" s="27" t="str">
        <x:v>Rail</x:v>
      </x:c>
      <x:c r="D3690" s="27" t="str">
        <x:v>YES</x:v>
      </x:c>
      <x:c r="E3690" s="27" t="str">
        <x:v>YES</x:v>
      </x:c>
      <x:c r="F3690" s="61" t="n">
        <x:v>1470.8789657227437</x:v>
      </x:c>
      <x:c r="G3690" s="61" t="n">
        <x:v>47.01255665318205</x:v>
      </x:c>
      <x:c r="H3690" s="27" t="str">
        <x:v>YES</x:v>
      </x:c>
      <x:c r="I3690" s="27" t="str">
        <x:v>NARN shared-node topology; deployable terminal required</x:v>
      </x:c>
      <x:c r="J3690" s="27" t="str">
        <x:v>presence does not prove operability or capacity</x:v>
      </x:c>
    </x:row>
    <x:row r="3691" ht="54" hidden="0" customHeight="1">
      <x:c r="A3691" s="29" t="str">
        <x:v>SCA-30</x:v>
      </x:c>
      <x:c r="B3691" s="29" t="str">
        <x:v>SCA-23</x:v>
      </x:c>
      <x:c r="C3691" s="29" t="str">
        <x:v>Air</x:v>
      </x:c>
      <x:c r="D3691" s="29" t="str">
        <x:v>YES</x:v>
      </x:c>
      <x:c r="E3691" s="29" t="str">
        <x:v>YES</x:v>
      </x:c>
      <x:c r="F3691" s="62" t="n">
        <x:v>1159.1071762210101</x:v>
      </x:c>
      <x:c r="G3691" s="62" t="n">
        <x:v>25.783241809570786</x:v>
      </x:c>
      <x:c r="H3691" s="29" t="str">
        <x:v>YES</x:v>
      </x:c>
      <x:c r="I3691" s="29" t="str">
        <x:v>primary-airport endpoints; great-circle screen</x:v>
      </x:c>
      <x:c r="J3691" s="29" t="str">
        <x:v>presence does not prove operability or capacity</x:v>
      </x:c>
    </x:row>
    <x:row r="3692" ht="75.5999984741211" hidden="0" customHeight="1">
      <x:c r="A3692" s="27" t="str">
        <x:v>SCA-30</x:v>
      </x:c>
      <x:c r="B3692" s="27" t="str">
        <x:v>SCA-23</x:v>
      </x:c>
      <x:c r="C3692" s="27" t="str">
        <x:v>Water</x:v>
      </x:c>
      <x:c r="D3692" s="27" t="str">
        <x:v>YES</x:v>
      </x:c>
      <x:c r="E3692" s="27" t="str">
        <x:v>YES</x:v>
      </x:c>
      <x:c r="F3692" s="61" t="n">
        <x:v>2224.1031751178675</x:v>
      </x:c>
      <x:c r="G3692" s="61" t="n">
        <x:v>93.54580500336763</x:v>
      </x:c>
      <x:c r="H3692" s="27" t="str">
        <x:v>NO</x:v>
      </x:c>
      <x:c r="I3692" s="27" t="str">
        <x:v>USACE waterway node topology; deployable terminal required</x:v>
      </x:c>
      <x:c r="J3692" s="27" t="str">
        <x:v>presence does not prove operability or capacity</x:v>
      </x:c>
    </x:row>
    <x:row r="3693" ht="54" hidden="0" customHeight="1">
      <x:c r="A3693" s="29" t="str">
        <x:v>SCA-30</x:v>
      </x:c>
      <x:c r="B3693" s="29" t="str">
        <x:v>SCA-24</x:v>
      </x:c>
      <x:c r="C3693" s="29" t="str">
        <x:v>Road</x:v>
      </x:c>
      <x:c r="D3693" s="29" t="str">
        <x:v>YES</x:v>
      </x:c>
      <x:c r="E3693" s="29" t="str">
        <x:v>YES</x:v>
      </x:c>
      <x:c r="F3693" s="62" t="n">
        <x:v>959.3792124899044</x:v>
      </x:c>
      <x:c r="G3693" s="62" t="n">
        <x:v>37.443258408907354</x:v>
      </x:c>
      <x:c r="H3693" s="29" t="str">
        <x:v>YES</x:v>
      </x:c>
      <x:c r="I3693" s="29" t="str">
        <x:v>NHPN-gated shared-boundary SCA path</x:v>
      </x:c>
      <x:c r="J3693" s="29" t="str">
        <x:v>presence does not prove operability or capacity</x:v>
      </x:c>
    </x:row>
    <x:row r="3694" ht="64.80000305175781" hidden="0" customHeight="1">
      <x:c r="A3694" s="27" t="str">
        <x:v>SCA-30</x:v>
      </x:c>
      <x:c r="B3694" s="27" t="str">
        <x:v>SCA-24</x:v>
      </x:c>
      <x:c r="C3694" s="27" t="str">
        <x:v>Rail</x:v>
      </x:c>
      <x:c r="D3694" s="27" t="str">
        <x:v>YES</x:v>
      </x:c>
      <x:c r="E3694" s="27" t="str">
        <x:v>YES</x:v>
      </x:c>
      <x:c r="F3694" s="61" t="n">
        <x:v>1017.7762080327678</x:v>
      </x:c>
      <x:c r="G3694" s="61" t="n">
        <x:v>40.53966011475383</x:v>
      </x:c>
      <x:c r="H3694" s="27" t="str">
        <x:v>YES</x:v>
      </x:c>
      <x:c r="I3694" s="27" t="str">
        <x:v>NARN shared-node topology; deployable terminal required</x:v>
      </x:c>
      <x:c r="J3694" s="27" t="str">
        <x:v>presence does not prove operability or capacity</x:v>
      </x:c>
    </x:row>
    <x:row r="3695" ht="54" hidden="0" customHeight="1">
      <x:c r="A3695" s="29" t="str">
        <x:v>SCA-30</x:v>
      </x:c>
      <x:c r="B3695" s="29" t="str">
        <x:v>SCA-24</x:v>
      </x:c>
      <x:c r="C3695" s="29" t="str">
        <x:v>Air</x:v>
      </x:c>
      <x:c r="D3695" s="29" t="str">
        <x:v>YES</x:v>
      </x:c>
      <x:c r="E3695" s="29" t="str">
        <x:v>YES</x:v>
      </x:c>
      <x:c r="F3695" s="62" t="n">
        <x:v>789.0501586463954</x:v>
      </x:c>
      <x:c r="G3695" s="62" t="n">
        <x:v>25.213923320994454</x:v>
      </x:c>
      <x:c r="H3695" s="29" t="str">
        <x:v>YES</x:v>
      </x:c>
      <x:c r="I3695" s="29" t="str">
        <x:v>primary-airport endpoints; great-circle screen</x:v>
      </x:c>
      <x:c r="J3695" s="29" t="str">
        <x:v>presence does not prove operability or capacity</x:v>
      </x:c>
    </x:row>
    <x:row r="3696" ht="75.5999984741211" hidden="0" customHeight="1">
      <x:c r="A3696" s="27" t="str">
        <x:v>SCA-30</x:v>
      </x:c>
      <x:c r="B3696" s="27" t="str">
        <x:v>SCA-24</x:v>
      </x:c>
      <x:c r="C3696" s="27" t="str">
        <x:v>Water</x:v>
      </x:c>
      <x:c r="D3696" s="27" t="str">
        <x:v>YES</x:v>
      </x:c>
      <x:c r="E3696" s="27" t="str">
        <x:v>YES</x:v>
      </x:c>
      <x:c r="F3696" s="61" t="n">
        <x:v>1067.8307756409367</x:v>
      </x:c>
      <x:c r="G3696" s="61" t="n">
        <x:v>60.5094507325982</x:v>
      </x:c>
      <x:c r="H3696" s="27" t="str">
        <x:v>YES</x:v>
      </x:c>
      <x:c r="I3696" s="27" t="str">
        <x:v>USACE waterway node topology; deployable terminal required</x:v>
      </x:c>
      <x:c r="J3696" s="27" t="str">
        <x:v>presence does not prove operability or capacity</x:v>
      </x:c>
    </x:row>
    <x:row r="3697" ht="54" hidden="0" customHeight="1">
      <x:c r="A3697" s="29" t="str">
        <x:v>SCA-30</x:v>
      </x:c>
      <x:c r="B3697" s="29" t="str">
        <x:v>SCA-25</x:v>
      </x:c>
      <x:c r="C3697" s="29" t="str">
        <x:v>Road</x:v>
      </x:c>
      <x:c r="D3697" s="29" t="str">
        <x:v>YES</x:v>
      </x:c>
      <x:c r="E3697" s="29" t="str">
        <x:v>YES</x:v>
      </x:c>
      <x:c r="F3697" s="62" t="n">
        <x:v>1503.633516475519</x:v>
      </x:c>
      <x:c r="G3697" s="62" t="n">
        <x:v>47.3387912086458</x:v>
      </x:c>
      <x:c r="H3697" s="29" t="str">
        <x:v>YES</x:v>
      </x:c>
      <x:c r="I3697" s="29" t="str">
        <x:v>NHPN-gated shared-boundary SCA path</x:v>
      </x:c>
      <x:c r="J3697" s="29" t="str">
        <x:v>presence does not prove operability or capacity</x:v>
      </x:c>
    </x:row>
    <x:row r="3698" ht="64.80000305175781" hidden="0" customHeight="1">
      <x:c r="A3698" s="27" t="str">
        <x:v>SCA-30</x:v>
      </x:c>
      <x:c r="B3698" s="27" t="str">
        <x:v>SCA-25</x:v>
      </x:c>
      <x:c r="C3698" s="27" t="str">
        <x:v>Rail</x:v>
      </x:c>
      <x:c r="D3698" s="27" t="str">
        <x:v>YES</x:v>
      </x:c>
      <x:c r="E3698" s="27" t="str">
        <x:v>YES</x:v>
      </x:c>
      <x:c r="F3698" s="61" t="n">
        <x:v>1595.1590348696814</x:v>
      </x:c>
      <x:c r="G3698" s="61" t="n">
        <x:v>48.787986212424016</x:v>
      </x:c>
      <x:c r="H3698" s="27" t="str">
        <x:v>YES</x:v>
      </x:c>
      <x:c r="I3698" s="27" t="str">
        <x:v>NARN shared-node topology; deployable terminal required</x:v>
      </x:c>
      <x:c r="J3698" s="27" t="str">
        <x:v>presence does not prove operability or capacity</x:v>
      </x:c>
    </x:row>
    <x:row r="3699" ht="54" hidden="0" customHeight="1">
      <x:c r="A3699" s="29" t="str">
        <x:v>SCA-30</x:v>
      </x:c>
      <x:c r="B3699" s="29" t="str">
        <x:v>SCA-25</x:v>
      </x:c>
      <x:c r="C3699" s="29" t="str">
        <x:v>Air</x:v>
      </x:c>
      <x:c r="D3699" s="29" t="str">
        <x:v>YES</x:v>
      </x:c>
      <x:c r="E3699" s="29" t="str">
        <x:v>YES</x:v>
      </x:c>
      <x:c r="F3699" s="62" t="n">
        <x:v>1303.7240697792327</x:v>
      </x:c>
      <x:c r="G3699" s="62" t="n">
        <x:v>26.005729338121895</x:v>
      </x:c>
      <x:c r="H3699" s="29" t="str">
        <x:v>YES</x:v>
      </x:c>
      <x:c r="I3699" s="29" t="str">
        <x:v>primary-airport endpoints; great-circle screen</x:v>
      </x:c>
      <x:c r="J3699" s="29" t="str">
        <x:v>presence does not prove operability or capacity</x:v>
      </x:c>
    </x:row>
    <x:row r="3700" ht="75.5999984741211" hidden="0" customHeight="1">
      <x:c r="A3700" s="27" t="str">
        <x:v>SCA-30</x:v>
      </x:c>
      <x:c r="B3700" s="27" t="str">
        <x:v>SCA-25</x:v>
      </x:c>
      <x:c r="C3700" s="27" t="str">
        <x:v>Water</x:v>
      </x:c>
      <x:c r="D3700" s="27" t="str">
        <x:v>YES</x:v>
      </x:c>
      <x:c r="E3700" s="27" t="str">
        <x:v>YES</x:v>
      </x:c>
      <x:c r="F3700" s="61" t="n">
        <x:v>1673.6094792075348</x:v>
      </x:c>
      <x:c r="G3700" s="61" t="n">
        <x:v>77.81741369164385</x:v>
      </x:c>
      <x:c r="H3700" s="27" t="str">
        <x:v>NO</x:v>
      </x:c>
      <x:c r="I3700" s="27" t="str">
        <x:v>USACE waterway node topology; deployable terminal required</x:v>
      </x:c>
      <x:c r="J3700" s="27" t="str">
        <x:v>presence does not prove operability or capacity</x:v>
      </x:c>
    </x:row>
    <x:row r="3701" ht="54" hidden="0" customHeight="1">
      <x:c r="A3701" s="29" t="str">
        <x:v>SCA-30</x:v>
      </x:c>
      <x:c r="B3701" s="29" t="str">
        <x:v>SCA-26</x:v>
      </x:c>
      <x:c r="C3701" s="29" t="str">
        <x:v>Road</x:v>
      </x:c>
      <x:c r="D3701" s="29" t="str">
        <x:v>YES</x:v>
      </x:c>
      <x:c r="E3701" s="29" t="str">
        <x:v>YES</x:v>
      </x:c>
      <x:c r="F3701" s="62" t="n">
        <x:v>1832.1329722403414</x:v>
      </x:c>
      <x:c r="G3701" s="62" t="n">
        <x:v>53.311508586188026</x:v>
      </x:c>
      <x:c r="H3701" s="29" t="str">
        <x:v>YES</x:v>
      </x:c>
      <x:c r="I3701" s="29" t="str">
        <x:v>NHPN-gated shared-boundary SCA path</x:v>
      </x:c>
      <x:c r="J3701" s="29" t="str">
        <x:v>presence does not prove operability or capacity</x:v>
      </x:c>
    </x:row>
    <x:row r="3702" ht="64.80000305175781" hidden="0" customHeight="1">
      <x:c r="A3702" s="27" t="str">
        <x:v>SCA-30</x:v>
      </x:c>
      <x:c r="B3702" s="27" t="str">
        <x:v>SCA-26</x:v>
      </x:c>
      <x:c r="C3702" s="27" t="str">
        <x:v>Rail</x:v>
      </x:c>
      <x:c r="D3702" s="27" t="str">
        <x:v>YES</x:v>
      </x:c>
      <x:c r="E3702" s="27" t="str">
        <x:v>YES</x:v>
      </x:c>
      <x:c r="F3702" s="61" t="n">
        <x:v>1943.6541096810577</x:v>
      </x:c>
      <x:c r="G3702" s="61" t="n">
        <x:v>53.766487281157964</x:v>
      </x:c>
      <x:c r="H3702" s="27" t="str">
        <x:v>YES</x:v>
      </x:c>
      <x:c r="I3702" s="27" t="str">
        <x:v>NARN shared-node topology; deployable terminal required</x:v>
      </x:c>
      <x:c r="J3702" s="27" t="str">
        <x:v>presence does not prove operability or capacity</x:v>
      </x:c>
    </x:row>
    <x:row r="3703" ht="54" hidden="0" customHeight="1">
      <x:c r="A3703" s="29" t="str">
        <x:v>SCA-30</x:v>
      </x:c>
      <x:c r="B3703" s="29" t="str">
        <x:v>SCA-26</x:v>
      </x:c>
      <x:c r="C3703" s="29" t="str">
        <x:v>Air</x:v>
      </x:c>
      <x:c r="D3703" s="29" t="str">
        <x:v>YES</x:v>
      </x:c>
      <x:c r="E3703" s="29" t="str">
        <x:v>YES</x:v>
      </x:c>
      <x:c r="F3703" s="62" t="n">
        <x:v>1549.8668349843417</x:v>
      </x:c>
      <x:c r="G3703" s="62" t="n">
        <x:v>26.384410515360525</x:v>
      </x:c>
      <x:c r="H3703" s="29" t="str">
        <x:v>YES</x:v>
      </x:c>
      <x:c r="I3703" s="29" t="str">
        <x:v>primary-airport endpoints; great-circle screen</x:v>
      </x:c>
      <x:c r="J3703" s="29" t="str">
        <x:v>presence does not prove operability or capacity</x:v>
      </x:c>
    </x:row>
    <x:row r="3704" ht="75.5999984741211" hidden="0" customHeight="1">
      <x:c r="A3704" s="27" t="str">
        <x:v>SCA-30</x:v>
      </x:c>
      <x:c r="B3704" s="27" t="str">
        <x:v>SCA-26</x:v>
      </x:c>
      <x:c r="C3704" s="27" t="str">
        <x:v>Water</x:v>
      </x:c>
      <x:c r="D3704" s="27" t="str">
        <x:v>YES</x:v>
      </x:c>
      <x:c r="E3704" s="27" t="str">
        <x:v>YES</x:v>
      </x:c>
      <x:c r="F3704" s="61" t="n">
        <x:v>2039.2436560588148</x:v>
      </x:c>
      <x:c r="G3704" s="61" t="n">
        <x:v>88.26410445882328</x:v>
      </x:c>
      <x:c r="H3704" s="27" t="str">
        <x:v>NO</x:v>
      </x:c>
      <x:c r="I3704" s="27" t="str">
        <x:v>USACE waterway node topology; deployable terminal required</x:v>
      </x:c>
      <x:c r="J3704" s="27" t="str">
        <x:v>presence does not prove operability or capacity</x:v>
      </x:c>
    </x:row>
    <x:row r="3705" ht="54" hidden="0" customHeight="1">
      <x:c r="A3705" s="29" t="str">
        <x:v>SCA-30</x:v>
      </x:c>
      <x:c r="B3705" s="29" t="str">
        <x:v>SCA-27</x:v>
      </x:c>
      <x:c r="C3705" s="29" t="str">
        <x:v>Road</x:v>
      </x:c>
      <x:c r="D3705" s="29" t="str">
        <x:v>YES</x:v>
      </x:c>
      <x:c r="E3705" s="29" t="str">
        <x:v>YES</x:v>
      </x:c>
      <x:c r="F3705" s="62" t="n">
        <x:v>2111.76123635989</x:v>
      </x:c>
      <x:c r="G3705" s="62" t="n">
        <x:v>58.39565884290709</x:v>
      </x:c>
      <x:c r="H3705" s="29" t="str">
        <x:v>YES</x:v>
      </x:c>
      <x:c r="I3705" s="29" t="str">
        <x:v>NHPN-gated shared-boundary SCA path</x:v>
      </x:c>
      <x:c r="J3705" s="29" t="str">
        <x:v>presence does not prove operability or capacity</x:v>
      </x:c>
    </x:row>
    <x:row r="3706" ht="64.80000305175781" hidden="0" customHeight="1">
      <x:c r="A3706" s="27" t="str">
        <x:v>SCA-30</x:v>
      </x:c>
      <x:c r="B3706" s="27" t="str">
        <x:v>SCA-27</x:v>
      </x:c>
      <x:c r="C3706" s="27" t="str">
        <x:v>Rail</x:v>
      </x:c>
      <x:c r="D3706" s="27" t="str">
        <x:v>YES</x:v>
      </x:c>
      <x:c r="E3706" s="27" t="str">
        <x:v>YES</x:v>
      </x:c>
      <x:c r="F3706" s="61" t="n">
        <x:v>2240.3032246600574</x:v>
      </x:c>
      <x:c r="G3706" s="61" t="n">
        <x:v>58.00433178085796</x:v>
      </x:c>
      <x:c r="H3706" s="27" t="str">
        <x:v>YES</x:v>
      </x:c>
      <x:c r="I3706" s="27" t="str">
        <x:v>NARN shared-node topology; deployable terminal required</x:v>
      </x:c>
      <x:c r="J3706" s="27" t="str">
        <x:v>presence does not prove operability or capacity</x:v>
      </x:c>
    </x:row>
    <x:row r="3707" ht="54" hidden="0" customHeight="1">
      <x:c r="A3707" s="29" t="str">
        <x:v>SCA-30</x:v>
      </x:c>
      <x:c r="B3707" s="29" t="str">
        <x:v>SCA-27</x:v>
      </x:c>
      <x:c r="C3707" s="29" t="str">
        <x:v>Air</x:v>
      </x:c>
      <x:c r="D3707" s="29" t="str">
        <x:v>YES</x:v>
      </x:c>
      <x:c r="E3707" s="29" t="str">
        <x:v>YES</x:v>
      </x:c>
      <x:c r="F3707" s="62" t="n">
        <x:v>1694.2377397591135</x:v>
      </x:c>
      <x:c r="G3707" s="62" t="n">
        <x:v>26.606519599629404</x:v>
      </x:c>
      <x:c r="H3707" s="29" t="str">
        <x:v>YES</x:v>
      </x:c>
      <x:c r="I3707" s="29" t="str">
        <x:v>primary-airport endpoints; great-circle screen</x:v>
      </x:c>
      <x:c r="J3707" s="29" t="str">
        <x:v>presence does not prove operability or capacity</x:v>
      </x:c>
    </x:row>
    <x:row r="3708" ht="75.5999984741211" hidden="0" customHeight="1">
      <x:c r="A3708" s="27" t="str">
        <x:v>SCA-30</x:v>
      </x:c>
      <x:c r="B3708" s="27" t="str">
        <x:v>SCA-27</x:v>
      </x:c>
      <x:c r="C3708" s="27" t="str">
        <x:v>Water</x:v>
      </x:c>
      <x:c r="D3708" s="27" t="str">
        <x:v>YES</x:v>
      </x:c>
      <x:c r="E3708" s="27" t="str">
        <x:v>YES</x:v>
      </x:c>
      <x:c r="F3708" s="61" t="n">
        <x:v>2228.083864562651</x:v>
      </x:c>
      <x:c r="G3708" s="61" t="n">
        <x:v>93.6595389875043</x:v>
      </x:c>
      <x:c r="H3708" s="27" t="str">
        <x:v>NO</x:v>
      </x:c>
      <x:c r="I3708" s="27" t="str">
        <x:v>USACE waterway node topology; deployable terminal required</x:v>
      </x:c>
      <x:c r="J3708" s="27" t="str">
        <x:v>presence does not prove operability or capacity</x:v>
      </x:c>
    </x:row>
    <x:row r="3709" ht="54" hidden="0" customHeight="1">
      <x:c r="A3709" s="29" t="str">
        <x:v>SCA-30</x:v>
      </x:c>
      <x:c r="B3709" s="29" t="str">
        <x:v>SCA-28</x:v>
      </x:c>
      <x:c r="C3709" s="29" t="str">
        <x:v>Road</x:v>
      </x:c>
      <x:c r="D3709" s="29" t="str">
        <x:v>YES</x:v>
      </x:c>
      <x:c r="E3709" s="29" t="str">
        <x:v>YES</x:v>
      </x:c>
      <x:c r="F3709" s="62" t="n">
        <x:v>463.56371593124004</x:v>
      </x:c>
      <x:c r="G3709" s="62" t="n">
        <x:v>28.42843119874982</x:v>
      </x:c>
      <x:c r="H3709" s="29" t="str">
        <x:v>YES</x:v>
      </x:c>
      <x:c r="I3709" s="29" t="str">
        <x:v>NHPN-gated shared-boundary SCA path</x:v>
      </x:c>
      <x:c r="J3709" s="29" t="str">
        <x:v>presence does not prove operability or capacity</x:v>
      </x:c>
    </x:row>
    <x:row r="3710" ht="64.80000305175781" hidden="0" customHeight="1">
      <x:c r="A3710" s="27" t="str">
        <x:v>SCA-30</x:v>
      </x:c>
      <x:c r="B3710" s="27" t="str">
        <x:v>SCA-28</x:v>
      </x:c>
      <x:c r="C3710" s="27" t="str">
        <x:v>Rail</x:v>
      </x:c>
      <x:c r="D3710" s="27" t="str">
        <x:v>YES</x:v>
      </x:c>
      <x:c r="E3710" s="27" t="str">
        <x:v>YES</x:v>
      </x:c>
      <x:c r="F3710" s="61" t="n">
        <x:v>491.78063777053296</x:v>
      </x:c>
      <x:c r="G3710" s="61" t="n">
        <x:v>33.025437682436184</x:v>
      </x:c>
      <x:c r="H3710" s="27" t="str">
        <x:v>YES</x:v>
      </x:c>
      <x:c r="I3710" s="27" t="str">
        <x:v>NARN shared-node topology; deployable terminal required</x:v>
      </x:c>
      <x:c r="J3710" s="27" t="str">
        <x:v>presence does not prove operability or capacity</x:v>
      </x:c>
    </x:row>
    <x:row r="3711" ht="54" hidden="0" customHeight="1">
      <x:c r="A3711" s="29" t="str">
        <x:v>SCA-30</x:v>
      </x:c>
      <x:c r="B3711" s="29" t="str">
        <x:v>SCA-28</x:v>
      </x:c>
      <x:c r="C3711" s="29" t="str">
        <x:v>Air</x:v>
      </x:c>
      <x:c r="D3711" s="29" t="str">
        <x:v>YES</x:v>
      </x:c>
      <x:c r="E3711" s="29" t="str">
        <x:v>YES</x:v>
      </x:c>
      <x:c r="F3711" s="62" t="n">
        <x:v>403.09888341846965</x:v>
      </x:c>
      <x:c r="G3711" s="62" t="n">
        <x:v>24.62015212833611</x:v>
      </x:c>
      <x:c r="H3711" s="29" t="str">
        <x:v>YES</x:v>
      </x:c>
      <x:c r="I3711" s="29" t="str">
        <x:v>primary-airport endpoints; great-circle screen</x:v>
      </x:c>
      <x:c r="J3711" s="29" t="str">
        <x:v>presence does not prove operability or capacity</x:v>
      </x:c>
    </x:row>
    <x:row r="3712" ht="75.5999984741211" hidden="0" customHeight="1">
      <x:c r="A3712" s="27" t="str">
        <x:v>SCA-30</x:v>
      </x:c>
      <x:c r="B3712" s="27" t="str">
        <x:v>SCA-28</x:v>
      </x:c>
      <x:c r="C3712" s="27" t="str">
        <x:v>Water</x:v>
      </x:c>
      <x:c r="D3712" s="27" t="str">
        <x:v>YES</x:v>
      </x:c>
      <x:c r="E3712" s="27" t="str">
        <x:v>YES</x:v>
      </x:c>
      <x:c r="F3712" s="61" t="n">
        <x:v>515.9665707756411</x:v>
      </x:c>
      <x:c r="G3712" s="61" t="n">
        <x:v>44.74190202216118</x:v>
      </x:c>
      <x:c r="H3712" s="27" t="str">
        <x:v>YES</x:v>
      </x:c>
      <x:c r="I3712" s="27" t="str">
        <x:v>USACE waterway node topology; deployable terminal required</x:v>
      </x:c>
      <x:c r="J3712" s="27" t="str">
        <x:v>presence does not prove operability or capacity</x:v>
      </x:c>
    </x:row>
    <x:row r="3713" ht="54" hidden="0" customHeight="1">
      <x:c r="A3713" s="29" t="str">
        <x:v>SCA-30</x:v>
      </x:c>
      <x:c r="B3713" s="29" t="str">
        <x:v>SCA-29</x:v>
      </x:c>
      <x:c r="C3713" s="29" t="str">
        <x:v>Road</x:v>
      </x:c>
      <x:c r="D3713" s="29" t="str">
        <x:v>YES</x:v>
      </x:c>
      <x:c r="E3713" s="29" t="str">
        <x:v>YES</x:v>
      </x:c>
      <x:c r="F3713" s="62" t="n">
        <x:v>751.0293219451112</x:v>
      </x:c>
      <x:c r="G3713" s="62" t="n">
        <x:v>33.6550785808202</x:v>
      </x:c>
      <x:c r="H3713" s="29" t="str">
        <x:v>YES</x:v>
      </x:c>
      <x:c r="I3713" s="29" t="str">
        <x:v>NHPN-gated shared-boundary SCA path</x:v>
      </x:c>
      <x:c r="J3713" s="29" t="str">
        <x:v>presence does not prove operability or capacity</x:v>
      </x:c>
    </x:row>
    <x:row r="3714" ht="64.80000305175781" hidden="0" customHeight="1">
      <x:c r="A3714" s="27" t="str">
        <x:v>SCA-30</x:v>
      </x:c>
      <x:c r="B3714" s="27" t="str">
        <x:v>SCA-29</x:v>
      </x:c>
      <x:c r="C3714" s="27" t="str">
        <x:v>Rail</x:v>
      </x:c>
      <x:c r="D3714" s="27" t="str">
        <x:v>YES</x:v>
      </x:c>
      <x:c r="E3714" s="27" t="str">
        <x:v>YES</x:v>
      </x:c>
      <x:c r="F3714" s="61" t="n">
        <x:v>796.7441502374221</x:v>
      </x:c>
      <x:c r="G3714" s="61" t="n">
        <x:v>37.38205928910603</x:v>
      </x:c>
      <x:c r="H3714" s="27" t="str">
        <x:v>YES</x:v>
      </x:c>
      <x:c r="I3714" s="27" t="str">
        <x:v>NARN shared-node topology; deployable terminal required</x:v>
      </x:c>
      <x:c r="J3714" s="27" t="str">
        <x:v>presence does not prove operability or capacity</x:v>
      </x:c>
    </x:row>
    <x:row r="3715" ht="54" hidden="0" customHeight="1">
      <x:c r="A3715" s="29" t="str">
        <x:v>SCA-30</x:v>
      </x:c>
      <x:c r="B3715" s="29" t="str">
        <x:v>SCA-29</x:v>
      </x:c>
      <x:c r="C3715" s="29" t="str">
        <x:v>Air</x:v>
      </x:c>
      <x:c r="D3715" s="29" t="str">
        <x:v>YES</x:v>
      </x:c>
      <x:c r="E3715" s="29" t="str">
        <x:v>YES</x:v>
      </x:c>
      <x:c r="F3715" s="62" t="n">
        <x:v>653.0689756044444</x:v>
      </x:c>
      <x:c r="G3715" s="62" t="n">
        <x:v>25.004721500929914</x:v>
      </x:c>
      <x:c r="H3715" s="29" t="str">
        <x:v>YES</x:v>
      </x:c>
      <x:c r="I3715" s="29" t="str">
        <x:v>primary-airport endpoints; great-circle screen</x:v>
      </x:c>
      <x:c r="J3715" s="29" t="str">
        <x:v>presence does not prove operability or capacity</x:v>
      </x:c>
    </x:row>
    <x:row r="3716" ht="75.5999984741211" hidden="0" customHeight="1">
      <x:c r="A3716" s="27" t="str">
        <x:v>SCA-30</x:v>
      </x:c>
      <x:c r="B3716" s="27" t="str">
        <x:v>SCA-29</x:v>
      </x:c>
      <x:c r="C3716" s="27" t="str">
        <x:v>Water</x:v>
      </x:c>
      <x:c r="D3716" s="27" t="str">
        <x:v>YES</x:v>
      </x:c>
      <x:c r="E3716" s="27" t="str">
        <x:v>YES</x:v>
      </x:c>
      <x:c r="F3716" s="61" t="n">
        <x:v>835.9282887736889</x:v>
      </x:c>
      <x:c r="G3716" s="61" t="n">
        <x:v>53.883665393533974</x:v>
      </x:c>
      <x:c r="H3716" s="27" t="str">
        <x:v>YES</x:v>
      </x:c>
      <x:c r="I3716" s="27" t="str">
        <x:v>USACE waterway node topology; deployable terminal required</x:v>
      </x:c>
      <x:c r="J3716" s="27" t="str">
        <x:v>presence does not prove operability or capacity</x:v>
      </x:c>
    </x:row>
    <x:row r="3717" ht="54" hidden="0" customHeight="1">
      <x:c r="A3717" s="29" t="str">
        <x:v>SCA-30</x:v>
      </x:c>
      <x:c r="B3717" s="29" t="str">
        <x:v>SCA-31</x:v>
      </x:c>
      <x:c r="C3717" s="29" t="str">
        <x:v>Road</x:v>
      </x:c>
      <x:c r="D3717" s="29" t="str">
        <x:v>YES</x:v>
      </x:c>
      <x:c r="E3717" s="29" t="str">
        <x:v>YES</x:v>
      </x:c>
      <x:c r="F3717" s="62" t="n">
        <x:v>393.0821451865061</x:v>
      </x:c>
      <x:c r="G3717" s="62" t="n">
        <x:v>27.14694809430011</x:v>
      </x:c>
      <x:c r="H3717" s="29" t="str">
        <x:v>YES</x:v>
      </x:c>
      <x:c r="I3717" s="29" t="str">
        <x:v>NHPN-gated shared-boundary SCA path</x:v>
      </x:c>
      <x:c r="J3717" s="29" t="str">
        <x:v>presence does not prove operability or capacity</x:v>
      </x:c>
    </x:row>
    <x:row r="3718" ht="64.80000305175781" hidden="0" customHeight="1">
      <x:c r="A3718" s="27" t="str">
        <x:v>SCA-30</x:v>
      </x:c>
      <x:c r="B3718" s="27" t="str">
        <x:v>SCA-31</x:v>
      </x:c>
      <x:c r="C3718" s="27" t="str">
        <x:v>Rail</x:v>
      </x:c>
      <x:c r="D3718" s="27" t="str">
        <x:v>YES</x:v>
      </x:c>
      <x:c r="E3718" s="27" t="str">
        <x:v>YES</x:v>
      </x:c>
      <x:c r="F3718" s="61" t="n">
        <x:v>417.00888445872795</x:v>
      </x:c>
      <x:c r="G3718" s="61" t="n">
        <x:v>31.95726977798183</x:v>
      </x:c>
      <x:c r="H3718" s="27" t="str">
        <x:v>YES</x:v>
      </x:c>
      <x:c r="I3718" s="27" t="str">
        <x:v>NARN shared-node topology; deployable terminal required</x:v>
      </x:c>
      <x:c r="J3718" s="27" t="str">
        <x:v>presence does not prove operability or capacity</x:v>
      </x:c>
    </x:row>
    <x:row r="3719" ht="54" hidden="0" customHeight="1">
      <x:c r="A3719" s="29" t="str">
        <x:v>SCA-30</x:v>
      </x:c>
      <x:c r="B3719" s="29" t="str">
        <x:v>SCA-31</x:v>
      </x:c>
      <x:c r="C3719" s="29" t="str">
        <x:v>Air</x:v>
      </x:c>
      <x:c r="D3719" s="29" t="str">
        <x:v>YES</x:v>
      </x:c>
      <x:c r="E3719" s="29" t="str">
        <x:v>YES</x:v>
      </x:c>
      <x:c r="F3719" s="62" t="n">
        <x:v>341.8105610317442</x:v>
      </x:c>
      <x:c r="G3719" s="62" t="n">
        <x:v>24.5258624015873</x:v>
      </x:c>
      <x:c r="H3719" s="29" t="str">
        <x:v>YES</x:v>
      </x:c>
      <x:c r="I3719" s="29" t="str">
        <x:v>primary-airport endpoints; great-circle screen</x:v>
      </x:c>
      <x:c r="J3719" s="29" t="str">
        <x:v>presence does not prove operability or capacity</x:v>
      </x:c>
    </x:row>
    <x:row r="3720" ht="75.5999984741211" hidden="0" customHeight="1">
      <x:c r="A3720" s="27" t="str">
        <x:v>SCA-30</x:v>
      </x:c>
      <x:c r="B3720" s="27" t="str">
        <x:v>SCA-31</x:v>
      </x:c>
      <x:c r="C3720" s="27" t="str">
        <x:v>Water</x:v>
      </x:c>
      <x:c r="D3720" s="27" t="str">
        <x:v>YES</x:v>
      </x:c>
      <x:c r="E3720" s="27" t="str">
        <x:v>YES</x:v>
      </x:c>
      <x:c r="F3720" s="61" t="n">
        <x:v>437.5175181206326</x:v>
      </x:c>
      <x:c r="G3720" s="61" t="n">
        <x:v>42.50050051773236</x:v>
      </x:c>
      <x:c r="H3720" s="27" t="str">
        <x:v>YES</x:v>
      </x:c>
      <x:c r="I3720" s="27" t="str">
        <x:v>USACE waterway node topology; deployable terminal required</x:v>
      </x:c>
      <x:c r="J3720" s="27" t="str">
        <x:v>presence does not prove operability or capacity</x:v>
      </x:c>
    </x:row>
    <x:row r="3721" ht="54" hidden="0" customHeight="1">
      <x:c r="A3721" s="29" t="str">
        <x:v>SCA-30</x:v>
      </x:c>
      <x:c r="B3721" s="29" t="str">
        <x:v>SCA-32</x:v>
      </x:c>
      <x:c r="C3721" s="29" t="str">
        <x:v>Road</x:v>
      </x:c>
      <x:c r="D3721" s="29" t="str">
        <x:v>NO</x:v>
      </x:c>
      <x:c r="E3721" s="29" t="str">
        <x:v>NO</x:v>
      </x:c>
      <x:c r="F3721" s="62"/>
      <x:c r="G3721" s="62"/>
      <x:c r="H3721" s="29" t="str">
        <x:v>NO</x:v>
      </x:c>
      <x:c r="I3721" s="29" t="str">
        <x:v>no screened path</x:v>
      </x:c>
      <x:c r="J3721" s="29" t="str">
        <x:v>presence does not prove operability or capacity</x:v>
      </x:c>
    </x:row>
    <x:row r="3722" ht="54" hidden="0" customHeight="1">
      <x:c r="A3722" s="27" t="str">
        <x:v>SCA-30</x:v>
      </x:c>
      <x:c r="B3722" s="27" t="str">
        <x:v>SCA-32</x:v>
      </x:c>
      <x:c r="C3722" s="27" t="str">
        <x:v>Rail</x:v>
      </x:c>
      <x:c r="D3722" s="27" t="str">
        <x:v>NO</x:v>
      </x:c>
      <x:c r="E3722" s="27" t="str">
        <x:v>NO</x:v>
      </x:c>
      <x:c r="F3722" s="61"/>
      <x:c r="G3722" s="61"/>
      <x:c r="H3722" s="27" t="str">
        <x:v>NO</x:v>
      </x:c>
      <x:c r="I3722" s="27" t="str">
        <x:v>no screened path</x:v>
      </x:c>
      <x:c r="J3722" s="27" t="str">
        <x:v>presence does not prove operability or capacity</x:v>
      </x:c>
    </x:row>
    <x:row r="3723" ht="54" hidden="0" customHeight="1">
      <x:c r="A3723" s="29" t="str">
        <x:v>SCA-30</x:v>
      </x:c>
      <x:c r="B3723" s="29" t="str">
        <x:v>SCA-32</x:v>
      </x:c>
      <x:c r="C3723" s="29" t="str">
        <x:v>Air</x:v>
      </x:c>
      <x:c r="D3723" s="29" t="str">
        <x:v>YES</x:v>
      </x:c>
      <x:c r="E3723" s="29" t="str">
        <x:v>YES</x:v>
      </x:c>
      <x:c r="F3723" s="62" t="n">
        <x:v>2604.0031619892134</x:v>
      </x:c>
      <x:c r="G3723" s="62" t="n">
        <x:v>28.006158710752636</x:v>
      </x:c>
      <x:c r="H3723" s="29" t="str">
        <x:v>YES</x:v>
      </x:c>
      <x:c r="I3723" s="29" t="str">
        <x:v>primary-airport endpoints; great-circle screen</x:v>
      </x:c>
      <x:c r="J3723" s="29" t="str">
        <x:v>presence does not prove operability or capacity</x:v>
      </x:c>
    </x:row>
    <x:row r="3724" ht="75.5999984741211" hidden="0" customHeight="1">
      <x:c r="A3724" s="27" t="str">
        <x:v>SCA-30</x:v>
      </x:c>
      <x:c r="B3724" s="27" t="str">
        <x:v>SCA-32</x:v>
      </x:c>
      <x:c r="C3724" s="27" t="str">
        <x:v>Water</x:v>
      </x:c>
      <x:c r="D3724" s="27" t="str">
        <x:v>YES</x:v>
      </x:c>
      <x:c r="E3724" s="27" t="str">
        <x:v>YES</x:v>
      </x:c>
      <x:c r="F3724" s="61" t="n">
        <x:v>3333.124047346193</x:v>
      </x:c>
      <x:c r="G3724" s="61" t="n">
        <x:v>125.23211563846266</x:v>
      </x:c>
      <x:c r="H3724" s="27" t="str">
        <x:v>NO</x:v>
      </x:c>
      <x:c r="I3724" s="27" t="str">
        <x:v>USACE waterway node topology; deployable terminal required</x:v>
      </x:c>
      <x:c r="J3724" s="27" t="str">
        <x:v>presence does not prove operability or capacity</x:v>
      </x:c>
    </x:row>
    <x:row r="3725" ht="54" hidden="0" customHeight="1">
      <x:c r="A3725" s="29" t="str">
        <x:v>SCA-31</x:v>
      </x:c>
      <x:c r="B3725" s="29" t="str">
        <x:v>SCA-01</x:v>
      </x:c>
      <x:c r="C3725" s="29" t="str">
        <x:v>Road</x:v>
      </x:c>
      <x:c r="D3725" s="29" t="str">
        <x:v>NO</x:v>
      </x:c>
      <x:c r="E3725" s="29" t="str">
        <x:v>NO</x:v>
      </x:c>
      <x:c r="F3725" s="62"/>
      <x:c r="G3725" s="62"/>
      <x:c r="H3725" s="29" t="str">
        <x:v>NO</x:v>
      </x:c>
      <x:c r="I3725" s="29" t="str">
        <x:v>no screened path</x:v>
      </x:c>
      <x:c r="J3725" s="29" t="str">
        <x:v>presence does not prove operability or capacity</x:v>
      </x:c>
    </x:row>
    <x:row r="3726" ht="54" hidden="0" customHeight="1">
      <x:c r="A3726" s="27" t="str">
        <x:v>SCA-31</x:v>
      </x:c>
      <x:c r="B3726" s="27" t="str">
        <x:v>SCA-01</x:v>
      </x:c>
      <x:c r="C3726" s="27" t="str">
        <x:v>Rail</x:v>
      </x:c>
      <x:c r="D3726" s="27" t="str">
        <x:v>NO</x:v>
      </x:c>
      <x:c r="E3726" s="27" t="str">
        <x:v>NO</x:v>
      </x:c>
      <x:c r="F3726" s="61"/>
      <x:c r="G3726" s="61"/>
      <x:c r="H3726" s="27" t="str">
        <x:v>NO</x:v>
      </x:c>
      <x:c r="I3726" s="27" t="str">
        <x:v>no screened path</x:v>
      </x:c>
      <x:c r="J3726" s="27" t="str">
        <x:v>presence does not prove operability or capacity</x:v>
      </x:c>
    </x:row>
    <x:row r="3727" ht="54" hidden="0" customHeight="1">
      <x:c r="A3727" s="29" t="str">
        <x:v>SCA-31</x:v>
      </x:c>
      <x:c r="B3727" s="29" t="str">
        <x:v>SCA-01</x:v>
      </x:c>
      <x:c r="C3727" s="29" t="str">
        <x:v>Air</x:v>
      </x:c>
      <x:c r="D3727" s="29" t="str">
        <x:v>YES</x:v>
      </x:c>
      <x:c r="E3727" s="29" t="str">
        <x:v>YES</x:v>
      </x:c>
      <x:c r="F3727" s="62" t="n">
        <x:v>8122.918699332193</x:v>
      </x:c>
      <x:c r="G3727" s="62" t="n">
        <x:v>36.4967979989726</x:v>
      </x:c>
      <x:c r="H3727" s="29" t="str">
        <x:v>YES</x:v>
      </x:c>
      <x:c r="I3727" s="29" t="str">
        <x:v>primary-airport endpoints; great-circle screen</x:v>
      </x:c>
      <x:c r="J3727" s="29" t="str">
        <x:v>presence does not prove operability or capacity</x:v>
      </x:c>
    </x:row>
    <x:row r="3728" ht="75.5999984741211" hidden="0" customHeight="1">
      <x:c r="A3728" s="27" t="str">
        <x:v>SCA-31</x:v>
      </x:c>
      <x:c r="B3728" s="27" t="str">
        <x:v>SCA-01</x:v>
      </x:c>
      <x:c r="C3728" s="27" t="str">
        <x:v>Water</x:v>
      </x:c>
      <x:c r="D3728" s="27" t="str">
        <x:v>YES</x:v>
      </x:c>
      <x:c r="E3728" s="27" t="str">
        <x:v>YES</x:v>
      </x:c>
      <x:c r="F3728" s="61" t="n">
        <x:v>12468.900059232685</x:v>
      </x:c>
      <x:c r="G3728" s="61" t="n">
        <x:v>386.25428740664813</x:v>
      </x:c>
      <x:c r="H3728" s="27" t="str">
        <x:v>NO</x:v>
      </x:c>
      <x:c r="I3728" s="27" t="str">
        <x:v>USACE waterway node topology; deployable terminal required</x:v>
      </x:c>
      <x:c r="J3728" s="27" t="str">
        <x:v>presence does not prove operability or capacity</x:v>
      </x:c>
    </x:row>
    <x:row r="3729" ht="54" hidden="0" customHeight="1">
      <x:c r="A3729" s="29" t="str">
        <x:v>SCA-31</x:v>
      </x:c>
      <x:c r="B3729" s="29" t="str">
        <x:v>SCA-02</x:v>
      </x:c>
      <x:c r="C3729" s="29" t="str">
        <x:v>Road</x:v>
      </x:c>
      <x:c r="D3729" s="29" t="str">
        <x:v>NO</x:v>
      </x:c>
      <x:c r="E3729" s="29" t="str">
        <x:v>NO</x:v>
      </x:c>
      <x:c r="F3729" s="62"/>
      <x:c r="G3729" s="62"/>
      <x:c r="H3729" s="29" t="str">
        <x:v>NO</x:v>
      </x:c>
      <x:c r="I3729" s="29" t="str">
        <x:v>no screened path</x:v>
      </x:c>
      <x:c r="J3729" s="29" t="str">
        <x:v>presence does not prove operability or capacity</x:v>
      </x:c>
    </x:row>
    <x:row r="3730" ht="54" hidden="0" customHeight="1">
      <x:c r="A3730" s="27" t="str">
        <x:v>SCA-31</x:v>
      </x:c>
      <x:c r="B3730" s="27" t="str">
        <x:v>SCA-02</x:v>
      </x:c>
      <x:c r="C3730" s="27" t="str">
        <x:v>Rail</x:v>
      </x:c>
      <x:c r="D3730" s="27" t="str">
        <x:v>NO</x:v>
      </x:c>
      <x:c r="E3730" s="27" t="str">
        <x:v>NO</x:v>
      </x:c>
      <x:c r="F3730" s="61"/>
      <x:c r="G3730" s="61"/>
      <x:c r="H3730" s="27" t="str">
        <x:v>NO</x:v>
      </x:c>
      <x:c r="I3730" s="27" t="str">
        <x:v>no screened path</x:v>
      </x:c>
      <x:c r="J3730" s="27" t="str">
        <x:v>presence does not prove operability or capacity</x:v>
      </x:c>
    </x:row>
    <x:row r="3731" ht="54" hidden="0" customHeight="1">
      <x:c r="A3731" s="29" t="str">
        <x:v>SCA-31</x:v>
      </x:c>
      <x:c r="B3731" s="29" t="str">
        <x:v>SCA-02</x:v>
      </x:c>
      <x:c r="C3731" s="29" t="str">
        <x:v>Air</x:v>
      </x:c>
      <x:c r="D3731" s="29" t="str">
        <x:v>YES</x:v>
      </x:c>
      <x:c r="E3731" s="29" t="str">
        <x:v>YES</x:v>
      </x:c>
      <x:c r="F3731" s="62" t="n">
        <x:v>5170.652537468452</x:v>
      </x:c>
      <x:c r="G3731" s="62" t="n">
        <x:v>31.95485005764377</x:v>
      </x:c>
      <x:c r="H3731" s="29" t="str">
        <x:v>YES</x:v>
      </x:c>
      <x:c r="I3731" s="29" t="str">
        <x:v>primary-airport endpoints; great-circle screen</x:v>
      </x:c>
      <x:c r="J3731" s="29" t="str">
        <x:v>presence does not prove operability or capacity</x:v>
      </x:c>
    </x:row>
    <x:row r="3732" ht="75.5999984741211" hidden="0" customHeight="1">
      <x:c r="A3732" s="27" t="str">
        <x:v>SCA-31</x:v>
      </x:c>
      <x:c r="B3732" s="27" t="str">
        <x:v>SCA-02</x:v>
      </x:c>
      <x:c r="C3732" s="27" t="str">
        <x:v>Water</x:v>
      </x:c>
      <x:c r="D3732" s="27" t="str">
        <x:v>YES</x:v>
      </x:c>
      <x:c r="E3732" s="27" t="str">
        <x:v>YES</x:v>
      </x:c>
      <x:c r="F3732" s="61" t="n">
        <x:v>6618.435247959618</x:v>
      </x:c>
      <x:c r="G3732" s="61" t="n">
        <x:v>219.09814994170338</x:v>
      </x:c>
      <x:c r="H3732" s="27" t="str">
        <x:v>NO</x:v>
      </x:c>
      <x:c r="I3732" s="27" t="str">
        <x:v>USACE waterway node topology; deployable terminal required</x:v>
      </x:c>
      <x:c r="J3732" s="27" t="str">
        <x:v>presence does not prove operability or capacity</x:v>
      </x:c>
    </x:row>
    <x:row r="3733" ht="54" hidden="0" customHeight="1">
      <x:c r="A3733" s="29" t="str">
        <x:v>SCA-31</x:v>
      </x:c>
      <x:c r="B3733" s="29" t="str">
        <x:v>SCA-03</x:v>
      </x:c>
      <x:c r="C3733" s="29" t="str">
        <x:v>Road</x:v>
      </x:c>
      <x:c r="D3733" s="29" t="str">
        <x:v>YES</x:v>
      </x:c>
      <x:c r="E3733" s="29" t="str">
        <x:v>YES</x:v>
      </x:c>
      <x:c r="F3733" s="62" t="n">
        <x:v>4939.89039941376</x:v>
      </x:c>
      <x:c r="G3733" s="62" t="n">
        <x:v>109.81618908025018</x:v>
      </x:c>
      <x:c r="H3733" s="29" t="str">
        <x:v>NO</x:v>
      </x:c>
      <x:c r="I3733" s="29" t="str">
        <x:v>NHPN-gated shared-boundary SCA path</x:v>
      </x:c>
      <x:c r="J3733" s="29" t="str">
        <x:v>presence does not prove operability or capacity</x:v>
      </x:c>
    </x:row>
    <x:row r="3734" ht="64.80000305175781" hidden="0" customHeight="1">
      <x:c r="A3734" s="27" t="str">
        <x:v>SCA-31</x:v>
      </x:c>
      <x:c r="B3734" s="27" t="str">
        <x:v>SCA-03</x:v>
      </x:c>
      <x:c r="C3734" s="27" t="str">
        <x:v>Rail</x:v>
      </x:c>
      <x:c r="D3734" s="27" t="str">
        <x:v>YES</x:v>
      </x:c>
      <x:c r="E3734" s="27" t="str">
        <x:v>YES</x:v>
      </x:c>
      <x:c r="F3734" s="61" t="n">
        <x:v>5240.579380247641</x:v>
      </x:c>
      <x:c r="G3734" s="61" t="n">
        <x:v>100.86541971782344</x:v>
      </x:c>
      <x:c r="H3734" s="27" t="str">
        <x:v>NO</x:v>
      </x:c>
      <x:c r="I3734" s="27" t="str">
        <x:v>NARN shared-node topology; deployable terminal required</x:v>
      </x:c>
      <x:c r="J3734" s="27" t="str">
        <x:v>presence does not prove operability or capacity</x:v>
      </x:c>
    </x:row>
    <x:row r="3735" ht="54" hidden="0" customHeight="1">
      <x:c r="A3735" s="29" t="str">
        <x:v>SCA-31</x:v>
      </x:c>
      <x:c r="B3735" s="29" t="str">
        <x:v>SCA-03</x:v>
      </x:c>
      <x:c r="C3735" s="29" t="str">
        <x:v>Air</x:v>
      </x:c>
      <x:c r="D3735" s="29" t="str">
        <x:v>YES</x:v>
      </x:c>
      <x:c r="E3735" s="29" t="str">
        <x:v>YES</x:v>
      </x:c>
      <x:c r="F3735" s="62" t="n">
        <x:v>3916.5561065731818</x:v>
      </x:c>
      <x:c r="G3735" s="62" t="n">
        <x:v>30.02547093318951</x:v>
      </x:c>
      <x:c r="H3735" s="29" t="str">
        <x:v>YES</x:v>
      </x:c>
      <x:c r="I3735" s="29" t="str">
        <x:v>primary-airport endpoints; great-circle screen</x:v>
      </x:c>
      <x:c r="J3735" s="29" t="str">
        <x:v>presence does not prove operability or capacity</x:v>
      </x:c>
    </x:row>
    <x:row r="3736" ht="75.5999984741211" hidden="0" customHeight="1">
      <x:c r="A3736" s="27" t="str">
        <x:v>SCA-31</x:v>
      </x:c>
      <x:c r="B3736" s="27" t="str">
        <x:v>SCA-03</x:v>
      </x:c>
      <x:c r="C3736" s="27" t="str">
        <x:v>Water</x:v>
      </x:c>
      <x:c r="D3736" s="27" t="str">
        <x:v>YES</x:v>
      </x:c>
      <x:c r="E3736" s="27" t="str">
        <x:v>YES</x:v>
      </x:c>
      <x:c r="F3736" s="61" t="n">
        <x:v>9323.763440191324</x:v>
      </x:c>
      <x:c r="G3736" s="61" t="n">
        <x:v>296.3932411483235</x:v>
      </x:c>
      <x:c r="H3736" s="27" t="str">
        <x:v>NO</x:v>
      </x:c>
      <x:c r="I3736" s="27" t="str">
        <x:v>USACE waterway node topology; deployable terminal required</x:v>
      </x:c>
      <x:c r="J3736" s="27" t="str">
        <x:v>presence does not prove operability or capacity</x:v>
      </x:c>
    </x:row>
    <x:row r="3737" ht="54" hidden="0" customHeight="1">
      <x:c r="A3737" s="29" t="str">
        <x:v>SCA-31</x:v>
      </x:c>
      <x:c r="B3737" s="29" t="str">
        <x:v>SCA-04</x:v>
      </x:c>
      <x:c r="C3737" s="29" t="str">
        <x:v>Road</x:v>
      </x:c>
      <x:c r="D3737" s="29" t="str">
        <x:v>YES</x:v>
      </x:c>
      <x:c r="E3737" s="29" t="str">
        <x:v>YES</x:v>
      </x:c>
      <x:c r="F3737" s="62" t="n">
        <x:v>5350.3991986525325</x:v>
      </x:c>
      <x:c r="G3737" s="62" t="n">
        <x:v>117.27998543004604</x:v>
      </x:c>
      <x:c r="H3737" s="29" t="str">
        <x:v>NO</x:v>
      </x:c>
      <x:c r="I3737" s="29" t="str">
        <x:v>NHPN-gated shared-boundary SCA path</x:v>
      </x:c>
      <x:c r="J3737" s="29" t="str">
        <x:v>presence does not prove operability or capacity</x:v>
      </x:c>
    </x:row>
    <x:row r="3738" ht="64.80000305175781" hidden="0" customHeight="1">
      <x:c r="A3738" s="27" t="str">
        <x:v>SCA-31</x:v>
      </x:c>
      <x:c r="B3738" s="27" t="str">
        <x:v>SCA-04</x:v>
      </x:c>
      <x:c r="C3738" s="27" t="str">
        <x:v>Rail</x:v>
      </x:c>
      <x:c r="D3738" s="27" t="str">
        <x:v>YES</x:v>
      </x:c>
      <x:c r="E3738" s="27" t="str">
        <x:v>YES</x:v>
      </x:c>
      <x:c r="F3738" s="61" t="n">
        <x:v>5676.07567161399</x:v>
      </x:c>
      <x:c r="G3738" s="61" t="n">
        <x:v>107.08679530877129</x:v>
      </x:c>
      <x:c r="H3738" s="27" t="str">
        <x:v>NO</x:v>
      </x:c>
      <x:c r="I3738" s="27" t="str">
        <x:v>NARN shared-node topology; deployable terminal required</x:v>
      </x:c>
      <x:c r="J3738" s="27" t="str">
        <x:v>presence does not prove operability or capacity</x:v>
      </x:c>
    </x:row>
    <x:row r="3739" ht="54" hidden="0" customHeight="1">
      <x:c r="A3739" s="29" t="str">
        <x:v>SCA-31</x:v>
      </x:c>
      <x:c r="B3739" s="29" t="str">
        <x:v>SCA-04</x:v>
      </x:c>
      <x:c r="C3739" s="29" t="str">
        <x:v>Air</x:v>
      </x:c>
      <x:c r="D3739" s="29" t="str">
        <x:v>YES</x:v>
      </x:c>
      <x:c r="E3739" s="29" t="str">
        <x:v>YES</x:v>
      </x:c>
      <x:c r="F3739" s="62" t="n">
        <x:v>4197.097350449586</x:v>
      </x:c>
      <x:c r="G3739" s="62" t="n">
        <x:v>30.457072846845517</x:v>
      </x:c>
      <x:c r="H3739" s="29" t="str">
        <x:v>YES</x:v>
      </x:c>
      <x:c r="I3739" s="29" t="str">
        <x:v>primary-airport endpoints; great-circle screen</x:v>
      </x:c>
      <x:c r="J3739" s="29" t="str">
        <x:v>presence does not prove operability or capacity</x:v>
      </x:c>
    </x:row>
    <x:row r="3740" ht="75.5999984741211" hidden="0" customHeight="1">
      <x:c r="A3740" s="27" t="str">
        <x:v>SCA-31</x:v>
      </x:c>
      <x:c r="B3740" s="27" t="str">
        <x:v>SCA-04</x:v>
      </x:c>
      <x:c r="C3740" s="27" t="str">
        <x:v>Water</x:v>
      </x:c>
      <x:c r="D3740" s="27" t="str">
        <x:v>YES</x:v>
      </x:c>
      <x:c r="E3740" s="27" t="str">
        <x:v>YES</x:v>
      </x:c>
      <x:c r="F3740" s="61" t="n">
        <x:v>8111.505231810357</x:v>
      </x:c>
      <x:c r="G3740" s="61" t="n">
        <x:v>261.7572923374388</x:v>
      </x:c>
      <x:c r="H3740" s="27" t="str">
        <x:v>NO</x:v>
      </x:c>
      <x:c r="I3740" s="27" t="str">
        <x:v>USACE waterway node topology; deployable terminal required</x:v>
      </x:c>
      <x:c r="J3740" s="27" t="str">
        <x:v>presence does not prove operability or capacity</x:v>
      </x:c>
    </x:row>
    <x:row r="3741" ht="54" hidden="0" customHeight="1">
      <x:c r="A3741" s="29" t="str">
        <x:v>SCA-31</x:v>
      </x:c>
      <x:c r="B3741" s="29" t="str">
        <x:v>SCA-05</x:v>
      </x:c>
      <x:c r="C3741" s="29" t="str">
        <x:v>Road</x:v>
      </x:c>
      <x:c r="D3741" s="29" t="str">
        <x:v>YES</x:v>
      </x:c>
      <x:c r="E3741" s="29" t="str">
        <x:v>YES</x:v>
      </x:c>
      <x:c r="F3741" s="62" t="n">
        <x:v>5259.039048665299</x:v>
      </x:c>
      <x:c r="G3741" s="62" t="n">
        <x:v>115.61889179391451</x:v>
      </x:c>
      <x:c r="H3741" s="29" t="str">
        <x:v>NO</x:v>
      </x:c>
      <x:c r="I3741" s="29" t="str">
        <x:v>NHPN-gated shared-boundary SCA path</x:v>
      </x:c>
      <x:c r="J3741" s="29" t="str">
        <x:v>presence does not prove operability or capacity</x:v>
      </x:c>
    </x:row>
    <x:row r="3742" ht="64.80000305175781" hidden="0" customHeight="1">
      <x:c r="A3742" s="27" t="str">
        <x:v>SCA-31</x:v>
      </x:c>
      <x:c r="B3742" s="27" t="str">
        <x:v>SCA-05</x:v>
      </x:c>
      <x:c r="C3742" s="27" t="str">
        <x:v>Rail</x:v>
      </x:c>
      <x:c r="D3742" s="27" t="str">
        <x:v>YES</x:v>
      </x:c>
      <x:c r="E3742" s="27" t="str">
        <x:v>YES</x:v>
      </x:c>
      <x:c r="F3742" s="61" t="n">
        <x:v>5624.084265580279</x:v>
      </x:c>
      <x:c r="G3742" s="61" t="n">
        <x:v>106.34406093686113</x:v>
      </x:c>
      <x:c r="H3742" s="27" t="str">
        <x:v>NO</x:v>
      </x:c>
      <x:c r="I3742" s="27" t="str">
        <x:v>NARN shared-node topology; deployable terminal required</x:v>
      </x:c>
      <x:c r="J3742" s="27" t="str">
        <x:v>presence does not prove operability or capacity</x:v>
      </x:c>
    </x:row>
    <x:row r="3743" ht="54" hidden="0" customHeight="1">
      <x:c r="A3743" s="29" t="str">
        <x:v>SCA-31</x:v>
      </x:c>
      <x:c r="B3743" s="29" t="str">
        <x:v>SCA-05</x:v>
      </x:c>
      <x:c r="C3743" s="29" t="str">
        <x:v>Air</x:v>
      </x:c>
      <x:c r="D3743" s="29" t="str">
        <x:v>YES</x:v>
      </x:c>
      <x:c r="E3743" s="29" t="str">
        <x:v>YES</x:v>
      </x:c>
      <x:c r="F3743" s="62" t="n">
        <x:v>4118.448605768236</x:v>
      </x:c>
      <x:c r="G3743" s="62" t="n">
        <x:v>30.33607477810498</x:v>
      </x:c>
      <x:c r="H3743" s="29" t="str">
        <x:v>YES</x:v>
      </x:c>
      <x:c r="I3743" s="29" t="str">
        <x:v>primary-airport endpoints; great-circle screen</x:v>
      </x:c>
      <x:c r="J3743" s="29" t="str">
        <x:v>presence does not prove operability or capacity</x:v>
      </x:c>
    </x:row>
    <x:row r="3744" ht="75.5999984741211" hidden="0" customHeight="1">
      <x:c r="A3744" s="27" t="str">
        <x:v>SCA-31</x:v>
      </x:c>
      <x:c r="B3744" s="27" t="str">
        <x:v>SCA-05</x:v>
      </x:c>
      <x:c r="C3744" s="27" t="str">
        <x:v>Water</x:v>
      </x:c>
      <x:c r="D3744" s="27" t="str">
        <x:v>YES</x:v>
      </x:c>
      <x:c r="E3744" s="27" t="str">
        <x:v>YES</x:v>
      </x:c>
      <x:c r="F3744" s="61" t="n">
        <x:v>7455.5518123332995</x:v>
      </x:c>
      <x:c r="G3744" s="61" t="n">
        <x:v>243.0157660666657</x:v>
      </x:c>
      <x:c r="H3744" s="27" t="str">
        <x:v>NO</x:v>
      </x:c>
      <x:c r="I3744" s="27" t="str">
        <x:v>USACE waterway node topology; deployable terminal required</x:v>
      </x:c>
      <x:c r="J3744" s="27" t="str">
        <x:v>presence does not prove operability or capacity</x:v>
      </x:c>
    </x:row>
    <x:row r="3745" ht="54" hidden="0" customHeight="1">
      <x:c r="A3745" s="29" t="str">
        <x:v>SCA-31</x:v>
      </x:c>
      <x:c r="B3745" s="29" t="str">
        <x:v>SCA-06</x:v>
      </x:c>
      <x:c r="C3745" s="29" t="str">
        <x:v>Road</x:v>
      </x:c>
      <x:c r="D3745" s="29" t="str">
        <x:v>YES</x:v>
      </x:c>
      <x:c r="E3745" s="29" t="str">
        <x:v>YES</x:v>
      </x:c>
      <x:c r="F3745" s="62" t="n">
        <x:v>5018.281676385175</x:v>
      </x:c>
      <x:c r="G3745" s="62" t="n">
        <x:v>111.241485025185</x:v>
      </x:c>
      <x:c r="H3745" s="29" t="str">
        <x:v>NO</x:v>
      </x:c>
      <x:c r="I3745" s="29" t="str">
        <x:v>NHPN-gated shared-boundary SCA path</x:v>
      </x:c>
      <x:c r="J3745" s="29" t="str">
        <x:v>presence does not prove operability or capacity</x:v>
      </x:c>
    </x:row>
    <x:row r="3746" ht="64.80000305175781" hidden="0" customHeight="1">
      <x:c r="A3746" s="27" t="str">
        <x:v>SCA-31</x:v>
      </x:c>
      <x:c r="B3746" s="27" t="str">
        <x:v>SCA-06</x:v>
      </x:c>
      <x:c r="C3746" s="27" t="str">
        <x:v>Rail</x:v>
      </x:c>
      <x:c r="D3746" s="27" t="str">
        <x:v>YES</x:v>
      </x:c>
      <x:c r="E3746" s="27" t="str">
        <x:v>YES</x:v>
      </x:c>
      <x:c r="F3746" s="61" t="n">
        <x:v>5368.672096726583</x:v>
      </x:c>
      <x:c r="G3746" s="61" t="n">
        <x:v>102.6953156675226</x:v>
      </x:c>
      <x:c r="H3746" s="27" t="str">
        <x:v>NO</x:v>
      </x:c>
      <x:c r="I3746" s="27" t="str">
        <x:v>NARN shared-node topology; deployable terminal required</x:v>
      </x:c>
      <x:c r="J3746" s="27" t="str">
        <x:v>presence does not prove operability or capacity</x:v>
      </x:c>
    </x:row>
    <x:row r="3747" ht="54" hidden="0" customHeight="1">
      <x:c r="A3747" s="29" t="str">
        <x:v>SCA-31</x:v>
      </x:c>
      <x:c r="B3747" s="29" t="str">
        <x:v>SCA-06</x:v>
      </x:c>
      <x:c r="C3747" s="29" t="str">
        <x:v>Air</x:v>
      </x:c>
      <x:c r="D3747" s="29" t="str">
        <x:v>YES</x:v>
      </x:c>
      <x:c r="E3747" s="29" t="str">
        <x:v>YES</x:v>
      </x:c>
      <x:c r="F3747" s="62" t="n">
        <x:v>4008.5042348513834</x:v>
      </x:c>
      <x:c r="G3747" s="62" t="n">
        <x:v>30.16692959207905</x:v>
      </x:c>
      <x:c r="H3747" s="29" t="str">
        <x:v>YES</x:v>
      </x:c>
      <x:c r="I3747" s="29" t="str">
        <x:v>primary-airport endpoints; great-circle screen</x:v>
      </x:c>
      <x:c r="J3747" s="29" t="str">
        <x:v>presence does not prove operability or capacity</x:v>
      </x:c>
    </x:row>
    <x:row r="3748" ht="75.5999984741211" hidden="0" customHeight="1">
      <x:c r="A3748" s="27" t="str">
        <x:v>SCA-31</x:v>
      </x:c>
      <x:c r="B3748" s="27" t="str">
        <x:v>SCA-06</x:v>
      </x:c>
      <x:c r="C3748" s="27" t="str">
        <x:v>Water</x:v>
      </x:c>
      <x:c r="D3748" s="27" t="str">
        <x:v>YES</x:v>
      </x:c>
      <x:c r="E3748" s="27" t="str">
        <x:v>YES</x:v>
      </x:c>
      <x:c r="F3748" s="61" t="n">
        <x:v>7187.578389273684</x:v>
      </x:c>
      <x:c r="G3748" s="61" t="n">
        <x:v>235.35938255067668</x:v>
      </x:c>
      <x:c r="H3748" s="27" t="str">
        <x:v>NO</x:v>
      </x:c>
      <x:c r="I3748" s="27" t="str">
        <x:v>USACE waterway node topology; deployable terminal required</x:v>
      </x:c>
      <x:c r="J3748" s="27" t="str">
        <x:v>presence does not prove operability or capacity</x:v>
      </x:c>
    </x:row>
    <x:row r="3749" ht="54" hidden="0" customHeight="1">
      <x:c r="A3749" s="29" t="str">
        <x:v>SCA-31</x:v>
      </x:c>
      <x:c r="B3749" s="29" t="str">
        <x:v>SCA-07</x:v>
      </x:c>
      <x:c r="C3749" s="29" t="str">
        <x:v>Road</x:v>
      </x:c>
      <x:c r="D3749" s="29" t="str">
        <x:v>YES</x:v>
      </x:c>
      <x:c r="E3749" s="29" t="str">
        <x:v>YES</x:v>
      </x:c>
      <x:c r="F3749" s="62" t="n">
        <x:v>4962.943148020426</x:v>
      </x:c>
      <x:c r="G3749" s="62" t="n">
        <x:v>110.23532996400775</x:v>
      </x:c>
      <x:c r="H3749" s="29" t="str">
        <x:v>NO</x:v>
      </x:c>
      <x:c r="I3749" s="29" t="str">
        <x:v>NHPN-gated shared-boundary SCA path</x:v>
      </x:c>
      <x:c r="J3749" s="29" t="str">
        <x:v>presence does not prove operability or capacity</x:v>
      </x:c>
    </x:row>
    <x:row r="3750" ht="64.80000305175781" hidden="0" customHeight="1">
      <x:c r="A3750" s="27" t="str">
        <x:v>SCA-31</x:v>
      </x:c>
      <x:c r="B3750" s="27" t="str">
        <x:v>SCA-07</x:v>
      </x:c>
      <x:c r="C3750" s="27" t="str">
        <x:v>Rail</x:v>
      </x:c>
      <x:c r="D3750" s="27" t="str">
        <x:v>YES</x:v>
      </x:c>
      <x:c r="E3750" s="27" t="str">
        <x:v>YES</x:v>
      </x:c>
      <x:c r="F3750" s="61" t="n">
        <x:v>5265.035339639062</x:v>
      </x:c>
      <x:c r="G3750" s="61" t="n">
        <x:v>101.21479056627231</x:v>
      </x:c>
      <x:c r="H3750" s="27" t="str">
        <x:v>NO</x:v>
      </x:c>
      <x:c r="I3750" s="27" t="str">
        <x:v>NARN shared-node topology; deployable terminal required</x:v>
      </x:c>
      <x:c r="J3750" s="27" t="str">
        <x:v>presence does not prove operability or capacity</x:v>
      </x:c>
    </x:row>
    <x:row r="3751" ht="54" hidden="0" customHeight="1">
      <x:c r="A3751" s="29" t="str">
        <x:v>SCA-31</x:v>
      </x:c>
      <x:c r="B3751" s="29" t="str">
        <x:v>SCA-07</x:v>
      </x:c>
      <x:c r="C3751" s="29" t="str">
        <x:v>Air</x:v>
      </x:c>
      <x:c r="D3751" s="29" t="str">
        <x:v>YES</x:v>
      </x:c>
      <x:c r="E3751" s="29" t="str">
        <x:v>YES</x:v>
      </x:c>
      <x:c r="F3751" s="62" t="n">
        <x:v>3806.0188824854968</x:v>
      </x:c>
      <x:c r="G3751" s="62" t="n">
        <x:v>29.855413665362303</x:v>
      </x:c>
      <x:c r="H3751" s="29" t="str">
        <x:v>YES</x:v>
      </x:c>
      <x:c r="I3751" s="29" t="str">
        <x:v>primary-airport endpoints; great-circle screen</x:v>
      </x:c>
      <x:c r="J3751" s="29" t="str">
        <x:v>presence does not prove operability or capacity</x:v>
      </x:c>
    </x:row>
    <x:row r="3752" ht="64.80000305175781" hidden="0" customHeight="1">
      <x:c r="A3752" s="27" t="str">
        <x:v>SCA-31</x:v>
      </x:c>
      <x:c r="B3752" s="27" t="str">
        <x:v>SCA-07</x:v>
      </x:c>
      <x:c r="C3752" s="27" t="str">
        <x:v>Water</x:v>
      </x:c>
      <x:c r="D3752" s="27" t="str">
        <x:v>YES</x:v>
      </x:c>
      <x:c r="E3752" s="27" t="str">
        <x:v>YES</x:v>
      </x:c>
      <x:c r="F3752" s="61" t="n">
        <x:v>4757.523603106871</x:v>
      </x:c>
      <x:c r="G3752" s="61" t="n">
        <x:v>165.92924580305345</x:v>
      </x:c>
      <x:c r="H3752" s="27" t="str">
        <x:v>NO</x:v>
      </x:c>
      <x:c r="I3752" s="27" t="str">
        <x:v>observed water terminals; maritime great-circle screen</x:v>
      </x:c>
      <x:c r="J3752" s="27" t="str">
        <x:v>presence does not prove operability or capacity</x:v>
      </x:c>
    </x:row>
    <x:row r="3753" ht="54" hidden="0" customHeight="1">
      <x:c r="A3753" s="29" t="str">
        <x:v>SCA-31</x:v>
      </x:c>
      <x:c r="B3753" s="29" t="str">
        <x:v>SCA-08</x:v>
      </x:c>
      <x:c r="C3753" s="29" t="str">
        <x:v>Road</x:v>
      </x:c>
      <x:c r="D3753" s="29" t="str">
        <x:v>YES</x:v>
      </x:c>
      <x:c r="E3753" s="29" t="str">
        <x:v>YES</x:v>
      </x:c>
      <x:c r="F3753" s="62" t="n">
        <x:v>4295.23552434125</x:v>
      </x:c>
      <x:c r="G3753" s="62" t="n">
        <x:v>98.0951913516591</x:v>
      </x:c>
      <x:c r="H3753" s="29" t="str">
        <x:v>NO</x:v>
      </x:c>
      <x:c r="I3753" s="29" t="str">
        <x:v>NHPN-gated shared-boundary SCA path</x:v>
      </x:c>
      <x:c r="J3753" s="29" t="str">
        <x:v>presence does not prove operability or capacity</x:v>
      </x:c>
    </x:row>
    <x:row r="3754" ht="64.80000305175781" hidden="0" customHeight="1">
      <x:c r="A3754" s="27" t="str">
        <x:v>SCA-31</x:v>
      </x:c>
      <x:c r="B3754" s="27" t="str">
        <x:v>SCA-08</x:v>
      </x:c>
      <x:c r="C3754" s="27" t="str">
        <x:v>Rail</x:v>
      </x:c>
      <x:c r="D3754" s="27" t="str">
        <x:v>YES</x:v>
      </x:c>
      <x:c r="E3754" s="27" t="str">
        <x:v>YES</x:v>
      </x:c>
      <x:c r="F3754" s="61" t="n">
        <x:v>4556.684643214196</x:v>
      </x:c>
      <x:c r="G3754" s="61" t="n">
        <x:v>91.09549490305994</x:v>
      </x:c>
      <x:c r="H3754" s="27" t="str">
        <x:v>NO</x:v>
      </x:c>
      <x:c r="I3754" s="27" t="str">
        <x:v>NARN shared-node topology; deployable terminal required</x:v>
      </x:c>
      <x:c r="J3754" s="27" t="str">
        <x:v>presence does not prove operability or capacity</x:v>
      </x:c>
    </x:row>
    <x:row r="3755" ht="54" hidden="0" customHeight="1">
      <x:c r="A3755" s="29" t="str">
        <x:v>SCA-31</x:v>
      </x:c>
      <x:c r="B3755" s="29" t="str">
        <x:v>SCA-08</x:v>
      </x:c>
      <x:c r="C3755" s="29" t="str">
        <x:v>Air</x:v>
      </x:c>
      <x:c r="D3755" s="29" t="str">
        <x:v>YES</x:v>
      </x:c>
      <x:c r="E3755" s="29" t="str">
        <x:v>YES</x:v>
      </x:c>
      <x:c r="F3755" s="62" t="n">
        <x:v>3451.369600126355</x:v>
      </x:c>
      <x:c r="G3755" s="62" t="n">
        <x:v>29.30979938480978</x:v>
      </x:c>
      <x:c r="H3755" s="29" t="str">
        <x:v>YES</x:v>
      </x:c>
      <x:c r="I3755" s="29" t="str">
        <x:v>primary-airport endpoints; great-circle screen</x:v>
      </x:c>
      <x:c r="J3755" s="29" t="str">
        <x:v>presence does not prove operability or capacity</x:v>
      </x:c>
    </x:row>
    <x:row r="3756" ht="75.5999984741211" hidden="0" customHeight="1">
      <x:c r="A3756" s="27" t="str">
        <x:v>SCA-31</x:v>
      </x:c>
      <x:c r="B3756" s="27" t="str">
        <x:v>SCA-08</x:v>
      </x:c>
      <x:c r="C3756" s="27" t="str">
        <x:v>Water</x:v>
      </x:c>
      <x:c r="D3756" s="27" t="str">
        <x:v>YES</x:v>
      </x:c>
      <x:c r="E3756" s="27" t="str">
        <x:v>YES</x:v>
      </x:c>
      <x:c r="F3756" s="61" t="n">
        <x:v>10041.292344619857</x:v>
      </x:c>
      <x:c r="G3756" s="61" t="n">
        <x:v>316.89406698913876</x:v>
      </x:c>
      <x:c r="H3756" s="27" t="str">
        <x:v>NO</x:v>
      </x:c>
      <x:c r="I3756" s="27" t="str">
        <x:v>USACE waterway node topology; deployable terminal required</x:v>
      </x:c>
      <x:c r="J3756" s="27" t="str">
        <x:v>presence does not prove operability or capacity</x:v>
      </x:c>
    </x:row>
    <x:row r="3757" ht="54" hidden="0" customHeight="1">
      <x:c r="A3757" s="29" t="str">
        <x:v>SCA-31</x:v>
      </x:c>
      <x:c r="B3757" s="29" t="str">
        <x:v>SCA-09</x:v>
      </x:c>
      <x:c r="C3757" s="29" t="str">
        <x:v>Road</x:v>
      </x:c>
      <x:c r="D3757" s="29" t="str">
        <x:v>YES</x:v>
      </x:c>
      <x:c r="E3757" s="29" t="str">
        <x:v>YES</x:v>
      </x:c>
      <x:c r="F3757" s="62" t="n">
        <x:v>4568.562224623344</x:v>
      </x:c>
      <x:c r="G3757" s="62" t="n">
        <x:v>103.06476772042444</x:v>
      </x:c>
      <x:c r="H3757" s="29" t="str">
        <x:v>NO</x:v>
      </x:c>
      <x:c r="I3757" s="29" t="str">
        <x:v>NHPN-gated shared-boundary SCA path</x:v>
      </x:c>
      <x:c r="J3757" s="29" t="str">
        <x:v>presence does not prove operability or capacity</x:v>
      </x:c>
    </x:row>
    <x:row r="3758" ht="64.80000305175781" hidden="0" customHeight="1">
      <x:c r="A3758" s="27" t="str">
        <x:v>SCA-31</x:v>
      </x:c>
      <x:c r="B3758" s="27" t="str">
        <x:v>SCA-09</x:v>
      </x:c>
      <x:c r="C3758" s="27" t="str">
        <x:v>Rail</x:v>
      </x:c>
      <x:c r="D3758" s="27" t="str">
        <x:v>YES</x:v>
      </x:c>
      <x:c r="E3758" s="27" t="str">
        <x:v>YES</x:v>
      </x:c>
      <x:c r="F3758" s="61" t="n">
        <x:v>4891.578417466206</x:v>
      </x:c>
      <x:c r="G3758" s="61" t="n">
        <x:v>95.87969167808865</x:v>
      </x:c>
      <x:c r="H3758" s="27" t="str">
        <x:v>NO</x:v>
      </x:c>
      <x:c r="I3758" s="27" t="str">
        <x:v>NARN shared-node topology; deployable terminal required</x:v>
      </x:c>
      <x:c r="J3758" s="27" t="str">
        <x:v>presence does not prove operability or capacity</x:v>
      </x:c>
    </x:row>
    <x:row r="3759" ht="54" hidden="0" customHeight="1">
      <x:c r="A3759" s="29" t="str">
        <x:v>SCA-31</x:v>
      </x:c>
      <x:c r="B3759" s="29" t="str">
        <x:v>SCA-09</x:v>
      </x:c>
      <x:c r="C3759" s="29" t="str">
        <x:v>Air</x:v>
      </x:c>
      <x:c r="D3759" s="29" t="str">
        <x:v>YES</x:v>
      </x:c>
      <x:c r="E3759" s="29" t="str">
        <x:v>YES</x:v>
      </x:c>
      <x:c r="F3759" s="62" t="n">
        <x:v>3670.053328204007</x:v>
      </x:c>
      <x:c r="G3759" s="62" t="n">
        <x:v>29.646235889544627</x:v>
      </x:c>
      <x:c r="H3759" s="29" t="str">
        <x:v>YES</x:v>
      </x:c>
      <x:c r="I3759" s="29" t="str">
        <x:v>primary-airport endpoints; great-circle screen</x:v>
      </x:c>
      <x:c r="J3759" s="29" t="str">
        <x:v>presence does not prove operability or capacity</x:v>
      </x:c>
    </x:row>
    <x:row r="3760" ht="54" hidden="0" customHeight="1">
      <x:c r="A3760" s="27" t="str">
        <x:v>SCA-31</x:v>
      </x:c>
      <x:c r="B3760" s="27" t="str">
        <x:v>SCA-09</x:v>
      </x:c>
      <x:c r="C3760" s="27" t="str">
        <x:v>Water</x:v>
      </x:c>
      <x:c r="D3760" s="27" t="str">
        <x:v>NO</x:v>
      </x:c>
      <x:c r="E3760" s="27" t="str">
        <x:v>NO</x:v>
      </x:c>
      <x:c r="F3760" s="61"/>
      <x:c r="G3760" s="61"/>
      <x:c r="H3760" s="27" t="str">
        <x:v>NO</x:v>
      </x:c>
      <x:c r="I3760" s="27" t="str">
        <x:v>no screened path</x:v>
      </x:c>
      <x:c r="J3760" s="27" t="str">
        <x:v>presence does not prove operability or capacity</x:v>
      </x:c>
    </x:row>
    <x:row r="3761" ht="54" hidden="0" customHeight="1">
      <x:c r="A3761" s="29" t="str">
        <x:v>SCA-31</x:v>
      </x:c>
      <x:c r="B3761" s="29" t="str">
        <x:v>SCA-10</x:v>
      </x:c>
      <x:c r="C3761" s="29" t="str">
        <x:v>Road</x:v>
      </x:c>
      <x:c r="D3761" s="29" t="str">
        <x:v>YES</x:v>
      </x:c>
      <x:c r="E3761" s="29" t="str">
        <x:v>YES</x:v>
      </x:c>
      <x:c r="F3761" s="62" t="n">
        <x:v>4148.7438454109715</x:v>
      </x:c>
      <x:c r="G3761" s="62" t="n">
        <x:v>95.43170628019948</x:v>
      </x:c>
      <x:c r="H3761" s="29" t="str">
        <x:v>NO</x:v>
      </x:c>
      <x:c r="I3761" s="29" t="str">
        <x:v>NHPN-gated shared-boundary SCA path</x:v>
      </x:c>
      <x:c r="J3761" s="29" t="str">
        <x:v>presence does not prove operability or capacity</x:v>
      </x:c>
    </x:row>
    <x:row r="3762" ht="64.80000305175781" hidden="0" customHeight="1">
      <x:c r="A3762" s="27" t="str">
        <x:v>SCA-31</x:v>
      </x:c>
      <x:c r="B3762" s="27" t="str">
        <x:v>SCA-10</x:v>
      </x:c>
      <x:c r="C3762" s="27" t="str">
        <x:v>Rail</x:v>
      </x:c>
      <x:c r="D3762" s="27" t="str">
        <x:v>YES</x:v>
      </x:c>
      <x:c r="E3762" s="27" t="str">
        <x:v>YES</x:v>
      </x:c>
      <x:c r="F3762" s="61" t="n">
        <x:v>4401.276079479467</x:v>
      </x:c>
      <x:c r="G3762" s="61" t="n">
        <x:v>88.87537256399239</x:v>
      </x:c>
      <x:c r="H3762" s="27" t="str">
        <x:v>NO</x:v>
      </x:c>
      <x:c r="I3762" s="27" t="str">
        <x:v>NARN shared-node topology; deployable terminal required</x:v>
      </x:c>
      <x:c r="J3762" s="27" t="str">
        <x:v>presence does not prove operability or capacity</x:v>
      </x:c>
    </x:row>
    <x:row r="3763" ht="54" hidden="0" customHeight="1">
      <x:c r="A3763" s="29" t="str">
        <x:v>SCA-31</x:v>
      </x:c>
      <x:c r="B3763" s="29" t="str">
        <x:v>SCA-10</x:v>
      </x:c>
      <x:c r="C3763" s="29" t="str">
        <x:v>Air</x:v>
      </x:c>
      <x:c r="D3763" s="29" t="str">
        <x:v>YES</x:v>
      </x:c>
      <x:c r="E3763" s="29" t="str">
        <x:v>YES</x:v>
      </x:c>
      <x:c r="F3763" s="62" t="n">
        <x:v>3261.1490783430354</x:v>
      </x:c>
      <x:c r="G3763" s="62" t="n">
        <x:v>29.017152428220054</x:v>
      </x:c>
      <x:c r="H3763" s="29" t="str">
        <x:v>YES</x:v>
      </x:c>
      <x:c r="I3763" s="29" t="str">
        <x:v>primary-airport endpoints; great-circle screen</x:v>
      </x:c>
      <x:c r="J3763" s="29" t="str">
        <x:v>presence does not prove operability or capacity</x:v>
      </x:c>
    </x:row>
    <x:row r="3764" ht="54" hidden="0" customHeight="1">
      <x:c r="A3764" s="27" t="str">
        <x:v>SCA-31</x:v>
      </x:c>
      <x:c r="B3764" s="27" t="str">
        <x:v>SCA-10</x:v>
      </x:c>
      <x:c r="C3764" s="27" t="str">
        <x:v>Water</x:v>
      </x:c>
      <x:c r="D3764" s="27" t="str">
        <x:v>NO</x:v>
      </x:c>
      <x:c r="E3764" s="27" t="str">
        <x:v>NO</x:v>
      </x:c>
      <x:c r="F3764" s="61"/>
      <x:c r="G3764" s="61"/>
      <x:c r="H3764" s="27" t="str">
        <x:v>NO</x:v>
      </x:c>
      <x:c r="I3764" s="27" t="str">
        <x:v>no screened path</x:v>
      </x:c>
      <x:c r="J3764" s="27" t="str">
        <x:v>presence does not prove operability or capacity</x:v>
      </x:c>
    </x:row>
    <x:row r="3765" ht="54" hidden="0" customHeight="1">
      <x:c r="A3765" s="29" t="str">
        <x:v>SCA-31</x:v>
      </x:c>
      <x:c r="B3765" s="29" t="str">
        <x:v>SCA-11</x:v>
      </x:c>
      <x:c r="C3765" s="29" t="str">
        <x:v>Road</x:v>
      </x:c>
      <x:c r="D3765" s="29" t="str">
        <x:v>YES</x:v>
      </x:c>
      <x:c r="E3765" s="29" t="str">
        <x:v>YES</x:v>
      </x:c>
      <x:c r="F3765" s="62" t="n">
        <x:v>3859.1617305682075</x:v>
      </x:c>
      <x:c r="G3765" s="62" t="n">
        <x:v>90.16657691942196</x:v>
      </x:c>
      <x:c r="H3765" s="29" t="str">
        <x:v>NO</x:v>
      </x:c>
      <x:c r="I3765" s="29" t="str">
        <x:v>NHPN-gated shared-boundary SCA path</x:v>
      </x:c>
      <x:c r="J3765" s="29" t="str">
        <x:v>presence does not prove operability or capacity</x:v>
      </x:c>
    </x:row>
    <x:row r="3766" ht="64.80000305175781" hidden="0" customHeight="1">
      <x:c r="A3766" s="27" t="str">
        <x:v>SCA-31</x:v>
      </x:c>
      <x:c r="B3766" s="27" t="str">
        <x:v>SCA-11</x:v>
      </x:c>
      <x:c r="C3766" s="27" t="str">
        <x:v>Rail</x:v>
      </x:c>
      <x:c r="D3766" s="27" t="str">
        <x:v>YES</x:v>
      </x:c>
      <x:c r="E3766" s="27" t="str">
        <x:v>YES</x:v>
      </x:c>
      <x:c r="F3766" s="61" t="n">
        <x:v>4094.067227211489</x:v>
      </x:c>
      <x:c r="G3766" s="61" t="n">
        <x:v>84.48667467444984</x:v>
      </x:c>
      <x:c r="H3766" s="27" t="str">
        <x:v>NO</x:v>
      </x:c>
      <x:c r="I3766" s="27" t="str">
        <x:v>NARN shared-node topology; deployable terminal required</x:v>
      </x:c>
      <x:c r="J3766" s="27" t="str">
        <x:v>presence does not prove operability or capacity</x:v>
      </x:c>
    </x:row>
    <x:row r="3767" ht="54" hidden="0" customHeight="1">
      <x:c r="A3767" s="29" t="str">
        <x:v>SCA-31</x:v>
      </x:c>
      <x:c r="B3767" s="29" t="str">
        <x:v>SCA-11</x:v>
      </x:c>
      <x:c r="C3767" s="29" t="str">
        <x:v>Air</x:v>
      </x:c>
      <x:c r="D3767" s="29" t="str">
        <x:v>YES</x:v>
      </x:c>
      <x:c r="E3767" s="29" t="str">
        <x:v>YES</x:v>
      </x:c>
      <x:c r="F3767" s="62" t="n">
        <x:v>3100.078366874909</x:v>
      </x:c>
      <x:c r="G3767" s="62" t="n">
        <x:v>28.769351333653706</x:v>
      </x:c>
      <x:c r="H3767" s="29" t="str">
        <x:v>YES</x:v>
      </x:c>
      <x:c r="I3767" s="29" t="str">
        <x:v>primary-airport endpoints; great-circle screen</x:v>
      </x:c>
      <x:c r="J3767" s="29" t="str">
        <x:v>presence does not prove operability or capacity</x:v>
      </x:c>
    </x:row>
    <x:row r="3768" ht="54" hidden="0" customHeight="1">
      <x:c r="A3768" s="27" t="str">
        <x:v>SCA-31</x:v>
      </x:c>
      <x:c r="B3768" s="27" t="str">
        <x:v>SCA-11</x:v>
      </x:c>
      <x:c r="C3768" s="27" t="str">
        <x:v>Water</x:v>
      </x:c>
      <x:c r="D3768" s="27" t="str">
        <x:v>NO</x:v>
      </x:c>
      <x:c r="E3768" s="27" t="str">
        <x:v>NO</x:v>
      </x:c>
      <x:c r="F3768" s="61"/>
      <x:c r="G3768" s="61"/>
      <x:c r="H3768" s="27" t="str">
        <x:v>NO</x:v>
      </x:c>
      <x:c r="I3768" s="27" t="str">
        <x:v>no screened path</x:v>
      </x:c>
      <x:c r="J3768" s="27" t="str">
        <x:v>presence does not prove operability or capacity</x:v>
      </x:c>
    </x:row>
    <x:row r="3769" ht="54" hidden="0" customHeight="1">
      <x:c r="A3769" s="29" t="str">
        <x:v>SCA-31</x:v>
      </x:c>
      <x:c r="B3769" s="29" t="str">
        <x:v>SCA-12</x:v>
      </x:c>
      <x:c r="C3769" s="29" t="str">
        <x:v>Road</x:v>
      </x:c>
      <x:c r="D3769" s="29" t="str">
        <x:v>YES</x:v>
      </x:c>
      <x:c r="E3769" s="29" t="str">
        <x:v>YES</x:v>
      </x:c>
      <x:c r="F3769" s="62" t="n">
        <x:v>3472.4858831645297</x:v>
      </x:c>
      <x:c r="G3769" s="62" t="n">
        <x:v>83.1361069666278</x:v>
      </x:c>
      <x:c r="H3769" s="29" t="str">
        <x:v>NO</x:v>
      </x:c>
      <x:c r="I3769" s="29" t="str">
        <x:v>NHPN-gated shared-boundary SCA path</x:v>
      </x:c>
      <x:c r="J3769" s="29" t="str">
        <x:v>presence does not prove operability or capacity</x:v>
      </x:c>
    </x:row>
    <x:row r="3770" ht="64.80000305175781" hidden="0" customHeight="1">
      <x:c r="A3770" s="27" t="str">
        <x:v>SCA-31</x:v>
      </x:c>
      <x:c r="B3770" s="27" t="str">
        <x:v>SCA-12</x:v>
      </x:c>
      <x:c r="C3770" s="27" t="str">
        <x:v>Rail</x:v>
      </x:c>
      <x:c r="D3770" s="27" t="str">
        <x:v>YES</x:v>
      </x:c>
      <x:c r="E3770" s="27" t="str">
        <x:v>YES</x:v>
      </x:c>
      <x:c r="F3770" s="61" t="n">
        <x:v>3683.854589096284</x:v>
      </x:c>
      <x:c r="G3770" s="61" t="n">
        <x:v>78.6264941299469</x:v>
      </x:c>
      <x:c r="H3770" s="27" t="str">
        <x:v>NO</x:v>
      </x:c>
      <x:c r="I3770" s="27" t="str">
        <x:v>NARN shared-node topology; deployable terminal required</x:v>
      </x:c>
      <x:c r="J3770" s="27" t="str">
        <x:v>presence does not prove operability or capacity</x:v>
      </x:c>
    </x:row>
    <x:row r="3771" ht="54" hidden="0" customHeight="1">
      <x:c r="A3771" s="29" t="str">
        <x:v>SCA-31</x:v>
      </x:c>
      <x:c r="B3771" s="29" t="str">
        <x:v>SCA-12</x:v>
      </x:c>
      <x:c r="C3771" s="29" t="str">
        <x:v>Air</x:v>
      </x:c>
      <x:c r="D3771" s="29" t="str">
        <x:v>YES</x:v>
      </x:c>
      <x:c r="E3771" s="29" t="str">
        <x:v>YES</x:v>
      </x:c>
      <x:c r="F3771" s="62" t="n">
        <x:v>2791.558745609774</x:v>
      </x:c>
      <x:c r="G3771" s="62" t="n">
        <x:v>28.294705762476575</x:v>
      </x:c>
      <x:c r="H3771" s="29" t="str">
        <x:v>YES</x:v>
      </x:c>
      <x:c r="I3771" s="29" t="str">
        <x:v>primary-airport endpoints; great-circle screen</x:v>
      </x:c>
      <x:c r="J3771" s="29" t="str">
        <x:v>presence does not prove operability or capacity</x:v>
      </x:c>
    </x:row>
    <x:row r="3772" ht="54" hidden="0" customHeight="1">
      <x:c r="A3772" s="27" t="str">
        <x:v>SCA-31</x:v>
      </x:c>
      <x:c r="B3772" s="27" t="str">
        <x:v>SCA-12</x:v>
      </x:c>
      <x:c r="C3772" s="27" t="str">
        <x:v>Water</x:v>
      </x:c>
      <x:c r="D3772" s="27" t="str">
        <x:v>NO</x:v>
      </x:c>
      <x:c r="E3772" s="27" t="str">
        <x:v>NO</x:v>
      </x:c>
      <x:c r="F3772" s="61"/>
      <x:c r="G3772" s="61"/>
      <x:c r="H3772" s="27" t="str">
        <x:v>NO</x:v>
      </x:c>
      <x:c r="I3772" s="27" t="str">
        <x:v>no screened path</x:v>
      </x:c>
      <x:c r="J3772" s="27" t="str">
        <x:v>presence does not prove operability or capacity</x:v>
      </x:c>
    </x:row>
    <x:row r="3773" ht="54" hidden="0" customHeight="1">
      <x:c r="A3773" s="29" t="str">
        <x:v>SCA-31</x:v>
      </x:c>
      <x:c r="B3773" s="29" t="str">
        <x:v>SCA-13</x:v>
      </x:c>
      <x:c r="C3773" s="29" t="str">
        <x:v>Road</x:v>
      </x:c>
      <x:c r="D3773" s="29" t="str">
        <x:v>NO</x:v>
      </x:c>
      <x:c r="E3773" s="29" t="str">
        <x:v>NO</x:v>
      </x:c>
      <x:c r="F3773" s="62"/>
      <x:c r="G3773" s="62"/>
      <x:c r="H3773" s="29" t="str">
        <x:v>NO</x:v>
      </x:c>
      <x:c r="I3773" s="29" t="str">
        <x:v>no screened path</x:v>
      </x:c>
      <x:c r="J3773" s="29" t="str">
        <x:v>presence does not prove operability or capacity</x:v>
      </x:c>
    </x:row>
    <x:row r="3774" ht="64.80000305175781" hidden="0" customHeight="1">
      <x:c r="A3774" s="27" t="str">
        <x:v>SCA-31</x:v>
      </x:c>
      <x:c r="B3774" s="27" t="str">
        <x:v>SCA-13</x:v>
      </x:c>
      <x:c r="C3774" s="27" t="str">
        <x:v>Rail</x:v>
      </x:c>
      <x:c r="D3774" s="27" t="str">
        <x:v>YES</x:v>
      </x:c>
      <x:c r="E3774" s="27" t="str">
        <x:v>YES</x:v>
      </x:c>
      <x:c r="F3774" s="61" t="n">
        <x:v>3557.5373801543988</x:v>
      </x:c>
      <x:c r="G3774" s="61" t="n">
        <x:v>76.82196257363427</x:v>
      </x:c>
      <x:c r="H3774" s="27" t="str">
        <x:v>NO</x:v>
      </x:c>
      <x:c r="I3774" s="27" t="str">
        <x:v>NARN shared-node topology; deployable terminal required</x:v>
      </x:c>
      <x:c r="J3774" s="27" t="str">
        <x:v>presence does not prove operability or capacity</x:v>
      </x:c>
    </x:row>
    <x:row r="3775" ht="54" hidden="0" customHeight="1">
      <x:c r="A3775" s="29" t="str">
        <x:v>SCA-31</x:v>
      </x:c>
      <x:c r="B3775" s="29" t="str">
        <x:v>SCA-13</x:v>
      </x:c>
      <x:c r="C3775" s="29" t="str">
        <x:v>Air</x:v>
      </x:c>
      <x:c r="D3775" s="29" t="str">
        <x:v>YES</x:v>
      </x:c>
      <x:c r="E3775" s="29" t="str">
        <x:v>YES</x:v>
      </x:c>
      <x:c r="F3775" s="62" t="n">
        <x:v>2749.2584647040717</x:v>
      </x:c>
      <x:c r="G3775" s="62" t="n">
        <x:v>28.229628407237033</x:v>
      </x:c>
      <x:c r="H3775" s="29" t="str">
        <x:v>YES</x:v>
      </x:c>
      <x:c r="I3775" s="29" t="str">
        <x:v>primary-airport endpoints; great-circle screen</x:v>
      </x:c>
      <x:c r="J3775" s="29" t="str">
        <x:v>presence does not prove operability or capacity</x:v>
      </x:c>
    </x:row>
    <x:row r="3776" ht="75.5999984741211" hidden="0" customHeight="1">
      <x:c r="A3776" s="27" t="str">
        <x:v>SCA-31</x:v>
      </x:c>
      <x:c r="B3776" s="27" t="str">
        <x:v>SCA-13</x:v>
      </x:c>
      <x:c r="C3776" s="27" t="str">
        <x:v>Water</x:v>
      </x:c>
      <x:c r="D3776" s="27" t="str">
        <x:v>YES</x:v>
      </x:c>
      <x:c r="E3776" s="27" t="str">
        <x:v>YES</x:v>
      </x:c>
      <x:c r="F3776" s="61" t="n">
        <x:v>3732.498234916091</x:v>
      </x:c>
      <x:c r="G3776" s="61" t="n">
        <x:v>136.6428067118883</x:v>
      </x:c>
      <x:c r="H3776" s="27" t="str">
        <x:v>NO</x:v>
      </x:c>
      <x:c r="I3776" s="27" t="str">
        <x:v>USACE waterway node topology; deployable terminal required</x:v>
      </x:c>
      <x:c r="J3776" s="27" t="str">
        <x:v>presence does not prove operability or capacity</x:v>
      </x:c>
    </x:row>
    <x:row r="3777" ht="54" hidden="0" customHeight="1">
      <x:c r="A3777" s="29" t="str">
        <x:v>SCA-31</x:v>
      </x:c>
      <x:c r="B3777" s="29" t="str">
        <x:v>SCA-14</x:v>
      </x:c>
      <x:c r="C3777" s="29" t="str">
        <x:v>Road</x:v>
      </x:c>
      <x:c r="D3777" s="29" t="str">
        <x:v>NO</x:v>
      </x:c>
      <x:c r="E3777" s="29" t="str">
        <x:v>NO</x:v>
      </x:c>
      <x:c r="F3777" s="62"/>
      <x:c r="G3777" s="62"/>
      <x:c r="H3777" s="29" t="str">
        <x:v>NO</x:v>
      </x:c>
      <x:c r="I3777" s="29" t="str">
        <x:v>no screened path</x:v>
      </x:c>
      <x:c r="J3777" s="29" t="str">
        <x:v>presence does not prove operability or capacity</x:v>
      </x:c>
    </x:row>
    <x:row r="3778" ht="64.80000305175781" hidden="0" customHeight="1">
      <x:c r="A3778" s="27" t="str">
        <x:v>SCA-31</x:v>
      </x:c>
      <x:c r="B3778" s="27" t="str">
        <x:v>SCA-14</x:v>
      </x:c>
      <x:c r="C3778" s="27" t="str">
        <x:v>Rail</x:v>
      </x:c>
      <x:c r="D3778" s="27" t="str">
        <x:v>YES</x:v>
      </x:c>
      <x:c r="E3778" s="27" t="str">
        <x:v>YES</x:v>
      </x:c>
      <x:c r="F3778" s="61" t="n">
        <x:v>3985.667008630117</x:v>
      </x:c>
      <x:c r="G3778" s="61" t="n">
        <x:v>82.93810012328738</x:v>
      </x:c>
      <x:c r="H3778" s="27" t="str">
        <x:v>NO</x:v>
      </x:c>
      <x:c r="I3778" s="27" t="str">
        <x:v>NARN shared-node topology; deployable terminal required</x:v>
      </x:c>
      <x:c r="J3778" s="27" t="str">
        <x:v>presence does not prove operability or capacity</x:v>
      </x:c>
    </x:row>
    <x:row r="3779" ht="54" hidden="0" customHeight="1">
      <x:c r="A3779" s="29" t="str">
        <x:v>SCA-31</x:v>
      </x:c>
      <x:c r="B3779" s="29" t="str">
        <x:v>SCA-14</x:v>
      </x:c>
      <x:c r="C3779" s="29" t="str">
        <x:v>Air</x:v>
      </x:c>
      <x:c r="D3779" s="29" t="str">
        <x:v>YES</x:v>
      </x:c>
      <x:c r="E3779" s="29" t="str">
        <x:v>YES</x:v>
      </x:c>
      <x:c r="F3779" s="62" t="n">
        <x:v>2972.9028085388304</x:v>
      </x:c>
      <x:c r="G3779" s="62" t="n">
        <x:v>28.573696628521276</x:v>
      </x:c>
      <x:c r="H3779" s="29" t="str">
        <x:v>YES</x:v>
      </x:c>
      <x:c r="I3779" s="29" t="str">
        <x:v>primary-airport endpoints; great-circle screen</x:v>
      </x:c>
      <x:c r="J3779" s="29" t="str">
        <x:v>presence does not prove operability or capacity</x:v>
      </x:c>
    </x:row>
    <x:row r="3780" ht="75.5999984741211" hidden="0" customHeight="1">
      <x:c r="A3780" s="27" t="str">
        <x:v>SCA-31</x:v>
      </x:c>
      <x:c r="B3780" s="27" t="str">
        <x:v>SCA-14</x:v>
      </x:c>
      <x:c r="C3780" s="27" t="str">
        <x:v>Water</x:v>
      </x:c>
      <x:c r="D3780" s="27" t="str">
        <x:v>YES</x:v>
      </x:c>
      <x:c r="E3780" s="27" t="str">
        <x:v>YES</x:v>
      </x:c>
      <x:c r="F3780" s="61" t="n">
        <x:v>3913.3316790220697</x:v>
      </x:c>
      <x:c r="G3780" s="61" t="n">
        <x:v>141.8094765434877</x:v>
      </x:c>
      <x:c r="H3780" s="27" t="str">
        <x:v>NO</x:v>
      </x:c>
      <x:c r="I3780" s="27" t="str">
        <x:v>USACE waterway node topology; deployable terminal required</x:v>
      </x:c>
      <x:c r="J3780" s="27" t="str">
        <x:v>presence does not prove operability or capacity</x:v>
      </x:c>
    </x:row>
    <x:row r="3781" ht="54" hidden="0" customHeight="1">
      <x:c r="A3781" s="29" t="str">
        <x:v>SCA-31</x:v>
      </x:c>
      <x:c r="B3781" s="29" t="str">
        <x:v>SCA-15</x:v>
      </x:c>
      <x:c r="C3781" s="29" t="str">
        <x:v>Road</x:v>
      </x:c>
      <x:c r="D3781" s="29" t="str">
        <x:v>YES</x:v>
      </x:c>
      <x:c r="E3781" s="29" t="str">
        <x:v>YES</x:v>
      </x:c>
      <x:c r="F3781" s="62" t="n">
        <x:v>2953.7840621037703</x:v>
      </x:c>
      <x:c r="G3781" s="62" t="n">
        <x:v>73.7051647655231</x:v>
      </x:c>
      <x:c r="H3781" s="29" t="str">
        <x:v>NO</x:v>
      </x:c>
      <x:c r="I3781" s="29" t="str">
        <x:v>NHPN-gated shared-boundary SCA path</x:v>
      </x:c>
      <x:c r="J3781" s="29" t="str">
        <x:v>presence does not prove operability or capacity</x:v>
      </x:c>
    </x:row>
    <x:row r="3782" ht="64.80000305175781" hidden="0" customHeight="1">
      <x:c r="A3782" s="27" t="str">
        <x:v>SCA-31</x:v>
      </x:c>
      <x:c r="B3782" s="27" t="str">
        <x:v>SCA-15</x:v>
      </x:c>
      <x:c r="C3782" s="27" t="str">
        <x:v>Rail</x:v>
      </x:c>
      <x:c r="D3782" s="27" t="str">
        <x:v>YES</x:v>
      </x:c>
      <x:c r="E3782" s="27" t="str">
        <x:v>YES</x:v>
      </x:c>
      <x:c r="F3782" s="61" t="n">
        <x:v>3133.579613710086</x:v>
      </x:c>
      <x:c r="G3782" s="61" t="n">
        <x:v>70.76542305300123</x:v>
      </x:c>
      <x:c r="H3782" s="27" t="str">
        <x:v>YES</x:v>
      </x:c>
      <x:c r="I3782" s="27" t="str">
        <x:v>NARN shared-node topology; deployable terminal required</x:v>
      </x:c>
      <x:c r="J3782" s="27" t="str">
        <x:v>presence does not prove operability or capacity</x:v>
      </x:c>
    </x:row>
    <x:row r="3783" ht="54" hidden="0" customHeight="1">
      <x:c r="A3783" s="29" t="str">
        <x:v>SCA-31</x:v>
      </x:c>
      <x:c r="B3783" s="29" t="str">
        <x:v>SCA-15</x:v>
      </x:c>
      <x:c r="C3783" s="29" t="str">
        <x:v>Air</x:v>
      </x:c>
      <x:c r="D3783" s="29" t="str">
        <x:v>YES</x:v>
      </x:c>
      <x:c r="E3783" s="29" t="str">
        <x:v>YES</x:v>
      </x:c>
      <x:c r="F3783" s="62" t="n">
        <x:v>2438.0191965902736</x:v>
      </x:c>
      <x:c r="G3783" s="62" t="n">
        <x:v>27.750798763985035</x:v>
      </x:c>
      <x:c r="H3783" s="29" t="str">
        <x:v>YES</x:v>
      </x:c>
      <x:c r="I3783" s="29" t="str">
        <x:v>primary-airport endpoints; great-circle screen</x:v>
      </x:c>
      <x:c r="J3783" s="29" t="str">
        <x:v>presence does not prove operability or capacity</x:v>
      </x:c>
    </x:row>
    <x:row r="3784" ht="75.5999984741211" hidden="0" customHeight="1">
      <x:c r="A3784" s="27" t="str">
        <x:v>SCA-31</x:v>
      </x:c>
      <x:c r="B3784" s="27" t="str">
        <x:v>SCA-15</x:v>
      </x:c>
      <x:c r="C3784" s="27" t="str">
        <x:v>Water</x:v>
      </x:c>
      <x:c r="D3784" s="27" t="str">
        <x:v>YES</x:v>
      </x:c>
      <x:c r="E3784" s="27" t="str">
        <x:v>YES</x:v>
      </x:c>
      <x:c r="F3784" s="61" t="n">
        <x:v>3595.5704521687207</x:v>
      </x:c>
      <x:c r="G3784" s="61" t="n">
        <x:v>132.73058434767773</x:v>
      </x:c>
      <x:c r="H3784" s="27" t="str">
        <x:v>NO</x:v>
      </x:c>
      <x:c r="I3784" s="27" t="str">
        <x:v>USACE waterway node topology; deployable terminal required</x:v>
      </x:c>
      <x:c r="J3784" s="27" t="str">
        <x:v>presence does not prove operability or capacity</x:v>
      </x:c>
    </x:row>
    <x:row r="3785" ht="54" hidden="0" customHeight="1">
      <x:c r="A3785" s="29" t="str">
        <x:v>SCA-31</x:v>
      </x:c>
      <x:c r="B3785" s="29" t="str">
        <x:v>SCA-16</x:v>
      </x:c>
      <x:c r="C3785" s="29" t="str">
        <x:v>Road</x:v>
      </x:c>
      <x:c r="D3785" s="29" t="str">
        <x:v>YES</x:v>
      </x:c>
      <x:c r="E3785" s="29" t="str">
        <x:v>YES</x:v>
      </x:c>
      <x:c r="F3785" s="62" t="n">
        <x:v>2580.368641171429</x:v>
      </x:c>
      <x:c r="G3785" s="62" t="n">
        <x:v>66.91579347584417</x:v>
      </x:c>
      <x:c r="H3785" s="29" t="str">
        <x:v>YES</x:v>
      </x:c>
      <x:c r="I3785" s="29" t="str">
        <x:v>NHPN-gated shared-boundary SCA path</x:v>
      </x:c>
      <x:c r="J3785" s="29" t="str">
        <x:v>presence does not prove operability or capacity</x:v>
      </x:c>
    </x:row>
    <x:row r="3786" ht="64.80000305175781" hidden="0" customHeight="1">
      <x:c r="A3786" s="27" t="str">
        <x:v>SCA-31</x:v>
      </x:c>
      <x:c r="B3786" s="27" t="str">
        <x:v>SCA-16</x:v>
      </x:c>
      <x:c r="C3786" s="27" t="str">
        <x:v>Rail</x:v>
      </x:c>
      <x:c r="D3786" s="27" t="str">
        <x:v>YES</x:v>
      </x:c>
      <x:c r="E3786" s="27" t="str">
        <x:v>YES</x:v>
      </x:c>
      <x:c r="F3786" s="61" t="n">
        <x:v>2737.434558460125</x:v>
      </x:c>
      <x:c r="G3786" s="61" t="n">
        <x:v>65.10620797800178</x:v>
      </x:c>
      <x:c r="H3786" s="27" t="str">
        <x:v>YES</x:v>
      </x:c>
      <x:c r="I3786" s="27" t="str">
        <x:v>NARN shared-node topology; deployable terminal required</x:v>
      </x:c>
      <x:c r="J3786" s="27" t="str">
        <x:v>presence does not prove operability or capacity</x:v>
      </x:c>
    </x:row>
    <x:row r="3787" ht="54" hidden="0" customHeight="1">
      <x:c r="A3787" s="29" t="str">
        <x:v>SCA-31</x:v>
      </x:c>
      <x:c r="B3787" s="29" t="str">
        <x:v>SCA-16</x:v>
      </x:c>
      <x:c r="C3787" s="29" t="str">
        <x:v>Air</x:v>
      </x:c>
      <x:c r="D3787" s="29" t="str">
        <x:v>YES</x:v>
      </x:c>
      <x:c r="E3787" s="29" t="str">
        <x:v>YES</x:v>
      </x:c>
      <x:c r="F3787" s="62" t="n">
        <x:v>2126.476895161152</x:v>
      </x:c>
      <x:c r="G3787" s="62" t="n">
        <x:v>27.271502915632542</x:v>
      </x:c>
      <x:c r="H3787" s="29" t="str">
        <x:v>YES</x:v>
      </x:c>
      <x:c r="I3787" s="29" t="str">
        <x:v>primary-airport endpoints; great-circle screen</x:v>
      </x:c>
      <x:c r="J3787" s="29" t="str">
        <x:v>presence does not prove operability or capacity</x:v>
      </x:c>
    </x:row>
    <x:row r="3788" ht="75.5999984741211" hidden="0" customHeight="1">
      <x:c r="A3788" s="27" t="str">
        <x:v>SCA-31</x:v>
      </x:c>
      <x:c r="B3788" s="27" t="str">
        <x:v>SCA-16</x:v>
      </x:c>
      <x:c r="C3788" s="27" t="str">
        <x:v>Water</x:v>
      </x:c>
      <x:c r="D3788" s="27" t="str">
        <x:v>YES</x:v>
      </x:c>
      <x:c r="E3788" s="27" t="str">
        <x:v>YES</x:v>
      </x:c>
      <x:c r="F3788" s="61" t="n">
        <x:v>2872.0624875647213</x:v>
      </x:c>
      <x:c r="G3788" s="61" t="n">
        <x:v>112.0589282161349</x:v>
      </x:c>
      <x:c r="H3788" s="27" t="str">
        <x:v>NO</x:v>
      </x:c>
      <x:c r="I3788" s="27" t="str">
        <x:v>USACE waterway node topology; deployable terminal required</x:v>
      </x:c>
      <x:c r="J3788" s="27" t="str">
        <x:v>presence does not prove operability or capacity</x:v>
      </x:c>
    </x:row>
    <x:row r="3789" ht="54" hidden="0" customHeight="1">
      <x:c r="A3789" s="29" t="str">
        <x:v>SCA-31</x:v>
      </x:c>
      <x:c r="B3789" s="29" t="str">
        <x:v>SCA-17</x:v>
      </x:c>
      <x:c r="C3789" s="29" t="str">
        <x:v>Road</x:v>
      </x:c>
      <x:c r="D3789" s="29" t="str">
        <x:v>YES</x:v>
      </x:c>
      <x:c r="E3789" s="29" t="str">
        <x:v>YES</x:v>
      </x:c>
      <x:c r="F3789" s="62" t="n">
        <x:v>2921.0807419869543</x:v>
      </x:c>
      <x:c r="G3789" s="62" t="n">
        <x:v>73.11055894521735</x:v>
      </x:c>
      <x:c r="H3789" s="29" t="str">
        <x:v>NO</x:v>
      </x:c>
      <x:c r="I3789" s="29" t="str">
        <x:v>NHPN-gated shared-boundary SCA path</x:v>
      </x:c>
      <x:c r="J3789" s="29" t="str">
        <x:v>presence does not prove operability or capacity</x:v>
      </x:c>
    </x:row>
    <x:row r="3790" ht="64.80000305175781" hidden="0" customHeight="1">
      <x:c r="A3790" s="27" t="str">
        <x:v>SCA-31</x:v>
      </x:c>
      <x:c r="B3790" s="27" t="str">
        <x:v>SCA-17</x:v>
      </x:c>
      <x:c r="C3790" s="27" t="str">
        <x:v>Rail</x:v>
      </x:c>
      <x:c r="D3790" s="27" t="str">
        <x:v>YES</x:v>
      </x:c>
      <x:c r="E3790" s="27" t="str">
        <x:v>YES</x:v>
      </x:c>
      <x:c r="F3790" s="61" t="n">
        <x:v>3098.885656716594</x:v>
      </x:c>
      <x:c r="G3790" s="61" t="n">
        <x:v>70.26979509595134</x:v>
      </x:c>
      <x:c r="H3790" s="27" t="str">
        <x:v>YES</x:v>
      </x:c>
      <x:c r="I3790" s="27" t="str">
        <x:v>NARN shared-node topology; deployable terminal required</x:v>
      </x:c>
      <x:c r="J3790" s="27" t="str">
        <x:v>presence does not prove operability or capacity</x:v>
      </x:c>
    </x:row>
    <x:row r="3791" ht="54" hidden="0" customHeight="1">
      <x:c r="A3791" s="29" t="str">
        <x:v>SCA-31</x:v>
      </x:c>
      <x:c r="B3791" s="29" t="str">
        <x:v>SCA-17</x:v>
      </x:c>
      <x:c r="C3791" s="29" t="str">
        <x:v>Air</x:v>
      </x:c>
      <x:c r="D3791" s="29" t="str">
        <x:v>YES</x:v>
      </x:c>
      <x:c r="E3791" s="29" t="str">
        <x:v>YES</x:v>
      </x:c>
      <x:c r="F3791" s="62" t="n">
        <x:v>2455.838217390411</x:v>
      </x:c>
      <x:c r="G3791" s="62" t="n">
        <x:v>27.778212642139096</x:v>
      </x:c>
      <x:c r="H3791" s="29" t="str">
        <x:v>YES</x:v>
      </x:c>
      <x:c r="I3791" s="29" t="str">
        <x:v>primary-airport endpoints; great-circle screen</x:v>
      </x:c>
      <x:c r="J3791" s="29" t="str">
        <x:v>presence does not prove operability or capacity</x:v>
      </x:c>
    </x:row>
    <x:row r="3792" ht="75.5999984741211" hidden="0" customHeight="1">
      <x:c r="A3792" s="27" t="str">
        <x:v>SCA-31</x:v>
      </x:c>
      <x:c r="B3792" s="27" t="str">
        <x:v>SCA-17</x:v>
      </x:c>
      <x:c r="C3792" s="27" t="str">
        <x:v>Water</x:v>
      </x:c>
      <x:c r="D3792" s="27" t="str">
        <x:v>YES</x:v>
      </x:c>
      <x:c r="E3792" s="27" t="str">
        <x:v>YES</x:v>
      </x:c>
      <x:c r="F3792" s="61" t="n">
        <x:v>3251.2898693420007</x:v>
      </x:c>
      <x:c r="G3792" s="61" t="n">
        <x:v>122.8939962669143</x:v>
      </x:c>
      <x:c r="H3792" s="27" t="str">
        <x:v>NO</x:v>
      </x:c>
      <x:c r="I3792" s="27" t="str">
        <x:v>USACE waterway node topology; deployable terminal required</x:v>
      </x:c>
      <x:c r="J3792" s="27" t="str">
        <x:v>presence does not prove operability or capacity</x:v>
      </x:c>
    </x:row>
    <x:row r="3793" ht="54" hidden="0" customHeight="1">
      <x:c r="A3793" s="29" t="str">
        <x:v>SCA-31</x:v>
      </x:c>
      <x:c r="B3793" s="29" t="str">
        <x:v>SCA-18</x:v>
      </x:c>
      <x:c r="C3793" s="29" t="str">
        <x:v>Road</x:v>
      </x:c>
      <x:c r="D3793" s="29" t="str">
        <x:v>YES</x:v>
      </x:c>
      <x:c r="E3793" s="29" t="str">
        <x:v>YES</x:v>
      </x:c>
      <x:c r="F3793" s="62" t="n">
        <x:v>2391.302956945313</x:v>
      </x:c>
      <x:c r="G3793" s="62" t="n">
        <x:v>63.47823558082387</x:v>
      </x:c>
      <x:c r="H3793" s="29" t="str">
        <x:v>YES</x:v>
      </x:c>
      <x:c r="I3793" s="29" t="str">
        <x:v>NHPN-gated shared-boundary SCA path</x:v>
      </x:c>
      <x:c r="J3793" s="29" t="str">
        <x:v>presence does not prove operability or capacity</x:v>
      </x:c>
    </x:row>
    <x:row r="3794" ht="64.80000305175781" hidden="0" customHeight="1">
      <x:c r="A3794" s="27" t="str">
        <x:v>SCA-31</x:v>
      </x:c>
      <x:c r="B3794" s="27" t="str">
        <x:v>SCA-18</x:v>
      </x:c>
      <x:c r="C3794" s="27" t="str">
        <x:v>Rail</x:v>
      </x:c>
      <x:c r="D3794" s="27" t="str">
        <x:v>YES</x:v>
      </x:c>
      <x:c r="E3794" s="27" t="str">
        <x:v>YES</x:v>
      </x:c>
      <x:c r="F3794" s="61" t="n">
        <x:v>2536.8605282376357</x:v>
      </x:c>
      <x:c r="G3794" s="61" t="n">
        <x:v>62.24086468910908</x:v>
      </x:c>
      <x:c r="H3794" s="27" t="str">
        <x:v>YES</x:v>
      </x:c>
      <x:c r="I3794" s="27" t="str">
        <x:v>NARN shared-node topology; deployable terminal required</x:v>
      </x:c>
      <x:c r="J3794" s="27" t="str">
        <x:v>presence does not prove operability or capacity</x:v>
      </x:c>
    </x:row>
    <x:row r="3795" ht="54" hidden="0" customHeight="1">
      <x:c r="A3795" s="29" t="str">
        <x:v>SCA-31</x:v>
      </x:c>
      <x:c r="B3795" s="29" t="str">
        <x:v>SCA-18</x:v>
      </x:c>
      <x:c r="C3795" s="29" t="str">
        <x:v>Air</x:v>
      </x:c>
      <x:c r="D3795" s="29" t="str">
        <x:v>YES</x:v>
      </x:c>
      <x:c r="E3795" s="29" t="str">
        <x:v>YES</x:v>
      </x:c>
      <x:c r="F3795" s="62" t="n">
        <x:v>1804.9024742278598</x:v>
      </x:c>
      <x:c r="G3795" s="62" t="n">
        <x:v>26.77677303727363</x:v>
      </x:c>
      <x:c r="H3795" s="29" t="str">
        <x:v>YES</x:v>
      </x:c>
      <x:c r="I3795" s="29" t="str">
        <x:v>primary-airport endpoints; great-circle screen</x:v>
      </x:c>
      <x:c r="J3795" s="29" t="str">
        <x:v>presence does not prove operability or capacity</x:v>
      </x:c>
    </x:row>
    <x:row r="3796" ht="75.5999984741211" hidden="0" customHeight="1">
      <x:c r="A3796" s="27" t="str">
        <x:v>SCA-31</x:v>
      </x:c>
      <x:c r="B3796" s="27" t="str">
        <x:v>SCA-18</x:v>
      </x:c>
      <x:c r="C3796" s="27" t="str">
        <x:v>Water</x:v>
      </x:c>
      <x:c r="D3796" s="27" t="str">
        <x:v>YES</x:v>
      </x:c>
      <x:c r="E3796" s="27" t="str">
        <x:v>YES</x:v>
      </x:c>
      <x:c r="F3796" s="61" t="n">
        <x:v>2602.164736722957</x:v>
      </x:c>
      <x:c r="G3796" s="61" t="n">
        <x:v>104.3475639063702</x:v>
      </x:c>
      <x:c r="H3796" s="27" t="str">
        <x:v>NO</x:v>
      </x:c>
      <x:c r="I3796" s="27" t="str">
        <x:v>USACE waterway node topology; deployable terminal required</x:v>
      </x:c>
      <x:c r="J3796" s="27" t="str">
        <x:v>presence does not prove operability or capacity</x:v>
      </x:c>
    </x:row>
    <x:row r="3797" ht="54" hidden="0" customHeight="1">
      <x:c r="A3797" s="29" t="str">
        <x:v>SCA-31</x:v>
      </x:c>
      <x:c r="B3797" s="29" t="str">
        <x:v>SCA-19</x:v>
      </x:c>
      <x:c r="C3797" s="29" t="str">
        <x:v>Road</x:v>
      </x:c>
      <x:c r="D3797" s="29" t="str">
        <x:v>YES</x:v>
      </x:c>
      <x:c r="E3797" s="29" t="str">
        <x:v>YES</x:v>
      </x:c>
      <x:c r="F3797" s="62" t="n">
        <x:v>2058.883467242413</x:v>
      </x:c>
      <x:c r="G3797" s="62" t="n">
        <x:v>57.434244858952965</x:v>
      </x:c>
      <x:c r="H3797" s="29" t="str">
        <x:v>YES</x:v>
      </x:c>
      <x:c r="I3797" s="29" t="str">
        <x:v>NHPN-gated shared-boundary SCA path</x:v>
      </x:c>
      <x:c r="J3797" s="29" t="str">
        <x:v>presence does not prove operability or capacity</x:v>
      </x:c>
    </x:row>
    <x:row r="3798" ht="64.80000305175781" hidden="0" customHeight="1">
      <x:c r="A3798" s="27" t="str">
        <x:v>SCA-31</x:v>
      </x:c>
      <x:c r="B3798" s="27" t="str">
        <x:v>SCA-19</x:v>
      </x:c>
      <x:c r="C3798" s="27" t="str">
        <x:v>Rail</x:v>
      </x:c>
      <x:c r="D3798" s="27" t="str">
        <x:v>YES</x:v>
      </x:c>
      <x:c r="E3798" s="27" t="str">
        <x:v>YES</x:v>
      </x:c>
      <x:c r="F3798" s="61" t="n">
        <x:v>2184.2068087267344</x:v>
      </x:c>
      <x:c r="G3798" s="61" t="n">
        <x:v>57.20295441038192</x:v>
      </x:c>
      <x:c r="H3798" s="27" t="str">
        <x:v>YES</x:v>
      </x:c>
      <x:c r="I3798" s="27" t="str">
        <x:v>NARN shared-node topology; deployable terminal required</x:v>
      </x:c>
      <x:c r="J3798" s="27" t="str">
        <x:v>presence does not prove operability or capacity</x:v>
      </x:c>
    </x:row>
    <x:row r="3799" ht="54" hidden="0" customHeight="1">
      <x:c r="A3799" s="29" t="str">
        <x:v>SCA-31</x:v>
      </x:c>
      <x:c r="B3799" s="29" t="str">
        <x:v>SCA-19</x:v>
      </x:c>
      <x:c r="C3799" s="29" t="str">
        <x:v>Air</x:v>
      </x:c>
      <x:c r="D3799" s="29" t="str">
        <x:v>YES</x:v>
      </x:c>
      <x:c r="E3799" s="29" t="str">
        <x:v>YES</x:v>
      </x:c>
      <x:c r="F3799" s="62" t="n">
        <x:v>1683.9410467309676</x:v>
      </x:c>
      <x:c r="G3799" s="62" t="n">
        <x:v>26.590678533432257</x:v>
      </x:c>
      <x:c r="H3799" s="29" t="str">
        <x:v>YES</x:v>
      </x:c>
      <x:c r="I3799" s="29" t="str">
        <x:v>primary-airport endpoints; great-circle screen</x:v>
      </x:c>
      <x:c r="J3799" s="29" t="str">
        <x:v>presence does not prove operability or capacity</x:v>
      </x:c>
    </x:row>
    <x:row r="3800" ht="75.5999984741211" hidden="0" customHeight="1">
      <x:c r="A3800" s="27" t="str">
        <x:v>SCA-31</x:v>
      </x:c>
      <x:c r="B3800" s="27" t="str">
        <x:v>SCA-19</x:v>
      </x:c>
      <x:c r="C3800" s="27" t="str">
        <x:v>Water</x:v>
      </x:c>
      <x:c r="D3800" s="27" t="str">
        <x:v>YES</x:v>
      </x:c>
      <x:c r="E3800" s="27" t="str">
        <x:v>YES</x:v>
      </x:c>
      <x:c r="F3800" s="61" t="n">
        <x:v>2291.626815713295</x:v>
      </x:c>
      <x:c r="G3800" s="61" t="n">
        <x:v>95.47505187752272</x:v>
      </x:c>
      <x:c r="H3800" s="27" t="str">
        <x:v>NO</x:v>
      </x:c>
      <x:c r="I3800" s="27" t="str">
        <x:v>USACE waterway node topology; deployable terminal required</x:v>
      </x:c>
      <x:c r="J3800" s="27" t="str">
        <x:v>presence does not prove operability or capacity</x:v>
      </x:c>
    </x:row>
    <x:row r="3801" ht="54" hidden="0" customHeight="1">
      <x:c r="A3801" s="29" t="str">
        <x:v>SCA-31</x:v>
      </x:c>
      <x:c r="B3801" s="29" t="str">
        <x:v>SCA-20</x:v>
      </x:c>
      <x:c r="C3801" s="29" t="str">
        <x:v>Road</x:v>
      </x:c>
      <x:c r="D3801" s="29" t="str">
        <x:v>YES</x:v>
      </x:c>
      <x:c r="E3801" s="29" t="str">
        <x:v>YES</x:v>
      </x:c>
      <x:c r="F3801" s="62" t="n">
        <x:v>2230.7907174233205</x:v>
      </x:c>
      <x:c r="G3801" s="62" t="n">
        <x:v>60.559831225878554</x:v>
      </x:c>
      <x:c r="H3801" s="29" t="str">
        <x:v>YES</x:v>
      </x:c>
      <x:c r="I3801" s="29" t="str">
        <x:v>NHPN-gated shared-boundary SCA path</x:v>
      </x:c>
      <x:c r="J3801" s="29" t="str">
        <x:v>presence does not prove operability or capacity</x:v>
      </x:c>
    </x:row>
    <x:row r="3802" ht="64.80000305175781" hidden="0" customHeight="1">
      <x:c r="A3802" s="27" t="str">
        <x:v>SCA-31</x:v>
      </x:c>
      <x:c r="B3802" s="27" t="str">
        <x:v>SCA-20</x:v>
      </x:c>
      <x:c r="C3802" s="27" t="str">
        <x:v>Rail</x:v>
      </x:c>
      <x:c r="D3802" s="27" t="str">
        <x:v>YES</x:v>
      </x:c>
      <x:c r="E3802" s="27" t="str">
        <x:v>YES</x:v>
      </x:c>
      <x:c r="F3802" s="61" t="n">
        <x:v>2366.57797848387</x:v>
      </x:c>
      <x:c r="G3802" s="61" t="n">
        <x:v>59.80825683548386</x:v>
      </x:c>
      <x:c r="H3802" s="27" t="str">
        <x:v>YES</x:v>
      </x:c>
      <x:c r="I3802" s="27" t="str">
        <x:v>NARN shared-node topology; deployable terminal required</x:v>
      </x:c>
      <x:c r="J3802" s="27" t="str">
        <x:v>presence does not prove operability or capacity</x:v>
      </x:c>
    </x:row>
    <x:row r="3803" ht="54" hidden="0" customHeight="1">
      <x:c r="A3803" s="29" t="str">
        <x:v>SCA-31</x:v>
      </x:c>
      <x:c r="B3803" s="29" t="str">
        <x:v>SCA-20</x:v>
      </x:c>
      <x:c r="C3803" s="29" t="str">
        <x:v>Air</x:v>
      </x:c>
      <x:c r="D3803" s="29" t="str">
        <x:v>YES</x:v>
      </x:c>
      <x:c r="E3803" s="29" t="str">
        <x:v>YES</x:v>
      </x:c>
      <x:c r="F3803" s="62" t="n">
        <x:v>1864.1174227857275</x:v>
      </x:c>
      <x:c r="G3803" s="62" t="n">
        <x:v>26.86787295813189</x:v>
      </x:c>
      <x:c r="H3803" s="29" t="str">
        <x:v>YES</x:v>
      </x:c>
      <x:c r="I3803" s="29" t="str">
        <x:v>primary-airport endpoints; great-circle screen</x:v>
      </x:c>
      <x:c r="J3803" s="29" t="str">
        <x:v>presence does not prove operability or capacity</x:v>
      </x:c>
    </x:row>
    <x:row r="3804" ht="75.5999984741211" hidden="0" customHeight="1">
      <x:c r="A3804" s="27" t="str">
        <x:v>SCA-31</x:v>
      </x:c>
      <x:c r="B3804" s="27" t="str">
        <x:v>SCA-20</x:v>
      </x:c>
      <x:c r="C3804" s="27" t="str">
        <x:v>Water</x:v>
      </x:c>
      <x:c r="D3804" s="27" t="str">
        <x:v>YES</x:v>
      </x:c>
      <x:c r="E3804" s="27" t="str">
        <x:v>YES</x:v>
      </x:c>
      <x:c r="F3804" s="61" t="n">
        <x:v>2482.967059392913</x:v>
      </x:c>
      <x:c r="G3804" s="61" t="n">
        <x:v>100.94191598265466</x:v>
      </x:c>
      <x:c r="H3804" s="27" t="str">
        <x:v>NO</x:v>
      </x:c>
      <x:c r="I3804" s="27" t="str">
        <x:v>USACE waterway node topology; deployable terminal required</x:v>
      </x:c>
      <x:c r="J3804" s="27" t="str">
        <x:v>presence does not prove operability or capacity</x:v>
      </x:c>
    </x:row>
    <x:row r="3805" ht="54" hidden="0" customHeight="1">
      <x:c r="A3805" s="29" t="str">
        <x:v>SCA-31</x:v>
      </x:c>
      <x:c r="B3805" s="29" t="str">
        <x:v>SCA-21</x:v>
      </x:c>
      <x:c r="C3805" s="29" t="str">
        <x:v>Road</x:v>
      </x:c>
      <x:c r="D3805" s="29" t="str">
        <x:v>YES</x:v>
      </x:c>
      <x:c r="E3805" s="29" t="str">
        <x:v>YES</x:v>
      </x:c>
      <x:c r="F3805" s="62" t="n">
        <x:v>1749.7014108394478</x:v>
      </x:c>
      <x:c r="G3805" s="62" t="n">
        <x:v>51.812752924353596</x:v>
      </x:c>
      <x:c r="H3805" s="29" t="str">
        <x:v>YES</x:v>
      </x:c>
      <x:c r="I3805" s="29" t="str">
        <x:v>NHPN-gated shared-boundary SCA path</x:v>
      </x:c>
      <x:c r="J3805" s="29" t="str">
        <x:v>presence does not prove operability or capacity</x:v>
      </x:c>
    </x:row>
    <x:row r="3806" ht="64.80000305175781" hidden="0" customHeight="1">
      <x:c r="A3806" s="27" t="str">
        <x:v>SCA-31</x:v>
      </x:c>
      <x:c r="B3806" s="27" t="str">
        <x:v>SCA-21</x:v>
      </x:c>
      <x:c r="C3806" s="27" t="str">
        <x:v>Rail</x:v>
      </x:c>
      <x:c r="D3806" s="27" t="str">
        <x:v>YES</x:v>
      </x:c>
      <x:c r="E3806" s="27" t="str">
        <x:v>YES</x:v>
      </x:c>
      <x:c r="F3806" s="61" t="n">
        <x:v>1856.2049749775008</x:v>
      </x:c>
      <x:c r="G3806" s="61" t="n">
        <x:v>52.517213928250015</x:v>
      </x:c>
      <x:c r="H3806" s="27" t="str">
        <x:v>YES</x:v>
      </x:c>
      <x:c r="I3806" s="27" t="str">
        <x:v>NARN shared-node topology; deployable terminal required</x:v>
      </x:c>
      <x:c r="J3806" s="27" t="str">
        <x:v>presence does not prove operability or capacity</x:v>
      </x:c>
    </x:row>
    <x:row r="3807" ht="54" hidden="0" customHeight="1">
      <x:c r="A3807" s="29" t="str">
        <x:v>SCA-31</x:v>
      </x:c>
      <x:c r="B3807" s="29" t="str">
        <x:v>SCA-21</x:v>
      </x:c>
      <x:c r="C3807" s="29" t="str">
        <x:v>Air</x:v>
      </x:c>
      <x:c r="D3807" s="29" t="str">
        <x:v>YES</x:v>
      </x:c>
      <x:c r="E3807" s="29" t="str">
        <x:v>YES</x:v>
      </x:c>
      <x:c r="F3807" s="62" t="n">
        <x:v>1344.8394053125296</x:v>
      </x:c>
      <x:c r="G3807" s="62" t="n">
        <x:v>26.068983700480814</x:v>
      </x:c>
      <x:c r="H3807" s="29" t="str">
        <x:v>YES</x:v>
      </x:c>
      <x:c r="I3807" s="29" t="str">
        <x:v>primary-airport endpoints; great-circle screen</x:v>
      </x:c>
      <x:c r="J3807" s="29" t="str">
        <x:v>presence does not prove operability or capacity</x:v>
      </x:c>
    </x:row>
    <x:row r="3808" ht="75.5999984741211" hidden="0" customHeight="1">
      <x:c r="A3808" s="27" t="str">
        <x:v>SCA-31</x:v>
      </x:c>
      <x:c r="B3808" s="27" t="str">
        <x:v>SCA-21</x:v>
      </x:c>
      <x:c r="C3808" s="27" t="str">
        <x:v>Water</x:v>
      </x:c>
      <x:c r="D3808" s="27" t="str">
        <x:v>YES</x:v>
      </x:c>
      <x:c r="E3808" s="27" t="str">
        <x:v>YES</x:v>
      </x:c>
      <x:c r="F3808" s="61" t="n">
        <x:v>1947.4937442386895</x:v>
      </x:c>
      <x:c r="G3808" s="61" t="n">
        <x:v>85.6426784068197</x:v>
      </x:c>
      <x:c r="H3808" s="27" t="str">
        <x:v>NO</x:v>
      </x:c>
      <x:c r="I3808" s="27" t="str">
        <x:v>USACE waterway node topology; deployable terminal required</x:v>
      </x:c>
      <x:c r="J3808" s="27" t="str">
        <x:v>presence does not prove operability or capacity</x:v>
      </x:c>
    </x:row>
    <x:row r="3809" ht="54" hidden="0" customHeight="1">
      <x:c r="A3809" s="29" t="str">
        <x:v>SCA-31</x:v>
      </x:c>
      <x:c r="B3809" s="29" t="str">
        <x:v>SCA-22</x:v>
      </x:c>
      <x:c r="C3809" s="29" t="str">
        <x:v>Road</x:v>
      </x:c>
      <x:c r="D3809" s="29" t="str">
        <x:v>YES</x:v>
      </x:c>
      <x:c r="E3809" s="29" t="str">
        <x:v>YES</x:v>
      </x:c>
      <x:c r="F3809" s="62" t="n">
        <x:v>1501.3008363820843</x:v>
      </x:c>
      <x:c r="G3809" s="62" t="n">
        <x:v>47.29637884331062</x:v>
      </x:c>
      <x:c r="H3809" s="29" t="str">
        <x:v>YES</x:v>
      </x:c>
      <x:c r="I3809" s="29" t="str">
        <x:v>NHPN-gated shared-boundary SCA path</x:v>
      </x:c>
      <x:c r="J3809" s="29" t="str">
        <x:v>presence does not prove operability or capacity</x:v>
      </x:c>
    </x:row>
    <x:row r="3810" ht="64.80000305175781" hidden="0" customHeight="1">
      <x:c r="A3810" s="27" t="str">
        <x:v>SCA-31</x:v>
      </x:c>
      <x:c r="B3810" s="27" t="str">
        <x:v>SCA-22</x:v>
      </x:c>
      <x:c r="C3810" s="27" t="str">
        <x:v>Rail</x:v>
      </x:c>
      <x:c r="D3810" s="27" t="str">
        <x:v>YES</x:v>
      </x:c>
      <x:c r="E3810" s="27" t="str">
        <x:v>YES</x:v>
      </x:c>
      <x:c r="F3810" s="61" t="n">
        <x:v>1592.6843655531677</x:v>
      </x:c>
      <x:c r="G3810" s="61" t="n">
        <x:v>48.75263379361668</x:v>
      </x:c>
      <x:c r="H3810" s="27" t="str">
        <x:v>YES</x:v>
      </x:c>
      <x:c r="I3810" s="27" t="str">
        <x:v>NARN shared-node topology; deployable terminal required</x:v>
      </x:c>
      <x:c r="J3810" s="27" t="str">
        <x:v>presence does not prove operability or capacity</x:v>
      </x:c>
    </x:row>
    <x:row r="3811" ht="54" hidden="0" customHeight="1">
      <x:c r="A3811" s="29" t="str">
        <x:v>SCA-31</x:v>
      </x:c>
      <x:c r="B3811" s="29" t="str">
        <x:v>SCA-22</x:v>
      </x:c>
      <x:c r="C3811" s="29" t="str">
        <x:v>Air</x:v>
      </x:c>
      <x:c r="D3811" s="29" t="str">
        <x:v>YES</x:v>
      </x:c>
      <x:c r="E3811" s="29" t="str">
        <x:v>YES</x:v>
      </x:c>
      <x:c r="F3811" s="62" t="n">
        <x:v>1257.2444691421306</x:v>
      </x:c>
      <x:c r="G3811" s="62" t="n">
        <x:v>25.93422226021866</x:v>
      </x:c>
      <x:c r="H3811" s="29" t="str">
        <x:v>YES</x:v>
      </x:c>
      <x:c r="I3811" s="29" t="str">
        <x:v>primary-airport endpoints; great-circle screen</x:v>
      </x:c>
      <x:c r="J3811" s="29" t="str">
        <x:v>presence does not prove operability or capacity</x:v>
      </x:c>
    </x:row>
    <x:row r="3812" ht="75.5999984741211" hidden="0" customHeight="1">
      <x:c r="A3812" s="27" t="str">
        <x:v>SCA-31</x:v>
      </x:c>
      <x:c r="B3812" s="27" t="str">
        <x:v>SCA-22</x:v>
      </x:c>
      <x:c r="C3812" s="27" t="str">
        <x:v>Water</x:v>
      </x:c>
      <x:c r="D3812" s="27" t="str">
        <x:v>YES</x:v>
      </x:c>
      <x:c r="E3812" s="27" t="str">
        <x:v>YES</x:v>
      </x:c>
      <x:c r="F3812" s="61" t="n">
        <x:v>1671.0131048426679</x:v>
      </x:c>
      <x:c r="G3812" s="61" t="n">
        <x:v>77.74323156693336</x:v>
      </x:c>
      <x:c r="H3812" s="27" t="str">
        <x:v>NO</x:v>
      </x:c>
      <x:c r="I3812" s="27" t="str">
        <x:v>USACE waterway node topology; deployable terminal required</x:v>
      </x:c>
      <x:c r="J3812" s="27" t="str">
        <x:v>presence does not prove operability or capacity</x:v>
      </x:c>
    </x:row>
    <x:row r="3813" ht="54" hidden="0" customHeight="1">
      <x:c r="A3813" s="29" t="str">
        <x:v>SCA-31</x:v>
      </x:c>
      <x:c r="B3813" s="29" t="str">
        <x:v>SCA-23</x:v>
      </x:c>
      <x:c r="C3813" s="29" t="str">
        <x:v>Road</x:v>
      </x:c>
      <x:c r="D3813" s="29" t="str">
        <x:v>YES</x:v>
      </x:c>
      <x:c r="E3813" s="29" t="str">
        <x:v>YES</x:v>
      </x:c>
      <x:c r="F3813" s="62" t="n">
        <x:v>1779.5664161546663</x:v>
      </x:c>
      <x:c r="G3813" s="62" t="n">
        <x:v>52.35575302099393</x:v>
      </x:c>
      <x:c r="H3813" s="29" t="str">
        <x:v>YES</x:v>
      </x:c>
      <x:c r="I3813" s="29" t="str">
        <x:v>NHPN-gated shared-boundary SCA path</x:v>
      </x:c>
      <x:c r="J3813" s="29" t="str">
        <x:v>presence does not prove operability or capacity</x:v>
      </x:c>
    </x:row>
    <x:row r="3814" ht="64.80000305175781" hidden="0" customHeight="1">
      <x:c r="A3814" s="27" t="str">
        <x:v>SCA-31</x:v>
      </x:c>
      <x:c r="B3814" s="27" t="str">
        <x:v>SCA-23</x:v>
      </x:c>
      <x:c r="C3814" s="27" t="str">
        <x:v>Rail</x:v>
      </x:c>
      <x:c r="D3814" s="27" t="str">
        <x:v>YES</x:v>
      </x:c>
      <x:c r="E3814" s="27" t="str">
        <x:v>YES</x:v>
      </x:c>
      <x:c r="F3814" s="61" t="n">
        <x:v>1887.8878501814715</x:v>
      </x:c>
      <x:c r="G3814" s="61" t="n">
        <x:v>52.96982643116388</x:v>
      </x:c>
      <x:c r="H3814" s="27" t="str">
        <x:v>YES</x:v>
      </x:c>
      <x:c r="I3814" s="27" t="str">
        <x:v>NARN shared-node topology; deployable terminal required</x:v>
      </x:c>
      <x:c r="J3814" s="27" t="str">
        <x:v>presence does not prove operability or capacity</x:v>
      </x:c>
    </x:row>
    <x:row r="3815" ht="54" hidden="0" customHeight="1">
      <x:c r="A3815" s="29" t="str">
        <x:v>SCA-31</x:v>
      </x:c>
      <x:c r="B3815" s="29" t="str">
        <x:v>SCA-23</x:v>
      </x:c>
      <x:c r="C3815" s="29" t="str">
        <x:v>Air</x:v>
      </x:c>
      <x:c r="D3815" s="29" t="str">
        <x:v>YES</x:v>
      </x:c>
      <x:c r="E3815" s="29" t="str">
        <x:v>YES</x:v>
      </x:c>
      <x:c r="F3815" s="62" t="n">
        <x:v>1499.4560905158776</x:v>
      </x:c>
      <x:c r="G3815" s="62" t="n">
        <x:v>26.30685552387058</x:v>
      </x:c>
      <x:c r="H3815" s="29" t="str">
        <x:v>YES</x:v>
      </x:c>
      <x:c r="I3815" s="29" t="str">
        <x:v>primary-airport endpoints; great-circle screen</x:v>
      </x:c>
      <x:c r="J3815" s="29" t="str">
        <x:v>presence does not prove operability or capacity</x:v>
      </x:c>
    </x:row>
    <x:row r="3816" ht="75.5999984741211" hidden="0" customHeight="1">
      <x:c r="A3816" s="27" t="str">
        <x:v>SCA-31</x:v>
      </x:c>
      <x:c r="B3816" s="27" t="str">
        <x:v>SCA-23</x:v>
      </x:c>
      <x:c r="C3816" s="27" t="str">
        <x:v>Water</x:v>
      </x:c>
      <x:c r="D3816" s="27" t="str">
        <x:v>YES</x:v>
      </x:c>
      <x:c r="E3816" s="27" t="str">
        <x:v>YES</x:v>
      </x:c>
      <x:c r="F3816" s="61" t="n">
        <x:v>2658.3211214359644</x:v>
      </x:c>
      <x:c r="G3816" s="61" t="n">
        <x:v>105.95203204102755</x:v>
      </x:c>
      <x:c r="H3816" s="27" t="str">
        <x:v>NO</x:v>
      </x:c>
      <x:c r="I3816" s="27" t="str">
        <x:v>USACE waterway node topology; deployable terminal required</x:v>
      </x:c>
      <x:c r="J3816" s="27" t="str">
        <x:v>presence does not prove operability or capacity</x:v>
      </x:c>
    </x:row>
    <x:row r="3817" ht="54" hidden="0" customHeight="1">
      <x:c r="A3817" s="29" t="str">
        <x:v>SCA-31</x:v>
      </x:c>
      <x:c r="B3817" s="29" t="str">
        <x:v>SCA-24</x:v>
      </x:c>
      <x:c r="C3817" s="29" t="str">
        <x:v>Road</x:v>
      </x:c>
      <x:c r="D3817" s="29" t="str">
        <x:v>YES</x:v>
      </x:c>
      <x:c r="E3817" s="29" t="str">
        <x:v>YES</x:v>
      </x:c>
      <x:c r="F3817" s="62" t="n">
        <x:v>1352.4613576764104</x:v>
      </x:c>
      <x:c r="G3817" s="62" t="n">
        <x:v>44.59020650320746</x:v>
      </x:c>
      <x:c r="H3817" s="29" t="str">
        <x:v>YES</x:v>
      </x:c>
      <x:c r="I3817" s="29" t="str">
        <x:v>NHPN-gated shared-boundary SCA path</x:v>
      </x:c>
      <x:c r="J3817" s="29" t="str">
        <x:v>presence does not prove operability or capacity</x:v>
      </x:c>
    </x:row>
    <x:row r="3818" ht="64.80000305175781" hidden="0" customHeight="1">
      <x:c r="A3818" s="27" t="str">
        <x:v>SCA-31</x:v>
      </x:c>
      <x:c r="B3818" s="27" t="str">
        <x:v>SCA-24</x:v>
      </x:c>
      <x:c r="C3818" s="27" t="str">
        <x:v>Rail</x:v>
      </x:c>
      <x:c r="D3818" s="27" t="str">
        <x:v>YES</x:v>
      </x:c>
      <x:c r="E3818" s="27" t="str">
        <x:v>YES</x:v>
      </x:c>
      <x:c r="F3818" s="61" t="n">
        <x:v>1434.7850924914958</x:v>
      </x:c>
      <x:c r="G3818" s="61" t="n">
        <x:v>46.49692989273565</x:v>
      </x:c>
      <x:c r="H3818" s="27" t="str">
        <x:v>YES</x:v>
      </x:c>
      <x:c r="I3818" s="27" t="str">
        <x:v>NARN shared-node topology; deployable terminal required</x:v>
      </x:c>
      <x:c r="J3818" s="27" t="str">
        <x:v>presence does not prove operability or capacity</x:v>
      </x:c>
    </x:row>
    <x:row r="3819" ht="54" hidden="0" customHeight="1">
      <x:c r="A3819" s="29" t="str">
        <x:v>SCA-31</x:v>
      </x:c>
      <x:c r="B3819" s="29" t="str">
        <x:v>SCA-24</x:v>
      </x:c>
      <x:c r="C3819" s="29" t="str">
        <x:v>Air</x:v>
      </x:c>
      <x:c r="D3819" s="29" t="str">
        <x:v>YES</x:v>
      </x:c>
      <x:c r="E3819" s="29" t="str">
        <x:v>YES</x:v>
      </x:c>
      <x:c r="F3819" s="62" t="n">
        <x:v>999.8860195669783</x:v>
      </x:c>
      <x:c r="G3819" s="62" t="n">
        <x:v>25.538286183949197</x:v>
      </x:c>
      <x:c r="H3819" s="29" t="str">
        <x:v>YES</x:v>
      </x:c>
      <x:c r="I3819" s="29" t="str">
        <x:v>primary-airport endpoints; great-circle screen</x:v>
      </x:c>
      <x:c r="J3819" s="29" t="str">
        <x:v>presence does not prove operability or capacity</x:v>
      </x:c>
    </x:row>
    <x:row r="3820" ht="75.5999984741211" hidden="0" customHeight="1">
      <x:c r="A3820" s="27" t="str">
        <x:v>SCA-31</x:v>
      </x:c>
      <x:c r="B3820" s="27" t="str">
        <x:v>SCA-24</x:v>
      </x:c>
      <x:c r="C3820" s="27" t="str">
        <x:v>Water</x:v>
      </x:c>
      <x:c r="D3820" s="27" t="str">
        <x:v>YES</x:v>
      </x:c>
      <x:c r="E3820" s="27" t="str">
        <x:v>YES</x:v>
      </x:c>
      <x:c r="F3820" s="61" t="n">
        <x:v>1505.3482937615695</x:v>
      </x:c>
      <x:c r="G3820" s="61" t="n">
        <x:v>73.00995125033056</x:v>
      </x:c>
      <x:c r="H3820" s="27" t="str">
        <x:v>NO</x:v>
      </x:c>
      <x:c r="I3820" s="27" t="str">
        <x:v>USACE waterway node topology; deployable terminal required</x:v>
      </x:c>
      <x:c r="J3820" s="27" t="str">
        <x:v>presence does not prove operability or capacity</x:v>
      </x:c>
    </x:row>
    <x:row r="3821" ht="54" hidden="0" customHeight="1">
      <x:c r="A3821" s="29" t="str">
        <x:v>SCA-31</x:v>
      </x:c>
      <x:c r="B3821" s="29" t="str">
        <x:v>SCA-25</x:v>
      </x:c>
      <x:c r="C3821" s="29" t="str">
        <x:v>Road</x:v>
      </x:c>
      <x:c r="D3821" s="29" t="str">
        <x:v>YES</x:v>
      </x:c>
      <x:c r="E3821" s="29" t="str">
        <x:v>YES</x:v>
      </x:c>
      <x:c r="F3821" s="62" t="n">
        <x:v>1896.715661662025</x:v>
      </x:c>
      <x:c r="G3821" s="62" t="n">
        <x:v>54.48573930294591</x:v>
      </x:c>
      <x:c r="H3821" s="29" t="str">
        <x:v>YES</x:v>
      </x:c>
      <x:c r="I3821" s="29" t="str">
        <x:v>NHPN-gated shared-boundary SCA path</x:v>
      </x:c>
      <x:c r="J3821" s="29" t="str">
        <x:v>presence does not prove operability or capacity</x:v>
      </x:c>
    </x:row>
    <x:row r="3822" ht="64.80000305175781" hidden="0" customHeight="1">
      <x:c r="A3822" s="27" t="str">
        <x:v>SCA-31</x:v>
      </x:c>
      <x:c r="B3822" s="27" t="str">
        <x:v>SCA-25</x:v>
      </x:c>
      <x:c r="C3822" s="27" t="str">
        <x:v>Rail</x:v>
      </x:c>
      <x:c r="D3822" s="27" t="str">
        <x:v>YES</x:v>
      </x:c>
      <x:c r="E3822" s="27" t="str">
        <x:v>YES</x:v>
      </x:c>
      <x:c r="F3822" s="61" t="n">
        <x:v>2012.1679193284094</x:v>
      </x:c>
      <x:c r="G3822" s="61" t="n">
        <x:v>54.74525599040585</x:v>
      </x:c>
      <x:c r="H3822" s="27" t="str">
        <x:v>YES</x:v>
      </x:c>
      <x:c r="I3822" s="27" t="str">
        <x:v>NARN shared-node topology; deployable terminal required</x:v>
      </x:c>
      <x:c r="J3822" s="27" t="str">
        <x:v>presence does not prove operability or capacity</x:v>
      </x:c>
    </x:row>
    <x:row r="3823" ht="54" hidden="0" customHeight="1">
      <x:c r="A3823" s="29" t="str">
        <x:v>SCA-31</x:v>
      </x:c>
      <x:c r="B3823" s="29" t="str">
        <x:v>SCA-25</x:v>
      </x:c>
      <x:c r="C3823" s="29" t="str">
        <x:v>Air</x:v>
      </x:c>
      <x:c r="D3823" s="29" t="str">
        <x:v>YES</x:v>
      </x:c>
      <x:c r="E3823" s="29" t="str">
        <x:v>YES</x:v>
      </x:c>
      <x:c r="F3823" s="62" t="n">
        <x:v>1638.489943869655</x:v>
      </x:c>
      <x:c r="G3823" s="62" t="n">
        <x:v>26.52075375979947</x:v>
      </x:c>
      <x:c r="H3823" s="29" t="str">
        <x:v>YES</x:v>
      </x:c>
      <x:c r="I3823" s="29" t="str">
        <x:v>primary-airport endpoints; great-circle screen</x:v>
      </x:c>
      <x:c r="J3823" s="29" t="str">
        <x:v>presence does not prove operability or capacity</x:v>
      </x:c>
    </x:row>
    <x:row r="3824" ht="75.5999984741211" hidden="0" customHeight="1">
      <x:c r="A3824" s="27" t="str">
        <x:v>SCA-31</x:v>
      </x:c>
      <x:c r="B3824" s="27" t="str">
        <x:v>SCA-25</x:v>
      </x:c>
      <x:c r="C3824" s="27" t="str">
        <x:v>Water</x:v>
      </x:c>
      <x:c r="D3824" s="27" t="str">
        <x:v>YES</x:v>
      </x:c>
      <x:c r="E3824" s="27" t="str">
        <x:v>YES</x:v>
      </x:c>
      <x:c r="F3824" s="61" t="n">
        <x:v>2107.8274255256315</x:v>
      </x:c>
      <x:c r="G3824" s="61" t="n">
        <x:v>90.22364072930375</x:v>
      </x:c>
      <x:c r="H3824" s="27" t="str">
        <x:v>NO</x:v>
      </x:c>
      <x:c r="I3824" s="27" t="str">
        <x:v>USACE waterway node topology; deployable terminal required</x:v>
      </x:c>
      <x:c r="J3824" s="27" t="str">
        <x:v>presence does not prove operability or capacity</x:v>
      </x:c>
    </x:row>
    <x:row r="3825" ht="54" hidden="0" customHeight="1">
      <x:c r="A3825" s="29" t="str">
        <x:v>SCA-31</x:v>
      </x:c>
      <x:c r="B3825" s="29" t="str">
        <x:v>SCA-26</x:v>
      </x:c>
      <x:c r="C3825" s="29" t="str">
        <x:v>Road</x:v>
      </x:c>
      <x:c r="D3825" s="29" t="str">
        <x:v>YES</x:v>
      </x:c>
      <x:c r="E3825" s="29" t="str">
        <x:v>YES</x:v>
      </x:c>
      <x:c r="F3825" s="62" t="n">
        <x:v>2225.2151174268474</x:v>
      </x:c>
      <x:c r="G3825" s="62" t="n">
        <x:v>60.45845668048813</x:v>
      </x:c>
      <x:c r="H3825" s="29" t="str">
        <x:v>YES</x:v>
      </x:c>
      <x:c r="I3825" s="29" t="str">
        <x:v>NHPN-gated shared-boundary SCA path</x:v>
      </x:c>
      <x:c r="J3825" s="29" t="str">
        <x:v>presence does not prove operability or capacity</x:v>
      </x:c>
    </x:row>
    <x:row r="3826" ht="64.80000305175781" hidden="0" customHeight="1">
      <x:c r="A3826" s="27" t="str">
        <x:v>SCA-31</x:v>
      </x:c>
      <x:c r="B3826" s="27" t="str">
        <x:v>SCA-26</x:v>
      </x:c>
      <x:c r="C3826" s="27" t="str">
        <x:v>Rail</x:v>
      </x:c>
      <x:c r="D3826" s="27" t="str">
        <x:v>YES</x:v>
      </x:c>
      <x:c r="E3826" s="27" t="str">
        <x:v>YES</x:v>
      </x:c>
      <x:c r="F3826" s="61" t="n">
        <x:v>2360.662994139786</x:v>
      </x:c>
      <x:c r="G3826" s="61" t="n">
        <x:v>59.7237570591398</x:v>
      </x:c>
      <x:c r="H3826" s="27" t="str">
        <x:v>YES</x:v>
      </x:c>
      <x:c r="I3826" s="27" t="str">
        <x:v>NARN shared-node topology; deployable terminal required</x:v>
      </x:c>
      <x:c r="J3826" s="27" t="str">
        <x:v>presence does not prove operability or capacity</x:v>
      </x:c>
    </x:row>
    <x:row r="3827" ht="54" hidden="0" customHeight="1">
      <x:c r="A3827" s="29" t="str">
        <x:v>SCA-31</x:v>
      </x:c>
      <x:c r="B3827" s="29" t="str">
        <x:v>SCA-26</x:v>
      </x:c>
      <x:c r="C3827" s="29" t="str">
        <x:v>Air</x:v>
      </x:c>
      <x:c r="D3827" s="29" t="str">
        <x:v>YES</x:v>
      </x:c>
      <x:c r="E3827" s="29" t="str">
        <x:v>YES</x:v>
      </x:c>
      <x:c r="F3827" s="62" t="n">
        <x:v>1876.3676507265861</x:v>
      </x:c>
      <x:c r="G3827" s="62" t="n">
        <x:v>26.886719462656288</x:v>
      </x:c>
      <x:c r="H3827" s="29" t="str">
        <x:v>YES</x:v>
      </x:c>
      <x:c r="I3827" s="29" t="str">
        <x:v>primary-airport endpoints; great-circle screen</x:v>
      </x:c>
      <x:c r="J3827" s="29" t="str">
        <x:v>presence does not prove operability or capacity</x:v>
      </x:c>
    </x:row>
    <x:row r="3828" ht="75.5999984741211" hidden="0" customHeight="1">
      <x:c r="A3828" s="27" t="str">
        <x:v>SCA-31</x:v>
      </x:c>
      <x:c r="B3828" s="27" t="str">
        <x:v>SCA-26</x:v>
      </x:c>
      <x:c r="C3828" s="27" t="str">
        <x:v>Water</x:v>
      </x:c>
      <x:c r="D3828" s="27" t="str">
        <x:v>YES</x:v>
      </x:c>
      <x:c r="E3828" s="27" t="str">
        <x:v>YES</x:v>
      </x:c>
      <x:c r="F3828" s="61" t="n">
        <x:v>2473.4616023769117</x:v>
      </x:c>
      <x:c r="G3828" s="61" t="n">
        <x:v>100.67033149648319</x:v>
      </x:c>
      <x:c r="H3828" s="27" t="str">
        <x:v>NO</x:v>
      </x:c>
      <x:c r="I3828" s="27" t="str">
        <x:v>USACE waterway node topology; deployable terminal required</x:v>
      </x:c>
      <x:c r="J3828" s="27" t="str">
        <x:v>presence does not prove operability or capacity</x:v>
      </x:c>
    </x:row>
    <x:row r="3829" ht="54" hidden="0" customHeight="1">
      <x:c r="A3829" s="29" t="str">
        <x:v>SCA-31</x:v>
      </x:c>
      <x:c r="B3829" s="29" t="str">
        <x:v>SCA-27</x:v>
      </x:c>
      <x:c r="C3829" s="29" t="str">
        <x:v>Road</x:v>
      </x:c>
      <x:c r="D3829" s="29" t="str">
        <x:v>YES</x:v>
      </x:c>
      <x:c r="E3829" s="29" t="str">
        <x:v>YES</x:v>
      </x:c>
      <x:c r="F3829" s="62" t="n">
        <x:v>2504.843381546396</x:v>
      </x:c>
      <x:c r="G3829" s="62" t="n">
        <x:v>65.5426069372072</x:v>
      </x:c>
      <x:c r="H3829" s="29" t="str">
        <x:v>YES</x:v>
      </x:c>
      <x:c r="I3829" s="29" t="str">
        <x:v>NHPN-gated shared-boundary SCA path</x:v>
      </x:c>
      <x:c r="J3829" s="29" t="str">
        <x:v>presence does not prove operability or capacity</x:v>
      </x:c>
    </x:row>
    <x:row r="3830" ht="64.80000305175781" hidden="0" customHeight="1">
      <x:c r="A3830" s="27" t="str">
        <x:v>SCA-31</x:v>
      </x:c>
      <x:c r="B3830" s="27" t="str">
        <x:v>SCA-27</x:v>
      </x:c>
      <x:c r="C3830" s="27" t="str">
        <x:v>Rail</x:v>
      </x:c>
      <x:c r="D3830" s="27" t="str">
        <x:v>YES</x:v>
      </x:c>
      <x:c r="E3830" s="27" t="str">
        <x:v>YES</x:v>
      </x:c>
      <x:c r="F3830" s="61" t="n">
        <x:v>2657.312109118786</x:v>
      </x:c>
      <x:c r="G3830" s="61" t="n">
        <x:v>63.961601558839796</x:v>
      </x:c>
      <x:c r="H3830" s="27" t="str">
        <x:v>YES</x:v>
      </x:c>
      <x:c r="I3830" s="27" t="str">
        <x:v>NARN shared-node topology; deployable terminal required</x:v>
      </x:c>
      <x:c r="J3830" s="27" t="str">
        <x:v>presence does not prove operability or capacity</x:v>
      </x:c>
    </x:row>
    <x:row r="3831" ht="54" hidden="0" customHeight="1">
      <x:c r="A3831" s="29" t="str">
        <x:v>SCA-31</x:v>
      </x:c>
      <x:c r="B3831" s="29" t="str">
        <x:v>SCA-27</x:v>
      </x:c>
      <x:c r="C3831" s="29" t="str">
        <x:v>Air</x:v>
      </x:c>
      <x:c r="D3831" s="29" t="str">
        <x:v>YES</x:v>
      </x:c>
      <x:c r="E3831" s="29" t="str">
        <x:v>YES</x:v>
      </x:c>
      <x:c r="F3831" s="62" t="n">
        <x:v>2007.0328912526313</x:v>
      </x:c>
      <x:c r="G3831" s="62" t="n">
        <x:v>27.087742909619433</x:v>
      </x:c>
      <x:c r="H3831" s="29" t="str">
        <x:v>YES</x:v>
      </x:c>
      <x:c r="I3831" s="29" t="str">
        <x:v>primary-airport endpoints; great-circle screen</x:v>
      </x:c>
      <x:c r="J3831" s="29" t="str">
        <x:v>presence does not prove operability or capacity</x:v>
      </x:c>
    </x:row>
    <x:row r="3832" ht="75.5999984741211" hidden="0" customHeight="1">
      <x:c r="A3832" s="27" t="str">
        <x:v>SCA-31</x:v>
      </x:c>
      <x:c r="B3832" s="27" t="str">
        <x:v>SCA-27</x:v>
      </x:c>
      <x:c r="C3832" s="27" t="str">
        <x:v>Water</x:v>
      </x:c>
      <x:c r="D3832" s="27" t="str">
        <x:v>YES</x:v>
      </x:c>
      <x:c r="E3832" s="27" t="str">
        <x:v>YES</x:v>
      </x:c>
      <x:c r="F3832" s="61" t="n">
        <x:v>2662.301810880748</x:v>
      </x:c>
      <x:c r="G3832" s="61" t="n">
        <x:v>106.06576602516422</x:v>
      </x:c>
      <x:c r="H3832" s="27" t="str">
        <x:v>NO</x:v>
      </x:c>
      <x:c r="I3832" s="27" t="str">
        <x:v>USACE waterway node topology; deployable terminal required</x:v>
      </x:c>
      <x:c r="J3832" s="27" t="str">
        <x:v>presence does not prove operability or capacity</x:v>
      </x:c>
    </x:row>
    <x:row r="3833" ht="54" hidden="0" customHeight="1">
      <x:c r="A3833" s="29" t="str">
        <x:v>SCA-31</x:v>
      </x:c>
      <x:c r="B3833" s="29" t="str">
        <x:v>SCA-28</x:v>
      </x:c>
      <x:c r="C3833" s="29" t="str">
        <x:v>Road</x:v>
      </x:c>
      <x:c r="D3833" s="29" t="str">
        <x:v>YES</x:v>
      </x:c>
      <x:c r="E3833" s="29" t="str">
        <x:v>YES</x:v>
      </x:c>
      <x:c r="F3833" s="62" t="n">
        <x:v>856.6458611177461</x:v>
      </x:c>
      <x:c r="G3833" s="62" t="n">
        <x:v>35.57537929304993</x:v>
      </x:c>
      <x:c r="H3833" s="29" t="str">
        <x:v>YES</x:v>
      </x:c>
      <x:c r="I3833" s="29" t="str">
        <x:v>NHPN-gated shared-boundary SCA path</x:v>
      </x:c>
      <x:c r="J3833" s="29" t="str">
        <x:v>presence does not prove operability or capacity</x:v>
      </x:c>
    </x:row>
    <x:row r="3834" ht="64.80000305175781" hidden="0" customHeight="1">
      <x:c r="A3834" s="27" t="str">
        <x:v>SCA-31</x:v>
      </x:c>
      <x:c r="B3834" s="27" t="str">
        <x:v>SCA-28</x:v>
      </x:c>
      <x:c r="C3834" s="27" t="str">
        <x:v>Rail</x:v>
      </x:c>
      <x:c r="D3834" s="27" t="str">
        <x:v>YES</x:v>
      </x:c>
      <x:c r="E3834" s="27" t="str">
        <x:v>YES</x:v>
      </x:c>
      <x:c r="F3834" s="61" t="n">
        <x:v>908.7895222292609</x:v>
      </x:c>
      <x:c r="G3834" s="61" t="n">
        <x:v>38.98270746041801</x:v>
      </x:c>
      <x:c r="H3834" s="27" t="str">
        <x:v>YES</x:v>
      </x:c>
      <x:c r="I3834" s="27" t="str">
        <x:v>NARN shared-node topology; deployable terminal required</x:v>
      </x:c>
      <x:c r="J3834" s="27" t="str">
        <x:v>presence does not prove operability or capacity</x:v>
      </x:c>
    </x:row>
    <x:row r="3835" ht="54" hidden="0" customHeight="1">
      <x:c r="A3835" s="29" t="str">
        <x:v>SCA-31</x:v>
      </x:c>
      <x:c r="B3835" s="29" t="str">
        <x:v>SCA-28</x:v>
      </x:c>
      <x:c r="C3835" s="29" t="str">
        <x:v>Air</x:v>
      </x:c>
      <x:c r="D3835" s="29" t="str">
        <x:v>YES</x:v>
      </x:c>
      <x:c r="E3835" s="29" t="str">
        <x:v>YES</x:v>
      </x:c>
      <x:c r="F3835" s="62" t="n">
        <x:v>697.0092882544535</x:v>
      </x:c>
      <x:c r="G3835" s="62" t="n">
        <x:v>25.072321981929928</x:v>
      </x:c>
      <x:c r="H3835" s="29" t="str">
        <x:v>YES</x:v>
      </x:c>
      <x:c r="I3835" s="29" t="str">
        <x:v>primary-airport endpoints; great-circle screen</x:v>
      </x:c>
      <x:c r="J3835" s="29" t="str">
        <x:v>presence does not prove operability or capacity</x:v>
      </x:c>
    </x:row>
    <x:row r="3836" ht="75.5999984741211" hidden="0" customHeight="1">
      <x:c r="A3836" s="27" t="str">
        <x:v>SCA-31</x:v>
      </x:c>
      <x:c r="B3836" s="27" t="str">
        <x:v>SCA-28</x:v>
      </x:c>
      <x:c r="C3836" s="27" t="str">
        <x:v>Water</x:v>
      </x:c>
      <x:c r="D3836" s="27" t="str">
        <x:v>YES</x:v>
      </x:c>
      <x:c r="E3836" s="27" t="str">
        <x:v>YES</x:v>
      </x:c>
      <x:c r="F3836" s="61" t="n">
        <x:v>953.4840888962738</x:v>
      </x:c>
      <x:c r="G3836" s="61" t="n">
        <x:v>57.24240253989353</x:v>
      </x:c>
      <x:c r="H3836" s="27" t="str">
        <x:v>YES</x:v>
      </x:c>
      <x:c r="I3836" s="27" t="str">
        <x:v>USACE waterway node topology; deployable terminal required</x:v>
      </x:c>
      <x:c r="J3836" s="27" t="str">
        <x:v>presence does not prove operability or capacity</x:v>
      </x:c>
    </x:row>
    <x:row r="3837" ht="54" hidden="0" customHeight="1">
      <x:c r="A3837" s="29" t="str">
        <x:v>SCA-31</x:v>
      </x:c>
      <x:c r="B3837" s="29" t="str">
        <x:v>SCA-29</x:v>
      </x:c>
      <x:c r="C3837" s="29" t="str">
        <x:v>Road</x:v>
      </x:c>
      <x:c r="D3837" s="29" t="str">
        <x:v>YES</x:v>
      </x:c>
      <x:c r="E3837" s="29" t="str">
        <x:v>YES</x:v>
      </x:c>
      <x:c r="F3837" s="62" t="n">
        <x:v>1144.1114671316172</x:v>
      </x:c>
      <x:c r="G3837" s="62" t="n">
        <x:v>40.80202667512032</x:v>
      </x:c>
      <x:c r="H3837" s="29" t="str">
        <x:v>YES</x:v>
      </x:c>
      <x:c r="I3837" s="29" t="str">
        <x:v>NHPN-gated shared-boundary SCA path</x:v>
      </x:c>
      <x:c r="J3837" s="29" t="str">
        <x:v>presence does not prove operability or capacity</x:v>
      </x:c>
    </x:row>
    <x:row r="3838" ht="64.80000305175781" hidden="0" customHeight="1">
      <x:c r="A3838" s="27" t="str">
        <x:v>SCA-31</x:v>
      </x:c>
      <x:c r="B3838" s="27" t="str">
        <x:v>SCA-29</x:v>
      </x:c>
      <x:c r="C3838" s="27" t="str">
        <x:v>Rail</x:v>
      </x:c>
      <x:c r="D3838" s="27" t="str">
        <x:v>YES</x:v>
      </x:c>
      <x:c r="E3838" s="27" t="str">
        <x:v>YES</x:v>
      </x:c>
      <x:c r="F3838" s="61" t="n">
        <x:v>1213.75303469615</x:v>
      </x:c>
      <x:c r="G3838" s="61" t="n">
        <x:v>43.33932906708786</x:v>
      </x:c>
      <x:c r="H3838" s="27" t="str">
        <x:v>YES</x:v>
      </x:c>
      <x:c r="I3838" s="27" t="str">
        <x:v>NARN shared-node topology; deployable terminal required</x:v>
      </x:c>
      <x:c r="J3838" s="27" t="str">
        <x:v>presence does not prove operability or capacity</x:v>
      </x:c>
    </x:row>
    <x:row r="3839" ht="54" hidden="0" customHeight="1">
      <x:c r="A3839" s="29" t="str">
        <x:v>SCA-31</x:v>
      </x:c>
      <x:c r="B3839" s="29" t="str">
        <x:v>SCA-29</x:v>
      </x:c>
      <x:c r="C3839" s="29" t="str">
        <x:v>Air</x:v>
      </x:c>
      <x:c r="D3839" s="29" t="str">
        <x:v>YES</x:v>
      </x:c>
      <x:c r="E3839" s="29" t="str">
        <x:v>YES</x:v>
      </x:c>
      <x:c r="F3839" s="62" t="n">
        <x:v>992.3017461654575</x:v>
      </x:c>
      <x:c r="G3839" s="62" t="n">
        <x:v>25.52661807102378</x:v>
      </x:c>
      <x:c r="H3839" s="29" t="str">
        <x:v>YES</x:v>
      </x:c>
      <x:c r="I3839" s="29" t="str">
        <x:v>primary-airport endpoints; great-circle screen</x:v>
      </x:c>
      <x:c r="J3839" s="29" t="str">
        <x:v>presence does not prove operability or capacity</x:v>
      </x:c>
    </x:row>
    <x:row r="3840" ht="75.5999984741211" hidden="0" customHeight="1">
      <x:c r="A3840" s="27" t="str">
        <x:v>SCA-31</x:v>
      </x:c>
      <x:c r="B3840" s="27" t="str">
        <x:v>SCA-29</x:v>
      </x:c>
      <x:c r="C3840" s="27" t="str">
        <x:v>Water</x:v>
      </x:c>
      <x:c r="D3840" s="27" t="str">
        <x:v>YES</x:v>
      </x:c>
      <x:c r="E3840" s="27" t="str">
        <x:v>YES</x:v>
      </x:c>
      <x:c r="F3840" s="61" t="n">
        <x:v>1270.1462350917857</x:v>
      </x:c>
      <x:c r="G3840" s="61" t="n">
        <x:v>66.28989243119388</x:v>
      </x:c>
      <x:c r="H3840" s="27" t="str">
        <x:v>YES</x:v>
      </x:c>
      <x:c r="I3840" s="27" t="str">
        <x:v>USACE waterway node topology; deployable terminal required</x:v>
      </x:c>
      <x:c r="J3840" s="27" t="str">
        <x:v>presence does not prove operability or capacity</x:v>
      </x:c>
    </x:row>
    <x:row r="3841" ht="54" hidden="0" customHeight="1">
      <x:c r="A3841" s="29" t="str">
        <x:v>SCA-31</x:v>
      </x:c>
      <x:c r="B3841" s="29" t="str">
        <x:v>SCA-30</x:v>
      </x:c>
      <x:c r="C3841" s="29" t="str">
        <x:v>Road</x:v>
      </x:c>
      <x:c r="D3841" s="29" t="str">
        <x:v>YES</x:v>
      </x:c>
      <x:c r="E3841" s="29" t="str">
        <x:v>YES</x:v>
      </x:c>
      <x:c r="F3841" s="62" t="n">
        <x:v>393.0821451865061</x:v>
      </x:c>
      <x:c r="G3841" s="62" t="n">
        <x:v>27.14694809430011</x:v>
      </x:c>
      <x:c r="H3841" s="29" t="str">
        <x:v>YES</x:v>
      </x:c>
      <x:c r="I3841" s="29" t="str">
        <x:v>NHPN-gated shared-boundary SCA path</x:v>
      </x:c>
      <x:c r="J3841" s="29" t="str">
        <x:v>presence does not prove operability or capacity</x:v>
      </x:c>
    </x:row>
    <x:row r="3842" ht="64.80000305175781" hidden="0" customHeight="1">
      <x:c r="A3842" s="27" t="str">
        <x:v>SCA-31</x:v>
      </x:c>
      <x:c r="B3842" s="27" t="str">
        <x:v>SCA-30</x:v>
      </x:c>
      <x:c r="C3842" s="27" t="str">
        <x:v>Rail</x:v>
      </x:c>
      <x:c r="D3842" s="27" t="str">
        <x:v>YES</x:v>
      </x:c>
      <x:c r="E3842" s="27" t="str">
        <x:v>YES</x:v>
      </x:c>
      <x:c r="F3842" s="61" t="n">
        <x:v>417.00888445872795</x:v>
      </x:c>
      <x:c r="G3842" s="61" t="n">
        <x:v>31.95726977798183</x:v>
      </x:c>
      <x:c r="H3842" s="27" t="str">
        <x:v>YES</x:v>
      </x:c>
      <x:c r="I3842" s="27" t="str">
        <x:v>NARN shared-node topology; deployable terminal required</x:v>
      </x:c>
      <x:c r="J3842" s="27" t="str">
        <x:v>presence does not prove operability or capacity</x:v>
      </x:c>
    </x:row>
    <x:row r="3843" ht="54" hidden="0" customHeight="1">
      <x:c r="A3843" s="29" t="str">
        <x:v>SCA-31</x:v>
      </x:c>
      <x:c r="B3843" s="29" t="str">
        <x:v>SCA-30</x:v>
      </x:c>
      <x:c r="C3843" s="29" t="str">
        <x:v>Air</x:v>
      </x:c>
      <x:c r="D3843" s="29" t="str">
        <x:v>YES</x:v>
      </x:c>
      <x:c r="E3843" s="29" t="str">
        <x:v>YES</x:v>
      </x:c>
      <x:c r="F3843" s="62" t="n">
        <x:v>341.8105610317442</x:v>
      </x:c>
      <x:c r="G3843" s="62" t="n">
        <x:v>24.5258624015873</x:v>
      </x:c>
      <x:c r="H3843" s="29" t="str">
        <x:v>YES</x:v>
      </x:c>
      <x:c r="I3843" s="29" t="str">
        <x:v>primary-airport endpoints; great-circle screen</x:v>
      </x:c>
      <x:c r="J3843" s="29" t="str">
        <x:v>presence does not prove operability or capacity</x:v>
      </x:c>
    </x:row>
    <x:row r="3844" ht="75.5999984741211" hidden="0" customHeight="1">
      <x:c r="A3844" s="27" t="str">
        <x:v>SCA-31</x:v>
      </x:c>
      <x:c r="B3844" s="27" t="str">
        <x:v>SCA-30</x:v>
      </x:c>
      <x:c r="C3844" s="27" t="str">
        <x:v>Water</x:v>
      </x:c>
      <x:c r="D3844" s="27" t="str">
        <x:v>YES</x:v>
      </x:c>
      <x:c r="E3844" s="27" t="str">
        <x:v>YES</x:v>
      </x:c>
      <x:c r="F3844" s="61" t="n">
        <x:v>437.5175181206326</x:v>
      </x:c>
      <x:c r="G3844" s="61" t="n">
        <x:v>42.50050051773236</x:v>
      </x:c>
      <x:c r="H3844" s="27" t="str">
        <x:v>YES</x:v>
      </x:c>
      <x:c r="I3844" s="27" t="str">
        <x:v>USACE waterway node topology; deployable terminal required</x:v>
      </x:c>
      <x:c r="J3844" s="27" t="str">
        <x:v>presence does not prove operability or capacity</x:v>
      </x:c>
    </x:row>
    <x:row r="3845" ht="54" hidden="0" customHeight="1">
      <x:c r="A3845" s="29" t="str">
        <x:v>SCA-31</x:v>
      </x:c>
      <x:c r="B3845" s="29" t="str">
        <x:v>SCA-32</x:v>
      </x:c>
      <x:c r="C3845" s="29" t="str">
        <x:v>Road</x:v>
      </x:c>
      <x:c r="D3845" s="29" t="str">
        <x:v>NO</x:v>
      </x:c>
      <x:c r="E3845" s="29" t="str">
        <x:v>NO</x:v>
      </x:c>
      <x:c r="F3845" s="62"/>
      <x:c r="G3845" s="62"/>
      <x:c r="H3845" s="29" t="str">
        <x:v>NO</x:v>
      </x:c>
      <x:c r="I3845" s="29" t="str">
        <x:v>no screened path</x:v>
      </x:c>
      <x:c r="J3845" s="29" t="str">
        <x:v>presence does not prove operability or capacity</x:v>
      </x:c>
    </x:row>
    <x:row r="3846" ht="54" hidden="0" customHeight="1">
      <x:c r="A3846" s="27" t="str">
        <x:v>SCA-31</x:v>
      </x:c>
      <x:c r="B3846" s="27" t="str">
        <x:v>SCA-32</x:v>
      </x:c>
      <x:c r="C3846" s="27" t="str">
        <x:v>Rail</x:v>
      </x:c>
      <x:c r="D3846" s="27" t="str">
        <x:v>NO</x:v>
      </x:c>
      <x:c r="E3846" s="27" t="str">
        <x:v>NO</x:v>
      </x:c>
      <x:c r="F3846" s="61"/>
      <x:c r="G3846" s="61"/>
      <x:c r="H3846" s="27" t="str">
        <x:v>NO</x:v>
      </x:c>
      <x:c r="I3846" s="27" t="str">
        <x:v>no screened path</x:v>
      </x:c>
      <x:c r="J3846" s="27" t="str">
        <x:v>presence does not prove operability or capacity</x:v>
      </x:c>
    </x:row>
    <x:row r="3847" ht="54" hidden="0" customHeight="1">
      <x:c r="A3847" s="29" t="str">
        <x:v>SCA-31</x:v>
      </x:c>
      <x:c r="B3847" s="29" t="str">
        <x:v>SCA-32</x:v>
      </x:c>
      <x:c r="C3847" s="29" t="str">
        <x:v>Air</x:v>
      </x:c>
      <x:c r="D3847" s="29" t="str">
        <x:v>YES</x:v>
      </x:c>
      <x:c r="E3847" s="29" t="str">
        <x:v>YES</x:v>
      </x:c>
      <x:c r="F3847" s="62" t="n">
        <x:v>2756.710975794241</x:v>
      </x:c>
      <x:c r="G3847" s="62" t="n">
        <x:v>28.24109380891422</x:v>
      </x:c>
      <x:c r="H3847" s="29" t="str">
        <x:v>YES</x:v>
      </x:c>
      <x:c r="I3847" s="29" t="str">
        <x:v>primary-airport endpoints; great-circle screen</x:v>
      </x:c>
      <x:c r="J3847" s="29" t="str">
        <x:v>presence does not prove operability or capacity</x:v>
      </x:c>
    </x:row>
    <x:row r="3848" ht="75.5999984741211" hidden="0" customHeight="1">
      <x:c r="A3848" s="27" t="str">
        <x:v>SCA-31</x:v>
      </x:c>
      <x:c r="B3848" s="27" t="str">
        <x:v>SCA-32</x:v>
      </x:c>
      <x:c r="C3848" s="27" t="str">
        <x:v>Water</x:v>
      </x:c>
      <x:c r="D3848" s="27" t="str">
        <x:v>YES</x:v>
      </x:c>
      <x:c r="E3848" s="27" t="str">
        <x:v>YES</x:v>
      </x:c>
      <x:c r="F3848" s="61" t="n">
        <x:v>3528.5900490166287</x:v>
      </x:c>
      <x:c r="G3848" s="61" t="n">
        <x:v>130.81685854333224</x:v>
      </x:c>
      <x:c r="H3848" s="27" t="str">
        <x:v>NO</x:v>
      </x:c>
      <x:c r="I3848" s="27" t="str">
        <x:v>USACE waterway node topology; deployable terminal required</x:v>
      </x:c>
      <x:c r="J3848" s="27" t="str">
        <x:v>presence does not prove operability or capacity</x:v>
      </x:c>
    </x:row>
    <x:row r="3849" ht="54" hidden="0" customHeight="1">
      <x:c r="A3849" s="29" t="str">
        <x:v>SCA-32</x:v>
      </x:c>
      <x:c r="B3849" s="29" t="str">
        <x:v>SCA-01</x:v>
      </x:c>
      <x:c r="C3849" s="29" t="str">
        <x:v>Road</x:v>
      </x:c>
      <x:c r="D3849" s="29" t="str">
        <x:v>NO</x:v>
      </x:c>
      <x:c r="E3849" s="29" t="str">
        <x:v>NO</x:v>
      </x:c>
      <x:c r="F3849" s="62"/>
      <x:c r="G3849" s="62"/>
      <x:c r="H3849" s="29" t="str">
        <x:v>NO</x:v>
      </x:c>
      <x:c r="I3849" s="29" t="str">
        <x:v>no screened path</x:v>
      </x:c>
      <x:c r="J3849" s="29" t="str">
        <x:v>presence does not prove operability or capacity</x:v>
      </x:c>
    </x:row>
    <x:row r="3850" ht="54" hidden="0" customHeight="1">
      <x:c r="A3850" s="27" t="str">
        <x:v>SCA-32</x:v>
      </x:c>
      <x:c r="B3850" s="27" t="str">
        <x:v>SCA-01</x:v>
      </x:c>
      <x:c r="C3850" s="27" t="str">
        <x:v>Rail</x:v>
      </x:c>
      <x:c r="D3850" s="27" t="str">
        <x:v>NO</x:v>
      </x:c>
      <x:c r="E3850" s="27" t="str">
        <x:v>NO</x:v>
      </x:c>
      <x:c r="F3850" s="61"/>
      <x:c r="G3850" s="61"/>
      <x:c r="H3850" s="27" t="str">
        <x:v>NO</x:v>
      </x:c>
      <x:c r="I3850" s="27" t="str">
        <x:v>no screened path</x:v>
      </x:c>
      <x:c r="J3850" s="27" t="str">
        <x:v>presence does not prove operability or capacity</x:v>
      </x:c>
    </x:row>
    <x:row r="3851" ht="54" hidden="0" customHeight="1">
      <x:c r="A3851" s="29" t="str">
        <x:v>SCA-32</x:v>
      </x:c>
      <x:c r="B3851" s="29" t="str">
        <x:v>SCA-01</x:v>
      </x:c>
      <x:c r="C3851" s="29" t="str">
        <x:v>Air</x:v>
      </x:c>
      <x:c r="D3851" s="29" t="str">
        <x:v>YES</x:v>
      </x:c>
      <x:c r="E3851" s="29" t="str">
        <x:v>YES</x:v>
      </x:c>
      <x:c r="F3851" s="62" t="n">
        <x:v>9417.606330862287</x:v>
      </x:c>
      <x:c r="G3851" s="62" t="n">
        <x:v>38.48862512440352</x:v>
      </x:c>
      <x:c r="H3851" s="29" t="str">
        <x:v>YES</x:v>
      </x:c>
      <x:c r="I3851" s="29" t="str">
        <x:v>primary-airport endpoints; great-circle screen</x:v>
      </x:c>
      <x:c r="J3851" s="29" t="str">
        <x:v>presence does not prove operability or capacity</x:v>
      </x:c>
    </x:row>
    <x:row r="3852" ht="75.5999984741211" hidden="0" customHeight="1">
      <x:c r="A3852" s="27" t="str">
        <x:v>SCA-32</x:v>
      </x:c>
      <x:c r="B3852" s="27" t="str">
        <x:v>SCA-01</x:v>
      </x:c>
      <x:c r="C3852" s="27" t="str">
        <x:v>Water</x:v>
      </x:c>
      <x:c r="D3852" s="27" t="str">
        <x:v>YES</x:v>
      </x:c>
      <x:c r="E3852" s="27" t="str">
        <x:v>YES</x:v>
      </x:c>
      <x:c r="F3852" s="61" t="n">
        <x:v>12054.536103503728</x:v>
      </x:c>
      <x:c r="G3852" s="61" t="n">
        <x:v>374.4153172429636</x:v>
      </x:c>
      <x:c r="H3852" s="27" t="str">
        <x:v>NO</x:v>
      </x:c>
      <x:c r="I3852" s="27" t="str">
        <x:v>USACE waterway node topology; deployable terminal required</x:v>
      </x:c>
      <x:c r="J3852" s="27" t="str">
        <x:v>presence does not prove operability or capacity</x:v>
      </x:c>
    </x:row>
    <x:row r="3853" ht="54" hidden="0" customHeight="1">
      <x:c r="A3853" s="29" t="str">
        <x:v>SCA-32</x:v>
      </x:c>
      <x:c r="B3853" s="29" t="str">
        <x:v>SCA-02</x:v>
      </x:c>
      <x:c r="C3853" s="29" t="str">
        <x:v>Road</x:v>
      </x:c>
      <x:c r="D3853" s="29" t="str">
        <x:v>NO</x:v>
      </x:c>
      <x:c r="E3853" s="29" t="str">
        <x:v>NO</x:v>
      </x:c>
      <x:c r="F3853" s="62"/>
      <x:c r="G3853" s="62"/>
      <x:c r="H3853" s="29" t="str">
        <x:v>NO</x:v>
      </x:c>
      <x:c r="I3853" s="29" t="str">
        <x:v>no screened path</x:v>
      </x:c>
      <x:c r="J3853" s="29" t="str">
        <x:v>presence does not prove operability or capacity</x:v>
      </x:c>
    </x:row>
    <x:row r="3854" ht="54" hidden="0" customHeight="1">
      <x:c r="A3854" s="27" t="str">
        <x:v>SCA-32</x:v>
      </x:c>
      <x:c r="B3854" s="27" t="str">
        <x:v>SCA-02</x:v>
      </x:c>
      <x:c r="C3854" s="27" t="str">
        <x:v>Rail</x:v>
      </x:c>
      <x:c r="D3854" s="27" t="str">
        <x:v>NO</x:v>
      </x:c>
      <x:c r="E3854" s="27" t="str">
        <x:v>NO</x:v>
      </x:c>
      <x:c r="F3854" s="61"/>
      <x:c r="G3854" s="61"/>
      <x:c r="H3854" s="27" t="str">
        <x:v>NO</x:v>
      </x:c>
      <x:c r="I3854" s="27" t="str">
        <x:v>no screened path</x:v>
      </x:c>
      <x:c r="J3854" s="27" t="str">
        <x:v>presence does not prove operability or capacity</x:v>
      </x:c>
    </x:row>
    <x:row r="3855" ht="54" hidden="0" customHeight="1">
      <x:c r="A3855" s="29" t="str">
        <x:v>SCA-32</x:v>
      </x:c>
      <x:c r="B3855" s="29" t="str">
        <x:v>SCA-02</x:v>
      </x:c>
      <x:c r="C3855" s="29" t="str">
        <x:v>Air</x:v>
      </x:c>
      <x:c r="D3855" s="29" t="str">
        <x:v>YES</x:v>
      </x:c>
      <x:c r="E3855" s="29" t="str">
        <x:v>YES</x:v>
      </x:c>
      <x:c r="F3855" s="62" t="n">
        <x:v>7696.397227731494</x:v>
      </x:c>
      <x:c r="G3855" s="62" t="n">
        <x:v>35.84061111958691</x:v>
      </x:c>
      <x:c r="H3855" s="29" t="str">
        <x:v>YES</x:v>
      </x:c>
      <x:c r="I3855" s="29" t="str">
        <x:v>primary-airport endpoints; great-circle screen</x:v>
      </x:c>
      <x:c r="J3855" s="29" t="str">
        <x:v>presence does not prove operability or capacity</x:v>
      </x:c>
    </x:row>
    <x:row r="3856" ht="75.5999984741211" hidden="0" customHeight="1">
      <x:c r="A3856" s="27" t="str">
        <x:v>SCA-32</x:v>
      </x:c>
      <x:c r="B3856" s="27" t="str">
        <x:v>SCA-02</x:v>
      </x:c>
      <x:c r="C3856" s="27" t="str">
        <x:v>Water</x:v>
      </x:c>
      <x:c r="D3856" s="27" t="str">
        <x:v>YES</x:v>
      </x:c>
      <x:c r="E3856" s="27" t="str">
        <x:v>YES</x:v>
      </x:c>
      <x:c r="F3856" s="61" t="n">
        <x:v>10147.025296976248</x:v>
      </x:c>
      <x:c r="G3856" s="61" t="n">
        <x:v>319.9150084850356</x:v>
      </x:c>
      <x:c r="H3856" s="27" t="str">
        <x:v>NO</x:v>
      </x:c>
      <x:c r="I3856" s="27" t="str">
        <x:v>USACE waterway node topology; deployable terminal required</x:v>
      </x:c>
      <x:c r="J3856" s="27" t="str">
        <x:v>presence does not prove operability or capacity</x:v>
      </x:c>
    </x:row>
    <x:row r="3857" ht="54" hidden="0" customHeight="1">
      <x:c r="A3857" s="29" t="str">
        <x:v>SCA-32</x:v>
      </x:c>
      <x:c r="B3857" s="29" t="str">
        <x:v>SCA-03</x:v>
      </x:c>
      <x:c r="C3857" s="29" t="str">
        <x:v>Road</x:v>
      </x:c>
      <x:c r="D3857" s="29" t="str">
        <x:v>NO</x:v>
      </x:c>
      <x:c r="E3857" s="29" t="str">
        <x:v>NO</x:v>
      </x:c>
      <x:c r="F3857" s="62"/>
      <x:c r="G3857" s="62"/>
      <x:c r="H3857" s="29" t="str">
        <x:v>NO</x:v>
      </x:c>
      <x:c r="I3857" s="29" t="str">
        <x:v>no screened path</x:v>
      </x:c>
      <x:c r="J3857" s="29" t="str">
        <x:v>presence does not prove operability or capacity</x:v>
      </x:c>
    </x:row>
    <x:row r="3858" ht="54" hidden="0" customHeight="1">
      <x:c r="A3858" s="27" t="str">
        <x:v>SCA-32</x:v>
      </x:c>
      <x:c r="B3858" s="27" t="str">
        <x:v>SCA-03</x:v>
      </x:c>
      <x:c r="C3858" s="27" t="str">
        <x:v>Rail</x:v>
      </x:c>
      <x:c r="D3858" s="27" t="str">
        <x:v>NO</x:v>
      </x:c>
      <x:c r="E3858" s="27" t="str">
        <x:v>NO</x:v>
      </x:c>
      <x:c r="F3858" s="61"/>
      <x:c r="G3858" s="61"/>
      <x:c r="H3858" s="27" t="str">
        <x:v>NO</x:v>
      </x:c>
      <x:c r="I3858" s="27" t="str">
        <x:v>no screened path</x:v>
      </x:c>
      <x:c r="J3858" s="27" t="str">
        <x:v>presence does not prove operability or capacity</x:v>
      </x:c>
    </x:row>
    <x:row r="3859" ht="54" hidden="0" customHeight="1">
      <x:c r="A3859" s="29" t="str">
        <x:v>SCA-32</x:v>
      </x:c>
      <x:c r="B3859" s="29" t="str">
        <x:v>SCA-03</x:v>
      </x:c>
      <x:c r="C3859" s="29" t="str">
        <x:v>Air</x:v>
      </x:c>
      <x:c r="D3859" s="29" t="str">
        <x:v>YES</x:v>
      </x:c>
      <x:c r="E3859" s="29" t="str">
        <x:v>YES</x:v>
      </x:c>
      <x:c r="F3859" s="62" t="n">
        <x:v>5914.6217403792525</x:v>
      </x:c>
      <x:c r="G3859" s="62" t="n">
        <x:v>33.09941806212193</x:v>
      </x:c>
      <x:c r="H3859" s="29" t="str">
        <x:v>YES</x:v>
      </x:c>
      <x:c r="I3859" s="29" t="str">
        <x:v>primary-airport endpoints; great-circle screen</x:v>
      </x:c>
      <x:c r="J3859" s="29" t="str">
        <x:v>presence does not prove operability or capacity</x:v>
      </x:c>
    </x:row>
    <x:row r="3860" ht="75.5999984741211" hidden="0" customHeight="1">
      <x:c r="A3860" s="27" t="str">
        <x:v>SCA-32</x:v>
      </x:c>
      <x:c r="B3860" s="27" t="str">
        <x:v>SCA-03</x:v>
      </x:c>
      <x:c r="C3860" s="27" t="str">
        <x:v>Water</x:v>
      </x:c>
      <x:c r="D3860" s="27" t="str">
        <x:v>YES</x:v>
      </x:c>
      <x:c r="E3860" s="27" t="str">
        <x:v>YES</x:v>
      </x:c>
      <x:c r="F3860" s="61" t="n">
        <x:v>8827.047819451014</x:v>
      </x:c>
      <x:c r="G3860" s="61" t="n">
        <x:v>282.201366270029</x:v>
      </x:c>
      <x:c r="H3860" s="27" t="str">
        <x:v>NO</x:v>
      </x:c>
      <x:c r="I3860" s="27" t="str">
        <x:v>USACE waterway node topology; deployable terminal required</x:v>
      </x:c>
      <x:c r="J3860" s="27" t="str">
        <x:v>presence does not prove operability or capacity</x:v>
      </x:c>
    </x:row>
    <x:row r="3861" ht="54" hidden="0" customHeight="1">
      <x:c r="A3861" s="29" t="str">
        <x:v>SCA-32</x:v>
      </x:c>
      <x:c r="B3861" s="29" t="str">
        <x:v>SCA-04</x:v>
      </x:c>
      <x:c r="C3861" s="29" t="str">
        <x:v>Road</x:v>
      </x:c>
      <x:c r="D3861" s="29" t="str">
        <x:v>NO</x:v>
      </x:c>
      <x:c r="E3861" s="29" t="str">
        <x:v>NO</x:v>
      </x:c>
      <x:c r="F3861" s="62"/>
      <x:c r="G3861" s="62"/>
      <x:c r="H3861" s="29" t="str">
        <x:v>NO</x:v>
      </x:c>
      <x:c r="I3861" s="29" t="str">
        <x:v>no screened path</x:v>
      </x:c>
      <x:c r="J3861" s="29" t="str">
        <x:v>presence does not prove operability or capacity</x:v>
      </x:c>
    </x:row>
    <x:row r="3862" ht="54" hidden="0" customHeight="1">
      <x:c r="A3862" s="27" t="str">
        <x:v>SCA-32</x:v>
      </x:c>
      <x:c r="B3862" s="27" t="str">
        <x:v>SCA-04</x:v>
      </x:c>
      <x:c r="C3862" s="27" t="str">
        <x:v>Rail</x:v>
      </x:c>
      <x:c r="D3862" s="27" t="str">
        <x:v>NO</x:v>
      </x:c>
      <x:c r="E3862" s="27" t="str">
        <x:v>NO</x:v>
      </x:c>
      <x:c r="F3862" s="61"/>
      <x:c r="G3862" s="61"/>
      <x:c r="H3862" s="27" t="str">
        <x:v>NO</x:v>
      </x:c>
      <x:c r="I3862" s="27" t="str">
        <x:v>no screened path</x:v>
      </x:c>
      <x:c r="J3862" s="27" t="str">
        <x:v>presence does not prove operability or capacity</x:v>
      </x:c>
    </x:row>
    <x:row r="3863" ht="54" hidden="0" customHeight="1">
      <x:c r="A3863" s="29" t="str">
        <x:v>SCA-32</x:v>
      </x:c>
      <x:c r="B3863" s="29" t="str">
        <x:v>SCA-04</x:v>
      </x:c>
      <x:c r="C3863" s="29" t="str">
        <x:v>Air</x:v>
      </x:c>
      <x:c r="D3863" s="29" t="str">
        <x:v>YES</x:v>
      </x:c>
      <x:c r="E3863" s="29" t="str">
        <x:v>YES</x:v>
      </x:c>
      <x:c r="F3863" s="62" t="n">
        <x:v>5746.214437560357</x:v>
      </x:c>
      <x:c r="G3863" s="62" t="n">
        <x:v>32.84032990393901</x:v>
      </x:c>
      <x:c r="H3863" s="29" t="str">
        <x:v>YES</x:v>
      </x:c>
      <x:c r="I3863" s="29" t="str">
        <x:v>primary-airport endpoints; great-circle screen</x:v>
      </x:c>
      <x:c r="J3863" s="29" t="str">
        <x:v>presence does not prove operability or capacity</x:v>
      </x:c>
    </x:row>
    <x:row r="3864" ht="75.5999984741211" hidden="0" customHeight="1">
      <x:c r="A3864" s="27" t="str">
        <x:v>SCA-32</x:v>
      </x:c>
      <x:c r="B3864" s="27" t="str">
        <x:v>SCA-04</x:v>
      </x:c>
      <x:c r="C3864" s="27" t="str">
        <x:v>Water</x:v>
      </x:c>
      <x:c r="D3864" s="27" t="str">
        <x:v>YES</x:v>
      </x:c>
      <x:c r="E3864" s="27" t="str">
        <x:v>YES</x:v>
      </x:c>
      <x:c r="F3864" s="61" t="n">
        <x:v>7614.789611070047</x:v>
      </x:c>
      <x:c r="G3864" s="61" t="n">
        <x:v>247.5654174591442</x:v>
      </x:c>
      <x:c r="H3864" s="27" t="str">
        <x:v>NO</x:v>
      </x:c>
      <x:c r="I3864" s="27" t="str">
        <x:v>USACE waterway node topology; deployable terminal required</x:v>
      </x:c>
      <x:c r="J3864" s="27" t="str">
        <x:v>presence does not prove operability or capacity</x:v>
      </x:c>
    </x:row>
    <x:row r="3865" ht="54" hidden="0" customHeight="1">
      <x:c r="A3865" s="29" t="str">
        <x:v>SCA-32</x:v>
      </x:c>
      <x:c r="B3865" s="29" t="str">
        <x:v>SCA-05</x:v>
      </x:c>
      <x:c r="C3865" s="29" t="str">
        <x:v>Road</x:v>
      </x:c>
      <x:c r="D3865" s="29" t="str">
        <x:v>NO</x:v>
      </x:c>
      <x:c r="E3865" s="29" t="str">
        <x:v>NO</x:v>
      </x:c>
      <x:c r="F3865" s="62"/>
      <x:c r="G3865" s="62"/>
      <x:c r="H3865" s="29" t="str">
        <x:v>NO</x:v>
      </x:c>
      <x:c r="I3865" s="29" t="str">
        <x:v>no screened path</x:v>
      </x:c>
      <x:c r="J3865" s="29" t="str">
        <x:v>presence does not prove operability or capacity</x:v>
      </x:c>
    </x:row>
    <x:row r="3866" ht="54" hidden="0" customHeight="1">
      <x:c r="A3866" s="27" t="str">
        <x:v>SCA-32</x:v>
      </x:c>
      <x:c r="B3866" s="27" t="str">
        <x:v>SCA-05</x:v>
      </x:c>
      <x:c r="C3866" s="27" t="str">
        <x:v>Rail</x:v>
      </x:c>
      <x:c r="D3866" s="27" t="str">
        <x:v>NO</x:v>
      </x:c>
      <x:c r="E3866" s="27" t="str">
        <x:v>NO</x:v>
      </x:c>
      <x:c r="F3866" s="61"/>
      <x:c r="G3866" s="61"/>
      <x:c r="H3866" s="27" t="str">
        <x:v>NO</x:v>
      </x:c>
      <x:c r="I3866" s="27" t="str">
        <x:v>no screened path</x:v>
      </x:c>
      <x:c r="J3866" s="27" t="str">
        <x:v>presence does not prove operability or capacity</x:v>
      </x:c>
    </x:row>
    <x:row r="3867" ht="54" hidden="0" customHeight="1">
      <x:c r="A3867" s="29" t="str">
        <x:v>SCA-32</x:v>
      </x:c>
      <x:c r="B3867" s="29" t="str">
        <x:v>SCA-05</x:v>
      </x:c>
      <x:c r="C3867" s="29" t="str">
        <x:v>Air</x:v>
      </x:c>
      <x:c r="D3867" s="29" t="str">
        <x:v>YES</x:v>
      </x:c>
      <x:c r="E3867" s="29" t="str">
        <x:v>YES</x:v>
      </x:c>
      <x:c r="F3867" s="62" t="n">
        <x:v>5417.024433834811</x:v>
      </x:c>
      <x:c r="G3867" s="62" t="n">
        <x:v>32.333883744361245</x:v>
      </x:c>
      <x:c r="H3867" s="29" t="str">
        <x:v>YES</x:v>
      </x:c>
      <x:c r="I3867" s="29" t="str">
        <x:v>primary-airport endpoints; great-circle screen</x:v>
      </x:c>
      <x:c r="J3867" s="29" t="str">
        <x:v>presence does not prove operability or capacity</x:v>
      </x:c>
    </x:row>
    <x:row r="3868" ht="75.5999984741211" hidden="0" customHeight="1">
      <x:c r="A3868" s="27" t="str">
        <x:v>SCA-32</x:v>
      </x:c>
      <x:c r="B3868" s="27" t="str">
        <x:v>SCA-05</x:v>
      </x:c>
      <x:c r="C3868" s="27" t="str">
        <x:v>Water</x:v>
      </x:c>
      <x:c r="D3868" s="27" t="str">
        <x:v>YES</x:v>
      </x:c>
      <x:c r="E3868" s="27" t="str">
        <x:v>YES</x:v>
      </x:c>
      <x:c r="F3868" s="61" t="n">
        <x:v>6958.836191592989</x:v>
      </x:c>
      <x:c r="G3868" s="61" t="n">
        <x:v>228.8238911883711</x:v>
      </x:c>
      <x:c r="H3868" s="27" t="str">
        <x:v>NO</x:v>
      </x:c>
      <x:c r="I3868" s="27" t="str">
        <x:v>USACE waterway node topology; deployable terminal required</x:v>
      </x:c>
      <x:c r="J3868" s="27" t="str">
        <x:v>presence does not prove operability or capacity</x:v>
      </x:c>
    </x:row>
    <x:row r="3869" ht="54" hidden="0" customHeight="1">
      <x:c r="A3869" s="29" t="str">
        <x:v>SCA-32</x:v>
      </x:c>
      <x:c r="B3869" s="29" t="str">
        <x:v>SCA-06</x:v>
      </x:c>
      <x:c r="C3869" s="29" t="str">
        <x:v>Road</x:v>
      </x:c>
      <x:c r="D3869" s="29" t="str">
        <x:v>NO</x:v>
      </x:c>
      <x:c r="E3869" s="29" t="str">
        <x:v>NO</x:v>
      </x:c>
      <x:c r="F3869" s="62"/>
      <x:c r="G3869" s="62"/>
      <x:c r="H3869" s="29" t="str">
        <x:v>NO</x:v>
      </x:c>
      <x:c r="I3869" s="29" t="str">
        <x:v>no screened path</x:v>
      </x:c>
      <x:c r="J3869" s="29" t="str">
        <x:v>presence does not prove operability or capacity</x:v>
      </x:c>
    </x:row>
    <x:row r="3870" ht="54" hidden="0" customHeight="1">
      <x:c r="A3870" s="27" t="str">
        <x:v>SCA-32</x:v>
      </x:c>
      <x:c r="B3870" s="27" t="str">
        <x:v>SCA-06</x:v>
      </x:c>
      <x:c r="C3870" s="27" t="str">
        <x:v>Rail</x:v>
      </x:c>
      <x:c r="D3870" s="27" t="str">
        <x:v>NO</x:v>
      </x:c>
      <x:c r="E3870" s="27" t="str">
        <x:v>NO</x:v>
      </x:c>
      <x:c r="F3870" s="61"/>
      <x:c r="G3870" s="61"/>
      <x:c r="H3870" s="27" t="str">
        <x:v>NO</x:v>
      </x:c>
      <x:c r="I3870" s="27" t="str">
        <x:v>no screened path</x:v>
      </x:c>
      <x:c r="J3870" s="27" t="str">
        <x:v>presence does not prove operability or capacity</x:v>
      </x:c>
    </x:row>
    <x:row r="3871" ht="54" hidden="0" customHeight="1">
      <x:c r="A3871" s="29" t="str">
        <x:v>SCA-32</x:v>
      </x:c>
      <x:c r="B3871" s="29" t="str">
        <x:v>SCA-06</x:v>
      </x:c>
      <x:c r="C3871" s="29" t="str">
        <x:v>Air</x:v>
      </x:c>
      <x:c r="D3871" s="29" t="str">
        <x:v>YES</x:v>
      </x:c>
      <x:c r="E3871" s="29" t="str">
        <x:v>YES</x:v>
      </x:c>
      <x:c r="F3871" s="62" t="n">
        <x:v>5227.236537916698</x:v>
      </x:c>
      <x:c r="G3871" s="62" t="n">
        <x:v>32.04190236602569</x:v>
      </x:c>
      <x:c r="H3871" s="29" t="str">
        <x:v>YES</x:v>
      </x:c>
      <x:c r="I3871" s="29" t="str">
        <x:v>primary-airport endpoints; great-circle screen</x:v>
      </x:c>
      <x:c r="J3871" s="29" t="str">
        <x:v>presence does not prove operability or capacity</x:v>
      </x:c>
    </x:row>
    <x:row r="3872" ht="75.5999984741211" hidden="0" customHeight="1">
      <x:c r="A3872" s="27" t="str">
        <x:v>SCA-32</x:v>
      </x:c>
      <x:c r="B3872" s="27" t="str">
        <x:v>SCA-06</x:v>
      </x:c>
      <x:c r="C3872" s="27" t="str">
        <x:v>Water</x:v>
      </x:c>
      <x:c r="D3872" s="27" t="str">
        <x:v>YES</x:v>
      </x:c>
      <x:c r="E3872" s="27" t="str">
        <x:v>YES</x:v>
      </x:c>
      <x:c r="F3872" s="61" t="n">
        <x:v>6690.862768533373</x:v>
      </x:c>
      <x:c r="G3872" s="61" t="n">
        <x:v>221.1675076723821</x:v>
      </x:c>
      <x:c r="H3872" s="27" t="str">
        <x:v>NO</x:v>
      </x:c>
      <x:c r="I3872" s="27" t="str">
        <x:v>USACE waterway node topology; deployable terminal required</x:v>
      </x:c>
      <x:c r="J3872" s="27" t="str">
        <x:v>presence does not prove operability or capacity</x:v>
      </x:c>
    </x:row>
    <x:row r="3873" ht="54" hidden="0" customHeight="1">
      <x:c r="A3873" s="29" t="str">
        <x:v>SCA-32</x:v>
      </x:c>
      <x:c r="B3873" s="29" t="str">
        <x:v>SCA-07</x:v>
      </x:c>
      <x:c r="C3873" s="29" t="str">
        <x:v>Road</x:v>
      </x:c>
      <x:c r="D3873" s="29" t="str">
        <x:v>NO</x:v>
      </x:c>
      <x:c r="E3873" s="29" t="str">
        <x:v>NO</x:v>
      </x:c>
      <x:c r="F3873" s="62"/>
      <x:c r="G3873" s="62"/>
      <x:c r="H3873" s="29" t="str">
        <x:v>NO</x:v>
      </x:c>
      <x:c r="I3873" s="29" t="str">
        <x:v>no screened path</x:v>
      </x:c>
      <x:c r="J3873" s="29" t="str">
        <x:v>presence does not prove operability or capacity</x:v>
      </x:c>
    </x:row>
    <x:row r="3874" ht="54" hidden="0" customHeight="1">
      <x:c r="A3874" s="27" t="str">
        <x:v>SCA-32</x:v>
      </x:c>
      <x:c r="B3874" s="27" t="str">
        <x:v>SCA-07</x:v>
      </x:c>
      <x:c r="C3874" s="27" t="str">
        <x:v>Rail</x:v>
      </x:c>
      <x:c r="D3874" s="27" t="str">
        <x:v>NO</x:v>
      </x:c>
      <x:c r="E3874" s="27" t="str">
        <x:v>NO</x:v>
      </x:c>
      <x:c r="F3874" s="61"/>
      <x:c r="G3874" s="61"/>
      <x:c r="H3874" s="27" t="str">
        <x:v>NO</x:v>
      </x:c>
      <x:c r="I3874" s="27" t="str">
        <x:v>no screened path</x:v>
      </x:c>
      <x:c r="J3874" s="27" t="str">
        <x:v>presence does not prove operability or capacity</x:v>
      </x:c>
    </x:row>
    <x:row r="3875" ht="54" hidden="0" customHeight="1">
      <x:c r="A3875" s="29" t="str">
        <x:v>SCA-32</x:v>
      </x:c>
      <x:c r="B3875" s="29" t="str">
        <x:v>SCA-07</x:v>
      </x:c>
      <x:c r="C3875" s="29" t="str">
        <x:v>Air</x:v>
      </x:c>
      <x:c r="D3875" s="29" t="str">
        <x:v>YES</x:v>
      </x:c>
      <x:c r="E3875" s="29" t="str">
        <x:v>YES</x:v>
      </x:c>
      <x:c r="F3875" s="62" t="n">
        <x:v>5167.978185483286</x:v>
      </x:c>
      <x:c r="G3875" s="62" t="n">
        <x:v>31.950735669974286</x:v>
      </x:c>
      <x:c r="H3875" s="29" t="str">
        <x:v>YES</x:v>
      </x:c>
      <x:c r="I3875" s="29" t="str">
        <x:v>primary-airport endpoints; great-circle screen</x:v>
      </x:c>
      <x:c r="J3875" s="29" t="str">
        <x:v>presence does not prove operability or capacity</x:v>
      </x:c>
    </x:row>
    <x:row r="3876" ht="64.80000305175781" hidden="0" customHeight="1">
      <x:c r="A3876" s="27" t="str">
        <x:v>SCA-32</x:v>
      </x:c>
      <x:c r="B3876" s="27" t="str">
        <x:v>SCA-07</x:v>
      </x:c>
      <x:c r="C3876" s="27" t="str">
        <x:v>Water</x:v>
      </x:c>
      <x:c r="D3876" s="27" t="str">
        <x:v>YES</x:v>
      </x:c>
      <x:c r="E3876" s="27" t="str">
        <x:v>YES</x:v>
      </x:c>
      <x:c r="F3876" s="61" t="n">
        <x:v>6459.972731854108</x:v>
      </x:c>
      <x:c r="G3876" s="61" t="n">
        <x:v>214.57064948154596</x:v>
      </x:c>
      <x:c r="H3876" s="27" t="str">
        <x:v>NO</x:v>
      </x:c>
      <x:c r="I3876" s="27" t="str">
        <x:v>observed water terminals; maritime great-circle screen</x:v>
      </x:c>
      <x:c r="J3876" s="27" t="str">
        <x:v>presence does not prove operability or capacity</x:v>
      </x:c>
    </x:row>
    <x:row r="3877" ht="54" hidden="0" customHeight="1">
      <x:c r="A3877" s="29" t="str">
        <x:v>SCA-32</x:v>
      </x:c>
      <x:c r="B3877" s="29" t="str">
        <x:v>SCA-08</x:v>
      </x:c>
      <x:c r="C3877" s="29" t="str">
        <x:v>Road</x:v>
      </x:c>
      <x:c r="D3877" s="29" t="str">
        <x:v>NO</x:v>
      </x:c>
      <x:c r="E3877" s="29" t="str">
        <x:v>NO</x:v>
      </x:c>
      <x:c r="F3877" s="62"/>
      <x:c r="G3877" s="62"/>
      <x:c r="H3877" s="29" t="str">
        <x:v>NO</x:v>
      </x:c>
      <x:c r="I3877" s="29" t="str">
        <x:v>no screened path</x:v>
      </x:c>
      <x:c r="J3877" s="29" t="str">
        <x:v>presence does not prove operability or capacity</x:v>
      </x:c>
    </x:row>
    <x:row r="3878" ht="54" hidden="0" customHeight="1">
      <x:c r="A3878" s="27" t="str">
        <x:v>SCA-32</x:v>
      </x:c>
      <x:c r="B3878" s="27" t="str">
        <x:v>SCA-08</x:v>
      </x:c>
      <x:c r="C3878" s="27" t="str">
        <x:v>Rail</x:v>
      </x:c>
      <x:c r="D3878" s="27" t="str">
        <x:v>NO</x:v>
      </x:c>
      <x:c r="E3878" s="27" t="str">
        <x:v>NO</x:v>
      </x:c>
      <x:c r="F3878" s="61"/>
      <x:c r="G3878" s="61"/>
      <x:c r="H3878" s="27" t="str">
        <x:v>NO</x:v>
      </x:c>
      <x:c r="I3878" s="27" t="str">
        <x:v>no screened path</x:v>
      </x:c>
      <x:c r="J3878" s="27" t="str">
        <x:v>presence does not prove operability or capacity</x:v>
      </x:c>
    </x:row>
    <x:row r="3879" ht="54" hidden="0" customHeight="1">
      <x:c r="A3879" s="29" t="str">
        <x:v>SCA-32</x:v>
      </x:c>
      <x:c r="B3879" s="29" t="str">
        <x:v>SCA-08</x:v>
      </x:c>
      <x:c r="C3879" s="29" t="str">
        <x:v>Air</x:v>
      </x:c>
      <x:c r="D3879" s="29" t="str">
        <x:v>YES</x:v>
      </x:c>
      <x:c r="E3879" s="29" t="str">
        <x:v>YES</x:v>
      </x:c>
      <x:c r="F3879" s="62" t="n">
        <x:v>5358.281498361703</x:v>
      </x:c>
      <x:c r="G3879" s="62" t="n">
        <x:v>32.24350999747954</x:v>
      </x:c>
      <x:c r="H3879" s="29" t="str">
        <x:v>YES</x:v>
      </x:c>
      <x:c r="I3879" s="29" t="str">
        <x:v>primary-airport endpoints; great-circle screen</x:v>
      </x:c>
      <x:c r="J3879" s="29" t="str">
        <x:v>presence does not prove operability or capacity</x:v>
      </x:c>
    </x:row>
    <x:row r="3880" ht="75.5999984741211" hidden="0" customHeight="1">
      <x:c r="A3880" s="27" t="str">
        <x:v>SCA-32</x:v>
      </x:c>
      <x:c r="B3880" s="27" t="str">
        <x:v>SCA-08</x:v>
      </x:c>
      <x:c r="C3880" s="27" t="str">
        <x:v>Water</x:v>
      </x:c>
      <x:c r="D3880" s="27" t="str">
        <x:v>YES</x:v>
      </x:c>
      <x:c r="E3880" s="27" t="str">
        <x:v>YES</x:v>
      </x:c>
      <x:c r="F3880" s="61" t="n">
        <x:v>9544.576723879547</x:v>
      </x:c>
      <x:c r="G3880" s="61" t="n">
        <x:v>302.7021921108442</x:v>
      </x:c>
      <x:c r="H3880" s="27" t="str">
        <x:v>NO</x:v>
      </x:c>
      <x:c r="I3880" s="27" t="str">
        <x:v>USACE waterway node topology; deployable terminal required</x:v>
      </x:c>
      <x:c r="J3880" s="27" t="str">
        <x:v>presence does not prove operability or capacity</x:v>
      </x:c>
    </x:row>
    <x:row r="3881" ht="54" hidden="0" customHeight="1">
      <x:c r="A3881" s="29" t="str">
        <x:v>SCA-32</x:v>
      </x:c>
      <x:c r="B3881" s="29" t="str">
        <x:v>SCA-09</x:v>
      </x:c>
      <x:c r="C3881" s="29" t="str">
        <x:v>Road</x:v>
      </x:c>
      <x:c r="D3881" s="29" t="str">
        <x:v>NO</x:v>
      </x:c>
      <x:c r="E3881" s="29" t="str">
        <x:v>NO</x:v>
      </x:c>
      <x:c r="F3881" s="62"/>
      <x:c r="G3881" s="62"/>
      <x:c r="H3881" s="29" t="str">
        <x:v>NO</x:v>
      </x:c>
      <x:c r="I3881" s="29" t="str">
        <x:v>no screened path</x:v>
      </x:c>
      <x:c r="J3881" s="29" t="str">
        <x:v>presence does not prove operability or capacity</x:v>
      </x:c>
    </x:row>
    <x:row r="3882" ht="54" hidden="0" customHeight="1">
      <x:c r="A3882" s="27" t="str">
        <x:v>SCA-32</x:v>
      </x:c>
      <x:c r="B3882" s="27" t="str">
        <x:v>SCA-09</x:v>
      </x:c>
      <x:c r="C3882" s="27" t="str">
        <x:v>Rail</x:v>
      </x:c>
      <x:c r="D3882" s="27" t="str">
        <x:v>NO</x:v>
      </x:c>
      <x:c r="E3882" s="27" t="str">
        <x:v>NO</x:v>
      </x:c>
      <x:c r="F3882" s="61"/>
      <x:c r="G3882" s="61"/>
      <x:c r="H3882" s="27" t="str">
        <x:v>NO</x:v>
      </x:c>
      <x:c r="I3882" s="27" t="str">
        <x:v>no screened path</x:v>
      </x:c>
      <x:c r="J3882" s="27" t="str">
        <x:v>presence does not prove operability or capacity</x:v>
      </x:c>
    </x:row>
    <x:row r="3883" ht="54" hidden="0" customHeight="1">
      <x:c r="A3883" s="29" t="str">
        <x:v>SCA-32</x:v>
      </x:c>
      <x:c r="B3883" s="29" t="str">
        <x:v>SCA-09</x:v>
      </x:c>
      <x:c r="C3883" s="29" t="str">
        <x:v>Air</x:v>
      </x:c>
      <x:c r="D3883" s="29" t="str">
        <x:v>YES</x:v>
      </x:c>
      <x:c r="E3883" s="29" t="str">
        <x:v>YES</x:v>
      </x:c>
      <x:c r="F3883" s="62" t="n">
        <x:v>4837.927757497386</x:v>
      </x:c>
      <x:c r="G3883" s="62" t="n">
        <x:v>31.44296578076521</x:v>
      </x:c>
      <x:c r="H3883" s="29" t="str">
        <x:v>YES</x:v>
      </x:c>
      <x:c r="I3883" s="29" t="str">
        <x:v>primary-airport endpoints; great-circle screen</x:v>
      </x:c>
      <x:c r="J3883" s="29" t="str">
        <x:v>presence does not prove operability or capacity</x:v>
      </x:c>
    </x:row>
    <x:row r="3884" ht="54" hidden="0" customHeight="1">
      <x:c r="A3884" s="27" t="str">
        <x:v>SCA-32</x:v>
      </x:c>
      <x:c r="B3884" s="27" t="str">
        <x:v>SCA-09</x:v>
      </x:c>
      <x:c r="C3884" s="27" t="str">
        <x:v>Water</x:v>
      </x:c>
      <x:c r="D3884" s="27" t="str">
        <x:v>NO</x:v>
      </x:c>
      <x:c r="E3884" s="27" t="str">
        <x:v>NO</x:v>
      </x:c>
      <x:c r="F3884" s="61"/>
      <x:c r="G3884" s="61"/>
      <x:c r="H3884" s="27" t="str">
        <x:v>NO</x:v>
      </x:c>
      <x:c r="I3884" s="27" t="str">
        <x:v>no screened path</x:v>
      </x:c>
      <x:c r="J3884" s="27" t="str">
        <x:v>presence does not prove operability or capacity</x:v>
      </x:c>
    </x:row>
    <x:row r="3885" ht="54" hidden="0" customHeight="1">
      <x:c r="A3885" s="29" t="str">
        <x:v>SCA-32</x:v>
      </x:c>
      <x:c r="B3885" s="29" t="str">
        <x:v>SCA-10</x:v>
      </x:c>
      <x:c r="C3885" s="29" t="str">
        <x:v>Road</x:v>
      </x:c>
      <x:c r="D3885" s="29" t="str">
        <x:v>NO</x:v>
      </x:c>
      <x:c r="E3885" s="29" t="str">
        <x:v>NO</x:v>
      </x:c>
      <x:c r="F3885" s="62"/>
      <x:c r="G3885" s="62"/>
      <x:c r="H3885" s="29" t="str">
        <x:v>NO</x:v>
      </x:c>
      <x:c r="I3885" s="29" t="str">
        <x:v>no screened path</x:v>
      </x:c>
      <x:c r="J3885" s="29" t="str">
        <x:v>presence does not prove operability or capacity</x:v>
      </x:c>
    </x:row>
    <x:row r="3886" ht="54" hidden="0" customHeight="1">
      <x:c r="A3886" s="27" t="str">
        <x:v>SCA-32</x:v>
      </x:c>
      <x:c r="B3886" s="27" t="str">
        <x:v>SCA-10</x:v>
      </x:c>
      <x:c r="C3886" s="27" t="str">
        <x:v>Rail</x:v>
      </x:c>
      <x:c r="D3886" s="27" t="str">
        <x:v>NO</x:v>
      </x:c>
      <x:c r="E3886" s="27" t="str">
        <x:v>NO</x:v>
      </x:c>
      <x:c r="F3886" s="61"/>
      <x:c r="G3886" s="61"/>
      <x:c r="H3886" s="27" t="str">
        <x:v>NO</x:v>
      </x:c>
      <x:c r="I3886" s="27" t="str">
        <x:v>no screened path</x:v>
      </x:c>
      <x:c r="J3886" s="27" t="str">
        <x:v>presence does not prove operability or capacity</x:v>
      </x:c>
    </x:row>
    <x:row r="3887" ht="54" hidden="0" customHeight="1">
      <x:c r="A3887" s="29" t="str">
        <x:v>SCA-32</x:v>
      </x:c>
      <x:c r="B3887" s="29" t="str">
        <x:v>SCA-10</x:v>
      </x:c>
      <x:c r="C3887" s="29" t="str">
        <x:v>Air</x:v>
      </x:c>
      <x:c r="D3887" s="29" t="str">
        <x:v>YES</x:v>
      </x:c>
      <x:c r="E3887" s="29" t="str">
        <x:v>YES</x:v>
      </x:c>
      <x:c r="F3887" s="62" t="n">
        <x:v>4965.747446720717</x:v>
      </x:c>
      <x:c r="G3887" s="62" t="n">
        <x:v>31.639611456493412</x:v>
      </x:c>
      <x:c r="H3887" s="29" t="str">
        <x:v>YES</x:v>
      </x:c>
      <x:c r="I3887" s="29" t="str">
        <x:v>primary-airport endpoints; great-circle screen</x:v>
      </x:c>
      <x:c r="J3887" s="29" t="str">
        <x:v>presence does not prove operability or capacity</x:v>
      </x:c>
    </x:row>
    <x:row r="3888" ht="54" hidden="0" customHeight="1">
      <x:c r="A3888" s="27" t="str">
        <x:v>SCA-32</x:v>
      </x:c>
      <x:c r="B3888" s="27" t="str">
        <x:v>SCA-10</x:v>
      </x:c>
      <x:c r="C3888" s="27" t="str">
        <x:v>Water</x:v>
      </x:c>
      <x:c r="D3888" s="27" t="str">
        <x:v>NO</x:v>
      </x:c>
      <x:c r="E3888" s="27" t="str">
        <x:v>NO</x:v>
      </x:c>
      <x:c r="F3888" s="61"/>
      <x:c r="G3888" s="61"/>
      <x:c r="H3888" s="27" t="str">
        <x:v>NO</x:v>
      </x:c>
      <x:c r="I3888" s="27" t="str">
        <x:v>no screened path</x:v>
      </x:c>
      <x:c r="J3888" s="27" t="str">
        <x:v>presence does not prove operability or capacity</x:v>
      </x:c>
    </x:row>
    <x:row r="3889" ht="54" hidden="0" customHeight="1">
      <x:c r="A3889" s="29" t="str">
        <x:v>SCA-32</x:v>
      </x:c>
      <x:c r="B3889" s="29" t="str">
        <x:v>SCA-11</x:v>
      </x:c>
      <x:c r="C3889" s="29" t="str">
        <x:v>Road</x:v>
      </x:c>
      <x:c r="D3889" s="29" t="str">
        <x:v>NO</x:v>
      </x:c>
      <x:c r="E3889" s="29" t="str">
        <x:v>NO</x:v>
      </x:c>
      <x:c r="F3889" s="62"/>
      <x:c r="G3889" s="62"/>
      <x:c r="H3889" s="29" t="str">
        <x:v>NO</x:v>
      </x:c>
      <x:c r="I3889" s="29" t="str">
        <x:v>no screened path</x:v>
      </x:c>
      <x:c r="J3889" s="29" t="str">
        <x:v>presence does not prove operability or capacity</x:v>
      </x:c>
    </x:row>
    <x:row r="3890" ht="54" hidden="0" customHeight="1">
      <x:c r="A3890" s="27" t="str">
        <x:v>SCA-32</x:v>
      </x:c>
      <x:c r="B3890" s="27" t="str">
        <x:v>SCA-11</x:v>
      </x:c>
      <x:c r="C3890" s="27" t="str">
        <x:v>Rail</x:v>
      </x:c>
      <x:c r="D3890" s="27" t="str">
        <x:v>NO</x:v>
      </x:c>
      <x:c r="E3890" s="27" t="str">
        <x:v>NO</x:v>
      </x:c>
      <x:c r="F3890" s="61"/>
      <x:c r="G3890" s="61"/>
      <x:c r="H3890" s="27" t="str">
        <x:v>NO</x:v>
      </x:c>
      <x:c r="I3890" s="27" t="str">
        <x:v>no screened path</x:v>
      </x:c>
      <x:c r="J3890" s="27" t="str">
        <x:v>presence does not prove operability or capacity</x:v>
      </x:c>
    </x:row>
    <x:row r="3891" ht="54" hidden="0" customHeight="1">
      <x:c r="A3891" s="29" t="str">
        <x:v>SCA-32</x:v>
      </x:c>
      <x:c r="B3891" s="29" t="str">
        <x:v>SCA-11</x:v>
      </x:c>
      <x:c r="C3891" s="29" t="str">
        <x:v>Air</x:v>
      </x:c>
      <x:c r="D3891" s="29" t="str">
        <x:v>YES</x:v>
      </x:c>
      <x:c r="E3891" s="29" t="str">
        <x:v>YES</x:v>
      </x:c>
      <x:c r="F3891" s="62" t="n">
        <x:v>4195.397970731147</x:v>
      </x:c>
      <x:c r="G3891" s="62" t="n">
        <x:v>30.454458416509457</x:v>
      </x:c>
      <x:c r="H3891" s="29" t="str">
        <x:v>YES</x:v>
      </x:c>
      <x:c r="I3891" s="29" t="str">
        <x:v>primary-airport endpoints; great-circle screen</x:v>
      </x:c>
      <x:c r="J3891" s="29" t="str">
        <x:v>presence does not prove operability or capacity</x:v>
      </x:c>
    </x:row>
    <x:row r="3892" ht="54" hidden="0" customHeight="1">
      <x:c r="A3892" s="27" t="str">
        <x:v>SCA-32</x:v>
      </x:c>
      <x:c r="B3892" s="27" t="str">
        <x:v>SCA-11</x:v>
      </x:c>
      <x:c r="C3892" s="27" t="str">
        <x:v>Water</x:v>
      </x:c>
      <x:c r="D3892" s="27" t="str">
        <x:v>NO</x:v>
      </x:c>
      <x:c r="E3892" s="27" t="str">
        <x:v>NO</x:v>
      </x:c>
      <x:c r="F3892" s="61"/>
      <x:c r="G3892" s="61"/>
      <x:c r="H3892" s="27" t="str">
        <x:v>NO</x:v>
      </x:c>
      <x:c r="I3892" s="27" t="str">
        <x:v>no screened path</x:v>
      </x:c>
      <x:c r="J3892" s="27" t="str">
        <x:v>presence does not prove operability or capacity</x:v>
      </x:c>
    </x:row>
    <x:row r="3893" ht="54" hidden="0" customHeight="1">
      <x:c r="A3893" s="29" t="str">
        <x:v>SCA-32</x:v>
      </x:c>
      <x:c r="B3893" s="29" t="str">
        <x:v>SCA-12</x:v>
      </x:c>
      <x:c r="C3893" s="29" t="str">
        <x:v>Road</x:v>
      </x:c>
      <x:c r="D3893" s="29" t="str">
        <x:v>NO</x:v>
      </x:c>
      <x:c r="E3893" s="29" t="str">
        <x:v>NO</x:v>
      </x:c>
      <x:c r="F3893" s="62"/>
      <x:c r="G3893" s="62"/>
      <x:c r="H3893" s="29" t="str">
        <x:v>NO</x:v>
      </x:c>
      <x:c r="I3893" s="29" t="str">
        <x:v>no screened path</x:v>
      </x:c>
      <x:c r="J3893" s="29" t="str">
        <x:v>presence does not prove operability or capacity</x:v>
      </x:c>
    </x:row>
    <x:row r="3894" ht="54" hidden="0" customHeight="1">
      <x:c r="A3894" s="27" t="str">
        <x:v>SCA-32</x:v>
      </x:c>
      <x:c r="B3894" s="27" t="str">
        <x:v>SCA-12</x:v>
      </x:c>
      <x:c r="C3894" s="27" t="str">
        <x:v>Rail</x:v>
      </x:c>
      <x:c r="D3894" s="27" t="str">
        <x:v>NO</x:v>
      </x:c>
      <x:c r="E3894" s="27" t="str">
        <x:v>NO</x:v>
      </x:c>
      <x:c r="F3894" s="61"/>
      <x:c r="G3894" s="61"/>
      <x:c r="H3894" s="27" t="str">
        <x:v>NO</x:v>
      </x:c>
      <x:c r="I3894" s="27" t="str">
        <x:v>no screened path</x:v>
      </x:c>
      <x:c r="J3894" s="27" t="str">
        <x:v>presence does not prove operability or capacity</x:v>
      </x:c>
    </x:row>
    <x:row r="3895" ht="54" hidden="0" customHeight="1">
      <x:c r="A3895" s="29" t="str">
        <x:v>SCA-32</x:v>
      </x:c>
      <x:c r="B3895" s="29" t="str">
        <x:v>SCA-12</x:v>
      </x:c>
      <x:c r="C3895" s="29" t="str">
        <x:v>Air</x:v>
      </x:c>
      <x:c r="D3895" s="29" t="str">
        <x:v>YES</x:v>
      </x:c>
      <x:c r="E3895" s="29" t="str">
        <x:v>YES</x:v>
      </x:c>
      <x:c r="F3895" s="62" t="n">
        <x:v>4377.7476488813945</x:v>
      </x:c>
      <x:c r="G3895" s="62" t="n">
        <x:v>30.73499638289445</x:v>
      </x:c>
      <x:c r="H3895" s="29" t="str">
        <x:v>YES</x:v>
      </x:c>
      <x:c r="I3895" s="29" t="str">
        <x:v>primary-airport endpoints; great-circle screen</x:v>
      </x:c>
      <x:c r="J3895" s="29" t="str">
        <x:v>presence does not prove operability or capacity</x:v>
      </x:c>
    </x:row>
    <x:row r="3896" ht="54" hidden="0" customHeight="1">
      <x:c r="A3896" s="27" t="str">
        <x:v>SCA-32</x:v>
      </x:c>
      <x:c r="B3896" s="27" t="str">
        <x:v>SCA-12</x:v>
      </x:c>
      <x:c r="C3896" s="27" t="str">
        <x:v>Water</x:v>
      </x:c>
      <x:c r="D3896" s="27" t="str">
        <x:v>NO</x:v>
      </x:c>
      <x:c r="E3896" s="27" t="str">
        <x:v>NO</x:v>
      </x:c>
      <x:c r="F3896" s="61"/>
      <x:c r="G3896" s="61"/>
      <x:c r="H3896" s="27" t="str">
        <x:v>NO</x:v>
      </x:c>
      <x:c r="I3896" s="27" t="str">
        <x:v>no screened path</x:v>
      </x:c>
      <x:c r="J3896" s="27" t="str">
        <x:v>presence does not prove operability or capacity</x:v>
      </x:c>
    </x:row>
    <x:row r="3897" ht="54" hidden="0" customHeight="1">
      <x:c r="A3897" s="29" t="str">
        <x:v>SCA-32</x:v>
      </x:c>
      <x:c r="B3897" s="29" t="str">
        <x:v>SCA-13</x:v>
      </x:c>
      <x:c r="C3897" s="29" t="str">
        <x:v>Road</x:v>
      </x:c>
      <x:c r="D3897" s="29" t="str">
        <x:v>NO</x:v>
      </x:c>
      <x:c r="E3897" s="29" t="str">
        <x:v>NO</x:v>
      </x:c>
      <x:c r="F3897" s="62"/>
      <x:c r="G3897" s="62"/>
      <x:c r="H3897" s="29" t="str">
        <x:v>NO</x:v>
      </x:c>
      <x:c r="I3897" s="29" t="str">
        <x:v>no screened path</x:v>
      </x:c>
      <x:c r="J3897" s="29" t="str">
        <x:v>presence does not prove operability or capacity</x:v>
      </x:c>
    </x:row>
    <x:row r="3898" ht="54" hidden="0" customHeight="1">
      <x:c r="A3898" s="27" t="str">
        <x:v>SCA-32</x:v>
      </x:c>
      <x:c r="B3898" s="27" t="str">
        <x:v>SCA-13</x:v>
      </x:c>
      <x:c r="C3898" s="27" t="str">
        <x:v>Rail</x:v>
      </x:c>
      <x:c r="D3898" s="27" t="str">
        <x:v>NO</x:v>
      </x:c>
      <x:c r="E3898" s="27" t="str">
        <x:v>NO</x:v>
      </x:c>
      <x:c r="F3898" s="61"/>
      <x:c r="G3898" s="61"/>
      <x:c r="H3898" s="27" t="str">
        <x:v>NO</x:v>
      </x:c>
      <x:c r="I3898" s="27" t="str">
        <x:v>no screened path</x:v>
      </x:c>
      <x:c r="J3898" s="27" t="str">
        <x:v>presence does not prove operability or capacity</x:v>
      </x:c>
    </x:row>
    <x:row r="3899" ht="54" hidden="0" customHeight="1">
      <x:c r="A3899" s="29" t="str">
        <x:v>SCA-32</x:v>
      </x:c>
      <x:c r="B3899" s="29" t="str">
        <x:v>SCA-13</x:v>
      </x:c>
      <x:c r="C3899" s="29" t="str">
        <x:v>Air</x:v>
      </x:c>
      <x:c r="D3899" s="29" t="str">
        <x:v>YES</x:v>
      </x:c>
      <x:c r="E3899" s="29" t="str">
        <x:v>YES</x:v>
      </x:c>
      <x:c r="F3899" s="62" t="n">
        <x:v>3463.9241877073264</x:v>
      </x:c>
      <x:c r="G3899" s="62" t="n">
        <x:v>29.32911413493435</x:v>
      </x:c>
      <x:c r="H3899" s="29" t="str">
        <x:v>YES</x:v>
      </x:c>
      <x:c r="I3899" s="29" t="str">
        <x:v>primary-airport endpoints; great-circle screen</x:v>
      </x:c>
      <x:c r="J3899" s="29" t="str">
        <x:v>presence does not prove operability or capacity</x:v>
      </x:c>
    </x:row>
    <x:row r="3900" ht="75.5999984741211" hidden="0" customHeight="1">
      <x:c r="A3900" s="27" t="str">
        <x:v>SCA-32</x:v>
      </x:c>
      <x:c r="B3900" s="27" t="str">
        <x:v>SCA-13</x:v>
      </x:c>
      <x:c r="C3900" s="27" t="str">
        <x:v>Water</x:v>
      </x:c>
      <x:c r="D3900" s="27" t="str">
        <x:v>YES</x:v>
      </x:c>
      <x:c r="E3900" s="27" t="str">
        <x:v>YES</x:v>
      </x:c>
      <x:c r="F3900" s="61" t="n">
        <x:v>4464.188904886356</x:v>
      </x:c>
      <x:c r="G3900" s="61" t="n">
        <x:v>157.54825442532444</x:v>
      </x:c>
      <x:c r="H3900" s="27" t="str">
        <x:v>NO</x:v>
      </x:c>
      <x:c r="I3900" s="27" t="str">
        <x:v>USACE waterway node topology; deployable terminal required</x:v>
      </x:c>
      <x:c r="J3900" s="27" t="str">
        <x:v>presence does not prove operability or capacity</x:v>
      </x:c>
    </x:row>
    <x:row r="3901" ht="54" hidden="0" customHeight="1">
      <x:c r="A3901" s="29" t="str">
        <x:v>SCA-32</x:v>
      </x:c>
      <x:c r="B3901" s="29" t="str">
        <x:v>SCA-14</x:v>
      </x:c>
      <x:c r="C3901" s="29" t="str">
        <x:v>Road</x:v>
      </x:c>
      <x:c r="D3901" s="29" t="str">
        <x:v>NO</x:v>
      </x:c>
      <x:c r="E3901" s="29" t="str">
        <x:v>NO</x:v>
      </x:c>
      <x:c r="F3901" s="62"/>
      <x:c r="G3901" s="62"/>
      <x:c r="H3901" s="29" t="str">
        <x:v>NO</x:v>
      </x:c>
      <x:c r="I3901" s="29" t="str">
        <x:v>no screened path</x:v>
      </x:c>
      <x:c r="J3901" s="29" t="str">
        <x:v>presence does not prove operability or capacity</x:v>
      </x:c>
    </x:row>
    <x:row r="3902" ht="54" hidden="0" customHeight="1">
      <x:c r="A3902" s="27" t="str">
        <x:v>SCA-32</x:v>
      </x:c>
      <x:c r="B3902" s="27" t="str">
        <x:v>SCA-14</x:v>
      </x:c>
      <x:c r="C3902" s="27" t="str">
        <x:v>Rail</x:v>
      </x:c>
      <x:c r="D3902" s="27" t="str">
        <x:v>NO</x:v>
      </x:c>
      <x:c r="E3902" s="27" t="str">
        <x:v>NO</x:v>
      </x:c>
      <x:c r="F3902" s="61"/>
      <x:c r="G3902" s="61"/>
      <x:c r="H3902" s="27" t="str">
        <x:v>NO</x:v>
      </x:c>
      <x:c r="I3902" s="27" t="str">
        <x:v>no screened path</x:v>
      </x:c>
      <x:c r="J3902" s="27" t="str">
        <x:v>presence does not prove operability or capacity</x:v>
      </x:c>
    </x:row>
    <x:row r="3903" ht="54" hidden="0" customHeight="1">
      <x:c r="A3903" s="29" t="str">
        <x:v>SCA-32</x:v>
      </x:c>
      <x:c r="B3903" s="29" t="str">
        <x:v>SCA-14</x:v>
      </x:c>
      <x:c r="C3903" s="29" t="str">
        <x:v>Air</x:v>
      </x:c>
      <x:c r="D3903" s="29" t="str">
        <x:v>YES</x:v>
      </x:c>
      <x:c r="E3903" s="29" t="str">
        <x:v>YES</x:v>
      </x:c>
      <x:c r="F3903" s="62" t="n">
        <x:v>3382.9829186680317</x:v>
      </x:c>
      <x:c r="G3903" s="62" t="n">
        <x:v>29.204589105643127</x:v>
      </x:c>
      <x:c r="H3903" s="29" t="str">
        <x:v>YES</x:v>
      </x:c>
      <x:c r="I3903" s="29" t="str">
        <x:v>primary-airport endpoints; great-circle screen</x:v>
      </x:c>
      <x:c r="J3903" s="29" t="str">
        <x:v>presence does not prove operability or capacity</x:v>
      </x:c>
    </x:row>
    <x:row r="3904" ht="75.5999984741211" hidden="0" customHeight="1">
      <x:c r="A3904" s="27" t="str">
        <x:v>SCA-32</x:v>
      </x:c>
      <x:c r="B3904" s="27" t="str">
        <x:v>SCA-14</x:v>
      </x:c>
      <x:c r="C3904" s="27" t="str">
        <x:v>Water</x:v>
      </x:c>
      <x:c r="D3904" s="27" t="str">
        <x:v>YES</x:v>
      </x:c>
      <x:c r="E3904" s="27" t="str">
        <x:v>YES</x:v>
      </x:c>
      <x:c r="F3904" s="61" t="n">
        <x:v>4412.194892439677</x:v>
      </x:c>
      <x:c r="G3904" s="61" t="n">
        <x:v>156.0627112125622</x:v>
      </x:c>
      <x:c r="H3904" s="27" t="str">
        <x:v>NO</x:v>
      </x:c>
      <x:c r="I3904" s="27" t="str">
        <x:v>USACE waterway node topology; deployable terminal required</x:v>
      </x:c>
      <x:c r="J3904" s="27" t="str">
        <x:v>presence does not prove operability or capacity</x:v>
      </x:c>
    </x:row>
    <x:row r="3905" ht="54" hidden="0" customHeight="1">
      <x:c r="A3905" s="29" t="str">
        <x:v>SCA-32</x:v>
      </x:c>
      <x:c r="B3905" s="29" t="str">
        <x:v>SCA-15</x:v>
      </x:c>
      <x:c r="C3905" s="29" t="str">
        <x:v>Road</x:v>
      </x:c>
      <x:c r="D3905" s="29" t="str">
        <x:v>NO</x:v>
      </x:c>
      <x:c r="E3905" s="29" t="str">
        <x:v>NO</x:v>
      </x:c>
      <x:c r="F3905" s="62"/>
      <x:c r="G3905" s="62"/>
      <x:c r="H3905" s="29" t="str">
        <x:v>NO</x:v>
      </x:c>
      <x:c r="I3905" s="29" t="str">
        <x:v>no screened path</x:v>
      </x:c>
      <x:c r="J3905" s="29" t="str">
        <x:v>presence does not prove operability or capacity</x:v>
      </x:c>
    </x:row>
    <x:row r="3906" ht="54" hidden="0" customHeight="1">
      <x:c r="A3906" s="27" t="str">
        <x:v>SCA-32</x:v>
      </x:c>
      <x:c r="B3906" s="27" t="str">
        <x:v>SCA-15</x:v>
      </x:c>
      <x:c r="C3906" s="27" t="str">
        <x:v>Rail</x:v>
      </x:c>
      <x:c r="D3906" s="27" t="str">
        <x:v>NO</x:v>
      </x:c>
      <x:c r="E3906" s="27" t="str">
        <x:v>NO</x:v>
      </x:c>
      <x:c r="F3906" s="61"/>
      <x:c r="G3906" s="61"/>
      <x:c r="H3906" s="27" t="str">
        <x:v>NO</x:v>
      </x:c>
      <x:c r="I3906" s="27" t="str">
        <x:v>no screened path</x:v>
      </x:c>
      <x:c r="J3906" s="27" t="str">
        <x:v>presence does not prove operability or capacity</x:v>
      </x:c>
    </x:row>
    <x:row r="3907" ht="54" hidden="0" customHeight="1">
      <x:c r="A3907" s="29" t="str">
        <x:v>SCA-32</x:v>
      </x:c>
      <x:c r="B3907" s="29" t="str">
        <x:v>SCA-15</x:v>
      </x:c>
      <x:c r="C3907" s="29" t="str">
        <x:v>Air</x:v>
      </x:c>
      <x:c r="D3907" s="29" t="str">
        <x:v>YES</x:v>
      </x:c>
      <x:c r="E3907" s="29" t="str">
        <x:v>YES</x:v>
      </x:c>
      <x:c r="F3907" s="62" t="n">
        <x:v>3437.196643887115</x:v>
      </x:c>
      <x:c r="G3907" s="62" t="n">
        <x:v>29.28799483674941</x:v>
      </x:c>
      <x:c r="H3907" s="29" t="str">
        <x:v>YES</x:v>
      </x:c>
      <x:c r="I3907" s="29" t="str">
        <x:v>primary-airport endpoints; great-circle screen</x:v>
      </x:c>
      <x:c r="J3907" s="29" t="str">
        <x:v>presence does not prove operability or capacity</x:v>
      </x:c>
    </x:row>
    <x:row r="3908" ht="75.5999984741211" hidden="0" customHeight="1">
      <x:c r="A3908" s="27" t="str">
        <x:v>SCA-32</x:v>
      </x:c>
      <x:c r="B3908" s="27" t="str">
        <x:v>SCA-15</x:v>
      </x:c>
      <x:c r="C3908" s="27" t="str">
        <x:v>Water</x:v>
      </x:c>
      <x:c r="D3908" s="27" t="str">
        <x:v>YES</x:v>
      </x:c>
      <x:c r="E3908" s="27" t="str">
        <x:v>YES</x:v>
      </x:c>
      <x:c r="F3908" s="61" t="n">
        <x:v>4504.789115671746</x:v>
      </x:c>
      <x:c r="G3908" s="61" t="n">
        <x:v>158.70826044776416</x:v>
      </x:c>
      <x:c r="H3908" s="27" t="str">
        <x:v>NO</x:v>
      </x:c>
      <x:c r="I3908" s="27" t="str">
        <x:v>USACE waterway node topology; deployable terminal required</x:v>
      </x:c>
      <x:c r="J3908" s="27" t="str">
        <x:v>presence does not prove operability or capacity</x:v>
      </x:c>
    </x:row>
    <x:row r="3909" ht="54" hidden="0" customHeight="1">
      <x:c r="A3909" s="29" t="str">
        <x:v>SCA-32</x:v>
      </x:c>
      <x:c r="B3909" s="29" t="str">
        <x:v>SCA-16</x:v>
      </x:c>
      <x:c r="C3909" s="29" t="str">
        <x:v>Road</x:v>
      </x:c>
      <x:c r="D3909" s="29" t="str">
        <x:v>NO</x:v>
      </x:c>
      <x:c r="E3909" s="29" t="str">
        <x:v>NO</x:v>
      </x:c>
      <x:c r="F3909" s="62"/>
      <x:c r="G3909" s="62"/>
      <x:c r="H3909" s="29" t="str">
        <x:v>NO</x:v>
      </x:c>
      <x:c r="I3909" s="29" t="str">
        <x:v>no screened path</x:v>
      </x:c>
      <x:c r="J3909" s="29" t="str">
        <x:v>presence does not prove operability or capacity</x:v>
      </x:c>
    </x:row>
    <x:row r="3910" ht="54" hidden="0" customHeight="1">
      <x:c r="A3910" s="27" t="str">
        <x:v>SCA-32</x:v>
      </x:c>
      <x:c r="B3910" s="27" t="str">
        <x:v>SCA-16</x:v>
      </x:c>
      <x:c r="C3910" s="27" t="str">
        <x:v>Rail</x:v>
      </x:c>
      <x:c r="D3910" s="27" t="str">
        <x:v>NO</x:v>
      </x:c>
      <x:c r="E3910" s="27" t="str">
        <x:v>NO</x:v>
      </x:c>
      <x:c r="F3910" s="61"/>
      <x:c r="G3910" s="61"/>
      <x:c r="H3910" s="27" t="str">
        <x:v>NO</x:v>
      </x:c>
      <x:c r="I3910" s="27" t="str">
        <x:v>no screened path</x:v>
      </x:c>
      <x:c r="J3910" s="27" t="str">
        <x:v>presence does not prove operability or capacity</x:v>
      </x:c>
    </x:row>
    <x:row r="3911" ht="54" hidden="0" customHeight="1">
      <x:c r="A3911" s="29" t="str">
        <x:v>SCA-32</x:v>
      </x:c>
      <x:c r="B3911" s="29" t="str">
        <x:v>SCA-16</x:v>
      </x:c>
      <x:c r="C3911" s="29" t="str">
        <x:v>Air</x:v>
      </x:c>
      <x:c r="D3911" s="29" t="str">
        <x:v>YES</x:v>
      </x:c>
      <x:c r="E3911" s="29" t="str">
        <x:v>YES</x:v>
      </x:c>
      <x:c r="F3911" s="62" t="n">
        <x:v>3624.0821354956875</x:v>
      </x:c>
      <x:c r="G3911" s="62" t="n">
        <x:v>29.575510977685674</x:v>
      </x:c>
      <x:c r="H3911" s="29" t="str">
        <x:v>YES</x:v>
      </x:c>
      <x:c r="I3911" s="29" t="str">
        <x:v>primary-airport endpoints; great-circle screen</x:v>
      </x:c>
      <x:c r="J3911" s="29" t="str">
        <x:v>presence does not prove operability or capacity</x:v>
      </x:c>
    </x:row>
    <x:row r="3912" ht="75.5999984741211" hidden="0" customHeight="1">
      <x:c r="A3912" s="27" t="str">
        <x:v>SCA-32</x:v>
      </x:c>
      <x:c r="B3912" s="27" t="str">
        <x:v>SCA-16</x:v>
      </x:c>
      <x:c r="C3912" s="27" t="str">
        <x:v>Water</x:v>
      </x:c>
      <x:c r="D3912" s="27" t="str">
        <x:v>YES</x:v>
      </x:c>
      <x:c r="E3912" s="27" t="str">
        <x:v>YES</x:v>
      </x:c>
      <x:c r="F3912" s="61" t="n">
        <x:v>4657.423490823922</x:v>
      </x:c>
      <x:c r="G3912" s="61" t="n">
        <x:v>163.0692425949692</x:v>
      </x:c>
      <x:c r="H3912" s="27" t="str">
        <x:v>NO</x:v>
      </x:c>
      <x:c r="I3912" s="27" t="str">
        <x:v>USACE waterway node topology; deployable terminal required</x:v>
      </x:c>
      <x:c r="J3912" s="27" t="str">
        <x:v>presence does not prove operability or capacity</x:v>
      </x:c>
    </x:row>
    <x:row r="3913" ht="54" hidden="0" customHeight="1">
      <x:c r="A3913" s="29" t="str">
        <x:v>SCA-32</x:v>
      </x:c>
      <x:c r="B3913" s="29" t="str">
        <x:v>SCA-17</x:v>
      </x:c>
      <x:c r="C3913" s="29" t="str">
        <x:v>Road</x:v>
      </x:c>
      <x:c r="D3913" s="29" t="str">
        <x:v>NO</x:v>
      </x:c>
      <x:c r="E3913" s="29" t="str">
        <x:v>NO</x:v>
      </x:c>
      <x:c r="F3913" s="62"/>
      <x:c r="G3913" s="62"/>
      <x:c r="H3913" s="29" t="str">
        <x:v>NO</x:v>
      </x:c>
      <x:c r="I3913" s="29" t="str">
        <x:v>no screened path</x:v>
      </x:c>
      <x:c r="J3913" s="29" t="str">
        <x:v>presence does not prove operability or capacity</x:v>
      </x:c>
    </x:row>
    <x:row r="3914" ht="54" hidden="0" customHeight="1">
      <x:c r="A3914" s="27" t="str">
        <x:v>SCA-32</x:v>
      </x:c>
      <x:c r="B3914" s="27" t="str">
        <x:v>SCA-17</x:v>
      </x:c>
      <x:c r="C3914" s="27" t="str">
        <x:v>Rail</x:v>
      </x:c>
      <x:c r="D3914" s="27" t="str">
        <x:v>NO</x:v>
      </x:c>
      <x:c r="E3914" s="27" t="str">
        <x:v>NO</x:v>
      </x:c>
      <x:c r="F3914" s="61"/>
      <x:c r="G3914" s="61"/>
      <x:c r="H3914" s="27" t="str">
        <x:v>NO</x:v>
      </x:c>
      <x:c r="I3914" s="27" t="str">
        <x:v>no screened path</x:v>
      </x:c>
      <x:c r="J3914" s="27" t="str">
        <x:v>presence does not prove operability or capacity</x:v>
      </x:c>
    </x:row>
    <x:row r="3915" ht="54" hidden="0" customHeight="1">
      <x:c r="A3915" s="29" t="str">
        <x:v>SCA-32</x:v>
      </x:c>
      <x:c r="B3915" s="29" t="str">
        <x:v>SCA-17</x:v>
      </x:c>
      <x:c r="C3915" s="29" t="str">
        <x:v>Air</x:v>
      </x:c>
      <x:c r="D3915" s="29" t="str">
        <x:v>YES</x:v>
      </x:c>
      <x:c r="E3915" s="29" t="str">
        <x:v>YES</x:v>
      </x:c>
      <x:c r="F3915" s="62" t="n">
        <x:v>3105.2939556065708</x:v>
      </x:c>
      <x:c r="G3915" s="62" t="n">
        <x:v>28.7773753163178</x:v>
      </x:c>
      <x:c r="H3915" s="29" t="str">
        <x:v>YES</x:v>
      </x:c>
      <x:c r="I3915" s="29" t="str">
        <x:v>primary-airport endpoints; great-circle screen</x:v>
      </x:c>
      <x:c r="J3915" s="29" t="str">
        <x:v>presence does not prove operability or capacity</x:v>
      </x:c>
    </x:row>
    <x:row r="3916" ht="75.5999984741211" hidden="0" customHeight="1">
      <x:c r="A3916" s="27" t="str">
        <x:v>SCA-32</x:v>
      </x:c>
      <x:c r="B3916" s="27" t="str">
        <x:v>SCA-17</x:v>
      </x:c>
      <x:c r="C3916" s="27" t="str">
        <x:v>Water</x:v>
      </x:c>
      <x:c r="D3916" s="27" t="str">
        <x:v>YES</x:v>
      </x:c>
      <x:c r="E3916" s="27" t="str">
        <x:v>YES</x:v>
      </x:c>
      <x:c r="F3916" s="61" t="n">
        <x:v>3982.980539312265</x:v>
      </x:c>
      <x:c r="G3916" s="61" t="n">
        <x:v>143.79944398035042</x:v>
      </x:c>
      <x:c r="H3916" s="27" t="str">
        <x:v>NO</x:v>
      </x:c>
      <x:c r="I3916" s="27" t="str">
        <x:v>USACE waterway node topology; deployable terminal required</x:v>
      </x:c>
      <x:c r="J3916" s="27" t="str">
        <x:v>presence does not prove operability or capacity</x:v>
      </x:c>
    </x:row>
    <x:row r="3917" ht="54" hidden="0" customHeight="1">
      <x:c r="A3917" s="29" t="str">
        <x:v>SCA-32</x:v>
      </x:c>
      <x:c r="B3917" s="29" t="str">
        <x:v>SCA-18</x:v>
      </x:c>
      <x:c r="C3917" s="29" t="str">
        <x:v>Road</x:v>
      </x:c>
      <x:c r="D3917" s="29" t="str">
        <x:v>NO</x:v>
      </x:c>
      <x:c r="E3917" s="29" t="str">
        <x:v>NO</x:v>
      </x:c>
      <x:c r="F3917" s="62"/>
      <x:c r="G3917" s="62"/>
      <x:c r="H3917" s="29" t="str">
        <x:v>NO</x:v>
      </x:c>
      <x:c r="I3917" s="29" t="str">
        <x:v>no screened path</x:v>
      </x:c>
      <x:c r="J3917" s="29" t="str">
        <x:v>presence does not prove operability or capacity</x:v>
      </x:c>
    </x:row>
    <x:row r="3918" ht="54" hidden="0" customHeight="1">
      <x:c r="A3918" s="27" t="str">
        <x:v>SCA-32</x:v>
      </x:c>
      <x:c r="B3918" s="27" t="str">
        <x:v>SCA-18</x:v>
      </x:c>
      <x:c r="C3918" s="27" t="str">
        <x:v>Rail</x:v>
      </x:c>
      <x:c r="D3918" s="27" t="str">
        <x:v>NO</x:v>
      </x:c>
      <x:c r="E3918" s="27" t="str">
        <x:v>NO</x:v>
      </x:c>
      <x:c r="F3918" s="61"/>
      <x:c r="G3918" s="61"/>
      <x:c r="H3918" s="27" t="str">
        <x:v>NO</x:v>
      </x:c>
      <x:c r="I3918" s="27" t="str">
        <x:v>no screened path</x:v>
      </x:c>
      <x:c r="J3918" s="27" t="str">
        <x:v>presence does not prove operability or capacity</x:v>
      </x:c>
    </x:row>
    <x:row r="3919" ht="54" hidden="0" customHeight="1">
      <x:c r="A3919" s="29" t="str">
        <x:v>SCA-32</x:v>
      </x:c>
      <x:c r="B3919" s="29" t="str">
        <x:v>SCA-18</x:v>
      </x:c>
      <x:c r="C3919" s="29" t="str">
        <x:v>Air</x:v>
      </x:c>
      <x:c r="D3919" s="29" t="str">
        <x:v>YES</x:v>
      </x:c>
      <x:c r="E3919" s="29" t="str">
        <x:v>YES</x:v>
      </x:c>
      <x:c r="F3919" s="62" t="n">
        <x:v>3896.731066159853</x:v>
      </x:c>
      <x:c r="G3919" s="62" t="n">
        <x:v>29.99497087101516</x:v>
      </x:c>
      <x:c r="H3919" s="29" t="str">
        <x:v>YES</x:v>
      </x:c>
      <x:c r="I3919" s="29" t="str">
        <x:v>primary-airport endpoints; great-circle screen</x:v>
      </x:c>
      <x:c r="J3919" s="29" t="str">
        <x:v>presence does not prove operability or capacity</x:v>
      </x:c>
    </x:row>
    <x:row r="3920" ht="75.5999984741211" hidden="0" customHeight="1">
      <x:c r="A3920" s="27" t="str">
        <x:v>SCA-32</x:v>
      </x:c>
      <x:c r="B3920" s="27" t="str">
        <x:v>SCA-18</x:v>
      </x:c>
      <x:c r="C3920" s="27" t="str">
        <x:v>Water</x:v>
      </x:c>
      <x:c r="D3920" s="27" t="str">
        <x:v>YES</x:v>
      </x:c>
      <x:c r="E3920" s="27" t="str">
        <x:v>YES</x:v>
      </x:c>
      <x:c r="F3920" s="61" t="n">
        <x:v>5259.892061936698</x:v>
      </x:c>
      <x:c r="G3920" s="61" t="n">
        <x:v>180.28263034104853</x:v>
      </x:c>
      <x:c r="H3920" s="27" t="str">
        <x:v>NO</x:v>
      </x:c>
      <x:c r="I3920" s="27" t="str">
        <x:v>USACE waterway node topology; deployable terminal required</x:v>
      </x:c>
      <x:c r="J3920" s="27" t="str">
        <x:v>presence does not prove operability or capacity</x:v>
      </x:c>
    </x:row>
    <x:row r="3921" ht="54" hidden="0" customHeight="1">
      <x:c r="A3921" s="29" t="str">
        <x:v>SCA-32</x:v>
      </x:c>
      <x:c r="B3921" s="29" t="str">
        <x:v>SCA-19</x:v>
      </x:c>
      <x:c r="C3921" s="29" t="str">
        <x:v>Road</x:v>
      </x:c>
      <x:c r="D3921" s="29" t="str">
        <x:v>NO</x:v>
      </x:c>
      <x:c r="E3921" s="29" t="str">
        <x:v>NO</x:v>
      </x:c>
      <x:c r="F3921" s="62"/>
      <x:c r="G3921" s="62"/>
      <x:c r="H3921" s="29" t="str">
        <x:v>NO</x:v>
      </x:c>
      <x:c r="I3921" s="29" t="str">
        <x:v>no screened path</x:v>
      </x:c>
      <x:c r="J3921" s="29" t="str">
        <x:v>presence does not prove operability or capacity</x:v>
      </x:c>
    </x:row>
    <x:row r="3922" ht="54" hidden="0" customHeight="1">
      <x:c r="A3922" s="27" t="str">
        <x:v>SCA-32</x:v>
      </x:c>
      <x:c r="B3922" s="27" t="str">
        <x:v>SCA-19</x:v>
      </x:c>
      <x:c r="C3922" s="27" t="str">
        <x:v>Rail</x:v>
      </x:c>
      <x:c r="D3922" s="27" t="str">
        <x:v>NO</x:v>
      </x:c>
      <x:c r="E3922" s="27" t="str">
        <x:v>NO</x:v>
      </x:c>
      <x:c r="F3922" s="61"/>
      <x:c r="G3922" s="61"/>
      <x:c r="H3922" s="27" t="str">
        <x:v>NO</x:v>
      </x:c>
      <x:c r="I3922" s="27" t="str">
        <x:v>no screened path</x:v>
      </x:c>
      <x:c r="J3922" s="27" t="str">
        <x:v>presence does not prove operability or capacity</x:v>
      </x:c>
    </x:row>
    <x:row r="3923" ht="54" hidden="0" customHeight="1">
      <x:c r="A3923" s="29" t="str">
        <x:v>SCA-32</x:v>
      </x:c>
      <x:c r="B3923" s="29" t="str">
        <x:v>SCA-19</x:v>
      </x:c>
      <x:c r="C3923" s="29" t="str">
        <x:v>Air</x:v>
      </x:c>
      <x:c r="D3923" s="29" t="str">
        <x:v>YES</x:v>
      </x:c>
      <x:c r="E3923" s="29" t="str">
        <x:v>YES</x:v>
      </x:c>
      <x:c r="F3923" s="62" t="n">
        <x:v>3285.178712868547</x:v>
      </x:c>
      <x:c r="G3923" s="62" t="n">
        <x:v>29.05412109672084</x:v>
      </x:c>
      <x:c r="H3923" s="29" t="str">
        <x:v>YES</x:v>
      </x:c>
      <x:c r="I3923" s="29" t="str">
        <x:v>primary-airport endpoints; great-circle screen</x:v>
      </x:c>
      <x:c r="J3923" s="29" t="str">
        <x:v>presence does not prove operability or capacity</x:v>
      </x:c>
    </x:row>
    <x:row r="3924" ht="75.5999984741211" hidden="0" customHeight="1">
      <x:c r="A3924" s="27" t="str">
        <x:v>SCA-32</x:v>
      </x:c>
      <x:c r="B3924" s="27" t="str">
        <x:v>SCA-19</x:v>
      </x:c>
      <x:c r="C3924" s="27" t="str">
        <x:v>Water</x:v>
      </x:c>
      <x:c r="D3924" s="27" t="str">
        <x:v>YES</x:v>
      </x:c>
      <x:c r="E3924" s="27" t="str">
        <x:v>YES</x:v>
      </x:c>
      <x:c r="F3924" s="61" t="n">
        <x:v>4389.083958385124</x:v>
      </x:c>
      <x:c r="G3924" s="61" t="n">
        <x:v>155.40239881100354</x:v>
      </x:c>
      <x:c r="H3924" s="27" t="str">
        <x:v>NO</x:v>
      </x:c>
      <x:c r="I3924" s="27" t="str">
        <x:v>USACE waterway node topology; deployable terminal required</x:v>
      </x:c>
      <x:c r="J3924" s="27" t="str">
        <x:v>presence does not prove operability or capacity</x:v>
      </x:c>
    </x:row>
    <x:row r="3925" ht="54" hidden="0" customHeight="1">
      <x:c r="A3925" s="29" t="str">
        <x:v>SCA-32</x:v>
      </x:c>
      <x:c r="B3925" s="29" t="str">
        <x:v>SCA-20</x:v>
      </x:c>
      <x:c r="C3925" s="29" t="str">
        <x:v>Road</x:v>
      </x:c>
      <x:c r="D3925" s="29" t="str">
        <x:v>NO</x:v>
      </x:c>
      <x:c r="E3925" s="29" t="str">
        <x:v>NO</x:v>
      </x:c>
      <x:c r="F3925" s="62"/>
      <x:c r="G3925" s="62"/>
      <x:c r="H3925" s="29" t="str">
        <x:v>NO</x:v>
      </x:c>
      <x:c r="I3925" s="29" t="str">
        <x:v>no screened path</x:v>
      </x:c>
      <x:c r="J3925" s="29" t="str">
        <x:v>presence does not prove operability or capacity</x:v>
      </x:c>
    </x:row>
    <x:row r="3926" ht="54" hidden="0" customHeight="1">
      <x:c r="A3926" s="27" t="str">
        <x:v>SCA-32</x:v>
      </x:c>
      <x:c r="B3926" s="27" t="str">
        <x:v>SCA-20</x:v>
      </x:c>
      <x:c r="C3926" s="27" t="str">
        <x:v>Rail</x:v>
      </x:c>
      <x:c r="D3926" s="27" t="str">
        <x:v>NO</x:v>
      </x:c>
      <x:c r="E3926" s="27" t="str">
        <x:v>NO</x:v>
      </x:c>
      <x:c r="F3926" s="61"/>
      <x:c r="G3926" s="61"/>
      <x:c r="H3926" s="27" t="str">
        <x:v>NO</x:v>
      </x:c>
      <x:c r="I3926" s="27" t="str">
        <x:v>no screened path</x:v>
      </x:c>
      <x:c r="J3926" s="27" t="str">
        <x:v>presence does not prove operability or capacity</x:v>
      </x:c>
    </x:row>
    <x:row r="3927" ht="54" hidden="0" customHeight="1">
      <x:c r="A3927" s="29" t="str">
        <x:v>SCA-32</x:v>
      </x:c>
      <x:c r="B3927" s="29" t="str">
        <x:v>SCA-20</x:v>
      </x:c>
      <x:c r="C3927" s="29" t="str">
        <x:v>Air</x:v>
      </x:c>
      <x:c r="D3927" s="29" t="str">
        <x:v>YES</x:v>
      </x:c>
      <x:c r="E3927" s="29" t="str">
        <x:v>YES</x:v>
      </x:c>
      <x:c r="F3927" s="62" t="n">
        <x:v>2930.0910222827733</x:v>
      </x:c>
      <x:c r="G3927" s="62" t="n">
        <x:v>28.507832341973497</x:v>
      </x:c>
      <x:c r="H3927" s="29" t="str">
        <x:v>YES</x:v>
      </x:c>
      <x:c r="I3927" s="29" t="str">
        <x:v>primary-airport endpoints; great-circle screen</x:v>
      </x:c>
      <x:c r="J3927" s="29" t="str">
        <x:v>presence does not prove operability or capacity</x:v>
      </x:c>
    </x:row>
    <x:row r="3928" ht="75.5999984741211" hidden="0" customHeight="1">
      <x:c r="A3928" s="27" t="str">
        <x:v>SCA-32</x:v>
      </x:c>
      <x:c r="B3928" s="27" t="str">
        <x:v>SCA-20</x:v>
      </x:c>
      <x:c r="C3928" s="27" t="str">
        <x:v>Water</x:v>
      </x:c>
      <x:c r="D3928" s="27" t="str">
        <x:v>YES</x:v>
      </x:c>
      <x:c r="E3928" s="27" t="str">
        <x:v>YES</x:v>
      </x:c>
      <x:c r="F3928" s="61" t="n">
        <x:v>3756.831420089161</x:v>
      </x:c>
      <x:c r="G3928" s="61" t="n">
        <x:v>137.33804057397603</x:v>
      </x:c>
      <x:c r="H3928" s="27" t="str">
        <x:v>NO</x:v>
      </x:c>
      <x:c r="I3928" s="27" t="str">
        <x:v>USACE waterway node topology; deployable terminal required</x:v>
      </x:c>
      <x:c r="J3928" s="27" t="str">
        <x:v>presence does not prove operability or capacity</x:v>
      </x:c>
    </x:row>
    <x:row r="3929" ht="54" hidden="0" customHeight="1">
      <x:c r="A3929" s="29" t="str">
        <x:v>SCA-32</x:v>
      </x:c>
      <x:c r="B3929" s="29" t="str">
        <x:v>SCA-21</x:v>
      </x:c>
      <x:c r="C3929" s="29" t="str">
        <x:v>Road</x:v>
      </x:c>
      <x:c r="D3929" s="29" t="str">
        <x:v>NO</x:v>
      </x:c>
      <x:c r="E3929" s="29" t="str">
        <x:v>NO</x:v>
      </x:c>
      <x:c r="F3929" s="62"/>
      <x:c r="G3929" s="62"/>
      <x:c r="H3929" s="29" t="str">
        <x:v>NO</x:v>
      </x:c>
      <x:c r="I3929" s="29" t="str">
        <x:v>no screened path</x:v>
      </x:c>
      <x:c r="J3929" s="29" t="str">
        <x:v>presence does not prove operability or capacity</x:v>
      </x:c>
    </x:row>
    <x:row r="3930" ht="54" hidden="0" customHeight="1">
      <x:c r="A3930" s="27" t="str">
        <x:v>SCA-32</x:v>
      </x:c>
      <x:c r="B3930" s="27" t="str">
        <x:v>SCA-21</x:v>
      </x:c>
      <x:c r="C3930" s="27" t="str">
        <x:v>Rail</x:v>
      </x:c>
      <x:c r="D3930" s="27" t="str">
        <x:v>NO</x:v>
      </x:c>
      <x:c r="E3930" s="27" t="str">
        <x:v>NO</x:v>
      </x:c>
      <x:c r="F3930" s="61"/>
      <x:c r="G3930" s="61"/>
      <x:c r="H3930" s="27" t="str">
        <x:v>NO</x:v>
      </x:c>
      <x:c r="I3930" s="27" t="str">
        <x:v>no screened path</x:v>
      </x:c>
      <x:c r="J3930" s="27" t="str">
        <x:v>presence does not prove operability or capacity</x:v>
      </x:c>
    </x:row>
    <x:row r="3931" ht="54" hidden="0" customHeight="1">
      <x:c r="A3931" s="29" t="str">
        <x:v>SCA-32</x:v>
      </x:c>
      <x:c r="B3931" s="29" t="str">
        <x:v>SCA-21</x:v>
      </x:c>
      <x:c r="C3931" s="29" t="str">
        <x:v>Air</x:v>
      </x:c>
      <x:c r="D3931" s="29" t="str">
        <x:v>YES</x:v>
      </x:c>
      <x:c r="E3931" s="29" t="str">
        <x:v>YES</x:v>
      </x:c>
      <x:c r="F3931" s="62" t="n">
        <x:v>3351.5781183892404</x:v>
      </x:c>
      <x:c r="G3931" s="62" t="n">
        <x:v>29.15627402829114</x:v>
      </x:c>
      <x:c r="H3931" s="29" t="str">
        <x:v>YES</x:v>
      </x:c>
      <x:c r="I3931" s="29" t="str">
        <x:v>primary-airport endpoints; great-circle screen</x:v>
      </x:c>
      <x:c r="J3931" s="29" t="str">
        <x:v>presence does not prove operability or capacity</x:v>
      </x:c>
    </x:row>
    <x:row r="3932" ht="75.5999984741211" hidden="0" customHeight="1">
      <x:c r="A3932" s="27" t="str">
        <x:v>SCA-32</x:v>
      </x:c>
      <x:c r="B3932" s="27" t="str">
        <x:v>SCA-21</x:v>
      </x:c>
      <x:c r="C3932" s="27" t="str">
        <x:v>Water</x:v>
      </x:c>
      <x:c r="D3932" s="27" t="str">
        <x:v>YES</x:v>
      </x:c>
      <x:c r="E3932" s="27" t="str">
        <x:v>YES</x:v>
      </x:c>
      <x:c r="F3932" s="61" t="n">
        <x:v>4605.221069452431</x:v>
      </x:c>
      <x:c r="G3932" s="61" t="n">
        <x:v>161.57774484149803</x:v>
      </x:c>
      <x:c r="H3932" s="27" t="str">
        <x:v>NO</x:v>
      </x:c>
      <x:c r="I3932" s="27" t="str">
        <x:v>USACE waterway node topology; deployable terminal required</x:v>
      </x:c>
      <x:c r="J3932" s="27" t="str">
        <x:v>presence does not prove operability or capacity</x:v>
      </x:c>
    </x:row>
    <x:row r="3933" ht="54" hidden="0" customHeight="1">
      <x:c r="A3933" s="29" t="str">
        <x:v>SCA-32</x:v>
      </x:c>
      <x:c r="B3933" s="29" t="str">
        <x:v>SCA-22</x:v>
      </x:c>
      <x:c r="C3933" s="29" t="str">
        <x:v>Road</x:v>
      </x:c>
      <x:c r="D3933" s="29" t="str">
        <x:v>NO</x:v>
      </x:c>
      <x:c r="E3933" s="29" t="str">
        <x:v>NO</x:v>
      </x:c>
      <x:c r="F3933" s="62"/>
      <x:c r="G3933" s="62"/>
      <x:c r="H3933" s="29" t="str">
        <x:v>NO</x:v>
      </x:c>
      <x:c r="I3933" s="29" t="str">
        <x:v>no screened path</x:v>
      </x:c>
      <x:c r="J3933" s="29" t="str">
        <x:v>presence does not prove operability or capacity</x:v>
      </x:c>
    </x:row>
    <x:row r="3934" ht="54" hidden="0" customHeight="1">
      <x:c r="A3934" s="27" t="str">
        <x:v>SCA-32</x:v>
      </x:c>
      <x:c r="B3934" s="27" t="str">
        <x:v>SCA-22</x:v>
      </x:c>
      <x:c r="C3934" s="27" t="str">
        <x:v>Rail</x:v>
      </x:c>
      <x:c r="D3934" s="27" t="str">
        <x:v>NO</x:v>
      </x:c>
      <x:c r="E3934" s="27" t="str">
        <x:v>NO</x:v>
      </x:c>
      <x:c r="F3934" s="61"/>
      <x:c r="G3934" s="61"/>
      <x:c r="H3934" s="27" t="str">
        <x:v>NO</x:v>
      </x:c>
      <x:c r="I3934" s="27" t="str">
        <x:v>no screened path</x:v>
      </x:c>
      <x:c r="J3934" s="27" t="str">
        <x:v>presence does not prove operability or capacity</x:v>
      </x:c>
    </x:row>
    <x:row r="3935" ht="54" hidden="0" customHeight="1">
      <x:c r="A3935" s="29" t="str">
        <x:v>SCA-32</x:v>
      </x:c>
      <x:c r="B3935" s="29" t="str">
        <x:v>SCA-22</x:v>
      </x:c>
      <x:c r="C3935" s="29" t="str">
        <x:v>Air</x:v>
      </x:c>
      <x:c r="D3935" s="29" t="str">
        <x:v>YES</x:v>
      </x:c>
      <x:c r="E3935" s="29" t="str">
        <x:v>YES</x:v>
      </x:c>
      <x:c r="F3935" s="62" t="n">
        <x:v>2894.1372760476793</x:v>
      </x:c>
      <x:c r="G3935" s="62" t="n">
        <x:v>28.4525188862272</x:v>
      </x:c>
      <x:c r="H3935" s="29" t="str">
        <x:v>YES</x:v>
      </x:c>
      <x:c r="I3935" s="29" t="str">
        <x:v>primary-airport endpoints; great-circle screen</x:v>
      </x:c>
      <x:c r="J3935" s="29" t="str">
        <x:v>presence does not prove operability or capacity</x:v>
      </x:c>
    </x:row>
    <x:row r="3936" ht="75.5999984741211" hidden="0" customHeight="1">
      <x:c r="A3936" s="27" t="str">
        <x:v>SCA-32</x:v>
      </x:c>
      <x:c r="B3936" s="27" t="str">
        <x:v>SCA-22</x:v>
      </x:c>
      <x:c r="C3936" s="27" t="str">
        <x:v>Water</x:v>
      </x:c>
      <x:c r="D3936" s="27" t="str">
        <x:v>YES</x:v>
      </x:c>
      <x:c r="E3936" s="27" t="str">
        <x:v>YES</x:v>
      </x:c>
      <x:c r="F3936" s="61" t="n">
        <x:v>3768.470247514497</x:v>
      </x:c>
      <x:c r="G3936" s="61" t="n">
        <x:v>137.6705785004142</x:v>
      </x:c>
      <x:c r="H3936" s="27" t="str">
        <x:v>NO</x:v>
      </x:c>
      <x:c r="I3936" s="27" t="str">
        <x:v>USACE waterway node topology; deployable terminal required</x:v>
      </x:c>
      <x:c r="J3936" s="27" t="str">
        <x:v>presence does not prove operability or capacity</x:v>
      </x:c>
    </x:row>
    <x:row r="3937" ht="54" hidden="0" customHeight="1">
      <x:c r="A3937" s="29" t="str">
        <x:v>SCA-32</x:v>
      </x:c>
      <x:c r="B3937" s="29" t="str">
        <x:v>SCA-23</x:v>
      </x:c>
      <x:c r="C3937" s="29" t="str">
        <x:v>Road</x:v>
      </x:c>
      <x:c r="D3937" s="29" t="str">
        <x:v>NO</x:v>
      </x:c>
      <x:c r="E3937" s="29" t="str">
        <x:v>NO</x:v>
      </x:c>
      <x:c r="F3937" s="62"/>
      <x:c r="G3937" s="62"/>
      <x:c r="H3937" s="29" t="str">
        <x:v>NO</x:v>
      </x:c>
      <x:c r="I3937" s="29" t="str">
        <x:v>no screened path</x:v>
      </x:c>
      <x:c r="J3937" s="29" t="str">
        <x:v>presence does not prove operability or capacity</x:v>
      </x:c>
    </x:row>
    <x:row r="3938" ht="54" hidden="0" customHeight="1">
      <x:c r="A3938" s="27" t="str">
        <x:v>SCA-32</x:v>
      </x:c>
      <x:c r="B3938" s="27" t="str">
        <x:v>SCA-23</x:v>
      </x:c>
      <x:c r="C3938" s="27" t="str">
        <x:v>Rail</x:v>
      </x:c>
      <x:c r="D3938" s="27" t="str">
        <x:v>NO</x:v>
      </x:c>
      <x:c r="E3938" s="27" t="str">
        <x:v>NO</x:v>
      </x:c>
      <x:c r="F3938" s="61"/>
      <x:c r="G3938" s="61"/>
      <x:c r="H3938" s="27" t="str">
        <x:v>NO</x:v>
      </x:c>
      <x:c r="I3938" s="27" t="str">
        <x:v>no screened path</x:v>
      </x:c>
      <x:c r="J3938" s="27" t="str">
        <x:v>presence does not prove operability or capacity</x:v>
      </x:c>
    </x:row>
    <x:row r="3939" ht="54" hidden="0" customHeight="1">
      <x:c r="A3939" s="29" t="str">
        <x:v>SCA-32</x:v>
      </x:c>
      <x:c r="B3939" s="29" t="str">
        <x:v>SCA-23</x:v>
      </x:c>
      <x:c r="C3939" s="29" t="str">
        <x:v>Air</x:v>
      </x:c>
      <x:c r="D3939" s="29" t="str">
        <x:v>YES</x:v>
      </x:c>
      <x:c r="E3939" s="29" t="str">
        <x:v>YES</x:v>
      </x:c>
      <x:c r="F3939" s="62" t="n">
        <x:v>2500.273802219088</x:v>
      </x:c>
      <x:c r="G3939" s="62" t="n">
        <x:v>27.846575080337058</x:v>
      </x:c>
      <x:c r="H3939" s="29" t="str">
        <x:v>YES</x:v>
      </x:c>
      <x:c r="I3939" s="29" t="str">
        <x:v>primary-airport endpoints; great-circle screen</x:v>
      </x:c>
      <x:c r="J3939" s="29" t="str">
        <x:v>presence does not prove operability or capacity</x:v>
      </x:c>
    </x:row>
    <x:row r="3940" ht="75.5999984741211" hidden="0" customHeight="1">
      <x:c r="A3940" s="27" t="str">
        <x:v>SCA-32</x:v>
      </x:c>
      <x:c r="B3940" s="27" t="str">
        <x:v>SCA-23</x:v>
      </x:c>
      <x:c r="C3940" s="27" t="str">
        <x:v>Water</x:v>
      </x:c>
      <x:c r="D3940" s="27" t="str">
        <x:v>YES</x:v>
      </x:c>
      <x:c r="E3940" s="27" t="str">
        <x:v>YES</x:v>
      </x:c>
      <x:c r="F3940" s="61" t="n">
        <x:v>3230.3201806477177</x:v>
      </x:c>
      <x:c r="G3940" s="61" t="n">
        <x:v>122.2948623042205</x:v>
      </x:c>
      <x:c r="H3940" s="27" t="str">
        <x:v>NO</x:v>
      </x:c>
      <x:c r="I3940" s="27" t="str">
        <x:v>USACE waterway node topology; deployable terminal required</x:v>
      </x:c>
      <x:c r="J3940" s="27" t="str">
        <x:v>presence does not prove operability or capacity</x:v>
      </x:c>
    </x:row>
    <x:row r="3941" ht="54" hidden="0" customHeight="1">
      <x:c r="A3941" s="29" t="str">
        <x:v>SCA-32</x:v>
      </x:c>
      <x:c r="B3941" s="29" t="str">
        <x:v>SCA-24</x:v>
      </x:c>
      <x:c r="C3941" s="29" t="str">
        <x:v>Road</x:v>
      </x:c>
      <x:c r="D3941" s="29" t="str">
        <x:v>NO</x:v>
      </x:c>
      <x:c r="E3941" s="29" t="str">
        <x:v>NO</x:v>
      </x:c>
      <x:c r="F3941" s="62"/>
      <x:c r="G3941" s="62"/>
      <x:c r="H3941" s="29" t="str">
        <x:v>NO</x:v>
      </x:c>
      <x:c r="I3941" s="29" t="str">
        <x:v>no screened path</x:v>
      </x:c>
      <x:c r="J3941" s="29" t="str">
        <x:v>presence does not prove operability or capacity</x:v>
      </x:c>
    </x:row>
    <x:row r="3942" ht="54" hidden="0" customHeight="1">
      <x:c r="A3942" s="27" t="str">
        <x:v>SCA-32</x:v>
      </x:c>
      <x:c r="B3942" s="27" t="str">
        <x:v>SCA-24</x:v>
      </x:c>
      <x:c r="C3942" s="27" t="str">
        <x:v>Rail</x:v>
      </x:c>
      <x:c r="D3942" s="27" t="str">
        <x:v>NO</x:v>
      </x:c>
      <x:c r="E3942" s="27" t="str">
        <x:v>NO</x:v>
      </x:c>
      <x:c r="F3942" s="61"/>
      <x:c r="G3942" s="61"/>
      <x:c r="H3942" s="27" t="str">
        <x:v>NO</x:v>
      </x:c>
      <x:c r="I3942" s="27" t="str">
        <x:v>no screened path</x:v>
      </x:c>
      <x:c r="J3942" s="27" t="str">
        <x:v>presence does not prove operability or capacity</x:v>
      </x:c>
    </x:row>
    <x:row r="3943" ht="54" hidden="0" customHeight="1">
      <x:c r="A3943" s="29" t="str">
        <x:v>SCA-32</x:v>
      </x:c>
      <x:c r="B3943" s="29" t="str">
        <x:v>SCA-24</x:v>
      </x:c>
      <x:c r="C3943" s="29" t="str">
        <x:v>Air</x:v>
      </x:c>
      <x:c r="D3943" s="29" t="str">
        <x:v>YES</x:v>
      </x:c>
      <x:c r="E3943" s="29" t="str">
        <x:v>YES</x:v>
      </x:c>
      <x:c r="F3943" s="62" t="n">
        <x:v>3145.2813140978756</x:v>
      </x:c>
      <x:c r="G3943" s="62" t="n">
        <x:v>28.838894329381347</x:v>
      </x:c>
      <x:c r="H3943" s="29" t="str">
        <x:v>YES</x:v>
      </x:c>
      <x:c r="I3943" s="29" t="str">
        <x:v>primary-airport endpoints; great-circle screen</x:v>
      </x:c>
      <x:c r="J3943" s="29" t="str">
        <x:v>presence does not prove operability or capacity</x:v>
      </x:c>
    </x:row>
    <x:row r="3944" ht="75.5999984741211" hidden="0" customHeight="1">
      <x:c r="A3944" s="27" t="str">
        <x:v>SCA-32</x:v>
      </x:c>
      <x:c r="B3944" s="27" t="str">
        <x:v>SCA-24</x:v>
      </x:c>
      <x:c r="C3944" s="27" t="str">
        <x:v>Water</x:v>
      </x:c>
      <x:c r="D3944" s="27" t="str">
        <x:v>YES</x:v>
      </x:c>
      <x:c r="E3944" s="27" t="str">
        <x:v>YES</x:v>
      </x:c>
      <x:c r="F3944" s="61" t="n">
        <x:v>4163.075618975311</x:v>
      </x:c>
      <x:c r="G3944" s="61" t="n">
        <x:v>148.9450176850089</x:v>
      </x:c>
      <x:c r="H3944" s="27" t="str">
        <x:v>NO</x:v>
      </x:c>
      <x:c r="I3944" s="27" t="str">
        <x:v>USACE waterway node topology; deployable terminal required</x:v>
      </x:c>
      <x:c r="J3944" s="27" t="str">
        <x:v>presence does not prove operability or capacity</x:v>
      </x:c>
    </x:row>
    <x:row r="3945" ht="54" hidden="0" customHeight="1">
      <x:c r="A3945" s="29" t="str">
        <x:v>SCA-32</x:v>
      </x:c>
      <x:c r="B3945" s="29" t="str">
        <x:v>SCA-25</x:v>
      </x:c>
      <x:c r="C3945" s="29" t="str">
        <x:v>Road</x:v>
      </x:c>
      <x:c r="D3945" s="29" t="str">
        <x:v>NO</x:v>
      </x:c>
      <x:c r="E3945" s="29" t="str">
        <x:v>NO</x:v>
      </x:c>
      <x:c r="F3945" s="62"/>
      <x:c r="G3945" s="62"/>
      <x:c r="H3945" s="29" t="str">
        <x:v>NO</x:v>
      </x:c>
      <x:c r="I3945" s="29" t="str">
        <x:v>no screened path</x:v>
      </x:c>
      <x:c r="J3945" s="29" t="str">
        <x:v>presence does not prove operability or capacity</x:v>
      </x:c>
    </x:row>
    <x:row r="3946" ht="54" hidden="0" customHeight="1">
      <x:c r="A3946" s="27" t="str">
        <x:v>SCA-32</x:v>
      </x:c>
      <x:c r="B3946" s="27" t="str">
        <x:v>SCA-25</x:v>
      </x:c>
      <x:c r="C3946" s="27" t="str">
        <x:v>Rail</x:v>
      </x:c>
      <x:c r="D3946" s="27" t="str">
        <x:v>NO</x:v>
      </x:c>
      <x:c r="E3946" s="27" t="str">
        <x:v>NO</x:v>
      </x:c>
      <x:c r="F3946" s="61"/>
      <x:c r="G3946" s="61"/>
      <x:c r="H3946" s="27" t="str">
        <x:v>NO</x:v>
      </x:c>
      <x:c r="I3946" s="27" t="str">
        <x:v>no screened path</x:v>
      </x:c>
      <x:c r="J3946" s="27" t="str">
        <x:v>presence does not prove operability or capacity</x:v>
      </x:c>
    </x:row>
    <x:row r="3947" ht="54" hidden="0" customHeight="1">
      <x:c r="A3947" s="29" t="str">
        <x:v>SCA-32</x:v>
      </x:c>
      <x:c r="B3947" s="29" t="str">
        <x:v>SCA-25</x:v>
      </x:c>
      <x:c r="C3947" s="29" t="str">
        <x:v>Air</x:v>
      </x:c>
      <x:c r="D3947" s="29" t="str">
        <x:v>YES</x:v>
      </x:c>
      <x:c r="E3947" s="29" t="str">
        <x:v>YES</x:v>
      </x:c>
      <x:c r="F3947" s="62" t="n">
        <x:v>2093.6144412010817</x:v>
      </x:c>
      <x:c r="G3947" s="62" t="n">
        <x:v>27.22094529415551</x:v>
      </x:c>
      <x:c r="H3947" s="29" t="str">
        <x:v>YES</x:v>
      </x:c>
      <x:c r="I3947" s="29" t="str">
        <x:v>primary-airport endpoints; great-circle screen</x:v>
      </x:c>
      <x:c r="J3947" s="29" t="str">
        <x:v>presence does not prove operability or capacity</x:v>
      </x:c>
    </x:row>
    <x:row r="3948" ht="75.5999984741211" hidden="0" customHeight="1">
      <x:c r="A3948" s="27" t="str">
        <x:v>SCA-32</x:v>
      </x:c>
      <x:c r="B3948" s="27" t="str">
        <x:v>SCA-25</x:v>
      </x:c>
      <x:c r="C3948" s="27" t="str">
        <x:v>Water</x:v>
      </x:c>
      <x:c r="D3948" s="27" t="str">
        <x:v>YES</x:v>
      </x:c>
      <x:c r="E3948" s="27" t="str">
        <x:v>YES</x:v>
      </x:c>
      <x:c r="F3948" s="61" t="n">
        <x:v>2679.826484737385</x:v>
      </x:c>
      <x:c r="G3948" s="61" t="n">
        <x:v>106.5664709924967</x:v>
      </x:c>
      <x:c r="H3948" s="27" t="str">
        <x:v>NO</x:v>
      </x:c>
      <x:c r="I3948" s="27" t="str">
        <x:v>USACE waterway node topology; deployable terminal required</x:v>
      </x:c>
      <x:c r="J3948" s="27" t="str">
        <x:v>presence does not prove operability or capacity</x:v>
      </x:c>
    </x:row>
    <x:row r="3949" ht="54" hidden="0" customHeight="1">
      <x:c r="A3949" s="29" t="str">
        <x:v>SCA-32</x:v>
      </x:c>
      <x:c r="B3949" s="29" t="str">
        <x:v>SCA-26</x:v>
      </x:c>
      <x:c r="C3949" s="29" t="str">
        <x:v>Road</x:v>
      </x:c>
      <x:c r="D3949" s="29" t="str">
        <x:v>NO</x:v>
      </x:c>
      <x:c r="E3949" s="29" t="str">
        <x:v>NO</x:v>
      </x:c>
      <x:c r="F3949" s="62"/>
      <x:c r="G3949" s="62"/>
      <x:c r="H3949" s="29" t="str">
        <x:v>NO</x:v>
      </x:c>
      <x:c r="I3949" s="29" t="str">
        <x:v>no screened path</x:v>
      </x:c>
      <x:c r="J3949" s="29" t="str">
        <x:v>presence does not prove operability or capacity</x:v>
      </x:c>
    </x:row>
    <x:row r="3950" ht="54" hidden="0" customHeight="1">
      <x:c r="A3950" s="27" t="str">
        <x:v>SCA-32</x:v>
      </x:c>
      <x:c r="B3950" s="27" t="str">
        <x:v>SCA-26</x:v>
      </x:c>
      <x:c r="C3950" s="27" t="str">
        <x:v>Rail</x:v>
      </x:c>
      <x:c r="D3950" s="27" t="str">
        <x:v>NO</x:v>
      </x:c>
      <x:c r="E3950" s="27" t="str">
        <x:v>NO</x:v>
      </x:c>
      <x:c r="F3950" s="61"/>
      <x:c r="G3950" s="61"/>
      <x:c r="H3950" s="27" t="str">
        <x:v>NO</x:v>
      </x:c>
      <x:c r="I3950" s="27" t="str">
        <x:v>no screened path</x:v>
      </x:c>
      <x:c r="J3950" s="27" t="str">
        <x:v>presence does not prove operability or capacity</x:v>
      </x:c>
    </x:row>
    <x:row r="3951" ht="54" hidden="0" customHeight="1">
      <x:c r="A3951" s="29" t="str">
        <x:v>SCA-32</x:v>
      </x:c>
      <x:c r="B3951" s="29" t="str">
        <x:v>SCA-26</x:v>
      </x:c>
      <x:c r="C3951" s="29" t="str">
        <x:v>Air</x:v>
      </x:c>
      <x:c r="D3951" s="29" t="str">
        <x:v>YES</x:v>
      </x:c>
      <x:c r="E3951" s="29" t="str">
        <x:v>YES</x:v>
      </x:c>
      <x:c r="F3951" s="62" t="n">
        <x:v>1915.95608426156</x:v>
      </x:c>
      <x:c r="G3951" s="62" t="n">
        <x:v>26.947624745017784</x:v>
      </x:c>
      <x:c r="H3951" s="29" t="str">
        <x:v>YES</x:v>
      </x:c>
      <x:c r="I3951" s="29" t="str">
        <x:v>primary-airport endpoints; great-circle screen</x:v>
      </x:c>
      <x:c r="J3951" s="29" t="str">
        <x:v>presence does not prove operability or capacity</x:v>
      </x:c>
    </x:row>
    <x:row r="3952" ht="75.5999984741211" hidden="0" customHeight="1">
      <x:c r="A3952" s="27" t="str">
        <x:v>SCA-32</x:v>
      </x:c>
      <x:c r="B3952" s="27" t="str">
        <x:v>SCA-26</x:v>
      </x:c>
      <x:c r="C3952" s="27" t="str">
        <x:v>Water</x:v>
      </x:c>
      <x:c r="D3952" s="27" t="str">
        <x:v>YES</x:v>
      </x:c>
      <x:c r="E3952" s="27" t="str">
        <x:v>YES</x:v>
      </x:c>
      <x:c r="F3952" s="61" t="n">
        <x:v>2486.5210611378857</x:v>
      </x:c>
      <x:c r="G3952" s="61" t="n">
        <x:v>101.04345888965388</x:v>
      </x:c>
      <x:c r="H3952" s="27" t="str">
        <x:v>NO</x:v>
      </x:c>
      <x:c r="I3952" s="27" t="str">
        <x:v>USACE waterway node topology; deployable terminal required</x:v>
      </x:c>
      <x:c r="J3952" s="27" t="str">
        <x:v>presence does not prove operability or capacity</x:v>
      </x:c>
    </x:row>
    <x:row r="3953" ht="54" hidden="0" customHeight="1">
      <x:c r="A3953" s="29" t="str">
        <x:v>SCA-32</x:v>
      </x:c>
      <x:c r="B3953" s="29" t="str">
        <x:v>SCA-27</x:v>
      </x:c>
      <x:c r="C3953" s="29" t="str">
        <x:v>Road</x:v>
      </x:c>
      <x:c r="D3953" s="29" t="str">
        <x:v>NO</x:v>
      </x:c>
      <x:c r="E3953" s="29" t="str">
        <x:v>NO</x:v>
      </x:c>
      <x:c r="F3953" s="62"/>
      <x:c r="G3953" s="62"/>
      <x:c r="H3953" s="29" t="str">
        <x:v>NO</x:v>
      </x:c>
      <x:c r="I3953" s="29" t="str">
        <x:v>no screened path</x:v>
      </x:c>
      <x:c r="J3953" s="29" t="str">
        <x:v>presence does not prove operability or capacity</x:v>
      </x:c>
    </x:row>
    <x:row r="3954" ht="54" hidden="0" customHeight="1">
      <x:c r="A3954" s="27" t="str">
        <x:v>SCA-32</x:v>
      </x:c>
      <x:c r="B3954" s="27" t="str">
        <x:v>SCA-27</x:v>
      </x:c>
      <x:c r="C3954" s="27" t="str">
        <x:v>Rail</x:v>
      </x:c>
      <x:c r="D3954" s="27" t="str">
        <x:v>NO</x:v>
      </x:c>
      <x:c r="E3954" s="27" t="str">
        <x:v>NO</x:v>
      </x:c>
      <x:c r="F3954" s="61"/>
      <x:c r="G3954" s="61"/>
      <x:c r="H3954" s="27" t="str">
        <x:v>NO</x:v>
      </x:c>
      <x:c r="I3954" s="27" t="str">
        <x:v>no screened path</x:v>
      </x:c>
      <x:c r="J3954" s="27" t="str">
        <x:v>presence does not prove operability or capacity</x:v>
      </x:c>
    </x:row>
    <x:row r="3955" ht="54" hidden="0" customHeight="1">
      <x:c r="A3955" s="29" t="str">
        <x:v>SCA-32</x:v>
      </x:c>
      <x:c r="B3955" s="29" t="str">
        <x:v>SCA-27</x:v>
      </x:c>
      <x:c r="C3955" s="29" t="str">
        <x:v>Air</x:v>
      </x:c>
      <x:c r="D3955" s="29" t="str">
        <x:v>YES</x:v>
      </x:c>
      <x:c r="E3955" s="29" t="str">
        <x:v>YES</x:v>
      </x:c>
      <x:c r="F3955" s="62" t="n">
        <x:v>1699.4395667361046</x:v>
      </x:c>
      <x:c r="G3955" s="62" t="n">
        <x:v>26.614522410363236</x:v>
      </x:c>
      <x:c r="H3955" s="29" t="str">
        <x:v>YES</x:v>
      </x:c>
      <x:c r="I3955" s="29" t="str">
        <x:v>primary-airport endpoints; great-circle screen</x:v>
      </x:c>
      <x:c r="J3955" s="29" t="str">
        <x:v>presence does not prove operability or capacity</x:v>
      </x:c>
    </x:row>
    <x:row r="3956" ht="75.5999984741211" hidden="0" customHeight="1">
      <x:c r="A3956" s="27" t="str">
        <x:v>SCA-32</x:v>
      </x:c>
      <x:c r="B3956" s="27" t="str">
        <x:v>SCA-27</x:v>
      </x:c>
      <x:c r="C3956" s="27" t="str">
        <x:v>Water</x:v>
      </x:c>
      <x:c r="D3956" s="27" t="str">
        <x:v>YES</x:v>
      </x:c>
      <x:c r="E3956" s="27" t="str">
        <x:v>YES</x:v>
      </x:c>
      <x:c r="F3956" s="61" t="n">
        <x:v>2175.282645422214</x:v>
      </x:c>
      <x:c r="G3956" s="61" t="n">
        <x:v>92.15093272634897</x:v>
      </x:c>
      <x:c r="H3956" s="27" t="str">
        <x:v>NO</x:v>
      </x:c>
      <x:c r="I3956" s="27" t="str">
        <x:v>USACE waterway node topology; deployable terminal required</x:v>
      </x:c>
      <x:c r="J3956" s="27" t="str">
        <x:v>presence does not prove operability or capacity</x:v>
      </x:c>
    </x:row>
    <x:row r="3957" ht="54" hidden="0" customHeight="1">
      <x:c r="A3957" s="29" t="str">
        <x:v>SCA-32</x:v>
      </x:c>
      <x:c r="B3957" s="29" t="str">
        <x:v>SCA-28</x:v>
      </x:c>
      <x:c r="C3957" s="29" t="str">
        <x:v>Road</x:v>
      </x:c>
      <x:c r="D3957" s="29" t="str">
        <x:v>NO</x:v>
      </x:c>
      <x:c r="E3957" s="29" t="str">
        <x:v>NO</x:v>
      </x:c>
      <x:c r="F3957" s="62"/>
      <x:c r="G3957" s="62"/>
      <x:c r="H3957" s="29" t="str">
        <x:v>NO</x:v>
      </x:c>
      <x:c r="I3957" s="29" t="str">
        <x:v>no screened path</x:v>
      </x:c>
      <x:c r="J3957" s="29" t="str">
        <x:v>presence does not prove operability or capacity</x:v>
      </x:c>
    </x:row>
    <x:row r="3958" ht="54" hidden="0" customHeight="1">
      <x:c r="A3958" s="27" t="str">
        <x:v>SCA-32</x:v>
      </x:c>
      <x:c r="B3958" s="27" t="str">
        <x:v>SCA-28</x:v>
      </x:c>
      <x:c r="C3958" s="27" t="str">
        <x:v>Rail</x:v>
      </x:c>
      <x:c r="D3958" s="27" t="str">
        <x:v>NO</x:v>
      </x:c>
      <x:c r="E3958" s="27" t="str">
        <x:v>NO</x:v>
      </x:c>
      <x:c r="F3958" s="61"/>
      <x:c r="G3958" s="61"/>
      <x:c r="H3958" s="27" t="str">
        <x:v>NO</x:v>
      </x:c>
      <x:c r="I3958" s="27" t="str">
        <x:v>no screened path</x:v>
      </x:c>
      <x:c r="J3958" s="27" t="str">
        <x:v>presence does not prove operability or capacity</x:v>
      </x:c>
    </x:row>
    <x:row r="3959" ht="54" hidden="0" customHeight="1">
      <x:c r="A3959" s="29" t="str">
        <x:v>SCA-32</x:v>
      </x:c>
      <x:c r="B3959" s="29" t="str">
        <x:v>SCA-28</x:v>
      </x:c>
      <x:c r="C3959" s="29" t="str">
        <x:v>Air</x:v>
      </x:c>
      <x:c r="D3959" s="29" t="str">
        <x:v>YES</x:v>
      </x:c>
      <x:c r="E3959" s="29" t="str">
        <x:v>YES</x:v>
      </x:c>
      <x:c r="F3959" s="62" t="n">
        <x:v>2754.058376055981</x:v>
      </x:c>
      <x:c r="G3959" s="62" t="n">
        <x:v>28.23701288623997</x:v>
      </x:c>
      <x:c r="H3959" s="29" t="str">
        <x:v>YES</x:v>
      </x:c>
      <x:c r="I3959" s="29" t="str">
        <x:v>primary-airport endpoints; great-circle screen</x:v>
      </x:c>
      <x:c r="J3959" s="29" t="str">
        <x:v>presence does not prove operability or capacity</x:v>
      </x:c>
    </x:row>
    <x:row r="3960" ht="75.5999984741211" hidden="0" customHeight="1">
      <x:c r="A3960" s="27" t="str">
        <x:v>SCA-32</x:v>
      </x:c>
      <x:c r="B3960" s="27" t="str">
        <x:v>SCA-28</x:v>
      </x:c>
      <x:c r="C3960" s="27" t="str">
        <x:v>Water</x:v>
      </x:c>
      <x:c r="D3960" s="27" t="str">
        <x:v>YES</x:v>
      </x:c>
      <x:c r="E3960" s="27" t="str">
        <x:v>YES</x:v>
      </x:c>
      <x:c r="F3960" s="61" t="n">
        <x:v>3611.2114141100155</x:v>
      </x:c>
      <x:c r="G3960" s="61" t="n">
        <x:v>133.17746897457187</x:v>
      </x:c>
      <x:c r="H3960" s="27" t="str">
        <x:v>NO</x:v>
      </x:c>
      <x:c r="I3960" s="27" t="str">
        <x:v>USACE waterway node topology; deployable terminal required</x:v>
      </x:c>
      <x:c r="J3960" s="27" t="str">
        <x:v>presence does not prove operability or capacity</x:v>
      </x:c>
    </x:row>
    <x:row r="3961" ht="54" hidden="0" customHeight="1">
      <x:c r="A3961" s="29" t="str">
        <x:v>SCA-32</x:v>
      </x:c>
      <x:c r="B3961" s="29" t="str">
        <x:v>SCA-29</x:v>
      </x:c>
      <x:c r="C3961" s="29" t="str">
        <x:v>Road</x:v>
      </x:c>
      <x:c r="D3961" s="29" t="str">
        <x:v>NO</x:v>
      </x:c>
      <x:c r="E3961" s="29" t="str">
        <x:v>NO</x:v>
      </x:c>
      <x:c r="F3961" s="62"/>
      <x:c r="G3961" s="62"/>
      <x:c r="H3961" s="29" t="str">
        <x:v>NO</x:v>
      </x:c>
      <x:c r="I3961" s="29" t="str">
        <x:v>no screened path</x:v>
      </x:c>
      <x:c r="J3961" s="29" t="str">
        <x:v>presence does not prove operability or capacity</x:v>
      </x:c>
    </x:row>
    <x:row r="3962" ht="54" hidden="0" customHeight="1">
      <x:c r="A3962" s="27" t="str">
        <x:v>SCA-32</x:v>
      </x:c>
      <x:c r="B3962" s="27" t="str">
        <x:v>SCA-29</x:v>
      </x:c>
      <x:c r="C3962" s="27" t="str">
        <x:v>Rail</x:v>
      </x:c>
      <x:c r="D3962" s="27" t="str">
        <x:v>NO</x:v>
      </x:c>
      <x:c r="E3962" s="27" t="str">
        <x:v>NO</x:v>
      </x:c>
      <x:c r="F3962" s="61"/>
      <x:c r="G3962" s="61"/>
      <x:c r="H3962" s="27" t="str">
        <x:v>NO</x:v>
      </x:c>
      <x:c r="I3962" s="27" t="str">
        <x:v>no screened path</x:v>
      </x:c>
      <x:c r="J3962" s="27" t="str">
        <x:v>presence does not prove operability or capacity</x:v>
      </x:c>
    </x:row>
    <x:row r="3963" ht="54" hidden="0" customHeight="1">
      <x:c r="A3963" s="29" t="str">
        <x:v>SCA-32</x:v>
      </x:c>
      <x:c r="B3963" s="29" t="str">
        <x:v>SCA-29</x:v>
      </x:c>
      <x:c r="C3963" s="29" t="str">
        <x:v>Air</x:v>
      </x:c>
      <x:c r="D3963" s="29" t="str">
        <x:v>YES</x:v>
      </x:c>
      <x:c r="E3963" s="29" t="str">
        <x:v>YES</x:v>
      </x:c>
      <x:c r="F3963" s="62" t="n">
        <x:v>2320.16735938014</x:v>
      </x:c>
      <x:c r="G3963" s="62" t="n">
        <x:v>27.569488245200215</x:v>
      </x:c>
      <x:c r="H3963" s="29" t="str">
        <x:v>YES</x:v>
      </x:c>
      <x:c r="I3963" s="29" t="str">
        <x:v>primary-airport endpoints; great-circle screen</x:v>
      </x:c>
      <x:c r="J3963" s="29" t="str">
        <x:v>presence does not prove operability or capacity</x:v>
      </x:c>
    </x:row>
    <x:row r="3964" ht="75.5999984741211" hidden="0" customHeight="1">
      <x:c r="A3964" s="27" t="str">
        <x:v>SCA-32</x:v>
      </x:c>
      <x:c r="B3964" s="27" t="str">
        <x:v>SCA-29</x:v>
      </x:c>
      <x:c r="C3964" s="27" t="str">
        <x:v>Water</x:v>
      </x:c>
      <x:c r="D3964" s="27" t="str">
        <x:v>YES</x:v>
      </x:c>
      <x:c r="E3964" s="27" t="str">
        <x:v>YES</x:v>
      </x:c>
      <x:c r="F3964" s="61" t="n">
        <x:v>2969.8142200065795</x:v>
      </x:c>
      <x:c r="G3964" s="61" t="n">
        <x:v>114.85183485733084</x:v>
      </x:c>
      <x:c r="H3964" s="27" t="str">
        <x:v>NO</x:v>
      </x:c>
      <x:c r="I3964" s="27" t="str">
        <x:v>USACE waterway node topology; deployable terminal required</x:v>
      </x:c>
      <x:c r="J3964" s="27" t="str">
        <x:v>presence does not prove operability or capacity</x:v>
      </x:c>
    </x:row>
    <x:row r="3965" ht="54" hidden="0" customHeight="1">
      <x:c r="A3965" s="29" t="str">
        <x:v>SCA-32</x:v>
      </x:c>
      <x:c r="B3965" s="29" t="str">
        <x:v>SCA-30</x:v>
      </x:c>
      <x:c r="C3965" s="29" t="str">
        <x:v>Road</x:v>
      </x:c>
      <x:c r="D3965" s="29" t="str">
        <x:v>NO</x:v>
      </x:c>
      <x:c r="E3965" s="29" t="str">
        <x:v>NO</x:v>
      </x:c>
      <x:c r="F3965" s="62"/>
      <x:c r="G3965" s="62"/>
      <x:c r="H3965" s="29" t="str">
        <x:v>NO</x:v>
      </x:c>
      <x:c r="I3965" s="29" t="str">
        <x:v>no screened path</x:v>
      </x:c>
      <x:c r="J3965" s="29" t="str">
        <x:v>presence does not prove operability or capacity</x:v>
      </x:c>
    </x:row>
    <x:row r="3966" ht="54" hidden="0" customHeight="1">
      <x:c r="A3966" s="27" t="str">
        <x:v>SCA-32</x:v>
      </x:c>
      <x:c r="B3966" s="27" t="str">
        <x:v>SCA-30</x:v>
      </x:c>
      <x:c r="C3966" s="27" t="str">
        <x:v>Rail</x:v>
      </x:c>
      <x:c r="D3966" s="27" t="str">
        <x:v>NO</x:v>
      </x:c>
      <x:c r="E3966" s="27" t="str">
        <x:v>NO</x:v>
      </x:c>
      <x:c r="F3966" s="61"/>
      <x:c r="G3966" s="61"/>
      <x:c r="H3966" s="27" t="str">
        <x:v>NO</x:v>
      </x:c>
      <x:c r="I3966" s="27" t="str">
        <x:v>no screened path</x:v>
      </x:c>
      <x:c r="J3966" s="27" t="str">
        <x:v>presence does not prove operability or capacity</x:v>
      </x:c>
    </x:row>
    <x:row r="3967" ht="54" hidden="0" customHeight="1">
      <x:c r="A3967" s="29" t="str">
        <x:v>SCA-32</x:v>
      </x:c>
      <x:c r="B3967" s="29" t="str">
        <x:v>SCA-30</x:v>
      </x:c>
      <x:c r="C3967" s="29" t="str">
        <x:v>Air</x:v>
      </x:c>
      <x:c r="D3967" s="29" t="str">
        <x:v>YES</x:v>
      </x:c>
      <x:c r="E3967" s="29" t="str">
        <x:v>YES</x:v>
      </x:c>
      <x:c r="F3967" s="62" t="n">
        <x:v>2604.0031619892134</x:v>
      </x:c>
      <x:c r="G3967" s="62" t="n">
        <x:v>28.006158710752636</x:v>
      </x:c>
      <x:c r="H3967" s="29" t="str">
        <x:v>YES</x:v>
      </x:c>
      <x:c r="I3967" s="29" t="str">
        <x:v>primary-airport endpoints; great-circle screen</x:v>
      </x:c>
      <x:c r="J3967" s="29" t="str">
        <x:v>presence does not prove operability or capacity</x:v>
      </x:c>
    </x:row>
    <x:row r="3968" ht="75.5999984741211" hidden="0" customHeight="1">
      <x:c r="A3968" s="27" t="str">
        <x:v>SCA-32</x:v>
      </x:c>
      <x:c r="B3968" s="27" t="str">
        <x:v>SCA-30</x:v>
      </x:c>
      <x:c r="C3968" s="27" t="str">
        <x:v>Water</x:v>
      </x:c>
      <x:c r="D3968" s="27" t="str">
        <x:v>YES</x:v>
      </x:c>
      <x:c r="E3968" s="27" t="str">
        <x:v>YES</x:v>
      </x:c>
      <x:c r="F3968" s="61" t="n">
        <x:v>3333.124047346193</x:v>
      </x:c>
      <x:c r="G3968" s="61" t="n">
        <x:v>125.23211563846266</x:v>
      </x:c>
      <x:c r="H3968" s="27" t="str">
        <x:v>NO</x:v>
      </x:c>
      <x:c r="I3968" s="27" t="str">
        <x:v>USACE waterway node topology; deployable terminal required</x:v>
      </x:c>
      <x:c r="J3968" s="27" t="str">
        <x:v>presence does not prove operability or capacity</x:v>
      </x:c>
    </x:row>
    <x:row r="3969" ht="54" hidden="0" customHeight="1">
      <x:c r="A3969" s="29" t="str">
        <x:v>SCA-32</x:v>
      </x:c>
      <x:c r="B3969" s="29" t="str">
        <x:v>SCA-31</x:v>
      </x:c>
      <x:c r="C3969" s="29" t="str">
        <x:v>Road</x:v>
      </x:c>
      <x:c r="D3969" s="29" t="str">
        <x:v>NO</x:v>
      </x:c>
      <x:c r="E3969" s="29" t="str">
        <x:v>NO</x:v>
      </x:c>
      <x:c r="F3969" s="62"/>
      <x:c r="G3969" s="62"/>
      <x:c r="H3969" s="29" t="str">
        <x:v>NO</x:v>
      </x:c>
      <x:c r="I3969" s="29" t="str">
        <x:v>no screened path</x:v>
      </x:c>
      <x:c r="J3969" s="29" t="str">
        <x:v>presence does not prove operability or capacity</x:v>
      </x:c>
    </x:row>
    <x:row r="3970" ht="54" hidden="0" customHeight="1">
      <x:c r="A3970" s="27" t="str">
        <x:v>SCA-32</x:v>
      </x:c>
      <x:c r="B3970" s="27" t="str">
        <x:v>SCA-31</x:v>
      </x:c>
      <x:c r="C3970" s="27" t="str">
        <x:v>Rail</x:v>
      </x:c>
      <x:c r="D3970" s="27" t="str">
        <x:v>NO</x:v>
      </x:c>
      <x:c r="E3970" s="27" t="str">
        <x:v>NO</x:v>
      </x:c>
      <x:c r="F3970" s="61"/>
      <x:c r="G3970" s="61"/>
      <x:c r="H3970" s="27" t="str">
        <x:v>NO</x:v>
      </x:c>
      <x:c r="I3970" s="27" t="str">
        <x:v>no screened path</x:v>
      </x:c>
      <x:c r="J3970" s="27" t="str">
        <x:v>presence does not prove operability or capacity</x:v>
      </x:c>
    </x:row>
    <x:row r="3971" ht="54" hidden="0" customHeight="1">
      <x:c r="A3971" s="29" t="str">
        <x:v>SCA-32</x:v>
      </x:c>
      <x:c r="B3971" s="29" t="str">
        <x:v>SCA-31</x:v>
      </x:c>
      <x:c r="C3971" s="29" t="str">
        <x:v>Air</x:v>
      </x:c>
      <x:c r="D3971" s="29" t="str">
        <x:v>YES</x:v>
      </x:c>
      <x:c r="E3971" s="29" t="str">
        <x:v>YES</x:v>
      </x:c>
      <x:c r="F3971" s="62" t="n">
        <x:v>2756.710975794241</x:v>
      </x:c>
      <x:c r="G3971" s="62" t="n">
        <x:v>28.24109380891422</x:v>
      </x:c>
      <x:c r="H3971" s="29" t="str">
        <x:v>YES</x:v>
      </x:c>
      <x:c r="I3971" s="29" t="str">
        <x:v>primary-airport endpoints; great-circle screen</x:v>
      </x:c>
      <x:c r="J3971" s="29" t="str">
        <x:v>presence does not prove operability or capacity</x:v>
      </x:c>
    </x:row>
    <x:row r="3972" ht="75.5999984741211" hidden="0" customHeight="1">
      <x:c r="A3972" s="27" t="str">
        <x:v>SCA-32</x:v>
      </x:c>
      <x:c r="B3972" s="27" t="str">
        <x:v>SCA-31</x:v>
      </x:c>
      <x:c r="C3972" s="27" t="str">
        <x:v>Water</x:v>
      </x:c>
      <x:c r="D3972" s="27" t="str">
        <x:v>YES</x:v>
      </x:c>
      <x:c r="E3972" s="27" t="str">
        <x:v>YES</x:v>
      </x:c>
      <x:c r="F3972" s="61" t="n">
        <x:v>3528.5900490166287</x:v>
      </x:c>
      <x:c r="G3972" s="61" t="n">
        <x:v>130.81685854333224</x:v>
      </x:c>
      <x:c r="H3972" s="27" t="str">
        <x:v>NO</x:v>
      </x:c>
      <x:c r="I3972" s="27" t="str">
        <x:v>USACE waterway node topology; deployable terminal required</x:v>
      </x:c>
      <x:c r="J3972" s="27" t="str">
        <x:v>presence does not prove operability or capacity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7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52" hidden="0" customWidth="1"/>
    <x:col min="14" max="14" width="18" hidden="0" customWidth="1"/>
  </x:cols>
  <x:sheetData>
    <x:row r="1" ht="29" customHeight="1">
      <x:c r="A1" s="83" t="str">
        <x:v>Purpose-built civil mobility force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</x:row>
    <x:row r="2" ht="31" customHeight="1">
      <x:c r="A2" s="84" t="str">
        <x:v>These are complete operating elements, not silhouettes. Throughput includes only the declared 72-hour mission cycle and is reduced again by readiness in simulation.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 ht="32" customHeight="1">
      <x:c r="A4" s="86" t="str">
        <x:v>ID</x:v>
      </x:c>
      <x:c r="B4" s="87" t="str">
        <x:v>Element</x:v>
      </x:c>
      <x:c r="C4" s="87" t="str">
        <x:v>Mode</x:v>
      </x:c>
      <x:c r="D4" s="87" t="str">
        <x:v>Inventory</x:v>
      </x:c>
      <x:c r="E4" s="87" t="str">
        <x:v>People/mission</x:v>
      </x:c>
      <x:c r="F4" s="87" t="str">
        <x:v>Missions/72h</x:v>
      </x:c>
      <x:c r="G4" s="87" t="str">
        <x:v>72h CDE</x:v>
      </x:c>
      <x:c r="H4" s="87" t="str">
        <x:v>Unit capital $M</x:v>
      </x:c>
      <x:c r="I4" s="87" t="str">
        <x:v>Line capital $B</x:v>
      </x:c>
      <x:c r="J4" s="87" t="str">
        <x:v>Crew/unit</x:v>
      </x:c>
      <x:c r="K4" s="87" t="str">
        <x:v>Maintain/unit</x:v>
      </x:c>
      <x:c r="L4" s="87" t="str">
        <x:v>Direct workforce</x:v>
      </x:c>
      <x:c r="M4" s="87" t="str">
        <x:v>Role</x:v>
      </x:c>
      <x:c r="N4" s="88" t="str">
        <x:v>Evidence state</x:v>
      </x:c>
    </x:row>
    <x:row r="5" ht="108" hidden="0" customHeight="1">
      <x:c r="A5" s="28" t="str">
        <x:v>ACM-60</x:v>
      </x:c>
      <x:c r="B5" s="28" t="str">
        <x:v>Accessible civil-mobility road cell</x:v>
      </x:c>
      <x:c r="C5" s="28" t="str">
        <x:v>Road</x:v>
      </x:c>
      <x:c r="D5" s="63" t="n">
        <x:v>12000</x:v>
      </x:c>
      <x:c r="E5" s="63" t="n">
        <x:v>60</x:v>
      </x:c>
      <x:c r="F5" s="63" t="n">
        <x:v>2</x:v>
      </x:c>
      <x:c r="G5" s="51" t="n">
        <x:f>D5*E5*F5/1000</x:f>
        <x:v>1440</x:v>
      </x:c>
      <x:c r="H5" s="63" t="n">
        <x:v>3.5</x:v>
      </x:c>
      <x:c r="I5" s="63" t="n">
        <x:f>D5*H5/1000</x:f>
        <x:v>42</x:v>
      </x:c>
      <x:c r="J5" s="63" t="n">
        <x:v>3</x:v>
      </x:c>
      <x:c r="K5" s="63" t="n">
        <x:v>1.5</x:v>
      </x:c>
      <x:c r="L5" s="51" t="n">
        <x:f>D5*(J5+K5)</x:f>
        <x:v>54000</x:v>
      </x:c>
      <x:c r="M5" s="28" t="str">
        <x:v>door-to-node collection and regional line-haul in interchangeable seated/lift/litter configurations</x:v>
      </x:c>
      <x:c r="N5" s="28" t="str">
        <x:v>R1/R2 hypothesis</x:v>
      </x:c>
    </x:row>
    <x:row r="6" ht="75.5999984741211" hidden="0" customHeight="1">
      <x:c r="A6" s="27" t="str">
        <x:v>MCT-1200</x:v>
      </x:c>
      <x:c r="B6" s="27" t="str">
        <x:v>Modular continuity trainset</x:v>
      </x:c>
      <x:c r="C6" s="27" t="str">
        <x:v>Rail</x:v>
      </x:c>
      <x:c r="D6" s="64" t="n">
        <x:v>600</x:v>
      </x:c>
      <x:c r="E6" s="64" t="n">
        <x:v>1200</x:v>
      </x:c>
      <x:c r="F6" s="64" t="n">
        <x:v>2</x:v>
      </x:c>
      <x:c r="G6" s="52" t="n">
        <x:f>D6*E6*F6/1000</x:f>
        <x:v>1440</x:v>
      </x:c>
      <x:c r="H6" s="64" t="n">
        <x:v>150</x:v>
      </x:c>
      <x:c r="I6" s="64" t="n">
        <x:f>D6*H6/1000</x:f>
        <x:v>90</x:v>
      </x:c>
      <x:c r="J6" s="64" t="n">
        <x:v>22</x:v>
      </x:c>
      <x:c r="K6" s="64" t="n">
        <x:v>28</x:v>
      </x:c>
      <x:c r="L6" s="52" t="n">
        <x:f>D6*(J6+K6)</x:f>
        <x:v>30000</x:v>
      </x:c>
      <x:c r="M6" s="27" t="str">
        <x:v>high-density accessible line-haul on extant freight and passenger track</x:v>
      </x:c>
      <x:c r="N6" s="27" t="str">
        <x:v>R1/R2 hypothesis</x:v>
      </x:c>
    </x:row>
    <x:row r="7" ht="75.5999984741211" hidden="0" customHeight="1">
      <x:c r="A7" s="29" t="str">
        <x:v>ACA-250</x:v>
      </x:c>
      <x:c r="B7" s="29" t="str">
        <x:v>Accessible civil airlifter</x:v>
      </x:c>
      <x:c r="C7" s="29" t="str">
        <x:v>Air</x:v>
      </x:c>
      <x:c r="D7" s="64" t="n">
        <x:v>400</x:v>
      </x:c>
      <x:c r="E7" s="64" t="n">
        <x:v>250</x:v>
      </x:c>
      <x:c r="F7" s="64" t="n">
        <x:v>3.5</x:v>
      </x:c>
      <x:c r="G7" s="53" t="n">
        <x:f>D7*E7*F7/1000</x:f>
        <x:v>350</x:v>
      </x:c>
      <x:c r="H7" s="64" t="n">
        <x:v>450</x:v>
      </x:c>
      <x:c r="I7" s="64" t="n">
        <x:f>D7*H7/1000</x:f>
        <x:v>180</x:v>
      </x:c>
      <x:c r="J7" s="64" t="n">
        <x:v>16</x:v>
      </x:c>
      <x:c r="K7" s="64" t="n">
        <x:v>38</x:v>
      </x:c>
      <x:c r="L7" s="53" t="n">
        <x:f>D7*(J7+K7)</x:f>
        <x:v>21600</x:v>
      </x:c>
      <x:c r="M7" s="29" t="str">
        <x:v>austere strategic passenger and clinical bridge, not cargo aircraft conversion</x:v>
      </x:c>
      <x:c r="N7" s="29" t="str">
        <x:v>R1/R2 hypothesis</x:v>
      </x:c>
    </x:row>
    <x:row r="8" ht="97.19999694824219" hidden="0" customHeight="1">
      <x:c r="A8" s="27" t="str">
        <x:v>WCB-1800</x:v>
      </x:c>
      <x:c r="B8" s="27" t="str">
        <x:v>Waterborne civil bridge vessel</x:v>
      </x:c>
      <x:c r="C8" s="27" t="str">
        <x:v>Water</x:v>
      </x:c>
      <x:c r="D8" s="64" t="n">
        <x:v>180</x:v>
      </x:c>
      <x:c r="E8" s="64" t="n">
        <x:v>1800</x:v>
      </x:c>
      <x:c r="F8" s="64" t="n">
        <x:v>1</x:v>
      </x:c>
      <x:c r="G8" s="52" t="n">
        <x:f>D8*E8*F8/1000</x:f>
        <x:v>324</x:v>
      </x:c>
      <x:c r="H8" s="64" t="n">
        <x:v>350</x:v>
      </x:c>
      <x:c r="I8" s="64" t="n">
        <x:f>D8*H8/1000</x:f>
        <x:v>63</x:v>
      </x:c>
      <x:c r="J8" s="64" t="n">
        <x:v>54</x:v>
      </x:c>
      <x:c r="K8" s="64" t="n">
        <x:v>36</x:v>
      </x:c>
      <x:c r="L8" s="52" t="n">
        <x:f>D8*(J8+K8)</x:f>
        <x:v>16200</x:v>
      </x:c>
      <x:c r="M8" s="27" t="str">
        <x:v>shallow-draft passenger, device and utility continuity without intact deepwater berth</x:v>
      </x:c>
      <x:c r="N8" s="27" t="str">
        <x:v>R1/R2 hypothesis</x:v>
      </x:c>
    </x:row>
    <x:row r="9" ht="75.5999984741211" hidden="0" customHeight="1">
      <x:c r="A9" s="29" t="str">
        <x:v>CTN-10</x:v>
      </x:c>
      <x:c r="B9" s="29" t="str">
        <x:v>Continuity transfer node</x:v>
      </x:c>
      <x:c r="C9" s="29" t="str">
        <x:v>Node</x:v>
      </x:c>
      <x:c r="D9" s="64" t="n">
        <x:v>128</x:v>
      </x:c>
      <x:c r="E9" s="64" t="n">
        <x:v>10000</x:v>
      </x:c>
      <x:c r="F9" s="64" t="n">
        <x:v>3</x:v>
      </x:c>
      <x:c r="G9" s="53" t="n">
        <x:f>D9*E9*F9/1000</x:f>
        <x:v>3840</x:v>
      </x:c>
      <x:c r="H9" s="64" t="n">
        <x:v>750</x:v>
      </x:c>
      <x:c r="I9" s="64" t="n">
        <x:f>D9*H9/1000</x:f>
        <x:v>96</x:v>
      </x:c>
      <x:c r="J9" s="64" t="n">
        <x:v>220</x:v>
      </x:c>
      <x:c r="K9" s="64" t="n">
        <x:v>80</x:v>
      </x:c>
      <x:c r="L9" s="53" t="n">
        <x:f>D9*(J9+K9)</x:f>
        <x:v>38400</x:v>
      </x:c>
      <x:c r="M9" s="29" t="str">
        <x:v>self-sufficient collection, triage, identity, sanitation and onward assignment</x:v>
      </x:c>
      <x:c r="N9" s="29" t="str">
        <x:v>R1/R2 hypothesis</x:v>
      </x:c>
    </x:row>
    <x:row r="10" ht="97.19999694824219" hidden="0" customHeight="1">
      <x:c r="A10" s="27" t="str">
        <x:v>CTN-50</x:v>
      </x:c>
      <x:c r="B10" s="27" t="str">
        <x:v>Theater continuity transfer node</x:v>
      </x:c>
      <x:c r="C10" s="27" t="str">
        <x:v>Node</x:v>
      </x:c>
      <x:c r="D10" s="64" t="n">
        <x:v>32</x:v>
      </x:c>
      <x:c r="E10" s="64" t="n">
        <x:v>50000</x:v>
      </x:c>
      <x:c r="F10" s="64" t="n">
        <x:v>3</x:v>
      </x:c>
      <x:c r="G10" s="52" t="n">
        <x:f>D10*E10*F10/1000</x:f>
        <x:v>4800</x:v>
      </x:c>
      <x:c r="H10" s="64" t="n">
        <x:v>3000</x:v>
      </x:c>
      <x:c r="I10" s="64" t="n">
        <x:f>D10*H10/1000</x:f>
        <x:v>96</x:v>
      </x:c>
      <x:c r="J10" s="64" t="n">
        <x:v>850</x:v>
      </x:c>
      <x:c r="K10" s="64" t="n">
        <x:v>240</x:v>
      </x:c>
      <x:c r="L10" s="52" t="n">
        <x:f>D10*(J10+K10)</x:f>
        <x:v>34880</x:v>
      </x:c>
      <x:c r="M10" s="27" t="str">
        <x:v>metropolitan/territorial transfer complex with clinical regulation and multimodal interchange</x:v>
      </x:c>
      <x:c r="N10" s="27" t="str">
        <x:v>R1/R2 hypothesis</x:v>
      </x:c>
    </x:row>
    <x:row r="11" ht="75.5999984741211" hidden="0" customHeight="1">
      <x:c r="A11" s="29" t="str">
        <x:v>NRRG</x:v>
      </x:c>
      <x:c r="B11" s="29" t="str">
        <x:v>Network restoration and route-assurance group</x:v>
      </x:c>
      <x:c r="C11" s="29" t="str">
        <x:v>Enable</x:v>
      </x:c>
      <x:c r="D11" s="64" t="n">
        <x:v>160</x:v>
      </x:c>
      <x:c r="E11" s="64" t="n">
        <x:v>0</x:v>
      </x:c>
      <x:c r="F11" s="64" t="n">
        <x:v>0</x:v>
      </x:c>
      <x:c r="G11" s="53" t="n">
        <x:f>D11*E11*F11/1000</x:f>
        <x:v>0</x:v>
      </x:c>
      <x:c r="H11" s="64" t="n">
        <x:v>1000</x:v>
      </x:c>
      <x:c r="I11" s="64" t="n">
        <x:f>D11*H11/1000</x:f>
        <x:v>160</x:v>
      </x:c>
      <x:c r="J11" s="64" t="n">
        <x:v>650</x:v>
      </x:c>
      <x:c r="K11" s="64" t="n">
        <x:v>250</x:v>
      </x:c>
      <x:c r="L11" s="53" t="n">
        <x:f>D11*(J11+K11)</x:f>
        <x:v>144000</x:v>
      </x:c>
      <x:c r="M11" s="29" t="str">
        <x:v>inspect, clear, bridge, signal, energize and certify road/rail/terminal paths</x:v>
      </x:c>
      <x:c r="N11" s="29" t="str">
        <x:v>R1/R2 hypothesis</x:v>
      </x:c>
    </x:row>
    <x:row r="12" ht="108" hidden="0" customHeight="1">
      <x:c r="A12" s="27" t="str">
        <x:v>MCC</x:v>
      </x:c>
      <x:c r="B12" s="27" t="str">
        <x:v>Mobility, continuity and custody command</x:v>
      </x:c>
      <x:c r="C12" s="27" t="str">
        <x:v>Command</x:v>
      </x:c>
      <x:c r="D12" s="64" t="n">
        <x:v>16</x:v>
      </x:c>
      <x:c r="E12" s="64" t="n">
        <x:v>0</x:v>
      </x:c>
      <x:c r="F12" s="64" t="n">
        <x:v>0</x:v>
      </x:c>
      <x:c r="G12" s="52" t="n">
        <x:f>D12*E12*F12/1000</x:f>
        <x:v>0</x:v>
      </x:c>
      <x:c r="H12" s="64" t="n">
        <x:v>3750</x:v>
      </x:c>
      <x:c r="I12" s="64" t="n">
        <x:f>D12*H12/1000</x:f>
        <x:v>60</x:v>
      </x:c>
      <x:c r="J12" s="64" t="n">
        <x:v>1800</x:v>
      </x:c>
      <x:c r="K12" s="64" t="n">
        <x:v>500</x:v>
      </x:c>
      <x:c r="L12" s="52" t="n">
        <x:f>D12*(J12+K12)</x:f>
        <x:v>36800</x:v>
      </x:c>
      <x:c r="M12" s="27" t="str">
        <x:v>dispatch, consent, patient regulation, rights, records, family unity, destination matching and return</x:v>
      </x:c>
      <x:c r="N12" s="27" t="str">
        <x:v>R1/R2 hypothesis</x:v>
      </x:c>
    </x:row>
    <x:row r="13" ht="86.4000015258789" hidden="0" customHeight="1">
      <x:c r="A13" s="29" t="str">
        <x:v>DMB</x:v>
      </x:c>
      <x:c r="B13" s="29" t="str">
        <x:v>Distributed mobility base and depot</x:v>
      </x:c>
      <x:c r="C13" s="29" t="str">
        <x:v>Base</x:v>
      </x:c>
      <x:c r="D13" s="64" t="n">
        <x:v>32</x:v>
      </x:c>
      <x:c r="E13" s="64" t="n">
        <x:v>0</x:v>
      </x:c>
      <x:c r="F13" s="64" t="n">
        <x:v>0</x:v>
      </x:c>
      <x:c r="G13" s="53" t="n">
        <x:f>D13*E13*F13/1000</x:f>
        <x:v>0</x:v>
      </x:c>
      <x:c r="H13" s="64" t="n">
        <x:v>4375</x:v>
      </x:c>
      <x:c r="I13" s="64" t="n">
        <x:f>D13*H13/1000</x:f>
        <x:v>140</x:v>
      </x:c>
      <x:c r="J13" s="64" t="n">
        <x:v>700</x:v>
      </x:c>
      <x:c r="K13" s="64" t="n">
        <x:v>1400</x:v>
      </x:c>
      <x:c r="L13" s="53" t="n">
        <x:f>D13*(J13+K13)</x:f>
        <x:v>67200</x:v>
      </x:c>
      <x:c r="M13" s="29" t="str">
        <x:v>fuel/energy, heavy maintenance, crew regeneration, training, stores and dispersal</x:v>
      </x:c>
      <x:c r="N13" s="29" t="str">
        <x:v>R1/R2 hypothesis</x:v>
      </x:c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</x:row>
    <x:row r="15" ht="39" customHeight="1">
      <x:c r="A15" s="92" t="str">
        <x:v>The inventory creates 3,554 CDE of gross 72-hour movement-place throughput before readiness, route loss, accessibility allocation, collection, destination intake or receiver survival. Gross fleet arithmetic is not service capacity.</x:v>
      </x:c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</x:row>
  </x:sheetData>
  <x:mergeCells>
    <x:mergeCell ref="A1:N1"/>
    <x:mergeCell ref="A2:N2"/>
    <x:mergeCell ref="A15:N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1" ht="29" customHeight="1">
      <x:c r="A1" s="83" t="str">
        <x:v>Architecture competition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</x:row>
    <x:row r="2" ht="31" customHeight="1">
      <x:c r="A2" s="84" t="str">
        <x:v>Four rivals preserve different balances among receivers, fleets, terminals, restoration and common-mode control. No row is a program recommendation.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</x:row>
    <x:row r="4" ht="32" customHeight="1">
      <x:c r="A4" s="86" t="str">
        <x:v>ID</x:v>
      </x:c>
      <x:c r="B4" s="87" t="str">
        <x:v>Architecture</x:v>
      </x:c>
      <x:c r="C4" s="87" t="str">
        <x:v>Receiver scale</x:v>
      </x:c>
      <x:c r="D4" s="87" t="str">
        <x:v>Fleet scale</x:v>
      </x:c>
      <x:c r="E4" s="87" t="str">
        <x:v>Deployable terminals</x:v>
      </x:c>
      <x:c r="F4" s="87" t="str">
        <x:v>Intake share</x:v>
      </x:c>
      <x:c r="G4" s="87" t="str">
        <x:v>Receiver hardening</x:v>
      </x:c>
      <x:c r="H4" s="87" t="str">
        <x:v>Terminal survival</x:v>
      </x:c>
      <x:c r="I4" s="87" t="str">
        <x:v>Route survival</x:v>
      </x:c>
      <x:c r="J4" s="87" t="str">
        <x:v>Restoration</x:v>
      </x:c>
      <x:c r="K4" s="87" t="str">
        <x:v>Mode common fail</x:v>
      </x:c>
      <x:c r="L4" s="87" t="str">
        <x:v>Capital $B</x:v>
      </x:c>
      <x:c r="M4" s="87" t="str">
        <x:v>Mature O&amp;M $B/y</x:v>
      </x:c>
      <x:c r="N4" s="87" t="str">
        <x:v>25-year $B</x:v>
      </x:c>
      <x:c r="O4" s="88" t="str">
        <x:v>Disposition</x:v>
      </x:c>
    </x:row>
    <x:row r="5" ht="86.4000015258789" hidden="0" customHeight="1">
      <x:c r="A5" s="28" t="str">
        <x:v>A0</x:v>
      </x:c>
      <x:c r="B5" s="28" t="str">
        <x:v>Borrowed-fleet baseline</x:v>
      </x:c>
      <x:c r="C5" s="65" t="n">
        <x:v>1</x:v>
      </x:c>
      <x:c r="D5" s="65" t="n">
        <x:v>0.32</x:v>
      </x:c>
      <x:c r="E5" s="28" t="str">
        <x:v>NO</x:v>
      </x:c>
      <x:c r="F5" s="45" t="n">
        <x:v>0.35</x:v>
      </x:c>
      <x:c r="G5" s="45" t="n">
        <x:v>0</x:v>
      </x:c>
      <x:c r="H5" s="45" t="n">
        <x:v>0.76</x:v>
      </x:c>
      <x:c r="I5" s="45" t="n">
        <x:v>0.78</x:v>
      </x:c>
      <x:c r="J5" s="45" t="n">
        <x:v>0.1</x:v>
      </x:c>
      <x:c r="K5" s="45" t="n">
        <x:v>0.22</x:v>
      </x:c>
      <x:c r="L5" s="68" t="n">
        <x:v>216</x:v>
      </x:c>
      <x:c r="M5" s="68" t="n">
        <x:v>24</x:v>
      </x:c>
      <x:c r="N5" s="68" t="n">
        <x:f>L5+M5*Controls!C13</x:f>
        <x:v>595.44</x:v>
      </x:c>
      <x:c r="O5" s="28" t="str">
        <x:v>Pass-32-scale corridor budget represented as a constrained existing-compatible fleet</x:v>
      </x:c>
    </x:row>
    <x:row r="6" ht="97.19999694824219" hidden="0" customHeight="1">
      <x:c r="A6" s="27" t="str">
        <x:v>A1</x:v>
      </x:c>
      <x:c r="B6" s="27" t="str">
        <x:v>Universal-access mobility force</x:v>
      </x:c>
      <x:c r="C6" s="66" t="n">
        <x:v>1.5</x:v>
      </x:c>
      <x:c r="D6" s="66" t="n">
        <x:v>1</x:v>
      </x:c>
      <x:c r="E6" s="27" t="str">
        <x:v>YES</x:v>
      </x:c>
      <x:c r="F6" s="46" t="n">
        <x:v>0.55</x:v>
      </x:c>
      <x:c r="G6" s="46" t="n">
        <x:v>0.2</x:v>
      </x:c>
      <x:c r="H6" s="46" t="n">
        <x:v>0.88</x:v>
      </x:c>
      <x:c r="I6" s="46" t="n">
        <x:v>0.84</x:v>
      </x:c>
      <x:c r="J6" s="46" t="n">
        <x:v>0.42</x:v>
      </x:c>
      <x:c r="K6" s="46" t="n">
        <x:v>0.15</x:v>
      </x:c>
      <x:c r="L6" s="69" t="n">
        <x:v>2004.462</x:v>
      </x:c>
      <x:c r="M6" s="69" t="n">
        <x:v>141.38625000000002</x:v>
      </x:c>
      <x:c r="N6" s="69" t="n">
        <x:f>L6+M6*Controls!C13</x:f>
        <x:v>4239.7786125</x:v>
      </x:c>
      <x:c r="O6" s="27" t="str">
        <x:v>purpose-built common passenger module, transfer nodes and complete custody chain</x:v>
      </x:c>
    </x:row>
    <x:row r="7" ht="97.19999694824219" hidden="0" customHeight="1">
      <x:c r="A7" s="29" t="str">
        <x:v>A2</x:v>
      </x:c>
      <x:c r="B7" s="29" t="str">
        <x:v>Restorable multimodal mesh</x:v>
      </x:c>
      <x:c r="C7" s="67" t="n">
        <x:v>1.6</x:v>
      </x:c>
      <x:c r="D7" s="67" t="n">
        <x:v>1.25</x:v>
      </x:c>
      <x:c r="E7" s="29" t="str">
        <x:v>YES</x:v>
      </x:c>
      <x:c r="F7" s="47" t="n">
        <x:v>0.7</x:v>
      </x:c>
      <x:c r="G7" s="47" t="n">
        <x:v>0.3</x:v>
      </x:c>
      <x:c r="H7" s="47" t="n">
        <x:v>0.92</x:v>
      </x:c>
      <x:c r="I7" s="47" t="n">
        <x:v>0.88</x:v>
      </x:c>
      <x:c r="J7" s="47" t="n">
        <x:v>0.6</x:v>
      </x:c>
      <x:c r="K7" s="47" t="n">
        <x:v>0.1</x:v>
      </x:c>
      <x:c r="L7" s="70" t="n">
        <x:v>2350.5303</x:v>
      </x:c>
      <x:c r="M7" s="70" t="n">
        <x:v>166.7448125</x:v>
      </x:c>
      <x:c r="N7" s="70" t="n">
        <x:f>L7+M7*Controls!C13</x:f>
        <x:v>4986.765785625</x:v>
      </x:c>
      <x:c r="O7" s="29" t="str">
        <x:v>larger fleet plus route-assurance groups, duplicate terminals and disconnected dispatch</x:v>
      </x:c>
    </x:row>
    <x:row r="8" ht="97.19999694824219" hidden="0" customHeight="1">
      <x:c r="A8" s="27" t="str">
        <x:v>A3</x:v>
      </x:c>
      <x:c r="B8" s="27" t="str">
        <x:v>Protected-local continuity</x:v>
      </x:c>
      <x:c r="C8" s="66" t="n">
        <x:v>4.2</x:v>
      </x:c>
      <x:c r="D8" s="66" t="n">
        <x:v>0.6</x:v>
      </x:c>
      <x:c r="E8" s="27" t="str">
        <x:v>YES</x:v>
      </x:c>
      <x:c r="F8" s="46" t="n">
        <x:v>0.6</x:v>
      </x:c>
      <x:c r="G8" s="46" t="n">
        <x:v>0.55</x:v>
      </x:c>
      <x:c r="H8" s="46" t="n">
        <x:v>0.92</x:v>
      </x:c>
      <x:c r="I8" s="46" t="n">
        <x:v>0.88</x:v>
      </x:c>
      <x:c r="J8" s="46" t="n">
        <x:v>0.6</x:v>
      </x:c>
      <x:c r="K8" s="46" t="n">
        <x:v>0.1</x:v>
      </x:c>
      <x:c r="L8" s="69" t="n">
        <x:v>3063.2436000000002</x:v>
      </x:c>
      <x:c r="M8" s="69" t="n">
        <x:v>204.68775</x:v>
      </x:c>
      <x:c r="N8" s="69" t="n">
        <x:f>L8+M8*Controls!C13</x:f>
        <x:v>6299.356927500001</x:v>
      </x:c>
      <x:c r="O8" s="27" t="str">
        <x:v>Pass-32 dense-local receiver scale with a smaller rescue-and-return mobility force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52" hidden="0" customWidth="1"/>
  </x:cols>
  <x:sheetData>
    <x:row r="1" ht="29" customHeight="1">
      <x:c r="A1" s="83" t="str">
        <x:v>Deterministic reference case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</x:row>
    <x:row r="2" ht="31" customHeight="1">
      <x:c r="A2" s="84" t="str">
        <x:v>One no-random-draw run separates architecture arithmetic from stochastic assurance. It is not the basis for admission.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</x:row>
    <x:row r="4" ht="32" customHeight="1">
      <x:c r="A4" s="86" t="str">
        <x:v>Architecture</x:v>
      </x:c>
      <x:c r="B4" s="87" t="str">
        <x:v>Served CDE</x:v>
      </x:c>
      <x:c r="C4" s="87" t="str">
        <x:v>Closure</x:v>
      </x:c>
      <x:c r="D4" s="87" t="str">
        <x:v>Bottom demand decile</x:v>
      </x:c>
      <x:c r="E4" s="87" t="str">
        <x:v>Protected minimum</x:v>
      </x:c>
      <x:c r="F4" s="87" t="str">
        <x:v>Clinical</x:v>
      </x:c>
      <x:c r="G4" s="87" t="str">
        <x:v>Accessible</x:v>
      </x:c>
      <x:c r="H4" s="87" t="str">
        <x:v>Custodial</x:v>
      </x:c>
      <x:c r="I4" s="87" t="str">
        <x:v>No vehicle</x:v>
      </x:c>
      <x:c r="J4" s="87" t="str">
        <x:v>General</x:v>
      </x:c>
      <x:c r="K4" s="87" t="str">
        <x:v>Success</x:v>
      </x:c>
      <x:c r="L4" s="88" t="str">
        <x:v>Interpretation</x:v>
      </x:c>
    </x:row>
    <x:row r="5" ht="97.19999694824219" hidden="0" customHeight="1">
      <x:c r="A5" s="28" t="str">
        <x:v>A0</x:v>
      </x:c>
      <x:c r="B5" s="51" t="n">
        <x:v>1525.919693974819</x:v>
      </x:c>
      <x:c r="C5" s="45" t="n">
        <x:v>0.6103678775899276</x:v>
      </x:c>
      <x:c r="D5" s="45" t="n">
        <x:v>0.23938670970221412</x:v>
      </x:c>
      <x:c r="E5" s="45" t="n">
        <x:v>0.6039742428639742</x:v>
      </x:c>
      <x:c r="F5" s="45" t="n">
        <x:v>0.6470723556225657</x:v>
      </x:c>
      <x:c r="G5" s="45" t="n">
        <x:v>0.6251427010381467</x:v>
      </x:c>
      <x:c r="H5" s="45" t="n">
        <x:v>0.6039742428639742</x:v>
      </x:c>
      <x:c r="I5" s="45" t="n">
        <x:v>0.6312134947000925</x:v>
      </x:c>
      <x:c r="J5" s="45" t="n">
        <x:v>0.6064287858083494</x:v>
      </x:c>
      <x:c r="K5" s="28" t="str">
        <x:v>FAIL</x:v>
      </x:c>
      <x:c r="L5" s="28" t="str">
        <x:v>local receiver capacity dominates; nominal corridors cannot rescue incompatible paths</x:v>
      </x:c>
    </x:row>
    <x:row r="6" ht="43.20000076293945" hidden="0" customHeight="1">
      <x:c r="A6" s="27" t="str">
        <x:v>A1</x:v>
      </x:c>
      <x:c r="B6" s="52" t="n">
        <x:v>2500</x:v>
      </x:c>
      <x:c r="C6" s="46" t="n">
        <x:v>1</x:v>
      </x:c>
      <x:c r="D6" s="46" t="n">
        <x:v>0.9999999999999998</x:v>
      </x:c>
      <x:c r="E6" s="46" t="n">
        <x:v>1</x:v>
      </x:c>
      <x:c r="F6" s="46" t="n">
        <x:v>1</x:v>
      </x:c>
      <x:c r="G6" s="46" t="n">
        <x:v>1</x:v>
      </x:c>
      <x:c r="H6" s="46" t="n">
        <x:v>1</x:v>
      </x:c>
      <x:c r="I6" s="46" t="n">
        <x:v>1</x:v>
      </x:c>
      <x:c r="J6" s="46" t="n">
        <x:v>0.9999999999999999</x:v>
      </x:c>
      <x:c r="K6" s="27" t="str">
        <x:v>PASS</x:v>
      </x:c>
      <x:c r="L6" s="27" t="str">
        <x:v>deterministic closure does not establish assurance</x:v>
      </x:c>
    </x:row>
    <x:row r="7" ht="43.20000076293945" hidden="0" customHeight="1">
      <x:c r="A7" s="29" t="str">
        <x:v>A2</x:v>
      </x:c>
      <x:c r="B7" s="53" t="n">
        <x:v>2500</x:v>
      </x:c>
      <x:c r="C7" s="47" t="n">
        <x:v>1</x:v>
      </x:c>
      <x:c r="D7" s="47" t="n">
        <x:v>0.9999999999999998</x:v>
      </x:c>
      <x:c r="E7" s="47" t="n">
        <x:v>1</x:v>
      </x:c>
      <x:c r="F7" s="47" t="n">
        <x:v>1</x:v>
      </x:c>
      <x:c r="G7" s="47" t="n">
        <x:v>1</x:v>
      </x:c>
      <x:c r="H7" s="47" t="n">
        <x:v>1</x:v>
      </x:c>
      <x:c r="I7" s="47" t="n">
        <x:v>1</x:v>
      </x:c>
      <x:c r="J7" s="47" t="n">
        <x:v>1</x:v>
      </x:c>
      <x:c r="K7" s="29" t="str">
        <x:v>PASS</x:v>
      </x:c>
      <x:c r="L7" s="29" t="str">
        <x:v>deterministic closure does not establish assurance</x:v>
      </x:c>
    </x:row>
    <x:row r="8" ht="43.20000076293945" hidden="0" customHeight="1">
      <x:c r="A8" s="27" t="str">
        <x:v>A3</x:v>
      </x:c>
      <x:c r="B8" s="52" t="n">
        <x:v>2500</x:v>
      </x:c>
      <x:c r="C8" s="46" t="n">
        <x:v>1</x:v>
      </x:c>
      <x:c r="D8" s="46" t="n">
        <x:v>1</x:v>
      </x:c>
      <x:c r="E8" s="46" t="n">
        <x:v>1</x:v>
      </x:c>
      <x:c r="F8" s="46" t="n">
        <x:v>1</x:v>
      </x:c>
      <x:c r="G8" s="46" t="n">
        <x:v>1</x:v>
      </x:c>
      <x:c r="H8" s="46" t="n">
        <x:v>1</x:v>
      </x:c>
      <x:c r="I8" s="46" t="n">
        <x:v>1</x:v>
      </x:c>
      <x:c r="J8" s="46" t="n">
        <x:v>1</x:v>
      </x:c>
      <x:c r="K8" s="27" t="str">
        <x:v>PASS</x:v>
      </x:c>
      <x:c r="L8" s="27" t="str">
        <x:v>deterministic closure does not establish assurance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8" hidden="0" customWidth="1"/>
  </x:cols>
  <x:sheetData>
    <x:row r="1" ht="29" customHeight="1">
      <x:c r="A1" s="83" t="str">
        <x:v>Stochastic assurance and distributional closure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</x:row>
    <x:row r="2" ht="31" customHeight="1">
      <x:c r="A2" s="84" t="str">
        <x:v>A national mean can conceal isolated origin failures. Admission requires total, protected-cohort and bottom-demand-decile closure in the same trial.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</x:row>
    <x:row r="4" ht="32" customHeight="1">
      <x:c r="A4" s="86" t="str">
        <x:v>Architecture</x:v>
      </x:c>
      <x:c r="B4" s="87" t="str">
        <x:v>Mean closure</x:v>
      </x:c>
      <x:c r="C4" s="87" t="str">
        <x:v>P05 closure</x:v>
      </x:c>
      <x:c r="D4" s="87" t="str">
        <x:v>Median</x:v>
      </x:c>
      <x:c r="E4" s="87" t="str">
        <x:v>P95 closure</x:v>
      </x:c>
      <x:c r="F4" s="87" t="str">
        <x:v>Mean bottom decile</x:v>
      </x:c>
      <x:c r="G4" s="87" t="str">
        <x:v>P05 bottom decile</x:v>
      </x:c>
      <x:c r="H4" s="87" t="str">
        <x:v>Mean protected min</x:v>
      </x:c>
      <x:c r="I4" s="87" t="str">
        <x:v>P05 protected min</x:v>
      </x:c>
      <x:c r="J4" s="87" t="str">
        <x:v>Success rate</x:v>
      </x:c>
      <x:c r="K4" s="87" t="str">
        <x:v>95% target</x:v>
      </x:c>
      <x:c r="L4" s="88" t="str">
        <x:v>Decision</x:v>
      </x:c>
    </x:row>
    <x:row r="5" ht="15" hidden="0" customHeight="1">
      <x:c r="A5" s="28" t="str">
        <x:v>A0</x:v>
      </x:c>
      <x:c r="B5" s="45" t="n">
        <x:f>AVERAGEIF(Trials!$C:$C,A5,Trials!$E:$E)</x:f>
        <x:v>0.6706745617002793</x:v>
      </x:c>
      <x:c r="C5" s="45" t="n">
        <x:v>0.6452697511690245</x:v>
      </x:c>
      <x:c r="D5" s="45" t="n">
        <x:v>0.6714545865271808</x:v>
      </x:c>
      <x:c r="E5" s="45" t="n">
        <x:v>0.6928268336455768</x:v>
      </x:c>
      <x:c r="F5" s="45" t="n">
        <x:f>AVERAGEIF(Trials!$C:$C,A5,Trials!$F:$F)</x:f>
        <x:v>0.33858575845516875</x:v>
      </x:c>
      <x:c r="G5" s="45" t="n">
        <x:v>0.3031000415895471</x:v>
      </x:c>
      <x:c r="H5" s="45" t="n">
        <x:f>AVERAGEIF(Trials!$C:$C,A5,Trials!$G:$G)</x:f>
        <x:v>0.5770065369883163</x:v>
      </x:c>
      <x:c r="I5" s="45" t="n">
        <x:v>0.5514569709970926</x:v>
      </x:c>
      <x:c r="J5" s="45" t="n">
        <x:f>AVERAGEIF(Trials!$C:$C,A5,Trials!$M:$M)</x:f>
        <x:v>0</x:v>
      </x:c>
      <x:c r="K5" s="45" t="n">
        <x:v>0.95</x:v>
      </x:c>
      <x:c r="L5" s="28" t="str">
        <x:f>IF(J5&gt;=K5,"ADVANCE","REJECT")</x:f>
        <x:v>REJECT</x:v>
      </x:c>
    </x:row>
    <x:row r="6" ht="15" hidden="0" customHeight="1">
      <x:c r="A6" s="27" t="str">
        <x:v>A1</x:v>
      </x:c>
      <x:c r="B6" s="46" t="n">
        <x:f>AVERAGEIF(Trials!$C:$C,A6,Trials!$E:$E)</x:f>
        <x:v>0.9780016339280898</x:v>
      </x:c>
      <x:c r="C6" s="46" t="n">
        <x:v>0.9547198902912405</x:v>
      </x:c>
      <x:c r="D6" s="46" t="n">
        <x:v>0.9787855839755711</x:v>
      </x:c>
      <x:c r="E6" s="46" t="n">
        <x:v>1</x:v>
      </x:c>
      <x:c r="F6" s="46" t="n">
        <x:f>AVERAGEIF(Trials!$C:$C,A6,Trials!$F:$F)</x:f>
        <x:v>0.8169539360530059</x:v>
      </x:c>
      <x:c r="G6" s="46" t="n">
        <x:v>0.6608866940381383</x:v>
      </x:c>
      <x:c r="H6" s="46" t="n">
        <x:f>AVERAGEIF(Trials!$C:$C,A6,Trials!$G:$G)</x:f>
        <x:v>1</x:v>
      </x:c>
      <x:c r="I6" s="46" t="n">
        <x:v>1</x:v>
      </x:c>
      <x:c r="J6" s="46" t="n">
        <x:f>AVERAGEIF(Trials!$C:$C,A6,Trials!$M:$M)</x:f>
        <x:v>0.138</x:v>
      </x:c>
      <x:c r="K6" s="46" t="n">
        <x:v>0.95</x:v>
      </x:c>
      <x:c r="L6" s="27" t="str">
        <x:f>IF(J6&gt;=K6,"ADVANCE","REJECT")</x:f>
        <x:v>REJECT</x:v>
      </x:c>
    </x:row>
    <x:row r="7" ht="15" hidden="0" customHeight="1">
      <x:c r="A7" s="29" t="str">
        <x:v>A2</x:v>
      </x:c>
      <x:c r="B7" s="47" t="n">
        <x:f>AVERAGEIF(Trials!$C:$C,A7,Trials!$E:$E)</x:f>
        <x:v>0.9998457406815202</x:v>
      </x:c>
      <x:c r="C7" s="47" t="n">
        <x:v>1</x:v>
      </x:c>
      <x:c r="D7" s="47" t="n">
        <x:v>1</x:v>
      </x:c>
      <x:c r="E7" s="47" t="n">
        <x:v>1</x:v>
      </x:c>
      <x:c r="F7" s="47" t="n">
        <x:f>AVERAGEIF(Trials!$C:$C,A7,Trials!$F:$F)</x:f>
        <x:v>0.9984574068152013</x:v>
      </x:c>
      <x:c r="G7" s="47" t="n">
        <x:v>0.9999999999999998</x:v>
      </x:c>
      <x:c r="H7" s="47" t="n">
        <x:f>AVERAGEIF(Trials!$C:$C,A7,Trials!$G:$G)</x:f>
        <x:v>1</x:v>
      </x:c>
      <x:c r="I7" s="47" t="n">
        <x:v>1</x:v>
      </x:c>
      <x:c r="J7" s="47" t="n">
        <x:f>AVERAGEIF(Trials!$C:$C,A7,Trials!$M:$M)</x:f>
        <x:v>0.988</x:v>
      </x:c>
      <x:c r="K7" s="47" t="n">
        <x:v>0.95</x:v>
      </x:c>
      <x:c r="L7" s="29" t="str">
        <x:f>IF(J7&gt;=K7,"ADVANCE","REJECT")</x:f>
        <x:v>ADVANCE</x:v>
      </x:c>
    </x:row>
    <x:row r="8" ht="15" hidden="0" customHeight="1">
      <x:c r="A8" s="27" t="str">
        <x:v>A3</x:v>
      </x:c>
      <x:c r="B8" s="46" t="n">
        <x:f>AVERAGEIF(Trials!$C:$C,A8,Trials!$E:$E)</x:f>
        <x:v>1</x:v>
      </x:c>
      <x:c r="C8" s="46" t="n">
        <x:v>1</x:v>
      </x:c>
      <x:c r="D8" s="46" t="n">
        <x:v>1</x:v>
      </x:c>
      <x:c r="E8" s="46" t="n">
        <x:v>1</x:v>
      </x:c>
      <x:c r="F8" s="46" t="n">
        <x:f>AVERAGEIF(Trials!$C:$C,A8,Trials!$F:$F)</x:f>
        <x:v>1</x:v>
      </x:c>
      <x:c r="G8" s="46" t="n">
        <x:v>1</x:v>
      </x:c>
      <x:c r="H8" s="46" t="n">
        <x:f>AVERAGEIF(Trials!$C:$C,A8,Trials!$G:$G)</x:f>
        <x:v>1</x:v>
      </x:c>
      <x:c r="I8" s="46" t="n">
        <x:v>1</x:v>
      </x:c>
      <x:c r="J8" s="46" t="n">
        <x:f>AVERAGEIF(Trials!$C:$C,A8,Trials!$M:$M)</x:f>
        <x:v>1</x:v>
      </x:c>
      <x:c r="K8" s="46" t="n">
        <x:v>0.95</x:v>
      </x:c>
      <x:c r="L8" s="27" t="str">
        <x:f>IF(J8&gt;=K8,"ADVANCE","REJECT")</x:f>
        <x:v>ADVANCE</x:v>
      </x:c>
    </x:row>
    <x:row r="9">
      <x:c r="A9" s="85"/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</x:row>
    <x:row r="10" ht="39" customHeight="1">
      <x:c r="A10" s="92" t="str">
        <x:v>A1 averages 97.8% national closure and protects the named cohorts, yet succeeds in only 13.8% of trials because the population-weighted bottom demand decile remains stranded. A2 is the first admitted screen at 98.8%—conditional on unproved hardening, restoration and transfer-node performance.</x:v>
      </x:c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</x:row>
  </x:sheetData>
  <x:mergeCells>
    <x:mergeCell ref="A1:L1"/>
    <x:mergeCell ref="A2:L2"/>
    <x:mergeCell ref="A10:L10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29" customHeight="1">
      <x:c r="A1" s="83" t="str">
        <x:v>Fixed-seed joint route-receiver trials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</x:row>
    <x:row r="2" ht="31" customHeight="1">
      <x:c r="A2" s="84" t="str">
        <x:v>Five hundred trials per architecture share campaign severity, receiver loss, terminal/route stress and mode-family impairment. Outputs are generated observations; summary arithmetic is live.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</x:row>
    <x:row r="4" ht="32" customHeight="1">
      <x:c r="A4" s="86" t="str">
        <x:v>Trial</x:v>
      </x:c>
      <x:c r="B4" s="87" t="str">
        <x:v>Seed</x:v>
      </x:c>
      <x:c r="C4" s="87" t="str">
        <x:v>Architecture</x:v>
      </x:c>
      <x:c r="D4" s="87" t="str">
        <x:v>Served CDE</x:v>
      </x:c>
      <x:c r="E4" s="87" t="str">
        <x:v>Closure</x:v>
      </x:c>
      <x:c r="F4" s="87" t="str">
        <x:v>Bottom decile</x:v>
      </x:c>
      <x:c r="G4" s="87" t="str">
        <x:v>Protected minimum</x:v>
      </x:c>
      <x:c r="H4" s="87" t="str">
        <x:v>Clinical</x:v>
      </x:c>
      <x:c r="I4" s="87" t="str">
        <x:v>Accessible</x:v>
      </x:c>
      <x:c r="J4" s="87" t="str">
        <x:v>Custodial</x:v>
      </x:c>
      <x:c r="K4" s="87" t="str">
        <x:v>No vehicle</x:v>
      </x:c>
      <x:c r="L4" s="87" t="str">
        <x:v>General</x:v>
      </x:c>
      <x:c r="M4" s="88" t="str">
        <x:v>Success</x:v>
      </x:c>
    </x:row>
    <x:row r="5" ht="15" hidden="0" customHeight="1">
      <x:c r="A5" s="28" t="n">
        <x:v>1</x:v>
      </x:c>
      <x:c r="B5" s="28" t="n">
        <x:v>330905</x:v>
      </x:c>
      <x:c r="C5" s="28" t="str">
        <x:v>A0</x:v>
      </x:c>
      <x:c r="D5" s="51" t="n">
        <x:v>1617.3751390770783</x:v>
      </x:c>
      <x:c r="E5" s="45" t="n">
        <x:v>0.6469500556308313</x:v>
      </x:c>
      <x:c r="F5" s="45" t="n">
        <x:v>0.3045083395466523</x:v>
      </x:c>
      <x:c r="G5" s="45" t="n">
        <x:v>0.5528211294591215</x:v>
      </x:c>
      <x:c r="H5" s="45" t="n">
        <x:v>1</x:v>
      </x:c>
      <x:c r="I5" s="45" t="n">
        <x:v>0.7774622764661822</x:v>
      </x:c>
      <x:c r="J5" s="45" t="n">
        <x:v>0.5528211294591215</x:v>
      </x:c>
      <x:c r="K5" s="45" t="n">
        <x:v>0.985496050826189</x:v>
      </x:c>
      <x:c r="L5" s="45" t="n">
        <x:v>0.6027770616533558</x:v>
      </x:c>
      <x:c r="M5" s="28" t="n">
        <x:v>0</x:v>
      </x:c>
    </x:row>
    <x:row r="6" ht="15" hidden="0" customHeight="1">
      <x:c r="A6" s="27" t="n">
        <x:v>2</x:v>
      </x:c>
      <x:c r="B6" s="27" t="n">
        <x:v>330906</x:v>
      </x:c>
      <x:c r="C6" s="27" t="str">
        <x:v>A0</x:v>
      </x:c>
      <x:c r="D6" s="52" t="n">
        <x:v>1680.1808192256713</x:v>
      </x:c>
      <x:c r="E6" s="46" t="n">
        <x:v>0.6720723276902685</x:v>
      </x:c>
      <x:c r="F6" s="46" t="n">
        <x:v>0.3508835892856494</x:v>
      </x:c>
      <x:c r="G6" s="46" t="n">
        <x:v>0.5791407056268714</x:v>
      </x:c>
      <x:c r="H6" s="46" t="n">
        <x:v>1</x:v>
      </x:c>
      <x:c r="I6" s="46" t="n">
        <x:v>0.8501560810162176</x:v>
      </x:c>
      <x:c r="J6" s="46" t="n">
        <x:v>0.5791407056268714</x:v>
      </x:c>
      <x:c r="K6" s="46" t="n">
        <x:v>0.9957981128680444</x:v>
      </x:c>
      <x:c r="L6" s="46" t="n">
        <x:v>0.6216986619785514</x:v>
      </x:c>
      <x:c r="M6" s="27" t="n">
        <x:v>0</x:v>
      </x:c>
    </x:row>
    <x:row r="7" ht="15" hidden="0" customHeight="1">
      <x:c r="A7" s="29" t="n">
        <x:v>3</x:v>
      </x:c>
      <x:c r="B7" s="29" t="n">
        <x:v>330907</x:v>
      </x:c>
      <x:c r="C7" s="29" t="str">
        <x:v>A0</x:v>
      </x:c>
      <x:c r="D7" s="53" t="n">
        <x:v>1641.0056321219201</x:v>
      </x:c>
      <x:c r="E7" s="47" t="n">
        <x:v>0.6564022528487681</x:v>
      </x:c>
      <x:c r="F7" s="47" t="n">
        <x:v>0.2981408063259884</x:v>
      </x:c>
      <x:c r="G7" s="47" t="n">
        <x:v>0.5593465152931419</x:v>
      </x:c>
      <x:c r="H7" s="47" t="n">
        <x:v>1</x:v>
      </x:c>
      <x:c r="I7" s="47" t="n">
        <x:v>0.8114665896470254</x:v>
      </x:c>
      <x:c r="J7" s="47" t="n">
        <x:v>0.5593465152931419</x:v>
      </x:c>
      <x:c r="K7" s="47" t="n">
        <x:v>0.987433419004823</x:v>
      </x:c>
      <x:c r="L7" s="47" t="n">
        <x:v>0.6090055665805195</x:v>
      </x:c>
      <x:c r="M7" s="29" t="n">
        <x:v>0</x:v>
      </x:c>
    </x:row>
    <x:row r="8" ht="15" hidden="0" customHeight="1">
      <x:c r="A8" s="27" t="n">
        <x:v>4</x:v>
      </x:c>
      <x:c r="B8" s="27" t="n">
        <x:v>330908</x:v>
      </x:c>
      <x:c r="C8" s="27" t="str">
        <x:v>A0</x:v>
      </x:c>
      <x:c r="D8" s="52" t="n">
        <x:v>1719.6779680344084</x:v>
      </x:c>
      <x:c r="E8" s="46" t="n">
        <x:v>0.6878711872137634</x:v>
      </x:c>
      <x:c r="F8" s="46" t="n">
        <x:v>0.3703327060210206</x:v>
      </x:c>
      <x:c r="G8" s="46" t="n">
        <x:v>0.5951559415120204</x:v>
      </x:c>
      <x:c r="H8" s="46" t="n">
        <x:v>1</x:v>
      </x:c>
      <x:c r="I8" s="46" t="n">
        <x:v>0.8637590204687629</x:v>
      </x:c>
      <x:c r="J8" s="46" t="n">
        <x:v>0.5951559415120204</x:v>
      </x:c>
      <x:c r="K8" s="46" t="n">
        <x:v>1</x:v>
      </x:c>
      <x:c r="L8" s="46" t="n">
        <x:v>0.6387239039386177</x:v>
      </x:c>
      <x:c r="M8" s="27" t="n">
        <x:v>0</x:v>
      </x:c>
    </x:row>
    <x:row r="9" ht="15" hidden="0" customHeight="1">
      <x:c r="A9" s="29" t="n">
        <x:v>5</x:v>
      </x:c>
      <x:c r="B9" s="29" t="n">
        <x:v>330909</x:v>
      </x:c>
      <x:c r="C9" s="29" t="str">
        <x:v>A0</x:v>
      </x:c>
      <x:c r="D9" s="53" t="n">
        <x:v>1677.1195683087635</x:v>
      </x:c>
      <x:c r="E9" s="47" t="n">
        <x:v>0.6708478273235055</x:v>
      </x:c>
      <x:c r="F9" s="47" t="n">
        <x:v>0.3664291810049872</x:v>
      </x:c>
      <x:c r="G9" s="47" t="n">
        <x:v>0.5794787316747946</x:v>
      </x:c>
      <x:c r="H9" s="47" t="n">
        <x:v>1</x:v>
      </x:c>
      <x:c r="I9" s="47" t="n">
        <x:v>0.8582084036651781</x:v>
      </x:c>
      <x:c r="J9" s="47" t="n">
        <x:v>0.5794787316747946</x:v>
      </x:c>
      <x:c r="K9" s="47" t="n">
        <x:v>1</x:v>
      </x:c>
      <x:c r="L9" s="47" t="n">
        <x:v>0.6186807236375083</x:v>
      </x:c>
      <x:c r="M9" s="29" t="n">
        <x:v>0</x:v>
      </x:c>
    </x:row>
    <x:row r="10" ht="15" hidden="0" customHeight="1">
      <x:c r="A10" s="27" t="n">
        <x:v>6</x:v>
      </x:c>
      <x:c r="B10" s="27" t="n">
        <x:v>330910</x:v>
      </x:c>
      <x:c r="C10" s="27" t="str">
        <x:v>A0</x:v>
      </x:c>
      <x:c r="D10" s="52" t="n">
        <x:v>1684.869723720018</x:v>
      </x:c>
      <x:c r="E10" s="46" t="n">
        <x:v>0.6739478894880072</x:v>
      </x:c>
      <x:c r="F10" s="46" t="n">
        <x:v>0.36754796643134835</x:v>
      </x:c>
      <x:c r="G10" s="46" t="n">
        <x:v>0.5786315118725025</x:v>
      </x:c>
      <x:c r="H10" s="46" t="n">
        <x:v>1</x:v>
      </x:c>
      <x:c r="I10" s="46" t="n">
        <x:v>0.8495479172746583</x:v>
      </x:c>
      <x:c r="J10" s="46" t="n">
        <x:v>0.5786315118725025</x:v>
      </x:c>
      <x:c r="K10" s="46" t="n">
        <x:v>1</x:v>
      </x:c>
      <x:c r="L10" s="46" t="n">
        <x:v>0.6238593838332658</x:v>
      </x:c>
      <x:c r="M10" s="27" t="n">
        <x:v>0</x:v>
      </x:c>
    </x:row>
    <x:row r="11" ht="15" hidden="0" customHeight="1">
      <x:c r="A11" s="29" t="n">
        <x:v>7</x:v>
      </x:c>
      <x:c r="B11" s="29" t="n">
        <x:v>330911</x:v>
      </x:c>
      <x:c r="C11" s="29" t="str">
        <x:v>A0</x:v>
      </x:c>
      <x:c r="D11" s="53" t="n">
        <x:v>1654.6638817601606</x:v>
      </x:c>
      <x:c r="E11" s="47" t="n">
        <x:v>0.6618655527040642</x:v>
      </x:c>
      <x:c r="F11" s="47" t="n">
        <x:v>0.33822481641830615</x:v>
      </x:c>
      <x:c r="G11" s="47" t="n">
        <x:v>0.5699052560497565</x:v>
      </x:c>
      <x:c r="H11" s="47" t="n">
        <x:v>1</x:v>
      </x:c>
      <x:c r="I11" s="47" t="n">
        <x:v>0.7846343596841664</x:v>
      </x:c>
      <x:c r="J11" s="47" t="n">
        <x:v>0.5699052560497565</x:v>
      </x:c>
      <x:c r="K11" s="47" t="n">
        <x:v>1</x:v>
      </x:c>
      <x:c r="L11" s="47" t="n">
        <x:v>0.6190802637706866</x:v>
      </x:c>
      <x:c r="M11" s="29" t="n">
        <x:v>0</x:v>
      </x:c>
    </x:row>
    <x:row r="12" ht="15" hidden="0" customHeight="1">
      <x:c r="A12" s="27" t="n">
        <x:v>8</x:v>
      </x:c>
      <x:c r="B12" s="27" t="n">
        <x:v>330912</x:v>
      </x:c>
      <x:c r="C12" s="27" t="str">
        <x:v>A0</x:v>
      </x:c>
      <x:c r="D12" s="52" t="n">
        <x:v>1683.6933477257385</x:v>
      </x:c>
      <x:c r="E12" s="46" t="n">
        <x:v>0.6734773390902954</x:v>
      </x:c>
      <x:c r="F12" s="46" t="n">
        <x:v>0.36672533199105983</x:v>
      </x:c>
      <x:c r="G12" s="46" t="n">
        <x:v>0.5730287757338248</x:v>
      </x:c>
      <x:c r="H12" s="46" t="n">
        <x:v>1</x:v>
      </x:c>
      <x:c r="I12" s="46" t="n">
        <x:v>0.8454256468774538</x:v>
      </x:c>
      <x:c r="J12" s="46" t="n">
        <x:v>0.5730287757338248</x:v>
      </x:c>
      <x:c r="K12" s="46" t="n">
        <x:v>0.9980399621873289</x:v>
      </x:c>
      <x:c r="L12" s="46" t="n">
        <x:v>0.624078037434739</x:v>
      </x:c>
      <x:c r="M12" s="27" t="n">
        <x:v>0</x:v>
      </x:c>
    </x:row>
    <x:row r="13" ht="15" hidden="0" customHeight="1">
      <x:c r="A13" s="29" t="n">
        <x:v>9</x:v>
      </x:c>
      <x:c r="B13" s="29" t="n">
        <x:v>330913</x:v>
      </x:c>
      <x:c r="C13" s="29" t="str">
        <x:v>A0</x:v>
      </x:c>
      <x:c r="D13" s="53" t="n">
        <x:v>1683.9495196455528</x:v>
      </x:c>
      <x:c r="E13" s="47" t="n">
        <x:v>0.6735798078582211</x:v>
      </x:c>
      <x:c r="F13" s="47" t="n">
        <x:v>0.36705948591549914</x:v>
      </x:c>
      <x:c r="G13" s="47" t="n">
        <x:v>0.5812114467723134</x:v>
      </x:c>
      <x:c r="H13" s="47" t="n">
        <x:v>1</x:v>
      </x:c>
      <x:c r="I13" s="47" t="n">
        <x:v>0.8591175033681645</x:v>
      </x:c>
      <x:c r="J13" s="47" t="n">
        <x:v>0.5812114467723134</x:v>
      </x:c>
      <x:c r="K13" s="47" t="n">
        <x:v>1</x:v>
      </x:c>
      <x:c r="L13" s="47" t="n">
        <x:v>0.6219003120208304</x:v>
      </x:c>
      <x:c r="M13" s="29" t="n">
        <x:v>0</x:v>
      </x:c>
    </x:row>
    <x:row r="14" ht="15" hidden="0" customHeight="1">
      <x:c r="A14" s="27" t="n">
        <x:v>10</x:v>
      </x:c>
      <x:c r="B14" s="27" t="n">
        <x:v>330914</x:v>
      </x:c>
      <x:c r="C14" s="27" t="str">
        <x:v>A0</x:v>
      </x:c>
      <x:c r="D14" s="52" t="n">
        <x:v>1666.8223415061573</x:v>
      </x:c>
      <x:c r="E14" s="46" t="n">
        <x:v>0.6667289366024629</x:v>
      </x:c>
      <x:c r="F14" s="46" t="n">
        <x:v>0.33157981318869345</x:v>
      </x:c>
      <x:c r="G14" s="46" t="n">
        <x:v>0.5704038932206164</x:v>
      </x:c>
      <x:c r="H14" s="46" t="n">
        <x:v>1</x:v>
      </x:c>
      <x:c r="I14" s="46" t="n">
        <x:v>0.8528776720248489</x:v>
      </x:c>
      <x:c r="J14" s="46" t="n">
        <x:v>0.5704038932206164</x:v>
      </x:c>
      <x:c r="K14" s="46" t="n">
        <x:v>0.9933741749741475</x:v>
      </x:c>
      <x:c r="L14" s="46" t="n">
        <x:v>0.6148890818442925</x:v>
      </x:c>
      <x:c r="M14" s="27" t="n">
        <x:v>0</x:v>
      </x:c>
    </x:row>
    <x:row r="15" ht="15" hidden="0" customHeight="1">
      <x:c r="A15" s="29" t="n">
        <x:v>11</x:v>
      </x:c>
      <x:c r="B15" s="29" t="n">
        <x:v>330915</x:v>
      </x:c>
      <x:c r="C15" s="29" t="str">
        <x:v>A0</x:v>
      </x:c>
      <x:c r="D15" s="53" t="n">
        <x:v>1642.1218127440325</x:v>
      </x:c>
      <x:c r="E15" s="47" t="n">
        <x:v>0.6568487250976129</x:v>
      </x:c>
      <x:c r="F15" s="47" t="n">
        <x:v>0.35726366502083184</x:v>
      </x:c>
      <x:c r="G15" s="47" t="n">
        <x:v>0.5624803747504258</x:v>
      </x:c>
      <x:c r="H15" s="47" t="n">
        <x:v>0.9987560199125056</x:v>
      </x:c>
      <x:c r="I15" s="47" t="n">
        <x:v>0.7879449176471953</x:v>
      </x:c>
      <x:c r="J15" s="47" t="n">
        <x:v>0.5624803747504258</x:v>
      </x:c>
      <x:c r="K15" s="47" t="n">
        <x:v>0.9937928981327969</x:v>
      </x:c>
      <x:c r="L15" s="47" t="n">
        <x:v>0.6128157654819684</x:v>
      </x:c>
      <x:c r="M15" s="29" t="n">
        <x:v>0</x:v>
      </x:c>
    </x:row>
    <x:row r="16" ht="15" hidden="0" customHeight="1">
      <x:c r="A16" s="27" t="n">
        <x:v>12</x:v>
      </x:c>
      <x:c r="B16" s="27" t="n">
        <x:v>330916</x:v>
      </x:c>
      <x:c r="C16" s="27" t="str">
        <x:v>A0</x:v>
      </x:c>
      <x:c r="D16" s="52" t="n">
        <x:v>1723.560471860895</x:v>
      </x:c>
      <x:c r="E16" s="46" t="n">
        <x:v>0.689424188744358</x:v>
      </x:c>
      <x:c r="F16" s="46" t="n">
        <x:v>0.3299769098526057</x:v>
      </x:c>
      <x:c r="G16" s="46" t="n">
        <x:v>0.600203710708621</x:v>
      </x:c>
      <x:c r="H16" s="46" t="n">
        <x:v>1</x:v>
      </x:c>
      <x:c r="I16" s="46" t="n">
        <x:v>0.8811182636000987</x:v>
      </x:c>
      <x:c r="J16" s="46" t="n">
        <x:v>0.600203710708621</x:v>
      </x:c>
      <x:c r="K16" s="46" t="n">
        <x:v>0.9908452326663051</x:v>
      </x:c>
      <x:c r="L16" s="46" t="n">
        <x:v>0.6384619030599804</x:v>
      </x:c>
      <x:c r="M16" s="27" t="n">
        <x:v>0</x:v>
      </x:c>
    </x:row>
    <x:row r="17" ht="15" hidden="0" customHeight="1">
      <x:c r="A17" s="29" t="n">
        <x:v>13</x:v>
      </x:c>
      <x:c r="B17" s="29" t="n">
        <x:v>330917</x:v>
      </x:c>
      <x:c r="C17" s="29" t="str">
        <x:v>A0</x:v>
      </x:c>
      <x:c r="D17" s="53" t="n">
        <x:v>1635.606020402132</x:v>
      </x:c>
      <x:c r="E17" s="47" t="n">
        <x:v>0.6542424081608528</x:v>
      </x:c>
      <x:c r="F17" s="47" t="n">
        <x:v>0.33556222128711305</x:v>
      </x:c>
      <x:c r="G17" s="47" t="n">
        <x:v>0.5605978276095115</x:v>
      </x:c>
      <x:c r="H17" s="47" t="n">
        <x:v>0.9844543134653139</x:v>
      </x:c>
      <x:c r="I17" s="47" t="n">
        <x:v>0.7685703667937263</x:v>
      </x:c>
      <x:c r="J17" s="47" t="n">
        <x:v>0.5605978276095115</x:v>
      </x:c>
      <x:c r="K17" s="47" t="n">
        <x:v>0.9914941151668121</x:v>
      </x:c>
      <x:c r="L17" s="47" t="n">
        <x:v>0.6129271103629294</x:v>
      </x:c>
      <x:c r="M17" s="29" t="n">
        <x:v>0</x:v>
      </x:c>
    </x:row>
    <x:row r="18" ht="15" hidden="0" customHeight="1">
      <x:c r="A18" s="27" t="n">
        <x:v>14</x:v>
      </x:c>
      <x:c r="B18" s="27" t="n">
        <x:v>330918</x:v>
      </x:c>
      <x:c r="C18" s="27" t="str">
        <x:v>A0</x:v>
      </x:c>
      <x:c r="D18" s="52" t="n">
        <x:v>1653.8876344002754</x:v>
      </x:c>
      <x:c r="E18" s="46" t="n">
        <x:v>0.6615550537601101</x:v>
      </x:c>
      <x:c r="F18" s="46" t="n">
        <x:v>0.315059734072238</x:v>
      </x:c>
      <x:c r="G18" s="46" t="n">
        <x:v>0.5647274447490002</x:v>
      </x:c>
      <x:c r="H18" s="46" t="n">
        <x:v>1</x:v>
      </x:c>
      <x:c r="I18" s="46" t="n">
        <x:v>0.8301736056915376</x:v>
      </x:c>
      <x:c r="J18" s="46" t="n">
        <x:v>0.5647274447490002</x:v>
      </x:c>
      <x:c r="K18" s="46" t="n">
        <x:v>0.9725311853933495</x:v>
      </x:c>
      <x:c r="L18" s="46" t="n">
        <x:v>0.6133237996836746</x:v>
      </x:c>
      <x:c r="M18" s="27" t="n">
        <x:v>0</x:v>
      </x:c>
    </x:row>
    <x:row r="19" ht="15" hidden="0" customHeight="1">
      <x:c r="A19" s="29" t="n">
        <x:v>15</x:v>
      </x:c>
      <x:c r="B19" s="29" t="n">
        <x:v>330919</x:v>
      </x:c>
      <x:c r="C19" s="29" t="str">
        <x:v>A0</x:v>
      </x:c>
      <x:c r="D19" s="53" t="n">
        <x:v>1720.982030862125</x:v>
      </x:c>
      <x:c r="E19" s="47" t="n">
        <x:v>0.68839281234485</x:v>
      </x:c>
      <x:c r="F19" s="47" t="n">
        <x:v>0.3640568068629909</x:v>
      </x:c>
      <x:c r="G19" s="47" t="n">
        <x:v>0.6026152175276</x:v>
      </x:c>
      <x:c r="H19" s="47" t="n">
        <x:v>1</x:v>
      </x:c>
      <x:c r="I19" s="47" t="n">
        <x:v>0.8354467306164628</x:v>
      </x:c>
      <x:c r="J19" s="47" t="n">
        <x:v>0.6026152175276</x:v>
      </x:c>
      <x:c r="K19" s="47" t="n">
        <x:v>1</x:v>
      </x:c>
      <x:c r="L19" s="47" t="n">
        <x:v>0.6437072543765693</x:v>
      </x:c>
      <x:c r="M19" s="29" t="n">
        <x:v>0</x:v>
      </x:c>
    </x:row>
    <x:row r="20" ht="15" hidden="0" customHeight="1">
      <x:c r="A20" s="27" t="n">
        <x:v>16</x:v>
      </x:c>
      <x:c r="B20" s="27" t="n">
        <x:v>330920</x:v>
      </x:c>
      <x:c r="C20" s="27" t="str">
        <x:v>A0</x:v>
      </x:c>
      <x:c r="D20" s="52" t="n">
        <x:v>1693.590101101671</x:v>
      </x:c>
      <x:c r="E20" s="46" t="n">
        <x:v>0.6774360404406684</x:v>
      </x:c>
      <x:c r="F20" s="46" t="n">
        <x:v>0.33898496257234384</x:v>
      </x:c>
      <x:c r="G20" s="46" t="n">
        <x:v>0.5764564683410459</x:v>
      </x:c>
      <x:c r="H20" s="46" t="n">
        <x:v>1</x:v>
      </x:c>
      <x:c r="I20" s="46" t="n">
        <x:v>0.8789943466276489</x:v>
      </x:c>
      <x:c r="J20" s="46" t="n">
        <x:v>0.5764564683410459</x:v>
      </x:c>
      <x:c r="K20" s="46" t="n">
        <x:v>0.9895077868231471</x:v>
      </x:c>
      <x:c r="L20" s="46" t="n">
        <x:v>0.6242451453282314</x:v>
      </x:c>
      <x:c r="M20" s="27" t="n">
        <x:v>0</x:v>
      </x:c>
    </x:row>
    <x:row r="21" ht="15" hidden="0" customHeight="1">
      <x:c r="A21" s="29" t="n">
        <x:v>17</x:v>
      </x:c>
      <x:c r="B21" s="29" t="n">
        <x:v>330921</x:v>
      </x:c>
      <x:c r="C21" s="29" t="str">
        <x:v>A0</x:v>
      </x:c>
      <x:c r="D21" s="53" t="n">
        <x:v>1678.2412413120126</x:v>
      </x:c>
      <x:c r="E21" s="47" t="n">
        <x:v>0.671296496524805</x:v>
      </x:c>
      <x:c r="F21" s="47" t="n">
        <x:v>0.3414097747777961</x:v>
      </x:c>
      <x:c r="G21" s="47" t="n">
        <x:v>0.5794685520339863</x:v>
      </x:c>
      <x:c r="H21" s="47" t="n">
        <x:v>1</x:v>
      </x:c>
      <x:c r="I21" s="47" t="n">
        <x:v>0.8475737868652801</x:v>
      </x:c>
      <x:c r="J21" s="47" t="n">
        <x:v>0.5794685520339863</x:v>
      </x:c>
      <x:c r="K21" s="47" t="n">
        <x:v>0.9929519997125843</x:v>
      </x:c>
      <x:c r="L21" s="47" t="n">
        <x:v>0.6213107150064814</x:v>
      </x:c>
      <x:c r="M21" s="29" t="n">
        <x:v>0</x:v>
      </x:c>
    </x:row>
    <x:row r="22" ht="15" hidden="0" customHeight="1">
      <x:c r="A22" s="27" t="n">
        <x:v>18</x:v>
      </x:c>
      <x:c r="B22" s="27" t="n">
        <x:v>330922</x:v>
      </x:c>
      <x:c r="C22" s="27" t="str">
        <x:v>A0</x:v>
      </x:c>
      <x:c r="D22" s="52" t="n">
        <x:v>1647.9959366952774</x:v>
      </x:c>
      <x:c r="E22" s="46" t="n">
        <x:v>0.6591983746781109</x:v>
      </x:c>
      <x:c r="F22" s="46" t="n">
        <x:v>0.317993939229084</x:v>
      </x:c>
      <x:c r="G22" s="46" t="n">
        <x:v>0.563937585930747</x:v>
      </x:c>
      <x:c r="H22" s="46" t="n">
        <x:v>0.9899102145678086</x:v>
      </x:c>
      <x:c r="I22" s="46" t="n">
        <x:v>0.8048980475100318</x:v>
      </x:c>
      <x:c r="J22" s="46" t="n">
        <x:v>0.563937585930747</x:v>
      </x:c>
      <x:c r="K22" s="46" t="n">
        <x:v>0.996330621329963</x:v>
      </x:c>
      <x:c r="L22" s="46" t="n">
        <x:v>0.6130268452807441</x:v>
      </x:c>
      <x:c r="M22" s="27" t="n">
        <x:v>0</x:v>
      </x:c>
    </x:row>
    <x:row r="23" ht="15" hidden="0" customHeight="1">
      <x:c r="A23" s="29" t="n">
        <x:v>19</x:v>
      </x:c>
      <x:c r="B23" s="29" t="n">
        <x:v>330923</x:v>
      </x:c>
      <x:c r="C23" s="29" t="str">
        <x:v>A0</x:v>
      </x:c>
      <x:c r="D23" s="53" t="n">
        <x:v>1669.0846559016447</x:v>
      </x:c>
      <x:c r="E23" s="47" t="n">
        <x:v>0.6676338623606579</x:v>
      </x:c>
      <x:c r="F23" s="47" t="n">
        <x:v>0.35421133554389056</x:v>
      </x:c>
      <x:c r="G23" s="47" t="n">
        <x:v>0.5733925643604056</x:v>
      </x:c>
      <x:c r="H23" s="47" t="n">
        <x:v>1</x:v>
      </x:c>
      <x:c r="I23" s="47" t="n">
        <x:v>0.8280794920340082</x:v>
      </x:c>
      <x:c r="J23" s="47" t="n">
        <x:v>0.5733925643604056</x:v>
      </x:c>
      <x:c r="K23" s="47" t="n">
        <x:v>0.9984380799475707</x:v>
      </x:c>
      <x:c r="L23" s="47" t="n">
        <x:v>0.6195280065585193</x:v>
      </x:c>
      <x:c r="M23" s="29" t="n">
        <x:v>0</x:v>
      </x:c>
    </x:row>
    <x:row r="24" ht="15" hidden="0" customHeight="1">
      <x:c r="A24" s="27" t="n">
        <x:v>20</x:v>
      </x:c>
      <x:c r="B24" s="27" t="n">
        <x:v>330924</x:v>
      </x:c>
      <x:c r="C24" s="27" t="str">
        <x:v>A0</x:v>
      </x:c>
      <x:c r="D24" s="52" t="n">
        <x:v>1668.9504355007132</x:v>
      </x:c>
      <x:c r="E24" s="46" t="n">
        <x:v>0.6675801742002853</x:v>
      </x:c>
      <x:c r="F24" s="46" t="n">
        <x:v>0.3308063309870327</x:v>
      </x:c>
      <x:c r="G24" s="46" t="n">
        <x:v>0.5708509848511432</x:v>
      </x:c>
      <x:c r="H24" s="46" t="n">
        <x:v>1</x:v>
      </x:c>
      <x:c r="I24" s="46" t="n">
        <x:v>0.8420590711788226</x:v>
      </x:c>
      <x:c r="J24" s="46" t="n">
        <x:v>0.5708509848511432</x:v>
      </x:c>
      <x:c r="K24" s="46" t="n">
        <x:v>0.9860769024512512</x:v>
      </x:c>
      <x:c r="L24" s="46" t="n">
        <x:v>0.6180563814630763</x:v>
      </x:c>
      <x:c r="M24" s="27" t="n">
        <x:v>0</x:v>
      </x:c>
    </x:row>
    <x:row r="25" ht="15" hidden="0" customHeight="1">
      <x:c r="A25" s="29" t="n">
        <x:v>21</x:v>
      </x:c>
      <x:c r="B25" s="29" t="n">
        <x:v>330925</x:v>
      </x:c>
      <x:c r="C25" s="29" t="str">
        <x:v>A0</x:v>
      </x:c>
      <x:c r="D25" s="53" t="n">
        <x:v>1649.5965610572437</x:v>
      </x:c>
      <x:c r="E25" s="47" t="n">
        <x:v>0.6598386244228974</x:v>
      </x:c>
      <x:c r="F25" s="47" t="n">
        <x:v>0.3381094607086345</x:v>
      </x:c>
      <x:c r="G25" s="47" t="n">
        <x:v>0.5631167839213881</x:v>
      </x:c>
      <x:c r="H25" s="47" t="n">
        <x:v>1</x:v>
      </x:c>
      <x:c r="I25" s="47" t="n">
        <x:v>0.7913964147422121</x:v>
      </x:c>
      <x:c r="J25" s="47" t="n">
        <x:v>0.5631167839213881</x:v>
      </x:c>
      <x:c r="K25" s="47" t="n">
        <x:v>0.9912815791167033</x:v>
      </x:c>
      <x:c r="L25" s="47" t="n">
        <x:v>0.6161040864508656</x:v>
      </x:c>
      <x:c r="M25" s="29" t="n">
        <x:v>0</x:v>
      </x:c>
    </x:row>
    <x:row r="26" ht="15" hidden="0" customHeight="1">
      <x:c r="A26" s="27" t="n">
        <x:v>22</x:v>
      </x:c>
      <x:c r="B26" s="27" t="n">
        <x:v>330926</x:v>
      </x:c>
      <x:c r="C26" s="27" t="str">
        <x:v>A0</x:v>
      </x:c>
      <x:c r="D26" s="52" t="n">
        <x:v>1703.3019007054106</x:v>
      </x:c>
      <x:c r="E26" s="46" t="n">
        <x:v>0.6813207602821643</x:v>
      </x:c>
      <x:c r="F26" s="46" t="n">
        <x:v>0.3676627993407742</x:v>
      </x:c>
      <x:c r="G26" s="46" t="n">
        <x:v>0.5857697063377535</x:v>
      </x:c>
      <x:c r="H26" s="46" t="n">
        <x:v>1</x:v>
      </x:c>
      <x:c r="I26" s="46" t="n">
        <x:v>0.8624064855075224</x:v>
      </x:c>
      <x:c r="J26" s="46" t="n">
        <x:v>0.5857697063377535</x:v>
      </x:c>
      <x:c r="K26" s="46" t="n">
        <x:v>1</x:v>
      </x:c>
      <x:c r="L26" s="46" t="n">
        <x:v>0.6309148050309472</x:v>
      </x:c>
      <x:c r="M26" s="27" t="n">
        <x:v>0</x:v>
      </x:c>
    </x:row>
    <x:row r="27" ht="15" hidden="0" customHeight="1">
      <x:c r="A27" s="29" t="n">
        <x:v>23</x:v>
      </x:c>
      <x:c r="B27" s="29" t="n">
        <x:v>330927</x:v>
      </x:c>
      <x:c r="C27" s="29" t="str">
        <x:v>A0</x:v>
      </x:c>
      <x:c r="D27" s="53" t="n">
        <x:v>1615.4337443284362</x:v>
      </x:c>
      <x:c r="E27" s="47" t="n">
        <x:v>0.6461734977313744</x:v>
      </x:c>
      <x:c r="F27" s="47" t="n">
        <x:v>0.3122737943259575</x:v>
      </x:c>
      <x:c r="G27" s="47" t="n">
        <x:v>0.5538711833909077</x:v>
      </x:c>
      <x:c r="H27" s="47" t="n">
        <x:v>1</x:v>
      </x:c>
      <x:c r="I27" s="47" t="n">
        <x:v>0.8384579212832902</x:v>
      </x:c>
      <x:c r="J27" s="47" t="n">
        <x:v>0.5538711833909077</x:v>
      </x:c>
      <x:c r="K27" s="47" t="n">
        <x:v>0.972443484358985</x:v>
      </x:c>
      <x:c r="L27" s="47" t="n">
        <x:v>0.5931300220292649</x:v>
      </x:c>
      <x:c r="M27" s="29" t="n">
        <x:v>0</x:v>
      </x:c>
    </x:row>
    <x:row r="28" ht="15" hidden="0" customHeight="1">
      <x:c r="A28" s="27" t="n">
        <x:v>24</x:v>
      </x:c>
      <x:c r="B28" s="27" t="n">
        <x:v>330928</x:v>
      </x:c>
      <x:c r="C28" s="27" t="str">
        <x:v>A0</x:v>
      </x:c>
      <x:c r="D28" s="52" t="n">
        <x:v>1596.2718913020242</x:v>
      </x:c>
      <x:c r="E28" s="46" t="n">
        <x:v>0.6385087565208096</x:v>
      </x:c>
      <x:c r="F28" s="46" t="n">
        <x:v>0.30513692442893003</x:v>
      </x:c>
      <x:c r="G28" s="46" t="n">
        <x:v>0.551606880652711</x:v>
      </x:c>
      <x:c r="H28" s="46" t="n">
        <x:v>1</x:v>
      </x:c>
      <x:c r="I28" s="46" t="n">
        <x:v>0.8259350192797503</x:v>
      </x:c>
      <x:c r="J28" s="46" t="n">
        <x:v>0.551606880652711</x:v>
      </x:c>
      <x:c r="K28" s="46" t="n">
        <x:v>0.9712834834124313</x:v>
      </x:c>
      <x:c r="L28" s="46" t="n">
        <x:v>0.5856958652761771</x:v>
      </x:c>
      <x:c r="M28" s="27" t="n">
        <x:v>0</x:v>
      </x:c>
    </x:row>
    <x:row r="29" ht="15" hidden="0" customHeight="1">
      <x:c r="A29" s="29" t="n">
        <x:v>25</x:v>
      </x:c>
      <x:c r="B29" s="29" t="n">
        <x:v>330929</x:v>
      </x:c>
      <x:c r="C29" s="29" t="str">
        <x:v>A0</x:v>
      </x:c>
      <x:c r="D29" s="53" t="n">
        <x:v>1714.5510987168752</x:v>
      </x:c>
      <x:c r="E29" s="47" t="n">
        <x:v>0.6858204394867501</x:v>
      </x:c>
      <x:c r="F29" s="47" t="n">
        <x:v>0.35346692292270854</x:v>
      </x:c>
      <x:c r="G29" s="47" t="n">
        <x:v>0.5934353077331896</x:v>
      </x:c>
      <x:c r="H29" s="47" t="n">
        <x:v>1</x:v>
      </x:c>
      <x:c r="I29" s="47" t="n">
        <x:v>0.8661059716378846</x:v>
      </x:c>
      <x:c r="J29" s="47" t="n">
        <x:v>0.5934353077331896</x:v>
      </x:c>
      <x:c r="K29" s="47" t="n">
        <x:v>1</x:v>
      </x:c>
      <x:c r="L29" s="47" t="n">
        <x:v>0.6358400382882218</x:v>
      </x:c>
      <x:c r="M29" s="29" t="n">
        <x:v>0</x:v>
      </x:c>
    </x:row>
    <x:row r="30" ht="15" hidden="0" customHeight="1">
      <x:c r="A30" s="27" t="n">
        <x:v>26</x:v>
      </x:c>
      <x:c r="B30" s="27" t="n">
        <x:v>330930</x:v>
      </x:c>
      <x:c r="C30" s="27" t="str">
        <x:v>A0</x:v>
      </x:c>
      <x:c r="D30" s="52" t="n">
        <x:v>1690.701526471631</x:v>
      </x:c>
      <x:c r="E30" s="46" t="n">
        <x:v>0.6762806105886524</x:v>
      </x:c>
      <x:c r="F30" s="46" t="n">
        <x:v>0.33781219711283067</x:v>
      </x:c>
      <x:c r="G30" s="46" t="n">
        <x:v>0.5845120196141823</x:v>
      </x:c>
      <x:c r="H30" s="46" t="n">
        <x:v>1</x:v>
      </x:c>
      <x:c r="I30" s="46" t="n">
        <x:v>0.8631001876334493</x:v>
      </x:c>
      <x:c r="J30" s="46" t="n">
        <x:v>0.5845120196141823</x:v>
      </x:c>
      <x:c r="K30" s="46" t="n">
        <x:v>0.9897181089986095</x:v>
      </x:c>
      <x:c r="L30" s="46" t="n">
        <x:v>0.6252129415852423</x:v>
      </x:c>
      <x:c r="M30" s="27" t="n">
        <x:v>0</x:v>
      </x:c>
    </x:row>
    <x:row r="31" ht="15" hidden="0" customHeight="1">
      <x:c r="A31" s="29" t="n">
        <x:v>27</x:v>
      </x:c>
      <x:c r="B31" s="29" t="n">
        <x:v>330931</x:v>
      </x:c>
      <x:c r="C31" s="29" t="str">
        <x:v>A0</x:v>
      </x:c>
      <x:c r="D31" s="53" t="n">
        <x:v>1686.030884769049</x:v>
      </x:c>
      <x:c r="E31" s="47" t="n">
        <x:v>0.6744123539076196</x:v>
      </x:c>
      <x:c r="F31" s="47" t="n">
        <x:v>0.33829602518636276</x:v>
      </x:c>
      <x:c r="G31" s="47" t="n">
        <x:v>0.5840296548577069</x:v>
      </x:c>
      <x:c r="H31" s="47" t="n">
        <x:v>1</x:v>
      </x:c>
      <x:c r="I31" s="47" t="n">
        <x:v>0.8598546365835</x:v>
      </x:c>
      <x:c r="J31" s="47" t="n">
        <x:v>0.5840296548577069</x:v>
      </x:c>
      <x:c r="K31" s="47" t="n">
        <x:v>0.9872492566974749</x:v>
      </x:c>
      <x:c r="L31" s="47" t="n">
        <x:v>0.6235622297415634</x:v>
      </x:c>
      <x:c r="M31" s="29" t="n">
        <x:v>0</x:v>
      </x:c>
    </x:row>
    <x:row r="32" ht="15" hidden="0" customHeight="1">
      <x:c r="A32" s="27" t="n">
        <x:v>28</x:v>
      </x:c>
      <x:c r="B32" s="27" t="n">
        <x:v>330932</x:v>
      </x:c>
      <x:c r="C32" s="27" t="str">
        <x:v>A0</x:v>
      </x:c>
      <x:c r="D32" s="52" t="n">
        <x:v>1696.3484281783665</x:v>
      </x:c>
      <x:c r="E32" s="46" t="n">
        <x:v>0.6785393712713466</x:v>
      </x:c>
      <x:c r="F32" s="46" t="n">
        <x:v>0.3671848934251521</x:v>
      </x:c>
      <x:c r="G32" s="46" t="n">
        <x:v>0.5850086937692881</x:v>
      </x:c>
      <x:c r="H32" s="46" t="n">
        <x:v>0.9938504013210895</x:v>
      </x:c>
      <x:c r="I32" s="46" t="n">
        <x:v>0.8237305623885974</x:v>
      </x:c>
      <x:c r="J32" s="46" t="n">
        <x:v>0.5850086937692881</x:v>
      </x:c>
      <x:c r="K32" s="46" t="n">
        <x:v>0.9940000079716869</x:v>
      </x:c>
      <x:c r="L32" s="46" t="n">
        <x:v>0.6339240964838135</x:v>
      </x:c>
      <x:c r="M32" s="27" t="n">
        <x:v>0</x:v>
      </x:c>
    </x:row>
    <x:row r="33" ht="15" hidden="0" customHeight="1">
      <x:c r="A33" s="29" t="n">
        <x:v>29</x:v>
      </x:c>
      <x:c r="B33" s="29" t="n">
        <x:v>330933</x:v>
      </x:c>
      <x:c r="C33" s="29" t="str">
        <x:v>A0</x:v>
      </x:c>
      <x:c r="D33" s="53" t="n">
        <x:v>1714.0305822162409</x:v>
      </x:c>
      <x:c r="E33" s="47" t="n">
        <x:v>0.6856122328864963</x:v>
      </x:c>
      <x:c r="F33" s="47" t="n">
        <x:v>0.3433886857030195</x:v>
      </x:c>
      <x:c r="G33" s="47" t="n">
        <x:v>0.5890148212735343</x:v>
      </x:c>
      <x:c r="H33" s="47" t="n">
        <x:v>1</x:v>
      </x:c>
      <x:c r="I33" s="47" t="n">
        <x:v>0.8807454158196645</x:v>
      </x:c>
      <x:c r="J33" s="47" t="n">
        <x:v>0.5890148212735343</x:v>
      </x:c>
      <x:c r="K33" s="47" t="n">
        <x:v>0.9935499845797023</x:v>
      </x:c>
      <x:c r="L33" s="47" t="n">
        <x:v>0.633732540431175</x:v>
      </x:c>
      <x:c r="M33" s="29" t="n">
        <x:v>0</x:v>
      </x:c>
    </x:row>
    <x:row r="34" ht="15" hidden="0" customHeight="1">
      <x:c r="A34" s="27" t="n">
        <x:v>30</x:v>
      </x:c>
      <x:c r="B34" s="27" t="n">
        <x:v>330934</x:v>
      </x:c>
      <x:c r="C34" s="27" t="str">
        <x:v>A0</x:v>
      </x:c>
      <x:c r="D34" s="52" t="n">
        <x:v>1654.731131215839</x:v>
      </x:c>
      <x:c r="E34" s="46" t="n">
        <x:v>0.6618924524863357</x:v>
      </x:c>
      <x:c r="F34" s="46" t="n">
        <x:v>0.3503581001724785</x:v>
      </x:c>
      <x:c r="G34" s="46" t="n">
        <x:v>0.5638415811690345</x:v>
      </x:c>
      <x:c r="H34" s="46" t="n">
        <x:v>1</x:v>
      </x:c>
      <x:c r="I34" s="46" t="n">
        <x:v>0.8377781154743565</x:v>
      </x:c>
      <x:c r="J34" s="46" t="n">
        <x:v>0.5638415811690345</x:v>
      </x:c>
      <x:c r="K34" s="46" t="n">
        <x:v>0.9950650550931308</x:v>
      </x:c>
      <x:c r="L34" s="46" t="n">
        <x:v>0.6112072644359916</x:v>
      </x:c>
      <x:c r="M34" s="27" t="n">
        <x:v>0</x:v>
      </x:c>
    </x:row>
    <x:row r="35" ht="15" hidden="0" customHeight="1">
      <x:c r="A35" s="29" t="n">
        <x:v>31</x:v>
      </x:c>
      <x:c r="B35" s="29" t="n">
        <x:v>330935</x:v>
      </x:c>
      <x:c r="C35" s="29" t="str">
        <x:v>A0</x:v>
      </x:c>
      <x:c r="D35" s="53" t="n">
        <x:v>1629.501091645221</x:v>
      </x:c>
      <x:c r="E35" s="47" t="n">
        <x:v>0.6518004366580884</x:v>
      </x:c>
      <x:c r="F35" s="47" t="n">
        <x:v>0.31109148396110653</x:v>
      </x:c>
      <x:c r="G35" s="47" t="n">
        <x:v>0.5618700801757529</x:v>
      </x:c>
      <x:c r="H35" s="47" t="n">
        <x:v>1</x:v>
      </x:c>
      <x:c r="I35" s="47" t="n">
        <x:v>0.8321212413180316</x:v>
      </x:c>
      <x:c r="J35" s="47" t="n">
        <x:v>0.5618700801757529</x:v>
      </x:c>
      <x:c r="K35" s="47" t="n">
        <x:v>0.9916919921093252</x:v>
      </x:c>
      <x:c r="L35" s="47" t="n">
        <x:v>0.5998413926471504</x:v>
      </x:c>
      <x:c r="M35" s="29" t="n">
        <x:v>0</x:v>
      </x:c>
    </x:row>
    <x:row r="36" ht="15" hidden="0" customHeight="1">
      <x:c r="A36" s="27" t="n">
        <x:v>32</x:v>
      </x:c>
      <x:c r="B36" s="27" t="n">
        <x:v>330936</x:v>
      </x:c>
      <x:c r="C36" s="27" t="str">
        <x:v>A0</x:v>
      </x:c>
      <x:c r="D36" s="52" t="n">
        <x:v>1684.02809017517</x:v>
      </x:c>
      <x:c r="E36" s="46" t="n">
        <x:v>0.673611236070068</x:v>
      </x:c>
      <x:c r="F36" s="46" t="n">
        <x:v>0.34306381942925274</x:v>
      </x:c>
      <x:c r="G36" s="46" t="n">
        <x:v>0.5753938395466408</x:v>
      </x:c>
      <x:c r="H36" s="46" t="n">
        <x:v>1</x:v>
      </x:c>
      <x:c r="I36" s="46" t="n">
        <x:v>0.8705089428815374</x:v>
      </x:c>
      <x:c r="J36" s="46" t="n">
        <x:v>0.5753938395466408</x:v>
      </x:c>
      <x:c r="K36" s="46" t="n">
        <x:v>0.9903697308943407</x:v>
      </x:c>
      <x:c r="L36" s="46" t="n">
        <x:v>0.6207951081131914</x:v>
      </x:c>
      <x:c r="M36" s="27" t="n">
        <x:v>0</x:v>
      </x:c>
    </x:row>
    <x:row r="37" ht="15" hidden="0" customHeight="1">
      <x:c r="A37" s="29" t="n">
        <x:v>33</x:v>
      </x:c>
      <x:c r="B37" s="29" t="n">
        <x:v>330937</x:v>
      </x:c>
      <x:c r="C37" s="29" t="str">
        <x:v>A0</x:v>
      </x:c>
      <x:c r="D37" s="53" t="n">
        <x:v>1681.906984366198</x:v>
      </x:c>
      <x:c r="E37" s="47" t="n">
        <x:v>0.6727627937464792</x:v>
      </x:c>
      <x:c r="F37" s="47" t="n">
        <x:v>0.3568043491335886</x:v>
      </x:c>
      <x:c r="G37" s="47" t="n">
        <x:v>0.5779863589409988</x:v>
      </x:c>
      <x:c r="H37" s="47" t="n">
        <x:v>1</x:v>
      </x:c>
      <x:c r="I37" s="47" t="n">
        <x:v>0.8624001632383641</x:v>
      </x:c>
      <x:c r="J37" s="47" t="n">
        <x:v>0.5779863589409988</x:v>
      </x:c>
      <x:c r="K37" s="47" t="n">
        <x:v>1</x:v>
      </x:c>
      <x:c r="L37" s="47" t="n">
        <x:v>0.6204058467090302</x:v>
      </x:c>
      <x:c r="M37" s="29" t="n">
        <x:v>0</x:v>
      </x:c>
    </x:row>
    <x:row r="38" ht="15" hidden="0" customHeight="1">
      <x:c r="A38" s="27" t="n">
        <x:v>34</x:v>
      </x:c>
      <x:c r="B38" s="27" t="n">
        <x:v>330938</x:v>
      </x:c>
      <x:c r="C38" s="27" t="str">
        <x:v>A0</x:v>
      </x:c>
      <x:c r="D38" s="52" t="n">
        <x:v>1650.673427481561</x:v>
      </x:c>
      <x:c r="E38" s="46" t="n">
        <x:v>0.6602693709926244</x:v>
      </x:c>
      <x:c r="F38" s="46" t="n">
        <x:v>0.3391164833720931</x:v>
      </x:c>
      <x:c r="G38" s="46" t="n">
        <x:v>0.5682226193655205</x:v>
      </x:c>
      <x:c r="H38" s="46" t="n">
        <x:v>0.9600757064925979</x:v>
      </x:c>
      <x:c r="I38" s="46" t="n">
        <x:v>0.7790803868986513</x:v>
      </x:c>
      <x:c r="J38" s="46" t="n">
        <x:v>0.5682226193655205</x:v>
      </x:c>
      <x:c r="K38" s="46" t="n">
        <x:v>0.9918308977470756</x:v>
      </x:c>
      <x:c r="L38" s="46" t="n">
        <x:v>0.6189505421938803</x:v>
      </x:c>
      <x:c r="M38" s="27" t="n">
        <x:v>0</x:v>
      </x:c>
    </x:row>
    <x:row r="39" ht="15" hidden="0" customHeight="1">
      <x:c r="A39" s="29" t="n">
        <x:v>35</x:v>
      </x:c>
      <x:c r="B39" s="29" t="n">
        <x:v>330939</x:v>
      </x:c>
      <x:c r="C39" s="29" t="str">
        <x:v>A0</x:v>
      </x:c>
      <x:c r="D39" s="53" t="n">
        <x:v>1700.028680497126</x:v>
      </x:c>
      <x:c r="E39" s="47" t="n">
        <x:v>0.6800114721988504</x:v>
      </x:c>
      <x:c r="F39" s="47" t="n">
        <x:v>0.31760464149152673</x:v>
      </x:c>
      <x:c r="G39" s="47" t="n">
        <x:v>0.5834495447764009</x:v>
      </x:c>
      <x:c r="H39" s="47" t="n">
        <x:v>1</x:v>
      </x:c>
      <x:c r="I39" s="47" t="n">
        <x:v>0.8726684052577354</x:v>
      </x:c>
      <x:c r="J39" s="47" t="n">
        <x:v>0.5834495447764009</x:v>
      </x:c>
      <x:c r="K39" s="47" t="n">
        <x:v>0.9826354681671753</x:v>
      </x:c>
      <x:c r="L39" s="47" t="n">
        <x:v>0.6287699531407591</x:v>
      </x:c>
      <x:c r="M39" s="29" t="n">
        <x:v>0</x:v>
      </x:c>
    </x:row>
    <x:row r="40" ht="15" hidden="0" customHeight="1">
      <x:c r="A40" s="27" t="n">
        <x:v>36</x:v>
      </x:c>
      <x:c r="B40" s="27" t="n">
        <x:v>330940</x:v>
      </x:c>
      <x:c r="C40" s="27" t="str">
        <x:v>A0</x:v>
      </x:c>
      <x:c r="D40" s="52" t="n">
        <x:v>1706.9975839139377</x:v>
      </x:c>
      <x:c r="E40" s="46" t="n">
        <x:v>0.682799033565575</x:v>
      </x:c>
      <x:c r="F40" s="46" t="n">
        <x:v>0.36472838941453745</x:v>
      </x:c>
      <x:c r="G40" s="46" t="n">
        <x:v>0.5876837483165944</x:v>
      </x:c>
      <x:c r="H40" s="46" t="n">
        <x:v>0.984953591009413</x:v>
      </x:c>
      <x:c r="I40" s="46" t="n">
        <x:v>0.787345600629512</x:v>
      </x:c>
      <x:c r="J40" s="46" t="n">
        <x:v>0.5876837483165944</x:v>
      </x:c>
      <x:c r="K40" s="46" t="n">
        <x:v>0.9938005019255501</x:v>
      </x:c>
      <x:c r="L40" s="46" t="n">
        <x:v>0.6449295499993112</x:v>
      </x:c>
      <x:c r="M40" s="27" t="n">
        <x:v>0</x:v>
      </x:c>
    </x:row>
    <x:row r="41" ht="15" hidden="0" customHeight="1">
      <x:c r="A41" s="29" t="n">
        <x:v>37</x:v>
      </x:c>
      <x:c r="B41" s="29" t="n">
        <x:v>330941</x:v>
      </x:c>
      <x:c r="C41" s="29" t="str">
        <x:v>A0</x:v>
      </x:c>
      <x:c r="D41" s="53" t="n">
        <x:v>1731.153663744759</x:v>
      </x:c>
      <x:c r="E41" s="47" t="n">
        <x:v>0.6924614654979035</x:v>
      </x:c>
      <x:c r="F41" s="47" t="n">
        <x:v>0.34866006643445324</x:v>
      </x:c>
      <x:c r="G41" s="47" t="n">
        <x:v>0.5964589090682163</x:v>
      </x:c>
      <x:c r="H41" s="47" t="n">
        <x:v>1</x:v>
      </x:c>
      <x:c r="I41" s="47" t="n">
        <x:v>0.8088364168195578</x:v>
      </x:c>
      <x:c r="J41" s="47" t="n">
        <x:v>0.5964589090682163</x:v>
      </x:c>
      <x:c r="K41" s="47" t="n">
        <x:v>1</x:v>
      </x:c>
      <x:c r="L41" s="47" t="n">
        <x:v>0.6529075684863737</x:v>
      </x:c>
      <x:c r="M41" s="29" t="n">
        <x:v>0</x:v>
      </x:c>
    </x:row>
    <x:row r="42" ht="15" hidden="0" customHeight="1">
      <x:c r="A42" s="27" t="n">
        <x:v>38</x:v>
      </x:c>
      <x:c r="B42" s="27" t="n">
        <x:v>330942</x:v>
      </x:c>
      <x:c r="C42" s="27" t="str">
        <x:v>A0</x:v>
      </x:c>
      <x:c r="D42" s="52" t="n">
        <x:v>1637.4874138159971</x:v>
      </x:c>
      <x:c r="E42" s="46" t="n">
        <x:v>0.6549949655263988</x:v>
      </x:c>
      <x:c r="F42" s="46" t="n">
        <x:v>0.32886151824846893</x:v>
      </x:c>
      <x:c r="G42" s="46" t="n">
        <x:v>0.5562196133521204</x:v>
      </x:c>
      <x:c r="H42" s="46" t="n">
        <x:v>0.997488407059133</x:v>
      </x:c>
      <x:c r="I42" s="46" t="n">
        <x:v>0.8026006601945875</x:v>
      </x:c>
      <x:c r="J42" s="46" t="n">
        <x:v>0.5562196133521204</x:v>
      </x:c>
      <x:c r="K42" s="46" t="n">
        <x:v>0.9797839693216523</x:v>
      </x:c>
      <x:c r="L42" s="46" t="n">
        <x:v>0.6091584521799269</x:v>
      </x:c>
      <x:c r="M42" s="27" t="n">
        <x:v>0</x:v>
      </x:c>
    </x:row>
    <x:row r="43" ht="15" hidden="0" customHeight="1">
      <x:c r="A43" s="29" t="n">
        <x:v>39</x:v>
      </x:c>
      <x:c r="B43" s="29" t="n">
        <x:v>330943</x:v>
      </x:c>
      <x:c r="C43" s="29" t="str">
        <x:v>A0</x:v>
      </x:c>
      <x:c r="D43" s="53" t="n">
        <x:v>1624.0659967598062</x:v>
      </x:c>
      <x:c r="E43" s="47" t="n">
        <x:v>0.6496263987039225</x:v>
      </x:c>
      <x:c r="F43" s="47" t="n">
        <x:v>0.3409892489363765</x:v>
      </x:c>
      <x:c r="G43" s="47" t="n">
        <x:v>0.5604492921735776</x:v>
      </x:c>
      <x:c r="H43" s="47" t="n">
        <x:v>0.9486806050849867</x:v>
      </x:c>
      <x:c r="I43" s="47" t="n">
        <x:v>0.7623870279851355</x:v>
      </x:c>
      <x:c r="J43" s="47" t="n">
        <x:v>0.5604492921735776</x:v>
      </x:c>
      <x:c r="K43" s="47" t="n">
        <x:v>0.9898318380162524</x:v>
      </x:c>
      <x:c r="L43" s="47" t="n">
        <x:v>0.60871287147271</x:v>
      </x:c>
      <x:c r="M43" s="29" t="n">
        <x:v>0</x:v>
      </x:c>
    </x:row>
    <x:row r="44" ht="15" hidden="0" customHeight="1">
      <x:c r="A44" s="27" t="n">
        <x:v>40</x:v>
      </x:c>
      <x:c r="B44" s="27" t="n">
        <x:v>330944</x:v>
      </x:c>
      <x:c r="C44" s="27" t="str">
        <x:v>A0</x:v>
      </x:c>
      <x:c r="D44" s="52" t="n">
        <x:v>1754.7694895718364</x:v>
      </x:c>
      <x:c r="E44" s="46" t="n">
        <x:v>0.7019077958287345</x:v>
      </x:c>
      <x:c r="F44" s="46" t="n">
        <x:v>0.3777575813956566</x:v>
      </x:c>
      <x:c r="G44" s="46" t="n">
        <x:v>0.6031969426869371</x:v>
      </x:c>
      <x:c r="H44" s="46" t="n">
        <x:v>1</x:v>
      </x:c>
      <x:c r="I44" s="46" t="n">
        <x:v>0.9094020557721957</x:v>
      </x:c>
      <x:c r="J44" s="46" t="n">
        <x:v>0.6031969426869371</x:v>
      </x:c>
      <x:c r="K44" s="46" t="n">
        <x:v>1</x:v>
      </x:c>
      <x:c r="L44" s="46" t="n">
        <x:v>0.6489124963294002</x:v>
      </x:c>
      <x:c r="M44" s="27" t="n">
        <x:v>0</x:v>
      </x:c>
    </x:row>
    <x:row r="45" ht="15" hidden="0" customHeight="1">
      <x:c r="A45" s="29" t="n">
        <x:v>41</x:v>
      </x:c>
      <x:c r="B45" s="29" t="n">
        <x:v>330945</x:v>
      </x:c>
      <x:c r="C45" s="29" t="str">
        <x:v>A0</x:v>
      </x:c>
      <x:c r="D45" s="53" t="n">
        <x:v>1677.1133967626333</x:v>
      </x:c>
      <x:c r="E45" s="47" t="n">
        <x:v>0.6708453587050534</x:v>
      </x:c>
      <x:c r="F45" s="47" t="n">
        <x:v>0.32903270850036953</x:v>
      </x:c>
      <x:c r="G45" s="47" t="n">
        <x:v>0.5748342599471311</x:v>
      </x:c>
      <x:c r="H45" s="47" t="n">
        <x:v>1</x:v>
      </x:c>
      <x:c r="I45" s="47" t="n">
        <x:v>0.8762690635916383</x:v>
      </x:c>
      <x:c r="J45" s="47" t="n">
        <x:v>0.5748342599471311</x:v>
      </x:c>
      <x:c r="K45" s="47" t="n">
        <x:v>0.9847759440582741</x:v>
      </x:c>
      <x:c r="L45" s="47" t="n">
        <x:v>0.6168272066630891</x:v>
      </x:c>
      <x:c r="M45" s="29" t="n">
        <x:v>0</x:v>
      </x:c>
    </x:row>
    <x:row r="46" ht="15" hidden="0" customHeight="1">
      <x:c r="A46" s="27" t="n">
        <x:v>42</x:v>
      </x:c>
      <x:c r="B46" s="27" t="n">
        <x:v>330946</x:v>
      </x:c>
      <x:c r="C46" s="27" t="str">
        <x:v>A0</x:v>
      </x:c>
      <x:c r="D46" s="52" t="n">
        <x:v>1671.8518753473759</x:v>
      </x:c>
      <x:c r="E46" s="46" t="n">
        <x:v>0.6687407501389504</x:v>
      </x:c>
      <x:c r="F46" s="46" t="n">
        <x:v>0.347592410762075</x:v>
      </x:c>
      <x:c r="G46" s="46" t="n">
        <x:v>0.5736876603230843</x:v>
      </x:c>
      <x:c r="H46" s="46" t="n">
        <x:v>1</x:v>
      </x:c>
      <x:c r="I46" s="46" t="n">
        <x:v>0.8308330065618453</x:v>
      </x:c>
      <x:c r="J46" s="46" t="n">
        <x:v>0.5736876603230843</x:v>
      </x:c>
      <x:c r="K46" s="46" t="n">
        <x:v>0.9882757003740598</x:v>
      </x:c>
      <x:c r="L46" s="46" t="n">
        <x:v>0.6210783042343534</x:v>
      </x:c>
      <x:c r="M46" s="27" t="n">
        <x:v>0</x:v>
      </x:c>
    </x:row>
    <x:row r="47" ht="15" hidden="0" customHeight="1">
      <x:c r="A47" s="29" t="n">
        <x:v>43</x:v>
      </x:c>
      <x:c r="B47" s="29" t="n">
        <x:v>330947</x:v>
      </x:c>
      <x:c r="C47" s="29" t="str">
        <x:v>A0</x:v>
      </x:c>
      <x:c r="D47" s="53" t="n">
        <x:v>1658.393469759205</x:v>
      </x:c>
      <x:c r="E47" s="47" t="n">
        <x:v>0.6633573879036819</x:v>
      </x:c>
      <x:c r="F47" s="47" t="n">
        <x:v>0.3112995925187412</x:v>
      </x:c>
      <x:c r="G47" s="47" t="n">
        <x:v>0.5697438068274516</x:v>
      </x:c>
      <x:c r="H47" s="47" t="n">
        <x:v>1</x:v>
      </x:c>
      <x:c r="I47" s="47" t="n">
        <x:v>0.84718721887131</x:v>
      </x:c>
      <x:c r="J47" s="47" t="n">
        <x:v>0.5697438068274516</x:v>
      </x:c>
      <x:c r="K47" s="47" t="n">
        <x:v>0.9814406450879916</x:v>
      </x:c>
      <x:c r="L47" s="47" t="n">
        <x:v>0.6123338237552248</x:v>
      </x:c>
      <x:c r="M47" s="29" t="n">
        <x:v>0</x:v>
      </x:c>
    </x:row>
    <x:row r="48" ht="15" hidden="0" customHeight="1">
      <x:c r="A48" s="27" t="n">
        <x:v>44</x:v>
      </x:c>
      <x:c r="B48" s="27" t="n">
        <x:v>330948</x:v>
      </x:c>
      <x:c r="C48" s="27" t="str">
        <x:v>A0</x:v>
      </x:c>
      <x:c r="D48" s="52" t="n">
        <x:v>1653.8206625000812</x:v>
      </x:c>
      <x:c r="E48" s="46" t="n">
        <x:v>0.6615282650000325</x:v>
      </x:c>
      <x:c r="F48" s="46" t="n">
        <x:v>0.3149227377382823</x:v>
      </x:c>
      <x:c r="G48" s="46" t="n">
        <x:v>0.5676850541475966</x:v>
      </x:c>
      <x:c r="H48" s="46" t="n">
        <x:v>1</x:v>
      </x:c>
      <x:c r="I48" s="46" t="n">
        <x:v>0.8439803927429822</x:v>
      </x:c>
      <x:c r="J48" s="46" t="n">
        <x:v>0.5676850541475966</x:v>
      </x:c>
      <x:c r="K48" s="46" t="n">
        <x:v>0.9773661741207902</x:v>
      </x:c>
      <x:c r="L48" s="46" t="n">
        <x:v>0.6108339933535872</x:v>
      </x:c>
      <x:c r="M48" s="27" t="n">
        <x:v>0</x:v>
      </x:c>
    </x:row>
    <x:row r="49" ht="15" hidden="0" customHeight="1">
      <x:c r="A49" s="29" t="n">
        <x:v>45</x:v>
      </x:c>
      <x:c r="B49" s="29" t="n">
        <x:v>330949</x:v>
      </x:c>
      <x:c r="C49" s="29" t="str">
        <x:v>A0</x:v>
      </x:c>
      <x:c r="D49" s="53" t="n">
        <x:v>1741.5843043424568</x:v>
      </x:c>
      <x:c r="E49" s="47" t="n">
        <x:v>0.6966337217369827</x:v>
      </x:c>
      <x:c r="F49" s="47" t="n">
        <x:v>0.3676635263881961</x:v>
      </x:c>
      <x:c r="G49" s="47" t="n">
        <x:v>0.6094256494647664</x:v>
      </x:c>
      <x:c r="H49" s="47" t="n">
        <x:v>1</x:v>
      </x:c>
      <x:c r="I49" s="47" t="n">
        <x:v>0.8421796877816667</x:v>
      </x:c>
      <x:c r="J49" s="47" t="n">
        <x:v>0.6094256494647664</x:v>
      </x:c>
      <x:c r="K49" s="47" t="n">
        <x:v>1</x:v>
      </x:c>
      <x:c r="L49" s="47" t="n">
        <x:v>0.6527878165573996</x:v>
      </x:c>
      <x:c r="M49" s="29" t="n">
        <x:v>0</x:v>
      </x:c>
    </x:row>
    <x:row r="50" ht="15" hidden="0" customHeight="1">
      <x:c r="A50" s="27" t="n">
        <x:v>46</x:v>
      </x:c>
      <x:c r="B50" s="27" t="n">
        <x:v>330950</x:v>
      </x:c>
      <x:c r="C50" s="27" t="str">
        <x:v>A0</x:v>
      </x:c>
      <x:c r="D50" s="52" t="n">
        <x:v>1675.2665073340431</x:v>
      </x:c>
      <x:c r="E50" s="46" t="n">
        <x:v>0.6701066029336172</x:v>
      </x:c>
      <x:c r="F50" s="46" t="n">
        <x:v>0.3184007192509221</x:v>
      </x:c>
      <x:c r="G50" s="46" t="n">
        <x:v>0.5818249606898198</x:v>
      </x:c>
      <x:c r="H50" s="46" t="n">
        <x:v>1</x:v>
      </x:c>
      <x:c r="I50" s="46" t="n">
        <x:v>0.8559973238219067</x:v>
      </x:c>
      <x:c r="J50" s="46" t="n">
        <x:v>0.5818249606898198</x:v>
      </x:c>
      <x:c r="K50" s="46" t="n">
        <x:v>0.9803309024952965</x:v>
      </x:c>
      <x:c r="L50" s="46" t="n">
        <x:v>0.6192777648513413</x:v>
      </x:c>
      <x:c r="M50" s="27" t="n">
        <x:v>0</x:v>
      </x:c>
    </x:row>
    <x:row r="51" ht="15" hidden="0" customHeight="1">
      <x:c r="A51" s="29" t="n">
        <x:v>47</x:v>
      </x:c>
      <x:c r="B51" s="29" t="n">
        <x:v>330951</x:v>
      </x:c>
      <x:c r="C51" s="29" t="str">
        <x:v>A0</x:v>
      </x:c>
      <x:c r="D51" s="53" t="n">
        <x:v>1625.6246413230012</x:v>
      </x:c>
      <x:c r="E51" s="47" t="n">
        <x:v>0.6502498565292005</x:v>
      </x:c>
      <x:c r="F51" s="47" t="n">
        <x:v>0.31925668243679206</x:v>
      </x:c>
      <x:c r="G51" s="47" t="n">
        <x:v>0.5578961202748236</x:v>
      </x:c>
      <x:c r="H51" s="47" t="n">
        <x:v>0.9915753134792374</x:v>
      </x:c>
      <x:c r="I51" s="47" t="n">
        <x:v>0.7825135573734002</x:v>
      </x:c>
      <x:c r="J51" s="47" t="n">
        <x:v>0.5578961202748236</x:v>
      </x:c>
      <x:c r="K51" s="47" t="n">
        <x:v>0.9943186232524762</x:v>
      </x:c>
      <x:c r="L51" s="47" t="n">
        <x:v>0.6055978224932774</x:v>
      </x:c>
      <x:c r="M51" s="29" t="n">
        <x:v>0</x:v>
      </x:c>
    </x:row>
    <x:row r="52" ht="15" hidden="0" customHeight="1">
      <x:c r="A52" s="27" t="n">
        <x:v>48</x:v>
      </x:c>
      <x:c r="B52" s="27" t="n">
        <x:v>330952</x:v>
      </x:c>
      <x:c r="C52" s="27" t="str">
        <x:v>A0</x:v>
      </x:c>
      <x:c r="D52" s="52" t="n">
        <x:v>1692.2087105646428</x:v>
      </x:c>
      <x:c r="E52" s="46" t="n">
        <x:v>0.6768834842258571</x:v>
      </x:c>
      <x:c r="F52" s="46" t="n">
        <x:v>0.3468201975927807</x:v>
      </x:c>
      <x:c r="G52" s="46" t="n">
        <x:v>0.583651350148268</x:v>
      </x:c>
      <x:c r="H52" s="46" t="n">
        <x:v>1</x:v>
      </x:c>
      <x:c r="I52" s="46" t="n">
        <x:v>0.8765591103153848</x:v>
      </x:c>
      <x:c r="J52" s="46" t="n">
        <x:v>0.583651350148268</x:v>
      </x:c>
      <x:c r="K52" s="46" t="n">
        <x:v>0.9940322594844575</x:v>
      </x:c>
      <x:c r="L52" s="46" t="n">
        <x:v>0.6236144427912015</x:v>
      </x:c>
      <x:c r="M52" s="27" t="n">
        <x:v>0</x:v>
      </x:c>
    </x:row>
    <x:row r="53" ht="15" hidden="0" customHeight="1">
      <x:c r="A53" s="29" t="n">
        <x:v>49</x:v>
      </x:c>
      <x:c r="B53" s="29" t="n">
        <x:v>330953</x:v>
      </x:c>
      <x:c r="C53" s="29" t="str">
        <x:v>A0</x:v>
      </x:c>
      <x:c r="D53" s="53" t="n">
        <x:v>1704.1844199863262</x:v>
      </x:c>
      <x:c r="E53" s="47" t="n">
        <x:v>0.6816737679945305</x:v>
      </x:c>
      <x:c r="F53" s="47" t="n">
        <x:v>0.33636979878072154</x:v>
      </x:c>
      <x:c r="G53" s="47" t="n">
        <x:v>0.5855181667557181</x:v>
      </x:c>
      <x:c r="H53" s="47" t="n">
        <x:v>1</x:v>
      </x:c>
      <x:c r="I53" s="47" t="n">
        <x:v>0.8233977080753246</x:v>
      </x:c>
      <x:c r="J53" s="47" t="n">
        <x:v>0.5855181667557181</x:v>
      </x:c>
      <x:c r="K53" s="47" t="n">
        <x:v>0.9992014986921024</x:v>
      </x:c>
      <x:c r="L53" s="47" t="n">
        <x:v>0.6374556822005982</x:v>
      </x:c>
      <x:c r="M53" s="29" t="n">
        <x:v>0</x:v>
      </x:c>
    </x:row>
    <x:row r="54" ht="15" hidden="0" customHeight="1">
      <x:c r="A54" s="27" t="n">
        <x:v>50</x:v>
      </x:c>
      <x:c r="B54" s="27" t="n">
        <x:v>330954</x:v>
      </x:c>
      <x:c r="C54" s="27" t="str">
        <x:v>A0</x:v>
      </x:c>
      <x:c r="D54" s="52" t="n">
        <x:v>1599.8740412759862</x:v>
      </x:c>
      <x:c r="E54" s="46" t="n">
        <x:v>0.6399496165103945</x:v>
      </x:c>
      <x:c r="F54" s="46" t="n">
        <x:v>0.32885593493582177</x:v>
      </x:c>
      <x:c r="G54" s="46" t="n">
        <x:v>0.5489856982483377</x:v>
      </x:c>
      <x:c r="H54" s="46" t="n">
        <x:v>0.9851853872270613</x:v>
      </x:c>
      <x:c r="I54" s="46" t="n">
        <x:v>0.7681567118154147</x:v>
      </x:c>
      <x:c r="J54" s="46" t="n">
        <x:v>0.5489856982483377</x:v>
      </x:c>
      <x:c r="K54" s="46" t="n">
        <x:v>0.9972603044943408</x:v>
      </x:c>
      <x:c r="L54" s="46" t="n">
        <x:v>0.5950716753617321</x:v>
      </x:c>
      <x:c r="M54" s="27" t="n">
        <x:v>0</x:v>
      </x:c>
    </x:row>
    <x:row r="55" ht="15" hidden="0" customHeight="1">
      <x:c r="A55" s="29" t="n">
        <x:v>51</x:v>
      </x:c>
      <x:c r="B55" s="29" t="n">
        <x:v>330955</x:v>
      </x:c>
      <x:c r="C55" s="29" t="str">
        <x:v>A0</x:v>
      </x:c>
      <x:c r="D55" s="53" t="n">
        <x:v>1693.4202023101907</x:v>
      </x:c>
      <x:c r="E55" s="47" t="n">
        <x:v>0.6773680809240763</x:v>
      </x:c>
      <x:c r="F55" s="47" t="n">
        <x:v>0.34558271125917955</x:v>
      </x:c>
      <x:c r="G55" s="47" t="n">
        <x:v>0.5799756725919781</x:v>
      </x:c>
      <x:c r="H55" s="47" t="n">
        <x:v>1</x:v>
      </x:c>
      <x:c r="I55" s="47" t="n">
        <x:v>0.8257670644019797</x:v>
      </x:c>
      <x:c r="J55" s="47" t="n">
        <x:v>0.5799756725919781</x:v>
      </x:c>
      <x:c r="K55" s="47" t="n">
        <x:v>0.9908813229907569</x:v>
      </x:c>
      <x:c r="L55" s="47" t="n">
        <x:v>0.6323141504237487</x:v>
      </x:c>
      <x:c r="M55" s="29" t="n">
        <x:v>0</x:v>
      </x:c>
    </x:row>
    <x:row r="56" ht="15" hidden="0" customHeight="1">
      <x:c r="A56" s="27" t="n">
        <x:v>52</x:v>
      </x:c>
      <x:c r="B56" s="27" t="n">
        <x:v>330956</x:v>
      </x:c>
      <x:c r="C56" s="27" t="str">
        <x:v>A0</x:v>
      </x:c>
      <x:c r="D56" s="52" t="n">
        <x:v>1652.8530139328404</x:v>
      </x:c>
      <x:c r="E56" s="46" t="n">
        <x:v>0.6611412055731362</x:v>
      </x:c>
      <x:c r="F56" s="46" t="n">
        <x:v>0.34876890471647404</x:v>
      </x:c>
      <x:c r="G56" s="46" t="n">
        <x:v>0.5655782770445924</x:v>
      </x:c>
      <x:c r="H56" s="46" t="n">
        <x:v>0.9926290187432093</x:v>
      </x:c>
      <x:c r="I56" s="46" t="n">
        <x:v>0.8209231025714556</x:v>
      </x:c>
      <x:c r="J56" s="46" t="n">
        <x:v>0.5655782770445924</x:v>
      </x:c>
      <x:c r="K56" s="46" t="n">
        <x:v>0.9918188976345643</x:v>
      </x:c>
      <x:c r="L56" s="46" t="n">
        <x:v>0.6131662486019107</x:v>
      </x:c>
      <x:c r="M56" s="27" t="n">
        <x:v>0</x:v>
      </x:c>
    </x:row>
    <x:row r="57" ht="15" hidden="0" customHeight="1">
      <x:c r="A57" s="29" t="n">
        <x:v>53</x:v>
      </x:c>
      <x:c r="B57" s="29" t="n">
        <x:v>330957</x:v>
      </x:c>
      <x:c r="C57" s="29" t="str">
        <x:v>A0</x:v>
      </x:c>
      <x:c r="D57" s="53" t="n">
        <x:v>1665.409090866474</x:v>
      </x:c>
      <x:c r="E57" s="47" t="n">
        <x:v>0.6661636363465896</x:v>
      </x:c>
      <x:c r="F57" s="47" t="n">
        <x:v>0.30657289796210385</x:v>
      </x:c>
      <x:c r="G57" s="47" t="n">
        <x:v>0.5710543460056124</x:v>
      </x:c>
      <x:c r="H57" s="47" t="n">
        <x:v>1</x:v>
      </x:c>
      <x:c r="I57" s="47" t="n">
        <x:v>0.8390517868253107</x:v>
      </x:c>
      <x:c r="J57" s="47" t="n">
        <x:v>0.5710543460056124</x:v>
      </x:c>
      <x:c r="K57" s="47" t="n">
        <x:v>0.9757559256287985</x:v>
      </x:c>
      <x:c r="L57" s="47" t="n">
        <x:v>0.617395082686643</x:v>
      </x:c>
      <x:c r="M57" s="29" t="n">
        <x:v>0</x:v>
      </x:c>
    </x:row>
    <x:row r="58" ht="15" hidden="0" customHeight="1">
      <x:c r="A58" s="27" t="n">
        <x:v>54</x:v>
      </x:c>
      <x:c r="B58" s="27" t="n">
        <x:v>330958</x:v>
      </x:c>
      <x:c r="C58" s="27" t="str">
        <x:v>A0</x:v>
      </x:c>
      <x:c r="D58" s="52" t="n">
        <x:v>1702.4452120335561</x:v>
      </x:c>
      <x:c r="E58" s="46" t="n">
        <x:v>0.6809780848134225</x:v>
      </x:c>
      <x:c r="F58" s="46" t="n">
        <x:v>0.34681106307007065</x:v>
      </x:c>
      <x:c r="G58" s="46" t="n">
        <x:v>0.5912514120401764</x:v>
      </x:c>
      <x:c r="H58" s="46" t="n">
        <x:v>1</x:v>
      </x:c>
      <x:c r="I58" s="46" t="n">
        <x:v>0.8351836867075406</x:v>
      </x:c>
      <x:c r="J58" s="46" t="n">
        <x:v>0.5912514120401764</x:v>
      </x:c>
      <x:c r="K58" s="46" t="n">
        <x:v>1</x:v>
      </x:c>
      <x:c r="L58" s="46" t="n">
        <x:v>0.6346764565715686</x:v>
      </x:c>
      <x:c r="M58" s="27" t="n">
        <x:v>0</x:v>
      </x:c>
    </x:row>
    <x:row r="59" ht="15" hidden="0" customHeight="1">
      <x:c r="A59" s="29" t="n">
        <x:v>55</x:v>
      </x:c>
      <x:c r="B59" s="29" t="n">
        <x:v>330959</x:v>
      </x:c>
      <x:c r="C59" s="29" t="str">
        <x:v>A0</x:v>
      </x:c>
      <x:c r="D59" s="53" t="n">
        <x:v>1677.476628473416</x:v>
      </x:c>
      <x:c r="E59" s="47" t="n">
        <x:v>0.6709906513893664</x:v>
      </x:c>
      <x:c r="F59" s="47" t="n">
        <x:v>0.3439798446696952</x:v>
      </x:c>
      <x:c r="G59" s="47" t="n">
        <x:v>0.5727892118814499</x:v>
      </x:c>
      <x:c r="H59" s="47" t="n">
        <x:v>1</x:v>
      </x:c>
      <x:c r="I59" s="47" t="n">
        <x:v>0.8179318542852894</x:v>
      </x:c>
      <x:c r="J59" s="47" t="n">
        <x:v>0.5727892118814499</x:v>
      </x:c>
      <x:c r="K59" s="47" t="n">
        <x:v>0.9998286596683896</x:v>
      </x:c>
      <x:c r="L59" s="47" t="n">
        <x:v>0.6251688199236832</x:v>
      </x:c>
      <x:c r="M59" s="29" t="n">
        <x:v>0</x:v>
      </x:c>
    </x:row>
    <x:row r="60" ht="15" hidden="0" customHeight="1">
      <x:c r="A60" s="27" t="n">
        <x:v>56</x:v>
      </x:c>
      <x:c r="B60" s="27" t="n">
        <x:v>330960</x:v>
      </x:c>
      <x:c r="C60" s="27" t="str">
        <x:v>A0</x:v>
      </x:c>
      <x:c r="D60" s="52" t="n">
        <x:v>1672.558218576285</x:v>
      </x:c>
      <x:c r="E60" s="46" t="n">
        <x:v>0.669023287430514</x:v>
      </x:c>
      <x:c r="F60" s="46" t="n">
        <x:v>0.3594825596332361</x:v>
      </x:c>
      <x:c r="G60" s="46" t="n">
        <x:v>0.574116830022315</x:v>
      </x:c>
      <x:c r="H60" s="46" t="n">
        <x:v>1</x:v>
      </x:c>
      <x:c r="I60" s="46" t="n">
        <x:v>0.852533733793174</x:v>
      </x:c>
      <x:c r="J60" s="46" t="n">
        <x:v>0.574116830022315</x:v>
      </x:c>
      <x:c r="K60" s="46" t="n">
        <x:v>0.9979123711127795</x:v>
      </x:c>
      <x:c r="L60" s="46" t="n">
        <x:v>0.6174742840838428</x:v>
      </x:c>
      <x:c r="M60" s="27" t="n">
        <x:v>0</x:v>
      </x:c>
    </x:row>
    <x:row r="61" ht="15" hidden="0" customHeight="1">
      <x:c r="A61" s="29" t="n">
        <x:v>57</x:v>
      </x:c>
      <x:c r="B61" s="29" t="n">
        <x:v>330961</x:v>
      </x:c>
      <x:c r="C61" s="29" t="str">
        <x:v>A0</x:v>
      </x:c>
      <x:c r="D61" s="53" t="n">
        <x:v>1693.7899040150085</x:v>
      </x:c>
      <x:c r="E61" s="47" t="n">
        <x:v>0.6775159616060034</x:v>
      </x:c>
      <x:c r="F61" s="47" t="n">
        <x:v>0.3691997592605411</x:v>
      </x:c>
      <x:c r="G61" s="47" t="n">
        <x:v>0.5882359140406606</x:v>
      </x:c>
      <x:c r="H61" s="47" t="n">
        <x:v>1</x:v>
      </x:c>
      <x:c r="I61" s="47" t="n">
        <x:v>0.845724912297769</x:v>
      </x:c>
      <x:c r="J61" s="47" t="n">
        <x:v>0.5882359140406606</x:v>
      </x:c>
      <x:c r="K61" s="47" t="n">
        <x:v>0.999410594393648</x:v>
      </x:c>
      <x:c r="L61" s="47" t="n">
        <x:v>0.6288230244550211</x:v>
      </x:c>
      <x:c r="M61" s="29" t="n">
        <x:v>0</x:v>
      </x:c>
    </x:row>
    <x:row r="62" ht="15" hidden="0" customHeight="1">
      <x:c r="A62" s="27" t="n">
        <x:v>58</x:v>
      </x:c>
      <x:c r="B62" s="27" t="n">
        <x:v>330962</x:v>
      </x:c>
      <x:c r="C62" s="27" t="str">
        <x:v>A0</x:v>
      </x:c>
      <x:c r="D62" s="52" t="n">
        <x:v>1678.636466317952</x:v>
      </x:c>
      <x:c r="E62" s="46" t="n">
        <x:v>0.6714545865271808</x:v>
      </x:c>
      <x:c r="F62" s="46" t="n">
        <x:v>0.3517076961413565</x:v>
      </x:c>
      <x:c r="G62" s="46" t="n">
        <x:v>0.5806260376609558</x:v>
      </x:c>
      <x:c r="H62" s="46" t="n">
        <x:v>0.9957876192132614</x:v>
      </x:c>
      <x:c r="I62" s="46" t="n">
        <x:v>0.7892150228522044</x:v>
      </x:c>
      <x:c r="J62" s="46" t="n">
        <x:v>0.5806260376609558</x:v>
      </x:c>
      <x:c r="K62" s="46" t="n">
        <x:v>1</x:v>
      </x:c>
      <x:c r="L62" s="46" t="n">
        <x:v>0.6301805877290914</x:v>
      </x:c>
      <x:c r="M62" s="27" t="n">
        <x:v>0</x:v>
      </x:c>
    </x:row>
    <x:row r="63" ht="15" hidden="0" customHeight="1">
      <x:c r="A63" s="29" t="n">
        <x:v>59</x:v>
      </x:c>
      <x:c r="B63" s="29" t="n">
        <x:v>330963</x:v>
      </x:c>
      <x:c r="C63" s="29" t="str">
        <x:v>A0</x:v>
      </x:c>
      <x:c r="D63" s="53" t="n">
        <x:v>1655.9072924634706</x:v>
      </x:c>
      <x:c r="E63" s="47" t="n">
        <x:v>0.6623629169853883</x:v>
      </x:c>
      <x:c r="F63" s="47" t="n">
        <x:v>0.3356388026195325</x:v>
      </x:c>
      <x:c r="G63" s="47" t="n">
        <x:v>0.5707132423722189</x:v>
      </x:c>
      <x:c r="H63" s="47" t="n">
        <x:v>0.9835922373830089</x:v>
      </x:c>
      <x:c r="I63" s="47" t="n">
        <x:v>0.7884643673559942</x:v>
      </x:c>
      <x:c r="J63" s="47" t="n">
        <x:v>0.5707132423722189</x:v>
      </x:c>
      <x:c r="K63" s="47" t="n">
        <x:v>0.9873264146466599</x:v>
      </x:c>
      <x:c r="L63" s="47" t="n">
        <x:v>0.6200532525035772</x:v>
      </x:c>
      <x:c r="M63" s="29" t="n">
        <x:v>0</x:v>
      </x:c>
    </x:row>
    <x:row r="64" ht="15" hidden="0" customHeight="1">
      <x:c r="A64" s="27" t="n">
        <x:v>60</x:v>
      </x:c>
      <x:c r="B64" s="27" t="n">
        <x:v>330964</x:v>
      </x:c>
      <x:c r="C64" s="27" t="str">
        <x:v>A0</x:v>
      </x:c>
      <x:c r="D64" s="52" t="n">
        <x:v>1677.5517742322734</x:v>
      </x:c>
      <x:c r="E64" s="46" t="n">
        <x:v>0.6710207096929094</x:v>
      </x:c>
      <x:c r="F64" s="46" t="n">
        <x:v>0.3458367294400066</x:v>
      </x:c>
      <x:c r="G64" s="46" t="n">
        <x:v>0.5726303702973573</x:v>
      </x:c>
      <x:c r="H64" s="46" t="n">
        <x:v>1</x:v>
      </x:c>
      <x:c r="I64" s="46" t="n">
        <x:v>0.8537034239014787</x:v>
      </x:c>
      <x:c r="J64" s="46" t="n">
        <x:v>0.5726303702973573</x:v>
      </x:c>
      <x:c r="K64" s="46" t="n">
        <x:v>0.994844046477764</x:v>
      </x:c>
      <x:c r="L64" s="46" t="n">
        <x:v>0.6199553677924065</x:v>
      </x:c>
      <x:c r="M64" s="27" t="n">
        <x:v>0</x:v>
      </x:c>
    </x:row>
    <x:row r="65" ht="15" hidden="0" customHeight="1">
      <x:c r="A65" s="29" t="n">
        <x:v>61</x:v>
      </x:c>
      <x:c r="B65" s="29" t="n">
        <x:v>330965</x:v>
      </x:c>
      <x:c r="C65" s="29" t="str">
        <x:v>A0</x:v>
      </x:c>
      <x:c r="D65" s="53" t="n">
        <x:v>1594.1979611468703</x:v>
      </x:c>
      <x:c r="E65" s="47" t="n">
        <x:v>0.6376791844587482</x:v>
      </x:c>
      <x:c r="F65" s="47" t="n">
        <x:v>0.2996683200132756</x:v>
      </x:c>
      <x:c r="G65" s="47" t="n">
        <x:v>0.5476024978403743</x:v>
      </x:c>
      <x:c r="H65" s="47" t="n">
        <x:v>0.9286460153783648</x:v>
      </x:c>
      <x:c r="I65" s="47" t="n">
        <x:v>0.7289941775316511</x:v>
      </x:c>
      <x:c r="J65" s="47" t="n">
        <x:v>0.5476024978403743</x:v>
      </x:c>
      <x:c r="K65" s="47" t="n">
        <x:v>0.9656621447393893</x:v>
      </x:c>
      <x:c r="L65" s="47" t="n">
        <x:v>0.6009344576631077</x:v>
      </x:c>
      <x:c r="M65" s="29" t="n">
        <x:v>0</x:v>
      </x:c>
    </x:row>
    <x:row r="66" ht="15" hidden="0" customHeight="1">
      <x:c r="A66" s="27" t="n">
        <x:v>62</x:v>
      </x:c>
      <x:c r="B66" s="27" t="n">
        <x:v>330966</x:v>
      </x:c>
      <x:c r="C66" s="27" t="str">
        <x:v>A0</x:v>
      </x:c>
      <x:c r="D66" s="52" t="n">
        <x:v>1687.3467372222685</x:v>
      </x:c>
      <x:c r="E66" s="46" t="n">
        <x:v>0.6749386948889075</x:v>
      </x:c>
      <x:c r="F66" s="46" t="n">
        <x:v>0.3482998784061781</x:v>
      </x:c>
      <x:c r="G66" s="46" t="n">
        <x:v>0.5805539997144834</x:v>
      </x:c>
      <x:c r="H66" s="46" t="n">
        <x:v>1</x:v>
      </x:c>
      <x:c r="I66" s="46" t="n">
        <x:v>0.8370086144095111</x:v>
      </x:c>
      <x:c r="J66" s="46" t="n">
        <x:v>0.5805539997144834</x:v>
      </x:c>
      <x:c r="K66" s="46" t="n">
        <x:v>0.9956950482971603</x:v>
      </x:c>
      <x:c r="L66" s="46" t="n">
        <x:v>0.6272746421229248</x:v>
      </x:c>
      <x:c r="M66" s="27" t="n">
        <x:v>0</x:v>
      </x:c>
    </x:row>
    <x:row r="67" ht="15" hidden="0" customHeight="1">
      <x:c r="A67" s="29" t="n">
        <x:v>63</x:v>
      </x:c>
      <x:c r="B67" s="29" t="n">
        <x:v>330967</x:v>
      </x:c>
      <x:c r="C67" s="29" t="str">
        <x:v>A0</x:v>
      </x:c>
      <x:c r="D67" s="53" t="n">
        <x:v>1634.5607294924525</x:v>
      </x:c>
      <x:c r="E67" s="47" t="n">
        <x:v>0.653824291796981</x:v>
      </x:c>
      <x:c r="F67" s="47" t="n">
        <x:v>0.3083261082253713</x:v>
      </x:c>
      <x:c r="G67" s="47" t="n">
        <x:v>0.561190750906091</x:v>
      </x:c>
      <x:c r="H67" s="47" t="n">
        <x:v>1</x:v>
      </x:c>
      <x:c r="I67" s="47" t="n">
        <x:v>0.7909669037444137</x:v>
      </x:c>
      <x:c r="J67" s="47" t="n">
        <x:v>0.561190750906091</x:v>
      </x:c>
      <x:c r="K67" s="47" t="n">
        <x:v>0.9754893856049383</x:v>
      </x:c>
      <x:c r="L67" s="47" t="n">
        <x:v>0.6097109832663948</x:v>
      </x:c>
      <x:c r="M67" s="29" t="n">
        <x:v>0</x:v>
      </x:c>
    </x:row>
    <x:row r="68" ht="15" hidden="0" customHeight="1">
      <x:c r="A68" s="27" t="n">
        <x:v>64</x:v>
      </x:c>
      <x:c r="B68" s="27" t="n">
        <x:v>330968</x:v>
      </x:c>
      <x:c r="C68" s="27" t="str">
        <x:v>A0</x:v>
      </x:c>
      <x:c r="D68" s="52" t="n">
        <x:v>1685.5332985939015</x:v>
      </x:c>
      <x:c r="E68" s="46" t="n">
        <x:v>0.6742133194375606</x:v>
      </x:c>
      <x:c r="F68" s="46" t="n">
        <x:v>0.3715401328794647</x:v>
      </x:c>
      <x:c r="G68" s="46" t="n">
        <x:v>0.5714505708991081</x:v>
      </x:c>
      <x:c r="H68" s="46" t="n">
        <x:v>0.9683366249081674</x:v>
      </x:c>
      <x:c r="I68" s="46" t="n">
        <x:v>0.7652031113794261</x:v>
      </x:c>
      <x:c r="J68" s="46" t="n">
        <x:v>0.5714505708991081</x:v>
      </x:c>
      <x:c r="K68" s="46" t="n">
        <x:v>0.9979751238268528</x:v>
      </x:c>
      <x:c r="L68" s="46" t="n">
        <x:v>0.6378304646159448</x:v>
      </x:c>
      <x:c r="M68" s="27" t="n">
        <x:v>0</x:v>
      </x:c>
    </x:row>
    <x:row r="69" ht="15" hidden="0" customHeight="1">
      <x:c r="A69" s="29" t="n">
        <x:v>65</x:v>
      </x:c>
      <x:c r="B69" s="29" t="n">
        <x:v>330969</x:v>
      </x:c>
      <x:c r="C69" s="29" t="str">
        <x:v>A0</x:v>
      </x:c>
      <x:c r="D69" s="53" t="n">
        <x:v>1709.2043507053934</x:v>
      </x:c>
      <x:c r="E69" s="47" t="n">
        <x:v>0.6836817402821573</x:v>
      </x:c>
      <x:c r="F69" s="47" t="n">
        <x:v>0.350318948742493</x:v>
      </x:c>
      <x:c r="G69" s="47" t="n">
        <x:v>0.5901431208467617</x:v>
      </x:c>
      <x:c r="H69" s="47" t="n">
        <x:v>1</x:v>
      </x:c>
      <x:c r="I69" s="47" t="n">
        <x:v>0.8757172278094839</x:v>
      </x:c>
      <x:c r="J69" s="47" t="n">
        <x:v>0.5901431208467617</x:v>
      </x:c>
      <x:c r="K69" s="47" t="n">
        <x:v>0.994108920107261</x:v>
      </x:c>
      <x:c r="L69" s="47" t="n">
        <x:v>0.6320870606505276</x:v>
      </x:c>
      <x:c r="M69" s="29" t="n">
        <x:v>0</x:v>
      </x:c>
    </x:row>
    <x:row r="70" ht="15" hidden="0" customHeight="1">
      <x:c r="A70" s="27" t="n">
        <x:v>66</x:v>
      </x:c>
      <x:c r="B70" s="27" t="n">
        <x:v>330970</x:v>
      </x:c>
      <x:c r="C70" s="27" t="str">
        <x:v>A0</x:v>
      </x:c>
      <x:c r="D70" s="52" t="n">
        <x:v>1693.2422601276478</x:v>
      </x:c>
      <x:c r="E70" s="46" t="n">
        <x:v>0.6772969040510591</x:v>
      </x:c>
      <x:c r="F70" s="46" t="n">
        <x:v>0.37938794949491084</x:v>
      </x:c>
      <x:c r="G70" s="46" t="n">
        <x:v>0.5816325260301705</x:v>
      </x:c>
      <x:c r="H70" s="46" t="n">
        <x:v>1</x:v>
      </x:c>
      <x:c r="I70" s="46" t="n">
        <x:v>0.8290865923450862</x:v>
      </x:c>
      <x:c r="J70" s="46" t="n">
        <x:v>0.5816325260301705</x:v>
      </x:c>
      <x:c r="K70" s="46" t="n">
        <x:v>1</x:v>
      </x:c>
      <x:c r="L70" s="46" t="n">
        <x:v>0.6311486031336961</x:v>
      </x:c>
      <x:c r="M70" s="27" t="n">
        <x:v>0</x:v>
      </x:c>
    </x:row>
    <x:row r="71" ht="15" hidden="0" customHeight="1">
      <x:c r="A71" s="29" t="n">
        <x:v>67</x:v>
      </x:c>
      <x:c r="B71" s="29" t="n">
        <x:v>330971</x:v>
      </x:c>
      <x:c r="C71" s="29" t="str">
        <x:v>A0</x:v>
      </x:c>
      <x:c r="D71" s="53" t="n">
        <x:v>1697.0528251279673</x:v>
      </x:c>
      <x:c r="E71" s="47" t="n">
        <x:v>0.6788211300511869</x:v>
      </x:c>
      <x:c r="F71" s="47" t="n">
        <x:v>0.3321157946948646</x:v>
      </x:c>
      <x:c r="G71" s="47" t="n">
        <x:v>0.58248606537215</x:v>
      </x:c>
      <x:c r="H71" s="47" t="n">
        <x:v>1</x:v>
      </x:c>
      <x:c r="I71" s="47" t="n">
        <x:v>0.8694299844686805</x:v>
      </x:c>
      <x:c r="J71" s="47" t="n">
        <x:v>0.58248606537215</x:v>
      </x:c>
      <x:c r="K71" s="47" t="n">
        <x:v>0.987574053919963</x:v>
      </x:c>
      <x:c r="L71" s="47" t="n">
        <x:v>0.6275119642543376</x:v>
      </x:c>
      <x:c r="M71" s="29" t="n">
        <x:v>0</x:v>
      </x:c>
    </x:row>
    <x:row r="72" ht="15" hidden="0" customHeight="1">
      <x:c r="A72" s="27" t="n">
        <x:v>68</x:v>
      </x:c>
      <x:c r="B72" s="27" t="n">
        <x:v>330972</x:v>
      </x:c>
      <x:c r="C72" s="27" t="str">
        <x:v>A0</x:v>
      </x:c>
      <x:c r="D72" s="52" t="n">
        <x:v>1696.4671476024923</x:v>
      </x:c>
      <x:c r="E72" s="46" t="n">
        <x:v>0.6785868590409969</x:v>
      </x:c>
      <x:c r="F72" s="46" t="n">
        <x:v>0.33232060579460265</x:v>
      </x:c>
      <x:c r="G72" s="46" t="n">
        <x:v>0.5802790948091738</x:v>
      </x:c>
      <x:c r="H72" s="46" t="n">
        <x:v>1</x:v>
      </x:c>
      <x:c r="I72" s="46" t="n">
        <x:v>0.8523303766924232</x:v>
      </x:c>
      <x:c r="J72" s="46" t="n">
        <x:v>0.5802790948091738</x:v>
      </x:c>
      <x:c r="K72" s="46" t="n">
        <x:v>0.9872654528866126</x:v>
      </x:c>
      <x:c r="L72" s="46" t="n">
        <x:v>0.6299118792939667</x:v>
      </x:c>
      <x:c r="M72" s="27" t="n">
        <x:v>0</x:v>
      </x:c>
    </x:row>
    <x:row r="73" ht="15" hidden="0" customHeight="1">
      <x:c r="A73" s="29" t="n">
        <x:v>69</x:v>
      </x:c>
      <x:c r="B73" s="29" t="n">
        <x:v>330973</x:v>
      </x:c>
      <x:c r="C73" s="29" t="str">
        <x:v>A0</x:v>
      </x:c>
      <x:c r="D73" s="53" t="n">
        <x:v>1706.8698367972534</x:v>
      </x:c>
      <x:c r="E73" s="47" t="n">
        <x:v>0.6827479347189014</x:v>
      </x:c>
      <x:c r="F73" s="47" t="n">
        <x:v>0.33405338055159206</x:v>
      </x:c>
      <x:c r="G73" s="47" t="n">
        <x:v>0.5938655045021568</x:v>
      </x:c>
      <x:c r="H73" s="47" t="n">
        <x:v>1</x:v>
      </x:c>
      <x:c r="I73" s="47" t="n">
        <x:v>0.8705250079679345</x:v>
      </x:c>
      <x:c r="J73" s="47" t="n">
        <x:v>0.5938655045021568</x:v>
      </x:c>
      <x:c r="K73" s="47" t="n">
        <x:v>0.9943214948654708</x:v>
      </x:c>
      <x:c r="L73" s="47" t="n">
        <x:v>0.6316994225910983</x:v>
      </x:c>
      <x:c r="M73" s="29" t="n">
        <x:v>0</x:v>
      </x:c>
    </x:row>
    <x:row r="74" ht="15" hidden="0" customHeight="1">
      <x:c r="A74" s="27" t="n">
        <x:v>70</x:v>
      </x:c>
      <x:c r="B74" s="27" t="n">
        <x:v>330974</x:v>
      </x:c>
      <x:c r="C74" s="27" t="str">
        <x:v>A0</x:v>
      </x:c>
      <x:c r="D74" s="52" t="n">
        <x:v>1624.6208994698466</x:v>
      </x:c>
      <x:c r="E74" s="46" t="n">
        <x:v>0.6498483597879386</x:v>
      </x:c>
      <x:c r="F74" s="46" t="n">
        <x:v>0.34244828859472637</x:v>
      </x:c>
      <x:c r="G74" s="46" t="n">
        <x:v>0.551604321251664</x:v>
      </x:c>
      <x:c r="H74" s="46" t="n">
        <x:v>0.9424983466828345</x:v>
      </x:c>
      <x:c r="I74" s="46" t="n">
        <x:v>0.7742524785629494</x:v>
      </x:c>
      <x:c r="J74" s="46" t="n">
        <x:v>0.551604321251664</x:v>
      </x:c>
      <x:c r="K74" s="46" t="n">
        <x:v>0.9949864874169153</x:v>
      </x:c>
      <x:c r="L74" s="46" t="n">
        <x:v>0.6069733242373762</x:v>
      </x:c>
      <x:c r="M74" s="27" t="n">
        <x:v>0</x:v>
      </x:c>
    </x:row>
    <x:row r="75" ht="15" hidden="0" customHeight="1">
      <x:c r="A75" s="29" t="n">
        <x:v>71</x:v>
      </x:c>
      <x:c r="B75" s="29" t="n">
        <x:v>330975</x:v>
      </x:c>
      <x:c r="C75" s="29" t="str">
        <x:v>A0</x:v>
      </x:c>
      <x:c r="D75" s="53" t="n">
        <x:v>1687.6594864177132</x:v>
      </x:c>
      <x:c r="E75" s="47" t="n">
        <x:v>0.6750637945670853</x:v>
      </x:c>
      <x:c r="F75" s="47" t="n">
        <x:v>0.3235185168854125</x:v>
      </x:c>
      <x:c r="G75" s="47" t="n">
        <x:v>0.5785105721506433</x:v>
      </x:c>
      <x:c r="H75" s="47" t="n">
        <x:v>1</x:v>
      </x:c>
      <x:c r="I75" s="47" t="n">
        <x:v>0.8572281299227296</x:v>
      </x:c>
      <x:c r="J75" s="47" t="n">
        <x:v>0.5785105721506433</x:v>
      </x:c>
      <x:c r="K75" s="47" t="n">
        <x:v>0.9825752131866039</x:v>
      </x:c>
      <x:c r="L75" s="47" t="n">
        <x:v>0.6250972982141803</x:v>
      </x:c>
      <x:c r="M75" s="29" t="n">
        <x:v>0</x:v>
      </x:c>
    </x:row>
    <x:row r="76" ht="15" hidden="0" customHeight="1">
      <x:c r="A76" s="27" t="n">
        <x:v>72</x:v>
      </x:c>
      <x:c r="B76" s="27" t="n">
        <x:v>330976</x:v>
      </x:c>
      <x:c r="C76" s="27" t="str">
        <x:v>A0</x:v>
      </x:c>
      <x:c r="D76" s="52" t="n">
        <x:v>1661.9599101133579</x:v>
      </x:c>
      <x:c r="E76" s="46" t="n">
        <x:v>0.6647839640453431</x:v>
      </x:c>
      <x:c r="F76" s="46" t="n">
        <x:v>0.3446944698747698</x:v>
      </x:c>
      <x:c r="G76" s="46" t="n">
        <x:v>0.5671348765145825</x:v>
      </x:c>
      <x:c r="H76" s="46" t="n">
        <x:v>1</x:v>
      </x:c>
      <x:c r="I76" s="46" t="n">
        <x:v>0.8031349201245785</x:v>
      </x:c>
      <x:c r="J76" s="46" t="n">
        <x:v>0.5671348765145825</x:v>
      </x:c>
      <x:c r="K76" s="46" t="n">
        <x:v>0.9932491256425937</x:v>
      </x:c>
      <x:c r="L76" s="46" t="n">
        <x:v>0.6202402216755083</x:v>
      </x:c>
      <x:c r="M76" s="27" t="n">
        <x:v>0</x:v>
      </x:c>
    </x:row>
    <x:row r="77" ht="15" hidden="0" customHeight="1">
      <x:c r="A77" s="29" t="n">
        <x:v>73</x:v>
      </x:c>
      <x:c r="B77" s="29" t="n">
        <x:v>330977</x:v>
      </x:c>
      <x:c r="C77" s="29" t="str">
        <x:v>A0</x:v>
      </x:c>
      <x:c r="D77" s="53" t="n">
        <x:v>1703.9789129970552</x:v>
      </x:c>
      <x:c r="E77" s="47" t="n">
        <x:v>0.6815915651988221</x:v>
      </x:c>
      <x:c r="F77" s="47" t="n">
        <x:v>0.3527316760799358</x:v>
      </x:c>
      <x:c r="G77" s="47" t="n">
        <x:v>0.5842576481387177</x:v>
      </x:c>
      <x:c r="H77" s="47" t="n">
        <x:v>1</x:v>
      </x:c>
      <x:c r="I77" s="47" t="n">
        <x:v>0.8597970854494144</x:v>
      </x:c>
      <x:c r="J77" s="47" t="n">
        <x:v>0.5842576481387177</x:v>
      </x:c>
      <x:c r="K77" s="47" t="n">
        <x:v>0.9922812094508545</x:v>
      </x:c>
      <x:c r="L77" s="47" t="n">
        <x:v>0.6321311108099861</x:v>
      </x:c>
      <x:c r="M77" s="29" t="n">
        <x:v>0</x:v>
      </x:c>
    </x:row>
    <x:row r="78" ht="15" hidden="0" customHeight="1">
      <x:c r="A78" s="27" t="n">
        <x:v>74</x:v>
      </x:c>
      <x:c r="B78" s="27" t="n">
        <x:v>330978</x:v>
      </x:c>
      <x:c r="C78" s="27" t="str">
        <x:v>A0</x:v>
      </x:c>
      <x:c r="D78" s="52" t="n">
        <x:v>1744.7999493312102</x:v>
      </x:c>
      <x:c r="E78" s="46" t="n">
        <x:v>0.6979199797324841</x:v>
      </x:c>
      <x:c r="F78" s="46" t="n">
        <x:v>0.37916795809180476</x:v>
      </x:c>
      <x:c r="G78" s="46" t="n">
        <x:v>0.6010859358707559</x:v>
      </x:c>
      <x:c r="H78" s="46" t="n">
        <x:v>1</x:v>
      </x:c>
      <x:c r="I78" s="46" t="n">
        <x:v>0.8866349766326047</x:v>
      </x:c>
      <x:c r="J78" s="46" t="n">
        <x:v>0.6010859358707559</x:v>
      </x:c>
      <x:c r="K78" s="46" t="n">
        <x:v>1</x:v>
      </x:c>
      <x:c r="L78" s="46" t="n">
        <x:v>0.6475377459618851</x:v>
      </x:c>
      <x:c r="M78" s="27" t="n">
        <x:v>0</x:v>
      </x:c>
    </x:row>
    <x:row r="79" ht="15" hidden="0" customHeight="1">
      <x:c r="A79" s="29" t="n">
        <x:v>75</x:v>
      </x:c>
      <x:c r="B79" s="29" t="n">
        <x:v>330979</x:v>
      </x:c>
      <x:c r="C79" s="29" t="str">
        <x:v>A0</x:v>
      </x:c>
      <x:c r="D79" s="53" t="n">
        <x:v>1732.0670841139422</x:v>
      </x:c>
      <x:c r="E79" s="47" t="n">
        <x:v>0.6928268336455768</x:v>
      </x:c>
      <x:c r="F79" s="47" t="n">
        <x:v>0.3586992586114025</x:v>
      </x:c>
      <x:c r="G79" s="47" t="n">
        <x:v>0.599718975098766</x:v>
      </x:c>
      <x:c r="H79" s="47" t="n">
        <x:v>1</x:v>
      </x:c>
      <x:c r="I79" s="47" t="n">
        <x:v>0.8128963651021532</x:v>
      </x:c>
      <x:c r="J79" s="47" t="n">
        <x:v>0.599718975098766</x:v>
      </x:c>
      <x:c r="K79" s="47" t="n">
        <x:v>0.9955084356344537</x:v>
      </x:c>
      <x:c r="L79" s="47" t="n">
        <x:v>0.6529753032949048</x:v>
      </x:c>
      <x:c r="M79" s="29" t="n">
        <x:v>0</x:v>
      </x:c>
    </x:row>
    <x:row r="80" ht="15" hidden="0" customHeight="1">
      <x:c r="A80" s="27" t="n">
        <x:v>76</x:v>
      </x:c>
      <x:c r="B80" s="27" t="n">
        <x:v>330980</x:v>
      </x:c>
      <x:c r="C80" s="27" t="str">
        <x:v>A0</x:v>
      </x:c>
      <x:c r="D80" s="52" t="n">
        <x:v>1659.188099926886</x:v>
      </x:c>
      <x:c r="E80" s="46" t="n">
        <x:v>0.6636752399707544</x:v>
      </x:c>
      <x:c r="F80" s="46" t="n">
        <x:v>0.34944785196702965</x:v>
      </x:c>
      <x:c r="G80" s="46" t="n">
        <x:v>0.5653613971436271</x:v>
      </x:c>
      <x:c r="H80" s="46" t="n">
        <x:v>1</x:v>
      </x:c>
      <x:c r="I80" s="46" t="n">
        <x:v>0.8217131068656774</x:v>
      </x:c>
      <x:c r="J80" s="46" t="n">
        <x:v>0.5653613971436271</x:v>
      </x:c>
      <x:c r="K80" s="46" t="n">
        <x:v>0.9892449463181414</x:v>
      </x:c>
      <x:c r="L80" s="46" t="n">
        <x:v>0.6162421491967717</x:v>
      </x:c>
      <x:c r="M80" s="27" t="n">
        <x:v>0</x:v>
      </x:c>
    </x:row>
    <x:row r="81" ht="15" hidden="0" customHeight="1">
      <x:c r="A81" s="29" t="n">
        <x:v>77</x:v>
      </x:c>
      <x:c r="B81" s="29" t="n">
        <x:v>330981</x:v>
      </x:c>
      <x:c r="C81" s="29" t="str">
        <x:v>A0</x:v>
      </x:c>
      <x:c r="D81" s="53" t="n">
        <x:v>1702.1423037689058</x:v>
      </x:c>
      <x:c r="E81" s="47" t="n">
        <x:v>0.6808569215075623</x:v>
      </x:c>
      <x:c r="F81" s="47" t="n">
        <x:v>0.3467955132092003</x:v>
      </x:c>
      <x:c r="G81" s="47" t="n">
        <x:v>0.5903952773816673</x:v>
      </x:c>
      <x:c r="H81" s="47" t="n">
        <x:v>1</x:v>
      </x:c>
      <x:c r="I81" s="47" t="n">
        <x:v>0.8613933383212987</x:v>
      </x:c>
      <x:c r="J81" s="47" t="n">
        <x:v>0.5903952773816673</x:v>
      </x:c>
      <x:c r="K81" s="47" t="n">
        <x:v>0.9959084639315343</x:v>
      </x:c>
      <x:c r="L81" s="47" t="n">
        <x:v>0.6307117700990179</x:v>
      </x:c>
      <x:c r="M81" s="29" t="n">
        <x:v>0</x:v>
      </x:c>
    </x:row>
    <x:row r="82" ht="15" hidden="0" customHeight="1">
      <x:c r="A82" s="27" t="n">
        <x:v>78</x:v>
      </x:c>
      <x:c r="B82" s="27" t="n">
        <x:v>330982</x:v>
      </x:c>
      <x:c r="C82" s="27" t="str">
        <x:v>A0</x:v>
      </x:c>
      <x:c r="D82" s="52" t="n">
        <x:v>1634.1965806946546</x:v>
      </x:c>
      <x:c r="E82" s="46" t="n">
        <x:v>0.6536786322778618</x:v>
      </x:c>
      <x:c r="F82" s="46" t="n">
        <x:v>0.34948590922245354</x:v>
      </x:c>
      <x:c r="G82" s="46" t="n">
        <x:v>0.5583196282658733</x:v>
      </x:c>
      <x:c r="H82" s="46" t="n">
        <x:v>0.9867987583036785</x:v>
      </x:c>
      <x:c r="I82" s="46" t="n">
        <x:v>0.7782165096086643</x:v>
      </x:c>
      <x:c r="J82" s="46" t="n">
        <x:v>0.5583196282658733</x:v>
      </x:c>
      <x:c r="K82" s="46" t="n">
        <x:v>0.9926502940803418</x:v>
      </x:c>
      <x:c r="L82" s="46" t="n">
        <x:v>0.6106530070348078</x:v>
      </x:c>
      <x:c r="M82" s="27" t="n">
        <x:v>0</x:v>
      </x:c>
    </x:row>
    <x:row r="83" ht="15" hidden="0" customHeight="1">
      <x:c r="A83" s="29" t="n">
        <x:v>79</x:v>
      </x:c>
      <x:c r="B83" s="29" t="n">
        <x:v>330983</x:v>
      </x:c>
      <x:c r="C83" s="29" t="str">
        <x:v>A0</x:v>
      </x:c>
      <x:c r="D83" s="53" t="n">
        <x:v>1727.974874782284</x:v>
      </x:c>
      <x:c r="E83" s="47" t="n">
        <x:v>0.6911899499129136</x:v>
      </x:c>
      <x:c r="F83" s="47" t="n">
        <x:v>0.3554482015973201</x:v>
      </x:c>
      <x:c r="G83" s="47" t="n">
        <x:v>0.6063546427596607</x:v>
      </x:c>
      <x:c r="H83" s="47" t="n">
        <x:v>1</x:v>
      </x:c>
      <x:c r="I83" s="47" t="n">
        <x:v>0.8539979353721266</x:v>
      </x:c>
      <x:c r="J83" s="47" t="n">
        <x:v>0.6063546427596607</x:v>
      </x:c>
      <x:c r="K83" s="47" t="n">
        <x:v>1</x:v>
      </x:c>
      <x:c r="L83" s="47" t="n">
        <x:v>0.6442539962425193</x:v>
      </x:c>
      <x:c r="M83" s="29" t="n">
        <x:v>0</x:v>
      </x:c>
    </x:row>
    <x:row r="84" ht="15" hidden="0" customHeight="1">
      <x:c r="A84" s="27" t="n">
        <x:v>80</x:v>
      </x:c>
      <x:c r="B84" s="27" t="n">
        <x:v>330984</x:v>
      </x:c>
      <x:c r="C84" s="27" t="str">
        <x:v>A0</x:v>
      </x:c>
      <x:c r="D84" s="52" t="n">
        <x:v>1675.5061618608315</x:v>
      </x:c>
      <x:c r="E84" s="46" t="n">
        <x:v>0.6702024647443326</x:v>
      </x:c>
      <x:c r="F84" s="46" t="n">
        <x:v>0.32535150722094863</x:v>
      </x:c>
      <x:c r="G84" s="46" t="n">
        <x:v>0.5781647975706514</x:v>
      </x:c>
      <x:c r="H84" s="46" t="n">
        <x:v>1</x:v>
      </x:c>
      <x:c r="I84" s="46" t="n">
        <x:v>0.8330422536392095</x:v>
      </x:c>
      <x:c r="J84" s="46" t="n">
        <x:v>0.5781647975706514</x:v>
      </x:c>
      <x:c r="K84" s="46" t="n">
        <x:v>0.9803977336239916</x:v>
      </x:c>
      <x:c r="L84" s="46" t="n">
        <x:v>0.6229823693452976</x:v>
      </x:c>
      <x:c r="M84" s="27" t="n">
        <x:v>0</x:v>
      </x:c>
    </x:row>
    <x:row r="85" ht="15" hidden="0" customHeight="1">
      <x:c r="A85" s="29" t="n">
        <x:v>81</x:v>
      </x:c>
      <x:c r="B85" s="29" t="n">
        <x:v>330985</x:v>
      </x:c>
      <x:c r="C85" s="29" t="str">
        <x:v>A0</x:v>
      </x:c>
      <x:c r="D85" s="53" t="n">
        <x:v>1646.6658185333754</x:v>
      </x:c>
      <x:c r="E85" s="47" t="n">
        <x:v>0.6586663274133502</x:v>
      </x:c>
      <x:c r="F85" s="47" t="n">
        <x:v>0.35303286451423593</x:v>
      </x:c>
      <x:c r="G85" s="47" t="n">
        <x:v>0.5642812753034667</x:v>
      </x:c>
      <x:c r="H85" s="47" t="n">
        <x:v>1</x:v>
      </x:c>
      <x:c r="I85" s="47" t="n">
        <x:v>0.7892542007849438</x:v>
      </x:c>
      <x:c r="J85" s="47" t="n">
        <x:v>0.5642812753034667</x:v>
      </x:c>
      <x:c r="K85" s="47" t="n">
        <x:v>1</x:v>
      </x:c>
      <x:c r="L85" s="47" t="n">
        <x:v>0.6144544009562584</x:v>
      </x:c>
      <x:c r="M85" s="29" t="n">
        <x:v>0</x:v>
      </x:c>
    </x:row>
    <x:row r="86" ht="15" hidden="0" customHeight="1">
      <x:c r="A86" s="27" t="n">
        <x:v>82</x:v>
      </x:c>
      <x:c r="B86" s="27" t="n">
        <x:v>330986</x:v>
      </x:c>
      <x:c r="C86" s="27" t="str">
        <x:v>A0</x:v>
      </x:c>
      <x:c r="D86" s="52" t="n">
        <x:v>1693.2318584185793</x:v>
      </x:c>
      <x:c r="E86" s="46" t="n">
        <x:v>0.6772927433674317</x:v>
      </x:c>
      <x:c r="F86" s="46" t="n">
        <x:v>0.37265157941241933</x:v>
      </x:c>
      <x:c r="G86" s="46" t="n">
        <x:v>0.583753141435455</x:v>
      </x:c>
      <x:c r="H86" s="46" t="n">
        <x:v>1</x:v>
      </x:c>
      <x:c r="I86" s="46" t="n">
        <x:v>0.8515031979337507</x:v>
      </x:c>
      <x:c r="J86" s="46" t="n">
        <x:v>0.583753141435455</x:v>
      </x:c>
      <x:c r="K86" s="46" t="n">
        <x:v>0.9999667830972435</x:v>
      </x:c>
      <x:c r="L86" s="46" t="n">
        <x:v>0.627650221615773</x:v>
      </x:c>
      <x:c r="M86" s="27" t="n">
        <x:v>0</x:v>
      </x:c>
    </x:row>
    <x:row r="87" ht="15" hidden="0" customHeight="1">
      <x:c r="A87" s="29" t="n">
        <x:v>83</x:v>
      </x:c>
      <x:c r="B87" s="29" t="n">
        <x:v>330987</x:v>
      </x:c>
      <x:c r="C87" s="29" t="str">
        <x:v>A0</x:v>
      </x:c>
      <x:c r="D87" s="53" t="n">
        <x:v>1707.8343692155443</x:v>
      </x:c>
      <x:c r="E87" s="47" t="n">
        <x:v>0.6831337476862177</x:v>
      </x:c>
      <x:c r="F87" s="47" t="n">
        <x:v>0.36904265083809096</x:v>
      </x:c>
      <x:c r="G87" s="47" t="n">
        <x:v>0.5908116718383304</x:v>
      </x:c>
      <x:c r="H87" s="47" t="n">
        <x:v>1</x:v>
      </x:c>
      <x:c r="I87" s="47" t="n">
        <x:v>0.8841619637034708</x:v>
      </x:c>
      <x:c r="J87" s="47" t="n">
        <x:v>0.5908116718383304</x:v>
      </x:c>
      <x:c r="K87" s="47" t="n">
        <x:v>1</x:v>
      </x:c>
      <x:c r="L87" s="47" t="n">
        <x:v>0.6297392358785403</x:v>
      </x:c>
      <x:c r="M87" s="29" t="n">
        <x:v>0</x:v>
      </x:c>
    </x:row>
    <x:row r="88" ht="15" hidden="0" customHeight="1">
      <x:c r="A88" s="27" t="n">
        <x:v>84</x:v>
      </x:c>
      <x:c r="B88" s="27" t="n">
        <x:v>330988</x:v>
      </x:c>
      <x:c r="C88" s="27" t="str">
        <x:v>A0</x:v>
      </x:c>
      <x:c r="D88" s="52" t="n">
        <x:v>1679.1810055745893</x:v>
      </x:c>
      <x:c r="E88" s="46" t="n">
        <x:v>0.6716724022298357</x:v>
      </x:c>
      <x:c r="F88" s="46" t="n">
        <x:v>0.34669707687155593</x:v>
      </x:c>
      <x:c r="G88" s="46" t="n">
        <x:v>0.576597092766195</x:v>
      </x:c>
      <x:c r="H88" s="46" t="n">
        <x:v>0.9934887013554212</x:v>
      </x:c>
      <x:c r="I88" s="46" t="n">
        <x:v>0.8205781651131676</x:v>
      </x:c>
      <x:c r="J88" s="46" t="n">
        <x:v>0.576597092766195</x:v>
      </x:c>
      <x:c r="K88" s="46" t="n">
        <x:v>0.9983926607939413</x:v>
      </x:c>
      <x:c r="L88" s="46" t="n">
        <x:v>0.6257355554608701</x:v>
      </x:c>
      <x:c r="M88" s="27" t="n">
        <x:v>0</x:v>
      </x:c>
    </x:row>
    <x:row r="89" ht="15" hidden="0" customHeight="1">
      <x:c r="A89" s="29" t="n">
        <x:v>85</x:v>
      </x:c>
      <x:c r="B89" s="29" t="n">
        <x:v>330989</x:v>
      </x:c>
      <x:c r="C89" s="29" t="str">
        <x:v>A0</x:v>
      </x:c>
      <x:c r="D89" s="53" t="n">
        <x:v>1619.2170527631622</x:v>
      </x:c>
      <x:c r="E89" s="47" t="n">
        <x:v>0.6476868211052649</x:v>
      </x:c>
      <x:c r="F89" s="47" t="n">
        <x:v>0.3315820811421133</x:v>
      </x:c>
      <x:c r="G89" s="47" t="n">
        <x:v>0.5514569709970926</x:v>
      </x:c>
      <x:c r="H89" s="47" t="n">
        <x:v>1</x:v>
      </x:c>
      <x:c r="I89" s="47" t="n">
        <x:v>0.8067899367854383</x:v>
      </x:c>
      <x:c r="J89" s="47" t="n">
        <x:v>0.5514569709970926</x:v>
      </x:c>
      <x:c r="K89" s="47" t="n">
        <x:v>0.9848101871249377</x:v>
      </x:c>
      <x:c r="L89" s="47" t="n">
        <x:v>0.5991861285388151</x:v>
      </x:c>
      <x:c r="M89" s="29" t="n">
        <x:v>0</x:v>
      </x:c>
    </x:row>
    <x:row r="90" ht="15" hidden="0" customHeight="1">
      <x:c r="A90" s="27" t="n">
        <x:v>86</x:v>
      </x:c>
      <x:c r="B90" s="27" t="n">
        <x:v>330990</x:v>
      </x:c>
      <x:c r="C90" s="27" t="str">
        <x:v>A0</x:v>
      </x:c>
      <x:c r="D90" s="52" t="n">
        <x:v>1612.474526131238</x:v>
      </x:c>
      <x:c r="E90" s="46" t="n">
        <x:v>0.6449898104524951</x:v>
      </x:c>
      <x:c r="F90" s="46" t="n">
        <x:v>0.30551141752240685</x:v>
      </x:c>
      <x:c r="G90" s="46" t="n">
        <x:v>0.5489601166870184</x:v>
      </x:c>
      <x:c r="H90" s="46" t="n">
        <x:v>1</x:v>
      </x:c>
      <x:c r="I90" s="46" t="n">
        <x:v>0.8162391740854121</x:v>
      </x:c>
      <x:c r="J90" s="46" t="n">
        <x:v>0.5489601166870184</x:v>
      </x:c>
      <x:c r="K90" s="46" t="n">
        <x:v>0.9652485759829444</x:v>
      </x:c>
      <x:c r="L90" s="46" t="n">
        <x:v>0.5955876547810025</x:v>
      </x:c>
      <x:c r="M90" s="27" t="n">
        <x:v>0</x:v>
      </x:c>
    </x:row>
    <x:row r="91" ht="15" hidden="0" customHeight="1">
      <x:c r="A91" s="29" t="n">
        <x:v>87</x:v>
      </x:c>
      <x:c r="B91" s="29" t="n">
        <x:v>330991</x:v>
      </x:c>
      <x:c r="C91" s="29" t="str">
        <x:v>A0</x:v>
      </x:c>
      <x:c r="D91" s="53" t="n">
        <x:v>1642.7629842748136</x:v>
      </x:c>
      <x:c r="E91" s="47" t="n">
        <x:v>0.6571051937099254</x:v>
      </x:c>
      <x:c r="F91" s="47" t="n">
        <x:v>0.3224425393949018</x:v>
      </x:c>
      <x:c r="G91" s="47" t="n">
        <x:v>0.5633673276177213</x:v>
      </x:c>
      <x:c r="H91" s="47" t="n">
        <x:v>1</x:v>
      </x:c>
      <x:c r="I91" s="47" t="n">
        <x:v>0.8210672911626167</x:v>
      </x:c>
      <x:c r="J91" s="47" t="n">
        <x:v>0.5633673276177213</x:v>
      </x:c>
      <x:c r="K91" s="47" t="n">
        <x:v>0.9788327570848262</x:v>
      </x:c>
      <x:c r="L91" s="47" t="n">
        <x:v>0.6088723525151603</x:v>
      </x:c>
      <x:c r="M91" s="29" t="n">
        <x:v>0</x:v>
      </x:c>
    </x:row>
    <x:row r="92" ht="15" hidden="0" customHeight="1">
      <x:c r="A92" s="27" t="n">
        <x:v>88</x:v>
      </x:c>
      <x:c r="B92" s="27" t="n">
        <x:v>330992</x:v>
      </x:c>
      <x:c r="C92" s="27" t="str">
        <x:v>A0</x:v>
      </x:c>
      <x:c r="D92" s="52" t="n">
        <x:v>1718.8567293985493</x:v>
      </x:c>
      <x:c r="E92" s="46" t="n">
        <x:v>0.6875426917594197</x:v>
      </x:c>
      <x:c r="F92" s="46" t="n">
        <x:v>0.35229951206537663</x:v>
      </x:c>
      <x:c r="G92" s="46" t="n">
        <x:v>0.5894794890404227</x:v>
      </x:c>
      <x:c r="H92" s="46" t="n">
        <x:v>1</x:v>
      </x:c>
      <x:c r="I92" s="46" t="n">
        <x:v>0.8206976753374563</x:v>
      </x:c>
      <x:c r="J92" s="46" t="n">
        <x:v>0.5894794890404227</x:v>
      </x:c>
      <x:c r="K92" s="46" t="n">
        <x:v>1</x:v>
      </x:c>
      <x:c r="L92" s="46" t="n">
        <x:v>0.645044389476732</x:v>
      </x:c>
      <x:c r="M92" s="27" t="n">
        <x:v>0</x:v>
      </x:c>
    </x:row>
    <x:row r="93" ht="15" hidden="0" customHeight="1">
      <x:c r="A93" s="29" t="n">
        <x:v>89</x:v>
      </x:c>
      <x:c r="B93" s="29" t="n">
        <x:v>330993</x:v>
      </x:c>
      <x:c r="C93" s="29" t="str">
        <x:v>A0</x:v>
      </x:c>
      <x:c r="D93" s="53" t="n">
        <x:v>1701.2551653828389</x:v>
      </x:c>
      <x:c r="E93" s="47" t="n">
        <x:v>0.6805020661531356</x:v>
      </x:c>
      <x:c r="F93" s="47" t="n">
        <x:v>0.3287881058616003</x:v>
      </x:c>
      <x:c r="G93" s="47" t="n">
        <x:v>0.5874687164376782</x:v>
      </x:c>
      <x:c r="H93" s="47" t="n">
        <x:v>1</x:v>
      </x:c>
      <x:c r="I93" s="47" t="n">
        <x:v>0.8623602888381356</x:v>
      </x:c>
      <x:c r="J93" s="47" t="n">
        <x:v>0.5874687164376782</x:v>
      </x:c>
      <x:c r="K93" s="47" t="n">
        <x:v>0.9844355092003415</x:v>
      </x:c>
      <x:c r="L93" s="47" t="n">
        <x:v>0.630837342908347</x:v>
      </x:c>
      <x:c r="M93" s="29" t="n">
        <x:v>0</x:v>
      </x:c>
    </x:row>
    <x:row r="94" ht="15" hidden="0" customHeight="1">
      <x:c r="A94" s="27" t="n">
        <x:v>90</x:v>
      </x:c>
      <x:c r="B94" s="27" t="n">
        <x:v>330994</x:v>
      </x:c>
      <x:c r="C94" s="27" t="str">
        <x:v>A0</x:v>
      </x:c>
      <x:c r="D94" s="52" t="n">
        <x:v>1677.3575447222113</x:v>
      </x:c>
      <x:c r="E94" s="46" t="n">
        <x:v>0.6709430178888846</x:v>
      </x:c>
      <x:c r="F94" s="46" t="n">
        <x:v>0.32329500197285155</x:v>
      </x:c>
      <x:c r="G94" s="46" t="n">
        <x:v>0.572998280221505</x:v>
      </x:c>
      <x:c r="H94" s="46" t="n">
        <x:v>1</x:v>
      </x:c>
      <x:c r="I94" s="46" t="n">
        <x:v>0.8149428057986516</x:v>
      </x:c>
      <x:c r="J94" s="46" t="n">
        <x:v>0.572998280221505</x:v>
      </x:c>
      <x:c r="K94" s="46" t="n">
        <x:v>0.9878183308012403</x:v>
      </x:c>
      <x:c r="L94" s="46" t="n">
        <x:v>0.6262969421542275</x:v>
      </x:c>
      <x:c r="M94" s="27" t="n">
        <x:v>0</x:v>
      </x:c>
    </x:row>
    <x:row r="95" ht="15" hidden="0" customHeight="1">
      <x:c r="A95" s="29" t="n">
        <x:v>91</x:v>
      </x:c>
      <x:c r="B95" s="29" t="n">
        <x:v>330995</x:v>
      </x:c>
      <x:c r="C95" s="29" t="str">
        <x:v>A0</x:v>
      </x:c>
      <x:c r="D95" s="53" t="n">
        <x:v>1721.8100905248957</x:v>
      </x:c>
      <x:c r="E95" s="47" t="n">
        <x:v>0.6887240362099583</x:v>
      </x:c>
      <x:c r="F95" s="47" t="n">
        <x:v>0.3361446783799563</x:v>
      </x:c>
      <x:c r="G95" s="47" t="n">
        <x:v>0.5965557670441964</x:v>
      </x:c>
      <x:c r="H95" s="47" t="n">
        <x:v>1</x:v>
      </x:c>
      <x:c r="I95" s="47" t="n">
        <x:v>0.87002287484945</x:v>
      </x:c>
      <x:c r="J95" s="47" t="n">
        <x:v>0.5965557670441964</x:v>
      </x:c>
      <x:c r="K95" s="47" t="n">
        <x:v>0.9839425420412995</x:v>
      </x:c>
      <x:c r="L95" s="47" t="n">
        <x:v>0.6397630519516252</x:v>
      </x:c>
      <x:c r="M95" s="29" t="n">
        <x:v>0</x:v>
      </x:c>
    </x:row>
    <x:row r="96" ht="15" hidden="0" customHeight="1">
      <x:c r="A96" s="27" t="n">
        <x:v>92</x:v>
      </x:c>
      <x:c r="B96" s="27" t="n">
        <x:v>330996</x:v>
      </x:c>
      <x:c r="C96" s="27" t="str">
        <x:v>A0</x:v>
      </x:c>
      <x:c r="D96" s="52" t="n">
        <x:v>1647.4358873325536</x:v>
      </x:c>
      <x:c r="E96" s="46" t="n">
        <x:v>0.6589743549330215</x:v>
      </x:c>
      <x:c r="F96" s="46" t="n">
        <x:v>0.33863869322021073</x:v>
      </x:c>
      <x:c r="G96" s="46" t="n">
        <x:v>0.5717095024909247</x:v>
      </x:c>
      <x:c r="H96" s="46" t="n">
        <x:v>0.9982563681416013</x:v>
      </x:c>
      <x:c r="I96" s="46" t="n">
        <x:v>0.776890176920183</x:v>
      </x:c>
      <x:c r="J96" s="46" t="n">
        <x:v>0.5717095024909247</x:v>
      </x:c>
      <x:c r="K96" s="46" t="n">
        <x:v>0.9925212952177487</x:v>
      </x:c>
      <x:c r="L96" s="46" t="n">
        <x:v>0.6171705963858571</x:v>
      </x:c>
      <x:c r="M96" s="27" t="n">
        <x:v>0</x:v>
      </x:c>
    </x:row>
    <x:row r="97" ht="15" hidden="0" customHeight="1">
      <x:c r="A97" s="29" t="n">
        <x:v>93</x:v>
      </x:c>
      <x:c r="B97" s="29" t="n">
        <x:v>330997</x:v>
      </x:c>
      <x:c r="C97" s="29" t="str">
        <x:v>A0</x:v>
      </x:c>
      <x:c r="D97" s="53" t="n">
        <x:v>1671.32342625136</x:v>
      </x:c>
      <x:c r="E97" s="47" t="n">
        <x:v>0.668529370500544</x:v>
      </x:c>
      <x:c r="F97" s="47" t="n">
        <x:v>0.3451127048134843</x:v>
      </x:c>
      <x:c r="G97" s="47" t="n">
        <x:v>0.5751437145245875</x:v>
      </x:c>
      <x:c r="H97" s="47" t="n">
        <x:v>1</x:v>
      </x:c>
      <x:c r="I97" s="47" t="n">
        <x:v>0.7823632810277588</x:v>
      </x:c>
      <x:c r="J97" s="47" t="n">
        <x:v>0.5751437145245875</x:v>
      </x:c>
      <x:c r="K97" s="47" t="n">
        <x:v>1</x:v>
      </x:c>
      <x:c r="L97" s="47" t="n">
        <x:v>0.6276226436307899</x:v>
      </x:c>
      <x:c r="M97" s="29" t="n">
        <x:v>0</x:v>
      </x:c>
    </x:row>
    <x:row r="98" ht="15" hidden="0" customHeight="1">
      <x:c r="A98" s="27" t="n">
        <x:v>94</x:v>
      </x:c>
      <x:c r="B98" s="27" t="n">
        <x:v>330998</x:v>
      </x:c>
      <x:c r="C98" s="27" t="str">
        <x:v>A0</x:v>
      </x:c>
      <x:c r="D98" s="52" t="n">
        <x:v>1647.8646127353693</x:v>
      </x:c>
      <x:c r="E98" s="46" t="n">
        <x:v>0.6591458450941478</x:v>
      </x:c>
      <x:c r="F98" s="46" t="n">
        <x:v>0.2982774872137925</x:v>
      </x:c>
      <x:c r="G98" s="46" t="n">
        <x:v>0.5696026638938091</x:v>
      </x:c>
      <x:c r="H98" s="46" t="n">
        <x:v>1</x:v>
      </x:c>
      <x:c r="I98" s="46" t="n">
        <x:v>0.8358881379096755</x:v>
      </x:c>
      <x:c r="J98" s="46" t="n">
        <x:v>0.5696026638938091</x:v>
      </x:c>
      <x:c r="K98" s="46" t="n">
        <x:v>0.9692715686770098</x:v>
      </x:c>
      <x:c r="L98" s="46" t="n">
        <x:v>0.6096222296017785</x:v>
      </x:c>
      <x:c r="M98" s="27" t="n">
        <x:v>0</x:v>
      </x:c>
    </x:row>
    <x:row r="99" ht="15" hidden="0" customHeight="1">
      <x:c r="A99" s="29" t="n">
        <x:v>95</x:v>
      </x:c>
      <x:c r="B99" s="29" t="n">
        <x:v>330999</x:v>
      </x:c>
      <x:c r="C99" s="29" t="str">
        <x:v>A0</x:v>
      </x:c>
      <x:c r="D99" s="53" t="n">
        <x:v>1695.4444652718566</x:v>
      </x:c>
      <x:c r="E99" s="47" t="n">
        <x:v>0.6781777861087427</x:v>
      </x:c>
      <x:c r="F99" s="47" t="n">
        <x:v>0.34854899255058547</x:v>
      </x:c>
      <x:c r="G99" s="47" t="n">
        <x:v>0.5855441356272434</x:v>
      </x:c>
      <x:c r="H99" s="47" t="n">
        <x:v>1</x:v>
      </x:c>
      <x:c r="I99" s="47" t="n">
        <x:v>0.8563822464202696</x:v>
      </x:c>
      <x:c r="J99" s="47" t="n">
        <x:v>0.5855441356272434</x:v>
      </x:c>
      <x:c r="K99" s="47" t="n">
        <x:v>0.995281812663202</x:v>
      </x:c>
      <x:c r="L99" s="47" t="n">
        <x:v>0.6282551105257361</x:v>
      </x:c>
      <x:c r="M99" s="29" t="n">
        <x:v>0</x:v>
      </x:c>
    </x:row>
    <x:row r="100" ht="15" hidden="0" customHeight="1">
      <x:c r="A100" s="27" t="n">
        <x:v>96</x:v>
      </x:c>
      <x:c r="B100" s="27" t="n">
        <x:v>331000</x:v>
      </x:c>
      <x:c r="C100" s="27" t="str">
        <x:v>A0</x:v>
      </x:c>
      <x:c r="D100" s="52" t="n">
        <x:v>1683.1738627830573</x:v>
      </x:c>
      <x:c r="E100" s="46" t="n">
        <x:v>0.6732695451132229</x:v>
      </x:c>
      <x:c r="F100" s="46" t="n">
        <x:v>0.34797457359340717</x:v>
      </x:c>
      <x:c r="G100" s="46" t="n">
        <x:v>0.5872876566261619</x:v>
      </x:c>
      <x:c r="H100" s="46" t="n">
        <x:v>1</x:v>
      </x:c>
      <x:c r="I100" s="46" t="n">
        <x:v>0.8669750004519873</x:v>
      </x:c>
      <x:c r="J100" s="46" t="n">
        <x:v>0.5872876566261619</x:v>
      </x:c>
      <x:c r="K100" s="46" t="n">
        <x:v>1</x:v>
      </x:c>
      <x:c r="L100" s="46" t="n">
        <x:v>0.6202524210213324</x:v>
      </x:c>
      <x:c r="M100" s="27" t="n">
        <x:v>0</x:v>
      </x:c>
    </x:row>
    <x:row r="101" ht="15" hidden="0" customHeight="1">
      <x:c r="A101" s="29" t="n">
        <x:v>97</x:v>
      </x:c>
      <x:c r="B101" s="29" t="n">
        <x:v>331001</x:v>
      </x:c>
      <x:c r="C101" s="29" t="str">
        <x:v>A0</x:v>
      </x:c>
      <x:c r="D101" s="53" t="n">
        <x:v>1713.3636934445474</x:v>
      </x:c>
      <x:c r="E101" s="47" t="n">
        <x:v>0.6853454773778189</x:v>
      </x:c>
      <x:c r="F101" s="47" t="n">
        <x:v>0.3336632765820856</x:v>
      </x:c>
      <x:c r="G101" s="47" t="n">
        <x:v>0.5976514330112648</x:v>
      </x:c>
      <x:c r="H101" s="47" t="n">
        <x:v>1</x:v>
      </x:c>
      <x:c r="I101" s="47" t="n">
        <x:v>0.8897229744972626</x:v>
      </x:c>
      <x:c r="J101" s="47" t="n">
        <x:v>0.5976514330112648</x:v>
      </x:c>
      <x:c r="K101" s="47" t="n">
        <x:v>0.9838959823487738</x:v>
      </x:c>
      <x:c r="L101" s="47" t="n">
        <x:v>0.6325278905706097</x:v>
      </x:c>
      <x:c r="M101" s="29" t="n">
        <x:v>0</x:v>
      </x:c>
    </x:row>
    <x:row r="102" ht="15" hidden="0" customHeight="1">
      <x:c r="A102" s="27" t="n">
        <x:v>98</x:v>
      </x:c>
      <x:c r="B102" s="27" t="n">
        <x:v>331002</x:v>
      </x:c>
      <x:c r="C102" s="27" t="str">
        <x:v>A0</x:v>
      </x:c>
      <x:c r="D102" s="52" t="n">
        <x:v>1657.826770484168</x:v>
      </x:c>
      <x:c r="E102" s="46" t="n">
        <x:v>0.6631307081936673</x:v>
      </x:c>
      <x:c r="F102" s="46" t="n">
        <x:v>0.34693678653231264</x:v>
      </x:c>
      <x:c r="G102" s="46" t="n">
        <x:v>0.5693126594927619</x:v>
      </x:c>
      <x:c r="H102" s="46" t="n">
        <x:v>1</x:v>
      </x:c>
      <x:c r="I102" s="46" t="n">
        <x:v>0.8505832976763548</x:v>
      </x:c>
      <x:c r="J102" s="46" t="n">
        <x:v>0.5693126594927619</x:v>
      </x:c>
      <x:c r="K102" s="46" t="n">
        <x:v>0.9899408305814341</x:v>
      </x:c>
      <x:c r="L102" s="46" t="n">
        <x:v>0.611017191097074</x:v>
      </x:c>
      <x:c r="M102" s="27" t="n">
        <x:v>0</x:v>
      </x:c>
    </x:row>
    <x:row r="103" ht="15" hidden="0" customHeight="1">
      <x:c r="A103" s="29" t="n">
        <x:v>99</x:v>
      </x:c>
      <x:c r="B103" s="29" t="n">
        <x:v>331003</x:v>
      </x:c>
      <x:c r="C103" s="29" t="str">
        <x:v>A0</x:v>
      </x:c>
      <x:c r="D103" s="53" t="n">
        <x:v>1690.5720848652686</x:v>
      </x:c>
      <x:c r="E103" s="47" t="n">
        <x:v>0.6762288339461074</x:v>
      </x:c>
      <x:c r="F103" s="47" t="n">
        <x:v>0.33613087720243373</x:v>
      </x:c>
      <x:c r="G103" s="47" t="n">
        <x:v>0.5840519385830463</x:v>
      </x:c>
      <x:c r="H103" s="47" t="n">
        <x:v>1</x:v>
      </x:c>
      <x:c r="I103" s="47" t="n">
        <x:v>0.8577261987806892</x:v>
      </x:c>
      <x:c r="J103" s="47" t="n">
        <x:v>0.5840519385830463</x:v>
      </x:c>
      <x:c r="K103" s="47" t="n">
        <x:v>0.9862569931364575</x:v>
      </x:c>
      <x:c r="L103" s="47" t="n">
        <x:v>0.6261953667354603</x:v>
      </x:c>
      <x:c r="M103" s="29" t="n">
        <x:v>0</x:v>
      </x:c>
    </x:row>
    <x:row r="104" ht="15" hidden="0" customHeight="1">
      <x:c r="A104" s="27" t="n">
        <x:v>100</x:v>
      </x:c>
      <x:c r="B104" s="27" t="n">
        <x:v>331004</x:v>
      </x:c>
      <x:c r="C104" s="27" t="str">
        <x:v>A0</x:v>
      </x:c>
      <x:c r="D104" s="52" t="n">
        <x:v>1680.6397981681323</x:v>
      </x:c>
      <x:c r="E104" s="46" t="n">
        <x:v>0.6722559192672529</x:v>
      </x:c>
      <x:c r="F104" s="46" t="n">
        <x:v>0.36927060652238863</x:v>
      </x:c>
      <x:c r="G104" s="46" t="n">
        <x:v>0.5796959228354371</x:v>
      </x:c>
      <x:c r="H104" s="46" t="n">
        <x:v>1</x:v>
      </x:c>
      <x:c r="I104" s="46" t="n">
        <x:v>0.8201798829225488</x:v>
      </x:c>
      <x:c r="J104" s="46" t="n">
        <x:v>0.5796959228354371</x:v>
      </x:c>
      <x:c r="K104" s="46" t="n">
        <x:v>0.9968363586397516</x:v>
      </x:c>
      <x:c r="L104" s="46" t="n">
        <x:v>0.6265115074822546</x:v>
      </x:c>
      <x:c r="M104" s="27" t="n">
        <x:v>0</x:v>
      </x:c>
    </x:row>
    <x:row r="105" ht="15" hidden="0" customHeight="1">
      <x:c r="A105" s="29" t="n">
        <x:v>101</x:v>
      </x:c>
      <x:c r="B105" s="29" t="n">
        <x:v>331005</x:v>
      </x:c>
      <x:c r="C105" s="29" t="str">
        <x:v>A0</x:v>
      </x:c>
      <x:c r="D105" s="53" t="n">
        <x:v>1699.5642161593958</x:v>
      </x:c>
      <x:c r="E105" s="47" t="n">
        <x:v>0.6798256864637583</x:v>
      </x:c>
      <x:c r="F105" s="47" t="n">
        <x:v>0.3669957722250854</x:v>
      </x:c>
      <x:c r="G105" s="47" t="n">
        <x:v>0.5852928938092523</x:v>
      </x:c>
      <x:c r="H105" s="47" t="n">
        <x:v>1</x:v>
      </x:c>
      <x:c r="I105" s="47" t="n">
        <x:v>0.848344290951144</x:v>
      </x:c>
      <x:c r="J105" s="47" t="n">
        <x:v>0.5852928938092523</x:v>
      </x:c>
      <x:c r="K105" s="47" t="n">
        <x:v>0.9945762362109692</x:v>
      </x:c>
      <x:c r="L105" s="47" t="n">
        <x:v>0.6315820881713466</x:v>
      </x:c>
      <x:c r="M105" s="29" t="n">
        <x:v>0</x:v>
      </x:c>
    </x:row>
    <x:row r="106" ht="15" hidden="0" customHeight="1">
      <x:c r="A106" s="27" t="n">
        <x:v>102</x:v>
      </x:c>
      <x:c r="B106" s="27" t="n">
        <x:v>331006</x:v>
      </x:c>
      <x:c r="C106" s="27" t="str">
        <x:v>A0</x:v>
      </x:c>
      <x:c r="D106" s="52" t="n">
        <x:v>1688.7027803256838</x:v>
      </x:c>
      <x:c r="E106" s="46" t="n">
        <x:v>0.6754811121302735</x:v>
      </x:c>
      <x:c r="F106" s="46" t="n">
        <x:v>0.33455589837560146</x:v>
      </x:c>
      <x:c r="G106" s="46" t="n">
        <x:v>0.5802243451144459</x:v>
      </x:c>
      <x:c r="H106" s="46" t="n">
        <x:v>1</x:v>
      </x:c>
      <x:c r="I106" s="46" t="n">
        <x:v>0.8611250228927345</x:v>
      </x:c>
      <x:c r="J106" s="46" t="n">
        <x:v>0.5802243451144459</x:v>
      </x:c>
      <x:c r="K106" s="46" t="n">
        <x:v>0.9904726205266875</x:v>
      </x:c>
      <x:c r="L106" s="46" t="n">
        <x:v>0.624518598118497</x:v>
      </x:c>
      <x:c r="M106" s="27" t="n">
        <x:v>0</x:v>
      </x:c>
    </x:row>
    <x:row r="107" ht="15" hidden="0" customHeight="1">
      <x:c r="A107" s="29" t="n">
        <x:v>103</x:v>
      </x:c>
      <x:c r="B107" s="29" t="n">
        <x:v>331007</x:v>
      </x:c>
      <x:c r="C107" s="29" t="str">
        <x:v>A0</x:v>
      </x:c>
      <x:c r="D107" s="53" t="n">
        <x:v>1640.3794154340717</x:v>
      </x:c>
      <x:c r="E107" s="47" t="n">
        <x:v>0.6561517661736287</x:v>
      </x:c>
      <x:c r="F107" s="47" t="n">
        <x:v>0.3053517458558983</x:v>
      </x:c>
      <x:c r="G107" s="47" t="n">
        <x:v>0.5582722237372523</x:v>
      </x:c>
      <x:c r="H107" s="47" t="n">
        <x:v>1</x:v>
      </x:c>
      <x:c r="I107" s="47" t="n">
        <x:v>0.8479896326905957</x:v>
      </x:c>
      <x:c r="J107" s="47" t="n">
        <x:v>0.5582722237372523</x:v>
      </x:c>
      <x:c r="K107" s="47" t="n">
        <x:v>0.9671100771868428</x:v>
      </x:c>
      <x:c r="L107" s="47" t="n">
        <x:v>0.6042611658451957</x:v>
      </x:c>
      <x:c r="M107" s="29" t="n">
        <x:v>0</x:v>
      </x:c>
    </x:row>
    <x:row r="108" ht="15" hidden="0" customHeight="1">
      <x:c r="A108" s="27" t="n">
        <x:v>104</x:v>
      </x:c>
      <x:c r="B108" s="27" t="n">
        <x:v>331008</x:v>
      </x:c>
      <x:c r="C108" s="27" t="str">
        <x:v>A0</x:v>
      </x:c>
      <x:c r="D108" s="52" t="n">
        <x:v>1657.2658502489558</x:v>
      </x:c>
      <x:c r="E108" s="46" t="n">
        <x:v>0.6629063400995823</x:v>
      </x:c>
      <x:c r="F108" s="46" t="n">
        <x:v>0.35605696054731295</x:v>
      </x:c>
      <x:c r="G108" s="46" t="n">
        <x:v>0.5632477436143778</x:v>
      </x:c>
      <x:c r="H108" s="46" t="n">
        <x:v>1</x:v>
      </x:c>
      <x:c r="I108" s="46" t="n">
        <x:v>0.8370500274024654</x:v>
      </x:c>
      <x:c r="J108" s="46" t="n">
        <x:v>0.5632477436143778</x:v>
      </x:c>
      <x:c r="K108" s="46" t="n">
        <x:v>0.992242244414964</x:v>
      </x:c>
      <x:c r="L108" s="46" t="n">
        <x:v>0.6127469694614964</x:v>
      </x:c>
      <x:c r="M108" s="27" t="n">
        <x:v>0</x:v>
      </x:c>
    </x:row>
    <x:row r="109" ht="15" hidden="0" customHeight="1">
      <x:c r="A109" s="29" t="n">
        <x:v>105</x:v>
      </x:c>
      <x:c r="B109" s="29" t="n">
        <x:v>331009</x:v>
      </x:c>
      <x:c r="C109" s="29" t="str">
        <x:v>A0</x:v>
      </x:c>
      <x:c r="D109" s="53" t="n">
        <x:v>1682.9560622659435</x:v>
      </x:c>
      <x:c r="E109" s="47" t="n">
        <x:v>0.6731824249063774</x:v>
      </x:c>
      <x:c r="F109" s="47" t="n">
        <x:v>0.3265155086295923</x:v>
      </x:c>
      <x:c r="G109" s="47" t="n">
        <x:v>0.5810130201282322</x:v>
      </x:c>
      <x:c r="H109" s="47" t="n">
        <x:v>1</x:v>
      </x:c>
      <x:c r="I109" s="47" t="n">
        <x:v>0.8550503363051382</x:v>
      </x:c>
      <x:c r="J109" s="47" t="n">
        <x:v>0.5810130201282322</x:v>
      </x:c>
      <x:c r="K109" s="47" t="n">
        <x:v>0.9882395859996863</x:v>
      </x:c>
      <x:c r="L109" s="47" t="n">
        <x:v>0.6227518438096774</x:v>
      </x:c>
      <x:c r="M109" s="29" t="n">
        <x:v>0</x:v>
      </x:c>
    </x:row>
    <x:row r="110" ht="15" hidden="0" customHeight="1">
      <x:c r="A110" s="27" t="n">
        <x:v>106</x:v>
      </x:c>
      <x:c r="B110" s="27" t="n">
        <x:v>331010</x:v>
      </x:c>
      <x:c r="C110" s="27" t="str">
        <x:v>A0</x:v>
      </x:c>
      <x:c r="D110" s="52" t="n">
        <x:v>1692.0941473126488</x:v>
      </x:c>
      <x:c r="E110" s="46" t="n">
        <x:v>0.6768376589250595</x:v>
      </x:c>
      <x:c r="F110" s="46" t="n">
        <x:v>0.3512961240254211</x:v>
      </x:c>
      <x:c r="G110" s="46" t="n">
        <x:v>0.5863158006720529</x:v>
      </x:c>
      <x:c r="H110" s="46" t="n">
        <x:v>0.9895002369906079</x:v>
      </x:c>
      <x:c r="I110" s="46" t="n">
        <x:v>0.8124125717159254</x:v>
      </x:c>
      <x:c r="J110" s="46" t="n">
        <x:v>0.5863158006720529</x:v>
      </x:c>
      <x:c r="K110" s="46" t="n">
        <x:v>1</x:v>
      </x:c>
      <x:c r="L110" s="46" t="n">
        <x:v>0.6332594985473731</x:v>
      </x:c>
      <x:c r="M110" s="27" t="n">
        <x:v>0</x:v>
      </x:c>
    </x:row>
    <x:row r="111" ht="15" hidden="0" customHeight="1">
      <x:c r="A111" s="29" t="n">
        <x:v>107</x:v>
      </x:c>
      <x:c r="B111" s="29" t="n">
        <x:v>331011</x:v>
      </x:c>
      <x:c r="C111" s="29" t="str">
        <x:v>A0</x:v>
      </x:c>
      <x:c r="D111" s="53" t="n">
        <x:v>1702.0864867006717</x:v>
      </x:c>
      <x:c r="E111" s="47" t="n">
        <x:v>0.6808345946802686</x:v>
      </x:c>
      <x:c r="F111" s="47" t="n">
        <x:v>0.358425585156785</x:v>
      </x:c>
      <x:c r="G111" s="47" t="n">
        <x:v>0.5854232037315898</x:v>
      </x:c>
      <x:c r="H111" s="47" t="n">
        <x:v>1</x:v>
      </x:c>
      <x:c r="I111" s="47" t="n">
        <x:v>0.8729104629056522</x:v>
      </x:c>
      <x:c r="J111" s="47" t="n">
        <x:v>0.5854232037315898</x:v>
      </x:c>
      <x:c r="K111" s="47" t="n">
        <x:v>0.9992207551169188</x:v>
      </x:c>
      <x:c r="L111" s="47" t="n">
        <x:v>0.6287336251298676</x:v>
      </x:c>
      <x:c r="M111" s="29" t="n">
        <x:v>0</x:v>
      </x:c>
    </x:row>
    <x:row r="112" ht="15" hidden="0" customHeight="1">
      <x:c r="A112" s="27" t="n">
        <x:v>108</x:v>
      </x:c>
      <x:c r="B112" s="27" t="n">
        <x:v>331012</x:v>
      </x:c>
      <x:c r="C112" s="27" t="str">
        <x:v>A0</x:v>
      </x:c>
      <x:c r="D112" s="52" t="n">
        <x:v>1633.431372071329</x:v>
      </x:c>
      <x:c r="E112" s="46" t="n">
        <x:v>0.6533725488285316</x:v>
      </x:c>
      <x:c r="F112" s="46" t="n">
        <x:v>0.31213775794253135</x:v>
      </x:c>
      <x:c r="G112" s="46" t="n">
        <x:v>0.5621233741507083</x:v>
      </x:c>
      <x:c r="H112" s="46" t="n">
        <x:v>1</x:v>
      </x:c>
      <x:c r="I112" s="46" t="n">
        <x:v>0.8018561788428141</x:v>
      </x:c>
      <x:c r="J112" s="46" t="n">
        <x:v>0.5621233741507083</x:v>
      </x:c>
      <x:c r="K112" s="46" t="n">
        <x:v>0.9697350622327569</x:v>
      </x:c>
      <x:c r="L112" s="46" t="n">
        <x:v>0.6078031311013913</x:v>
      </x:c>
      <x:c r="M112" s="27" t="n">
        <x:v>0</x:v>
      </x:c>
    </x:row>
    <x:row r="113" ht="15" hidden="0" customHeight="1">
      <x:c r="A113" s="29" t="n">
        <x:v>109</x:v>
      </x:c>
      <x:c r="B113" s="29" t="n">
        <x:v>331013</x:v>
      </x:c>
      <x:c r="C113" s="29" t="str">
        <x:v>A0</x:v>
      </x:c>
      <x:c r="D113" s="53" t="n">
        <x:v>1747.0260330330302</x:v>
      </x:c>
      <x:c r="E113" s="47" t="n">
        <x:v>0.6988104132132121</x:v>
      </x:c>
      <x:c r="F113" s="47" t="n">
        <x:v>0.3664315711653014</x:v>
      </x:c>
      <x:c r="G113" s="47" t="n">
        <x:v>0.6074392707022038</x:v>
      </x:c>
      <x:c r="H113" s="47" t="n">
        <x:v>1</x:v>
      </x:c>
      <x:c r="I113" s="47" t="n">
        <x:v>0.8762106501531718</x:v>
      </x:c>
      <x:c r="J113" s="47" t="n">
        <x:v>0.6074392707022038</x:v>
      </x:c>
      <x:c r="K113" s="47" t="n">
        <x:v>0.9961819538929633</x:v>
      </x:c>
      <x:c r="L113" s="47" t="n">
        <x:v>0.6504384944080034</x:v>
      </x:c>
      <x:c r="M113" s="29" t="n">
        <x:v>0</x:v>
      </x:c>
    </x:row>
    <x:row r="114" ht="15" hidden="0" customHeight="1">
      <x:c r="A114" s="27" t="n">
        <x:v>110</x:v>
      </x:c>
      <x:c r="B114" s="27" t="n">
        <x:v>331014</x:v>
      </x:c>
      <x:c r="C114" s="27" t="str">
        <x:v>A0</x:v>
      </x:c>
      <x:c r="D114" s="52" t="n">
        <x:v>1694.0287485161534</x:v>
      </x:c>
      <x:c r="E114" s="46" t="n">
        <x:v>0.6776114994064614</x:v>
      </x:c>
      <x:c r="F114" s="46" t="n">
        <x:v>0.34409729899500635</x:v>
      </x:c>
      <x:c r="G114" s="46" t="n">
        <x:v>0.582950247275116</x:v>
      </x:c>
      <x:c r="H114" s="46" t="n">
        <x:v>1</x:v>
      </x:c>
      <x:c r="I114" s="46" t="n">
        <x:v>0.8393095403063072</x:v>
      </x:c>
      <x:c r="J114" s="46" t="n">
        <x:v>0.582950247275116</x:v>
      </x:c>
      <x:c r="K114" s="46" t="n">
        <x:v>1</x:v>
      </x:c>
      <x:c r="L114" s="46" t="n">
        <x:v>0.629940489911313</x:v>
      </x:c>
      <x:c r="M114" s="27" t="n">
        <x:v>0</x:v>
      </x:c>
    </x:row>
    <x:row r="115" ht="15" hidden="0" customHeight="1">
      <x:c r="A115" s="29" t="n">
        <x:v>111</x:v>
      </x:c>
      <x:c r="B115" s="29" t="n">
        <x:v>331015</x:v>
      </x:c>
      <x:c r="C115" s="29" t="str">
        <x:v>A0</x:v>
      </x:c>
      <x:c r="D115" s="53" t="n">
        <x:v>1692.754425529391</x:v>
      </x:c>
      <x:c r="E115" s="47" t="n">
        <x:v>0.6771017702117564</x:v>
      </x:c>
      <x:c r="F115" s="47" t="n">
        <x:v>0.3579864742676095</x:v>
      </x:c>
      <x:c r="G115" s="47" t="n">
        <x:v>0.5841391388087094</x:v>
      </x:c>
      <x:c r="H115" s="47" t="n">
        <x:v>1</x:v>
      </x:c>
      <x:c r="I115" s="47" t="n">
        <x:v>0.8656736911174573</x:v>
      </x:c>
      <x:c r="J115" s="47" t="n">
        <x:v>0.5841391388087094</x:v>
      </x:c>
      <x:c r="K115" s="47" t="n">
        <x:v>0.9994184305061252</x:v>
      </x:c>
      <x:c r="L115" s="47" t="n">
        <x:v>0.6252450737007497</x:v>
      </x:c>
      <x:c r="M115" s="29" t="n">
        <x:v>0</x:v>
      </x:c>
    </x:row>
    <x:row r="116" ht="15" hidden="0" customHeight="1">
      <x:c r="A116" s="27" t="n">
        <x:v>112</x:v>
      </x:c>
      <x:c r="B116" s="27" t="n">
        <x:v>331016</x:v>
      </x:c>
      <x:c r="C116" s="27" t="str">
        <x:v>A0</x:v>
      </x:c>
      <x:c r="D116" s="52" t="n">
        <x:v>1657.0729362551378</x:v>
      </x:c>
      <x:c r="E116" s="46" t="n">
        <x:v>0.6628291745020551</x:v>
      </x:c>
      <x:c r="F116" s="46" t="n">
        <x:v>0.3249703433410803</x:v>
      </x:c>
      <x:c r="G116" s="46" t="n">
        <x:v>0.570461393289137</x:v>
      </x:c>
      <x:c r="H116" s="46" t="n">
        <x:v>0.9968011200535075</x:v>
      </x:c>
      <x:c r="I116" s="46" t="n">
        <x:v>0.8373026186480601</x:v>
      </x:c>
      <x:c r="J116" s="46" t="n">
        <x:v>0.570461393289137</x:v>
      </x:c>
      <x:c r="K116" s="46" t="n">
        <x:v>0.9864989006432029</x:v>
      </x:c>
      <x:c r="L116" s="46" t="n">
        <x:v>0.6129433456780693</x:v>
      </x:c>
      <x:c r="M116" s="27" t="n">
        <x:v>0</x:v>
      </x:c>
    </x:row>
    <x:row r="117" ht="15" hidden="0" customHeight="1">
      <x:c r="A117" s="29" t="n">
        <x:v>113</x:v>
      </x:c>
      <x:c r="B117" s="29" t="n">
        <x:v>331017</x:v>
      </x:c>
      <x:c r="C117" s="29" t="str">
        <x:v>A0</x:v>
      </x:c>
      <x:c r="D117" s="53" t="n">
        <x:v>1703.3707345385592</x:v>
      </x:c>
      <x:c r="E117" s="47" t="n">
        <x:v>0.6813482938154237</x:v>
      </x:c>
      <x:c r="F117" s="47" t="n">
        <x:v>0.33854114838178123</x:v>
      </x:c>
      <x:c r="G117" s="47" t="n">
        <x:v>0.5857372592491797</x:v>
      </x:c>
      <x:c r="H117" s="47" t="n">
        <x:v>1</x:v>
      </x:c>
      <x:c r="I117" s="47" t="n">
        <x:v>0.8767719489496667</x:v>
      </x:c>
      <x:c r="J117" s="47" t="n">
        <x:v>0.5857372592491797</x:v>
      </x:c>
      <x:c r="K117" s="47" t="n">
        <x:v>1</x:v>
      </x:c>
      <x:c r="L117" s="47" t="n">
        <x:v>0.6287192431403097</x:v>
      </x:c>
      <x:c r="M117" s="29" t="n">
        <x:v>0</x:v>
      </x:c>
    </x:row>
    <x:row r="118" ht="15" hidden="0" customHeight="1">
      <x:c r="A118" s="27" t="n">
        <x:v>114</x:v>
      </x:c>
      <x:c r="B118" s="27" t="n">
        <x:v>331018</x:v>
      </x:c>
      <x:c r="C118" s="27" t="str">
        <x:v>A0</x:v>
      </x:c>
      <x:c r="D118" s="52" t="n">
        <x:v>1721.5360540576112</x:v>
      </x:c>
      <x:c r="E118" s="46" t="n">
        <x:v>0.6886144216230444</x:v>
      </x:c>
      <x:c r="F118" s="46" t="n">
        <x:v>0.3853635238946865</x:v>
      </x:c>
      <x:c r="G118" s="46" t="n">
        <x:v>0.5911781097743896</x:v>
      </x:c>
      <x:c r="H118" s="46" t="n">
        <x:v>1</x:v>
      </x:c>
      <x:c r="I118" s="46" t="n">
        <x:v>0.8800666923834792</x:v>
      </x:c>
      <x:c r="J118" s="46" t="n">
        <x:v>0.5911781097743896</x:v>
      </x:c>
      <x:c r="K118" s="46" t="n">
        <x:v>1</x:v>
      </x:c>
      <x:c r="L118" s="46" t="n">
        <x:v>0.6371399531360705</x:v>
      </x:c>
      <x:c r="M118" s="27" t="n">
        <x:v>0</x:v>
      </x:c>
    </x:row>
    <x:row r="119" ht="15" hidden="0" customHeight="1">
      <x:c r="A119" s="29" t="n">
        <x:v>115</x:v>
      </x:c>
      <x:c r="B119" s="29" t="n">
        <x:v>331019</x:v>
      </x:c>
      <x:c r="C119" s="29" t="str">
        <x:v>A0</x:v>
      </x:c>
      <x:c r="D119" s="53" t="n">
        <x:v>1689.7252997152505</x:v>
      </x:c>
      <x:c r="E119" s="47" t="n">
        <x:v>0.6758901198861001</x:v>
      </x:c>
      <x:c r="F119" s="47" t="n">
        <x:v>0.31033510793312774</x:v>
      </x:c>
      <x:c r="G119" s="47" t="n">
        <x:v>0.579050398378362</x:v>
      </x:c>
      <x:c r="H119" s="47" t="n">
        <x:v>0.9946623050491914</x:v>
      </x:c>
      <x:c r="I119" s="47" t="n">
        <x:v>0.8102389970628593</x:v>
      </x:c>
      <x:c r="J119" s="47" t="n">
        <x:v>0.579050398378362</x:v>
      </x:c>
      <x:c r="K119" s="47" t="n">
        <x:v>0.9765002557757552</x:v>
      </x:c>
      <x:c r="L119" s="47" t="n">
        <x:v>0.6338371478122375</x:v>
      </x:c>
      <x:c r="M119" s="29" t="n">
        <x:v>0</x:v>
      </x:c>
    </x:row>
    <x:row r="120" ht="15" hidden="0" customHeight="1">
      <x:c r="A120" s="27" t="n">
        <x:v>116</x:v>
      </x:c>
      <x:c r="B120" s="27" t="n">
        <x:v>331020</x:v>
      </x:c>
      <x:c r="C120" s="27" t="str">
        <x:v>A0</x:v>
      </x:c>
      <x:c r="D120" s="52" t="n">
        <x:v>1687.0155553134218</x:v>
      </x:c>
      <x:c r="E120" s="46" t="n">
        <x:v>0.6748062221253688</x:v>
      </x:c>
      <x:c r="F120" s="46" t="n">
        <x:v>0.3330007451017183</x:v>
      </x:c>
      <x:c r="G120" s="46" t="n">
        <x:v>0.5797114806625593</x:v>
      </x:c>
      <x:c r="H120" s="46" t="n">
        <x:v>0.9999979361128128</x:v>
      </x:c>
      <x:c r="I120" s="46" t="n">
        <x:v>0.7919605499983776</x:v>
      </x:c>
      <x:c r="J120" s="46" t="n">
        <x:v>0.5797114806625593</x:v>
      </x:c>
      <x:c r="K120" s="46" t="n">
        <x:v>0.984851836689583</x:v>
      </x:c>
      <x:c r="L120" s="46" t="n">
        <x:v>0.634763814564264</x:v>
      </x:c>
      <x:c r="M120" s="27" t="n">
        <x:v>0</x:v>
      </x:c>
    </x:row>
    <x:row r="121" ht="15" hidden="0" customHeight="1">
      <x:c r="A121" s="29" t="n">
        <x:v>117</x:v>
      </x:c>
      <x:c r="B121" s="29" t="n">
        <x:v>331021</x:v>
      </x:c>
      <x:c r="C121" s="29" t="str">
        <x:v>A0</x:v>
      </x:c>
      <x:c r="D121" s="53" t="n">
        <x:v>1647.2876682007504</x:v>
      </x:c>
      <x:c r="E121" s="47" t="n">
        <x:v>0.6589150672803001</x:v>
      </x:c>
      <x:c r="F121" s="47" t="n">
        <x:v>0.3031000415895471</x:v>
      </x:c>
      <x:c r="G121" s="47" t="n">
        <x:v>0.5616977740179278</x:v>
      </x:c>
      <x:c r="H121" s="47" t="n">
        <x:v>0.9932556479245093</x:v>
      </x:c>
      <x:c r="I121" s="47" t="n">
        <x:v>0.8088610548150917</x:v>
      </x:c>
      <x:c r="J121" s="47" t="n">
        <x:v>0.5616977740179278</x:v>
      </x:c>
      <x:c r="K121" s="47" t="n">
        <x:v>0.9722233341782113</x:v>
      </x:c>
      <x:c r="L121" s="47" t="n">
        <x:v>0.6134930888041898</x:v>
      </x:c>
      <x:c r="M121" s="29" t="n">
        <x:v>0</x:v>
      </x:c>
    </x:row>
    <x:row r="122" ht="15" hidden="0" customHeight="1">
      <x:c r="A122" s="27" t="n">
        <x:v>118</x:v>
      </x:c>
      <x:c r="B122" s="27" t="n">
        <x:v>331022</x:v>
      </x:c>
      <x:c r="C122" s="27" t="str">
        <x:v>A0</x:v>
      </x:c>
      <x:c r="D122" s="52" t="n">
        <x:v>1678.758222608899</x:v>
      </x:c>
      <x:c r="E122" s="46" t="n">
        <x:v>0.6715032890435596</x:v>
      </x:c>
      <x:c r="F122" s="46" t="n">
        <x:v>0.3160665087866498</x:v>
      </x:c>
      <x:c r="G122" s="46" t="n">
        <x:v>0.5727007260120316</x:v>
      </x:c>
      <x:c r="H122" s="46" t="n">
        <x:v>1</x:v>
      </x:c>
      <x:c r="I122" s="46" t="n">
        <x:v>0.860424266681122</x:v>
      </x:c>
      <x:c r="J122" s="46" t="n">
        <x:v>0.5727007260120316</x:v>
      </x:c>
      <x:c r="K122" s="46" t="n">
        <x:v>0.983961398942474</x:v>
      </x:c>
      <x:c r="L122" s="46" t="n">
        <x:v>0.6201640552123269</x:v>
      </x:c>
      <x:c r="M122" s="27" t="n">
        <x:v>0</x:v>
      </x:c>
    </x:row>
    <x:row r="123" ht="15" hidden="0" customHeight="1">
      <x:c r="A123" s="29" t="n">
        <x:v>119</x:v>
      </x:c>
      <x:c r="B123" s="29" t="n">
        <x:v>331023</x:v>
      </x:c>
      <x:c r="C123" s="29" t="str">
        <x:v>A0</x:v>
      </x:c>
      <x:c r="D123" s="53" t="n">
        <x:v>1690.6860593502436</x:v>
      </x:c>
      <x:c r="E123" s="47" t="n">
        <x:v>0.6762744237400974</x:v>
      </x:c>
      <x:c r="F123" s="47" t="n">
        <x:v>0.35838471697731944</x:v>
      </x:c>
      <x:c r="G123" s="47" t="n">
        <x:v>0.5818713667773293</x:v>
      </x:c>
      <x:c r="H123" s="47" t="n">
        <x:v>1</x:v>
      </x:c>
      <x:c r="I123" s="47" t="n">
        <x:v>0.8730096465430196</x:v>
      </x:c>
      <x:c r="J123" s="47" t="n">
        <x:v>0.5818713667773293</x:v>
      </x:c>
      <x:c r="K123" s="47" t="n">
        <x:v>0.992895049908101</x:v>
      </x:c>
      <x:c r="L123" s="47" t="n">
        <x:v>0.623495118315461</x:v>
      </x:c>
      <x:c r="M123" s="29" t="n">
        <x:v>0</x:v>
      </x:c>
    </x:row>
    <x:row r="124" ht="15" hidden="0" customHeight="1">
      <x:c r="A124" s="27" t="n">
        <x:v>120</x:v>
      </x:c>
      <x:c r="B124" s="27" t="n">
        <x:v>331024</x:v>
      </x:c>
      <x:c r="C124" s="27" t="str">
        <x:v>A0</x:v>
      </x:c>
      <x:c r="D124" s="52" t="n">
        <x:v>1686.3373046989348</x:v>
      </x:c>
      <x:c r="E124" s="46" t="n">
        <x:v>0.6745349218795739</x:v>
      </x:c>
      <x:c r="F124" s="46" t="n">
        <x:v>0.330204312026599</x:v>
      </x:c>
      <x:c r="G124" s="46" t="n">
        <x:v>0.578379798398764</x:v>
      </x:c>
      <x:c r="H124" s="46" t="n">
        <x:v>0.9981371016144559</x:v>
      </x:c>
      <x:c r="I124" s="46" t="n">
        <x:v>0.8016022113622849</x:v>
      </x:c>
      <x:c r="J124" s="46" t="n">
        <x:v>0.578379798398764</x:v>
      </x:c>
      <x:c r="K124" s="46" t="n">
        <x:v>0.9887739290051694</x:v>
      </x:c>
      <x:c r="L124" s="46" t="n">
        <x:v>0.6327276007093702</x:v>
      </x:c>
      <x:c r="M124" s="27" t="n">
        <x:v>0</x:v>
      </x:c>
    </x:row>
    <x:row r="125" ht="15" hidden="0" customHeight="1">
      <x:c r="A125" s="29" t="n">
        <x:v>121</x:v>
      </x:c>
      <x:c r="B125" s="29" t="n">
        <x:v>331025</x:v>
      </x:c>
      <x:c r="C125" s="29" t="str">
        <x:v>A0</x:v>
      </x:c>
      <x:c r="D125" s="53" t="n">
        <x:v>1629.1710879707082</x:v>
      </x:c>
      <x:c r="E125" s="47" t="n">
        <x:v>0.6516684351882833</x:v>
      </x:c>
      <x:c r="F125" s="47" t="n">
        <x:v>0.3161588840064484</x:v>
      </x:c>
      <x:c r="G125" s="47" t="n">
        <x:v>0.5589708525612544</x:v>
      </x:c>
      <x:c r="H125" s="47" t="n">
        <x:v>1</x:v>
      </x:c>
      <x:c r="I125" s="47" t="n">
        <x:v>0.8004978067740245</x:v>
      </x:c>
      <x:c r="J125" s="47" t="n">
        <x:v>0.5589708525612544</x:v>
      </x:c>
      <x:c r="K125" s="47" t="n">
        <x:v>0.9752041117920393</x:v>
      </x:c>
      <x:c r="L125" s="47" t="n">
        <x:v>0.6056031514317105</x:v>
      </x:c>
      <x:c r="M125" s="29" t="n">
        <x:v>0</x:v>
      </x:c>
    </x:row>
    <x:row r="126" ht="15" hidden="0" customHeight="1">
      <x:c r="A126" s="27" t="n">
        <x:v>122</x:v>
      </x:c>
      <x:c r="B126" s="27" t="n">
        <x:v>331026</x:v>
      </x:c>
      <x:c r="C126" s="27" t="str">
        <x:v>A0</x:v>
      </x:c>
      <x:c r="D126" s="52" t="n">
        <x:v>1685.764617427852</x:v>
      </x:c>
      <x:c r="E126" s="46" t="n">
        <x:v>0.6743058469711408</x:v>
      </x:c>
      <x:c r="F126" s="46" t="n">
        <x:v>0.32460831421701813</x:v>
      </x:c>
      <x:c r="G126" s="46" t="n">
        <x:v>0.5793297897525528</x:v>
      </x:c>
      <x:c r="H126" s="46" t="n">
        <x:v>1</x:v>
      </x:c>
      <x:c r="I126" s="46" t="n">
        <x:v>0.8401109182026814</x:v>
      </x:c>
      <x:c r="J126" s="46" t="n">
        <x:v>0.5793297897525528</x:v>
      </x:c>
      <x:c r="K126" s="46" t="n">
        <x:v>0.9845840629228024</x:v>
      </x:c>
      <x:c r="L126" s="46" t="n">
        <x:v>0.6266910096292538</x:v>
      </x:c>
      <x:c r="M126" s="27" t="n">
        <x:v>0</x:v>
      </x:c>
    </x:row>
    <x:row r="127" ht="15" hidden="0" customHeight="1">
      <x:c r="A127" s="29" t="n">
        <x:v>123</x:v>
      </x:c>
      <x:c r="B127" s="29" t="n">
        <x:v>331027</x:v>
      </x:c>
      <x:c r="C127" s="29" t="str">
        <x:v>A0</x:v>
      </x:c>
      <x:c r="D127" s="53" t="n">
        <x:v>1730.3770215061886</x:v>
      </x:c>
      <x:c r="E127" s="47" t="n">
        <x:v>0.6921508086024755</x:v>
      </x:c>
      <x:c r="F127" s="47" t="n">
        <x:v>0.3740542513170291</x:v>
      </x:c>
      <x:c r="G127" s="47" t="n">
        <x:v>0.6004587737688949</x:v>
      </x:c>
      <x:c r="H127" s="47" t="n">
        <x:v>1</x:v>
      </x:c>
      <x:c r="I127" s="47" t="n">
        <x:v>0.861876521986761</x:v>
      </x:c>
      <x:c r="J127" s="47" t="n">
        <x:v>0.6004587737688949</x:v>
      </x:c>
      <x:c r="K127" s="47" t="n">
        <x:v>0.9967423805894925</x:v>
      </x:c>
      <x:c r="L127" s="47" t="n">
        <x:v>0.6444579013907322</x:v>
      </x:c>
      <x:c r="M127" s="29" t="n">
        <x:v>0</x:v>
      </x:c>
    </x:row>
    <x:row r="128" ht="15" hidden="0" customHeight="1">
      <x:c r="A128" s="27" t="n">
        <x:v>124</x:v>
      </x:c>
      <x:c r="B128" s="27" t="n">
        <x:v>331028</x:v>
      </x:c>
      <x:c r="C128" s="27" t="str">
        <x:v>A0</x:v>
      </x:c>
      <x:c r="D128" s="52" t="n">
        <x:v>1720.7249144564714</x:v>
      </x:c>
      <x:c r="E128" s="46" t="n">
        <x:v>0.6882899657825886</x:v>
      </x:c>
      <x:c r="F128" s="46" t="n">
        <x:v>0.3685643051429637</x:v>
      </x:c>
      <x:c r="G128" s="46" t="n">
        <x:v>0.5983505002380957</x:v>
      </x:c>
      <x:c r="H128" s="46" t="n">
        <x:v>1</x:v>
      </x:c>
      <x:c r="I128" s="46" t="n">
        <x:v>0.8505625902672802</x:v>
      </x:c>
      <x:c r="J128" s="46" t="n">
        <x:v>0.5983505002380957</x:v>
      </x:c>
      <x:c r="K128" s="46" t="n">
        <x:v>0.9973714503788791</x:v>
      </x:c>
      <x:c r="L128" s="46" t="n">
        <x:v>0.641424219756039</x:v>
      </x:c>
      <x:c r="M128" s="27" t="n">
        <x:v>0</x:v>
      </x:c>
    </x:row>
    <x:row r="129" ht="15" hidden="0" customHeight="1">
      <x:c r="A129" s="29" t="n">
        <x:v>125</x:v>
      </x:c>
      <x:c r="B129" s="29" t="n">
        <x:v>331029</x:v>
      </x:c>
      <x:c r="C129" s="29" t="str">
        <x:v>A0</x:v>
      </x:c>
      <x:c r="D129" s="53" t="n">
        <x:v>1694.2835214551244</x:v>
      </x:c>
      <x:c r="E129" s="47" t="n">
        <x:v>0.6777134085820498</x:v>
      </x:c>
      <x:c r="F129" s="47" t="n">
        <x:v>0.3389055122952452</x:v>
      </x:c>
      <x:c r="G129" s="47" t="n">
        <x:v>0.5852060291697789</x:v>
      </x:c>
      <x:c r="H129" s="47" t="n">
        <x:v>1</x:v>
      </x:c>
      <x:c r="I129" s="47" t="n">
        <x:v>0.8584848810630881</x:v>
      </x:c>
      <x:c r="J129" s="47" t="n">
        <x:v>0.5852060291697789</x:v>
      </x:c>
      <x:c r="K129" s="47" t="n">
        <x:v>0.9891545050753994</x:v>
      </x:c>
      <x:c r="L129" s="47" t="n">
        <x:v>0.6277274542653176</x:v>
      </x:c>
      <x:c r="M129" s="29" t="n">
        <x:v>0</x:v>
      </x:c>
    </x:row>
    <x:row r="130" ht="15" hidden="0" customHeight="1">
      <x:c r="A130" s="27" t="n">
        <x:v>126</x:v>
      </x:c>
      <x:c r="B130" s="27" t="n">
        <x:v>331030</x:v>
      </x:c>
      <x:c r="C130" s="27" t="str">
        <x:v>A0</x:v>
      </x:c>
      <x:c r="D130" s="52" t="n">
        <x:v>1666.7805971683863</x:v>
      </x:c>
      <x:c r="E130" s="46" t="n">
        <x:v>0.6667122388673545</x:v>
      </x:c>
      <x:c r="F130" s="46" t="n">
        <x:v>0.3431935532571318</x:v>
      </x:c>
      <x:c r="G130" s="46" t="n">
        <x:v>0.5750545883486106</x:v>
      </x:c>
      <x:c r="H130" s="46" t="n">
        <x:v>1</x:v>
      </x:c>
      <x:c r="I130" s="46" t="n">
        <x:v>0.8180349691499961</x:v>
      </x:c>
      <x:c r="J130" s="46" t="n">
        <x:v>0.5750545883486106</x:v>
      </x:c>
      <x:c r="K130" s="46" t="n">
        <x:v>0.9892084974862255</x:v>
      </x:c>
      <x:c r="L130" s="46" t="n">
        <x:v>0.620493494374543</x:v>
      </x:c>
      <x:c r="M130" s="27" t="n">
        <x:v>0</x:v>
      </x:c>
    </x:row>
    <x:row r="131" ht="15" hidden="0" customHeight="1">
      <x:c r="A131" s="29" t="n">
        <x:v>127</x:v>
      </x:c>
      <x:c r="B131" s="29" t="n">
        <x:v>331031</x:v>
      </x:c>
      <x:c r="C131" s="29" t="str">
        <x:v>A0</x:v>
      </x:c>
      <x:c r="D131" s="53" t="n">
        <x:v>1641.5819713663361</x:v>
      </x:c>
      <x:c r="E131" s="47" t="n">
        <x:v>0.6566327885465344</x:v>
      </x:c>
      <x:c r="F131" s="47" t="n">
        <x:v>0.31377036424024635</x:v>
      </x:c>
      <x:c r="G131" s="47" t="n">
        <x:v>0.5620702423843464</x:v>
      </x:c>
      <x:c r="H131" s="47" t="n">
        <x:v>1</x:v>
      </x:c>
      <x:c r="I131" s="47" t="n">
        <x:v>0.8436598189805616</x:v>
      </x:c>
      <x:c r="J131" s="47" t="n">
        <x:v>0.5620702423843464</x:v>
      </x:c>
      <x:c r="K131" s="47" t="n">
        <x:v>0.9781134215341708</x:v>
      </x:c>
      <x:c r="L131" s="47" t="n">
        <x:v>0.6048352295605982</x:v>
      </x:c>
      <x:c r="M131" s="29" t="n">
        <x:v>0</x:v>
      </x:c>
    </x:row>
    <x:row r="132" ht="15" hidden="0" customHeight="1">
      <x:c r="A132" s="27" t="n">
        <x:v>128</x:v>
      </x:c>
      <x:c r="B132" s="27" t="n">
        <x:v>331032</x:v>
      </x:c>
      <x:c r="C132" s="27" t="str">
        <x:v>A0</x:v>
      </x:c>
      <x:c r="D132" s="52" t="n">
        <x:v>1724.7856977486783</x:v>
      </x:c>
      <x:c r="E132" s="46" t="n">
        <x:v>0.6899142790994713</x:v>
      </x:c>
      <x:c r="F132" s="46" t="n">
        <x:v>0.35376375700456214</x:v>
      </x:c>
      <x:c r="G132" s="46" t="n">
        <x:v>0.5993685544455161</x:v>
      </x:c>
      <x:c r="H132" s="46" t="n">
        <x:v>1</x:v>
      </x:c>
      <x:c r="I132" s="46" t="n">
        <x:v>0.8891874615455109</x:v>
      </x:c>
      <x:c r="J132" s="46" t="n">
        <x:v>0.5993685544455161</x:v>
      </x:c>
      <x:c r="K132" s="46" t="n">
        <x:v>1</x:v>
      </x:c>
      <x:c r="L132" s="46" t="n">
        <x:v>0.6372685211067233</x:v>
      </x:c>
      <x:c r="M132" s="27" t="n">
        <x:v>0</x:v>
      </x:c>
    </x:row>
    <x:row r="133" ht="15" hidden="0" customHeight="1">
      <x:c r="A133" s="29" t="n">
        <x:v>129</x:v>
      </x:c>
      <x:c r="B133" s="29" t="n">
        <x:v>331033</x:v>
      </x:c>
      <x:c r="C133" s="29" t="str">
        <x:v>A0</x:v>
      </x:c>
      <x:c r="D133" s="53" t="n">
        <x:v>1654.1863586064542</x:v>
      </x:c>
      <x:c r="E133" s="47" t="n">
        <x:v>0.6616745434425817</x:v>
      </x:c>
      <x:c r="F133" s="47" t="n">
        <x:v>0.321136800487754</x:v>
      </x:c>
      <x:c r="G133" s="47" t="n">
        <x:v>0.5705336319302012</x:v>
      </x:c>
      <x:c r="H133" s="47" t="n">
        <x:v>1</x:v>
      </x:c>
      <x:c r="I133" s="47" t="n">
        <x:v>0.8453478119522052</x:v>
      </x:c>
      <x:c r="J133" s="47" t="n">
        <x:v>0.5705336319302012</x:v>
      </x:c>
      <x:c r="K133" s="47" t="n">
        <x:v>0.976527740473541</x:v>
      </x:c>
      <x:c r="L133" s="47" t="n">
        <x:v>0.6108317973380704</x:v>
      </x:c>
      <x:c r="M133" s="29" t="n">
        <x:v>0</x:v>
      </x:c>
    </x:row>
    <x:row r="134" ht="15" hidden="0" customHeight="1">
      <x:c r="A134" s="27" t="n">
        <x:v>130</x:v>
      </x:c>
      <x:c r="B134" s="27" t="n">
        <x:v>331034</x:v>
      </x:c>
      <x:c r="C134" s="27" t="str">
        <x:v>A0</x:v>
      </x:c>
      <x:c r="D134" s="52" t="n">
        <x:v>1697.7291594328842</x:v>
      </x:c>
      <x:c r="E134" s="46" t="n">
        <x:v>0.6790916637731537</x:v>
      </x:c>
      <x:c r="F134" s="46" t="n">
        <x:v>0.3549410753951148</x:v>
      </x:c>
      <x:c r="G134" s="46" t="n">
        <x:v>0.5856852978930712</x:v>
      </x:c>
      <x:c r="H134" s="46" t="n">
        <x:v>1</x:v>
      </x:c>
      <x:c r="I134" s="46" t="n">
        <x:v>0.8667122599806607</x:v>
      </x:c>
      <x:c r="J134" s="46" t="n">
        <x:v>0.5856852978930712</x:v>
      </x:c>
      <x:c r="K134" s="46" t="n">
        <x:v>0.9921557339850324</x:v>
      </x:c>
      <x:c r="L134" s="46" t="n">
        <x:v>0.6279677203258354</x:v>
      </x:c>
      <x:c r="M134" s="27" t="n">
        <x:v>0</x:v>
      </x:c>
    </x:row>
    <x:row r="135" ht="15" hidden="0" customHeight="1">
      <x:c r="A135" s="29" t="n">
        <x:v>131</x:v>
      </x:c>
      <x:c r="B135" s="29" t="n">
        <x:v>331035</x:v>
      </x:c>
      <x:c r="C135" s="29" t="str">
        <x:v>A0</x:v>
      </x:c>
      <x:c r="D135" s="53" t="n">
        <x:v>1656.4758963877507</x:v>
      </x:c>
      <x:c r="E135" s="47" t="n">
        <x:v>0.6625903585551003</x:v>
      </x:c>
      <x:c r="F135" s="47" t="n">
        <x:v>0.32793595106679924</x:v>
      </x:c>
      <x:c r="G135" s="47" t="n">
        <x:v>0.5700987622224744</x:v>
      </x:c>
      <x:c r="H135" s="47" t="n">
        <x:v>1</x:v>
      </x:c>
      <x:c r="I135" s="47" t="n">
        <x:v>0.7961084057655154</x:v>
      </x:c>
      <x:c r="J135" s="47" t="n">
        <x:v>0.5700987622224744</x:v>
      </x:c>
      <x:c r="K135" s="47" t="n">
        <x:v>0.9909246345992153</x:v>
      </x:c>
      <x:c r="L135" s="47" t="n">
        <x:v>0.6187403314443666</x:v>
      </x:c>
      <x:c r="M135" s="29" t="n">
        <x:v>0</x:v>
      </x:c>
    </x:row>
    <x:row r="136" ht="15" hidden="0" customHeight="1">
      <x:c r="A136" s="27" t="n">
        <x:v>132</x:v>
      </x:c>
      <x:c r="B136" s="27" t="n">
        <x:v>331036</x:v>
      </x:c>
      <x:c r="C136" s="27" t="str">
        <x:v>A0</x:v>
      </x:c>
      <x:c r="D136" s="52" t="n">
        <x:v>1689.4547873440047</x:v>
      </x:c>
      <x:c r="E136" s="46" t="n">
        <x:v>0.6757819149376019</x:v>
      </x:c>
      <x:c r="F136" s="46" t="n">
        <x:v>0.3256580027421986</x:v>
      </x:c>
      <x:c r="G136" s="46" t="n">
        <x:v>0.5845131374217198</x:v>
      </x:c>
      <x:c r="H136" s="46" t="n">
        <x:v>1</x:v>
      </x:c>
      <x:c r="I136" s="46" t="n">
        <x:v>0.8476958246372075</x:v>
      </x:c>
      <x:c r="J136" s="46" t="n">
        <x:v>0.5845131374217198</x:v>
      </x:c>
      <x:c r="K136" s="46" t="n">
        <x:v>0.9961301415242564</x:v>
      </x:c>
      <x:c r="L136" s="46" t="n">
        <x:v>0.6266013699207763</x:v>
      </x:c>
      <x:c r="M136" s="27" t="n">
        <x:v>0</x:v>
      </x:c>
    </x:row>
    <x:row r="137" ht="15" hidden="0" customHeight="1">
      <x:c r="A137" s="29" t="n">
        <x:v>133</x:v>
      </x:c>
      <x:c r="B137" s="29" t="n">
        <x:v>331037</x:v>
      </x:c>
      <x:c r="C137" s="29" t="str">
        <x:v>A0</x:v>
      </x:c>
      <x:c r="D137" s="53" t="n">
        <x:v>1630.9227650782404</x:v>
      </x:c>
      <x:c r="E137" s="47" t="n">
        <x:v>0.6523691060312962</x:v>
      </x:c>
      <x:c r="F137" s="47" t="n">
        <x:v>0.3552337411144654</x:v>
      </x:c>
      <x:c r="G137" s="47" t="n">
        <x:v>0.559028231576693</x:v>
      </x:c>
      <x:c r="H137" s="47" t="n">
        <x:v>0.9974009616869834</x:v>
      </x:c>
      <x:c r="I137" s="47" t="n">
        <x:v>0.8136848934611988</x:v>
      </x:c>
      <x:c r="J137" s="47" t="n">
        <x:v>0.559028231576693</x:v>
      </x:c>
      <x:c r="K137" s="47" t="n">
        <x:v>0.9923828641651</x:v>
      </x:c>
      <x:c r="L137" s="47" t="n">
        <x:v>0.6034155740693085</x:v>
      </x:c>
      <x:c r="M137" s="29" t="n">
        <x:v>0</x:v>
      </x:c>
    </x:row>
    <x:row r="138" ht="15" hidden="0" customHeight="1">
      <x:c r="A138" s="27" t="n">
        <x:v>134</x:v>
      </x:c>
      <x:c r="B138" s="27" t="n">
        <x:v>331038</x:v>
      </x:c>
      <x:c r="C138" s="27" t="str">
        <x:v>A0</x:v>
      </x:c>
      <x:c r="D138" s="52" t="n">
        <x:v>1638.3947883511116</x:v>
      </x:c>
      <x:c r="E138" s="46" t="n">
        <x:v>0.6553579153404446</x:v>
      </x:c>
      <x:c r="F138" s="46" t="n">
        <x:v>0.31028380612239204</x:v>
      </x:c>
      <x:c r="G138" s="46" t="n">
        <x:v>0.5634246015885882</x:v>
      </x:c>
      <x:c r="H138" s="46" t="n">
        <x:v>1</x:v>
      </x:c>
      <x:c r="I138" s="46" t="n">
        <x:v>0.8264299967790784</x:v>
      </x:c>
      <x:c r="J138" s="46" t="n">
        <x:v>0.5634246015885882</x:v>
      </x:c>
      <x:c r="K138" s="46" t="n">
        <x:v>0.9916802054724193</x:v>
      </x:c>
      <x:c r="L138" s="46" t="n">
        <x:v>0.6051068793754224</x:v>
      </x:c>
      <x:c r="M138" s="27" t="n">
        <x:v>0</x:v>
      </x:c>
    </x:row>
    <x:row r="139" ht="15" hidden="0" customHeight="1">
      <x:c r="A139" s="29" t="n">
        <x:v>135</x:v>
      </x:c>
      <x:c r="B139" s="29" t="n">
        <x:v>331039</x:v>
      </x:c>
      <x:c r="C139" s="29" t="str">
        <x:v>A0</x:v>
      </x:c>
      <x:c r="D139" s="53" t="n">
        <x:v>1708.5247404044028</x:v>
      </x:c>
      <x:c r="E139" s="47" t="n">
        <x:v>0.6834098961617611</x:v>
      </x:c>
      <x:c r="F139" s="47" t="n">
        <x:v>0.3515315894739189</x:v>
      </x:c>
      <x:c r="G139" s="47" t="n">
        <x:v>0.5900844203625485</x:v>
      </x:c>
      <x:c r="H139" s="47" t="n">
        <x:v>1</x:v>
      </x:c>
      <x:c r="I139" s="47" t="n">
        <x:v>0.8387020915043567</x:v>
      </x:c>
      <x:c r="J139" s="47" t="n">
        <x:v>0.5900844203625485</x:v>
      </x:c>
      <x:c r="K139" s="47" t="n">
        <x:v>1</x:v>
      </x:c>
      <x:c r="L139" s="47" t="n">
        <x:v>0.6371419033509842</x:v>
      </x:c>
      <x:c r="M139" s="29" t="n">
        <x:v>0</x:v>
      </x:c>
    </x:row>
    <x:row r="140" ht="15" hidden="0" customHeight="1">
      <x:c r="A140" s="27" t="n">
        <x:v>136</x:v>
      </x:c>
      <x:c r="B140" s="27" t="n">
        <x:v>331040</x:v>
      </x:c>
      <x:c r="C140" s="27" t="str">
        <x:v>A0</x:v>
      </x:c>
      <x:c r="D140" s="52" t="n">
        <x:v>1673.5969028866405</x:v>
      </x:c>
      <x:c r="E140" s="46" t="n">
        <x:v>0.6694387611546562</x:v>
      </x:c>
      <x:c r="F140" s="46" t="n">
        <x:v>0.337828281989634</x:v>
      </x:c>
      <x:c r="G140" s="46" t="n">
        <x:v>0.577009151062371</x:v>
      </x:c>
      <x:c r="H140" s="46" t="n">
        <x:v>1</x:v>
      </x:c>
      <x:c r="I140" s="46" t="n">
        <x:v>0.8309507132081434</x:v>
      </x:c>
      <x:c r="J140" s="46" t="n">
        <x:v>0.577009151062371</x:v>
      </x:c>
      <x:c r="K140" s="46" t="n">
        <x:v>0.9860149804186265</x:v>
      </x:c>
      <x:c r="L140" s="46" t="n">
        <x:v>0.6220336799812498</x:v>
      </x:c>
      <x:c r="M140" s="27" t="n">
        <x:v>0</x:v>
      </x:c>
    </x:row>
    <x:row r="141" ht="15" hidden="0" customHeight="1">
      <x:c r="A141" s="29" t="n">
        <x:v>137</x:v>
      </x:c>
      <x:c r="B141" s="29" t="n">
        <x:v>331041</x:v>
      </x:c>
      <x:c r="C141" s="29" t="str">
        <x:v>A0</x:v>
      </x:c>
      <x:c r="D141" s="53" t="n">
        <x:v>1697.2225321319784</x:v>
      </x:c>
      <x:c r="E141" s="47" t="n">
        <x:v>0.6788890128527914</x:v>
      </x:c>
      <x:c r="F141" s="47" t="n">
        <x:v>0.3453093734890329</x:v>
      </x:c>
      <x:c r="G141" s="47" t="n">
        <x:v>0.5885046867584038</x:v>
      </x:c>
      <x:c r="H141" s="47" t="n">
        <x:v>1</x:v>
      </x:c>
      <x:c r="I141" s="47" t="n">
        <x:v>0.833220292101162</x:v>
      </x:c>
      <x:c r="J141" s="47" t="n">
        <x:v>0.5885046867584038</x:v>
      </x:c>
      <x:c r="K141" s="47" t="n">
        <x:v>0.9959430859463922</x:v>
      </x:c>
      <x:c r="L141" s="47" t="n">
        <x:v>0.6326666751899908</x:v>
      </x:c>
      <x:c r="M141" s="29" t="n">
        <x:v>0</x:v>
      </x:c>
    </x:row>
    <x:row r="142" ht="15" hidden="0" customHeight="1">
      <x:c r="A142" s="27" t="n">
        <x:v>138</x:v>
      </x:c>
      <x:c r="B142" s="27" t="n">
        <x:v>331042</x:v>
      </x:c>
      <x:c r="C142" s="27" t="str">
        <x:v>A0</x:v>
      </x:c>
      <x:c r="D142" s="52" t="n">
        <x:v>1651.0440374783466</x:v>
      </x:c>
      <x:c r="E142" s="46" t="n">
        <x:v>0.6604176149913387</x:v>
      </x:c>
      <x:c r="F142" s="46" t="n">
        <x:v>0.34071404179645676</x:v>
      </x:c>
      <x:c r="G142" s="46" t="n">
        <x:v>0.568999309063392</x:v>
      </x:c>
      <x:c r="H142" s="46" t="n">
        <x:v>1</x:v>
      </x:c>
      <x:c r="I142" s="46" t="n">
        <x:v>0.8497764396588843</x:v>
      </x:c>
      <x:c r="J142" s="46" t="n">
        <x:v>0.568999309063392</x:v>
      </x:c>
      <x:c r="K142" s="46" t="n">
        <x:v>0.9912178010386947</x:v>
      </x:c>
      <x:c r="L142" s="46" t="n">
        <x:v>0.6077174796835035</x:v>
      </x:c>
      <x:c r="M142" s="27" t="n">
        <x:v>0</x:v>
      </x:c>
    </x:row>
    <x:row r="143" ht="15" hidden="0" customHeight="1">
      <x:c r="A143" s="29" t="n">
        <x:v>139</x:v>
      </x:c>
      <x:c r="B143" s="29" t="n">
        <x:v>331043</x:v>
      </x:c>
      <x:c r="C143" s="29" t="str">
        <x:v>A0</x:v>
      </x:c>
      <x:c r="D143" s="53" t="n">
        <x:v>1690.7520932564469</x:v>
      </x:c>
      <x:c r="E143" s="47" t="n">
        <x:v>0.6763008373025787</x:v>
      </x:c>
      <x:c r="F143" s="47" t="n">
        <x:v>0.3186419236518554</x:v>
      </x:c>
      <x:c r="G143" s="47" t="n">
        <x:v>0.5910147632358087</x:v>
      </x:c>
      <x:c r="H143" s="47" t="n">
        <x:v>1</x:v>
      </x:c>
      <x:c r="I143" s="47" t="n">
        <x:v>0.8664174399891029</x:v>
      </x:c>
      <x:c r="J143" s="47" t="n">
        <x:v>0.5910147632358087</x:v>
      </x:c>
      <x:c r="K143" s="47" t="n">
        <x:v>0.9769549426195528</x:v>
      </x:c>
      <x:c r="L143" s="47" t="n">
        <x:v>0.6254446721191942</x:v>
      </x:c>
      <x:c r="M143" s="29" t="n">
        <x:v>0</x:v>
      </x:c>
    </x:row>
    <x:row r="144" ht="15" hidden="0" customHeight="1">
      <x:c r="A144" s="27" t="n">
        <x:v>140</x:v>
      </x:c>
      <x:c r="B144" s="27" t="n">
        <x:v>331044</x:v>
      </x:c>
      <x:c r="C144" s="27" t="str">
        <x:v>A0</x:v>
      </x:c>
      <x:c r="D144" s="52" t="n">
        <x:v>1697.3468908475352</x:v>
      </x:c>
      <x:c r="E144" s="46" t="n">
        <x:v>0.6789387563390141</x:v>
      </x:c>
      <x:c r="F144" s="46" t="n">
        <x:v>0.3421896799087059</x:v>
      </x:c>
      <x:c r="G144" s="46" t="n">
        <x:v>0.5850316509481062</x:v>
      </x:c>
      <x:c r="H144" s="46" t="n">
        <x:v>1</x:v>
      </x:c>
      <x:c r="I144" s="46" t="n">
        <x:v>0.8556159162712211</x:v>
      </x:c>
      <x:c r="J144" s="46" t="n">
        <x:v>0.5850316509481062</x:v>
      </x:c>
      <x:c r="K144" s="46" t="n">
        <x:v>0.9930291909315095</x:v>
      </x:c>
      <x:c r="L144" s="46" t="n">
        <x:v>0.6294534367583717</x:v>
      </x:c>
      <x:c r="M144" s="27" t="n">
        <x:v>0</x:v>
      </x:c>
    </x:row>
    <x:row r="145" ht="15" hidden="0" customHeight="1">
      <x:c r="A145" s="29" t="n">
        <x:v>141</x:v>
      </x:c>
      <x:c r="B145" s="29" t="n">
        <x:v>331045</x:v>
      </x:c>
      <x:c r="C145" s="29" t="str">
        <x:v>A0</x:v>
      </x:c>
      <x:c r="D145" s="53" t="n">
        <x:v>1667.3515322853173</x:v>
      </x:c>
      <x:c r="E145" s="47" t="n">
        <x:v>0.6669406129141269</x:v>
      </x:c>
      <x:c r="F145" s="47" t="n">
        <x:v>0.32994439289699024</x:v>
      </x:c>
      <x:c r="G145" s="47" t="n">
        <x:v>0.5751624637057595</x:v>
      </x:c>
      <x:c r="H145" s="47" t="n">
        <x:v>1</x:v>
      </x:c>
      <x:c r="I145" s="47" t="n">
        <x:v>0.823480494926012</x:v>
      </x:c>
      <x:c r="J145" s="47" t="n">
        <x:v>0.5751624637057595</x:v>
      </x:c>
      <x:c r="K145" s="47" t="n">
        <x:v>0.9872979461911859</x:v>
      </x:c>
      <x:c r="L145" s="47" t="n">
        <x:v>0.6200447026198637</x:v>
      </x:c>
      <x:c r="M145" s="29" t="n">
        <x:v>0</x:v>
      </x:c>
    </x:row>
    <x:row r="146" ht="15" hidden="0" customHeight="1">
      <x:c r="A146" s="27" t="n">
        <x:v>142</x:v>
      </x:c>
      <x:c r="B146" s="27" t="n">
        <x:v>331046</x:v>
      </x:c>
      <x:c r="C146" s="27" t="str">
        <x:v>A0</x:v>
      </x:c>
      <x:c r="D146" s="52" t="n">
        <x:v>1711.005851639671</x:v>
      </x:c>
      <x:c r="E146" s="46" t="n">
        <x:v>0.6844023406558684</x:v>
      </x:c>
      <x:c r="F146" s="46" t="n">
        <x:v>0.3665460870099301</x:v>
      </x:c>
      <x:c r="G146" s="46" t="n">
        <x:v>0.5969108969764079</x:v>
      </x:c>
      <x:c r="H146" s="46" t="n">
        <x:v>1</x:v>
      </x:c>
      <x:c r="I146" s="46" t="n">
        <x:v>0.8476120346665343</x:v>
      </x:c>
      <x:c r="J146" s="46" t="n">
        <x:v>0.5969108969764079</x:v>
      </x:c>
      <x:c r="K146" s="46" t="n">
        <x:v>0.9990704749397212</x:v>
      </x:c>
      <x:c r="L146" s="46" t="n">
        <x:v>0.6369897934494732</x:v>
      </x:c>
      <x:c r="M146" s="27" t="n">
        <x:v>0</x:v>
      </x:c>
    </x:row>
    <x:row r="147" ht="15" hidden="0" customHeight="1">
      <x:c r="A147" s="29" t="n">
        <x:v>143</x:v>
      </x:c>
      <x:c r="B147" s="29" t="n">
        <x:v>331047</x:v>
      </x:c>
      <x:c r="C147" s="29" t="str">
        <x:v>A0</x:v>
      </x:c>
      <x:c r="D147" s="53" t="n">
        <x:v>1688.3327866727986</x:v>
      </x:c>
      <x:c r="E147" s="47" t="n">
        <x:v>0.6753331146691195</x:v>
      </x:c>
      <x:c r="F147" s="47" t="n">
        <x:v>0.3535414486097801</x:v>
      </x:c>
      <x:c r="G147" s="47" t="n">
        <x:v>0.584789139019577</x:v>
      </x:c>
      <x:c r="H147" s="47" t="n">
        <x:v>1</x:v>
      </x:c>
      <x:c r="I147" s="47" t="n">
        <x:v>0.8509144726344252</x:v>
      </x:c>
      <x:c r="J147" s="47" t="n">
        <x:v>0.584789139019577</x:v>
      </x:c>
      <x:c r="K147" s="47" t="n">
        <x:v>0.9953935460236909</x:v>
      </x:c>
      <x:c r="L147" s="47" t="n">
        <x:v>0.6255899606342736</x:v>
      </x:c>
      <x:c r="M147" s="29" t="n">
        <x:v>0</x:v>
      </x:c>
    </x:row>
    <x:row r="148" ht="15" hidden="0" customHeight="1">
      <x:c r="A148" s="27" t="n">
        <x:v>144</x:v>
      </x:c>
      <x:c r="B148" s="27" t="n">
        <x:v>331048</x:v>
      </x:c>
      <x:c r="C148" s="27" t="str">
        <x:v>A0</x:v>
      </x:c>
      <x:c r="D148" s="52" t="n">
        <x:v>1655.859972582445</x:v>
      </x:c>
      <x:c r="E148" s="46" t="n">
        <x:v>0.662343989032978</x:v>
      </x:c>
      <x:c r="F148" s="46" t="n">
        <x:v>0.34687104104788813</x:v>
      </x:c>
      <x:c r="G148" s="46" t="n">
        <x:v>0.5694475453200617</x:v>
      </x:c>
      <x:c r="H148" s="46" t="n">
        <x:v>1</x:v>
      </x:c>
      <x:c r="I148" s="46" t="n">
        <x:v>0.8076521364448913</x:v>
      </x:c>
      <x:c r="J148" s="46" t="n">
        <x:v>0.5694475453200617</x:v>
      </x:c>
      <x:c r="K148" s="46" t="n">
        <x:v>0.9894739307498372</x:v>
      </x:c>
      <x:c r="L148" s="46" t="n">
        <x:v>0.616736641442962</x:v>
      </x:c>
      <x:c r="M148" s="27" t="n">
        <x:v>0</x:v>
      </x:c>
    </x:row>
    <x:row r="149" ht="15" hidden="0" customHeight="1">
      <x:c r="A149" s="29" t="n">
        <x:v>145</x:v>
      </x:c>
      <x:c r="B149" s="29" t="n">
        <x:v>331049</x:v>
      </x:c>
      <x:c r="C149" s="29" t="str">
        <x:v>A0</x:v>
      </x:c>
      <x:c r="D149" s="53" t="n">
        <x:v>1629.2721551564366</x:v>
      </x:c>
      <x:c r="E149" s="47" t="n">
        <x:v>0.6517088620625746</x:v>
      </x:c>
      <x:c r="F149" s="47" t="n">
        <x:v>0.3305199296574711</x:v>
      </x:c>
      <x:c r="G149" s="47" t="n">
        <x:v>0.5569807042630354</x:v>
      </x:c>
      <x:c r="H149" s="47" t="n">
        <x:v>1</x:v>
      </x:c>
      <x:c r="I149" s="47" t="n">
        <x:v>0.8427487385929282</x:v>
      </x:c>
      <x:c r="J149" s="47" t="n">
        <x:v>0.5569807042630354</x:v>
      </x:c>
      <x:c r="K149" s="47" t="n">
        <x:v>0.9974618149716411</x:v>
      </x:c>
      <x:c r="L149" s="47" t="n">
        <x:v>0.5977669578386625</x:v>
      </x:c>
      <x:c r="M149" s="29" t="n">
        <x:v>0</x:v>
      </x:c>
    </x:row>
    <x:row r="150" ht="15" hidden="0" customHeight="1">
      <x:c r="A150" s="27" t="n">
        <x:v>146</x:v>
      </x:c>
      <x:c r="B150" s="27" t="n">
        <x:v>331050</x:v>
      </x:c>
      <x:c r="C150" s="27" t="str">
        <x:v>A0</x:v>
      </x:c>
      <x:c r="D150" s="52" t="n">
        <x:v>1692.134005100284</x:v>
      </x:c>
      <x:c r="E150" s="46" t="n">
        <x:v>0.6768536020401136</x:v>
      </x:c>
      <x:c r="F150" s="46" t="n">
        <x:v>0.33555260227971645</x:v>
      </x:c>
      <x:c r="G150" s="46" t="n">
        <x:v>0.5870802763342515</x:v>
      </x:c>
      <x:c r="H150" s="46" t="n">
        <x:v>1</x:v>
      </x:c>
      <x:c r="I150" s="46" t="n">
        <x:v>0.8461079489596933</x:v>
      </x:c>
      <x:c r="J150" s="46" t="n">
        <x:v>0.5870802763342515</x:v>
      </x:c>
      <x:c r="K150" s="46" t="n">
        <x:v>0.9860886394817562</x:v>
      </x:c>
      <x:c r="L150" s="46" t="n">
        <x:v>0.6287579032376903</x:v>
      </x:c>
      <x:c r="M150" s="27" t="n">
        <x:v>0</x:v>
      </x:c>
    </x:row>
    <x:row r="151" ht="15" hidden="0" customHeight="1">
      <x:c r="A151" s="29" t="n">
        <x:v>147</x:v>
      </x:c>
      <x:c r="B151" s="29" t="n">
        <x:v>331051</x:v>
      </x:c>
      <x:c r="C151" s="29" t="str">
        <x:v>A0</x:v>
      </x:c>
      <x:c r="D151" s="53" t="n">
        <x:v>1658.829564275802</x:v>
      </x:c>
      <x:c r="E151" s="47" t="n">
        <x:v>0.6635318257103209</x:v>
      </x:c>
      <x:c r="F151" s="47" t="n">
        <x:v>0.35175328828352803</x:v>
      </x:c>
      <x:c r="G151" s="47" t="n">
        <x:v>0.5727320394646574</x:v>
      </x:c>
      <x:c r="H151" s="47" t="n">
        <x:v>1</x:v>
      </x:c>
      <x:c r="I151" s="47" t="n">
        <x:v>0.834692514720306</x:v>
      </x:c>
      <x:c r="J151" s="47" t="n">
        <x:v>0.5727320394646574</x:v>
      </x:c>
      <x:c r="K151" s="47" t="n">
        <x:v>0.9905393781983756</x:v>
      </x:c>
      <x:c r="L151" s="47" t="n">
        <x:v>0.6139175670733538</x:v>
      </x:c>
      <x:c r="M151" s="29" t="n">
        <x:v>0</x:v>
      </x:c>
    </x:row>
    <x:row r="152" ht="15" hidden="0" customHeight="1">
      <x:c r="A152" s="27" t="n">
        <x:v>148</x:v>
      </x:c>
      <x:c r="B152" s="27" t="n">
        <x:v>331052</x:v>
      </x:c>
      <x:c r="C152" s="27" t="str">
        <x:v>A0</x:v>
      </x:c>
      <x:c r="D152" s="52" t="n">
        <x:v>1702.2145253063127</x:v>
      </x:c>
      <x:c r="E152" s="46" t="n">
        <x:v>0.680885810122525</x:v>
      </x:c>
      <x:c r="F152" s="46" t="n">
        <x:v>0.3325776774830877</x:v>
      </x:c>
      <x:c r="G152" s="46" t="n">
        <x:v>0.5851270800416633</x:v>
      </x:c>
      <x:c r="H152" s="46" t="n">
        <x:v>1</x:v>
      </x:c>
      <x:c r="I152" s="46" t="n">
        <x:v>0.8632144839610643</x:v>
      </x:c>
      <x:c r="J152" s="46" t="n">
        <x:v>0.5851270800416633</x:v>
      </x:c>
      <x:c r="K152" s="46" t="n">
        <x:v>0.9853802764214405</x:v>
      </x:c>
      <x:c r="L152" s="46" t="n">
        <x:v>0.6311390155094645</x:v>
      </x:c>
      <x:c r="M152" s="27" t="n">
        <x:v>0</x:v>
      </x:c>
    </x:row>
    <x:row r="153" ht="15" hidden="0" customHeight="1">
      <x:c r="A153" s="29" t="n">
        <x:v>149</x:v>
      </x:c>
      <x:c r="B153" s="29" t="n">
        <x:v>331053</x:v>
      </x:c>
      <x:c r="C153" s="29" t="str">
        <x:v>A0</x:v>
      </x:c>
      <x:c r="D153" s="53" t="n">
        <x:v>1703.149263479445</x:v>
      </x:c>
      <x:c r="E153" s="47" t="n">
        <x:v>0.6812597053917779</x:v>
      </x:c>
      <x:c r="F153" s="47" t="n">
        <x:v>0.33548397661644946</x:v>
      </x:c>
      <x:c r="G153" s="47" t="n">
        <x:v>0.5922102511812513</x:v>
      </x:c>
      <x:c r="H153" s="47" t="n">
        <x:v>1</x:v>
      </x:c>
      <x:c r="I153" s="47" t="n">
        <x:v>0.8690484764740507</x:v>
      </x:c>
      <x:c r="J153" s="47" t="n">
        <x:v>0.5922102511812513</x:v>
      </x:c>
      <x:c r="K153" s="47" t="n">
        <x:v>0.9991359479694819</x:v>
      </x:c>
      <x:c r="L153" s="47" t="n">
        <x:v>0.6298127360586508</x:v>
      </x:c>
      <x:c r="M153" s="29" t="n">
        <x:v>0</x:v>
      </x:c>
    </x:row>
    <x:row r="154" ht="15" hidden="0" customHeight="1">
      <x:c r="A154" s="27" t="n">
        <x:v>150</x:v>
      </x:c>
      <x:c r="B154" s="27" t="n">
        <x:v>331054</x:v>
      </x:c>
      <x:c r="C154" s="27" t="str">
        <x:v>A0</x:v>
      </x:c>
      <x:c r="D154" s="52" t="n">
        <x:v>1652.2620379950336</x:v>
      </x:c>
      <x:c r="E154" s="46" t="n">
        <x:v>0.6609048151980135</x:v>
      </x:c>
      <x:c r="F154" s="46" t="n">
        <x:v>0.33208394081949005</x:v>
      </x:c>
      <x:c r="G154" s="46" t="n">
        <x:v>0.5672691451385072</x:v>
      </x:c>
      <x:c r="H154" s="46" t="n">
        <x:v>1</x:v>
      </x:c>
      <x:c r="I154" s="46" t="n">
        <x:v>0.832966426049008</x:v>
      </x:c>
      <x:c r="J154" s="46" t="n">
        <x:v>0.5672691451385072</x:v>
      </x:c>
      <x:c r="K154" s="46" t="n">
        <x:v>0.9845264124325392</x:v>
      </x:c>
      <x:c r="L154" s="46" t="n">
        <x:v>0.6113448549336307</x:v>
      </x:c>
      <x:c r="M154" s="27" t="n">
        <x:v>0</x:v>
      </x:c>
    </x:row>
    <x:row r="155" ht="15" hidden="0" customHeight="1">
      <x:c r="A155" s="29" t="n">
        <x:v>151</x:v>
      </x:c>
      <x:c r="B155" s="29" t="n">
        <x:v>331055</x:v>
      </x:c>
      <x:c r="C155" s="29" t="str">
        <x:v>A0</x:v>
      </x:c>
      <x:c r="D155" s="53" t="n">
        <x:v>1697.1736968969626</x:v>
      </x:c>
      <x:c r="E155" s="47" t="n">
        <x:v>0.678869478758785</x:v>
      </x:c>
      <x:c r="F155" s="47" t="n">
        <x:v>0.34972591716844526</x:v>
      </x:c>
      <x:c r="G155" s="47" t="n">
        <x:v>0.57854069075842</x:v>
      </x:c>
      <x:c r="H155" s="47" t="n">
        <x:v>1</x:v>
      </x:c>
      <x:c r="I155" s="47" t="n">
        <x:v>0.8742239924441594</x:v>
      </x:c>
      <x:c r="J155" s="47" t="n">
        <x:v>0.57854069075842</x:v>
      </x:c>
      <x:c r="K155" s="47" t="n">
        <x:v>0.9973726358107635</x:v>
      </x:c>
      <x:c r="L155" s="47" t="n">
        <x:v>0.6262657349446196</x:v>
      </x:c>
      <x:c r="M155" s="29" t="n">
        <x:v>0</x:v>
      </x:c>
    </x:row>
    <x:row r="156" ht="15" hidden="0" customHeight="1">
      <x:c r="A156" s="27" t="n">
        <x:v>152</x:v>
      </x:c>
      <x:c r="B156" s="27" t="n">
        <x:v>331056</x:v>
      </x:c>
      <x:c r="C156" s="27" t="str">
        <x:v>A0</x:v>
      </x:c>
      <x:c r="D156" s="52" t="n">
        <x:v>1607.8855513053468</x:v>
      </x:c>
      <x:c r="E156" s="46" t="n">
        <x:v>0.6431542205221387</x:v>
      </x:c>
      <x:c r="F156" s="46" t="n">
        <x:v>0.3277105838583023</x:v>
      </x:c>
      <x:c r="G156" s="46" t="n">
        <x:v>0.5450547257195602</x:v>
      </x:c>
      <x:c r="H156" s="46" t="n">
        <x:v>1</x:v>
      </x:c>
      <x:c r="I156" s="46" t="n">
        <x:v>0.8338195978696407</x:v>
      </x:c>
      <x:c r="J156" s="46" t="n">
        <x:v>0.5450547257195602</x:v>
      </x:c>
      <x:c r="K156" s="46" t="n">
        <x:v>0.9723402532787065</x:v>
      </x:c>
      <x:c r="L156" s="46" t="n">
        <x:v>0.5901933536533595</x:v>
      </x:c>
      <x:c r="M156" s="27" t="n">
        <x:v>0</x:v>
      </x:c>
    </x:row>
    <x:row r="157" ht="15" hidden="0" customHeight="1">
      <x:c r="A157" s="29" t="n">
        <x:v>153</x:v>
      </x:c>
      <x:c r="B157" s="29" t="n">
        <x:v>331057</x:v>
      </x:c>
      <x:c r="C157" s="29" t="str">
        <x:v>A0</x:v>
      </x:c>
      <x:c r="D157" s="53" t="n">
        <x:v>1714.6287288378928</x:v>
      </x:c>
      <x:c r="E157" s="47" t="n">
        <x:v>0.6858514915351571</x:v>
      </x:c>
      <x:c r="F157" s="47" t="n">
        <x:v>0.3540482634447415</x:v>
      </x:c>
      <x:c r="G157" s="47" t="n">
        <x:v>0.5886910969612578</x:v>
      </x:c>
      <x:c r="H157" s="47" t="n">
        <x:v>1</x:v>
      </x:c>
      <x:c r="I157" s="47" t="n">
        <x:v>0.8571090117331069</x:v>
      </x:c>
      <x:c r="J157" s="47" t="n">
        <x:v>0.5886910969612578</x:v>
      </x:c>
      <x:c r="K157" s="47" t="n">
        <x:v>0.997920821124</x:v>
      </x:c>
      <x:c r="L157" s="47" t="n">
        <x:v>0.6374355510345526</x:v>
      </x:c>
      <x:c r="M157" s="29" t="n">
        <x:v>0</x:v>
      </x:c>
    </x:row>
    <x:row r="158" ht="15" hidden="0" customHeight="1">
      <x:c r="A158" s="27" t="n">
        <x:v>154</x:v>
      </x:c>
      <x:c r="B158" s="27" t="n">
        <x:v>331058</x:v>
      </x:c>
      <x:c r="C158" s="27" t="str">
        <x:v>A0</x:v>
      </x:c>
      <x:c r="D158" s="52" t="n">
        <x:v>1666.5970343506579</x:v>
      </x:c>
      <x:c r="E158" s="46" t="n">
        <x:v>0.6666388137402631</x:v>
      </x:c>
      <x:c r="F158" s="46" t="n">
        <x:v>0.3543816174354001</x:v>
      </x:c>
      <x:c r="G158" s="46" t="n">
        <x:v>0.5693891495814473</x:v>
      </x:c>
      <x:c r="H158" s="46" t="n">
        <x:v>0.9860164699139422</x:v>
      </x:c>
      <x:c r="I158" s="46" t="n">
        <x:v>0.780199157461983</x:v>
      </x:c>
      <x:c r="J158" s="46" t="n">
        <x:v>0.5693891495814473</x:v>
      </x:c>
      <x:c r="K158" s="46" t="n">
        <x:v>0.9935634716819562</x:v>
      </x:c>
      <x:c r="L158" s="46" t="n">
        <x:v>0.6262210370324219</x:v>
      </x:c>
      <x:c r="M158" s="27" t="n">
        <x:v>0</x:v>
      </x:c>
    </x:row>
    <x:row r="159" ht="15" hidden="0" customHeight="1">
      <x:c r="A159" s="29" t="n">
        <x:v>155</x:v>
      </x:c>
      <x:c r="B159" s="29" t="n">
        <x:v>331059</x:v>
      </x:c>
      <x:c r="C159" s="29" t="str">
        <x:v>A0</x:v>
      </x:c>
      <x:c r="D159" s="53" t="n">
        <x:v>1664.8058533454048</x:v>
      </x:c>
      <x:c r="E159" s="47" t="n">
        <x:v>0.6659223413381619</x:v>
      </x:c>
      <x:c r="F159" s="47" t="n">
        <x:v>0.3673990432044853</x:v>
      </x:c>
      <x:c r="G159" s="47" t="n">
        <x:v>0.5710612838163619</x:v>
      </x:c>
      <x:c r="H159" s="47" t="n">
        <x:v>1</x:v>
      </x:c>
      <x:c r="I159" s="47" t="n">
        <x:v>0.8374323652059847</x:v>
      </x:c>
      <x:c r="J159" s="47" t="n">
        <x:v>0.5710612838163619</x:v>
      </x:c>
      <x:c r="K159" s="47" t="n">
        <x:v>0.9934936885527033</x:v>
      </x:c>
      <x:c r="L159" s="47" t="n">
        <x:v>0.616278386559664</x:v>
      </x:c>
      <x:c r="M159" s="29" t="n">
        <x:v>0</x:v>
      </x:c>
    </x:row>
    <x:row r="160" ht="15" hidden="0" customHeight="1">
      <x:c r="A160" s="27" t="n">
        <x:v>156</x:v>
      </x:c>
      <x:c r="B160" s="27" t="n">
        <x:v>331060</x:v>
      </x:c>
      <x:c r="C160" s="27" t="str">
        <x:v>A0</x:v>
      </x:c>
      <x:c r="D160" s="52" t="n">
        <x:v>1678.7463311915938</x:v>
      </x:c>
      <x:c r="E160" s="46" t="n">
        <x:v>0.6714985324766375</x:v>
      </x:c>
      <x:c r="F160" s="46" t="n">
        <x:v>0.32826559198497174</x:v>
      </x:c>
      <x:c r="G160" s="46" t="n">
        <x:v>0.5758326512178682</x:v>
      </x:c>
      <x:c r="H160" s="46" t="n">
        <x:v>1</x:v>
      </x:c>
      <x:c r="I160" s="46" t="n">
        <x:v>0.8327692595792258</x:v>
      </x:c>
      <x:c r="J160" s="46" t="n">
        <x:v>0.5758326512178682</x:v>
      </x:c>
      <x:c r="K160" s="46" t="n">
        <x:v>0.9851005773975691</x:v>
      </x:c>
      <x:c r="L160" s="46" t="n">
        <x:v>0.6243588001230025</x:v>
      </x:c>
      <x:c r="M160" s="27" t="n">
        <x:v>0</x:v>
      </x:c>
    </x:row>
    <x:row r="161" ht="15" hidden="0" customHeight="1">
      <x:c r="A161" s="29" t="n">
        <x:v>157</x:v>
      </x:c>
      <x:c r="B161" s="29" t="n">
        <x:v>331061</x:v>
      </x:c>
      <x:c r="C161" s="29" t="str">
        <x:v>A0</x:v>
      </x:c>
      <x:c r="D161" s="53" t="n">
        <x:v>1603.5233813099676</x:v>
      </x:c>
      <x:c r="E161" s="47" t="n">
        <x:v>0.641409352523987</x:v>
      </x:c>
      <x:c r="F161" s="47" t="n">
        <x:v>0.32907077413762836</x:v>
      </x:c>
      <x:c r="G161" s="47" t="n">
        <x:v>0.5488749920966612</x:v>
      </x:c>
      <x:c r="H161" s="47" t="n">
        <x:v>0.9489299116341919</x:v>
      </x:c>
      <x:c r="I161" s="47" t="n">
        <x:v>0.7426344160009302</x:v>
      </x:c>
      <x:c r="J161" s="47" t="n">
        <x:v>0.5488749920966612</x:v>
      </x:c>
      <x:c r="K161" s="47" t="n">
        <x:v>0.9970960750986312</x:v>
      </x:c>
      <x:c r="L161" s="47" t="n">
        <x:v>0.6012768815233561</x:v>
      </x:c>
      <x:c r="M161" s="29" t="n">
        <x:v>0</x:v>
      </x:c>
    </x:row>
    <x:row r="162" ht="15" hidden="0" customHeight="1">
      <x:c r="A162" s="27" t="n">
        <x:v>158</x:v>
      </x:c>
      <x:c r="B162" s="27" t="n">
        <x:v>331062</x:v>
      </x:c>
      <x:c r="C162" s="27" t="str">
        <x:v>A0</x:v>
      </x:c>
      <x:c r="D162" s="52" t="n">
        <x:v>1692.1567176788994</x:v>
      </x:c>
      <x:c r="E162" s="46" t="n">
        <x:v>0.6768626870715597</x:v>
      </x:c>
      <x:c r="F162" s="46" t="n">
        <x:v>0.33920000401678163</x:v>
      </x:c>
      <x:c r="G162" s="46" t="n">
        <x:v>0.5821454039386309</x:v>
      </x:c>
      <x:c r="H162" s="46" t="n">
        <x:v>1</x:v>
      </x:c>
      <x:c r="I162" s="46" t="n">
        <x:v>0.8470920377789232</x:v>
      </x:c>
      <x:c r="J162" s="46" t="n">
        <x:v>0.5821454039386309</x:v>
      </x:c>
      <x:c r="K162" s="46" t="n">
        <x:v>0.9950939747676687</x:v>
      </x:c>
      <x:c r="L162" s="46" t="n">
        <x:v>0.6281097661278735</x:v>
      </x:c>
      <x:c r="M162" s="27" t="n">
        <x:v>0</x:v>
      </x:c>
    </x:row>
    <x:row r="163" ht="15" hidden="0" customHeight="1">
      <x:c r="A163" s="29" t="n">
        <x:v>159</x:v>
      </x:c>
      <x:c r="B163" s="29" t="n">
        <x:v>331063</x:v>
      </x:c>
      <x:c r="C163" s="29" t="str">
        <x:v>A0</x:v>
      </x:c>
      <x:c r="D163" s="53" t="n">
        <x:v>1685.2727245901026</x:v>
      </x:c>
      <x:c r="E163" s="47" t="n">
        <x:v>0.674109089836041</x:v>
      </x:c>
      <x:c r="F163" s="47" t="n">
        <x:v>0.3316785311750972</x:v>
      </x:c>
      <x:c r="G163" s="47" t="n">
        <x:v>0.5799986101947084</x:v>
      </x:c>
      <x:c r="H163" s="47" t="n">
        <x:v>1</x:v>
      </x:c>
      <x:c r="I163" s="47" t="n">
        <x:v>0.8717337026796215</x:v>
      </x:c>
      <x:c r="J163" s="47" t="n">
        <x:v>0.5799986101947084</x:v>
      </x:c>
      <x:c r="K163" s="47" t="n">
        <x:v>0.9887355516620465</x:v>
      </x:c>
      <x:c r="L163" s="47" t="n">
        <x:v>0.6212841571895511</x:v>
      </x:c>
      <x:c r="M163" s="29" t="n">
        <x:v>0</x:v>
      </x:c>
    </x:row>
    <x:row r="164" ht="15" hidden="0" customHeight="1">
      <x:c r="A164" s="27" t="n">
        <x:v>160</x:v>
      </x:c>
      <x:c r="B164" s="27" t="n">
        <x:v>331064</x:v>
      </x:c>
      <x:c r="C164" s="27" t="str">
        <x:v>A0</x:v>
      </x:c>
      <x:c r="D164" s="52" t="n">
        <x:v>1698.7822330982603</x:v>
      </x:c>
      <x:c r="E164" s="46" t="n">
        <x:v>0.6795128932393042</x:v>
      </x:c>
      <x:c r="F164" s="46" t="n">
        <x:v>0.35223340067350395</x:v>
      </x:c>
      <x:c r="G164" s="46" t="n">
        <x:v>0.5892532191091343</x:v>
      </x:c>
      <x:c r="H164" s="46" t="n">
        <x:v>1</x:v>
      </x:c>
      <x:c r="I164" s="46" t="n">
        <x:v>0.8462139130359319</x:v>
      </x:c>
      <x:c r="J164" s="46" t="n">
        <x:v>0.5892532191091343</x:v>
      </x:c>
      <x:c r="K164" s="46" t="n">
        <x:v>0.9950446577769324</x:v>
      </x:c>
      <x:c r="L164" s="46" t="n">
        <x:v>0.6314688434061704</x:v>
      </x:c>
      <x:c r="M164" s="27" t="n">
        <x:v>0</x:v>
      </x:c>
    </x:row>
    <x:row r="165" ht="15" hidden="0" customHeight="1">
      <x:c r="A165" s="29" t="n">
        <x:v>161</x:v>
      </x:c>
      <x:c r="B165" s="29" t="n">
        <x:v>331065</x:v>
      </x:c>
      <x:c r="C165" s="29" t="str">
        <x:v>A0</x:v>
      </x:c>
      <x:c r="D165" s="53" t="n">
        <x:v>1760.8407784942096</x:v>
      </x:c>
      <x:c r="E165" s="47" t="n">
        <x:v>0.7043363113976838</x:v>
      </x:c>
      <x:c r="F165" s="47" t="n">
        <x:v>0.3690615733948262</x:v>
      </x:c>
      <x:c r="G165" s="47" t="n">
        <x:v>0.6147102321963416</x:v>
      </x:c>
      <x:c r="H165" s="47" t="n">
        <x:v>1</x:v>
      </x:c>
      <x:c r="I165" s="47" t="n">
        <x:v>0.8909142679644978</x:v>
      </x:c>
      <x:c r="J165" s="47" t="n">
        <x:v>0.6147102321963416</x:v>
      </x:c>
      <x:c r="K165" s="47" t="n">
        <x:v>0.9949428441079283</x:v>
      </x:c>
      <x:c r="L165" s="47" t="n">
        <x:v>0.6550005709055992</x:v>
      </x:c>
      <x:c r="M165" s="29" t="n">
        <x:v>0</x:v>
      </x:c>
    </x:row>
    <x:row r="166" ht="15" hidden="0" customHeight="1">
      <x:c r="A166" s="27" t="n">
        <x:v>162</x:v>
      </x:c>
      <x:c r="B166" s="27" t="n">
        <x:v>331066</x:v>
      </x:c>
      <x:c r="C166" s="27" t="str">
        <x:v>A0</x:v>
      </x:c>
      <x:c r="D166" s="52" t="n">
        <x:v>1675.5484635794683</x:v>
      </x:c>
      <x:c r="E166" s="46" t="n">
        <x:v>0.6702193854317873</x:v>
      </x:c>
      <x:c r="F166" s="46" t="n">
        <x:v>0.3432912557951145</x:v>
      </x:c>
      <x:c r="G166" s="46" t="n">
        <x:v>0.5719139398223159</x:v>
      </x:c>
      <x:c r="H166" s="46" t="n">
        <x:v>1</x:v>
      </x:c>
      <x:c r="I166" s="46" t="n">
        <x:v>0.7943678820620069</x:v>
      </x:c>
      <x:c r="J166" s="46" t="n">
        <x:v>0.5719139398223159</x:v>
      </x:c>
      <x:c r="K166" s="46" t="n">
        <x:v>0.9958904097134834</x:v>
      </x:c>
      <x:c r="L166" s="46" t="n">
        <x:v>0.628118099052752</x:v>
      </x:c>
      <x:c r="M166" s="27" t="n">
        <x:v>0</x:v>
      </x:c>
    </x:row>
    <x:row r="167" ht="15" hidden="0" customHeight="1">
      <x:c r="A167" s="29" t="n">
        <x:v>163</x:v>
      </x:c>
      <x:c r="B167" s="29" t="n">
        <x:v>331067</x:v>
      </x:c>
      <x:c r="C167" s="29" t="str">
        <x:v>A0</x:v>
      </x:c>
      <x:c r="D167" s="53" t="n">
        <x:v>1644.1259814058874</x:v>
      </x:c>
      <x:c r="E167" s="47" t="n">
        <x:v>0.6576503925623549</x:v>
      </x:c>
      <x:c r="F167" s="47" t="n">
        <x:v>0.31288379197060734</x:v>
      </x:c>
      <x:c r="G167" s="47" t="n">
        <x:v>0.5609388264570633</x:v>
      </x:c>
      <x:c r="H167" s="47" t="n">
        <x:v>1</x:v>
      </x:c>
      <x:c r="I167" s="47" t="n">
        <x:v>0.7953328640679355</x:v>
      </x:c>
      <x:c r="J167" s="47" t="n">
        <x:v>0.5609388264570633</x:v>
      </x:c>
      <x:c r="K167" s="47" t="n">
        <x:v>0.9750748304920527</x:v>
      </x:c>
      <x:c r="L167" s="47" t="n">
        <x:v>0.6137848137492629</x:v>
      </x:c>
      <x:c r="M167" s="29" t="n">
        <x:v>0</x:v>
      </x:c>
    </x:row>
    <x:row r="168" ht="15" hidden="0" customHeight="1">
      <x:c r="A168" s="27" t="n">
        <x:v>164</x:v>
      </x:c>
      <x:c r="B168" s="27" t="n">
        <x:v>331068</x:v>
      </x:c>
      <x:c r="C168" s="27" t="str">
        <x:v>A0</x:v>
      </x:c>
      <x:c r="D168" s="52" t="n">
        <x:v>1678.362368659942</x:v>
      </x:c>
      <x:c r="E168" s="46" t="n">
        <x:v>0.6713449474639768</x:v>
      </x:c>
      <x:c r="F168" s="46" t="n">
        <x:v>0.3540732241310827</x:v>
      </x:c>
      <x:c r="G168" s="46" t="n">
        <x:v>0.5729352687748258</x:v>
      </x:c>
      <x:c r="H168" s="46" t="n">
        <x:v>1</x:v>
      </x:c>
      <x:c r="I168" s="46" t="n">
        <x:v>0.8564760921236387</x:v>
      </x:c>
      <x:c r="J168" s="46" t="n">
        <x:v>0.5729352687748258</x:v>
      </x:c>
      <x:c r="K168" s="46" t="n">
        <x:v>0.9931436591330586</x:v>
      </x:c>
      <x:c r="L168" s="46" t="n">
        <x:v>0.6200256911287922</x:v>
      </x:c>
      <x:c r="M168" s="27" t="n">
        <x:v>0</x:v>
      </x:c>
    </x:row>
    <x:row r="169" ht="15" hidden="0" customHeight="1">
      <x:c r="A169" s="29" t="n">
        <x:v>165</x:v>
      </x:c>
      <x:c r="B169" s="29" t="n">
        <x:v>331069</x:v>
      </x:c>
      <x:c r="C169" s="29" t="str">
        <x:v>A0</x:v>
      </x:c>
      <x:c r="D169" s="53" t="n">
        <x:v>1707.486896317612</x:v>
      </x:c>
      <x:c r="E169" s="47" t="n">
        <x:v>0.6829947585270448</x:v>
      </x:c>
      <x:c r="F169" s="47" t="n">
        <x:v>0.35195850168341736</x:v>
      </x:c>
      <x:c r="G169" s="47" t="n">
        <x:v>0.5894980913237632</x:v>
      </x:c>
      <x:c r="H169" s="47" t="n">
        <x:v>0.9816773075442453</x:v>
      </x:c>
      <x:c r="I169" s="47" t="n">
        <x:v>0.7745833106994743</x:v>
      </x:c>
      <x:c r="J169" s="47" t="n">
        <x:v>0.5894980913237632</x:v>
      </x:c>
      <x:c r="K169" s="47" t="n">
        <x:v>0.9959291096897002</x:v>
      </x:c>
      <x:c r="L169" s="47" t="n">
        <x:v>0.6470492036673505</x:v>
      </x:c>
      <x:c r="M169" s="29" t="n">
        <x:v>0</x:v>
      </x:c>
    </x:row>
    <x:row r="170" ht="15" hidden="0" customHeight="1">
      <x:c r="A170" s="27" t="n">
        <x:v>166</x:v>
      </x:c>
      <x:c r="B170" s="27" t="n">
        <x:v>331070</x:v>
      </x:c>
      <x:c r="C170" s="27" t="str">
        <x:v>A0</x:v>
      </x:c>
      <x:c r="D170" s="52" t="n">
        <x:v>1649.8505195237942</x:v>
      </x:c>
      <x:c r="E170" s="46" t="n">
        <x:v>0.6599402078095177</x:v>
      </x:c>
      <x:c r="F170" s="46" t="n">
        <x:v>0.3371116835122837</x:v>
      </x:c>
      <x:c r="G170" s="46" t="n">
        <x:v>0.564314111606387</x:v>
      </x:c>
      <x:c r="H170" s="46" t="n">
        <x:v>1</x:v>
      </x:c>
      <x:c r="I170" s="46" t="n">
        <x:v>0.8652942107505526</x:v>
      </x:c>
      <x:c r="J170" s="46" t="n">
        <x:v>0.564314111606387</x:v>
      </x:c>
      <x:c r="K170" s="46" t="n">
        <x:v>0.9938762626716423</x:v>
      </x:c>
      <x:c r="L170" s="46" t="n">
        <x:v>0.6045937152513862</x:v>
      </x:c>
      <x:c r="M170" s="27" t="n">
        <x:v>0</x:v>
      </x:c>
    </x:row>
    <x:row r="171" ht="15" hidden="0" customHeight="1">
      <x:c r="A171" s="29" t="n">
        <x:v>167</x:v>
      </x:c>
      <x:c r="B171" s="29" t="n">
        <x:v>331071</x:v>
      </x:c>
      <x:c r="C171" s="29" t="str">
        <x:v>A0</x:v>
      </x:c>
      <x:c r="D171" s="53" t="n">
        <x:v>1660.8219667031665</x:v>
      </x:c>
      <x:c r="E171" s="47" t="n">
        <x:v>0.6643287866812666</x:v>
      </x:c>
      <x:c r="F171" s="47" t="n">
        <x:v>0.31549006512971384</x:v>
      </x:c>
      <x:c r="G171" s="47" t="n">
        <x:v>0.5659044188298578</x:v>
      </x:c>
      <x:c r="H171" s="47" t="n">
        <x:v>1</x:v>
      </x:c>
      <x:c r="I171" s="47" t="n">
        <x:v>0.8653554003136453</x:v>
      </x:c>
      <x:c r="J171" s="47" t="n">
        <x:v>0.5659044188298578</x:v>
      </x:c>
      <x:c r="K171" s="47" t="n">
        <x:v>0.9745824581224829</x:v>
      </x:c>
      <x:c r="L171" s="47" t="n">
        <x:v>0.6111555316130589</x:v>
      </x:c>
      <x:c r="M171" s="29" t="n">
        <x:v>0</x:v>
      </x:c>
    </x:row>
    <x:row r="172" ht="15" hidden="0" customHeight="1">
      <x:c r="A172" s="27" t="n">
        <x:v>168</x:v>
      </x:c>
      <x:c r="B172" s="27" t="n">
        <x:v>331072</x:v>
      </x:c>
      <x:c r="C172" s="27" t="str">
        <x:v>A0</x:v>
      </x:c>
      <x:c r="D172" s="52" t="n">
        <x:v>1657.5871929032278</x:v>
      </x:c>
      <x:c r="E172" s="46" t="n">
        <x:v>0.6630348771612912</x:v>
      </x:c>
      <x:c r="F172" s="46" t="n">
        <x:v>0.3119850050831019</x:v>
      </x:c>
      <x:c r="G172" s="46" t="n">
        <x:v>0.56721496446876</x:v>
      </x:c>
      <x:c r="H172" s="46" t="n">
        <x:v>1</x:v>
      </x:c>
      <x:c r="I172" s="46" t="n">
        <x:v>0.8212032620711719</x:v>
      </x:c>
      <x:c r="J172" s="46" t="n">
        <x:v>0.56721496446876</x:v>
      </x:c>
      <x:c r="K172" s="46" t="n">
        <x:v>0.9788455572321133</x:v>
      </x:c>
      <x:c r="L172" s="46" t="n">
        <x:v>0.616144127498579</x:v>
      </x:c>
      <x:c r="M172" s="27" t="n">
        <x:v>0</x:v>
      </x:c>
    </x:row>
    <x:row r="173" ht="15" hidden="0" customHeight="1">
      <x:c r="A173" s="29" t="n">
        <x:v>169</x:v>
      </x:c>
      <x:c r="B173" s="29" t="n">
        <x:v>331073</x:v>
      </x:c>
      <x:c r="C173" s="29" t="str">
        <x:v>A0</x:v>
      </x:c>
      <x:c r="D173" s="53" t="n">
        <x:v>1700.3992486082263</x:v>
      </x:c>
      <x:c r="E173" s="47" t="n">
        <x:v>0.6801596994432906</x:v>
      </x:c>
      <x:c r="F173" s="47" t="n">
        <x:v>0.3559375384344389</x:v>
      </x:c>
      <x:c r="G173" s="47" t="n">
        <x:v>0.5811245170270919</x:v>
      </x:c>
      <x:c r="H173" s="47" t="n">
        <x:v>1</x:v>
      </x:c>
      <x:c r="I173" s="47" t="n">
        <x:v>0.8586184746007433</x:v>
      </x:c>
      <x:c r="J173" s="47" t="n">
        <x:v>0.5811245170270919</x:v>
      </x:c>
      <x:c r="K173" s="47" t="n">
        <x:v>0.9913784504717661</x:v>
      </x:c>
      <x:c r="L173" s="47" t="n">
        <x:v>0.6306236541185384</x:v>
      </x:c>
      <x:c r="M173" s="29" t="n">
        <x:v>0</x:v>
      </x:c>
    </x:row>
    <x:row r="174" ht="15" hidden="0" customHeight="1">
      <x:c r="A174" s="27" t="n">
        <x:v>170</x:v>
      </x:c>
      <x:c r="B174" s="27" t="n">
        <x:v>331074</x:v>
      </x:c>
      <x:c r="C174" s="27" t="str">
        <x:v>A0</x:v>
      </x:c>
      <x:c r="D174" s="52" t="n">
        <x:v>1631.382433545542</x:v>
      </x:c>
      <x:c r="E174" s="46" t="n">
        <x:v>0.6525529734182168</x:v>
      </x:c>
      <x:c r="F174" s="46" t="n">
        <x:v>0.3285319082459377</x:v>
      </x:c>
      <x:c r="G174" s="46" t="n">
        <x:v>0.5606400355057134</x:v>
      </x:c>
      <x:c r="H174" s="46" t="n">
        <x:v>1</x:v>
      </x:c>
      <x:c r="I174" s="46" t="n">
        <x:v>0.8016212991373399</x:v>
      </x:c>
      <x:c r="J174" s="46" t="n">
        <x:v>0.5606400355057134</x:v>
      </x:c>
      <x:c r="K174" s="46" t="n">
        <x:v>0.9847484354502131</x:v>
      </x:c>
      <x:c r="L174" s="46" t="n">
        <x:v>0.6059328610494998</x:v>
      </x:c>
      <x:c r="M174" s="27" t="n">
        <x:v>0</x:v>
      </x:c>
    </x:row>
    <x:row r="175" ht="15" hidden="0" customHeight="1">
      <x:c r="A175" s="29" t="n">
        <x:v>171</x:v>
      </x:c>
      <x:c r="B175" s="29" t="n">
        <x:v>331075</x:v>
      </x:c>
      <x:c r="C175" s="29" t="str">
        <x:v>A0</x:v>
      </x:c>
      <x:c r="D175" s="53" t="n">
        <x:v>1609.2453323322536</x:v>
      </x:c>
      <x:c r="E175" s="47" t="n">
        <x:v>0.6436981329329015</x:v>
      </x:c>
      <x:c r="F175" s="47" t="n">
        <x:v>0.30689946297950665</x:v>
      </x:c>
      <x:c r="G175" s="47" t="n">
        <x:v>0.5534817003477497</x:v>
      </x:c>
      <x:c r="H175" s="47" t="n">
        <x:v>1</x:v>
      </x:c>
      <x:c r="I175" s="47" t="n">
        <x:v>0.8168992078673133</x:v>
      </x:c>
      <x:c r="J175" s="47" t="n">
        <x:v>0.5534817003477497</x:v>
      </x:c>
      <x:c r="K175" s="47" t="n">
        <x:v>0.9732089572795395</x:v>
      </x:c>
      <x:c r="L175" s="47" t="n">
        <x:v>0.5933763860346064</x:v>
      </x:c>
      <x:c r="M175" s="29" t="n">
        <x:v>0</x:v>
      </x:c>
    </x:row>
    <x:row r="176" ht="15" hidden="0" customHeight="1">
      <x:c r="A176" s="27" t="n">
        <x:v>172</x:v>
      </x:c>
      <x:c r="B176" s="27" t="n">
        <x:v>331076</x:v>
      </x:c>
      <x:c r="C176" s="27" t="str">
        <x:v>A0</x:v>
      </x:c>
      <x:c r="D176" s="52" t="n">
        <x:v>1652.9678424310848</x:v>
      </x:c>
      <x:c r="E176" s="46" t="n">
        <x:v>0.6611871369724339</x:v>
      </x:c>
      <x:c r="F176" s="46" t="n">
        <x:v>0.3077389985055701</x:v>
      </x:c>
      <x:c r="G176" s="46" t="n">
        <x:v>0.5651296415332676</x:v>
      </x:c>
      <x:c r="H176" s="46" t="n">
        <x:v>1</x:v>
      </x:c>
      <x:c r="I176" s="46" t="n">
        <x:v>0.8499048278350542</x:v>
      </x:c>
      <x:c r="J176" s="46" t="n">
        <x:v>0.5651296415332676</x:v>
      </x:c>
      <x:c r="K176" s="46" t="n">
        <x:v>0.9728089158671024</x:v>
      </x:c>
      <x:c r="L176" s="46" t="n">
        <x:v>0.609787065012742</x:v>
      </x:c>
      <x:c r="M176" s="27" t="n">
        <x:v>0</x:v>
      </x:c>
    </x:row>
    <x:row r="177" ht="15" hidden="0" customHeight="1">
      <x:c r="A177" s="29" t="n">
        <x:v>173</x:v>
      </x:c>
      <x:c r="B177" s="29" t="n">
        <x:v>331077</x:v>
      </x:c>
      <x:c r="C177" s="29" t="str">
        <x:v>A0</x:v>
      </x:c>
      <x:c r="D177" s="53" t="n">
        <x:v>1668.3882269770315</x:v>
      </x:c>
      <x:c r="E177" s="47" t="n">
        <x:v>0.6673552907908126</x:v>
      </x:c>
      <x:c r="F177" s="47" t="n">
        <x:v>0.32405707732854533</x:v>
      </x:c>
      <x:c r="G177" s="47" t="n">
        <x:v>0.5769284765490876</x:v>
      </x:c>
      <x:c r="H177" s="47" t="n">
        <x:v>1</x:v>
      </x:c>
      <x:c r="I177" s="47" t="n">
        <x:v>0.8041752023746986</x:v>
      </x:c>
      <x:c r="J177" s="47" t="n">
        <x:v>0.5769284765490876</x:v>
      </x:c>
      <x:c r="K177" s="47" t="n">
        <x:v>0.9852334909198994</x:v>
      </x:c>
      <x:c r="L177" s="47" t="n">
        <x:v>0.6236647503257801</x:v>
      </x:c>
      <x:c r="M177" s="29" t="n">
        <x:v>0</x:v>
      </x:c>
    </x:row>
    <x:row r="178" ht="15" hidden="0" customHeight="1">
      <x:c r="A178" s="27" t="n">
        <x:v>174</x:v>
      </x:c>
      <x:c r="B178" s="27" t="n">
        <x:v>331078</x:v>
      </x:c>
      <x:c r="C178" s="27" t="str">
        <x:v>A0</x:v>
      </x:c>
      <x:c r="D178" s="52" t="n">
        <x:v>1693.5810771769266</x:v>
      </x:c>
      <x:c r="E178" s="46" t="n">
        <x:v>0.6774324308707707</x:v>
      </x:c>
      <x:c r="F178" s="46" t="n">
        <x:v>0.35019793127938365</x:v>
      </x:c>
      <x:c r="G178" s="46" t="n">
        <x:v>0.5896589840772769</x:v>
      </x:c>
      <x:c r="H178" s="46" t="n">
        <x:v>1</x:v>
      </x:c>
      <x:c r="I178" s="46" t="n">
        <x:v>0.8674333536808975</x:v>
      </x:c>
      <x:c r="J178" s="46" t="n">
        <x:v>0.5896589840772769</x:v>
      </x:c>
      <x:c r="K178" s="46" t="n">
        <x:v>0.9957309704990939</x:v>
      </x:c>
      <x:c r="L178" s="46" t="n">
        <x:v>0.6255617083019499</x:v>
      </x:c>
      <x:c r="M178" s="27" t="n">
        <x:v>0</x:v>
      </x:c>
    </x:row>
    <x:row r="179" ht="15" hidden="0" customHeight="1">
      <x:c r="A179" s="29" t="n">
        <x:v>175</x:v>
      </x:c>
      <x:c r="B179" s="29" t="n">
        <x:v>331079</x:v>
      </x:c>
      <x:c r="C179" s="29" t="str">
        <x:v>A0</x:v>
      </x:c>
      <x:c r="D179" s="53" t="n">
        <x:v>1677.4457007156275</x:v>
      </x:c>
      <x:c r="E179" s="47" t="n">
        <x:v>0.670978280286251</x:v>
      </x:c>
      <x:c r="F179" s="47" t="n">
        <x:v>0.3223271226229775</x:v>
      </x:c>
      <x:c r="G179" s="47" t="n">
        <x:v>0.5808292447007535</x:v>
      </x:c>
      <x:c r="H179" s="47" t="n">
        <x:v>1</x:v>
      </x:c>
      <x:c r="I179" s="47" t="n">
        <x:v>0.846547758654252</x:v>
      </x:c>
      <x:c r="J179" s="47" t="n">
        <x:v>0.5808292447007535</x:v>
      </x:c>
      <x:c r="K179" s="47" t="n">
        <x:v>0.9867056898700061</x:v>
      </x:c>
      <x:c r="L179" s="47" t="n">
        <x:v>0.6214437372086569</x:v>
      </x:c>
      <x:c r="M179" s="29" t="n">
        <x:v>0</x:v>
      </x:c>
    </x:row>
    <x:row r="180" ht="15" hidden="0" customHeight="1">
      <x:c r="A180" s="27" t="n">
        <x:v>176</x:v>
      </x:c>
      <x:c r="B180" s="27" t="n">
        <x:v>331080</x:v>
      </x:c>
      <x:c r="C180" s="27" t="str">
        <x:v>A0</x:v>
      </x:c>
      <x:c r="D180" s="52" t="n">
        <x:v>1688.781061013242</x:v>
      </x:c>
      <x:c r="E180" s="46" t="n">
        <x:v>0.6755124244052968</x:v>
      </x:c>
      <x:c r="F180" s="46" t="n">
        <x:v>0.3191336673304862</x:v>
      </x:c>
      <x:c r="G180" s="46" t="n">
        <x:v>0.5829790618141169</x:v>
      </x:c>
      <x:c r="H180" s="46" t="n">
        <x:v>1</x:v>
      </x:c>
      <x:c r="I180" s="46" t="n">
        <x:v>0.8579498179296562</x:v>
      </x:c>
      <x:c r="J180" s="46" t="n">
        <x:v>0.5829790618141169</x:v>
      </x:c>
      <x:c r="K180" s="46" t="n">
        <x:v>0.9886120854781411</x:v>
      </x:c>
      <x:c r="L180" s="46" t="n">
        <x:v>0.6251418979811489</x:v>
      </x:c>
      <x:c r="M180" s="27" t="n">
        <x:v>0</x:v>
      </x:c>
    </x:row>
    <x:row r="181" ht="15" hidden="0" customHeight="1">
      <x:c r="A181" s="29" t="n">
        <x:v>177</x:v>
      </x:c>
      <x:c r="B181" s="29" t="n">
        <x:v>331081</x:v>
      </x:c>
      <x:c r="C181" s="29" t="str">
        <x:v>A0</x:v>
      </x:c>
      <x:c r="D181" s="53" t="n">
        <x:v>1643.577622350075</x:v>
      </x:c>
      <x:c r="E181" s="47" t="n">
        <x:v>0.65743104894003</x:v>
      </x:c>
      <x:c r="F181" s="47" t="n">
        <x:v>0.3331195995226492</x:v>
      </x:c>
      <x:c r="G181" s="47" t="n">
        <x:v>0.5593469833808647</x:v>
      </x:c>
      <x:c r="H181" s="47" t="n">
        <x:v>1</x:v>
      </x:c>
      <x:c r="I181" s="47" t="n">
        <x:v>0.8307282530905594</x:v>
      </x:c>
      <x:c r="J181" s="47" t="n">
        <x:v>0.5593469833808647</x:v>
      </x:c>
      <x:c r="K181" s="47" t="n">
        <x:v>0.9854199455838583</x:v>
      </x:c>
      <x:c r="L181" s="47" t="n">
        <x:v>0.60740764070484</x:v>
      </x:c>
      <x:c r="M181" s="29" t="n">
        <x:v>0</x:v>
      </x:c>
    </x:row>
    <x:row r="182" ht="15" hidden="0" customHeight="1">
      <x:c r="A182" s="27" t="n">
        <x:v>178</x:v>
      </x:c>
      <x:c r="B182" s="27" t="n">
        <x:v>331082</x:v>
      </x:c>
      <x:c r="C182" s="27" t="str">
        <x:v>A0</x:v>
      </x:c>
      <x:c r="D182" s="52" t="n">
        <x:v>1768.3624257107044</x:v>
      </x:c>
      <x:c r="E182" s="46" t="n">
        <x:v>0.7073449702842818</x:v>
      </x:c>
      <x:c r="F182" s="46" t="n">
        <x:v>0.35543621591947555</x:v>
      </x:c>
      <x:c r="G182" s="46" t="n">
        <x:v>0.6171281501602655</x:v>
      </x:c>
      <x:c r="H182" s="46" t="n">
        <x:v>1</x:v>
      </x:c>
      <x:c r="I182" s="46" t="n">
        <x:v>0.905346925595987</x:v>
      </x:c>
      <x:c r="J182" s="46" t="n">
        <x:v>0.6171281501602655</x:v>
      </x:c>
      <x:c r="K182" s="46" t="n">
        <x:v>1</x:v>
      </x:c>
      <x:c r="L182" s="46" t="n">
        <x:v>0.6561525243036739</x:v>
      </x:c>
      <x:c r="M182" s="27" t="n">
        <x:v>0</x:v>
      </x:c>
    </x:row>
    <x:row r="183" ht="15" hidden="0" customHeight="1">
      <x:c r="A183" s="29" t="n">
        <x:v>179</x:v>
      </x:c>
      <x:c r="B183" s="29" t="n">
        <x:v>331083</x:v>
      </x:c>
      <x:c r="C183" s="29" t="str">
        <x:v>A0</x:v>
      </x:c>
      <x:c r="D183" s="53" t="n">
        <x:v>1601.0760224217734</x:v>
      </x:c>
      <x:c r="E183" s="47" t="n">
        <x:v>0.6404304089687094</x:v>
      </x:c>
      <x:c r="F183" s="47" t="n">
        <x:v>0.31094749406031513</x:v>
      </x:c>
      <x:c r="G183" s="47" t="n">
        <x:v>0.5463953537560197</x:v>
      </x:c>
      <x:c r="H183" s="47" t="n">
        <x:v>1</x:v>
      </x:c>
      <x:c r="I183" s="47" t="n">
        <x:v>0.8164757688307008</x:v>
      </x:c>
      <x:c r="J183" s="47" t="n">
        <x:v>0.5463953537560197</x:v>
      </x:c>
      <x:c r="K183" s="47" t="n">
        <x:v>0.9740654065520096</x:v>
      </x:c>
      <x:c r="L183" s="47" t="n">
        <x:v>0.5894079489498237</x:v>
      </x:c>
      <x:c r="M183" s="29" t="n">
        <x:v>0</x:v>
      </x:c>
    </x:row>
    <x:row r="184" ht="15" hidden="0" customHeight="1">
      <x:c r="A184" s="27" t="n">
        <x:v>180</x:v>
      </x:c>
      <x:c r="B184" s="27" t="n">
        <x:v>331084</x:v>
      </x:c>
      <x:c r="C184" s="27" t="str">
        <x:v>A0</x:v>
      </x:c>
      <x:c r="D184" s="52" t="n">
        <x:v>1675.6855114207542</x:v>
      </x:c>
      <x:c r="E184" s="46" t="n">
        <x:v>0.6702742045683017</x:v>
      </x:c>
      <x:c r="F184" s="46" t="n">
        <x:v>0.3060090202951374</x:v>
      </x:c>
      <x:c r="G184" s="46" t="n">
        <x:v>0.5760074380766507</x:v>
      </x:c>
      <x:c r="H184" s="46" t="n">
        <x:v>0.9642889766081494</x:v>
      </x:c>
      <x:c r="I184" s="46" t="n">
        <x:v>0.7619957391927222</x:v>
      </x:c>
      <x:c r="J184" s="46" t="n">
        <x:v>0.5760074380766507</x:v>
      </x:c>
      <x:c r="K184" s="46" t="n">
        <x:v>0.9721869814877844</x:v>
      </x:c>
      <x:c r="L184" s="46" t="n">
        <x:v>0.6350340244055415</x:v>
      </x:c>
      <x:c r="M184" s="27" t="n">
        <x:v>0</x:v>
      </x:c>
    </x:row>
    <x:row r="185" ht="15" hidden="0" customHeight="1">
      <x:c r="A185" s="29" t="n">
        <x:v>181</x:v>
      </x:c>
      <x:c r="B185" s="29" t="n">
        <x:v>331085</x:v>
      </x:c>
      <x:c r="C185" s="29" t="str">
        <x:v>A0</x:v>
      </x:c>
      <x:c r="D185" s="53" t="n">
        <x:v>1678.077555146521</x:v>
      </x:c>
      <x:c r="E185" s="47" t="n">
        <x:v>0.6712310220586084</x:v>
      </x:c>
      <x:c r="F185" s="47" t="n">
        <x:v>0.34468765100888965</x:v>
      </x:c>
      <x:c r="G185" s="47" t="n">
        <x:v>0.5765029835668171</x:v>
      </x:c>
      <x:c r="H185" s="47" t="n">
        <x:v>1</x:v>
      </x:c>
      <x:c r="I185" s="47" t="n">
        <x:v>0.7891120595798293</x:v>
      </x:c>
      <x:c r="J185" s="47" t="n">
        <x:v>0.5765029835668171</x:v>
      </x:c>
      <x:c r="K185" s="47" t="n">
        <x:v>1</x:v>
      </x:c>
      <x:c r="L185" s="47" t="n">
        <x:v>0.6299011210067639</x:v>
      </x:c>
      <x:c r="M185" s="29" t="n">
        <x:v>0</x:v>
      </x:c>
    </x:row>
    <x:row r="186" ht="15" hidden="0" customHeight="1">
      <x:c r="A186" s="27" t="n">
        <x:v>182</x:v>
      </x:c>
      <x:c r="B186" s="27" t="n">
        <x:v>331086</x:v>
      </x:c>
      <x:c r="C186" s="27" t="str">
        <x:v>A0</x:v>
      </x:c>
      <x:c r="D186" s="52" t="n">
        <x:v>1665.6948449980728</x:v>
      </x:c>
      <x:c r="E186" s="46" t="n">
        <x:v>0.6662779379992291</x:v>
      </x:c>
      <x:c r="F186" s="46" t="n">
        <x:v>0.33328617893126533</x:v>
      </x:c>
      <x:c r="G186" s="46" t="n">
        <x:v>0.5689084992275439</x:v>
      </x:c>
      <x:c r="H186" s="46" t="n">
        <x:v>1</x:v>
      </x:c>
      <x:c r="I186" s="46" t="n">
        <x:v>0.8366152800462423</x:v>
      </x:c>
      <x:c r="J186" s="46" t="n">
        <x:v>0.5689084992275439</x:v>
      </x:c>
      <x:c r="K186" s="46" t="n">
        <x:v>0.9846908857805496</x:v>
      </x:c>
      <x:c r="L186" s="46" t="n">
        <x:v>0.6173913470711486</x:v>
      </x:c>
      <x:c r="M186" s="27" t="n">
        <x:v>0</x:v>
      </x:c>
    </x:row>
    <x:row r="187" ht="15" hidden="0" customHeight="1">
      <x:c r="A187" s="29" t="n">
        <x:v>183</x:v>
      </x:c>
      <x:c r="B187" s="29" t="n">
        <x:v>331087</x:v>
      </x:c>
      <x:c r="C187" s="29" t="str">
        <x:v>A0</x:v>
      </x:c>
      <x:c r="D187" s="53" t="n">
        <x:v>1712.8522498673735</x:v>
      </x:c>
      <x:c r="E187" s="47" t="n">
        <x:v>0.6851408999469494</x:v>
      </x:c>
      <x:c r="F187" s="47" t="n">
        <x:v>0.33116726971915117</x:v>
      </x:c>
      <x:c r="G187" s="47" t="n">
        <x:v>0.5947809407348867</x:v>
      </x:c>
      <x:c r="H187" s="47" t="n">
        <x:v>1</x:v>
      </x:c>
      <x:c r="I187" s="47" t="n">
        <x:v>0.8088215035036642</x:v>
      </x:c>
      <x:c r="J187" s="47" t="n">
        <x:v>0.5947809407348867</x:v>
      </x:c>
      <x:c r="K187" s="47" t="n">
        <x:v>0.9887171851417658</x:v>
      </x:c>
      <x:c r="L187" s="47" t="n">
        <x:v>0.6445632435916192</x:v>
      </x:c>
      <x:c r="M187" s="29" t="n">
        <x:v>0</x:v>
      </x:c>
    </x:row>
    <x:row r="188" ht="15" hidden="0" customHeight="1">
      <x:c r="A188" s="27" t="n">
        <x:v>184</x:v>
      </x:c>
      <x:c r="B188" s="27" t="n">
        <x:v>331088</x:v>
      </x:c>
      <x:c r="C188" s="27" t="str">
        <x:v>A0</x:v>
      </x:c>
      <x:c r="D188" s="52" t="n">
        <x:v>1681.6228064987565</x:v>
      </x:c>
      <x:c r="E188" s="46" t="n">
        <x:v>0.6726491225995026</x:v>
      </x:c>
      <x:c r="F188" s="46" t="n">
        <x:v>0.30937940757401095</x:v>
      </x:c>
      <x:c r="G188" s="46" t="n">
        <x:v>0.5848964005891446</x:v>
      </x:c>
      <x:c r="H188" s="46" t="n">
        <x:v>1</x:v>
      </x:c>
      <x:c r="I188" s="46" t="n">
        <x:v>0.8291654050979537</x:v>
      </x:c>
      <x:c r="J188" s="46" t="n">
        <x:v>0.5848964005891446</x:v>
      </x:c>
      <x:c r="K188" s="46" t="n">
        <x:v>0.9913525613543406</x:v>
      </x:c>
      <x:c r="L188" s="46" t="n">
        <x:v>0.6258945147737005</x:v>
      </x:c>
      <x:c r="M188" s="27" t="n">
        <x:v>0</x:v>
      </x:c>
    </x:row>
    <x:row r="189" ht="15" hidden="0" customHeight="1">
      <x:c r="A189" s="29" t="n">
        <x:v>185</x:v>
      </x:c>
      <x:c r="B189" s="29" t="n">
        <x:v>331089</x:v>
      </x:c>
      <x:c r="C189" s="29" t="str">
        <x:v>A0</x:v>
      </x:c>
      <x:c r="D189" s="53" t="n">
        <x:v>1733.162016784951</x:v>
      </x:c>
      <x:c r="E189" s="47" t="n">
        <x:v>0.6932648067139804</x:v>
      </x:c>
      <x:c r="F189" s="47" t="n">
        <x:v>0.3626357729730969</x:v>
      </x:c>
      <x:c r="G189" s="47" t="n">
        <x:v>0.601069900332292</x:v>
      </x:c>
      <x:c r="H189" s="47" t="n">
        <x:v>1</x:v>
      </x:c>
      <x:c r="I189" s="47" t="n">
        <x:v>0.8836544428380998</x:v>
      </x:c>
      <x:c r="J189" s="47" t="n">
        <x:v>0.601069900332292</x:v>
      </x:c>
      <x:c r="K189" s="47" t="n">
        <x:v>0.9928753792613404</x:v>
      </x:c>
      <x:c r="L189" s="47" t="n">
        <x:v>0.642681894749734</x:v>
      </x:c>
      <x:c r="M189" s="29" t="n">
        <x:v>0</x:v>
      </x:c>
    </x:row>
    <x:row r="190" ht="15" hidden="0" customHeight="1">
      <x:c r="A190" s="27" t="n">
        <x:v>186</x:v>
      </x:c>
      <x:c r="B190" s="27" t="n">
        <x:v>331090</x:v>
      </x:c>
      <x:c r="C190" s="27" t="str">
        <x:v>A0</x:v>
      </x:c>
      <x:c r="D190" s="52" t="n">
        <x:v>1727.1319368057502</x:v>
      </x:c>
      <x:c r="E190" s="46" t="n">
        <x:v>0.6908527747223001</x:v>
      </x:c>
      <x:c r="F190" s="46" t="n">
        <x:v>0.36503261443012985</x:v>
      </x:c>
      <x:c r="G190" s="46" t="n">
        <x:v>0.5918523492509964</x:v>
      </x:c>
      <x:c r="H190" s="46" t="n">
        <x:v>1</x:v>
      </x:c>
      <x:c r="I190" s="46" t="n">
        <x:v>0.8820406172307292</x:v>
      </x:c>
      <x:c r="J190" s="46" t="n">
        <x:v>0.5918523492509964</x:v>
      </x:c>
      <x:c r="K190" s="46" t="n">
        <x:v>1</x:v>
      </x:c>
      <x:c r="L190" s="46" t="n">
        <x:v>0.6395925684529117</x:v>
      </x:c>
      <x:c r="M190" s="27" t="n">
        <x:v>0</x:v>
      </x:c>
    </x:row>
    <x:row r="191" ht="15" hidden="0" customHeight="1">
      <x:c r="A191" s="29" t="n">
        <x:v>187</x:v>
      </x:c>
      <x:c r="B191" s="29" t="n">
        <x:v>331091</x:v>
      </x:c>
      <x:c r="C191" s="29" t="str">
        <x:v>A0</x:v>
      </x:c>
      <x:c r="D191" s="53" t="n">
        <x:v>1649.1268435645445</x:v>
      </x:c>
      <x:c r="E191" s="47" t="n">
        <x:v>0.6596507374258178</x:v>
      </x:c>
      <x:c r="F191" s="47" t="n">
        <x:v>0.3142598800234907</x:v>
      </x:c>
      <x:c r="G191" s="47" t="n">
        <x:v>0.5600366896797038</x:v>
      </x:c>
      <x:c r="H191" s="47" t="n">
        <x:v>1</x:v>
      </x:c>
      <x:c r="I191" s="47" t="n">
        <x:v>0.8394950030876175</x:v>
      </x:c>
      <x:c r="J191" s="47" t="n">
        <x:v>0.5600366896797038</x:v>
      </x:c>
      <x:c r="K191" s="47" t="n">
        <x:v>0.9749292520387387</x:v>
      </x:c>
      <x:c r="L191" s="47" t="n">
        <x:v>0.6094155753544432</x:v>
      </x:c>
      <x:c r="M191" s="29" t="n">
        <x:v>0</x:v>
      </x:c>
    </x:row>
    <x:row r="192" ht="15" hidden="0" customHeight="1">
      <x:c r="A192" s="27" t="n">
        <x:v>188</x:v>
      </x:c>
      <x:c r="B192" s="27" t="n">
        <x:v>331092</x:v>
      </x:c>
      <x:c r="C192" s="27" t="str">
        <x:v>A0</x:v>
      </x:c>
      <x:c r="D192" s="52" t="n">
        <x:v>1676.5249772569994</x:v>
      </x:c>
      <x:c r="E192" s="46" t="n">
        <x:v>0.6706099909027997</x:v>
      </x:c>
      <x:c r="F192" s="46" t="n">
        <x:v>0.3362191298220361</x:v>
      </x:c>
      <x:c r="G192" s="46" t="n">
        <x:v>0.5782307623278804</x:v>
      </x:c>
      <x:c r="H192" s="46" t="n">
        <x:v>0.995420312271289</x:v>
      </x:c>
      <x:c r="I192" s="46" t="n">
        <x:v>0.790156515125845</x:v>
      </x:c>
      <x:c r="J192" s="46" t="n">
        <x:v>0.5782307623278804</x:v>
      </x:c>
      <x:c r="K192" s="46" t="n">
        <x:v>0.9993378404989356</x:v>
      </x:c>
      <x:c r="L192" s="46" t="n">
        <x:v>0.6290536015137543</x:v>
      </x:c>
      <x:c r="M192" s="27" t="n">
        <x:v>0</x:v>
      </x:c>
    </x:row>
    <x:row r="193" ht="15" hidden="0" customHeight="1">
      <x:c r="A193" s="29" t="n">
        <x:v>189</x:v>
      </x:c>
      <x:c r="B193" s="29" t="n">
        <x:v>331093</x:v>
      </x:c>
      <x:c r="C193" s="29" t="str">
        <x:v>A0</x:v>
      </x:c>
      <x:c r="D193" s="53" t="n">
        <x:v>1709.682996862438</x:v>
      </x:c>
      <x:c r="E193" s="47" t="n">
        <x:v>0.6838731987449752</x:v>
      </x:c>
      <x:c r="F193" s="47" t="n">
        <x:v>0.3557654828961058</x:v>
      </x:c>
      <x:c r="G193" s="47" t="n">
        <x:v>0.5823093346473629</x:v>
      </x:c>
      <x:c r="H193" s="47" t="n">
        <x:v>1</x:v>
      </x:c>
      <x:c r="I193" s="47" t="n">
        <x:v>0.8244410187771674</x:v>
      </x:c>
      <x:c r="J193" s="47" t="n">
        <x:v>0.5823093346473629</x:v>
      </x:c>
      <x:c r="K193" s="47" t="n">
        <x:v>1</x:v>
      </x:c>
      <x:c r="L193" s="47" t="n">
        <x:v>0.6399853527159717</x:v>
      </x:c>
      <x:c r="M193" s="29" t="n">
        <x:v>0</x:v>
      </x:c>
    </x:row>
    <x:row r="194" ht="15" hidden="0" customHeight="1">
      <x:c r="A194" s="27" t="n">
        <x:v>190</x:v>
      </x:c>
      <x:c r="B194" s="27" t="n">
        <x:v>331094</x:v>
      </x:c>
      <x:c r="C194" s="27" t="str">
        <x:v>A0</x:v>
      </x:c>
      <x:c r="D194" s="52" t="n">
        <x:v>1700.9980573082632</x:v>
      </x:c>
      <x:c r="E194" s="46" t="n">
        <x:v>0.6803992229233053</x:v>
      </x:c>
      <x:c r="F194" s="46" t="n">
        <x:v>0.36960628630133785</x:v>
      </x:c>
      <x:c r="G194" s="46" t="n">
        <x:v>0.5843737572062631</x:v>
      </x:c>
      <x:c r="H194" s="46" t="n">
        <x:v>1</x:v>
      </x:c>
      <x:c r="I194" s="46" t="n">
        <x:v>0.857054685228085</x:v>
      </x:c>
      <x:c r="J194" s="46" t="n">
        <x:v>0.5843737572062631</x:v>
      </x:c>
      <x:c r="K194" s="46" t="n">
        <x:v>1</x:v>
      </x:c>
      <x:c r="L194" s="46" t="n">
        <x:v>0.6306179232049042</x:v>
      </x:c>
      <x:c r="M194" s="27" t="n">
        <x:v>0</x:v>
      </x:c>
    </x:row>
    <x:row r="195" ht="15" hidden="0" customHeight="1">
      <x:c r="A195" s="29" t="n">
        <x:v>191</x:v>
      </x:c>
      <x:c r="B195" s="29" t="n">
        <x:v>331095</x:v>
      </x:c>
      <x:c r="C195" s="29" t="str">
        <x:v>A0</x:v>
      </x:c>
      <x:c r="D195" s="53" t="n">
        <x:v>1651.715998752005</x:v>
      </x:c>
      <x:c r="E195" s="47" t="n">
        <x:v>0.660686399500802</x:v>
      </x:c>
      <x:c r="F195" s="47" t="n">
        <x:v>0.2971561360679383</x:v>
      </x:c>
      <x:c r="G195" s="47" t="n">
        <x:v>0.5674646290359632</x:v>
      </x:c>
      <x:c r="H195" s="47" t="n">
        <x:v>1</x:v>
      </x:c>
      <x:c r="I195" s="47" t="n">
        <x:v>0.8472191431448658</x:v>
      </x:c>
      <x:c r="J195" s="47" t="n">
        <x:v>0.5674646290359632</x:v>
      </x:c>
      <x:c r="K195" s="47" t="n">
        <x:v>0.9666153913626964</x:v>
      </x:c>
      <x:c r="L195" s="47" t="n">
        <x:v>0.6099418931910764</x:v>
      </x:c>
      <x:c r="M195" s="29" t="n">
        <x:v>0</x:v>
      </x:c>
    </x:row>
    <x:row r="196" ht="15" hidden="0" customHeight="1">
      <x:c r="A196" s="27" t="n">
        <x:v>192</x:v>
      </x:c>
      <x:c r="B196" s="27" t="n">
        <x:v>331096</x:v>
      </x:c>
      <x:c r="C196" s="27" t="str">
        <x:v>A0</x:v>
      </x:c>
      <x:c r="D196" s="52" t="n">
        <x:v>1673.6967184398154</x:v>
      </x:c>
      <x:c r="E196" s="46" t="n">
        <x:v>0.6694786873759262</x:v>
      </x:c>
      <x:c r="F196" s="46" t="n">
        <x:v>0.3552567132397748</x:v>
      </x:c>
      <x:c r="G196" s="46" t="n">
        <x:v>0.5700589770935705</x:v>
      </x:c>
      <x:c r="H196" s="46" t="n">
        <x:v>1</x:v>
      </x:c>
      <x:c r="I196" s="46" t="n">
        <x:v>0.8545111301310895</x:v>
      </x:c>
      <x:c r="J196" s="46" t="n">
        <x:v>0.5700589770935705</x:v>
      </x:c>
      <x:c r="K196" s="46" t="n">
        <x:v>0.9915922262416391</x:v>
      </x:c>
      <x:c r="L196" s="46" t="n">
        <x:v>0.6181411072088626</x:v>
      </x:c>
      <x:c r="M196" s="27" t="n">
        <x:v>0</x:v>
      </x:c>
    </x:row>
    <x:row r="197" ht="15" hidden="0" customHeight="1">
      <x:c r="A197" s="29" t="n">
        <x:v>193</x:v>
      </x:c>
      <x:c r="B197" s="29" t="n">
        <x:v>331097</x:v>
      </x:c>
      <x:c r="C197" s="29" t="str">
        <x:v>A0</x:v>
      </x:c>
      <x:c r="D197" s="53" t="n">
        <x:v>1677.0763432397239</x:v>
      </x:c>
      <x:c r="E197" s="47" t="n">
        <x:v>0.6708305372958896</x:v>
      </x:c>
      <x:c r="F197" s="47" t="n">
        <x:v>0.35309542172617553</x:v>
      </x:c>
      <x:c r="G197" s="47" t="n">
        <x:v>0.5700551112865943</x:v>
      </x:c>
      <x:c r="H197" s="47" t="n">
        <x:v>1</x:v>
      </x:c>
      <x:c r="I197" s="47" t="n">
        <x:v>0.823760479030618</x:v>
      </x:c>
      <x:c r="J197" s="47" t="n">
        <x:v>0.5700551112865943</x:v>
      </x:c>
      <x:c r="K197" s="47" t="n">
        <x:v>0.9935823694365084</x:v>
      </x:c>
      <x:c r="L197" s="47" t="n">
        <x:v>0.6244635067522343</x:v>
      </x:c>
      <x:c r="M197" s="29" t="n">
        <x:v>0</x:v>
      </x:c>
    </x:row>
    <x:row r="198" ht="15" hidden="0" customHeight="1">
      <x:c r="A198" s="27" t="n">
        <x:v>194</x:v>
      </x:c>
      <x:c r="B198" s="27" t="n">
        <x:v>331098</x:v>
      </x:c>
      <x:c r="C198" s="27" t="str">
        <x:v>A0</x:v>
      </x:c>
      <x:c r="D198" s="52" t="n">
        <x:v>1594.3667758483273</x:v>
      </x:c>
      <x:c r="E198" s="46" t="n">
        <x:v>0.637746710339331</x:v>
      </x:c>
      <x:c r="F198" s="46" t="n">
        <x:v>0.30549735273590994</x:v>
      </x:c>
      <x:c r="G198" s="46" t="n">
        <x:v>0.5512083989545431</x:v>
      </x:c>
      <x:c r="H198" s="46" t="n">
        <x:v>0.9439620176544313</x:v>
      </x:c>
      <x:c r="I198" s="46" t="n">
        <x:v>0.742386330348616</x:v>
      </x:c>
      <x:c r="J198" s="46" t="n">
        <x:v>0.5512083989545431</x:v>
      </x:c>
      <x:c r="K198" s="46" t="n">
        <x:v>0.9691259220753125</x:v>
      </x:c>
      <x:c r="L198" s="46" t="n">
        <x:v>0.5985215713658459</x:v>
      </x:c>
      <x:c r="M198" s="27" t="n">
        <x:v>0</x:v>
      </x:c>
    </x:row>
    <x:row r="199" ht="15" hidden="0" customHeight="1">
      <x:c r="A199" s="29" t="n">
        <x:v>195</x:v>
      </x:c>
      <x:c r="B199" s="29" t="n">
        <x:v>331099</x:v>
      </x:c>
      <x:c r="C199" s="29" t="str">
        <x:v>A0</x:v>
      </x:c>
      <x:c r="D199" s="53" t="n">
        <x:v>1678.0581457786657</x:v>
      </x:c>
      <x:c r="E199" s="47" t="n">
        <x:v>0.6712232583114662</x:v>
      </x:c>
      <x:c r="F199" s="47" t="n">
        <x:v>0.3464494606002456</x:v>
      </x:c>
      <x:c r="G199" s="47" t="n">
        <x:v>0.5858882990240846</x:v>
      </x:c>
      <x:c r="H199" s="47" t="n">
        <x:v>1</x:v>
      </x:c>
      <x:c r="I199" s="47" t="n">
        <x:v>0.864918557561076</x:v>
      </x:c>
      <x:c r="J199" s="47" t="n">
        <x:v>0.5858882990240846</x:v>
      </x:c>
      <x:c r="K199" s="47" t="n">
        <x:v>0.9930680097193997</x:v>
      </x:c>
      <x:c r="L199" s="47" t="n">
        <x:v>0.6184733508174479</x:v>
      </x:c>
      <x:c r="M199" s="29" t="n">
        <x:v>0</x:v>
      </x:c>
    </x:row>
    <x:row r="200" ht="15" hidden="0" customHeight="1">
      <x:c r="A200" s="27" t="n">
        <x:v>196</x:v>
      </x:c>
      <x:c r="B200" s="27" t="n">
        <x:v>331100</x:v>
      </x:c>
      <x:c r="C200" s="27" t="str">
        <x:v>A0</x:v>
      </x:c>
      <x:c r="D200" s="52" t="n">
        <x:v>1658.5801939662279</x:v>
      </x:c>
      <x:c r="E200" s="46" t="n">
        <x:v>0.6634320775864911</x:v>
      </x:c>
      <x:c r="F200" s="46" t="n">
        <x:v>0.32437289759788235</x:v>
      </x:c>
      <x:c r="G200" s="46" t="n">
        <x:v>0.5699921281128215</x:v>
      </x:c>
      <x:c r="H200" s="46" t="n">
        <x:v>1</x:v>
      </x:c>
      <x:c r="I200" s="46" t="n">
        <x:v>0.8459686933574192</x:v>
      </x:c>
      <x:c r="J200" s="46" t="n">
        <x:v>0.5699921281128215</x:v>
      </x:c>
      <x:c r="K200" s="46" t="n">
        <x:v>0.9773697123841216</x:v>
      </x:c>
      <x:c r="L200" s="46" t="n">
        <x:v>0.6128589319715803</x:v>
      </x:c>
      <x:c r="M200" s="27" t="n">
        <x:v>0</x:v>
      </x:c>
    </x:row>
    <x:row r="201" ht="15" hidden="0" customHeight="1">
      <x:c r="A201" s="29" t="n">
        <x:v>197</x:v>
      </x:c>
      <x:c r="B201" s="29" t="n">
        <x:v>331101</x:v>
      </x:c>
      <x:c r="C201" s="29" t="str">
        <x:v>A0</x:v>
      </x:c>
      <x:c r="D201" s="53" t="n">
        <x:v>1661.4501922582108</x:v>
      </x:c>
      <x:c r="E201" s="47" t="n">
        <x:v>0.6645800769032844</x:v>
      </x:c>
      <x:c r="F201" s="47" t="n">
        <x:v>0.316685737723796</x:v>
      </x:c>
      <x:c r="G201" s="47" t="n">
        <x:v>0.5679621093994862</x:v>
      </x:c>
      <x:c r="H201" s="47" t="n">
        <x:v>1</x:v>
      </x:c>
      <x:c r="I201" s="47" t="n">
        <x:v>0.7927724942256176</x:v>
      </x:c>
      <x:c r="J201" s="47" t="n">
        <x:v>0.5679621093994862</x:v>
      </x:c>
      <x:c r="K201" s="47" t="n">
        <x:v>0.9769425801423371</x:v>
      </x:c>
      <x:c r="L201" s="47" t="n">
        <x:v>0.6225744711500132</x:v>
      </x:c>
      <x:c r="M201" s="29" t="n">
        <x:v>0</x:v>
      </x:c>
    </x:row>
    <x:row r="202" ht="15" hidden="0" customHeight="1">
      <x:c r="A202" s="27" t="n">
        <x:v>198</x:v>
      </x:c>
      <x:c r="B202" s="27" t="n">
        <x:v>331102</x:v>
      </x:c>
      <x:c r="C202" s="27" t="str">
        <x:v>A0</x:v>
      </x:c>
      <x:c r="D202" s="52" t="n">
        <x:v>1680.5843603716874</x:v>
      </x:c>
      <x:c r="E202" s="46" t="n">
        <x:v>0.672233744148675</x:v>
      </x:c>
      <x:c r="F202" s="46" t="n">
        <x:v>0.3054514400678795</x:v>
      </x:c>
      <x:c r="G202" s="46" t="n">
        <x:v>0.5737833180903982</x:v>
      </x:c>
      <x:c r="H202" s="46" t="n">
        <x:v>1</x:v>
      </x:c>
      <x:c r="I202" s="46" t="n">
        <x:v>0.8585772896507158</x:v>
      </x:c>
      <x:c r="J202" s="46" t="n">
        <x:v>0.5737833180903982</x:v>
      </x:c>
      <x:c r="K202" s="46" t="n">
        <x:v>0.9732443416449034</x:v>
      </x:c>
      <x:c r="L202" s="46" t="n">
        <x:v>0.6219912172908462</x:v>
      </x:c>
      <x:c r="M202" s="27" t="n">
        <x:v>0</x:v>
      </x:c>
    </x:row>
    <x:row r="203" ht="15" hidden="0" customHeight="1">
      <x:c r="A203" s="29" t="n">
        <x:v>199</x:v>
      </x:c>
      <x:c r="B203" s="29" t="n">
        <x:v>331103</x:v>
      </x:c>
      <x:c r="C203" s="29" t="str">
        <x:v>A0</x:v>
      </x:c>
      <x:c r="D203" s="53" t="n">
        <x:v>1641.1825833046237</x:v>
      </x:c>
      <x:c r="E203" s="47" t="n">
        <x:v>0.6564730333218495</x:v>
      </x:c>
      <x:c r="F203" s="47" t="n">
        <x:v>0.3399772613998806</x:v>
      </x:c>
      <x:c r="G203" s="47" t="n">
        <x:v>0.5658787820375534</x:v>
      </x:c>
      <x:c r="H203" s="47" t="n">
        <x:v>1</x:v>
      </x:c>
      <x:c r="I203" s="47" t="n">
        <x:v>0.7990424023925313</x:v>
      </x:c>
      <x:c r="J203" s="47" t="n">
        <x:v>0.5658787820375534</x:v>
      </x:c>
      <x:c r="K203" s="47" t="n">
        <x:v>0.9934668611829204</x:v>
      </x:c>
      <x:c r="L203" s="47" t="n">
        <x:v>0.6106089596328046</x:v>
      </x:c>
      <x:c r="M203" s="29" t="n">
        <x:v>0</x:v>
      </x:c>
    </x:row>
    <x:row r="204" ht="15" hidden="0" customHeight="1">
      <x:c r="A204" s="27" t="n">
        <x:v>200</x:v>
      </x:c>
      <x:c r="B204" s="27" t="n">
        <x:v>331104</x:v>
      </x:c>
      <x:c r="C204" s="27" t="str">
        <x:v>A0</x:v>
      </x:c>
      <x:c r="D204" s="52" t="n">
        <x:v>1662.836748464838</x:v>
      </x:c>
      <x:c r="E204" s="46" t="n">
        <x:v>0.6651346993859352</x:v>
      </x:c>
      <x:c r="F204" s="46" t="n">
        <x:v>0.33173170215736586</x:v>
      </x:c>
      <x:c r="G204" s="46" t="n">
        <x:v>0.5688044788720082</x:v>
      </x:c>
      <x:c r="H204" s="46" t="n">
        <x:v>1</x:v>
      </x:c>
      <x:c r="I204" s="46" t="n">
        <x:v>0.8590476393552524</x:v>
      </x:c>
      <x:c r="J204" s="46" t="n">
        <x:v>0.5688044788720082</x:v>
      </x:c>
      <x:c r="K204" s="46" t="n">
        <x:v>0.9969658954057171</x:v>
      </x:c>
      <x:c r="L204" s="46" t="n">
        <x:v>0.6117579531281498</x:v>
      </x:c>
      <x:c r="M204" s="27" t="n">
        <x:v>0</x:v>
      </x:c>
    </x:row>
    <x:row r="205" ht="15" hidden="0" customHeight="1">
      <x:c r="A205" s="29" t="n">
        <x:v>201</x:v>
      </x:c>
      <x:c r="B205" s="29" t="n">
        <x:v>331105</x:v>
      </x:c>
      <x:c r="C205" s="29" t="str">
        <x:v>A0</x:v>
      </x:c>
      <x:c r="D205" s="53" t="n">
        <x:v>1707.3948040497085</x:v>
      </x:c>
      <x:c r="E205" s="47" t="n">
        <x:v>0.6829579216198833</x:v>
      </x:c>
      <x:c r="F205" s="47" t="n">
        <x:v>0.35714306049090105</x:v>
      </x:c>
      <x:c r="G205" s="47" t="n">
        <x:v>0.5867944995212373</x:v>
      </x:c>
      <x:c r="H205" s="47" t="n">
        <x:v>1</x:v>
      </x:c>
      <x:c r="I205" s="47" t="n">
        <x:v>0.8260602078555537</x:v>
      </x:c>
      <x:c r="J205" s="47" t="n">
        <x:v>0.5867944995212373</x:v>
      </x:c>
      <x:c r="K205" s="47" t="n">
        <x:v>1</x:v>
      </x:c>
      <x:c r="L205" s="47" t="n">
        <x:v>0.6385704884718477</x:v>
      </x:c>
      <x:c r="M205" s="29" t="n">
        <x:v>0</x:v>
      </x:c>
    </x:row>
    <x:row r="206" ht="15" hidden="0" customHeight="1">
      <x:c r="A206" s="27" t="n">
        <x:v>202</x:v>
      </x:c>
      <x:c r="B206" s="27" t="n">
        <x:v>331106</x:v>
      </x:c>
      <x:c r="C206" s="27" t="str">
        <x:v>A0</x:v>
      </x:c>
      <x:c r="D206" s="52" t="n">
        <x:v>1667.5832116795175</x:v>
      </x:c>
      <x:c r="E206" s="46" t="n">
        <x:v>0.667033284671807</x:v>
      </x:c>
      <x:c r="F206" s="46" t="n">
        <x:v>0.34062858421523057</x:v>
      </x:c>
      <x:c r="G206" s="46" t="n">
        <x:v>0.5737467126416297</x:v>
      </x:c>
      <x:c r="H206" s="46" t="n">
        <x:v>1</x:v>
      </x:c>
      <x:c r="I206" s="46" t="n">
        <x:v>0.8595540047637004</x:v>
      </x:c>
      <x:c r="J206" s="46" t="n">
        <x:v>0.5737467126416297</x:v>
      </x:c>
      <x:c r="K206" s="46" t="n">
        <x:v>0.9891106005963481</x:v>
      </x:c>
      <x:c r="L206" s="46" t="n">
        <x:v>0.614460983774238</x:v>
      </x:c>
      <x:c r="M206" s="27" t="n">
        <x:v>0</x:v>
      </x:c>
    </x:row>
    <x:row r="207" ht="15" hidden="0" customHeight="1">
      <x:c r="A207" s="29" t="n">
        <x:v>203</x:v>
      </x:c>
      <x:c r="B207" s="29" t="n">
        <x:v>331107</x:v>
      </x:c>
      <x:c r="C207" s="29" t="str">
        <x:v>A0</x:v>
      </x:c>
      <x:c r="D207" s="53" t="n">
        <x:v>1636.4440462045475</x:v>
      </x:c>
      <x:c r="E207" s="47" t="n">
        <x:v>0.654577618481819</x:v>
      </x:c>
      <x:c r="F207" s="47" t="n">
        <x:v>0.31299664786694453</x:v>
      </x:c>
      <x:c r="G207" s="47" t="n">
        <x:v>0.563228491268861</x:v>
      </x:c>
      <x:c r="H207" s="47" t="n">
        <x:v>1</x:v>
      </x:c>
      <x:c r="I207" s="47" t="n">
        <x:v>0.8035602571639552</x:v>
      </x:c>
      <x:c r="J207" s="47" t="n">
        <x:v>0.563228491268861</x:v>
      </x:c>
      <x:c r="K207" s="47" t="n">
        <x:v>0.97628372939028</x:v>
      </x:c>
      <x:c r="L207" s="47" t="n">
        <x:v>0.608623433724787</x:v>
      </x:c>
      <x:c r="M207" s="29" t="n">
        <x:v>0</x:v>
      </x:c>
    </x:row>
    <x:row r="208" ht="15" hidden="0" customHeight="1">
      <x:c r="A208" s="27" t="n">
        <x:v>204</x:v>
      </x:c>
      <x:c r="B208" s="27" t="n">
        <x:v>331108</x:v>
      </x:c>
      <x:c r="C208" s="27" t="str">
        <x:v>A0</x:v>
      </x:c>
      <x:c r="D208" s="52" t="n">
        <x:v>1731.3453079327571</x:v>
      </x:c>
      <x:c r="E208" s="46" t="n">
        <x:v>0.6925381231731028</x:v>
      </x:c>
      <x:c r="F208" s="46" t="n">
        <x:v>0.3450510525377964</x:v>
      </x:c>
      <x:c r="G208" s="46" t="n">
        <x:v>0.5999642391397003</x:v>
      </x:c>
      <x:c r="H208" s="46" t="n">
        <x:v>0.9941845269996007</x:v>
      </x:c>
      <x:c r="I208" s="46" t="n">
        <x:v>0.8412465263674835</x:v>
      </x:c>
      <x:c r="J208" s="46" t="n">
        <x:v>0.5999642391397003</x:v>
      </x:c>
      <x:c r="K208" s="46" t="n">
        <x:v>1</x:v>
      </x:c>
      <x:c r="L208" s="46" t="n">
        <x:v>0.6480145410692518</x:v>
      </x:c>
      <x:c r="M208" s="27" t="n">
        <x:v>0</x:v>
      </x:c>
    </x:row>
    <x:row r="209" ht="15" hidden="0" customHeight="1">
      <x:c r="A209" s="29" t="n">
        <x:v>205</x:v>
      </x:c>
      <x:c r="B209" s="29" t="n">
        <x:v>331109</x:v>
      </x:c>
      <x:c r="C209" s="29" t="str">
        <x:v>A0</x:v>
      </x:c>
      <x:c r="D209" s="53" t="n">
        <x:v>1670.2111554021715</x:v>
      </x:c>
      <x:c r="E209" s="47" t="n">
        <x:v>0.6680844621608686</x:v>
      </x:c>
      <x:c r="F209" s="47" t="n">
        <x:v>0.35755864627767414</x:v>
      </x:c>
      <x:c r="G209" s="47" t="n">
        <x:v>0.5703950869804357</x:v>
      </x:c>
      <x:c r="H209" s="47" t="n">
        <x:v>1</x:v>
      </x:c>
      <x:c r="I209" s="47" t="n">
        <x:v>0.8235166528703396</x:v>
      </x:c>
      <x:c r="J209" s="47" t="n">
        <x:v>0.5703950869804357</x:v>
      </x:c>
      <x:c r="K209" s="47" t="n">
        <x:v>0.9976713764070034</x:v>
      </x:c>
      <x:c r="L209" s="47" t="n">
        <x:v>0.6208611829899247</x:v>
      </x:c>
      <x:c r="M209" s="29" t="n">
        <x:v>0</x:v>
      </x:c>
    </x:row>
    <x:row r="210" ht="15" hidden="0" customHeight="1">
      <x:c r="A210" s="27" t="n">
        <x:v>206</x:v>
      </x:c>
      <x:c r="B210" s="27" t="n">
        <x:v>331110</x:v>
      </x:c>
      <x:c r="C210" s="27" t="str">
        <x:v>A0</x:v>
      </x:c>
      <x:c r="D210" s="52" t="n">
        <x:v>1680.9314622044194</x:v>
      </x:c>
      <x:c r="E210" s="46" t="n">
        <x:v>0.6723725848817678</x:v>
      </x:c>
      <x:c r="F210" s="46" t="n">
        <x:v>0.33909707027004893</x:v>
      </x:c>
      <x:c r="G210" s="46" t="n">
        <x:v>0.5814346938150493</x:v>
      </x:c>
      <x:c r="H210" s="46" t="n">
        <x:v>1</x:v>
      </x:c>
      <x:c r="I210" s="46" t="n">
        <x:v>0.8422844061864712</x:v>
      </x:c>
      <x:c r="J210" s="46" t="n">
        <x:v>0.5814346938150493</x:v>
      </x:c>
      <x:c r="K210" s="46" t="n">
        <x:v>0.9927381768315419</x:v>
      </x:c>
      <x:c r="L210" s="46" t="n">
        <x:v>0.6234588279832456</x:v>
      </x:c>
      <x:c r="M210" s="27" t="n">
        <x:v>0</x:v>
      </x:c>
    </x:row>
    <x:row r="211" ht="15" hidden="0" customHeight="1">
      <x:c r="A211" s="29" t="n">
        <x:v>207</x:v>
      </x:c>
      <x:c r="B211" s="29" t="n">
        <x:v>331111</x:v>
      </x:c>
      <x:c r="C211" s="29" t="str">
        <x:v>A0</x:v>
      </x:c>
      <x:c r="D211" s="53" t="n">
        <x:v>1744.391929786977</x:v>
      </x:c>
      <x:c r="E211" s="47" t="n">
        <x:v>0.6977567719147908</x:v>
      </x:c>
      <x:c r="F211" s="47" t="n">
        <x:v>0.3273511208346081</x:v>
      </x:c>
      <x:c r="G211" s="47" t="n">
        <x:v>0.6041649427787326</x:v>
      </x:c>
      <x:c r="H211" s="47" t="n">
        <x:v>1</x:v>
      </x:c>
      <x:c r="I211" s="47" t="n">
        <x:v>0.9061189003253912</x:v>
      </x:c>
      <x:c r="J211" s="47" t="n">
        <x:v>0.6041649427787326</x:v>
      </x:c>
      <x:c r="K211" s="47" t="n">
        <x:v>0.985847993803836</x:v>
      </x:c>
      <x:c r="L211" s="47" t="n">
        <x:v>0.6451427891024121</x:v>
      </x:c>
      <x:c r="M211" s="29" t="n">
        <x:v>0</x:v>
      </x:c>
    </x:row>
    <x:row r="212" ht="15" hidden="0" customHeight="1">
      <x:c r="A212" s="27" t="n">
        <x:v>208</x:v>
      </x:c>
      <x:c r="B212" s="27" t="n">
        <x:v>331112</x:v>
      </x:c>
      <x:c r="C212" s="27" t="str">
        <x:v>A0</x:v>
      </x:c>
      <x:c r="D212" s="52" t="n">
        <x:v>1753.4572727609013</x:v>
      </x:c>
      <x:c r="E212" s="46" t="n">
        <x:v>0.7013829091043605</x:v>
      </x:c>
      <x:c r="F212" s="46" t="n">
        <x:v>0.39962117393653546</x:v>
      </x:c>
      <x:c r="G212" s="46" t="n">
        <x:v>0.6045494503897799</x:v>
      </x:c>
      <x:c r="H212" s="46" t="n">
        <x:v>1</x:v>
      </x:c>
      <x:c r="I212" s="46" t="n">
        <x:v>0.8902349529012847</x:v>
      </x:c>
      <x:c r="J212" s="46" t="n">
        <x:v>0.6045494503897799</x:v>
      </x:c>
      <x:c r="K212" s="46" t="n">
        <x:v>1</x:v>
      </x:c>
      <x:c r="L212" s="46" t="n">
        <x:v>0.6512294100717261</x:v>
      </x:c>
      <x:c r="M212" s="27" t="n">
        <x:v>0</x:v>
      </x:c>
    </x:row>
    <x:row r="213" ht="15" hidden="0" customHeight="1">
      <x:c r="A213" s="29" t="n">
        <x:v>209</x:v>
      </x:c>
      <x:c r="B213" s="29" t="n">
        <x:v>331113</x:v>
      </x:c>
      <x:c r="C213" s="29" t="str">
        <x:v>A0</x:v>
      </x:c>
      <x:c r="D213" s="53" t="n">
        <x:v>1663.205353940021</x:v>
      </x:c>
      <x:c r="E213" s="47" t="n">
        <x:v>0.6652821415760084</x:v>
      </x:c>
      <x:c r="F213" s="47" t="n">
        <x:v>0.3090864538695581</x:v>
      </x:c>
      <x:c r="G213" s="47" t="n">
        <x:v>0.56969545123942</x:v>
      </x:c>
      <x:c r="H213" s="47" t="n">
        <x:v>0.977786556418433</x:v>
      </x:c>
      <x:c r="I213" s="47" t="n">
        <x:v>0.7673654219558734</x:v>
      </x:c>
      <x:c r="J213" s="47" t="n">
        <x:v>0.56969545123942</x:v>
      </x:c>
      <x:c r="K213" s="47" t="n">
        <x:v>0.991310642870784</x:v>
      </x:c>
      <x:c r="L213" s="47" t="n">
        <x:v>0.6267691303579654</x:v>
      </x:c>
      <x:c r="M213" s="29" t="n">
        <x:v>0</x:v>
      </x:c>
    </x:row>
    <x:row r="214" ht="15" hidden="0" customHeight="1">
      <x:c r="A214" s="27" t="n">
        <x:v>210</x:v>
      </x:c>
      <x:c r="B214" s="27" t="n">
        <x:v>331114</x:v>
      </x:c>
      <x:c r="C214" s="27" t="str">
        <x:v>A0</x:v>
      </x:c>
      <x:c r="D214" s="52" t="n">
        <x:v>1734.0197295652922</x:v>
      </x:c>
      <x:c r="E214" s="46" t="n">
        <x:v>0.6936078918261169</x:v>
      </x:c>
      <x:c r="F214" s="46" t="n">
        <x:v>0.38825167896776147</x:v>
      </x:c>
      <x:c r="G214" s="46" t="n">
        <x:v>0.5984894190165441</x:v>
      </x:c>
      <x:c r="H214" s="46" t="n">
        <x:v>1</x:v>
      </x:c>
      <x:c r="I214" s="46" t="n">
        <x:v>0.8345065926522945</x:v>
      </x:c>
      <x:c r="J214" s="46" t="n">
        <x:v>0.5984894190165441</x:v>
      </x:c>
      <x:c r="K214" s="46" t="n">
        <x:v>1</x:v>
      </x:c>
      <x:c r="L214" s="46" t="n">
        <x:v>0.6503236285991563</x:v>
      </x:c>
      <x:c r="M214" s="27" t="n">
        <x:v>0</x:v>
      </x:c>
    </x:row>
    <x:row r="215" ht="15" hidden="0" customHeight="1">
      <x:c r="A215" s="29" t="n">
        <x:v>211</x:v>
      </x:c>
      <x:c r="B215" s="29" t="n">
        <x:v>331115</x:v>
      </x:c>
      <x:c r="C215" s="29" t="str">
        <x:v>A0</x:v>
      </x:c>
      <x:c r="D215" s="53" t="n">
        <x:v>1620.2994028125668</x:v>
      </x:c>
      <x:c r="E215" s="47" t="n">
        <x:v>0.6481197611250267</x:v>
      </x:c>
      <x:c r="F215" s="47" t="n">
        <x:v>0.30283534552272123</x:v>
      </x:c>
      <x:c r="G215" s="47" t="n">
        <x:v>0.5496459238579321</x:v>
      </x:c>
      <x:c r="H215" s="47" t="n">
        <x:v>1</x:v>
      </x:c>
      <x:c r="I215" s="47" t="n">
        <x:v>0.83298818595517</x:v>
      </x:c>
      <x:c r="J215" s="47" t="n">
        <x:v>0.5496459238579321</x:v>
      </x:c>
      <x:c r="K215" s="47" t="n">
        <x:v>0.9827218453776452</x:v>
      </x:c>
      <x:c r="L215" s="47" t="n">
        <x:v>0.5957936897754748</x:v>
      </x:c>
      <x:c r="M215" s="29" t="n">
        <x:v>0</x:v>
      </x:c>
    </x:row>
    <x:row r="216" ht="15" hidden="0" customHeight="1">
      <x:c r="A216" s="27" t="n">
        <x:v>212</x:v>
      </x:c>
      <x:c r="B216" s="27" t="n">
        <x:v>331116</x:v>
      </x:c>
      <x:c r="C216" s="27" t="str">
        <x:v>A0</x:v>
      </x:c>
      <x:c r="D216" s="52" t="n">
        <x:v>1661.460603765051</x:v>
      </x:c>
      <x:c r="E216" s="46" t="n">
        <x:v>0.6645842415060204</x:v>
      </x:c>
      <x:c r="F216" s="46" t="n">
        <x:v>0.3565359658862907</x:v>
      </x:c>
      <x:c r="G216" s="46" t="n">
        <x:v>0.5664209606270865</x:v>
      </x:c>
      <x:c r="H216" s="46" t="n">
        <x:v>0.9551924845275745</x:v>
      </x:c>
      <x:c r="I216" s="46" t="n">
        <x:v>0.7572744607799765</x:v>
      </x:c>
      <x:c r="J216" s="46" t="n">
        <x:v>0.5664209606270865</x:v>
      </x:c>
      <x:c r="K216" s="46" t="n">
        <x:v>0.9932986341955373</x:v>
      </x:c>
      <x:c r="L216" s="46" t="n">
        <x:v>0.6276462426839474</x:v>
      </x:c>
      <x:c r="M216" s="27" t="n">
        <x:v>0</x:v>
      </x:c>
    </x:row>
    <x:row r="217" ht="15" hidden="0" customHeight="1">
      <x:c r="A217" s="29" t="n">
        <x:v>213</x:v>
      </x:c>
      <x:c r="B217" s="29" t="n">
        <x:v>331117</x:v>
      </x:c>
      <x:c r="C217" s="29" t="str">
        <x:v>A0</x:v>
      </x:c>
      <x:c r="D217" s="53" t="n">
        <x:v>1653.3881438384585</x:v>
      </x:c>
      <x:c r="E217" s="47" t="n">
        <x:v>0.6613552575353834</x:v>
      </x:c>
      <x:c r="F217" s="47" t="n">
        <x:v>0.31385224849277565</x:v>
      </x:c>
      <x:c r="G217" s="47" t="n">
        <x:v>0.5674615149190311</x:v>
      </x:c>
      <x:c r="H217" s="47" t="n">
        <x:v>1</x:v>
      </x:c>
      <x:c r="I217" s="47" t="n">
        <x:v>0.8519250835542449</x:v>
      </x:c>
      <x:c r="J217" s="47" t="n">
        <x:v>0.5674615149190311</x:v>
      </x:c>
      <x:c r="K217" s="47" t="n">
        <x:v>0.978246424511322</x:v>
      </x:c>
      <x:c r="L217" s="47" t="n">
        <x:v>0.6093357421828711</x:v>
      </x:c>
      <x:c r="M217" s="29" t="n">
        <x:v>0</x:v>
      </x:c>
    </x:row>
    <x:row r="218" ht="15" hidden="0" customHeight="1">
      <x:c r="A218" s="27" t="n">
        <x:v>214</x:v>
      </x:c>
      <x:c r="B218" s="27" t="n">
        <x:v>331118</x:v>
      </x:c>
      <x:c r="C218" s="27" t="str">
        <x:v>A0</x:v>
      </x:c>
      <x:c r="D218" s="52" t="n">
        <x:v>1656.4251852376256</x:v>
      </x:c>
      <x:c r="E218" s="46" t="n">
        <x:v>0.6625700740950502</x:v>
      </x:c>
      <x:c r="F218" s="46" t="n">
        <x:v>0.3050806515181658</x:v>
      </x:c>
      <x:c r="G218" s="46" t="n">
        <x:v>0.5646047303467568</x:v>
      </x:c>
      <x:c r="H218" s="46" t="n">
        <x:v>1</x:v>
      </x:c>
      <x:c r="I218" s="46" t="n">
        <x:v>0.8362338388979498</x:v>
      </x:c>
      <x:c r="J218" s="46" t="n">
        <x:v>0.5646047303467568</x:v>
      </x:c>
      <x:c r="K218" s="46" t="n">
        <x:v>0.9902863211937157</x:v>
      </x:c>
      <x:c r="L218" s="46" t="n">
        <x:v>0.6125663372194696</x:v>
      </x:c>
      <x:c r="M218" s="27" t="n">
        <x:v>0</x:v>
      </x:c>
    </x:row>
    <x:row r="219" ht="15" hidden="0" customHeight="1">
      <x:c r="A219" s="29" t="n">
        <x:v>215</x:v>
      </x:c>
      <x:c r="B219" s="29" t="n">
        <x:v>331119</x:v>
      </x:c>
      <x:c r="C219" s="29" t="str">
        <x:v>A0</x:v>
      </x:c>
      <x:c r="D219" s="53" t="n">
        <x:v>1612.1207745636564</x:v>
      </x:c>
      <x:c r="E219" s="47" t="n">
        <x:v>0.6448483098254626</x:v>
      </x:c>
      <x:c r="F219" s="47" t="n">
        <x:v>0.32029218373546575</x:v>
      </x:c>
      <x:c r="G219" s="47" t="n">
        <x:v>0.5543163954207704</x:v>
      </x:c>
      <x:c r="H219" s="47" t="n">
        <x:v>0.989980562141409</x:v>
      </x:c>
      <x:c r="I219" s="47" t="n">
        <x:v>0.8018952842606034</x:v>
      </x:c>
      <x:c r="J219" s="47" t="n">
        <x:v>0.5543163954207704</x:v>
      </x:c>
      <x:c r="K219" s="47" t="n">
        <x:v>0.9769436799118798</x:v>
      </x:c>
      <x:c r="L219" s="47" t="n">
        <x:v>0.5970130132038437</x:v>
      </x:c>
      <x:c r="M219" s="29" t="n">
        <x:v>0</x:v>
      </x:c>
    </x:row>
    <x:row r="220" ht="15" hidden="0" customHeight="1">
      <x:c r="A220" s="27" t="n">
        <x:v>216</x:v>
      </x:c>
      <x:c r="B220" s="27" t="n">
        <x:v>331120</x:v>
      </x:c>
      <x:c r="C220" s="27" t="str">
        <x:v>A0</x:v>
      </x:c>
      <x:c r="D220" s="52" t="n">
        <x:v>1660.6514012094844</x:v>
      </x:c>
      <x:c r="E220" s="46" t="n">
        <x:v>0.6642605604837938</x:v>
      </x:c>
      <x:c r="F220" s="46" t="n">
        <x:v>0.3235704332202428</x:v>
      </x:c>
      <x:c r="G220" s="46" t="n">
        <x:v>0.5714764749779367</x:v>
      </x:c>
      <x:c r="H220" s="46" t="n">
        <x:v>1</x:v>
      </x:c>
      <x:c r="I220" s="46" t="n">
        <x:v>0.8537312230180867</x:v>
      </x:c>
      <x:c r="J220" s="46" t="n">
        <x:v>0.5714764749779367</x:v>
      </x:c>
      <x:c r="K220" s="46" t="n">
        <x:v>0.9953622192857643</x:v>
      </x:c>
      <x:c r="L220" s="46" t="n">
        <x:v>0.6115806400898861</x:v>
      </x:c>
      <x:c r="M220" s="27" t="n">
        <x:v>0</x:v>
      </x:c>
    </x:row>
    <x:row r="221" ht="15" hidden="0" customHeight="1">
      <x:c r="A221" s="29" t="n">
        <x:v>217</x:v>
      </x:c>
      <x:c r="B221" s="29" t="n">
        <x:v>331121</x:v>
      </x:c>
      <x:c r="C221" s="29" t="str">
        <x:v>A0</x:v>
      </x:c>
      <x:c r="D221" s="53" t="n">
        <x:v>1710.537684462668</x:v>
      </x:c>
      <x:c r="E221" s="47" t="n">
        <x:v>0.6842150737850672</x:v>
      </x:c>
      <x:c r="F221" s="47" t="n">
        <x:v>0.3430234339703678</x:v>
      </x:c>
      <x:c r="G221" s="47" t="n">
        <x:v>0.5895482599560113</x:v>
      </x:c>
      <x:c r="H221" s="47" t="n">
        <x:v>1</x:v>
      </x:c>
      <x:c r="I221" s="47" t="n">
        <x:v>0.8777655129403513</x:v>
      </x:c>
      <x:c r="J221" s="47" t="n">
        <x:v>0.5895482599560113</x:v>
      </x:c>
      <x:c r="K221" s="47" t="n">
        <x:v>0.9906788909142759</x:v>
      </x:c>
      <x:c r="L221" s="47" t="n">
        <x:v>0.6326390477461794</x:v>
      </x:c>
      <x:c r="M221" s="29" t="n">
        <x:v>0</x:v>
      </x:c>
    </x:row>
    <x:row r="222" ht="15" hidden="0" customHeight="1">
      <x:c r="A222" s="27" t="n">
        <x:v>218</x:v>
      </x:c>
      <x:c r="B222" s="27" t="n">
        <x:v>331122</x:v>
      </x:c>
      <x:c r="C222" s="27" t="str">
        <x:v>A0</x:v>
      </x:c>
      <x:c r="D222" s="52" t="n">
        <x:v>1646.6597456876746</x:v>
      </x:c>
      <x:c r="E222" s="46" t="n">
        <x:v>0.6586638982750698</x:v>
      </x:c>
      <x:c r="F222" s="46" t="n">
        <x:v>0.2860149390875875</x:v>
      </x:c>
      <x:c r="G222" s="46" t="n">
        <x:v>0.5633326150496671</x:v>
      </x:c>
      <x:c r="H222" s="46" t="n">
        <x:v>0.9875416036084729</x:v>
      </x:c>
      <x:c r="I222" s="46" t="n">
        <x:v>0.7898602289763134</x:v>
      </x:c>
      <x:c r="J222" s="46" t="n">
        <x:v>0.5633326150496671</x:v>
      </x:c>
      <x:c r="K222" s="46" t="n">
        <x:v>0.9922530857768967</x:v>
      </x:c>
      <x:c r="L222" s="46" t="n">
        <x:v>0.6149796071882624</x:v>
      </x:c>
      <x:c r="M222" s="27" t="n">
        <x:v>0</x:v>
      </x:c>
    </x:row>
    <x:row r="223" ht="15" hidden="0" customHeight="1">
      <x:c r="A223" s="29" t="n">
        <x:v>219</x:v>
      </x:c>
      <x:c r="B223" s="29" t="n">
        <x:v>331123</x:v>
      </x:c>
      <x:c r="C223" s="29" t="str">
        <x:v>A0</x:v>
      </x:c>
      <x:c r="D223" s="53" t="n">
        <x:v>1713.1168763087755</x:v>
      </x:c>
      <x:c r="E223" s="47" t="n">
        <x:v>0.6852467505235103</x:v>
      </x:c>
      <x:c r="F223" s="47" t="n">
        <x:v>0.30745257759693645</x:v>
      </x:c>
      <x:c r="G223" s="47" t="n">
        <x:v>0.5921979431595242</x:v>
      </x:c>
      <x:c r="H223" s="47" t="n">
        <x:v>1</x:v>
      </x:c>
      <x:c r="I223" s="47" t="n">
        <x:v>0.876370283513646</x:v>
      </x:c>
      <x:c r="J223" s="47" t="n">
        <x:v>0.5921979431595242</x:v>
      </x:c>
      <x:c r="K223" s="47" t="n">
        <x:v>0.9742574009052049</x:v>
      </x:c>
      <x:c r="L223" s="47" t="n">
        <x:v>0.6351005385033407</x:v>
      </x:c>
      <x:c r="M223" s="29" t="n">
        <x:v>0</x:v>
      </x:c>
    </x:row>
    <x:row r="224" ht="15" hidden="0" customHeight="1">
      <x:c r="A224" s="27" t="n">
        <x:v>220</x:v>
      </x:c>
      <x:c r="B224" s="27" t="n">
        <x:v>331124</x:v>
      </x:c>
      <x:c r="C224" s="27" t="str">
        <x:v>A0</x:v>
      </x:c>
      <x:c r="D224" s="52" t="n">
        <x:v>1628.125212661027</x:v>
      </x:c>
      <x:c r="E224" s="46" t="n">
        <x:v>0.6512500850644108</x:v>
      </x:c>
      <x:c r="F224" s="46" t="n">
        <x:v>0.3229875396466103</x:v>
      </x:c>
      <x:c r="G224" s="46" t="n">
        <x:v>0.5581945661991145</x:v>
      </x:c>
      <x:c r="H224" s="46" t="n">
        <x:v>1</x:v>
      </x:c>
      <x:c r="I224" s="46" t="n">
        <x:v>0.8176525148647034</x:v>
      </x:c>
      <x:c r="J224" s="46" t="n">
        <x:v>0.5581945661991145</x:v>
      </x:c>
      <x:c r="K224" s="46" t="n">
        <x:v>0.9840235980824799</x:v>
      </x:c>
      <x:c r="L224" s="46" t="n">
        <x:v>0.6018975271703197</x:v>
      </x:c>
      <x:c r="M224" s="27" t="n">
        <x:v>0</x:v>
      </x:c>
    </x:row>
    <x:row r="225" ht="15" hidden="0" customHeight="1">
      <x:c r="A225" s="29" t="n">
        <x:v>221</x:v>
      </x:c>
      <x:c r="B225" s="29" t="n">
        <x:v>331125</x:v>
      </x:c>
      <x:c r="C225" s="29" t="str">
        <x:v>A0</x:v>
      </x:c>
      <x:c r="D225" s="53" t="n">
        <x:v>1647.269075670675</x:v>
      </x:c>
      <x:c r="E225" s="47" t="n">
        <x:v>0.65890763026827</x:v>
      </x:c>
      <x:c r="F225" s="47" t="n">
        <x:v>0.32255706152092556</x:v>
      </x:c>
      <x:c r="G225" s="47" t="n">
        <x:v>0.568915568424264</x:v>
      </x:c>
      <x:c r="H225" s="47" t="n">
        <x:v>0.9201203328013426</x:v>
      </x:c>
      <x:c r="I225" s="47" t="n">
        <x:v>0.7561129768312043</x:v>
      </x:c>
      <x:c r="J225" s="47" t="n">
        <x:v>0.568915568424264</x:v>
      </x:c>
      <x:c r="K225" s="47" t="n">
        <x:v>1</x:v>
      </x:c>
      <x:c r="L225" s="47" t="n">
        <x:v>0.6208103328084077</x:v>
      </x:c>
      <x:c r="M225" s="29" t="n">
        <x:v>0</x:v>
      </x:c>
    </x:row>
    <x:row r="226" ht="15" hidden="0" customHeight="1">
      <x:c r="A226" s="27" t="n">
        <x:v>222</x:v>
      </x:c>
      <x:c r="B226" s="27" t="n">
        <x:v>331126</x:v>
      </x:c>
      <x:c r="C226" s="27" t="str">
        <x:v>A0</x:v>
      </x:c>
      <x:c r="D226" s="52" t="n">
        <x:v>1702.7465576018094</x:v>
      </x:c>
      <x:c r="E226" s="46" t="n">
        <x:v>0.6810986230407238</x:v>
      </x:c>
      <x:c r="F226" s="46" t="n">
        <x:v>0.3352342126553727</x:v>
      </x:c>
      <x:c r="G226" s="46" t="n">
        <x:v>0.5920081426581527</x:v>
      </x:c>
      <x:c r="H226" s="46" t="n">
        <x:v>0.9488542785125865</x:v>
      </x:c>
      <x:c r="I226" s="46" t="n">
        <x:v>0.8298366635754776</x:v>
      </x:c>
      <x:c r="J226" s="46" t="n">
        <x:v>0.5920081426581527</x:v>
      </x:c>
      <x:c r="K226" s="46" t="n">
        <x:v>0.9992148468963143</x:v>
      </x:c>
      <x:c r="L226" s="46" t="n">
        <x:v>0.6363041342995399</x:v>
      </x:c>
      <x:c r="M226" s="27" t="n">
        <x:v>0</x:v>
      </x:c>
    </x:row>
    <x:row r="227" ht="15" hidden="0" customHeight="1">
      <x:c r="A227" s="29" t="n">
        <x:v>223</x:v>
      </x:c>
      <x:c r="B227" s="29" t="n">
        <x:v>331127</x:v>
      </x:c>
      <x:c r="C227" s="29" t="str">
        <x:v>A0</x:v>
      </x:c>
      <x:c r="D227" s="53" t="n">
        <x:v>1724.2348140268857</x:v>
      </x:c>
      <x:c r="E227" s="47" t="n">
        <x:v>0.6896939256107543</x:v>
      </x:c>
      <x:c r="F227" s="47" t="n">
        <x:v>0.35893774691565455</x:v>
      </x:c>
      <x:c r="G227" s="47" t="n">
        <x:v>0.6032372674356302</x:v>
      </x:c>
      <x:c r="H227" s="47" t="n">
        <x:v>1</x:v>
      </x:c>
      <x:c r="I227" s="47" t="n">
        <x:v>0.8839941988724299</x:v>
      </x:c>
      <x:c r="J227" s="47" t="n">
        <x:v>0.6032372674356302</x:v>
      </x:c>
      <x:c r="K227" s="47" t="n">
        <x:v>1</x:v>
      </x:c>
      <x:c r="L227" s="47" t="n">
        <x:v>0.6377737832759707</x:v>
      </x:c>
      <x:c r="M227" s="29" t="n">
        <x:v>0</x:v>
      </x:c>
    </x:row>
    <x:row r="228" ht="15" hidden="0" customHeight="1">
      <x:c r="A228" s="27" t="n">
        <x:v>224</x:v>
      </x:c>
      <x:c r="B228" s="27" t="n">
        <x:v>331128</x:v>
      </x:c>
      <x:c r="C228" s="27" t="str">
        <x:v>A0</x:v>
      </x:c>
      <x:c r="D228" s="52" t="n">
        <x:v>1695.3019125645076</x:v>
      </x:c>
      <x:c r="E228" s="46" t="n">
        <x:v>0.678120765025803</x:v>
      </x:c>
      <x:c r="F228" s="46" t="n">
        <x:v>0.3296065526856188</x:v>
      </x:c>
      <x:c r="G228" s="46" t="n">
        <x:v>0.5894889847411536</x:v>
      </x:c>
      <x:c r="H228" s="46" t="n">
        <x:v>1</x:v>
      </x:c>
      <x:c r="I228" s="46" t="n">
        <x:v>0.8712077349584645</x:v>
      </x:c>
      <x:c r="J228" s="46" t="n">
        <x:v>0.5894889847411536</x:v>
      </x:c>
      <x:c r="K228" s="46" t="n">
        <x:v>0.9833425447260873</x:v>
      </x:c>
      <x:c r="L228" s="46" t="n">
        <x:v>0.6265744421254337</x:v>
      </x:c>
      <x:c r="M228" s="27" t="n">
        <x:v>0</x:v>
      </x:c>
    </x:row>
    <x:row r="229" ht="15" hidden="0" customHeight="1">
      <x:c r="A229" s="29" t="n">
        <x:v>225</x:v>
      </x:c>
      <x:c r="B229" s="29" t="n">
        <x:v>331129</x:v>
      </x:c>
      <x:c r="C229" s="29" t="str">
        <x:v>A0</x:v>
      </x:c>
      <x:c r="D229" s="53" t="n">
        <x:v>1691.8960756295235</x:v>
      </x:c>
      <x:c r="E229" s="47" t="n">
        <x:v>0.6767584302518094</x:v>
      </x:c>
      <x:c r="F229" s="47" t="n">
        <x:v>0.3292261352193746</x:v>
      </x:c>
      <x:c r="G229" s="47" t="n">
        <x:v>0.5904838193522374</x:v>
      </x:c>
      <x:c r="H229" s="47" t="n">
        <x:v>1</x:v>
      </x:c>
      <x:c r="I229" s="47" t="n">
        <x:v>0.8621511631889626</x:v>
      </x:c>
      <x:c r="J229" s="47" t="n">
        <x:v>0.5904838193522374</x:v>
      </x:c>
      <x:c r="K229" s="47" t="n">
        <x:v>0.9972907631135943</x:v>
      </x:c>
      <x:c r="L229" s="47" t="n">
        <x:v>0.6254491011168843</x:v>
      </x:c>
      <x:c r="M229" s="29" t="n">
        <x:v>0</x:v>
      </x:c>
    </x:row>
    <x:row r="230" ht="15" hidden="0" customHeight="1">
      <x:c r="A230" s="27" t="n">
        <x:v>226</x:v>
      </x:c>
      <x:c r="B230" s="27" t="n">
        <x:v>331130</x:v>
      </x:c>
      <x:c r="C230" s="27" t="str">
        <x:v>A0</x:v>
      </x:c>
      <x:c r="D230" s="52" t="n">
        <x:v>1685.4057275884995</x:v>
      </x:c>
      <x:c r="E230" s="46" t="n">
        <x:v>0.6741622910353998</x:v>
      </x:c>
      <x:c r="F230" s="46" t="n">
        <x:v>0.3958193219347113</x:v>
      </x:c>
      <x:c r="G230" s="46" t="n">
        <x:v>0.5861306722507755</x:v>
      </x:c>
      <x:c r="H230" s="46" t="n">
        <x:v>1</x:v>
      </x:c>
      <x:c r="I230" s="46" t="n">
        <x:v>0.8728251723441599</x:v>
      </x:c>
      <x:c r="J230" s="46" t="n">
        <x:v>0.5861306722507755</x:v>
      </x:c>
      <x:c r="K230" s="46" t="n">
        <x:v>1</x:v>
      </x:c>
      <x:c r="L230" s="46" t="n">
        <x:v>0.62045535312914</x:v>
      </x:c>
      <x:c r="M230" s="27" t="n">
        <x:v>0</x:v>
      </x:c>
    </x:row>
    <x:row r="231" ht="15" hidden="0" customHeight="1">
      <x:c r="A231" s="29" t="n">
        <x:v>227</x:v>
      </x:c>
      <x:c r="B231" s="29" t="n">
        <x:v>331131</x:v>
      </x:c>
      <x:c r="C231" s="29" t="str">
        <x:v>A0</x:v>
      </x:c>
      <x:c r="D231" s="53" t="n">
        <x:v>1722.8557486437705</x:v>
      </x:c>
      <x:c r="E231" s="47" t="n">
        <x:v>0.6891422994575083</x:v>
      </x:c>
      <x:c r="F231" s="47" t="n">
        <x:v>0.362300779408453</x:v>
      </x:c>
      <x:c r="G231" s="47" t="n">
        <x:v>0.59552692183557</x:v>
      </x:c>
      <x:c r="H231" s="47" t="n">
        <x:v>0.9923443131953478</x:v>
      </x:c>
      <x:c r="I231" s="47" t="n">
        <x:v>0.8197315864199225</x:v>
      </x:c>
      <x:c r="J231" s="47" t="n">
        <x:v>0.59552692183557</x:v>
      </x:c>
      <x:c r="K231" s="47" t="n">
        <x:v>1</x:v>
      </x:c>
      <x:c r="L231" s="47" t="n">
        <x:v>0.6472155731143776</x:v>
      </x:c>
      <x:c r="M231" s="29" t="n">
        <x:v>0</x:v>
      </x:c>
    </x:row>
    <x:row r="232" ht="15" hidden="0" customHeight="1">
      <x:c r="A232" s="27" t="n">
        <x:v>228</x:v>
      </x:c>
      <x:c r="B232" s="27" t="n">
        <x:v>331132</x:v>
      </x:c>
      <x:c r="C232" s="27" t="str">
        <x:v>A0</x:v>
      </x:c>
      <x:c r="D232" s="52" t="n">
        <x:v>1729.2733042540726</x:v>
      </x:c>
      <x:c r="E232" s="46" t="n">
        <x:v>0.691709321701629</x:v>
      </x:c>
      <x:c r="F232" s="46" t="n">
        <x:v>0.35517356778168535</x:v>
      </x:c>
      <x:c r="G232" s="46" t="n">
        <x:v>0.6016293290952597</x:v>
      </x:c>
      <x:c r="H232" s="46" t="n">
        <x:v>1</x:v>
      </x:c>
      <x:c r="I232" s="46" t="n">
        <x:v>0.8207104619884339</x:v>
      </x:c>
      <x:c r="J232" s="46" t="n">
        <x:v>0.6016293290952597</x:v>
      </x:c>
      <x:c r="K232" s="46" t="n">
        <x:v>1</x:v>
      </x:c>
      <x:c r="L232" s="46" t="n">
        <x:v>0.6500973036537746</x:v>
      </x:c>
      <x:c r="M232" s="27" t="n">
        <x:v>0</x:v>
      </x:c>
    </x:row>
    <x:row r="233" ht="15" hidden="0" customHeight="1">
      <x:c r="A233" s="29" t="n">
        <x:v>229</x:v>
      </x:c>
      <x:c r="B233" s="29" t="n">
        <x:v>331133</x:v>
      </x:c>
      <x:c r="C233" s="29" t="str">
        <x:v>A0</x:v>
      </x:c>
      <x:c r="D233" s="53" t="n">
        <x:v>1718.4233771007293</x:v>
      </x:c>
      <x:c r="E233" s="47" t="n">
        <x:v>0.6873693508402917</x:v>
      </x:c>
      <x:c r="F233" s="47" t="n">
        <x:v>0.3227817549918746</x:v>
      </x:c>
      <x:c r="G233" s="47" t="n">
        <x:v>0.5902358163076814</x:v>
      </x:c>
      <x:c r="H233" s="47" t="n">
        <x:v>1</x:v>
      </x:c>
      <x:c r="I233" s="47" t="n">
        <x:v>0.8442046362092362</x:v>
      </x:c>
      <x:c r="J233" s="47" t="n">
        <x:v>0.5902358163076814</x:v>
      </x:c>
      <x:c r="K233" s="47" t="n">
        <x:v>0.9818637309800738</x:v>
      </x:c>
      <x:c r="L233" s="47" t="n">
        <x:v>0.6422700703844398</x:v>
      </x:c>
      <x:c r="M233" s="29" t="n">
        <x:v>0</x:v>
      </x:c>
    </x:row>
    <x:row r="234" ht="15" hidden="0" customHeight="1">
      <x:c r="A234" s="27" t="n">
        <x:v>230</x:v>
      </x:c>
      <x:c r="B234" s="27" t="n">
        <x:v>331134</x:v>
      </x:c>
      <x:c r="C234" s="27" t="str">
        <x:v>A0</x:v>
      </x:c>
      <x:c r="D234" s="52" t="n">
        <x:v>1705.0615452784684</x:v>
      </x:c>
      <x:c r="E234" s="46" t="n">
        <x:v>0.6820246181113874</x:v>
      </x:c>
      <x:c r="F234" s="46" t="n">
        <x:v>0.35431298799398125</x:v>
      </x:c>
      <x:c r="G234" s="46" t="n">
        <x:v>0.5946254300638893</x:v>
      </x:c>
      <x:c r="H234" s="46" t="n">
        <x:v>0.9936749595818398</x:v>
      </x:c>
      <x:c r="I234" s="46" t="n">
        <x:v>0.8148780257723253</x:v>
      </x:c>
      <x:c r="J234" s="46" t="n">
        <x:v>0.5946254300638893</x:v>
      </x:c>
      <x:c r="K234" s="46" t="n">
        <x:v>0.9942590439695135</x:v>
      </x:c>
      <x:c r="L234" s="46" t="n">
        <x:v>0.6395169509561867</x:v>
      </x:c>
      <x:c r="M234" s="27" t="n">
        <x:v>0</x:v>
      </x:c>
    </x:row>
    <x:row r="235" ht="15" hidden="0" customHeight="1">
      <x:c r="A235" s="29" t="n">
        <x:v>231</x:v>
      </x:c>
      <x:c r="B235" s="29" t="n">
        <x:v>331135</x:v>
      </x:c>
      <x:c r="C235" s="29" t="str">
        <x:v>A0</x:v>
      </x:c>
      <x:c r="D235" s="53" t="n">
        <x:v>1687.1157599156622</x:v>
      </x:c>
      <x:c r="E235" s="47" t="n">
        <x:v>0.6748463039662649</x:v>
      </x:c>
      <x:c r="F235" s="47" t="n">
        <x:v>0.3215335553169474</x:v>
      </x:c>
      <x:c r="G235" s="47" t="n">
        <x:v>0.583792608247789</x:v>
      </x:c>
      <x:c r="H235" s="47" t="n">
        <x:v>1</x:v>
      </x:c>
      <x:c r="I235" s="47" t="n">
        <x:v>0.8601513010368833</x:v>
      </x:c>
      <x:c r="J235" s="47" t="n">
        <x:v>0.583792608247789</x:v>
      </x:c>
      <x:c r="K235" s="47" t="n">
        <x:v>0.9847030175394715</x:v>
      </x:c>
      <x:c r="L235" s="47" t="n">
        <x:v>0.6242074068633592</x:v>
      </x:c>
      <x:c r="M235" s="29" t="n">
        <x:v>0</x:v>
      </x:c>
    </x:row>
    <x:row r="236" ht="15" hidden="0" customHeight="1">
      <x:c r="A236" s="27" t="n">
        <x:v>232</x:v>
      </x:c>
      <x:c r="B236" s="27" t="n">
        <x:v>331136</x:v>
      </x:c>
      <x:c r="C236" s="27" t="str">
        <x:v>A0</x:v>
      </x:c>
      <x:c r="D236" s="52" t="n">
        <x:v>1679.3556080224637</x:v>
      </x:c>
      <x:c r="E236" s="46" t="n">
        <x:v>0.6717422432089855</x:v>
      </x:c>
      <x:c r="F236" s="46" t="n">
        <x:v>0.35957148534977257</x:v>
      </x:c>
      <x:c r="G236" s="46" t="n">
        <x:v>0.5733936407741799</x:v>
      </x:c>
      <x:c r="H236" s="46" t="n">
        <x:v>1</x:v>
      </x:c>
      <x:c r="I236" s="46" t="n">
        <x:v>0.8563398834006117</x:v>
      </x:c>
      <x:c r="J236" s="46" t="n">
        <x:v>0.5733936407741799</x:v>
      </x:c>
      <x:c r="K236" s="46" t="n">
        <x:v>0.9943240296976645</x:v>
      </x:c>
      <x:c r="L236" s="46" t="n">
        <x:v>0.6204628199296914</x:v>
      </x:c>
      <x:c r="M236" s="27" t="n">
        <x:v>0</x:v>
      </x:c>
    </x:row>
    <x:row r="237" ht="15" hidden="0" customHeight="1">
      <x:c r="A237" s="29" t="n">
        <x:v>233</x:v>
      </x:c>
      <x:c r="B237" s="29" t="n">
        <x:v>331137</x:v>
      </x:c>
      <x:c r="C237" s="29" t="str">
        <x:v>A0</x:v>
      </x:c>
      <x:c r="D237" s="53" t="n">
        <x:v>1659.3492743829117</x:v>
      </x:c>
      <x:c r="E237" s="47" t="n">
        <x:v>0.6637397097531647</x:v>
      </x:c>
      <x:c r="F237" s="47" t="n">
        <x:v>0.31592701043867955</x:v>
      </x:c>
      <x:c r="G237" s="47" t="n">
        <x:v>0.5620398226001239</x:v>
      </x:c>
      <x:c r="H237" s="47" t="n">
        <x:v>1</x:v>
      </x:c>
      <x:c r="I237" s="47" t="n">
        <x:v>0.8077370547349692</x:v>
      </x:c>
      <x:c r="J237" s="47" t="n">
        <x:v>0.5620398226001239</x:v>
      </x:c>
      <x:c r="K237" s="47" t="n">
        <x:v>0.9681909310393613</x:v>
      </x:c>
      <x:c r="L237" s="47" t="n">
        <x:v>0.6197858919135921</x:v>
      </x:c>
      <x:c r="M237" s="29" t="n">
        <x:v>0</x:v>
      </x:c>
    </x:row>
    <x:row r="238" ht="15" hidden="0" customHeight="1">
      <x:c r="A238" s="27" t="n">
        <x:v>234</x:v>
      </x:c>
      <x:c r="B238" s="27" t="n">
        <x:v>331138</x:v>
      </x:c>
      <x:c r="C238" s="27" t="str">
        <x:v>A0</x:v>
      </x:c>
      <x:c r="D238" s="52" t="n">
        <x:v>1723.0803371217519</x:v>
      </x:c>
      <x:c r="E238" s="46" t="n">
        <x:v>0.6892321348487007</x:v>
      </x:c>
      <x:c r="F238" s="46" t="n">
        <x:v>0.3881669504304477</x:v>
      </x:c>
      <x:c r="G238" s="46" t="n">
        <x:v>0.5947908753148918</x:v>
      </x:c>
      <x:c r="H238" s="46" t="n">
        <x:v>0.9916290773780417</x:v>
      </x:c>
      <x:c r="I238" s="46" t="n">
        <x:v>0.792534085486053</x:v>
      </x:c>
      <x:c r="J238" s="46" t="n">
        <x:v>0.5947908753148918</x:v>
      </x:c>
      <x:c r="K238" s="46" t="n">
        <x:v>1</x:v>
      </x:c>
      <x:c r="L238" s="46" t="n">
        <x:v>0.6515620494751537</x:v>
      </x:c>
      <x:c r="M238" s="27" t="n">
        <x:v>0</x:v>
      </x:c>
    </x:row>
    <x:row r="239" ht="15" hidden="0" customHeight="1">
      <x:c r="A239" s="29" t="n">
        <x:v>235</x:v>
      </x:c>
      <x:c r="B239" s="29" t="n">
        <x:v>331139</x:v>
      </x:c>
      <x:c r="C239" s="29" t="str">
        <x:v>A0</x:v>
      </x:c>
      <x:c r="D239" s="53" t="n">
        <x:v>1656.969023958005</x:v>
      </x:c>
      <x:c r="E239" s="47" t="n">
        <x:v>0.662787609583202</x:v>
      </x:c>
      <x:c r="F239" s="47" t="n">
        <x:v>0.3449691751205621</x:v>
      </x:c>
      <x:c r="G239" s="47" t="n">
        <x:v>0.5642417310977181</x:v>
      </x:c>
      <x:c r="H239" s="47" t="n">
        <x:v>1</x:v>
      </x:c>
      <x:c r="I239" s="47" t="n">
        <x:v>0.7906752687931397</x:v>
      </x:c>
      <x:c r="J239" s="47" t="n">
        <x:v>0.5642417310977181</x:v>
      </x:c>
      <x:c r="K239" s="47" t="n">
        <x:v>0.9975541939171934</x:v>
      </x:c>
      <x:c r="L239" s="47" t="n">
        <x:v>0.6194707993861919</x:v>
      </x:c>
      <x:c r="M239" s="29" t="n">
        <x:v>0</x:v>
      </x:c>
    </x:row>
    <x:row r="240" ht="15" hidden="0" customHeight="1">
      <x:c r="A240" s="27" t="n">
        <x:v>236</x:v>
      </x:c>
      <x:c r="B240" s="27" t="n">
        <x:v>331140</x:v>
      </x:c>
      <x:c r="C240" s="27" t="str">
        <x:v>A0</x:v>
      </x:c>
      <x:c r="D240" s="52" t="n">
        <x:v>1710.1331309749933</x:v>
      </x:c>
      <x:c r="E240" s="46" t="n">
        <x:v>0.6840532523899973</x:v>
      </x:c>
      <x:c r="F240" s="46" t="n">
        <x:v>0.3390514360483565</x:v>
      </x:c>
      <x:c r="G240" s="46" t="n">
        <x:v>0.5903474056808786</x:v>
      </x:c>
      <x:c r="H240" s="46" t="n">
        <x:v>1</x:v>
      </x:c>
      <x:c r="I240" s="46" t="n">
        <x:v>0.884726001505483</x:v>
      </x:c>
      <x:c r="J240" s="46" t="n">
        <x:v>0.5903474056808786</x:v>
      </x:c>
      <x:c r="K240" s="46" t="n">
        <x:v>0.9930681219918858</x:v>
      </x:c>
      <x:c r="L240" s="46" t="n">
        <x:v>0.6312087509812438</x:v>
      </x:c>
      <x:c r="M240" s="27" t="n">
        <x:v>0</x:v>
      </x:c>
    </x:row>
    <x:row r="241" ht="15" hidden="0" customHeight="1">
      <x:c r="A241" s="29" t="n">
        <x:v>237</x:v>
      </x:c>
      <x:c r="B241" s="29" t="n">
        <x:v>331141</x:v>
      </x:c>
      <x:c r="C241" s="29" t="str">
        <x:v>A0</x:v>
      </x:c>
      <x:c r="D241" s="53" t="n">
        <x:v>1609.5382544503873</x:v>
      </x:c>
      <x:c r="E241" s="47" t="n">
        <x:v>0.6438153017801549</x:v>
      </x:c>
      <x:c r="F241" s="47" t="n">
        <x:v>0.3074492355822225</x:v>
      </x:c>
      <x:c r="G241" s="47" t="n">
        <x:v>0.5468308701546235</x:v>
      </x:c>
      <x:c r="H241" s="47" t="n">
        <x:v>0.9925286210287928</x:v>
      </x:c>
      <x:c r="I241" s="47" t="n">
        <x:v>0.8020506902525296</x:v>
      </x:c>
      <x:c r="J241" s="47" t="n">
        <x:v>0.5468308701546235</x:v>
      </x:c>
      <x:c r="K241" s="47" t="n">
        <x:v>0.9790832036554316</x:v>
      </x:c>
      <x:c r="L241" s="47" t="n">
        <x:v>0.5956095665608715</x:v>
      </x:c>
      <x:c r="M241" s="29" t="n">
        <x:v>0</x:v>
      </x:c>
    </x:row>
    <x:row r="242" ht="15" hidden="0" customHeight="1">
      <x:c r="A242" s="27" t="n">
        <x:v>238</x:v>
      </x:c>
      <x:c r="B242" s="27" t="n">
        <x:v>331142</x:v>
      </x:c>
      <x:c r="C242" s="27" t="str">
        <x:v>A0</x:v>
      </x:c>
      <x:c r="D242" s="52" t="n">
        <x:v>1690.2220952366783</x:v>
      </x:c>
      <x:c r="E242" s="46" t="n">
        <x:v>0.6760888380946714</x:v>
      </x:c>
      <x:c r="F242" s="46" t="n">
        <x:v>0.3415580757477551</x:v>
      </x:c>
      <x:c r="G242" s="46" t="n">
        <x:v>0.5862161052514346</x:v>
      </x:c>
      <x:c r="H242" s="46" t="n">
        <x:v>1</x:v>
      </x:c>
      <x:c r="I242" s="46" t="n">
        <x:v>0.8068246267383761</x:v>
      </x:c>
      <x:c r="J242" s="46" t="n">
        <x:v>0.5862161052514346</x:v>
      </x:c>
      <x:c r="K242" s="46" t="n">
        <x:v>0.9950633182663918</x:v>
      </x:c>
      <x:c r="L242" s="46" t="n">
        <x:v>0.6333760951478146</x:v>
      </x:c>
      <x:c r="M242" s="27" t="n">
        <x:v>0</x:v>
      </x:c>
    </x:row>
    <x:row r="243" ht="15" hidden="0" customHeight="1">
      <x:c r="A243" s="29" t="n">
        <x:v>239</x:v>
      </x:c>
      <x:c r="B243" s="29" t="n">
        <x:v>331143</x:v>
      </x:c>
      <x:c r="C243" s="29" t="str">
        <x:v>A0</x:v>
      </x:c>
      <x:c r="D243" s="53" t="n">
        <x:v>1745.0288697911888</x:v>
      </x:c>
      <x:c r="E243" s="47" t="n">
        <x:v>0.6980115479164755</x:v>
      </x:c>
      <x:c r="F243" s="47" t="n">
        <x:v>0.37217098891104955</x:v>
      </x:c>
      <x:c r="G243" s="47" t="n">
        <x:v>0.608643072352902</x:v>
      </x:c>
      <x:c r="H243" s="47" t="n">
        <x:v>1</x:v>
      </x:c>
      <x:c r="I243" s="47" t="n">
        <x:v>0.861103789814906</x:v>
      </x:c>
      <x:c r="J243" s="47" t="n">
        <x:v>0.608643072352902</x:v>
      </x:c>
      <x:c r="K243" s="47" t="n">
        <x:v>1</x:v>
      </x:c>
      <x:c r="L243" s="47" t="n">
        <x:v>0.6515576348860572</x:v>
      </x:c>
      <x:c r="M243" s="29" t="n">
        <x:v>0</x:v>
      </x:c>
    </x:row>
    <x:row r="244" ht="15" hidden="0" customHeight="1">
      <x:c r="A244" s="27" t="n">
        <x:v>240</x:v>
      </x:c>
      <x:c r="B244" s="27" t="n">
        <x:v>331144</x:v>
      </x:c>
      <x:c r="C244" s="27" t="str">
        <x:v>A0</x:v>
      </x:c>
      <x:c r="D244" s="52" t="n">
        <x:v>1730.9439689600135</x:v>
      </x:c>
      <x:c r="E244" s="46" t="n">
        <x:v>0.6923775875840054</x:v>
      </x:c>
      <x:c r="F244" s="46" t="n">
        <x:v>0.38256580095557136</x:v>
      </x:c>
      <x:c r="G244" s="46" t="n">
        <x:v>0.6016549611165786</x:v>
      </x:c>
      <x:c r="H244" s="46" t="n">
        <x:v>1</x:v>
      </x:c>
      <x:c r="I244" s="46" t="n">
        <x:v>0.8652655292907993</x:v>
      </x:c>
      <x:c r="J244" s="46" t="n">
        <x:v>0.6016549611165786</x:v>
      </x:c>
      <x:c r="K244" s="46" t="n">
        <x:v>1</x:v>
      </x:c>
      <x:c r="L244" s="46" t="n">
        <x:v>0.6440064940217881</x:v>
      </x:c>
      <x:c r="M244" s="27" t="n">
        <x:v>0</x:v>
      </x:c>
    </x:row>
    <x:row r="245" ht="15" hidden="0" customHeight="1">
      <x:c r="A245" s="29" t="n">
        <x:v>241</x:v>
      </x:c>
      <x:c r="B245" s="29" t="n">
        <x:v>331145</x:v>
      </x:c>
      <x:c r="C245" s="29" t="str">
        <x:v>A0</x:v>
      </x:c>
      <x:c r="D245" s="53" t="n">
        <x:v>1755.5969898832975</x:v>
      </x:c>
      <x:c r="E245" s="47" t="n">
        <x:v>0.702238795953319</x:v>
      </x:c>
      <x:c r="F245" s="47" t="n">
        <x:v>0.3636868141955205</x:v>
      </x:c>
      <x:c r="G245" s="47" t="n">
        <x:v>0.6132305796013222</x:v>
      </x:c>
      <x:c r="H245" s="47" t="n">
        <x:v>1</x:v>
      </x:c>
      <x:c r="I245" s="47" t="n">
        <x:v>0.881615212305021</x:v>
      </x:c>
      <x:c r="J245" s="47" t="n">
        <x:v>0.6132305796013222</x:v>
      </x:c>
      <x:c r="K245" s="47" t="n">
        <x:v>1</x:v>
      </x:c>
      <x:c r="L245" s="47" t="n">
        <x:v>0.6535597757895273</x:v>
      </x:c>
      <x:c r="M245" s="29" t="n">
        <x:v>0</x:v>
      </x:c>
    </x:row>
    <x:row r="246" ht="15" hidden="0" customHeight="1">
      <x:c r="A246" s="27" t="n">
        <x:v>242</x:v>
      </x:c>
      <x:c r="B246" s="27" t="n">
        <x:v>331146</x:v>
      </x:c>
      <x:c r="C246" s="27" t="str">
        <x:v>A0</x:v>
      </x:c>
      <x:c r="D246" s="52" t="n">
        <x:v>1587.3067734435922</x:v>
      </x:c>
      <x:c r="E246" s="46" t="n">
        <x:v>0.6349227093774369</x:v>
      </x:c>
      <x:c r="F246" s="46" t="n">
        <x:v>0.29939720273580445</x:v>
      </x:c>
      <x:c r="G246" s="46" t="n">
        <x:v>0.5451233576512183</x:v>
      </x:c>
      <x:c r="H246" s="46" t="n">
        <x:v>0.9986771513721032</x:v>
      </x:c>
      <x:c r="I246" s="46" t="n">
        <x:v>0.7772554646375142</x:v>
      </x:c>
      <x:c r="J246" s="46" t="n">
        <x:v>0.5451233576512183</x:v>
      </x:c>
      <x:c r="K246" s="46" t="n">
        <x:v>0.9669876115147208</x:v>
      </x:c>
      <x:c r="L246" s="46" t="n">
        <x:v>0.5891466922097021</x:v>
      </x:c>
      <x:c r="M246" s="27" t="n">
        <x:v>0</x:v>
      </x:c>
    </x:row>
    <x:row r="247" ht="15" hidden="0" customHeight="1">
      <x:c r="A247" s="29" t="n">
        <x:v>243</x:v>
      </x:c>
      <x:c r="B247" s="29" t="n">
        <x:v>331147</x:v>
      </x:c>
      <x:c r="C247" s="29" t="str">
        <x:v>A0</x:v>
      </x:c>
      <x:c r="D247" s="53" t="n">
        <x:v>1702.1314587302754</x:v>
      </x:c>
      <x:c r="E247" s="47" t="n">
        <x:v>0.6808525834921102</x:v>
      </x:c>
      <x:c r="F247" s="47" t="n">
        <x:v>0.34594557961987005</x:v>
      </x:c>
      <x:c r="G247" s="47" t="n">
        <x:v>0.5869443723590895</x:v>
      </x:c>
      <x:c r="H247" s="47" t="n">
        <x:v>1</x:v>
      </x:c>
      <x:c r="I247" s="47" t="n">
        <x:v>0.8790713055923927</x:v>
      </x:c>
      <x:c r="J247" s="47" t="n">
        <x:v>0.5869443723590895</x:v>
      </x:c>
      <x:c r="K247" s="47" t="n">
        <x:v>0.9930006931220827</x:v>
      </x:c>
      <x:c r="L247" s="47" t="n">
        <x:v>0.6281634888263808</x:v>
      </x:c>
      <x:c r="M247" s="29" t="n">
        <x:v>0</x:v>
      </x:c>
    </x:row>
    <x:row r="248" ht="15" hidden="0" customHeight="1">
      <x:c r="A248" s="27" t="n">
        <x:v>244</x:v>
      </x:c>
      <x:c r="B248" s="27" t="n">
        <x:v>331148</x:v>
      </x:c>
      <x:c r="C248" s="27" t="str">
        <x:v>A0</x:v>
      </x:c>
      <x:c r="D248" s="52" t="n">
        <x:v>1695.8429963431333</x:v>
      </x:c>
      <x:c r="E248" s="46" t="n">
        <x:v>0.6783371985372534</x:v>
      </x:c>
      <x:c r="F248" s="46" t="n">
        <x:v>0.32046545959747996</x:v>
      </x:c>
      <x:c r="G248" s="46" t="n">
        <x:v>0.5901505668530951</x:v>
      </x:c>
      <x:c r="H248" s="46" t="n">
        <x:v>1</x:v>
      </x:c>
      <x:c r="I248" s="46" t="n">
        <x:v>0.7995450607217611</x:v>
      </x:c>
      <x:c r="J248" s="46" t="n">
        <x:v>0.5901505668530951</x:v>
      </x:c>
      <x:c r="K248" s="46" t="n">
        <x:v>0.9863617541475134</x:v>
      </x:c>
      <x:c r="L248" s="46" t="n">
        <x:v>0.6377781095651974</x:v>
      </x:c>
      <x:c r="M248" s="27" t="n">
        <x:v>0</x:v>
      </x:c>
    </x:row>
    <x:row r="249" ht="15" hidden="0" customHeight="1">
      <x:c r="A249" s="29" t="n">
        <x:v>245</x:v>
      </x:c>
      <x:c r="B249" s="29" t="n">
        <x:v>331149</x:v>
      </x:c>
      <x:c r="C249" s="29" t="str">
        <x:v>A0</x:v>
      </x:c>
      <x:c r="D249" s="53" t="n">
        <x:v>1589.7655112362681</x:v>
      </x:c>
      <x:c r="E249" s="47" t="n">
        <x:v>0.6359062044945073</x:v>
      </x:c>
      <x:c r="F249" s="47" t="n">
        <x:v>0.3272385386787539</x:v>
      </x:c>
      <x:c r="G249" s="47" t="n">
        <x:v>0.5370265347252304</x:v>
      </x:c>
      <x:c r="H249" s="47" t="n">
        <x:v>1</x:v>
      </x:c>
      <x:c r="I249" s="47" t="n">
        <x:v>0.8255344940218023</x:v>
      </x:c>
      <x:c r="J249" s="47" t="n">
        <x:v>0.5370265347252304</x:v>
      </x:c>
      <x:c r="K249" s="47" t="n">
        <x:v>0.9717878134606547</x:v>
      </x:c>
      <x:c r="L249" s="47" t="n">
        <x:v>0.5826221532608379</x:v>
      </x:c>
      <x:c r="M249" s="29" t="n">
        <x:v>0</x:v>
      </x:c>
    </x:row>
    <x:row r="250" ht="15" hidden="0" customHeight="1">
      <x:c r="A250" s="27" t="n">
        <x:v>246</x:v>
      </x:c>
      <x:c r="B250" s="27" t="n">
        <x:v>331150</x:v>
      </x:c>
      <x:c r="C250" s="27" t="str">
        <x:v>A0</x:v>
      </x:c>
      <x:c r="D250" s="52" t="n">
        <x:v>1624.0442584935352</x:v>
      </x:c>
      <x:c r="E250" s="46" t="n">
        <x:v>0.6496177033974141</x:v>
      </x:c>
      <x:c r="F250" s="46" t="n">
        <x:v>0.3413339679928414</x:v>
      </x:c>
      <x:c r="G250" s="46" t="n">
        <x:v>0.5540346413267211</x:v>
      </x:c>
      <x:c r="H250" s="46" t="n">
        <x:v>1</x:v>
      </x:c>
      <x:c r="I250" s="46" t="n">
        <x:v>0.7997180221398568</x:v>
      </x:c>
      <x:c r="J250" s="46" t="n">
        <x:v>0.5540346413267211</x:v>
      </x:c>
      <x:c r="K250" s="46" t="n">
        <x:v>0.98539455292596</x:v>
      </x:c>
      <x:c r="L250" s="46" t="n">
        <x:v>0.6026137688845747</x:v>
      </x:c>
      <x:c r="M250" s="27" t="n">
        <x:v>0</x:v>
      </x:c>
    </x:row>
    <x:row r="251" ht="15" hidden="0" customHeight="1">
      <x:c r="A251" s="29" t="n">
        <x:v>247</x:v>
      </x:c>
      <x:c r="B251" s="29" t="n">
        <x:v>331151</x:v>
      </x:c>
      <x:c r="C251" s="29" t="str">
        <x:v>A0</x:v>
      </x:c>
      <x:c r="D251" s="53" t="n">
        <x:v>1667.8365514970671</x:v>
      </x:c>
      <x:c r="E251" s="47" t="n">
        <x:v>0.6671346205988269</x:v>
      </x:c>
      <x:c r="F251" s="47" t="n">
        <x:v>0.3183622023614042</x:v>
      </x:c>
      <x:c r="G251" s="47" t="n">
        <x:v>0.5756448430921005</x:v>
      </x:c>
      <x:c r="H251" s="47" t="n">
        <x:v>1</x:v>
      </x:c>
      <x:c r="I251" s="47" t="n">
        <x:v>0.8397449133316304</x:v>
      </x:c>
      <x:c r="J251" s="47" t="n">
        <x:v>0.5756448430921005</x:v>
      </x:c>
      <x:c r="K251" s="47" t="n">
        <x:v>0.9788239909219867</x:v>
      </x:c>
      <x:c r="L251" s="47" t="n">
        <x:v>0.6182673317513557</x:v>
      </x:c>
      <x:c r="M251" s="29" t="n">
        <x:v>0</x:v>
      </x:c>
    </x:row>
    <x:row r="252" ht="15" hidden="0" customHeight="1">
      <x:c r="A252" s="27" t="n">
        <x:v>248</x:v>
      </x:c>
      <x:c r="B252" s="27" t="n">
        <x:v>331152</x:v>
      </x:c>
      <x:c r="C252" s="27" t="str">
        <x:v>A0</x:v>
      </x:c>
      <x:c r="D252" s="52" t="n">
        <x:v>1634.7509117920858</x:v>
      </x:c>
      <x:c r="E252" s="46" t="n">
        <x:v>0.6539003647168343</x:v>
      </x:c>
      <x:c r="F252" s="46" t="n">
        <x:v>0.3236203765787486</x:v>
      </x:c>
      <x:c r="G252" s="46" t="n">
        <x:v>0.5636794719902072</x:v>
      </x:c>
      <x:c r="H252" s="46" t="n">
        <x:v>1</x:v>
      </x:c>
      <x:c r="I252" s="46" t="n">
        <x:v>0.7798572226487511</x:v>
      </x:c>
      <x:c r="J252" s="46" t="n">
        <x:v>0.5636794719902072</x:v>
      </x:c>
      <x:c r="K252" s="46" t="n">
        <x:v>0.9958088967638717</x:v>
      </x:c>
      <x:c r="L252" s="46" t="n">
        <x:v>0.6102850831192124</x:v>
      </x:c>
      <x:c r="M252" s="27" t="n">
        <x:v>0</x:v>
      </x:c>
    </x:row>
    <x:row r="253" ht="15" hidden="0" customHeight="1">
      <x:c r="A253" s="29" t="n">
        <x:v>249</x:v>
      </x:c>
      <x:c r="B253" s="29" t="n">
        <x:v>331153</x:v>
      </x:c>
      <x:c r="C253" s="29" t="str">
        <x:v>A0</x:v>
      </x:c>
      <x:c r="D253" s="53" t="n">
        <x:v>1626.6160608320254</x:v>
      </x:c>
      <x:c r="E253" s="47" t="n">
        <x:v>0.6506464243328102</x:v>
      </x:c>
      <x:c r="F253" s="47" t="n">
        <x:v>0.344978224775789</x:v>
      </x:c>
      <x:c r="G253" s="47" t="n">
        <x:v>0.5562793220193034</x:v>
      </x:c>
      <x:c r="H253" s="47" t="n">
        <x:v>1</x:v>
      </x:c>
      <x:c r="I253" s="47" t="n">
        <x:v>0.8386414767807298</x:v>
      </x:c>
      <x:c r="J253" s="47" t="n">
        <x:v>0.5562793220193034</x:v>
      </x:c>
      <x:c r="K253" s="47" t="n">
        <x:v>0.9936807983915155</x:v>
      </x:c>
      <x:c r="L253" s="47" t="n">
        <x:v>0.5973258446819822</x:v>
      </x:c>
      <x:c r="M253" s="29" t="n">
        <x:v>0</x:v>
      </x:c>
    </x:row>
    <x:row r="254" ht="15" hidden="0" customHeight="1">
      <x:c r="A254" s="27" t="n">
        <x:v>250</x:v>
      </x:c>
      <x:c r="B254" s="27" t="n">
        <x:v>331154</x:v>
      </x:c>
      <x:c r="C254" s="27" t="str">
        <x:v>A0</x:v>
      </x:c>
      <x:c r="D254" s="52" t="n">
        <x:v>1661.1042457546757</x:v>
      </x:c>
      <x:c r="E254" s="46" t="n">
        <x:v>0.6644416983018703</x:v>
      </x:c>
      <x:c r="F254" s="46" t="n">
        <x:v>0.32674672754066364</x:v>
      </x:c>
      <x:c r="G254" s="46" t="n">
        <x:v>0.5712742056184276</x:v>
      </x:c>
      <x:c r="H254" s="46" t="n">
        <x:v>1</x:v>
      </x:c>
      <x:c r="I254" s="46" t="n">
        <x:v>0.8386819164195929</x:v>
      </x:c>
      <x:c r="J254" s="46" t="n">
        <x:v>0.5712742056184276</x:v>
      </x:c>
      <x:c r="K254" s="46" t="n">
        <x:v>0.9835999551874997</x:v>
      </x:c>
      <x:c r="L254" s="46" t="n">
        <x:v>0.6148513384251749</x:v>
      </x:c>
      <x:c r="M254" s="27" t="n">
        <x:v>0</x:v>
      </x:c>
    </x:row>
    <x:row r="255" ht="15" hidden="0" customHeight="1">
      <x:c r="A255" s="29" t="n">
        <x:v>251</x:v>
      </x:c>
      <x:c r="B255" s="29" t="n">
        <x:v>331155</x:v>
      </x:c>
      <x:c r="C255" s="29" t="str">
        <x:v>A0</x:v>
      </x:c>
      <x:c r="D255" s="53" t="n">
        <x:v>1652.928031087274</x:v>
      </x:c>
      <x:c r="E255" s="47" t="n">
        <x:v>0.6611712124349095</x:v>
      </x:c>
      <x:c r="F255" s="47" t="n">
        <x:v>0.329103395651739</x:v>
      </x:c>
      <x:c r="G255" s="47" t="n">
        <x:v>0.5664612731268377</x:v>
      </x:c>
      <x:c r="H255" s="47" t="n">
        <x:v>1</x:v>
      </x:c>
      <x:c r="I255" s="47" t="n">
        <x:v>0.8551948811671855</x:v>
      </x:c>
      <x:c r="J255" s="47" t="n">
        <x:v>0.5664612731268377</x:v>
      </x:c>
      <x:c r="K255" s="47" t="n">
        <x:v>0.9823731171918011</x:v>
      </x:c>
      <x:c r="L255" s="47" t="n">
        <x:v>0.6083594200402468</x:v>
      </x:c>
      <x:c r="M255" s="29" t="n">
        <x:v>0</x:v>
      </x:c>
    </x:row>
    <x:row r="256" ht="15" hidden="0" customHeight="1">
      <x:c r="A256" s="27" t="n">
        <x:v>252</x:v>
      </x:c>
      <x:c r="B256" s="27" t="n">
        <x:v>331156</x:v>
      </x:c>
      <x:c r="C256" s="27" t="str">
        <x:v>A0</x:v>
      </x:c>
      <x:c r="D256" s="52" t="n">
        <x:v>1651.7700789279738</x:v>
      </x:c>
      <x:c r="E256" s="46" t="n">
        <x:v>0.6607080315711895</x:v>
      </x:c>
      <x:c r="F256" s="46" t="n">
        <x:v>0.3235672286541897</x:v>
      </x:c>
      <x:c r="G256" s="46" t="n">
        <x:v>0.5663412739320192</x:v>
      </x:c>
      <x:c r="H256" s="46" t="n">
        <x:v>1</x:v>
      </x:c>
      <x:c r="I256" s="46" t="n">
        <x:v>0.802268959625897</x:v>
      </x:c>
      <x:c r="J256" s="46" t="n">
        <x:v>0.5663412739320192</x:v>
      </x:c>
      <x:c r="K256" s="46" t="n">
        <x:v>0.9821409268451028</x:v>
      </x:c>
      <x:c r="L256" s="46" t="n">
        <x:v>0.6160175066728277</x:v>
      </x:c>
      <x:c r="M256" s="27" t="n">
        <x:v>0</x:v>
      </x:c>
    </x:row>
    <x:row r="257" ht="15" hidden="0" customHeight="1">
      <x:c r="A257" s="29" t="n">
        <x:v>253</x:v>
      </x:c>
      <x:c r="B257" s="29" t="n">
        <x:v>331157</x:v>
      </x:c>
      <x:c r="C257" s="29" t="str">
        <x:v>A0</x:v>
      </x:c>
      <x:c r="D257" s="53" t="n">
        <x:v>1645.3881233227537</x:v>
      </x:c>
      <x:c r="E257" s="47" t="n">
        <x:v>0.6581552493291015</x:v>
      </x:c>
      <x:c r="F257" s="47" t="n">
        <x:v>0.3267636012388909</x:v>
      </x:c>
      <x:c r="G257" s="47" t="n">
        <x:v>0.5647971641097046</x:v>
      </x:c>
      <x:c r="H257" s="47" t="n">
        <x:v>1</x:v>
      </x:c>
      <x:c r="I257" s="47" t="n">
        <x:v>0.8392166987866976</x:v>
      </x:c>
      <x:c r="J257" s="47" t="n">
        <x:v>0.5647971641097046</x:v>
      </x:c>
      <x:c r="K257" s="47" t="n">
        <x:v>0.9793769318059324</x:v>
      </x:c>
      <x:c r="L257" s="47" t="n">
        <x:v>0.6073084142715622</x:v>
      </x:c>
      <x:c r="M257" s="29" t="n">
        <x:v>0</x:v>
      </x:c>
    </x:row>
    <x:row r="258" ht="15" hidden="0" customHeight="1">
      <x:c r="A258" s="27" t="n">
        <x:v>254</x:v>
      </x:c>
      <x:c r="B258" s="27" t="n">
        <x:v>331158</x:v>
      </x:c>
      <x:c r="C258" s="27" t="str">
        <x:v>A0</x:v>
      </x:c>
      <x:c r="D258" s="52" t="n">
        <x:v>1700.2699493780387</x:v>
      </x:c>
      <x:c r="E258" s="46" t="n">
        <x:v>0.6801079797512155</x:v>
      </x:c>
      <x:c r="F258" s="46" t="n">
        <x:v>0.35097399089852616</x:v>
      </x:c>
      <x:c r="G258" s="46" t="n">
        <x:v>0.5880837717893543</x:v>
      </x:c>
      <x:c r="H258" s="46" t="n">
        <x:v>1</x:v>
      </x:c>
      <x:c r="I258" s="46" t="n">
        <x:v>0.8712741085165457</x:v>
      </x:c>
      <x:c r="J258" s="46" t="n">
        <x:v>0.5880837717893543</x:v>
      </x:c>
      <x:c r="K258" s="46" t="n">
        <x:v>0.993183490859662</x:v>
      </x:c>
      <x:c r="L258" s="46" t="n">
        <x:v>0.6284348087975061</x:v>
      </x:c>
      <x:c r="M258" s="27" t="n">
        <x:v>0</x:v>
      </x:c>
    </x:row>
    <x:row r="259" ht="15" hidden="0" customHeight="1">
      <x:c r="A259" s="29" t="n">
        <x:v>255</x:v>
      </x:c>
      <x:c r="B259" s="29" t="n">
        <x:v>331159</x:v>
      </x:c>
      <x:c r="C259" s="29" t="str">
        <x:v>A0</x:v>
      </x:c>
      <x:c r="D259" s="53" t="n">
        <x:v>1642.070058395465</x:v>
      </x:c>
      <x:c r="E259" s="47" t="n">
        <x:v>0.656828023358186</x:v>
      </x:c>
      <x:c r="F259" s="47" t="n">
        <x:v>0.3416122352422969</x:v>
      </x:c>
      <x:c r="G259" s="47" t="n">
        <x:v>0.5619044954986424</x:v>
      </x:c>
      <x:c r="H259" s="47" t="n">
        <x:v>1</x:v>
      </x:c>
      <x:c r="I259" s="47" t="n">
        <x:v>0.8345252534178496</x:v>
      </x:c>
      <x:c r="J259" s="47" t="n">
        <x:v>0.5619044954986424</x:v>
      </x:c>
      <x:c r="K259" s="47" t="n">
        <x:v>0.9880711519140077</x:v>
      </x:c>
      <x:c r="L259" s="47" t="n">
        <x:v>0.6058946985496902</x:v>
      </x:c>
      <x:c r="M259" s="29" t="n">
        <x:v>0</x:v>
      </x:c>
    </x:row>
    <x:row r="260" ht="15" hidden="0" customHeight="1">
      <x:c r="A260" s="27" t="n">
        <x:v>256</x:v>
      </x:c>
      <x:c r="B260" s="27" t="n">
        <x:v>331160</x:v>
      </x:c>
      <x:c r="C260" s="27" t="str">
        <x:v>A0</x:v>
      </x:c>
      <x:c r="D260" s="52" t="n">
        <x:v>1669.8006874122123</x:v>
      </x:c>
      <x:c r="E260" s="46" t="n">
        <x:v>0.6679202749648849</x:v>
      </x:c>
      <x:c r="F260" s="46" t="n">
        <x:v>0.3264544832519893</x:v>
      </x:c>
      <x:c r="G260" s="46" t="n">
        <x:v>0.5727634067851453</x:v>
      </x:c>
      <x:c r="H260" s="46" t="n">
        <x:v>1</x:v>
      </x:c>
      <x:c r="I260" s="46" t="n">
        <x:v>0.8636199999625824</x:v>
      </x:c>
      <x:c r="J260" s="46" t="n">
        <x:v>0.5727634067851453</x:v>
      </x:c>
      <x:c r="K260" s="46" t="n">
        <x:v>0.9838322549801143</x:v>
      </x:c>
      <x:c r="L260" s="46" t="n">
        <x:v>0.6152508797688099</x:v>
      </x:c>
      <x:c r="M260" s="27" t="n">
        <x:v>0</x:v>
      </x:c>
    </x:row>
    <x:row r="261" ht="15" hidden="0" customHeight="1">
      <x:c r="A261" s="29" t="n">
        <x:v>257</x:v>
      </x:c>
      <x:c r="B261" s="29" t="n">
        <x:v>331161</x:v>
      </x:c>
      <x:c r="C261" s="29" t="str">
        <x:v>A0</x:v>
      </x:c>
      <x:c r="D261" s="53" t="n">
        <x:v>1671.8839569019028</x:v>
      </x:c>
      <x:c r="E261" s="47" t="n">
        <x:v>0.6687535827607611</x:v>
      </x:c>
      <x:c r="F261" s="47" t="n">
        <x:v>0.354376880763056</x:v>
      </x:c>
      <x:c r="G261" s="47" t="n">
        <x:v>0.5739697482605642</x:v>
      </x:c>
      <x:c r="H261" s="47" t="n">
        <x:v>1</x:v>
      </x:c>
      <x:c r="I261" s="47" t="n">
        <x:v>0.8357244752839351</x:v>
      </x:c>
      <x:c r="J261" s="47" t="n">
        <x:v>0.5739697482605642</x:v>
      </x:c>
      <x:c r="K261" s="47" t="n">
        <x:v>0.9961724556018379</x:v>
      </x:c>
      <x:c r="L261" s="47" t="n">
        <x:v>0.619856423259152</x:v>
      </x:c>
      <x:c r="M261" s="29" t="n">
        <x:v>0</x:v>
      </x:c>
    </x:row>
    <x:row r="262" ht="15" hidden="0" customHeight="1">
      <x:c r="A262" s="27" t="n">
        <x:v>258</x:v>
      </x:c>
      <x:c r="B262" s="27" t="n">
        <x:v>331162</x:v>
      </x:c>
      <x:c r="C262" s="27" t="str">
        <x:v>A0</x:v>
      </x:c>
      <x:c r="D262" s="52" t="n">
        <x:v>1690.1242134668778</x:v>
      </x:c>
      <x:c r="E262" s="46" t="n">
        <x:v>0.6760496853867511</x:v>
      </x:c>
      <x:c r="F262" s="46" t="n">
        <x:v>0.36287503236455126</x:v>
      </x:c>
      <x:c r="G262" s="46" t="n">
        <x:v>0.5791303270584848</x:v>
      </x:c>
      <x:c r="H262" s="46" t="n">
        <x:v>0.998696722634043</x:v>
      </x:c>
      <x:c r="I262" s="46" t="n">
        <x:v>0.8029222692390964</x:v>
      </x:c>
      <x:c r="J262" s="46" t="n">
        <x:v>0.5791303270584848</x:v>
      </x:c>
      <x:c r="K262" s="46" t="n">
        <x:v>0.9999255106030772</x:v>
      </x:c>
      <x:c r="L262" s="46" t="n">
        <x:v>0.6337082490120994</x:v>
      </x:c>
      <x:c r="M262" s="27" t="n">
        <x:v>0</x:v>
      </x:c>
    </x:row>
    <x:row r="263" ht="15" hidden="0" customHeight="1">
      <x:c r="A263" s="29" t="n">
        <x:v>259</x:v>
      </x:c>
      <x:c r="B263" s="29" t="n">
        <x:v>331163</x:v>
      </x:c>
      <x:c r="C263" s="29" t="str">
        <x:v>A0</x:v>
      </x:c>
      <x:c r="D263" s="53" t="n">
        <x:v>1656.8550197240295</x:v>
      </x:c>
      <x:c r="E263" s="47" t="n">
        <x:v>0.6627420078896118</x:v>
      </x:c>
      <x:c r="F263" s="47" t="n">
        <x:v>0.3104735208096357</x:v>
      </x:c>
      <x:c r="G263" s="47" t="n">
        <x:v>0.5696813603869763</x:v>
      </x:c>
      <x:c r="H263" s="47" t="n">
        <x:v>1</x:v>
      </x:c>
      <x:c r="I263" s="47" t="n">
        <x:v>0.8393048535857676</x:v>
      </x:c>
      <x:c r="J263" s="47" t="n">
        <x:v>0.5696813603869763</x:v>
      </x:c>
      <x:c r="K263" s="47" t="n">
        <x:v>0.9766837429551422</x:v>
      </x:c>
      <x:c r="L263" s="47" t="n">
        <x:v>0.6130848530564776</x:v>
      </x:c>
      <x:c r="M263" s="29" t="n">
        <x:v>0</x:v>
      </x:c>
    </x:row>
    <x:row r="264" ht="15" hidden="0" customHeight="1">
      <x:c r="A264" s="27" t="n">
        <x:v>260</x:v>
      </x:c>
      <x:c r="B264" s="27" t="n">
        <x:v>331164</x:v>
      </x:c>
      <x:c r="C264" s="27" t="str">
        <x:v>A0</x:v>
      </x:c>
      <x:c r="D264" s="52" t="n">
        <x:v>1691.3339523574443</x:v>
      </x:c>
      <x:c r="E264" s="46" t="n">
        <x:v>0.6765335809429778</x:v>
      </x:c>
      <x:c r="F264" s="46" t="n">
        <x:v>0.30675175347335487</x:v>
      </x:c>
      <x:c r="G264" s="46" t="n">
        <x:v>0.5894833379215464</x:v>
      </x:c>
      <x:c r="H264" s="46" t="n">
        <x:v>1</x:v>
      </x:c>
      <x:c r="I264" s="46" t="n">
        <x:v>0.8571257809383873</x:v>
      </x:c>
      <x:c r="J264" s="46" t="n">
        <x:v>0.5894833379215464</x:v>
      </x:c>
      <x:c r="K264" s="46" t="n">
        <x:v>0.9779444144522966</x:v>
      </x:c>
      <x:c r="L264" s="46" t="n">
        <x:v>0.6271260049564662</x:v>
      </x:c>
      <x:c r="M264" s="27" t="n">
        <x:v>0</x:v>
      </x:c>
    </x:row>
    <x:row r="265" ht="15" hidden="0" customHeight="1">
      <x:c r="A265" s="29" t="n">
        <x:v>261</x:v>
      </x:c>
      <x:c r="B265" s="29" t="n">
        <x:v>331165</x:v>
      </x:c>
      <x:c r="C265" s="29" t="str">
        <x:v>A0</x:v>
      </x:c>
      <x:c r="D265" s="53" t="n">
        <x:v>1647.2051949370518</x:v>
      </x:c>
      <x:c r="E265" s="47" t="n">
        <x:v>0.6588820779748207</x:v>
      </x:c>
      <x:c r="F265" s="47" t="n">
        <x:v>0.34165386240956247</x:v>
      </x:c>
      <x:c r="G265" s="47" t="n">
        <x:v>0.5687867168591669</x:v>
      </x:c>
      <x:c r="H265" s="47" t="n">
        <x:v>1</x:v>
      </x:c>
      <x:c r="I265" s="47" t="n">
        <x:v>0.8339994559626395</x:v>
      </x:c>
      <x:c r="J265" s="47" t="n">
        <x:v>0.5687867168591669</x:v>
      </x:c>
      <x:c r="K265" s="47" t="n">
        <x:v>0.9984180093751455</x:v>
      </x:c>
      <x:c r="L265" s="47" t="n">
        <x:v>0.6078374493902003</x:v>
      </x:c>
      <x:c r="M265" s="29" t="n">
        <x:v>0</x:v>
      </x:c>
    </x:row>
    <x:row r="266" ht="15" hidden="0" customHeight="1">
      <x:c r="A266" s="27" t="n">
        <x:v>262</x:v>
      </x:c>
      <x:c r="B266" s="27" t="n">
        <x:v>331166</x:v>
      </x:c>
      <x:c r="C266" s="27" t="str">
        <x:v>A0</x:v>
      </x:c>
      <x:c r="D266" s="52" t="n">
        <x:v>1682.071765229135</x:v>
      </x:c>
      <x:c r="E266" s="46" t="n">
        <x:v>0.672828706091654</x:v>
      </x:c>
      <x:c r="F266" s="46" t="n">
        <x:v>0.31974175888957523</x:v>
      </x:c>
      <x:c r="G266" s="46" t="n">
        <x:v>0.5814914621503516</x:v>
      </x:c>
      <x:c r="H266" s="46" t="n">
        <x:v>1</x:v>
      </x:c>
      <x:c r="I266" s="46" t="n">
        <x:v>0.8663967060323156</x:v>
      </x:c>
      <x:c r="J266" s="46" t="n">
        <x:v>0.5814914621503516</x:v>
      </x:c>
      <x:c r="K266" s="46" t="n">
        <x:v>0.9796228997164907</x:v>
      </x:c>
      <x:c r="L266" s="46" t="n">
        <x:v>0.621070134206314</x:v>
      </x:c>
      <x:c r="M266" s="27" t="n">
        <x:v>0</x:v>
      </x:c>
    </x:row>
    <x:row r="267" ht="15" hidden="0" customHeight="1">
      <x:c r="A267" s="29" t="n">
        <x:v>263</x:v>
      </x:c>
      <x:c r="B267" s="29" t="n">
        <x:v>331167</x:v>
      </x:c>
      <x:c r="C267" s="29" t="str">
        <x:v>A0</x:v>
      </x:c>
      <x:c r="D267" s="53" t="n">
        <x:v>1622.1381292542517</x:v>
      </x:c>
      <x:c r="E267" s="47" t="n">
        <x:v>0.6488552517017007</x:v>
      </x:c>
      <x:c r="F267" s="47" t="n">
        <x:v>0.3217542285883814</x:v>
      </x:c>
      <x:c r="G267" s="47" t="n">
        <x:v>0.5631210451640172</x:v>
      </x:c>
      <x:c r="H267" s="47" t="n">
        <x:v>0.9805359408652402</x:v>
      </x:c>
      <x:c r="I267" s="47" t="n">
        <x:v>0.7588858994879178</x:v>
      </x:c>
      <x:c r="J267" s="47" t="n">
        <x:v>0.5631210451640172</x:v>
      </x:c>
      <x:c r="K267" s="47" t="n">
        <x:v>0.9884902854382596</x:v>
      </x:c>
      <x:c r="L267" s="47" t="n">
        <x:v>0.607987020028247</x:v>
      </x:c>
      <x:c r="M267" s="29" t="n">
        <x:v>0</x:v>
      </x:c>
    </x:row>
    <x:row r="268" ht="15" hidden="0" customHeight="1">
      <x:c r="A268" s="27" t="n">
        <x:v>264</x:v>
      </x:c>
      <x:c r="B268" s="27" t="n">
        <x:v>331168</x:v>
      </x:c>
      <x:c r="C268" s="27" t="str">
        <x:v>A0</x:v>
      </x:c>
      <x:c r="D268" s="52" t="n">
        <x:v>1689.580296463669</x:v>
      </x:c>
      <x:c r="E268" s="46" t="n">
        <x:v>0.6758321185854675</x:v>
      </x:c>
      <x:c r="F268" s="46" t="n">
        <x:v>0.3394762473370687</x:v>
      </x:c>
      <x:c r="G268" s="46" t="n">
        <x:v>0.5764919379629249</x:v>
      </x:c>
      <x:c r="H268" s="46" t="n">
        <x:v>1</x:v>
      </x:c>
      <x:c r="I268" s="46" t="n">
        <x:v>0.8281305328793857</x:v>
      </x:c>
      <x:c r="J268" s="46" t="n">
        <x:v>0.5764919379629249</x:v>
      </x:c>
      <x:c r="K268" s="46" t="n">
        <x:v>0.996209859519444</x:v>
      </x:c>
      <x:c r="L268" s="46" t="n">
        <x:v>0.6297550448334405</x:v>
      </x:c>
      <x:c r="M268" s="27" t="n">
        <x:v>0</x:v>
      </x:c>
    </x:row>
    <x:row r="269" ht="15" hidden="0" customHeight="1">
      <x:c r="A269" s="29" t="n">
        <x:v>265</x:v>
      </x:c>
      <x:c r="B269" s="29" t="n">
        <x:v>331169</x:v>
      </x:c>
      <x:c r="C269" s="29" t="str">
        <x:v>A0</x:v>
      </x:c>
      <x:c r="D269" s="53" t="n">
        <x:v>1665.5665760635877</x:v>
      </x:c>
      <x:c r="E269" s="47" t="n">
        <x:v>0.6662266304254351</x:v>
      </x:c>
      <x:c r="F269" s="47" t="n">
        <x:v>0.3049282059501572</x:v>
      </x:c>
      <x:c r="G269" s="47" t="n">
        <x:v>0.5696053811486115</x:v>
      </x:c>
      <x:c r="H269" s="47" t="n">
        <x:v>1</x:v>
      </x:c>
      <x:c r="I269" s="47" t="n">
        <x:v>0.8230734309521986</x:v>
      </x:c>
      <x:c r="J269" s="47" t="n">
        <x:v>0.5696053811486115</x:v>
      </x:c>
      <x:c r="K269" s="47" t="n">
        <x:v>0.9851497189833601</x:v>
      </x:c>
      <x:c r="L269" s="47" t="n">
        <x:v>0.6193970963515305</x:v>
      </x:c>
      <x:c r="M269" s="29" t="n">
        <x:v>0</x:v>
      </x:c>
    </x:row>
    <x:row r="270" ht="15" hidden="0" customHeight="1">
      <x:c r="A270" s="27" t="n">
        <x:v>266</x:v>
      </x:c>
      <x:c r="B270" s="27" t="n">
        <x:v>331170</x:v>
      </x:c>
      <x:c r="C270" s="27" t="str">
        <x:v>A0</x:v>
      </x:c>
      <x:c r="D270" s="52" t="n">
        <x:v>1698.1934500492862</x:v>
      </x:c>
      <x:c r="E270" s="46" t="n">
        <x:v>0.6792773800197145</x:v>
      </x:c>
      <x:c r="F270" s="46" t="n">
        <x:v>0.345855835081226</x:v>
      </x:c>
      <x:c r="G270" s="46" t="n">
        <x:v>0.5864641915575188</x:v>
      </x:c>
      <x:c r="H270" s="46" t="n">
        <x:v>1</x:v>
      </x:c>
      <x:c r="I270" s="46" t="n">
        <x:v>0.8212616968858656</x:v>
      </x:c>
      <x:c r="J270" s="46" t="n">
        <x:v>0.5864641915575188</x:v>
      </x:c>
      <x:c r="K270" s="46" t="n">
        <x:v>0.9924562493191855</x:v>
      </x:c>
      <x:c r="L270" s="46" t="n">
        <x:v>0.635227958410054</x:v>
      </x:c>
      <x:c r="M270" s="27" t="n">
        <x:v>0</x:v>
      </x:c>
    </x:row>
    <x:row r="271" ht="15" hidden="0" customHeight="1">
      <x:c r="A271" s="29" t="n">
        <x:v>267</x:v>
      </x:c>
      <x:c r="B271" s="29" t="n">
        <x:v>331171</x:v>
      </x:c>
      <x:c r="C271" s="29" t="str">
        <x:v>A0</x:v>
      </x:c>
      <x:c r="D271" s="53" t="n">
        <x:v>1678.6114045705701</x:v>
      </x:c>
      <x:c r="E271" s="47" t="n">
        <x:v>0.6714445618282281</x:v>
      </x:c>
      <x:c r="F271" s="47" t="n">
        <x:v>0.3588555282946569</x:v>
      </x:c>
      <x:c r="G271" s="47" t="n">
        <x:v>0.5785236896030405</x:v>
      </x:c>
      <x:c r="H271" s="47" t="n">
        <x:v>1</x:v>
      </x:c>
      <x:c r="I271" s="47" t="n">
        <x:v>0.8528804165510843</x:v>
      </x:c>
      <x:c r="J271" s="47" t="n">
        <x:v>0.5785236896030405</x:v>
      </x:c>
      <x:c r="K271" s="47" t="n">
        <x:v>1</x:v>
      </x:c>
      <x:c r="L271" s="47" t="n">
        <x:v>0.6202516984366524</x:v>
      </x:c>
      <x:c r="M271" s="29" t="n">
        <x:v>0</x:v>
      </x:c>
    </x:row>
    <x:row r="272" ht="15" hidden="0" customHeight="1">
      <x:c r="A272" s="27" t="n">
        <x:v>268</x:v>
      </x:c>
      <x:c r="B272" s="27" t="n">
        <x:v>331172</x:v>
      </x:c>
      <x:c r="C272" s="27" t="str">
        <x:v>A0</x:v>
      </x:c>
      <x:c r="D272" s="52" t="n">
        <x:v>1694.359400634385</x:v>
      </x:c>
      <x:c r="E272" s="46" t="n">
        <x:v>0.677743760253754</x:v>
      </x:c>
      <x:c r="F272" s="46" t="n">
        <x:v>0.3533005552900961</x:v>
      </x:c>
      <x:c r="G272" s="46" t="n">
        <x:v>0.5838567591594639</x:v>
      </x:c>
      <x:c r="H272" s="46" t="n">
        <x:v>1</x:v>
      </x:c>
      <x:c r="I272" s="46" t="n">
        <x:v>0.8736923343511643</x:v>
      </x:c>
      <x:c r="J272" s="46" t="n">
        <x:v>0.5838567591594639</x:v>
      </x:c>
      <x:c r="K272" s="46" t="n">
        <x:v>1</x:v>
      </x:c>
      <x:c r="L272" s="46" t="n">
        <x:v>0.6247601928999286</x:v>
      </x:c>
      <x:c r="M272" s="27" t="n">
        <x:v>0</x:v>
      </x:c>
    </x:row>
    <x:row r="273" ht="15" hidden="0" customHeight="1">
      <x:c r="A273" s="29" t="n">
        <x:v>269</x:v>
      </x:c>
      <x:c r="B273" s="29" t="n">
        <x:v>331173</x:v>
      </x:c>
      <x:c r="C273" s="29" t="str">
        <x:v>A0</x:v>
      </x:c>
      <x:c r="D273" s="53" t="n">
        <x:v>1705.4046385561655</x:v>
      </x:c>
      <x:c r="E273" s="47" t="n">
        <x:v>0.6821618554224662</x:v>
      </x:c>
      <x:c r="F273" s="47" t="n">
        <x:v>0.3678962391340715</x:v>
      </x:c>
      <x:c r="G273" s="47" t="n">
        <x:v>0.5835641879662797</x:v>
      </x:c>
      <x:c r="H273" s="47" t="n">
        <x:v>0.9975515825991105</x:v>
      </x:c>
      <x:c r="I273" s="47" t="n">
        <x:v>0.8176220034150661</x:v>
      </x:c>
      <x:c r="J273" s="47" t="n">
        <x:v>0.5835641879662797</x:v>
      </x:c>
      <x:c r="K273" s="47" t="n">
        <x:v>1</x:v>
      </x:c>
      <x:c r="L273" s="47" t="n">
        <x:v>0.6389503018699491</x:v>
      </x:c>
      <x:c r="M273" s="29" t="n">
        <x:v>0</x:v>
      </x:c>
    </x:row>
    <x:row r="274" ht="15" hidden="0" customHeight="1">
      <x:c r="A274" s="27" t="n">
        <x:v>270</x:v>
      </x:c>
      <x:c r="B274" s="27" t="n">
        <x:v>331174</x:v>
      </x:c>
      <x:c r="C274" s="27" t="str">
        <x:v>A0</x:v>
      </x:c>
      <x:c r="D274" s="52" t="n">
        <x:v>1682.1382391107336</x:v>
      </x:c>
      <x:c r="E274" s="46" t="n">
        <x:v>0.6728552956442935</x:v>
      </x:c>
      <x:c r="F274" s="46" t="n">
        <x:v>0.33902166087079594</x:v>
      </x:c>
      <x:c r="G274" s="46" t="n">
        <x:v>0.5784986812921009</x:v>
      </x:c>
      <x:c r="H274" s="46" t="n">
        <x:v>1</x:v>
      </x:c>
      <x:c r="I274" s="46" t="n">
        <x:v>0.82105089352451</x:v>
      </x:c>
      <x:c r="J274" s="46" t="n">
        <x:v>0.5784986812921009</x:v>
      </x:c>
      <x:c r="K274" s="46" t="n">
        <x:v>0.9844081808145239</x:v>
      </x:c>
      <x:c r="L274" s="46" t="n">
        <x:v>0.6278750799058176</x:v>
      </x:c>
      <x:c r="M274" s="27" t="n">
        <x:v>0</x:v>
      </x:c>
    </x:row>
    <x:row r="275" ht="15" hidden="0" customHeight="1">
      <x:c r="A275" s="29" t="n">
        <x:v>271</x:v>
      </x:c>
      <x:c r="B275" s="29" t="n">
        <x:v>331175</x:v>
      </x:c>
      <x:c r="C275" s="29" t="str">
        <x:v>A0</x:v>
      </x:c>
      <x:c r="D275" s="53" t="n">
        <x:v>1723.6474468572392</x:v>
      </x:c>
      <x:c r="E275" s="47" t="n">
        <x:v>0.6894589787428956</x:v>
      </x:c>
      <x:c r="F275" s="47" t="n">
        <x:v>0.3420189026793302</x:v>
      </x:c>
      <x:c r="G275" s="47" t="n">
        <x:v>0.5983427633023984</x:v>
      </x:c>
      <x:c r="H275" s="47" t="n">
        <x:v>1</x:v>
      </x:c>
      <x:c r="I275" s="47" t="n">
        <x:v>0.8824275382333373</x:v>
      </x:c>
      <x:c r="J275" s="47" t="n">
        <x:v>0.5983427633023984</x:v>
      </x:c>
      <x:c r="K275" s="47" t="n">
        <x:v>0.9969209919498389</x:v>
      </x:c>
      <x:c r="L275" s="47" t="n">
        <x:v>0.6379489324821345</x:v>
      </x:c>
      <x:c r="M275" s="29" t="n">
        <x:v>0</x:v>
      </x:c>
    </x:row>
    <x:row r="276" ht="15" hidden="0" customHeight="1">
      <x:c r="A276" s="27" t="n">
        <x:v>272</x:v>
      </x:c>
      <x:c r="B276" s="27" t="n">
        <x:v>331176</x:v>
      </x:c>
      <x:c r="C276" s="27" t="str">
        <x:v>A0</x:v>
      </x:c>
      <x:c r="D276" s="52" t="n">
        <x:v>1703.2752617235421</x:v>
      </x:c>
      <x:c r="E276" s="46" t="n">
        <x:v>0.6813101046894169</x:v>
      </x:c>
      <x:c r="F276" s="46" t="n">
        <x:v>0.35642651429813144</x:v>
      </x:c>
      <x:c r="G276" s="46" t="n">
        <x:v>0.5873469531427351</x:v>
      </x:c>
      <x:c r="H276" s="46" t="n">
        <x:v>1</x:v>
      </x:c>
      <x:c r="I276" s="46" t="n">
        <x:v>0.8470934928478255</x:v>
      </x:c>
      <x:c r="J276" s="46" t="n">
        <x:v>0.5873469531427351</x:v>
      </x:c>
      <x:c r="K276" s="46" t="n">
        <x:v>0.992892766869332</x:v>
      </x:c>
      <x:c r="L276" s="46" t="n">
        <x:v>0.6336955620197317</x:v>
      </x:c>
      <x:c r="M276" s="27" t="n">
        <x:v>0</x:v>
      </x:c>
    </x:row>
    <x:row r="277" ht="15" hidden="0" customHeight="1">
      <x:c r="A277" s="29" t="n">
        <x:v>273</x:v>
      </x:c>
      <x:c r="B277" s="29" t="n">
        <x:v>331177</x:v>
      </x:c>
      <x:c r="C277" s="29" t="str">
        <x:v>A0</x:v>
      </x:c>
      <x:c r="D277" s="53" t="n">
        <x:v>1684.6922694295245</x:v>
      </x:c>
      <x:c r="E277" s="47" t="n">
        <x:v>0.6738769077718098</x:v>
      </x:c>
      <x:c r="F277" s="47" t="n">
        <x:v>0.3383219911845663</x:v>
      </x:c>
      <x:c r="G277" s="47" t="n">
        <x:v>0.5812555366199861</x:v>
      </x:c>
      <x:c r="H277" s="47" t="n">
        <x:v>1</x:v>
      </x:c>
      <x:c r="I277" s="47" t="n">
        <x:v>0.8405704984849902</x:v>
      </x:c>
      <x:c r="J277" s="47" t="n">
        <x:v>0.5812555366199861</x:v>
      </x:c>
      <x:c r="K277" s="47" t="n">
        <x:v>0.9902898434298997</x:v>
      </x:c>
      <x:c r="L277" s="47" t="n">
        <x:v>0.6257314916876937</x:v>
      </x:c>
      <x:c r="M277" s="29" t="n">
        <x:v>0</x:v>
      </x:c>
    </x:row>
    <x:row r="278" ht="15" hidden="0" customHeight="1">
      <x:c r="A278" s="27" t="n">
        <x:v>274</x:v>
      </x:c>
      <x:c r="B278" s="27" t="n">
        <x:v>331178</x:v>
      </x:c>
      <x:c r="C278" s="27" t="str">
        <x:v>A0</x:v>
      </x:c>
      <x:c r="D278" s="52" t="n">
        <x:v>1695.9673661665258</x:v>
      </x:c>
      <x:c r="E278" s="46" t="n">
        <x:v>0.6783869464666104</x:v>
      </x:c>
      <x:c r="F278" s="46" t="n">
        <x:v>0.33525010591812476</x:v>
      </x:c>
      <x:c r="G278" s="46" t="n">
        <x:v>0.5883418717920801</x:v>
      </x:c>
      <x:c r="H278" s="46" t="n">
        <x:v>1</x:v>
      </x:c>
      <x:c r="I278" s="46" t="n">
        <x:v>0.8117496016481074</x:v>
      </x:c>
      <x:c r="J278" s="46" t="n">
        <x:v>0.5883418717920801</x:v>
      </x:c>
      <x:c r="K278" s="46" t="n">
        <x:v>0.9956534270499953</x:v>
      </x:c>
      <x:c r="L278" s="46" t="n">
        <x:v>0.6353980586246956</x:v>
      </x:c>
      <x:c r="M278" s="27" t="n">
        <x:v>0</x:v>
      </x:c>
    </x:row>
    <x:row r="279" ht="15" hidden="0" customHeight="1">
      <x:c r="A279" s="29" t="n">
        <x:v>275</x:v>
      </x:c>
      <x:c r="B279" s="29" t="n">
        <x:v>331179</x:v>
      </x:c>
      <x:c r="C279" s="29" t="str">
        <x:v>A0</x:v>
      </x:c>
      <x:c r="D279" s="53" t="n">
        <x:v>1664.4618497799593</x:v>
      </x:c>
      <x:c r="E279" s="47" t="n">
        <x:v>0.6657847399119837</x:v>
      </x:c>
      <x:c r="F279" s="47" t="n">
        <x:v>0.32978020051864293</x:v>
      </x:c>
      <x:c r="G279" s="47" t="n">
        <x:v>0.5702350421014505</x:v>
      </x:c>
      <x:c r="H279" s="47" t="n">
        <x:v>1</x:v>
      </x:c>
      <x:c r="I279" s="47" t="n">
        <x:v>0.8504460134782535</x:v>
      </x:c>
      <x:c r="J279" s="47" t="n">
        <x:v>0.5702350421014505</x:v>
      </x:c>
      <x:c r="K279" s="47" t="n">
        <x:v>0.98139315254502</x:v>
      </x:c>
      <x:c r="L279" s="47" t="n">
        <x:v>0.6148246101860149</x:v>
      </x:c>
      <x:c r="M279" s="29" t="n">
        <x:v>0</x:v>
      </x:c>
    </x:row>
    <x:row r="280" ht="15" hidden="0" customHeight="1">
      <x:c r="A280" s="27" t="n">
        <x:v>276</x:v>
      </x:c>
      <x:c r="B280" s="27" t="n">
        <x:v>331180</x:v>
      </x:c>
      <x:c r="C280" s="27" t="str">
        <x:v>A0</x:v>
      </x:c>
      <x:c r="D280" s="52" t="n">
        <x:v>1667.188472354757</x:v>
      </x:c>
      <x:c r="E280" s="46" t="n">
        <x:v>0.6668753889419028</x:v>
      </x:c>
      <x:c r="F280" s="46" t="n">
        <x:v>0.3272070220161071</x:v>
      </x:c>
      <x:c r="G280" s="46" t="n">
        <x:v>0.5727177083655914</x:v>
      </x:c>
      <x:c r="H280" s="46" t="n">
        <x:v>1</x:v>
      </x:c>
      <x:c r="I280" s="46" t="n">
        <x:v>0.8126091536547777</x:v>
      </x:c>
      <x:c r="J280" s="46" t="n">
        <x:v>0.5727177083655914</x:v>
      </x:c>
      <x:c r="K280" s="46" t="n">
        <x:v>0.9860906467100353</x:v>
      </x:c>
      <x:c r="L280" s="46" t="n">
        <x:v>0.6217425956836372</x:v>
      </x:c>
      <x:c r="M280" s="27" t="n">
        <x:v>0</x:v>
      </x:c>
    </x:row>
    <x:row r="281" ht="15" hidden="0" customHeight="1">
      <x:c r="A281" s="29" t="n">
        <x:v>277</x:v>
      </x:c>
      <x:c r="B281" s="29" t="n">
        <x:v>331181</x:v>
      </x:c>
      <x:c r="C281" s="29" t="str">
        <x:v>A0</x:v>
      </x:c>
      <x:c r="D281" s="53" t="n">
        <x:v>1587.5765958613224</x:v>
      </x:c>
      <x:c r="E281" s="47" t="n">
        <x:v>0.635030638344529</x:v>
      </x:c>
      <x:c r="F281" s="47" t="n">
        <x:v>0.28824675929951055</x:v>
      </x:c>
      <x:c r="G281" s="47" t="n">
        <x:v>0.553039169483547</x:v>
      </x:c>
      <x:c r="H281" s="47" t="n">
        <x:v>0.9874136817959658</x:v>
      </x:c>
      <x:c r="I281" s="47" t="n">
        <x:v>0.7731474920409541</x:v>
      </x:c>
      <x:c r="J281" s="47" t="n">
        <x:v>0.553039169483547</x:v>
      </x:c>
      <x:c r="K281" s="47" t="n">
        <x:v>0.9582613586316266</x:v>
      </x:c>
      <x:c r="L281" s="47" t="n">
        <x:v>0.5905189391742995</x:v>
      </x:c>
      <x:c r="M281" s="29" t="n">
        <x:v>0</x:v>
      </x:c>
    </x:row>
    <x:row r="282" ht="15" hidden="0" customHeight="1">
      <x:c r="A282" s="27" t="n">
        <x:v>278</x:v>
      </x:c>
      <x:c r="B282" s="27" t="n">
        <x:v>331182</x:v>
      </x:c>
      <x:c r="C282" s="27" t="str">
        <x:v>A0</x:v>
      </x:c>
      <x:c r="D282" s="52" t="n">
        <x:v>1680.7013182476207</x:v>
      </x:c>
      <x:c r="E282" s="46" t="n">
        <x:v>0.6722805272990483</x:v>
      </x:c>
      <x:c r="F282" s="46" t="n">
        <x:v>0.35007871746592495</x:v>
      </x:c>
      <x:c r="G282" s="46" t="n">
        <x:v>0.5863503805675526</x:v>
      </x:c>
      <x:c r="H282" s="46" t="n">
        <x:v>0.9666396143423913</x:v>
      </x:c>
      <x:c r="I282" s="46" t="n">
        <x:v>0.7809835446029453</x:v>
      </x:c>
      <x:c r="J282" s="46" t="n">
        <x:v>0.5863503805675526</x:v>
      </x:c>
      <x:c r="K282" s="46" t="n">
        <x:v>1</x:v>
      </x:c>
      <x:c r="L282" s="46" t="n">
        <x:v>0.6327816689083744</x:v>
      </x:c>
      <x:c r="M282" s="27" t="n">
        <x:v>0</x:v>
      </x:c>
    </x:row>
    <x:row r="283" ht="15" hidden="0" customHeight="1">
      <x:c r="A283" s="29" t="n">
        <x:v>279</x:v>
      </x:c>
      <x:c r="B283" s="29" t="n">
        <x:v>331183</x:v>
      </x:c>
      <x:c r="C283" s="29" t="str">
        <x:v>A0</x:v>
      </x:c>
      <x:c r="D283" s="53" t="n">
        <x:v>1699.6083321093577</x:v>
      </x:c>
      <x:c r="E283" s="47" t="n">
        <x:v>0.6798433328437431</x:v>
      </x:c>
      <x:c r="F283" s="47" t="n">
        <x:v>0.3380044915505989</x:v>
      </x:c>
      <x:c r="G283" s="47" t="n">
        <x:v>0.5878153567139226</x:v>
      </x:c>
      <x:c r="H283" s="47" t="n">
        <x:v>1</x:v>
      </x:c>
      <x:c r="I283" s="47" t="n">
        <x:v>0.8636698966190306</x:v>
      </x:c>
      <x:c r="J283" s="47" t="n">
        <x:v>0.5878153567139226</x:v>
      </x:c>
      <x:c r="K283" s="47" t="n">
        <x:v>0.9920573082631329</x:v>
      </x:c>
      <x:c r="L283" s="47" t="n">
        <x:v>0.6293582662792846</x:v>
      </x:c>
      <x:c r="M283" s="29" t="n">
        <x:v>0</x:v>
      </x:c>
    </x:row>
    <x:row r="284" ht="15" hidden="0" customHeight="1">
      <x:c r="A284" s="27" t="n">
        <x:v>280</x:v>
      </x:c>
      <x:c r="B284" s="27" t="n">
        <x:v>331184</x:v>
      </x:c>
      <x:c r="C284" s="27" t="str">
        <x:v>A0</x:v>
      </x:c>
      <x:c r="D284" s="52" t="n">
        <x:v>1591.8778587306904</x:v>
      </x:c>
      <x:c r="E284" s="46" t="n">
        <x:v>0.6367511434922761</x:v>
      </x:c>
      <x:c r="F284" s="46" t="n">
        <x:v>0.29351942742873305</x:v>
      </x:c>
      <x:c r="G284" s="46" t="n">
        <x:v>0.5394741321042327</x:v>
      </x:c>
      <x:c r="H284" s="46" t="n">
        <x:v>1</x:v>
      </x:c>
      <x:c r="I284" s="46" t="n">
        <x:v>0.8268602347313843</x:v>
      </x:c>
      <x:c r="J284" s="46" t="n">
        <x:v>0.5394741321042327</x:v>
      </x:c>
      <x:c r="K284" s="46" t="n">
        <x:v>0.9606044399178939</x:v>
      </x:c>
      <x:c r="L284" s="46" t="n">
        <x:v>0.5841162101084028</x:v>
      </x:c>
      <x:c r="M284" s="27" t="n">
        <x:v>0</x:v>
      </x:c>
    </x:row>
    <x:row r="285" ht="15" hidden="0" customHeight="1">
      <x:c r="A285" s="29" t="n">
        <x:v>281</x:v>
      </x:c>
      <x:c r="B285" s="29" t="n">
        <x:v>331185</x:v>
      </x:c>
      <x:c r="C285" s="29" t="str">
        <x:v>A0</x:v>
      </x:c>
      <x:c r="D285" s="53" t="n">
        <x:v>1684.2049666093187</x:v>
      </x:c>
      <x:c r="E285" s="47" t="n">
        <x:v>0.6736819866437275</x:v>
      </x:c>
      <x:c r="F285" s="47" t="n">
        <x:v>0.35222175939445316</x:v>
      </x:c>
      <x:c r="G285" s="47" t="n">
        <x:v>0.5800790964146301</x:v>
      </x:c>
      <x:c r="H285" s="47" t="n">
        <x:v>1</x:v>
      </x:c>
      <x:c r="I285" s="47" t="n">
        <x:v>0.8511773691471484</x:v>
      </x:c>
      <x:c r="J285" s="47" t="n">
        <x:v>0.5800790964146301</x:v>
      </x:c>
      <x:c r="K285" s="47" t="n">
        <x:v>0.9978960194047186</x:v>
      </x:c>
      <x:c r="L285" s="47" t="n">
        <x:v>0.6233942864237794</x:v>
      </x:c>
      <x:c r="M285" s="29" t="n">
        <x:v>0</x:v>
      </x:c>
    </x:row>
    <x:row r="286" ht="15" hidden="0" customHeight="1">
      <x:c r="A286" s="27" t="n">
        <x:v>282</x:v>
      </x:c>
      <x:c r="B286" s="27" t="n">
        <x:v>331186</x:v>
      </x:c>
      <x:c r="C286" s="27" t="str">
        <x:v>A0</x:v>
      </x:c>
      <x:c r="D286" s="52" t="n">
        <x:v>1653.4415401866247</x:v>
      </x:c>
      <x:c r="E286" s="46" t="n">
        <x:v>0.6613766160746499</x:v>
      </x:c>
      <x:c r="F286" s="46" t="n">
        <x:v>0.31605497951783357</x:v>
      </x:c>
      <x:c r="G286" s="46" t="n">
        <x:v>0.5640193480458958</x:v>
      </x:c>
      <x:c r="H286" s="46" t="n">
        <x:v>1</x:v>
      </x:c>
      <x:c r="I286" s="46" t="n">
        <x:v>0.8120549983602514</x:v>
      </x:c>
      <x:c r="J286" s="46" t="n">
        <x:v>0.5640193480458958</x:v>
      </x:c>
      <x:c r="K286" s="46" t="n">
        <x:v>0.9748416857974912</x:v>
      </x:c>
      <x:c r="L286" s="46" t="n">
        <x:v>0.6157816969199068</x:v>
      </x:c>
      <x:c r="M286" s="27" t="n">
        <x:v>0</x:v>
      </x:c>
    </x:row>
    <x:row r="287" ht="15" hidden="0" customHeight="1">
      <x:c r="A287" s="29" t="n">
        <x:v>283</x:v>
      </x:c>
      <x:c r="B287" s="29" t="n">
        <x:v>331187</x:v>
      </x:c>
      <x:c r="C287" s="29" t="str">
        <x:v>A0</x:v>
      </x:c>
      <x:c r="D287" s="53" t="n">
        <x:v>1723.5010348342441</x:v>
      </x:c>
      <x:c r="E287" s="47" t="n">
        <x:v>0.6894004139336977</x:v>
      </x:c>
      <x:c r="F287" s="47" t="n">
        <x:v>0.3636494772858525</x:v>
      </x:c>
      <x:c r="G287" s="47" t="n">
        <x:v>0.5954112336499559</x:v>
      </x:c>
      <x:c r="H287" s="47" t="n">
        <x:v>1</x:v>
      </x:c>
      <x:c r="I287" s="47" t="n">
        <x:v>0.855340722965705</x:v>
      </x:c>
      <x:c r="J287" s="47" t="n">
        <x:v>0.5954112336499559</x:v>
      </x:c>
      <x:c r="K287" s="47" t="n">
        <x:v>0.9922410718024</x:v>
      </x:c>
      <x:c r="L287" s="47" t="n">
        <x:v>0.6423851137524447</x:v>
      </x:c>
      <x:c r="M287" s="29" t="n">
        <x:v>0</x:v>
      </x:c>
    </x:row>
    <x:row r="288" ht="15" hidden="0" customHeight="1">
      <x:c r="A288" s="27" t="n">
        <x:v>284</x:v>
      </x:c>
      <x:c r="B288" s="27" t="n">
        <x:v>331188</x:v>
      </x:c>
      <x:c r="C288" s="27" t="str">
        <x:v>A0</x:v>
      </x:c>
      <x:c r="D288" s="52" t="n">
        <x:v>1679.4443049044808</x:v>
      </x:c>
      <x:c r="E288" s="46" t="n">
        <x:v>0.6717777219617923</x:v>
      </x:c>
      <x:c r="F288" s="46" t="n">
        <x:v>0.33481742931801123</x:v>
      </x:c>
      <x:c r="G288" s="46" t="n">
        <x:v>0.5738127097286343</x:v>
      </x:c>
      <x:c r="H288" s="46" t="n">
        <x:v>1</x:v>
      </x:c>
      <x:c r="I288" s="46" t="n">
        <x:v>0.8577453105758006</x:v>
      </x:c>
      <x:c r="J288" s="46" t="n">
        <x:v>0.5738127097286343</x:v>
      </x:c>
      <x:c r="K288" s="46" t="n">
        <x:v>0.9865961485034207</x:v>
      </x:c>
      <x:c r="L288" s="46" t="n">
        <x:v>0.6207515608873873</x:v>
      </x:c>
      <x:c r="M288" s="27" t="n">
        <x:v>0</x:v>
      </x:c>
    </x:row>
    <x:row r="289" ht="15" hidden="0" customHeight="1">
      <x:c r="A289" s="29" t="n">
        <x:v>285</x:v>
      </x:c>
      <x:c r="B289" s="29" t="n">
        <x:v>331189</x:v>
      </x:c>
      <x:c r="C289" s="29" t="str">
        <x:v>A0</x:v>
      </x:c>
      <x:c r="D289" s="53" t="n">
        <x:v>1650.7704131510502</x:v>
      </x:c>
      <x:c r="E289" s="47" t="n">
        <x:v>0.6603081652604201</x:v>
      </x:c>
      <x:c r="F289" s="47" t="n">
        <x:v>0.3286714058088677</x:v>
      </x:c>
      <x:c r="G289" s="47" t="n">
        <x:v>0.5693773472468261</x:v>
      </x:c>
      <x:c r="H289" s="47" t="n">
        <x:v>0.9935432412077269</x:v>
      </x:c>
      <x:c r="I289" s="47" t="n">
        <x:v>0.8136055439425319</x:v>
      </x:c>
      <x:c r="J289" s="47" t="n">
        <x:v>0.5693773472468261</x:v>
      </x:c>
      <x:c r="K289" s="47" t="n">
        <x:v>0.9884304619396194</x:v>
      </x:c>
      <x:c r="L289" s="47" t="n">
        <x:v>0.613438747148989</x:v>
      </x:c>
      <x:c r="M289" s="29" t="n">
        <x:v>0</x:v>
      </x:c>
    </x:row>
    <x:row r="290" ht="15" hidden="0" customHeight="1">
      <x:c r="A290" s="27" t="n">
        <x:v>286</x:v>
      </x:c>
      <x:c r="B290" s="27" t="n">
        <x:v>331190</x:v>
      </x:c>
      <x:c r="C290" s="27" t="str">
        <x:v>A0</x:v>
      </x:c>
      <x:c r="D290" s="52" t="n">
        <x:v>1685.42790013848</x:v>
      </x:c>
      <x:c r="E290" s="46" t="n">
        <x:v>0.674171160055392</x:v>
      </x:c>
      <x:c r="F290" s="46" t="n">
        <x:v>0.36496597345145926</x:v>
      </x:c>
      <x:c r="G290" s="46" t="n">
        <x:v>0.5833890098429575</x:v>
      </x:c>
      <x:c r="H290" s="46" t="n">
        <x:v>1</x:v>
      </x:c>
      <x:c r="I290" s="46" t="n">
        <x:v>0.7981131747024671</x:v>
      </x:c>
      <x:c r="J290" s="46" t="n">
        <x:v>0.5833890098429575</x:v>
      </x:c>
      <x:c r="K290" s="46" t="n">
        <x:v>1</x:v>
      </x:c>
      <x:c r="L290" s="46" t="n">
        <x:v>0.6320834383520249</x:v>
      </x:c>
      <x:c r="M290" s="27" t="n">
        <x:v>0</x:v>
      </x:c>
    </x:row>
    <x:row r="291" ht="15" hidden="0" customHeight="1">
      <x:c r="A291" s="29" t="n">
        <x:v>287</x:v>
      </x:c>
      <x:c r="B291" s="29" t="n">
        <x:v>331191</x:v>
      </x:c>
      <x:c r="C291" s="29" t="str">
        <x:v>A0</x:v>
      </x:c>
      <x:c r="D291" s="53" t="n">
        <x:v>1679.221227371198</x:v>
      </x:c>
      <x:c r="E291" s="47" t="n">
        <x:v>0.6716884909484792</x:v>
      </x:c>
      <x:c r="F291" s="47" t="n">
        <x:v>0.30700699191396563</x:v>
      </x:c>
      <x:c r="G291" s="47" t="n">
        <x:v>0.5795241803396874</x:v>
      </x:c>
      <x:c r="H291" s="47" t="n">
        <x:v>1</x:v>
      </x:c>
      <x:c r="I291" s="47" t="n">
        <x:v>0.8607289785002651</x:v>
      </x:c>
      <x:c r="J291" s="47" t="n">
        <x:v>0.5795241803396874</x:v>
      </x:c>
      <x:c r="K291" s="47" t="n">
        <x:v>0.9794214773254746</x:v>
      </x:c>
      <x:c r="L291" s="47" t="n">
        <x:v>0.6205686519846417</x:v>
      </x:c>
      <x:c r="M291" s="29" t="n">
        <x:v>0</x:v>
      </x:c>
    </x:row>
    <x:row r="292" ht="15" hidden="0" customHeight="1">
      <x:c r="A292" s="27" t="n">
        <x:v>288</x:v>
      </x:c>
      <x:c r="B292" s="27" t="n">
        <x:v>331192</x:v>
      </x:c>
      <x:c r="C292" s="27" t="str">
        <x:v>A0</x:v>
      </x:c>
      <x:c r="D292" s="52" t="n">
        <x:v>1741.3584557304666</x:v>
      </x:c>
      <x:c r="E292" s="46" t="n">
        <x:v>0.6965433822921866</x:v>
      </x:c>
      <x:c r="F292" s="46" t="n">
        <x:v>0.37186280878967076</x:v>
      </x:c>
      <x:c r="G292" s="46" t="n">
        <x:v>0.6041151992232897</x:v>
      </x:c>
      <x:c r="H292" s="46" t="n">
        <x:v>1</x:v>
      </x:c>
      <x:c r="I292" s="46" t="n">
        <x:v>0.8829093369390734</x:v>
      </x:c>
      <x:c r="J292" s="46" t="n">
        <x:v>0.6041151992232897</x:v>
      </x:c>
      <x:c r="K292" s="46" t="n">
        <x:v>1</x:v>
      </x:c>
      <x:c r="L292" s="46" t="n">
        <x:v>0.6463936588491292</x:v>
      </x:c>
      <x:c r="M292" s="27" t="n">
        <x:v>0</x:v>
      </x:c>
    </x:row>
    <x:row r="293" ht="15" hidden="0" customHeight="1">
      <x:c r="A293" s="29" t="n">
        <x:v>289</x:v>
      </x:c>
      <x:c r="B293" s="29" t="n">
        <x:v>331193</x:v>
      </x:c>
      <x:c r="C293" s="29" t="str">
        <x:v>A0</x:v>
      </x:c>
      <x:c r="D293" s="53" t="n">
        <x:v>1723.0637450046934</x:v>
      </x:c>
      <x:c r="E293" s="47" t="n">
        <x:v>0.6892254980018774</x:v>
      </x:c>
      <x:c r="F293" s="47" t="n">
        <x:v>0.3758847703773825</x:v>
      </x:c>
      <x:c r="G293" s="47" t="n">
        <x:v>0.594315824859341</x:v>
      </x:c>
      <x:c r="H293" s="47" t="n">
        <x:v>1</x:v>
      </x:c>
      <x:c r="I293" s="47" t="n">
        <x:v>0.87812916353488</x:v>
      </x:c>
      <x:c r="J293" s="47" t="n">
        <x:v>0.594315824859341</x:v>
      </x:c>
      <x:c r="K293" s="47" t="n">
        <x:v>0.9961363874209386</x:v>
      </x:c>
      <x:c r="L293" s="47" t="n">
        <x:v>0.6384050522820518</x:v>
      </x:c>
      <x:c r="M293" s="29" t="n">
        <x:v>0</x:v>
      </x:c>
    </x:row>
    <x:row r="294" ht="15" hidden="0" customHeight="1">
      <x:c r="A294" s="27" t="n">
        <x:v>290</x:v>
      </x:c>
      <x:c r="B294" s="27" t="n">
        <x:v>331194</x:v>
      </x:c>
      <x:c r="C294" s="27" t="str">
        <x:v>A0</x:v>
      </x:c>
      <x:c r="D294" s="52" t="n">
        <x:v>1658.5338023355264</x:v>
      </x:c>
      <x:c r="E294" s="46" t="n">
        <x:v>0.6634135209342106</x:v>
      </x:c>
      <x:c r="F294" s="46" t="n">
        <x:v>0.3300665371614577</x:v>
      </x:c>
      <x:c r="G294" s="46" t="n">
        <x:v>0.5630162638738165</x:v>
      </x:c>
      <x:c r="H294" s="46" t="n">
        <x:v>1</x:v>
      </x:c>
      <x:c r="I294" s="46" t="n">
        <x:v>0.7838615402992345</x:v>
      </x:c>
      <x:c r="J294" s="46" t="n">
        <x:v>0.5630162638738165</x:v>
      </x:c>
      <x:c r="K294" s="46" t="n">
        <x:v>0.9890926068103291</x:v>
      </x:c>
      <x:c r="L294" s="46" t="n">
        <x:v>0.6218208818535008</x:v>
      </x:c>
      <x:c r="M294" s="27" t="n">
        <x:v>0</x:v>
      </x:c>
    </x:row>
    <x:row r="295" ht="15" hidden="0" customHeight="1">
      <x:c r="A295" s="29" t="n">
        <x:v>291</x:v>
      </x:c>
      <x:c r="B295" s="29" t="n">
        <x:v>331195</x:v>
      </x:c>
      <x:c r="C295" s="29" t="str">
        <x:v>A0</x:v>
      </x:c>
      <x:c r="D295" s="53" t="n">
        <x:v>1681.9697268050284</x:v>
      </x:c>
      <x:c r="E295" s="47" t="n">
        <x:v>0.6727878907220114</x:v>
      </x:c>
      <x:c r="F295" s="47" t="n">
        <x:v>0.34506273609591576</x:v>
      </x:c>
      <x:c r="G295" s="47" t="n">
        <x:v>0.5788653787697183</x:v>
      </x:c>
      <x:c r="H295" s="47" t="n">
        <x:v>1</x:v>
      </x:c>
      <x:c r="I295" s="47" t="n">
        <x:v>0.8654294756972846</x:v>
      </x:c>
      <x:c r="J295" s="47" t="n">
        <x:v>0.5788653787697183</x:v>
      </x:c>
      <x:c r="K295" s="47" t="n">
        <x:v>1</x:v>
      </x:c>
      <x:c r="L295" s="47" t="n">
        <x:v>0.6199601003098155</x:v>
      </x:c>
      <x:c r="M295" s="29" t="n">
        <x:v>0</x:v>
      </x:c>
    </x:row>
    <x:row r="296" ht="15" hidden="0" customHeight="1">
      <x:c r="A296" s="27" t="n">
        <x:v>292</x:v>
      </x:c>
      <x:c r="B296" s="27" t="n">
        <x:v>331196</x:v>
      </x:c>
      <x:c r="C296" s="27" t="str">
        <x:v>A0</x:v>
      </x:c>
      <x:c r="D296" s="52" t="n">
        <x:v>1638.3308618610076</x:v>
      </x:c>
      <x:c r="E296" s="46" t="n">
        <x:v>0.655332344744403</x:v>
      </x:c>
      <x:c r="F296" s="46" t="n">
        <x:v>0.3569314937893029</x:v>
      </x:c>
      <x:c r="G296" s="46" t="n">
        <x:v>0.5614496581210391</x:v>
      </x:c>
      <x:c r="H296" s="46" t="n">
        <x:v>1</x:v>
      </x:c>
      <x:c r="I296" s="46" t="n">
        <x:v>0.8318438761937625</x:v>
      </x:c>
      <x:c r="J296" s="46" t="n">
        <x:v>0.5614496581210391</x:v>
      </x:c>
      <x:c r="K296" s="46" t="n">
        <x:v>0.9949019106930193</x:v>
      </x:c>
      <x:c r="L296" s="46" t="n">
        <x:v>0.6040552779952227</x:v>
      </x:c>
      <x:c r="M296" s="27" t="n">
        <x:v>0</x:v>
      </x:c>
    </x:row>
    <x:row r="297" ht="15" hidden="0" customHeight="1">
      <x:c r="A297" s="29" t="n">
        <x:v>293</x:v>
      </x:c>
      <x:c r="B297" s="29" t="n">
        <x:v>331197</x:v>
      </x:c>
      <x:c r="C297" s="29" t="str">
        <x:v>A0</x:v>
      </x:c>
      <x:c r="D297" s="53" t="n">
        <x:v>1613.1743779225612</x:v>
      </x:c>
      <x:c r="E297" s="47" t="n">
        <x:v>0.6452697511690245</x:v>
      </x:c>
      <x:c r="F297" s="47" t="n">
        <x:v>0.33820818727205604</x:v>
      </x:c>
      <x:c r="G297" s="47" t="n">
        <x:v>0.5520688623439072</x:v>
      </x:c>
      <x:c r="H297" s="47" t="n">
        <x:v>1</x:v>
      </x:c>
      <x:c r="I297" s="47" t="n">
        <x:v>0.8372957319199279</x:v>
      </x:c>
      <x:c r="J297" s="47" t="n">
        <x:v>0.5520688623439072</x:v>
      </x:c>
      <x:c r="K297" s="47" t="n">
        <x:v>0.9897204587559679</x:v>
      </x:c>
      <x:c r="L297" s="47" t="n">
        <x:v>0.5911655654239463</x:v>
      </x:c>
      <x:c r="M297" s="29" t="n">
        <x:v>0</x:v>
      </x:c>
    </x:row>
    <x:row r="298" ht="15" hidden="0" customHeight="1">
      <x:c r="A298" s="27" t="n">
        <x:v>294</x:v>
      </x:c>
      <x:c r="B298" s="27" t="n">
        <x:v>331198</x:v>
      </x:c>
      <x:c r="C298" s="27" t="str">
        <x:v>A0</x:v>
      </x:c>
      <x:c r="D298" s="52" t="n">
        <x:v>1672.0391333249659</x:v>
      </x:c>
      <x:c r="E298" s="46" t="n">
        <x:v>0.6688156533299864</x:v>
      </x:c>
      <x:c r="F298" s="46" t="n">
        <x:v>0.33636966143968294</x:v>
      </x:c>
      <x:c r="G298" s="46" t="n">
        <x:v>0.5691287583640274</x:v>
      </x:c>
      <x:c r="H298" s="46" t="n">
        <x:v>0.9857944699672081</x:v>
      </x:c>
      <x:c r="I298" s="46" t="n">
        <x:v>0.808290726355158</x:v>
      </x:c>
      <x:c r="J298" s="46" t="n">
        <x:v>0.5691287583640274</x:v>
      </x:c>
      <x:c r="K298" s="46" t="n">
        <x:v>0.9956641071963597</x:v>
      </x:c>
      <x:c r="L298" s="46" t="n">
        <x:v>0.6244265743487053</x:v>
      </x:c>
      <x:c r="M298" s="27" t="n">
        <x:v>0</x:v>
      </x:c>
    </x:row>
    <x:row r="299" ht="15" hidden="0" customHeight="1">
      <x:c r="A299" s="29" t="n">
        <x:v>295</x:v>
      </x:c>
      <x:c r="B299" s="29" t="n">
        <x:v>331199</x:v>
      </x:c>
      <x:c r="C299" s="29" t="str">
        <x:v>A0</x:v>
      </x:c>
      <x:c r="D299" s="53" t="n">
        <x:v>1708.5250474024795</x:v>
      </x:c>
      <x:c r="E299" s="47" t="n">
        <x:v>0.6834100189609917</x:v>
      </x:c>
      <x:c r="F299" s="47" t="n">
        <x:v>0.3606128390655332</x:v>
      </x:c>
      <x:c r="G299" s="47" t="n">
        <x:v>0.5889887169900686</x:v>
      </x:c>
      <x:c r="H299" s="47" t="n">
        <x:v>1</x:v>
      </x:c>
      <x:c r="I299" s="47" t="n">
        <x:v>0.8618161897426191</x:v>
      </x:c>
      <x:c r="J299" s="47" t="n">
        <x:v>0.5889887169900686</x:v>
      </x:c>
      <x:c r="K299" s="47" t="n">
        <x:v>0.997650888185236</x:v>
      </x:c>
      <x:c r="L299" s="47" t="n">
        <x:v>0.6337041426120933</x:v>
      </x:c>
      <x:c r="M299" s="29" t="n">
        <x:v>0</x:v>
      </x:c>
    </x:row>
    <x:row r="300" ht="15" hidden="0" customHeight="1">
      <x:c r="A300" s="27" t="n">
        <x:v>296</x:v>
      </x:c>
      <x:c r="B300" s="27" t="n">
        <x:v>331200</x:v>
      </x:c>
      <x:c r="C300" s="27" t="str">
        <x:v>A0</x:v>
      </x:c>
      <x:c r="D300" s="52" t="n">
        <x:v>1688.8669673585612</x:v>
      </x:c>
      <x:c r="E300" s="46" t="n">
        <x:v>0.6755467869434245</x:v>
      </x:c>
      <x:c r="F300" s="46" t="n">
        <x:v>0.31672192974429186</x:v>
      </x:c>
      <x:c r="G300" s="46" t="n">
        <x:v>0.5884531442789185</x:v>
      </x:c>
      <x:c r="H300" s="46" t="n">
        <x:v>0.9846129077344203</x:v>
      </x:c>
      <x:c r="I300" s="46" t="n">
        <x:v>0.783135733642937</x:v>
      </x:c>
      <x:c r="J300" s="46" t="n">
        <x:v>0.5884531442789185</x:v>
      </x:c>
      <x:c r="K300" s="46" t="n">
        <x:v>0.9837713582036969</x:v>
      </x:c>
      <x:c r="L300" s="46" t="n">
        <x:v>0.6372309663964818</x:v>
      </x:c>
      <x:c r="M300" s="27" t="n">
        <x:v>0</x:v>
      </x:c>
    </x:row>
    <x:row r="301" ht="15" hidden="0" customHeight="1">
      <x:c r="A301" s="29" t="n">
        <x:v>297</x:v>
      </x:c>
      <x:c r="B301" s="29" t="n">
        <x:v>331201</x:v>
      </x:c>
      <x:c r="C301" s="29" t="str">
        <x:v>A0</x:v>
      </x:c>
      <x:c r="D301" s="53" t="n">
        <x:v>1665.4698294649743</x:v>
      </x:c>
      <x:c r="E301" s="47" t="n">
        <x:v>0.6661879317859897</x:v>
      </x:c>
      <x:c r="F301" s="47" t="n">
        <x:v>0.3120840672276964</x:v>
      </x:c>
      <x:c r="G301" s="47" t="n">
        <x:v>0.5723075269537692</x:v>
      </x:c>
      <x:c r="H301" s="47" t="n">
        <x:v>1</x:v>
      </x:c>
      <x:c r="I301" s="47" t="n">
        <x:v>0.8086824902520303</x:v>
      </x:c>
      <x:c r="J301" s="47" t="n">
        <x:v>0.5723075269537692</x:v>
      </x:c>
      <x:c r="K301" s="47" t="n">
        <x:v>0.9920275662332633</x:v>
      </x:c>
      <x:c r="L301" s="47" t="n">
        <x:v>0.6211480848218403</x:v>
      </x:c>
      <x:c r="M301" s="29" t="n">
        <x:v>0</x:v>
      </x:c>
    </x:row>
    <x:row r="302" ht="15" hidden="0" customHeight="1">
      <x:c r="A302" s="27" t="n">
        <x:v>298</x:v>
      </x:c>
      <x:c r="B302" s="27" t="n">
        <x:v>331202</x:v>
      </x:c>
      <x:c r="C302" s="27" t="str">
        <x:v>A0</x:v>
      </x:c>
      <x:c r="D302" s="52" t="n">
        <x:v>1649.3460094211953</x:v>
      </x:c>
      <x:c r="E302" s="46" t="n">
        <x:v>0.6597384037684781</x:v>
      </x:c>
      <x:c r="F302" s="46" t="n">
        <x:v>0.31152000974161687</x:v>
      </x:c>
      <x:c r="G302" s="46" t="n">
        <x:v>0.5621639914206775</x:v>
      </x:c>
      <x:c r="H302" s="46" t="n">
        <x:v>1</x:v>
      </x:c>
      <x:c r="I302" s="46" t="n">
        <x:v>0.8318815189665063</x:v>
      </x:c>
      <x:c r="J302" s="46" t="n">
        <x:v>0.5621639914206775</x:v>
      </x:c>
      <x:c r="K302" s="46" t="n">
        <x:v>0.973235136501874</x:v>
      </x:c>
      <x:c r="L302" s="46" t="n">
        <x:v>0.6107919921484741</x:v>
      </x:c>
      <x:c r="M302" s="27" t="n">
        <x:v>0</x:v>
      </x:c>
    </x:row>
    <x:row r="303" ht="15" hidden="0" customHeight="1">
      <x:c r="A303" s="29" t="n">
        <x:v>299</x:v>
      </x:c>
      <x:c r="B303" s="29" t="n">
        <x:v>331203</x:v>
      </x:c>
      <x:c r="C303" s="29" t="str">
        <x:v>A0</x:v>
      </x:c>
      <x:c r="D303" s="53" t="n">
        <x:v>1685.7293795120513</x:v>
      </x:c>
      <x:c r="E303" s="47" t="n">
        <x:v>0.6742917518048205</x:v>
      </x:c>
      <x:c r="F303" s="47" t="n">
        <x:v>0.3427826320747416</x:v>
      </x:c>
      <x:c r="G303" s="47" t="n">
        <x:v>0.5874358438556286</x:v>
      </x:c>
      <x:c r="H303" s="47" t="n">
        <x:v>1</x:v>
      </x:c>
      <x:c r="I303" s="47" t="n">
        <x:v>0.8175945591717347</x:v>
      </x:c>
      <x:c r="J303" s="47" t="n">
        <x:v>0.5874358438556286</x:v>
      </x:c>
      <x:c r="K303" s="47" t="n">
        <x:v>1</x:v>
      </x:c>
      <x:c r="L303" s="47" t="n">
        <x:v>0.6291784009670437</x:v>
      </x:c>
      <x:c r="M303" s="29" t="n">
        <x:v>0</x:v>
      </x:c>
    </x:row>
    <x:row r="304" ht="15" hidden="0" customHeight="1">
      <x:c r="A304" s="27" t="n">
        <x:v>300</x:v>
      </x:c>
      <x:c r="B304" s="27" t="n">
        <x:v>331204</x:v>
      </x:c>
      <x:c r="C304" s="27" t="str">
        <x:v>A0</x:v>
      </x:c>
      <x:c r="D304" s="52" t="n">
        <x:v>1688.3845480441523</x:v>
      </x:c>
      <x:c r="E304" s="46" t="n">
        <x:v>0.6753538192176609</x:v>
      </x:c>
      <x:c r="F304" s="46" t="n">
        <x:v>0.33728634201470026</x:v>
      </x:c>
      <x:c r="G304" s="46" t="n">
        <x:v>0.5880047202742186</x:v>
      </x:c>
      <x:c r="H304" s="46" t="n">
        <x:v>0.9991900573590708</x:v>
      </x:c>
      <x:c r="I304" s="46" t="n">
        <x:v>0.8297361424767145</x:v>
      </x:c>
      <x:c r="J304" s="46" t="n">
        <x:v>0.5880047202742186</x:v>
      </x:c>
      <x:c r="K304" s="46" t="n">
        <x:v>0.9870067858748356</x:v>
      </x:c>
      <x:c r="L304" s="46" t="n">
        <x:v>0.6293944937569134</x:v>
      </x:c>
      <x:c r="M304" s="27" t="n">
        <x:v>0</x:v>
      </x:c>
    </x:row>
    <x:row r="305" ht="15" hidden="0" customHeight="1">
      <x:c r="A305" s="29" t="n">
        <x:v>301</x:v>
      </x:c>
      <x:c r="B305" s="29" t="n">
        <x:v>331205</x:v>
      </x:c>
      <x:c r="C305" s="29" t="str">
        <x:v>A0</x:v>
      </x:c>
      <x:c r="D305" s="53" t="n">
        <x:v>1683.3963416968393</x:v>
      </x:c>
      <x:c r="E305" s="47" t="n">
        <x:v>0.6733585366787357</x:v>
      </x:c>
      <x:c r="F305" s="47" t="n">
        <x:v>0.3447676577515973</x:v>
      </x:c>
      <x:c r="G305" s="47" t="n">
        <x:v>0.5772314626445728</x:v>
      </x:c>
      <x:c r="H305" s="47" t="n">
        <x:v>1</x:v>
      </x:c>
      <x:c r="I305" s="47" t="n">
        <x:v>0.800371718776581</x:v>
      </x:c>
      <x:c r="J305" s="47" t="n">
        <x:v>0.5772314626445728</x:v>
      </x:c>
      <x:c r="K305" s="47" t="n">
        <x:v>1</x:v>
      </x:c>
      <x:c r="L305" s="47" t="n">
        <x:v>0.6307751367686724</x:v>
      </x:c>
      <x:c r="M305" s="29" t="n">
        <x:v>0</x:v>
      </x:c>
    </x:row>
    <x:row r="306" ht="15" hidden="0" customHeight="1">
      <x:c r="A306" s="27" t="n">
        <x:v>302</x:v>
      </x:c>
      <x:c r="B306" s="27" t="n">
        <x:v>331206</x:v>
      </x:c>
      <x:c r="C306" s="27" t="str">
        <x:v>A0</x:v>
      </x:c>
      <x:c r="D306" s="52" t="n">
        <x:v>1648.568831371614</x:v>
      </x:c>
      <x:c r="E306" s="46" t="n">
        <x:v>0.6594275325486456</x:v>
      </x:c>
      <x:c r="F306" s="46" t="n">
        <x:v>0.3141292291655586</x:v>
      </x:c>
      <x:c r="G306" s="46" t="n">
        <x:v>0.5633242934164896</x:v>
      </x:c>
      <x:c r="H306" s="46" t="n">
        <x:v>1</x:v>
      </x:c>
      <x:c r="I306" s="46" t="n">
        <x:v>0.7683849876583568</x:v>
      </x:c>
      <x:c r="J306" s="46" t="n">
        <x:v>0.5633242934164896</x:v>
      </x:c>
      <x:c r="K306" s="46" t="n">
        <x:v>0.9763718023189419</x:v>
      </x:c>
      <x:c r="L306" s="46" t="n">
        <x:v>0.6200661854166399</x:v>
      </x:c>
      <x:c r="M306" s="27" t="n">
        <x:v>0</x:v>
      </x:c>
    </x:row>
    <x:row r="307" ht="15" hidden="0" customHeight="1">
      <x:c r="A307" s="29" t="n">
        <x:v>303</x:v>
      </x:c>
      <x:c r="B307" s="29" t="n">
        <x:v>331207</x:v>
      </x:c>
      <x:c r="C307" s="29" t="str">
        <x:v>A0</x:v>
      </x:c>
      <x:c r="D307" s="53" t="n">
        <x:v>1652.023062637281</x:v>
      </x:c>
      <x:c r="E307" s="47" t="n">
        <x:v>0.6608092250549125</x:v>
      </x:c>
      <x:c r="F307" s="47" t="n">
        <x:v>0.32496786079134554</x:v>
      </x:c>
      <x:c r="G307" s="47" t="n">
        <x:v>0.5653453406818083</x:v>
      </x:c>
      <x:c r="H307" s="47" t="n">
        <x:v>1</x:v>
      </x:c>
      <x:c r="I307" s="47" t="n">
        <x:v>0.8513381414136498</x:v>
      </x:c>
      <x:c r="J307" s="47" t="n">
        <x:v>0.5653453406818083</x:v>
      </x:c>
      <x:c r="K307" s="47" t="n">
        <x:v>0.9877686152295292</x:v>
      </x:c>
      <x:c r="L307" s="47" t="n">
        <x:v>0.6081938630722307</x:v>
      </x:c>
      <x:c r="M307" s="29" t="n">
        <x:v>0</x:v>
      </x:c>
    </x:row>
    <x:row r="308" ht="15" hidden="0" customHeight="1">
      <x:c r="A308" s="27" t="n">
        <x:v>304</x:v>
      </x:c>
      <x:c r="B308" s="27" t="n">
        <x:v>331208</x:v>
      </x:c>
      <x:c r="C308" s="27" t="str">
        <x:v>A0</x:v>
      </x:c>
      <x:c r="D308" s="52" t="n">
        <x:v>1653.225039023109</x:v>
      </x:c>
      <x:c r="E308" s="46" t="n">
        <x:v>0.6612900156092436</x:v>
      </x:c>
      <x:c r="F308" s="46" t="n">
        <x:v>0.34799694039115686</x:v>
      </x:c>
      <x:c r="G308" s="46" t="n">
        <x:v>0.5665577402623505</x:v>
      </x:c>
      <x:c r="H308" s="46" t="n">
        <x:v>0.9400640099060518</x:v>
      </x:c>
      <x:c r="I308" s="46" t="n">
        <x:v>0.7464003079941723</x:v>
      </x:c>
      <x:c r="J308" s="46" t="n">
        <x:v>0.5665577402623505</x:v>
      </x:c>
      <x:c r="K308" s="46" t="n">
        <x:v>0.9905724794790907</x:v>
      </x:c>
      <x:c r="L308" s="46" t="n">
        <x:v>0.6256092975402793</x:v>
      </x:c>
      <x:c r="M308" s="27" t="n">
        <x:v>0</x:v>
      </x:c>
    </x:row>
    <x:row r="309" ht="15" hidden="0" customHeight="1">
      <x:c r="A309" s="29" t="n">
        <x:v>305</x:v>
      </x:c>
      <x:c r="B309" s="29" t="n">
        <x:v>331209</x:v>
      </x:c>
      <x:c r="C309" s="29" t="str">
        <x:v>A0</x:v>
      </x:c>
      <x:c r="D309" s="53" t="n">
        <x:v>1705.7322689034468</x:v>
      </x:c>
      <x:c r="E309" s="47" t="n">
        <x:v>0.6822929075613787</x:v>
      </x:c>
      <x:c r="F309" s="47" t="n">
        <x:v>0.305277054067632</x:v>
      </x:c>
      <x:c r="G309" s="47" t="n">
        <x:v>0.5898700990591392</x:v>
      </x:c>
      <x:c r="H309" s="47" t="n">
        <x:v>1</x:v>
      </x:c>
      <x:c r="I309" s="47" t="n">
        <x:v>0.8608821536840925</x:v>
      </x:c>
      <x:c r="J309" s="47" t="n">
        <x:v>0.5898700990591392</x:v>
      </x:c>
      <x:c r="K309" s="47" t="n">
        <x:v>0.979147075672128</x:v>
      </x:c>
      <x:c r="L309" s="47" t="n">
        <x:v>0.6335793822145377</x:v>
      </x:c>
      <x:c r="M309" s="29" t="n">
        <x:v>0</x:v>
      </x:c>
    </x:row>
    <x:row r="310" ht="15" hidden="0" customHeight="1">
      <x:c r="A310" s="27" t="n">
        <x:v>306</x:v>
      </x:c>
      <x:c r="B310" s="27" t="n">
        <x:v>331210</x:v>
      </x:c>
      <x:c r="C310" s="27" t="str">
        <x:v>A0</x:v>
      </x:c>
      <x:c r="D310" s="52" t="n">
        <x:v>1615.0532826311298</x:v>
      </x:c>
      <x:c r="E310" s="46" t="n">
        <x:v>0.6460213130524519</x:v>
      </x:c>
      <x:c r="F310" s="46" t="n">
        <x:v>0.30650499630559724</x:v>
      </x:c>
      <x:c r="G310" s="46" t="n">
        <x:v>0.5505494626377049</x:v>
      </x:c>
      <x:c r="H310" s="46" t="n">
        <x:v>0.9726773164781474</x:v>
      </x:c>
      <x:c r="I310" s="46" t="n">
        <x:v>0.7615583105334277</x:v>
      </x:c>
      <x:c r="J310" s="46" t="n">
        <x:v>0.5505494626377049</x:v>
      </x:c>
      <x:c r="K310" s="46" t="n">
        <x:v>0.9680999807985148</x:v>
      </x:c>
      <x:c r="L310" s="46" t="n">
        <x:v>0.6054894593049412</x:v>
      </x:c>
      <x:c r="M310" s="27" t="n">
        <x:v>0</x:v>
      </x:c>
    </x:row>
    <x:row r="311" ht="15" hidden="0" customHeight="1">
      <x:c r="A311" s="29" t="n">
        <x:v>307</x:v>
      </x:c>
      <x:c r="B311" s="29" t="n">
        <x:v>331211</x:v>
      </x:c>
      <x:c r="C311" s="29" t="str">
        <x:v>A0</x:v>
      </x:c>
      <x:c r="D311" s="53" t="n">
        <x:v>1640.6461937859663</x:v>
      </x:c>
      <x:c r="E311" s="47" t="n">
        <x:v>0.6562584775143865</x:v>
      </x:c>
      <x:c r="F311" s="47" t="n">
        <x:v>0.3343076907934969</x:v>
      </x:c>
      <x:c r="G311" s="47" t="n">
        <x:v>0.5630781054884016</x:v>
      </x:c>
      <x:c r="H311" s="47" t="n">
        <x:v>0.99667536557643</x:v>
      </x:c>
      <x:c r="I311" s="47" t="n">
        <x:v>0.7735515336221432</x:v>
      </x:c>
      <x:c r="J311" s="47" t="n">
        <x:v>0.5630781054884016</x:v>
      </x:c>
      <x:c r="K311" s="47" t="n">
        <x:v>0.9894134483099937</x:v>
      </x:c>
      <x:c r="L311" s="47" t="n">
        <x:v>0.6146054926524458</x:v>
      </x:c>
      <x:c r="M311" s="29" t="n">
        <x:v>0</x:v>
      </x:c>
    </x:row>
    <x:row r="312" ht="15" hidden="0" customHeight="1">
      <x:c r="A312" s="27" t="n">
        <x:v>308</x:v>
      </x:c>
      <x:c r="B312" s="27" t="n">
        <x:v>331212</x:v>
      </x:c>
      <x:c r="C312" s="27" t="str">
        <x:v>A0</x:v>
      </x:c>
      <x:c r="D312" s="52" t="n">
        <x:v>1715.2444494242322</x:v>
      </x:c>
      <x:c r="E312" s="46" t="n">
        <x:v>0.6860977797696929</x:v>
      </x:c>
      <x:c r="F312" s="46" t="n">
        <x:v>0.3393896248292796</x:v>
      </x:c>
      <x:c r="G312" s="46" t="n">
        <x:v>0.594132706379232</x:v>
      </x:c>
      <x:c r="H312" s="46" t="n">
        <x:v>1</x:v>
      </x:c>
      <x:c r="I312" s="46" t="n">
        <x:v>0.8690136023673075</x:v>
      </x:c>
      <x:c r="J312" s="46" t="n">
        <x:v>0.594132706379232</x:v>
      </x:c>
      <x:c r="K312" s="46" t="n">
        <x:v>1</x:v>
      </x:c>
      <x:c r="L312" s="46" t="n">
        <x:v>0.635726009053986</x:v>
      </x:c>
      <x:c r="M312" s="27" t="n">
        <x:v>0</x:v>
      </x:c>
    </x:row>
    <x:row r="313" ht="15" hidden="0" customHeight="1">
      <x:c r="A313" s="29" t="n">
        <x:v>309</x:v>
      </x:c>
      <x:c r="B313" s="29" t="n">
        <x:v>331213</x:v>
      </x:c>
      <x:c r="C313" s="29" t="str">
        <x:v>A0</x:v>
      </x:c>
      <x:c r="D313" s="53" t="n">
        <x:v>1663.7310332891545</x:v>
      </x:c>
      <x:c r="E313" s="47" t="n">
        <x:v>0.6654924133156618</x:v>
      </x:c>
      <x:c r="F313" s="47" t="n">
        <x:v>0.3276993495703534</x:v>
      </x:c>
      <x:c r="G313" s="47" t="n">
        <x:v>0.569619375847569</x:v>
      </x:c>
      <x:c r="H313" s="47" t="n">
        <x:v>1</x:v>
      </x:c>
      <x:c r="I313" s="47" t="n">
        <x:v>0.8607564500016573</x:v>
      </x:c>
      <x:c r="J313" s="47" t="n">
        <x:v>0.569619375847569</x:v>
      </x:c>
      <x:c r="K313" s="47" t="n">
        <x:v>0.9808824345862238</x:v>
      </x:c>
      <x:c r="L313" s="47" t="n">
        <x:v>0.612898632252357</x:v>
      </x:c>
      <x:c r="M313" s="29" t="n">
        <x:v>0</x:v>
      </x:c>
    </x:row>
    <x:row r="314" ht="15" hidden="0" customHeight="1">
      <x:c r="A314" s="27" t="n">
        <x:v>310</x:v>
      </x:c>
      <x:c r="B314" s="27" t="n">
        <x:v>331214</x:v>
      </x:c>
      <x:c r="C314" s="27" t="str">
        <x:v>A0</x:v>
      </x:c>
      <x:c r="D314" s="52" t="n">
        <x:v>1665.7770357958793</x:v>
      </x:c>
      <x:c r="E314" s="46" t="n">
        <x:v>0.6663108143183517</x:v>
      </x:c>
      <x:c r="F314" s="46" t="n">
        <x:v>0.355828349575817</x:v>
      </x:c>
      <x:c r="G314" s="46" t="n">
        <x:v>0.5738650078485816</x:v>
      </x:c>
      <x:c r="H314" s="46" t="n">
        <x:v>1</x:v>
      </x:c>
      <x:c r="I314" s="46" t="n">
        <x:v>0.8343709987237137</x:v>
      </x:c>
      <x:c r="J314" s="46" t="n">
        <x:v>0.5738650078485816</x:v>
      </x:c>
      <x:c r="K314" s="46" t="n">
        <x:v>0.9916822229986806</x:v>
      </x:c>
      <x:c r="L314" s="46" t="n">
        <x:v>0.6173217297241491</x:v>
      </x:c>
      <x:c r="M314" s="27" t="n">
        <x:v>0</x:v>
      </x:c>
    </x:row>
    <x:row r="315" ht="15" hidden="0" customHeight="1">
      <x:c r="A315" s="29" t="n">
        <x:v>311</x:v>
      </x:c>
      <x:c r="B315" s="29" t="n">
        <x:v>331215</x:v>
      </x:c>
      <x:c r="C315" s="29" t="str">
        <x:v>A0</x:v>
      </x:c>
      <x:c r="D315" s="53" t="n">
        <x:v>1715.9356300969664</x:v>
      </x:c>
      <x:c r="E315" s="47" t="n">
        <x:v>0.6863742520387865</x:v>
      </x:c>
      <x:c r="F315" s="47" t="n">
        <x:v>0.3448572343865202</x:v>
      </x:c>
      <x:c r="G315" s="47" t="n">
        <x:v>0.5886819558146589</x:v>
      </x:c>
      <x:c r="H315" s="47" t="n">
        <x:v>1</x:v>
      </x:c>
      <x:c r="I315" s="47" t="n">
        <x:v>0.8635929323899127</x:v>
      </x:c>
      <x:c r="J315" s="47" t="n">
        <x:v>0.5886819558146589</x:v>
      </x:c>
      <x:c r="K315" s="47" t="n">
        <x:v>0.9947313343559882</x:v>
      </x:c>
      <x:c r="L315" s="47" t="n">
        <x:v>0.6372671232332507</x:v>
      </x:c>
      <x:c r="M315" s="29" t="n">
        <x:v>0</x:v>
      </x:c>
    </x:row>
    <x:row r="316" ht="15" hidden="0" customHeight="1">
      <x:c r="A316" s="27" t="n">
        <x:v>312</x:v>
      </x:c>
      <x:c r="B316" s="27" t="n">
        <x:v>331216</x:v>
      </x:c>
      <x:c r="C316" s="27" t="str">
        <x:v>A0</x:v>
      </x:c>
      <x:c r="D316" s="52" t="n">
        <x:v>1721.9961642461183</x:v>
      </x:c>
      <x:c r="E316" s="46" t="n">
        <x:v>0.6887984656984473</x:v>
      </x:c>
      <x:c r="F316" s="46" t="n">
        <x:v>0.33955935700225476</x:v>
      </x:c>
      <x:c r="G316" s="46" t="n">
        <x:v>0.5910776221339219</x:v>
      </x:c>
      <x:c r="H316" s="46" t="n">
        <x:v>1</x:v>
      </x:c>
      <x:c r="I316" s="46" t="n">
        <x:v>0.8557163800468344</x:v>
      </x:c>
      <x:c r="J316" s="46" t="n">
        <x:v>0.5910776221339219</x:v>
      </x:c>
      <x:c r="K316" s="46" t="n">
        <x:v>0.9956325509459789</x:v>
      </x:c>
      <x:c r="L316" s="46" t="n">
        <x:v>0.641411083342077</x:v>
      </x:c>
      <x:c r="M316" s="27" t="n">
        <x:v>0</x:v>
      </x:c>
    </x:row>
    <x:row r="317" ht="15" hidden="0" customHeight="1">
      <x:c r="A317" s="29" t="n">
        <x:v>313</x:v>
      </x:c>
      <x:c r="B317" s="29" t="n">
        <x:v>331217</x:v>
      </x:c>
      <x:c r="C317" s="29" t="str">
        <x:v>A0</x:v>
      </x:c>
      <x:c r="D317" s="53" t="n">
        <x:v>1668.5887038487265</x:v>
      </x:c>
      <x:c r="E317" s="47" t="n">
        <x:v>0.6674354815394906</x:v>
      </x:c>
      <x:c r="F317" s="47" t="n">
        <x:v>0.32168294459411256</x:v>
      </x:c>
      <x:c r="G317" s="47" t="n">
        <x:v>0.5728071615816879</x:v>
      </x:c>
      <x:c r="H317" s="47" t="n">
        <x:v>1</x:v>
      </x:c>
      <x:c r="I317" s="47" t="n">
        <x:v>0.8554925588467052</x:v>
      </x:c>
      <x:c r="J317" s="47" t="n">
        <x:v>0.5728071615816879</x:v>
      </x:c>
      <x:c r="K317" s="47" t="n">
        <x:v>0.9885321564311835</x:v>
      </x:c>
      <x:c r="L317" s="47" t="n">
        <x:v>0.6156299232255997</x:v>
      </x:c>
      <x:c r="M317" s="29" t="n">
        <x:v>0</x:v>
      </x:c>
    </x:row>
    <x:row r="318" ht="15" hidden="0" customHeight="1">
      <x:c r="A318" s="27" t="n">
        <x:v>314</x:v>
      </x:c>
      <x:c r="B318" s="27" t="n">
        <x:v>331218</x:v>
      </x:c>
      <x:c r="C318" s="27" t="str">
        <x:v>A0</x:v>
      </x:c>
      <x:c r="D318" s="52" t="n">
        <x:v>1647.0810005472376</x:v>
      </x:c>
      <x:c r="E318" s="46" t="n">
        <x:v>0.6588324002188951</x:v>
      </x:c>
      <x:c r="F318" s="46" t="n">
        <x:v>0.33421979251179706</x:v>
      </x:c>
      <x:c r="G318" s="46" t="n">
        <x:v>0.5650067529289197</x:v>
      </x:c>
      <x:c r="H318" s="46" t="n">
        <x:v>1</x:v>
      </x:c>
      <x:c r="I318" s="46" t="n">
        <x:v>0.8460153177749841</x:v>
      </x:c>
      <x:c r="J318" s="46" t="n">
        <x:v>0.5650067529289197</x:v>
      </x:c>
      <x:c r="K318" s="46" t="n">
        <x:v>0.9928935425389054</x:v>
      </x:c>
      <x:c r="L318" s="46" t="n">
        <x:v>0.6062723495976259</x:v>
      </x:c>
      <x:c r="M318" s="27" t="n">
        <x:v>0</x:v>
      </x:c>
    </x:row>
    <x:row r="319" ht="15" hidden="0" customHeight="1">
      <x:c r="A319" s="29" t="n">
        <x:v>315</x:v>
      </x:c>
      <x:c r="B319" s="29" t="n">
        <x:v>331219</x:v>
      </x:c>
      <x:c r="C319" s="29" t="str">
        <x:v>A0</x:v>
      </x:c>
      <x:c r="D319" s="53" t="n">
        <x:v>1710.9537789906954</x:v>
      </x:c>
      <x:c r="E319" s="47" t="n">
        <x:v>0.6843815115962781</x:v>
      </x:c>
      <x:c r="F319" s="47" t="n">
        <x:v>0.3659277626899132</x:v>
      </x:c>
      <x:c r="G319" s="47" t="n">
        <x:v>0.5974279938532762</x:v>
      </x:c>
      <x:c r="H319" s="47" t="n">
        <x:v>1</x:v>
      </x:c>
      <x:c r="I319" s="47" t="n">
        <x:v>0.8558855347327725</x:v>
      </x:c>
      <x:c r="J319" s="47" t="n">
        <x:v>0.5974279938532762</x:v>
      </x:c>
      <x:c r="K319" s="47" t="n">
        <x:v>0.9990056020234739</x:v>
      </x:c>
      <x:c r="L319" s="47" t="n">
        <x:v>0.635679936023021</x:v>
      </x:c>
      <x:c r="M319" s="29" t="n">
        <x:v>0</x:v>
      </x:c>
    </x:row>
    <x:row r="320" ht="15" hidden="0" customHeight="1">
      <x:c r="A320" s="27" t="n">
        <x:v>316</x:v>
      </x:c>
      <x:c r="B320" s="27" t="n">
        <x:v>331220</x:v>
      </x:c>
      <x:c r="C320" s="27" t="str">
        <x:v>A0</x:v>
      </x:c>
      <x:c r="D320" s="52" t="n">
        <x:v>1627.817277746481</x:v>
      </x:c>
      <x:c r="E320" s="46" t="n">
        <x:v>0.6511269110985924</x:v>
      </x:c>
      <x:c r="F320" s="46" t="n">
        <x:v>0.3315722354796844</x:v>
      </x:c>
      <x:c r="G320" s="46" t="n">
        <x:v>0.551105333431471</x:v>
      </x:c>
      <x:c r="H320" s="46" t="n">
        <x:v>0.9967756720047342</x:v>
      </x:c>
      <x:c r="I320" s="46" t="n">
        <x:v>0.7978473241749887</x:v>
      </x:c>
      <x:c r="J320" s="46" t="n">
        <x:v>0.551105333431471</x:v>
      </x:c>
      <x:c r="K320" s="46" t="n">
        <x:v>0.987357174022535</x:v>
      </x:c>
      <x:c r="L320" s="46" t="n">
        <x:v>0.6047094052756368</x:v>
      </x:c>
      <x:c r="M320" s="27" t="n">
        <x:v>0</x:v>
      </x:c>
    </x:row>
    <x:row r="321" ht="15" hidden="0" customHeight="1">
      <x:c r="A321" s="29" t="n">
        <x:v>317</x:v>
      </x:c>
      <x:c r="B321" s="29" t="n">
        <x:v>331221</x:v>
      </x:c>
      <x:c r="C321" s="29" t="str">
        <x:v>A0</x:v>
      </x:c>
      <x:c r="D321" s="53" t="n">
        <x:v>1700.5122368057455</x:v>
      </x:c>
      <x:c r="E321" s="47" t="n">
        <x:v>0.6802048947222982</x:v>
      </x:c>
      <x:c r="F321" s="47" t="n">
        <x:v>0.339663795290589</x:v>
      </x:c>
      <x:c r="G321" s="47" t="n">
        <x:v>0.5836564887466018</x:v>
      </x:c>
      <x:c r="H321" s="47" t="n">
        <x:v>1</x:v>
      </x:c>
      <x:c r="I321" s="47" t="n">
        <x:v>0.8624274060516176</x:v>
      </x:c>
      <x:c r="J321" s="47" t="n">
        <x:v>0.5836564887466018</x:v>
      </x:c>
      <x:c r="K321" s="47" t="n">
        <x:v>0.9948155116578143</x:v>
      </x:c>
      <x:c r="L321" s="47" t="n">
        <x:v>0.6298620932022624</x:v>
      </x:c>
      <x:c r="M321" s="29" t="n">
        <x:v>0</x:v>
      </x:c>
    </x:row>
    <x:row r="322" ht="15" hidden="0" customHeight="1">
      <x:c r="A322" s="27" t="n">
        <x:v>318</x:v>
      </x:c>
      <x:c r="B322" s="27" t="n">
        <x:v>331222</x:v>
      </x:c>
      <x:c r="C322" s="27" t="str">
        <x:v>A0</x:v>
      </x:c>
      <x:c r="D322" s="52" t="n">
        <x:v>1718.7417994029179</x:v>
      </x:c>
      <x:c r="E322" s="46" t="n">
        <x:v>0.6874967197611671</x:v>
      </x:c>
      <x:c r="F322" s="46" t="n">
        <x:v>0.35197043639639797</x:v>
      </x:c>
      <x:c r="G322" s="46" t="n">
        <x:v>0.5971234054759602</x:v>
      </x:c>
      <x:c r="H322" s="46" t="n">
        <x:v>0.9976553715102782</x:v>
      </x:c>
      <x:c r="I322" s="46" t="n">
        <x:v>0.8249928804648481</x:v>
      </x:c>
      <x:c r="J322" s="46" t="n">
        <x:v>0.5971234054759602</x:v>
      </x:c>
      <x:c r="K322" s="46" t="n">
        <x:v>1</x:v>
      </x:c>
      <x:c r="L322" s="46" t="n">
        <x:v>0.6442919825548141</x:v>
      </x:c>
      <x:c r="M322" s="27" t="n">
        <x:v>0</x:v>
      </x:c>
    </x:row>
    <x:row r="323" ht="15" hidden="0" customHeight="1">
      <x:c r="A323" s="29" t="n">
        <x:v>319</x:v>
      </x:c>
      <x:c r="B323" s="29" t="n">
        <x:v>331223</x:v>
      </x:c>
      <x:c r="C323" s="29" t="str">
        <x:v>A0</x:v>
      </x:c>
      <x:c r="D323" s="53" t="n">
        <x:v>1677.138221155456</x:v>
      </x:c>
      <x:c r="E323" s="47" t="n">
        <x:v>0.6708552884621825</x:v>
      </x:c>
      <x:c r="F323" s="47" t="n">
        <x:v>0.3390201233937182</x:v>
      </x:c>
      <x:c r="G323" s="47" t="n">
        <x:v>0.5741325547006527</x:v>
      </x:c>
      <x:c r="H323" s="47" t="n">
        <x:v>1</x:v>
      </x:c>
      <x:c r="I323" s="47" t="n">
        <x:v>0.8487589468630565</x:v>
      </x:c>
      <x:c r="J323" s="47" t="n">
        <x:v>0.5741325547006527</x:v>
      </x:c>
      <x:c r="K323" s="47" t="n">
        <x:v>0.9968133848365698</x:v>
      </x:c>
      <x:c r="L323" s="47" t="n">
        <x:v>0.6203886197059624</x:v>
      </x:c>
      <x:c r="M323" s="29" t="n">
        <x:v>0</x:v>
      </x:c>
    </x:row>
    <x:row r="324" ht="15" hidden="0" customHeight="1">
      <x:c r="A324" s="27" t="n">
        <x:v>320</x:v>
      </x:c>
      <x:c r="B324" s="27" t="n">
        <x:v>331224</x:v>
      </x:c>
      <x:c r="C324" s="27" t="str">
        <x:v>A0</x:v>
      </x:c>
      <x:c r="D324" s="52" t="n">
        <x:v>1663.2608073435802</x:v>
      </x:c>
      <x:c r="E324" s="46" t="n">
        <x:v>0.665304322937432</x:v>
      </x:c>
      <x:c r="F324" s="46" t="n">
        <x:v>0.3408929985312815</x:v>
      </x:c>
      <x:c r="G324" s="46" t="n">
        <x:v>0.5686047245253791</x:v>
      </x:c>
      <x:c r="H324" s="46" t="n">
        <x:v>1</x:v>
      </x:c>
      <x:c r="I324" s="46" t="n">
        <x:v>0.8586814675935842</x:v>
      </x:c>
      <x:c r="J324" s="46" t="n">
        <x:v>0.5686047245253791</x:v>
      </x:c>
      <x:c r="K324" s="46" t="n">
        <x:v>0.985889898109154</x:v>
      </x:c>
      <x:c r="L324" s="46" t="n">
        <x:v>0.6126939033947015</x:v>
      </x:c>
      <x:c r="M324" s="27" t="n">
        <x:v>0</x:v>
      </x:c>
    </x:row>
    <x:row r="325" ht="15" hidden="0" customHeight="1">
      <x:c r="A325" s="29" t="n">
        <x:v>321</x:v>
      </x:c>
      <x:c r="B325" s="29" t="n">
        <x:v>331225</x:v>
      </x:c>
      <x:c r="C325" s="29" t="str">
        <x:v>A0</x:v>
      </x:c>
      <x:c r="D325" s="53" t="n">
        <x:v>1677.786423687445</x:v>
      </x:c>
      <x:c r="E325" s="47" t="n">
        <x:v>0.671114569474978</x:v>
      </x:c>
      <x:c r="F325" s="47" t="n">
        <x:v>0.2965771901352953</x:v>
      </x:c>
      <x:c r="G325" s="47" t="n">
        <x:v>0.5876662012372338</x:v>
      </x:c>
      <x:c r="H325" s="47" t="n">
        <x:v>1</x:v>
      </x:c>
      <x:c r="I325" s="47" t="n">
        <x:v>0.8501763761875739</x:v>
      </x:c>
      <x:c r="J325" s="47" t="n">
        <x:v>0.5876662012372338</x:v>
      </x:c>
      <x:c r="K325" s="47" t="n">
        <x:v>0.9720901150608853</x:v>
      </x:c>
      <x:c r="L325" s="47" t="n">
        <x:v>0.6218797230213362</x:v>
      </x:c>
      <x:c r="M325" s="29" t="n">
        <x:v>0</x:v>
      </x:c>
    </x:row>
    <x:row r="326" ht="15" hidden="0" customHeight="1">
      <x:c r="A326" s="27" t="n">
        <x:v>322</x:v>
      </x:c>
      <x:c r="B326" s="27" t="n">
        <x:v>331226</x:v>
      </x:c>
      <x:c r="C326" s="27" t="str">
        <x:v>A0</x:v>
      </x:c>
      <x:c r="D326" s="52" t="n">
        <x:v>1712.6383397182926</x:v>
      </x:c>
      <x:c r="E326" s="46" t="n">
        <x:v>0.685055335887317</x:v>
      </x:c>
      <x:c r="F326" s="46" t="n">
        <x:v>0.34596938325522936</x:v>
      </x:c>
      <x:c r="G326" s="46" t="n">
        <x:v>0.5869428768144058</x:v>
      </x:c>
      <x:c r="H326" s="46" t="n">
        <x:v>1</x:v>
      </x:c>
      <x:c r="I326" s="46" t="n">
        <x:v>0.8790948503552903</x:v>
      </x:c>
      <x:c r="J326" s="46" t="n">
        <x:v>0.5869428768144058</x:v>
      </x:c>
      <x:c r="K326" s="46" t="n">
        <x:v>0.993362064450557</x:v>
      </x:c>
      <x:c r="L326" s="46" t="n">
        <x:v>0.6333277847763805</x:v>
      </x:c>
      <x:c r="M326" s="27" t="n">
        <x:v>0</x:v>
      </x:c>
    </x:row>
    <x:row r="327" ht="15" hidden="0" customHeight="1">
      <x:c r="A327" s="29" t="n">
        <x:v>323</x:v>
      </x:c>
      <x:c r="B327" s="29" t="n">
        <x:v>331227</x:v>
      </x:c>
      <x:c r="C327" s="29" t="str">
        <x:v>A0</x:v>
      </x:c>
      <x:c r="D327" s="53" t="n">
        <x:v>1655.3125028649893</x:v>
      </x:c>
      <x:c r="E327" s="47" t="n">
        <x:v>0.6621250011459957</x:v>
      </x:c>
      <x:c r="F327" s="47" t="n">
        <x:v>0.3301185756137312</x:v>
      </x:c>
      <x:c r="G327" s="47" t="n">
        <x:v>0.5707414972754277</x:v>
      </x:c>
      <x:c r="H327" s="47" t="n">
        <x:v>1</x:v>
      </x:c>
      <x:c r="I327" s="47" t="n">
        <x:v>0.8508603118476538</x:v>
      </x:c>
      <x:c r="J327" s="47" t="n">
        <x:v>0.5707414972754277</x:v>
      </x:c>
      <x:c r="K327" s="47" t="n">
        <x:v>0.9880649969150899</x:v>
      </x:c>
      <x:c r="L327" s="47" t="n">
        <x:v>0.6098348525698033</x:v>
      </x:c>
      <x:c r="M327" s="29" t="n">
        <x:v>0</x:v>
      </x:c>
    </x:row>
    <x:row r="328" ht="15" hidden="0" customHeight="1">
      <x:c r="A328" s="27" t="n">
        <x:v>324</x:v>
      </x:c>
      <x:c r="B328" s="27" t="n">
        <x:v>331228</x:v>
      </x:c>
      <x:c r="C328" s="27" t="str">
        <x:v>A0</x:v>
      </x:c>
      <x:c r="D328" s="52" t="n">
        <x:v>1705.6411169343214</x:v>
      </x:c>
      <x:c r="E328" s="46" t="n">
        <x:v>0.6822564467737285</x:v>
      </x:c>
      <x:c r="F328" s="46" t="n">
        <x:v>0.379283762264695</x:v>
      </x:c>
      <x:c r="G328" s="46" t="n">
        <x:v>0.5881566373706428</x:v>
      </x:c>
      <x:c r="H328" s="46" t="n">
        <x:v>1</x:v>
      </x:c>
      <x:c r="I328" s="46" t="n">
        <x:v>0.8687140065419864</x:v>
      </x:c>
      <x:c r="J328" s="46" t="n">
        <x:v>0.5881566373706428</x:v>
      </x:c>
      <x:c r="K328" s="46" t="n">
        <x:v>1</x:v>
      </x:c>
      <x:c r="L328" s="46" t="n">
        <x:v>0.6310734522796125</x:v>
      </x:c>
      <x:c r="M328" s="27" t="n">
        <x:v>0</x:v>
      </x:c>
    </x:row>
    <x:row r="329" ht="15" hidden="0" customHeight="1">
      <x:c r="A329" s="29" t="n">
        <x:v>325</x:v>
      </x:c>
      <x:c r="B329" s="29" t="n">
        <x:v>331229</x:v>
      </x:c>
      <x:c r="C329" s="29" t="str">
        <x:v>A0</x:v>
      </x:c>
      <x:c r="D329" s="53" t="n">
        <x:v>1649.1554693630414</x:v>
      </x:c>
      <x:c r="E329" s="47" t="n">
        <x:v>0.6596621877452166</x:v>
      </x:c>
      <x:c r="F329" s="47" t="n">
        <x:v>0.286586212607479</x:v>
      </x:c>
      <x:c r="G329" s="47" t="n">
        <x:v>0.5676014495317372</x:v>
      </x:c>
      <x:c r="H329" s="47" t="n">
        <x:v>1</x:v>
      </x:c>
      <x:c r="I329" s="47" t="n">
        <x:v>0.8196497128121137</x:v>
      </x:c>
      <x:c r="J329" s="47" t="n">
        <x:v>0.5676014495317372</x:v>
      </x:c>
      <x:c r="K329" s="47" t="n">
        <x:v>0.9807227465623461</x:v>
      </x:c>
      <x:c r="L329" s="47" t="n">
        <x:v>0.6121044130441861</x:v>
      </x:c>
      <x:c r="M329" s="29" t="n">
        <x:v>0</x:v>
      </x:c>
    </x:row>
    <x:row r="330" ht="15" hidden="0" customHeight="1">
      <x:c r="A330" s="27" t="n">
        <x:v>326</x:v>
      </x:c>
      <x:c r="B330" s="27" t="n">
        <x:v>331230</x:v>
      </x:c>
      <x:c r="C330" s="27" t="str">
        <x:v>A0</x:v>
      </x:c>
      <x:c r="D330" s="52" t="n">
        <x:v>1725.0032103933045</x:v>
      </x:c>
      <x:c r="E330" s="46" t="n">
        <x:v>0.6900012841573218</x:v>
      </x:c>
      <x:c r="F330" s="46" t="n">
        <x:v>0.3681255133084646</x:v>
      </x:c>
      <x:c r="G330" s="46" t="n">
        <x:v>0.5945168461045485</x:v>
      </x:c>
      <x:c r="H330" s="46" t="n">
        <x:v>1</x:v>
      </x:c>
      <x:c r="I330" s="46" t="n">
        <x:v>0.8250696570622394</x:v>
      </x:c>
      <x:c r="J330" s="46" t="n">
        <x:v>0.5945168461045485</x:v>
      </x:c>
      <x:c r="K330" s="46" t="n">
        <x:v>1</x:v>
      </x:c>
      <x:c r="L330" s="46" t="n">
        <x:v>0.6473643359324516</x:v>
      </x:c>
      <x:c r="M330" s="27" t="n">
        <x:v>0</x:v>
      </x:c>
    </x:row>
    <x:row r="331" ht="15" hidden="0" customHeight="1">
      <x:c r="A331" s="29" t="n">
        <x:v>327</x:v>
      </x:c>
      <x:c r="B331" s="29" t="n">
        <x:v>331231</x:v>
      </x:c>
      <x:c r="C331" s="29" t="str">
        <x:v>A0</x:v>
      </x:c>
      <x:c r="D331" s="53" t="n">
        <x:v>1654.9362196615623</x:v>
      </x:c>
      <x:c r="E331" s="47" t="n">
        <x:v>0.6619744878646249</x:v>
      </x:c>
      <x:c r="F331" s="47" t="n">
        <x:v>0.26157019245356816</x:v>
      </x:c>
      <x:c r="G331" s="47" t="n">
        <x:v>0.5715951448606027</x:v>
      </x:c>
      <x:c r="H331" s="47" t="n">
        <x:v>0.9903217152564644</x:v>
      </x:c>
      <x:c r="I331" s="47" t="n">
        <x:v>0.8539608019286999</x:v>
      </x:c>
      <x:c r="J331" s="47" t="n">
        <x:v>0.5715951448606027</x:v>
      </x:c>
      <x:c r="K331" s="47" t="n">
        <x:v>0.9836106446673795</x:v>
      </x:c>
      <x:c r="L331" s="47" t="n">
        <x:v>0.6095449946077457</x:v>
      </x:c>
      <x:c r="M331" s="29" t="n">
        <x:v>0</x:v>
      </x:c>
    </x:row>
    <x:row r="332" ht="15" hidden="0" customHeight="1">
      <x:c r="A332" s="27" t="n">
        <x:v>328</x:v>
      </x:c>
      <x:c r="B332" s="27" t="n">
        <x:v>331232</x:v>
      </x:c>
      <x:c r="C332" s="27" t="str">
        <x:v>A0</x:v>
      </x:c>
      <x:c r="D332" s="52" t="n">
        <x:v>1670.482680081702</x:v>
      </x:c>
      <x:c r="E332" s="46" t="n">
        <x:v>0.6681930720326809</x:v>
      </x:c>
      <x:c r="F332" s="46" t="n">
        <x:v>0.3499024082046748</x:v>
      </x:c>
      <x:c r="G332" s="46" t="n">
        <x:v>0.5748543009744833</x:v>
      </x:c>
      <x:c r="H332" s="46" t="n">
        <x:v>1</x:v>
      </x:c>
      <x:c r="I332" s="46" t="n">
        <x:v>0.833406412198571</x:v>
      </x:c>
      <x:c r="J332" s="46" t="n">
        <x:v>0.5748543009744833</x:v>
      </x:c>
      <x:c r="K332" s="46" t="n">
        <x:v>0.9905104911076807</x:v>
      </x:c>
      <x:c r="L332" s="46" t="n">
        <x:v>0.6198590839936519</x:v>
      </x:c>
      <x:c r="M332" s="27" t="n">
        <x:v>0</x:v>
      </x:c>
    </x:row>
    <x:row r="333" ht="15" hidden="0" customHeight="1">
      <x:c r="A333" s="29" t="n">
        <x:v>329</x:v>
      </x:c>
      <x:c r="B333" s="29" t="n">
        <x:v>331233</x:v>
      </x:c>
      <x:c r="C333" s="29" t="str">
        <x:v>A0</x:v>
      </x:c>
      <x:c r="D333" s="53" t="n">
        <x:v>1680.2773034543632</x:v>
      </x:c>
      <x:c r="E333" s="47" t="n">
        <x:v>0.6721109213817452</x:v>
      </x:c>
      <x:c r="F333" s="47" t="n">
        <x:v>0.34768399733308164</x:v>
      </x:c>
      <x:c r="G333" s="47" t="n">
        <x:v>0.5846351064919562</x:v>
      </x:c>
      <x:c r="H333" s="47" t="n">
        <x:v>0.9721983876930921</x:v>
      </x:c>
      <x:c r="I333" s="47" t="n">
        <x:v>0.7638892119542884</x:v>
      </x:c>
      <x:c r="J333" s="47" t="n">
        <x:v>0.5846351064919562</x:v>
      </x:c>
      <x:c r="K333" s="47" t="n">
        <x:v>0.9968673406299428</x:v>
      </x:c>
      <x:c r="L333" s="47" t="n">
        <x:v>0.6353613436702881</x:v>
      </x:c>
      <x:c r="M333" s="29" t="n">
        <x:v>0</x:v>
      </x:c>
    </x:row>
    <x:row r="334" ht="15" hidden="0" customHeight="1">
      <x:c r="A334" s="27" t="n">
        <x:v>330</x:v>
      </x:c>
      <x:c r="B334" s="27" t="n">
        <x:v>331234</x:v>
      </x:c>
      <x:c r="C334" s="27" t="str">
        <x:v>A0</x:v>
      </x:c>
      <x:c r="D334" s="52" t="n">
        <x:v>1696.6366186262107</x:v>
      </x:c>
      <x:c r="E334" s="46" t="n">
        <x:v>0.6786546474504843</x:v>
      </x:c>
      <x:c r="F334" s="46" t="n">
        <x:v>0.3638608321578489</x:v>
      </x:c>
      <x:c r="G334" s="46" t="n">
        <x:v>0.5848281240396732</x:v>
      </x:c>
      <x:c r="H334" s="46" t="n">
        <x:v>1</x:v>
      </x:c>
      <x:c r="I334" s="46" t="n">
        <x:v>0.8585317143019039</x:v>
      </x:c>
      <x:c r="J334" s="46" t="n">
        <x:v>0.5848281240396732</x:v>
      </x:c>
      <x:c r="K334" s="46" t="n">
        <x:v>0.9962921240436545</x:v>
      </x:c>
      <x:c r="L334" s="46" t="n">
        <x:v>0.6284546893613417</x:v>
      </x:c>
      <x:c r="M334" s="27" t="n">
        <x:v>0</x:v>
      </x:c>
    </x:row>
    <x:row r="335" ht="15" hidden="0" customHeight="1">
      <x:c r="A335" s="29" t="n">
        <x:v>331</x:v>
      </x:c>
      <x:c r="B335" s="29" t="n">
        <x:v>331235</x:v>
      </x:c>
      <x:c r="C335" s="29" t="str">
        <x:v>A0</x:v>
      </x:c>
      <x:c r="D335" s="53" t="n">
        <x:v>1602.6284489927539</x:v>
      </x:c>
      <x:c r="E335" s="47" t="n">
        <x:v>0.6410513795971016</x:v>
      </x:c>
      <x:c r="F335" s="47" t="n">
        <x:v>0.30061079647384514</x:v>
      </x:c>
      <x:c r="G335" s="47" t="n">
        <x:v>0.5443759670696946</x:v>
      </x:c>
      <x:c r="H335" s="47" t="n">
        <x:v>1</x:v>
      </x:c>
      <x:c r="I335" s="47" t="n">
        <x:v>0.8256835594943155</x:v>
      </x:c>
      <x:c r="J335" s="47" t="n">
        <x:v>0.5443759670696946</x:v>
      </x:c>
      <x:c r="K335" s="47" t="n">
        <x:v>0.9606418342632485</x:v>
      </x:c>
      <x:c r="L335" s="47" t="n">
        <x:v>0.5895703088238418</x:v>
      </x:c>
      <x:c r="M335" s="29" t="n">
        <x:v>0</x:v>
      </x:c>
    </x:row>
    <x:row r="336" ht="15" hidden="0" customHeight="1">
      <x:c r="A336" s="27" t="n">
        <x:v>332</x:v>
      </x:c>
      <x:c r="B336" s="27" t="n">
        <x:v>331236</x:v>
      </x:c>
      <x:c r="C336" s="27" t="str">
        <x:v>A0</x:v>
      </x:c>
      <x:c r="D336" s="52" t="n">
        <x:v>1684.6368869367916</x:v>
      </x:c>
      <x:c r="E336" s="46" t="n">
        <x:v>0.6738547547747167</x:v>
      </x:c>
      <x:c r="F336" s="46" t="n">
        <x:v>0.3474648551887449</x:v>
      </x:c>
      <x:c r="G336" s="46" t="n">
        <x:v>0.5778410028210819</x:v>
      </x:c>
      <x:c r="H336" s="46" t="n">
        <x:v>1</x:v>
      </x:c>
      <x:c r="I336" s="46" t="n">
        <x:v>0.8476126854109325</x:v>
      </x:c>
      <x:c r="J336" s="46" t="n">
        <x:v>0.5778410028210819</x:v>
      </x:c>
      <x:c r="K336" s="46" t="n">
        <x:v>0.9977451161527581</x:v>
      </x:c>
      <x:c r="L336" s="46" t="n">
        <x:v>0.6241866623644525</x:v>
      </x:c>
      <x:c r="M336" s="27" t="n">
        <x:v>0</x:v>
      </x:c>
    </x:row>
    <x:row r="337" ht="15" hidden="0" customHeight="1">
      <x:c r="A337" s="29" t="n">
        <x:v>333</x:v>
      </x:c>
      <x:c r="B337" s="29" t="n">
        <x:v>331237</x:v>
      </x:c>
      <x:c r="C337" s="29" t="str">
        <x:v>A0</x:v>
      </x:c>
      <x:c r="D337" s="53" t="n">
        <x:v>1683.8400009221712</x:v>
      </x:c>
      <x:c r="E337" s="47" t="n">
        <x:v>0.6735360003688685</x:v>
      </x:c>
      <x:c r="F337" s="47" t="n">
        <x:v>0.32928965905741997</x:v>
      </x:c>
      <x:c r="G337" s="47" t="n">
        <x:v>0.5734266688510016</x:v>
      </x:c>
      <x:c r="H337" s="47" t="n">
        <x:v>0.9944102397481962</x:v>
      </x:c>
      <x:c r="I337" s="47" t="n">
        <x:v>0.7857744602580693</x:v>
      </x:c>
      <x:c r="J337" s="47" t="n">
        <x:v>0.5734266688510016</x:v>
      </x:c>
      <x:c r="K337" s="47" t="n">
        <x:v>0.986817622726493</x:v>
      </x:c>
      <x:c r="L337" s="47" t="n">
        <x:v>0.6341499097016985</x:v>
      </x:c>
      <x:c r="M337" s="29" t="n">
        <x:v>0</x:v>
      </x:c>
    </x:row>
    <x:row r="338" ht="15" hidden="0" customHeight="1">
      <x:c r="A338" s="27" t="n">
        <x:v>334</x:v>
      </x:c>
      <x:c r="B338" s="27" t="n">
        <x:v>331238</x:v>
      </x:c>
      <x:c r="C338" s="27" t="str">
        <x:v>A0</x:v>
      </x:c>
      <x:c r="D338" s="52" t="n">
        <x:v>1736.3697838441776</x:v>
      </x:c>
      <x:c r="E338" s="46" t="n">
        <x:v>0.6945479135376711</x:v>
      </x:c>
      <x:c r="F338" s="46" t="n">
        <x:v>0.37521757077072826</x:v>
      </x:c>
      <x:c r="G338" s="46" t="n">
        <x:v>0.5986946417824424</x:v>
      </x:c>
      <x:c r="H338" s="46" t="n">
        <x:v>1</x:v>
      </x:c>
      <x:c r="I338" s="46" t="n">
        <x:v>0.8569042062603115</x:v>
      </x:c>
      <x:c r="J338" s="46" t="n">
        <x:v>0.5986946417824424</x:v>
      </x:c>
      <x:c r="K338" s="46" t="n">
        <x:v>1</x:v>
      </x:c>
      <x:c r="L338" s="46" t="n">
        <x:v>0.6480063335686196</x:v>
      </x:c>
      <x:c r="M338" s="27" t="n">
        <x:v>0</x:v>
      </x:c>
    </x:row>
    <x:row r="339" ht="15" hidden="0" customHeight="1">
      <x:c r="A339" s="29" t="n">
        <x:v>335</x:v>
      </x:c>
      <x:c r="B339" s="29" t="n">
        <x:v>331239</x:v>
      </x:c>
      <x:c r="C339" s="29" t="str">
        <x:v>A0</x:v>
      </x:c>
      <x:c r="D339" s="53" t="n">
        <x:v>1633.6955396430883</x:v>
      </x:c>
      <x:c r="E339" s="47" t="n">
        <x:v>0.6534782158572353</x:v>
      </x:c>
      <x:c r="F339" s="47" t="n">
        <x:v>0.30393004404900487</x:v>
      </x:c>
      <x:c r="G339" s="47" t="n">
        <x:v>0.5579118222259026</x:v>
      </x:c>
      <x:c r="H339" s="47" t="n">
        <x:v>1</x:v>
      </x:c>
      <x:c r="I339" s="47" t="n">
        <x:v>0.8403764613916986</x:v>
      </x:c>
      <x:c r="J339" s="47" t="n">
        <x:v>0.5579118222259026</x:v>
      </x:c>
      <x:c r="K339" s="47" t="n">
        <x:v>0.9732338018201182</x:v>
      </x:c>
      <x:c r="L339" s="47" t="n">
        <x:v>0.6017747212681408</x:v>
      </x:c>
      <x:c r="M339" s="29" t="n">
        <x:v>0</x:v>
      </x:c>
    </x:row>
    <x:row r="340" ht="15" hidden="0" customHeight="1">
      <x:c r="A340" s="27" t="n">
        <x:v>336</x:v>
      </x:c>
      <x:c r="B340" s="27" t="n">
        <x:v>331240</x:v>
      </x:c>
      <x:c r="C340" s="27" t="str">
        <x:v>A0</x:v>
      </x:c>
      <x:c r="D340" s="52" t="n">
        <x:v>1617.4294465199323</x:v>
      </x:c>
      <x:c r="E340" s="46" t="n">
        <x:v>0.646971778607973</x:v>
      </x:c>
      <x:c r="F340" s="46" t="n">
        <x:v>0.3349048876809917</x:v>
      </x:c>
      <x:c r="G340" s="46" t="n">
        <x:v>0.55216314307342</x:v>
      </x:c>
      <x:c r="H340" s="46" t="n">
        <x:v>1</x:v>
      </x:c>
      <x:c r="I340" s="46" t="n">
        <x:v>0.8437970953351905</x:v>
      </x:c>
      <x:c r="J340" s="46" t="n">
        <x:v>0.55216314307342</x:v>
      </x:c>
      <x:c r="K340" s="46" t="n">
        <x:v>0.9880396979526394</x:v>
      </x:c>
      <x:c r="L340" s="46" t="n">
        <x:v>0.5923588561535919</x:v>
      </x:c>
      <x:c r="M340" s="27" t="n">
        <x:v>0</x:v>
      </x:c>
    </x:row>
    <x:row r="341" ht="15" hidden="0" customHeight="1">
      <x:c r="A341" s="29" t="n">
        <x:v>337</x:v>
      </x:c>
      <x:c r="B341" s="29" t="n">
        <x:v>331241</x:v>
      </x:c>
      <x:c r="C341" s="29" t="str">
        <x:v>A0</x:v>
      </x:c>
      <x:c r="D341" s="53" t="n">
        <x:v>1643.6750140306694</x:v>
      </x:c>
      <x:c r="E341" s="47" t="n">
        <x:v>0.6574700056122678</x:v>
      </x:c>
      <x:c r="F341" s="47" t="n">
        <x:v>0.30652547713419315</x:v>
      </x:c>
      <x:c r="G341" s="47" t="n">
        <x:v>0.5650492683512309</x:v>
      </x:c>
      <x:c r="H341" s="47" t="n">
        <x:v>0.9449431019966179</x:v>
      </x:c>
      <x:c r="I341" s="47" t="n">
        <x:v>0.7469549231996335</x:v>
      </x:c>
      <x:c r="J341" s="47" t="n">
        <x:v>0.5650492683512309</x:v>
      </x:c>
      <x:c r="K341" s="47" t="n">
        <x:v>0.9904519302852954</x:v>
      </x:c>
      <x:c r="L341" s="47" t="n">
        <x:v>0.6207666559248923</x:v>
      </x:c>
      <x:c r="M341" s="29" t="n">
        <x:v>0</x:v>
      </x:c>
    </x:row>
    <x:row r="342" ht="15" hidden="0" customHeight="1">
      <x:c r="A342" s="27" t="n">
        <x:v>338</x:v>
      </x:c>
      <x:c r="B342" s="27" t="n">
        <x:v>331242</x:v>
      </x:c>
      <x:c r="C342" s="27" t="str">
        <x:v>A0</x:v>
      </x:c>
      <x:c r="D342" s="52" t="n">
        <x:v>1650.2259576471388</x:v>
      </x:c>
      <x:c r="E342" s="46" t="n">
        <x:v>0.6600903830588555</x:v>
      </x:c>
      <x:c r="F342" s="46" t="n">
        <x:v>0.30583842681182155</x:v>
      </x:c>
      <x:c r="G342" s="46" t="n">
        <x:v>0.5624398098925656</x:v>
      </x:c>
      <x:c r="H342" s="46" t="n">
        <x:v>1</x:v>
      </x:c>
      <x:c r="I342" s="46" t="n">
        <x:v>0.8378554020688959</x:v>
      </x:c>
      <x:c r="J342" s="46" t="n">
        <x:v>0.5624398098925656</x:v>
      </x:c>
      <x:c r="K342" s="46" t="n">
        <x:v>0.9840856176785624</x:v>
      </x:c>
      <x:c r="L342" s="46" t="n">
        <x:v>0.6096427520118676</x:v>
      </x:c>
      <x:c r="M342" s="27" t="n">
        <x:v>0</x:v>
      </x:c>
    </x:row>
    <x:row r="343" ht="15" hidden="0" customHeight="1">
      <x:c r="A343" s="29" t="n">
        <x:v>339</x:v>
      </x:c>
      <x:c r="B343" s="29" t="n">
        <x:v>331243</x:v>
      </x:c>
      <x:c r="C343" s="29" t="str">
        <x:v>A0</x:v>
      </x:c>
      <x:c r="D343" s="53" t="n">
        <x:v>1670.2774137542422</x:v>
      </x:c>
      <x:c r="E343" s="47" t="n">
        <x:v>0.6681109655016969</x:v>
      </x:c>
      <x:c r="F343" s="47" t="n">
        <x:v>0.3461756369818223</x:v>
      </x:c>
      <x:c r="G343" s="47" t="n">
        <x:v>0.5701935949613671</x:v>
      </x:c>
      <x:c r="H343" s="47" t="n">
        <x:v>0.9981678558253642</x:v>
      </x:c>
      <x:c r="I343" s="47" t="n">
        <x:v>0.7806531387705476</x:v>
      </x:c>
      <x:c r="J343" s="47" t="n">
        <x:v>0.5701935949613671</x:v>
      </x:c>
      <x:c r="K343" s="47" t="n">
        <x:v>0.9951665456490285</x:v>
      </x:c>
      <x:c r="L343" s="47" t="n">
        <x:v>0.6277215222885459</x:v>
      </x:c>
      <x:c r="M343" s="29" t="n">
        <x:v>0</x:v>
      </x:c>
    </x:row>
    <x:row r="344" ht="15" hidden="0" customHeight="1">
      <x:c r="A344" s="27" t="n">
        <x:v>340</x:v>
      </x:c>
      <x:c r="B344" s="27" t="n">
        <x:v>331244</x:v>
      </x:c>
      <x:c r="C344" s="27" t="str">
        <x:v>A0</x:v>
      </x:c>
      <x:c r="D344" s="52" t="n">
        <x:v>1738.7503865455578</x:v>
      </x:c>
      <x:c r="E344" s="46" t="n">
        <x:v>0.6955001546182231</x:v>
      </x:c>
      <x:c r="F344" s="46" t="n">
        <x:v>0.33009185454155227</x:v>
      </x:c>
      <x:c r="G344" s="46" t="n">
        <x:v>0.6083170363582733</x:v>
      </x:c>
      <x:c r="H344" s="46" t="n">
        <x:v>1</x:v>
      </x:c>
      <x:c r="I344" s="46" t="n">
        <x:v>0.8306379785923411</x:v>
      </x:c>
      <x:c r="J344" s="46" t="n">
        <x:v>0.6083170363582733</x:v>
      </x:c>
      <x:c r="K344" s="46" t="n">
        <x:v>0.985863309726472</x:v>
      </x:c>
      <x:c r="L344" s="46" t="n">
        <x:v>0.6540405835839448</x:v>
      </x:c>
      <x:c r="M344" s="27" t="n">
        <x:v>0</x:v>
      </x:c>
    </x:row>
    <x:row r="345" ht="15" hidden="0" customHeight="1">
      <x:c r="A345" s="29" t="n">
        <x:v>341</x:v>
      </x:c>
      <x:c r="B345" s="29" t="n">
        <x:v>331245</x:v>
      </x:c>
      <x:c r="C345" s="29" t="str">
        <x:v>A0</x:v>
      </x:c>
      <x:c r="D345" s="53" t="n">
        <x:v>1665.7291538093841</x:v>
      </x:c>
      <x:c r="E345" s="47" t="n">
        <x:v>0.6662916615237536</x:v>
      </x:c>
      <x:c r="F345" s="47" t="n">
        <x:v>0.36895943834812456</x:v>
      </x:c>
      <x:c r="G345" s="47" t="n">
        <x:v>0.5721072662452338</x:v>
      </x:c>
      <x:c r="H345" s="47" t="n">
        <x:v>1</x:v>
      </x:c>
      <x:c r="I345" s="47" t="n">
        <x:v>0.8557391280352722</x:v>
      </x:c>
      <x:c r="J345" s="47" t="n">
        <x:v>0.5721072662452338</x:v>
      </x:c>
      <x:c r="K345" s="47" t="n">
        <x:v>0.9951125653868714</x:v>
      </x:c>
      <x:c r="L345" s="47" t="n">
        <x:v>0.6137874405701498</x:v>
      </x:c>
      <x:c r="M345" s="29" t="n">
        <x:v>0</x:v>
      </x:c>
    </x:row>
    <x:row r="346" ht="15" hidden="0" customHeight="1">
      <x:c r="A346" s="27" t="n">
        <x:v>342</x:v>
      </x:c>
      <x:c r="B346" s="27" t="n">
        <x:v>331246</x:v>
      </x:c>
      <x:c r="C346" s="27" t="str">
        <x:v>A0</x:v>
      </x:c>
      <x:c r="D346" s="52" t="n">
        <x:v>1667.0487202828408</x:v>
      </x:c>
      <x:c r="E346" s="46" t="n">
        <x:v>0.6668194881131363</x:v>
      </x:c>
      <x:c r="F346" s="46" t="n">
        <x:v>0.34944525027518547</x:v>
      </x:c>
      <x:c r="G346" s="46" t="n">
        <x:v>0.572948365735314</x:v>
      </x:c>
      <x:c r="H346" s="46" t="n">
        <x:v>1</x:v>
      </x:c>
      <x:c r="I346" s="46" t="n">
        <x:v>0.8568732866605603</x:v>
      </x:c>
      <x:c r="J346" s="46" t="n">
        <x:v>0.572948365735314</x:v>
      </x:c>
      <x:c r="K346" s="46" t="n">
        <x:v>0.9977383847647225</x:v>
      </x:c>
      <x:c r="L346" s="46" t="n">
        <x:v>0.6140985277959363</x:v>
      </x:c>
      <x:c r="M346" s="27" t="n">
        <x:v>0</x:v>
      </x:c>
    </x:row>
    <x:row r="347" ht="15" hidden="0" customHeight="1">
      <x:c r="A347" s="29" t="n">
        <x:v>343</x:v>
      </x:c>
      <x:c r="B347" s="29" t="n">
        <x:v>331247</x:v>
      </x:c>
      <x:c r="C347" s="29" t="str">
        <x:v>A0</x:v>
      </x:c>
      <x:c r="D347" s="53" t="n">
        <x:v>1710.3842148387582</x:v>
      </x:c>
      <x:c r="E347" s="47" t="n">
        <x:v>0.6841536859355033</x:v>
      </x:c>
      <x:c r="F347" s="47" t="n">
        <x:v>0.3521434799122048</x:v>
      </x:c>
      <x:c r="G347" s="47" t="n">
        <x:v>0.5914782458943072</x:v>
      </x:c>
      <x:c r="H347" s="47" t="n">
        <x:v>1</x:v>
      </x:c>
      <x:c r="I347" s="47" t="n">
        <x:v>0.8617804449816464</x:v>
      </x:c>
      <x:c r="J347" s="47" t="n">
        <x:v>0.5914782458943072</x:v>
      </x:c>
      <x:c r="K347" s="47" t="n">
        <x:v>0.9917283262296203</x:v>
      </x:c>
      <x:c r="L347" s="47" t="n">
        <x:v>0.6349667983113597</x:v>
      </x:c>
      <x:c r="M347" s="29" t="n">
        <x:v>0</x:v>
      </x:c>
    </x:row>
    <x:row r="348" ht="15" hidden="0" customHeight="1">
      <x:c r="A348" s="27" t="n">
        <x:v>344</x:v>
      </x:c>
      <x:c r="B348" s="27" t="n">
        <x:v>331248</x:v>
      </x:c>
      <x:c r="C348" s="27" t="str">
        <x:v>A0</x:v>
      </x:c>
      <x:c r="D348" s="52" t="n">
        <x:v>1740.8209010946664</x:v>
      </x:c>
      <x:c r="E348" s="46" t="n">
        <x:v>0.6963283604378666</x:v>
      </x:c>
      <x:c r="F348" s="46" t="n">
        <x:v>0.3950933048203026</x:v>
      </x:c>
      <x:c r="G348" s="46" t="n">
        <x:v>0.6030412530196095</x:v>
      </x:c>
      <x:c r="H348" s="46" t="n">
        <x:v>1</x:v>
      </x:c>
      <x:c r="I348" s="46" t="n">
        <x:v>0.8314488364524533</x:v>
      </x:c>
      <x:c r="J348" s="46" t="n">
        <x:v>0.6030412530196095</x:v>
      </x:c>
      <x:c r="K348" s="46" t="n">
        <x:v>1</x:v>
      </x:c>
      <x:c r="L348" s="46" t="n">
        <x:v>0.6541237984365257</x:v>
      </x:c>
      <x:c r="M348" s="27" t="n">
        <x:v>0</x:v>
      </x:c>
    </x:row>
    <x:row r="349" ht="15" hidden="0" customHeight="1">
      <x:c r="A349" s="29" t="n">
        <x:v>345</x:v>
      </x:c>
      <x:c r="B349" s="29" t="n">
        <x:v>331249</x:v>
      </x:c>
      <x:c r="C349" s="29" t="str">
        <x:v>A0</x:v>
      </x:c>
      <x:c r="D349" s="53" t="n">
        <x:v>1751.7023658565054</x:v>
      </x:c>
      <x:c r="E349" s="47" t="n">
        <x:v>0.7006809463426021</x:v>
      </x:c>
      <x:c r="F349" s="47" t="n">
        <x:v>0.3456409444509106</x:v>
      </x:c>
      <x:c r="G349" s="47" t="n">
        <x:v>0.6101073473733998</x:v>
      </x:c>
      <x:c r="H349" s="47" t="n">
        <x:v>1</x:v>
      </x:c>
      <x:c r="I349" s="47" t="n">
        <x:v>0.8325787567907327</x:v>
      </x:c>
      <x:c r="J349" s="47" t="n">
        <x:v>0.6101073473733998</x:v>
      </x:c>
      <x:c r="K349" s="47" t="n">
        <x:v>0.9958151003426092</x:v>
      </x:c>
      <x:c r="L349" s="47" t="n">
        <x:v>0.6595231526331861</x:v>
      </x:c>
      <x:c r="M349" s="29" t="n">
        <x:v>0</x:v>
      </x:c>
    </x:row>
    <x:row r="350" ht="15" hidden="0" customHeight="1">
      <x:c r="A350" s="27" t="n">
        <x:v>346</x:v>
      </x:c>
      <x:c r="B350" s="27" t="n">
        <x:v>331250</x:v>
      </x:c>
      <x:c r="C350" s="27" t="str">
        <x:v>A0</x:v>
      </x:c>
      <x:c r="D350" s="52" t="n">
        <x:v>1685.192348662879</x:v>
      </x:c>
      <x:c r="E350" s="46" t="n">
        <x:v>0.6740769394651517</x:v>
      </x:c>
      <x:c r="F350" s="46" t="n">
        <x:v>0.357286329870438</x:v>
      </x:c>
      <x:c r="G350" s="46" t="n">
        <x:v>0.5755135093724804</x:v>
      </x:c>
      <x:c r="H350" s="46" t="n">
        <x:v>1</x:v>
      </x:c>
      <x:c r="I350" s="46" t="n">
        <x:v>0.8734756017108357</x:v>
      </x:c>
      <x:c r="J350" s="46" t="n">
        <x:v>0.5755135093724804</x:v>
      </x:c>
      <x:c r="K350" s="46" t="n">
        <x:v>0.9964516892171625</x:v>
      </x:c>
      <x:c r="L350" s="46" t="n">
        <x:v>0.6205419056035737</x:v>
      </x:c>
      <x:c r="M350" s="27" t="n">
        <x:v>0</x:v>
      </x:c>
    </x:row>
    <x:row r="351" ht="15" hidden="0" customHeight="1">
      <x:c r="A351" s="29" t="n">
        <x:v>347</x:v>
      </x:c>
      <x:c r="B351" s="29" t="n">
        <x:v>331251</x:v>
      </x:c>
      <x:c r="C351" s="29" t="str">
        <x:v>A0</x:v>
      </x:c>
      <x:c r="D351" s="53" t="n">
        <x:v>1770.6586001322048</x:v>
      </x:c>
      <x:c r="E351" s="47" t="n">
        <x:v>0.7082634400528819</x:v>
      </x:c>
      <x:c r="F351" s="47" t="n">
        <x:v>0.3904511487361009</x:v>
      </x:c>
      <x:c r="G351" s="47" t="n">
        <x:v>0.6179291962048075</x:v>
      </x:c>
      <x:c r="H351" s="47" t="n">
        <x:v>1</x:v>
      </x:c>
      <x:c r="I351" s="47" t="n">
        <x:v>0.8937604582916574</x:v>
      </x:c>
      <x:c r="J351" s="47" t="n">
        <x:v>0.6179291962048075</x:v>
      </x:c>
      <x:c r="K351" s="47" t="n">
        <x:v>1</x:v>
      </x:c>
      <x:c r="L351" s="47" t="n">
        <x:v>0.6590791886617556</x:v>
      </x:c>
      <x:c r="M351" s="29" t="n">
        <x:v>0</x:v>
      </x:c>
    </x:row>
    <x:row r="352" ht="15" hidden="0" customHeight="1">
      <x:c r="A352" s="27" t="n">
        <x:v>348</x:v>
      </x:c>
      <x:c r="B352" s="27" t="n">
        <x:v>331252</x:v>
      </x:c>
      <x:c r="C352" s="27" t="str">
        <x:v>A0</x:v>
      </x:c>
      <x:c r="D352" s="52" t="n">
        <x:v>1725.5179874818937</x:v>
      </x:c>
      <x:c r="E352" s="46" t="n">
        <x:v>0.6902071949927575</x:v>
      </x:c>
      <x:c r="F352" s="46" t="n">
        <x:v>0.3682695084701075</x:v>
      </x:c>
      <x:c r="G352" s="46" t="n">
        <x:v>0.5948375516450779</x:v>
      </x:c>
      <x:c r="H352" s="46" t="n">
        <x:v>1</x:v>
      </x:c>
      <x:c r="I352" s="46" t="n">
        <x:v>0.8753916985230201</x:v>
      </x:c>
      <x:c r="J352" s="46" t="n">
        <x:v>0.5948375516450779</x:v>
      </x:c>
      <x:c r="K352" s="46" t="n">
        <x:v>0.9990713102957768</x:v>
      </x:c>
      <x:c r="L352" s="46" t="n">
        <x:v>0.6398612752907614</x:v>
      </x:c>
      <x:c r="M352" s="27" t="n">
        <x:v>0</x:v>
      </x:c>
    </x:row>
    <x:row r="353" ht="15" hidden="0" customHeight="1">
      <x:c r="A353" s="29" t="n">
        <x:v>349</x:v>
      </x:c>
      <x:c r="B353" s="29" t="n">
        <x:v>331253</x:v>
      </x:c>
      <x:c r="C353" s="29" t="str">
        <x:v>A0</x:v>
      </x:c>
      <x:c r="D353" s="53" t="n">
        <x:v>1714.4265963659745</x:v>
      </x:c>
      <x:c r="E353" s="47" t="n">
        <x:v>0.6857706385463899</x:v>
      </x:c>
      <x:c r="F353" s="47" t="n">
        <x:v>0.34851450990914185</x:v>
      </x:c>
      <x:c r="G353" s="47" t="n">
        <x:v>0.5851554268972676</x:v>
      </x:c>
      <x:c r="H353" s="47" t="n">
        <x:v>1</x:v>
      </x:c>
      <x:c r="I353" s="47" t="n">
        <x:v>0.8620905531908812</x:v>
      </x:c>
      <x:c r="J353" s="47" t="n">
        <x:v>0.5851554268972676</x:v>
      </x:c>
      <x:c r="K353" s="47" t="n">
        <x:v>1</x:v>
      </x:c>
      <x:c r="L353" s="47" t="n">
        <x:v>0.6364633073227771</x:v>
      </x:c>
      <x:c r="M353" s="29" t="n">
        <x:v>0</x:v>
      </x:c>
    </x:row>
    <x:row r="354" ht="15" hidden="0" customHeight="1">
      <x:c r="A354" s="27" t="n">
        <x:v>350</x:v>
      </x:c>
      <x:c r="B354" s="27" t="n">
        <x:v>331254</x:v>
      </x:c>
      <x:c r="C354" s="27" t="str">
        <x:v>A0</x:v>
      </x:c>
      <x:c r="D354" s="52" t="n">
        <x:v>1716.4153076061828</x:v>
      </x:c>
      <x:c r="E354" s="46" t="n">
        <x:v>0.6865661230424731</x:v>
      </x:c>
      <x:c r="F354" s="46" t="n">
        <x:v>0.3761615443189603</x:v>
      </x:c>
      <x:c r="G354" s="46" t="n">
        <x:v>0.5892147454298466</x:v>
      </x:c>
      <x:c r="H354" s="46" t="n">
        <x:v>0.9769729272223245</x:v>
      </x:c>
      <x:c r="I354" s="46" t="n">
        <x:v>0.7921212493193199</x:v>
      </x:c>
      <x:c r="J354" s="46" t="n">
        <x:v>0.5892147454298466</x:v>
      </x:c>
      <x:c r="K354" s="46" t="n">
        <x:v>0.9984006401734051</x:v>
      </x:c>
      <x:c r="L354" s="46" t="n">
        <x:v>0.648645895182283</x:v>
      </x:c>
      <x:c r="M354" s="27" t="n">
        <x:v>0</x:v>
      </x:c>
    </x:row>
    <x:row r="355" ht="15" hidden="0" customHeight="1">
      <x:c r="A355" s="29" t="n">
        <x:v>351</x:v>
      </x:c>
      <x:c r="B355" s="29" t="n">
        <x:v>331255</x:v>
      </x:c>
      <x:c r="C355" s="29" t="str">
        <x:v>A0</x:v>
      </x:c>
      <x:c r="D355" s="53" t="n">
        <x:v>1725.7326942526481</x:v>
      </x:c>
      <x:c r="E355" s="47" t="n">
        <x:v>0.6902930777010593</x:v>
      </x:c>
      <x:c r="F355" s="47" t="n">
        <x:v>0.3393230395315881</x:v>
      </x:c>
      <x:c r="G355" s="47" t="n">
        <x:v>0.5901239312574088</x:v>
      </x:c>
      <x:c r="H355" s="47" t="n">
        <x:v>1</x:v>
      </x:c>
      <x:c r="I355" s="47" t="n">
        <x:v>0.8803042684696896</x:v>
      </x:c>
      <x:c r="J355" s="47" t="n">
        <x:v>0.5901239312574088</x:v>
      </x:c>
      <x:c r="K355" s="47" t="n">
        <x:v>0.9968935181617963</x:v>
      </x:c>
      <x:c r="L355" s="47" t="n">
        <x:v>0.639371184452386</x:v>
      </x:c>
      <x:c r="M355" s="29" t="n">
        <x:v>0</x:v>
      </x:c>
    </x:row>
    <x:row r="356" ht="15" hidden="0" customHeight="1">
      <x:c r="A356" s="27" t="n">
        <x:v>352</x:v>
      </x:c>
      <x:c r="B356" s="27" t="n">
        <x:v>331256</x:v>
      </x:c>
      <x:c r="C356" s="27" t="str">
        <x:v>A0</x:v>
      </x:c>
      <x:c r="D356" s="52" t="n">
        <x:v>1658.1563993761772</x:v>
      </x:c>
      <x:c r="E356" s="46" t="n">
        <x:v>0.6632625597504709</x:v>
      </x:c>
      <x:c r="F356" s="46" t="n">
        <x:v>0.3248930885950865</x:v>
      </x:c>
      <x:c r="G356" s="46" t="n">
        <x:v>0.5679980798429316</x:v>
      </x:c>
      <x:c r="H356" s="46" t="n">
        <x:v>1</x:v>
      </x:c>
      <x:c r="I356" s="46" t="n">
        <x:v>0.8557830951337547</x:v>
      </x:c>
      <x:c r="J356" s="46" t="n">
        <x:v>0.5679980798429316</x:v>
      </x:c>
      <x:c r="K356" s="46" t="n">
        <x:v>0.9837995663664377</x:v>
      </x:c>
      <x:c r="L356" s="46" t="n">
        <x:v>0.6107531376613492</x:v>
      </x:c>
      <x:c r="M356" s="27" t="n">
        <x:v>0</x:v>
      </x:c>
    </x:row>
    <x:row r="357" ht="15" hidden="0" customHeight="1">
      <x:c r="A357" s="29" t="n">
        <x:v>353</x:v>
      </x:c>
      <x:c r="B357" s="29" t="n">
        <x:v>331257</x:v>
      </x:c>
      <x:c r="C357" s="29" t="str">
        <x:v>A0</x:v>
      </x:c>
      <x:c r="D357" s="53" t="n">
        <x:v>1702.2076490756237</x:v>
      </x:c>
      <x:c r="E357" s="47" t="n">
        <x:v>0.6808830596302495</x:v>
      </x:c>
      <x:c r="F357" s="47" t="n">
        <x:v>0.38516168644246296</x:v>
      </x:c>
      <x:c r="G357" s="47" t="n">
        <x:v>0.5874980168947516</x:v>
      </x:c>
      <x:c r="H357" s="47" t="n">
        <x:v>1</x:v>
      </x:c>
      <x:c r="I357" s="47" t="n">
        <x:v>0.8737176043156405</x:v>
      </x:c>
      <x:c r="J357" s="47" t="n">
        <x:v>0.5874980168947516</x:v>
      </x:c>
      <x:c r="K357" s="47" t="n">
        <x:v>0.9990793833970436</x:v>
      </x:c>
      <x:c r="L357" s="47" t="n">
        <x:v>0.6286613065791308</x:v>
      </x:c>
      <x:c r="M357" s="29" t="n">
        <x:v>0</x:v>
      </x:c>
    </x:row>
    <x:row r="358" ht="15" hidden="0" customHeight="1">
      <x:c r="A358" s="27" t="n">
        <x:v>354</x:v>
      </x:c>
      <x:c r="B358" s="27" t="n">
        <x:v>331258</x:v>
      </x:c>
      <x:c r="C358" s="27" t="str">
        <x:v>A0</x:v>
      </x:c>
      <x:c r="D358" s="52" t="n">
        <x:v>1618.1835307682757</x:v>
      </x:c>
      <x:c r="E358" s="46" t="n">
        <x:v>0.6472734123073103</x:v>
      </x:c>
      <x:c r="F358" s="46" t="n">
        <x:v>0.33913652086296225</x:v>
      </x:c>
      <x:c r="G358" s="46" t="n">
        <x:v>0.5524862306478628</x:v>
      </x:c>
      <x:c r="H358" s="46" t="n">
        <x:v>1</x:v>
      </x:c>
      <x:c r="I358" s="46" t="n">
        <x:v>0.8403116739595858</x:v>
      </x:c>
      <x:c r="J358" s="46" t="n">
        <x:v>0.5524862306478628</x:v>
      </x:c>
      <x:c r="K358" s="46" t="n">
        <x:v>0.995548376399333</x:v>
      </x:c>
      <x:c r="L358" s="46" t="n">
        <x:v>0.592816963919716</x:v>
      </x:c>
      <x:c r="M358" s="27" t="n">
        <x:v>0</x:v>
      </x:c>
    </x:row>
    <x:row r="359" ht="15" hidden="0" customHeight="1">
      <x:c r="A359" s="29" t="n">
        <x:v>355</x:v>
      </x:c>
      <x:c r="B359" s="29" t="n">
        <x:v>331259</x:v>
      </x:c>
      <x:c r="C359" s="29" t="str">
        <x:v>A0</x:v>
      </x:c>
      <x:c r="D359" s="53" t="n">
        <x:v>1603.7936325786268</x:v>
      </x:c>
      <x:c r="E359" s="47" t="n">
        <x:v>0.6415174530314507</x:v>
      </x:c>
      <x:c r="F359" s="47" t="n">
        <x:v>0.33219911392244156</x:v>
      </x:c>
      <x:c r="G359" s="47" t="n">
        <x:v>0.5598152401412992</x:v>
      </x:c>
      <x:c r="H359" s="47" t="n">
        <x:v>1</x:v>
      </x:c>
      <x:c r="I359" s="47" t="n">
        <x:v>0.8093192750529561</x:v>
      </x:c>
      <x:c r="J359" s="47" t="n">
        <x:v>0.5598152401412992</x:v>
      </x:c>
      <x:c r="K359" s="47" t="n">
        <x:v>0.9858825024249059</x:v>
      </x:c>
      <x:c r="L359" s="47" t="n">
        <x:v>0.5910485600542273</x:v>
      </x:c>
      <x:c r="M359" s="29" t="n">
        <x:v>0</x:v>
      </x:c>
    </x:row>
    <x:row r="360" ht="15" hidden="0" customHeight="1">
      <x:c r="A360" s="27" t="n">
        <x:v>356</x:v>
      </x:c>
      <x:c r="B360" s="27" t="n">
        <x:v>331260</x:v>
      </x:c>
      <x:c r="C360" s="27" t="str">
        <x:v>A0</x:v>
      </x:c>
      <x:c r="D360" s="52" t="n">
        <x:v>1740.9719046929172</x:v>
      </x:c>
      <x:c r="E360" s="46" t="n">
        <x:v>0.6963887618771669</x:v>
      </x:c>
      <x:c r="F360" s="46" t="n">
        <x:v>0.391775431274437</x:v>
      </x:c>
      <x:c r="G360" s="46" t="n">
        <x:v>0.6013917257651114</x:v>
      </x:c>
      <x:c r="H360" s="46" t="n">
        <x:v>1</x:v>
      </x:c>
      <x:c r="I360" s="46" t="n">
        <x:v>0.8540804884852743</x:v>
      </x:c>
      <x:c r="J360" s="46" t="n">
        <x:v>0.6013917257651114</x:v>
      </x:c>
      <x:c r="K360" s="46" t="n">
        <x:v>1</x:v>
      </x:c>
      <x:c r="L360" s="46" t="n">
        <x:v>0.6506977580220212</x:v>
      </x:c>
      <x:c r="M360" s="27" t="n">
        <x:v>0</x:v>
      </x:c>
    </x:row>
    <x:row r="361" ht="15" hidden="0" customHeight="1">
      <x:c r="A361" s="29" t="n">
        <x:v>357</x:v>
      </x:c>
      <x:c r="B361" s="29" t="n">
        <x:v>331261</x:v>
      </x:c>
      <x:c r="C361" s="29" t="str">
        <x:v>A0</x:v>
      </x:c>
      <x:c r="D361" s="53" t="n">
        <x:v>1667.5209318454029</x:v>
      </x:c>
      <x:c r="E361" s="47" t="n">
        <x:v>0.6670083727381612</x:v>
      </x:c>
      <x:c r="F361" s="47" t="n">
        <x:v>0.33716091772770024</x:v>
      </x:c>
      <x:c r="G361" s="47" t="n">
        <x:v>0.5661663643231346</x:v>
      </x:c>
      <x:c r="H361" s="47" t="n">
        <x:v>1</x:v>
      </x:c>
      <x:c r="I361" s="47" t="n">
        <x:v>0.8545510000363101</x:v>
      </x:c>
      <x:c r="J361" s="47" t="n">
        <x:v>0.5661663643231346</x:v>
      </x:c>
      <x:c r="K361" s="47" t="n">
        <x:v>0.9980817180165563</x:v>
      </x:c>
      <x:c r="L361" s="47" t="n">
        <x:v>0.6147218922105587</x:v>
      </x:c>
      <x:c r="M361" s="29" t="n">
        <x:v>0</x:v>
      </x:c>
    </x:row>
    <x:row r="362" ht="15" hidden="0" customHeight="1">
      <x:c r="A362" s="27" t="n">
        <x:v>358</x:v>
      </x:c>
      <x:c r="B362" s="27" t="n">
        <x:v>331262</x:v>
      </x:c>
      <x:c r="C362" s="27" t="str">
        <x:v>A0</x:v>
      </x:c>
      <x:c r="D362" s="52" t="n">
        <x:v>1741.3354303799053</x:v>
      </x:c>
      <x:c r="E362" s="46" t="n">
        <x:v>0.6965341721519621</x:v>
      </x:c>
      <x:c r="F362" s="46" t="n">
        <x:v>0.3849599765420715</x:v>
      </x:c>
      <x:c r="G362" s="46" t="n">
        <x:v>0.6037787576059167</x:v>
      </x:c>
      <x:c r="H362" s="46" t="n">
        <x:v>1</x:v>
      </x:c>
      <x:c r="I362" s="46" t="n">
        <x:v>0.8335588189134248</x:v>
      </x:c>
      <x:c r="J362" s="46" t="n">
        <x:v>0.6037787576059167</x:v>
      </x:c>
      <x:c r="K362" s="46" t="n">
        <x:v>1</x:v>
      </x:c>
      <x:c r="L362" s="46" t="n">
        <x:v>0.6540449554848932</x:v>
      </x:c>
      <x:c r="M362" s="27" t="n">
        <x:v>0</x:v>
      </x:c>
    </x:row>
    <x:row r="363" ht="15" hidden="0" customHeight="1">
      <x:c r="A363" s="29" t="n">
        <x:v>359</x:v>
      </x:c>
      <x:c r="B363" s="29" t="n">
        <x:v>331263</x:v>
      </x:c>
      <x:c r="C363" s="29" t="str">
        <x:v>A0</x:v>
      </x:c>
      <x:c r="D363" s="53" t="n">
        <x:v>1709.0049440365938</x:v>
      </x:c>
      <x:c r="E363" s="47" t="n">
        <x:v>0.6836019776146375</x:v>
      </x:c>
      <x:c r="F363" s="47" t="n">
        <x:v>0.3667298259126914</x:v>
      </x:c>
      <x:c r="G363" s="47" t="n">
        <x:v>0.5950506863828962</x:v>
      </x:c>
      <x:c r="H363" s="47" t="n">
        <x:v>1</x:v>
      </x:c>
      <x:c r="I363" s="47" t="n">
        <x:v>0.8761397061027905</x:v>
      </x:c>
      <x:c r="J363" s="47" t="n">
        <x:v>0.5950506863828962</x:v>
      </x:c>
      <x:c r="K363" s="47" t="n">
        <x:v>1</x:v>
      </x:c>
      <x:c r="L363" s="47" t="n">
        <x:v>0.631531155967634</x:v>
      </x:c>
      <x:c r="M363" s="29" t="n">
        <x:v>0</x:v>
      </x:c>
    </x:row>
    <x:row r="364" ht="15" hidden="0" customHeight="1">
      <x:c r="A364" s="27" t="n">
        <x:v>360</x:v>
      </x:c>
      <x:c r="B364" s="27" t="n">
        <x:v>331264</x:v>
      </x:c>
      <x:c r="C364" s="27" t="str">
        <x:v>A0</x:v>
      </x:c>
      <x:c r="D364" s="52" t="n">
        <x:v>1624.5015639598018</x:v>
      </x:c>
      <x:c r="E364" s="46" t="n">
        <x:v>0.6498006255839207</x:v>
      </x:c>
      <x:c r="F364" s="46" t="n">
        <x:v>0.3136112668442291</x:v>
      </x:c>
      <x:c r="G364" s="46" t="n">
        <x:v>0.556475723562599</x:v>
      </x:c>
      <x:c r="H364" s="46" t="n">
        <x:v>1</x:v>
      </x:c>
      <x:c r="I364" s="46" t="n">
        <x:v>0.8281754697883875</x:v>
      </x:c>
      <x:c r="J364" s="46" t="n">
        <x:v>0.556475723562599</x:v>
      </x:c>
      <x:c r="K364" s="46" t="n">
        <x:v>0.9746472718302545</x:v>
      </x:c>
      <x:c r="L364" s="46" t="n">
        <x:v>0.5990527049927573</x:v>
      </x:c>
      <x:c r="M364" s="27" t="n">
        <x:v>0</x:v>
      </x:c>
    </x:row>
    <x:row r="365" ht="15" hidden="0" customHeight="1">
      <x:c r="A365" s="29" t="n">
        <x:v>361</x:v>
      </x:c>
      <x:c r="B365" s="29" t="n">
        <x:v>331265</x:v>
      </x:c>
      <x:c r="C365" s="29" t="str">
        <x:v>A0</x:v>
      </x:c>
      <x:c r="D365" s="53" t="n">
        <x:v>1668.9978874786943</x:v>
      </x:c>
      <x:c r="E365" s="47" t="n">
        <x:v>0.6675991549914777</x:v>
      </x:c>
      <x:c r="F365" s="47" t="n">
        <x:v>0.3294075045203316</x:v>
      </x:c>
      <x:c r="G365" s="47" t="n">
        <x:v>0.5732456049570648</x:v>
      </x:c>
      <x:c r="H365" s="47" t="n">
        <x:v>1</x:v>
      </x:c>
      <x:c r="I365" s="47" t="n">
        <x:v>0.850460573958963</x:v>
      </x:c>
      <x:c r="J365" s="47" t="n">
        <x:v>0.5732456049570648</x:v>
      </x:c>
      <x:c r="K365" s="47" t="n">
        <x:v>0.9816418320582284</x:v>
      </x:c>
      <x:c r="L365" s="47" t="n">
        <x:v>0.6170255070892415</x:v>
      </x:c>
      <x:c r="M365" s="29" t="n">
        <x:v>0</x:v>
      </x:c>
    </x:row>
    <x:row r="366" ht="15" hidden="0" customHeight="1">
      <x:c r="A366" s="27" t="n">
        <x:v>362</x:v>
      </x:c>
      <x:c r="B366" s="27" t="n">
        <x:v>331266</x:v>
      </x:c>
      <x:c r="C366" s="27" t="str">
        <x:v>A0</x:v>
      </x:c>
      <x:c r="D366" s="52" t="n">
        <x:v>1710.068841758182</x:v>
      </x:c>
      <x:c r="E366" s="46" t="n">
        <x:v>0.6840275367032729</x:v>
      </x:c>
      <x:c r="F366" s="46" t="n">
        <x:v>0.3390713123293054</x:v>
      </x:c>
      <x:c r="G366" s="46" t="n">
        <x:v>0.5887293112867642</x:v>
      </x:c>
      <x:c r="H366" s="46" t="n">
        <x:v>1</x:v>
      </x:c>
      <x:c r="I366" s="46" t="n">
        <x:v>0.8657880323012423</x:v>
      </x:c>
      <x:c r="J366" s="46" t="n">
        <x:v>0.5887293112867642</x:v>
      </x:c>
      <x:c r="K366" s="46" t="n">
        <x:v>0.9956912214583998</x:v>
      </x:c>
      <x:c r="L366" s="46" t="n">
        <x:v>0.633970317544881</x:v>
      </x:c>
      <x:c r="M366" s="27" t="n">
        <x:v>0</x:v>
      </x:c>
    </x:row>
    <x:row r="367" ht="15" hidden="0" customHeight="1">
      <x:c r="A367" s="29" t="n">
        <x:v>363</x:v>
      </x:c>
      <x:c r="B367" s="29" t="n">
        <x:v>331267</x:v>
      </x:c>
      <x:c r="C367" s="29" t="str">
        <x:v>A0</x:v>
      </x:c>
      <x:c r="D367" s="53" t="n">
        <x:v>1647.1876302738972</x:v>
      </x:c>
      <x:c r="E367" s="47" t="n">
        <x:v>0.6588750521095589</x:v>
      </x:c>
      <x:c r="F367" s="47" t="n">
        <x:v>0.3021133940396371</x:v>
      </x:c>
      <x:c r="G367" s="47" t="n">
        <x:v>0.568066959797851</x:v>
      </x:c>
      <x:c r="H367" s="47" t="n">
        <x:v>1</x:v>
      </x:c>
      <x:c r="I367" s="47" t="n">
        <x:v>0.807079589511583</x:v>
      </x:c>
      <x:c r="J367" s="47" t="n">
        <x:v>0.568066959797851</x:v>
      </x:c>
      <x:c r="K367" s="47" t="n">
        <x:v>0.9694279739876293</x:v>
      </x:c>
      <x:c r="L367" s="47" t="n">
        <x:v>0.6137614662132781</x:v>
      </x:c>
      <x:c r="M367" s="29" t="n">
        <x:v>0</x:v>
      </x:c>
    </x:row>
    <x:row r="368" ht="15" hidden="0" customHeight="1">
      <x:c r="A368" s="27" t="n">
        <x:v>364</x:v>
      </x:c>
      <x:c r="B368" s="27" t="n">
        <x:v>331268</x:v>
      </x:c>
      <x:c r="C368" s="27" t="str">
        <x:v>A0</x:v>
      </x:c>
      <x:c r="D368" s="52" t="n">
        <x:v>1703.5624275750154</x:v>
      </x:c>
      <x:c r="E368" s="46" t="n">
        <x:v>0.6814249710300061</x:v>
      </x:c>
      <x:c r="F368" s="46" t="n">
        <x:v>0.349157277110116</x:v>
      </x:c>
      <x:c r="G368" s="46" t="n">
        <x:v>0.5848351206152314</x:v>
      </x:c>
      <x:c r="H368" s="46" t="n">
        <x:v>0.9919568867720734</x:v>
      </x:c>
      <x:c r="I368" s="46" t="n">
        <x:v>0.8116850809098315</x:v>
      </x:c>
      <x:c r="J368" s="46" t="n">
        <x:v>0.5848351206152314</x:v>
      </x:c>
      <x:c r="K368" s="46" t="n">
        <x:v>1</x:v>
      </x:c>
      <x:c r="L368" s="46" t="n">
        <x:v>0.6390188650777392</x:v>
      </x:c>
      <x:c r="M368" s="27" t="n">
        <x:v>0</x:v>
      </x:c>
    </x:row>
    <x:row r="369" ht="15" hidden="0" customHeight="1">
      <x:c r="A369" s="29" t="n">
        <x:v>365</x:v>
      </x:c>
      <x:c r="B369" s="29" t="n">
        <x:v>331269</x:v>
      </x:c>
      <x:c r="C369" s="29" t="str">
        <x:v>A0</x:v>
      </x:c>
      <x:c r="D369" s="53" t="n">
        <x:v>1704.0447028727701</x:v>
      </x:c>
      <x:c r="E369" s="47" t="n">
        <x:v>0.681617881149108</x:v>
      </x:c>
      <x:c r="F369" s="47" t="n">
        <x:v>0.37814367631968315</x:v>
      </x:c>
      <x:c r="G369" s="47" t="n">
        <x:v>0.5856961859636766</x:v>
      </x:c>
      <x:c r="H369" s="47" t="n">
        <x:v>1</x:v>
      </x:c>
      <x:c r="I369" s="47" t="n">
        <x:v>0.842074148902944</x:v>
      </x:c>
      <x:c r="J369" s="47" t="n">
        <x:v>0.5856961859636766</x:v>
      </x:c>
      <x:c r="K369" s="47" t="n">
        <x:v>0.9971153957410733</x:v>
      </x:c>
      <x:c r="L369" s="47" t="n">
        <x:v>0.6346122440128099</x:v>
      </x:c>
      <x:c r="M369" s="29" t="n">
        <x:v>0</x:v>
      </x:c>
    </x:row>
    <x:row r="370" ht="15" hidden="0" customHeight="1">
      <x:c r="A370" s="27" t="n">
        <x:v>366</x:v>
      </x:c>
      <x:c r="B370" s="27" t="n">
        <x:v>331270</x:v>
      </x:c>
      <x:c r="C370" s="27" t="str">
        <x:v>A0</x:v>
      </x:c>
      <x:c r="D370" s="52" t="n">
        <x:v>1669.7497519229546</x:v>
      </x:c>
      <x:c r="E370" s="46" t="n">
        <x:v>0.6678999007691818</x:v>
      </x:c>
      <x:c r="F370" s="46" t="n">
        <x:v>0.34225793357094314</x:v>
      </x:c>
      <x:c r="G370" s="46" t="n">
        <x:v>0.5681671386818218</x:v>
      </x:c>
      <x:c r="H370" s="46" t="n">
        <x:v>1</x:v>
      </x:c>
      <x:c r="I370" s="46" t="n">
        <x:v>0.8230348681551123</x:v>
      </x:c>
      <x:c r="J370" s="46" t="n">
        <x:v>0.5681671386818218</x:v>
      </x:c>
      <x:c r="K370" s="46" t="n">
        <x:v>0.9851086237082358</x:v>
      </x:c>
      <x:c r="L370" s="46" t="n">
        <x:v>0.6214824690318901</x:v>
      </x:c>
      <x:c r="M370" s="27" t="n">
        <x:v>0</x:v>
      </x:c>
    </x:row>
    <x:row r="371" ht="15" hidden="0" customHeight="1">
      <x:c r="A371" s="29" t="n">
        <x:v>367</x:v>
      </x:c>
      <x:c r="B371" s="29" t="n">
        <x:v>331271</x:v>
      </x:c>
      <x:c r="C371" s="29" t="str">
        <x:v>A0</x:v>
      </x:c>
      <x:c r="D371" s="53" t="n">
        <x:v>1724.010904755419</x:v>
      </x:c>
      <x:c r="E371" s="47" t="n">
        <x:v>0.6896043619021676</x:v>
      </x:c>
      <x:c r="F371" s="47" t="n">
        <x:v>0.3707909195571252</x:v>
      </x:c>
      <x:c r="G371" s="47" t="n">
        <x:v>0.5939591884341585</x:v>
      </x:c>
      <x:c r="H371" s="47" t="n">
        <x:v>1</x:v>
      </x:c>
      <x:c r="I371" s="47" t="n">
        <x:v>0.809690318668176</x:v>
      </x:c>
      <x:c r="J371" s="47" t="n">
        <x:v>0.5939591884341585</x:v>
      </x:c>
      <x:c r="K371" s="47" t="n">
        <x:v>1</x:v>
      </x:c>
      <x:c r="L371" s="47" t="n">
        <x:v>0.6492655166842684</x:v>
      </x:c>
      <x:c r="M371" s="29" t="n">
        <x:v>0</x:v>
      </x:c>
    </x:row>
    <x:row r="372" ht="15" hidden="0" customHeight="1">
      <x:c r="A372" s="27" t="n">
        <x:v>368</x:v>
      </x:c>
      <x:c r="B372" s="27" t="n">
        <x:v>331272</x:v>
      </x:c>
      <x:c r="C372" s="27" t="str">
        <x:v>A0</x:v>
      </x:c>
      <x:c r="D372" s="52" t="n">
        <x:v>1714.1274444771516</x:v>
      </x:c>
      <x:c r="E372" s="46" t="n">
        <x:v>0.6856509777908606</x:v>
      </x:c>
      <x:c r="F372" s="46" t="n">
        <x:v>0.3258540272776046</x:v>
      </x:c>
      <x:c r="G372" s="46" t="n">
        <x:v>0.5903515952499363</x:v>
      </x:c>
      <x:c r="H372" s="46" t="n">
        <x:v>1</x:v>
      </x:c>
      <x:c r="I372" s="46" t="n">
        <x:v>0.8179971095546373</x:v>
      </x:c>
      <x:c r="J372" s="46" t="n">
        <x:v>0.5903515952499363</x:v>
      </x:c>
      <x:c r="K372" s="46" t="n">
        <x:v>0.9863626878564724</x:v>
      </x:c>
      <x:c r="L372" s="46" t="n">
        <x:v>0.6439438087741203</x:v>
      </x:c>
      <x:c r="M372" s="27" t="n">
        <x:v>0</x:v>
      </x:c>
    </x:row>
    <x:row r="373" ht="15" hidden="0" customHeight="1">
      <x:c r="A373" s="29" t="n">
        <x:v>369</x:v>
      </x:c>
      <x:c r="B373" s="29" t="n">
        <x:v>331273</x:v>
      </x:c>
      <x:c r="C373" s="29" t="str">
        <x:v>A0</x:v>
      </x:c>
      <x:c r="D373" s="53" t="n">
        <x:v>1708.0320863655513</x:v>
      </x:c>
      <x:c r="E373" s="47" t="n">
        <x:v>0.6832128345462205</x:v>
      </x:c>
      <x:c r="F373" s="47" t="n">
        <x:v>0.3300178440685269</x:v>
      </x:c>
      <x:c r="G373" s="47" t="n">
        <x:v>0.592412386115674</x:v>
      </x:c>
      <x:c r="H373" s="47" t="n">
        <x:v>1</x:v>
      </x:c>
      <x:c r="I373" s="47" t="n">
        <x:v>0.8658478204604632</x:v>
      </x:c>
      <x:c r="J373" s="47" t="n">
        <x:v>0.592412386115674</x:v>
      </x:c>
      <x:c r="K373" s="47" t="n">
        <x:v>0.991901197102533</x:v>
      </x:c>
      <x:c r="L373" s="47" t="n">
        <x:v>0.6331562915078901</x:v>
      </x:c>
      <x:c r="M373" s="29" t="n">
        <x:v>0</x:v>
      </x:c>
    </x:row>
    <x:row r="374" ht="15" hidden="0" customHeight="1">
      <x:c r="A374" s="27" t="n">
        <x:v>370</x:v>
      </x:c>
      <x:c r="B374" s="27" t="n">
        <x:v>331274</x:v>
      </x:c>
      <x:c r="C374" s="27" t="str">
        <x:v>A0</x:v>
      </x:c>
      <x:c r="D374" s="52" t="n">
        <x:v>1732.0682379080442</x:v>
      </x:c>
      <x:c r="E374" s="46" t="n">
        <x:v>0.6928272951632177</x:v>
      </x:c>
      <x:c r="F374" s="46" t="n">
        <x:v>0.31603157430282075</x:v>
      </x:c>
      <x:c r="G374" s="46" t="n">
        <x:v>0.5971149099194967</x:v>
      </x:c>
      <x:c r="H374" s="46" t="n">
        <x:v>1</x:v>
      </x:c>
      <x:c r="I374" s="46" t="n">
        <x:v>0.8213327898287639</x:v>
      </x:c>
      <x:c r="J374" s="46" t="n">
        <x:v>0.5971149099194967</x:v>
      </x:c>
      <x:c r="K374" s="46" t="n">
        <x:v>0.9831830667543366</x:v>
      </x:c>
      <x:c r="L374" s="46" t="n">
        <x:v>0.6524292550191362</x:v>
      </x:c>
      <x:c r="M374" s="27" t="n">
        <x:v>0</x:v>
      </x:c>
    </x:row>
    <x:row r="375" ht="15" hidden="0" customHeight="1">
      <x:c r="A375" s="29" t="n">
        <x:v>371</x:v>
      </x:c>
      <x:c r="B375" s="29" t="n">
        <x:v>331275</x:v>
      </x:c>
      <x:c r="C375" s="29" t="str">
        <x:v>A0</x:v>
      </x:c>
      <x:c r="D375" s="53" t="n">
        <x:v>1583.5907330469718</x:v>
      </x:c>
      <x:c r="E375" s="47" t="n">
        <x:v>0.6334362932187887</x:v>
      </x:c>
      <x:c r="F375" s="47" t="n">
        <x:v>0.2966210400991745</x:v>
      </x:c>
      <x:c r="G375" s="47" t="n">
        <x:v>0.5466025802396355</x:v>
      </x:c>
      <x:c r="H375" s="47" t="n">
        <x:v>1</x:v>
      </x:c>
      <x:c r="I375" s="47" t="n">
        <x:v>0.7947160053343006</x:v>
      </x:c>
      <x:c r="J375" s="47" t="n">
        <x:v>0.5466025802396355</x:v>
      </x:c>
      <x:c r="K375" s="47" t="n">
        <x:v>0.9630905165650047</x:v>
      </x:c>
      <x:c r="L375" s="47" t="n">
        <x:v>0.58480938978319</x:v>
      </x:c>
      <x:c r="M375" s="29" t="n">
        <x:v>0</x:v>
      </x:c>
    </x:row>
    <x:row r="376" ht="15" hidden="0" customHeight="1">
      <x:c r="A376" s="27" t="n">
        <x:v>372</x:v>
      </x:c>
      <x:c r="B376" s="27" t="n">
        <x:v>331276</x:v>
      </x:c>
      <x:c r="C376" s="27" t="str">
        <x:v>A0</x:v>
      </x:c>
      <x:c r="D376" s="52" t="n">
        <x:v>1665.8351721633048</x:v>
      </x:c>
      <x:c r="E376" s="46" t="n">
        <x:v>0.666334068865322</x:v>
      </x:c>
      <x:c r="F376" s="46" t="n">
        <x:v>0.3461303283635245</x:v>
      </x:c>
      <x:c r="G376" s="46" t="n">
        <x:v>0.5767373927444468</x:v>
      </x:c>
      <x:c r="H376" s="46" t="n">
        <x:v>1</x:v>
      </x:c>
      <x:c r="I376" s="46" t="n">
        <x:v>0.8478771770911674</x:v>
      </x:c>
      <x:c r="J376" s="46" t="n">
        <x:v>0.5767373927444468</x:v>
      </x:c>
      <x:c r="K376" s="46" t="n">
        <x:v>0.9936858649783676</x:v>
      </x:c>
      <x:c r="L376" s="46" t="n">
        <x:v>0.6151118163271936</x:v>
      </x:c>
      <x:c r="M376" s="27" t="n">
        <x:v>0</x:v>
      </x:c>
    </x:row>
    <x:row r="377" ht="15" hidden="0" customHeight="1">
      <x:c r="A377" s="29" t="n">
        <x:v>373</x:v>
      </x:c>
      <x:c r="B377" s="29" t="n">
        <x:v>331277</x:v>
      </x:c>
      <x:c r="C377" s="29" t="str">
        <x:v>A0</x:v>
      </x:c>
      <x:c r="D377" s="53" t="n">
        <x:v>1695.0366238798613</x:v>
      </x:c>
      <x:c r="E377" s="47" t="n">
        <x:v>0.6780146495519445</x:v>
      </x:c>
      <x:c r="F377" s="47" t="n">
        <x:v>0.36251494676485685</x:v>
      </x:c>
      <x:c r="G377" s="47" t="n">
        <x:v>0.5853929559171369</x:v>
      </x:c>
      <x:c r="H377" s="47" t="n">
        <x:v>1</x:v>
      </x:c>
      <x:c r="I377" s="47" t="n">
        <x:v>0.8090292541409754</x:v>
      </x:c>
      <x:c r="J377" s="47" t="n">
        <x:v>0.5853929559171369</x:v>
      </x:c>
      <x:c r="K377" s="47" t="n">
        <x:v>0.9984861384300622</x:v>
      </x:c>
      <x:c r="L377" s="47" t="n">
        <x:v>0.6352115966754499</x:v>
      </x:c>
      <x:c r="M377" s="29" t="n">
        <x:v>0</x:v>
      </x:c>
    </x:row>
    <x:row r="378" ht="15" hidden="0" customHeight="1">
      <x:c r="A378" s="27" t="n">
        <x:v>374</x:v>
      </x:c>
      <x:c r="B378" s="27" t="n">
        <x:v>331278</x:v>
      </x:c>
      <x:c r="C378" s="27" t="str">
        <x:v>A0</x:v>
      </x:c>
      <x:c r="D378" s="52" t="n">
        <x:v>1699.625938171175</x:v>
      </x:c>
      <x:c r="E378" s="46" t="n">
        <x:v>0.67985037526847</x:v>
      </x:c>
      <x:c r="F378" s="46" t="n">
        <x:v>0.33752323284746355</x:v>
      </x:c>
      <x:c r="G378" s="46" t="n">
        <x:v>0.5909153002777373</x:v>
      </x:c>
      <x:c r="H378" s="46" t="n">
        <x:v>1</x:v>
      </x:c>
      <x:c r="I378" s="46" t="n">
        <x:v>0.8578790616158709</x:v>
      </x:c>
      <x:c r="J378" s="46" t="n">
        <x:v>0.5909153002777373</x:v>
      </x:c>
      <x:c r="K378" s="46" t="n">
        <x:v>0.9997222004746084</x:v>
      </x:c>
      <x:c r="L378" s="46" t="n">
        <x:v>0.6297803985340248</x:v>
      </x:c>
      <x:c r="M378" s="27" t="n">
        <x:v>0</x:v>
      </x:c>
    </x:row>
    <x:row r="379" ht="15" hidden="0" customHeight="1">
      <x:c r="A379" s="29" t="n">
        <x:v>375</x:v>
      </x:c>
      <x:c r="B379" s="29" t="n">
        <x:v>331279</x:v>
      </x:c>
      <x:c r="C379" s="29" t="str">
        <x:v>A0</x:v>
      </x:c>
      <x:c r="D379" s="53" t="n">
        <x:v>1698.602311329191</x:v>
      </x:c>
      <x:c r="E379" s="47" t="n">
        <x:v>0.6794409245316764</x:v>
      </x:c>
      <x:c r="F379" s="47" t="n">
        <x:v>0.3559597669724664</x:v>
      </x:c>
      <x:c r="G379" s="47" t="n">
        <x:v>0.5832419664165476</x:v>
      </x:c>
      <x:c r="H379" s="47" t="n">
        <x:v>1</x:v>
      </x:c>
      <x:c r="I379" s="47" t="n">
        <x:v>0.8619891868129254</x:v>
      </x:c>
      <x:c r="J379" s="47" t="n">
        <x:v>0.5832419664165476</x:v>
      </x:c>
      <x:c r="K379" s="47" t="n">
        <x:v>0.998642460515202</x:v>
      </x:c>
      <x:c r="L379" s="47" t="n">
        <x:v>0.6287589440490483</x:v>
      </x:c>
      <x:c r="M379" s="29" t="n">
        <x:v>0</x:v>
      </x:c>
    </x:row>
    <x:row r="380" ht="15" hidden="0" customHeight="1">
      <x:c r="A380" s="27" t="n">
        <x:v>376</x:v>
      </x:c>
      <x:c r="B380" s="27" t="n">
        <x:v>331280</x:v>
      </x:c>
      <x:c r="C380" s="27" t="str">
        <x:v>A0</x:v>
      </x:c>
      <x:c r="D380" s="52" t="n">
        <x:v>1729.2498555219686</x:v>
      </x:c>
      <x:c r="E380" s="46" t="n">
        <x:v>0.6916999422087874</x:v>
      </x:c>
      <x:c r="F380" s="46" t="n">
        <x:v>0.35537648907886976</x:v>
      </x:c>
      <x:c r="G380" s="46" t="n">
        <x:v>0.604602020162603</x:v>
      </x:c>
      <x:c r="H380" s="46" t="n">
        <x:v>1</x:v>
      </x:c>
      <x:c r="I380" s="46" t="n">
        <x:v>0.8736510776872154</x:v>
      </x:c>
      <x:c r="J380" s="46" t="n">
        <x:v>0.604602020162603</x:v>
      </x:c>
      <x:c r="K380" s="46" t="n">
        <x:v>0.998344699935771</x:v>
      </x:c>
      <x:c r="L380" s="46" t="n">
        <x:v>0.6419460766516414</x:v>
      </x:c>
      <x:c r="M380" s="27" t="n">
        <x:v>0</x:v>
      </x:c>
    </x:row>
    <x:row r="381" ht="15" hidden="0" customHeight="1">
      <x:c r="A381" s="29" t="n">
        <x:v>377</x:v>
      </x:c>
      <x:c r="B381" s="29" t="n">
        <x:v>331281</x:v>
      </x:c>
      <x:c r="C381" s="29" t="str">
        <x:v>A0</x:v>
      </x:c>
      <x:c r="D381" s="53" t="n">
        <x:v>1578.330232019613</x:v>
      </x:c>
      <x:c r="E381" s="47" t="n">
        <x:v>0.6313320928078452</x:v>
      </x:c>
      <x:c r="F381" s="47" t="n">
        <x:v>0.31083205428078015</x:v>
      </x:c>
      <x:c r="G381" s="47" t="n">
        <x:v>0.5406236797410929</x:v>
      </x:c>
      <x:c r="H381" s="47" t="n">
        <x:v>0.9938178830124877</x:v>
      </x:c>
      <x:c r="I381" s="47" t="n">
        <x:v>0.7906623233875093</x:v>
      </x:c>
      <x:c r="J381" s="47" t="n">
        <x:v>0.5406236797410929</x:v>
      </x:c>
      <x:c r="K381" s="47" t="n">
        <x:v>0.9857811400510365</x:v>
      </x:c>
      <x:c r="L381" s="47" t="n">
        <x:v>0.5815891970051388</x:v>
      </x:c>
      <x:c r="M381" s="29" t="n">
        <x:v>0</x:v>
      </x:c>
    </x:row>
    <x:row r="382" ht="15" hidden="0" customHeight="1">
      <x:c r="A382" s="27" t="n">
        <x:v>378</x:v>
      </x:c>
      <x:c r="B382" s="27" t="n">
        <x:v>331282</x:v>
      </x:c>
      <x:c r="C382" s="27" t="str">
        <x:v>A0</x:v>
      </x:c>
      <x:c r="D382" s="52" t="n">
        <x:v>1749.4317161866302</x:v>
      </x:c>
      <x:c r="E382" s="46" t="n">
        <x:v>0.6997726864746521</x:v>
      </x:c>
      <x:c r="F382" s="46" t="n">
        <x:v>0.37265693456675353</x:v>
      </x:c>
      <x:c r="G382" s="46" t="n">
        <x:v>0.6044061973675265</x:v>
      </x:c>
      <x:c r="H382" s="46" t="n">
        <x:v>1</x:v>
      </x:c>
      <x:c r="I382" s="46" t="n">
        <x:v>0.8739189940594819</x:v>
      </x:c>
      <x:c r="J382" s="46" t="n">
        <x:v>0.6044061973675265</x:v>
      </x:c>
      <x:c r="K382" s="46" t="n">
        <x:v>1</x:v>
      </x:c>
      <x:c r="L382" s="46" t="n">
        <x:v>0.6517746594883741</x:v>
      </x:c>
      <x:c r="M382" s="27" t="n">
        <x:v>0</x:v>
      </x:c>
    </x:row>
    <x:row r="383" ht="15" hidden="0" customHeight="1">
      <x:c r="A383" s="29" t="n">
        <x:v>379</x:v>
      </x:c>
      <x:c r="B383" s="29" t="n">
        <x:v>331283</x:v>
      </x:c>
      <x:c r="C383" s="29" t="str">
        <x:v>A0</x:v>
      </x:c>
      <x:c r="D383" s="53" t="n">
        <x:v>1725.259269880018</x:v>
      </x:c>
      <x:c r="E383" s="47" t="n">
        <x:v>0.6901037079520073</x:v>
      </x:c>
      <x:c r="F383" s="47" t="n">
        <x:v>0.3543055602184671</x:v>
      </x:c>
      <x:c r="G383" s="47" t="n">
        <x:v>0.5960583862812697</x:v>
      </x:c>
      <x:c r="H383" s="47" t="n">
        <x:v>1</x:v>
      </x:c>
      <x:c r="I383" s="47" t="n">
        <x:v>0.8613462951511871</x:v>
      </x:c>
      <x:c r="J383" s="47" t="n">
        <x:v>0.5960583862812697</x:v>
      </x:c>
      <x:c r="K383" s="47" t="n">
        <x:v>0.9977667748356112</x:v>
      </x:c>
      <x:c r="L383" s="47" t="n">
        <x:v>0.6419832383981706</x:v>
      </x:c>
      <x:c r="M383" s="29" t="n">
        <x:v>0</x:v>
      </x:c>
    </x:row>
    <x:row r="384" ht="15" hidden="0" customHeight="1">
      <x:c r="A384" s="27" t="n">
        <x:v>380</x:v>
      </x:c>
      <x:c r="B384" s="27" t="n">
        <x:v>331284</x:v>
      </x:c>
      <x:c r="C384" s="27" t="str">
        <x:v>A0</x:v>
      </x:c>
      <x:c r="D384" s="52" t="n">
        <x:v>1687.5115149334872</x:v>
      </x:c>
      <x:c r="E384" s="46" t="n">
        <x:v>0.6750046059733948</x:v>
      </x:c>
      <x:c r="F384" s="46" t="n">
        <x:v>0.34149720709440934</x:v>
      </x:c>
      <x:c r="G384" s="46" t="n">
        <x:v>0.5865178629571516</x:v>
      </x:c>
      <x:c r="H384" s="46" t="n">
        <x:v>1</x:v>
      </x:c>
      <x:c r="I384" s="46" t="n">
        <x:v>0.8502005108867173</x:v>
      </x:c>
      <x:c r="J384" s="46" t="n">
        <x:v>0.5865178629571516</x:v>
      </x:c>
      <x:c r="K384" s="46" t="n">
        <x:v>0.9885249214254662</x:v>
      </x:c>
      <x:c r="L384" s="46" t="n">
        <x:v>0.6256966428930738</x:v>
      </x:c>
      <x:c r="M384" s="27" t="n">
        <x:v>0</x:v>
      </x:c>
    </x:row>
    <x:row r="385" ht="15" hidden="0" customHeight="1">
      <x:c r="A385" s="29" t="n">
        <x:v>381</x:v>
      </x:c>
      <x:c r="B385" s="29" t="n">
        <x:v>331285</x:v>
      </x:c>
      <x:c r="C385" s="29" t="str">
        <x:v>A0</x:v>
      </x:c>
      <x:c r="D385" s="53" t="n">
        <x:v>1658.993051562249</x:v>
      </x:c>
      <x:c r="E385" s="47" t="n">
        <x:v>0.6635972206248997</x:v>
      </x:c>
      <x:c r="F385" s="47" t="n">
        <x:v>0.3394610223783584</x:v>
      </x:c>
      <x:c r="G385" s="47" t="n">
        <x:v>0.567583300678493</x:v>
      </x:c>
      <x:c r="H385" s="47" t="n">
        <x:v>1</x:v>
      </x:c>
      <x:c r="I385" s="47" t="n">
        <x:v>0.8571492763090421</x:v>
      </x:c>
      <x:c r="J385" s="47" t="n">
        <x:v>0.567583300678493</x:v>
      </x:c>
      <x:c r="K385" s="47" t="n">
        <x:v>0.9941903034910899</x:v>
      </x:c>
      <x:c r="L385" s="47" t="n">
        <x:v>0.6103305814729306</x:v>
      </x:c>
      <x:c r="M385" s="29" t="n">
        <x:v>0</x:v>
      </x:c>
    </x:row>
    <x:row r="386" ht="15" hidden="0" customHeight="1">
      <x:c r="A386" s="27" t="n">
        <x:v>382</x:v>
      </x:c>
      <x:c r="B386" s="27" t="n">
        <x:v>331286</x:v>
      </x:c>
      <x:c r="C386" s="27" t="str">
        <x:v>A0</x:v>
      </x:c>
      <x:c r="D386" s="52" t="n">
        <x:v>1653.590522560294</x:v>
      </x:c>
      <x:c r="E386" s="46" t="n">
        <x:v>0.6614362090241176</x:v>
      </x:c>
      <x:c r="F386" s="46" t="n">
        <x:v>0.3474446365798874</x:v>
      </x:c>
      <x:c r="G386" s="46" t="n">
        <x:v>0.5648397287245718</x:v>
      </x:c>
      <x:c r="H386" s="46" t="n">
        <x:v>0.9837878586482706</x:v>
      </x:c>
      <x:c r="I386" s="46" t="n">
        <x:v>0.7993498470171404</x:v>
      </x:c>
      <x:c r="J386" s="46" t="n">
        <x:v>0.5648397287245718</x:v>
      </x:c>
      <x:c r="K386" s="46" t="n">
        <x:v>0.9917106799876577</x:v>
      </x:c>
      <x:c r="L386" s="46" t="n">
        <x:v>0.6169960872745217</x:v>
      </x:c>
      <x:c r="M386" s="27" t="n">
        <x:v>0</x:v>
      </x:c>
    </x:row>
    <x:row r="387" ht="15" hidden="0" customHeight="1">
      <x:c r="A387" s="29" t="n">
        <x:v>383</x:v>
      </x:c>
      <x:c r="B387" s="29" t="n">
        <x:v>331287</x:v>
      </x:c>
      <x:c r="C387" s="29" t="str">
        <x:v>A0</x:v>
      </x:c>
      <x:c r="D387" s="53" t="n">
        <x:v>1702.8700057470728</x:v>
      </x:c>
      <x:c r="E387" s="47" t="n">
        <x:v>0.6811480022988291</x:v>
      </x:c>
      <x:c r="F387" s="47" t="n">
        <x:v>0.3364469571275471</x:v>
      </x:c>
      <x:c r="G387" s="47" t="n">
        <x:v>0.590161465621617</x:v>
      </x:c>
      <x:c r="H387" s="47" t="n">
        <x:v>0.9865329180440502</x:v>
      </x:c>
      <x:c r="I387" s="47" t="n">
        <x:v>0.7875166540212116</x:v>
      </x:c>
      <x:c r="J387" s="47" t="n">
        <x:v>0.590161465621617</x:v>
      </x:c>
      <x:c r="K387" s="47" t="n">
        <x:v>0.9995721690396366</x:v>
      </x:c>
      <x:c r="L387" s="47" t="n">
        <x:v>0.6424789037820533</x:v>
      </x:c>
      <x:c r="M387" s="29" t="n">
        <x:v>0</x:v>
      </x:c>
    </x:row>
    <x:row r="388" ht="15" hidden="0" customHeight="1">
      <x:c r="A388" s="27" t="n">
        <x:v>384</x:v>
      </x:c>
      <x:c r="B388" s="27" t="n">
        <x:v>331288</x:v>
      </x:c>
      <x:c r="C388" s="27" t="str">
        <x:v>A0</x:v>
      </x:c>
      <x:c r="D388" s="52" t="n">
        <x:v>1686.678623923682</x:v>
      </x:c>
      <x:c r="E388" s="46" t="n">
        <x:v>0.6746714495694728</x:v>
      </x:c>
      <x:c r="F388" s="46" t="n">
        <x:v>0.38261913083409127</x:v>
      </x:c>
      <x:c r="G388" s="46" t="n">
        <x:v>0.5777724680479426</x:v>
      </x:c>
      <x:c r="H388" s="46" t="n">
        <x:v>1</x:v>
      </x:c>
      <x:c r="I388" s="46" t="n">
        <x:v>0.8101304672986539</x:v>
      </x:c>
      <x:c r="J388" s="46" t="n">
        <x:v>0.5777724680479426</x:v>
      </x:c>
      <x:c r="K388" s="46" t="n">
        <x:v>1</x:v>
      </x:c>
      <x:c r="L388" s="46" t="n">
        <x:v>0.6308776104475357</x:v>
      </x:c>
      <x:c r="M388" s="27" t="n">
        <x:v>0</x:v>
      </x:c>
    </x:row>
    <x:row r="389" ht="15" hidden="0" customHeight="1">
      <x:c r="A389" s="29" t="n">
        <x:v>385</x:v>
      </x:c>
      <x:c r="B389" s="29" t="n">
        <x:v>331289</x:v>
      </x:c>
      <x:c r="C389" s="29" t="str">
        <x:v>A0</x:v>
      </x:c>
      <x:c r="D389" s="53" t="n">
        <x:v>1705.1304407990533</x:v>
      </x:c>
      <x:c r="E389" s="47" t="n">
        <x:v>0.6820521763196213</x:v>
      </x:c>
      <x:c r="F389" s="47" t="n">
        <x:v>0.3430619688800732</x:v>
      </x:c>
      <x:c r="G389" s="47" t="n">
        <x:v>0.5903339113558608</x:v>
      </x:c>
      <x:c r="H389" s="47" t="n">
        <x:v>1</x:v>
      </x:c>
      <x:c r="I389" s="47" t="n">
        <x:v>0.8739892716772399</x:v>
      </x:c>
      <x:c r="J389" s="47" t="n">
        <x:v>0.5903339113558608</x:v>
      </x:c>
      <x:c r="K389" s="47" t="n">
        <x:v>0.9936828452527587</x:v>
      </x:c>
      <x:c r="L389" s="47" t="n">
        <x:v>0.6303673041451353</x:v>
      </x:c>
      <x:c r="M389" s="29" t="n">
        <x:v>0</x:v>
      </x:c>
    </x:row>
    <x:row r="390" ht="15" hidden="0" customHeight="1">
      <x:c r="A390" s="27" t="n">
        <x:v>386</x:v>
      </x:c>
      <x:c r="B390" s="27" t="n">
        <x:v>331290</x:v>
      </x:c>
      <x:c r="C390" s="27" t="str">
        <x:v>A0</x:v>
      </x:c>
      <x:c r="D390" s="52" t="n">
        <x:v>1695.914506088506</x:v>
      </x:c>
      <x:c r="E390" s="46" t="n">
        <x:v>0.6783658024354023</x:v>
      </x:c>
      <x:c r="F390" s="46" t="n">
        <x:v>0.3787500934320203</x:v>
      </x:c>
      <x:c r="G390" s="46" t="n">
        <x:v>0.587873231315763</x:v>
      </x:c>
      <x:c r="H390" s="46" t="n">
        <x:v>1</x:v>
      </x:c>
      <x:c r="I390" s="46" t="n">
        <x:v>0.8546000105637018</x:v>
      </x:c>
      <x:c r="J390" s="46" t="n">
        <x:v>0.587873231315763</x:v>
      </x:c>
      <x:c r="K390" s="46" t="n">
        <x:v>1</x:v>
      </x:c>
      <x:c r="L390" s="46" t="n">
        <x:v>0.6284619917650254</x:v>
      </x:c>
      <x:c r="M390" s="27" t="n">
        <x:v>0</x:v>
      </x:c>
    </x:row>
    <x:row r="391" ht="15" hidden="0" customHeight="1">
      <x:c r="A391" s="29" t="n">
        <x:v>387</x:v>
      </x:c>
      <x:c r="B391" s="29" t="n">
        <x:v>331291</x:v>
      </x:c>
      <x:c r="C391" s="29" t="str">
        <x:v>A0</x:v>
      </x:c>
      <x:c r="D391" s="53" t="n">
        <x:v>1716.0002692771006</x:v>
      </x:c>
      <x:c r="E391" s="47" t="n">
        <x:v>0.6864001077108403</x:v>
      </x:c>
      <x:c r="F391" s="47" t="n">
        <x:v>0.3455711798743192</x:v>
      </x:c>
      <x:c r="G391" s="47" t="n">
        <x:v>0.5962943358159816</x:v>
      </x:c>
      <x:c r="H391" s="47" t="n">
        <x:v>1</x:v>
      </x:c>
      <x:c r="I391" s="47" t="n">
        <x:v>0.8815007186800776</x:v>
      </x:c>
      <x:c r="J391" s="47" t="n">
        <x:v>0.5962943358159816</x:v>
      </x:c>
      <x:c r="K391" s="47" t="n">
        <x:v>0.9933089713623601</x:v>
      </x:c>
      <x:c r="L391" s="47" t="n">
        <x:v>0.6345486798060423</x:v>
      </x:c>
      <x:c r="M391" s="29" t="n">
        <x:v>0</x:v>
      </x:c>
    </x:row>
    <x:row r="392" ht="15" hidden="0" customHeight="1">
      <x:c r="A392" s="27" t="n">
        <x:v>388</x:v>
      </x:c>
      <x:c r="B392" s="27" t="n">
        <x:v>331292</x:v>
      </x:c>
      <x:c r="C392" s="27" t="str">
        <x:v>A0</x:v>
      </x:c>
      <x:c r="D392" s="52" t="n">
        <x:v>1707.0445604448025</x:v>
      </x:c>
      <x:c r="E392" s="46" t="n">
        <x:v>0.682817824177921</x:v>
      </x:c>
      <x:c r="F392" s="46" t="n">
        <x:v>0.35028283146107403</x:v>
      </x:c>
      <x:c r="G392" s="46" t="n">
        <x:v>0.589502281493876</x:v>
      </x:c>
      <x:c r="H392" s="46" t="n">
        <x:v>1</x:v>
      </x:c>
      <x:c r="I392" s="46" t="n">
        <x:v>0.883620898686892</x:v>
      </x:c>
      <x:c r="J392" s="46" t="n">
        <x:v>0.589502281493876</x:v>
      </x:c>
      <x:c r="K392" s="46" t="n">
        <x:v>1</x:v>
      </x:c>
      <x:c r="L392" s="46" t="n">
        <x:v>0.629442828514418</x:v>
      </x:c>
      <x:c r="M392" s="27" t="n">
        <x:v>0</x:v>
      </x:c>
    </x:row>
    <x:row r="393" ht="15" hidden="0" customHeight="1">
      <x:c r="A393" s="29" t="n">
        <x:v>389</x:v>
      </x:c>
      <x:c r="B393" s="29" t="n">
        <x:v>331293</x:v>
      </x:c>
      <x:c r="C393" s="29" t="str">
        <x:v>A0</x:v>
      </x:c>
      <x:c r="D393" s="53" t="n">
        <x:v>1643.8766351879249</x:v>
      </x:c>
      <x:c r="E393" s="47" t="n">
        <x:v>0.65755065407517</x:v>
      </x:c>
      <x:c r="F393" s="47" t="n">
        <x:v>0.29808825715969217</x:v>
      </x:c>
      <x:c r="G393" s="47" t="n">
        <x:v>0.5642077811371173</x:v>
      </x:c>
      <x:c r="H393" s="47" t="n">
        <x:v>1</x:v>
      </x:c>
      <x:c r="I393" s="47" t="n">
        <x:v>0.822175583360198</x:v>
      </x:c>
      <x:c r="J393" s="47" t="n">
        <x:v>0.5642077811371173</x:v>
      </x:c>
      <x:c r="K393" s="47" t="n">
        <x:v>0.9915933956273882</x:v>
      </x:c>
      <x:c r="L393" s="47" t="n">
        <x:v>0.6084743565211235</x:v>
      </x:c>
      <x:c r="M393" s="29" t="n">
        <x:v>0</x:v>
      </x:c>
    </x:row>
    <x:row r="394" ht="15" hidden="0" customHeight="1">
      <x:c r="A394" s="27" t="n">
        <x:v>390</x:v>
      </x:c>
      <x:c r="B394" s="27" t="n">
        <x:v>331294</x:v>
      </x:c>
      <x:c r="C394" s="27" t="str">
        <x:v>A0</x:v>
      </x:c>
      <x:c r="D394" s="52" t="n">
        <x:v>1724.5729936529447</x:v>
      </x:c>
      <x:c r="E394" s="46" t="n">
        <x:v>0.6898291974611779</x:v>
      </x:c>
      <x:c r="F394" s="46" t="n">
        <x:v>0.35588923510389564</x:v>
      </x:c>
      <x:c r="G394" s="46" t="n">
        <x:v>0.6018184491511459</x:v>
      </x:c>
      <x:c r="H394" s="46" t="n">
        <x:v>1</x:v>
      </x:c>
      <x:c r="I394" s="46" t="n">
        <x:v>0.8339688184154642</x:v>
      </x:c>
      <x:c r="J394" s="46" t="n">
        <x:v>0.6018184491511459</x:v>
      </x:c>
      <x:c r="K394" s="46" t="n">
        <x:v>0.9941408038055802</x:v>
      </x:c>
      <x:c r="L394" s="46" t="n">
        <x:v>0.6460697452475296</x:v>
      </x:c>
      <x:c r="M394" s="27" t="n">
        <x:v>0</x:v>
      </x:c>
    </x:row>
    <x:row r="395" ht="15" hidden="0" customHeight="1">
      <x:c r="A395" s="29" t="n">
        <x:v>391</x:v>
      </x:c>
      <x:c r="B395" s="29" t="n">
        <x:v>331295</x:v>
      </x:c>
      <x:c r="C395" s="29" t="str">
        <x:v>A0</x:v>
      </x:c>
      <x:c r="D395" s="53" t="n">
        <x:v>1697.8071467908703</x:v>
      </x:c>
      <x:c r="E395" s="47" t="n">
        <x:v>0.6791228587163481</x:v>
      </x:c>
      <x:c r="F395" s="47" t="n">
        <x:v>0.3232786341053809</x:v>
      </x:c>
      <x:c r="G395" s="47" t="n">
        <x:v>0.5870874482952514</x:v>
      </x:c>
      <x:c r="H395" s="47" t="n">
        <x:v>1</x:v>
      </x:c>
      <x:c r="I395" s="47" t="n">
        <x:v>0.8504189251131005</x:v>
      </x:c>
      <x:c r="J395" s="47" t="n">
        <x:v>0.5870874482952514</x:v>
      </x:c>
      <x:c r="K395" s="47" t="n">
        <x:v>0.9808519463558326</x:v>
      </x:c>
      <x:c r="L395" s="47" t="n">
        <x:v>0.6312067865334618</x:v>
      </x:c>
      <x:c r="M395" s="29" t="n">
        <x:v>0</x:v>
      </x:c>
    </x:row>
    <x:row r="396" ht="15" hidden="0" customHeight="1">
      <x:c r="A396" s="27" t="n">
        <x:v>392</x:v>
      </x:c>
      <x:c r="B396" s="27" t="n">
        <x:v>331296</x:v>
      </x:c>
      <x:c r="C396" s="27" t="str">
        <x:v>A0</x:v>
      </x:c>
      <x:c r="D396" s="52" t="n">
        <x:v>1667.6115943915763</x:v>
      </x:c>
      <x:c r="E396" s="46" t="n">
        <x:v>0.6670446377566305</x:v>
      </x:c>
      <x:c r="F396" s="46" t="n">
        <x:v>0.37640968012826964</x:v>
      </x:c>
      <x:c r="G396" s="46" t="n">
        <x:v>0.5761112179279321</x:v>
      </x:c>
      <x:c r="H396" s="46" t="n">
        <x:v>1</x:v>
      </x:c>
      <x:c r="I396" s="46" t="n">
        <x:v>0.840996738685482</x:v>
      </x:c>
      <x:c r="J396" s="46" t="n">
        <x:v>0.5761112179279321</x:v>
      </x:c>
      <x:c r="K396" s="46" t="n">
        <x:v>1</x:v>
      </x:c>
      <x:c r="L396" s="46" t="n">
        <x:v>0.6166809804083111</x:v>
      </x:c>
      <x:c r="M396" s="27" t="n">
        <x:v>0</x:v>
      </x:c>
    </x:row>
    <x:row r="397" ht="15" hidden="0" customHeight="1">
      <x:c r="A397" s="29" t="n">
        <x:v>393</x:v>
      </x:c>
      <x:c r="B397" s="29" t="n">
        <x:v>331297</x:v>
      </x:c>
      <x:c r="C397" s="29" t="str">
        <x:v>A0</x:v>
      </x:c>
      <x:c r="D397" s="53" t="n">
        <x:v>1663.548143201531</x:v>
      </x:c>
      <x:c r="E397" s="47" t="n">
        <x:v>0.6654192572806125</x:v>
      </x:c>
      <x:c r="F397" s="47" t="n">
        <x:v>0.3305698105313294</x:v>
      </x:c>
      <x:c r="G397" s="47" t="n">
        <x:v>0.566442542105026</x:v>
      </x:c>
      <x:c r="H397" s="47" t="n">
        <x:v>1</x:v>
      </x:c>
      <x:c r="I397" s="47" t="n">
        <x:v>0.7954074463624949</x:v>
      </x:c>
      <x:c r="J397" s="47" t="n">
        <x:v>0.566442542105026</x:v>
      </x:c>
      <x:c r="K397" s="47" t="n">
        <x:v>0.9870403054594489</x:v>
      </x:c>
      <x:c r="L397" s="47" t="n">
        <x:v>0.6226038604983918</x:v>
      </x:c>
      <x:c r="M397" s="29" t="n">
        <x:v>0</x:v>
      </x:c>
    </x:row>
    <x:row r="398" ht="15" hidden="0" customHeight="1">
      <x:c r="A398" s="27" t="n">
        <x:v>394</x:v>
      </x:c>
      <x:c r="B398" s="27" t="n">
        <x:v>331298</x:v>
      </x:c>
      <x:c r="C398" s="27" t="str">
        <x:v>A0</x:v>
      </x:c>
      <x:c r="D398" s="52" t="n">
        <x:v>1673.016915621839</x:v>
      </x:c>
      <x:c r="E398" s="46" t="n">
        <x:v>0.6692067662487355</x:v>
      </x:c>
      <x:c r="F398" s="46" t="n">
        <x:v>0.3355132439681691</x:v>
      </x:c>
      <x:c r="G398" s="46" t="n">
        <x:v>0.5822671666517558</x:v>
      </x:c>
      <x:c r="H398" s="46" t="n">
        <x:v>1</x:v>
      </x:c>
      <x:c r="I398" s="46" t="n">
        <x:v>0.8483530146361191</x:v>
      </x:c>
      <x:c r="J398" s="46" t="n">
        <x:v>0.5822671666517558</x:v>
      </x:c>
      <x:c r="K398" s="46" t="n">
        <x:v>0.9876319660804926</x:v>
      </x:c>
      <x:c r="L398" s="46" t="n">
        <x:v>0.6189094263658514</x:v>
      </x:c>
      <x:c r="M398" s="27" t="n">
        <x:v>0</x:v>
      </x:c>
    </x:row>
    <x:row r="399" ht="15" hidden="0" customHeight="1">
      <x:c r="A399" s="29" t="n">
        <x:v>395</x:v>
      </x:c>
      <x:c r="B399" s="29" t="n">
        <x:v>331299</x:v>
      </x:c>
      <x:c r="C399" s="29" t="str">
        <x:v>A0</x:v>
      </x:c>
      <x:c r="D399" s="53" t="n">
        <x:v>1670.9698811489252</x:v>
      </x:c>
      <x:c r="E399" s="47" t="n">
        <x:v>0.6683879524595701</x:v>
      </x:c>
      <x:c r="F399" s="47" t="n">
        <x:v>0.34061554585934306</x:v>
      </x:c>
      <x:c r="G399" s="47" t="n">
        <x:v>0.5719236916641983</x:v>
      </x:c>
      <x:c r="H399" s="47" t="n">
        <x:v>0.9966332175351087</x:v>
      </x:c>
      <x:c r="I399" s="47" t="n">
        <x:v>0.7869561888512331</x:v>
      </x:c>
      <x:c r="J399" s="47" t="n">
        <x:v>0.5719236916641983</x:v>
      </x:c>
      <x:c r="K399" s="47" t="n">
        <x:v>0.9962654082595053</x:v>
      </x:c>
      <x:c r="L399" s="47" t="n">
        <x:v>0.6270242780255078</x:v>
      </x:c>
      <x:c r="M399" s="29" t="n">
        <x:v>0</x:v>
      </x:c>
    </x:row>
    <x:row r="400" ht="15" hidden="0" customHeight="1">
      <x:c r="A400" s="27" t="n">
        <x:v>396</x:v>
      </x:c>
      <x:c r="B400" s="27" t="n">
        <x:v>331300</x:v>
      </x:c>
      <x:c r="C400" s="27" t="str">
        <x:v>A0</x:v>
      </x:c>
      <x:c r="D400" s="52" t="n">
        <x:v>1679.7196954722865</x:v>
      </x:c>
      <x:c r="E400" s="46" t="n">
        <x:v>0.6718878781889146</x:v>
      </x:c>
      <x:c r="F400" s="46" t="n">
        <x:v>0.3559032793468477</x:v>
      </x:c>
      <x:c r="G400" s="46" t="n">
        <x:v>0.576099357772679</x:v>
      </x:c>
      <x:c r="H400" s="46" t="n">
        <x:v>1</x:v>
      </x:c>
      <x:c r="I400" s="46" t="n">
        <x:v>0.8570586028782137</x:v>
      </x:c>
      <x:c r="J400" s="46" t="n">
        <x:v>0.576099357772679</x:v>
      </x:c>
      <x:c r="K400" s="46" t="n">
        <x:v>0.9986289750798554</x:v>
      </x:c>
      <x:c r="L400" s="46" t="n">
        <x:v>0.6202513015464921</x:v>
      </x:c>
      <x:c r="M400" s="27" t="n">
        <x:v>0</x:v>
      </x:c>
    </x:row>
    <x:row r="401" ht="15" hidden="0" customHeight="1">
      <x:c r="A401" s="29" t="n">
        <x:v>397</x:v>
      </x:c>
      <x:c r="B401" s="29" t="n">
        <x:v>331301</x:v>
      </x:c>
      <x:c r="C401" s="29" t="str">
        <x:v>A0</x:v>
      </x:c>
      <x:c r="D401" s="53" t="n">
        <x:v>1707.2536570927136</x:v>
      </x:c>
      <x:c r="E401" s="47" t="n">
        <x:v>0.6829014628370854</x:v>
      </x:c>
      <x:c r="F401" s="47" t="n">
        <x:v>0.3739964158318605</x:v>
      </x:c>
      <x:c r="G401" s="47" t="n">
        <x:v>0.5882289045793576</x:v>
      </x:c>
      <x:c r="H401" s="47" t="n">
        <x:v>1</x:v>
      </x:c>
      <x:c r="I401" s="47" t="n">
        <x:v>0.8455084908145242</x:v>
      </x:c>
      <x:c r="J401" s="47" t="n">
        <x:v>0.5882289045793576</x:v>
      </x:c>
      <x:c r="K401" s="47" t="n">
        <x:v>1</x:v>
      </x:c>
      <x:c r="L401" s="47" t="n">
        <x:v>0.6354713616014009</x:v>
      </x:c>
      <x:c r="M401" s="29" t="n">
        <x:v>0</x:v>
      </x:c>
    </x:row>
    <x:row r="402" ht="15" hidden="0" customHeight="1">
      <x:c r="A402" s="27" t="n">
        <x:v>398</x:v>
      </x:c>
      <x:c r="B402" s="27" t="n">
        <x:v>331302</x:v>
      </x:c>
      <x:c r="C402" s="27" t="str">
        <x:v>A0</x:v>
      </x:c>
      <x:c r="D402" s="52" t="n">
        <x:v>1684.303338820846</x:v>
      </x:c>
      <x:c r="E402" s="46" t="n">
        <x:v>0.6737213355283383</x:v>
      </x:c>
      <x:c r="F402" s="46" t="n">
        <x:v>0.33152529876982306</x:v>
      </x:c>
      <x:c r="G402" s="46" t="n">
        <x:v>0.5780321145262972</x:v>
      </x:c>
      <x:c r="H402" s="46" t="n">
        <x:v>1</x:v>
      </x:c>
      <x:c r="I402" s="46" t="n">
        <x:v>0.8351275322000492</x:v>
      </x:c>
      <x:c r="J402" s="46" t="n">
        <x:v>0.5780321145262972</x:v>
      </x:c>
      <x:c r="K402" s="46" t="n">
        <x:v>0.9931935510398375</x:v>
      </x:c>
      <x:c r="L402" s="46" t="n">
        <x:v>0.626233010468271</x:v>
      </x:c>
      <x:c r="M402" s="27" t="n">
        <x:v>0</x:v>
      </x:c>
    </x:row>
    <x:row r="403" ht="15" hidden="0" customHeight="1">
      <x:c r="A403" s="29" t="n">
        <x:v>399</x:v>
      </x:c>
      <x:c r="B403" s="29" t="n">
        <x:v>331303</x:v>
      </x:c>
      <x:c r="C403" s="29" t="str">
        <x:v>A0</x:v>
      </x:c>
      <x:c r="D403" s="53" t="n">
        <x:v>1703.3038032281304</x:v>
      </x:c>
      <x:c r="E403" s="47" t="n">
        <x:v>0.6813215212912521</x:v>
      </x:c>
      <x:c r="F403" s="47" t="n">
        <x:v>0.35274714944684027</x:v>
      </x:c>
      <x:c r="G403" s="47" t="n">
        <x:v>0.5863583243353395</x:v>
      </x:c>
      <x:c r="H403" s="47" t="n">
        <x:v>1</x:v>
      </x:c>
      <x:c r="I403" s="47" t="n">
        <x:v>0.8728364294512188</x:v>
      </x:c>
      <x:c r="J403" s="47" t="n">
        <x:v>0.5863583243353395</x:v>
      </x:c>
      <x:c r="K403" s="47" t="n">
        <x:v>0.9902099821241037</x:v>
      </x:c>
      <x:c r="L403" s="47" t="n">
        <x:v>0.6298830338805786</x:v>
      </x:c>
      <x:c r="M403" s="29" t="n">
        <x:v>0</x:v>
      </x:c>
    </x:row>
    <x:row r="404" ht="15" hidden="0" customHeight="1">
      <x:c r="A404" s="27" t="n">
        <x:v>400</x:v>
      </x:c>
      <x:c r="B404" s="27" t="n">
        <x:v>331304</x:v>
      </x:c>
      <x:c r="C404" s="27" t="str">
        <x:v>A0</x:v>
      </x:c>
      <x:c r="D404" s="52" t="n">
        <x:v>1678.1310488801664</x:v>
      </x:c>
      <x:c r="E404" s="46" t="n">
        <x:v>0.6712524195520666</x:v>
      </x:c>
      <x:c r="F404" s="46" t="n">
        <x:v>0.3561505276099899</x:v>
      </x:c>
      <x:c r="G404" s="46" t="n">
        <x:v>0.5739344112285764</x:v>
      </x:c>
      <x:c r="H404" s="46" t="n">
        <x:v>1</x:v>
      </x:c>
      <x:c r="I404" s="46" t="n">
        <x:v>0.8601722754802364</x:v>
      </x:c>
      <x:c r="J404" s="46" t="n">
        <x:v>0.5739344112285764</x:v>
      </x:c>
      <x:c r="K404" s="46" t="n">
        <x:v>0.9978857028886532</x:v>
      </x:c>
      <x:c r="L404" s="46" t="n">
        <x:v>0.6190442240609523</x:v>
      </x:c>
      <x:c r="M404" s="27" t="n">
        <x:v>0</x:v>
      </x:c>
    </x:row>
    <x:row r="405" ht="15" hidden="0" customHeight="1">
      <x:c r="A405" s="29" t="n">
        <x:v>401</x:v>
      </x:c>
      <x:c r="B405" s="29" t="n">
        <x:v>331305</x:v>
      </x:c>
      <x:c r="C405" s="29" t="str">
        <x:v>A0</x:v>
      </x:c>
      <x:c r="D405" s="53" t="n">
        <x:v>1668.2690407468792</x:v>
      </x:c>
      <x:c r="E405" s="47" t="n">
        <x:v>0.6673076162987517</x:v>
      </x:c>
      <x:c r="F405" s="47" t="n">
        <x:v>0.34085680876412455</x:v>
      </x:c>
      <x:c r="G405" s="47" t="n">
        <x:v>0.569038643629434</x:v>
      </x:c>
      <x:c r="H405" s="47" t="n">
        <x:v>1</x:v>
      </x:c>
      <x:c r="I405" s="47" t="n">
        <x:v>0.8503667627870269</x:v>
      </x:c>
      <x:c r="J405" s="47" t="n">
        <x:v>0.569038643629434</x:v>
      </x:c>
      <x:c r="K405" s="47" t="n">
        <x:v>0.9945130376218939</x:v>
      </x:c>
      <x:c r="L405" s="47" t="n">
        <x:v>0.6159348393597461</x:v>
      </x:c>
      <x:c r="M405" s="29" t="n">
        <x:v>0</x:v>
      </x:c>
    </x:row>
    <x:row r="406" ht="15" hidden="0" customHeight="1">
      <x:c r="A406" s="27" t="n">
        <x:v>402</x:v>
      </x:c>
      <x:c r="B406" s="27" t="n">
        <x:v>331306</x:v>
      </x:c>
      <x:c r="C406" s="27" t="str">
        <x:v>A0</x:v>
      </x:c>
      <x:c r="D406" s="52" t="n">
        <x:v>1695.749011504997</x:v>
      </x:c>
      <x:c r="E406" s="46" t="n">
        <x:v>0.6782996046019988</x:v>
      </x:c>
      <x:c r="F406" s="46" t="n">
        <x:v>0.3472363273136679</x:v>
      </x:c>
      <x:c r="G406" s="46" t="n">
        <x:v>0.5944369789776728</x:v>
      </x:c>
      <x:c r="H406" s="46" t="n">
        <x:v>1</x:v>
      </x:c>
      <x:c r="I406" s="46" t="n">
        <x:v>0.8237084396716365</x:v>
      </x:c>
      <x:c r="J406" s="46" t="n">
        <x:v>0.5944369789776728</x:v>
      </x:c>
      <x:c r="K406" s="46" t="n">
        <x:v>0.9879897506379813</x:v>
      </x:c>
      <x:c r="L406" s="46" t="n">
        <x:v>0.6338510101463554</x:v>
      </x:c>
      <x:c r="M406" s="27" t="n">
        <x:v>0</x:v>
      </x:c>
    </x:row>
    <x:row r="407" ht="15" hidden="0" customHeight="1">
      <x:c r="A407" s="29" t="n">
        <x:v>403</x:v>
      </x:c>
      <x:c r="B407" s="29" t="n">
        <x:v>331307</x:v>
      </x:c>
      <x:c r="C407" s="29" t="str">
        <x:v>A0</x:v>
      </x:c>
      <x:c r="D407" s="53" t="n">
        <x:v>1646.1226409754806</x:v>
      </x:c>
      <x:c r="E407" s="47" t="n">
        <x:v>0.6584490563901922</x:v>
      </x:c>
      <x:c r="F407" s="47" t="n">
        <x:v>0.3087558854565178</x:v>
      </x:c>
      <x:c r="G407" s="47" t="n">
        <x:v>0.566138168891044</x:v>
      </x:c>
      <x:c r="H407" s="47" t="n">
        <x:v>1</x:v>
      </x:c>
      <x:c r="I407" s="47" t="n">
        <x:v>0.8521425473511758</x:v>
      </x:c>
      <x:c r="J407" s="47" t="n">
        <x:v>0.566138168891044</x:v>
      </x:c>
      <x:c r="K407" s="47" t="n">
        <x:v>0.9909468142455751</x:v>
      </x:c>
      <x:c r="L407" s="47" t="n">
        <x:v>0.604956949171811</x:v>
      </x:c>
      <x:c r="M407" s="29" t="n">
        <x:v>0</x:v>
      </x:c>
    </x:row>
    <x:row r="408" ht="15" hidden="0" customHeight="1">
      <x:c r="A408" s="27" t="n">
        <x:v>404</x:v>
      </x:c>
      <x:c r="B408" s="27" t="n">
        <x:v>331308</x:v>
      </x:c>
      <x:c r="C408" s="27" t="str">
        <x:v>A0</x:v>
      </x:c>
      <x:c r="D408" s="52" t="n">
        <x:v>1751.9705763553634</x:v>
      </x:c>
      <x:c r="E408" s="46" t="n">
        <x:v>0.7007882305421453</x:v>
      </x:c>
      <x:c r="F408" s="46" t="n">
        <x:v>0.3758024796152649</x:v>
      </x:c>
      <x:c r="G408" s="46" t="n">
        <x:v>0.6036865980182071</x:v>
      </x:c>
      <x:c r="H408" s="46" t="n">
        <x:v>1</x:v>
      </x:c>
      <x:c r="I408" s="46" t="n">
        <x:v>0.8901164584639522</x:v>
      </x:c>
      <x:c r="J408" s="46" t="n">
        <x:v>0.6036865980182071</x:v>
      </x:c>
      <x:c r="K408" s="46" t="n">
        <x:v>1</x:v>
      </x:c>
      <x:c r="L408" s="46" t="n">
        <x:v>0.6505198763313967</x:v>
      </x:c>
      <x:c r="M408" s="27" t="n">
        <x:v>0</x:v>
      </x:c>
    </x:row>
    <x:row r="409" ht="15" hidden="0" customHeight="1">
      <x:c r="A409" s="29" t="n">
        <x:v>405</x:v>
      </x:c>
      <x:c r="B409" s="29" t="n">
        <x:v>331309</x:v>
      </x:c>
      <x:c r="C409" s="29" t="str">
        <x:v>A0</x:v>
      </x:c>
      <x:c r="D409" s="53" t="n">
        <x:v>1677.4122512354993</x:v>
      </x:c>
      <x:c r="E409" s="47" t="n">
        <x:v>0.6709649004941998</x:v>
      </x:c>
      <x:c r="F409" s="47" t="n">
        <x:v>0.35108780587341315</x:v>
      </x:c>
      <x:c r="G409" s="47" t="n">
        <x:v>0.5796451970282117</x:v>
      </x:c>
      <x:c r="H409" s="47" t="n">
        <x:v>0.9490046982696999</x:v>
      </x:c>
      <x:c r="I409" s="47" t="n">
        <x:v>0.7731284859008525</x:v>
      </x:c>
      <x:c r="J409" s="47" t="n">
        <x:v>0.5796451970282117</x:v>
      </x:c>
      <x:c r="K409" s="47" t="n">
        <x:v>0.997711132927322</x:v>
      </x:c>
      <x:c r="L409" s="47" t="n">
        <x:v>0.6327735473661323</x:v>
      </x:c>
      <x:c r="M409" s="29" t="n">
        <x:v>0</x:v>
      </x:c>
    </x:row>
    <x:row r="410" ht="15" hidden="0" customHeight="1">
      <x:c r="A410" s="27" t="n">
        <x:v>406</x:v>
      </x:c>
      <x:c r="B410" s="27" t="n">
        <x:v>331310</x:v>
      </x:c>
      <x:c r="C410" s="27" t="str">
        <x:v>A0</x:v>
      </x:c>
      <x:c r="D410" s="52" t="n">
        <x:v>1681.4116256160444</x:v>
      </x:c>
      <x:c r="E410" s="46" t="n">
        <x:v>0.6725646502464178</x:v>
      </x:c>
      <x:c r="F410" s="46" t="n">
        <x:v>0.3199832382000828</x:v>
      </x:c>
      <x:c r="G410" s="46" t="n">
        <x:v>0.5816668468554227</x:v>
      </x:c>
      <x:c r="H410" s="46" t="n">
        <x:v>1</x:v>
      </x:c>
      <x:c r="I410" s="46" t="n">
        <x:v>0.8466871543098863</x:v>
      </x:c>
      <x:c r="J410" s="46" t="n">
        <x:v>0.5816668468554227</x:v>
      </x:c>
      <x:c r="K410" s="46" t="n">
        <x:v>0.9763200240701608</x:v>
      </x:c>
      <x:c r="L410" s="46" t="n">
        <x:v>0.62400132364673</x:v>
      </x:c>
      <x:c r="M410" s="27" t="n">
        <x:v>0</x:v>
      </x:c>
    </x:row>
    <x:row r="411" ht="15" hidden="0" customHeight="1">
      <x:c r="A411" s="29" t="n">
        <x:v>407</x:v>
      </x:c>
      <x:c r="B411" s="29" t="n">
        <x:v>331311</x:v>
      </x:c>
      <x:c r="C411" s="29" t="str">
        <x:v>A0</x:v>
      </x:c>
      <x:c r="D411" s="53" t="n">
        <x:v>1615.0151433911346</x:v>
      </x:c>
      <x:c r="E411" s="47" t="n">
        <x:v>0.6460060573564539</x:v>
      </x:c>
      <x:c r="F411" s="47" t="n">
        <x:v>0.32198196225796705</x:v>
      </x:c>
      <x:c r="G411" s="47" t="n">
        <x:v>0.5497402204142142</x:v>
      </x:c>
      <x:c r="H411" s="47" t="n">
        <x:v>1</x:v>
      </x:c>
      <x:c r="I411" s="47" t="n">
        <x:v>0.8289126284746899</x:v>
      </x:c>
      <x:c r="J411" s="47" t="n">
        <x:v>0.5497402204142142</x:v>
      </x:c>
      <x:c r="K411" s="47" t="n">
        <x:v>0.978991390409507</x:v>
      </x:c>
      <x:c r="L411" s="47" t="n">
        <x:v>0.5940405473556495</x:v>
      </x:c>
      <x:c r="M411" s="29" t="n">
        <x:v>0</x:v>
      </x:c>
    </x:row>
    <x:row r="412" ht="15" hidden="0" customHeight="1">
      <x:c r="A412" s="27" t="n">
        <x:v>408</x:v>
      </x:c>
      <x:c r="B412" s="27" t="n">
        <x:v>331312</x:v>
      </x:c>
      <x:c r="C412" s="27" t="str">
        <x:v>A0</x:v>
      </x:c>
      <x:c r="D412" s="52" t="n">
        <x:v>1676.0386106189892</x:v>
      </x:c>
      <x:c r="E412" s="46" t="n">
        <x:v>0.6704154442475957</x:v>
      </x:c>
      <x:c r="F412" s="46" t="n">
        <x:v>0.3532910105636466</x:v>
      </x:c>
      <x:c r="G412" s="46" t="n">
        <x:v>0.5773723790384235</x:v>
      </x:c>
      <x:c r="H412" s="46" t="n">
        <x:v>0.9966412159124962</x:v>
      </x:c>
      <x:c r="I412" s="46" t="n">
        <x:v>0.7995302941223414</x:v>
      </x:c>
      <x:c r="J412" s="46" t="n">
        <x:v>0.5773723790384235</x:v>
      </x:c>
      <x:c r="K412" s="46" t="n">
        <x:v>0.9992205890117827</x:v>
      </x:c>
      <x:c r="L412" s="46" t="n">
        <x:v>0.6273573277756702</x:v>
      </x:c>
      <x:c r="M412" s="27" t="n">
        <x:v>0</x:v>
      </x:c>
    </x:row>
    <x:row r="413" ht="15" hidden="0" customHeight="1">
      <x:c r="A413" s="29" t="n">
        <x:v>409</x:v>
      </x:c>
      <x:c r="B413" s="29" t="n">
        <x:v>331313</x:v>
      </x:c>
      <x:c r="C413" s="29" t="str">
        <x:v>A0</x:v>
      </x:c>
      <x:c r="D413" s="53" t="n">
        <x:v>1710.3258147170616</x:v>
      </x:c>
      <x:c r="E413" s="47" t="n">
        <x:v>0.6841303258868247</x:v>
      </x:c>
      <x:c r="F413" s="47" t="n">
        <x:v>0.34030651797665323</x:v>
      </x:c>
      <x:c r="G413" s="47" t="n">
        <x:v>0.5879969065516037</x:v>
      </x:c>
      <x:c r="H413" s="47" t="n">
        <x:v>0.992253929611377</x:v>
      </x:c>
      <x:c r="I413" s="47" t="n">
        <x:v>0.7924904405550802</x:v>
      </x:c>
      <x:c r="J413" s="47" t="n">
        <x:v>0.5879969065516037</x:v>
      </x:c>
      <x:c r="K413" s="47" t="n">
        <x:v>0.9956998592174393</x:v>
      </x:c>
      <x:c r="L413" s="47" t="n">
        <x:v>0.645571341762497</x:v>
      </x:c>
      <x:c r="M413" s="29" t="n">
        <x:v>0</x:v>
      </x:c>
    </x:row>
    <x:row r="414" ht="15" hidden="0" customHeight="1">
      <x:c r="A414" s="27" t="n">
        <x:v>410</x:v>
      </x:c>
      <x:c r="B414" s="27" t="n">
        <x:v>331314</x:v>
      </x:c>
      <x:c r="C414" s="27" t="str">
        <x:v>A0</x:v>
      </x:c>
      <x:c r="D414" s="52" t="n">
        <x:v>1666.3991645023239</x:v>
      </x:c>
      <x:c r="E414" s="46" t="n">
        <x:v>0.6665596658009295</x:v>
      </x:c>
      <x:c r="F414" s="46" t="n">
        <x:v>0.31387087613027465</x:v>
      </x:c>
      <x:c r="G414" s="46" t="n">
        <x:v>0.5704229448770418</x:v>
      </x:c>
      <x:c r="H414" s="46" t="n">
        <x:v>1</x:v>
      </x:c>
      <x:c r="I414" s="46" t="n">
        <x:v>0.8118133340449025</x:v>
      </x:c>
      <x:c r="J414" s="46" t="n">
        <x:v>0.5704229448770418</x:v>
      </x:c>
      <x:c r="K414" s="46" t="n">
        <x:v>0.9738342357186354</x:v>
      </x:c>
      <x:c r="L414" s="46" t="n">
        <x:v>0.6222326777845165</x:v>
      </x:c>
      <x:c r="M414" s="27" t="n">
        <x:v>0</x:v>
      </x:c>
    </x:row>
    <x:row r="415" ht="15" hidden="0" customHeight="1">
      <x:c r="A415" s="29" t="n">
        <x:v>411</x:v>
      </x:c>
      <x:c r="B415" s="29" t="n">
        <x:v>331315</x:v>
      </x:c>
      <x:c r="C415" s="29" t="str">
        <x:v>A0</x:v>
      </x:c>
      <x:c r="D415" s="53" t="n">
        <x:v>1577.5845486510827</x:v>
      </x:c>
      <x:c r="E415" s="47" t="n">
        <x:v>0.6310338194604331</x:v>
      </x:c>
      <x:c r="F415" s="47" t="n">
        <x:v>0.28348490713265095</x:v>
      </x:c>
      <x:c r="G415" s="47" t="n">
        <x:v>0.5367058951686702</x:v>
      </x:c>
      <x:c r="H415" s="47" t="n">
        <x:v>0.9836753216581002</x:v>
      </x:c>
      <x:c r="I415" s="47" t="n">
        <x:v>0.7464339765179842</x:v>
      </x:c>
      <x:c r="J415" s="47" t="n">
        <x:v>0.5367058951686702</x:v>
      </x:c>
      <x:c r="K415" s="47" t="n">
        <x:v>0.9570714926119009</x:v>
      </x:c>
      <x:c r="L415" s="47" t="n">
        <x:v>0.589967419028551</x:v>
      </x:c>
      <x:c r="M415" s="29" t="n">
        <x:v>0</x:v>
      </x:c>
    </x:row>
    <x:row r="416" ht="15" hidden="0" customHeight="1">
      <x:c r="A416" s="27" t="n">
        <x:v>412</x:v>
      </x:c>
      <x:c r="B416" s="27" t="n">
        <x:v>331316</x:v>
      </x:c>
      <x:c r="C416" s="27" t="str">
        <x:v>A0</x:v>
      </x:c>
      <x:c r="D416" s="52" t="n">
        <x:v>1631.3496780476653</x:v>
      </x:c>
      <x:c r="E416" s="46" t="n">
        <x:v>0.6525398712190661</x:v>
      </x:c>
      <x:c r="F416" s="46" t="n">
        <x:v>0.3381598315918895</x:v>
      </x:c>
      <x:c r="G416" s="46" t="n">
        <x:v>0.5567003201518446</x:v>
      </x:c>
      <x:c r="H416" s="46" t="n">
        <x:v>0.9607936766977355</x:v>
      </x:c>
      <x:c r="I416" s="46" t="n">
        <x:v>0.7547441452496254</x:v>
      </x:c>
      <x:c r="J416" s="46" t="n">
        <x:v>0.5567003201518446</x:v>
      </x:c>
      <x:c r="K416" s="46" t="n">
        <x:v>0.9934460801156031</x:v>
      </x:c>
      <x:c r="L416" s="46" t="n">
        <x:v>0.6131629007194149</x:v>
      </x:c>
      <x:c r="M416" s="27" t="n">
        <x:v>0</x:v>
      </x:c>
    </x:row>
    <x:row r="417" ht="15" hidden="0" customHeight="1">
      <x:c r="A417" s="29" t="n">
        <x:v>413</x:v>
      </x:c>
      <x:c r="B417" s="29" t="n">
        <x:v>331317</x:v>
      </x:c>
      <x:c r="C417" s="29" t="str">
        <x:v>A0</x:v>
      </x:c>
      <x:c r="D417" s="53" t="n">
        <x:v>1639.688608400648</x:v>
      </x:c>
      <x:c r="E417" s="47" t="n">
        <x:v>0.6558754433602593</x:v>
      </x:c>
      <x:c r="F417" s="47" t="n">
        <x:v>0.3307514275967103</x:v>
      </x:c>
      <x:c r="G417" s="47" t="n">
        <x:v>0.5701664320544878</x:v>
      </x:c>
      <x:c r="H417" s="47" t="n">
        <x:v>1</x:v>
      </x:c>
      <x:c r="I417" s="47" t="n">
        <x:v>0.8443483709832419</x:v>
      </x:c>
      <x:c r="J417" s="47" t="n">
        <x:v>0.5701664320544878</x:v>
      </x:c>
      <x:c r="K417" s="47" t="n">
        <x:v>0.9936848769957604</x:v>
      </x:c>
      <x:c r="L417" s="47" t="n">
        <x:v>0.602793656652477</x:v>
      </x:c>
      <x:c r="M417" s="29" t="n">
        <x:v>0</x:v>
      </x:c>
    </x:row>
    <x:row r="418" ht="15" hidden="0" customHeight="1">
      <x:c r="A418" s="27" t="n">
        <x:v>414</x:v>
      </x:c>
      <x:c r="B418" s="27" t="n">
        <x:v>331318</x:v>
      </x:c>
      <x:c r="C418" s="27" t="str">
        <x:v>A0</x:v>
      </x:c>
      <x:c r="D418" s="52" t="n">
        <x:v>1639.6994835146984</x:v>
      </x:c>
      <x:c r="E418" s="46" t="n">
        <x:v>0.6558797934058793</x:v>
      </x:c>
      <x:c r="F418" s="46" t="n">
        <x:v>0.3065657806531302</x:v>
      </x:c>
      <x:c r="G418" s="46" t="n">
        <x:v>0.5625710704820679</x:v>
      </x:c>
      <x:c r="H418" s="46" t="n">
        <x:v>1</x:v>
      </x:c>
      <x:c r="I418" s="46" t="n">
        <x:v>0.8322967923336848</x:v>
      </x:c>
      <x:c r="J418" s="46" t="n">
        <x:v>0.5625710704820679</x:v>
      </x:c>
      <x:c r="K418" s="46" t="n">
        <x:v>0.9751692613355212</x:v>
      </x:c>
      <x:c r="L418" s="46" t="n">
        <x:v>0.6058430539568721</x:v>
      </x:c>
      <x:c r="M418" s="27" t="n">
        <x:v>0</x:v>
      </x:c>
    </x:row>
    <x:row r="419" ht="15" hidden="0" customHeight="1">
      <x:c r="A419" s="29" t="n">
        <x:v>415</x:v>
      </x:c>
      <x:c r="B419" s="29" t="n">
        <x:v>331319</x:v>
      </x:c>
      <x:c r="C419" s="29" t="str">
        <x:v>A0</x:v>
      </x:c>
      <x:c r="D419" s="53" t="n">
        <x:v>1674.5826078225077</x:v>
      </x:c>
      <x:c r="E419" s="47" t="n">
        <x:v>0.669833043129003</x:v>
      </x:c>
      <x:c r="F419" s="47" t="n">
        <x:v>0.32108760079203025</x:v>
      </x:c>
      <x:c r="G419" s="47" t="n">
        <x:v>0.5812228967456374</x:v>
      </x:c>
      <x:c r="H419" s="47" t="n">
        <x:v>1</x:v>
      </x:c>
      <x:c r="I419" s="47" t="n">
        <x:v>0.8302924721735121</x:v>
      </x:c>
      <x:c r="J419" s="47" t="n">
        <x:v>0.5812228967456374</x:v>
      </x:c>
      <x:c r="K419" s="47" t="n">
        <x:v>0.9781069703713774</x:v>
      </x:c>
      <x:c r="L419" s="47" t="n">
        <x:v>0.623068492449404</x:v>
      </x:c>
      <x:c r="M419" s="29" t="n">
        <x:v>0</x:v>
      </x:c>
    </x:row>
    <x:row r="420" ht="15" hidden="0" customHeight="1">
      <x:c r="A420" s="27" t="n">
        <x:v>416</x:v>
      </x:c>
      <x:c r="B420" s="27" t="n">
        <x:v>331320</x:v>
      </x:c>
      <x:c r="C420" s="27" t="str">
        <x:v>A0</x:v>
      </x:c>
      <x:c r="D420" s="52" t="n">
        <x:v>1654.8051156274532</x:v>
      </x:c>
      <x:c r="E420" s="46" t="n">
        <x:v>0.6619220462509813</x:v>
      </x:c>
      <x:c r="F420" s="46" t="n">
        <x:v>0.33710283003095276</x:v>
      </x:c>
      <x:c r="G420" s="46" t="n">
        <x:v>0.5601518518395315</x:v>
      </x:c>
      <x:c r="H420" s="46" t="n">
        <x:v>0.9896758256079008</x:v>
      </x:c>
      <x:c r="I420" s="46" t="n">
        <x:v>0.802249566793439</x:v>
      </x:c>
      <x:c r="J420" s="46" t="n">
        <x:v>0.5601518518395315</x:v>
      </x:c>
      <x:c r="K420" s="46" t="n">
        <x:v>0.9963720832672185</x:v>
      </x:c>
      <x:c r="L420" s="46" t="n">
        <x:v>0.6168296456367658</x:v>
      </x:c>
      <x:c r="M420" s="27" t="n">
        <x:v>0</x:v>
      </x:c>
    </x:row>
    <x:row r="421" ht="15" hidden="0" customHeight="1">
      <x:c r="A421" s="29" t="n">
        <x:v>417</x:v>
      </x:c>
      <x:c r="B421" s="29" t="n">
        <x:v>331321</x:v>
      </x:c>
      <x:c r="C421" s="29" t="str">
        <x:v>A0</x:v>
      </x:c>
      <x:c r="D421" s="53" t="n">
        <x:v>1722.8004446668472</x:v>
      </x:c>
      <x:c r="E421" s="47" t="n">
        <x:v>0.6891201778667388</x:v>
      </x:c>
      <x:c r="F421" s="47" t="n">
        <x:v>0.3651002366351937</x:v>
      </x:c>
      <x:c r="G421" s="47" t="n">
        <x:v>0.595009521952449</x:v>
      </x:c>
      <x:c r="H421" s="47" t="n">
        <x:v>1</x:v>
      </x:c>
      <x:c r="I421" s="47" t="n">
        <x:v>0.880095011311337</x:v>
      </x:c>
      <x:c r="J421" s="47" t="n">
        <x:v>0.595009521952449</x:v>
      </x:c>
      <x:c r="K421" s="47" t="n">
        <x:v>0.9927282699189923</x:v>
      </x:c>
      <x:c r="L421" s="47" t="n">
        <x:v>0.638170306497056</x:v>
      </x:c>
      <x:c r="M421" s="29" t="n">
        <x:v>0</x:v>
      </x:c>
    </x:row>
    <x:row r="422" ht="15" hidden="0" customHeight="1">
      <x:c r="A422" s="27" t="n">
        <x:v>418</x:v>
      </x:c>
      <x:c r="B422" s="27" t="n">
        <x:v>331322</x:v>
      </x:c>
      <x:c r="C422" s="27" t="str">
        <x:v>A0</x:v>
      </x:c>
      <x:c r="D422" s="52" t="n">
        <x:v>1699.02751356016</x:v>
      </x:c>
      <x:c r="E422" s="46" t="n">
        <x:v>0.679611005424064</x:v>
      </x:c>
      <x:c r="F422" s="46" t="n">
        <x:v>0.35631293600809905</x:v>
      </x:c>
      <x:c r="G422" s="46" t="n">
        <x:v>0.5798645311954512</x:v>
      </x:c>
      <x:c r="H422" s="46" t="n">
        <x:v>1</x:v>
      </x:c>
      <x:c r="I422" s="46" t="n">
        <x:v>0.8733523758719652</x:v>
      </x:c>
      <x:c r="J422" s="46" t="n">
        <x:v>0.5798645311954512</x:v>
      </x:c>
      <x:c r="K422" s="46" t="n">
        <x:v>0.9955900128682021</x:v>
      </x:c>
      <x:c r="L422" s="46" t="n">
        <x:v>0.6274144026604436</x:v>
      </x:c>
      <x:c r="M422" s="27" t="n">
        <x:v>0</x:v>
      </x:c>
    </x:row>
    <x:row r="423" ht="15" hidden="0" customHeight="1">
      <x:c r="A423" s="29" t="n">
        <x:v>419</x:v>
      </x:c>
      <x:c r="B423" s="29" t="n">
        <x:v>331323</x:v>
      </x:c>
      <x:c r="C423" s="29" t="str">
        <x:v>A0</x:v>
      </x:c>
      <x:c r="D423" s="53" t="n">
        <x:v>1584.214133370586</x:v>
      </x:c>
      <x:c r="E423" s="47" t="n">
        <x:v>0.6336856533482345</x:v>
      </x:c>
      <x:c r="F423" s="47" t="n">
        <x:v>0.3255459973589946</x:v>
      </x:c>
      <x:c r="G423" s="47" t="n">
        <x:v>0.538347141425883</x:v>
      </x:c>
      <x:c r="H423" s="47" t="n">
        <x:v>1</x:v>
      </x:c>
      <x:c r="I423" s="47" t="n">
        <x:v>0.8157119270148919</x:v>
      </x:c>
      <x:c r="J423" s="47" t="n">
        <x:v>0.538347141425883</x:v>
      </x:c>
      <x:c r="K423" s="47" t="n">
        <x:v>0.9879702101939127</x:v>
      </x:c>
      <x:c r="L423" s="47" t="n">
        <x:v>0.5804187486387675</x:v>
      </x:c>
      <x:c r="M423" s="29" t="n">
        <x:v>0</x:v>
      </x:c>
    </x:row>
    <x:row r="424" ht="15" hidden="0" customHeight="1">
      <x:c r="A424" s="27" t="n">
        <x:v>420</x:v>
      </x:c>
      <x:c r="B424" s="27" t="n">
        <x:v>331324</x:v>
      </x:c>
      <x:c r="C424" s="27" t="str">
        <x:v>A0</x:v>
      </x:c>
      <x:c r="D424" s="52" t="n">
        <x:v>1691.8070423623851</x:v>
      </x:c>
      <x:c r="E424" s="46" t="n">
        <x:v>0.6767228169449541</x:v>
      </x:c>
      <x:c r="F424" s="46" t="n">
        <x:v>0.34743347242445644</x:v>
      </x:c>
      <x:c r="G424" s="46" t="n">
        <x:v>0.5763796096156575</x:v>
      </x:c>
      <x:c r="H424" s="46" t="n">
        <x:v>1</x:v>
      </x:c>
      <x:c r="I424" s="46" t="n">
        <x:v>0.8296251904184183</x:v>
      </x:c>
      <x:c r="J424" s="46" t="n">
        <x:v>0.5763796096156575</x:v>
      </x:c>
      <x:c r="K424" s="46" t="n">
        <x:v>0.9983179147374079</x:v>
      </x:c>
      <x:c r="L424" s="46" t="n">
        <x:v>0.6304965808556003</x:v>
      </x:c>
      <x:c r="M424" s="27" t="n">
        <x:v>0</x:v>
      </x:c>
    </x:row>
    <x:row r="425" ht="15" hidden="0" customHeight="1">
      <x:c r="A425" s="29" t="n">
        <x:v>421</x:v>
      </x:c>
      <x:c r="B425" s="29" t="n">
        <x:v>331325</x:v>
      </x:c>
      <x:c r="C425" s="29" t="str">
        <x:v>A0</x:v>
      </x:c>
      <x:c r="D425" s="53" t="n">
        <x:v>1691.4058828599211</x:v>
      </x:c>
      <x:c r="E425" s="47" t="n">
        <x:v>0.6765623531439684</x:v>
      </x:c>
      <x:c r="F425" s="47" t="n">
        <x:v>0.3559189821464091</x:v>
      </x:c>
      <x:c r="G425" s="47" t="n">
        <x:v>0.592027199472287</x:v>
      </x:c>
      <x:c r="H425" s="47" t="n">
        <x:v>0.9547391166484775</x:v>
      </x:c>
      <x:c r="I425" s="47" t="n">
        <x:v>0.7750846576221192</x:v>
      </x:c>
      <x:c r="J425" s="47" t="n">
        <x:v>0.592027199472287</x:v>
      </x:c>
      <x:c r="K425" s="47" t="n">
        <x:v>0.997671167248355</x:v>
      </x:c>
      <x:c r="L425" s="47" t="n">
        <x:v>0.6392242679229012</x:v>
      </x:c>
      <x:c r="M425" s="29" t="n">
        <x:v>0</x:v>
      </x:c>
    </x:row>
    <x:row r="426" ht="15" hidden="0" customHeight="1">
      <x:c r="A426" s="27" t="n">
        <x:v>422</x:v>
      </x:c>
      <x:c r="B426" s="27" t="n">
        <x:v>331326</x:v>
      </x:c>
      <x:c r="C426" s="27" t="str">
        <x:v>A0</x:v>
      </x:c>
      <x:c r="D426" s="52" t="n">
        <x:v>1647.797893498026</x:v>
      </x:c>
      <x:c r="E426" s="46" t="n">
        <x:v>0.6591191573992105</x:v>
      </x:c>
      <x:c r="F426" s="46" t="n">
        <x:v>0.33327128235305953</x:v>
      </x:c>
      <x:c r="G426" s="46" t="n">
        <x:v>0.5694218737110437</x:v>
      </x:c>
      <x:c r="H426" s="46" t="n">
        <x:v>0.9954257626067209</x:v>
      </x:c>
      <x:c r="I426" s="46" t="n">
        <x:v>0.8002391420307303</x:v>
      </x:c>
      <x:c r="J426" s="46" t="n">
        <x:v>0.5694218737110437</x:v>
      </x:c>
      <x:c r="K426" s="46" t="n">
        <x:v>0.9871576026525776</x:v>
      </x:c>
      <x:c r="L426" s="46" t="n">
        <x:v>0.6140993469989271</x:v>
      </x:c>
      <x:c r="M426" s="27" t="n">
        <x:v>0</x:v>
      </x:c>
    </x:row>
    <x:row r="427" ht="15" hidden="0" customHeight="1">
      <x:c r="A427" s="29" t="n">
        <x:v>423</x:v>
      </x:c>
      <x:c r="B427" s="29" t="n">
        <x:v>331327</x:v>
      </x:c>
      <x:c r="C427" s="29" t="str">
        <x:v>A0</x:v>
      </x:c>
      <x:c r="D427" s="53" t="n">
        <x:v>1648.776844524324</x:v>
      </x:c>
      <x:c r="E427" s="47" t="n">
        <x:v>0.6595107378097296</x:v>
      </x:c>
      <x:c r="F427" s="47" t="n">
        <x:v>0.3240876416828165</x:v>
      </x:c>
      <x:c r="G427" s="47" t="n">
        <x:v>0.5673162367589241</x:v>
      </x:c>
      <x:c r="H427" s="47" t="n">
        <x:v>1</x:v>
      </x:c>
      <x:c r="I427" s="47" t="n">
        <x:v>0.8309090182877431</x:v>
      </x:c>
      <x:c r="J427" s="47" t="n">
        <x:v>0.5673162367589241</x:v>
      </x:c>
      <x:c r="K427" s="47" t="n">
        <x:v>0.9830357574196313</x:v>
      </x:c>
      <x:c r="L427" s="47" t="n">
        <x:v>0.6100323139082127</x:v>
      </x:c>
      <x:c r="M427" s="29" t="n">
        <x:v>0</x:v>
      </x:c>
    </x:row>
    <x:row r="428" ht="15" hidden="0" customHeight="1">
      <x:c r="A428" s="27" t="n">
        <x:v>424</x:v>
      </x:c>
      <x:c r="B428" s="27" t="n">
        <x:v>331328</x:v>
      </x:c>
      <x:c r="C428" s="27" t="str">
        <x:v>A0</x:v>
      </x:c>
      <x:c r="D428" s="52" t="n">
        <x:v>1625.6265370608332</x:v>
      </x:c>
      <x:c r="E428" s="46" t="n">
        <x:v>0.6502506148243333</x:v>
      </x:c>
      <x:c r="F428" s="46" t="n">
        <x:v>0.30018758104071885</x:v>
      </x:c>
      <x:c r="G428" s="46" t="n">
        <x:v>0.5626584851247908</x:v>
      </x:c>
      <x:c r="H428" s="46" t="n">
        <x:v>1</x:v>
      </x:c>
      <x:c r="I428" s="46" t="n">
        <x:v>0.845355973881245</x:v>
      </x:c>
      <x:c r="J428" s="46" t="n">
        <x:v>0.5626584851247908</x:v>
      </x:c>
      <x:c r="K428" s="46" t="n">
        <x:v>0.9668100390697085</x:v>
      </x:c>
      <x:c r="L428" s="46" t="n">
        <x:v>0.5973684897924462</x:v>
      </x:c>
      <x:c r="M428" s="27" t="n">
        <x:v>0</x:v>
      </x:c>
    </x:row>
    <x:row r="429" ht="15" hidden="0" customHeight="1">
      <x:c r="A429" s="29" t="n">
        <x:v>425</x:v>
      </x:c>
      <x:c r="B429" s="29" t="n">
        <x:v>331329</x:v>
      </x:c>
      <x:c r="C429" s="29" t="str">
        <x:v>A0</x:v>
      </x:c>
      <x:c r="D429" s="53" t="n">
        <x:v>1699.7222305135815</x:v>
      </x:c>
      <x:c r="E429" s="47" t="n">
        <x:v>0.6798888922054326</x:v>
      </x:c>
      <x:c r="F429" s="47" t="n">
        <x:v>0.35427996391987315</x:v>
      </x:c>
      <x:c r="G429" s="47" t="n">
        <x:v>0.5927597372226043</x:v>
      </x:c>
      <x:c r="H429" s="47" t="n">
        <x:v>1</x:v>
      </x:c>
      <x:c r="I429" s="47" t="n">
        <x:v>0.8781040048239013</x:v>
      </x:c>
      <x:c r="J429" s="47" t="n">
        <x:v>0.5927597372226043</x:v>
      </x:c>
      <x:c r="K429" s="47" t="n">
        <x:v>1</x:v>
      </x:c>
      <x:c r="L429" s="47" t="n">
        <x:v>0.6266581950290055</x:v>
      </x:c>
      <x:c r="M429" s="29" t="n">
        <x:v>0</x:v>
      </x:c>
    </x:row>
    <x:row r="430" ht="15" hidden="0" customHeight="1">
      <x:c r="A430" s="27" t="n">
        <x:v>426</x:v>
      </x:c>
      <x:c r="B430" s="27" t="n">
        <x:v>331330</x:v>
      </x:c>
      <x:c r="C430" s="27" t="str">
        <x:v>A0</x:v>
      </x:c>
      <x:c r="D430" s="52" t="n">
        <x:v>1668.9926487801565</x:v>
      </x:c>
      <x:c r="E430" s="46" t="n">
        <x:v>0.6675970595120626</x:v>
      </x:c>
      <x:c r="F430" s="46" t="n">
        <x:v>0.330120913124161</x:v>
      </x:c>
      <x:c r="G430" s="46" t="n">
        <x:v>0.5686336536338106</x:v>
      </x:c>
      <x:c r="H430" s="46" t="n">
        <x:v>1</x:v>
      </x:c>
      <x:c r="I430" s="46" t="n">
        <x:v>0.8005722934464985</x:v>
      </x:c>
      <x:c r="J430" s="46" t="n">
        <x:v>0.5686336536338106</x:v>
      </x:c>
      <x:c r="K430" s="46" t="n">
        <x:v>0.9796330046828433</x:v>
      </x:c>
      <x:c r="L430" s="46" t="n">
        <x:v>0.6249219987397088</x:v>
      </x:c>
      <x:c r="M430" s="27" t="n">
        <x:v>0</x:v>
      </x:c>
    </x:row>
    <x:row r="431" ht="15" hidden="0" customHeight="1">
      <x:c r="A431" s="29" t="n">
        <x:v>427</x:v>
      </x:c>
      <x:c r="B431" s="29" t="n">
        <x:v>331331</x:v>
      </x:c>
      <x:c r="C431" s="29" t="str">
        <x:v>A0</x:v>
      </x:c>
      <x:c r="D431" s="53" t="n">
        <x:v>1662.3184513682304</x:v>
      </x:c>
      <x:c r="E431" s="47" t="n">
        <x:v>0.6649273805472922</x:v>
      </x:c>
      <x:c r="F431" s="47" t="n">
        <x:v>0.3433734721621873</x:v>
      </x:c>
      <x:c r="G431" s="47" t="n">
        <x:v>0.5678588370434606</x:v>
      </x:c>
      <x:c r="H431" s="47" t="n">
        <x:v>0.9600718559104746</x:v>
      </x:c>
      <x:c r="I431" s="47" t="n">
        <x:v>0.7604858638775667</x:v>
      </x:c>
      <x:c r="J431" s="47" t="n">
        <x:v>0.5678588370434606</x:v>
      </x:c>
      <x:c r="K431" s="47" t="n">
        <x:v>0.9879146992866801</x:v>
      </x:c>
      <x:c r="L431" s="47" t="n">
        <x:v>0.627827684835942</x:v>
      </x:c>
      <x:c r="M431" s="29" t="n">
        <x:v>0</x:v>
      </x:c>
    </x:row>
    <x:row r="432" ht="15" hidden="0" customHeight="1">
      <x:c r="A432" s="27" t="n">
        <x:v>428</x:v>
      </x:c>
      <x:c r="B432" s="27" t="n">
        <x:v>331332</x:v>
      </x:c>
      <x:c r="C432" s="27" t="str">
        <x:v>A0</x:v>
      </x:c>
      <x:c r="D432" s="52" t="n">
        <x:v>1708.0211014158665</x:v>
      </x:c>
      <x:c r="E432" s="46" t="n">
        <x:v>0.6832084405663466</x:v>
      </x:c>
      <x:c r="F432" s="46" t="n">
        <x:v>0.3573951971361942</x:v>
      </x:c>
      <x:c r="G432" s="46" t="n">
        <x:v>0.5880264469268124</x:v>
      </x:c>
      <x:c r="H432" s="46" t="n">
        <x:v>1</x:v>
      </x:c>
      <x:c r="I432" s="46" t="n">
        <x:v>0.868874042138485</x:v>
      </x:c>
      <x:c r="J432" s="46" t="n">
        <x:v>0.5880264469268124</x:v>
      </x:c>
      <x:c r="K432" s="46" t="n">
        <x:v>0.9933526463594166</x:v>
      </x:c>
      <x:c r="L432" s="46" t="n">
        <x:v>0.6326261500323367</x:v>
      </x:c>
      <x:c r="M432" s="27" t="n">
        <x:v>0</x:v>
      </x:c>
    </x:row>
    <x:row r="433" ht="15" hidden="0" customHeight="1">
      <x:c r="A433" s="29" t="n">
        <x:v>429</x:v>
      </x:c>
      <x:c r="B433" s="29" t="n">
        <x:v>331333</x:v>
      </x:c>
      <x:c r="C433" s="29" t="str">
        <x:v>A0</x:v>
      </x:c>
      <x:c r="D433" s="53" t="n">
        <x:v>1673.8407063935326</x:v>
      </x:c>
      <x:c r="E433" s="47" t="n">
        <x:v>0.669536282557413</x:v>
      </x:c>
      <x:c r="F433" s="47" t="n">
        <x:v>0.3021360150316043</x:v>
      </x:c>
      <x:c r="G433" s="47" t="n">
        <x:v>0.5749636940137187</x:v>
      </x:c>
      <x:c r="H433" s="47" t="n">
        <x:v>0.9984553441325005</x:v>
      </x:c>
      <x:c r="I433" s="47" t="n">
        <x:v>0.8132215821843302</x:v>
      </x:c>
      <x:c r="J433" s="47" t="n">
        <x:v>0.5749636940137187</x:v>
      </x:c>
      <x:c r="K433" s="47" t="n">
        <x:v>0.9751214148358585</x:v>
      </x:c>
      <x:c r="L433" s="47" t="n">
        <x:v>0.6255967063472828</x:v>
      </x:c>
      <x:c r="M433" s="29" t="n">
        <x:v>0</x:v>
      </x:c>
    </x:row>
    <x:row r="434" ht="15" hidden="0" customHeight="1">
      <x:c r="A434" s="27" t="n">
        <x:v>430</x:v>
      </x:c>
      <x:c r="B434" s="27" t="n">
        <x:v>331334</x:v>
      </x:c>
      <x:c r="C434" s="27" t="str">
        <x:v>A0</x:v>
      </x:c>
      <x:c r="D434" s="52" t="n">
        <x:v>1704.9776033498079</x:v>
      </x:c>
      <x:c r="E434" s="46" t="n">
        <x:v>0.6819910413399232</x:v>
      </x:c>
      <x:c r="F434" s="46" t="n">
        <x:v>0.33688793226556885</x:v>
      </x:c>
      <x:c r="G434" s="46" t="n">
        <x:v>0.5908935621428886</x:v>
      </x:c>
      <x:c r="H434" s="46" t="n">
        <x:v>1</x:v>
      </x:c>
      <x:c r="I434" s="46" t="n">
        <x:v>0.8687673654484037</x:v>
      </x:c>
      <x:c r="J434" s="46" t="n">
        <x:v>0.5908935621428886</x:v>
      </x:c>
      <x:c r="K434" s="46" t="n">
        <x:v>0.9995912114169776</x:v>
      </x:c>
      <x:c r="L434" s="46" t="n">
        <x:v>0.6307417697365257</x:v>
      </x:c>
      <x:c r="M434" s="27" t="n">
        <x:v>0</x:v>
      </x:c>
    </x:row>
    <x:row r="435" ht="15" hidden="0" customHeight="1">
      <x:c r="A435" s="29" t="n">
        <x:v>431</x:v>
      </x:c>
      <x:c r="B435" s="29" t="n">
        <x:v>331335</x:v>
      </x:c>
      <x:c r="C435" s="29" t="str">
        <x:v>A0</x:v>
      </x:c>
      <x:c r="D435" s="53" t="n">
        <x:v>1672.8900722391784</x:v>
      </x:c>
      <x:c r="E435" s="47" t="n">
        <x:v>0.6691560288956714</x:v>
      </x:c>
      <x:c r="F435" s="47" t="n">
        <x:v>0.3425580718631581</x:v>
      </x:c>
      <x:c r="G435" s="47" t="n">
        <x:v>0.5798847855485064</x:v>
      </x:c>
      <x:c r="H435" s="47" t="n">
        <x:v>1</x:v>
      </x:c>
      <x:c r="I435" s="47" t="n">
        <x:v>0.8263108261234632</x:v>
      </x:c>
      <x:c r="J435" s="47" t="n">
        <x:v>0.5798847855485064</x:v>
      </x:c>
      <x:c r="K435" s="47" t="n">
        <x:v>0.9960369699431165</x:v>
      </x:c>
      <x:c r="L435" s="47" t="n">
        <x:v>0.6217788077636579</x:v>
      </x:c>
      <x:c r="M435" s="29" t="n">
        <x:v>0</x:v>
      </x:c>
    </x:row>
    <x:row r="436" ht="15" hidden="0" customHeight="1">
      <x:c r="A436" s="27" t="n">
        <x:v>432</x:v>
      </x:c>
      <x:c r="B436" s="27" t="n">
        <x:v>331336</x:v>
      </x:c>
      <x:c r="C436" s="27" t="str">
        <x:v>A0</x:v>
      </x:c>
      <x:c r="D436" s="52" t="n">
        <x:v>1692.002273791403</x:v>
      </x:c>
      <x:c r="E436" s="46" t="n">
        <x:v>0.6768009095165612</x:v>
      </x:c>
      <x:c r="F436" s="46" t="n">
        <x:v>0.35485566916723194</x:v>
      </x:c>
      <x:c r="G436" s="46" t="n">
        <x:v>0.58624376223125</x:v>
      </x:c>
      <x:c r="H436" s="46" t="n">
        <x:v>1</x:v>
      </x:c>
      <x:c r="I436" s="46" t="n">
        <x:v>0.8730394784300806</x:v>
      </x:c>
      <x:c r="J436" s="46" t="n">
        <x:v>0.58624376223125</x:v>
      </x:c>
      <x:c r="K436" s="46" t="n">
        <x:v>0.9979306105985317</x:v>
      </x:c>
      <x:c r="L436" s="46" t="n">
        <x:v>0.6238043664774354</x:v>
      </x:c>
      <x:c r="M436" s="27" t="n">
        <x:v>0</x:v>
      </x:c>
    </x:row>
    <x:row r="437" ht="15" hidden="0" customHeight="1">
      <x:c r="A437" s="29" t="n">
        <x:v>433</x:v>
      </x:c>
      <x:c r="B437" s="29" t="n">
        <x:v>331337</x:v>
      </x:c>
      <x:c r="C437" s="29" t="str">
        <x:v>A0</x:v>
      </x:c>
      <x:c r="D437" s="53" t="n">
        <x:v>1651.4983340056287</x:v>
      </x:c>
      <x:c r="E437" s="47" t="n">
        <x:v>0.6605993336022515</x:v>
      </x:c>
      <x:c r="F437" s="47" t="n">
        <x:v>0.318355259896748</x:v>
      </x:c>
      <x:c r="G437" s="47" t="n">
        <x:v>0.5652306282436039</x:v>
      </x:c>
      <x:c r="H437" s="47" t="n">
        <x:v>1</x:v>
      </x:c>
      <x:c r="I437" s="47" t="n">
        <x:v>0.8448874529329334</x:v>
      </x:c>
      <x:c r="J437" s="47" t="n">
        <x:v>0.5652306282436039</x:v>
      </x:c>
      <x:c r="K437" s="47" t="n">
        <x:v>0.9773315701397788</x:v>
      </x:c>
      <x:c r="L437" s="47" t="n">
        <x:v>0.6095664314810605</x:v>
      </x:c>
      <x:c r="M437" s="29" t="n">
        <x:v>0</x:v>
      </x:c>
    </x:row>
    <x:row r="438" ht="15" hidden="0" customHeight="1">
      <x:c r="A438" s="27" t="n">
        <x:v>434</x:v>
      </x:c>
      <x:c r="B438" s="27" t="n">
        <x:v>331338</x:v>
      </x:c>
      <x:c r="C438" s="27" t="str">
        <x:v>A0</x:v>
      </x:c>
      <x:c r="D438" s="52" t="n">
        <x:v>1683.7924042541754</x:v>
      </x:c>
      <x:c r="E438" s="46" t="n">
        <x:v>0.6735169617016702</x:v>
      </x:c>
      <x:c r="F438" s="46" t="n">
        <x:v>0.32241563948459195</x:v>
      </x:c>
      <x:c r="G438" s="46" t="n">
        <x:v>0.5760747651172283</x:v>
      </x:c>
      <x:c r="H438" s="46" t="n">
        <x:v>1</x:v>
      </x:c>
      <x:c r="I438" s="46" t="n">
        <x:v>0.8418814889429522</x:v>
      </x:c>
      <x:c r="J438" s="46" t="n">
        <x:v>0.5760747651172283</x:v>
      </x:c>
      <x:c r="K438" s="46" t="n">
        <x:v>0.995327830290277</x:v>
      </x:c>
      <x:c r="L438" s="46" t="n">
        <x:v>0.6248180782530111</x:v>
      </x:c>
      <x:c r="M438" s="27" t="n">
        <x:v>0</x:v>
      </x:c>
    </x:row>
    <x:row r="439" ht="15" hidden="0" customHeight="1">
      <x:c r="A439" s="29" t="n">
        <x:v>435</x:v>
      </x:c>
      <x:c r="B439" s="29" t="n">
        <x:v>331339</x:v>
      </x:c>
      <x:c r="C439" s="29" t="str">
        <x:v>A0</x:v>
      </x:c>
      <x:c r="D439" s="53" t="n">
        <x:v>1661.7079174610649</x:v>
      </x:c>
      <x:c r="E439" s="47" t="n">
        <x:v>0.664683166984426</x:v>
      </x:c>
      <x:c r="F439" s="47" t="n">
        <x:v>0.3379297815713559</x:v>
      </x:c>
      <x:c r="G439" s="47" t="n">
        <x:v>0.5742407081944542</x:v>
      </x:c>
      <x:c r="H439" s="47" t="n">
        <x:v>0.9852654054442262</x:v>
      </x:c>
      <x:c r="I439" s="47" t="n">
        <x:v>0.7923607781957792</x:v>
      </x:c>
      <x:c r="J439" s="47" t="n">
        <x:v>0.5742407081944542</x:v>
      </x:c>
      <x:c r="K439" s="47" t="n">
        <x:v>0.9999685753464966</x:v>
      </x:c>
      <x:c r="L439" s="47" t="n">
        <x:v>0.6215048865612054</x:v>
      </x:c>
      <x:c r="M439" s="29" t="n">
        <x:v>0</x:v>
      </x:c>
    </x:row>
    <x:row r="440" ht="15" hidden="0" customHeight="1">
      <x:c r="A440" s="27" t="n">
        <x:v>436</x:v>
      </x:c>
      <x:c r="B440" s="27" t="n">
        <x:v>331340</x:v>
      </x:c>
      <x:c r="C440" s="27" t="str">
        <x:v>A0</x:v>
      </x:c>
      <x:c r="D440" s="52" t="n">
        <x:v>1699.3268744586182</x:v>
      </x:c>
      <x:c r="E440" s="46" t="n">
        <x:v>0.6797307497834473</x:v>
      </x:c>
      <x:c r="F440" s="46" t="n">
        <x:v>0.3427571007168987</x:v>
      </x:c>
      <x:c r="G440" s="46" t="n">
        <x:v>0.5869646320338808</x:v>
      </x:c>
      <x:c r="H440" s="46" t="n">
        <x:v>0.9973008161529668</x:v>
      </x:c>
      <x:c r="I440" s="46" t="n">
        <x:v>0.8160578753301329</x:v>
      </x:c>
      <x:c r="J440" s="46" t="n">
        <x:v>0.5869646320338808</x:v>
      </x:c>
      <x:c r="K440" s="46" t="n">
        <x:v>1</x:v>
      </x:c>
      <x:c r="L440" s="46" t="n">
        <x:v>0.6361687735405689</x:v>
      </x:c>
      <x:c r="M440" s="27" t="n">
        <x:v>0</x:v>
      </x:c>
    </x:row>
    <x:row r="441" ht="15" hidden="0" customHeight="1">
      <x:c r="A441" s="29" t="n">
        <x:v>437</x:v>
      </x:c>
      <x:c r="B441" s="29" t="n">
        <x:v>331341</x:v>
      </x:c>
      <x:c r="C441" s="29" t="str">
        <x:v>A0</x:v>
      </x:c>
      <x:c r="D441" s="53" t="n">
        <x:v>1644.7478950631064</x:v>
      </x:c>
      <x:c r="E441" s="47" t="n">
        <x:v>0.6578991580252426</x:v>
      </x:c>
      <x:c r="F441" s="47" t="n">
        <x:v>0.3324765014712893</x:v>
      </x:c>
      <x:c r="G441" s="47" t="n">
        <x:v>0.5609496872120359</x:v>
      </x:c>
      <x:c r="H441" s="47" t="n">
        <x:v>0.9950179707085424</x:v>
      </x:c>
      <x:c r="I441" s="47" t="n">
        <x:v>0.8018206395897849</x:v>
      </x:c>
      <x:c r="J441" s="47" t="n">
        <x:v>0.5609496872120359</x:v>
      </x:c>
      <x:c r="K441" s="47" t="n">
        <x:v>0.9983658658680628</x:v>
      </x:c>
      <x:c r="L441" s="47" t="n">
        <x:v>0.6117389718232648</x:v>
      </x:c>
      <x:c r="M441" s="29" t="n">
        <x:v>0</x:v>
      </x:c>
    </x:row>
    <x:row r="442" ht="15" hidden="0" customHeight="1">
      <x:c r="A442" s="27" t="n">
        <x:v>438</x:v>
      </x:c>
      <x:c r="B442" s="27" t="n">
        <x:v>331342</x:v>
      </x:c>
      <x:c r="C442" s="27" t="str">
        <x:v>A0</x:v>
      </x:c>
      <x:c r="D442" s="52" t="n">
        <x:v>1673.1657312685024</x:v>
      </x:c>
      <x:c r="E442" s="46" t="n">
        <x:v>0.669266292507401</x:v>
      </x:c>
      <x:c r="F442" s="46" t="n">
        <x:v>0.3411214044299833</x:v>
      </x:c>
      <x:c r="G442" s="46" t="n">
        <x:v>0.5730398666749463</x:v>
      </x:c>
      <x:c r="H442" s="46" t="n">
        <x:v>0.9974763185024438</x:v>
      </x:c>
      <x:c r="I442" s="46" t="n">
        <x:v>0.8652810846586785</x:v>
      </x:c>
      <x:c r="J442" s="46" t="n">
        <x:v>0.5730398666749463</x:v>
      </x:c>
      <x:c r="K442" s="46" t="n">
        <x:v>0.9956368340168411</x:v>
      </x:c>
      <x:c r="L442" s="46" t="n">
        <x:v>0.6159709475508773</x:v>
      </x:c>
      <x:c r="M442" s="27" t="n">
        <x:v>0</x:v>
      </x:c>
    </x:row>
    <x:row r="443" ht="15" hidden="0" customHeight="1">
      <x:c r="A443" s="29" t="n">
        <x:v>439</x:v>
      </x:c>
      <x:c r="B443" s="29" t="n">
        <x:v>331343</x:v>
      </x:c>
      <x:c r="C443" s="29" t="str">
        <x:v>A0</x:v>
      </x:c>
      <x:c r="D443" s="53" t="n">
        <x:v>1663.2116881236718</x:v>
      </x:c>
      <x:c r="E443" s="47" t="n">
        <x:v>0.6652846752494688</x:v>
      </x:c>
      <x:c r="F443" s="47" t="n">
        <x:v>0.32553791754289135</x:v>
      </x:c>
      <x:c r="G443" s="47" t="n">
        <x:v>0.5721721182511889</x:v>
      </x:c>
      <x:c r="H443" s="47" t="n">
        <x:v>1</x:v>
      </x:c>
      <x:c r="I443" s="47" t="n">
        <x:v>0.8401969504119688</x:v>
      </x:c>
      <x:c r="J443" s="47" t="n">
        <x:v>0.5721721182511889</x:v>
      </x:c>
      <x:c r="K443" s="47" t="n">
        <x:v>0.9877397093408503</x:v>
      </x:c>
      <x:c r="L443" s="47" t="n">
        <x:v>0.6154007158783454</x:v>
      </x:c>
      <x:c r="M443" s="29" t="n">
        <x:v>0</x:v>
      </x:c>
    </x:row>
    <x:row r="444" ht="15" hidden="0" customHeight="1">
      <x:c r="A444" s="27" t="n">
        <x:v>440</x:v>
      </x:c>
      <x:c r="B444" s="27" t="n">
        <x:v>331344</x:v>
      </x:c>
      <x:c r="C444" s="27" t="str">
        <x:v>A0</x:v>
      </x:c>
      <x:c r="D444" s="52" t="n">
        <x:v>1623.6261911797567</x:v>
      </x:c>
      <x:c r="E444" s="46" t="n">
        <x:v>0.6494504764719027</x:v>
      </x:c>
      <x:c r="F444" s="46" t="n">
        <x:v>0.3296626121012712</x:v>
      </x:c>
      <x:c r="G444" s="46" t="n">
        <x:v>0.5527940123297321</x:v>
      </x:c>
      <x:c r="H444" s="46" t="n">
        <x:v>0.9400179154411704</x:v>
      </x:c>
      <x:c r="I444" s="46" t="n">
        <x:v>0.7550885265845297</x:v>
      </x:c>
      <x:c r="J444" s="46" t="n">
        <x:v>0.5527940123297321</x:v>
      </x:c>
      <x:c r="K444" s="46" t="n">
        <x:v>0.9881255764131086</x:v>
      </x:c>
      <x:c r="L444" s="46" t="n">
        <x:v>0.6098911229528675</x:v>
      </x:c>
      <x:c r="M444" s="27" t="n">
        <x:v>0</x:v>
      </x:c>
    </x:row>
    <x:row r="445" ht="15" hidden="0" customHeight="1">
      <x:c r="A445" s="29" t="n">
        <x:v>441</x:v>
      </x:c>
      <x:c r="B445" s="29" t="n">
        <x:v>331345</x:v>
      </x:c>
      <x:c r="C445" s="29" t="str">
        <x:v>A0</x:v>
      </x:c>
      <x:c r="D445" s="53" t="n">
        <x:v>1637.427370151016</x:v>
      </x:c>
      <x:c r="E445" s="47" t="n">
        <x:v>0.6549709480604065</x:v>
      </x:c>
      <x:c r="F445" s="47" t="n">
        <x:v>0.33132929279330714</x:v>
      </x:c>
      <x:c r="G445" s="47" t="n">
        <x:v>0.5657491156044582</x:v>
      </x:c>
      <x:c r="H445" s="47" t="n">
        <x:v>1</x:v>
      </x:c>
      <x:c r="I445" s="47" t="n">
        <x:v>0.851883104370682</x:v>
      </x:c>
      <x:c r="J445" s="47" t="n">
        <x:v>0.5657491156044582</x:v>
      </x:c>
      <x:c r="K445" s="47" t="n">
        <x:v>0.9837312565553825</x:v>
      </x:c>
      <x:c r="L445" s="47" t="n">
        <x:v>0.6011404775058031</x:v>
      </x:c>
      <x:c r="M445" s="29" t="n">
        <x:v>0</x:v>
      </x:c>
    </x:row>
    <x:row r="446" ht="15" hidden="0" customHeight="1">
      <x:c r="A446" s="27" t="n">
        <x:v>442</x:v>
      </x:c>
      <x:c r="B446" s="27" t="n">
        <x:v>331346</x:v>
      </x:c>
      <x:c r="C446" s="27" t="str">
        <x:v>A0</x:v>
      </x:c>
      <x:c r="D446" s="52" t="n">
        <x:v>1709.5531612221541</x:v>
      </x:c>
      <x:c r="E446" s="46" t="n">
        <x:v>0.6838212644888616</x:v>
      </x:c>
      <x:c r="F446" s="46" t="n">
        <x:v>0.3632228913681186</x:v>
      </x:c>
      <x:c r="G446" s="46" t="n">
        <x:v>0.5850314108442625</x:v>
      </x:c>
      <x:c r="H446" s="46" t="n">
        <x:v>1</x:v>
      </x:c>
      <x:c r="I446" s="46" t="n">
        <x:v>0.8191314273382436</x:v>
      </x:c>
      <x:c r="J446" s="46" t="n">
        <x:v>0.5850314108442625</x:v>
      </x:c>
      <x:c r="K446" s="46" t="n">
        <x:v>1</x:v>
      </x:c>
      <x:c r="L446" s="46" t="n">
        <x:v>0.6407251586188858</x:v>
      </x:c>
      <x:c r="M446" s="27" t="n">
        <x:v>0</x:v>
      </x:c>
    </x:row>
    <x:row r="447" ht="15" hidden="0" customHeight="1">
      <x:c r="A447" s="29" t="n">
        <x:v>443</x:v>
      </x:c>
      <x:c r="B447" s="29" t="n">
        <x:v>331347</x:v>
      </x:c>
      <x:c r="C447" s="29" t="str">
        <x:v>A0</x:v>
      </x:c>
      <x:c r="D447" s="53" t="n">
        <x:v>1715.8485535506597</x:v>
      </x:c>
      <x:c r="E447" s="47" t="n">
        <x:v>0.6863394214202639</x:v>
      </x:c>
      <x:c r="F447" s="47" t="n">
        <x:v>0.35245111184494976</x:v>
      </x:c>
      <x:c r="G447" s="47" t="n">
        <x:v>0.591778461522467</x:v>
      </x:c>
      <x:c r="H447" s="47" t="n">
        <x:v>0.9981964898161882</x:v>
      </x:c>
      <x:c r="I447" s="47" t="n">
        <x:v>0.8697754866691845</x:v>
      </x:c>
      <x:c r="J447" s="47" t="n">
        <x:v>0.591778461522467</x:v>
      </x:c>
      <x:c r="K447" s="47" t="n">
        <x:v>0.9977687380263388</x:v>
      </x:c>
      <x:c r="L447" s="47" t="n">
        <x:v>0.6360796355089927</x:v>
      </x:c>
      <x:c r="M447" s="29" t="n">
        <x:v>0</x:v>
      </x:c>
    </x:row>
    <x:row r="448" ht="15" hidden="0" customHeight="1">
      <x:c r="A448" s="27" t="n">
        <x:v>444</x:v>
      </x:c>
      <x:c r="B448" s="27" t="n">
        <x:v>331348</x:v>
      </x:c>
      <x:c r="C448" s="27" t="str">
        <x:v>A0</x:v>
      </x:c>
      <x:c r="D448" s="52" t="n">
        <x:v>1635.1119096365228</x:v>
      </x:c>
      <x:c r="E448" s="46" t="n">
        <x:v>0.6540447638546091</x:v>
      </x:c>
      <x:c r="F448" s="46" t="n">
        <x:v>0.31411122337214026</x:v>
      </x:c>
      <x:c r="G448" s="46" t="n">
        <x:v>0.5609141307281043</x:v>
      </x:c>
      <x:c r="H448" s="46" t="n">
        <x:v>1</x:v>
      </x:c>
      <x:c r="I448" s="46" t="n">
        <x:v>0.8344127908618453</x:v>
      </x:c>
      <x:c r="J448" s="46" t="n">
        <x:v>0.5609141307281043</x:v>
      </x:c>
      <x:c r="K448" s="46" t="n">
        <x:v>0.9775871279852615</x:v>
      </x:c>
      <x:c r="L448" s="46" t="n">
        <x:v>0.6031150813898116</x:v>
      </x:c>
      <x:c r="M448" s="27" t="n">
        <x:v>0</x:v>
      </x:c>
    </x:row>
    <x:row r="449" ht="15" hidden="0" customHeight="1">
      <x:c r="A449" s="29" t="n">
        <x:v>445</x:v>
      </x:c>
      <x:c r="B449" s="29" t="n">
        <x:v>331349</x:v>
      </x:c>
      <x:c r="C449" s="29" t="str">
        <x:v>A0</x:v>
      </x:c>
      <x:c r="D449" s="53" t="n">
        <x:v>1662.8054470720526</x:v>
      </x:c>
      <x:c r="E449" s="47" t="n">
        <x:v>0.6651221788288211</x:v>
      </x:c>
      <x:c r="F449" s="47" t="n">
        <x:v>0.3160923026205791</x:v>
      </x:c>
      <x:c r="G449" s="47" t="n">
        <x:v>0.5716183206035328</x:v>
      </x:c>
      <x:c r="H449" s="47" t="n">
        <x:v>1</x:v>
      </x:c>
      <x:c r="I449" s="47" t="n">
        <x:v>0.8463150631366421</x:v>
      </x:c>
      <x:c r="J449" s="47" t="n">
        <x:v>0.5716183206035328</x:v>
      </x:c>
      <x:c r="K449" s="47" t="n">
        <x:v>0.9767463983802853</x:v>
      </x:c>
      <x:c r="L449" s="47" t="n">
        <x:v>0.6149177029116316</x:v>
      </x:c>
      <x:c r="M449" s="29" t="n">
        <x:v>0</x:v>
      </x:c>
    </x:row>
    <x:row r="450" ht="15" hidden="0" customHeight="1">
      <x:c r="A450" s="27" t="n">
        <x:v>446</x:v>
      </x:c>
      <x:c r="B450" s="27" t="n">
        <x:v>331350</x:v>
      </x:c>
      <x:c r="C450" s="27" t="str">
        <x:v>A0</x:v>
      </x:c>
      <x:c r="D450" s="52" t="n">
        <x:v>1698.3160675471495</x:v>
      </x:c>
      <x:c r="E450" s="46" t="n">
        <x:v>0.6793264270188598</x:v>
      </x:c>
      <x:c r="F450" s="46" t="n">
        <x:v>0.32867320228643704</x:v>
      </x:c>
      <x:c r="G450" s="46" t="n">
        <x:v>0.5844435009072143</x:v>
      </x:c>
      <x:c r="H450" s="46" t="n">
        <x:v>1</x:v>
      </x:c>
      <x:c r="I450" s="46" t="n">
        <x:v>0.8111749653618446</x:v>
      </x:c>
      <x:c r="J450" s="46" t="n">
        <x:v>0.5844435009072143</x:v>
      </x:c>
      <x:c r="K450" s="46" t="n">
        <x:v>0.9971956832994484</x:v>
      </x:c>
      <x:c r="L450" s="46" t="n">
        <x:v>0.6365832789000962</x:v>
      </x:c>
      <x:c r="M450" s="27" t="n">
        <x:v>0</x:v>
      </x:c>
    </x:row>
    <x:row r="451" ht="15" hidden="0" customHeight="1">
      <x:c r="A451" s="29" t="n">
        <x:v>447</x:v>
      </x:c>
      <x:c r="B451" s="29" t="n">
        <x:v>331351</x:v>
      </x:c>
      <x:c r="C451" s="29" t="str">
        <x:v>A0</x:v>
      </x:c>
      <x:c r="D451" s="53" t="n">
        <x:v>1705.9137632435754</x:v>
      </x:c>
      <x:c r="E451" s="47" t="n">
        <x:v>0.6823655052974301</x:v>
      </x:c>
      <x:c r="F451" s="47" t="n">
        <x:v>0.36711348798012966</x:v>
      </x:c>
      <x:c r="G451" s="47" t="n">
        <x:v>0.5897219104116431</x:v>
      </x:c>
      <x:c r="H451" s="47" t="n">
        <x:v>1</x:v>
      </x:c>
      <x:c r="I451" s="47" t="n">
        <x:v>0.8343287962943641</x:v>
      </x:c>
      <x:c r="J451" s="47" t="n">
        <x:v>0.5897219104116431</x:v>
      </x:c>
      <x:c r="K451" s="47" t="n">
        <x:v>0.9961112437007613</x:v>
      </x:c>
      <x:c r="L451" s="47" t="n">
        <x:v>0.6367683516132657</x:v>
      </x:c>
      <x:c r="M451" s="29" t="n">
        <x:v>0</x:v>
      </x:c>
    </x:row>
    <x:row r="452" ht="15" hidden="0" customHeight="1">
      <x:c r="A452" s="27" t="n">
        <x:v>448</x:v>
      </x:c>
      <x:c r="B452" s="27" t="n">
        <x:v>331352</x:v>
      </x:c>
      <x:c r="C452" s="27" t="str">
        <x:v>A0</x:v>
      </x:c>
      <x:c r="D452" s="52" t="n">
        <x:v>1649.9729443261606</x:v>
      </x:c>
      <x:c r="E452" s="46" t="n">
        <x:v>0.6599891777304643</x:v>
      </x:c>
      <x:c r="F452" s="46" t="n">
        <x:v>0.3462344187319731</x:v>
      </x:c>
      <x:c r="G452" s="46" t="n">
        <x:v>0.5656599651780685</x:v>
      </x:c>
      <x:c r="H452" s="46" t="n">
        <x:v>1</x:v>
      </x:c>
      <x:c r="I452" s="46" t="n">
        <x:v>0.82913023790448</x:v>
      </x:c>
      <x:c r="J452" s="46" t="n">
        <x:v>0.5656599651780685</x:v>
      </x:c>
      <x:c r="K452" s="46" t="n">
        <x:v>0.9903692892293845</x:v>
      </x:c>
      <x:c r="L452" s="46" t="n">
        <x:v>0.6104691116748935</x:v>
      </x:c>
      <x:c r="M452" s="27" t="n">
        <x:v>0</x:v>
      </x:c>
    </x:row>
    <x:row r="453" ht="15" hidden="0" customHeight="1">
      <x:c r="A453" s="29" t="n">
        <x:v>449</x:v>
      </x:c>
      <x:c r="B453" s="29" t="n">
        <x:v>331353</x:v>
      </x:c>
      <x:c r="C453" s="29" t="str">
        <x:v>A0</x:v>
      </x:c>
      <x:c r="D453" s="53" t="n">
        <x:v>1671.4898265998622</x:v>
      </x:c>
      <x:c r="E453" s="47" t="n">
        <x:v>0.6685959306399449</x:v>
      </x:c>
      <x:c r="F453" s="47" t="n">
        <x:v>0.32941432318621094</x:v>
      </x:c>
      <x:c r="G453" s="47" t="n">
        <x:v>0.5713900361438143</x:v>
      </x:c>
      <x:c r="H453" s="47" t="n">
        <x:v>0.95669039709646</x:v>
      </x:c>
      <x:c r="I453" s="47" t="n">
        <x:v>0.7798369728044718</x:v>
      </x:c>
      <x:c r="J453" s="47" t="n">
        <x:v>0.5713900361438143</x:v>
      </x:c>
      <x:c r="K453" s="47" t="n">
        <x:v>0.9916261818177274</x:v>
      </x:c>
      <x:c r="L453" s="47" t="n">
        <x:v>0.6291441104132465</x:v>
      </x:c>
      <x:c r="M453" s="29" t="n">
        <x:v>0</x:v>
      </x:c>
    </x:row>
    <x:row r="454" ht="15" hidden="0" customHeight="1">
      <x:c r="A454" s="27" t="n">
        <x:v>450</x:v>
      </x:c>
      <x:c r="B454" s="27" t="n">
        <x:v>331354</x:v>
      </x:c>
      <x:c r="C454" s="27" t="str">
        <x:v>A0</x:v>
      </x:c>
      <x:c r="D454" s="52" t="n">
        <x:v>1696.2492247680646</x:v>
      </x:c>
      <x:c r="E454" s="46" t="n">
        <x:v>0.6784996899072259</x:v>
      </x:c>
      <x:c r="F454" s="46" t="n">
        <x:v>0.36193732337121604</x:v>
      </x:c>
      <x:c r="G454" s="46" t="n">
        <x:v>0.5842535508660349</x:v>
      </x:c>
      <x:c r="H454" s="46" t="n">
        <x:v>0.9990304586634218</x:v>
      </x:c>
      <x:c r="I454" s="46" t="n">
        <x:v>0.787965935663548</x:v>
      </x:c>
      <x:c r="J454" s="46" t="n">
        <x:v>0.5842535508660349</x:v>
      </x:c>
      <x:c r="K454" s="46" t="n">
        <x:v>1</x:v>
      </x:c>
      <x:c r="L454" s="46" t="n">
        <x:v>0.6390086324916605</x:v>
      </x:c>
      <x:c r="M454" s="27" t="n">
        <x:v>0</x:v>
      </x:c>
    </x:row>
    <x:row r="455" ht="15" hidden="0" customHeight="1">
      <x:c r="A455" s="29" t="n">
        <x:v>451</x:v>
      </x:c>
      <x:c r="B455" s="29" t="n">
        <x:v>331355</x:v>
      </x:c>
      <x:c r="C455" s="29" t="str">
        <x:v>A0</x:v>
      </x:c>
      <x:c r="D455" s="53" t="n">
        <x:v>1735.1442105430192</x:v>
      </x:c>
      <x:c r="E455" s="47" t="n">
        <x:v>0.6940576842172077</x:v>
      </x:c>
      <x:c r="F455" s="47" t="n">
        <x:v>0.3323120254099865</x:v>
      </x:c>
      <x:c r="G455" s="47" t="n">
        <x:v>0.5944508085496367</x:v>
      </x:c>
      <x:c r="H455" s="47" t="n">
        <x:v>1</x:v>
      </x:c>
      <x:c r="I455" s="47" t="n">
        <x:v>0.8334183582005599</x:v>
      </x:c>
      <x:c r="J455" s="47" t="n">
        <x:v>0.5944508085496367</x:v>
      </x:c>
      <x:c r="K455" s="47" t="n">
        <x:v>0.9874370736402216</x:v>
      </x:c>
      <x:c r="L455" s="47" t="n">
        <x:v>0.6518358329225139</x:v>
      </x:c>
      <x:c r="M455" s="29" t="n">
        <x:v>0</x:v>
      </x:c>
    </x:row>
    <x:row r="456" ht="15" hidden="0" customHeight="1">
      <x:c r="A456" s="27" t="n">
        <x:v>452</x:v>
      </x:c>
      <x:c r="B456" s="27" t="n">
        <x:v>331356</x:v>
      </x:c>
      <x:c r="C456" s="27" t="str">
        <x:v>A0</x:v>
      </x:c>
      <x:c r="D456" s="52" t="n">
        <x:v>1697.2265174794202</x:v>
      </x:c>
      <x:c r="E456" s="46" t="n">
        <x:v>0.6788906069917681</x:v>
      </x:c>
      <x:c r="F456" s="46" t="n">
        <x:v>0.37317130186229286</x:v>
      </x:c>
      <x:c r="G456" s="46" t="n">
        <x:v>0.5839760140914869</x:v>
      </x:c>
      <x:c r="H456" s="46" t="n">
        <x:v>1</x:v>
      </x:c>
      <x:c r="I456" s="46" t="n">
        <x:v>0.8223027056371364</x:v>
      </x:c>
      <x:c r="J456" s="46" t="n">
        <x:v>0.5839760140914869</x:v>
      </x:c>
      <x:c r="K456" s="46" t="n">
        <x:v>1</x:v>
      </x:c>
      <x:c r="L456" s="46" t="n">
        <x:v>0.6341521640217368</x:v>
      </x:c>
      <x:c r="M456" s="27" t="n">
        <x:v>0</x:v>
      </x:c>
    </x:row>
    <x:row r="457" ht="15" hidden="0" customHeight="1">
      <x:c r="A457" s="29" t="n">
        <x:v>453</x:v>
      </x:c>
      <x:c r="B457" s="29" t="n">
        <x:v>331357</x:v>
      </x:c>
      <x:c r="C457" s="29" t="str">
        <x:v>A0</x:v>
      </x:c>
      <x:c r="D457" s="53" t="n">
        <x:v>1673.0319430082707</x:v>
      </x:c>
      <x:c r="E457" s="47" t="n">
        <x:v>0.6692127772033083</x:v>
      </x:c>
      <x:c r="F457" s="47" t="n">
        <x:v>0.339967697925663</x:v>
      </x:c>
      <x:c r="G457" s="47" t="n">
        <x:v>0.5786484679047175</x:v>
      </x:c>
      <x:c r="H457" s="47" t="n">
        <x:v>1</x:v>
      </x:c>
      <x:c r="I457" s="47" t="n">
        <x:v>0.8600805280202328</x:v>
      </x:c>
      <x:c r="J457" s="47" t="n">
        <x:v>0.5786484679047175</x:v>
      </x:c>
      <x:c r="K457" s="47" t="n">
        <x:v>0.9929917107435106</x:v>
      </x:c>
      <x:c r="L457" s="47" t="n">
        <x:v>0.6168000515260069</x:v>
      </x:c>
      <x:c r="M457" s="29" t="n">
        <x:v>0</x:v>
      </x:c>
    </x:row>
    <x:row r="458" ht="15" hidden="0" customHeight="1">
      <x:c r="A458" s="27" t="n">
        <x:v>454</x:v>
      </x:c>
      <x:c r="B458" s="27" t="n">
        <x:v>331358</x:v>
      </x:c>
      <x:c r="C458" s="27" t="str">
        <x:v>A0</x:v>
      </x:c>
      <x:c r="D458" s="52" t="n">
        <x:v>1688.0731696566181</x:v>
      </x:c>
      <x:c r="E458" s="46" t="n">
        <x:v>0.6752292678626473</x:v>
      </x:c>
      <x:c r="F458" s="46" t="n">
        <x:v>0.36072126163447304</x:v>
      </x:c>
      <x:c r="G458" s="46" t="n">
        <x:v>0.5791324472786672</x:v>
      </x:c>
      <x:c r="H458" s="46" t="n">
        <x:v>1</x:v>
      </x:c>
      <x:c r="I458" s="46" t="n">
        <x:v>0.7996890098578707</x:v>
      </x:c>
      <x:c r="J458" s="46" t="n">
        <x:v>0.5791324472786672</x:v>
      </x:c>
      <x:c r="K458" s="46" t="n">
        <x:v>0.9979916502294727</x:v>
      </x:c>
      <x:c r="L458" s="46" t="n">
        <x:v>0.6332982034890047</x:v>
      </x:c>
      <x:c r="M458" s="27" t="n">
        <x:v>0</x:v>
      </x:c>
    </x:row>
    <x:row r="459" ht="15" hidden="0" customHeight="1">
      <x:c r="A459" s="29" t="n">
        <x:v>455</x:v>
      </x:c>
      <x:c r="B459" s="29" t="n">
        <x:v>331359</x:v>
      </x:c>
      <x:c r="C459" s="29" t="str">
        <x:v>A0</x:v>
      </x:c>
      <x:c r="D459" s="53" t="n">
        <x:v>1724.7925285979225</x:v>
      </x:c>
      <x:c r="E459" s="47" t="n">
        <x:v>0.689917011439169</x:v>
      </x:c>
      <x:c r="F459" s="47" t="n">
        <x:v>0.3464312346484206</x:v>
      </x:c>
      <x:c r="G459" s="47" t="n">
        <x:v>0.5949556106926395</x:v>
      </x:c>
      <x:c r="H459" s="47" t="n">
        <x:v>1</x:v>
      </x:c>
      <x:c r="I459" s="47" t="n">
        <x:v>0.8256807247339023</x:v>
      </x:c>
      <x:c r="J459" s="47" t="n">
        <x:v>0.5949556106926395</x:v>
      </x:c>
      <x:c r="K459" s="47" t="n">
        <x:v>0.9883381827682116</x:v>
      </x:c>
      <x:c r="L459" s="47" t="n">
        <x:v>0.647865675394288</x:v>
      </x:c>
      <x:c r="M459" s="29" t="n">
        <x:v>0</x:v>
      </x:c>
    </x:row>
    <x:row r="460" ht="15" hidden="0" customHeight="1">
      <x:c r="A460" s="27" t="n">
        <x:v>456</x:v>
      </x:c>
      <x:c r="B460" s="27" t="n">
        <x:v>331360</x:v>
      </x:c>
      <x:c r="C460" s="27" t="str">
        <x:v>A0</x:v>
      </x:c>
      <x:c r="D460" s="52" t="n">
        <x:v>1618.3828852820018</x:v>
      </x:c>
      <x:c r="E460" s="46" t="n">
        <x:v>0.6473531541128007</x:v>
      </x:c>
      <x:c r="F460" s="46" t="n">
        <x:v>0.315873370507648</x:v>
      </x:c>
      <x:c r="G460" s="46" t="n">
        <x:v>0.5613427683505277</x:v>
      </x:c>
      <x:c r="H460" s="46" t="n">
        <x:v>1</x:v>
      </x:c>
      <x:c r="I460" s="46" t="n">
        <x:v>0.8176719743766827</x:v>
      </x:c>
      <x:c r="J460" s="46" t="n">
        <x:v>0.5613427683505277</x:v>
      </x:c>
      <x:c r="K460" s="46" t="n">
        <x:v>0.980994843733119</x:v>
      </x:c>
      <x:c r="L460" s="46" t="n">
        <x:v>0.5972417401533568</x:v>
      </x:c>
      <x:c r="M460" s="27" t="n">
        <x:v>0</x:v>
      </x:c>
    </x:row>
    <x:row r="461" ht="15" hidden="0" customHeight="1">
      <x:c r="A461" s="29" t="n">
        <x:v>457</x:v>
      </x:c>
      <x:c r="B461" s="29" t="n">
        <x:v>331361</x:v>
      </x:c>
      <x:c r="C461" s="29" t="str">
        <x:v>A0</x:v>
      </x:c>
      <x:c r="D461" s="53" t="n">
        <x:v>1634.40400568847</x:v>
      </x:c>
      <x:c r="E461" s="47" t="n">
        <x:v>0.653761602275388</x:v>
      </x:c>
      <x:c r="F461" s="47" t="n">
        <x:v>0.32627545160484633</x:v>
      </x:c>
      <x:c r="G461" s="47" t="n">
        <x:v>0.5666985425589441</x:v>
      </x:c>
      <x:c r="H461" s="47" t="n">
        <x:v>0.9939388183720411</x:v>
      </x:c>
      <x:c r="I461" s="47" t="n">
        <x:v>0.815509468790144</x:v>
      </x:c>
      <x:c r="J461" s="47" t="n">
        <x:v>0.5666985425589441</x:v>
      </x:c>
      <x:c r="K461" s="47" t="n">
        <x:v>0.9805997450182852</x:v>
      </x:c>
      <x:c r="L461" s="47" t="n">
        <x:v>0.6055468384519795</x:v>
      </x:c>
      <x:c r="M461" s="29" t="n">
        <x:v>0</x:v>
      </x:c>
    </x:row>
    <x:row r="462" ht="15" hidden="0" customHeight="1">
      <x:c r="A462" s="27" t="n">
        <x:v>458</x:v>
      </x:c>
      <x:c r="B462" s="27" t="n">
        <x:v>331362</x:v>
      </x:c>
      <x:c r="C462" s="27" t="str">
        <x:v>A0</x:v>
      </x:c>
      <x:c r="D462" s="52" t="n">
        <x:v>1649.1599341666306</x:v>
      </x:c>
      <x:c r="E462" s="46" t="n">
        <x:v>0.6596639736666522</x:v>
      </x:c>
      <x:c r="F462" s="46" t="n">
        <x:v>0.29423554155578746</x:v>
      </x:c>
      <x:c r="G462" s="46" t="n">
        <x:v>0.564486544877197</x:v>
      </x:c>
      <x:c r="H462" s="46" t="n">
        <x:v>1</x:v>
      </x:c>
      <x:c r="I462" s="46" t="n">
        <x:v>0.8656997118484533</x:v>
      </x:c>
      <x:c r="J462" s="46" t="n">
        <x:v>0.564486544877197</x:v>
      </x:c>
      <x:c r="K462" s="46" t="n">
        <x:v>0.9647515378611402</x:v>
      </x:c>
      <x:c r="L462" s="46" t="n">
        <x:v>0.6059453667481204</x:v>
      </x:c>
      <x:c r="M462" s="27" t="n">
        <x:v>0</x:v>
      </x:c>
    </x:row>
    <x:row r="463" ht="15" hidden="0" customHeight="1">
      <x:c r="A463" s="29" t="n">
        <x:v>459</x:v>
      </x:c>
      <x:c r="B463" s="29" t="n">
        <x:v>331363</x:v>
      </x:c>
      <x:c r="C463" s="29" t="str">
        <x:v>A0</x:v>
      </x:c>
      <x:c r="D463" s="53" t="n">
        <x:v>1637.3906801394148</x:v>
      </x:c>
      <x:c r="E463" s="47" t="n">
        <x:v>0.6549562720557659</x:v>
      </x:c>
      <x:c r="F463" s="47" t="n">
        <x:v>0.31279482519156915</x:v>
      </x:c>
      <x:c r="G463" s="47" t="n">
        <x:v>0.5650289621476633</x:v>
      </x:c>
      <x:c r="H463" s="47" t="n">
        <x:v>1</x:v>
      </x:c>
      <x:c r="I463" s="47" t="n">
        <x:v>0.8508617875802741</x:v>
      </x:c>
      <x:c r="J463" s="47" t="n">
        <x:v>0.5650289621476633</x:v>
      </x:c>
      <x:c r="K463" s="47" t="n">
        <x:v>0.9702698064927826</x:v>
      </x:c>
      <x:c r="L463" s="47" t="n">
        <x:v>0.6020983080188621</x:v>
      </x:c>
      <x:c r="M463" s="29" t="n">
        <x:v>0</x:v>
      </x:c>
    </x:row>
    <x:row r="464" ht="15" hidden="0" customHeight="1">
      <x:c r="A464" s="27" t="n">
        <x:v>460</x:v>
      </x:c>
      <x:c r="B464" s="27" t="n">
        <x:v>331364</x:v>
      </x:c>
      <x:c r="C464" s="27" t="str">
        <x:v>A0</x:v>
      </x:c>
      <x:c r="D464" s="52" t="n">
        <x:v>1633.0354705088516</x:v>
      </x:c>
      <x:c r="E464" s="46" t="n">
        <x:v>0.6532141882035406</x:v>
      </x:c>
      <x:c r="F464" s="46" t="n">
        <x:v>0.31816190210829215</x:v>
      </x:c>
      <x:c r="G464" s="46" t="n">
        <x:v>0.5619408481454164</x:v>
      </x:c>
      <x:c r="H464" s="46" t="n">
        <x:v>0.998377475026395</x:v>
      </x:c>
      <x:c r="I464" s="46" t="n">
        <x:v>0.7798584784084927</x:v>
      </x:c>
      <x:c r="J464" s="46" t="n">
        <x:v>0.5619408481454164</x:v>
      </x:c>
      <x:c r="K464" s="46" t="n">
        <x:v>0.9771405395208111</x:v>
      </x:c>
      <x:c r="L464" s="46" t="n">
        <x:v>0.6105959288502675</x:v>
      </x:c>
      <x:c r="M464" s="27" t="n">
        <x:v>0</x:v>
      </x:c>
    </x:row>
    <x:row r="465" ht="15" hidden="0" customHeight="1">
      <x:c r="A465" s="29" t="n">
        <x:v>461</x:v>
      </x:c>
      <x:c r="B465" s="29" t="n">
        <x:v>331365</x:v>
      </x:c>
      <x:c r="C465" s="29" t="str">
        <x:v>A0</x:v>
      </x:c>
      <x:c r="D465" s="53" t="n">
        <x:v>1667.2745401211853</x:v>
      </x:c>
      <x:c r="E465" s="47" t="n">
        <x:v>0.6669098160484741</x:v>
      </x:c>
      <x:c r="F465" s="47" t="n">
        <x:v>0.34154185938413345</x:v>
      </x:c>
      <x:c r="G465" s="47" t="n">
        <x:v>0.5787363970322983</x:v>
      </x:c>
      <x:c r="H465" s="47" t="n">
        <x:v>1</x:v>
      </x:c>
      <x:c r="I465" s="47" t="n">
        <x:v>0.8462839728680092</x:v>
      </x:c>
      <x:c r="J465" s="47" t="n">
        <x:v>0.5787363970322983</x:v>
      </x:c>
      <x:c r="K465" s="47" t="n">
        <x:v>0.9952310984014577</x:v>
      </x:c>
      <x:c r="L465" s="47" t="n">
        <x:v>0.6159620062160954</x:v>
      </x:c>
      <x:c r="M465" s="29" t="n">
        <x:v>0</x:v>
      </x:c>
    </x:row>
    <x:row r="466" ht="15" hidden="0" customHeight="1">
      <x:c r="A466" s="27" t="n">
        <x:v>462</x:v>
      </x:c>
      <x:c r="B466" s="27" t="n">
        <x:v>331366</x:v>
      </x:c>
      <x:c r="C466" s="27" t="str">
        <x:v>A0</x:v>
      </x:c>
      <x:c r="D466" s="52" t="n">
        <x:v>1705.4984555957014</x:v>
      </x:c>
      <x:c r="E466" s="46" t="n">
        <x:v>0.6821993822382806</x:v>
      </x:c>
      <x:c r="F466" s="46" t="n">
        <x:v>0.3375666490048682</x:v>
      </x:c>
      <x:c r="G466" s="46" t="n">
        <x:v>0.5862958562869321</x:v>
      </x:c>
      <x:c r="H466" s="46" t="n">
        <x:v>1</x:v>
      </x:c>
      <x:c r="I466" s="46" t="n">
        <x:v>0.8462487293675538</x:v>
      </x:c>
      <x:c r="J466" s="46" t="n">
        <x:v>0.5862958562869321</x:v>
      </x:c>
      <x:c r="K466" s="46" t="n">
        <x:v>0.9996651272987097</x:v>
      </x:c>
      <x:c r="L466" s="46" t="n">
        <x:v>0.6345240606905114</x:v>
      </x:c>
      <x:c r="M466" s="27" t="n">
        <x:v>0</x:v>
      </x:c>
    </x:row>
    <x:row r="467" ht="15" hidden="0" customHeight="1">
      <x:c r="A467" s="29" t="n">
        <x:v>463</x:v>
      </x:c>
      <x:c r="B467" s="29" t="n">
        <x:v>331367</x:v>
      </x:c>
      <x:c r="C467" s="29" t="str">
        <x:v>A0</x:v>
      </x:c>
      <x:c r="D467" s="53" t="n">
        <x:v>1705.488223274885</x:v>
      </x:c>
      <x:c r="E467" s="47" t="n">
        <x:v>0.682195289309954</x:v>
      </x:c>
      <x:c r="F467" s="47" t="n">
        <x:v>0.34913585729870683</x:v>
      </x:c>
      <x:c r="G467" s="47" t="n">
        <x:v>0.5820380971914695</x:v>
      </x:c>
      <x:c r="H467" s="47" t="n">
        <x:v>1</x:v>
      </x:c>
      <x:c r="I467" s="47" t="n">
        <x:v>0.8001262057925435</x:v>
      </x:c>
      <x:c r="J467" s="47" t="n">
        <x:v>0.5820380971914695</x:v>
      </x:c>
      <x:c r="K467" s="47" t="n">
        <x:v>0.9944770981655178</x:v>
      </x:c>
      <x:c r="L467" s="47" t="n">
        <x:v>0.6420227244239991</x:v>
      </x:c>
      <x:c r="M467" s="29" t="n">
        <x:v>0</x:v>
      </x:c>
    </x:row>
    <x:row r="468" ht="15" hidden="0" customHeight="1">
      <x:c r="A468" s="27" t="n">
        <x:v>464</x:v>
      </x:c>
      <x:c r="B468" s="27" t="n">
        <x:v>331368</x:v>
      </x:c>
      <x:c r="C468" s="27" t="str">
        <x:v>A0</x:v>
      </x:c>
      <x:c r="D468" s="52" t="n">
        <x:v>1695.9185507846869</x:v>
      </x:c>
      <x:c r="E468" s="46" t="n">
        <x:v>0.6783674203138748</x:v>
      </x:c>
      <x:c r="F468" s="46" t="n">
        <x:v>0.29782379535213277</x:v>
      </x:c>
      <x:c r="G468" s="46" t="n">
        <x:v>0.5900731591928902</x:v>
      </x:c>
      <x:c r="H468" s="46" t="n">
        <x:v>1</x:v>
      </x:c>
      <x:c r="I468" s="46" t="n">
        <x:v>0.8772316496607869</x:v>
      </x:c>
      <x:c r="J468" s="46" t="n">
        <x:v>0.5900731591928902</x:v>
      </x:c>
      <x:c r="K468" s="46" t="n">
        <x:v>0.9877321957028854</x:v>
      </x:c>
      <x:c r="L468" s="46" t="n">
        <x:v>0.625674843758478</x:v>
      </x:c>
      <x:c r="M468" s="27" t="n">
        <x:v>0</x:v>
      </x:c>
    </x:row>
    <x:row r="469" ht="15" hidden="0" customHeight="1">
      <x:c r="A469" s="29" t="n">
        <x:v>465</x:v>
      </x:c>
      <x:c r="B469" s="29" t="n">
        <x:v>331369</x:v>
      </x:c>
      <x:c r="C469" s="29" t="str">
        <x:v>A0</x:v>
      </x:c>
      <x:c r="D469" s="53" t="n">
        <x:v>1711.602001331182</x:v>
      </x:c>
      <x:c r="E469" s="47" t="n">
        <x:v>0.6846408005324728</x:v>
      </x:c>
      <x:c r="F469" s="47" t="n">
        <x:v>0.32677272879201386</x:v>
      </x:c>
      <x:c r="G469" s="47" t="n">
        <x:v>0.5883389873153356</x:v>
      </x:c>
      <x:c r="H469" s="47" t="n">
        <x:v>1</x:v>
      </x:c>
      <x:c r="I469" s="47" t="n">
        <x:v>0.8691672353604942</x:v>
      </x:c>
      <x:c r="J469" s="47" t="n">
        <x:v>0.5883389873153356</x:v>
      </x:c>
      <x:c r="K469" s="47" t="n">
        <x:v>0.9962077457718646</x:v>
      </x:c>
      <x:c r="L469" s="47" t="n">
        <x:v>0.6341748223480596</x:v>
      </x:c>
      <x:c r="M469" s="29" t="n">
        <x:v>0</x:v>
      </x:c>
    </x:row>
    <x:row r="470" ht="15" hidden="0" customHeight="1">
      <x:c r="A470" s="27" t="n">
        <x:v>466</x:v>
      </x:c>
      <x:c r="B470" s="27" t="n">
        <x:v>331370</x:v>
      </x:c>
      <x:c r="C470" s="27" t="str">
        <x:v>A0</x:v>
      </x:c>
      <x:c r="D470" s="52" t="n">
        <x:v>1700.9964711752245</x:v>
      </x:c>
      <x:c r="E470" s="46" t="n">
        <x:v>0.6803985884700898</x:v>
      </x:c>
      <x:c r="F470" s="46" t="n">
        <x:v>0.3726692891675313</x:v>
      </x:c>
      <x:c r="G470" s="46" t="n">
        <x:v>0.5874046895980716</x:v>
      </x:c>
      <x:c r="H470" s="46" t="n">
        <x:v>1</x:v>
      </x:c>
      <x:c r="I470" s="46" t="n">
        <x:v>0.8077491388045289</x:v>
      </x:c>
      <x:c r="J470" s="46" t="n">
        <x:v>0.5874046895980716</x:v>
      </x:c>
      <x:c r="K470" s="46" t="n">
        <x:v>1</x:v>
      </x:c>
      <x:c r="L470" s="46" t="n">
        <x:v>0.6382478199974633</x:v>
      </x:c>
      <x:c r="M470" s="27" t="n">
        <x:v>0</x:v>
      </x:c>
    </x:row>
    <x:row r="471" ht="15" hidden="0" customHeight="1">
      <x:c r="A471" s="29" t="n">
        <x:v>467</x:v>
      </x:c>
      <x:c r="B471" s="29" t="n">
        <x:v>331371</x:v>
      </x:c>
      <x:c r="C471" s="29" t="str">
        <x:v>A0</x:v>
      </x:c>
      <x:c r="D471" s="53" t="n">
        <x:v>1676.434317261709</x:v>
      </x:c>
      <x:c r="E471" s="47" t="n">
        <x:v>0.6705737269046836</x:v>
      </x:c>
      <x:c r="F471" s="47" t="n">
        <x:v>0.3582041431130242</x:v>
      </x:c>
      <x:c r="G471" s="47" t="n">
        <x:v>0.5766442178558125</x:v>
      </x:c>
      <x:c r="H471" s="47" t="n">
        <x:v>1</x:v>
      </x:c>
      <x:c r="I471" s="47" t="n">
        <x:v>0.8433260352253366</x:v>
      </x:c>
      <x:c r="J471" s="47" t="n">
        <x:v>0.5766442178558125</x:v>
      </x:c>
      <x:c r="K471" s="47" t="n">
        <x:v>0.9986792955374464</x:v>
      </x:c>
      <x:c r="L471" s="47" t="n">
        <x:v>0.6207530133326832</x:v>
      </x:c>
      <x:c r="M471" s="29" t="n">
        <x:v>0</x:v>
      </x:c>
    </x:row>
    <x:row r="472" ht="15" hidden="0" customHeight="1">
      <x:c r="A472" s="27" t="n">
        <x:v>468</x:v>
      </x:c>
      <x:c r="B472" s="27" t="n">
        <x:v>331372</x:v>
      </x:c>
      <x:c r="C472" s="27" t="str">
        <x:v>A0</x:v>
      </x:c>
      <x:c r="D472" s="52" t="n">
        <x:v>1640.8881231363873</x:v>
      </x:c>
      <x:c r="E472" s="46" t="n">
        <x:v>0.6563552492545549</x:v>
      </x:c>
      <x:c r="F472" s="46" t="n">
        <x:v>0.30877108100000544</x:v>
      </x:c>
      <x:c r="G472" s="46" t="n">
        <x:v>0.5602061187458112</x:v>
      </x:c>
      <x:c r="H472" s="46" t="n">
        <x:v>1</x:v>
      </x:c>
      <x:c r="I472" s="46" t="n">
        <x:v>0.8309488997654949</x:v>
      </x:c>
      <x:c r="J472" s="46" t="n">
        <x:v>0.5602061187458112</x:v>
      </x:c>
      <x:c r="K472" s="46" t="n">
        <x:v>0.9709202478010399</x:v>
      </x:c>
      <x:c r="L472" s="46" t="n">
        <x:v>0.6069132771059639</x:v>
      </x:c>
      <x:c r="M472" s="27" t="n">
        <x:v>0</x:v>
      </x:c>
    </x:row>
    <x:row r="473" ht="15" hidden="0" customHeight="1">
      <x:c r="A473" s="29" t="n">
        <x:v>469</x:v>
      </x:c>
      <x:c r="B473" s="29" t="n">
        <x:v>331373</x:v>
      </x:c>
      <x:c r="C473" s="29" t="str">
        <x:v>A0</x:v>
      </x:c>
      <x:c r="D473" s="53" t="n">
        <x:v>1673.1441341359484</x:v>
      </x:c>
      <x:c r="E473" s="47" t="n">
        <x:v>0.6692576536543794</x:v>
      </x:c>
      <x:c r="F473" s="47" t="n">
        <x:v>0.33196754327636796</x:v>
      </x:c>
      <x:c r="G473" s="47" t="n">
        <x:v>0.5709701890535418</x:v>
      </x:c>
      <x:c r="H473" s="47" t="n">
        <x:v>1</x:v>
      </x:c>
      <x:c r="I473" s="47" t="n">
        <x:v>0.8513588625494494</x:v>
      </x:c>
      <x:c r="J473" s="47" t="n">
        <x:v>0.5709701890535418</x:v>
      </x:c>
      <x:c r="K473" s="47" t="n">
        <x:v>0.9877920269004397</x:v>
      </x:c>
      <x:c r="L473" s="47" t="n">
        <x:v>0.6185799427706961</x:v>
      </x:c>
      <x:c r="M473" s="29" t="n">
        <x:v>0</x:v>
      </x:c>
    </x:row>
    <x:row r="474" ht="15" hidden="0" customHeight="1">
      <x:c r="A474" s="27" t="n">
        <x:v>470</x:v>
      </x:c>
      <x:c r="B474" s="27" t="n">
        <x:v>331374</x:v>
      </x:c>
      <x:c r="C474" s="27" t="str">
        <x:v>A0</x:v>
      </x:c>
      <x:c r="D474" s="52" t="n">
        <x:v>1650.7555135913676</x:v>
      </x:c>
      <x:c r="E474" s="46" t="n">
        <x:v>0.660302205436547</x:v>
      </x:c>
      <x:c r="F474" s="46" t="n">
        <x:v>0.31612567855252727</x:v>
      </x:c>
      <x:c r="G474" s="46" t="n">
        <x:v>0.5686013369466063</x:v>
      </x:c>
      <x:c r="H474" s="46" t="n">
        <x:v>1</x:v>
      </x:c>
      <x:c r="I474" s="46" t="n">
        <x:v>0.8387024356669847</x:v>
      </x:c>
      <x:c r="J474" s="46" t="n">
        <x:v>0.5686013369466063</x:v>
      </x:c>
      <x:c r="K474" s="46" t="n">
        <x:v>0.9809387171850791</x:v>
      </x:c>
      <x:c r="L474" s="46" t="n">
        <x:v>0.6099169224544198</x:v>
      </x:c>
      <x:c r="M474" s="27" t="n">
        <x:v>0</x:v>
      </x:c>
    </x:row>
    <x:row r="475" ht="15" hidden="0" customHeight="1">
      <x:c r="A475" s="29" t="n">
        <x:v>471</x:v>
      </x:c>
      <x:c r="B475" s="29" t="n">
        <x:v>331375</x:v>
      </x:c>
      <x:c r="C475" s="29" t="str">
        <x:v>A0</x:v>
      </x:c>
      <x:c r="D475" s="53" t="n">
        <x:v>1736.0058514999473</x:v>
      </x:c>
      <x:c r="E475" s="47" t="n">
        <x:v>0.694402340599979</x:v>
      </x:c>
      <x:c r="F475" s="47" t="n">
        <x:v>0.36621133338167117</x:v>
      </x:c>
      <x:c r="G475" s="47" t="n">
        <x:v>0.6060078884968375</x:v>
      </x:c>
      <x:c r="H475" s="47" t="n">
        <x:v>1</x:v>
      </x:c>
      <x:c r="I475" s="47" t="n">
        <x:v>0.8676966991359605</x:v>
      </x:c>
      <x:c r="J475" s="47" t="n">
        <x:v>0.6060078884968375</x:v>
      </x:c>
      <x:c r="K475" s="47" t="n">
        <x:v>0.9955707252821696</x:v>
      </x:c>
      <x:c r="L475" s="47" t="n">
        <x:v>0.6463642529296345</x:v>
      </x:c>
      <x:c r="M475" s="29" t="n">
        <x:v>0</x:v>
      </x:c>
    </x:row>
    <x:row r="476" ht="15" hidden="0" customHeight="1">
      <x:c r="A476" s="27" t="n">
        <x:v>472</x:v>
      </x:c>
      <x:c r="B476" s="27" t="n">
        <x:v>331376</x:v>
      </x:c>
      <x:c r="C476" s="27" t="str">
        <x:v>A0</x:v>
      </x:c>
      <x:c r="D476" s="52" t="n">
        <x:v>1705.1113567523805</x:v>
      </x:c>
      <x:c r="E476" s="46" t="n">
        <x:v>0.6820445427009522</x:v>
      </x:c>
      <x:c r="F476" s="46" t="n">
        <x:v>0.3183973652992572</x:v>
      </x:c>
      <x:c r="G476" s="46" t="n">
        <x:v>0.5897101347414564</x:v>
      </x:c>
      <x:c r="H476" s="46" t="n">
        <x:v>1</x:v>
      </x:c>
      <x:c r="I476" s="46" t="n">
        <x:v>0.8108894325977308</x:v>
      </x:c>
      <x:c r="J476" s="46" t="n">
        <x:v>0.5897101347414564</x:v>
      </x:c>
      <x:c r="K476" s="46" t="n">
        <x:v>0.9938980925899192</x:v>
      </x:c>
      <x:c r="L476" s="46" t="n">
        <x:v>0.6401438615558984</x:v>
      </x:c>
      <x:c r="M476" s="27" t="n">
        <x:v>0</x:v>
      </x:c>
    </x:row>
    <x:row r="477" ht="15" hidden="0" customHeight="1">
      <x:c r="A477" s="29" t="n">
        <x:v>473</x:v>
      </x:c>
      <x:c r="B477" s="29" t="n">
        <x:v>331377</x:v>
      </x:c>
      <x:c r="C477" s="29" t="str">
        <x:v>A0</x:v>
      </x:c>
      <x:c r="D477" s="53" t="n">
        <x:v>1671.9616683908962</x:v>
      </x:c>
      <x:c r="E477" s="47" t="n">
        <x:v>0.6687846673563584</x:v>
      </x:c>
      <x:c r="F477" s="47" t="n">
        <x:v>0.3185769844167979</x:v>
      </x:c>
      <x:c r="G477" s="47" t="n">
        <x:v>0.5755918485658097</x:v>
      </x:c>
      <x:c r="H477" s="47" t="n">
        <x:v>1</x:v>
      </x:c>
      <x:c r="I477" s="47" t="n">
        <x:v>0.8421232229723272</x:v>
      </x:c>
      <x:c r="J477" s="47" t="n">
        <x:v>0.5755918485658097</x:v>
      </x:c>
      <x:c r="K477" s="47" t="n">
        <x:v>0.9787448980705263</x:v>
      </x:c>
      <x:c r="L477" s="47" t="n">
        <x:v>0.6199408850213235</x:v>
      </x:c>
      <x:c r="M477" s="29" t="n">
        <x:v>0</x:v>
      </x:c>
    </x:row>
    <x:row r="478" ht="15" hidden="0" customHeight="1">
      <x:c r="A478" s="27" t="n">
        <x:v>474</x:v>
      </x:c>
      <x:c r="B478" s="27" t="n">
        <x:v>331378</x:v>
      </x:c>
      <x:c r="C478" s="27" t="str">
        <x:v>A0</x:v>
      </x:c>
      <x:c r="D478" s="52" t="n">
        <x:v>1644.5566879745277</x:v>
      </x:c>
      <x:c r="E478" s="46" t="n">
        <x:v>0.6578226751898111</x:v>
      </x:c>
      <x:c r="F478" s="46" t="n">
        <x:v>0.3475415245494614</x:v>
      </x:c>
      <x:c r="G478" s="46" t="n">
        <x:v>0.5630588683902868</x:v>
      </x:c>
      <x:c r="H478" s="46" t="n">
        <x:v>0.9227155364594897</x:v>
      </x:c>
      <x:c r="I478" s="46" t="n">
        <x:v>0.7476421469404828</x:v>
      </x:c>
      <x:c r="J478" s="46" t="n">
        <x:v>0.5630588683902868</x:v>
      </x:c>
      <x:c r="K478" s="46" t="n">
        <x:v>1.0000000000000002</x:v>
      </x:c>
      <x:c r="L478" s="46" t="n">
        <x:v>0.62079811354597</x:v>
      </x:c>
      <x:c r="M478" s="27" t="n">
        <x:v>0</x:v>
      </x:c>
    </x:row>
    <x:row r="479" ht="15" hidden="0" customHeight="1">
      <x:c r="A479" s="29" t="n">
        <x:v>475</x:v>
      </x:c>
      <x:c r="B479" s="29" t="n">
        <x:v>331379</x:v>
      </x:c>
      <x:c r="C479" s="29" t="str">
        <x:v>A0</x:v>
      </x:c>
      <x:c r="D479" s="53" t="n">
        <x:v>1709.0556161701154</x:v>
      </x:c>
      <x:c r="E479" s="47" t="n">
        <x:v>0.6836222464680461</x:v>
      </x:c>
      <x:c r="F479" s="47" t="n">
        <x:v>0.36795465332556976</x:v>
      </x:c>
      <x:c r="G479" s="47" t="n">
        <x:v>0.5957139202543139</x:v>
      </x:c>
      <x:c r="H479" s="47" t="n">
        <x:v>1</x:v>
      </x:c>
      <x:c r="I479" s="47" t="n">
        <x:v>0.876169364931364</x:v>
      </x:c>
      <x:c r="J479" s="47" t="n">
        <x:v>0.5957139202543139</x:v>
      </x:c>
      <x:c r="K479" s="47" t="n">
        <x:v>1</x:v>
      </x:c>
      <x:c r="L479" s="47" t="n">
        <x:v>0.6315466554459362</x:v>
      </x:c>
      <x:c r="M479" s="29" t="n">
        <x:v>0</x:v>
      </x:c>
    </x:row>
    <x:row r="480" ht="15" hidden="0" customHeight="1">
      <x:c r="A480" s="27" t="n">
        <x:v>476</x:v>
      </x:c>
      <x:c r="B480" s="27" t="n">
        <x:v>331380</x:v>
      </x:c>
      <x:c r="C480" s="27" t="str">
        <x:v>A0</x:v>
      </x:c>
      <x:c r="D480" s="52" t="n">
        <x:v>1670.4832472492367</x:v>
      </x:c>
      <x:c r="E480" s="46" t="n">
        <x:v>0.6681932988996947</x:v>
      </x:c>
      <x:c r="F480" s="46" t="n">
        <x:v>0.30293930260555857</x:v>
      </x:c>
      <x:c r="G480" s="46" t="n">
        <x:v>0.5756405669810035</x:v>
      </x:c>
      <x:c r="H480" s="46" t="n">
        <x:v>1</x:v>
      </x:c>
      <x:c r="I480" s="46" t="n">
        <x:v>0.8598812292790465</x:v>
      </x:c>
      <x:c r="J480" s="46" t="n">
        <x:v>0.5756405669810035</x:v>
      </x:c>
      <x:c r="K480" s="46" t="n">
        <x:v>0.9849086248543375</x:v>
      </x:c>
      <x:c r="L480" s="46" t="n">
        <x:v>0.6160820508254122</x:v>
      </x:c>
      <x:c r="M480" s="27" t="n">
        <x:v>0</x:v>
      </x:c>
    </x:row>
    <x:row r="481" ht="15" hidden="0" customHeight="1">
      <x:c r="A481" s="29" t="n">
        <x:v>477</x:v>
      </x:c>
      <x:c r="B481" s="29" t="n">
        <x:v>331381</x:v>
      </x:c>
      <x:c r="C481" s="29" t="str">
        <x:v>A0</x:v>
      </x:c>
      <x:c r="D481" s="53" t="n">
        <x:v>1702.328432999659</x:v>
      </x:c>
      <x:c r="E481" s="47" t="n">
        <x:v>0.6809313731998636</x:v>
      </x:c>
      <x:c r="F481" s="47" t="n">
        <x:v>0.31047554677951944</x:v>
      </x:c>
      <x:c r="G481" s="47" t="n">
        <x:v>0.5898280123659393</x:v>
      </x:c>
      <x:c r="H481" s="47" t="n">
        <x:v>0.9940756896434805</x:v>
      </x:c>
      <x:c r="I481" s="47" t="n">
        <x:v>0.8242043193327419</x:v>
      </x:c>
      <x:c r="J481" s="47" t="n">
        <x:v>0.5898280123659393</x:v>
      </x:c>
      <x:c r="K481" s="47" t="n">
        <x:v>0.980834084993638</x:v>
      </x:c>
      <x:c r="L481" s="47" t="n">
        <x:v>0.6375600885441622</x:v>
      </x:c>
      <x:c r="M481" s="29" t="n">
        <x:v>0</x:v>
      </x:c>
    </x:row>
    <x:row r="482" ht="15" hidden="0" customHeight="1">
      <x:c r="A482" s="27" t="n">
        <x:v>478</x:v>
      </x:c>
      <x:c r="B482" s="27" t="n">
        <x:v>331382</x:v>
      </x:c>
      <x:c r="C482" s="27" t="str">
        <x:v>A0</x:v>
      </x:c>
      <x:c r="D482" s="52" t="n">
        <x:v>1656.5703142359143</x:v>
      </x:c>
      <x:c r="E482" s="46" t="n">
        <x:v>0.6626281256943657</x:v>
      </x:c>
      <x:c r="F482" s="46" t="n">
        <x:v>0.3311421542271906</x:v>
      </x:c>
      <x:c r="G482" s="46" t="n">
        <x:v>0.5747349720296083</x:v>
      </x:c>
      <x:c r="H482" s="46" t="n">
        <x:v>1</x:v>
      </x:c>
      <x:c r="I482" s="46" t="n">
        <x:v>0.8505715389385202</x:v>
      </x:c>
      <x:c r="J482" s="46" t="n">
        <x:v>0.5747349720296083</x:v>
      </x:c>
      <x:c r="K482" s="46" t="n">
        <x:v>0.9885628580765353</x:v>
      </x:c>
      <x:c r="L482" s="46" t="n">
        <x:v>0.6104412627026142</x:v>
      </x:c>
      <x:c r="M482" s="27" t="n">
        <x:v>0</x:v>
      </x:c>
    </x:row>
    <x:row r="483" ht="15" hidden="0" customHeight="1">
      <x:c r="A483" s="29" t="n">
        <x:v>479</x:v>
      </x:c>
      <x:c r="B483" s="29" t="n">
        <x:v>331383</x:v>
      </x:c>
      <x:c r="C483" s="29" t="str">
        <x:v>A0</x:v>
      </x:c>
      <x:c r="D483" s="53" t="n">
        <x:v>1704.587577351431</x:v>
      </x:c>
      <x:c r="E483" s="47" t="n">
        <x:v>0.6818350309405724</x:v>
      </x:c>
      <x:c r="F483" s="47" t="n">
        <x:v>0.3524747263212628</x:v>
      </x:c>
      <x:c r="G483" s="47" t="n">
        <x:v>0.5829958435051026</x:v>
      </x:c>
      <x:c r="H483" s="47" t="n">
        <x:v>0.9488553766079546</x:v>
      </x:c>
      <x:c r="I483" s="47" t="n">
        <x:v>0.7759485405433066</x:v>
      </x:c>
      <x:c r="J483" s="47" t="n">
        <x:v>0.5829958435051026</x:v>
      </x:c>
      <x:c r="K483" s="47" t="n">
        <x:v>0.9894809614186459</x:v>
      </x:c>
      <x:c r="L483" s="47" t="n">
        <x:v>0.6462321059048197</x:v>
      </x:c>
      <x:c r="M483" s="29" t="n">
        <x:v>0</x:v>
      </x:c>
    </x:row>
    <x:row r="484" ht="15" hidden="0" customHeight="1">
      <x:c r="A484" s="27" t="n">
        <x:v>480</x:v>
      </x:c>
      <x:c r="B484" s="27" t="n">
        <x:v>331384</x:v>
      </x:c>
      <x:c r="C484" s="27" t="str">
        <x:v>A0</x:v>
      </x:c>
      <x:c r="D484" s="52" t="n">
        <x:v>1669.8853553068316</x:v>
      </x:c>
      <x:c r="E484" s="46" t="n">
        <x:v>0.6679541421227326</x:v>
      </x:c>
      <x:c r="F484" s="46" t="n">
        <x:v>0.3326658740719309</x:v>
      </x:c>
      <x:c r="G484" s="46" t="n">
        <x:v>0.5717245139460508</x:v>
      </x:c>
      <x:c r="H484" s="46" t="n">
        <x:v>0.987664595120089</x:v>
      </x:c>
      <x:c r="I484" s="46" t="n">
        <x:v>0.8124492640896603</x:v>
      </x:c>
      <x:c r="J484" s="46" t="n">
        <x:v>0.5717245139460508</x:v>
      </x:c>
      <x:c r="K484" s="46" t="n">
        <x:v>0.9991927531529275</x:v>
      </x:c>
      <x:c r="L484" s="46" t="n">
        <x:v>0.6224629095396182</x:v>
      </x:c>
      <x:c r="M484" s="27" t="n">
        <x:v>0</x:v>
      </x:c>
    </x:row>
    <x:row r="485" ht="15" hidden="0" customHeight="1">
      <x:c r="A485" s="29" t="n">
        <x:v>481</x:v>
      </x:c>
      <x:c r="B485" s="29" t="n">
        <x:v>331385</x:v>
      </x:c>
      <x:c r="C485" s="29" t="str">
        <x:v>A0</x:v>
      </x:c>
      <x:c r="D485" s="53" t="n">
        <x:v>1666.5453769985534</x:v>
      </x:c>
      <x:c r="E485" s="47" t="n">
        <x:v>0.6666181507994213</x:v>
      </x:c>
      <x:c r="F485" s="47" t="n">
        <x:v>0.3601793809616997</x:v>
      </x:c>
      <x:c r="G485" s="47" t="n">
        <x:v>0.5736355550707655</x:v>
      </x:c>
      <x:c r="H485" s="47" t="n">
        <x:v>1</x:v>
      </x:c>
      <x:c r="I485" s="47" t="n">
        <x:v>0.8545902640968682</x:v>
      </x:c>
      <x:c r="J485" s="47" t="n">
        <x:v>0.5736355550707655</x:v>
      </x:c>
      <x:c r="K485" s="47" t="n">
        <x:v>0.9951149974646106</x:v>
      </x:c>
      <x:c r="L485" s="47" t="n">
        <x:v>0.6143574327649013</x:v>
      </x:c>
      <x:c r="M485" s="29" t="n">
        <x:v>0</x:v>
      </x:c>
    </x:row>
    <x:row r="486" ht="15" hidden="0" customHeight="1">
      <x:c r="A486" s="27" t="n">
        <x:v>482</x:v>
      </x:c>
      <x:c r="B486" s="27" t="n">
        <x:v>331386</x:v>
      </x:c>
      <x:c r="C486" s="27" t="str">
        <x:v>A0</x:v>
      </x:c>
      <x:c r="D486" s="52" t="n">
        <x:v>1557.7813597752277</x:v>
      </x:c>
      <x:c r="E486" s="46" t="n">
        <x:v>0.6231125439100911</x:v>
      </x:c>
      <x:c r="F486" s="46" t="n">
        <x:v>0.30181746422228517</x:v>
      </x:c>
      <x:c r="G486" s="46" t="n">
        <x:v>0.5372960908632574</x:v>
      </x:c>
      <x:c r="H486" s="46" t="n">
        <x:v>0.9897968589368544</x:v>
      </x:c>
      <x:c r="I486" s="46" t="n">
        <x:v>0.751811976537785</x:v>
      </x:c>
      <x:c r="J486" s="46" t="n">
        <x:v>0.5372960908632574</x:v>
      </x:c>
      <x:c r="K486" s="46" t="n">
        <x:v>0.9890921288769107</x:v>
      </x:c>
      <x:c r="L486" s="46" t="n">
        <x:v>0.5773423882287895</x:v>
      </x:c>
      <x:c r="M486" s="27" t="n">
        <x:v>0</x:v>
      </x:c>
    </x:row>
    <x:row r="487" ht="15" hidden="0" customHeight="1">
      <x:c r="A487" s="29" t="n">
        <x:v>483</x:v>
      </x:c>
      <x:c r="B487" s="29" t="n">
        <x:v>331387</x:v>
      </x:c>
      <x:c r="C487" s="29" t="str">
        <x:v>A0</x:v>
      </x:c>
      <x:c r="D487" s="53" t="n">
        <x:v>1637.0445435237111</x:v>
      </x:c>
      <x:c r="E487" s="47" t="n">
        <x:v>0.6548178174094844</x:v>
      </x:c>
      <x:c r="F487" s="47" t="n">
        <x:v>0.31548672868405053</x:v>
      </x:c>
      <x:c r="G487" s="47" t="n">
        <x:v>0.5595647869377725</x:v>
      </x:c>
      <x:c r="H487" s="47" t="n">
        <x:v>0.9949698277408499</x:v>
      </x:c>
      <x:c r="I487" s="47" t="n">
        <x:v>0.7882394086462626</x:v>
      </x:c>
      <x:c r="J487" s="47" t="n">
        <x:v>0.5595647869377725</x:v>
      </x:c>
      <x:c r="K487" s="47" t="n">
        <x:v>0.9918402870134269</x:v>
      </x:c>
      <x:c r="L487" s="47" t="n">
        <x:v>0.6104465932997688</x:v>
      </x:c>
      <x:c r="M487" s="29" t="n">
        <x:v>0</x:v>
      </x:c>
    </x:row>
    <x:row r="488" ht="15" hidden="0" customHeight="1">
      <x:c r="A488" s="27" t="n">
        <x:v>484</x:v>
      </x:c>
      <x:c r="B488" s="27" t="n">
        <x:v>331388</x:v>
      </x:c>
      <x:c r="C488" s="27" t="str">
        <x:v>A0</x:v>
      </x:c>
      <x:c r="D488" s="52" t="n">
        <x:v>1607.107774223836</x:v>
      </x:c>
      <x:c r="E488" s="46" t="n">
        <x:v>0.6428431096895344</x:v>
      </x:c>
      <x:c r="F488" s="46" t="n">
        <x:v>0.31461835298137186</x:v>
      </x:c>
      <x:c r="G488" s="46" t="n">
        <x:v>0.5501046633877156</x:v>
      </x:c>
      <x:c r="H488" s="46" t="n">
        <x:v>1</x:v>
      </x:c>
      <x:c r="I488" s="46" t="n">
        <x:v>0.8342911915539907</x:v>
      </x:c>
      <x:c r="J488" s="46" t="n">
        <x:v>0.5501046633877156</x:v>
      </x:c>
      <x:c r="K488" s="46" t="n">
        <x:v>0.9736785106987055</x:v>
      </x:c>
      <x:c r="L488" s="46" t="n">
        <x:v>0.589617743055729</x:v>
      </x:c>
      <x:c r="M488" s="27" t="n">
        <x:v>0</x:v>
      </x:c>
    </x:row>
    <x:row r="489" ht="15" hidden="0" customHeight="1">
      <x:c r="A489" s="29" t="n">
        <x:v>485</x:v>
      </x:c>
      <x:c r="B489" s="29" t="n">
        <x:v>331389</x:v>
      </x:c>
      <x:c r="C489" s="29" t="str">
        <x:v>A0</x:v>
      </x:c>
      <x:c r="D489" s="53" t="n">
        <x:v>1636.2981470204281</x:v>
      </x:c>
      <x:c r="E489" s="47" t="n">
        <x:v>0.6545192588081713</x:v>
      </x:c>
      <x:c r="F489" s="47" t="n">
        <x:v>0.3242145251330129</x:v>
      </x:c>
      <x:c r="G489" s="47" t="n">
        <x:v>0.5590754483623038</x:v>
      </x:c>
      <x:c r="H489" s="47" t="n">
        <x:v>1</x:v>
      </x:c>
      <x:c r="I489" s="47" t="n">
        <x:v>0.8258353786979915</x:v>
      </x:c>
      <x:c r="J489" s="47" t="n">
        <x:v>0.5590754483623038</x:v>
      </x:c>
      <x:c r="K489" s="47" t="n">
        <x:v>0.9779079254587767</x:v>
      </x:c>
      <x:c r="L489" s="47" t="n">
        <x:v>0.6050266944278107</x:v>
      </x:c>
      <x:c r="M489" s="29" t="n">
        <x:v>0</x:v>
      </x:c>
    </x:row>
    <x:row r="490" ht="15" hidden="0" customHeight="1">
      <x:c r="A490" s="27" t="n">
        <x:v>486</x:v>
      </x:c>
      <x:c r="B490" s="27" t="n">
        <x:v>331390</x:v>
      </x:c>
      <x:c r="C490" s="27" t="str">
        <x:v>A0</x:v>
      </x:c>
      <x:c r="D490" s="52" t="n">
        <x:v>1716.2000113684467</x:v>
      </x:c>
      <x:c r="E490" s="46" t="n">
        <x:v>0.6864800045473787</x:v>
      </x:c>
      <x:c r="F490" s="46" t="n">
        <x:v>0.35564554658016667</x:v>
      </x:c>
      <x:c r="G490" s="46" t="n">
        <x:v>0.5974762652157956</x:v>
      </x:c>
      <x:c r="H490" s="46" t="n">
        <x:v>1</x:v>
      </x:c>
      <x:c r="I490" s="46" t="n">
        <x:v>0.8516492097767199</x:v>
      </x:c>
      <x:c r="J490" s="46" t="n">
        <x:v>0.5974762652157956</x:v>
      </x:c>
      <x:c r="K490" s="46" t="n">
        <x:v>0.9987112471266602</x:v>
      </x:c>
      <x:c r="L490" s="46" t="n">
        <x:v>0.6389462051624555</x:v>
      </x:c>
      <x:c r="M490" s="27" t="n">
        <x:v>0</x:v>
      </x:c>
    </x:row>
    <x:row r="491" ht="15" hidden="0" customHeight="1">
      <x:c r="A491" s="29" t="n">
        <x:v>487</x:v>
      </x:c>
      <x:c r="B491" s="29" t="n">
        <x:v>331391</x:v>
      </x:c>
      <x:c r="C491" s="29" t="str">
        <x:v>A0</x:v>
      </x:c>
      <x:c r="D491" s="53" t="n">
        <x:v>1705.0386201001013</x:v>
      </x:c>
      <x:c r="E491" s="47" t="n">
        <x:v>0.6820154480400406</x:v>
      </x:c>
      <x:c r="F491" s="47" t="n">
        <x:v>0.3215864871830968</x:v>
      </x:c>
      <x:c r="G491" s="47" t="n">
        <x:v>0.585105837244735</x:v>
      </x:c>
      <x:c r="H491" s="47" t="n">
        <x:v>1</x:v>
      </x:c>
      <x:c r="I491" s="47" t="n">
        <x:v>0.8729873196283904</x:v>
      </x:c>
      <x:c r="J491" s="47" t="n">
        <x:v>0.585105837244735</x:v>
      </x:c>
      <x:c r="K491" s="47" t="n">
        <x:v>0.980456059324646</x:v>
      </x:c>
      <x:c r="L491" s="47" t="n">
        <x:v>0.6313142210765396</x:v>
      </x:c>
      <x:c r="M491" s="29" t="n">
        <x:v>0</x:v>
      </x:c>
    </x:row>
    <x:row r="492" ht="15" hidden="0" customHeight="1">
      <x:c r="A492" s="27" t="n">
        <x:v>488</x:v>
      </x:c>
      <x:c r="B492" s="27" t="n">
        <x:v>331392</x:v>
      </x:c>
      <x:c r="C492" s="27" t="str">
        <x:v>A0</x:v>
      </x:c>
      <x:c r="D492" s="52" t="n">
        <x:v>1654.0330729595426</x:v>
      </x:c>
      <x:c r="E492" s="46" t="n">
        <x:v>0.661613229183817</x:v>
      </x:c>
      <x:c r="F492" s="46" t="n">
        <x:v>0.34094322202729577</x:v>
      </x:c>
      <x:c r="G492" s="46" t="n">
        <x:v>0.5631324350139633</x:v>
      </x:c>
      <x:c r="H492" s="46" t="n">
        <x:v>1</x:v>
      </x:c>
      <x:c r="I492" s="46" t="n">
        <x:v>0.8543678889828102</x:v>
      </x:c>
      <x:c r="J492" s="46" t="n">
        <x:v>0.5631324350139633</x:v>
      </x:c>
      <x:c r="K492" s="46" t="n">
        <x:v>0.9899557215762552</x:v>
      </x:c>
      <x:c r="L492" s="46" t="n">
        <x:v>0.60860090099991</x:v>
      </x:c>
      <x:c r="M492" s="27" t="n">
        <x:v>0</x:v>
      </x:c>
    </x:row>
    <x:row r="493" ht="15" hidden="0" customHeight="1">
      <x:c r="A493" s="29" t="n">
        <x:v>489</x:v>
      </x:c>
      <x:c r="B493" s="29" t="n">
        <x:v>331393</x:v>
      </x:c>
      <x:c r="C493" s="29" t="str">
        <x:v>A0</x:v>
      </x:c>
      <x:c r="D493" s="53" t="n">
        <x:v>1694.775858694068</x:v>
      </x:c>
      <x:c r="E493" s="47" t="n">
        <x:v>0.6779103434776271</x:v>
      </x:c>
      <x:c r="F493" s="47" t="n">
        <x:v>0.39536198355563956</x:v>
      </x:c>
      <x:c r="G493" s="47" t="n">
        <x:v>0.5863729219876016</x:v>
      </x:c>
      <x:c r="H493" s="47" t="n">
        <x:v>1</x:v>
      </x:c>
      <x:c r="I493" s="47" t="n">
        <x:v>0.8676244691832491</x:v>
      </x:c>
      <x:c r="J493" s="47" t="n">
        <x:v>0.5863729219876016</x:v>
      </x:c>
      <x:c r="K493" s="47" t="n">
        <x:v>1</x:v>
      </x:c>
      <x:c r="L493" s="47" t="n">
        <x:v>0.6258890618775944</x:v>
      </x:c>
      <x:c r="M493" s="29" t="n">
        <x:v>0</x:v>
      </x:c>
    </x:row>
    <x:row r="494" ht="15" hidden="0" customHeight="1">
      <x:c r="A494" s="27" t="n">
        <x:v>490</x:v>
      </x:c>
      <x:c r="B494" s="27" t="n">
        <x:v>331394</x:v>
      </x:c>
      <x:c r="C494" s="27" t="str">
        <x:v>A0</x:v>
      </x:c>
      <x:c r="D494" s="52" t="n">
        <x:v>1654.3371855411574</x:v>
      </x:c>
      <x:c r="E494" s="46" t="n">
        <x:v>0.6617348742164629</x:v>
      </x:c>
      <x:c r="F494" s="46" t="n">
        <x:v>0.34634601598014697</x:v>
      </x:c>
      <x:c r="G494" s="46" t="n">
        <x:v>0.5667104408166714</x:v>
      </x:c>
      <x:c r="H494" s="46" t="n">
        <x:v>1</x:v>
      </x:c>
      <x:c r="I494" s="46" t="n">
        <x:v>0.8476970027827113</x:v>
      </x:c>
      <x:c r="J494" s="46" t="n">
        <x:v>0.5667104408166714</x:v>
      </x:c>
      <x:c r="K494" s="46" t="n">
        <x:v>0.9923532173241016</x:v>
      </x:c>
      <x:c r="L494" s="46" t="n">
        <x:v>0.6096153614815287</x:v>
      </x:c>
      <x:c r="M494" s="27" t="n">
        <x:v>0</x:v>
      </x:c>
    </x:row>
    <x:row r="495" ht="15" hidden="0" customHeight="1">
      <x:c r="A495" s="29" t="n">
        <x:v>491</x:v>
      </x:c>
      <x:c r="B495" s="29" t="n">
        <x:v>331395</x:v>
      </x:c>
      <x:c r="C495" s="29" t="str">
        <x:v>A0</x:v>
      </x:c>
      <x:c r="D495" s="53" t="n">
        <x:v>1631.1875890883907</x:v>
      </x:c>
      <x:c r="E495" s="47" t="n">
        <x:v>0.6524750356353562</x:v>
      </x:c>
      <x:c r="F495" s="47" t="n">
        <x:v>0.2967373466266214</x:v>
      </x:c>
      <x:c r="G495" s="47" t="n">
        <x:v>0.5623762374777102</x:v>
      </x:c>
      <x:c r="H495" s="47" t="n">
        <x:v>0.9470751706851712</x:v>
      </x:c>
      <x:c r="I495" s="47" t="n">
        <x:v>0.7486507573204395</x:v>
      </x:c>
      <x:c r="J495" s="47" t="n">
        <x:v>0.5623762374777102</x:v>
      </x:c>
      <x:c r="K495" s="47" t="n">
        <x:v>0.9661255217998842</x:v>
      </x:c>
      <x:c r="L495" s="47" t="n">
        <x:v>0.6157974849444875</x:v>
      </x:c>
      <x:c r="M495" s="29" t="n">
        <x:v>0</x:v>
      </x:c>
    </x:row>
    <x:row r="496" ht="15" hidden="0" customHeight="1">
      <x:c r="A496" s="27" t="n">
        <x:v>492</x:v>
      </x:c>
      <x:c r="B496" s="27" t="n">
        <x:v>331396</x:v>
      </x:c>
      <x:c r="C496" s="27" t="str">
        <x:v>A0</x:v>
      </x:c>
      <x:c r="D496" s="52" t="n">
        <x:v>1652.0683539349473</x:v>
      </x:c>
      <x:c r="E496" s="46" t="n">
        <x:v>0.6608273415739789</x:v>
      </x:c>
      <x:c r="F496" s="46" t="n">
        <x:v>0.34481392761674656</x:v>
      </x:c>
      <x:c r="G496" s="46" t="n">
        <x:v>0.5595329082517649</x:v>
      </x:c>
      <x:c r="H496" s="46" t="n">
        <x:v>1</x:v>
      </x:c>
      <x:c r="I496" s="46" t="n">
        <x:v>0.7968303451248169</x:v>
      </x:c>
      <x:c r="J496" s="46" t="n">
        <x:v>0.5595329082517649</x:v>
      </x:c>
      <x:c r="K496" s="46" t="n">
        <x:v>0.9938066374691367</x:v>
      </x:c>
      <x:c r="L496" s="46" t="n">
        <x:v>0.6163558341943635</x:v>
      </x:c>
      <x:c r="M496" s="27" t="n">
        <x:v>0</x:v>
      </x:c>
    </x:row>
    <x:row r="497" ht="15" hidden="0" customHeight="1">
      <x:c r="A497" s="29" t="n">
        <x:v>493</x:v>
      </x:c>
      <x:c r="B497" s="29" t="n">
        <x:v>331397</x:v>
      </x:c>
      <x:c r="C497" s="29" t="str">
        <x:v>A0</x:v>
      </x:c>
      <x:c r="D497" s="53" t="n">
        <x:v>1667.887947114237</x:v>
      </x:c>
      <x:c r="E497" s="47" t="n">
        <x:v>0.6671551788456949</x:v>
      </x:c>
      <x:c r="F497" s="47" t="n">
        <x:v>0.332163643981125</x:v>
      </x:c>
      <x:c r="G497" s="47" t="n">
        <x:v>0.573394139238111</x:v>
      </x:c>
      <x:c r="H497" s="47" t="n">
        <x:v>0.9980652158891112</x:v>
      </x:c>
      <x:c r="I497" s="47" t="n">
        <x:v>0.8058168221065733</x:v>
      </x:c>
      <x:c r="J497" s="47" t="n">
        <x:v>0.573394139238111</x:v>
      </x:c>
      <x:c r="K497" s="47" t="n">
        <x:v>0.998164560634012</x:v>
      </x:c>
      <x:c r="L497" s="47" t="n">
        <x:v>0.6224319672189391</x:v>
      </x:c>
      <x:c r="M497" s="29" t="n">
        <x:v>0</x:v>
      </x:c>
    </x:row>
    <x:row r="498" ht="15" hidden="0" customHeight="1">
      <x:c r="A498" s="27" t="n">
        <x:v>494</x:v>
      </x:c>
      <x:c r="B498" s="27" t="n">
        <x:v>331398</x:v>
      </x:c>
      <x:c r="C498" s="27" t="str">
        <x:v>A0</x:v>
      </x:c>
      <x:c r="D498" s="52" t="n">
        <x:v>1691.8314170068718</x:v>
      </x:c>
      <x:c r="E498" s="46" t="n">
        <x:v>0.6767325668027487</x:v>
      </x:c>
      <x:c r="F498" s="46" t="n">
        <x:v>0.33335231038568636</x:v>
      </x:c>
      <x:c r="G498" s="46" t="n">
        <x:v>0.5811912529631775</x:v>
      </x:c>
      <x:c r="H498" s="46" t="n">
        <x:v>0.9952481581777022</x:v>
      </x:c>
      <x:c r="I498" s="46" t="n">
        <x:v>0.8154314211977054</x:v>
      </x:c>
      <x:c r="J498" s="46" t="n">
        <x:v>0.5811912529631775</x:v>
      </x:c>
      <x:c r="K498" s="46" t="n">
        <x:v>0.9935715953893762</x:v>
      </x:c>
      <x:c r="L498" s="46" t="n">
        <x:v>0.6330187704766774</x:v>
      </x:c>
      <x:c r="M498" s="27" t="n">
        <x:v>0</x:v>
      </x:c>
    </x:row>
    <x:row r="499" ht="15" hidden="0" customHeight="1">
      <x:c r="A499" s="29" t="n">
        <x:v>495</x:v>
      </x:c>
      <x:c r="B499" s="29" t="n">
        <x:v>331399</x:v>
      </x:c>
      <x:c r="C499" s="29" t="str">
        <x:v>A0</x:v>
      </x:c>
      <x:c r="D499" s="53" t="n">
        <x:v>1601.6105855850558</x:v>
      </x:c>
      <x:c r="E499" s="47" t="n">
        <x:v>0.6406442342340223</x:v>
      </x:c>
      <x:c r="F499" s="47" t="n">
        <x:v>0.3102624249204524</x:v>
      </x:c>
      <x:c r="G499" s="47" t="n">
        <x:v>0.5451154417006169</x:v>
      </x:c>
      <x:c r="H499" s="47" t="n">
        <x:v>0.9972855776192758</x:v>
      </x:c>
      <x:c r="I499" s="47" t="n">
        <x:v>0.7985407565661304</x:v>
      </x:c>
      <x:c r="J499" s="47" t="n">
        <x:v>0.5451154417006169</x:v>
      </x:c>
      <x:c r="K499" s="47" t="n">
        <x:v>0.9667078194815565</x:v>
      </x:c>
      <x:c r="L499" s="47" t="n">
        <x:v>0.5929414376096547</x:v>
      </x:c>
      <x:c r="M499" s="29" t="n">
        <x:v>0</x:v>
      </x:c>
    </x:row>
    <x:row r="500" ht="15" hidden="0" customHeight="1">
      <x:c r="A500" s="27" t="n">
        <x:v>496</x:v>
      </x:c>
      <x:c r="B500" s="27" t="n">
        <x:v>331400</x:v>
      </x:c>
      <x:c r="C500" s="27" t="str">
        <x:v>A0</x:v>
      </x:c>
      <x:c r="D500" s="52" t="n">
        <x:v>1585.8650851393613</x:v>
      </x:c>
      <x:c r="E500" s="46" t="n">
        <x:v>0.6343460340557445</x:v>
      </x:c>
      <x:c r="F500" s="46" t="n">
        <x:v>0.29405702400129563</x:v>
      </x:c>
      <x:c r="G500" s="46" t="n">
        <x:v>0.5421172155109127</x:v>
      </x:c>
      <x:c r="H500" s="46" t="n">
        <x:v>1</x:v>
      </x:c>
      <x:c r="I500" s="46" t="n">
        <x:v>0.8153135910123546</x:v>
      </x:c>
      <x:c r="J500" s="46" t="n">
        <x:v>0.5421172155109127</x:v>
      </x:c>
      <x:c r="K500" s="46" t="n">
        <x:v>0.9646184078112607</x:v>
      </x:c>
      <x:c r="L500" s="46" t="n">
        <x:v>0.5826767670206626</x:v>
      </x:c>
      <x:c r="M500" s="27" t="n">
        <x:v>0</x:v>
      </x:c>
    </x:row>
    <x:row r="501" ht="15" hidden="0" customHeight="1">
      <x:c r="A501" s="29" t="n">
        <x:v>497</x:v>
      </x:c>
      <x:c r="B501" s="29" t="n">
        <x:v>331401</x:v>
      </x:c>
      <x:c r="C501" s="29" t="str">
        <x:v>A0</x:v>
      </x:c>
      <x:c r="D501" s="53" t="n">
        <x:v>1627.2028145219774</x:v>
      </x:c>
      <x:c r="E501" s="47" t="n">
        <x:v>0.650881125808791</x:v>
      </x:c>
      <x:c r="F501" s="47" t="n">
        <x:v>0.323276129610736</x:v>
      </x:c>
      <x:c r="G501" s="47" t="n">
        <x:v>0.557027936159152</x:v>
      </x:c>
      <x:c r="H501" s="47" t="n">
        <x:v>0.9914898217029897</x:v>
      </x:c>
      <x:c r="I501" s="47" t="n">
        <x:v>0.8015451533021614</x:v>
      </x:c>
      <x:c r="J501" s="47" t="n">
        <x:v>0.557027936159152</x:v>
      </x:c>
      <x:c r="K501" s="47" t="n">
        <x:v>0.9838244998219375</x:v>
      </x:c>
      <x:c r="L501" s="47" t="n">
        <x:v>0.6040637947238324</x:v>
      </x:c>
      <x:c r="M501" s="29" t="n">
        <x:v>0</x:v>
      </x:c>
    </x:row>
    <x:row r="502" ht="15" hidden="0" customHeight="1">
      <x:c r="A502" s="27" t="n">
        <x:v>498</x:v>
      </x:c>
      <x:c r="B502" s="27" t="n">
        <x:v>331402</x:v>
      </x:c>
      <x:c r="C502" s="27" t="str">
        <x:v>A0</x:v>
      </x:c>
      <x:c r="D502" s="52" t="n">
        <x:v>1622.6536629129394</x:v>
      </x:c>
      <x:c r="E502" s="46" t="n">
        <x:v>0.6490614651651757</x:v>
      </x:c>
      <x:c r="F502" s="46" t="n">
        <x:v>0.3156993228441983</x:v>
      </x:c>
      <x:c r="G502" s="46" t="n">
        <x:v>0.5495766632040278</x:v>
      </x:c>
      <x:c r="H502" s="46" t="n">
        <x:v>1</x:v>
      </x:c>
      <x:c r="I502" s="46" t="n">
        <x:v>0.8445336845528056</x:v>
      </x:c>
      <x:c r="J502" s="46" t="n">
        <x:v>0.5495766632040278</x:v>
      </x:c>
      <x:c r="K502" s="46" t="n">
        <x:v>0.9744184618625179</x:v>
      </x:c>
      <x:c r="L502" s="46" t="n">
        <x:v>0.5956658827439825</x:v>
      </x:c>
      <x:c r="M502" s="27" t="n">
        <x:v>0</x:v>
      </x:c>
    </x:row>
    <x:row r="503" ht="15" hidden="0" customHeight="1">
      <x:c r="A503" s="29" t="n">
        <x:v>499</x:v>
      </x:c>
      <x:c r="B503" s="29" t="n">
        <x:v>331403</x:v>
      </x:c>
      <x:c r="C503" s="29" t="str">
        <x:v>A0</x:v>
      </x:c>
      <x:c r="D503" s="53" t="n">
        <x:v>1697.8829261591522</x:v>
      </x:c>
      <x:c r="E503" s="47" t="n">
        <x:v>0.6791531704636609</x:v>
      </x:c>
      <x:c r="F503" s="47" t="n">
        <x:v>0.3572765643611445</x:v>
      </x:c>
      <x:c r="G503" s="47" t="n">
        <x:v>0.5786392303134984</x:v>
      </x:c>
      <x:c r="H503" s="47" t="n">
        <x:v>1</x:v>
      </x:c>
      <x:c r="I503" s="47" t="n">
        <x:v>0.8071549947946292</x:v>
      </x:c>
      <x:c r="J503" s="47" t="n">
        <x:v>0.5786392303134984</x:v>
      </x:c>
      <x:c r="K503" s="47" t="n">
        <x:v>0.9951269109500117</x:v>
      </x:c>
      <x:c r="L503" s="47" t="n">
        <x:v>0.6371612210815546</x:v>
      </x:c>
      <x:c r="M503" s="29" t="n">
        <x:v>0</x:v>
      </x:c>
    </x:row>
    <x:row r="504" ht="15" hidden="0" customHeight="1">
      <x:c r="A504" s="27" t="n">
        <x:v>500</x:v>
      </x:c>
      <x:c r="B504" s="27" t="n">
        <x:v>331404</x:v>
      </x:c>
      <x:c r="C504" s="27" t="str">
        <x:v>A0</x:v>
      </x:c>
      <x:c r="D504" s="52" t="n">
        <x:v>1702.0595968705968</x:v>
      </x:c>
      <x:c r="E504" s="46" t="n">
        <x:v>0.6808238387482387</x:v>
      </x:c>
      <x:c r="F504" s="46" t="n">
        <x:v>0.3663370158488198</x:v>
      </x:c>
      <x:c r="G504" s="46" t="n">
        <x:v>0.5841894852939582</x:v>
      </x:c>
      <x:c r="H504" s="46" t="n">
        <x:v>0.9926068166097898</x:v>
      </x:c>
      <x:c r="I504" s="46" t="n">
        <x:v>0.7967654750894205</x:v>
      </x:c>
      <x:c r="J504" s="46" t="n">
        <x:v>0.5841894852939582</x:v>
      </x:c>
      <x:c r="K504" s="46" t="n">
        <x:v>1</x:v>
      </x:c>
      <x:c r="L504" s="46" t="n">
        <x:v>0.6405894573863087</x:v>
      </x:c>
      <x:c r="M504" s="27" t="n">
        <x:v>0</x:v>
      </x:c>
    </x:row>
    <x:row r="505" ht="15" hidden="0" customHeight="1">
      <x:c r="A505" s="29" t="n">
        <x:v>1</x:v>
      </x:c>
      <x:c r="B505" s="29" t="n">
        <x:v>330905</x:v>
      </x:c>
      <x:c r="C505" s="29" t="str">
        <x:v>A1</x:v>
      </x:c>
      <x:c r="D505" s="53" t="n">
        <x:v>2400.798266354797</x:v>
      </x:c>
      <x:c r="E505" s="47" t="n">
        <x:v>0.9603193065419188</x:v>
      </x:c>
      <x:c r="F505" s="47" t="n">
        <x:v>0.7726604973887585</x:v>
      </x:c>
      <x:c r="G505" s="47" t="n">
        <x:v>1</x:v>
      </x:c>
      <x:c r="H505" s="47" t="n">
        <x:v>1</x:v>
      </x:c>
      <x:c r="I505" s="47" t="n">
        <x:v>1</x:v>
      </x:c>
      <x:c r="J505" s="47" t="n">
        <x:v>1</x:v>
      </x:c>
      <x:c r="K505" s="47" t="n">
        <x:v>1</x:v>
      </x:c>
      <x:c r="L505" s="47" t="n">
        <x:v>0.9510005717203733</x:v>
      </x:c>
      <x:c r="M505" s="29" t="n">
        <x:v>0</x:v>
      </x:c>
    </x:row>
    <x:row r="506" ht="15" hidden="0" customHeight="1">
      <x:c r="A506" s="27" t="n">
        <x:v>2</x:v>
      </x:c>
      <x:c r="B506" s="27" t="n">
        <x:v>330906</x:v>
      </x:c>
      <x:c r="C506" s="27" t="str">
        <x:v>A1</x:v>
      </x:c>
      <x:c r="D506" s="52" t="n">
        <x:v>2451.463840831887</x:v>
      </x:c>
      <x:c r="E506" s="46" t="n">
        <x:v>0.9805855363327548</x:v>
      </x:c>
      <x:c r="F506" s="46" t="n">
        <x:v>0.8083881771380325</x:v>
      </x:c>
      <x:c r="G506" s="46" t="n">
        <x:v>1</x:v>
      </x:c>
      <x:c r="H506" s="46" t="n">
        <x:v>1</x:v>
      </x:c>
      <x:c r="I506" s="46" t="n">
        <x:v>1</x:v>
      </x:c>
      <x:c r="J506" s="46" t="n">
        <x:v>1</x:v>
      </x:c>
      <x:c r="K506" s="46" t="n">
        <x:v>1</x:v>
      </x:c>
      <x:c r="L506" s="46" t="n">
        <x:v>0.9760261845964071</x:v>
      </x:c>
      <x:c r="M506" s="27" t="n">
        <x:v>0</x:v>
      </x:c>
    </x:row>
    <x:row r="507" ht="15" hidden="0" customHeight="1">
      <x:c r="A507" s="29" t="n">
        <x:v>3</x:v>
      </x:c>
      <x:c r="B507" s="29" t="n">
        <x:v>330907</x:v>
      </x:c>
      <x:c r="C507" s="29" t="str">
        <x:v>A1</x:v>
      </x:c>
      <x:c r="D507" s="53" t="n">
        <x:v>2411.927805755332</x:v>
      </x:c>
      <x:c r="E507" s="47" t="n">
        <x:v>0.9647711223021328</x:v>
      </x:c>
      <x:c r="F507" s="47" t="n">
        <x:v>0.7902695589696387</x:v>
      </x:c>
      <x:c r="G507" s="47" t="n">
        <x:v>1</x:v>
      </x:c>
      <x:c r="H507" s="47" t="n">
        <x:v>1</x:v>
      </x:c>
      <x:c r="I507" s="47" t="n">
        <x:v>1</x:v>
      </x:c>
      <x:c r="J507" s="47" t="n">
        <x:v>1</x:v>
      </x:c>
      <x:c r="K507" s="47" t="n">
        <x:v>1</x:v>
      </x:c>
      <x:c r="L507" s="47" t="n">
        <x:v>0.9564978654430035</x:v>
      </x:c>
      <x:c r="M507" s="29" t="n">
        <x:v>0</x:v>
      </x:c>
    </x:row>
    <x:row r="508" ht="15" hidden="0" customHeight="1">
      <x:c r="A508" s="27" t="n">
        <x:v>4</x:v>
      </x:c>
      <x:c r="B508" s="27" t="n">
        <x:v>330908</x:v>
      </x:c>
      <x:c r="C508" s="27" t="str">
        <x:v>A1</x:v>
      </x:c>
      <x:c r="D508" s="52" t="n">
        <x:v>2500</x:v>
      </x:c>
      <x:c r="E508" s="46" t="n">
        <x:v>1</x:v>
      </x:c>
      <x:c r="F508" s="46" t="n">
        <x:v>0.9999999999999998</x:v>
      </x:c>
      <x:c r="G508" s="46" t="n">
        <x:v>1</x:v>
      </x:c>
      <x:c r="H508" s="46" t="n">
        <x:v>1</x:v>
      </x:c>
      <x:c r="I508" s="46" t="n">
        <x:v>1</x:v>
      </x:c>
      <x:c r="J508" s="46" t="n">
        <x:v>1</x:v>
      </x:c>
      <x:c r="K508" s="46" t="n">
        <x:v>1</x:v>
      </x:c>
      <x:c r="L508" s="46" t="n">
        <x:v>1</x:v>
      </x:c>
      <x:c r="M508" s="27" t="n">
        <x:v>1</x:v>
      </x:c>
    </x:row>
    <x:row r="509" ht="15" hidden="0" customHeight="1">
      <x:c r="A509" s="29" t="n">
        <x:v>5</x:v>
      </x:c>
      <x:c r="B509" s="29" t="n">
        <x:v>330909</x:v>
      </x:c>
      <x:c r="C509" s="29" t="str">
        <x:v>A1</x:v>
      </x:c>
      <x:c r="D509" s="53" t="n">
        <x:v>2500</x:v>
      </x:c>
      <x:c r="E509" s="47" t="n">
        <x:v>1</x:v>
      </x:c>
      <x:c r="F509" s="47" t="n">
        <x:v>1</x:v>
      </x:c>
      <x:c r="G509" s="47" t="n">
        <x:v>1</x:v>
      </x:c>
      <x:c r="H509" s="47" t="n">
        <x:v>1</x:v>
      </x:c>
      <x:c r="I509" s="47" t="n">
        <x:v>1</x:v>
      </x:c>
      <x:c r="J509" s="47" t="n">
        <x:v>1</x:v>
      </x:c>
      <x:c r="K509" s="47" t="n">
        <x:v>1</x:v>
      </x:c>
      <x:c r="L509" s="47" t="n">
        <x:v>1</x:v>
      </x:c>
      <x:c r="M509" s="29" t="n">
        <x:v>1</x:v>
      </x:c>
    </x:row>
    <x:row r="510" ht="15" hidden="0" customHeight="1">
      <x:c r="A510" s="27" t="n">
        <x:v>6</x:v>
      </x:c>
      <x:c r="B510" s="27" t="n">
        <x:v>330910</x:v>
      </x:c>
      <x:c r="C510" s="27" t="str">
        <x:v>A1</x:v>
      </x:c>
      <x:c r="D510" s="52" t="n">
        <x:v>2470.043536405157</x:v>
      </x:c>
      <x:c r="E510" s="46" t="n">
        <x:v>0.9880174145620627</x:v>
      </x:c>
      <x:c r="F510" s="46" t="n">
        <x:v>0.8801741456206271</x:v>
      </x:c>
      <x:c r="G510" s="46" t="n">
        <x:v>1</x:v>
      </x:c>
      <x:c r="H510" s="46" t="n">
        <x:v>1</x:v>
      </x:c>
      <x:c r="I510" s="46" t="n">
        <x:v>1</x:v>
      </x:c>
      <x:c r="J510" s="46" t="n">
        <x:v>1</x:v>
      </x:c>
      <x:c r="K510" s="46" t="n">
        <x:v>1</x:v>
      </x:c>
      <x:c r="L510" s="46" t="n">
        <x:v>0.9852033877283177</x:v>
      </x:c>
      <x:c r="M510" s="27" t="n">
        <x:v>0</x:v>
      </x:c>
    </x:row>
    <x:row r="511" ht="15" hidden="0" customHeight="1">
      <x:c r="A511" s="29" t="n">
        <x:v>7</x:v>
      </x:c>
      <x:c r="B511" s="29" t="n">
        <x:v>330911</x:v>
      </x:c>
      <x:c r="C511" s="29" t="str">
        <x:v>A1</x:v>
      </x:c>
      <x:c r="D511" s="53" t="n">
        <x:v>2427.6481283738444</x:v>
      </x:c>
      <x:c r="E511" s="47" t="n">
        <x:v>0.9710592513495377</x:v>
      </x:c>
      <x:c r="F511" s="47" t="n">
        <x:v>0.7520267995812902</x:v>
      </x:c>
      <x:c r="G511" s="47" t="n">
        <x:v>1</x:v>
      </x:c>
      <x:c r="H511" s="47" t="n">
        <x:v>1</x:v>
      </x:c>
      <x:c r="I511" s="47" t="n">
        <x:v>1</x:v>
      </x:c>
      <x:c r="J511" s="47" t="n">
        <x:v>1</x:v>
      </x:c>
      <x:c r="K511" s="47" t="n">
        <x:v>1</x:v>
      </x:c>
      <x:c r="L511" s="47" t="n">
        <x:v>0.9642627178540847</x:v>
      </x:c>
      <x:c r="M511" s="29" t="n">
        <x:v>0</x:v>
      </x:c>
    </x:row>
    <x:row r="512" ht="15" hidden="0" customHeight="1">
      <x:c r="A512" s="27" t="n">
        <x:v>8</x:v>
      </x:c>
      <x:c r="B512" s="27" t="n">
        <x:v>330912</x:v>
      </x:c>
      <x:c r="C512" s="27" t="str">
        <x:v>A1</x:v>
      </x:c>
      <x:c r="D512" s="52" t="n">
        <x:v>2449.268115256528</x:v>
      </x:c>
      <x:c r="E512" s="46" t="n">
        <x:v>0.9797072461026112</x:v>
      </x:c>
      <x:c r="F512" s="46" t="n">
        <x:v>0.8085767350650152</x:v>
      </x:c>
      <x:c r="G512" s="46" t="n">
        <x:v>1</x:v>
      </x:c>
      <x:c r="H512" s="46" t="n">
        <x:v>1</x:v>
      </x:c>
      <x:c r="I512" s="46" t="n">
        <x:v>1</x:v>
      </x:c>
      <x:c r="J512" s="46" t="n">
        <x:v>1</x:v>
      </x:c>
      <x:c r="K512" s="46" t="n">
        <x:v>1</x:v>
      </x:c>
      <x:c r="L512" s="46" t="n">
        <x:v>0.9749416340155034</x:v>
      </x:c>
      <x:c r="M512" s="27" t="n">
        <x:v>0</x:v>
      </x:c>
    </x:row>
    <x:row r="513" ht="15" hidden="0" customHeight="1">
      <x:c r="A513" s="29" t="n">
        <x:v>9</x:v>
      </x:c>
      <x:c r="B513" s="29" t="n">
        <x:v>330913</x:v>
      </x:c>
      <x:c r="C513" s="29" t="str">
        <x:v>A1</x:v>
      </x:c>
      <x:c r="D513" s="53" t="n">
        <x:v>2443.8151103119303</x:v>
      </x:c>
      <x:c r="E513" s="47" t="n">
        <x:v>0.9775260441247722</x:v>
      </x:c>
      <x:c r="F513" s="47" t="n">
        <x:v>0.7908722121829628</x:v>
      </x:c>
      <x:c r="G513" s="47" t="n">
        <x:v>1</x:v>
      </x:c>
      <x:c r="H513" s="47" t="n">
        <x:v>1</x:v>
      </x:c>
      <x:c r="I513" s="47" t="n">
        <x:v>1</x:v>
      </x:c>
      <x:c r="J513" s="47" t="n">
        <x:v>1</x:v>
      </x:c>
      <x:c r="K513" s="47" t="n">
        <x:v>1</x:v>
      </x:c>
      <x:c r="L513" s="47" t="n">
        <x:v>0.9722481919266093</x:v>
      </x:c>
      <x:c r="M513" s="29" t="n">
        <x:v>0</x:v>
      </x:c>
    </x:row>
    <x:row r="514" ht="15" hidden="0" customHeight="1">
      <x:c r="A514" s="27" t="n">
        <x:v>10</x:v>
      </x:c>
      <x:c r="B514" s="27" t="n">
        <x:v>330914</x:v>
      </x:c>
      <x:c r="C514" s="27" t="str">
        <x:v>A1</x:v>
      </x:c>
      <x:c r="D514" s="52" t="n">
        <x:v>2436.451639975262</x:v>
      </x:c>
      <x:c r="E514" s="46" t="n">
        <x:v>0.9745806559901048</x:v>
      </x:c>
      <x:c r="F514" s="46" t="n">
        <x:v>0.7458065599010465</x:v>
      </x:c>
      <x:c r="G514" s="46" t="n">
        <x:v>1</x:v>
      </x:c>
      <x:c r="H514" s="46" t="n">
        <x:v>1</x:v>
      </x:c>
      <x:c r="I514" s="46" t="n">
        <x:v>1</x:v>
      </x:c>
      <x:c r="J514" s="46" t="n">
        <x:v>1</x:v>
      </x:c>
      <x:c r="K514" s="46" t="n">
        <x:v>1</x:v>
      </x:c>
      <x:c r="L514" s="46" t="n">
        <x:v>0.9686110998779845</x:v>
      </x:c>
      <x:c r="M514" s="27" t="n">
        <x:v>0</x:v>
      </x:c>
    </x:row>
    <x:row r="515" ht="15" hidden="0" customHeight="1">
      <x:c r="A515" s="29" t="n">
        <x:v>11</x:v>
      </x:c>
      <x:c r="B515" s="29" t="n">
        <x:v>330915</x:v>
      </x:c>
      <x:c r="C515" s="29" t="str">
        <x:v>A1</x:v>
      </x:c>
      <x:c r="D515" s="53" t="n">
        <x:v>2447.7602588352643</x:v>
      </x:c>
      <x:c r="E515" s="47" t="n">
        <x:v>0.9791041035341057</x:v>
      </x:c>
      <x:c r="F515" s="47" t="n">
        <x:v>0.8006059384451554</x:v>
      </x:c>
      <x:c r="G515" s="47" t="n">
        <x:v>1</x:v>
      </x:c>
      <x:c r="H515" s="47" t="n">
        <x:v>1</x:v>
      </x:c>
      <x:c r="I515" s="47" t="n">
        <x:v>1</x:v>
      </x:c>
      <x:c r="J515" s="47" t="n">
        <x:v>1</x:v>
      </x:c>
      <x:c r="K515" s="47" t="n">
        <x:v>1</x:v>
      </x:c>
      <x:c r="L515" s="47" t="n">
        <x:v>0.9741968476105205</x:v>
      </x:c>
      <x:c r="M515" s="29" t="n">
        <x:v>0</x:v>
      </x:c>
    </x:row>
    <x:row r="516" ht="15" hidden="0" customHeight="1">
      <x:c r="A516" s="27" t="n">
        <x:v>12</x:v>
      </x:c>
      <x:c r="B516" s="27" t="n">
        <x:v>330916</x:v>
      </x:c>
      <x:c r="C516" s="27" t="str">
        <x:v>A1</x:v>
      </x:c>
      <x:c r="D516" s="52" t="n">
        <x:v>2449.425177758988</x:v>
      </x:c>
      <x:c r="E516" s="46" t="n">
        <x:v>0.9797700711035952</x:v>
      </x:c>
      <x:c r="F516" s="46" t="n">
        <x:v>0.8180390132745354</x:v>
      </x:c>
      <x:c r="G516" s="46" t="n">
        <x:v>1</x:v>
      </x:c>
      <x:c r="H516" s="46" t="n">
        <x:v>1</x:v>
      </x:c>
      <x:c r="I516" s="46" t="n">
        <x:v>1</x:v>
      </x:c>
      <x:c r="J516" s="46" t="n">
        <x:v>1</x:v>
      </x:c>
      <x:c r="K516" s="46" t="n">
        <x:v>1</x:v>
      </x:c>
      <x:c r="L516" s="46" t="n">
        <x:v>0.9750192130309291</x:v>
      </x:c>
      <x:c r="M516" s="27" t="n">
        <x:v>0</x:v>
      </x:c>
    </x:row>
    <x:row r="517" ht="15" hidden="0" customHeight="1">
      <x:c r="A517" s="29" t="n">
        <x:v>13</x:v>
      </x:c>
      <x:c r="B517" s="29" t="n">
        <x:v>330917</x:v>
      </x:c>
      <x:c r="C517" s="29" t="str">
        <x:v>A1</x:v>
      </x:c>
      <x:c r="D517" s="53" t="n">
        <x:v>2439.7615841118322</x:v>
      </x:c>
      <x:c r="E517" s="47" t="n">
        <x:v>0.9759046336447329</x:v>
      </x:c>
      <x:c r="F517" s="47" t="n">
        <x:v>0.7900670989004239</x:v>
      </x:c>
      <x:c r="G517" s="47" t="n">
        <x:v>1</x:v>
      </x:c>
      <x:c r="H517" s="47" t="n">
        <x:v>1</x:v>
      </x:c>
      <x:c r="I517" s="47" t="n">
        <x:v>1</x:v>
      </x:c>
      <x:c r="J517" s="47" t="n">
        <x:v>1</x:v>
      </x:c>
      <x:c r="K517" s="47" t="n">
        <x:v>1</x:v>
      </x:c>
      <x:c r="L517" s="47" t="n">
        <x:v>0.9702460044746072</x:v>
      </x:c>
      <x:c r="M517" s="29" t="n">
        <x:v>0</x:v>
      </x:c>
    </x:row>
    <x:row r="518" ht="15" hidden="0" customHeight="1">
      <x:c r="A518" s="27" t="n">
        <x:v>14</x:v>
      </x:c>
      <x:c r="B518" s="27" t="n">
        <x:v>330918</x:v>
      </x:c>
      <x:c r="C518" s="27" t="str">
        <x:v>A1</x:v>
      </x:c>
      <x:c r="D518" s="52" t="n">
        <x:v>2423.8651084893363</x:v>
      </x:c>
      <x:c r="E518" s="46" t="n">
        <x:v>0.9695460433957345</x:v>
      </x:c>
      <x:c r="F518" s="46" t="n">
        <x:v>0.7475117675055124</x:v>
      </x:c>
      <x:c r="G518" s="46" t="n">
        <x:v>1</x:v>
      </x:c>
      <x:c r="H518" s="46" t="n">
        <x:v>1</x:v>
      </x:c>
      <x:c r="I518" s="46" t="n">
        <x:v>1</x:v>
      </x:c>
      <x:c r="J518" s="46" t="n">
        <x:v>1</x:v>
      </x:c>
      <x:c r="K518" s="46" t="n">
        <x:v>1</x:v>
      </x:c>
      <x:c r="L518" s="46" t="n">
        <x:v>0.9623941435388986</x:v>
      </x:c>
      <x:c r="M518" s="27" t="n">
        <x:v>0</x:v>
      </x:c>
    </x:row>
    <x:row r="519" ht="15" hidden="0" customHeight="1">
      <x:c r="A519" s="29" t="n">
        <x:v>15</x:v>
      </x:c>
      <x:c r="B519" s="29" t="n">
        <x:v>330919</x:v>
      </x:c>
      <x:c r="C519" s="29" t="str">
        <x:v>A1</x:v>
      </x:c>
      <x:c r="D519" s="53" t="n">
        <x:v>2500</x:v>
      </x:c>
      <x:c r="E519" s="47" t="n">
        <x:v>1</x:v>
      </x:c>
      <x:c r="F519" s="47" t="n">
        <x:v>0.9999999999999998</x:v>
      </x:c>
      <x:c r="G519" s="47" t="n">
        <x:v>1</x:v>
      </x:c>
      <x:c r="H519" s="47" t="n">
        <x:v>1</x:v>
      </x:c>
      <x:c r="I519" s="47" t="n">
        <x:v>1</x:v>
      </x:c>
      <x:c r="J519" s="47" t="n">
        <x:v>1</x:v>
      </x:c>
      <x:c r="K519" s="47" t="n">
        <x:v>1</x:v>
      </x:c>
      <x:c r="L519" s="47" t="n">
        <x:v>0.9999999999999999</x:v>
      </x:c>
      <x:c r="M519" s="29" t="n">
        <x:v>1</x:v>
      </x:c>
    </x:row>
    <x:row r="520" ht="15" hidden="0" customHeight="1">
      <x:c r="A520" s="27" t="n">
        <x:v>16</x:v>
      </x:c>
      <x:c r="B520" s="27" t="n">
        <x:v>330920</x:v>
      </x:c>
      <x:c r="C520" s="27" t="str">
        <x:v>A1</x:v>
      </x:c>
      <x:c r="D520" s="52" t="n">
        <x:v>2463.52461207107</x:v>
      </x:c>
      <x:c r="E520" s="46" t="n">
        <x:v>0.985409844828428</x:v>
      </x:c>
      <x:c r="F520" s="46" t="n">
        <x:v>0.8540984482842798</x:v>
      </x:c>
      <x:c r="G520" s="46" t="n">
        <x:v>1</x:v>
      </x:c>
      <x:c r="H520" s="46" t="n">
        <x:v>1</x:v>
      </x:c>
      <x:c r="I520" s="46" t="n">
        <x:v>1</x:v>
      </x:c>
      <x:c r="J520" s="46" t="n">
        <x:v>1</x:v>
      </x:c>
      <x:c r="K520" s="46" t="n">
        <x:v>1</x:v>
      </x:c>
      <x:c r="L520" s="46" t="n">
        <x:v>0.9819834483821888</x:v>
      </x:c>
      <x:c r="M520" s="27" t="n">
        <x:v>0</x:v>
      </x:c>
    </x:row>
    <x:row r="521" ht="15" hidden="0" customHeight="1">
      <x:c r="A521" s="29" t="n">
        <x:v>17</x:v>
      </x:c>
      <x:c r="B521" s="29" t="n">
        <x:v>330921</x:v>
      </x:c>
      <x:c r="C521" s="29" t="str">
        <x:v>A1</x:v>
      </x:c>
      <x:c r="D521" s="53" t="n">
        <x:v>2500</x:v>
      </x:c>
      <x:c r="E521" s="47" t="n">
        <x:v>1</x:v>
      </x:c>
      <x:c r="F521" s="47" t="n">
        <x:v>1</x:v>
      </x:c>
      <x:c r="G521" s="47" t="n">
        <x:v>1</x:v>
      </x:c>
      <x:c r="H521" s="47" t="n">
        <x:v>1</x:v>
      </x:c>
      <x:c r="I521" s="47" t="n">
        <x:v>1</x:v>
      </x:c>
      <x:c r="J521" s="47" t="n">
        <x:v>1</x:v>
      </x:c>
      <x:c r="K521" s="47" t="n">
        <x:v>1</x:v>
      </x:c>
      <x:c r="L521" s="47" t="n">
        <x:v>1</x:v>
      </x:c>
      <x:c r="M521" s="29" t="n">
        <x:v>1</x:v>
      </x:c>
    </x:row>
    <x:row r="522" ht="15" hidden="0" customHeight="1">
      <x:c r="A522" s="27" t="n">
        <x:v>18</x:v>
      </x:c>
      <x:c r="B522" s="27" t="n">
        <x:v>330922</x:v>
      </x:c>
      <x:c r="C522" s="27" t="str">
        <x:v>A1</x:v>
      </x:c>
      <x:c r="D522" s="52" t="n">
        <x:v>2418.3297661771976</x:v>
      </x:c>
      <x:c r="E522" s="46" t="n">
        <x:v>0.9673319064708791</x:v>
      </x:c>
      <x:c r="F522" s="46" t="n">
        <x:v>0.7157785752240595</x:v>
      </x:c>
      <x:c r="G522" s="46" t="n">
        <x:v>1</x:v>
      </x:c>
      <x:c r="H522" s="46" t="n">
        <x:v>1</x:v>
      </x:c>
      <x:c r="I522" s="46" t="n">
        <x:v>1</x:v>
      </x:c>
      <x:c r="J522" s="46" t="n">
        <x:v>1</x:v>
      </x:c>
      <x:c r="K522" s="46" t="n">
        <x:v>1</x:v>
      </x:c>
      <x:c r="L522" s="46" t="n">
        <x:v>0.9596600319597917</x:v>
      </x:c>
      <x:c r="M522" s="27" t="n">
        <x:v>0</x:v>
      </x:c>
    </x:row>
    <x:row r="523" ht="15" hidden="0" customHeight="1">
      <x:c r="A523" s="29" t="n">
        <x:v>19</x:v>
      </x:c>
      <x:c r="B523" s="29" t="n">
        <x:v>330923</x:v>
      </x:c>
      <x:c r="C523" s="29" t="str">
        <x:v>A1</x:v>
      </x:c>
      <x:c r="D523" s="53" t="n">
        <x:v>2432.053811389917</x:v>
      </x:c>
      <x:c r="E523" s="47" t="n">
        <x:v>0.9728215245559668</x:v>
      </x:c>
      <x:c r="F523" s="47" t="n">
        <x:v>0.7521074317657931</x:v>
      </x:c>
      <x:c r="G523" s="47" t="n">
        <x:v>1</x:v>
      </x:c>
      <x:c r="H523" s="47" t="n">
        <x:v>1</x:v>
      </x:c>
      <x:c r="I523" s="47" t="n">
        <x:v>1</x:v>
      </x:c>
      <x:c r="J523" s="47" t="n">
        <x:v>1</x:v>
      </x:c>
      <x:c r="K523" s="47" t="n">
        <x:v>1</x:v>
      </x:c>
      <x:c r="L523" s="47" t="n">
        <x:v>0.9664388486638635</x:v>
      </x:c>
      <x:c r="M523" s="29" t="n">
        <x:v>0</x:v>
      </x:c>
    </x:row>
    <x:row r="524" ht="15" hidden="0" customHeight="1">
      <x:c r="A524" s="27" t="n">
        <x:v>20</x:v>
      </x:c>
      <x:c r="B524" s="27" t="n">
        <x:v>330924</x:v>
      </x:c>
      <x:c r="C524" s="27" t="str">
        <x:v>A1</x:v>
      </x:c>
      <x:c r="D524" s="52" t="n">
        <x:v>2435.3010632646556</x:v>
      </x:c>
      <x:c r="E524" s="46" t="n">
        <x:v>0.9741204253058622</x:v>
      </x:c>
      <x:c r="F524" s="46" t="n">
        <x:v>0.7579855382960625</x:v>
      </x:c>
      <x:c r="G524" s="46" t="n">
        <x:v>1</x:v>
      </x:c>
      <x:c r="H524" s="46" t="n">
        <x:v>1</x:v>
      </x:c>
      <x:c r="I524" s="46" t="n">
        <x:v>1</x:v>
      </x:c>
      <x:c r="J524" s="46" t="n">
        <x:v>1</x:v>
      </x:c>
      <x:c r="K524" s="46" t="n">
        <x:v>1</x:v>
      </x:c>
      <x:c r="L524" s="46" t="n">
        <x:v>0.9680427872191232</x:v>
      </x:c>
      <x:c r="M524" s="27" t="n">
        <x:v>0</x:v>
      </x:c>
    </x:row>
    <x:row r="525" ht="15" hidden="0" customHeight="1">
      <x:c r="A525" s="29" t="n">
        <x:v>21</x:v>
      </x:c>
      <x:c r="B525" s="29" t="n">
        <x:v>330925</x:v>
      </x:c>
      <x:c r="C525" s="29" t="str">
        <x:v>A1</x:v>
      </x:c>
      <x:c r="D525" s="53" t="n">
        <x:v>2364.1449002768854</x:v>
      </x:c>
      <x:c r="E525" s="47" t="n">
        <x:v>0.9456579601107542</x:v>
      </x:c>
      <x:c r="F525" s="47" t="n">
        <x:v>0.6713716561437354</x:v>
      </x:c>
      <x:c r="G525" s="47" t="n">
        <x:v>1</x:v>
      </x:c>
      <x:c r="H525" s="47" t="n">
        <x:v>1</x:v>
      </x:c>
      <x:c r="I525" s="47" t="n">
        <x:v>1</x:v>
      </x:c>
      <x:c r="J525" s="47" t="n">
        <x:v>1</x:v>
      </x:c>
      <x:c r="K525" s="47" t="n">
        <x:v>1</x:v>
      </x:c>
      <x:c r="L525" s="47" t="n">
        <x:v>0.9328961100708936</x:v>
      </x:c>
      <x:c r="M525" s="29" t="n">
        <x:v>0</x:v>
      </x:c>
    </x:row>
    <x:row r="526" ht="15" hidden="0" customHeight="1">
      <x:c r="A526" s="27" t="n">
        <x:v>22</x:v>
      </x:c>
      <x:c r="B526" s="27" t="n">
        <x:v>330926</x:v>
      </x:c>
      <x:c r="C526" s="27" t="str">
        <x:v>A1</x:v>
      </x:c>
      <x:c r="D526" s="52" t="n">
        <x:v>2445.9053463564333</x:v>
      </x:c>
      <x:c r="E526" s="46" t="n">
        <x:v>0.9783621385425733</x:v>
      </x:c>
      <x:c r="F526" s="46" t="n">
        <x:v>0.7836213854257319</x:v>
      </x:c>
      <x:c r="G526" s="46" t="n">
        <x:v>1</x:v>
      </x:c>
      <x:c r="H526" s="46" t="n">
        <x:v>1</x:v>
      </x:c>
      <x:c r="I526" s="46" t="n">
        <x:v>1</x:v>
      </x:c>
      <x:c r="J526" s="46" t="n">
        <x:v>1</x:v>
      </x:c>
      <x:c r="K526" s="46" t="n">
        <x:v>1</x:v>
      </x:c>
      <x:c r="L526" s="46" t="n">
        <x:v>0.9732806373021751</x:v>
      </x:c>
      <x:c r="M526" s="27" t="n">
        <x:v>0</x:v>
      </x:c>
    </x:row>
    <x:row r="527" ht="15" hidden="0" customHeight="1">
      <x:c r="A527" s="29" t="n">
        <x:v>23</x:v>
      </x:c>
      <x:c r="B527" s="29" t="n">
        <x:v>330927</x:v>
      </x:c>
      <x:c r="C527" s="29" t="str">
        <x:v>A1</x:v>
      </x:c>
      <x:c r="D527" s="53" t="n">
        <x:v>2388.5233963314554</x:v>
      </x:c>
      <x:c r="E527" s="47" t="n">
        <x:v>0.9554093585325821</x:v>
      </x:c>
      <x:c r="F527" s="47" t="n">
        <x:v>0.721489585430127</x:v>
      </x:c>
      <x:c r="G527" s="47" t="n">
        <x:v>1</x:v>
      </x:c>
      <x:c r="H527" s="47" t="n">
        <x:v>1</x:v>
      </x:c>
      <x:c r="I527" s="47" t="n">
        <x:v>1</x:v>
      </x:c>
      <x:c r="J527" s="47" t="n">
        <x:v>1</x:v>
      </x:c>
      <x:c r="K527" s="47" t="n">
        <x:v>1</x:v>
      </x:c>
      <x:c r="L527" s="47" t="n">
        <x:v>0.9449375565768922</x:v>
      </x:c>
      <x:c r="M527" s="29" t="n">
        <x:v>0</x:v>
      </x:c>
    </x:row>
    <x:row r="528" ht="15" hidden="0" customHeight="1">
      <x:c r="A528" s="27" t="n">
        <x:v>24</x:v>
      </x:c>
      <x:c r="B528" s="27" t="n">
        <x:v>330928</x:v>
      </x:c>
      <x:c r="C528" s="27" t="str">
        <x:v>A1</x:v>
      </x:c>
      <x:c r="D528" s="52" t="n">
        <x:v>2378.8057806687384</x:v>
      </x:c>
      <x:c r="E528" s="46" t="n">
        <x:v>0.9515223122674954</x:v>
      </x:c>
      <x:c r="F528" s="46" t="n">
        <x:v>0.7018176714873201</x:v>
      </x:c>
      <x:c r="G528" s="46" t="n">
        <x:v>1</x:v>
      </x:c>
      <x:c r="H528" s="46" t="n">
        <x:v>1</x:v>
      </x:c>
      <x:c r="I528" s="46" t="n">
        <x:v>1</x:v>
      </x:c>
      <x:c r="J528" s="46" t="n">
        <x:v>1</x:v>
      </x:c>
      <x:c r="K528" s="46" t="n">
        <x:v>1</x:v>
      </x:c>
      <x:c r="L528" s="46" t="n">
        <x:v>0.9401376645365245</x:v>
      </x:c>
      <x:c r="M528" s="27" t="n">
        <x:v>0</x:v>
      </x:c>
    </x:row>
    <x:row r="529" ht="15" hidden="0" customHeight="1">
      <x:c r="A529" s="29" t="n">
        <x:v>25</x:v>
      </x:c>
      <x:c r="B529" s="29" t="n">
        <x:v>330929</x:v>
      </x:c>
      <x:c r="C529" s="29" t="str">
        <x:v>A1</x:v>
      </x:c>
      <x:c r="D529" s="53" t="n">
        <x:v>2442.3835518942246</x:v>
      </x:c>
      <x:c r="E529" s="47" t="n">
        <x:v>0.9769534207576899</x:v>
      </x:c>
      <x:c r="F529" s="47" t="n">
        <x:v>0.7695342075768983</x:v>
      </x:c>
      <x:c r="G529" s="47" t="n">
        <x:v>1</x:v>
      </x:c>
      <x:c r="H529" s="47" t="n">
        <x:v>1</x:v>
      </x:c>
      <x:c r="I529" s="47" t="n">
        <x:v>1</x:v>
      </x:c>
      <x:c r="J529" s="47" t="n">
        <x:v>1</x:v>
      </x:c>
      <x:c r="K529" s="47" t="n">
        <x:v>1</x:v>
      </x:c>
      <x:c r="L529" s="47" t="n">
        <x:v>0.9715410919451982</x:v>
      </x:c>
      <x:c r="M529" s="29" t="n">
        <x:v>0</x:v>
      </x:c>
    </x:row>
    <x:row r="530" ht="15" hidden="0" customHeight="1">
      <x:c r="A530" s="27" t="n">
        <x:v>26</x:v>
      </x:c>
      <x:c r="B530" s="27" t="n">
        <x:v>330930</x:v>
      </x:c>
      <x:c r="C530" s="27" t="str">
        <x:v>A1</x:v>
      </x:c>
      <x:c r="D530" s="52" t="n">
        <x:v>2456.7392959745016</x:v>
      </x:c>
      <x:c r="E530" s="46" t="n">
        <x:v>0.9826957183898006</x:v>
      </x:c>
      <x:c r="F530" s="46" t="n">
        <x:v>0.8623866543820492</x:v>
      </x:c>
      <x:c r="G530" s="46" t="n">
        <x:v>1</x:v>
      </x:c>
      <x:c r="H530" s="46" t="n">
        <x:v>1</x:v>
      </x:c>
      <x:c r="I530" s="46" t="n">
        <x:v>1</x:v>
      </x:c>
      <x:c r="J530" s="46" t="n">
        <x:v>1</x:v>
      </x:c>
      <x:c r="K530" s="46" t="n">
        <x:v>1</x:v>
      </x:c>
      <x:c r="L530" s="46" t="n">
        <x:v>0.9786319282301569</x:v>
      </x:c>
      <x:c r="M530" s="27" t="n">
        <x:v>0</x:v>
      </x:c>
    </x:row>
    <x:row r="531" ht="15" hidden="0" customHeight="1">
      <x:c r="A531" s="29" t="n">
        <x:v>27</x:v>
      </x:c>
      <x:c r="B531" s="29" t="n">
        <x:v>330931</x:v>
      </x:c>
      <x:c r="C531" s="29" t="str">
        <x:v>A1</x:v>
      </x:c>
      <x:c r="D531" s="53" t="n">
        <x:v>2448.1596828863635</x:v>
      </x:c>
      <x:c r="E531" s="47" t="n">
        <x:v>0.9792638731545454</x:v>
      </x:c>
      <x:c r="F531" s="47" t="n">
        <x:v>0.8050172303739904</x:v>
      </x:c>
      <x:c r="G531" s="47" t="n">
        <x:v>1</x:v>
      </x:c>
      <x:c r="H531" s="47" t="n">
        <x:v>1</x:v>
      </x:c>
      <x:c r="I531" s="47" t="n">
        <x:v>1</x:v>
      </x:c>
      <x:c r="J531" s="47" t="n">
        <x:v>1</x:v>
      </x:c>
      <x:c r="K531" s="47" t="n">
        <x:v>1</x:v>
      </x:c>
      <x:c r="L531" s="47" t="n">
        <x:v>0.9743941380148898</x:v>
      </x:c>
      <x:c r="M531" s="29" t="n">
        <x:v>0</x:v>
      </x:c>
    </x:row>
    <x:row r="532" ht="15" hidden="0" customHeight="1">
      <x:c r="A532" s="27" t="n">
        <x:v>28</x:v>
      </x:c>
      <x:c r="B532" s="27" t="n">
        <x:v>330932</x:v>
      </x:c>
      <x:c r="C532" s="27" t="str">
        <x:v>A1</x:v>
      </x:c>
      <x:c r="D532" s="52" t="n">
        <x:v>2472.0998981428447</x:v>
      </x:c>
      <x:c r="E532" s="46" t="n">
        <x:v>0.9888399592571379</x:v>
      </x:c>
      <x:c r="F532" s="46" t="n">
        <x:v>0.8883995925713782</x:v>
      </x:c>
      <x:c r="G532" s="46" t="n">
        <x:v>1</x:v>
      </x:c>
      <x:c r="H532" s="46" t="n">
        <x:v>1</x:v>
      </x:c>
      <x:c r="I532" s="46" t="n">
        <x:v>1</x:v>
      </x:c>
      <x:c r="J532" s="46" t="n">
        <x:v>1</x:v>
      </x:c>
      <x:c r="K532" s="46" t="n">
        <x:v>1</x:v>
      </x:c>
      <x:c r="L532" s="46" t="n">
        <x:v>0.9862191013230335</x:v>
      </x:c>
      <x:c r="M532" s="27" t="n">
        <x:v>0</x:v>
      </x:c>
    </x:row>
    <x:row r="533" ht="15" hidden="0" customHeight="1">
      <x:c r="A533" s="29" t="n">
        <x:v>29</x:v>
      </x:c>
      <x:c r="B533" s="29" t="n">
        <x:v>330933</x:v>
      </x:c>
      <x:c r="C533" s="29" t="str">
        <x:v>A1</x:v>
      </x:c>
      <x:c r="D533" s="53" t="n">
        <x:v>2435.519442808959</x:v>
      </x:c>
      <x:c r="E533" s="47" t="n">
        <x:v>0.9742077771235835</x:v>
      </x:c>
      <x:c r="F533" s="47" t="n">
        <x:v>0.8202074490695477</x:v>
      </x:c>
      <x:c r="G533" s="47" t="n">
        <x:v>1</x:v>
      </x:c>
      <x:c r="H533" s="47" t="n">
        <x:v>1</x:v>
      </x:c>
      <x:c r="I533" s="47" t="n">
        <x:v>1</x:v>
      </x:c>
      <x:c r="J533" s="47" t="n">
        <x:v>1</x:v>
      </x:c>
      <x:c r="K533" s="47" t="n">
        <x:v>1</x:v>
      </x:c>
      <x:c r="L533" s="47" t="n">
        <x:v>0.9681506530035773</x:v>
      </x:c>
      <x:c r="M533" s="29" t="n">
        <x:v>0</x:v>
      </x:c>
    </x:row>
    <x:row r="534" ht="15" hidden="0" customHeight="1">
      <x:c r="A534" s="27" t="n">
        <x:v>30</x:v>
      </x:c>
      <x:c r="B534" s="27" t="n">
        <x:v>330934</x:v>
      </x:c>
      <x:c r="C534" s="27" t="str">
        <x:v>A1</x:v>
      </x:c>
      <x:c r="D534" s="52" t="n">
        <x:v>2344.9672020640646</x:v>
      </x:c>
      <x:c r="E534" s="46" t="n">
        <x:v>0.9379868808256259</x:v>
      </x:c>
      <x:c r="F534" s="46" t="n">
        <x:v>0.6663532599049897</x:v>
      </x:c>
      <x:c r="G534" s="46" t="n">
        <x:v>1</x:v>
      </x:c>
      <x:c r="H534" s="46" t="n">
        <x:v>1</x:v>
      </x:c>
      <x:c r="I534" s="46" t="n">
        <x:v>1</x:v>
      </x:c>
      <x:c r="J534" s="46" t="n">
        <x:v>1</x:v>
      </x:c>
      <x:c r="K534" s="46" t="n">
        <x:v>1</x:v>
      </x:c>
      <x:c r="L534" s="46" t="n">
        <x:v>0.9234235311791951</x:v>
      </x:c>
      <x:c r="M534" s="27" t="n">
        <x:v>0</x:v>
      </x:c>
    </x:row>
    <x:row r="535" ht="15" hidden="0" customHeight="1">
      <x:c r="A535" s="29" t="n">
        <x:v>31</x:v>
      </x:c>
      <x:c r="B535" s="29" t="n">
        <x:v>330935</x:v>
      </x:c>
      <x:c r="C535" s="29" t="str">
        <x:v>A1</x:v>
      </x:c>
      <x:c r="D535" s="53" t="n">
        <x:v>2435.1267002416853</x:v>
      </x:c>
      <x:c r="E535" s="47" t="n">
        <x:v>0.9740506800966741</x:v>
      </x:c>
      <x:c r="F535" s="47" t="n">
        <x:v>0.7947666803325967</x:v>
      </x:c>
      <x:c r="G535" s="47" t="n">
        <x:v>1</x:v>
      </x:c>
      <x:c r="H535" s="47" t="n">
        <x:v>1</x:v>
      </x:c>
      <x:c r="I535" s="47" t="n">
        <x:v>1</x:v>
      </x:c>
      <x:c r="J535" s="47" t="n">
        <x:v>1</x:v>
      </x:c>
      <x:c r="K535" s="47" t="n">
        <x:v>1</x:v>
      </x:c>
      <x:c r="L535" s="47" t="n">
        <x:v>0.967956662832737</x:v>
      </x:c>
      <x:c r="M535" s="29" t="n">
        <x:v>0</x:v>
      </x:c>
    </x:row>
    <x:row r="536" ht="15" hidden="0" customHeight="1">
      <x:c r="A536" s="27" t="n">
        <x:v>32</x:v>
      </x:c>
      <x:c r="B536" s="27" t="n">
        <x:v>330936</x:v>
      </x:c>
      <x:c r="C536" s="27" t="str">
        <x:v>A1</x:v>
      </x:c>
      <x:c r="D536" s="52" t="n">
        <x:v>2477.5190006280636</x:v>
      </x:c>
      <x:c r="E536" s="46" t="n">
        <x:v>0.9910076002512255</x:v>
      </x:c>
      <x:c r="F536" s="46" t="n">
        <x:v>0.9100760025122538</x:v>
      </x:c>
      <x:c r="G536" s="46" t="n">
        <x:v>1</x:v>
      </x:c>
      <x:c r="H536" s="46" t="n">
        <x:v>1</x:v>
      </x:c>
      <x:c r="I536" s="46" t="n">
        <x:v>1</x:v>
      </x:c>
      <x:c r="J536" s="46" t="n">
        <x:v>1</x:v>
      </x:c>
      <x:c r="K536" s="46" t="n">
        <x:v>1</x:v>
      </x:c>
      <x:c r="L536" s="46" t="n">
        <x:v>0.9888957977254785</x:v>
      </x:c>
      <x:c r="M536" s="27" t="n">
        <x:v>0</x:v>
      </x:c>
    </x:row>
    <x:row r="537" ht="15" hidden="0" customHeight="1">
      <x:c r="A537" s="29" t="n">
        <x:v>33</x:v>
      </x:c>
      <x:c r="B537" s="29" t="n">
        <x:v>330937</x:v>
      </x:c>
      <x:c r="C537" s="29" t="str">
        <x:v>A1</x:v>
      </x:c>
      <x:c r="D537" s="53" t="n">
        <x:v>2470.699552897506</x:v>
      </x:c>
      <x:c r="E537" s="47" t="n">
        <x:v>0.9882798211590023</x:v>
      </x:c>
      <x:c r="F537" s="47" t="n">
        <x:v>0.8827982115900234</x:v>
      </x:c>
      <x:c r="G537" s="47" t="n">
        <x:v>1</x:v>
      </x:c>
      <x:c r="H537" s="47" t="n">
        <x:v>1</x:v>
      </x:c>
      <x:c r="I537" s="47" t="n">
        <x:v>1</x:v>
      </x:c>
      <x:c r="J537" s="47" t="n">
        <x:v>1</x:v>
      </x:c>
      <x:c r="K537" s="47" t="n">
        <x:v>1</x:v>
      </x:c>
      <x:c r="L537" s="47" t="n">
        <x:v>0.9855274186891282</x:v>
      </x:c>
      <x:c r="M537" s="29" t="n">
        <x:v>0</x:v>
      </x:c>
    </x:row>
    <x:row r="538" ht="15" hidden="0" customHeight="1">
      <x:c r="A538" s="27" t="n">
        <x:v>34</x:v>
      </x:c>
      <x:c r="B538" s="27" t="n">
        <x:v>330938</x:v>
      </x:c>
      <x:c r="C538" s="27" t="str">
        <x:v>A1</x:v>
      </x:c>
      <x:c r="D538" s="52" t="n">
        <x:v>2421.1784587742586</x:v>
      </x:c>
      <x:c r="E538" s="46" t="n">
        <x:v>0.9684713835097034</x:v>
      </x:c>
      <x:c r="F538" s="46" t="n">
        <x:v>0.7638096675740119</x:v>
      </x:c>
      <x:c r="G538" s="46" t="n">
        <x:v>1</x:v>
      </x:c>
      <x:c r="H538" s="46" t="n">
        <x:v>1</x:v>
      </x:c>
      <x:c r="I538" s="46" t="n">
        <x:v>1</x:v>
      </x:c>
      <x:c r="J538" s="46" t="n">
        <x:v>1</x:v>
      </x:c>
      <x:c r="K538" s="46" t="n">
        <x:v>1</x:v>
      </x:c>
      <x:c r="L538" s="46" t="n">
        <x:v>0.9610671072544597</x:v>
      </x:c>
      <x:c r="M538" s="27" t="n">
        <x:v>0</x:v>
      </x:c>
    </x:row>
    <x:row r="539" ht="15" hidden="0" customHeight="1">
      <x:c r="A539" s="29" t="n">
        <x:v>35</x:v>
      </x:c>
      <x:c r="B539" s="29" t="n">
        <x:v>330939</x:v>
      </x:c>
      <x:c r="C539" s="29" t="str">
        <x:v>A1</x:v>
      </x:c>
      <x:c r="D539" s="53" t="n">
        <x:v>2491.5140153064895</x:v>
      </x:c>
      <x:c r="E539" s="47" t="n">
        <x:v>0.9966056061225957</x:v>
      </x:c>
      <x:c r="F539" s="47" t="n">
        <x:v>0.9727105156355371</x:v>
      </x:c>
      <x:c r="G539" s="47" t="n">
        <x:v>1</x:v>
      </x:c>
      <x:c r="H539" s="47" t="n">
        <x:v>1</x:v>
      </x:c>
      <x:c r="I539" s="47" t="n">
        <x:v>1</x:v>
      </x:c>
      <x:c r="J539" s="47" t="n">
        <x:v>1</x:v>
      </x:c>
      <x:c r="K539" s="47" t="n">
        <x:v>1</x:v>
      </x:c>
      <x:c r="L539" s="47" t="n">
        <x:v>0.9958084563334463</x:v>
      </x:c>
      <x:c r="M539" s="29" t="n">
        <x:v>1</x:v>
      </x:c>
    </x:row>
    <x:row r="540" ht="15" hidden="0" customHeight="1">
      <x:c r="A540" s="27" t="n">
        <x:v>36</x:v>
      </x:c>
      <x:c r="B540" s="27" t="n">
        <x:v>330940</x:v>
      </x:c>
      <x:c r="C540" s="27" t="str">
        <x:v>A1</x:v>
      </x:c>
      <x:c r="D540" s="52" t="n">
        <x:v>2464.4989531735164</x:v>
      </x:c>
      <x:c r="E540" s="46" t="n">
        <x:v>0.9857995812694066</x:v>
      </x:c>
      <x:c r="F540" s="46" t="n">
        <x:v>0.8579958126940644</x:v>
      </x:c>
      <x:c r="G540" s="46" t="n">
        <x:v>1</x:v>
      </x:c>
      <x:c r="H540" s="46" t="n">
        <x:v>1</x:v>
      </x:c>
      <x:c r="I540" s="46" t="n">
        <x:v>1</x:v>
      </x:c>
      <x:c r="J540" s="46" t="n">
        <x:v>1</x:v>
      </x:c>
      <x:c r="K540" s="46" t="n">
        <x:v>1</x:v>
      </x:c>
      <x:c r="L540" s="46" t="n">
        <x:v>0.9824647117151457</x:v>
      </x:c>
      <x:c r="M540" s="27" t="n">
        <x:v>0</x:v>
      </x:c>
    </x:row>
    <x:row r="541" ht="15" hidden="0" customHeight="1">
      <x:c r="A541" s="29" t="n">
        <x:v>37</x:v>
      </x:c>
      <x:c r="B541" s="29" t="n">
        <x:v>330941</x:v>
      </x:c>
      <x:c r="C541" s="29" t="str">
        <x:v>A1</x:v>
      </x:c>
      <x:c r="D541" s="53" t="n">
        <x:v>2447.4158932919995</x:v>
      </x:c>
      <x:c r="E541" s="47" t="n">
        <x:v>0.9789663573167998</x:v>
      </x:c>
      <x:c r="F541" s="47" t="n">
        <x:v>0.7896635731679978</x:v>
      </x:c>
      <x:c r="G541" s="47" t="n">
        <x:v>1</x:v>
      </x:c>
      <x:c r="H541" s="47" t="n">
        <x:v>1</x:v>
      </x:c>
      <x:c r="I541" s="47" t="n">
        <x:v>1</x:v>
      </x:c>
      <x:c r="J541" s="47" t="n">
        <x:v>1</x:v>
      </x:c>
      <x:c r="K541" s="47" t="n">
        <x:v>1</x:v>
      </x:c>
      <x:c r="L541" s="47" t="n">
        <x:v>0.9740267526523061</x:v>
      </x:c>
      <x:c r="M541" s="29" t="n">
        <x:v>0</x:v>
      </x:c>
    </x:row>
    <x:row r="542" ht="15" hidden="0" customHeight="1">
      <x:c r="A542" s="27" t="n">
        <x:v>38</x:v>
      </x:c>
      <x:c r="B542" s="27" t="n">
        <x:v>330942</x:v>
      </x:c>
      <x:c r="C542" s="27" t="str">
        <x:v>A1</x:v>
      </x:c>
      <x:c r="D542" s="52" t="n">
        <x:v>2415.826850037192</x:v>
      </x:c>
      <x:c r="E542" s="46" t="n">
        <x:v>0.9663307400148767</x:v>
      </x:c>
      <x:c r="F542" s="46" t="n">
        <x:v>0.7516929938904157</x:v>
      </x:c>
      <x:c r="G542" s="46" t="n">
        <x:v>1</x:v>
      </x:c>
      <x:c r="H542" s="46" t="n">
        <x:v>1</x:v>
      </x:c>
      <x:c r="I542" s="46" t="n">
        <x:v>1</x:v>
      </x:c>
      <x:c r="J542" s="46" t="n">
        <x:v>1</x:v>
      </x:c>
      <x:c r="K542" s="46" t="n">
        <x:v>1</x:v>
      </x:c>
      <x:c r="L542" s="46" t="n">
        <x:v>0.9584237485261698</x:v>
      </x:c>
      <x:c r="M542" s="27" t="n">
        <x:v>0</x:v>
      </x:c>
    </x:row>
    <x:row r="543" ht="15" hidden="0" customHeight="1">
      <x:c r="A543" s="29" t="n">
        <x:v>39</x:v>
      </x:c>
      <x:c r="B543" s="29" t="n">
        <x:v>330943</x:v>
      </x:c>
      <x:c r="C543" s="29" t="str">
        <x:v>A1</x:v>
      </x:c>
      <x:c r="D543" s="53" t="n">
        <x:v>2386.1743260386315</x:v>
      </x:c>
      <x:c r="E543" s="47" t="n">
        <x:v>0.9544697304154526</x:v>
      </x:c>
      <x:c r="F543" s="47" t="n">
        <x:v>0.7037419523991475</x:v>
      </x:c>
      <x:c r="G543" s="47" t="n">
        <x:v>1</x:v>
      </x:c>
      <x:c r="H543" s="47" t="n">
        <x:v>1</x:v>
      </x:c>
      <x:c r="I543" s="47" t="n">
        <x:v>1</x:v>
      </x:c>
      <x:c r="J543" s="47" t="n">
        <x:v>1</x:v>
      </x:c>
      <x:c r="K543" s="47" t="n">
        <x:v>1</x:v>
      </x:c>
      <x:c r="L543" s="47" t="n">
        <x:v>0.9437772633329385</x:v>
      </x:c>
      <x:c r="M543" s="29" t="n">
        <x:v>0</x:v>
      </x:c>
    </x:row>
    <x:row r="544" ht="15" hidden="0" customHeight="1">
      <x:c r="A544" s="27" t="n">
        <x:v>40</x:v>
      </x:c>
      <x:c r="B544" s="27" t="n">
        <x:v>330944</x:v>
      </x:c>
      <x:c r="C544" s="27" t="str">
        <x:v>A1</x:v>
      </x:c>
      <x:c r="D544" s="52" t="n">
        <x:v>2463.4485807607925</x:v>
      </x:c>
      <x:c r="E544" s="46" t="n">
        <x:v>0.985379432304317</x:v>
      </x:c>
      <x:c r="F544" s="46" t="n">
        <x:v>0.8537943230431702</x:v>
      </x:c>
      <x:c r="G544" s="46" t="n">
        <x:v>1</x:v>
      </x:c>
      <x:c r="H544" s="46" t="n">
        <x:v>1</x:v>
      </x:c>
      <x:c r="I544" s="46" t="n">
        <x:v>1</x:v>
      </x:c>
      <x:c r="J544" s="46" t="n">
        <x:v>1</x:v>
      </x:c>
      <x:c r="K544" s="46" t="n">
        <x:v>1</x:v>
      </x:c>
      <x:c r="L544" s="46" t="n">
        <x:v>0.9819458936883538</x:v>
      </x:c>
      <x:c r="M544" s="27" t="n">
        <x:v>0</x:v>
      </x:c>
    </x:row>
    <x:row r="545" ht="15" hidden="0" customHeight="1">
      <x:c r="A545" s="29" t="n">
        <x:v>41</x:v>
      </x:c>
      <x:c r="B545" s="29" t="n">
        <x:v>330945</x:v>
      </x:c>
      <x:c r="C545" s="29" t="str">
        <x:v>A1</x:v>
      </x:c>
      <x:c r="D545" s="53" t="n">
        <x:v>2446.963959938928</x:v>
      </x:c>
      <x:c r="E545" s="47" t="n">
        <x:v>0.9787855839755711</x:v>
      </x:c>
      <x:c r="F545" s="47" t="n">
        <x:v>0.7996699844196254</x:v>
      </x:c>
      <x:c r="G545" s="47" t="n">
        <x:v>1</x:v>
      </x:c>
      <x:c r="H545" s="47" t="n">
        <x:v>1</x:v>
      </x:c>
      <x:c r="I545" s="47" t="n">
        <x:v>1</x:v>
      </x:c>
      <x:c r="J545" s="47" t="n">
        <x:v>1</x:v>
      </x:c>
      <x:c r="K545" s="47" t="n">
        <x:v>1</x:v>
      </x:c>
      <x:c r="L545" s="47" t="n">
        <x:v>0.973803525949432</x:v>
      </x:c>
      <x:c r="M545" s="29" t="n">
        <x:v>0</x:v>
      </x:c>
    </x:row>
    <x:row r="546" ht="15" hidden="0" customHeight="1">
      <x:c r="A546" s="27" t="n">
        <x:v>42</x:v>
      </x:c>
      <x:c r="B546" s="27" t="n">
        <x:v>330946</x:v>
      </x:c>
      <x:c r="C546" s="27" t="str">
        <x:v>A1</x:v>
      </x:c>
      <x:c r="D546" s="52" t="n">
        <x:v>2486.4237960258392</x:v>
      </x:c>
      <x:c r="E546" s="46" t="n">
        <x:v>0.9945695184103357</x:v>
      </x:c>
      <x:c r="F546" s="46" t="n">
        <x:v>0.94883793686879</x:v>
      </x:c>
      <x:c r="G546" s="46" t="n">
        <x:v>1</x:v>
      </x:c>
      <x:c r="H546" s="46" t="n">
        <x:v>1</x:v>
      </x:c>
      <x:c r="I546" s="46" t="n">
        <x:v>1</x:v>
      </x:c>
      <x:c r="J546" s="46" t="n">
        <x:v>1</x:v>
      </x:c>
      <x:c r="K546" s="46" t="n">
        <x:v>1</x:v>
      </x:c>
      <x:c r="L546" s="46" t="n">
        <x:v>0.9932942075859209</x:v>
      </x:c>
      <x:c r="M546" s="27" t="n">
        <x:v>0</x:v>
      </x:c>
    </x:row>
    <x:row r="547" ht="15" hidden="0" customHeight="1">
      <x:c r="A547" s="29" t="n">
        <x:v>43</x:v>
      </x:c>
      <x:c r="B547" s="29" t="n">
        <x:v>330947</x:v>
      </x:c>
      <x:c r="C547" s="29" t="str">
        <x:v>A1</x:v>
      </x:c>
      <x:c r="D547" s="53" t="n">
        <x:v>2412.417638633514</x:v>
      </x:c>
      <x:c r="E547" s="47" t="n">
        <x:v>0.9649670554534056</x:v>
      </x:c>
      <x:c r="F547" s="47" t="n">
        <x:v>0.6696066872713197</x:v>
      </x:c>
      <x:c r="G547" s="47" t="n">
        <x:v>1</x:v>
      </x:c>
      <x:c r="H547" s="47" t="n">
        <x:v>1</x:v>
      </x:c>
      <x:c r="I547" s="47" t="n">
        <x:v>1</x:v>
      </x:c>
      <x:c r="J547" s="47" t="n">
        <x:v>1</x:v>
      </x:c>
      <x:c r="K547" s="47" t="n">
        <x:v>1</x:v>
      </x:c>
      <x:c r="L547" s="47" t="n">
        <x:v>0.9567398121318519</x:v>
      </x:c>
      <x:c r="M547" s="29" t="n">
        <x:v>0</x:v>
      </x:c>
    </x:row>
    <x:row r="548" ht="15" hidden="0" customHeight="1">
      <x:c r="A548" s="27" t="n">
        <x:v>44</x:v>
      </x:c>
      <x:c r="B548" s="27" t="n">
        <x:v>330948</x:v>
      </x:c>
      <x:c r="C548" s="27" t="str">
        <x:v>A1</x:v>
      </x:c>
      <x:c r="D548" s="52" t="n">
        <x:v>2445.7243695937736</x:v>
      </x:c>
      <x:c r="E548" s="46" t="n">
        <x:v>0.9782897478375094</x:v>
      </x:c>
      <x:c r="F548" s="46" t="n">
        <x:v>0.8090066862119906</x:v>
      </x:c>
      <x:c r="G548" s="46" t="n">
        <x:v>1</x:v>
      </x:c>
      <x:c r="H548" s="46" t="n">
        <x:v>1</x:v>
      </x:c>
      <x:c r="I548" s="46" t="n">
        <x:v>1</x:v>
      </x:c>
      <x:c r="J548" s="46" t="n">
        <x:v>1</x:v>
      </x:c>
      <x:c r="K548" s="46" t="n">
        <x:v>1</x:v>
      </x:c>
      <x:c r="L548" s="46" t="n">
        <x:v>0.9731912461436101</x:v>
      </x:c>
      <x:c r="M548" s="27" t="n">
        <x:v>0</x:v>
      </x:c>
    </x:row>
    <x:row r="549" ht="15" hidden="0" customHeight="1">
      <x:c r="A549" s="29" t="n">
        <x:v>45</x:v>
      </x:c>
      <x:c r="B549" s="29" t="n">
        <x:v>330949</x:v>
      </x:c>
      <x:c r="C549" s="29" t="str">
        <x:v>A1</x:v>
      </x:c>
      <x:c r="D549" s="53" t="n">
        <x:v>2464.575565535074</x:v>
      </x:c>
      <x:c r="E549" s="47" t="n">
        <x:v>0.9858302262140296</x:v>
      </x:c>
      <x:c r="F549" s="47" t="n">
        <x:v>0.858302262140296</x:v>
      </x:c>
      <x:c r="G549" s="47" t="n">
        <x:v>1</x:v>
      </x:c>
      <x:c r="H549" s="47" t="n">
        <x:v>1</x:v>
      </x:c>
      <x:c r="I549" s="47" t="n">
        <x:v>1</x:v>
      </x:c>
      <x:c r="J549" s="47" t="n">
        <x:v>1</x:v>
      </x:c>
      <x:c r="K549" s="47" t="n">
        <x:v>1</x:v>
      </x:c>
      <x:c r="L549" s="47" t="n">
        <x:v>0.9825025534118335</x:v>
      </x:c>
      <x:c r="M549" s="29" t="n">
        <x:v>0</x:v>
      </x:c>
    </x:row>
    <x:row r="550" ht="15" hidden="0" customHeight="1">
      <x:c r="A550" s="27" t="n">
        <x:v>46</x:v>
      </x:c>
      <x:c r="B550" s="27" t="n">
        <x:v>330950</x:v>
      </x:c>
      <x:c r="C550" s="27" t="str">
        <x:v>A1</x:v>
      </x:c>
      <x:c r="D550" s="52" t="n">
        <x:v>2442.197720429564</x:v>
      </x:c>
      <x:c r="E550" s="46" t="n">
        <x:v>0.9768790881718256</x:v>
      </x:c>
      <x:c r="F550" s="46" t="n">
        <x:v>0.8056752804574366</x:v>
      </x:c>
      <x:c r="G550" s="46" t="n">
        <x:v>1</x:v>
      </x:c>
      <x:c r="H550" s="46" t="n">
        <x:v>1</x:v>
      </x:c>
      <x:c r="I550" s="46" t="n">
        <x:v>1</x:v>
      </x:c>
      <x:c r="J550" s="46" t="n">
        <x:v>1</x:v>
      </x:c>
      <x:c r="K550" s="46" t="n">
        <x:v>1</x:v>
      </x:c>
      <x:c r="L550" s="46" t="n">
        <x:v>0.9714493028686352</x:v>
      </x:c>
      <x:c r="M550" s="27" t="n">
        <x:v>0</x:v>
      </x:c>
    </x:row>
    <x:row r="551" ht="15" hidden="0" customHeight="1">
      <x:c r="A551" s="29" t="n">
        <x:v>47</x:v>
      </x:c>
      <x:c r="B551" s="29" t="n">
        <x:v>330951</x:v>
      </x:c>
      <x:c r="C551" s="29" t="str">
        <x:v>A1</x:v>
      </x:c>
      <x:c r="D551" s="53" t="n">
        <x:v>2431.0353587461877</x:v>
      </x:c>
      <x:c r="E551" s="47" t="n">
        <x:v>0.9724141434984751</x:v>
      </x:c>
      <x:c r="F551" s="47" t="n">
        <x:v>0.7505235921482024</x:v>
      </x:c>
      <x:c r="G551" s="47" t="n">
        <x:v>1</x:v>
      </x:c>
      <x:c r="H551" s="47" t="n">
        <x:v>1</x:v>
      </x:c>
      <x:c r="I551" s="47" t="n">
        <x:v>1</x:v>
      </x:c>
      <x:c r="J551" s="47" t="n">
        <x:v>1</x:v>
      </x:c>
      <x:c r="K551" s="47" t="n">
        <x:v>1</x:v>
      </x:c>
      <x:c r="L551" s="47" t="n">
        <x:v>0.9659357969989494</x:v>
      </x:c>
      <x:c r="M551" s="29" t="n">
        <x:v>0</x:v>
      </x:c>
    </x:row>
    <x:row r="552" ht="15" hidden="0" customHeight="1">
      <x:c r="A552" s="27" t="n">
        <x:v>48</x:v>
      </x:c>
      <x:c r="B552" s="27" t="n">
        <x:v>330952</x:v>
      </x:c>
      <x:c r="C552" s="27" t="str">
        <x:v>A1</x:v>
      </x:c>
      <x:c r="D552" s="52" t="n">
        <x:v>2474.7530362526613</x:v>
      </x:c>
      <x:c r="E552" s="46" t="n">
        <x:v>0.9899012145010645</x:v>
      </x:c>
      <x:c r="F552" s="46" t="n">
        <x:v>0.8990121450106442</x:v>
      </x:c>
      <x:c r="G552" s="46" t="n">
        <x:v>1</x:v>
      </x:c>
      <x:c r="H552" s="46" t="n">
        <x:v>1</x:v>
      </x:c>
      <x:c r="I552" s="46" t="n">
        <x:v>1</x:v>
      </x:c>
      <x:c r="J552" s="46" t="n">
        <x:v>1</x:v>
      </x:c>
      <x:c r="K552" s="46" t="n">
        <x:v>1</x:v>
      </x:c>
      <x:c r="L552" s="46" t="n">
        <x:v>0.9875295849784186</x:v>
      </x:c>
      <x:c r="M552" s="27" t="n">
        <x:v>0</x:v>
      </x:c>
    </x:row>
    <x:row r="553" ht="15" hidden="0" customHeight="1">
      <x:c r="A553" s="29" t="n">
        <x:v>49</x:v>
      </x:c>
      <x:c r="B553" s="29" t="n">
        <x:v>330953</x:v>
      </x:c>
      <x:c r="C553" s="29" t="str">
        <x:v>A1</x:v>
      </x:c>
      <x:c r="D553" s="53" t="n">
        <x:v>2429.4416251037674</x:v>
      </x:c>
      <x:c r="E553" s="47" t="n">
        <x:v>0.9717766500415069</x:v>
      </x:c>
      <x:c r="F553" s="47" t="n">
        <x:v>0.749347010424126</x:v>
      </x:c>
      <x:c r="G553" s="47" t="n">
        <x:v>1</x:v>
      </x:c>
      <x:c r="H553" s="47" t="n">
        <x:v>1</x:v>
      </x:c>
      <x:c r="I553" s="47" t="n">
        <x:v>1</x:v>
      </x:c>
      <x:c r="J553" s="47" t="n">
        <x:v>1</x:v>
      </x:c>
      <x:c r="K553" s="47" t="n">
        <x:v>1</x:v>
      </x:c>
      <x:c r="L553" s="47" t="n">
        <x:v>0.9651485926383088</x:v>
      </x:c>
      <x:c r="M553" s="29" t="n">
        <x:v>0</x:v>
      </x:c>
    </x:row>
    <x:row r="554" ht="15" hidden="0" customHeight="1">
      <x:c r="A554" s="27" t="n">
        <x:v>50</x:v>
      </x:c>
      <x:c r="B554" s="27" t="n">
        <x:v>330954</x:v>
      </x:c>
      <x:c r="C554" s="27" t="str">
        <x:v>A1</x:v>
      </x:c>
      <x:c r="D554" s="52" t="n">
        <x:v>2398.013285898259</x:v>
      </x:c>
      <x:c r="E554" s="46" t="n">
        <x:v>0.9592053143593036</x:v>
      </x:c>
      <x:c r="F554" s="46" t="n">
        <x:v>0.5920531435930347</x:v>
      </x:c>
      <x:c r="G554" s="46" t="n">
        <x:v>1</x:v>
      </x:c>
      <x:c r="H554" s="46" t="n">
        <x:v>1</x:v>
      </x:c>
      <x:c r="I554" s="46" t="n">
        <x:v>1</x:v>
      </x:c>
      <x:c r="J554" s="46" t="n">
        <x:v>1</x:v>
      </x:c>
      <x:c r="K554" s="46" t="n">
        <x:v>1</x:v>
      </x:c>
      <x:c r="L554" s="46" t="n">
        <x:v>0.949624966223111</x:v>
      </x:c>
      <x:c r="M554" s="27" t="n">
        <x:v>0</x:v>
      </x:c>
    </x:row>
    <x:row r="555" ht="15" hidden="0" customHeight="1">
      <x:c r="A555" s="29" t="n">
        <x:v>51</x:v>
      </x:c>
      <x:c r="B555" s="29" t="n">
        <x:v>330955</x:v>
      </x:c>
      <x:c r="C555" s="29" t="str">
        <x:v>A1</x:v>
      </x:c>
      <x:c r="D555" s="53" t="n">
        <x:v>2480.5480539263726</x:v>
      </x:c>
      <x:c r="E555" s="47" t="n">
        <x:v>0.9922192215705491</x:v>
      </x:c>
      <x:c r="F555" s="47" t="n">
        <x:v>0.9221922157054898</x:v>
      </x:c>
      <x:c r="G555" s="47" t="n">
        <x:v>1</x:v>
      </x:c>
      <x:c r="H555" s="47" t="n">
        <x:v>1</x:v>
      </x:c>
      <x:c r="I555" s="47" t="n">
        <x:v>1</x:v>
      </x:c>
      <x:c r="J555" s="47" t="n">
        <x:v>1</x:v>
      </x:c>
      <x:c r="K555" s="47" t="n">
        <x:v>1</x:v>
      </x:c>
      <x:c r="L555" s="47" t="n">
        <x:v>0.9903919598830523</x:v>
      </x:c>
      <x:c r="M555" s="29" t="n">
        <x:v>0</x:v>
      </x:c>
    </x:row>
    <x:row r="556" ht="15" hidden="0" customHeight="1">
      <x:c r="A556" s="27" t="n">
        <x:v>52</x:v>
      </x:c>
      <x:c r="B556" s="27" t="n">
        <x:v>330956</x:v>
      </x:c>
      <x:c r="C556" s="27" t="str">
        <x:v>A1</x:v>
      </x:c>
      <x:c r="D556" s="52" t="n">
        <x:v>2418.906516237722</x:v>
      </x:c>
      <x:c r="E556" s="46" t="n">
        <x:v>0.9675626064950887</x:v>
      </x:c>
      <x:c r="F556" s="46" t="n">
        <x:v>0.6977369099607587</x:v>
      </x:c>
      <x:c r="G556" s="46" t="n">
        <x:v>1</x:v>
      </x:c>
      <x:c r="H556" s="46" t="n">
        <x:v>1</x:v>
      </x:c>
      <x:c r="I556" s="46" t="n">
        <x:v>1</x:v>
      </x:c>
      <x:c r="J556" s="46" t="n">
        <x:v>1</x:v>
      </x:c>
      <x:c r="K556" s="46" t="n">
        <x:v>1</x:v>
      </x:c>
      <x:c r="L556" s="46" t="n">
        <x:v>0.9599449102798322</x:v>
      </x:c>
      <x:c r="M556" s="27" t="n">
        <x:v>0</x:v>
      </x:c>
    </x:row>
    <x:row r="557" ht="15" hidden="0" customHeight="1">
      <x:c r="A557" s="29" t="n">
        <x:v>53</x:v>
      </x:c>
      <x:c r="B557" s="29" t="n">
        <x:v>330957</x:v>
      </x:c>
      <x:c r="C557" s="29" t="str">
        <x:v>A1</x:v>
      </x:c>
      <x:c r="D557" s="53" t="n">
        <x:v>2428.5912979311784</x:v>
      </x:c>
      <x:c r="E557" s="47" t="n">
        <x:v>0.9714365191724713</x:v>
      </x:c>
      <x:c r="F557" s="47" t="n">
        <x:v>0.7698589546309725</x:v>
      </x:c>
      <x:c r="G557" s="47" t="n">
        <x:v>1</x:v>
      </x:c>
      <x:c r="H557" s="47" t="n">
        <x:v>1</x:v>
      </x:c>
      <x:c r="I557" s="47" t="n">
        <x:v>1</x:v>
      </x:c>
      <x:c r="J557" s="47" t="n">
        <x:v>1</x:v>
      </x:c>
      <x:c r="K557" s="47" t="n">
        <x:v>1</x:v>
      </x:c>
      <x:c r="L557" s="47" t="n">
        <x:v>0.9647285844007865</x:v>
      </x:c>
      <x:c r="M557" s="29" t="n">
        <x:v>0</x:v>
      </x:c>
    </x:row>
    <x:row r="558" ht="15" hidden="0" customHeight="1">
      <x:c r="A558" s="27" t="n">
        <x:v>54</x:v>
      </x:c>
      <x:c r="B558" s="27" t="n">
        <x:v>330958</x:v>
      </x:c>
      <x:c r="C558" s="27" t="str">
        <x:v>A1</x:v>
      </x:c>
      <x:c r="D558" s="52" t="n">
        <x:v>2500</x:v>
      </x:c>
      <x:c r="E558" s="46" t="n">
        <x:v>1</x:v>
      </x:c>
      <x:c r="F558" s="46" t="n">
        <x:v>1</x:v>
      </x:c>
      <x:c r="G558" s="46" t="n">
        <x:v>1</x:v>
      </x:c>
      <x:c r="H558" s="46" t="n">
        <x:v>1</x:v>
      </x:c>
      <x:c r="I558" s="46" t="n">
        <x:v>1</x:v>
      </x:c>
      <x:c r="J558" s="46" t="n">
        <x:v>1</x:v>
      </x:c>
      <x:c r="K558" s="46" t="n">
        <x:v>1</x:v>
      </x:c>
      <x:c r="L558" s="46" t="n">
        <x:v>1</x:v>
      </x:c>
      <x:c r="M558" s="27" t="n">
        <x:v>1</x:v>
      </x:c>
    </x:row>
    <x:row r="559" ht="15" hidden="0" customHeight="1">
      <x:c r="A559" s="29" t="n">
        <x:v>55</x:v>
      </x:c>
      <x:c r="B559" s="29" t="n">
        <x:v>330959</x:v>
      </x:c>
      <x:c r="C559" s="29" t="str">
        <x:v>A1</x:v>
      </x:c>
      <x:c r="D559" s="53" t="n">
        <x:v>2430.7982195781165</x:v>
      </x:c>
      <x:c r="E559" s="47" t="n">
        <x:v>0.9723192878312465</x:v>
      </x:c>
      <x:c r="F559" s="47" t="n">
        <x:v>0.7231928783124649</x:v>
      </x:c>
      <x:c r="G559" s="47" t="n">
        <x:v>1</x:v>
      </x:c>
      <x:c r="H559" s="47" t="n">
        <x:v>1</x:v>
      </x:c>
      <x:c r="I559" s="47" t="n">
        <x:v>1</x:v>
      </x:c>
      <x:c r="J559" s="47" t="n">
        <x:v>1</x:v>
      </x:c>
      <x:c r="K559" s="47" t="n">
        <x:v>1</x:v>
      </x:c>
      <x:c r="L559" s="47" t="n">
        <x:v>0.9658186651381317</x:v>
      </x:c>
      <x:c r="M559" s="29" t="n">
        <x:v>0</x:v>
      </x:c>
    </x:row>
    <x:row r="560" ht="15" hidden="0" customHeight="1">
      <x:c r="A560" s="27" t="n">
        <x:v>56</x:v>
      </x:c>
      <x:c r="B560" s="27" t="n">
        <x:v>330960</x:v>
      </x:c>
      <x:c r="C560" s="27" t="str">
        <x:v>A1</x:v>
      </x:c>
      <x:c r="D560" s="52" t="n">
        <x:v>2452.983514158143</x:v>
      </x:c>
      <x:c r="E560" s="46" t="n">
        <x:v>0.9811934056632572</x:v>
      </x:c>
      <x:c r="F560" s="46" t="n">
        <x:v>0.8269603772340031</x:v>
      </x:c>
      <x:c r="G560" s="46" t="n">
        <x:v>1</x:v>
      </x:c>
      <x:c r="H560" s="46" t="n">
        <x:v>1</x:v>
      </x:c>
      <x:c r="I560" s="46" t="n">
        <x:v>1</x:v>
      </x:c>
      <x:c r="J560" s="46" t="n">
        <x:v>1</x:v>
      </x:c>
      <x:c r="K560" s="46" t="n">
        <x:v>1</x:v>
      </x:c>
      <x:c r="L560" s="46" t="n">
        <x:v>0.9767768078105603</x:v>
      </x:c>
      <x:c r="M560" s="27" t="n">
        <x:v>0</x:v>
      </x:c>
    </x:row>
    <x:row r="561" ht="15" hidden="0" customHeight="1">
      <x:c r="A561" s="29" t="n">
        <x:v>57</x:v>
      </x:c>
      <x:c r="B561" s="29" t="n">
        <x:v>330961</x:v>
      </x:c>
      <x:c r="C561" s="29" t="str">
        <x:v>A1</x:v>
      </x:c>
      <x:c r="D561" s="53" t="n">
        <x:v>2473.0609939359565</x:v>
      </x:c>
      <x:c r="E561" s="47" t="n">
        <x:v>0.9892243975743826</x:v>
      </x:c>
      <x:c r="F561" s="47" t="n">
        <x:v>0.8922439757438256</x:v>
      </x:c>
      <x:c r="G561" s="47" t="n">
        <x:v>1</x:v>
      </x:c>
      <x:c r="H561" s="47" t="n">
        <x:v>1</x:v>
      </x:c>
      <x:c r="I561" s="47" t="n">
        <x:v>1</x:v>
      </x:c>
      <x:c r="J561" s="47" t="n">
        <x:v>1</x:v>
      </x:c>
      <x:c r="K561" s="47" t="n">
        <x:v>1</x:v>
      </x:c>
      <x:c r="L561" s="47" t="n">
        <x:v>0.9866938223047541</x:v>
      </x:c>
      <x:c r="M561" s="29" t="n">
        <x:v>0</x:v>
      </x:c>
    </x:row>
    <x:row r="562" ht="15" hidden="0" customHeight="1">
      <x:c r="A562" s="27" t="n">
        <x:v>58</x:v>
      </x:c>
      <x:c r="B562" s="27" t="n">
        <x:v>330962</x:v>
      </x:c>
      <x:c r="C562" s="27" t="str">
        <x:v>A1</x:v>
      </x:c>
      <x:c r="D562" s="52" t="n">
        <x:v>2429.440960308553</x:v>
      </x:c>
      <x:c r="E562" s="46" t="n">
        <x:v>0.9717763841234212</x:v>
      </x:c>
      <x:c r="F562" s="46" t="n">
        <x:v>0.7665298969540427</x:v>
      </x:c>
      <x:c r="G562" s="46" t="n">
        <x:v>1</x:v>
      </x:c>
      <x:c r="H562" s="46" t="n">
        <x:v>1</x:v>
      </x:c>
      <x:c r="I562" s="46" t="n">
        <x:v>1</x:v>
      </x:c>
      <x:c r="J562" s="46" t="n">
        <x:v>1</x:v>
      </x:c>
      <x:c r="K562" s="46" t="n">
        <x:v>1</x:v>
      </x:c>
      <x:c r="L562" s="46" t="n">
        <x:v>0.9651482642712104</x:v>
      </x:c>
      <x:c r="M562" s="27" t="n">
        <x:v>0</x:v>
      </x:c>
    </x:row>
    <x:row r="563" ht="15" hidden="0" customHeight="1">
      <x:c r="A563" s="29" t="n">
        <x:v>59</x:v>
      </x:c>
      <x:c r="B563" s="29" t="n">
        <x:v>330963</x:v>
      </x:c>
      <x:c r="C563" s="29" t="str">
        <x:v>A1</x:v>
      </x:c>
      <x:c r="D563" s="53" t="n">
        <x:v>2438.6674747731267</x:v>
      </x:c>
      <x:c r="E563" s="47" t="n">
        <x:v>0.9754669899092507</x:v>
      </x:c>
      <x:c r="F563" s="47" t="n">
        <x:v>0.7749054523775556</x:v>
      </x:c>
      <x:c r="G563" s="47" t="n">
        <x:v>1</x:v>
      </x:c>
      <x:c r="H563" s="47" t="n">
        <x:v>1</x:v>
      </x:c>
      <x:c r="I563" s="47" t="n">
        <x:v>1</x:v>
      </x:c>
      <x:c r="J563" s="47" t="n">
        <x:v>1</x:v>
      </x:c>
      <x:c r="K563" s="47" t="n">
        <x:v>1</x:v>
      </x:c>
      <x:c r="L563" s="47" t="n">
        <x:v>0.9697055831522972</x:v>
      </x:c>
      <x:c r="M563" s="29" t="n">
        <x:v>0</x:v>
      </x:c>
    </x:row>
    <x:row r="564" ht="15" hidden="0" customHeight="1">
      <x:c r="A564" s="27" t="n">
        <x:v>60</x:v>
      </x:c>
      <x:c r="B564" s="27" t="n">
        <x:v>330964</x:v>
      </x:c>
      <x:c r="C564" s="27" t="str">
        <x:v>A1</x:v>
      </x:c>
      <x:c r="D564" s="52" t="n">
        <x:v>2463.6782140196833</x:v>
      </x:c>
      <x:c r="E564" s="46" t="n">
        <x:v>0.9854712856078733</x:v>
      </x:c>
      <x:c r="F564" s="46" t="n">
        <x:v>0.8547128560787333</x:v>
      </x:c>
      <x:c r="G564" s="46" t="n">
        <x:v>1</x:v>
      </x:c>
      <x:c r="H564" s="46" t="n">
        <x:v>1</x:v>
      </x:c>
      <x:c r="I564" s="46" t="n">
        <x:v>1</x:v>
      </x:c>
      <x:c r="J564" s="46" t="n">
        <x:v>1</x:v>
      </x:c>
      <x:c r="K564" s="46" t="n">
        <x:v>1</x:v>
      </x:c>
      <x:c r="L564" s="46" t="n">
        <x:v>0.9820593181012766</x:v>
      </x:c>
      <x:c r="M564" s="27" t="n">
        <x:v>0</x:v>
      </x:c>
    </x:row>
    <x:row r="565" ht="15" hidden="0" customHeight="1">
      <x:c r="A565" s="29" t="n">
        <x:v>61</x:v>
      </x:c>
      <x:c r="B565" s="29" t="n">
        <x:v>330965</x:v>
      </x:c>
      <x:c r="C565" s="29" t="str">
        <x:v>A1</x:v>
      </x:c>
      <x:c r="D565" s="53" t="n">
        <x:v>2377.1740220053384</x:v>
      </x:c>
      <x:c r="E565" s="47" t="n">
        <x:v>0.9508696088021353</x:v>
      </x:c>
      <x:c r="F565" s="47" t="n">
        <x:v>0.6606929039694315</x:v>
      </x:c>
      <x:c r="G565" s="47" t="n">
        <x:v>1</x:v>
      </x:c>
      <x:c r="H565" s="47" t="n">
        <x:v>1</x:v>
      </x:c>
      <x:c r="I565" s="47" t="n">
        <x:v>1</x:v>
      </x:c>
      <x:c r="J565" s="47" t="n">
        <x:v>1</x:v>
      </x:c>
      <x:c r="K565" s="47" t="n">
        <x:v>1</x:v>
      </x:c>
      <x:c r="L565" s="47" t="n">
        <x:v>0.9393316782028293</x:v>
      </x:c>
      <x:c r="M565" s="29" t="n">
        <x:v>0</x:v>
      </x:c>
    </x:row>
    <x:row r="566" ht="15" hidden="0" customHeight="1">
      <x:c r="A566" s="27" t="n">
        <x:v>62</x:v>
      </x:c>
      <x:c r="B566" s="27" t="n">
        <x:v>330966</x:v>
      </x:c>
      <x:c r="C566" s="27" t="str">
        <x:v>A1</x:v>
      </x:c>
      <x:c r="D566" s="52" t="n">
        <x:v>2470.348200640168</x:v>
      </x:c>
      <x:c r="E566" s="46" t="n">
        <x:v>0.9881392802560672</x:v>
      </x:c>
      <x:c r="F566" s="46" t="n">
        <x:v>0.881392802560672</x:v>
      </x:c>
      <x:c r="G566" s="46" t="n">
        <x:v>1</x:v>
      </x:c>
      <x:c r="H566" s="46" t="n">
        <x:v>1</x:v>
      </x:c>
      <x:c r="I566" s="46" t="n">
        <x:v>1</x:v>
      </x:c>
      <x:c r="J566" s="46" t="n">
        <x:v>1</x:v>
      </x:c>
      <x:c r="K566" s="46" t="n">
        <x:v>1</x:v>
      </x:c>
      <x:c r="L566" s="46" t="n">
        <x:v>0.9853538727328056</x:v>
      </x:c>
      <x:c r="M566" s="27" t="n">
        <x:v>0</x:v>
      </x:c>
    </x:row>
    <x:row r="567" ht="15" hidden="0" customHeight="1">
      <x:c r="A567" s="29" t="n">
        <x:v>63</x:v>
      </x:c>
      <x:c r="B567" s="29" t="n">
        <x:v>330967</x:v>
      </x:c>
      <x:c r="C567" s="29" t="str">
        <x:v>A1</x:v>
      </x:c>
      <x:c r="D567" s="53" t="n">
        <x:v>2396.1179149026543</x:v>
      </x:c>
      <x:c r="E567" s="47" t="n">
        <x:v>0.9584471659610617</x:v>
      </x:c>
      <x:c r="F567" s="47" t="n">
        <x:v>0.743966281728786</x:v>
      </x:c>
      <x:c r="G567" s="47" t="n">
        <x:v>1</x:v>
      </x:c>
      <x:c r="H567" s="47" t="n">
        <x:v>1</x:v>
      </x:c>
      <x:c r="I567" s="47" t="n">
        <x:v>1</x:v>
      </x:c>
      <x:c r="J567" s="47" t="n">
        <x:v>1</x:v>
      </x:c>
      <x:c r="K567" s="47" t="n">
        <x:v>1</x:v>
      </x:c>
      <x:c r="L567" s="47" t="n">
        <x:v>0.94868877194757</x:v>
      </x:c>
      <x:c r="M567" s="29" t="n">
        <x:v>0</x:v>
      </x:c>
    </x:row>
    <x:row r="568" ht="15" hidden="0" customHeight="1">
      <x:c r="A568" s="27" t="n">
        <x:v>64</x:v>
      </x:c>
      <x:c r="B568" s="27" t="n">
        <x:v>330968</x:v>
      </x:c>
      <x:c r="C568" s="27" t="str">
        <x:v>A1</x:v>
      </x:c>
      <x:c r="D568" s="52" t="n">
        <x:v>2449.232180801142</x:v>
      </x:c>
      <x:c r="E568" s="46" t="n">
        <x:v>0.9796928723204568</x:v>
      </x:c>
      <x:c r="F568" s="46" t="n">
        <x:v>0.8093819268942809</x:v>
      </x:c>
      <x:c r="G568" s="46" t="n">
        <x:v>1</x:v>
      </x:c>
      <x:c r="H568" s="46" t="n">
        <x:v>1</x:v>
      </x:c>
      <x:c r="I568" s="46" t="n">
        <x:v>1</x:v>
      </x:c>
      <x:c r="J568" s="46" t="n">
        <x:v>1</x:v>
      </x:c>
      <x:c r="K568" s="46" t="n">
        <x:v>1</x:v>
      </x:c>
      <x:c r="L568" s="46" t="n">
        <x:v>0.9749238846506006</x:v>
      </x:c>
      <x:c r="M568" s="27" t="n">
        <x:v>0</x:v>
      </x:c>
    </x:row>
    <x:row r="569" ht="15" hidden="0" customHeight="1">
      <x:c r="A569" s="29" t="n">
        <x:v>65</x:v>
      </x:c>
      <x:c r="B569" s="29" t="n">
        <x:v>330969</x:v>
      </x:c>
      <x:c r="C569" s="29" t="str">
        <x:v>A1</x:v>
      </x:c>
      <x:c r="D569" s="53" t="n">
        <x:v>2500</x:v>
      </x:c>
      <x:c r="E569" s="47" t="n">
        <x:v>1</x:v>
      </x:c>
      <x:c r="F569" s="47" t="n">
        <x:v>1</x:v>
      </x:c>
      <x:c r="G569" s="47" t="n">
        <x:v>1</x:v>
      </x:c>
      <x:c r="H569" s="47" t="n">
        <x:v>1</x:v>
      </x:c>
      <x:c r="I569" s="47" t="n">
        <x:v>1</x:v>
      </x:c>
      <x:c r="J569" s="47" t="n">
        <x:v>1</x:v>
      </x:c>
      <x:c r="K569" s="47" t="n">
        <x:v>1</x:v>
      </x:c>
      <x:c r="L569" s="47" t="n">
        <x:v>1</x:v>
      </x:c>
      <x:c r="M569" s="29" t="n">
        <x:v>1</x:v>
      </x:c>
    </x:row>
    <x:row r="570" ht="15" hidden="0" customHeight="1">
      <x:c r="A570" s="27" t="n">
        <x:v>66</x:v>
      </x:c>
      <x:c r="B570" s="27" t="n">
        <x:v>330970</x:v>
      </x:c>
      <x:c r="C570" s="27" t="str">
        <x:v>A1</x:v>
      </x:c>
      <x:c r="D570" s="52" t="n">
        <x:v>2427.48323844675</x:v>
      </x:c>
      <x:c r="E570" s="46" t="n">
        <x:v>0.9709932953786999</x:v>
      </x:c>
      <x:c r="F570" s="46" t="n">
        <x:v>0.7857814320535262</x:v>
      </x:c>
      <x:c r="G570" s="46" t="n">
        <x:v>1</x:v>
      </x:c>
      <x:c r="H570" s="46" t="n">
        <x:v>1</x:v>
      </x:c>
      <x:c r="I570" s="46" t="n">
        <x:v>1</x:v>
      </x:c>
      <x:c r="J570" s="46" t="n">
        <x:v>1</x:v>
      </x:c>
      <x:c r="K570" s="46" t="n">
        <x:v>1</x:v>
      </x:c>
      <x:c r="L570" s="46" t="n">
        <x:v>0.9641812725823156</x:v>
      </x:c>
      <x:c r="M570" s="27" t="n">
        <x:v>0</x:v>
      </x:c>
    </x:row>
    <x:row r="571" ht="15" hidden="0" customHeight="1">
      <x:c r="A571" s="29" t="n">
        <x:v>67</x:v>
      </x:c>
      <x:c r="B571" s="29" t="n">
        <x:v>330971</x:v>
      </x:c>
      <x:c r="C571" s="29" t="str">
        <x:v>A1</x:v>
      </x:c>
      <x:c r="D571" s="53" t="n">
        <x:v>2452.016223355097</x:v>
      </x:c>
      <x:c r="E571" s="47" t="n">
        <x:v>0.9808064893420387</x:v>
      </x:c>
      <x:c r="F571" s="47" t="n">
        <x:v>0.8369514580210291</x:v>
      </x:c>
      <x:c r="G571" s="47" t="n">
        <x:v>1</x:v>
      </x:c>
      <x:c r="H571" s="47" t="n">
        <x:v>1</x:v>
      </x:c>
      <x:c r="I571" s="47" t="n">
        <x:v>1</x:v>
      </x:c>
      <x:c r="J571" s="47" t="n">
        <x:v>1</x:v>
      </x:c>
      <x:c r="K571" s="47" t="n">
        <x:v>1</x:v>
      </x:c>
      <x:c r="L571" s="47" t="n">
        <x:v>0.9762990268828708</x:v>
      </x:c>
      <x:c r="M571" s="29" t="n">
        <x:v>0</x:v>
      </x:c>
    </x:row>
    <x:row r="572" ht="15" hidden="0" customHeight="1">
      <x:c r="A572" s="27" t="n">
        <x:v>68</x:v>
      </x:c>
      <x:c r="B572" s="27" t="n">
        <x:v>330972</x:v>
      </x:c>
      <x:c r="C572" s="27" t="str">
        <x:v>A1</x:v>
      </x:c>
      <x:c r="D572" s="52" t="n">
        <x:v>2436.3034273644676</x:v>
      </x:c>
      <x:c r="E572" s="46" t="n">
        <x:v>0.9745213709457871</x:v>
      </x:c>
      <x:c r="F572" s="46" t="n">
        <x:v>0.800853221731544</x:v>
      </x:c>
      <x:c r="G572" s="46" t="n">
        <x:v>1</x:v>
      </x:c>
      <x:c r="H572" s="46" t="n">
        <x:v>1</x:v>
      </x:c>
      <x:c r="I572" s="46" t="n">
        <x:v>1</x:v>
      </x:c>
      <x:c r="J572" s="46" t="n">
        <x:v>1</x:v>
      </x:c>
      <x:c r="K572" s="46" t="n">
        <x:v>1</x:v>
      </x:c>
      <x:c r="L572" s="46" t="n">
        <x:v>0.9685378921534228</x:v>
      </x:c>
      <x:c r="M572" s="27" t="n">
        <x:v>0</x:v>
      </x:c>
    </x:row>
    <x:row r="573" ht="15" hidden="0" customHeight="1">
      <x:c r="A573" s="29" t="n">
        <x:v>69</x:v>
      </x:c>
      <x:c r="B573" s="29" t="n">
        <x:v>330973</x:v>
      </x:c>
      <x:c r="C573" s="29" t="str">
        <x:v>A1</x:v>
      </x:c>
      <x:c r="D573" s="53" t="n">
        <x:v>2478.849111035487</x:v>
      </x:c>
      <x:c r="E573" s="47" t="n">
        <x:v>0.9915396444141948</x:v>
      </x:c>
      <x:c r="F573" s="47" t="n">
        <x:v>0.9153964441419482</x:v>
      </x:c>
      <x:c r="G573" s="47" t="n">
        <x:v>1</x:v>
      </x:c>
      <x:c r="H573" s="47" t="n">
        <x:v>1</x:v>
      </x:c>
      <x:c r="I573" s="47" t="n">
        <x:v>1</x:v>
      </x:c>
      <x:c r="J573" s="47" t="n">
        <x:v>1</x:v>
      </x:c>
      <x:c r="K573" s="47" t="n">
        <x:v>1</x:v>
      </x:c>
      <x:c r="L573" s="47" t="n">
        <x:v>0.9895527887589785</x:v>
      </x:c>
      <x:c r="M573" s="29" t="n">
        <x:v>0</x:v>
      </x:c>
    </x:row>
    <x:row r="574" ht="15" hidden="0" customHeight="1">
      <x:c r="A574" s="27" t="n">
        <x:v>70</x:v>
      </x:c>
      <x:c r="B574" s="27" t="n">
        <x:v>330974</x:v>
      </x:c>
      <x:c r="C574" s="27" t="str">
        <x:v>A1</x:v>
      </x:c>
      <x:c r="D574" s="52" t="n">
        <x:v>2395.2181957277335</x:v>
      </x:c>
      <x:c r="E574" s="46" t="n">
        <x:v>0.9580872782910934</x:v>
      </x:c>
      <x:c r="F574" s="46" t="n">
        <x:v>0.6668126888848512</x:v>
      </x:c>
      <x:c r="G574" s="46" t="n">
        <x:v>1</x:v>
      </x:c>
      <x:c r="H574" s="46" t="n">
        <x:v>1</x:v>
      </x:c>
      <x:c r="I574" s="46" t="n">
        <x:v>1</x:v>
      </x:c>
      <x:c r="J574" s="46" t="n">
        <x:v>1</x:v>
      </x:c>
      <x:c r="K574" s="46" t="n">
        <x:v>1</x:v>
      </x:c>
      <x:c r="L574" s="46" t="n">
        <x:v>0.9482443671618529</x:v>
      </x:c>
      <x:c r="M574" s="27" t="n">
        <x:v>0</x:v>
      </x:c>
    </x:row>
    <x:row r="575" ht="15" hidden="0" customHeight="1">
      <x:c r="A575" s="29" t="n">
        <x:v>71</x:v>
      </x:c>
      <x:c r="B575" s="29" t="n">
        <x:v>330975</x:v>
      </x:c>
      <x:c r="C575" s="29" t="str">
        <x:v>A1</x:v>
      </x:c>
      <x:c r="D575" s="53" t="n">
        <x:v>2448.2745393016535</x:v>
      </x:c>
      <x:c r="E575" s="47" t="n">
        <x:v>0.9793098157206613</x:v>
      </x:c>
      <x:c r="F575" s="47" t="n">
        <x:v>0.8217002369761564</x:v>
      </x:c>
      <x:c r="G575" s="47" t="n">
        <x:v>1</x:v>
      </x:c>
      <x:c r="H575" s="47" t="n">
        <x:v>1</x:v>
      </x:c>
      <x:c r="I575" s="47" t="n">
        <x:v>1</x:v>
      </x:c>
      <x:c r="J575" s="47" t="n">
        <x:v>1</x:v>
      </x:c>
      <x:c r="K575" s="47" t="n">
        <x:v>1</x:v>
      </x:c>
      <x:c r="L575" s="47" t="n">
        <x:v>0.9744508698730605</x:v>
      </x:c>
      <x:c r="M575" s="29" t="n">
        <x:v>0</x:v>
      </x:c>
    </x:row>
    <x:row r="576" ht="15" hidden="0" customHeight="1">
      <x:c r="A576" s="27" t="n">
        <x:v>72</x:v>
      </x:c>
      <x:c r="B576" s="27" t="n">
        <x:v>330976</x:v>
      </x:c>
      <x:c r="C576" s="27" t="str">
        <x:v>A1</x:v>
      </x:c>
      <x:c r="D576" s="52" t="n">
        <x:v>2405.278524136238</x:v>
      </x:c>
      <x:c r="E576" s="46" t="n">
        <x:v>0.9621114096544953</x:v>
      </x:c>
      <x:c r="F576" s="46" t="n">
        <x:v>0.7167208024547874</x:v>
      </x:c>
      <x:c r="G576" s="46" t="n">
        <x:v>1</x:v>
      </x:c>
      <x:c r="H576" s="46" t="n">
        <x:v>1</x:v>
      </x:c>
      <x:c r="I576" s="46" t="n">
        <x:v>1</x:v>
      </x:c>
      <x:c r="J576" s="46" t="n">
        <x:v>1</x:v>
      </x:c>
      <x:c r="K576" s="46" t="n">
        <x:v>1</x:v>
      </x:c>
      <x:c r="L576" s="46" t="n">
        <x:v>0.9532135377822479</x:v>
      </x:c>
      <x:c r="M576" s="27" t="n">
        <x:v>0</x:v>
      </x:c>
    </x:row>
    <x:row r="577" ht="15" hidden="0" customHeight="1">
      <x:c r="A577" s="29" t="n">
        <x:v>73</x:v>
      </x:c>
      <x:c r="B577" s="29" t="n">
        <x:v>330977</x:v>
      </x:c>
      <x:c r="C577" s="29" t="str">
        <x:v>A1</x:v>
      </x:c>
      <x:c r="D577" s="53" t="n">
        <x:v>2417.8900326722073</x:v>
      </x:c>
      <x:c r="E577" s="47" t="n">
        <x:v>0.9671560130688829</x:v>
      </x:c>
      <x:c r="F577" s="47" t="n">
        <x:v>0.726604848417217</x:v>
      </x:c>
      <x:c r="G577" s="47" t="n">
        <x:v>1</x:v>
      </x:c>
      <x:c r="H577" s="47" t="n">
        <x:v>1</x:v>
      </x:c>
      <x:c r="I577" s="47" t="n">
        <x:v>1</x:v>
      </x:c>
      <x:c r="J577" s="47" t="n">
        <x:v>1</x:v>
      </x:c>
      <x:c r="K577" s="47" t="n">
        <x:v>1</x:v>
      </x:c>
      <x:c r="L577" s="47" t="n">
        <x:v>0.959442831215932</x:v>
      </x:c>
      <x:c r="M577" s="29" t="n">
        <x:v>0</x:v>
      </x:c>
    </x:row>
    <x:row r="578" ht="15" hidden="0" customHeight="1">
      <x:c r="A578" s="27" t="n">
        <x:v>74</x:v>
      </x:c>
      <x:c r="B578" s="27" t="n">
        <x:v>330978</x:v>
      </x:c>
      <x:c r="C578" s="27" t="str">
        <x:v>A1</x:v>
      </x:c>
      <x:c r="D578" s="52" t="n">
        <x:v>2500</x:v>
      </x:c>
      <x:c r="E578" s="46" t="n">
        <x:v>1</x:v>
      </x:c>
      <x:c r="F578" s="46" t="n">
        <x:v>0.9999999999999999</x:v>
      </x:c>
      <x:c r="G578" s="46" t="n">
        <x:v>1</x:v>
      </x:c>
      <x:c r="H578" s="46" t="n">
        <x:v>1</x:v>
      </x:c>
      <x:c r="I578" s="46" t="n">
        <x:v>1</x:v>
      </x:c>
      <x:c r="J578" s="46" t="n">
        <x:v>1</x:v>
      </x:c>
      <x:c r="K578" s="46" t="n">
        <x:v>1</x:v>
      </x:c>
      <x:c r="L578" s="46" t="n">
        <x:v>1</x:v>
      </x:c>
      <x:c r="M578" s="27" t="n">
        <x:v>1</x:v>
      </x:c>
    </x:row>
    <x:row r="579" ht="15" hidden="0" customHeight="1">
      <x:c r="A579" s="29" t="n">
        <x:v>75</x:v>
      </x:c>
      <x:c r="B579" s="29" t="n">
        <x:v>330979</x:v>
      </x:c>
      <x:c r="C579" s="29" t="str">
        <x:v>A1</x:v>
      </x:c>
      <x:c r="D579" s="53" t="n">
        <x:v>2464.475083837274</x:v>
      </x:c>
      <x:c r="E579" s="47" t="n">
        <x:v>0.9857900335349096</x:v>
      </x:c>
      <x:c r="F579" s="47" t="n">
        <x:v>0.8597429624779789</x:v>
      </x:c>
      <x:c r="G579" s="47" t="n">
        <x:v>1</x:v>
      </x:c>
      <x:c r="H579" s="47" t="n">
        <x:v>1</x:v>
      </x:c>
      <x:c r="I579" s="47" t="n">
        <x:v>1</x:v>
      </x:c>
      <x:c r="J579" s="47" t="n">
        <x:v>1</x:v>
      </x:c>
      <x:c r="K579" s="47" t="n">
        <x:v>1</x:v>
      </x:c>
      <x:c r="L579" s="47" t="n">
        <x:v>0.9824529217616206</x:v>
      </x:c>
      <x:c r="M579" s="29" t="n">
        <x:v>0</x:v>
      </x:c>
    </x:row>
    <x:row r="580" ht="15" hidden="0" customHeight="1">
      <x:c r="A580" s="27" t="n">
        <x:v>76</x:v>
      </x:c>
      <x:c r="B580" s="27" t="n">
        <x:v>330980</x:v>
      </x:c>
      <x:c r="C580" s="27" t="str">
        <x:v>A1</x:v>
      </x:c>
      <x:c r="D580" s="52" t="n">
        <x:v>2389.4961974288467</x:v>
      </x:c>
      <x:c r="E580" s="46" t="n">
        <x:v>0.9557984789715387</x:v>
      </x:c>
      <x:c r="F580" s="46" t="n">
        <x:v>0.6620170631060281</x:v>
      </x:c>
      <x:c r="G580" s="46" t="n">
        <x:v>1</x:v>
      </x:c>
      <x:c r="H580" s="46" t="n">
        <x:v>1</x:v>
      </x:c>
      <x:c r="I580" s="46" t="n">
        <x:v>1</x:v>
      </x:c>
      <x:c r="J580" s="46" t="n">
        <x:v>1</x:v>
      </x:c>
      <x:c r="K580" s="46" t="n">
        <x:v>1</x:v>
      </x:c>
      <x:c r="L580" s="46" t="n">
        <x:v>0.9454180592440375</x:v>
      </x:c>
      <x:c r="M580" s="27" t="n">
        <x:v>0</x:v>
      </x:c>
    </x:row>
    <x:row r="581" ht="15" hidden="0" customHeight="1">
      <x:c r="A581" s="29" t="n">
        <x:v>77</x:v>
      </x:c>
      <x:c r="B581" s="29" t="n">
        <x:v>330981</x:v>
      </x:c>
      <x:c r="C581" s="29" t="str">
        <x:v>A1</x:v>
      </x:c>
      <x:c r="D581" s="53" t="n">
        <x:v>2500</x:v>
      </x:c>
      <x:c r="E581" s="47" t="n">
        <x:v>1</x:v>
      </x:c>
      <x:c r="F581" s="47" t="n">
        <x:v>1</x:v>
      </x:c>
      <x:c r="G581" s="47" t="n">
        <x:v>1</x:v>
      </x:c>
      <x:c r="H581" s="47" t="n">
        <x:v>1</x:v>
      </x:c>
      <x:c r="I581" s="47" t="n">
        <x:v>1</x:v>
      </x:c>
      <x:c r="J581" s="47" t="n">
        <x:v>1</x:v>
      </x:c>
      <x:c r="K581" s="47" t="n">
        <x:v>1</x:v>
      </x:c>
      <x:c r="L581" s="47" t="n">
        <x:v>1</x:v>
      </x:c>
      <x:c r="M581" s="29" t="n">
        <x:v>1</x:v>
      </x:c>
    </x:row>
    <x:row r="582" ht="15" hidden="0" customHeight="1">
      <x:c r="A582" s="27" t="n">
        <x:v>78</x:v>
      </x:c>
      <x:c r="B582" s="27" t="n">
        <x:v>330982</x:v>
      </x:c>
      <x:c r="C582" s="27" t="str">
        <x:v>A1</x:v>
      </x:c>
      <x:c r="D582" s="52" t="n">
        <x:v>2395.2980918917133</x:v>
      </x:c>
      <x:c r="E582" s="46" t="n">
        <x:v>0.9581192367566853</x:v>
      </x:c>
      <x:c r="F582" s="46" t="n">
        <x:v>0.7266145030654553</x:v>
      </x:c>
      <x:c r="G582" s="46" t="n">
        <x:v>1</x:v>
      </x:c>
      <x:c r="H582" s="46" t="n">
        <x:v>1</x:v>
      </x:c>
      <x:c r="I582" s="46" t="n">
        <x:v>1</x:v>
      </x:c>
      <x:c r="J582" s="46" t="n">
        <x:v>1</x:v>
      </x:c>
      <x:c r="K582" s="46" t="n">
        <x:v>1</x:v>
      </x:c>
      <x:c r="L582" s="46" t="n">
        <x:v>0.9482838308507713</x:v>
      </x:c>
      <x:c r="M582" s="27" t="n">
        <x:v>0</x:v>
      </x:c>
    </x:row>
    <x:row r="583" ht="15" hidden="0" customHeight="1">
      <x:c r="A583" s="29" t="n">
        <x:v>79</x:v>
      </x:c>
      <x:c r="B583" s="29" t="n">
        <x:v>330983</x:v>
      </x:c>
      <x:c r="C583" s="29" t="str">
        <x:v>A1</x:v>
      </x:c>
      <x:c r="D583" s="53" t="n">
        <x:v>2453.2158884150576</x:v>
      </x:c>
      <x:c r="E583" s="47" t="n">
        <x:v>0.981286355366023</x:v>
      </x:c>
      <x:c r="F583" s="47" t="n">
        <x:v>0.8128635536602294</x:v>
      </x:c>
      <x:c r="G583" s="47" t="n">
        <x:v>1</x:v>
      </x:c>
      <x:c r="H583" s="47" t="n">
        <x:v>1</x:v>
      </x:c>
      <x:c r="I583" s="47" t="n">
        <x:v>1</x:v>
      </x:c>
      <x:c r="J583" s="47" t="n">
        <x:v>1</x:v>
      </x:c>
      <x:c r="K583" s="47" t="n">
        <x:v>1</x:v>
      </x:c>
      <x:c r="L583" s="47" t="n">
        <x:v>0.97689158610442</x:v>
      </x:c>
      <x:c r="M583" s="29" t="n">
        <x:v>0</x:v>
      </x:c>
    </x:row>
    <x:row r="584" ht="15" hidden="0" customHeight="1">
      <x:c r="A584" s="27" t="n">
        <x:v>80</x:v>
      </x:c>
      <x:c r="B584" s="27" t="n">
        <x:v>330984</x:v>
      </x:c>
      <x:c r="C584" s="27" t="str">
        <x:v>A1</x:v>
      </x:c>
      <x:c r="D584" s="52" t="n">
        <x:v>2462.452844336295</x:v>
      </x:c>
      <x:c r="E584" s="46" t="n">
        <x:v>0.984981137734518</x:v>
      </x:c>
      <x:c r="F584" s="46" t="n">
        <x:v>0.8498812707141783</x:v>
      </x:c>
      <x:c r="G584" s="46" t="n">
        <x:v>1</x:v>
      </x:c>
      <x:c r="H584" s="46" t="n">
        <x:v>1</x:v>
      </x:c>
      <x:c r="I584" s="46" t="n">
        <x:v>1</x:v>
      </x:c>
      <x:c r="J584" s="46" t="n">
        <x:v>1</x:v>
      </x:c>
      <x:c r="K584" s="46" t="n">
        <x:v>1</x:v>
      </x:c>
      <x:c r="L584" s="46" t="n">
        <x:v>0.981454062409557</x:v>
      </x:c>
      <x:c r="M584" s="27" t="n">
        <x:v>0</x:v>
      </x:c>
    </x:row>
    <x:row r="585" ht="15" hidden="0" customHeight="1">
      <x:c r="A585" s="29" t="n">
        <x:v>81</x:v>
      </x:c>
      <x:c r="B585" s="29" t="n">
        <x:v>330985</x:v>
      </x:c>
      <x:c r="C585" s="29" t="str">
        <x:v>A1</x:v>
      </x:c>
      <x:c r="D585" s="53" t="n">
        <x:v>2435.3758353645567</x:v>
      </x:c>
      <x:c r="E585" s="47" t="n">
        <x:v>0.9741503341458226</x:v>
      </x:c>
      <x:c r="F585" s="47" t="n">
        <x:v>0.7553542298475782</x:v>
      </x:c>
      <x:c r="G585" s="47" t="n">
        <x:v>1</x:v>
      </x:c>
      <x:c r="H585" s="47" t="n">
        <x:v>1</x:v>
      </x:c>
      <x:c r="I585" s="47" t="n">
        <x:v>1</x:v>
      </x:c>
      <x:c r="J585" s="47" t="n">
        <x:v>1</x:v>
      </x:c>
      <x:c r="K585" s="47" t="n">
        <x:v>1</x:v>
      </x:c>
      <x:c r="L585" s="47" t="n">
        <x:v>0.968079719942089</x:v>
      </x:c>
      <x:c r="M585" s="29" t="n">
        <x:v>0</x:v>
      </x:c>
    </x:row>
    <x:row r="586" ht="15" hidden="0" customHeight="1">
      <x:c r="A586" s="27" t="n">
        <x:v>82</x:v>
      </x:c>
      <x:c r="B586" s="27" t="n">
        <x:v>330986</x:v>
      </x:c>
      <x:c r="C586" s="27" t="str">
        <x:v>A1</x:v>
      </x:c>
      <x:c r="D586" s="52" t="n">
        <x:v>2500</x:v>
      </x:c>
      <x:c r="E586" s="46" t="n">
        <x:v>1</x:v>
      </x:c>
      <x:c r="F586" s="46" t="n">
        <x:v>1</x:v>
      </x:c>
      <x:c r="G586" s="46" t="n">
        <x:v>1</x:v>
      </x:c>
      <x:c r="H586" s="46" t="n">
        <x:v>1</x:v>
      </x:c>
      <x:c r="I586" s="46" t="n">
        <x:v>1</x:v>
      </x:c>
      <x:c r="J586" s="46" t="n">
        <x:v>1</x:v>
      </x:c>
      <x:c r="K586" s="46" t="n">
        <x:v>1</x:v>
      </x:c>
      <x:c r="L586" s="46" t="n">
        <x:v>1</x:v>
      </x:c>
      <x:c r="M586" s="27" t="n">
        <x:v>1</x:v>
      </x:c>
    </x:row>
    <x:row r="587" ht="15" hidden="0" customHeight="1">
      <x:c r="A587" s="29" t="n">
        <x:v>83</x:v>
      </x:c>
      <x:c r="B587" s="29" t="n">
        <x:v>330987</x:v>
      </x:c>
      <x:c r="C587" s="29" t="str">
        <x:v>A1</x:v>
      </x:c>
      <x:c r="D587" s="53" t="n">
        <x:v>2456.3744040889724</x:v>
      </x:c>
      <x:c r="E587" s="47" t="n">
        <x:v>0.9825497616355889</x:v>
      </x:c>
      <x:c r="F587" s="47" t="n">
        <x:v>0.8254976163558895</x:v>
      </x:c>
      <x:c r="G587" s="47" t="n">
        <x:v>1</x:v>
      </x:c>
      <x:c r="H587" s="47" t="n">
        <x:v>1</x:v>
      </x:c>
      <x:c r="I587" s="47" t="n">
        <x:v>1</x:v>
      </x:c>
      <x:c r="J587" s="47" t="n">
        <x:v>1</x:v>
      </x:c>
      <x:c r="K587" s="47" t="n">
        <x:v>1</x:v>
      </x:c>
      <x:c r="L587" s="47" t="n">
        <x:v>0.9784516945475606</x:v>
      </x:c>
      <x:c r="M587" s="29" t="n">
        <x:v>0</x:v>
      </x:c>
    </x:row>
    <x:row r="588" ht="15" hidden="0" customHeight="1">
      <x:c r="A588" s="27" t="n">
        <x:v>84</x:v>
      </x:c>
      <x:c r="B588" s="27" t="n">
        <x:v>330988</x:v>
      </x:c>
      <x:c r="C588" s="27" t="str">
        <x:v>A1</x:v>
      </x:c>
      <x:c r="D588" s="52" t="n">
        <x:v>2500</x:v>
      </x:c>
      <x:c r="E588" s="46" t="n">
        <x:v>1</x:v>
      </x:c>
      <x:c r="F588" s="46" t="n">
        <x:v>1</x:v>
      </x:c>
      <x:c r="G588" s="46" t="n">
        <x:v>1</x:v>
      </x:c>
      <x:c r="H588" s="46" t="n">
        <x:v>1</x:v>
      </x:c>
      <x:c r="I588" s="46" t="n">
        <x:v>1</x:v>
      </x:c>
      <x:c r="J588" s="46" t="n">
        <x:v>1</x:v>
      </x:c>
      <x:c r="K588" s="46" t="n">
        <x:v>1</x:v>
      </x:c>
      <x:c r="L588" s="46" t="n">
        <x:v>1</x:v>
      </x:c>
      <x:c r="M588" s="27" t="n">
        <x:v>1</x:v>
      </x:c>
    </x:row>
    <x:row r="589" ht="15" hidden="0" customHeight="1">
      <x:c r="A589" s="29" t="n">
        <x:v>85</x:v>
      </x:c>
      <x:c r="B589" s="29" t="n">
        <x:v>330989</x:v>
      </x:c>
      <x:c r="C589" s="29" t="str">
        <x:v>A1</x:v>
      </x:c>
      <x:c r="D589" s="53" t="n">
        <x:v>2384.830771491188</x:v>
      </x:c>
      <x:c r="E589" s="47" t="n">
        <x:v>0.9539323085964752</x:v>
      </x:c>
      <x:c r="F589" s="47" t="n">
        <x:v>0.6025565330442059</x:v>
      </x:c>
      <x:c r="G589" s="47" t="n">
        <x:v>1</x:v>
      </x:c>
      <x:c r="H589" s="47" t="n">
        <x:v>1</x:v>
      </x:c>
      <x:c r="I589" s="47" t="n">
        <x:v>1</x:v>
      </x:c>
      <x:c r="J589" s="47" t="n">
        <x:v>1</x:v>
      </x:c>
      <x:c r="K589" s="47" t="n">
        <x:v>1</x:v>
      </x:c>
      <x:c r="L589" s="47" t="n">
        <x:v>0.9431136317383267</x:v>
      </x:c>
      <x:c r="M589" s="29" t="n">
        <x:v>0</x:v>
      </x:c>
    </x:row>
    <x:row r="590" ht="15" hidden="0" customHeight="1">
      <x:c r="A590" s="27" t="n">
        <x:v>86</x:v>
      </x:c>
      <x:c r="B590" s="27" t="n">
        <x:v>330990</x:v>
      </x:c>
      <x:c r="C590" s="27" t="str">
        <x:v>A1</x:v>
      </x:c>
      <x:c r="D590" s="52" t="n">
        <x:v>2396.1707948405274</x:v>
      </x:c>
      <x:c r="E590" s="46" t="n">
        <x:v>0.9584683179362109</x:v>
      </x:c>
      <x:c r="F590" s="46" t="n">
        <x:v>0.7231430848802769</x:v>
      </x:c>
      <x:c r="G590" s="46" t="n">
        <x:v>1</x:v>
      </x:c>
      <x:c r="H590" s="46" t="n">
        <x:v>1</x:v>
      </x:c>
      <x:c r="I590" s="46" t="n">
        <x:v>1</x:v>
      </x:c>
      <x:c r="J590" s="46" t="n">
        <x:v>1</x:v>
      </x:c>
      <x:c r="K590" s="46" t="n">
        <x:v>1</x:v>
      </x:c>
      <x:c r="L590" s="46" t="n">
        <x:v>0.94871489131694</x:v>
      </x:c>
      <x:c r="M590" s="27" t="n">
        <x:v>0</x:v>
      </x:c>
    </x:row>
    <x:row r="591" ht="15" hidden="0" customHeight="1">
      <x:c r="A591" s="29" t="n">
        <x:v>87</x:v>
      </x:c>
      <x:c r="B591" s="29" t="n">
        <x:v>330991</x:v>
      </x:c>
      <x:c r="C591" s="29" t="str">
        <x:v>A1</x:v>
      </x:c>
      <x:c r="D591" s="53" t="n">
        <x:v>2428.915127023367</x:v>
      </x:c>
      <x:c r="E591" s="47" t="n">
        <x:v>0.9715660508093468</x:v>
      </x:c>
      <x:c r="F591" s="47" t="n">
        <x:v>0.7486487145097215</x:v>
      </x:c>
      <x:c r="G591" s="47" t="n">
        <x:v>1</x:v>
      </x:c>
      <x:c r="H591" s="47" t="n">
        <x:v>1</x:v>
      </x:c>
      <x:c r="I591" s="47" t="n">
        <x:v>1</x:v>
      </x:c>
      <x:c r="J591" s="47" t="n">
        <x:v>1</x:v>
      </x:c>
      <x:c r="K591" s="47" t="n">
        <x:v>1</x:v>
      </x:c>
      <x:c r="L591" s="47" t="n">
        <x:v>0.9648885356415007</x:v>
      </x:c>
      <x:c r="M591" s="29" t="n">
        <x:v>0</x:v>
      </x:c>
    </x:row>
    <x:row r="592" ht="15" hidden="0" customHeight="1">
      <x:c r="A592" s="27" t="n">
        <x:v>88</x:v>
      </x:c>
      <x:c r="B592" s="27" t="n">
        <x:v>330992</x:v>
      </x:c>
      <x:c r="C592" s="27" t="str">
        <x:v>A1</x:v>
      </x:c>
      <x:c r="D592" s="52" t="n">
        <x:v>2466.729881443067</x:v>
      </x:c>
      <x:c r="E592" s="46" t="n">
        <x:v>0.9866919525772267</x:v>
      </x:c>
      <x:c r="F592" s="46" t="n">
        <x:v>0.8669195257722674</x:v>
      </x:c>
      <x:c r="G592" s="46" t="n">
        <x:v>1</x:v>
      </x:c>
      <x:c r="H592" s="46" t="n">
        <x:v>1</x:v>
      </x:c>
      <x:c r="I592" s="46" t="n">
        <x:v>1</x:v>
      </x:c>
      <x:c r="J592" s="46" t="n">
        <x:v>1</x:v>
      </x:c>
      <x:c r="K592" s="46" t="n">
        <x:v>1</x:v>
      </x:c>
      <x:c r="L592" s="46" t="n">
        <x:v>0.9835666502168638</x:v>
      </x:c>
      <x:c r="M592" s="27" t="n">
        <x:v>0</x:v>
      </x:c>
    </x:row>
    <x:row r="593" ht="15" hidden="0" customHeight="1">
      <x:c r="A593" s="29" t="n">
        <x:v>89</x:v>
      </x:c>
      <x:c r="B593" s="29" t="n">
        <x:v>330993</x:v>
      </x:c>
      <x:c r="C593" s="29" t="str">
        <x:v>A1</x:v>
      </x:c>
      <x:c r="D593" s="53" t="n">
        <x:v>2498.038973229386</x:v>
      </x:c>
      <x:c r="E593" s="47" t="n">
        <x:v>0.9992155892917545</x:v>
      </x:c>
      <x:c r="F593" s="47" t="n">
        <x:v>0.9921558929175444</x:v>
      </x:c>
      <x:c r="G593" s="47" t="n">
        <x:v>1</x:v>
      </x:c>
      <x:c r="H593" s="47" t="n">
        <x:v>1</x:v>
      </x:c>
      <x:c r="I593" s="47" t="n">
        <x:v>1</x:v>
      </x:c>
      <x:c r="J593" s="47" t="n">
        <x:v>1</x:v>
      </x:c>
      <x:c r="K593" s="47" t="n">
        <x:v>1</x:v>
      </x:c>
      <x:c r="L593" s="47" t="n">
        <x:v>0.9990313758936431</x:v>
      </x:c>
      <x:c r="M593" s="29" t="n">
        <x:v>1</x:v>
      </x:c>
    </x:row>
    <x:row r="594" ht="15" hidden="0" customHeight="1">
      <x:c r="A594" s="27" t="n">
        <x:v>90</x:v>
      </x:c>
      <x:c r="B594" s="27" t="n">
        <x:v>330994</x:v>
      </x:c>
      <x:c r="C594" s="27" t="str">
        <x:v>A1</x:v>
      </x:c>
      <x:c r="D594" s="52" t="n">
        <x:v>2468.526673049757</x:v>
      </x:c>
      <x:c r="E594" s="46" t="n">
        <x:v>0.9874106692199027</x:v>
      </x:c>
      <x:c r="F594" s="46" t="n">
        <x:v>0.8775266641306319</x:v>
      </x:c>
      <x:c r="G594" s="46" t="n">
        <x:v>1</x:v>
      </x:c>
      <x:c r="H594" s="46" t="n">
        <x:v>1</x:v>
      </x:c>
      <x:c r="I594" s="46" t="n">
        <x:v>1</x:v>
      </x:c>
      <x:c r="J594" s="46" t="n">
        <x:v>1</x:v>
      </x:c>
      <x:c r="K594" s="46" t="n">
        <x:v>1</x:v>
      </x:c>
      <x:c r="L594" s="46" t="n">
        <x:v>0.9844541524633502</x:v>
      </x:c>
      <x:c r="M594" s="27" t="n">
        <x:v>0</x:v>
      </x:c>
    </x:row>
    <x:row r="595" ht="15" hidden="0" customHeight="1">
      <x:c r="A595" s="29" t="n">
        <x:v>91</x:v>
      </x:c>
      <x:c r="B595" s="29" t="n">
        <x:v>330995</x:v>
      </x:c>
      <x:c r="C595" s="29" t="str">
        <x:v>A1</x:v>
      </x:c>
      <x:c r="D595" s="53" t="n">
        <x:v>2500</x:v>
      </x:c>
      <x:c r="E595" s="47" t="n">
        <x:v>1</x:v>
      </x:c>
      <x:c r="F595" s="47" t="n">
        <x:v>0.9999999999999998</x:v>
      </x:c>
      <x:c r="G595" s="47" t="n">
        <x:v>1</x:v>
      </x:c>
      <x:c r="H595" s="47" t="n">
        <x:v>1</x:v>
      </x:c>
      <x:c r="I595" s="47" t="n">
        <x:v>1</x:v>
      </x:c>
      <x:c r="J595" s="47" t="n">
        <x:v>1</x:v>
      </x:c>
      <x:c r="K595" s="47" t="n">
        <x:v>1</x:v>
      </x:c>
      <x:c r="L595" s="47" t="n">
        <x:v>1</x:v>
      </x:c>
      <x:c r="M595" s="29" t="n">
        <x:v>1</x:v>
      </x:c>
    </x:row>
    <x:row r="596" ht="15" hidden="0" customHeight="1">
      <x:c r="A596" s="27" t="n">
        <x:v>92</x:v>
      </x:c>
      <x:c r="B596" s="27" t="n">
        <x:v>330996</x:v>
      </x:c>
      <x:c r="C596" s="27" t="str">
        <x:v>A1</x:v>
      </x:c>
      <x:c r="D596" s="52" t="n">
        <x:v>2409.133194188207</x:v>
      </x:c>
      <x:c r="E596" s="46" t="n">
        <x:v>0.9636532776752829</x:v>
      </x:c>
      <x:c r="F596" s="46" t="n">
        <x:v>0.6696930741926521</x:v>
      </x:c>
      <x:c r="G596" s="46" t="n">
        <x:v>1</x:v>
      </x:c>
      <x:c r="H596" s="46" t="n">
        <x:v>1</x:v>
      </x:c>
      <x:c r="I596" s="46" t="n">
        <x:v>1</x:v>
      </x:c>
      <x:c r="J596" s="46" t="n">
        <x:v>1</x:v>
      </x:c>
      <x:c r="K596" s="46" t="n">
        <x:v>1</x:v>
      </x:c>
      <x:c r="L596" s="46" t="n">
        <x:v>0.9551175027817774</x:v>
      </x:c>
      <x:c r="M596" s="27" t="n">
        <x:v>0</x:v>
      </x:c>
    </x:row>
    <x:row r="597" ht="15" hidden="0" customHeight="1">
      <x:c r="A597" s="29" t="n">
        <x:v>93</x:v>
      </x:c>
      <x:c r="B597" s="29" t="n">
        <x:v>330997</x:v>
      </x:c>
      <x:c r="C597" s="29" t="str">
        <x:v>A1</x:v>
      </x:c>
      <x:c r="D597" s="53" t="n">
        <x:v>2465.862806309965</x:v>
      </x:c>
      <x:c r="E597" s="47" t="n">
        <x:v>0.986345122523986</x:v>
      </x:c>
      <x:c r="F597" s="47" t="n">
        <x:v>0.8644637599824543</x:v>
      </x:c>
      <x:c r="G597" s="47" t="n">
        <x:v>1</x:v>
      </x:c>
      <x:c r="H597" s="47" t="n">
        <x:v>1</x:v>
      </x:c>
      <x:c r="I597" s="47" t="n">
        <x:v>1</x:v>
      </x:c>
      <x:c r="J597" s="47" t="n">
        <x:v>1</x:v>
      </x:c>
      <x:c r="K597" s="47" t="n">
        <x:v>1</x:v>
      </x:c>
      <x:c r="L597" s="47" t="n">
        <x:v>0.9831383695383283</x:v>
      </x:c>
      <x:c r="M597" s="29" t="n">
        <x:v>0</x:v>
      </x:c>
    </x:row>
    <x:row r="598" ht="15" hidden="0" customHeight="1">
      <x:c r="A598" s="27" t="n">
        <x:v>94</x:v>
      </x:c>
      <x:c r="B598" s="27" t="n">
        <x:v>330998</x:v>
      </x:c>
      <x:c r="C598" s="27" t="str">
        <x:v>A1</x:v>
      </x:c>
      <x:c r="D598" s="52" t="n">
        <x:v>2419.944049907312</x:v>
      </x:c>
      <x:c r="E598" s="46" t="n">
        <x:v>0.9679776199629249</x:v>
      </x:c>
      <x:c r="F598" s="46" t="n">
        <x:v>0.7729682809028187</x:v>
      </x:c>
      <x:c r="G598" s="46" t="n">
        <x:v>1</x:v>
      </x:c>
      <x:c r="H598" s="46" t="n">
        <x:v>1</x:v>
      </x:c>
      <x:c r="I598" s="46" t="n">
        <x:v>1</x:v>
      </x:c>
      <x:c r="J598" s="46" t="n">
        <x:v>1</x:v>
      </x:c>
      <x:c r="K598" s="46" t="n">
        <x:v>1</x:v>
      </x:c>
      <x:c r="L598" s="46" t="n">
        <x:v>0.9604573867735657</x:v>
      </x:c>
      <x:c r="M598" s="27" t="n">
        <x:v>0</x:v>
      </x:c>
    </x:row>
    <x:row r="599" ht="15" hidden="0" customHeight="1">
      <x:c r="A599" s="29" t="n">
        <x:v>95</x:v>
      </x:c>
      <x:c r="B599" s="29" t="n">
        <x:v>330999</x:v>
      </x:c>
      <x:c r="C599" s="29" t="str">
        <x:v>A1</x:v>
      </x:c>
      <x:c r="D599" s="53" t="n">
        <x:v>2479.2599549680067</x:v>
      </x:c>
      <x:c r="E599" s="47" t="n">
        <x:v>0.9917039819872027</x:v>
      </x:c>
      <x:c r="F599" s="47" t="n">
        <x:v>0.920227348302008</x:v>
      </x:c>
      <x:c r="G599" s="47" t="n">
        <x:v>1</x:v>
      </x:c>
      <x:c r="H599" s="47" t="n">
        <x:v>1</x:v>
      </x:c>
      <x:c r="I599" s="47" t="n">
        <x:v>1</x:v>
      </x:c>
      <x:c r="J599" s="47" t="n">
        <x:v>1</x:v>
      </x:c>
      <x:c r="K599" s="47" t="n">
        <x:v>1</x:v>
      </x:c>
      <x:c r="L599" s="47" t="n">
        <x:v>0.9897557198677998</x:v>
      </x:c>
      <x:c r="M599" s="29" t="n">
        <x:v>0</x:v>
      </x:c>
    </x:row>
    <x:row r="600" ht="15" hidden="0" customHeight="1">
      <x:c r="A600" s="27" t="n">
        <x:v>96</x:v>
      </x:c>
      <x:c r="B600" s="27" t="n">
        <x:v>331000</x:v>
      </x:c>
      <x:c r="C600" s="27" t="str">
        <x:v>A1</x:v>
      </x:c>
      <x:c r="D600" s="52" t="n">
        <x:v>2448.97636089254</x:v>
      </x:c>
      <x:c r="E600" s="46" t="n">
        <x:v>0.979590544357016</x:v>
      </x:c>
      <x:c r="F600" s="46" t="n">
        <x:v>0.7959054435701594</x:v>
      </x:c>
      <x:c r="G600" s="46" t="n">
        <x:v>1</x:v>
      </x:c>
      <x:c r="H600" s="46" t="n">
        <x:v>1</x:v>
      </x:c>
      <x:c r="I600" s="46" t="n">
        <x:v>1</x:v>
      </x:c>
      <x:c r="J600" s="46" t="n">
        <x:v>1</x:v>
      </x:c>
      <x:c r="K600" s="46" t="n">
        <x:v>1</x:v>
      </x:c>
      <x:c r="L600" s="46" t="n">
        <x:v>0.974797525676786</x:v>
      </x:c>
      <x:c r="M600" s="27" t="n">
        <x:v>0</x:v>
      </x:c>
    </x:row>
    <x:row r="601" ht="15" hidden="0" customHeight="1">
      <x:c r="A601" s="29" t="n">
        <x:v>97</x:v>
      </x:c>
      <x:c r="B601" s="29" t="n">
        <x:v>331001</x:v>
      </x:c>
      <x:c r="C601" s="29" t="str">
        <x:v>A1</x:v>
      </x:c>
      <x:c r="D601" s="53" t="n">
        <x:v>2465.158202891127</x:v>
      </x:c>
      <x:c r="E601" s="47" t="n">
        <x:v>0.9860632811564508</x:v>
      </x:c>
      <x:c r="F601" s="47" t="n">
        <x:v>0.8606328115645083</x:v>
      </x:c>
      <x:c r="G601" s="47" t="n">
        <x:v>1</x:v>
      </x:c>
      <x:c r="H601" s="47" t="n">
        <x:v>1</x:v>
      </x:c>
      <x:c r="I601" s="47" t="n">
        <x:v>1</x:v>
      </x:c>
      <x:c r="J601" s="47" t="n">
        <x:v>1</x:v>
      </x:c>
      <x:c r="K601" s="47" t="n">
        <x:v>1</x:v>
      </x:c>
      <x:c r="L601" s="47" t="n">
        <x:v>0.9827903396862453</x:v>
      </x:c>
      <x:c r="M601" s="29" t="n">
        <x:v>0</x:v>
      </x:c>
    </x:row>
    <x:row r="602" ht="15" hidden="0" customHeight="1">
      <x:c r="A602" s="27" t="n">
        <x:v>98</x:v>
      </x:c>
      <x:c r="B602" s="27" t="n">
        <x:v>331002</x:v>
      </x:c>
      <x:c r="C602" s="27" t="str">
        <x:v>A1</x:v>
      </x:c>
      <x:c r="D602" s="52" t="n">
        <x:v>2410.3187181960097</x:v>
      </x:c>
      <x:c r="E602" s="46" t="n">
        <x:v>0.9641274872784039</x:v>
      </x:c>
      <x:c r="F602" s="46" t="n">
        <x:v>0.7255408343752581</x:v>
      </x:c>
      <x:c r="G602" s="46" t="n">
        <x:v>1</x:v>
      </x:c>
      <x:c r="H602" s="46" t="n">
        <x:v>1</x:v>
      </x:c>
      <x:c r="I602" s="46" t="n">
        <x:v>1</x:v>
      </x:c>
      <x:c r="J602" s="46" t="n">
        <x:v>1</x:v>
      </x:c>
      <x:c r="K602" s="46" t="n">
        <x:v>1</x:v>
      </x:c>
      <x:c r="L602" s="46" t="n">
        <x:v>0.9557030772113719</x:v>
      </x:c>
      <x:c r="M602" s="27" t="n">
        <x:v>0</x:v>
      </x:c>
    </x:row>
    <x:row r="603" ht="15" hidden="0" customHeight="1">
      <x:c r="A603" s="29" t="n">
        <x:v>99</x:v>
      </x:c>
      <x:c r="B603" s="29" t="n">
        <x:v>331003</x:v>
      </x:c>
      <x:c r="C603" s="29" t="str">
        <x:v>A1</x:v>
      </x:c>
      <x:c r="D603" s="53" t="n">
        <x:v>2439.6374167722724</x:v>
      </x:c>
      <x:c r="E603" s="47" t="n">
        <x:v>0.975854966708909</x:v>
      </x:c>
      <x:c r="F603" s="47" t="n">
        <x:v>0.8573146024935028</x:v>
      </x:c>
      <x:c r="G603" s="47" t="n">
        <x:v>1</x:v>
      </x:c>
      <x:c r="H603" s="47" t="n">
        <x:v>1</x:v>
      </x:c>
      <x:c r="I603" s="47" t="n">
        <x:v>1</x:v>
      </x:c>
      <x:c r="J603" s="47" t="n">
        <x:v>1</x:v>
      </x:c>
      <x:c r="K603" s="47" t="n">
        <x:v>1</x:v>
      </x:c>
      <x:c r="L603" s="47" t="n">
        <x:v>0.9701846736044107</x:v>
      </x:c>
      <x:c r="M603" s="29" t="n">
        <x:v>0</x:v>
      </x:c>
    </x:row>
    <x:row r="604" ht="15" hidden="0" customHeight="1">
      <x:c r="A604" s="27" t="n">
        <x:v>100</x:v>
      </x:c>
      <x:c r="B604" s="27" t="n">
        <x:v>331004</x:v>
      </x:c>
      <x:c r="C604" s="27" t="str">
        <x:v>A1</x:v>
      </x:c>
      <x:c r="D604" s="52" t="n">
        <x:v>2471.900868152537</x:v>
      </x:c>
      <x:c r="E604" s="46" t="n">
        <x:v>0.9887603472610148</x:v>
      </x:c>
      <x:c r="F604" s="46" t="n">
        <x:v>0.8876034726101477</x:v>
      </x:c>
      <x:c r="G604" s="46" t="n">
        <x:v>1</x:v>
      </x:c>
      <x:c r="H604" s="46" t="n">
        <x:v>1</x:v>
      </x:c>
      <x:c r="I604" s="46" t="n">
        <x:v>1</x:v>
      </x:c>
      <x:c r="J604" s="46" t="n">
        <x:v>1</x:v>
      </x:c>
      <x:c r="K604" s="46" t="n">
        <x:v>1</x:v>
      </x:c>
      <x:c r="L604" s="46" t="n">
        <x:v>0.9861207930034385</x:v>
      </x:c>
      <x:c r="M604" s="27" t="n">
        <x:v>0</x:v>
      </x:c>
    </x:row>
    <x:row r="605" ht="15" hidden="0" customHeight="1">
      <x:c r="A605" s="29" t="n">
        <x:v>101</x:v>
      </x:c>
      <x:c r="B605" s="29" t="n">
        <x:v>331005</x:v>
      </x:c>
      <x:c r="C605" s="29" t="str">
        <x:v>A1</x:v>
      </x:c>
      <x:c r="D605" s="53" t="n">
        <x:v>2500</x:v>
      </x:c>
      <x:c r="E605" s="47" t="n">
        <x:v>1</x:v>
      </x:c>
      <x:c r="F605" s="47" t="n">
        <x:v>1</x:v>
      </x:c>
      <x:c r="G605" s="47" t="n">
        <x:v>1</x:v>
      </x:c>
      <x:c r="H605" s="47" t="n">
        <x:v>1</x:v>
      </x:c>
      <x:c r="I605" s="47" t="n">
        <x:v>1</x:v>
      </x:c>
      <x:c r="J605" s="47" t="n">
        <x:v>1</x:v>
      </x:c>
      <x:c r="K605" s="47" t="n">
        <x:v>1</x:v>
      </x:c>
      <x:c r="L605" s="47" t="n">
        <x:v>0.9999999999999999</x:v>
      </x:c>
      <x:c r="M605" s="29" t="n">
        <x:v>1</x:v>
      </x:c>
    </x:row>
    <x:row r="606" ht="15" hidden="0" customHeight="1">
      <x:c r="A606" s="27" t="n">
        <x:v>102</x:v>
      </x:c>
      <x:c r="B606" s="27" t="n">
        <x:v>331006</x:v>
      </x:c>
      <x:c r="C606" s="27" t="str">
        <x:v>A1</x:v>
      </x:c>
      <x:c r="D606" s="52" t="n">
        <x:v>2460.59014736152</x:v>
      </x:c>
      <x:c r="E606" s="46" t="n">
        <x:v>0.984236058944608</x:v>
      </x:c>
      <x:c r="F606" s="46" t="n">
        <x:v>0.8423605894460793</x:v>
      </x:c>
      <x:c r="G606" s="46" t="n">
        <x:v>1</x:v>
      </x:c>
      <x:c r="H606" s="46" t="n">
        <x:v>1</x:v>
      </x:c>
      <x:c r="I606" s="46" t="n">
        <x:v>1</x:v>
      </x:c>
      <x:c r="J606" s="46" t="n">
        <x:v>1</x:v>
      </x:c>
      <x:c r="K606" s="46" t="n">
        <x:v>1</x:v>
      </x:c>
      <x:c r="L606" s="46" t="n">
        <x:v>0.980534007048946</x:v>
      </x:c>
      <x:c r="M606" s="27" t="n">
        <x:v>0</x:v>
      </x:c>
    </x:row>
    <x:row r="607" ht="15" hidden="0" customHeight="1">
      <x:c r="A607" s="29" t="n">
        <x:v>103</x:v>
      </x:c>
      <x:c r="B607" s="29" t="n">
        <x:v>331007</x:v>
      </x:c>
      <x:c r="C607" s="29" t="str">
        <x:v>A1</x:v>
      </x:c>
      <x:c r="D607" s="53" t="n">
        <x:v>2437.2959375952246</x:v>
      </x:c>
      <x:c r="E607" s="47" t="n">
        <x:v>0.9749183750380899</x:v>
      </x:c>
      <x:c r="F607" s="47" t="n">
        <x:v>0.8121265962313126</x:v>
      </x:c>
      <x:c r="G607" s="47" t="n">
        <x:v>1</x:v>
      </x:c>
      <x:c r="H607" s="47" t="n">
        <x:v>1</x:v>
      </x:c>
      <x:c r="I607" s="47" t="n">
        <x:v>1</x:v>
      </x:c>
      <x:c r="J607" s="47" t="n">
        <x:v>1</x:v>
      </x:c>
      <x:c r="K607" s="47" t="n">
        <x:v>1</x:v>
      </x:c>
      <x:c r="L607" s="47" t="n">
        <x:v>0.9690281298950605</x:v>
      </x:c>
      <x:c r="M607" s="29" t="n">
        <x:v>0</x:v>
      </x:c>
    </x:row>
    <x:row r="608" ht="15" hidden="0" customHeight="1">
      <x:c r="A608" s="27" t="n">
        <x:v>104</x:v>
      </x:c>
      <x:c r="B608" s="27" t="n">
        <x:v>331008</x:v>
      </x:c>
      <x:c r="C608" s="27" t="str">
        <x:v>A1</x:v>
      </x:c>
      <x:c r="D608" s="52" t="n">
        <x:v>2421.577594955353</x:v>
      </x:c>
      <x:c r="E608" s="46" t="n">
        <x:v>0.9686310379821412</x:v>
      </x:c>
      <x:c r="F608" s="46" t="n">
        <x:v>0.6947646896670392</x:v>
      </x:c>
      <x:c r="G608" s="46" t="n">
        <x:v>1</x:v>
      </x:c>
      <x:c r="H608" s="46" t="n">
        <x:v>1</x:v>
      </x:c>
      <x:c r="I608" s="46" t="n">
        <x:v>1</x:v>
      </x:c>
      <x:c r="J608" s="46" t="n">
        <x:v>1</x:v>
      </x:c>
      <x:c r="K608" s="46" t="n">
        <x:v>1</x:v>
      </x:c>
      <x:c r="L608" s="46" t="n">
        <x:v>0.9612642554691198</x:v>
      </x:c>
      <x:c r="M608" s="27" t="n">
        <x:v>0</x:v>
      </x:c>
    </x:row>
    <x:row r="609" ht="15" hidden="0" customHeight="1">
      <x:c r="A609" s="29" t="n">
        <x:v>105</x:v>
      </x:c>
      <x:c r="B609" s="29" t="n">
        <x:v>331009</x:v>
      </x:c>
      <x:c r="C609" s="29" t="str">
        <x:v>A1</x:v>
      </x:c>
      <x:c r="D609" s="53" t="n">
        <x:v>2449.6194828724583</x:v>
      </x:c>
      <x:c r="E609" s="47" t="n">
        <x:v>0.9798477931489833</x:v>
      </x:c>
      <x:c r="F609" s="47" t="n">
        <x:v>0.8091427383617348</x:v>
      </x:c>
      <x:c r="G609" s="47" t="n">
        <x:v>1</x:v>
      </x:c>
      <x:c r="H609" s="47" t="n">
        <x:v>1</x:v>
      </x:c>
      <x:c r="I609" s="47" t="n">
        <x:v>1</x:v>
      </x:c>
      <x:c r="J609" s="47" t="n">
        <x:v>1</x:v>
      </x:c>
      <x:c r="K609" s="47" t="n">
        <x:v>1</x:v>
      </x:c>
      <x:c r="L609" s="47" t="n">
        <x:v>0.9751151875580065</x:v>
      </x:c>
      <x:c r="M609" s="29" t="n">
        <x:v>0</x:v>
      </x:c>
    </x:row>
    <x:row r="610" ht="15" hidden="0" customHeight="1">
      <x:c r="A610" s="27" t="n">
        <x:v>106</x:v>
      </x:c>
      <x:c r="B610" s="27" t="n">
        <x:v>331010</x:v>
      </x:c>
      <x:c r="C610" s="27" t="str">
        <x:v>A1</x:v>
      </x:c>
      <x:c r="D610" s="52" t="n">
        <x:v>2459.0371899574798</x:v>
      </x:c>
      <x:c r="E610" s="46" t="n">
        <x:v>0.9836148759829919</x:v>
      </x:c>
      <x:c r="F610" s="46" t="n">
        <x:v>0.8361487598299187</x:v>
      </x:c>
      <x:c r="G610" s="46" t="n">
        <x:v>1</x:v>
      </x:c>
      <x:c r="H610" s="46" t="n">
        <x:v>1</x:v>
      </x:c>
      <x:c r="I610" s="46" t="n">
        <x:v>1</x:v>
      </x:c>
      <x:c r="J610" s="46" t="n">
        <x:v>1</x:v>
      </x:c>
      <x:c r="K610" s="46" t="n">
        <x:v>1</x:v>
      </x:c>
      <x:c r="L610" s="46" t="n">
        <x:v>0.9797669435900277</x:v>
      </x:c>
      <x:c r="M610" s="27" t="n">
        <x:v>0</x:v>
      </x:c>
    </x:row>
    <x:row r="611" ht="15" hidden="0" customHeight="1">
      <x:c r="A611" s="29" t="n">
        <x:v>107</x:v>
      </x:c>
      <x:c r="B611" s="29" t="n">
        <x:v>331011</x:v>
      </x:c>
      <x:c r="C611" s="29" t="str">
        <x:v>A1</x:v>
      </x:c>
      <x:c r="D611" s="53" t="n">
        <x:v>2439.749094958915</x:v>
      </x:c>
      <x:c r="E611" s="47" t="n">
        <x:v>0.975899637983566</x:v>
      </x:c>
      <x:c r="F611" s="47" t="n">
        <x:v>0.8245005218866547</x:v>
      </x:c>
      <x:c r="G611" s="47" t="n">
        <x:v>1</x:v>
      </x:c>
      <x:c r="H611" s="47" t="n">
        <x:v>1</x:v>
      </x:c>
      <x:c r="I611" s="47" t="n">
        <x:v>1</x:v>
      </x:c>
      <x:c r="J611" s="47" t="n">
        <x:v>1</x:v>
      </x:c>
      <x:c r="K611" s="47" t="n">
        <x:v>1</x:v>
      </x:c>
      <x:c r="L611" s="47" t="n">
        <x:v>0.9702398356171673</x:v>
      </x:c>
      <x:c r="M611" s="29" t="n">
        <x:v>0</x:v>
      </x:c>
    </x:row>
    <x:row r="612" ht="15" hidden="0" customHeight="1">
      <x:c r="A612" s="27" t="n">
        <x:v>108</x:v>
      </x:c>
      <x:c r="B612" s="27" t="n">
        <x:v>331012</x:v>
      </x:c>
      <x:c r="C612" s="27" t="str">
        <x:v>A1</x:v>
      </x:c>
      <x:c r="D612" s="52" t="n">
        <x:v>2426.1918912289675</x:v>
      </x:c>
      <x:c r="E612" s="46" t="n">
        <x:v>0.970476756491587</x:v>
      </x:c>
      <x:c r="F612" s="46" t="n">
        <x:v>0.747543349012927</x:v>
      </x:c>
      <x:c r="G612" s="46" t="n">
        <x:v>1</x:v>
      </x:c>
      <x:c r="H612" s="46" t="n">
        <x:v>1</x:v>
      </x:c>
      <x:c r="I612" s="46" t="n">
        <x:v>1</x:v>
      </x:c>
      <x:c r="J612" s="46" t="n">
        <x:v>1</x:v>
      </x:c>
      <x:c r="K612" s="46" t="n">
        <x:v>1</x:v>
      </x:c>
      <x:c r="L612" s="46" t="n">
        <x:v>0.9635434281308453</x:v>
      </x:c>
      <x:c r="M612" s="27" t="n">
        <x:v>0</x:v>
      </x:c>
    </x:row>
    <x:row r="613" ht="15" hidden="0" customHeight="1">
      <x:c r="A613" s="29" t="n">
        <x:v>109</x:v>
      </x:c>
      <x:c r="B613" s="29" t="n">
        <x:v>331013</x:v>
      </x:c>
      <x:c r="C613" s="29" t="str">
        <x:v>A1</x:v>
      </x:c>
      <x:c r="D613" s="53" t="n">
        <x:v>2494.825954673838</x:v>
      </x:c>
      <x:c r="E613" s="47" t="n">
        <x:v>0.9979303818695353</x:v>
      </x:c>
      <x:c r="F613" s="47" t="n">
        <x:v>0.9793038186953513</x:v>
      </x:c>
      <x:c r="G613" s="47" t="n">
        <x:v>1</x:v>
      </x:c>
      <x:c r="H613" s="47" t="n">
        <x:v>1</x:v>
      </x:c>
      <x:c r="I613" s="47" t="n">
        <x:v>1</x:v>
      </x:c>
      <x:c r="J613" s="47" t="n">
        <x:v>1</x:v>
      </x:c>
      <x:c r="K613" s="47" t="n">
        <x:v>1</x:v>
      </x:c>
      <x:c r="L613" s="47" t="n">
        <x:v>0.9974443464488074</x:v>
      </x:c>
      <x:c r="M613" s="29" t="n">
        <x:v>1</x:v>
      </x:c>
    </x:row>
    <x:row r="614" ht="15" hidden="0" customHeight="1">
      <x:c r="A614" s="27" t="n">
        <x:v>110</x:v>
      </x:c>
      <x:c r="B614" s="27" t="n">
        <x:v>331014</x:v>
      </x:c>
      <x:c r="C614" s="27" t="str">
        <x:v>A1</x:v>
      </x:c>
      <x:c r="D614" s="52" t="n">
        <x:v>2453.8571172161337</x:v>
      </x:c>
      <x:c r="E614" s="46" t="n">
        <x:v>0.9815428468864534</x:v>
      </x:c>
      <x:c r="F614" s="46" t="n">
        <x:v>0.8154284688645347</x:v>
      </x:c>
      <x:c r="G614" s="46" t="n">
        <x:v>1</x:v>
      </x:c>
      <x:c r="H614" s="46" t="n">
        <x:v>1</x:v>
      </x:c>
      <x:c r="I614" s="46" t="n">
        <x:v>1</x:v>
      </x:c>
      <x:c r="J614" s="46" t="n">
        <x:v>1</x:v>
      </x:c>
      <x:c r="K614" s="46" t="n">
        <x:v>1</x:v>
      </x:c>
      <x:c r="L614" s="46" t="n">
        <x:v>0.977208312874151</x:v>
      </x:c>
      <x:c r="M614" s="27" t="n">
        <x:v>0</x:v>
      </x:c>
    </x:row>
    <x:row r="615" ht="15" hidden="0" customHeight="1">
      <x:c r="A615" s="29" t="n">
        <x:v>111</x:v>
      </x:c>
      <x:c r="B615" s="29" t="n">
        <x:v>331015</x:v>
      </x:c>
      <x:c r="C615" s="29" t="str">
        <x:v>A1</x:v>
      </x:c>
      <x:c r="D615" s="53" t="n">
        <x:v>2469.2386266109684</x:v>
      </x:c>
      <x:c r="E615" s="47" t="n">
        <x:v>0.9876954506443874</x:v>
      </x:c>
      <x:c r="F615" s="47" t="n">
        <x:v>0.8769545064438725</x:v>
      </x:c>
      <x:c r="G615" s="47" t="n">
        <x:v>1</x:v>
      </x:c>
      <x:c r="H615" s="47" t="n">
        <x:v>1</x:v>
      </x:c>
      <x:c r="I615" s="47" t="n">
        <x:v>1</x:v>
      </x:c>
      <x:c r="J615" s="47" t="n">
        <x:v>1</x:v>
      </x:c>
      <x:c r="K615" s="47" t="n">
        <x:v>1</x:v>
      </x:c>
      <x:c r="L615" s="47" t="n">
        <x:v>0.9848058128243048</x:v>
      </x:c>
      <x:c r="M615" s="29" t="n">
        <x:v>0</x:v>
      </x:c>
    </x:row>
    <x:row r="616" ht="15" hidden="0" customHeight="1">
      <x:c r="A616" s="27" t="n">
        <x:v>112</x:v>
      </x:c>
      <x:c r="B616" s="27" t="n">
        <x:v>331016</x:v>
      </x:c>
      <x:c r="C616" s="27" t="str">
        <x:v>A1</x:v>
      </x:c>
      <x:c r="D616" s="52" t="n">
        <x:v>2445.282824938172</x:v>
      </x:c>
      <x:c r="E616" s="46" t="n">
        <x:v>0.9781131299752688</x:v>
      </x:c>
      <x:c r="F616" s="46" t="n">
        <x:v>0.794212979028627</x:v>
      </x:c>
      <x:c r="G616" s="46" t="n">
        <x:v>1</x:v>
      </x:c>
      <x:c r="H616" s="46" t="n">
        <x:v>1</x:v>
      </x:c>
      <x:c r="I616" s="46" t="n">
        <x:v>1</x:v>
      </x:c>
      <x:c r="J616" s="46" t="n">
        <x:v>1</x:v>
      </x:c>
      <x:c r="K616" s="46" t="n">
        <x:v>1</x:v>
      </x:c>
      <x:c r="L616" s="46" t="n">
        <x:v>0.972973150805057</x:v>
      </x:c>
      <x:c r="M616" s="27" t="n">
        <x:v>0</x:v>
      </x:c>
    </x:row>
    <x:row r="617" ht="15" hidden="0" customHeight="1">
      <x:c r="A617" s="29" t="n">
        <x:v>113</x:v>
      </x:c>
      <x:c r="B617" s="29" t="n">
        <x:v>331017</x:v>
      </x:c>
      <x:c r="C617" s="29" t="str">
        <x:v>A1</x:v>
      </x:c>
      <x:c r="D617" s="53" t="n">
        <x:v>2485.1032488157452</x:v>
      </x:c>
      <x:c r="E617" s="47" t="n">
        <x:v>0.994041299526298</x:v>
      </x:c>
      <x:c r="F617" s="47" t="n">
        <x:v>0.9404129952629812</x:v>
      </x:c>
      <x:c r="G617" s="47" t="n">
        <x:v>1</x:v>
      </x:c>
      <x:c r="H617" s="47" t="n">
        <x:v>1</x:v>
      </x:c>
      <x:c r="I617" s="47" t="n">
        <x:v>1</x:v>
      </x:c>
      <x:c r="J617" s="47" t="n">
        <x:v>1</x:v>
      </x:c>
      <x:c r="K617" s="47" t="n">
        <x:v>1</x:v>
      </x:c>
      <x:c r="L617" s="47" t="n">
        <x:v>0.9926419401715</x:v>
      </x:c>
      <x:c r="M617" s="29" t="n">
        <x:v>0</x:v>
      </x:c>
    </x:row>
    <x:row r="618" ht="15" hidden="0" customHeight="1">
      <x:c r="A618" s="27" t="n">
        <x:v>114</x:v>
      </x:c>
      <x:c r="B618" s="27" t="n">
        <x:v>331018</x:v>
      </x:c>
      <x:c r="C618" s="27" t="str">
        <x:v>A1</x:v>
      </x:c>
      <x:c r="D618" s="52" t="n">
        <x:v>2463.0537240274425</x:v>
      </x:c>
      <x:c r="E618" s="46" t="n">
        <x:v>0.985221489610977</x:v>
      </x:c>
      <x:c r="F618" s="46" t="n">
        <x:v>0.8522148961097703</x:v>
      </x:c>
      <x:c r="G618" s="46" t="n">
        <x:v>1</x:v>
      </x:c>
      <x:c r="H618" s="46" t="n">
        <x:v>1</x:v>
      </x:c>
      <x:c r="I618" s="46" t="n">
        <x:v>1</x:v>
      </x:c>
      <x:c r="J618" s="46" t="n">
        <x:v>1</x:v>
      </x:c>
      <x:c r="K618" s="46" t="n">
        <x:v>1</x:v>
      </x:c>
      <x:c r="L618" s="46" t="n">
        <x:v>0.9817508592522046</x:v>
      </x:c>
      <x:c r="M618" s="27" t="n">
        <x:v>0</x:v>
      </x:c>
    </x:row>
    <x:row r="619" ht="15" hidden="0" customHeight="1">
      <x:c r="A619" s="29" t="n">
        <x:v>115</x:v>
      </x:c>
      <x:c r="B619" s="29" t="n">
        <x:v>331019</x:v>
      </x:c>
      <x:c r="C619" s="29" t="str">
        <x:v>A1</x:v>
      </x:c>
      <x:c r="D619" s="53" t="n">
        <x:v>2438.6680825660737</x:v>
      </x:c>
      <x:c r="E619" s="47" t="n">
        <x:v>0.9754672330264295</x:v>
      </x:c>
      <x:c r="F619" s="47" t="n">
        <x:v>0.8187497329064497</x:v>
      </x:c>
      <x:c r="G619" s="47" t="n">
        <x:v>1</x:v>
      </x:c>
      <x:c r="H619" s="47" t="n">
        <x:v>1</x:v>
      </x:c>
      <x:c r="I619" s="47" t="n">
        <x:v>1</x:v>
      </x:c>
      <x:c r="J619" s="47" t="n">
        <x:v>1</x:v>
      </x:c>
      <x:c r="K619" s="47" t="n">
        <x:v>1</x:v>
      </x:c>
      <x:c r="L619" s="47" t="n">
        <x:v>0.9697058833638542</x:v>
      </x:c>
      <x:c r="M619" s="29" t="n">
        <x:v>0</x:v>
      </x:c>
    </x:row>
    <x:row r="620" ht="15" hidden="0" customHeight="1">
      <x:c r="A620" s="27" t="n">
        <x:v>116</x:v>
      </x:c>
      <x:c r="B620" s="27" t="n">
        <x:v>331020</x:v>
      </x:c>
      <x:c r="C620" s="27" t="str">
        <x:v>A1</x:v>
      </x:c>
      <x:c r="D620" s="52" t="n">
        <x:v>2467.8025488127773</x:v>
      </x:c>
      <x:c r="E620" s="46" t="n">
        <x:v>0.9871210195251109</x:v>
      </x:c>
      <x:c r="F620" s="46" t="n">
        <x:v>0.8712101952511091</x:v>
      </x:c>
      <x:c r="G620" s="46" t="n">
        <x:v>1</x:v>
      </x:c>
      <x:c r="H620" s="46" t="n">
        <x:v>1</x:v>
      </x:c>
      <x:c r="I620" s="46" t="n">
        <x:v>1</x:v>
      </x:c>
      <x:c r="J620" s="46" t="n">
        <x:v>1</x:v>
      </x:c>
      <x:c r="K620" s="46" t="n">
        <x:v>1</x:v>
      </x:c>
      <x:c r="L620" s="46" t="n">
        <x:v>0.9840964805526725</x:v>
      </x:c>
      <x:c r="M620" s="27" t="n">
        <x:v>0</x:v>
      </x:c>
    </x:row>
    <x:row r="621" ht="15" hidden="0" customHeight="1">
      <x:c r="A621" s="29" t="n">
        <x:v>117</x:v>
      </x:c>
      <x:c r="B621" s="29" t="n">
        <x:v>331021</x:v>
      </x:c>
      <x:c r="C621" s="29" t="str">
        <x:v>A1</x:v>
      </x:c>
      <x:c r="D621" s="53" t="n">
        <x:v>2369.9294574243017</x:v>
      </x:c>
      <x:c r="E621" s="47" t="n">
        <x:v>0.9479717829697207</x:v>
      </x:c>
      <x:c r="F621" s="47" t="n">
        <x:v>0.6954121612350952</x:v>
      </x:c>
      <x:c r="G621" s="47" t="n">
        <x:v>1</x:v>
      </x:c>
      <x:c r="H621" s="47" t="n">
        <x:v>1</x:v>
      </x:c>
      <x:c r="I621" s="47" t="n">
        <x:v>1</x:v>
      </x:c>
      <x:c r="J621" s="47" t="n">
        <x:v>1</x:v>
      </x:c>
      <x:c r="K621" s="47" t="n">
        <x:v>1</x:v>
      </x:c>
      <x:c r="L621" s="47" t="n">
        <x:v>0.9357533181322761</x:v>
      </x:c>
      <x:c r="M621" s="29" t="n">
        <x:v>0</x:v>
      </x:c>
    </x:row>
    <x:row r="622" ht="15" hidden="0" customHeight="1">
      <x:c r="A622" s="27" t="n">
        <x:v>118</x:v>
      </x:c>
      <x:c r="B622" s="27" t="n">
        <x:v>331022</x:v>
      </x:c>
      <x:c r="C622" s="27" t="str">
        <x:v>A1</x:v>
      </x:c>
      <x:c r="D622" s="52" t="n">
        <x:v>2442.912552429005</x:v>
      </x:c>
      <x:c r="E622" s="46" t="n">
        <x:v>0.977165020971602</x:v>
      </x:c>
      <x:c r="F622" s="46" t="n">
        <x:v>0.8170076954806923</x:v>
      </x:c>
      <x:c r="G622" s="46" t="n">
        <x:v>1</x:v>
      </x:c>
      <x:c r="H622" s="46" t="n">
        <x:v>1</x:v>
      </x:c>
      <x:c r="I622" s="46" t="n">
        <x:v>1</x:v>
      </x:c>
      <x:c r="J622" s="46" t="n">
        <x:v>1</x:v>
      </x:c>
      <x:c r="K622" s="46" t="n">
        <x:v>1</x:v>
      </x:c>
      <x:c r="L622" s="46" t="n">
        <x:v>0.9718023849973595</x:v>
      </x:c>
      <x:c r="M622" s="27" t="n">
        <x:v>0</x:v>
      </x:c>
    </x:row>
    <x:row r="623" ht="15" hidden="0" customHeight="1">
      <x:c r="A623" s="29" t="n">
        <x:v>119</x:v>
      </x:c>
      <x:c r="B623" s="29" t="n">
        <x:v>331023</x:v>
      </x:c>
      <x:c r="C623" s="29" t="str">
        <x:v>A1</x:v>
      </x:c>
      <x:c r="D623" s="53" t="n">
        <x:v>2423.508711541026</x:v>
      </x:c>
      <x:c r="E623" s="47" t="n">
        <x:v>0.9694034846164105</x:v>
      </x:c>
      <x:c r="F623" s="47" t="n">
        <x:v>0.7943132166183385</x:v>
      </x:c>
      <x:c r="G623" s="47" t="n">
        <x:v>1</x:v>
      </x:c>
      <x:c r="H623" s="47" t="n">
        <x:v>1</x:v>
      </x:c>
      <x:c r="I623" s="47" t="n">
        <x:v>1</x:v>
      </x:c>
      <x:c r="J623" s="47" t="n">
        <x:v>1</x:v>
      </x:c>
      <x:c r="K623" s="47" t="n">
        <x:v>1</x:v>
      </x:c>
      <x:c r="L623" s="47" t="n">
        <x:v>0.9622181058219544</x:v>
      </x:c>
      <x:c r="M623" s="29" t="n">
        <x:v>0</x:v>
      </x:c>
    </x:row>
    <x:row r="624" ht="15" hidden="0" customHeight="1">
      <x:c r="A624" s="27" t="n">
        <x:v>120</x:v>
      </x:c>
      <x:c r="B624" s="27" t="n">
        <x:v>331024</x:v>
      </x:c>
      <x:c r="C624" s="27" t="str">
        <x:v>A1</x:v>
      </x:c>
      <x:c r="D624" s="52" t="n">
        <x:v>2414.0689634966816</x:v>
      </x:c>
      <x:c r="E624" s="46" t="n">
        <x:v>0.9656275853986727</x:v>
      </x:c>
      <x:c r="F624" s="46" t="n">
        <x:v>0.6855974397069449</x:v>
      </x:c>
      <x:c r="G624" s="46" t="n">
        <x:v>1</x:v>
      </x:c>
      <x:c r="H624" s="46" t="n">
        <x:v>1</x:v>
      </x:c>
      <x:c r="I624" s="46" t="n">
        <x:v>1</x:v>
      </x:c>
      <x:c r="J624" s="46" t="n">
        <x:v>1</x:v>
      </x:c>
      <x:c r="K624" s="46" t="n">
        <x:v>1</x:v>
      </x:c>
      <x:c r="L624" s="46" t="n">
        <x:v>0.957555462939816</x:v>
      </x:c>
      <x:c r="M624" s="27" t="n">
        <x:v>0</x:v>
      </x:c>
    </x:row>
    <x:row r="625" ht="15" hidden="0" customHeight="1">
      <x:c r="A625" s="29" t="n">
        <x:v>121</x:v>
      </x:c>
      <x:c r="B625" s="29" t="n">
        <x:v>331025</x:v>
      </x:c>
      <x:c r="C625" s="29" t="str">
        <x:v>A1</x:v>
      </x:c>
      <x:c r="D625" s="53" t="n">
        <x:v>2397.2374772132202</x:v>
      </x:c>
      <x:c r="E625" s="47" t="n">
        <x:v>0.9588949908852881</x:v>
      </x:c>
      <x:c r="F625" s="47" t="n">
        <x:v>0.6467751982190972</x:v>
      </x:c>
      <x:c r="G625" s="47" t="n">
        <x:v>1</x:v>
      </x:c>
      <x:c r="H625" s="47" t="n">
        <x:v>1</x:v>
      </x:c>
      <x:c r="I625" s="47" t="n">
        <x:v>1</x:v>
      </x:c>
      <x:c r="J625" s="47" t="n">
        <x:v>1</x:v>
      </x:c>
      <x:c r="K625" s="47" t="n">
        <x:v>1</x:v>
      </x:c>
      <x:c r="L625" s="47" t="n">
        <x:v>0.9492417654399753</x:v>
      </x:c>
      <x:c r="M625" s="29" t="n">
        <x:v>0</x:v>
      </x:c>
    </x:row>
    <x:row r="626" ht="15" hidden="0" customHeight="1">
      <x:c r="A626" s="27" t="n">
        <x:v>122</x:v>
      </x:c>
      <x:c r="B626" s="27" t="n">
        <x:v>331026</x:v>
      </x:c>
      <x:c r="C626" s="27" t="str">
        <x:v>A1</x:v>
      </x:c>
      <x:c r="D626" s="52" t="n">
        <x:v>2422.1033743703724</x:v>
      </x:c>
      <x:c r="E626" s="46" t="n">
        <x:v>0.968841349748149</x:v>
      </x:c>
      <x:c r="F626" s="46" t="n">
        <x:v>0.7529609357007903</x:v>
      </x:c>
      <x:c r="G626" s="46" t="n">
        <x:v>1</x:v>
      </x:c>
      <x:c r="H626" s="46" t="n">
        <x:v>1</x:v>
      </x:c>
      <x:c r="I626" s="46" t="n">
        <x:v>1</x:v>
      </x:c>
      <x:c r="J626" s="46" t="n">
        <x:v>1</x:v>
      </x:c>
      <x:c r="K626" s="46" t="n">
        <x:v>1</x:v>
      </x:c>
      <x:c r="L626" s="46" t="n">
        <x:v>0.9615239574903496</x:v>
      </x:c>
      <x:c r="M626" s="27" t="n">
        <x:v>0</x:v>
      </x:c>
    </x:row>
    <x:row r="627" ht="15" hidden="0" customHeight="1">
      <x:c r="A627" s="29" t="n">
        <x:v>123</x:v>
      </x:c>
      <x:c r="B627" s="29" t="n">
        <x:v>331027</x:v>
      </x:c>
      <x:c r="C627" s="29" t="str">
        <x:v>A1</x:v>
      </x:c>
      <x:c r="D627" s="53" t="n">
        <x:v>2422.9039894694292</x:v>
      </x:c>
      <x:c r="E627" s="47" t="n">
        <x:v>0.9691615957877717</x:v>
      </x:c>
      <x:c r="F627" s="47" t="n">
        <x:v>0.7204730104876265</x:v>
      </x:c>
      <x:c r="G627" s="47" t="n">
        <x:v>1</x:v>
      </x:c>
      <x:c r="H627" s="47" t="n">
        <x:v>1</x:v>
      </x:c>
      <x:c r="I627" s="47" t="n">
        <x:v>1</x:v>
      </x:c>
      <x:c r="J627" s="47" t="n">
        <x:v>1</x:v>
      </x:c>
      <x:c r="K627" s="47" t="n">
        <x:v>1</x:v>
      </x:c>
      <x:c r="L627" s="47" t="n">
        <x:v>0.9619194110845996</x:v>
      </x:c>
      <x:c r="M627" s="29" t="n">
        <x:v>0</x:v>
      </x:c>
    </x:row>
    <x:row r="628" ht="15" hidden="0" customHeight="1">
      <x:c r="A628" s="27" t="n">
        <x:v>124</x:v>
      </x:c>
      <x:c r="B628" s="27" t="n">
        <x:v>331028</x:v>
      </x:c>
      <x:c r="C628" s="27" t="str">
        <x:v>A1</x:v>
      </x:c>
      <x:c r="D628" s="52" t="n">
        <x:v>2453.481474431253</x:v>
      </x:c>
      <x:c r="E628" s="46" t="n">
        <x:v>0.9813925897725012</x:v>
      </x:c>
      <x:c r="F628" s="46" t="n">
        <x:v>0.813925897725012</x:v>
      </x:c>
      <x:c r="G628" s="46" t="n">
        <x:v>1</x:v>
      </x:c>
      <x:c r="H628" s="46" t="n">
        <x:v>1</x:v>
      </x:c>
      <x:c r="I628" s="46" t="n">
        <x:v>1</x:v>
      </x:c>
      <x:c r="J628" s="46" t="n">
        <x:v>1</x:v>
      </x:c>
      <x:c r="K628" s="46" t="n">
        <x:v>1</x:v>
      </x:c>
      <x:c r="L628" s="46" t="n">
        <x:v>0.9770227689222445</x:v>
      </x:c>
      <x:c r="M628" s="27" t="n">
        <x:v>0</x:v>
      </x:c>
    </x:row>
    <x:row r="629" ht="15" hidden="0" customHeight="1">
      <x:c r="A629" s="29" t="n">
        <x:v>125</x:v>
      </x:c>
      <x:c r="B629" s="29" t="n">
        <x:v>331029</x:v>
      </x:c>
      <x:c r="C629" s="29" t="str">
        <x:v>A1</x:v>
      </x:c>
      <x:c r="D629" s="53" t="n">
        <x:v>2500</x:v>
      </x:c>
      <x:c r="E629" s="47" t="n">
        <x:v>1</x:v>
      </x:c>
      <x:c r="F629" s="47" t="n">
        <x:v>0.9999999999999998</x:v>
      </x:c>
      <x:c r="G629" s="47" t="n">
        <x:v>1</x:v>
      </x:c>
      <x:c r="H629" s="47" t="n">
        <x:v>1</x:v>
      </x:c>
      <x:c r="I629" s="47" t="n">
        <x:v>1</x:v>
      </x:c>
      <x:c r="J629" s="47" t="n">
        <x:v>1</x:v>
      </x:c>
      <x:c r="K629" s="47" t="n">
        <x:v>1</x:v>
      </x:c>
      <x:c r="L629" s="47" t="n">
        <x:v>1</x:v>
      </x:c>
      <x:c r="M629" s="29" t="n">
        <x:v>1</x:v>
      </x:c>
    </x:row>
    <x:row r="630" ht="15" hidden="0" customHeight="1">
      <x:c r="A630" s="27" t="n">
        <x:v>126</x:v>
      </x:c>
      <x:c r="B630" s="27" t="n">
        <x:v>331030</x:v>
      </x:c>
      <x:c r="C630" s="27" t="str">
        <x:v>A1</x:v>
      </x:c>
      <x:c r="D630" s="52" t="n">
        <x:v>2461.0794688090846</x:v>
      </x:c>
      <x:c r="E630" s="46" t="n">
        <x:v>0.9844317875236338</x:v>
      </x:c>
      <x:c r="F630" s="46" t="n">
        <x:v>0.8443178752363372</x:v>
      </x:c>
      <x:c r="G630" s="46" t="n">
        <x:v>1</x:v>
      </x:c>
      <x:c r="H630" s="46" t="n">
        <x:v>1</x:v>
      </x:c>
      <x:c r="I630" s="46" t="n">
        <x:v>1</x:v>
      </x:c>
      <x:c r="J630" s="46" t="n">
        <x:v>1</x:v>
      </x:c>
      <x:c r="K630" s="46" t="n">
        <x:v>1</x:v>
      </x:c>
      <x:c r="L630" s="46" t="n">
        <x:v>0.9807757011231782</x:v>
      </x:c>
      <x:c r="M630" s="27" t="n">
        <x:v>0</x:v>
      </x:c>
    </x:row>
    <x:row r="631" ht="15" hidden="0" customHeight="1">
      <x:c r="A631" s="29" t="n">
        <x:v>127</x:v>
      </x:c>
      <x:c r="B631" s="29" t="n">
        <x:v>331031</x:v>
      </x:c>
      <x:c r="C631" s="29" t="str">
        <x:v>A1</x:v>
      </x:c>
      <x:c r="D631" s="53" t="n">
        <x:v>2391.9440663558744</x:v>
      </x:c>
      <x:c r="E631" s="47" t="n">
        <x:v>0.9567776265423498</x:v>
      </x:c>
      <x:c r="F631" s="47" t="n">
        <x:v>0.7320786406632395</x:v>
      </x:c>
      <x:c r="G631" s="47" t="n">
        <x:v>1</x:v>
      </x:c>
      <x:c r="H631" s="47" t="n">
        <x:v>1</x:v>
      </x:c>
      <x:c r="I631" s="47" t="n">
        <x:v>1</x:v>
      </x:c>
      <x:c r="J631" s="47" t="n">
        <x:v>1</x:v>
      </x:c>
      <x:c r="K631" s="47" t="n">
        <x:v>1</x:v>
      </x:c>
      <x:c r="L631" s="47" t="n">
        <x:v>0.9466271528104544</x:v>
      </x:c>
      <x:c r="M631" s="29" t="n">
        <x:v>0</x:v>
      </x:c>
    </x:row>
    <x:row r="632" ht="15" hidden="0" customHeight="1">
      <x:c r="A632" s="27" t="n">
        <x:v>128</x:v>
      </x:c>
      <x:c r="B632" s="27" t="n">
        <x:v>331032</x:v>
      </x:c>
      <x:c r="C632" s="27" t="str">
        <x:v>A1</x:v>
      </x:c>
      <x:c r="D632" s="52" t="n">
        <x:v>2443.359334253657</x:v>
      </x:c>
      <x:c r="E632" s="46" t="n">
        <x:v>0.9773437337014628</x:v>
      </x:c>
      <x:c r="F632" s="46" t="n">
        <x:v>0.8063483754544923</x:v>
      </x:c>
      <x:c r="G632" s="46" t="n">
        <x:v>1</x:v>
      </x:c>
      <x:c r="H632" s="46" t="n">
        <x:v>1</x:v>
      </x:c>
      <x:c r="I632" s="46" t="n">
        <x:v>1</x:v>
      </x:c>
      <x:c r="J632" s="46" t="n">
        <x:v>1</x:v>
      </x:c>
      <x:c r="K632" s="46" t="n">
        <x:v>1</x:v>
      </x:c>
      <x:c r="L632" s="46" t="n">
        <x:v>0.9720230671686206</x:v>
      </x:c>
      <x:c r="M632" s="27" t="n">
        <x:v>0</x:v>
      </x:c>
    </x:row>
    <x:row r="633" ht="15" hidden="0" customHeight="1">
      <x:c r="A633" s="29" t="n">
        <x:v>129</x:v>
      </x:c>
      <x:c r="B633" s="29" t="n">
        <x:v>331033</x:v>
      </x:c>
      <x:c r="C633" s="29" t="str">
        <x:v>A1</x:v>
      </x:c>
      <x:c r="D633" s="53" t="n">
        <x:v>2440.477285260542</x:v>
      </x:c>
      <x:c r="E633" s="47" t="n">
        <x:v>0.9761909141042168</x:v>
      </x:c>
      <x:c r="F633" s="47" t="n">
        <x:v>0.7802319956894221</x:v>
      </x:c>
      <x:c r="G633" s="47" t="n">
        <x:v>1</x:v>
      </x:c>
      <x:c r="H633" s="47" t="n">
        <x:v>1</x:v>
      </x:c>
      <x:c r="I633" s="47" t="n">
        <x:v>1</x:v>
      </x:c>
      <x:c r="J633" s="47" t="n">
        <x:v>1</x:v>
      </x:c>
      <x:c r="K633" s="47" t="n">
        <x:v>1</x:v>
      </x:c>
      <x:c r="L633" s="47" t="n">
        <x:v>0.9705995159085027</x:v>
      </x:c>
      <x:c r="M633" s="29" t="n">
        <x:v>0</x:v>
      </x:c>
    </x:row>
    <x:row r="634" ht="15" hidden="0" customHeight="1">
      <x:c r="A634" s="27" t="n">
        <x:v>130</x:v>
      </x:c>
      <x:c r="B634" s="27" t="n">
        <x:v>331034</x:v>
      </x:c>
      <x:c r="C634" s="27" t="str">
        <x:v>A1</x:v>
      </x:c>
      <x:c r="D634" s="52" t="n">
        <x:v>2436.4712230203704</x:v>
      </x:c>
      <x:c r="E634" s="46" t="n">
        <x:v>0.9745884892081481</x:v>
      </x:c>
      <x:c r="F634" s="46" t="n">
        <x:v>0.7843526554159793</x:v>
      </x:c>
      <x:c r="G634" s="46" t="n">
        <x:v>1</x:v>
      </x:c>
      <x:c r="H634" s="46" t="n">
        <x:v>1</x:v>
      </x:c>
      <x:c r="I634" s="46" t="n">
        <x:v>1</x:v>
      </x:c>
      <x:c r="J634" s="46" t="n">
        <x:v>1</x:v>
      </x:c>
      <x:c r="K634" s="46" t="n">
        <x:v>1</x:v>
      </x:c>
      <x:c r="L634" s="46" t="n">
        <x:v>0.9686207726727941</x:v>
      </x:c>
      <x:c r="M634" s="27" t="n">
        <x:v>0</x:v>
      </x:c>
    </x:row>
    <x:row r="635" ht="15" hidden="0" customHeight="1">
      <x:c r="A635" s="29" t="n">
        <x:v>131</x:v>
      </x:c>
      <x:c r="B635" s="29" t="n">
        <x:v>331035</x:v>
      </x:c>
      <x:c r="C635" s="29" t="str">
        <x:v>A1</x:v>
      </x:c>
      <x:c r="D635" s="53" t="n">
        <x:v>2427.820685779179</x:v>
      </x:c>
      <x:c r="E635" s="47" t="n">
        <x:v>0.9711282743116715</x:v>
      </x:c>
      <x:c r="F635" s="47" t="n">
        <x:v>0.7126236000278986</x:v>
      </x:c>
      <x:c r="G635" s="47" t="n">
        <x:v>1</x:v>
      </x:c>
      <x:c r="H635" s="47" t="n">
        <x:v>1</x:v>
      </x:c>
      <x:c r="I635" s="47" t="n">
        <x:v>1</x:v>
      </x:c>
      <x:c r="J635" s="47" t="n">
        <x:v>1</x:v>
      </x:c>
      <x:c r="K635" s="47" t="n">
        <x:v>1</x:v>
      </x:c>
      <x:c r="L635" s="47" t="n">
        <x:v>0.9643479503787202</x:v>
      </x:c>
      <x:c r="M635" s="29" t="n">
        <x:v>0</x:v>
      </x:c>
    </x:row>
    <x:row r="636" ht="15" hidden="0" customHeight="1">
      <x:c r="A636" s="27" t="n">
        <x:v>132</x:v>
      </x:c>
      <x:c r="B636" s="27" t="n">
        <x:v>331036</x:v>
      </x:c>
      <x:c r="C636" s="27" t="str">
        <x:v>A1</x:v>
      </x:c>
      <x:c r="D636" s="52" t="n">
        <x:v>2434.2443181100707</x:v>
      </x:c>
      <x:c r="E636" s="46" t="n">
        <x:v>0.9736977272440283</x:v>
      </x:c>
      <x:c r="F636" s="46" t="n">
        <x:v>0.7369772724402817</x:v>
      </x:c>
      <x:c r="G636" s="46" t="n">
        <x:v>1</x:v>
      </x:c>
      <x:c r="H636" s="46" t="n">
        <x:v>1</x:v>
      </x:c>
      <x:c r="I636" s="46" t="n">
        <x:v>1</x:v>
      </x:c>
      <x:c r="J636" s="46" t="n">
        <x:v>1</x:v>
      </x:c>
      <x:c r="K636" s="46" t="n">
        <x:v>1</x:v>
      </x:c>
      <x:c r="L636" s="46" t="n">
        <x:v>0.9675208214579489</x:v>
      </x:c>
      <x:c r="M636" s="27" t="n">
        <x:v>0</x:v>
      </x:c>
    </x:row>
    <x:row r="637" ht="15" hidden="0" customHeight="1">
      <x:c r="A637" s="29" t="n">
        <x:v>133</x:v>
      </x:c>
      <x:c r="B637" s="29" t="n">
        <x:v>331037</x:v>
      </x:c>
      <x:c r="C637" s="29" t="str">
        <x:v>A1</x:v>
      </x:c>
      <x:c r="D637" s="53" t="n">
        <x:v>2406.7438976633266</x:v>
      </x:c>
      <x:c r="E637" s="47" t="n">
        <x:v>0.9626975590653306</x:v>
      </x:c>
      <x:c r="F637" s="47" t="n">
        <x:v>0.6875209537870268</x:v>
      </x:c>
      <x:c r="G637" s="47" t="n">
        <x:v>1</x:v>
      </x:c>
      <x:c r="H637" s="47" t="n">
        <x:v>1</x:v>
      </x:c>
      <x:c r="I637" s="47" t="n">
        <x:v>1</x:v>
      </x:c>
      <x:c r="J637" s="47" t="n">
        <x:v>1.0000000000000002</x:v>
      </x:c>
      <x:c r="K637" s="47" t="n">
        <x:v>1</x:v>
      </x:c>
      <x:c r="L637" s="47" t="n">
        <x:v>0.9539373403046942</x:v>
      </x:c>
      <x:c r="M637" s="29" t="n">
        <x:v>0</x:v>
      </x:c>
    </x:row>
    <x:row r="638" ht="15" hidden="0" customHeight="1">
      <x:c r="A638" s="27" t="n">
        <x:v>134</x:v>
      </x:c>
      <x:c r="B638" s="27" t="n">
        <x:v>331038</x:v>
      </x:c>
      <x:c r="C638" s="27" t="str">
        <x:v>A1</x:v>
      </x:c>
      <x:c r="D638" s="52" t="n">
        <x:v>2450.233307566529</x:v>
      </x:c>
      <x:c r="E638" s="46" t="n">
        <x:v>0.9800933230266117</x:v>
      </x:c>
      <x:c r="F638" s="46" t="n">
        <x:v>0.8695127109208862</x:v>
      </x:c>
      <x:c r="G638" s="46" t="n">
        <x:v>1</x:v>
      </x:c>
      <x:c r="H638" s="46" t="n">
        <x:v>1</x:v>
      </x:c>
      <x:c r="I638" s="46" t="n">
        <x:v>1</x:v>
      </x:c>
      <x:c r="J638" s="46" t="n">
        <x:v>1</x:v>
      </x:c>
      <x:c r="K638" s="46" t="n">
        <x:v>1</x:v>
      </x:c>
      <x:c r="L638" s="46" t="n">
        <x:v>0.9754183784193776</x:v>
      </x:c>
      <x:c r="M638" s="27" t="n">
        <x:v>0</x:v>
      </x:c>
    </x:row>
    <x:row r="639" ht="15" hidden="0" customHeight="1">
      <x:c r="A639" s="29" t="n">
        <x:v>135</x:v>
      </x:c>
      <x:c r="B639" s="29" t="n">
        <x:v>331039</x:v>
      </x:c>
      <x:c r="C639" s="29" t="str">
        <x:v>A1</x:v>
      </x:c>
      <x:c r="D639" s="53" t="n">
        <x:v>2449.3422399478577</x:v>
      </x:c>
      <x:c r="E639" s="47" t="n">
        <x:v>0.979736895979143</x:v>
      </x:c>
      <x:c r="F639" s="47" t="n">
        <x:v>0.7973689597914309</x:v>
      </x:c>
      <x:c r="G639" s="47" t="n">
        <x:v>1</x:v>
      </x:c>
      <x:c r="H639" s="47" t="n">
        <x:v>1</x:v>
      </x:c>
      <x:c r="I639" s="47" t="n">
        <x:v>1</x:v>
      </x:c>
      <x:c r="J639" s="47" t="n">
        <x:v>1</x:v>
      </x:c>
      <x:c r="K639" s="47" t="n">
        <x:v>1</x:v>
      </x:c>
      <x:c r="L639" s="47" t="n">
        <x:v>0.9749782469592808</x:v>
      </x:c>
      <x:c r="M639" s="29" t="n">
        <x:v>0</x:v>
      </x:c>
    </x:row>
    <x:row r="640" ht="15" hidden="0" customHeight="1">
      <x:c r="A640" s="27" t="n">
        <x:v>136</x:v>
      </x:c>
      <x:c r="B640" s="27" t="n">
        <x:v>331040</x:v>
      </x:c>
      <x:c r="C640" s="27" t="str">
        <x:v>A1</x:v>
      </x:c>
      <x:c r="D640" s="52" t="n">
        <x:v>2421.666194488622</x:v>
      </x:c>
      <x:c r="E640" s="46" t="n">
        <x:v>0.9686664777954488</x:v>
      </x:c>
      <x:c r="F640" s="46" t="n">
        <x:v>0.741772768206416</x:v>
      </x:c>
      <x:c r="G640" s="46" t="n">
        <x:v>1</x:v>
      </x:c>
      <x:c r="H640" s="46" t="n">
        <x:v>1</x:v>
      </x:c>
      <x:c r="I640" s="46" t="n">
        <x:v>1</x:v>
      </x:c>
      <x:c r="J640" s="46" t="n">
        <x:v>1</x:v>
      </x:c>
      <x:c r="K640" s="46" t="n">
        <x:v>1</x:v>
      </x:c>
      <x:c r="L640" s="46" t="n">
        <x:v>0.961308018076047</x:v>
      </x:c>
      <x:c r="M640" s="27" t="n">
        <x:v>0</x:v>
      </x:c>
    </x:row>
    <x:row r="641" ht="15" hidden="0" customHeight="1">
      <x:c r="A641" s="29" t="n">
        <x:v>137</x:v>
      </x:c>
      <x:c r="B641" s="29" t="n">
        <x:v>331041</x:v>
      </x:c>
      <x:c r="C641" s="29" t="str">
        <x:v>A1</x:v>
      </x:c>
      <x:c r="D641" s="53" t="n">
        <x:v>2475.1100207578816</x:v>
      </x:c>
      <x:c r="E641" s="47" t="n">
        <x:v>0.9900440083031526</x:v>
      </x:c>
      <x:c r="F641" s="47" t="n">
        <x:v>0.9004400830315251</x:v>
      </x:c>
      <x:c r="G641" s="47" t="n">
        <x:v>1</x:v>
      </x:c>
      <x:c r="H641" s="47" t="n">
        <x:v>1</x:v>
      </x:c>
      <x:c r="I641" s="47" t="n">
        <x:v>1</x:v>
      </x:c>
      <x:c r="J641" s="47" t="n">
        <x:v>1</x:v>
      </x:c>
      <x:c r="K641" s="47" t="n">
        <x:v>1</x:v>
      </x:c>
      <x:c r="L641" s="47" t="n">
        <x:v>0.9877059129115879</x:v>
      </x:c>
      <x:c r="M641" s="29" t="n">
        <x:v>0</x:v>
      </x:c>
    </x:row>
    <x:row r="642" ht="15" hidden="0" customHeight="1">
      <x:c r="A642" s="27" t="n">
        <x:v>138</x:v>
      </x:c>
      <x:c r="B642" s="27" t="n">
        <x:v>331042</x:v>
      </x:c>
      <x:c r="C642" s="27" t="str">
        <x:v>A1</x:v>
      </x:c>
      <x:c r="D642" s="52" t="n">
        <x:v>2438.046151354682</x:v>
      </x:c>
      <x:c r="E642" s="46" t="n">
        <x:v>0.9752184605418728</x:v>
      </x:c>
      <x:c r="F642" s="46" t="n">
        <x:v>0.7991845012679016</x:v>
      </x:c>
      <x:c r="G642" s="46" t="n">
        <x:v>1</x:v>
      </x:c>
      <x:c r="H642" s="46" t="n">
        <x:v>1</x:v>
      </x:c>
      <x:c r="I642" s="46" t="n">
        <x:v>1</x:v>
      </x:c>
      <x:c r="J642" s="46" t="n">
        <x:v>1</x:v>
      </x:c>
      <x:c r="K642" s="46" t="n">
        <x:v>1</x:v>
      </x:c>
      <x:c r="L642" s="46" t="n">
        <x:v>0.9693986883918747</x:v>
      </x:c>
      <x:c r="M642" s="27" t="n">
        <x:v>0</x:v>
      </x:c>
    </x:row>
    <x:row r="643" ht="15" hidden="0" customHeight="1">
      <x:c r="A643" s="29" t="n">
        <x:v>139</x:v>
      </x:c>
      <x:c r="B643" s="29" t="n">
        <x:v>331043</x:v>
      </x:c>
      <x:c r="C643" s="29" t="str">
        <x:v>A1</x:v>
      </x:c>
      <x:c r="D643" s="53" t="n">
        <x:v>2460.1159436934895</x:v>
      </x:c>
      <x:c r="E643" s="47" t="n">
        <x:v>0.9840463774773958</x:v>
      </x:c>
      <x:c r="F643" s="47" t="n">
        <x:v>0.8408239868464793</x:v>
      </x:c>
      <x:c r="G643" s="47" t="n">
        <x:v>1</x:v>
      </x:c>
      <x:c r="H643" s="47" t="n">
        <x:v>1</x:v>
      </x:c>
      <x:c r="I643" s="47" t="n">
        <x:v>1</x:v>
      </x:c>
      <x:c r="J643" s="47" t="n">
        <x:v>1</x:v>
      </x:c>
      <x:c r="K643" s="47" t="n">
        <x:v>1</x:v>
      </x:c>
      <x:c r="L643" s="47" t="n">
        <x:v>0.9802997802086704</x:v>
      </x:c>
      <x:c r="M643" s="29" t="n">
        <x:v>0</x:v>
      </x:c>
    </x:row>
    <x:row r="644" ht="15" hidden="0" customHeight="1">
      <x:c r="A644" s="27" t="n">
        <x:v>140</x:v>
      </x:c>
      <x:c r="B644" s="27" t="n">
        <x:v>331044</x:v>
      </x:c>
      <x:c r="C644" s="27" t="str">
        <x:v>A1</x:v>
      </x:c>
      <x:c r="D644" s="52" t="n">
        <x:v>2409.2510194893625</x:v>
      </x:c>
      <x:c r="E644" s="46" t="n">
        <x:v>0.9637004077957451</x:v>
      </x:c>
      <x:c r="F644" s="46" t="n">
        <x:v>0.6370040779574494</x:v>
      </x:c>
      <x:c r="G644" s="46" t="n">
        <x:v>1</x:v>
      </x:c>
      <x:c r="H644" s="46" t="n">
        <x:v>1</x:v>
      </x:c>
      <x:c r="I644" s="46" t="n">
        <x:v>1</x:v>
      </x:c>
      <x:c r="J644" s="46" t="n">
        <x:v>1</x:v>
      </x:c>
      <x:c r="K644" s="46" t="n">
        <x:v>1</x:v>
      </x:c>
      <x:c r="L644" s="46" t="n">
        <x:v>0.9551757010831713</x:v>
      </x:c>
      <x:c r="M644" s="27" t="n">
        <x:v>0</x:v>
      </x:c>
    </x:row>
    <x:row r="645" ht="15" hidden="0" customHeight="1">
      <x:c r="A645" s="29" t="n">
        <x:v>141</x:v>
      </x:c>
      <x:c r="B645" s="29" t="n">
        <x:v>331045</x:v>
      </x:c>
      <x:c r="C645" s="29" t="str">
        <x:v>A1</x:v>
      </x:c>
      <x:c r="D645" s="53" t="n">
        <x:v>2471.2177844672897</x:v>
      </x:c>
      <x:c r="E645" s="47" t="n">
        <x:v>0.9884871137869159</x:v>
      </x:c>
      <x:c r="F645" s="47" t="n">
        <x:v>0.8848711378691585</x:v>
      </x:c>
      <x:c r="G645" s="47" t="n">
        <x:v>1</x:v>
      </x:c>
      <x:c r="H645" s="47" t="n">
        <x:v>1</x:v>
      </x:c>
      <x:c r="I645" s="47" t="n">
        <x:v>1</x:v>
      </x:c>
      <x:c r="J645" s="47" t="n">
        <x:v>1</x:v>
      </x:c>
      <x:c r="K645" s="47" t="n">
        <x:v>1</x:v>
      </x:c>
      <x:c r="L645" s="47" t="n">
        <x:v>0.9857833925486847</x:v>
      </x:c>
      <x:c r="M645" s="29" t="n">
        <x:v>0</x:v>
      </x:c>
    </x:row>
    <x:row r="646" ht="15" hidden="0" customHeight="1">
      <x:c r="A646" s="27" t="n">
        <x:v>142</x:v>
      </x:c>
      <x:c r="B646" s="27" t="n">
        <x:v>331046</x:v>
      </x:c>
      <x:c r="C646" s="27" t="str">
        <x:v>A1</x:v>
      </x:c>
      <x:c r="D646" s="52" t="n">
        <x:v>2500</x:v>
      </x:c>
      <x:c r="E646" s="46" t="n">
        <x:v>1</x:v>
      </x:c>
      <x:c r="F646" s="46" t="n">
        <x:v>1</x:v>
      </x:c>
      <x:c r="G646" s="46" t="n">
        <x:v>1</x:v>
      </x:c>
      <x:c r="H646" s="46" t="n">
        <x:v>1</x:v>
      </x:c>
      <x:c r="I646" s="46" t="n">
        <x:v>1</x:v>
      </x:c>
      <x:c r="J646" s="46" t="n">
        <x:v>1</x:v>
      </x:c>
      <x:c r="K646" s="46" t="n">
        <x:v>1</x:v>
      </x:c>
      <x:c r="L646" s="46" t="n">
        <x:v>1</x:v>
      </x:c>
      <x:c r="M646" s="27" t="n">
        <x:v>1</x:v>
      </x:c>
    </x:row>
    <x:row r="647" ht="15" hidden="0" customHeight="1">
      <x:c r="A647" s="29" t="n">
        <x:v>143</x:v>
      </x:c>
      <x:c r="B647" s="29" t="n">
        <x:v>331047</x:v>
      </x:c>
      <x:c r="C647" s="29" t="str">
        <x:v>A1</x:v>
      </x:c>
      <x:c r="D647" s="53" t="n">
        <x:v>2465.3767686762703</x:v>
      </x:c>
      <x:c r="E647" s="47" t="n">
        <x:v>0.9861507074705081</x:v>
      </x:c>
      <x:c r="F647" s="47" t="n">
        <x:v>0.861507074705082</x:v>
      </x:c>
      <x:c r="G647" s="47" t="n">
        <x:v>1</x:v>
      </x:c>
      <x:c r="H647" s="47" t="n">
        <x:v>1</x:v>
      </x:c>
      <x:c r="I647" s="47" t="n">
        <x:v>1</x:v>
      </x:c>
      <x:c r="J647" s="47" t="n">
        <x:v>1</x:v>
      </x:c>
      <x:c r="K647" s="47" t="n">
        <x:v>1</x:v>
      </x:c>
      <x:c r="L647" s="47" t="n">
        <x:v>0.9828982974619814</x:v>
      </x:c>
      <x:c r="M647" s="29" t="n">
        <x:v>0</x:v>
      </x:c>
    </x:row>
    <x:row r="648" ht="15" hidden="0" customHeight="1">
      <x:c r="A648" s="27" t="n">
        <x:v>144</x:v>
      </x:c>
      <x:c r="B648" s="27" t="n">
        <x:v>331048</x:v>
      </x:c>
      <x:c r="C648" s="27" t="str">
        <x:v>A1</x:v>
      </x:c>
      <x:c r="D648" s="52" t="n">
        <x:v>2424.322078649333</x:v>
      </x:c>
      <x:c r="E648" s="46" t="n">
        <x:v>0.9697288314597332</x:v>
      </x:c>
      <x:c r="F648" s="46" t="n">
        <x:v>0.7642095450917509</x:v>
      </x:c>
      <x:c r="G648" s="46" t="n">
        <x:v>1</x:v>
      </x:c>
      <x:c r="H648" s="46" t="n">
        <x:v>1</x:v>
      </x:c>
      <x:c r="I648" s="46" t="n">
        <x:v>1</x:v>
      </x:c>
      <x:c r="J648" s="46" t="n">
        <x:v>1</x:v>
      </x:c>
      <x:c r="K648" s="46" t="n">
        <x:v>1</x:v>
      </x:c>
      <x:c r="L648" s="46" t="n">
        <x:v>0.9626198581081699</x:v>
      </x:c>
      <x:c r="M648" s="27" t="n">
        <x:v>0</x:v>
      </x:c>
    </x:row>
    <x:row r="649" ht="15" hidden="0" customHeight="1">
      <x:c r="A649" s="29" t="n">
        <x:v>145</x:v>
      </x:c>
      <x:c r="B649" s="29" t="n">
        <x:v>331049</x:v>
      </x:c>
      <x:c r="C649" s="29" t="str">
        <x:v>A1</x:v>
      </x:c>
      <x:c r="D649" s="53" t="n">
        <x:v>2391.368107096115</x:v>
      </x:c>
      <x:c r="E649" s="47" t="n">
        <x:v>0.956547242838446</x:v>
      </x:c>
      <x:c r="F649" s="47" t="n">
        <x:v>0.6714879410339263</x:v>
      </x:c>
      <x:c r="G649" s="47" t="n">
        <x:v>1</x:v>
      </x:c>
      <x:c r="H649" s="47" t="n">
        <x:v>1</x:v>
      </x:c>
      <x:c r="I649" s="47" t="n">
        <x:v>1</x:v>
      </x:c>
      <x:c r="J649" s="47" t="n">
        <x:v>1</x:v>
      </x:c>
      <x:c r="K649" s="47" t="n">
        <x:v>1</x:v>
      </x:c>
      <x:c r="L649" s="47" t="n">
        <x:v>0.9463426650963435</x:v>
      </x:c>
      <x:c r="M649" s="29" t="n">
        <x:v>0</x:v>
      </x:c>
    </x:row>
    <x:row r="650" ht="15" hidden="0" customHeight="1">
      <x:c r="A650" s="27" t="n">
        <x:v>146</x:v>
      </x:c>
      <x:c r="B650" s="27" t="n">
        <x:v>331050</x:v>
      </x:c>
      <x:c r="C650" s="27" t="str">
        <x:v>A1</x:v>
      </x:c>
      <x:c r="D650" s="52" t="n">
        <x:v>2447.5254416599955</x:v>
      </x:c>
      <x:c r="E650" s="46" t="n">
        <x:v>0.9790101766639983</x:v>
      </x:c>
      <x:c r="F650" s="46" t="n">
        <x:v>0.815345302300116</x:v>
      </x:c>
      <x:c r="G650" s="46" t="n">
        <x:v>1</x:v>
      </x:c>
      <x:c r="H650" s="46" t="n">
        <x:v>1</x:v>
      </x:c>
      <x:c r="I650" s="46" t="n">
        <x:v>1</x:v>
      </x:c>
      <x:c r="J650" s="46" t="n">
        <x:v>1</x:v>
      </x:c>
      <x:c r="K650" s="46" t="n">
        <x:v>1</x:v>
      </x:c>
      <x:c r="L650" s="46" t="n">
        <x:v>0.9740808626683666</x:v>
      </x:c>
      <x:c r="M650" s="27" t="n">
        <x:v>0</x:v>
      </x:c>
    </x:row>
    <x:row r="651" ht="15" hidden="0" customHeight="1">
      <x:c r="A651" s="29" t="n">
        <x:v>147</x:v>
      </x:c>
      <x:c r="B651" s="29" t="n">
        <x:v>331051</x:v>
      </x:c>
      <x:c r="C651" s="29" t="str">
        <x:v>A1</x:v>
      </x:c>
      <x:c r="D651" s="53" t="n">
        <x:v>2456.6070968426357</x:v>
      </x:c>
      <x:c r="E651" s="47" t="n">
        <x:v>0.9826428387370543</x:v>
      </x:c>
      <x:c r="F651" s="47" t="n">
        <x:v>0.826428387370543</x:v>
      </x:c>
      <x:c r="G651" s="47" t="n">
        <x:v>1</x:v>
      </x:c>
      <x:c r="H651" s="47" t="n">
        <x:v>1</x:v>
      </x:c>
      <x:c r="I651" s="47" t="n">
        <x:v>1</x:v>
      </x:c>
      <x:c r="J651" s="47" t="n">
        <x:v>1</x:v>
      </x:c>
      <x:c r="K651" s="47" t="n">
        <x:v>1</x:v>
      </x:c>
      <x:c r="L651" s="47" t="n">
        <x:v>0.9785666301588182</x:v>
      </x:c>
      <x:c r="M651" s="29" t="n">
        <x:v>0</x:v>
      </x:c>
    </x:row>
    <x:row r="652" ht="15" hidden="0" customHeight="1">
      <x:c r="A652" s="27" t="n">
        <x:v>148</x:v>
      </x:c>
      <x:c r="B652" s="27" t="n">
        <x:v>331052</x:v>
      </x:c>
      <x:c r="C652" s="27" t="str">
        <x:v>A1</x:v>
      </x:c>
      <x:c r="D652" s="52" t="n">
        <x:v>2444.66465374773</x:v>
      </x:c>
      <x:c r="E652" s="46" t="n">
        <x:v>0.9778658614990919</x:v>
      </x:c>
      <x:c r="F652" s="46" t="n">
        <x:v>0.7786586149909185</x:v>
      </x:c>
      <x:c r="G652" s="46" t="n">
        <x:v>1</x:v>
      </x:c>
      <x:c r="H652" s="46" t="n">
        <x:v>1</x:v>
      </x:c>
      <x:c r="I652" s="46" t="n">
        <x:v>1</x:v>
      </x:c>
      <x:c r="J652" s="46" t="n">
        <x:v>1</x:v>
      </x:c>
      <x:c r="K652" s="46" t="n">
        <x:v>1</x:v>
      </x:c>
      <x:c r="L652" s="46" t="n">
        <x:v>0.9726678130473626</x:v>
      </x:c>
      <x:c r="M652" s="27" t="n">
        <x:v>0</x:v>
      </x:c>
    </x:row>
    <x:row r="653" ht="15" hidden="0" customHeight="1">
      <x:c r="A653" s="29" t="n">
        <x:v>149</x:v>
      </x:c>
      <x:c r="B653" s="29" t="n">
        <x:v>331053</x:v>
      </x:c>
      <x:c r="C653" s="29" t="str">
        <x:v>A1</x:v>
      </x:c>
      <x:c r="D653" s="53" t="n">
        <x:v>2461.2093492817185</x:v>
      </x:c>
      <x:c r="E653" s="47" t="n">
        <x:v>0.9844837397126874</x:v>
      </x:c>
      <x:c r="F653" s="47" t="n">
        <x:v>0.8448373971268741</x:v>
      </x:c>
      <x:c r="G653" s="47" t="n">
        <x:v>1</x:v>
      </x:c>
      <x:c r="H653" s="47" t="n">
        <x:v>1</x:v>
      </x:c>
      <x:c r="I653" s="47" t="n">
        <x:v>1</x:v>
      </x:c>
      <x:c r="J653" s="47" t="n">
        <x:v>1</x:v>
      </x:c>
      <x:c r="K653" s="47" t="n">
        <x:v>1</x:v>
      </x:c>
      <x:c r="L653" s="47" t="n">
        <x:v>0.980839853922428</x:v>
      </x:c>
      <x:c r="M653" s="29" t="n">
        <x:v>0</x:v>
      </x:c>
    </x:row>
    <x:row r="654" ht="15" hidden="0" customHeight="1">
      <x:c r="A654" s="27" t="n">
        <x:v>150</x:v>
      </x:c>
      <x:c r="B654" s="27" t="n">
        <x:v>331054</x:v>
      </x:c>
      <x:c r="C654" s="27" t="str">
        <x:v>A1</x:v>
      </x:c>
      <x:c r="D654" s="52" t="n">
        <x:v>2434.482213747131</x:v>
      </x:c>
      <x:c r="E654" s="46" t="n">
        <x:v>0.9737928854988525</x:v>
      </x:c>
      <x:c r="F654" s="46" t="n">
        <x:v>0.7552415807617477</x:v>
      </x:c>
      <x:c r="G654" s="46" t="n">
        <x:v>1</x:v>
      </x:c>
      <x:c r="H654" s="46" t="n">
        <x:v>1</x:v>
      </x:c>
      <x:c r="I654" s="46" t="n">
        <x:v>1</x:v>
      </x:c>
      <x:c r="J654" s="46" t="n">
        <x:v>1</x:v>
      </x:c>
      <x:c r="K654" s="46" t="n">
        <x:v>1</x:v>
      </x:c>
      <x:c r="L654" s="46" t="n">
        <x:v>0.9676383269669543</x:v>
      </x:c>
      <x:c r="M654" s="27" t="n">
        <x:v>0</x:v>
      </x:c>
    </x:row>
    <x:row r="655" ht="15" hidden="0" customHeight="1">
      <x:c r="A655" s="29" t="n">
        <x:v>151</x:v>
      </x:c>
      <x:c r="B655" s="29" t="n">
        <x:v>331055</x:v>
      </x:c>
      <x:c r="C655" s="29" t="str">
        <x:v>A1</x:v>
      </x:c>
      <x:c r="D655" s="53" t="n">
        <x:v>2446.3358677081487</x:v>
      </x:c>
      <x:c r="E655" s="47" t="n">
        <x:v>0.9785343470832595</x:v>
      </x:c>
      <x:c r="F655" s="47" t="n">
        <x:v>0.8061401211231255</x:v>
      </x:c>
      <x:c r="G655" s="47" t="n">
        <x:v>1</x:v>
      </x:c>
      <x:c r="H655" s="47" t="n">
        <x:v>1</x:v>
      </x:c>
      <x:c r="I655" s="47" t="n">
        <x:v>1</x:v>
      </x:c>
      <x:c r="J655" s="47" t="n">
        <x:v>1</x:v>
      </x:c>
      <x:c r="K655" s="47" t="n">
        <x:v>1</x:v>
      </x:c>
      <x:c r="L655" s="47" t="n">
        <x:v>0.9734932878206801</x:v>
      </x:c>
      <x:c r="M655" s="29" t="n">
        <x:v>0</x:v>
      </x:c>
    </x:row>
    <x:row r="656" ht="15" hidden="0" customHeight="1">
      <x:c r="A656" s="27" t="n">
        <x:v>152</x:v>
      </x:c>
      <x:c r="B656" s="27" t="n">
        <x:v>331056</x:v>
      </x:c>
      <x:c r="C656" s="27" t="str">
        <x:v>A1</x:v>
      </x:c>
      <x:c r="D656" s="52" t="n">
        <x:v>2392.8175183669196</x:v>
      </x:c>
      <x:c r="E656" s="46" t="n">
        <x:v>0.9571270073467678</x:v>
      </x:c>
      <x:c r="F656" s="46" t="n">
        <x:v>0.6566754198203486</x:v>
      </x:c>
      <x:c r="G656" s="46" t="n">
        <x:v>1</x:v>
      </x:c>
      <x:c r="H656" s="46" t="n">
        <x:v>1</x:v>
      </x:c>
      <x:c r="I656" s="46" t="n">
        <x:v>1</x:v>
      </x:c>
      <x:c r="J656" s="46" t="n">
        <x:v>1</x:v>
      </x:c>
      <x:c r="K656" s="46" t="n">
        <x:v>1</x:v>
      </x:c>
      <x:c r="L656" s="46" t="n">
        <x:v>0.9470585832663372</x:v>
      </x:c>
      <x:c r="M656" s="27" t="n">
        <x:v>0</x:v>
      </x:c>
    </x:row>
    <x:row r="657" ht="15" hidden="0" customHeight="1">
      <x:c r="A657" s="29" t="n">
        <x:v>153</x:v>
      </x:c>
      <x:c r="B657" s="29" t="n">
        <x:v>331057</x:v>
      </x:c>
      <x:c r="C657" s="29" t="str">
        <x:v>A1</x:v>
      </x:c>
      <x:c r="D657" s="53" t="n">
        <x:v>2455.488551826557</x:v>
      </x:c>
      <x:c r="E657" s="47" t="n">
        <x:v>0.9821954207306227</x:v>
      </x:c>
      <x:c r="F657" s="47" t="n">
        <x:v>0.8578496853701577</x:v>
      </x:c>
      <x:c r="G657" s="47" t="n">
        <x:v>1</x:v>
      </x:c>
      <x:c r="H657" s="47" t="n">
        <x:v>1</x:v>
      </x:c>
      <x:c r="I657" s="47" t="n">
        <x:v>1</x:v>
      </x:c>
      <x:c r="J657" s="47" t="n">
        <x:v>1</x:v>
      </x:c>
      <x:c r="K657" s="47" t="n">
        <x:v>1</x:v>
      </x:c>
      <x:c r="L657" s="47" t="n">
        <x:v>0.9780141391460208</x:v>
      </x:c>
      <x:c r="M657" s="29" t="n">
        <x:v>0</x:v>
      </x:c>
    </x:row>
    <x:row r="658" ht="15" hidden="0" customHeight="1">
      <x:c r="A658" s="27" t="n">
        <x:v>154</x:v>
      </x:c>
      <x:c r="B658" s="27" t="n">
        <x:v>331058</x:v>
      </x:c>
      <x:c r="C658" s="27" t="str">
        <x:v>A1</x:v>
      </x:c>
      <x:c r="D658" s="52" t="n">
        <x:v>2459.343440845076</x:v>
      </x:c>
      <x:c r="E658" s="46" t="n">
        <x:v>0.9837373763380305</x:v>
      </x:c>
      <x:c r="F658" s="46" t="n">
        <x:v>0.8373737633803034</x:v>
      </x:c>
      <x:c r="G658" s="46" t="n">
        <x:v>1</x:v>
      </x:c>
      <x:c r="H658" s="46" t="n">
        <x:v>1</x:v>
      </x:c>
      <x:c r="I658" s="46" t="n">
        <x:v>1</x:v>
      </x:c>
      <x:c r="J658" s="46" t="n">
        <x:v>1</x:v>
      </x:c>
      <x:c r="K658" s="46" t="n">
        <x:v>1</x:v>
      </x:c>
      <x:c r="L658" s="46" t="n">
        <x:v>0.9799182123012783</x:v>
      </x:c>
      <x:c r="M658" s="27" t="n">
        <x:v>0</x:v>
      </x:c>
    </x:row>
    <x:row r="659" ht="15" hidden="0" customHeight="1">
      <x:c r="A659" s="29" t="n">
        <x:v>155</x:v>
      </x:c>
      <x:c r="B659" s="29" t="n">
        <x:v>331059</x:v>
      </x:c>
      <x:c r="C659" s="29" t="str">
        <x:v>A1</x:v>
      </x:c>
      <x:c r="D659" s="53" t="n">
        <x:v>2472.711018000454</x:v>
      </x:c>
      <x:c r="E659" s="47" t="n">
        <x:v>0.9890844072001815</x:v>
      </x:c>
      <x:c r="F659" s="47" t="n">
        <x:v>0.9267024486299734</x:v>
      </x:c>
      <x:c r="G659" s="47" t="n">
        <x:v>1</x:v>
      </x:c>
      <x:c r="H659" s="47" t="n">
        <x:v>1</x:v>
      </x:c>
      <x:c r="I659" s="47" t="n">
        <x:v>1</x:v>
      </x:c>
      <x:c r="J659" s="47" t="n">
        <x:v>1</x:v>
      </x:c>
      <x:c r="K659" s="47" t="n">
        <x:v>1</x:v>
      </x:c>
      <x:c r="L659" s="47" t="n">
        <x:v>0.9865209561650089</x:v>
      </x:c>
      <x:c r="M659" s="29" t="n">
        <x:v>0</x:v>
      </x:c>
    </x:row>
    <x:row r="660" ht="15" hidden="0" customHeight="1">
      <x:c r="A660" s="27" t="n">
        <x:v>156</x:v>
      </x:c>
      <x:c r="B660" s="27" t="n">
        <x:v>331060</x:v>
      </x:c>
      <x:c r="C660" s="27" t="str">
        <x:v>A1</x:v>
      </x:c>
      <x:c r="D660" s="52" t="n">
        <x:v>2448.6388552860435</x:v>
      </x:c>
      <x:c r="E660" s="46" t="n">
        <x:v>0.9794555421144174</x:v>
      </x:c>
      <x:c r="F660" s="46" t="n">
        <x:v>0.8038323176253253</x:v>
      </x:c>
      <x:c r="G660" s="46" t="n">
        <x:v>1</x:v>
      </x:c>
      <x:c r="H660" s="46" t="n">
        <x:v>1</x:v>
      </x:c>
      <x:c r="I660" s="46" t="n">
        <x:v>1</x:v>
      </x:c>
      <x:c r="J660" s="46" t="n">
        <x:v>1</x:v>
      </x:c>
      <x:c r="K660" s="46" t="n">
        <x:v>1</x:v>
      </x:c>
      <x:c r="L660" s="46" t="n">
        <x:v>0.9746308190966506</x:v>
      </x:c>
      <x:c r="M660" s="27" t="n">
        <x:v>0</x:v>
      </x:c>
    </x:row>
    <x:row r="661" ht="15" hidden="0" customHeight="1">
      <x:c r="A661" s="29" t="n">
        <x:v>157</x:v>
      </x:c>
      <x:c r="B661" s="29" t="n">
        <x:v>331061</x:v>
      </x:c>
      <x:c r="C661" s="29" t="str">
        <x:v>A1</x:v>
      </x:c>
      <x:c r="D661" s="53" t="n">
        <x:v>2435.754108823218</x:v>
      </x:c>
      <x:c r="E661" s="47" t="n">
        <x:v>0.9743016435292872</x:v>
      </x:c>
      <x:c r="F661" s="47" t="n">
        <x:v>0.7557248356042053</x:v>
      </x:c>
      <x:c r="G661" s="47" t="n">
        <x:v>1</x:v>
      </x:c>
      <x:c r="H661" s="47" t="n">
        <x:v>1</x:v>
      </x:c>
      <x:c r="I661" s="47" t="n">
        <x:v>1</x:v>
      </x:c>
      <x:c r="J661" s="47" t="n">
        <x:v>1</x:v>
      </x:c>
      <x:c r="K661" s="47" t="n">
        <x:v>1</x:v>
      </x:c>
      <x:c r="L661" s="47" t="n">
        <x:v>0.9682665632816825</x:v>
      </x:c>
      <x:c r="M661" s="29" t="n">
        <x:v>0</x:v>
      </x:c>
    </x:row>
    <x:row r="662" ht="15" hidden="0" customHeight="1">
      <x:c r="A662" s="27" t="n">
        <x:v>158</x:v>
      </x:c>
      <x:c r="B662" s="27" t="n">
        <x:v>331062</x:v>
      </x:c>
      <x:c r="C662" s="27" t="str">
        <x:v>A1</x:v>
      </x:c>
      <x:c r="D662" s="52" t="n">
        <x:v>2411.765755355585</x:v>
      </x:c>
      <x:c r="E662" s="46" t="n">
        <x:v>0.964706302142234</x:v>
      </x:c>
      <x:c r="F662" s="46" t="n">
        <x:v>0.6470630214223395</x:v>
      </x:c>
      <x:c r="G662" s="46" t="n">
        <x:v>1</x:v>
      </x:c>
      <x:c r="H662" s="46" t="n">
        <x:v>1</x:v>
      </x:c>
      <x:c r="I662" s="46" t="n">
        <x:v>1</x:v>
      </x:c>
      <x:c r="J662" s="46" t="n">
        <x:v>1</x:v>
      </x:c>
      <x:c r="K662" s="46" t="n">
        <x:v>1</x:v>
      </x:c>
      <x:c r="L662" s="46" t="n">
        <x:v>0.9564178227194712</x:v>
      </x:c>
      <x:c r="M662" s="27" t="n">
        <x:v>0</x:v>
      </x:c>
    </x:row>
    <x:row r="663" ht="15" hidden="0" customHeight="1">
      <x:c r="A663" s="29" t="n">
        <x:v>159</x:v>
      </x:c>
      <x:c r="B663" s="29" t="n">
        <x:v>331063</x:v>
      </x:c>
      <x:c r="C663" s="29" t="str">
        <x:v>A1</x:v>
      </x:c>
      <x:c r="D663" s="53" t="n">
        <x:v>2416.6583317349773</x:v>
      </x:c>
      <x:c r="E663" s="47" t="n">
        <x:v>0.966663332693991</x:v>
      </x:c>
      <x:c r="F663" s="47" t="n">
        <x:v>0.7413776644742861</x:v>
      </x:c>
      <x:c r="G663" s="47" t="n">
        <x:v>1</x:v>
      </x:c>
      <x:c r="H663" s="47" t="n">
        <x:v>1</x:v>
      </x:c>
      <x:c r="I663" s="47" t="n">
        <x:v>1</x:v>
      </x:c>
      <x:c r="J663" s="47" t="n">
        <x:v>1</x:v>
      </x:c>
      <x:c r="K663" s="47" t="n">
        <x:v>1</x:v>
      </x:c>
      <x:c r="L663" s="47" t="n">
        <x:v>0.958834448282307</x:v>
      </x:c>
      <x:c r="M663" s="29" t="n">
        <x:v>0</x:v>
      </x:c>
    </x:row>
    <x:row r="664" ht="15" hidden="0" customHeight="1">
      <x:c r="A664" s="27" t="n">
        <x:v>160</x:v>
      </x:c>
      <x:c r="B664" s="27" t="n">
        <x:v>331064</x:v>
      </x:c>
      <x:c r="C664" s="27" t="str">
        <x:v>A1</x:v>
      </x:c>
      <x:c r="D664" s="52" t="n">
        <x:v>2417.215590638683</x:v>
      </x:c>
      <x:c r="E664" s="46" t="n">
        <x:v>0.9668862362554732</x:v>
      </x:c>
      <x:c r="F664" s="46" t="n">
        <x:v>0.6688623625547314</x:v>
      </x:c>
      <x:c r="G664" s="46" t="n">
        <x:v>1</x:v>
      </x:c>
      <x:c r="H664" s="46" t="n">
        <x:v>1</x:v>
      </x:c>
      <x:c r="I664" s="46" t="n">
        <x:v>1</x:v>
      </x:c>
      <x:c r="J664" s="46" t="n">
        <x:v>1</x:v>
      </x:c>
      <x:c r="K664" s="46" t="n">
        <x:v>1</x:v>
      </x:c>
      <x:c r="L664" s="46" t="n">
        <x:v>0.9591096991945841</x:v>
      </x:c>
      <x:c r="M664" s="27" t="n">
        <x:v>0</x:v>
      </x:c>
    </x:row>
    <x:row r="665" ht="15" hidden="0" customHeight="1">
      <x:c r="A665" s="29" t="n">
        <x:v>161</x:v>
      </x:c>
      <x:c r="B665" s="29" t="n">
        <x:v>331065</x:v>
      </x:c>
      <x:c r="C665" s="29" t="str">
        <x:v>A1</x:v>
      </x:c>
      <x:c r="D665" s="53" t="n">
        <x:v>2500</x:v>
      </x:c>
      <x:c r="E665" s="47" t="n">
        <x:v>1</x:v>
      </x:c>
      <x:c r="F665" s="47" t="n">
        <x:v>1</x:v>
      </x:c>
      <x:c r="G665" s="47" t="n">
        <x:v>1</x:v>
      </x:c>
      <x:c r="H665" s="47" t="n">
        <x:v>1</x:v>
      </x:c>
      <x:c r="I665" s="47" t="n">
        <x:v>1</x:v>
      </x:c>
      <x:c r="J665" s="47" t="n">
        <x:v>1</x:v>
      </x:c>
      <x:c r="K665" s="47" t="n">
        <x:v>1</x:v>
      </x:c>
      <x:c r="L665" s="47" t="n">
        <x:v>1</x:v>
      </x:c>
      <x:c r="M665" s="29" t="n">
        <x:v>1</x:v>
      </x:c>
    </x:row>
    <x:row r="666" ht="15" hidden="0" customHeight="1">
      <x:c r="A666" s="27" t="n">
        <x:v>162</x:v>
      </x:c>
      <x:c r="B666" s="27" t="n">
        <x:v>331066</x:v>
      </x:c>
      <x:c r="C666" s="27" t="str">
        <x:v>A1</x:v>
      </x:c>
      <x:c r="D666" s="52" t="n">
        <x:v>2410.4013180965676</x:v>
      </x:c>
      <x:c r="E666" s="46" t="n">
        <x:v>0.964160527238627</x:v>
      </x:c>
      <x:c r="F666" s="46" t="n">
        <x:v>0.7239884793276585</x:v>
      </x:c>
      <x:c r="G666" s="46" t="n">
        <x:v>1</x:v>
      </x:c>
      <x:c r="H666" s="46" t="n">
        <x:v>1</x:v>
      </x:c>
      <x:c r="I666" s="46" t="n">
        <x:v>1</x:v>
      </x:c>
      <x:c r="J666" s="46" t="n">
        <x:v>1</x:v>
      </x:c>
      <x:c r="K666" s="46" t="n">
        <x:v>1</x:v>
      </x:c>
      <x:c r="L666" s="46" t="n">
        <x:v>0.9557438763764124</x:v>
      </x:c>
      <x:c r="M666" s="27" t="n">
        <x:v>0</x:v>
      </x:c>
    </x:row>
    <x:row r="667" ht="15" hidden="0" customHeight="1">
      <x:c r="A667" s="29" t="n">
        <x:v>163</x:v>
      </x:c>
      <x:c r="B667" s="29" t="n">
        <x:v>331067</x:v>
      </x:c>
      <x:c r="C667" s="29" t="str">
        <x:v>A1</x:v>
      </x:c>
      <x:c r="D667" s="53" t="n">
        <x:v>2416.6539207345554</x:v>
      </x:c>
      <x:c r="E667" s="47" t="n">
        <x:v>0.9666615682938222</x:v>
      </x:c>
      <x:c r="F667" s="47" t="n">
        <x:v>0.7613541753715036</x:v>
      </x:c>
      <x:c r="G667" s="47" t="n">
        <x:v>1</x:v>
      </x:c>
      <x:c r="H667" s="47" t="n">
        <x:v>1</x:v>
      </x:c>
      <x:c r="I667" s="47" t="n">
        <x:v>1</x:v>
      </x:c>
      <x:c r="J667" s="47" t="n">
        <x:v>1</x:v>
      </x:c>
      <x:c r="K667" s="47" t="n">
        <x:v>1</x:v>
      </x:c>
      <x:c r="L667" s="47" t="n">
        <x:v>0.9588322695250326</x:v>
      </x:c>
      <x:c r="M667" s="29" t="n">
        <x:v>0</x:v>
      </x:c>
    </x:row>
    <x:row r="668" ht="15" hidden="0" customHeight="1">
      <x:c r="A668" s="27" t="n">
        <x:v>164</x:v>
      </x:c>
      <x:c r="B668" s="27" t="n">
        <x:v>331068</x:v>
      </x:c>
      <x:c r="C668" s="27" t="str">
        <x:v>A1</x:v>
      </x:c>
      <x:c r="D668" s="52" t="n">
        <x:v>2464.1914397803835</x:v>
      </x:c>
      <x:c r="E668" s="46" t="n">
        <x:v>0.9856765759121534</x:v>
      </x:c>
      <x:c r="F668" s="46" t="n">
        <x:v>0.8567657591215334</x:v>
      </x:c>
      <x:c r="G668" s="46" t="n">
        <x:v>1</x:v>
      </x:c>
      <x:c r="H668" s="46" t="n">
        <x:v>1</x:v>
      </x:c>
      <x:c r="I668" s="46" t="n">
        <x:v>1</x:v>
      </x:c>
      <x:c r="J668" s="46" t="n">
        <x:v>1</x:v>
      </x:c>
      <x:c r="K668" s="46" t="n">
        <x:v>1</x:v>
      </x:c>
      <x:c r="L668" s="46" t="n">
        <x:v>0.9823128194054234</x:v>
      </x:c>
      <x:c r="M668" s="27" t="n">
        <x:v>0</x:v>
      </x:c>
    </x:row>
    <x:row r="669" ht="15" hidden="0" customHeight="1">
      <x:c r="A669" s="29" t="n">
        <x:v>165</x:v>
      </x:c>
      <x:c r="B669" s="29" t="n">
        <x:v>331069</x:v>
      </x:c>
      <x:c r="C669" s="29" t="str">
        <x:v>A1</x:v>
      </x:c>
      <x:c r="D669" s="53" t="n">
        <x:v>2454.17915399281</x:v>
      </x:c>
      <x:c r="E669" s="47" t="n">
        <x:v>0.9816716615971239</x:v>
      </x:c>
      <x:c r="F669" s="47" t="n">
        <x:v>0.8167166159712386</x:v>
      </x:c>
      <x:c r="G669" s="47" t="n">
        <x:v>1</x:v>
      </x:c>
      <x:c r="H669" s="47" t="n">
        <x:v>1</x:v>
      </x:c>
      <x:c r="I669" s="47" t="n">
        <x:v>1</x:v>
      </x:c>
      <x:c r="J669" s="47" t="n">
        <x:v>1</x:v>
      </x:c>
      <x:c r="K669" s="47" t="n">
        <x:v>1</x:v>
      </x:c>
      <x:c r="L669" s="47" t="n">
        <x:v>0.9773673788235282</x:v>
      </x:c>
      <x:c r="M669" s="29" t="n">
        <x:v>0</x:v>
      </x:c>
    </x:row>
    <x:row r="670" ht="15" hidden="0" customHeight="1">
      <x:c r="A670" s="27" t="n">
        <x:v>166</x:v>
      </x:c>
      <x:c r="B670" s="27" t="n">
        <x:v>331070</x:v>
      </x:c>
      <x:c r="C670" s="27" t="str">
        <x:v>A1</x:v>
      </x:c>
      <x:c r="D670" s="52" t="n">
        <x:v>2481.6178658396907</x:v>
      </x:c>
      <x:c r="E670" s="46" t="n">
        <x:v>0.9926471463358763</x:v>
      </x:c>
      <x:c r="F670" s="46" t="n">
        <x:v>0.926471463358763</x:v>
      </x:c>
      <x:c r="G670" s="46" t="n">
        <x:v>1</x:v>
      </x:c>
      <x:c r="H670" s="46" t="n">
        <x:v>1</x:v>
      </x:c>
      <x:c r="I670" s="46" t="n">
        <x:v>1</x:v>
      </x:c>
      <x:c r="J670" s="46" t="n">
        <x:v>1</x:v>
      </x:c>
      <x:c r="K670" s="46" t="n">
        <x:v>1</x:v>
      </x:c>
      <x:c r="L670" s="46" t="n">
        <x:v>0.9909203798026759</x:v>
      </x:c>
      <x:c r="M670" s="27" t="n">
        <x:v>0</x:v>
      </x:c>
    </x:row>
    <x:row r="671" ht="15" hidden="0" customHeight="1">
      <x:c r="A671" s="29" t="n">
        <x:v>167</x:v>
      </x:c>
      <x:c r="B671" s="29" t="n">
        <x:v>331071</x:v>
      </x:c>
      <x:c r="C671" s="29" t="str">
        <x:v>A1</x:v>
      </x:c>
      <x:c r="D671" s="53" t="n">
        <x:v>2426.6504502411735</x:v>
      </x:c>
      <x:c r="E671" s="47" t="n">
        <x:v>0.9706601800964694</x:v>
      </x:c>
      <x:c r="F671" s="47" t="n">
        <x:v>0.7892007721224784</x:v>
      </x:c>
      <x:c r="G671" s="47" t="n">
        <x:v>1</x:v>
      </x:c>
      <x:c r="H671" s="47" t="n">
        <x:v>1</x:v>
      </x:c>
      <x:c r="I671" s="47" t="n">
        <x:v>1</x:v>
      </x:c>
      <x:c r="J671" s="47" t="n">
        <x:v>1</x:v>
      </x:c>
      <x:c r="K671" s="47" t="n">
        <x:v>1</x:v>
      </x:c>
      <x:c r="L671" s="47" t="n">
        <x:v>0.9637699274933557</x:v>
      </x:c>
      <x:c r="M671" s="29" t="n">
        <x:v>0</x:v>
      </x:c>
    </x:row>
    <x:row r="672" ht="15" hidden="0" customHeight="1">
      <x:c r="A672" s="27" t="n">
        <x:v>168</x:v>
      </x:c>
      <x:c r="B672" s="27" t="n">
        <x:v>331072</x:v>
      </x:c>
      <x:c r="C672" s="27" t="str">
        <x:v>A1</x:v>
      </x:c>
      <x:c r="D672" s="52" t="n">
        <x:v>2422.3048420072905</x:v>
      </x:c>
      <x:c r="E672" s="46" t="n">
        <x:v>0.9689219368029162</x:v>
      </x:c>
      <x:c r="F672" s="46" t="n">
        <x:v>0.7708547917488201</x:v>
      </x:c>
      <x:c r="G672" s="46" t="n">
        <x:v>1</x:v>
      </x:c>
      <x:c r="H672" s="46" t="n">
        <x:v>1</x:v>
      </x:c>
      <x:c r="I672" s="46" t="n">
        <x:v>1</x:v>
      </x:c>
      <x:c r="J672" s="46" t="n">
        <x:v>1</x:v>
      </x:c>
      <x:c r="K672" s="46" t="n">
        <x:v>1</x:v>
      </x:c>
      <x:c r="L672" s="46" t="n">
        <x:v>0.9616234698543282</x:v>
      </x:c>
      <x:c r="M672" s="27" t="n">
        <x:v>0</x:v>
      </x:c>
    </x:row>
    <x:row r="673" ht="15" hidden="0" customHeight="1">
      <x:c r="A673" s="29" t="n">
        <x:v>169</x:v>
      </x:c>
      <x:c r="B673" s="29" t="n">
        <x:v>331073</x:v>
      </x:c>
      <x:c r="C673" s="29" t="str">
        <x:v>A1</x:v>
      </x:c>
      <x:c r="D673" s="53" t="n">
        <x:v>2461.850329356799</x:v>
      </x:c>
      <x:c r="E673" s="47" t="n">
        <x:v>0.9847401317427197</x:v>
      </x:c>
      <x:c r="F673" s="47" t="n">
        <x:v>0.8474013174271963</x:v>
      </x:c>
      <x:c r="G673" s="47" t="n">
        <x:v>1</x:v>
      </x:c>
      <x:c r="H673" s="47" t="n">
        <x:v>1</x:v>
      </x:c>
      <x:c r="I673" s="47" t="n">
        <x:v>1</x:v>
      </x:c>
      <x:c r="J673" s="47" t="n">
        <x:v>1</x:v>
      </x:c>
      <x:c r="K673" s="47" t="n">
        <x:v>1</x:v>
      </x:c>
      <x:c r="L673" s="47" t="n">
        <x:v>0.9811564578371329</x:v>
      </x:c>
      <x:c r="M673" s="29" t="n">
        <x:v>0</x:v>
      </x:c>
    </x:row>
    <x:row r="674" ht="15" hidden="0" customHeight="1">
      <x:c r="A674" s="27" t="n">
        <x:v>170</x:v>
      </x:c>
      <x:c r="B674" s="27" t="n">
        <x:v>331074</x:v>
      </x:c>
      <x:c r="C674" s="27" t="str">
        <x:v>A1</x:v>
      </x:c>
      <x:c r="D674" s="52" t="n">
        <x:v>2395.6907944029945</x:v>
      </x:c>
      <x:c r="E674" s="46" t="n">
        <x:v>0.9582763177611978</x:v>
      </x:c>
      <x:c r="F674" s="46" t="n">
        <x:v>0.7104216799889048</x:v>
      </x:c>
      <x:c r="G674" s="46" t="n">
        <x:v>1</x:v>
      </x:c>
      <x:c r="H674" s="46" t="n">
        <x:v>1</x:v>
      </x:c>
      <x:c r="I674" s="46" t="n">
        <x:v>1</x:v>
      </x:c>
      <x:c r="J674" s="46" t="n">
        <x:v>1</x:v>
      </x:c>
      <x:c r="K674" s="46" t="n">
        <x:v>1</x:v>
      </x:c>
      <x:c r="L674" s="46" t="n">
        <x:v>0.9484778012364662</x:v>
      </x:c>
      <x:c r="M674" s="27" t="n">
        <x:v>0</x:v>
      </x:c>
    </x:row>
    <x:row r="675" ht="15" hidden="0" customHeight="1">
      <x:c r="A675" s="29" t="n">
        <x:v>171</x:v>
      </x:c>
      <x:c r="B675" s="29" t="n">
        <x:v>331075</x:v>
      </x:c>
      <x:c r="C675" s="29" t="str">
        <x:v>A1</x:v>
      </x:c>
      <x:c r="D675" s="53" t="n">
        <x:v>2373.7715892815186</x:v>
      </x:c>
      <x:c r="E675" s="47" t="n">
        <x:v>0.9495086357126075</x:v>
      </x:c>
      <x:c r="F675" s="47" t="n">
        <x:v>0.6281345186724091</x:v>
      </x:c>
      <x:c r="G675" s="47" t="n">
        <x:v>1</x:v>
      </x:c>
      <x:c r="H675" s="47" t="n">
        <x:v>1</x:v>
      </x:c>
      <x:c r="I675" s="47" t="n">
        <x:v>1</x:v>
      </x:c>
      <x:c r="J675" s="47" t="n">
        <x:v>1</x:v>
      </x:c>
      <x:c r="K675" s="47" t="n">
        <x:v>1</x:v>
      </x:c>
      <x:c r="L675" s="47" t="n">
        <x:v>0.9376510900507781</x:v>
      </x:c>
      <x:c r="M675" s="29" t="n">
        <x:v>0</x:v>
      </x:c>
    </x:row>
    <x:row r="676" ht="15" hidden="0" customHeight="1">
      <x:c r="A676" s="27" t="n">
        <x:v>172</x:v>
      </x:c>
      <x:c r="B676" s="27" t="n">
        <x:v>331076</x:v>
      </x:c>
      <x:c r="C676" s="27" t="str">
        <x:v>A1</x:v>
      </x:c>
      <x:c r="D676" s="52" t="n">
        <x:v>2436.9325886127585</x:v>
      </x:c>
      <x:c r="E676" s="46" t="n">
        <x:v>0.9747730354451034</x:v>
      </x:c>
      <x:c r="F676" s="46" t="n">
        <x:v>0.7906542690687527</x:v>
      </x:c>
      <x:c r="G676" s="46" t="n">
        <x:v>1</x:v>
      </x:c>
      <x:c r="H676" s="46" t="n">
        <x:v>1</x:v>
      </x:c>
      <x:c r="I676" s="46" t="n">
        <x:v>1</x:v>
      </x:c>
      <x:c r="J676" s="46" t="n">
        <x:v>1</x:v>
      </x:c>
      <x:c r="K676" s="46" t="n">
        <x:v>1</x:v>
      </x:c>
      <x:c r="L676" s="46" t="n">
        <x:v>0.9688486583097102</x:v>
      </x:c>
      <x:c r="M676" s="27" t="n">
        <x:v>0</x:v>
      </x:c>
    </x:row>
    <x:row r="677" ht="15" hidden="0" customHeight="1">
      <x:c r="A677" s="29" t="n">
        <x:v>173</x:v>
      </x:c>
      <x:c r="B677" s="29" t="n">
        <x:v>331077</x:v>
      </x:c>
      <x:c r="C677" s="29" t="str">
        <x:v>A1</x:v>
      </x:c>
      <x:c r="D677" s="53" t="n">
        <x:v>2465.749522443158</x:v>
      </x:c>
      <x:c r="E677" s="47" t="n">
        <x:v>0.9862998089772633</x:v>
      </x:c>
      <x:c r="F677" s="47" t="n">
        <x:v>0.8656401963964516</x:v>
      </x:c>
      <x:c r="G677" s="47" t="n">
        <x:v>1</x:v>
      </x:c>
      <x:c r="H677" s="47" t="n">
        <x:v>1</x:v>
      </x:c>
      <x:c r="I677" s="47" t="n">
        <x:v>1</x:v>
      </x:c>
      <x:c r="J677" s="47" t="n">
        <x:v>1</x:v>
      </x:c>
      <x:c r="K677" s="47" t="n">
        <x:v>1</x:v>
      </x:c>
      <x:c r="L677" s="47" t="n">
        <x:v>0.9830824144203796</x:v>
      </x:c>
      <x:c r="M677" s="29" t="n">
        <x:v>0</x:v>
      </x:c>
    </x:row>
    <x:row r="678" ht="15" hidden="0" customHeight="1">
      <x:c r="A678" s="27" t="n">
        <x:v>174</x:v>
      </x:c>
      <x:c r="B678" s="27" t="n">
        <x:v>331078</x:v>
      </x:c>
      <x:c r="C678" s="27" t="str">
        <x:v>A1</x:v>
      </x:c>
      <x:c r="D678" s="52" t="n">
        <x:v>2494.6139903734606</x:v>
      </x:c>
      <x:c r="E678" s="46" t="n">
        <x:v>0.9978455961493843</x:v>
      </x:c>
      <x:c r="F678" s="46" t="n">
        <x:v>0.9784559614938412</x:v>
      </x:c>
      <x:c r="G678" s="46" t="n">
        <x:v>1</x:v>
      </x:c>
      <x:c r="H678" s="46" t="n">
        <x:v>1</x:v>
      </x:c>
      <x:c r="I678" s="46" t="n">
        <x:v>1</x:v>
      </x:c>
      <x:c r="J678" s="46" t="n">
        <x:v>1</x:v>
      </x:c>
      <x:c r="K678" s="46" t="n">
        <x:v>1</x:v>
      </x:c>
      <x:c r="L678" s="46" t="n">
        <x:v>0.9973396493920872</x:v>
      </x:c>
      <x:c r="M678" s="27" t="n">
        <x:v>1</x:v>
      </x:c>
    </x:row>
    <x:row r="679" ht="15" hidden="0" customHeight="1">
      <x:c r="A679" s="29" t="n">
        <x:v>175</x:v>
      </x:c>
      <x:c r="B679" s="29" t="n">
        <x:v>331079</x:v>
      </x:c>
      <x:c r="C679" s="29" t="str">
        <x:v>A1</x:v>
      </x:c>
      <x:c r="D679" s="53" t="n">
        <x:v>2462.5911218115257</x:v>
      </x:c>
      <x:c r="E679" s="47" t="n">
        <x:v>0.9850364487246103</x:v>
      </x:c>
      <x:c r="F679" s="47" t="n">
        <x:v>0.8546576952204857</x:v>
      </x:c>
      <x:c r="G679" s="47" t="n">
        <x:v>1</x:v>
      </x:c>
      <x:c r="H679" s="47" t="n">
        <x:v>1</x:v>
      </x:c>
      <x:c r="I679" s="47" t="n">
        <x:v>1</x:v>
      </x:c>
      <x:c r="J679" s="47" t="n">
        <x:v>1</x:v>
      </x:c>
      <x:c r="K679" s="47" t="n">
        <x:v>1</x:v>
      </x:c>
      <x:c r="L679" s="47" t="n">
        <x:v>0.9815223628009038</x:v>
      </x:c>
      <x:c r="M679" s="29" t="n">
        <x:v>0</x:v>
      </x:c>
    </x:row>
    <x:row r="680" ht="15" hidden="0" customHeight="1">
      <x:c r="A680" s="27" t="n">
        <x:v>176</x:v>
      </x:c>
      <x:c r="B680" s="27" t="n">
        <x:v>331080</x:v>
      </x:c>
      <x:c r="C680" s="27" t="str">
        <x:v>A1</x:v>
      </x:c>
      <x:c r="D680" s="52" t="n">
        <x:v>2437.719518955499</x:v>
      </x:c>
      <x:c r="E680" s="46" t="n">
        <x:v>0.9750878075821996</x:v>
      </x:c>
      <x:c r="F680" s="46" t="n">
        <x:v>0.8026789013987986</x:v>
      </x:c>
      <x:c r="G680" s="46" t="n">
        <x:v>1</x:v>
      </x:c>
      <x:c r="H680" s="46" t="n">
        <x:v>1</x:v>
      </x:c>
      <x:c r="I680" s="46" t="n">
        <x:v>1</x:v>
      </x:c>
      <x:c r="J680" s="46" t="n">
        <x:v>1</x:v>
      </x:c>
      <x:c r="K680" s="46" t="n">
        <x:v>1</x:v>
      </x:c>
      <x:c r="L680" s="46" t="n">
        <x:v>0.9692373524935042</x:v>
      </x:c>
      <x:c r="M680" s="27" t="n">
        <x:v>0</x:v>
      </x:c>
    </x:row>
    <x:row r="681" ht="15" hidden="0" customHeight="1">
      <x:c r="A681" s="29" t="n">
        <x:v>177</x:v>
      </x:c>
      <x:c r="B681" s="29" t="n">
        <x:v>331081</x:v>
      </x:c>
      <x:c r="C681" s="29" t="str">
        <x:v>A1</x:v>
      </x:c>
      <x:c r="D681" s="53" t="n">
        <x:v>2423.40349564872</x:v>
      </x:c>
      <x:c r="E681" s="47" t="n">
        <x:v>0.969361398259488</x:v>
      </x:c>
      <x:c r="F681" s="47" t="n">
        <x:v>0.7244918627671616</x:v>
      </x:c>
      <x:c r="G681" s="47" t="n">
        <x:v>1</x:v>
      </x:c>
      <x:c r="H681" s="47" t="n">
        <x:v>1</x:v>
      </x:c>
      <x:c r="I681" s="47" t="n">
        <x:v>1</x:v>
      </x:c>
      <x:c r="J681" s="47" t="n">
        <x:v>1</x:v>
      </x:c>
      <x:c r="K681" s="47" t="n">
        <x:v>1</x:v>
      </x:c>
      <x:c r="L681" s="47" t="n">
        <x:v>0.9621661357768807</x:v>
      </x:c>
      <x:c r="M681" s="29" t="n">
        <x:v>0</x:v>
      </x:c>
    </x:row>
    <x:row r="682" ht="15" hidden="0" customHeight="1">
      <x:c r="A682" s="27" t="n">
        <x:v>178</x:v>
      </x:c>
      <x:c r="B682" s="27" t="n">
        <x:v>331082</x:v>
      </x:c>
      <x:c r="C682" s="27" t="str">
        <x:v>A1</x:v>
      </x:c>
      <x:c r="D682" s="52" t="n">
        <x:v>2491.7400989398084</x:v>
      </x:c>
      <x:c r="E682" s="46" t="n">
        <x:v>0.9966960395759233</x:v>
      </x:c>
      <x:c r="F682" s="46" t="n">
        <x:v>0.9669603957592323</x:v>
      </x:c>
      <x:c r="G682" s="46" t="n">
        <x:v>1</x:v>
      </x:c>
      <x:c r="H682" s="46" t="n">
        <x:v>1</x:v>
      </x:c>
      <x:c r="I682" s="46" t="n">
        <x:v>1</x:v>
      </x:c>
      <x:c r="J682" s="46" t="n">
        <x:v>1</x:v>
      </x:c>
      <x:c r="K682" s="46" t="n">
        <x:v>1</x:v>
      </x:c>
      <x:c r="L682" s="46" t="n">
        <x:v>0.9959201274541913</x:v>
      </x:c>
      <x:c r="M682" s="27" t="n">
        <x:v>1</x:v>
      </x:c>
    </x:row>
    <x:row r="683" ht="15" hidden="0" customHeight="1">
      <x:c r="A683" s="29" t="n">
        <x:v>179</x:v>
      </x:c>
      <x:c r="B683" s="29" t="n">
        <x:v>331083</x:v>
      </x:c>
      <x:c r="C683" s="29" t="str">
        <x:v>A1</x:v>
      </x:c>
      <x:c r="D683" s="53" t="n">
        <x:v>2400.0046324479376</x:v>
      </x:c>
      <x:c r="E683" s="47" t="n">
        <x:v>0.9600018529791751</x:v>
      </x:c>
      <x:c r="F683" s="47" t="n">
        <x:v>0.7398739057285276</x:v>
      </x:c>
      <x:c r="G683" s="47" t="n">
        <x:v>1</x:v>
      </x:c>
      <x:c r="H683" s="47" t="n">
        <x:v>1</x:v>
      </x:c>
      <x:c r="I683" s="47" t="n">
        <x:v>1</x:v>
      </x:c>
      <x:c r="J683" s="47" t="n">
        <x:v>1</x:v>
      </x:c>
      <x:c r="K683" s="47" t="n">
        <x:v>1</x:v>
      </x:c>
      <x:c r="L683" s="47" t="n">
        <x:v>0.9506085663967717</x:v>
      </x:c>
      <x:c r="M683" s="29" t="n">
        <x:v>0</x:v>
      </x:c>
    </x:row>
    <x:row r="684" ht="15" hidden="0" customHeight="1">
      <x:c r="A684" s="27" t="n">
        <x:v>180</x:v>
      </x:c>
      <x:c r="B684" s="27" t="n">
        <x:v>331084</x:v>
      </x:c>
      <x:c r="C684" s="27" t="str">
        <x:v>A1</x:v>
      </x:c>
      <x:c r="D684" s="52" t="n">
        <x:v>2457.8270712881663</x:v>
      </x:c>
      <x:c r="E684" s="46" t="n">
        <x:v>0.9831308285152666</x:v>
      </x:c>
      <x:c r="F684" s="46" t="n">
        <x:v>0.845755766926458</x:v>
      </x:c>
      <x:c r="G684" s="46" t="n">
        <x:v>1</x:v>
      </x:c>
      <x:c r="H684" s="46" t="n">
        <x:v>1</x:v>
      </x:c>
      <x:c r="I684" s="46" t="n">
        <x:v>1</x:v>
      </x:c>
      <x:c r="J684" s="46" t="n">
        <x:v>1</x:v>
      </x:c>
      <x:c r="K684" s="46" t="n">
        <x:v>1</x:v>
      </x:c>
      <x:c r="L684" s="46" t="n">
        <x:v>0.979169220941763</x:v>
      </x:c>
      <x:c r="M684" s="27" t="n">
        <x:v>0</x:v>
      </x:c>
    </x:row>
    <x:row r="685" ht="15" hidden="0" customHeight="1">
      <x:c r="A685" s="29" t="n">
        <x:v>181</x:v>
      </x:c>
      <x:c r="B685" s="29" t="n">
        <x:v>331085</x:v>
      </x:c>
      <x:c r="C685" s="29" t="str">
        <x:v>A1</x:v>
      </x:c>
      <x:c r="D685" s="53" t="n">
        <x:v>2433.9778416097006</x:v>
      </x:c>
      <x:c r="E685" s="47" t="n">
        <x:v>0.9735911366438802</x:v>
      </x:c>
      <x:c r="F685" s="47" t="n">
        <x:v>0.775409283198211</x:v>
      </x:c>
      <x:c r="G685" s="47" t="n">
        <x:v>1</x:v>
      </x:c>
      <x:c r="H685" s="47" t="n">
        <x:v>1</x:v>
      </x:c>
      <x:c r="I685" s="47" t="n">
        <x:v>1</x:v>
      </x:c>
      <x:c r="J685" s="47" t="n">
        <x:v>1</x:v>
      </x:c>
      <x:c r="K685" s="47" t="n">
        <x:v>1</x:v>
      </x:c>
      <x:c r="L685" s="47" t="n">
        <x:v>0.9673891987968493</x:v>
      </x:c>
      <x:c r="M685" s="29" t="n">
        <x:v>0</x:v>
      </x:c>
    </x:row>
    <x:row r="686" ht="15" hidden="0" customHeight="1">
      <x:c r="A686" s="27" t="n">
        <x:v>182</x:v>
      </x:c>
      <x:c r="B686" s="27" t="n">
        <x:v>331086</x:v>
      </x:c>
      <x:c r="C686" s="27" t="str">
        <x:v>A1</x:v>
      </x:c>
      <x:c r="D686" s="52" t="n">
        <x:v>2402.6986669866606</x:v>
      </x:c>
      <x:c r="E686" s="46" t="n">
        <x:v>0.9610794667946643</x:v>
      </x:c>
      <x:c r="F686" s="46" t="n">
        <x:v>0.6608866940381383</x:v>
      </x:c>
      <x:c r="G686" s="46" t="n">
        <x:v>1</x:v>
      </x:c>
      <x:c r="H686" s="46" t="n">
        <x:v>1</x:v>
      </x:c>
      <x:c r="I686" s="46" t="n">
        <x:v>1</x:v>
      </x:c>
      <x:c r="J686" s="46" t="n">
        <x:v>1</x:v>
      </x:c>
      <x:c r="K686" s="46" t="n">
        <x:v>1</x:v>
      </x:c>
      <x:c r="L686" s="46" t="n">
        <x:v>0.9519392503204531</x:v>
      </x:c>
      <x:c r="M686" s="27" t="n">
        <x:v>0</x:v>
      </x:c>
    </x:row>
    <x:row r="687" ht="15" hidden="0" customHeight="1">
      <x:c r="A687" s="29" t="n">
        <x:v>183</x:v>
      </x:c>
      <x:c r="B687" s="29" t="n">
        <x:v>331087</x:v>
      </x:c>
      <x:c r="C687" s="29" t="str">
        <x:v>A1</x:v>
      </x:c>
      <x:c r="D687" s="53" t="n">
        <x:v>2495.616235971328</x:v>
      </x:c>
      <x:c r="E687" s="47" t="n">
        <x:v>0.9982464943885312</x:v>
      </x:c>
      <x:c r="F687" s="47" t="n">
        <x:v>0.9824649438853107</x:v>
      </x:c>
      <x:c r="G687" s="47" t="n">
        <x:v>1</x:v>
      </x:c>
      <x:c r="H687" s="47" t="n">
        <x:v>1</x:v>
      </x:c>
      <x:c r="I687" s="47" t="n">
        <x:v>1</x:v>
      </x:c>
      <x:c r="J687" s="47" t="n">
        <x:v>1</x:v>
      </x:c>
      <x:c r="K687" s="47" t="n">
        <x:v>1</x:v>
      </x:c>
      <x:c r="L687" s="47" t="n">
        <x:v>0.997834695793866</x:v>
      </x:c>
      <x:c r="M687" s="29" t="n">
        <x:v>1</x:v>
      </x:c>
    </x:row>
    <x:row r="688" ht="15" hidden="0" customHeight="1">
      <x:c r="A688" s="27" t="n">
        <x:v>184</x:v>
      </x:c>
      <x:c r="B688" s="27" t="n">
        <x:v>331088</x:v>
      </x:c>
      <x:c r="C688" s="27" t="str">
        <x:v>A1</x:v>
      </x:c>
      <x:c r="D688" s="52" t="n">
        <x:v>2454.096144666441</x:v>
      </x:c>
      <x:c r="E688" s="46" t="n">
        <x:v>0.9816384578665764</x:v>
      </x:c>
      <x:c r="F688" s="46" t="n">
        <x:v>0.828200226761195</x:v>
      </x:c>
      <x:c r="G688" s="46" t="n">
        <x:v>1</x:v>
      </x:c>
      <x:c r="H688" s="46" t="n">
        <x:v>1</x:v>
      </x:c>
      <x:c r="I688" s="46" t="n">
        <x:v>1</x:v>
      </x:c>
      <x:c r="J688" s="46" t="n">
        <x:v>1</x:v>
      </x:c>
      <x:c r="K688" s="46" t="n">
        <x:v>1</x:v>
      </x:c>
      <x:c r="L688" s="46" t="n">
        <x:v>0.9773263774278421</x:v>
      </x:c>
      <x:c r="M688" s="27" t="n">
        <x:v>0</x:v>
      </x:c>
    </x:row>
    <x:row r="689" ht="15" hidden="0" customHeight="1">
      <x:c r="A689" s="29" t="n">
        <x:v>185</x:v>
      </x:c>
      <x:c r="B689" s="29" t="n">
        <x:v>331089</x:v>
      </x:c>
      <x:c r="C689" s="29" t="str">
        <x:v>A1</x:v>
      </x:c>
      <x:c r="D689" s="53" t="n">
        <x:v>2498.877691707857</x:v>
      </x:c>
      <x:c r="E689" s="47" t="n">
        <x:v>0.9995510766831428</x:v>
      </x:c>
      <x:c r="F689" s="47" t="n">
        <x:v>0.9955107668314281</x:v>
      </x:c>
      <x:c r="G689" s="47" t="n">
        <x:v>1</x:v>
      </x:c>
      <x:c r="H689" s="47" t="n">
        <x:v>1</x:v>
      </x:c>
      <x:c r="I689" s="47" t="n">
        <x:v>1</x:v>
      </x:c>
      <x:c r="J689" s="47" t="n">
        <x:v>1</x:v>
      </x:c>
      <x:c r="K689" s="47" t="n">
        <x:v>1</x:v>
      </x:c>
      <x:c r="L689" s="47" t="n">
        <x:v>0.9994456501650951</x:v>
      </x:c>
      <x:c r="M689" s="29" t="n">
        <x:v>1</x:v>
      </x:c>
    </x:row>
    <x:row r="690" ht="15" hidden="0" customHeight="1">
      <x:c r="A690" s="27" t="n">
        <x:v>186</x:v>
      </x:c>
      <x:c r="B690" s="27" t="n">
        <x:v>331090</x:v>
      </x:c>
      <x:c r="C690" s="27" t="str">
        <x:v>A1</x:v>
      </x:c>
      <x:c r="D690" s="52" t="n">
        <x:v>2451.0962397032513</x:v>
      </x:c>
      <x:c r="E690" s="46" t="n">
        <x:v>0.9804384958813005</x:v>
      </x:c>
      <x:c r="F690" s="46" t="n">
        <x:v>0.814827568397324</x:v>
      </x:c>
      <x:c r="G690" s="46" t="n">
        <x:v>1</x:v>
      </x:c>
      <x:c r="H690" s="46" t="n">
        <x:v>1</x:v>
      </x:c>
      <x:c r="I690" s="46" t="n">
        <x:v>1</x:v>
      </x:c>
      <x:c r="J690" s="46" t="n">
        <x:v>1</x:v>
      </x:c>
      <x:c r="K690" s="46" t="n">
        <x:v>1</x:v>
      </x:c>
      <x:c r="L690" s="46" t="n">
        <x:v>0.9758446127178095</x:v>
      </x:c>
      <x:c r="M690" s="27" t="n">
        <x:v>0</x:v>
      </x:c>
    </x:row>
    <x:row r="691" ht="15" hidden="0" customHeight="1">
      <x:c r="A691" s="29" t="n">
        <x:v>187</x:v>
      </x:c>
      <x:c r="B691" s="29" t="n">
        <x:v>331091</x:v>
      </x:c>
      <x:c r="C691" s="29" t="str">
        <x:v>A1</x:v>
      </x:c>
      <x:c r="D691" s="53" t="n">
        <x:v>2365.571116591292</x:v>
      </x:c>
      <x:c r="E691" s="47" t="n">
        <x:v>0.9462284466365168</x:v>
      </x:c>
      <x:c r="F691" s="47" t="n">
        <x:v>0.6634371866440915</x:v>
      </x:c>
      <x:c r="G691" s="47" t="n">
        <x:v>1</x:v>
      </x:c>
      <x:c r="H691" s="47" t="n">
        <x:v>1</x:v>
      </x:c>
      <x:c r="I691" s="47" t="n">
        <x:v>1</x:v>
      </x:c>
      <x:c r="J691" s="47" t="n">
        <x:v>1</x:v>
      </x:c>
      <x:c r="K691" s="47" t="n">
        <x:v>1</x:v>
      </x:c>
      <x:c r="L691" s="47" t="n">
        <x:v>0.9336005713886659</x:v>
      </x:c>
      <x:c r="M691" s="29" t="n">
        <x:v>0</x:v>
      </x:c>
    </x:row>
    <x:row r="692" ht="15" hidden="0" customHeight="1">
      <x:c r="A692" s="27" t="n">
        <x:v>188</x:v>
      </x:c>
      <x:c r="B692" s="27" t="n">
        <x:v>331092</x:v>
      </x:c>
      <x:c r="C692" s="27" t="str">
        <x:v>A1</x:v>
      </x:c>
      <x:c r="D692" s="52" t="n">
        <x:v>2405.278679034067</x:v>
      </x:c>
      <x:c r="E692" s="46" t="n">
        <x:v>0.9621114716136268</x:v>
      </x:c>
      <x:c r="F692" s="46" t="n">
        <x:v>0.7096032721894187</x:v>
      </x:c>
      <x:c r="G692" s="46" t="n">
        <x:v>1</x:v>
      </x:c>
      <x:c r="H692" s="46" t="n">
        <x:v>1</x:v>
      </x:c>
      <x:c r="I692" s="46" t="n">
        <x:v>1</x:v>
      </x:c>
      <x:c r="J692" s="46" t="n">
        <x:v>1</x:v>
      </x:c>
      <x:c r="K692" s="46" t="n">
        <x:v>1</x:v>
      </x:c>
      <x:c r="L692" s="46" t="n">
        <x:v>0.9532136142920505</x:v>
      </x:c>
      <x:c r="M692" s="27" t="n">
        <x:v>0</x:v>
      </x:c>
    </x:row>
    <x:row r="693" ht="15" hidden="0" customHeight="1">
      <x:c r="A693" s="29" t="n">
        <x:v>189</x:v>
      </x:c>
      <x:c r="B693" s="29" t="n">
        <x:v>331093</x:v>
      </x:c>
      <x:c r="C693" s="29" t="str">
        <x:v>A1</x:v>
      </x:c>
      <x:c r="D693" s="53" t="n">
        <x:v>2426.3211805707624</x:v>
      </x:c>
      <x:c r="E693" s="47" t="n">
        <x:v>0.970528472228305</x:v>
      </x:c>
      <x:c r="F693" s="47" t="n">
        <x:v>0.7947226126777327</x:v>
      </x:c>
      <x:c r="G693" s="47" t="n">
        <x:v>1</x:v>
      </x:c>
      <x:c r="H693" s="47" t="n">
        <x:v>1</x:v>
      </x:c>
      <x:c r="I693" s="47" t="n">
        <x:v>1</x:v>
      </x:c>
      <x:c r="J693" s="47" t="n">
        <x:v>1</x:v>
      </x:c>
      <x:c r="K693" s="47" t="n">
        <x:v>1</x:v>
      </x:c>
      <x:c r="L693" s="47" t="n">
        <x:v>0.9636072889485731</x:v>
      </x:c>
      <x:c r="M693" s="29" t="n">
        <x:v>0</x:v>
      </x:c>
    </x:row>
    <x:row r="694" ht="15" hidden="0" customHeight="1">
      <x:c r="A694" s="27" t="n">
        <x:v>190</x:v>
      </x:c>
      <x:c r="B694" s="27" t="n">
        <x:v>331094</x:v>
      </x:c>
      <x:c r="C694" s="27" t="str">
        <x:v>A1</x:v>
      </x:c>
      <x:c r="D694" s="52" t="n">
        <x:v>2410.9582825140124</x:v>
      </x:c>
      <x:c r="E694" s="46" t="n">
        <x:v>0.964383313005605</x:v>
      </x:c>
      <x:c r="F694" s="46" t="n">
        <x:v>0.7840653437486547</x:v>
      </x:c>
      <x:c r="G694" s="46" t="n">
        <x:v>1</x:v>
      </x:c>
      <x:c r="H694" s="46" t="n">
        <x:v>1</x:v>
      </x:c>
      <x:c r="I694" s="46" t="n">
        <x:v>1</x:v>
      </x:c>
      <x:c r="J694" s="46" t="n">
        <x:v>1</x:v>
      </x:c>
      <x:c r="K694" s="46" t="n">
        <x:v>1</x:v>
      </x:c>
      <x:c r="L694" s="46" t="n">
        <x:v>0.9560189818309651</x:v>
      </x:c>
      <x:c r="M694" s="27" t="n">
        <x:v>0</x:v>
      </x:c>
    </x:row>
    <x:row r="695" ht="15" hidden="0" customHeight="1">
      <x:c r="A695" s="29" t="n">
        <x:v>191</x:v>
      </x:c>
      <x:c r="B695" s="29" t="n">
        <x:v>331095</x:v>
      </x:c>
      <x:c r="C695" s="29" t="str">
        <x:v>A1</x:v>
      </x:c>
      <x:c r="D695" s="53" t="n">
        <x:v>2387.2016093699813</x:v>
      </x:c>
      <x:c r="E695" s="47" t="n">
        <x:v>0.9548806437479925</x:v>
      </x:c>
      <x:c r="F695" s="47" t="n">
        <x:v>0.7530878564359585</x:v>
      </x:c>
      <x:c r="G695" s="47" t="n">
        <x:v>1</x:v>
      </x:c>
      <x:c r="H695" s="47" t="n">
        <x:v>1</x:v>
      </x:c>
      <x:c r="I695" s="47" t="n">
        <x:v>1</x:v>
      </x:c>
      <x:c r="J695" s="47" t="n">
        <x:v>1</x:v>
      </x:c>
      <x:c r="K695" s="47" t="n">
        <x:v>1</x:v>
      </x:c>
      <x:c r="L695" s="47" t="n">
        <x:v>0.944284676803124</x:v>
      </x:c>
      <x:c r="M695" s="29" t="n">
        <x:v>0</x:v>
      </x:c>
    </x:row>
    <x:row r="696" ht="15" hidden="0" customHeight="1">
      <x:c r="A696" s="27" t="n">
        <x:v>192</x:v>
      </x:c>
      <x:c r="B696" s="27" t="n">
        <x:v>331096</x:v>
      </x:c>
      <x:c r="C696" s="27" t="str">
        <x:v>A1</x:v>
      </x:c>
      <x:c r="D696" s="52" t="n">
        <x:v>2464.96745568985</x:v>
      </x:c>
      <x:c r="E696" s="46" t="n">
        <x:v>0.98598698227594</x:v>
      </x:c>
      <x:c r="F696" s="46" t="n">
        <x:v>0.8598698227593984</x:v>
      </x:c>
      <x:c r="G696" s="46" t="n">
        <x:v>1</x:v>
      </x:c>
      <x:c r="H696" s="46" t="n">
        <x:v>1</x:v>
      </x:c>
      <x:c r="I696" s="46" t="n">
        <x:v>1</x:v>
      </x:c>
      <x:c r="J696" s="46" t="n">
        <x:v>1</x:v>
      </x:c>
      <x:c r="K696" s="46" t="n">
        <x:v>1</x:v>
      </x:c>
      <x:c r="L696" s="46" t="n">
        <x:v>0.9826961225444163</x:v>
      </x:c>
      <x:c r="M696" s="27" t="n">
        <x:v>0</x:v>
      </x:c>
    </x:row>
    <x:row r="697" ht="15" hidden="0" customHeight="1">
      <x:c r="A697" s="29" t="n">
        <x:v>193</x:v>
      </x:c>
      <x:c r="B697" s="29" t="n">
        <x:v>331097</x:v>
      </x:c>
      <x:c r="C697" s="29" t="str">
        <x:v>A1</x:v>
      </x:c>
      <x:c r="D697" s="53" t="n">
        <x:v>2424.7980194914703</x:v>
      </x:c>
      <x:c r="E697" s="47" t="n">
        <x:v>0.9699192077965881</x:v>
      </x:c>
      <x:c r="F697" s="47" t="n">
        <x:v>0.7260646574607168</x:v>
      </x:c>
      <x:c r="G697" s="47" t="n">
        <x:v>1</x:v>
      </x:c>
      <x:c r="H697" s="47" t="n">
        <x:v>1</x:v>
      </x:c>
      <x:c r="I697" s="47" t="n">
        <x:v>1</x:v>
      </x:c>
      <x:c r="J697" s="47" t="n">
        <x:v>1</x:v>
      </x:c>
      <x:c r="K697" s="47" t="n">
        <x:v>1</x:v>
      </x:c>
      <x:c r="L697" s="47" t="n">
        <x:v>0.9628549430033901</x:v>
      </x:c>
      <x:c r="M697" s="29" t="n">
        <x:v>0</x:v>
      </x:c>
    </x:row>
    <x:row r="698" ht="15" hidden="0" customHeight="1">
      <x:c r="A698" s="27" t="n">
        <x:v>194</x:v>
      </x:c>
      <x:c r="B698" s="27" t="n">
        <x:v>331098</x:v>
      </x:c>
      <x:c r="C698" s="27" t="str">
        <x:v>A1</x:v>
      </x:c>
      <x:c r="D698" s="52" t="n">
        <x:v>2401.4404203390786</x:v>
      </x:c>
      <x:c r="E698" s="46" t="n">
        <x:v>0.9605761681356314</x:v>
      </x:c>
      <x:c r="F698" s="46" t="n">
        <x:v>0.7396764816095645</x:v>
      </x:c>
      <x:c r="G698" s="46" t="n">
        <x:v>1</x:v>
      </x:c>
      <x:c r="H698" s="46" t="n">
        <x:v>1</x:v>
      </x:c>
      <x:c r="I698" s="46" t="n">
        <x:v>1</x:v>
      </x:c>
      <x:c r="J698" s="46" t="n">
        <x:v>1</x:v>
      </x:c>
      <x:c r="K698" s="46" t="n">
        <x:v>1</x:v>
      </x:c>
      <x:c r="L698" s="46" t="n">
        <x:v>0.9513177554725227</x:v>
      </x:c>
      <x:c r="M698" s="27" t="n">
        <x:v>0</x:v>
      </x:c>
    </x:row>
    <x:row r="699" ht="15" hidden="0" customHeight="1">
      <x:c r="A699" s="29" t="n">
        <x:v>195</x:v>
      </x:c>
      <x:c r="B699" s="29" t="n">
        <x:v>331099</x:v>
      </x:c>
      <x:c r="C699" s="29" t="str">
        <x:v>A1</x:v>
      </x:c>
      <x:c r="D699" s="53" t="n">
        <x:v>2483.6728504152925</x:v>
      </x:c>
      <x:c r="E699" s="47" t="n">
        <x:v>0.993469140166117</x:v>
      </x:c>
      <x:c r="F699" s="47" t="n">
        <x:v>0.9346914016611693</x:v>
      </x:c>
      <x:c r="G699" s="47" t="n">
        <x:v>1</x:v>
      </x:c>
      <x:c r="H699" s="47" t="n">
        <x:v>1</x:v>
      </x:c>
      <x:c r="I699" s="47" t="n">
        <x:v>1</x:v>
      </x:c>
      <x:c r="J699" s="47" t="n">
        <x:v>1</x:v>
      </x:c>
      <x:c r="K699" s="47" t="n">
        <x:v>1</x:v>
      </x:c>
      <x:c r="L699" s="47" t="n">
        <x:v>0.9919354131657828</x:v>
      </x:c>
      <x:c r="M699" s="29" t="n">
        <x:v>0</x:v>
      </x:c>
    </x:row>
    <x:row r="700" ht="15" hidden="0" customHeight="1">
      <x:c r="A700" s="27" t="n">
        <x:v>196</x:v>
      </x:c>
      <x:c r="B700" s="27" t="n">
        <x:v>331100</x:v>
      </x:c>
      <x:c r="C700" s="27" t="str">
        <x:v>A1</x:v>
      </x:c>
      <x:c r="D700" s="52" t="n">
        <x:v>2407.792769900249</x:v>
      </x:c>
      <x:c r="E700" s="46" t="n">
        <x:v>0.9631171079600995</x:v>
      </x:c>
      <x:c r="F700" s="46" t="n">
        <x:v>0.7004847567629197</x:v>
      </x:c>
      <x:c r="G700" s="46" t="n">
        <x:v>1</x:v>
      </x:c>
      <x:c r="H700" s="46" t="n">
        <x:v>1</x:v>
      </x:c>
      <x:c r="I700" s="46" t="n">
        <x:v>1</x:v>
      </x:c>
      <x:c r="J700" s="46" t="n">
        <x:v>1</x:v>
      </x:c>
      <x:c r="K700" s="46" t="n">
        <x:v>1</x:v>
      </x:c>
      <x:c r="L700" s="46" t="n">
        <x:v>0.9544554173388256</x:v>
      </x:c>
      <x:c r="M700" s="27" t="n">
        <x:v>0</x:v>
      </x:c>
    </x:row>
    <x:row r="701" ht="15" hidden="0" customHeight="1">
      <x:c r="A701" s="29" t="n">
        <x:v>197</x:v>
      </x:c>
      <x:c r="B701" s="29" t="n">
        <x:v>331101</x:v>
      </x:c>
      <x:c r="C701" s="29" t="str">
        <x:v>A1</x:v>
      </x:c>
      <x:c r="D701" s="53" t="n">
        <x:v>2406.89443752583</x:v>
      </x:c>
      <x:c r="E701" s="47" t="n">
        <x:v>0.9627577750103321</x:v>
      </x:c>
      <x:c r="F701" s="47" t="n">
        <x:v>0.6703874791540129</x:v>
      </x:c>
      <x:c r="G701" s="47" t="n">
        <x:v>1</x:v>
      </x:c>
      <x:c r="H701" s="47" t="n">
        <x:v>1</x:v>
      </x:c>
      <x:c r="I701" s="47" t="n">
        <x:v>1</x:v>
      </x:c>
      <x:c r="J701" s="47" t="n">
        <x:v>1</x:v>
      </x:c>
      <x:c r="K701" s="47" t="n">
        <x:v>1</x:v>
      </x:c>
      <x:c r="L701" s="47" t="n">
        <x:v>0.9540116975454898</x:v>
      </x:c>
      <x:c r="M701" s="29" t="n">
        <x:v>0</x:v>
      </x:c>
    </x:row>
    <x:row r="702" ht="15" hidden="0" customHeight="1">
      <x:c r="A702" s="27" t="n">
        <x:v>198</x:v>
      </x:c>
      <x:c r="B702" s="27" t="n">
        <x:v>331102</x:v>
      </x:c>
      <x:c r="C702" s="27" t="str">
        <x:v>A1</x:v>
      </x:c>
      <x:c r="D702" s="52" t="n">
        <x:v>2435.6657938204517</x:v>
      </x:c>
      <x:c r="E702" s="46" t="n">
        <x:v>0.9742663175281807</x:v>
      </x:c>
      <x:c r="F702" s="46" t="n">
        <x:v>0.7931474047809581</x:v>
      </x:c>
      <x:c r="G702" s="46" t="n">
        <x:v>1</x:v>
      </x:c>
      <x:c r="H702" s="46" t="n">
        <x:v>1</x:v>
      </x:c>
      <x:c r="I702" s="46" t="n">
        <x:v>1</x:v>
      </x:c>
      <x:c r="J702" s="46" t="n">
        <x:v>1</x:v>
      </x:c>
      <x:c r="K702" s="46" t="n">
        <x:v>1</x:v>
      </x:c>
      <x:c r="L702" s="46" t="n">
        <x:v>0.96822294121496</x:v>
      </x:c>
      <x:c r="M702" s="27" t="n">
        <x:v>0</x:v>
      </x:c>
    </x:row>
    <x:row r="703" ht="15" hidden="0" customHeight="1">
      <x:c r="A703" s="29" t="n">
        <x:v>199</x:v>
      </x:c>
      <x:c r="B703" s="29" t="n">
        <x:v>331103</x:v>
      </x:c>
      <x:c r="C703" s="29" t="str">
        <x:v>A1</x:v>
      </x:c>
      <x:c r="D703" s="53" t="n">
        <x:v>2459.340784560366</x:v>
      </x:c>
      <x:c r="E703" s="47" t="n">
        <x:v>0.9837363138241464</x:v>
      </x:c>
      <x:c r="F703" s="47" t="n">
        <x:v>0.8373631382414628</x:v>
      </x:c>
      <x:c r="G703" s="47" t="n">
        <x:v>1</x:v>
      </x:c>
      <x:c r="H703" s="47" t="n">
        <x:v>1</x:v>
      </x:c>
      <x:c r="I703" s="47" t="n">
        <x:v>1</x:v>
      </x:c>
      <x:c r="J703" s="47" t="n">
        <x:v>1</x:v>
      </x:c>
      <x:c r="K703" s="47" t="n">
        <x:v>1</x:v>
      </x:c>
      <x:c r="L703" s="47" t="n">
        <x:v>0.9799169002634</x:v>
      </x:c>
      <x:c r="M703" s="29" t="n">
        <x:v>0</x:v>
      </x:c>
    </x:row>
    <x:row r="704" ht="15" hidden="0" customHeight="1">
      <x:c r="A704" s="27" t="n">
        <x:v>200</x:v>
      </x:c>
      <x:c r="B704" s="27" t="n">
        <x:v>331104</x:v>
      </x:c>
      <x:c r="C704" s="27" t="str">
        <x:v>A1</x:v>
      </x:c>
      <x:c r="D704" s="52" t="n">
        <x:v>2456.476313032405</x:v>
      </x:c>
      <x:c r="E704" s="46" t="n">
        <x:v>0.982590525212962</x:v>
      </x:c>
      <x:c r="F704" s="46" t="n">
        <x:v>0.82590525212962</x:v>
      </x:c>
      <x:c r="G704" s="46" t="n">
        <x:v>1</x:v>
      </x:c>
      <x:c r="H704" s="46" t="n">
        <x:v>1</x:v>
      </x:c>
      <x:c r="I704" s="46" t="n">
        <x:v>1</x:v>
      </x:c>
      <x:c r="J704" s="46" t="n">
        <x:v>1</x:v>
      </x:c>
      <x:c r="K704" s="46" t="n">
        <x:v>1</x:v>
      </x:c>
      <x:c r="L704" s="46" t="n">
        <x:v>0.9785020311675097</x:v>
      </x:c>
      <x:c r="M704" s="27" t="n">
        <x:v>0</x:v>
      </x:c>
    </x:row>
    <x:row r="705" ht="15" hidden="0" customHeight="1">
      <x:c r="A705" s="29" t="n">
        <x:v>201</x:v>
      </x:c>
      <x:c r="B705" s="29" t="n">
        <x:v>331105</x:v>
      </x:c>
      <x:c r="C705" s="29" t="str">
        <x:v>A1</x:v>
      </x:c>
      <x:c r="D705" s="53" t="n">
        <x:v>2489.6767524815523</x:v>
      </x:c>
      <x:c r="E705" s="47" t="n">
        <x:v>0.9958707009926209</x:v>
      </x:c>
      <x:c r="F705" s="47" t="n">
        <x:v>0.9587070099262089</x:v>
      </x:c>
      <x:c r="G705" s="47" t="n">
        <x:v>1</x:v>
      </x:c>
      <x:c r="H705" s="47" t="n">
        <x:v>1</x:v>
      </x:c>
      <x:c r="I705" s="47" t="n">
        <x:v>1</x:v>
      </x:c>
      <x:c r="J705" s="47" t="n">
        <x:v>1</x:v>
      </x:c>
      <x:c r="K705" s="47" t="n">
        <x:v>1</x:v>
      </x:c>
      <x:c r="L705" s="47" t="n">
        <x:v>0.9949009638460339</x:v>
      </x:c>
      <x:c r="M705" s="29" t="n">
        <x:v>1</x:v>
      </x:c>
    </x:row>
    <x:row r="706" ht="15" hidden="0" customHeight="1">
      <x:c r="A706" s="27" t="n">
        <x:v>202</x:v>
      </x:c>
      <x:c r="B706" s="27" t="n">
        <x:v>331106</x:v>
      </x:c>
      <x:c r="C706" s="27" t="str">
        <x:v>A1</x:v>
      </x:c>
      <x:c r="D706" s="52" t="n">
        <x:v>2430.2498091355924</x:v>
      </x:c>
      <x:c r="E706" s="46" t="n">
        <x:v>0.9720999236542369</x:v>
      </x:c>
      <x:c r="F706" s="46" t="n">
        <x:v>0.7864176640316052</x:v>
      </x:c>
      <x:c r="G706" s="46" t="n">
        <x:v>1</x:v>
      </x:c>
      <x:c r="H706" s="46" t="n">
        <x:v>1</x:v>
      </x:c>
      <x:c r="I706" s="46" t="n">
        <x:v>1</x:v>
      </x:c>
      <x:c r="J706" s="46" t="n">
        <x:v>1</x:v>
      </x:c>
      <x:c r="K706" s="46" t="n">
        <x:v>1</x:v>
      </x:c>
      <x:c r="L706" s="46" t="n">
        <x:v>0.965547784810149</x:v>
      </x:c>
      <x:c r="M706" s="27" t="n">
        <x:v>0</x:v>
      </x:c>
    </x:row>
    <x:row r="707" ht="15" hidden="0" customHeight="1">
      <x:c r="A707" s="29" t="n">
        <x:v>203</x:v>
      </x:c>
      <x:c r="B707" s="29" t="n">
        <x:v>331107</x:v>
      </x:c>
      <x:c r="C707" s="29" t="str">
        <x:v>A1</x:v>
      </x:c>
      <x:c r="D707" s="53" t="n">
        <x:v>2435.325482513341</x:v>
      </x:c>
      <x:c r="E707" s="47" t="n">
        <x:v>0.9741301930053363</x:v>
      </x:c>
      <x:c r="F707" s="47" t="n">
        <x:v>0.7837782287586273</x:v>
      </x:c>
      <x:c r="G707" s="47" t="n">
        <x:v>1</x:v>
      </x:c>
      <x:c r="H707" s="47" t="n">
        <x:v>1</x:v>
      </x:c>
      <x:c r="I707" s="47" t="n">
        <x:v>1</x:v>
      </x:c>
      <x:c r="J707" s="47" t="n">
        <x:v>1</x:v>
      </x:c>
      <x:c r="K707" s="47" t="n">
        <x:v>1</x:v>
      </x:c>
      <x:c r="L707" s="47" t="n">
        <x:v>0.9680548487948702</x:v>
      </x:c>
      <x:c r="M707" s="29" t="n">
        <x:v>0</x:v>
      </x:c>
    </x:row>
    <x:row r="708" ht="15" hidden="0" customHeight="1">
      <x:c r="A708" s="27" t="n">
        <x:v>204</x:v>
      </x:c>
      <x:c r="B708" s="27" t="n">
        <x:v>331108</x:v>
      </x:c>
      <x:c r="C708" s="27" t="str">
        <x:v>A1</x:v>
      </x:c>
      <x:c r="D708" s="52" t="n">
        <x:v>2441.0879739138877</x:v>
      </x:c>
      <x:c r="E708" s="46" t="n">
        <x:v>0.9764351895655551</x:v>
      </x:c>
      <x:c r="F708" s="46" t="n">
        <x:v>0.8181133282806121</x:v>
      </x:c>
      <x:c r="G708" s="46" t="n">
        <x:v>1</x:v>
      </x:c>
      <x:c r="H708" s="46" t="n">
        <x:v>1</x:v>
      </x:c>
      <x:c r="I708" s="46" t="n">
        <x:v>1</x:v>
      </x:c>
      <x:c r="J708" s="46" t="n">
        <x:v>1</x:v>
      </x:c>
      <x:c r="K708" s="46" t="n">
        <x:v>1</x:v>
      </x:c>
      <x:c r="L708" s="46" t="n">
        <x:v>0.9709011577626442</x:v>
      </x:c>
      <x:c r="M708" s="27" t="n">
        <x:v>0</x:v>
      </x:c>
    </x:row>
    <x:row r="709" ht="15" hidden="0" customHeight="1">
      <x:c r="A709" s="29" t="n">
        <x:v>205</x:v>
      </x:c>
      <x:c r="B709" s="29" t="n">
        <x:v>331109</x:v>
      </x:c>
      <x:c r="C709" s="29" t="str">
        <x:v>A1</x:v>
      </x:c>
      <x:c r="D709" s="53" t="n">
        <x:v>2470.50240637019</x:v>
      </x:c>
      <x:c r="E709" s="47" t="n">
        <x:v>0.988200962548076</x:v>
      </x:c>
      <x:c r="F709" s="47" t="n">
        <x:v>0.882009625480759</x:v>
      </x:c>
      <x:c r="G709" s="47" t="n">
        <x:v>1</x:v>
      </x:c>
      <x:c r="H709" s="47" t="n">
        <x:v>1</x:v>
      </x:c>
      <x:c r="I709" s="47" t="n">
        <x:v>1</x:v>
      </x:c>
      <x:c r="J709" s="47" t="n">
        <x:v>1</x:v>
      </x:c>
      <x:c r="K709" s="47" t="n">
        <x:v>1</x:v>
      </x:c>
      <x:c r="L709" s="47" t="n">
        <x:v>0.9854300406820022</x:v>
      </x:c>
      <x:c r="M709" s="29" t="n">
        <x:v>0</x:v>
      </x:c>
    </x:row>
    <x:row r="710" ht="15" hidden="0" customHeight="1">
      <x:c r="A710" s="27" t="n">
        <x:v>206</x:v>
      </x:c>
      <x:c r="B710" s="27" t="n">
        <x:v>331110</x:v>
      </x:c>
      <x:c r="C710" s="27" t="str">
        <x:v>A1</x:v>
      </x:c>
      <x:c r="D710" s="52" t="n">
        <x:v>2458.2006354340715</x:v>
      </x:c>
      <x:c r="E710" s="46" t="n">
        <x:v>0.9832802541736286</x:v>
      </x:c>
      <x:c r="F710" s="46" t="n">
        <x:v>0.8328025417362859</x:v>
      </x:c>
      <x:c r="G710" s="46" t="n">
        <x:v>1</x:v>
      </x:c>
      <x:c r="H710" s="46" t="n">
        <x:v>1</x:v>
      </x:c>
      <x:c r="I710" s="46" t="n">
        <x:v>1</x:v>
      </x:c>
      <x:c r="J710" s="46" t="n">
        <x:v>1</x:v>
      </x:c>
      <x:c r="K710" s="46" t="n">
        <x:v>1</x:v>
      </x:c>
      <x:c r="L710" s="46" t="n">
        <x:v>0.979353738176518</x:v>
      </x:c>
      <x:c r="M710" s="27" t="n">
        <x:v>0</x:v>
      </x:c>
    </x:row>
    <x:row r="711" ht="15" hidden="0" customHeight="1">
      <x:c r="A711" s="29" t="n">
        <x:v>207</x:v>
      </x:c>
      <x:c r="B711" s="29" t="n">
        <x:v>331111</x:v>
      </x:c>
      <x:c r="C711" s="29" t="str">
        <x:v>A1</x:v>
      </x:c>
      <x:c r="D711" s="53" t="n">
        <x:v>2500</x:v>
      </x:c>
      <x:c r="E711" s="47" t="n">
        <x:v>1</x:v>
      </x:c>
      <x:c r="F711" s="47" t="n">
        <x:v>1</x:v>
      </x:c>
      <x:c r="G711" s="47" t="n">
        <x:v>1</x:v>
      </x:c>
      <x:c r="H711" s="47" t="n">
        <x:v>1</x:v>
      </x:c>
      <x:c r="I711" s="47" t="n">
        <x:v>1</x:v>
      </x:c>
      <x:c r="J711" s="47" t="n">
        <x:v>1</x:v>
      </x:c>
      <x:c r="K711" s="47" t="n">
        <x:v>1</x:v>
      </x:c>
      <x:c r="L711" s="47" t="n">
        <x:v>1</x:v>
      </x:c>
      <x:c r="M711" s="29" t="n">
        <x:v>1</x:v>
      </x:c>
    </x:row>
    <x:row r="712" ht="15" hidden="0" customHeight="1">
      <x:c r="A712" s="27" t="n">
        <x:v>208</x:v>
      </x:c>
      <x:c r="B712" s="27" t="n">
        <x:v>331112</x:v>
      </x:c>
      <x:c r="C712" s="27" t="str">
        <x:v>A1</x:v>
      </x:c>
      <x:c r="D712" s="52" t="n">
        <x:v>2500</x:v>
      </x:c>
      <x:c r="E712" s="46" t="n">
        <x:v>1</x:v>
      </x:c>
      <x:c r="F712" s="46" t="n">
        <x:v>1</x:v>
      </x:c>
      <x:c r="G712" s="46" t="n">
        <x:v>1</x:v>
      </x:c>
      <x:c r="H712" s="46" t="n">
        <x:v>1</x:v>
      </x:c>
      <x:c r="I712" s="46" t="n">
        <x:v>1</x:v>
      </x:c>
      <x:c r="J712" s="46" t="n">
        <x:v>1</x:v>
      </x:c>
      <x:c r="K712" s="46" t="n">
        <x:v>1</x:v>
      </x:c>
      <x:c r="L712" s="46" t="n">
        <x:v>1</x:v>
      </x:c>
      <x:c r="M712" s="27" t="n">
        <x:v>1</x:v>
      </x:c>
    </x:row>
    <x:row r="713" ht="15" hidden="0" customHeight="1">
      <x:c r="A713" s="29" t="n">
        <x:v>209</x:v>
      </x:c>
      <x:c r="B713" s="29" t="n">
        <x:v>331113</x:v>
      </x:c>
      <x:c r="C713" s="29" t="str">
        <x:v>A1</x:v>
      </x:c>
      <x:c r="D713" s="53" t="n">
        <x:v>2421.5654630727477</x:v>
      </x:c>
      <x:c r="E713" s="47" t="n">
        <x:v>0.968626185229099</x:v>
      </x:c>
      <x:c r="F713" s="47" t="n">
        <x:v>0.7309666007953706</x:v>
      </x:c>
      <x:c r="G713" s="47" t="n">
        <x:v>1</x:v>
      </x:c>
      <x:c r="H713" s="47" t="n">
        <x:v>1</x:v>
      </x:c>
      <x:c r="I713" s="47" t="n">
        <x:v>1</x:v>
      </x:c>
      <x:c r="J713" s="47" t="n">
        <x:v>1</x:v>
      </x:c>
      <x:c r="K713" s="47" t="n">
        <x:v>1</x:v>
      </x:c>
      <x:c r="L713" s="47" t="n">
        <x:v>0.9612582630807835</x:v>
      </x:c>
      <x:c r="M713" s="29" t="n">
        <x:v>0</x:v>
      </x:c>
    </x:row>
    <x:row r="714" ht="15" hidden="0" customHeight="1">
      <x:c r="A714" s="27" t="n">
        <x:v>210</x:v>
      </x:c>
      <x:c r="B714" s="27" t="n">
        <x:v>331114</x:v>
      </x:c>
      <x:c r="C714" s="27" t="str">
        <x:v>A1</x:v>
      </x:c>
      <x:c r="D714" s="52" t="n">
        <x:v>2468.510334518355</x:v>
      </x:c>
      <x:c r="E714" s="46" t="n">
        <x:v>0.987404133807342</x:v>
      </x:c>
      <x:c r="F714" s="46" t="n">
        <x:v>0.8740413380734194</x:v>
      </x:c>
      <x:c r="G714" s="46" t="n">
        <x:v>1</x:v>
      </x:c>
      <x:c r="H714" s="46" t="n">
        <x:v>1</x:v>
      </x:c>
      <x:c r="I714" s="46" t="n">
        <x:v>1</x:v>
      </x:c>
      <x:c r="J714" s="46" t="n">
        <x:v>1</x:v>
      </x:c>
      <x:c r="K714" s="46" t="n">
        <x:v>1</x:v>
      </x:c>
      <x:c r="L714" s="46" t="n">
        <x:v>0.9844460822546127</x:v>
      </x:c>
      <x:c r="M714" s="27" t="n">
        <x:v>0</x:v>
      </x:c>
    </x:row>
    <x:row r="715" ht="15" hidden="0" customHeight="1">
      <x:c r="A715" s="29" t="n">
        <x:v>211</x:v>
      </x:c>
      <x:c r="B715" s="29" t="n">
        <x:v>331115</x:v>
      </x:c>
      <x:c r="C715" s="29" t="str">
        <x:v>A1</x:v>
      </x:c>
      <x:c r="D715" s="53" t="n">
        <x:v>2387.306734355256</x:v>
      </x:c>
      <x:c r="E715" s="47" t="n">
        <x:v>0.9549226937421025</x:v>
      </x:c>
      <x:c r="F715" s="47" t="n">
        <x:v>0.6464122123483171</x:v>
      </x:c>
      <x:c r="G715" s="47" t="n">
        <x:v>1</x:v>
      </x:c>
      <x:c r="H715" s="47" t="n">
        <x:v>1</x:v>
      </x:c>
      <x:c r="I715" s="47" t="n">
        <x:v>1</x:v>
      </x:c>
      <x:c r="J715" s="47" t="n">
        <x:v>1</x:v>
      </x:c>
      <x:c r="K715" s="47" t="n">
        <x:v>1</x:v>
      </x:c>
      <x:c r="L715" s="47" t="n">
        <x:v>0.9443366019458316</x:v>
      </x:c>
      <x:c r="M715" s="29" t="n">
        <x:v>0</x:v>
      </x:c>
    </x:row>
    <x:row r="716" ht="15" hidden="0" customHeight="1">
      <x:c r="A716" s="27" t="n">
        <x:v>212</x:v>
      </x:c>
      <x:c r="B716" s="27" t="n">
        <x:v>331116</x:v>
      </x:c>
      <x:c r="C716" s="27" t="str">
        <x:v>A1</x:v>
      </x:c>
      <x:c r="D716" s="52" t="n">
        <x:v>2433.418485467041</x:v>
      </x:c>
      <x:c r="E716" s="46" t="n">
        <x:v>0.9733673941868165</x:v>
      </x:c>
      <x:c r="F716" s="46" t="n">
        <x:v>0.7963338058780396</x:v>
      </x:c>
      <x:c r="G716" s="46" t="n">
        <x:v>1</x:v>
      </x:c>
      <x:c r="H716" s="46" t="n">
        <x:v>1</x:v>
      </x:c>
      <x:c r="I716" s="46" t="n">
        <x:v>1</x:v>
      </x:c>
      <x:c r="J716" s="46" t="n">
        <x:v>1</x:v>
      </x:c>
      <x:c r="K716" s="46" t="n">
        <x:v>1</x:v>
      </x:c>
      <x:c r="L716" s="46" t="n">
        <x:v>0.9671129119801991</x:v>
      </x:c>
      <x:c r="M716" s="27" t="n">
        <x:v>0</x:v>
      </x:c>
    </x:row>
    <x:row r="717" ht="15" hidden="0" customHeight="1">
      <x:c r="A717" s="29" t="n">
        <x:v>213</x:v>
      </x:c>
      <x:c r="B717" s="29" t="n">
        <x:v>331117</x:v>
      </x:c>
      <x:c r="C717" s="29" t="str">
        <x:v>A1</x:v>
      </x:c>
      <x:c r="D717" s="53" t="n">
        <x:v>2473.3624100278257</x:v>
      </x:c>
      <x:c r="E717" s="47" t="n">
        <x:v>0.9893449640111303</x:v>
      </x:c>
      <x:c r="F717" s="47" t="n">
        <x:v>0.9082436136600336</x:v>
      </x:c>
      <x:c r="G717" s="47" t="n">
        <x:v>1</x:v>
      </x:c>
      <x:c r="H717" s="47" t="n">
        <x:v>1</x:v>
      </x:c>
      <x:c r="I717" s="47" t="n">
        <x:v>1</x:v>
      </x:c>
      <x:c r="J717" s="47" t="n">
        <x:v>1</x:v>
      </x:c>
      <x:c r="K717" s="47" t="n">
        <x:v>1</x:v>
      </x:c>
      <x:c r="L717" s="47" t="n">
        <x:v>0.9868427029304564</x:v>
      </x:c>
      <x:c r="M717" s="29" t="n">
        <x:v>0</x:v>
      </x:c>
    </x:row>
    <x:row r="718" ht="15" hidden="0" customHeight="1">
      <x:c r="A718" s="27" t="n">
        <x:v>214</x:v>
      </x:c>
      <x:c r="B718" s="27" t="n">
        <x:v>331118</x:v>
      </x:c>
      <x:c r="C718" s="27" t="str">
        <x:v>A1</x:v>
      </x:c>
      <x:c r="D718" s="52" t="n">
        <x:v>2421.087825007594</x:v>
      </x:c>
      <x:c r="E718" s="46" t="n">
        <x:v>0.9684351300030376</x:v>
      </x:c>
      <x:c r="F718" s="46" t="n">
        <x:v>0.7143429478102308</x:v>
      </x:c>
      <x:c r="G718" s="46" t="n">
        <x:v>1</x:v>
      </x:c>
      <x:c r="H718" s="46" t="n">
        <x:v>1</x:v>
      </x:c>
      <x:c r="I718" s="46" t="n">
        <x:v>1</x:v>
      </x:c>
      <x:c r="J718" s="46" t="n">
        <x:v>1</x:v>
      </x:c>
      <x:c r="K718" s="46" t="n">
        <x:v>1</x:v>
      </x:c>
      <x:c r="L718" s="46" t="n">
        <x:v>0.9610223398639492</x:v>
      </x:c>
      <x:c r="M718" s="27" t="n">
        <x:v>0</x:v>
      </x:c>
    </x:row>
    <x:row r="719" ht="15" hidden="0" customHeight="1">
      <x:c r="A719" s="29" t="n">
        <x:v>215</x:v>
      </x:c>
      <x:c r="B719" s="29" t="n">
        <x:v>331119</x:v>
      </x:c>
      <x:c r="C719" s="29" t="str">
        <x:v>A1</x:v>
      </x:c>
      <x:c r="D719" s="53" t="n">
        <x:v>2412.0348387818904</x:v>
      </x:c>
      <x:c r="E719" s="47" t="n">
        <x:v>0.9648139355127562</x:v>
      </x:c>
      <x:c r="F719" s="47" t="n">
        <x:v>0.6870649846392632</x:v>
      </x:c>
      <x:c r="G719" s="47" t="n">
        <x:v>1</x:v>
      </x:c>
      <x:c r="H719" s="47" t="n">
        <x:v>1</x:v>
      </x:c>
      <x:c r="I719" s="47" t="n">
        <x:v>1</x:v>
      </x:c>
      <x:c r="J719" s="47" t="n">
        <x:v>1</x:v>
      </x:c>
      <x:c r="K719" s="47" t="n">
        <x:v>1</x:v>
      </x:c>
      <x:c r="L719" s="47" t="n">
        <x:v>0.9565507330383134</x:v>
      </x:c>
      <x:c r="M719" s="29" t="n">
        <x:v>0</x:v>
      </x:c>
    </x:row>
    <x:row r="720" ht="15" hidden="0" customHeight="1">
      <x:c r="A720" s="27" t="n">
        <x:v>216</x:v>
      </x:c>
      <x:c r="B720" s="27" t="n">
        <x:v>331120</x:v>
      </x:c>
      <x:c r="C720" s="27" t="str">
        <x:v>A1</x:v>
      </x:c>
      <x:c r="D720" s="52" t="n">
        <x:v>2411.536906224053</x:v>
      </x:c>
      <x:c r="E720" s="46" t="n">
        <x:v>0.9646147624896212</x:v>
      </x:c>
      <x:c r="F720" s="46" t="n">
        <x:v>0.6496316801054801</x:v>
      </x:c>
      <x:c r="G720" s="46" t="n">
        <x:v>1</x:v>
      </x:c>
      <x:c r="H720" s="46" t="n">
        <x:v>1</x:v>
      </x:c>
      <x:c r="I720" s="46" t="n">
        <x:v>1</x:v>
      </x:c>
      <x:c r="J720" s="46" t="n">
        <x:v>1</x:v>
      </x:c>
      <x:c r="K720" s="46" t="n">
        <x:v>1</x:v>
      </x:c>
      <x:c r="L720" s="46" t="n">
        <x:v>0.9563047856162341</x:v>
      </x:c>
      <x:c r="M720" s="27" t="n">
        <x:v>0</x:v>
      </x:c>
    </x:row>
    <x:row r="721" ht="15" hidden="0" customHeight="1">
      <x:c r="A721" s="29" t="n">
        <x:v>217</x:v>
      </x:c>
      <x:c r="B721" s="29" t="n">
        <x:v>331121</x:v>
      </x:c>
      <x:c r="C721" s="29" t="str">
        <x:v>A1</x:v>
      </x:c>
      <x:c r="D721" s="53" t="n">
        <x:v>2497.2249165433063</x:v>
      </x:c>
      <x:c r="E721" s="47" t="n">
        <x:v>0.9988899666173225</x:v>
      </x:c>
      <x:c r="F721" s="47" t="n">
        <x:v>0.9888996661732247</x:v>
      </x:c>
      <x:c r="G721" s="47" t="n">
        <x:v>1</x:v>
      </x:c>
      <x:c r="H721" s="47" t="n">
        <x:v>1</x:v>
      </x:c>
      <x:c r="I721" s="47" t="n">
        <x:v>1</x:v>
      </x:c>
      <x:c r="J721" s="47" t="n">
        <x:v>1</x:v>
      </x:c>
      <x:c r="K721" s="47" t="n">
        <x:v>1</x:v>
      </x:c>
      <x:c r="L721" s="47" t="n">
        <x:v>0.9986292829993014</x:v>
      </x:c>
      <x:c r="M721" s="29" t="n">
        <x:v>1</x:v>
      </x:c>
    </x:row>
    <x:row r="722" ht="15" hidden="0" customHeight="1">
      <x:c r="A722" s="27" t="n">
        <x:v>218</x:v>
      </x:c>
      <x:c r="B722" s="27" t="n">
        <x:v>331122</x:v>
      </x:c>
      <x:c r="C722" s="27" t="str">
        <x:v>A1</x:v>
      </x:c>
      <x:c r="D722" s="52" t="n">
        <x:v>2438.492250215935</x:v>
      </x:c>
      <x:c r="E722" s="46" t="n">
        <x:v>0.975396900086374</x:v>
      </x:c>
      <x:c r="F722" s="46" t="n">
        <x:v>0.7696546878312387</x:v>
      </x:c>
      <x:c r="G722" s="46" t="n">
        <x:v>1</x:v>
      </x:c>
      <x:c r="H722" s="46" t="n">
        <x:v>1</x:v>
      </x:c>
      <x:c r="I722" s="46" t="n">
        <x:v>1</x:v>
      </x:c>
      <x:c r="J722" s="46" t="n">
        <x:v>1</x:v>
      </x:c>
      <x:c r="K722" s="46" t="n">
        <x:v>1</x:v>
      </x:c>
      <x:c r="L722" s="46" t="n">
        <x:v>0.969619033222095</x:v>
      </x:c>
      <x:c r="M722" s="27" t="n">
        <x:v>0</x:v>
      </x:c>
    </x:row>
    <x:row r="723" ht="15" hidden="0" customHeight="1">
      <x:c r="A723" s="29" t="n">
        <x:v>219</x:v>
      </x:c>
      <x:c r="B723" s="29" t="n">
        <x:v>331123</x:v>
      </x:c>
      <x:c r="C723" s="29" t="str">
        <x:v>A1</x:v>
      </x:c>
      <x:c r="D723" s="53" t="n">
        <x:v>2420.6722096624158</x:v>
      </x:c>
      <x:c r="E723" s="47" t="n">
        <x:v>0.9682688838649663</x:v>
      </x:c>
      <x:c r="F723" s="47" t="n">
        <x:v>0.6992419006424353</x:v>
      </x:c>
      <x:c r="G723" s="47" t="n">
        <x:v>1</x:v>
      </x:c>
      <x:c r="H723" s="47" t="n">
        <x:v>1</x:v>
      </x:c>
      <x:c r="I723" s="47" t="n">
        <x:v>1</x:v>
      </x:c>
      <x:c r="J723" s="47" t="n">
        <x:v>1</x:v>
      </x:c>
      <x:c r="K723" s="47" t="n">
        <x:v>1</x:v>
      </x:c>
      <x:c r="L723" s="47" t="n">
        <x:v>0.9608170519768362</x:v>
      </x:c>
      <x:c r="M723" s="29" t="n">
        <x:v>0</x:v>
      </x:c>
    </x:row>
    <x:row r="724" ht="15" hidden="0" customHeight="1">
      <x:c r="A724" s="27" t="n">
        <x:v>220</x:v>
      </x:c>
      <x:c r="B724" s="27" t="n">
        <x:v>331124</x:v>
      </x:c>
      <x:c r="C724" s="27" t="str">
        <x:v>A1</x:v>
      </x:c>
      <x:c r="D724" s="52" t="n">
        <x:v>2427.6852006882614</x:v>
      </x:c>
      <x:c r="E724" s="46" t="n">
        <x:v>0.9710740802753045</x:v>
      </x:c>
      <x:c r="F724" s="46" t="n">
        <x:v>0.7441167267784822</x:v>
      </x:c>
      <x:c r="G724" s="46" t="n">
        <x:v>1</x:v>
      </x:c>
      <x:c r="H724" s="46" t="n">
        <x:v>1</x:v>
      </x:c>
      <x:c r="I724" s="46" t="n">
        <x:v>1</x:v>
      </x:c>
      <x:c r="J724" s="46" t="n">
        <x:v>1</x:v>
      </x:c>
      <x:c r="K724" s="46" t="n">
        <x:v>1</x:v>
      </x:c>
      <x:c r="L724" s="46" t="n">
        <x:v>0.964281029249911</x:v>
      </x:c>
      <x:c r="M724" s="27" t="n">
        <x:v>0</x:v>
      </x:c>
    </x:row>
    <x:row r="725" ht="15" hidden="0" customHeight="1">
      <x:c r="A725" s="29" t="n">
        <x:v>221</x:v>
      </x:c>
      <x:c r="B725" s="29" t="n">
        <x:v>331125</x:v>
      </x:c>
      <x:c r="C725" s="29" t="str">
        <x:v>A1</x:v>
      </x:c>
      <x:c r="D725" s="53" t="n">
        <x:v>2481.584537738343</x:v>
      </x:c>
      <x:c r="E725" s="47" t="n">
        <x:v>0.9926338150953372</x:v>
      </x:c>
      <x:c r="F725" s="47" t="n">
        <x:v>0.9263381509533712</x:v>
      </x:c>
      <x:c r="G725" s="47" t="n">
        <x:v>1</x:v>
      </x:c>
      <x:c r="H725" s="47" t="n">
        <x:v>1</x:v>
      </x:c>
      <x:c r="I725" s="47" t="n">
        <x:v>1</x:v>
      </x:c>
      <x:c r="J725" s="47" t="n">
        <x:v>1</x:v>
      </x:c>
      <x:c r="K725" s="47" t="n">
        <x:v>1</x:v>
      </x:c>
      <x:c r="L725" s="47" t="n">
        <x:v>0.9909039178130343</x:v>
      </x:c>
      <x:c r="M725" s="29" t="n">
        <x:v>0</x:v>
      </x:c>
    </x:row>
    <x:row r="726" ht="15" hidden="0" customHeight="1">
      <x:c r="A726" s="27" t="n">
        <x:v>222</x:v>
      </x:c>
      <x:c r="B726" s="27" t="n">
        <x:v>331126</x:v>
      </x:c>
      <x:c r="C726" s="27" t="str">
        <x:v>A1</x:v>
      </x:c>
      <x:c r="D726" s="52" t="n">
        <x:v>2422.8014106398527</x:v>
      </x:c>
      <x:c r="E726" s="46" t="n">
        <x:v>0.9691205642559411</x:v>
      </x:c>
      <x:c r="F726" s="46" t="n">
        <x:v>0.7772838048966163</x:v>
      </x:c>
      <x:c r="G726" s="46" t="n">
        <x:v>1</x:v>
      </x:c>
      <x:c r="H726" s="46" t="n">
        <x:v>1</x:v>
      </x:c>
      <x:c r="I726" s="46" t="n">
        <x:v>1</x:v>
      </x:c>
      <x:c r="J726" s="46" t="n">
        <x:v>1</x:v>
      </x:c>
      <x:c r="K726" s="46" t="n">
        <x:v>1</x:v>
      </x:c>
      <x:c r="L726" s="46" t="n">
        <x:v>0.9618687435829526</x:v>
      </x:c>
      <x:c r="M726" s="27" t="n">
        <x:v>0</x:v>
      </x:c>
    </x:row>
    <x:row r="727" ht="15" hidden="0" customHeight="1">
      <x:c r="A727" s="29" t="n">
        <x:v>223</x:v>
      </x:c>
      <x:c r="B727" s="29" t="n">
        <x:v>331127</x:v>
      </x:c>
      <x:c r="C727" s="29" t="str">
        <x:v>A1</x:v>
      </x:c>
      <x:c r="D727" s="53" t="n">
        <x:v>2497.6846179064323</x:v>
      </x:c>
      <x:c r="E727" s="47" t="n">
        <x:v>0.999073847162573</x:v>
      </x:c>
      <x:c r="F727" s="47" t="n">
        <x:v>0.9907384716257295</x:v>
      </x:c>
      <x:c r="G727" s="47" t="n">
        <x:v>1</x:v>
      </x:c>
      <x:c r="H727" s="47" t="n">
        <x:v>1</x:v>
      </x:c>
      <x:c r="I727" s="47" t="n">
        <x:v>1</x:v>
      </x:c>
      <x:c r="J727" s="47" t="n">
        <x:v>1</x:v>
      </x:c>
      <x:c r="K727" s="47" t="n">
        <x:v>1</x:v>
      </x:c>
      <x:c r="L727" s="47" t="n">
        <x:v>0.9988563466114466</x:v>
      </x:c>
      <x:c r="M727" s="29" t="n">
        <x:v>1</x:v>
      </x:c>
    </x:row>
    <x:row r="728" ht="15" hidden="0" customHeight="1">
      <x:c r="A728" s="27" t="n">
        <x:v>224</x:v>
      </x:c>
      <x:c r="B728" s="27" t="n">
        <x:v>331128</x:v>
      </x:c>
      <x:c r="C728" s="27" t="str">
        <x:v>A1</x:v>
      </x:c>
      <x:c r="D728" s="52" t="n">
        <x:v>2427.78050713231</x:v>
      </x:c>
      <x:c r="E728" s="46" t="n">
        <x:v>0.971112202852924</x:v>
      </x:c>
      <x:c r="F728" s="46" t="n">
        <x:v>0.8098747888963475</x:v>
      </x:c>
      <x:c r="G728" s="46" t="n">
        <x:v>1</x:v>
      </x:c>
      <x:c r="H728" s="46" t="n">
        <x:v>1</x:v>
      </x:c>
      <x:c r="I728" s="46" t="n">
        <x:v>1</x:v>
      </x:c>
      <x:c r="J728" s="46" t="n">
        <x:v>1</x:v>
      </x:c>
      <x:c r="K728" s="46" t="n">
        <x:v>1</x:v>
      </x:c>
      <x:c r="L728" s="46" t="n">
        <x:v>0.9643281046496862</x:v>
      </x:c>
      <x:c r="M728" s="27" t="n">
        <x:v>0</x:v>
      </x:c>
    </x:row>
    <x:row r="729" ht="15" hidden="0" customHeight="1">
      <x:c r="A729" s="29" t="n">
        <x:v>225</x:v>
      </x:c>
      <x:c r="B729" s="29" t="n">
        <x:v>331129</x:v>
      </x:c>
      <x:c r="C729" s="29" t="str">
        <x:v>A1</x:v>
      </x:c>
      <x:c r="D729" s="53" t="n">
        <x:v>2500</x:v>
      </x:c>
      <x:c r="E729" s="47" t="n">
        <x:v>1</x:v>
      </x:c>
      <x:c r="F729" s="47" t="n">
        <x:v>1</x:v>
      </x:c>
      <x:c r="G729" s="47" t="n">
        <x:v>1</x:v>
      </x:c>
      <x:c r="H729" s="47" t="n">
        <x:v>1</x:v>
      </x:c>
      <x:c r="I729" s="47" t="n">
        <x:v>1</x:v>
      </x:c>
      <x:c r="J729" s="47" t="n">
        <x:v>1</x:v>
      </x:c>
      <x:c r="K729" s="47" t="n">
        <x:v>1</x:v>
      </x:c>
      <x:c r="L729" s="47" t="n">
        <x:v>1</x:v>
      </x:c>
      <x:c r="M729" s="29" t="n">
        <x:v>1</x:v>
      </x:c>
    </x:row>
    <x:row r="730" ht="15" hidden="0" customHeight="1">
      <x:c r="A730" s="27" t="n">
        <x:v>226</x:v>
      </x:c>
      <x:c r="B730" s="27" t="n">
        <x:v>331130</x:v>
      </x:c>
      <x:c r="C730" s="27" t="str">
        <x:v>A1</x:v>
      </x:c>
      <x:c r="D730" s="52" t="n">
        <x:v>2500</x:v>
      </x:c>
      <x:c r="E730" s="46" t="n">
        <x:v>1</x:v>
      </x:c>
      <x:c r="F730" s="46" t="n">
        <x:v>1</x:v>
      </x:c>
      <x:c r="G730" s="46" t="n">
        <x:v>1</x:v>
      </x:c>
      <x:c r="H730" s="46" t="n">
        <x:v>1</x:v>
      </x:c>
      <x:c r="I730" s="46" t="n">
        <x:v>1</x:v>
      </x:c>
      <x:c r="J730" s="46" t="n">
        <x:v>1</x:v>
      </x:c>
      <x:c r="K730" s="46" t="n">
        <x:v>1</x:v>
      </x:c>
      <x:c r="L730" s="46" t="n">
        <x:v>1</x:v>
      </x:c>
      <x:c r="M730" s="27" t="n">
        <x:v>1</x:v>
      </x:c>
    </x:row>
    <x:row r="731" ht="15" hidden="0" customHeight="1">
      <x:c r="A731" s="29" t="n">
        <x:v>227</x:v>
      </x:c>
      <x:c r="B731" s="29" t="n">
        <x:v>331131</x:v>
      </x:c>
      <x:c r="C731" s="29" t="str">
        <x:v>A1</x:v>
      </x:c>
      <x:c r="D731" s="53" t="n">
        <x:v>2491.7895989938706</x:v>
      </x:c>
      <x:c r="E731" s="47" t="n">
        <x:v>0.9967158395975483</x:v>
      </x:c>
      <x:c r="F731" s="47" t="n">
        <x:v>0.9671583959754821</x:v>
      </x:c>
      <x:c r="G731" s="47" t="n">
        <x:v>1</x:v>
      </x:c>
      <x:c r="H731" s="47" t="n">
        <x:v>1</x:v>
      </x:c>
      <x:c r="I731" s="47" t="n">
        <x:v>1</x:v>
      </x:c>
      <x:c r="J731" s="47" t="n">
        <x:v>1</x:v>
      </x:c>
      <x:c r="K731" s="47" t="n">
        <x:v>1</x:v>
      </x:c>
      <x:c r="L731" s="47" t="n">
        <x:v>0.9959445773731569</x:v>
      </x:c>
      <x:c r="M731" s="29" t="n">
        <x:v>1</x:v>
      </x:c>
    </x:row>
    <x:row r="732" ht="15" hidden="0" customHeight="1">
      <x:c r="A732" s="27" t="n">
        <x:v>228</x:v>
      </x:c>
      <x:c r="B732" s="27" t="n">
        <x:v>331132</x:v>
      </x:c>
      <x:c r="C732" s="27" t="str">
        <x:v>A1</x:v>
      </x:c>
      <x:c r="D732" s="52" t="n">
        <x:v>2500</x:v>
      </x:c>
      <x:c r="E732" s="46" t="n">
        <x:v>1</x:v>
      </x:c>
      <x:c r="F732" s="46" t="n">
        <x:v>1</x:v>
      </x:c>
      <x:c r="G732" s="46" t="n">
        <x:v>1</x:v>
      </x:c>
      <x:c r="H732" s="46" t="n">
        <x:v>1</x:v>
      </x:c>
      <x:c r="I732" s="46" t="n">
        <x:v>1</x:v>
      </x:c>
      <x:c r="J732" s="46" t="n">
        <x:v>1</x:v>
      </x:c>
      <x:c r="K732" s="46" t="n">
        <x:v>1</x:v>
      </x:c>
      <x:c r="L732" s="46" t="n">
        <x:v>1</x:v>
      </x:c>
      <x:c r="M732" s="27" t="n">
        <x:v>1</x:v>
      </x:c>
    </x:row>
    <x:row r="733" ht="15" hidden="0" customHeight="1">
      <x:c r="A733" s="29" t="n">
        <x:v>229</x:v>
      </x:c>
      <x:c r="B733" s="29" t="n">
        <x:v>331133</x:v>
      </x:c>
      <x:c r="C733" s="29" t="str">
        <x:v>A1</x:v>
      </x:c>
      <x:c r="D733" s="53" t="n">
        <x:v>2492.630807547124</x:v>
      </x:c>
      <x:c r="E733" s="47" t="n">
        <x:v>0.9970523230188495</x:v>
      </x:c>
      <x:c r="F733" s="47" t="n">
        <x:v>0.9728550475985673</x:v>
      </x:c>
      <x:c r="G733" s="47" t="n">
        <x:v>1</x:v>
      </x:c>
      <x:c r="H733" s="47" t="n">
        <x:v>1</x:v>
      </x:c>
      <x:c r="I733" s="47" t="n">
        <x:v>1</x:v>
      </x:c>
      <x:c r="J733" s="47" t="n">
        <x:v>1</x:v>
      </x:c>
      <x:c r="K733" s="47" t="n">
        <x:v>1</x:v>
      </x:c>
      <x:c r="L733" s="47" t="n">
        <x:v>0.9963600815852179</x:v>
      </x:c>
      <x:c r="M733" s="29" t="n">
        <x:v>1</x:v>
      </x:c>
    </x:row>
    <x:row r="734" ht="15" hidden="0" customHeight="1">
      <x:c r="A734" s="27" t="n">
        <x:v>230</x:v>
      </x:c>
      <x:c r="B734" s="27" t="n">
        <x:v>331134</x:v>
      </x:c>
      <x:c r="C734" s="27" t="str">
        <x:v>A1</x:v>
      </x:c>
      <x:c r="D734" s="52" t="n">
        <x:v>2499.7395356286706</x:v>
      </x:c>
      <x:c r="E734" s="46" t="n">
        <x:v>0.9998958142514682</x:v>
      </x:c>
      <x:c r="F734" s="46" t="n">
        <x:v>0.9989581425146821</x:v>
      </x:c>
      <x:c r="G734" s="46" t="n">
        <x:v>1</x:v>
      </x:c>
      <x:c r="H734" s="46" t="n">
        <x:v>1</x:v>
      </x:c>
      <x:c r="I734" s="46" t="n">
        <x:v>1</x:v>
      </x:c>
      <x:c r="J734" s="46" t="n">
        <x:v>1</x:v>
      </x:c>
      <x:c r="K734" s="46" t="n">
        <x:v>1</x:v>
      </x:c>
      <x:c r="L734" s="46" t="n">
        <x:v>0.9998713469531892</x:v>
      </x:c>
      <x:c r="M734" s="27" t="n">
        <x:v>1</x:v>
      </x:c>
    </x:row>
    <x:row r="735" ht="15" hidden="0" customHeight="1">
      <x:c r="A735" s="29" t="n">
        <x:v>231</x:v>
      </x:c>
      <x:c r="B735" s="29" t="n">
        <x:v>331135</x:v>
      </x:c>
      <x:c r="C735" s="29" t="str">
        <x:v>A1</x:v>
      </x:c>
      <x:c r="D735" s="53" t="n">
        <x:v>2464.4406420070486</x:v>
      </x:c>
      <x:c r="E735" s="47" t="n">
        <x:v>0.9857762568028194</x:v>
      </x:c>
      <x:c r="F735" s="47" t="n">
        <x:v>0.85971085599348</x:v>
      </x:c>
      <x:c r="G735" s="47" t="n">
        <x:v>1</x:v>
      </x:c>
      <x:c r="H735" s="47" t="n">
        <x:v>1</x:v>
      </x:c>
      <x:c r="I735" s="47" t="n">
        <x:v>1</x:v>
      </x:c>
      <x:c r="J735" s="47" t="n">
        <x:v>1</x:v>
      </x:c>
      <x:c r="K735" s="47" t="n">
        <x:v>1</x:v>
      </x:c>
      <x:c r="L735" s="47" t="n">
        <x:v>0.9824359096598364</x:v>
      </x:c>
      <x:c r="M735" s="29" t="n">
        <x:v>0</x:v>
      </x:c>
    </x:row>
    <x:row r="736" ht="15" hidden="0" customHeight="1">
      <x:c r="A736" s="27" t="n">
        <x:v>232</x:v>
      </x:c>
      <x:c r="B736" s="27" t="n">
        <x:v>331136</x:v>
      </x:c>
      <x:c r="C736" s="27" t="str">
        <x:v>A1</x:v>
      </x:c>
      <x:c r="D736" s="52" t="n">
        <x:v>2453.261287665596</x:v>
      </x:c>
      <x:c r="E736" s="46" t="n">
        <x:v>0.9813045150662383</x:v>
      </x:c>
      <x:c r="F736" s="46" t="n">
        <x:v>0.831037536205989</x:v>
      </x:c>
      <x:c r="G736" s="46" t="n">
        <x:v>1</x:v>
      </x:c>
      <x:c r="H736" s="46" t="n">
        <x:v>1</x:v>
      </x:c>
      <x:c r="I736" s="46" t="n">
        <x:v>1</x:v>
      </x:c>
      <x:c r="J736" s="46" t="n">
        <x:v>1</x:v>
      </x:c>
      <x:c r="K736" s="46" t="n">
        <x:v>1</x:v>
      </x:c>
      <x:c r="L736" s="46" t="n">
        <x:v>0.9769140104839036</x:v>
      </x:c>
      <x:c r="M736" s="27" t="n">
        <x:v>0</x:v>
      </x:c>
    </x:row>
    <x:row r="737" ht="15" hidden="0" customHeight="1">
      <x:c r="A737" s="29" t="n">
        <x:v>233</x:v>
      </x:c>
      <x:c r="B737" s="29" t="n">
        <x:v>331137</x:v>
      </x:c>
      <x:c r="C737" s="29" t="str">
        <x:v>A1</x:v>
      </x:c>
      <x:c r="D737" s="53" t="n">
        <x:v>2385.5705178741578</x:v>
      </x:c>
      <x:c r="E737" s="47" t="n">
        <x:v>0.954228207149663</x:v>
      </x:c>
      <x:c r="F737" s="47" t="n">
        <x:v>0.6753790292659628</x:v>
      </x:c>
      <x:c r="G737" s="47" t="n">
        <x:v>1</x:v>
      </x:c>
      <x:c r="H737" s="47" t="n">
        <x:v>1</x:v>
      </x:c>
      <x:c r="I737" s="47" t="n">
        <x:v>1</x:v>
      </x:c>
      <x:c r="J737" s="47" t="n">
        <x:v>1</x:v>
      </x:c>
      <x:c r="K737" s="47" t="n">
        <x:v>1</x:v>
      </x:c>
      <x:c r="L737" s="47" t="n">
        <x:v>0.9434790200083247</x:v>
      </x:c>
      <x:c r="M737" s="29" t="n">
        <x:v>0</x:v>
      </x:c>
    </x:row>
    <x:row r="738" ht="15" hidden="0" customHeight="1">
      <x:c r="A738" s="27" t="n">
        <x:v>234</x:v>
      </x:c>
      <x:c r="B738" s="27" t="n">
        <x:v>331138</x:v>
      </x:c>
      <x:c r="C738" s="27" t="str">
        <x:v>A1</x:v>
      </x:c>
      <x:c r="D738" s="52" t="n">
        <x:v>2442.4334000282784</x:v>
      </x:c>
      <x:c r="E738" s="46" t="n">
        <x:v>0.9769733600113113</x:v>
      </x:c>
      <x:c r="F738" s="46" t="n">
        <x:v>0.8093726268661148</x:v>
      </x:c>
      <x:c r="G738" s="46" t="n">
        <x:v>1</x:v>
      </x:c>
      <x:c r="H738" s="46" t="n">
        <x:v>1</x:v>
      </x:c>
      <x:c r="I738" s="46" t="n">
        <x:v>1</x:v>
      </x:c>
      <x:c r="J738" s="46" t="n">
        <x:v>1</x:v>
      </x:c>
      <x:c r="K738" s="46" t="n">
        <x:v>1</x:v>
      </x:c>
      <x:c r="L738" s="46" t="n">
        <x:v>0.9715657137938262</x:v>
      </x:c>
      <x:c r="M738" s="27" t="n">
        <x:v>0</x:v>
      </x:c>
    </x:row>
    <x:row r="739" ht="15" hidden="0" customHeight="1">
      <x:c r="A739" s="29" t="n">
        <x:v>235</x:v>
      </x:c>
      <x:c r="B739" s="29" t="n">
        <x:v>331139</x:v>
      </x:c>
      <x:c r="C739" s="29" t="str">
        <x:v>A1</x:v>
      </x:c>
      <x:c r="D739" s="53" t="n">
        <x:v>2449.243462569493</x:v>
      </x:c>
      <x:c r="E739" s="47" t="n">
        <x:v>0.9796973850277972</x:v>
      </x:c>
      <x:c r="F739" s="47" t="n">
        <x:v>0.8051316940605051</x:v>
      </x:c>
      <x:c r="G739" s="47" t="n">
        <x:v>1</x:v>
      </x:c>
      <x:c r="H739" s="47" t="n">
        <x:v>1</x:v>
      </x:c>
      <x:c r="I739" s="47" t="n">
        <x:v>1</x:v>
      </x:c>
      <x:c r="J739" s="47" t="n">
        <x:v>1</x:v>
      </x:c>
      <x:c r="K739" s="47" t="n">
        <x:v>1</x:v>
      </x:c>
      <x:c r="L739" s="47" t="n">
        <x:v>0.9749294571358675</x:v>
      </x:c>
      <x:c r="M739" s="29" t="n">
        <x:v>0</x:v>
      </x:c>
    </x:row>
    <x:row r="740" ht="15" hidden="0" customHeight="1">
      <x:c r="A740" s="27" t="n">
        <x:v>236</x:v>
      </x:c>
      <x:c r="B740" s="27" t="n">
        <x:v>331140</x:v>
      </x:c>
      <x:c r="C740" s="27" t="str">
        <x:v>A1</x:v>
      </x:c>
      <x:c r="D740" s="52" t="n">
        <x:v>2471.483368875876</x:v>
      </x:c>
      <x:c r="E740" s="46" t="n">
        <x:v>0.9885933475503503</x:v>
      </x:c>
      <x:c r="F740" s="46" t="n">
        <x:v>0.8859334755035029</x:v>
      </x:c>
      <x:c r="G740" s="46" t="n">
        <x:v>1</x:v>
      </x:c>
      <x:c r="H740" s="46" t="n">
        <x:v>1</x:v>
      </x:c>
      <x:c r="I740" s="46" t="n">
        <x:v>1</x:v>
      </x:c>
      <x:c r="J740" s="46" t="n">
        <x:v>1</x:v>
      </x:c>
      <x:c r="K740" s="46" t="n">
        <x:v>1</x:v>
      </x:c>
      <x:c r="L740" s="46" t="n">
        <x:v>0.9859145745724509</x:v>
      </x:c>
      <x:c r="M740" s="27" t="n">
        <x:v>0</x:v>
      </x:c>
    </x:row>
    <x:row r="741" ht="15" hidden="0" customHeight="1">
      <x:c r="A741" s="29" t="n">
        <x:v>237</x:v>
      </x:c>
      <x:c r="B741" s="29" t="n">
        <x:v>331141</x:v>
      </x:c>
      <x:c r="C741" s="29" t="str">
        <x:v>A1</x:v>
      </x:c>
      <x:c r="D741" s="53" t="n">
        <x:v>2399.349783220009</x:v>
      </x:c>
      <x:c r="E741" s="47" t="n">
        <x:v>0.9597399132880037</x:v>
      </x:c>
      <x:c r="F741" s="47" t="n">
        <x:v>0.7392967464539385</x:v>
      </x:c>
      <x:c r="G741" s="47" t="n">
        <x:v>1</x:v>
      </x:c>
      <x:c r="H741" s="47" t="n">
        <x:v>1</x:v>
      </x:c>
      <x:c r="I741" s="47" t="n">
        <x:v>1</x:v>
      </x:c>
      <x:c r="J741" s="47" t="n">
        <x:v>1</x:v>
      </x:c>
      <x:c r="K741" s="47" t="n">
        <x:v>1</x:v>
      </x:c>
      <x:c r="L741" s="47" t="n">
        <x:v>0.9502851119913012</x:v>
      </x:c>
      <x:c r="M741" s="29" t="n">
        <x:v>0</x:v>
      </x:c>
    </x:row>
    <x:row r="742" ht="15" hidden="0" customHeight="1">
      <x:c r="A742" s="27" t="n">
        <x:v>238</x:v>
      </x:c>
      <x:c r="B742" s="27" t="n">
        <x:v>331142</x:v>
      </x:c>
      <x:c r="C742" s="27" t="str">
        <x:v>A1</x:v>
      </x:c>
      <x:c r="D742" s="52" t="n">
        <x:v>2457.242047305484</x:v>
      </x:c>
      <x:c r="E742" s="46" t="n">
        <x:v>0.9828968189221936</x:v>
      </x:c>
      <x:c r="F742" s="46" t="n">
        <x:v>0.8289681892219355</x:v>
      </x:c>
      <x:c r="G742" s="46" t="n">
        <x:v>1</x:v>
      </x:c>
      <x:c r="H742" s="46" t="n">
        <x:v>1</x:v>
      </x:c>
      <x:c r="I742" s="46" t="n">
        <x:v>1</x:v>
      </x:c>
      <x:c r="J742" s="46" t="n">
        <x:v>1</x:v>
      </x:c>
      <x:c r="K742" s="46" t="n">
        <x:v>1</x:v>
      </x:c>
      <x:c r="L742" s="46" t="n">
        <x:v>0.9788802558236348</x:v>
      </x:c>
      <x:c r="M742" s="27" t="n">
        <x:v>0</x:v>
      </x:c>
    </x:row>
    <x:row r="743" ht="15" hidden="0" customHeight="1">
      <x:c r="A743" s="29" t="n">
        <x:v>239</x:v>
      </x:c>
      <x:c r="B743" s="29" t="n">
        <x:v>331143</x:v>
      </x:c>
      <x:c r="C743" s="29" t="str">
        <x:v>A1</x:v>
      </x:c>
      <x:c r="D743" s="53" t="n">
        <x:v>2500</x:v>
      </x:c>
      <x:c r="E743" s="47" t="n">
        <x:v>1</x:v>
      </x:c>
      <x:c r="F743" s="47" t="n">
        <x:v>1</x:v>
      </x:c>
      <x:c r="G743" s="47" t="n">
        <x:v>1</x:v>
      </x:c>
      <x:c r="H743" s="47" t="n">
        <x:v>1</x:v>
      </x:c>
      <x:c r="I743" s="47" t="n">
        <x:v>1</x:v>
      </x:c>
      <x:c r="J743" s="47" t="n">
        <x:v>1</x:v>
      </x:c>
      <x:c r="K743" s="47" t="n">
        <x:v>1</x:v>
      </x:c>
      <x:c r="L743" s="47" t="n">
        <x:v>1</x:v>
      </x:c>
      <x:c r="M743" s="29" t="n">
        <x:v>1</x:v>
      </x:c>
    </x:row>
    <x:row r="744" ht="15" hidden="0" customHeight="1">
      <x:c r="A744" s="27" t="n">
        <x:v>240</x:v>
      </x:c>
      <x:c r="B744" s="27" t="n">
        <x:v>331144</x:v>
      </x:c>
      <x:c r="C744" s="27" t="str">
        <x:v>A1</x:v>
      </x:c>
      <x:c r="D744" s="52" t="n">
        <x:v>2479.6425169582417</x:v>
      </x:c>
      <x:c r="E744" s="46" t="n">
        <x:v>0.9918570067832967</x:v>
      </x:c>
      <x:c r="F744" s="46" t="n">
        <x:v>0.9185700678329665</x:v>
      </x:c>
      <x:c r="G744" s="46" t="n">
        <x:v>1</x:v>
      </x:c>
      <x:c r="H744" s="46" t="n">
        <x:v>1</x:v>
      </x:c>
      <x:c r="I744" s="46" t="n">
        <x:v>1</x:v>
      </x:c>
      <x:c r="J744" s="46" t="n">
        <x:v>1</x:v>
      </x:c>
      <x:c r="K744" s="46" t="n">
        <x:v>1</x:v>
      </x:c>
      <x:c r="L744" s="46" t="n">
        <x:v>0.9899446814727458</x:v>
      </x:c>
      <x:c r="M744" s="27" t="n">
        <x:v>0</x:v>
      </x:c>
    </x:row>
    <x:row r="745" ht="15" hidden="0" customHeight="1">
      <x:c r="A745" s="29" t="n">
        <x:v>241</x:v>
      </x:c>
      <x:c r="B745" s="29" t="n">
        <x:v>331145</x:v>
      </x:c>
      <x:c r="C745" s="29" t="str">
        <x:v>A1</x:v>
      </x:c>
      <x:c r="D745" s="53" t="n">
        <x:v>2461.5408625412433</x:v>
      </x:c>
      <x:c r="E745" s="47" t="n">
        <x:v>0.9846163450164973</x:v>
      </x:c>
      <x:c r="F745" s="47" t="n">
        <x:v>0.8461634501649732</x:v>
      </x:c>
      <x:c r="G745" s="47" t="n">
        <x:v>1</x:v>
      </x:c>
      <x:c r="H745" s="47" t="n">
        <x:v>1</x:v>
      </x:c>
      <x:c r="I745" s="47" t="n">
        <x:v>1</x:v>
      </x:c>
      <x:c r="J745" s="47" t="n">
        <x:v>1</x:v>
      </x:c>
      <x:c r="K745" s="47" t="n">
        <x:v>1</x:v>
      </x:c>
      <x:c r="L745" s="47" t="n">
        <x:v>0.9810036006593744</x:v>
      </x:c>
      <x:c r="M745" s="29" t="n">
        <x:v>0</x:v>
      </x:c>
    </x:row>
    <x:row r="746" ht="15" hidden="0" customHeight="1">
      <x:c r="A746" s="27" t="n">
        <x:v>242</x:v>
      </x:c>
      <x:c r="B746" s="27" t="n">
        <x:v>331146</x:v>
      </x:c>
      <x:c r="C746" s="27" t="str">
        <x:v>A1</x:v>
      </x:c>
      <x:c r="D746" s="52" t="n">
        <x:v>2387.398772726126</x:v>
      </x:c>
      <x:c r="E746" s="46" t="n">
        <x:v>0.9549595090904505</x:v>
      </x:c>
      <x:c r="F746" s="46" t="n">
        <x:v>0.7383304846435085</x:v>
      </x:c>
      <x:c r="G746" s="46" t="n">
        <x:v>1</x:v>
      </x:c>
      <x:c r="H746" s="46" t="n">
        <x:v>1</x:v>
      </x:c>
      <x:c r="I746" s="46" t="n">
        <x:v>1</x:v>
      </x:c>
      <x:c r="J746" s="46" t="n">
        <x:v>1</x:v>
      </x:c>
      <x:c r="K746" s="46" t="n">
        <x:v>1</x:v>
      </x:c>
      <x:c r="L746" s="46" t="n">
        <x:v>0.9443820631226347</x:v>
      </x:c>
      <x:c r="M746" s="27" t="n">
        <x:v>0</x:v>
      </x:c>
    </x:row>
    <x:row r="747" ht="15" hidden="0" customHeight="1">
      <x:c r="A747" s="29" t="n">
        <x:v>243</x:v>
      </x:c>
      <x:c r="B747" s="29" t="n">
        <x:v>331147</x:v>
      </x:c>
      <x:c r="C747" s="29" t="str">
        <x:v>A1</x:v>
      </x:c>
      <x:c r="D747" s="53" t="n">
        <x:v>2474.502170770462</x:v>
      </x:c>
      <x:c r="E747" s="47" t="n">
        <x:v>0.9898008683081847</x:v>
      </x:c>
      <x:c r="F747" s="47" t="n">
        <x:v>0.8980086830818477</x:v>
      </x:c>
      <x:c r="G747" s="47" t="n">
        <x:v>1</x:v>
      </x:c>
      <x:c r="H747" s="47" t="n">
        <x:v>1</x:v>
      </x:c>
      <x:c r="I747" s="47" t="n">
        <x:v>1</x:v>
      </x:c>
      <x:c r="J747" s="47" t="n">
        <x:v>1</x:v>
      </x:c>
      <x:c r="K747" s="47" t="n">
        <x:v>1</x:v>
      </x:c>
      <x:c r="L747" s="47" t="n">
        <x:v>0.9874056731801951</x:v>
      </x:c>
      <x:c r="M747" s="29" t="n">
        <x:v>0</x:v>
      </x:c>
    </x:row>
    <x:row r="748" ht="15" hidden="0" customHeight="1">
      <x:c r="A748" s="27" t="n">
        <x:v>244</x:v>
      </x:c>
      <x:c r="B748" s="27" t="n">
        <x:v>331148</x:v>
      </x:c>
      <x:c r="C748" s="27" t="str">
        <x:v>A1</x:v>
      </x:c>
      <x:c r="D748" s="52" t="n">
        <x:v>2459.053427460615</x:v>
      </x:c>
      <x:c r="E748" s="46" t="n">
        <x:v>0.983621370984246</x:v>
      </x:c>
      <x:c r="F748" s="46" t="n">
        <x:v>0.8440633093018759</x:v>
      </x:c>
      <x:c r="G748" s="46" t="n">
        <x:v>1</x:v>
      </x:c>
      <x:c r="H748" s="46" t="n">
        <x:v>1</x:v>
      </x:c>
      <x:c r="I748" s="46" t="n">
        <x:v>1</x:v>
      </x:c>
      <x:c r="J748" s="46" t="n">
        <x:v>1</x:v>
      </x:c>
      <x:c r="K748" s="46" t="n">
        <x:v>1</x:v>
      </x:c>
      <x:c r="L748" s="46" t="n">
        <x:v>0.9797749638971441</x:v>
      </x:c>
      <x:c r="M748" s="27" t="n">
        <x:v>0</x:v>
      </x:c>
    </x:row>
    <x:row r="749" ht="15" hidden="0" customHeight="1">
      <x:c r="A749" s="29" t="n">
        <x:v>245</x:v>
      </x:c>
      <x:c r="B749" s="29" t="n">
        <x:v>331149</x:v>
      </x:c>
      <x:c r="C749" s="29" t="str">
        <x:v>A1</x:v>
      </x:c>
      <x:c r="D749" s="53" t="n">
        <x:v>2398.396975617516</x:v>
      </x:c>
      <x:c r="E749" s="47" t="n">
        <x:v>0.9593587902470064</x:v>
      </x:c>
      <x:c r="F749" s="47" t="n">
        <x:v>0.7238427694992853</x:v>
      </x:c>
      <x:c r="G749" s="47" t="n">
        <x:v>1</x:v>
      </x:c>
      <x:c r="H749" s="47" t="n">
        <x:v>1</x:v>
      </x:c>
      <x:c r="I749" s="47" t="n">
        <x:v>1</x:v>
      </x:c>
      <x:c r="J749" s="47" t="n">
        <x:v>1</x:v>
      </x:c>
      <x:c r="K749" s="47" t="n">
        <x:v>1</x:v>
      </x:c>
      <x:c r="L749" s="47" t="n">
        <x:v>0.9498144848553924</x:v>
      </x:c>
      <x:c r="M749" s="29" t="n">
        <x:v>0</x:v>
      </x:c>
    </x:row>
    <x:row r="750" ht="15" hidden="0" customHeight="1">
      <x:c r="A750" s="27" t="n">
        <x:v>246</x:v>
      </x:c>
      <x:c r="B750" s="27" t="n">
        <x:v>331150</x:v>
      </x:c>
      <x:c r="C750" s="27" t="str">
        <x:v>A1</x:v>
      </x:c>
      <x:c r="D750" s="52" t="n">
        <x:v>2430.139611408511</x:v>
      </x:c>
      <x:c r="E750" s="46" t="n">
        <x:v>0.9720558445634044</x:v>
      </x:c>
      <x:c r="F750" s="46" t="n">
        <x:v>0.7422078371422356</x:v>
      </x:c>
      <x:c r="G750" s="46" t="n">
        <x:v>1</x:v>
      </x:c>
      <x:c r="H750" s="46" t="n">
        <x:v>1</x:v>
      </x:c>
      <x:c r="I750" s="46" t="n">
        <x:v>1</x:v>
      </x:c>
      <x:c r="J750" s="46" t="n">
        <x:v>1</x:v>
      </x:c>
      <x:c r="K750" s="46" t="n">
        <x:v>1</x:v>
      </x:c>
      <x:c r="L750" s="46" t="n">
        <x:v>0.9654933540514687</x:v>
      </x:c>
      <x:c r="M750" s="27" t="n">
        <x:v>0</x:v>
      </x:c>
    </x:row>
    <x:row r="751" ht="15" hidden="0" customHeight="1">
      <x:c r="A751" s="29" t="n">
        <x:v>247</x:v>
      </x:c>
      <x:c r="B751" s="29" t="n">
        <x:v>331151</x:v>
      </x:c>
      <x:c r="C751" s="29" t="str">
        <x:v>A1</x:v>
      </x:c>
      <x:c r="D751" s="53" t="n">
        <x:v>2399.684081835862</x:v>
      </x:c>
      <x:c r="E751" s="47" t="n">
        <x:v>0.9598736327343448</x:v>
      </x:c>
      <x:c r="F751" s="47" t="n">
        <x:v>0.671122966469666</x:v>
      </x:c>
      <x:c r="G751" s="47" t="n">
        <x:v>1</x:v>
      </x:c>
      <x:c r="H751" s="47" t="n">
        <x:v>1</x:v>
      </x:c>
      <x:c r="I751" s="47" t="n">
        <x:v>1</x:v>
      </x:c>
      <x:c r="J751" s="47" t="n">
        <x:v>1</x:v>
      </x:c>
      <x:c r="K751" s="47" t="n">
        <x:v>1</x:v>
      </x:c>
      <x:c r="L751" s="47" t="n">
        <x:v>0.9504502345194018</x:v>
      </x:c>
      <x:c r="M751" s="29" t="n">
        <x:v>0</x:v>
      </x:c>
    </x:row>
    <x:row r="752" ht="15" hidden="0" customHeight="1">
      <x:c r="A752" s="27" t="n">
        <x:v>248</x:v>
      </x:c>
      <x:c r="B752" s="27" t="n">
        <x:v>331152</x:v>
      </x:c>
      <x:c r="C752" s="27" t="str">
        <x:v>A1</x:v>
      </x:c>
      <x:c r="D752" s="52" t="n">
        <x:v>2396.864554245043</x:v>
      </x:c>
      <x:c r="E752" s="46" t="n">
        <x:v>0.9587458216980173</x:v>
      </x:c>
      <x:c r="F752" s="46" t="n">
        <x:v>0.729923310569023</x:v>
      </x:c>
      <x:c r="G752" s="46" t="n">
        <x:v>1</x:v>
      </x:c>
      <x:c r="H752" s="46" t="n">
        <x:v>1</x:v>
      </x:c>
      <x:c r="I752" s="46" t="n">
        <x:v>1</x:v>
      </x:c>
      <x:c r="J752" s="46" t="n">
        <x:v>1</x:v>
      </x:c>
      <x:c r="K752" s="46" t="n">
        <x:v>1</x:v>
      </x:c>
      <x:c r="L752" s="46" t="n">
        <x:v>0.9490575649067632</x:v>
      </x:c>
      <x:c r="M752" s="27" t="n">
        <x:v>0</x:v>
      </x:c>
    </x:row>
    <x:row r="753" ht="15" hidden="0" customHeight="1">
      <x:c r="A753" s="29" t="n">
        <x:v>249</x:v>
      </x:c>
      <x:c r="B753" s="29" t="n">
        <x:v>331153</x:v>
      </x:c>
      <x:c r="C753" s="29" t="str">
        <x:v>A1</x:v>
      </x:c>
      <x:c r="D753" s="53" t="n">
        <x:v>2434.0855833424257</x:v>
      </x:c>
      <x:c r="E753" s="47" t="n">
        <x:v>0.9736342333369703</x:v>
      </x:c>
      <x:c r="F753" s="47" t="n">
        <x:v>0.83758867228714</x:v>
      </x:c>
      <x:c r="G753" s="47" t="n">
        <x:v>1</x:v>
      </x:c>
      <x:c r="H753" s="47" t="n">
        <x:v>1</x:v>
      </x:c>
      <x:c r="I753" s="47" t="n">
        <x:v>1</x:v>
      </x:c>
      <x:c r="J753" s="47" t="n">
        <x:v>1</x:v>
      </x:c>
      <x:c r="K753" s="47" t="n">
        <x:v>1</x:v>
      </x:c>
      <x:c r="L753" s="47" t="n">
        <x:v>0.9674424164485111</x:v>
      </x:c>
      <x:c r="M753" s="29" t="n">
        <x:v>0</x:v>
      </x:c>
    </x:row>
    <x:row r="754" ht="15" hidden="0" customHeight="1">
      <x:c r="A754" s="27" t="n">
        <x:v>250</x:v>
      </x:c>
      <x:c r="B754" s="27" t="n">
        <x:v>331154</x:v>
      </x:c>
      <x:c r="C754" s="27" t="str">
        <x:v>A1</x:v>
      </x:c>
      <x:c r="D754" s="52" t="n">
        <x:v>2446.150201130567</x:v>
      </x:c>
      <x:c r="E754" s="46" t="n">
        <x:v>0.9784600804522268</x:v>
      </x:c>
      <x:c r="F754" s="46" t="n">
        <x:v>0.7930827263811143</x:v>
      </x:c>
      <x:c r="G754" s="46" t="n">
        <x:v>1</x:v>
      </x:c>
      <x:c r="H754" s="46" t="n">
        <x:v>1</x:v>
      </x:c>
      <x:c r="I754" s="46" t="n">
        <x:v>1</x:v>
      </x:c>
      <x:c r="J754" s="46" t="n">
        <x:v>1</x:v>
      </x:c>
      <x:c r="K754" s="46" t="n">
        <x:v>1</x:v>
      </x:c>
      <x:c r="L754" s="46" t="n">
        <x:v>0.9734015801879818</x:v>
      </x:c>
      <x:c r="M754" s="27" t="n">
        <x:v>0</x:v>
      </x:c>
    </x:row>
    <x:row r="755" ht="15" hidden="0" customHeight="1">
      <x:c r="A755" s="29" t="n">
        <x:v>251</x:v>
      </x:c>
      <x:c r="B755" s="29" t="n">
        <x:v>331155</x:v>
      </x:c>
      <x:c r="C755" s="29" t="str">
        <x:v>A1</x:v>
      </x:c>
      <x:c r="D755" s="53" t="n">
        <x:v>2458.503705893878</x:v>
      </x:c>
      <x:c r="E755" s="47" t="n">
        <x:v>0.9834014823575511</x:v>
      </x:c>
      <x:c r="F755" s="47" t="n">
        <x:v>0.83401482357551</x:v>
      </x:c>
      <x:c r="G755" s="47" t="n">
        <x:v>1</x:v>
      </x:c>
      <x:c r="H755" s="47" t="n">
        <x:v>1</x:v>
      </x:c>
      <x:c r="I755" s="47" t="n">
        <x:v>1</x:v>
      </x:c>
      <x:c r="J755" s="47" t="n">
        <x:v>1</x:v>
      </x:c>
      <x:c r="K755" s="47" t="n">
        <x:v>1</x:v>
      </x:c>
      <x:c r="L755" s="47" t="n">
        <x:v>0.9795034359561159</x:v>
      </x:c>
      <x:c r="M755" s="29" t="n">
        <x:v>0</x:v>
      </x:c>
    </x:row>
    <x:row r="756" ht="15" hidden="0" customHeight="1">
      <x:c r="A756" s="27" t="n">
        <x:v>252</x:v>
      </x:c>
      <x:c r="B756" s="27" t="n">
        <x:v>331156</x:v>
      </x:c>
      <x:c r="C756" s="27" t="str">
        <x:v>A1</x:v>
      </x:c>
      <x:c r="D756" s="52" t="n">
        <x:v>2461.5098532444736</x:v>
      </x:c>
      <x:c r="E756" s="46" t="n">
        <x:v>0.9846039412977894</x:v>
      </x:c>
      <x:c r="F756" s="46" t="n">
        <x:v>0.8460394129778933</x:v>
      </x:c>
      <x:c r="G756" s="46" t="n">
        <x:v>1</x:v>
      </x:c>
      <x:c r="H756" s="46" t="n">
        <x:v>1</x:v>
      </x:c>
      <x:c r="I756" s="46" t="n">
        <x:v>1</x:v>
      </x:c>
      <x:c r="J756" s="46" t="n">
        <x:v>1</x:v>
      </x:c>
      <x:c r="K756" s="46" t="n">
        <x:v>1</x:v>
      </x:c>
      <x:c r="L756" s="46" t="n">
        <x:v>0.9809882840136137</x:v>
      </x:c>
      <x:c r="M756" s="27" t="n">
        <x:v>0</x:v>
      </x:c>
    </x:row>
    <x:row r="757" ht="15" hidden="0" customHeight="1">
      <x:c r="A757" s="29" t="n">
        <x:v>253</x:v>
      </x:c>
      <x:c r="B757" s="29" t="n">
        <x:v>331157</x:v>
      </x:c>
      <x:c r="C757" s="29" t="str">
        <x:v>A1</x:v>
      </x:c>
      <x:c r="D757" s="53" t="n">
        <x:v>2443.0022857701415</x:v>
      </x:c>
      <x:c r="E757" s="47" t="n">
        <x:v>0.9772009143080566</x:v>
      </x:c>
      <x:c r="F757" s="47" t="n">
        <x:v>0.7851163080296262</x:v>
      </x:c>
      <x:c r="G757" s="47" t="n">
        <x:v>1</x:v>
      </x:c>
      <x:c r="H757" s="47" t="n">
        <x:v>1</x:v>
      </x:c>
      <x:c r="I757" s="47" t="n">
        <x:v>1</x:v>
      </x:c>
      <x:c r="J757" s="47" t="n">
        <x:v>1</x:v>
      </x:c>
      <x:c r="K757" s="47" t="n">
        <x:v>1</x:v>
      </x:c>
      <x:c r="L757" s="47" t="n">
        <x:v>0.9718467076341899</x:v>
      </x:c>
      <x:c r="M757" s="29" t="n">
        <x:v>0</x:v>
      </x:c>
    </x:row>
    <x:row r="758" ht="15" hidden="0" customHeight="1">
      <x:c r="A758" s="27" t="n">
        <x:v>254</x:v>
      </x:c>
      <x:c r="B758" s="27" t="n">
        <x:v>331158</x:v>
      </x:c>
      <x:c r="C758" s="27" t="str">
        <x:v>A1</x:v>
      </x:c>
      <x:c r="D758" s="52" t="n">
        <x:v>2477.489944157786</x:v>
      </x:c>
      <x:c r="E758" s="46" t="n">
        <x:v>0.9909959776631143</x:v>
      </x:c>
      <x:c r="F758" s="46" t="n">
        <x:v>0.9099597766311429</x:v>
      </x:c>
      <x:c r="G758" s="46" t="n">
        <x:v>1</x:v>
      </x:c>
      <x:c r="H758" s="46" t="n">
        <x:v>1</x:v>
      </x:c>
      <x:c r="I758" s="46" t="n">
        <x:v>1</x:v>
      </x:c>
      <x:c r="J758" s="46" t="n">
        <x:v>1</x:v>
      </x:c>
      <x:c r="K758" s="46" t="n">
        <x:v>1</x:v>
      </x:c>
      <x:c r="L758" s="46" t="n">
        <x:v>0.9888814456534016</x:v>
      </x:c>
      <x:c r="M758" s="27" t="n">
        <x:v>0</x:v>
      </x:c>
    </x:row>
    <x:row r="759" ht="15" hidden="0" customHeight="1">
      <x:c r="A759" s="29" t="n">
        <x:v>255</x:v>
      </x:c>
      <x:c r="B759" s="29" t="n">
        <x:v>331159</x:v>
      </x:c>
      <x:c r="C759" s="29" t="str">
        <x:v>A1</x:v>
      </x:c>
      <x:c r="D759" s="53" t="n">
        <x:v>2425.971411058776</x:v>
      </x:c>
      <x:c r="E759" s="47" t="n">
        <x:v>0.9703885644235104</x:v>
      </x:c>
      <x:c r="F759" s="47" t="n">
        <x:v>0.7296305439544764</x:v>
      </x:c>
      <x:c r="G759" s="47" t="n">
        <x:v>1</x:v>
      </x:c>
      <x:c r="H759" s="47" t="n">
        <x:v>1</x:v>
      </x:c>
      <x:c r="I759" s="47" t="n">
        <x:v>1</x:v>
      </x:c>
      <x:c r="J759" s="47" t="n">
        <x:v>1</x:v>
      </x:c>
      <x:c r="K759" s="47" t="n">
        <x:v>1</x:v>
      </x:c>
      <x:c r="L759" s="47" t="n">
        <x:v>0.9634345247690854</x:v>
      </x:c>
      <x:c r="M759" s="29" t="n">
        <x:v>0</x:v>
      </x:c>
    </x:row>
    <x:row r="760" ht="15" hidden="0" customHeight="1">
      <x:c r="A760" s="27" t="n">
        <x:v>256</x:v>
      </x:c>
      <x:c r="B760" s="27" t="n">
        <x:v>331160</x:v>
      </x:c>
      <x:c r="C760" s="27" t="str">
        <x:v>A1</x:v>
      </x:c>
      <x:c r="D760" s="52" t="n">
        <x:v>2446.3787540773733</x:v>
      </x:c>
      <x:c r="E760" s="46" t="n">
        <x:v>0.9785515016309493</x:v>
      </x:c>
      <x:c r="F760" s="46" t="n">
        <x:v>0.8038044682037049</x:v>
      </x:c>
      <x:c r="G760" s="46" t="n">
        <x:v>1</x:v>
      </x:c>
      <x:c r="H760" s="46" t="n">
        <x:v>1</x:v>
      </x:c>
      <x:c r="I760" s="46" t="n">
        <x:v>1</x:v>
      </x:c>
      <x:c r="J760" s="46" t="n">
        <x:v>1</x:v>
      </x:c>
      <x:c r="K760" s="46" t="n">
        <x:v>1</x:v>
      </x:c>
      <x:c r="L760" s="46" t="n">
        <x:v>0.9735144709945599</x:v>
      </x:c>
      <x:c r="M760" s="27" t="n">
        <x:v>0</x:v>
      </x:c>
    </x:row>
    <x:row r="761" ht="15" hidden="0" customHeight="1">
      <x:c r="A761" s="29" t="n">
        <x:v>257</x:v>
      </x:c>
      <x:c r="B761" s="29" t="n">
        <x:v>331161</x:v>
      </x:c>
      <x:c r="C761" s="29" t="str">
        <x:v>A1</x:v>
      </x:c>
      <x:c r="D761" s="53" t="n">
        <x:v>2422.4750826116083</x:v>
      </x:c>
      <x:c r="E761" s="47" t="n">
        <x:v>0.9689900330446433</x:v>
      </x:c>
      <x:c r="F761" s="47" t="n">
        <x:v>0.7769623397692922</x:v>
      </x:c>
      <x:c r="G761" s="47" t="n">
        <x:v>1</x:v>
      </x:c>
      <x:c r="H761" s="47" t="n">
        <x:v>1</x:v>
      </x:c>
      <x:c r="I761" s="47" t="n">
        <x:v>1</x:v>
      </x:c>
      <x:c r="J761" s="47" t="n">
        <x:v>1</x:v>
      </x:c>
      <x:c r="K761" s="47" t="n">
        <x:v>1</x:v>
      </x:c>
      <x:c r="L761" s="47" t="n">
        <x:v>0.9617075580247164</x:v>
      </x:c>
      <x:c r="M761" s="29" t="n">
        <x:v>0</x:v>
      </x:c>
    </x:row>
    <x:row r="762" ht="15" hidden="0" customHeight="1">
      <x:c r="A762" s="27" t="n">
        <x:v>258</x:v>
      </x:c>
      <x:c r="B762" s="27" t="n">
        <x:v>331162</x:v>
      </x:c>
      <x:c r="C762" s="27" t="str">
        <x:v>A1</x:v>
      </x:c>
      <x:c r="D762" s="52" t="n">
        <x:v>2474.686518406546</x:v>
      </x:c>
      <x:c r="E762" s="46" t="n">
        <x:v>0.9898746073626183</x:v>
      </x:c>
      <x:c r="F762" s="46" t="n">
        <x:v>0.8987460736261823</x:v>
      </x:c>
      <x:c r="G762" s="46" t="n">
        <x:v>1</x:v>
      </x:c>
      <x:c r="H762" s="46" t="n">
        <x:v>1</x:v>
      </x:c>
      <x:c r="I762" s="46" t="n">
        <x:v>1</x:v>
      </x:c>
      <x:c r="J762" s="46" t="n">
        <x:v>1</x:v>
      </x:c>
      <x:c r="K762" s="46" t="n">
        <x:v>1</x:v>
      </x:c>
      <x:c r="L762" s="46" t="n">
        <x:v>0.9874967293385997</x:v>
      </x:c>
      <x:c r="M762" s="27" t="n">
        <x:v>0</x:v>
      </x:c>
    </x:row>
    <x:row r="763" ht="15" hidden="0" customHeight="1">
      <x:c r="A763" s="29" t="n">
        <x:v>259</x:v>
      </x:c>
      <x:c r="B763" s="29" t="n">
        <x:v>331163</x:v>
      </x:c>
      <x:c r="C763" s="29" t="str">
        <x:v>A1</x:v>
      </x:c>
      <x:c r="D763" s="53" t="n">
        <x:v>2451.676892324979</x:v>
      </x:c>
      <x:c r="E763" s="47" t="n">
        <x:v>0.9806707569299915</x:v>
      </x:c>
      <x:c r="F763" s="47" t="n">
        <x:v>0.8190429462773953</x:v>
      </x:c>
      <x:c r="G763" s="47" t="n">
        <x:v>1</x:v>
      </x:c>
      <x:c r="H763" s="47" t="n">
        <x:v>1</x:v>
      </x:c>
      <x:c r="I763" s="47" t="n">
        <x:v>1</x:v>
      </x:c>
      <x:c r="J763" s="47" t="n">
        <x:v>1</x:v>
      </x:c>
      <x:c r="K763" s="47" t="n">
        <x:v>1</x:v>
      </x:c>
      <x:c r="L763" s="47" t="n">
        <x:v>0.9761314186580713</x:v>
      </x:c>
      <x:c r="M763" s="29" t="n">
        <x:v>0</x:v>
      </x:c>
    </x:row>
    <x:row r="764" ht="15" hidden="0" customHeight="1">
      <x:c r="A764" s="27" t="n">
        <x:v>260</x:v>
      </x:c>
      <x:c r="B764" s="27" t="n">
        <x:v>331164</x:v>
      </x:c>
      <x:c r="C764" s="27" t="str">
        <x:v>A1</x:v>
      </x:c>
      <x:c r="D764" s="52" t="n">
        <x:v>2416.0615400855654</x:v>
      </x:c>
      <x:c r="E764" s="46" t="n">
        <x:v>0.9664246160342261</x:v>
      </x:c>
      <x:c r="F764" s="46" t="n">
        <x:v>0.6886496105492709</x:v>
      </x:c>
      <x:c r="G764" s="46" t="n">
        <x:v>1</x:v>
      </x:c>
      <x:c r="H764" s="46" t="n">
        <x:v>1</x:v>
      </x:c>
      <x:c r="I764" s="46" t="n">
        <x:v>1</x:v>
      </x:c>
      <x:c r="J764" s="46" t="n">
        <x:v>1</x:v>
      </x:c>
      <x:c r="K764" s="46" t="n">
        <x:v>1</x:v>
      </x:c>
      <x:c r="L764" s="46" t="n">
        <x:v>0.9585396706756191</x:v>
      </x:c>
      <x:c r="M764" s="27" t="n">
        <x:v>0</x:v>
      </x:c>
    </x:row>
    <x:row r="765" ht="15" hidden="0" customHeight="1">
      <x:c r="A765" s="29" t="n">
        <x:v>261</x:v>
      </x:c>
      <x:c r="B765" s="29" t="n">
        <x:v>331165</x:v>
      </x:c>
      <x:c r="C765" s="29" t="str">
        <x:v>A1</x:v>
      </x:c>
      <x:c r="D765" s="53" t="n">
        <x:v>2424.779292890138</x:v>
      </x:c>
      <x:c r="E765" s="47" t="n">
        <x:v>0.9699117171560553</x:v>
      </x:c>
      <x:c r="F765" s="47" t="n">
        <x:v>0.6991171715605525</x:v>
      </x:c>
      <x:c r="G765" s="47" t="n">
        <x:v>1</x:v>
      </x:c>
      <x:c r="H765" s="47" t="n">
        <x:v>1</x:v>
      </x:c>
      <x:c r="I765" s="47" t="n">
        <x:v>1</x:v>
      </x:c>
      <x:c r="J765" s="47" t="n">
        <x:v>1</x:v>
      </x:c>
      <x:c r="K765" s="47" t="n">
        <x:v>1</x:v>
      </x:c>
      <x:c r="L765" s="47" t="n">
        <x:v>0.9628456932380366</x:v>
      </x:c>
      <x:c r="M765" s="29" t="n">
        <x:v>0</x:v>
      </x:c>
    </x:row>
    <x:row r="766" ht="15" hidden="0" customHeight="1">
      <x:c r="A766" s="27" t="n">
        <x:v>262</x:v>
      </x:c>
      <x:c r="B766" s="27" t="n">
        <x:v>331166</x:v>
      </x:c>
      <x:c r="C766" s="27" t="str">
        <x:v>A1</x:v>
      </x:c>
      <x:c r="D766" s="52" t="n">
        <x:v>2438.5809189540773</x:v>
      </x:c>
      <x:c r="E766" s="46" t="n">
        <x:v>0.975432367581631</x:v>
      </x:c>
      <x:c r="F766" s="46" t="n">
        <x:v>0.7918742844357951</x:v>
      </x:c>
      <x:c r="G766" s="46" t="n">
        <x:v>1</x:v>
      </x:c>
      <x:c r="H766" s="46" t="n">
        <x:v>1</x:v>
      </x:c>
      <x:c r="I766" s="46" t="n">
        <x:v>1</x:v>
      </x:c>
      <x:c r="J766" s="46" t="n">
        <x:v>1</x:v>
      </x:c>
      <x:c r="K766" s="46" t="n">
        <x:v>1</x:v>
      </x:c>
      <x:c r="L766" s="46" t="n">
        <x:v>0.9696628300118847</x:v>
      </x:c>
      <x:c r="M766" s="27" t="n">
        <x:v>0</x:v>
      </x:c>
    </x:row>
    <x:row r="767" ht="15" hidden="0" customHeight="1">
      <x:c r="A767" s="29" t="n">
        <x:v>263</x:v>
      </x:c>
      <x:c r="B767" s="29" t="n">
        <x:v>331167</x:v>
      </x:c>
      <x:c r="C767" s="29" t="str">
        <x:v>A1</x:v>
      </x:c>
      <x:c r="D767" s="53" t="n">
        <x:v>2395.8536233316204</x:v>
      </x:c>
      <x:c r="E767" s="47" t="n">
        <x:v>0.9583414493326482</x:v>
      </x:c>
      <x:c r="F767" s="47" t="n">
        <x:v>0.7496670192381072</x:v>
      </x:c>
      <x:c r="G767" s="47" t="n">
        <x:v>1</x:v>
      </x:c>
      <x:c r="H767" s="47" t="n">
        <x:v>1</x:v>
      </x:c>
      <x:c r="I767" s="47" t="n">
        <x:v>1</x:v>
      </x:c>
      <x:c r="J767" s="47" t="n">
        <x:v>1</x:v>
      </x:c>
      <x:c r="K767" s="47" t="n">
        <x:v>1</x:v>
      </x:c>
      <x:c r="L767" s="47" t="n">
        <x:v>0.9485582285043868</x:v>
      </x:c>
      <x:c r="M767" s="29" t="n">
        <x:v>0</x:v>
      </x:c>
    </x:row>
    <x:row r="768" ht="15" hidden="0" customHeight="1">
      <x:c r="A768" s="27" t="n">
        <x:v>264</x:v>
      </x:c>
      <x:c r="B768" s="27" t="n">
        <x:v>331168</x:v>
      </x:c>
      <x:c r="C768" s="27" t="str">
        <x:v>A1</x:v>
      </x:c>
      <x:c r="D768" s="52" t="n">
        <x:v>2443.328900374411</x:v>
      </x:c>
      <x:c r="E768" s="46" t="n">
        <x:v>0.9773315601497645</x:v>
      </x:c>
      <x:c r="F768" s="46" t="n">
        <x:v>0.7856188396159814</x:v>
      </x:c>
      <x:c r="G768" s="46" t="n">
        <x:v>1</x:v>
      </x:c>
      <x:c r="H768" s="46" t="n">
        <x:v>1</x:v>
      </x:c>
      <x:c r="I768" s="46" t="n">
        <x:v>1</x:v>
      </x:c>
      <x:c r="J768" s="46" t="n">
        <x:v>1</x:v>
      </x:c>
      <x:c r="K768" s="46" t="n">
        <x:v>1</x:v>
      </x:c>
      <x:c r="L768" s="46" t="n">
        <x:v>0.9720080347429907</x:v>
      </x:c>
      <x:c r="M768" s="27" t="n">
        <x:v>0</x:v>
      </x:c>
    </x:row>
    <x:row r="769" ht="15" hidden="0" customHeight="1">
      <x:c r="A769" s="29" t="n">
        <x:v>265</x:v>
      </x:c>
      <x:c r="B769" s="29" t="n">
        <x:v>331169</x:v>
      </x:c>
      <x:c r="C769" s="29" t="str">
        <x:v>A1</x:v>
      </x:c>
      <x:c r="D769" s="53" t="n">
        <x:v>2413.84256105111</x:v>
      </x:c>
      <x:c r="E769" s="47" t="n">
        <x:v>0.965537024420444</x:v>
      </x:c>
      <x:c r="F769" s="47" t="n">
        <x:v>0.706125587452393</x:v>
      </x:c>
      <x:c r="G769" s="47" t="n">
        <x:v>1</x:v>
      </x:c>
      <x:c r="H769" s="47" t="n">
        <x:v>1</x:v>
      </x:c>
      <x:c r="I769" s="47" t="n">
        <x:v>1</x:v>
      </x:c>
      <x:c r="J769" s="47" t="n">
        <x:v>1</x:v>
      </x:c>
      <x:c r="K769" s="47" t="n">
        <x:v>1</x:v>
      </x:c>
      <x:c r="L769" s="47" t="n">
        <x:v>0.9574436343458339</x:v>
      </x:c>
      <x:c r="M769" s="29" t="n">
        <x:v>0</x:v>
      </x:c>
    </x:row>
    <x:row r="770" ht="15" hidden="0" customHeight="1">
      <x:c r="A770" s="27" t="n">
        <x:v>266</x:v>
      </x:c>
      <x:c r="B770" s="27" t="n">
        <x:v>331170</x:v>
      </x:c>
      <x:c r="C770" s="27" t="str">
        <x:v>A1</x:v>
      </x:c>
      <x:c r="D770" s="52" t="n">
        <x:v>2492.2680755372307</x:v>
      </x:c>
      <x:c r="E770" s="46" t="n">
        <x:v>0.9969072302148922</x:v>
      </x:c>
      <x:c r="F770" s="46" t="n">
        <x:v>0.9690723021489227</x:v>
      </x:c>
      <x:c r="G770" s="46" t="n">
        <x:v>1</x:v>
      </x:c>
      <x:c r="H770" s="46" t="n">
        <x:v>1</x:v>
      </x:c>
      <x:c r="I770" s="46" t="n">
        <x:v>1</x:v>
      </x:c>
      <x:c r="J770" s="46" t="n">
        <x:v>1</x:v>
      </x:c>
      <x:c r="K770" s="46" t="n">
        <x:v>1</x:v>
      </x:c>
      <x:c r="L770" s="46" t="n">
        <x:v>0.9961809147455835</x:v>
      </x:c>
      <x:c r="M770" s="27" t="n">
        <x:v>1</x:v>
      </x:c>
    </x:row>
    <x:row r="771" ht="15" hidden="0" customHeight="1">
      <x:c r="A771" s="29" t="n">
        <x:v>267</x:v>
      </x:c>
      <x:c r="B771" s="29" t="n">
        <x:v>331171</x:v>
      </x:c>
      <x:c r="C771" s="29" t="str">
        <x:v>A1</x:v>
      </x:c>
      <x:c r="D771" s="53" t="n">
        <x:v>2448.1185814053265</x:v>
      </x:c>
      <x:c r="E771" s="47" t="n">
        <x:v>0.9792474325621306</x:v>
      </x:c>
      <x:c r="F771" s="47" t="n">
        <x:v>0.7924743256213053</x:v>
      </x:c>
      <x:c r="G771" s="47" t="n">
        <x:v>1</x:v>
      </x:c>
      <x:c r="H771" s="47" t="n">
        <x:v>1</x:v>
      </x:c>
      <x:c r="I771" s="47" t="n">
        <x:v>1</x:v>
      </x:c>
      <x:c r="J771" s="47" t="n">
        <x:v>1</x:v>
      </x:c>
      <x:c r="K771" s="47" t="n">
        <x:v>1</x:v>
      </x:c>
      <x:c r="L771" s="47" t="n">
        <x:v>0.9743738364637147</x:v>
      </x:c>
      <x:c r="M771" s="29" t="n">
        <x:v>0</x:v>
      </x:c>
    </x:row>
    <x:row r="772" ht="15" hidden="0" customHeight="1">
      <x:c r="A772" s="27" t="n">
        <x:v>268</x:v>
      </x:c>
      <x:c r="B772" s="27" t="n">
        <x:v>331172</x:v>
      </x:c>
      <x:c r="C772" s="27" t="str">
        <x:v>A1</x:v>
      </x:c>
      <x:c r="D772" s="52" t="n">
        <x:v>2475.605577500262</x:v>
      </x:c>
      <x:c r="E772" s="46" t="n">
        <x:v>0.9902422310001048</x:v>
      </x:c>
      <x:c r="F772" s="46" t="n">
        <x:v>0.9024223100010472</x:v>
      </x:c>
      <x:c r="G772" s="46" t="n">
        <x:v>1</x:v>
      </x:c>
      <x:c r="H772" s="46" t="n">
        <x:v>1</x:v>
      </x:c>
      <x:c r="I772" s="46" t="n">
        <x:v>1</x:v>
      </x:c>
      <x:c r="J772" s="46" t="n">
        <x:v>1</x:v>
      </x:c>
      <x:c r="K772" s="46" t="n">
        <x:v>1</x:v>
      </x:c>
      <x:c r="L772" s="46" t="n">
        <x:v>0.9879506868299913</x:v>
      </x:c>
      <x:c r="M772" s="27" t="n">
        <x:v>0</x:v>
      </x:c>
    </x:row>
    <x:row r="773" ht="15" hidden="0" customHeight="1">
      <x:c r="A773" s="29" t="n">
        <x:v>269</x:v>
      </x:c>
      <x:c r="B773" s="29" t="n">
        <x:v>331173</x:v>
      </x:c>
      <x:c r="C773" s="29" t="str">
        <x:v>A1</x:v>
      </x:c>
      <x:c r="D773" s="53" t="n">
        <x:v>2457.1385129745004</x:v>
      </x:c>
      <x:c r="E773" s="47" t="n">
        <x:v>0.9828554051898002</x:v>
      </x:c>
      <x:c r="F773" s="47" t="n">
        <x:v>0.8400479061707748</x:v>
      </x:c>
      <x:c r="G773" s="47" t="n">
        <x:v>1</x:v>
      </x:c>
      <x:c r="H773" s="47" t="n">
        <x:v>1</x:v>
      </x:c>
      <x:c r="I773" s="47" t="n">
        <x:v>1</x:v>
      </x:c>
      <x:c r="J773" s="47" t="n">
        <x:v>1</x:v>
      </x:c>
      <x:c r="K773" s="47" t="n">
        <x:v>1</x:v>
      </x:c>
      <x:c r="L773" s="47" t="n">
        <x:v>0.9788291163642816</x:v>
      </x:c>
      <x:c r="M773" s="29" t="n">
        <x:v>0</x:v>
      </x:c>
    </x:row>
    <x:row r="774" ht="15" hidden="0" customHeight="1">
      <x:c r="A774" s="27" t="n">
        <x:v>270</x:v>
      </x:c>
      <x:c r="B774" s="27" t="n">
        <x:v>331174</x:v>
      </x:c>
      <x:c r="C774" s="27" t="str">
        <x:v>A1</x:v>
      </x:c>
      <x:c r="D774" s="52" t="n">
        <x:v>2404.619463813179</x:v>
      </x:c>
      <x:c r="E774" s="46" t="n">
        <x:v>0.9618477855252717</x:v>
      </x:c>
      <x:c r="F774" s="46" t="n">
        <x:v>0.7225462633922676</x:v>
      </x:c>
      <x:c r="G774" s="46" t="n">
        <x:v>1</x:v>
      </x:c>
      <x:c r="H774" s="46" t="n">
        <x:v>1</x:v>
      </x:c>
      <x:c r="I774" s="46" t="n">
        <x:v>1</x:v>
      </x:c>
      <x:c r="J774" s="46" t="n">
        <x:v>1</x:v>
      </x:c>
      <x:c r="K774" s="46" t="n">
        <x:v>1</x:v>
      </x:c>
      <x:c r="L774" s="46" t="n">
        <x:v>0.9528880033601668</x:v>
      </x:c>
      <x:c r="M774" s="27" t="n">
        <x:v>0</x:v>
      </x:c>
    </x:row>
    <x:row r="775" ht="15" hidden="0" customHeight="1">
      <x:c r="A775" s="29" t="n">
        <x:v>271</x:v>
      </x:c>
      <x:c r="B775" s="29" t="n">
        <x:v>331175</x:v>
      </x:c>
      <x:c r="C775" s="29" t="str">
        <x:v>A1</x:v>
      </x:c>
      <x:c r="D775" s="53" t="n">
        <x:v>2466.297797708997</x:v>
      </x:c>
      <x:c r="E775" s="47" t="n">
        <x:v>0.9865191190835989</x:v>
      </x:c>
      <x:c r="F775" s="47" t="n">
        <x:v>0.8651911908359892</x:v>
      </x:c>
      <x:c r="G775" s="47" t="n">
        <x:v>1</x:v>
      </x:c>
      <x:c r="H775" s="47" t="n">
        <x:v>1</x:v>
      </x:c>
      <x:c r="I775" s="47" t="n">
        <x:v>1</x:v>
      </x:c>
      <x:c r="J775" s="47" t="n">
        <x:v>1</x:v>
      </x:c>
      <x:c r="K775" s="47" t="n">
        <x:v>1</x:v>
      </x:c>
      <x:c r="L775" s="47" t="n">
        <x:v>0.9833532279795666</x:v>
      </x:c>
      <x:c r="M775" s="29" t="n">
        <x:v>0</x:v>
      </x:c>
    </x:row>
    <x:row r="776" ht="15" hidden="0" customHeight="1">
      <x:c r="A776" s="27" t="n">
        <x:v>272</x:v>
      </x:c>
      <x:c r="B776" s="27" t="n">
        <x:v>331176</x:v>
      </x:c>
      <x:c r="C776" s="27" t="str">
        <x:v>A1</x:v>
      </x:c>
      <x:c r="D776" s="52" t="n">
        <x:v>2500</x:v>
      </x:c>
      <x:c r="E776" s="46" t="n">
        <x:v>1</x:v>
      </x:c>
      <x:c r="F776" s="46" t="n">
        <x:v>0.9999999999999998</x:v>
      </x:c>
      <x:c r="G776" s="46" t="n">
        <x:v>1</x:v>
      </x:c>
      <x:c r="H776" s="46" t="n">
        <x:v>1</x:v>
      </x:c>
      <x:c r="I776" s="46" t="n">
        <x:v>1</x:v>
      </x:c>
      <x:c r="J776" s="46" t="n">
        <x:v>1</x:v>
      </x:c>
      <x:c r="K776" s="46" t="n">
        <x:v>1</x:v>
      </x:c>
      <x:c r="L776" s="46" t="n">
        <x:v>1</x:v>
      </x:c>
      <x:c r="M776" s="27" t="n">
        <x:v>1</x:v>
      </x:c>
    </x:row>
    <x:row r="777" ht="15" hidden="0" customHeight="1">
      <x:c r="A777" s="29" t="n">
        <x:v>273</x:v>
      </x:c>
      <x:c r="B777" s="29" t="n">
        <x:v>331177</x:v>
      </x:c>
      <x:c r="C777" s="29" t="str">
        <x:v>A1</x:v>
      </x:c>
      <x:c r="D777" s="53" t="n">
        <x:v>2479.093211093203</x:v>
      </x:c>
      <x:c r="E777" s="47" t="n">
        <x:v>0.9916372844372813</x:v>
      </x:c>
      <x:c r="F777" s="47" t="n">
        <x:v>0.9249533344720534</x:v>
      </x:c>
      <x:c r="G777" s="47" t="n">
        <x:v>1</x:v>
      </x:c>
      <x:c r="H777" s="47" t="n">
        <x:v>1</x:v>
      </x:c>
      <x:c r="I777" s="47" t="n">
        <x:v>1</x:v>
      </x:c>
      <x:c r="J777" s="47" t="n">
        <x:v>1</x:v>
      </x:c>
      <x:c r="K777" s="47" t="n">
        <x:v>1</x:v>
      </x:c>
      <x:c r="L777" s="47" t="n">
        <x:v>0.9896733588622578</x:v>
      </x:c>
      <x:c r="M777" s="29" t="n">
        <x:v>0</x:v>
      </x:c>
    </x:row>
    <x:row r="778" ht="15" hidden="0" customHeight="1">
      <x:c r="A778" s="27" t="n">
        <x:v>274</x:v>
      </x:c>
      <x:c r="B778" s="27" t="n">
        <x:v>331178</x:v>
      </x:c>
      <x:c r="C778" s="27" t="str">
        <x:v>A1</x:v>
      </x:c>
      <x:c r="D778" s="52" t="n">
        <x:v>2474.107000347595</x:v>
      </x:c>
      <x:c r="E778" s="46" t="n">
        <x:v>0.989642800139038</x:v>
      </x:c>
      <x:c r="F778" s="46" t="n">
        <x:v>0.8964280013903808</x:v>
      </x:c>
      <x:c r="G778" s="46" t="n">
        <x:v>1</x:v>
      </x:c>
      <x:c r="H778" s="46" t="n">
        <x:v>1</x:v>
      </x:c>
      <x:c r="I778" s="46" t="n">
        <x:v>1</x:v>
      </x:c>
      <x:c r="J778" s="46" t="n">
        <x:v>1</x:v>
      </x:c>
      <x:c r="K778" s="46" t="n">
        <x:v>1</x:v>
      </x:c>
      <x:c r="L778" s="46" t="n">
        <x:v>0.987210483801119</x:v>
      </x:c>
      <x:c r="M778" s="27" t="n">
        <x:v>0</x:v>
      </x:c>
    </x:row>
    <x:row r="779" ht="15" hidden="0" customHeight="1">
      <x:c r="A779" s="29" t="n">
        <x:v>275</x:v>
      </x:c>
      <x:c r="B779" s="29" t="n">
        <x:v>331179</x:v>
      </x:c>
      <x:c r="C779" s="29" t="str">
        <x:v>A1</x:v>
      </x:c>
      <x:c r="D779" s="53" t="n">
        <x:v>2452.4160273594844</x:v>
      </x:c>
      <x:c r="E779" s="47" t="n">
        <x:v>0.9809664109437938</x:v>
      </x:c>
      <x:c r="F779" s="47" t="n">
        <x:v>0.8174577394730982</x:v>
      </x:c>
      <x:c r="G779" s="47" t="n">
        <x:v>1</x:v>
      </x:c>
      <x:c r="H779" s="47" t="n">
        <x:v>1</x:v>
      </x:c>
      <x:c r="I779" s="47" t="n">
        <x:v>1</x:v>
      </x:c>
      <x:c r="J779" s="47" t="n">
        <x:v>1</x:v>
      </x:c>
      <x:c r="K779" s="47" t="n">
        <x:v>1</x:v>
      </x:c>
      <x:c r="L779" s="47" t="n">
        <x:v>0.9764965049603103</x:v>
      </x:c>
      <x:c r="M779" s="29" t="n">
        <x:v>0</x:v>
      </x:c>
    </x:row>
    <x:row r="780" ht="15" hidden="0" customHeight="1">
      <x:c r="A780" s="27" t="n">
        <x:v>276</x:v>
      </x:c>
      <x:c r="B780" s="27" t="n">
        <x:v>331180</x:v>
      </x:c>
      <x:c r="C780" s="27" t="str">
        <x:v>A1</x:v>
      </x:c>
      <x:c r="D780" s="52" t="n">
        <x:v>2450.1836800754086</x:v>
      </x:c>
      <x:c r="E780" s="46" t="n">
        <x:v>0.9800734720301635</x:v>
      </x:c>
      <x:c r="F780" s="46" t="n">
        <x:v>0.8063685263315488</x:v>
      </x:c>
      <x:c r="G780" s="46" t="n">
        <x:v>1</x:v>
      </x:c>
      <x:c r="H780" s="46" t="n">
        <x:v>1</x:v>
      </x:c>
      <x:c r="I780" s="46" t="n">
        <x:v>1</x:v>
      </x:c>
      <x:c r="J780" s="46" t="n">
        <x:v>1</x:v>
      </x:c>
      <x:c r="K780" s="46" t="n">
        <x:v>1</x:v>
      </x:c>
      <x:c r="L780" s="46" t="n">
        <x:v>0.975393865554506</x:v>
      </x:c>
      <x:c r="M780" s="27" t="n">
        <x:v>0</x:v>
      </x:c>
    </x:row>
    <x:row r="781" ht="15" hidden="0" customHeight="1">
      <x:c r="A781" s="29" t="n">
        <x:v>277</x:v>
      </x:c>
      <x:c r="B781" s="29" t="n">
        <x:v>331181</x:v>
      </x:c>
      <x:c r="C781" s="29" t="str">
        <x:v>A1</x:v>
      </x:c>
      <x:c r="D781" s="53" t="n">
        <x:v>2383.505313112326</x:v>
      </x:c>
      <x:c r="E781" s="47" t="n">
        <x:v>0.9534021252449304</x:v>
      </x:c>
      <x:c r="F781" s="47" t="n">
        <x:v>0.755870474360756</x:v>
      </x:c>
      <x:c r="G781" s="47" t="n">
        <x:v>1</x:v>
      </x:c>
      <x:c r="H781" s="47" t="n">
        <x:v>1</x:v>
      </x:c>
      <x:c r="I781" s="47" t="n">
        <x:v>1</x:v>
      </x:c>
      <x:c r="J781" s="47" t="n">
        <x:v>1</x:v>
      </x:c>
      <x:c r="K781" s="47" t="n">
        <x:v>1</x:v>
      </x:c>
      <x:c r="L781" s="47" t="n">
        <x:v>0.94245893851487</x:v>
      </x:c>
      <x:c r="M781" s="29" t="n">
        <x:v>0</x:v>
      </x:c>
    </x:row>
    <x:row r="782" ht="15" hidden="0" customHeight="1">
      <x:c r="A782" s="27" t="n">
        <x:v>278</x:v>
      </x:c>
      <x:c r="B782" s="27" t="n">
        <x:v>331182</x:v>
      </x:c>
      <x:c r="C782" s="27" t="str">
        <x:v>A1</x:v>
      </x:c>
      <x:c r="D782" s="52" t="n">
        <x:v>2430.615707629336</x:v>
      </x:c>
      <x:c r="E782" s="46" t="n">
        <x:v>0.9722462830517344</x:v>
      </x:c>
      <x:c r="F782" s="46" t="n">
        <x:v>0.7224628305173442</x:v>
      </x:c>
      <x:c r="G782" s="46" t="n">
        <x:v>1</x:v>
      </x:c>
      <x:c r="H782" s="46" t="n">
        <x:v>1</x:v>
      </x:c>
      <x:c r="I782" s="46" t="n">
        <x:v>1</x:v>
      </x:c>
      <x:c r="J782" s="46" t="n">
        <x:v>1</x:v>
      </x:c>
      <x:c r="K782" s="46" t="n">
        <x:v>1</x:v>
      </x:c>
      <x:c r="L782" s="46" t="n">
        <x:v>0.9657285156940059</x:v>
      </x:c>
      <x:c r="M782" s="27" t="n">
        <x:v>0</x:v>
      </x:c>
    </x:row>
    <x:row r="783" ht="15" hidden="0" customHeight="1">
      <x:c r="A783" s="29" t="n">
        <x:v>279</x:v>
      </x:c>
      <x:c r="B783" s="29" t="n">
        <x:v>331183</x:v>
      </x:c>
      <x:c r="C783" s="29" t="str">
        <x:v>A1</x:v>
      </x:c>
      <x:c r="D783" s="53" t="n">
        <x:v>2426.917101429231</x:v>
      </x:c>
      <x:c r="E783" s="47" t="n">
        <x:v>0.9707668405716924</x:v>
      </x:c>
      <x:c r="F783" s="47" t="n">
        <x:v>0.7912630786622499</x:v>
      </x:c>
      <x:c r="G783" s="47" t="n">
        <x:v>1</x:v>
      </x:c>
      <x:c r="H783" s="47" t="n">
        <x:v>1</x:v>
      </x:c>
      <x:c r="I783" s="47" t="n">
        <x:v>1</x:v>
      </x:c>
      <x:c r="J783" s="47" t="n">
        <x:v>1</x:v>
      </x:c>
      <x:c r="K783" s="47" t="n">
        <x:v>1</x:v>
      </x:c>
      <x:c r="L783" s="47" t="n">
        <x:v>0.9639016364392057</x:v>
      </x:c>
      <x:c r="M783" s="29" t="n">
        <x:v>0</x:v>
      </x:c>
    </x:row>
    <x:row r="784" ht="15" hidden="0" customHeight="1">
      <x:c r="A784" s="27" t="n">
        <x:v>280</x:v>
      </x:c>
      <x:c r="B784" s="27" t="n">
        <x:v>331184</x:v>
      </x:c>
      <x:c r="C784" s="27" t="str">
        <x:v>A1</x:v>
      </x:c>
      <x:c r="D784" s="52" t="n">
        <x:v>2335.6068957433604</x:v>
      </x:c>
      <x:c r="E784" s="46" t="n">
        <x:v>0.9342427582973442</x:v>
      </x:c>
      <x:c r="F784" s="46" t="n">
        <x:v>0.6041430619432163</x:v>
      </x:c>
      <x:c r="G784" s="46" t="n">
        <x:v>1</x:v>
      </x:c>
      <x:c r="H784" s="46" t="n">
        <x:v>1</x:v>
      </x:c>
      <x:c r="I784" s="46" t="n">
        <x:v>1</x:v>
      </x:c>
      <x:c r="J784" s="46" t="n">
        <x:v>1</x:v>
      </x:c>
      <x:c r="K784" s="46" t="n">
        <x:v>1</x:v>
      </x:c>
      <x:c r="L784" s="46" t="n">
        <x:v>0.9188001275209783</x:v>
      </x:c>
      <x:c r="M784" s="27" t="n">
        <x:v>0</x:v>
      </x:c>
    </x:row>
    <x:row r="785" ht="15" hidden="0" customHeight="1">
      <x:c r="A785" s="29" t="n">
        <x:v>281</x:v>
      </x:c>
      <x:c r="B785" s="29" t="n">
        <x:v>331185</x:v>
      </x:c>
      <x:c r="C785" s="29" t="str">
        <x:v>A1</x:v>
      </x:c>
      <x:c r="D785" s="53" t="n">
        <x:v>2418.1026392567182</x:v>
      </x:c>
      <x:c r="E785" s="47" t="n">
        <x:v>0.9672410557026873</x:v>
      </x:c>
      <x:c r="F785" s="47" t="n">
        <x:v>0.7055192430675153</x:v>
      </x:c>
      <x:c r="G785" s="47" t="n">
        <x:v>1</x:v>
      </x:c>
      <x:c r="H785" s="47" t="n">
        <x:v>1</x:v>
      </x:c>
      <x:c r="I785" s="47" t="n">
        <x:v>1</x:v>
      </x:c>
      <x:c r="J785" s="47" t="n">
        <x:v>1</x:v>
      </x:c>
      <x:c r="K785" s="47" t="n">
        <x:v>1</x:v>
      </x:c>
      <x:c r="L785" s="47" t="n">
        <x:v>0.95954784552069</x:v>
      </x:c>
      <x:c r="M785" s="29" t="n">
        <x:v>0</x:v>
      </x:c>
    </x:row>
    <x:row r="786" ht="15" hidden="0" customHeight="1">
      <x:c r="A786" s="27" t="n">
        <x:v>282</x:v>
      </x:c>
      <x:c r="B786" s="27" t="n">
        <x:v>331186</x:v>
      </x:c>
      <x:c r="C786" s="27" t="str">
        <x:v>A1</x:v>
      </x:c>
      <x:c r="D786" s="52" t="n">
        <x:v>2434.826855830075</x:v>
      </x:c>
      <x:c r="E786" s="46" t="n">
        <x:v>0.97393074233203</x:v>
      </x:c>
      <x:c r="F786" s="46" t="n">
        <x:v>0.8023528900564626</x:v>
      </x:c>
      <x:c r="G786" s="46" t="n">
        <x:v>1</x:v>
      </x:c>
      <x:c r="H786" s="46" t="n">
        <x:v>1</x:v>
      </x:c>
      <x:c r="I786" s="46" t="n">
        <x:v>1</x:v>
      </x:c>
      <x:c r="J786" s="46" t="n">
        <x:v>1</x:v>
      </x:c>
      <x:c r="K786" s="46" t="n">
        <x:v>1</x:v>
      </x:c>
      <x:c r="L786" s="46" t="n">
        <x:v>0.9678085585184083</x:v>
      </x:c>
      <x:c r="M786" s="27" t="n">
        <x:v>0</x:v>
      </x:c>
    </x:row>
    <x:row r="787" ht="15" hidden="0" customHeight="1">
      <x:c r="A787" s="29" t="n">
        <x:v>283</x:v>
      </x:c>
      <x:c r="B787" s="29" t="n">
        <x:v>331187</x:v>
      </x:c>
      <x:c r="C787" s="29" t="str">
        <x:v>A1</x:v>
      </x:c>
      <x:c r="D787" s="53" t="n">
        <x:v>2470.185648194662</x:v>
      </x:c>
      <x:c r="E787" s="47" t="n">
        <x:v>0.9880742592778649</x:v>
      </x:c>
      <x:c r="F787" s="47" t="n">
        <x:v>0.8807425927786483</x:v>
      </x:c>
      <x:c r="G787" s="47" t="n">
        <x:v>1</x:v>
      </x:c>
      <x:c r="H787" s="47" t="n">
        <x:v>1</x:v>
      </x:c>
      <x:c r="I787" s="47" t="n">
        <x:v>1</x:v>
      </x:c>
      <x:c r="J787" s="47" t="n">
        <x:v>1</x:v>
      </x:c>
      <x:c r="K787" s="47" t="n">
        <x:v>1</x:v>
      </x:c>
      <x:c r="L787" s="47" t="n">
        <x:v>0.9852735820301881</x:v>
      </x:c>
      <x:c r="M787" s="29" t="n">
        <x:v>0</x:v>
      </x:c>
    </x:row>
    <x:row r="788" ht="15" hidden="0" customHeight="1">
      <x:c r="A788" s="27" t="n">
        <x:v>284</x:v>
      </x:c>
      <x:c r="B788" s="27" t="n">
        <x:v>331188</x:v>
      </x:c>
      <x:c r="C788" s="27" t="str">
        <x:v>A1</x:v>
      </x:c>
      <x:c r="D788" s="52" t="n">
        <x:v>2435.061619848504</x:v>
      </x:c>
      <x:c r="E788" s="46" t="n">
        <x:v>0.9740246479394016</x:v>
      </x:c>
      <x:c r="F788" s="46" t="n">
        <x:v>0.7504918903669516</x:v>
      </x:c>
      <x:c r="G788" s="46" t="n">
        <x:v>1</x:v>
      </x:c>
      <x:c r="H788" s="46" t="n">
        <x:v>1</x:v>
      </x:c>
      <x:c r="I788" s="46" t="n">
        <x:v>1</x:v>
      </x:c>
      <x:c r="J788" s="46" t="n">
        <x:v>1</x:v>
      </x:c>
      <x:c r="K788" s="46" t="n">
        <x:v>1</x:v>
      </x:c>
      <x:c r="L788" s="46" t="n">
        <x:v>0.9679245172044206</x:v>
      </x:c>
      <x:c r="M788" s="27" t="n">
        <x:v>0</x:v>
      </x:c>
    </x:row>
    <x:row r="789" ht="15" hidden="0" customHeight="1">
      <x:c r="A789" s="29" t="n">
        <x:v>285</x:v>
      </x:c>
      <x:c r="B789" s="29" t="n">
        <x:v>331189</x:v>
      </x:c>
      <x:c r="C789" s="29" t="str">
        <x:v>A1</x:v>
      </x:c>
      <x:c r="D789" s="53" t="n">
        <x:v>2396.0148629724076</x:v>
      </x:c>
      <x:c r="E789" s="47" t="n">
        <x:v>0.958405945188963</x:v>
      </x:c>
      <x:c r="F789" s="47" t="n">
        <x:v>0.7170608912084131</x:v>
      </x:c>
      <x:c r="G789" s="47" t="n">
        <x:v>1</x:v>
      </x:c>
      <x:c r="H789" s="47" t="n">
        <x:v>1</x:v>
      </x:c>
      <x:c r="I789" s="47" t="n">
        <x:v>1</x:v>
      </x:c>
      <x:c r="J789" s="47" t="n">
        <x:v>1</x:v>
      </x:c>
      <x:c r="K789" s="47" t="n">
        <x:v>1</x:v>
      </x:c>
      <x:c r="L789" s="47" t="n">
        <x:v>0.9486378707638942</x:v>
      </x:c>
      <x:c r="M789" s="29" t="n">
        <x:v>0</x:v>
      </x:c>
    </x:row>
    <x:row r="790" ht="15" hidden="0" customHeight="1">
      <x:c r="A790" s="27" t="n">
        <x:v>286</x:v>
      </x:c>
      <x:c r="B790" s="27" t="n">
        <x:v>331190</x:v>
      </x:c>
      <x:c r="C790" s="27" t="str">
        <x:v>A1</x:v>
      </x:c>
      <x:c r="D790" s="52" t="n">
        <x:v>2491.6430715256565</x:v>
      </x:c>
      <x:c r="E790" s="46" t="n">
        <x:v>0.9966572286102626</x:v>
      </x:c>
      <x:c r="F790" s="46" t="n">
        <x:v>0.9665722861026255</x:v>
      </x:c>
      <x:c r="G790" s="46" t="n">
        <x:v>1</x:v>
      </x:c>
      <x:c r="H790" s="46" t="n">
        <x:v>1</x:v>
      </x:c>
      <x:c r="I790" s="46" t="n">
        <x:v>1</x:v>
      </x:c>
      <x:c r="J790" s="46" t="n">
        <x:v>1</x:v>
      </x:c>
      <x:c r="K790" s="46" t="n">
        <x:v>1</x:v>
      </x:c>
      <x:c r="L790" s="46" t="n">
        <x:v>0.9958722020032321</x:v>
      </x:c>
      <x:c r="M790" s="27" t="n">
        <x:v>1</x:v>
      </x:c>
    </x:row>
    <x:row r="791" ht="15" hidden="0" customHeight="1">
      <x:c r="A791" s="29" t="n">
        <x:v>287</x:v>
      </x:c>
      <x:c r="B791" s="29" t="n">
        <x:v>331191</x:v>
      </x:c>
      <x:c r="C791" s="29" t="str">
        <x:v>A1</x:v>
      </x:c>
      <x:c r="D791" s="53" t="n">
        <x:v>2445.0166935270327</x:v>
      </x:c>
      <x:c r="E791" s="47" t="n">
        <x:v>0.978006677410813</x:v>
      </x:c>
      <x:c r="F791" s="47" t="n">
        <x:v>0.8272816761672644</x:v>
      </x:c>
      <x:c r="G791" s="47" t="n">
        <x:v>1</x:v>
      </x:c>
      <x:c r="H791" s="47" t="n">
        <x:v>1</x:v>
      </x:c>
      <x:c r="I791" s="47" t="n">
        <x:v>1</x:v>
      </x:c>
      <x:c r="J791" s="47" t="n">
        <x:v>1</x:v>
      </x:c>
      <x:c r="K791" s="47" t="n">
        <x:v>1</x:v>
      </x:c>
      <x:c r="L791" s="47" t="n">
        <x:v>0.9728416985963715</x:v>
      </x:c>
      <x:c r="M791" s="29" t="n">
        <x:v>0</x:v>
      </x:c>
    </x:row>
    <x:row r="792" ht="15" hidden="0" customHeight="1">
      <x:c r="A792" s="27" t="n">
        <x:v>288</x:v>
      </x:c>
      <x:c r="B792" s="27" t="n">
        <x:v>331192</x:v>
      </x:c>
      <x:c r="C792" s="27" t="str">
        <x:v>A1</x:v>
      </x:c>
      <x:c r="D792" s="52" t="n">
        <x:v>2500</x:v>
      </x:c>
      <x:c r="E792" s="46" t="n">
        <x:v>1</x:v>
      </x:c>
      <x:c r="F792" s="46" t="n">
        <x:v>1</x:v>
      </x:c>
      <x:c r="G792" s="46" t="n">
        <x:v>1</x:v>
      </x:c>
      <x:c r="H792" s="46" t="n">
        <x:v>1</x:v>
      </x:c>
      <x:c r="I792" s="46" t="n">
        <x:v>1</x:v>
      </x:c>
      <x:c r="J792" s="46" t="n">
        <x:v>1</x:v>
      </x:c>
      <x:c r="K792" s="46" t="n">
        <x:v>1</x:v>
      </x:c>
      <x:c r="L792" s="46" t="n">
        <x:v>1</x:v>
      </x:c>
      <x:c r="M792" s="27" t="n">
        <x:v>1</x:v>
      </x:c>
    </x:row>
    <x:row r="793" ht="15" hidden="0" customHeight="1">
      <x:c r="A793" s="29" t="n">
        <x:v>289</x:v>
      </x:c>
      <x:c r="B793" s="29" t="n">
        <x:v>331193</x:v>
      </x:c>
      <x:c r="C793" s="29" t="str">
        <x:v>A1</x:v>
      </x:c>
      <x:c r="D793" s="53" t="n">
        <x:v>2500</x:v>
      </x:c>
      <x:c r="E793" s="47" t="n">
        <x:v>1</x:v>
      </x:c>
      <x:c r="F793" s="47" t="n">
        <x:v>1</x:v>
      </x:c>
      <x:c r="G793" s="47" t="n">
        <x:v>1</x:v>
      </x:c>
      <x:c r="H793" s="47" t="n">
        <x:v>1</x:v>
      </x:c>
      <x:c r="I793" s="47" t="n">
        <x:v>1</x:v>
      </x:c>
      <x:c r="J793" s="47" t="n">
        <x:v>1</x:v>
      </x:c>
      <x:c r="K793" s="47" t="n">
        <x:v>1</x:v>
      </x:c>
      <x:c r="L793" s="47" t="n">
        <x:v>1</x:v>
      </x:c>
      <x:c r="M793" s="29" t="n">
        <x:v>1</x:v>
      </x:c>
    </x:row>
    <x:row r="794" ht="15" hidden="0" customHeight="1">
      <x:c r="A794" s="27" t="n">
        <x:v>290</x:v>
      </x:c>
      <x:c r="B794" s="27" t="n">
        <x:v>331194</x:v>
      </x:c>
      <x:c r="C794" s="27" t="str">
        <x:v>A1</x:v>
      </x:c>
      <x:c r="D794" s="52" t="n">
        <x:v>2408.97123848898</x:v>
      </x:c>
      <x:c r="E794" s="46" t="n">
        <x:v>0.963588495395592</x:v>
      </x:c>
      <x:c r="F794" s="46" t="n">
        <x:v>0.6709032486351623</x:v>
      </x:c>
      <x:c r="G794" s="46" t="n">
        <x:v>1</x:v>
      </x:c>
      <x:c r="H794" s="46" t="n">
        <x:v>1</x:v>
      </x:c>
      <x:c r="I794" s="46" t="n">
        <x:v>1</x:v>
      </x:c>
      <x:c r="J794" s="46" t="n">
        <x:v>1</x:v>
      </x:c>
      <x:c r="K794" s="46" t="n">
        <x:v>1</x:v>
      </x:c>
      <x:c r="L794" s="46" t="n">
        <x:v>0.9550375068343563</x:v>
      </x:c>
      <x:c r="M794" s="27" t="n">
        <x:v>0</x:v>
      </x:c>
    </x:row>
    <x:row r="795" ht="15" hidden="0" customHeight="1">
      <x:c r="A795" s="29" t="n">
        <x:v>291</x:v>
      </x:c>
      <x:c r="B795" s="29" t="n">
        <x:v>331195</x:v>
      </x:c>
      <x:c r="C795" s="29" t="str">
        <x:v>A1</x:v>
      </x:c>
      <x:c r="D795" s="53" t="n">
        <x:v>2480.5666371513607</x:v>
      </x:c>
      <x:c r="E795" s="47" t="n">
        <x:v>0.9922266548605443</x:v>
      </x:c>
      <x:c r="F795" s="47" t="n">
        <x:v>0.9222665486054415</x:v>
      </x:c>
      <x:c r="G795" s="47" t="n">
        <x:v>1</x:v>
      </x:c>
      <x:c r="H795" s="47" t="n">
        <x:v>1</x:v>
      </x:c>
      <x:c r="I795" s="47" t="n">
        <x:v>1</x:v>
      </x:c>
      <x:c r="J795" s="47" t="n">
        <x:v>1</x:v>
      </x:c>
      <x:c r="K795" s="47" t="n">
        <x:v>1</x:v>
      </x:c>
      <x:c r="L795" s="47" t="n">
        <x:v>0.9904011388294934</x:v>
      </x:c>
      <x:c r="M795" s="29" t="n">
        <x:v>0</x:v>
      </x:c>
    </x:row>
    <x:row r="796" ht="15" hidden="0" customHeight="1">
      <x:c r="A796" s="27" t="n">
        <x:v>292</x:v>
      </x:c>
      <x:c r="B796" s="27" t="n">
        <x:v>331196</x:v>
      </x:c>
      <x:c r="C796" s="27" t="str">
        <x:v>A1</x:v>
      </x:c>
      <x:c r="D796" s="52" t="n">
        <x:v>2418.556105147108</x:v>
      </x:c>
      <x:c r="E796" s="46" t="n">
        <x:v>0.9674224420588433</x:v>
      </x:c>
      <x:c r="F796" s="46" t="n">
        <x:v>0.7643114538951533</x:v>
      </x:c>
      <x:c r="G796" s="46" t="n">
        <x:v>1</x:v>
      </x:c>
      <x:c r="H796" s="46" t="n">
        <x:v>1</x:v>
      </x:c>
      <x:c r="I796" s="46" t="n">
        <x:v>1</x:v>
      </x:c>
      <x:c r="J796" s="46" t="n">
        <x:v>1</x:v>
      </x:c>
      <x:c r="K796" s="46" t="n">
        <x:v>1</x:v>
      </x:c>
      <x:c r="L796" s="46" t="n">
        <x:v>0.9597718292007823</x:v>
      </x:c>
      <x:c r="M796" s="27" t="n">
        <x:v>0</x:v>
      </x:c>
    </x:row>
    <x:row r="797" ht="15" hidden="0" customHeight="1">
      <x:c r="A797" s="29" t="n">
        <x:v>293</x:v>
      </x:c>
      <x:c r="B797" s="29" t="n">
        <x:v>331197</x:v>
      </x:c>
      <x:c r="C797" s="29" t="str">
        <x:v>A1</x:v>
      </x:c>
      <x:c r="D797" s="53" t="n">
        <x:v>2389.133716629676</x:v>
      </x:c>
      <x:c r="E797" s="47" t="n">
        <x:v>0.9556534866518704</x:v>
      </x:c>
      <x:c r="F797" s="47" t="n">
        <x:v>0.7129443626213106</x:v>
      </x:c>
      <x:c r="G797" s="47" t="n">
        <x:v>1</x:v>
      </x:c>
      <x:c r="H797" s="47" t="n">
        <x:v>1</x:v>
      </x:c>
      <x:c r="I797" s="47" t="n">
        <x:v>1</x:v>
      </x:c>
      <x:c r="J797" s="47" t="n">
        <x:v>1</x:v>
      </x:c>
      <x:c r="K797" s="47" t="n">
        <x:v>1</x:v>
      </x:c>
      <x:c r="L797" s="47" t="n">
        <x:v>0.9452390164867283</x:v>
      </x:c>
      <x:c r="M797" s="29" t="n">
        <x:v>0</x:v>
      </x:c>
    </x:row>
    <x:row r="798" ht="15" hidden="0" customHeight="1">
      <x:c r="A798" s="27" t="n">
        <x:v>294</x:v>
      </x:c>
      <x:c r="B798" s="27" t="n">
        <x:v>331198</x:v>
      </x:c>
      <x:c r="C798" s="27" t="str">
        <x:v>A1</x:v>
      </x:c>
      <x:c r="D798" s="52" t="n">
        <x:v>2415.8301142254045</x:v>
      </x:c>
      <x:c r="E798" s="46" t="n">
        <x:v>0.9663320456901618</x:v>
      </x:c>
      <x:c r="F798" s="46" t="n">
        <x:v>0.6939310111905407</x:v>
      </x:c>
      <x:c r="G798" s="46" t="n">
        <x:v>1</x:v>
      </x:c>
      <x:c r="H798" s="46" t="n">
        <x:v>1</x:v>
      </x:c>
      <x:c r="I798" s="46" t="n">
        <x:v>1</x:v>
      </x:c>
      <x:c r="J798" s="46" t="n">
        <x:v>1</x:v>
      </x:c>
      <x:c r="K798" s="46" t="n">
        <x:v>1</x:v>
      </x:c>
      <x:c r="L798" s="46" t="n">
        <x:v>0.9584253608302128</x:v>
      </x:c>
      <x:c r="M798" s="27" t="n">
        <x:v>0</x:v>
      </x:c>
    </x:row>
    <x:row r="799" ht="15" hidden="0" customHeight="1">
      <x:c r="A799" s="29" t="n">
        <x:v>295</x:v>
      </x:c>
      <x:c r="B799" s="29" t="n">
        <x:v>331199</x:v>
      </x:c>
      <x:c r="C799" s="29" t="str">
        <x:v>A1</x:v>
      </x:c>
      <x:c r="D799" s="53" t="n">
        <x:v>2476.2380904358283</x:v>
      </x:c>
      <x:c r="E799" s="47" t="n">
        <x:v>0.9904952361743313</x:v>
      </x:c>
      <x:c r="F799" s="47" t="n">
        <x:v>0.9092321876326955</x:v>
      </x:c>
      <x:c r="G799" s="47" t="n">
        <x:v>1</x:v>
      </x:c>
      <x:c r="H799" s="47" t="n">
        <x:v>1</x:v>
      </x:c>
      <x:c r="I799" s="47" t="n">
        <x:v>1</x:v>
      </x:c>
      <x:c r="J799" s="47" t="n">
        <x:v>1</x:v>
      </x:c>
      <x:c r="K799" s="47" t="n">
        <x:v>1</x:v>
      </x:c>
      <x:c r="L799" s="47" t="n">
        <x:v>0.988263108509365</x:v>
      </x:c>
      <x:c r="M799" s="29" t="n">
        <x:v>0</x:v>
      </x:c>
    </x:row>
    <x:row r="800" ht="15" hidden="0" customHeight="1">
      <x:c r="A800" s="27" t="n">
        <x:v>296</x:v>
      </x:c>
      <x:c r="B800" s="27" t="n">
        <x:v>331200</x:v>
      </x:c>
      <x:c r="C800" s="27" t="str">
        <x:v>A1</x:v>
      </x:c>
      <x:c r="D800" s="52" t="n">
        <x:v>2437.660984868065</x:v>
      </x:c>
      <x:c r="E800" s="46" t="n">
        <x:v>0.975064393947226</x:v>
      </x:c>
      <x:c r="F800" s="46" t="n">
        <x:v>0.7684416211211942</x:v>
      </x:c>
      <x:c r="G800" s="46" t="n">
        <x:v>1</x:v>
      </x:c>
      <x:c r="H800" s="46" t="n">
        <x:v>1</x:v>
      </x:c>
      <x:c r="I800" s="46" t="n">
        <x:v>1</x:v>
      </x:c>
      <x:c r="J800" s="46" t="n">
        <x:v>1</x:v>
      </x:c>
      <x:c r="K800" s="46" t="n">
        <x:v>1</x:v>
      </x:c>
      <x:c r="L800" s="46" t="n">
        <x:v>0.969208440329233</x:v>
      </x:c>
      <x:c r="M800" s="27" t="n">
        <x:v>0</x:v>
      </x:c>
    </x:row>
    <x:row r="801" ht="15" hidden="0" customHeight="1">
      <x:c r="A801" s="29" t="n">
        <x:v>297</x:v>
      </x:c>
      <x:c r="B801" s="29" t="n">
        <x:v>331201</x:v>
      </x:c>
      <x:c r="C801" s="29" t="str">
        <x:v>A1</x:v>
      </x:c>
      <x:c r="D801" s="53" t="n">
        <x:v>2421.3157770124308</x:v>
      </x:c>
      <x:c r="E801" s="47" t="n">
        <x:v>0.9685263108049723</x:v>
      </x:c>
      <x:c r="F801" s="47" t="n">
        <x:v>0.7775623577611676</x:v>
      </x:c>
      <x:c r="G801" s="47" t="n">
        <x:v>1</x:v>
      </x:c>
      <x:c r="H801" s="47" t="n">
        <x:v>1</x:v>
      </x:c>
      <x:c r="I801" s="47" t="n">
        <x:v>1</x:v>
      </x:c>
      <x:c r="J801" s="47" t="n">
        <x:v>1</x:v>
      </x:c>
      <x:c r="K801" s="47" t="n">
        <x:v>1</x:v>
      </x:c>
      <x:c r="L801" s="47" t="n">
        <x:v>0.961134933842923</x:v>
      </x:c>
      <x:c r="M801" s="29" t="n">
        <x:v>0</x:v>
      </x:c>
    </x:row>
    <x:row r="802" ht="15" hidden="0" customHeight="1">
      <x:c r="A802" s="27" t="n">
        <x:v>298</x:v>
      </x:c>
      <x:c r="B802" s="27" t="n">
        <x:v>331202</x:v>
      </x:c>
      <x:c r="C802" s="27" t="str">
        <x:v>A1</x:v>
      </x:c>
      <x:c r="D802" s="52" t="n">
        <x:v>2431.4793335914665</x:v>
      </x:c>
      <x:c r="E802" s="46" t="n">
        <x:v>0.9725917334365866</x:v>
      </x:c>
      <x:c r="F802" s="46" t="n">
        <x:v>0.7583155005113283</x:v>
      </x:c>
      <x:c r="G802" s="46" t="n">
        <x:v>1</x:v>
      </x:c>
      <x:c r="H802" s="46" t="n">
        <x:v>1</x:v>
      </x:c>
      <x:c r="I802" s="46" t="n">
        <x:v>1</x:v>
      </x:c>
      <x:c r="J802" s="46" t="n">
        <x:v>1</x:v>
      </x:c>
      <x:c r="K802" s="46" t="n">
        <x:v>1</x:v>
      </x:c>
      <x:c r="L802" s="46" t="n">
        <x:v>0.9661550926986292</x:v>
      </x:c>
      <x:c r="M802" s="27" t="n">
        <x:v>0</x:v>
      </x:c>
    </x:row>
    <x:row r="803" ht="15" hidden="0" customHeight="1">
      <x:c r="A803" s="29" t="n">
        <x:v>299</x:v>
      </x:c>
      <x:c r="B803" s="29" t="n">
        <x:v>331203</x:v>
      </x:c>
      <x:c r="C803" s="29" t="str">
        <x:v>A1</x:v>
      </x:c>
      <x:c r="D803" s="53" t="n">
        <x:v>2448.6304825508105</x:v>
      </x:c>
      <x:c r="E803" s="47" t="n">
        <x:v>0.9794521930203242</x:v>
      </x:c>
      <x:c r="F803" s="47" t="n">
        <x:v>0.8021607837756533</x:v>
      </x:c>
      <x:c r="G803" s="47" t="n">
        <x:v>1</x:v>
      </x:c>
      <x:c r="H803" s="47" t="n">
        <x:v>1</x:v>
      </x:c>
      <x:c r="I803" s="47" t="n">
        <x:v>1</x:v>
      </x:c>
      <x:c r="J803" s="47" t="n">
        <x:v>1</x:v>
      </x:c>
      <x:c r="K803" s="47" t="n">
        <x:v>1</x:v>
      </x:c>
      <x:c r="L803" s="47" t="n">
        <x:v>0.9746266834911075</x:v>
      </x:c>
      <x:c r="M803" s="29" t="n">
        <x:v>0</x:v>
      </x:c>
    </x:row>
    <x:row r="804" ht="15" hidden="0" customHeight="1">
      <x:c r="A804" s="27" t="n">
        <x:v>300</x:v>
      </x:c>
      <x:c r="B804" s="27" t="n">
        <x:v>331204</x:v>
      </x:c>
      <x:c r="C804" s="27" t="str">
        <x:v>A1</x:v>
      </x:c>
      <x:c r="D804" s="52" t="n">
        <x:v>2468.5536189551976</x:v>
      </x:c>
      <x:c r="E804" s="46" t="n">
        <x:v>0.9874214475820791</x:v>
      </x:c>
      <x:c r="F804" s="46" t="n">
        <x:v>0.8813924769485942</x:v>
      </x:c>
      <x:c r="G804" s="46" t="n">
        <x:v>1</x:v>
      </x:c>
      <x:c r="H804" s="46" t="n">
        <x:v>1</x:v>
      </x:c>
      <x:c r="I804" s="46" t="n">
        <x:v>1</x:v>
      </x:c>
      <x:c r="J804" s="46" t="n">
        <x:v>1</x:v>
      </x:c>
      <x:c r="K804" s="46" t="n">
        <x:v>1</x:v>
      </x:c>
      <x:c r="L804" s="46" t="n">
        <x:v>0.9844674620489041</x:v>
      </x:c>
      <x:c r="M804" s="27" t="n">
        <x:v>0</x:v>
      </x:c>
    </x:row>
    <x:row r="805" ht="15" hidden="0" customHeight="1">
      <x:c r="A805" s="29" t="n">
        <x:v>301</x:v>
      </x:c>
      <x:c r="B805" s="29" t="n">
        <x:v>331205</x:v>
      </x:c>
      <x:c r="C805" s="29" t="str">
        <x:v>A1</x:v>
      </x:c>
      <x:c r="D805" s="53" t="n">
        <x:v>2466.4994516088227</x:v>
      </x:c>
      <x:c r="E805" s="47" t="n">
        <x:v>0.986599780643529</x:v>
      </x:c>
      <x:c r="F805" s="47" t="n">
        <x:v>0.9147128439189438</x:v>
      </x:c>
      <x:c r="G805" s="47" t="n">
        <x:v>1</x:v>
      </x:c>
      <x:c r="H805" s="47" t="n">
        <x:v>1</x:v>
      </x:c>
      <x:c r="I805" s="47" t="n">
        <x:v>1</x:v>
      </x:c>
      <x:c r="J805" s="47" t="n">
        <x:v>1</x:v>
      </x:c>
      <x:c r="K805" s="47" t="n">
        <x:v>1</x:v>
      </x:c>
      <x:c r="L805" s="47" t="n">
        <x:v>0.9834528323457274</x:v>
      </x:c>
      <x:c r="M805" s="29" t="n">
        <x:v>0</x:v>
      </x:c>
    </x:row>
    <x:row r="806" ht="15" hidden="0" customHeight="1">
      <x:c r="A806" s="27" t="n">
        <x:v>302</x:v>
      </x:c>
      <x:c r="B806" s="27" t="n">
        <x:v>331206</x:v>
      </x:c>
      <x:c r="C806" s="27" t="str">
        <x:v>A1</x:v>
      </x:c>
      <x:c r="D806" s="52" t="n">
        <x:v>2444.3035550544128</x:v>
      </x:c>
      <x:c r="E806" s="46" t="n">
        <x:v>0.9777214220217652</x:v>
      </x:c>
      <x:c r="F806" s="46" t="n">
        <x:v>0.7953325164470596</x:v>
      </x:c>
      <x:c r="G806" s="46" t="n">
        <x:v>1</x:v>
      </x:c>
      <x:c r="H806" s="46" t="n">
        <x:v>1</x:v>
      </x:c>
      <x:c r="I806" s="46" t="n">
        <x:v>1</x:v>
      </x:c>
      <x:c r="J806" s="46" t="n">
        <x:v>1</x:v>
      </x:c>
      <x:c r="K806" s="46" t="n">
        <x:v>1</x:v>
      </x:c>
      <x:c r="L806" s="46" t="n">
        <x:v>0.9724894529635727</x:v>
      </x:c>
      <x:c r="M806" s="27" t="n">
        <x:v>0</x:v>
      </x:c>
    </x:row>
    <x:row r="807" ht="15" hidden="0" customHeight="1">
      <x:c r="A807" s="29" t="n">
        <x:v>303</x:v>
      </x:c>
      <x:c r="B807" s="29" t="n">
        <x:v>331207</x:v>
      </x:c>
      <x:c r="C807" s="29" t="str">
        <x:v>A1</x:v>
      </x:c>
      <x:c r="D807" s="53" t="n">
        <x:v>2411.3548661620875</x:v>
      </x:c>
      <x:c r="E807" s="47" t="n">
        <x:v>0.964541946464835</x:v>
      </x:c>
      <x:c r="F807" s="47" t="n">
        <x:v>0.7656852943818746</x:v>
      </x:c>
      <x:c r="G807" s="47" t="n">
        <x:v>1</x:v>
      </x:c>
      <x:c r="H807" s="47" t="n">
        <x:v>1</x:v>
      </x:c>
      <x:c r="I807" s="47" t="n">
        <x:v>1</x:v>
      </x:c>
      <x:c r="J807" s="47" t="n">
        <x:v>1</x:v>
      </x:c>
      <x:c r="K807" s="47" t="n">
        <x:v>1</x:v>
      </x:c>
      <x:c r="L807" s="47" t="n">
        <x:v>0.9562148692545686</x:v>
      </x:c>
      <x:c r="M807" s="29" t="n">
        <x:v>0</x:v>
      </x:c>
    </x:row>
    <x:row r="808" ht="15" hidden="0" customHeight="1">
      <x:c r="A808" s="27" t="n">
        <x:v>304</x:v>
      </x:c>
      <x:c r="B808" s="27" t="n">
        <x:v>331208</x:v>
      </x:c>
      <x:c r="C808" s="27" t="str">
        <x:v>A1</x:v>
      </x:c>
      <x:c r="D808" s="52" t="n">
        <x:v>2425.5095293664926</x:v>
      </x:c>
      <x:c r="E808" s="46" t="n">
        <x:v>0.9702038117465971</x:v>
      </x:c>
      <x:c r="F808" s="46" t="n">
        <x:v>0.7721245025212891</x:v>
      </x:c>
      <x:c r="G808" s="46" t="n">
        <x:v>1</x:v>
      </x:c>
      <x:c r="H808" s="46" t="n">
        <x:v>1</x:v>
      </x:c>
      <x:c r="I808" s="46" t="n">
        <x:v>1</x:v>
      </x:c>
      <x:c r="J808" s="46" t="n">
        <x:v>1</x:v>
      </x:c>
      <x:c r="K808" s="46" t="n">
        <x:v>1</x:v>
      </x:c>
      <x:c r="L808" s="46" t="n">
        <x:v>0.9632063842112232</x:v>
      </x:c>
      <x:c r="M808" s="27" t="n">
        <x:v>0</x:v>
      </x:c>
    </x:row>
    <x:row r="809" ht="15" hidden="0" customHeight="1">
      <x:c r="A809" s="29" t="n">
        <x:v>305</x:v>
      </x:c>
      <x:c r="B809" s="29" t="n">
        <x:v>331209</x:v>
      </x:c>
      <x:c r="C809" s="29" t="str">
        <x:v>A1</x:v>
      </x:c>
      <x:c r="D809" s="53" t="n">
        <x:v>2438.1319854360836</x:v>
      </x:c>
      <x:c r="E809" s="47" t="n">
        <x:v>0.9752527941744334</x:v>
      </x:c>
      <x:c r="F809" s="47" t="n">
        <x:v>0.8090196351224805</x:v>
      </x:c>
      <x:c r="G809" s="47" t="n">
        <x:v>1</x:v>
      </x:c>
      <x:c r="H809" s="47" t="n">
        <x:v>1</x:v>
      </x:c>
      <x:c r="I809" s="47" t="n">
        <x:v>1</x:v>
      </x:c>
      <x:c r="J809" s="47" t="n">
        <x:v>1</x:v>
      </x:c>
      <x:c r="K809" s="47" t="n">
        <x:v>1</x:v>
      </x:c>
      <x:c r="L809" s="47" t="n">
        <x:v>0.9694410850392019</x:v>
      </x:c>
      <x:c r="M809" s="29" t="n">
        <x:v>0</x:v>
      </x:c>
    </x:row>
    <x:row r="810" ht="15" hidden="0" customHeight="1">
      <x:c r="A810" s="27" t="n">
        <x:v>306</x:v>
      </x:c>
      <x:c r="B810" s="27" t="n">
        <x:v>331210</x:v>
      </x:c>
      <x:c r="C810" s="27" t="str">
        <x:v>A1</x:v>
      </x:c>
      <x:c r="D810" s="52" t="n">
        <x:v>2389.0587462031135</x:v>
      </x:c>
      <x:c r="E810" s="46" t="n">
        <x:v>0.9556234984812454</x:v>
      </x:c>
      <x:c r="F810" s="46" t="n">
        <x:v>0.6630773679225779</x:v>
      </x:c>
      <x:c r="G810" s="46" t="n">
        <x:v>1</x:v>
      </x:c>
      <x:c r="H810" s="46" t="n">
        <x:v>1</x:v>
      </x:c>
      <x:c r="I810" s="46" t="n">
        <x:v>1</x:v>
      </x:c>
      <x:c r="J810" s="46" t="n">
        <x:v>1</x:v>
      </x:c>
      <x:c r="K810" s="46" t="n">
        <x:v>1</x:v>
      </x:c>
      <x:c r="L810" s="46" t="n">
        <x:v>0.9452019858028435</x:v>
      </x:c>
      <x:c r="M810" s="27" t="n">
        <x:v>0</x:v>
      </x:c>
    </x:row>
    <x:row r="811" ht="15" hidden="0" customHeight="1">
      <x:c r="A811" s="29" t="n">
        <x:v>307</x:v>
      </x:c>
      <x:c r="B811" s="29" t="n">
        <x:v>331211</x:v>
      </x:c>
      <x:c r="C811" s="29" t="str">
        <x:v>A1</x:v>
      </x:c>
      <x:c r="D811" s="53" t="n">
        <x:v>2409.193312418321</x:v>
      </x:c>
      <x:c r="E811" s="47" t="n">
        <x:v>0.9636773249673284</x:v>
      </x:c>
      <x:c r="F811" s="47" t="n">
        <x:v>0.7361343823509608</x:v>
      </x:c>
      <x:c r="G811" s="47" t="n">
        <x:v>1</x:v>
      </x:c>
      <x:c r="H811" s="47" t="n">
        <x:v>1</x:v>
      </x:c>
      <x:c r="I811" s="47" t="n">
        <x:v>1</x:v>
      </x:c>
      <x:c r="J811" s="47" t="n">
        <x:v>1</x:v>
      </x:c>
      <x:c r="K811" s="47" t="n">
        <x:v>1</x:v>
      </x:c>
      <x:c r="L811" s="47" t="n">
        <x:v>0.9551471974130756</x:v>
      </x:c>
      <x:c r="M811" s="29" t="n">
        <x:v>0</x:v>
      </x:c>
    </x:row>
    <x:row r="812" ht="15" hidden="0" customHeight="1">
      <x:c r="A812" s="27" t="n">
        <x:v>308</x:v>
      </x:c>
      <x:c r="B812" s="27" t="n">
        <x:v>331212</x:v>
      </x:c>
      <x:c r="C812" s="27" t="str">
        <x:v>A1</x:v>
      </x:c>
      <x:c r="D812" s="52" t="n">
        <x:v>2500</x:v>
      </x:c>
      <x:c r="E812" s="46" t="n">
        <x:v>1</x:v>
      </x:c>
      <x:c r="F812" s="46" t="n">
        <x:v>0.9999999999999999</x:v>
      </x:c>
      <x:c r="G812" s="46" t="n">
        <x:v>1</x:v>
      </x:c>
      <x:c r="H812" s="46" t="n">
        <x:v>1</x:v>
      </x:c>
      <x:c r="I812" s="46" t="n">
        <x:v>1</x:v>
      </x:c>
      <x:c r="J812" s="46" t="n">
        <x:v>1</x:v>
      </x:c>
      <x:c r="K812" s="46" t="n">
        <x:v>1</x:v>
      </x:c>
      <x:c r="L812" s="46" t="n">
        <x:v>1</x:v>
      </x:c>
      <x:c r="M812" s="27" t="n">
        <x:v>1</x:v>
      </x:c>
    </x:row>
    <x:row r="813" ht="15" hidden="0" customHeight="1">
      <x:c r="A813" s="29" t="n">
        <x:v>309</x:v>
      </x:c>
      <x:c r="B813" s="29" t="n">
        <x:v>331213</x:v>
      </x:c>
      <x:c r="C813" s="29" t="str">
        <x:v>A1</x:v>
      </x:c>
      <x:c r="D813" s="53" t="n">
        <x:v>2435.507826900201</x:v>
      </x:c>
      <x:c r="E813" s="47" t="n">
        <x:v>0.9742031307600805</x:v>
      </x:c>
      <x:c r="F813" s="47" t="n">
        <x:v>0.7683372888634081</x:v>
      </x:c>
      <x:c r="G813" s="47" t="n">
        <x:v>1</x:v>
      </x:c>
      <x:c r="H813" s="47" t="n">
        <x:v>1</x:v>
      </x:c>
      <x:c r="I813" s="47" t="n">
        <x:v>1</x:v>
      </x:c>
      <x:c r="J813" s="47" t="n">
        <x:v>1</x:v>
      </x:c>
      <x:c r="K813" s="47" t="n">
        <x:v>1</x:v>
      </x:c>
      <x:c r="L813" s="47" t="n">
        <x:v>0.9681449154739276</x:v>
      </x:c>
      <x:c r="M813" s="29" t="n">
        <x:v>0</x:v>
      </x:c>
    </x:row>
    <x:row r="814" ht="15" hidden="0" customHeight="1">
      <x:c r="A814" s="27" t="n">
        <x:v>310</x:v>
      </x:c>
      <x:c r="B814" s="27" t="n">
        <x:v>331214</x:v>
      </x:c>
      <x:c r="C814" s="27" t="str">
        <x:v>A1</x:v>
      </x:c>
      <x:c r="D814" s="52" t="n">
        <x:v>2440.149396595143</x:v>
      </x:c>
      <x:c r="E814" s="46" t="n">
        <x:v>0.9760597586380573</x:v>
      </x:c>
      <x:c r="F814" s="46" t="n">
        <x:v>0.7964228679072013</x:v>
      </x:c>
      <x:c r="G814" s="46" t="n">
        <x:v>1</x:v>
      </x:c>
      <x:c r="H814" s="46" t="n">
        <x:v>1</x:v>
      </x:c>
      <x:c r="I814" s="46" t="n">
        <x:v>1</x:v>
      </x:c>
      <x:c r="J814" s="46" t="n">
        <x:v>1</x:v>
      </x:c>
      <x:c r="K814" s="46" t="n">
        <x:v>1</x:v>
      </x:c>
      <x:c r="L814" s="46" t="n">
        <x:v>0.9704375594934931</x:v>
      </x:c>
      <x:c r="M814" s="27" t="n">
        <x:v>0</x:v>
      </x:c>
    </x:row>
    <x:row r="815" ht="15" hidden="0" customHeight="1">
      <x:c r="A815" s="29" t="n">
        <x:v>311</x:v>
      </x:c>
      <x:c r="B815" s="29" t="n">
        <x:v>331215</x:v>
      </x:c>
      <x:c r="C815" s="29" t="str">
        <x:v>A1</x:v>
      </x:c>
      <x:c r="D815" s="53" t="n">
        <x:v>2431.9613351828875</x:v>
      </x:c>
      <x:c r="E815" s="47" t="n">
        <x:v>0.972784534073155</x:v>
      </x:c>
      <x:c r="F815" s="47" t="n">
        <x:v>0.7484646878607534</x:v>
      </x:c>
      <x:c r="G815" s="47" t="n">
        <x:v>1</x:v>
      </x:c>
      <x:c r="H815" s="47" t="n">
        <x:v>1</x:v>
      </x:c>
      <x:c r="I815" s="47" t="n">
        <x:v>1</x:v>
      </x:c>
      <x:c r="J815" s="47" t="n">
        <x:v>1</x:v>
      </x:c>
      <x:c r="K815" s="47" t="n">
        <x:v>1</x:v>
      </x:c>
      <x:c r="L815" s="47" t="n">
        <x:v>0.9663931712234864</x:v>
      </x:c>
      <x:c r="M815" s="29" t="n">
        <x:v>0</x:v>
      </x:c>
    </x:row>
    <x:row r="816" ht="15" hidden="0" customHeight="1">
      <x:c r="A816" s="27" t="n">
        <x:v>312</x:v>
      </x:c>
      <x:c r="B816" s="27" t="n">
        <x:v>331216</x:v>
      </x:c>
      <x:c r="C816" s="27" t="str">
        <x:v>A1</x:v>
      </x:c>
      <x:c r="D816" s="52" t="n">
        <x:v>2468.201673687285</x:v>
      </x:c>
      <x:c r="E816" s="46" t="n">
        <x:v>0.9872806694749141</x:v>
      </x:c>
      <x:c r="F816" s="46" t="n">
        <x:v>0.8728066947491403</x:v>
      </x:c>
      <x:c r="G816" s="46" t="n">
        <x:v>1</x:v>
      </x:c>
      <x:c r="H816" s="46" t="n">
        <x:v>1</x:v>
      </x:c>
      <x:c r="I816" s="46" t="n">
        <x:v>1</x:v>
      </x:c>
      <x:c r="J816" s="46" t="n">
        <x:v>1</x:v>
      </x:c>
      <x:c r="K816" s="46" t="n">
        <x:v>1</x:v>
      </x:c>
      <x:c r="L816" s="46" t="n">
        <x:v>0.9842936231825886</x:v>
      </x:c>
      <x:c r="M816" s="27" t="n">
        <x:v>0</x:v>
      </x:c>
    </x:row>
    <x:row r="817" ht="15" hidden="0" customHeight="1">
      <x:c r="A817" s="29" t="n">
        <x:v>313</x:v>
      </x:c>
      <x:c r="B817" s="29" t="n">
        <x:v>331217</x:v>
      </x:c>
      <x:c r="C817" s="29" t="str">
        <x:v>A1</x:v>
      </x:c>
      <x:c r="D817" s="53" t="n">
        <x:v>2460.7666051277733</x:v>
      </x:c>
      <x:c r="E817" s="47" t="n">
        <x:v>0.9843066420511093</x:v>
      </x:c>
      <x:c r="F817" s="47" t="n">
        <x:v>0.8466212964530996</x:v>
      </x:c>
      <x:c r="G817" s="47" t="n">
        <x:v>1</x:v>
      </x:c>
      <x:c r="H817" s="47" t="n">
        <x:v>1</x:v>
      </x:c>
      <x:c r="I817" s="47" t="n">
        <x:v>1</x:v>
      </x:c>
      <x:c r="J817" s="47" t="n">
        <x:v>1</x:v>
      </x:c>
      <x:c r="K817" s="47" t="n">
        <x:v>1</x:v>
      </x:c>
      <x:c r="L817" s="47" t="n">
        <x:v>0.9806211661070009</x:v>
      </x:c>
      <x:c r="M817" s="29" t="n">
        <x:v>0</x:v>
      </x:c>
    </x:row>
    <x:row r="818" ht="15" hidden="0" customHeight="1">
      <x:c r="A818" s="27" t="n">
        <x:v>314</x:v>
      </x:c>
      <x:c r="B818" s="27" t="n">
        <x:v>331218</x:v>
      </x:c>
      <x:c r="C818" s="27" t="str">
        <x:v>A1</x:v>
      </x:c>
      <x:c r="D818" s="52" t="n">
        <x:v>2415.918196094342</x:v>
      </x:c>
      <x:c r="E818" s="46" t="n">
        <x:v>0.9663672784377367</x:v>
      </x:c>
      <x:c r="F818" s="46" t="n">
        <x:v>0.6636727843773672</x:v>
      </x:c>
      <x:c r="G818" s="46" t="n">
        <x:v>1</x:v>
      </x:c>
      <x:c r="H818" s="46" t="n">
        <x:v>1</x:v>
      </x:c>
      <x:c r="I818" s="46" t="n">
        <x:v>1</x:v>
      </x:c>
      <x:c r="J818" s="46" t="n">
        <x:v>1</x:v>
      </x:c>
      <x:c r="K818" s="46" t="n">
        <x:v>1</x:v>
      </x:c>
      <x:c r="L818" s="46" t="n">
        <x:v>0.9584688677434606</x:v>
      </x:c>
      <x:c r="M818" s="27" t="n">
        <x:v>0</x:v>
      </x:c>
    </x:row>
    <x:row r="819" ht="15" hidden="0" customHeight="1">
      <x:c r="A819" s="29" t="n">
        <x:v>315</x:v>
      </x:c>
      <x:c r="B819" s="29" t="n">
        <x:v>331219</x:v>
      </x:c>
      <x:c r="C819" s="29" t="str">
        <x:v>A1</x:v>
      </x:c>
      <x:c r="D819" s="53" t="n">
        <x:v>2500</x:v>
      </x:c>
      <x:c r="E819" s="47" t="n">
        <x:v>1</x:v>
      </x:c>
      <x:c r="F819" s="47" t="n">
        <x:v>0.9999999999999998</x:v>
      </x:c>
      <x:c r="G819" s="47" t="n">
        <x:v>1</x:v>
      </x:c>
      <x:c r="H819" s="47" t="n">
        <x:v>1</x:v>
      </x:c>
      <x:c r="I819" s="47" t="n">
        <x:v>1</x:v>
      </x:c>
      <x:c r="J819" s="47" t="n">
        <x:v>1</x:v>
      </x:c>
      <x:c r="K819" s="47" t="n">
        <x:v>1</x:v>
      </x:c>
      <x:c r="L819" s="47" t="n">
        <x:v>1</x:v>
      </x:c>
      <x:c r="M819" s="29" t="n">
        <x:v>1</x:v>
      </x:c>
    </x:row>
    <x:row r="820" ht="15" hidden="0" customHeight="1">
      <x:c r="A820" s="27" t="n">
        <x:v>316</x:v>
      </x:c>
      <x:c r="B820" s="27" t="n">
        <x:v>331220</x:v>
      </x:c>
      <x:c r="C820" s="27" t="str">
        <x:v>A1</x:v>
      </x:c>
      <x:c r="D820" s="52" t="n">
        <x:v>2366.582565169637</x:v>
      </x:c>
      <x:c r="E820" s="46" t="n">
        <x:v>0.9466330260678547</x:v>
      </x:c>
      <x:c r="F820" s="46" t="n">
        <x:v>0.6464950647500682</x:v>
      </x:c>
      <x:c r="G820" s="46" t="n">
        <x:v>1</x:v>
      </x:c>
      <x:c r="H820" s="46" t="n">
        <x:v>1</x:v>
      </x:c>
      <x:c r="I820" s="46" t="n">
        <x:v>1</x:v>
      </x:c>
      <x:c r="J820" s="46" t="n">
        <x:v>1</x:v>
      </x:c>
      <x:c r="K820" s="46" t="n">
        <x:v>1</x:v>
      </x:c>
      <x:c r="L820" s="46" t="n">
        <x:v>0.9341001634850136</x:v>
      </x:c>
      <x:c r="M820" s="27" t="n">
        <x:v>0</x:v>
      </x:c>
    </x:row>
    <x:row r="821" ht="15" hidden="0" customHeight="1">
      <x:c r="A821" s="29" t="n">
        <x:v>317</x:v>
      </x:c>
      <x:c r="B821" s="29" t="n">
        <x:v>331221</x:v>
      </x:c>
      <x:c r="C821" s="29" t="str">
        <x:v>A1</x:v>
      </x:c>
      <x:c r="D821" s="53" t="n">
        <x:v>2490.3440479922447</x:v>
      </x:c>
      <x:c r="E821" s="47" t="n">
        <x:v>0.9961376191968979</x:v>
      </x:c>
      <x:c r="F821" s="47" t="n">
        <x:v>0.9613761919689775</x:v>
      </x:c>
      <x:c r="G821" s="47" t="n">
        <x:v>1</x:v>
      </x:c>
      <x:c r="H821" s="47" t="n">
        <x:v>1</x:v>
      </x:c>
      <x:c r="I821" s="47" t="n">
        <x:v>1</x:v>
      </x:c>
      <x:c r="J821" s="47" t="n">
        <x:v>1</x:v>
      </x:c>
      <x:c r="K821" s="47" t="n">
        <x:v>1</x:v>
      </x:c>
      <x:c r="L821" s="47" t="n">
        <x:v>0.9952305659337798</x:v>
      </x:c>
      <x:c r="M821" s="29" t="n">
        <x:v>1</x:v>
      </x:c>
    </x:row>
    <x:row r="822" ht="15" hidden="0" customHeight="1">
      <x:c r="A822" s="27" t="n">
        <x:v>318</x:v>
      </x:c>
      <x:c r="B822" s="27" t="n">
        <x:v>331222</x:v>
      </x:c>
      <x:c r="C822" s="27" t="str">
        <x:v>A1</x:v>
      </x:c>
      <x:c r="D822" s="52" t="n">
        <x:v>2500</x:v>
      </x:c>
      <x:c r="E822" s="46" t="n">
        <x:v>1</x:v>
      </x:c>
      <x:c r="F822" s="46" t="n">
        <x:v>1</x:v>
      </x:c>
      <x:c r="G822" s="46" t="n">
        <x:v>1</x:v>
      </x:c>
      <x:c r="H822" s="46" t="n">
        <x:v>1</x:v>
      </x:c>
      <x:c r="I822" s="46" t="n">
        <x:v>1</x:v>
      </x:c>
      <x:c r="J822" s="46" t="n">
        <x:v>1</x:v>
      </x:c>
      <x:c r="K822" s="46" t="n">
        <x:v>1</x:v>
      </x:c>
      <x:c r="L822" s="46" t="n">
        <x:v>1</x:v>
      </x:c>
      <x:c r="M822" s="27" t="n">
        <x:v>1</x:v>
      </x:c>
    </x:row>
    <x:row r="823" ht="15" hidden="0" customHeight="1">
      <x:c r="A823" s="29" t="n">
        <x:v>319</x:v>
      </x:c>
      <x:c r="B823" s="29" t="n">
        <x:v>331223</x:v>
      </x:c>
      <x:c r="C823" s="29" t="str">
        <x:v>A1</x:v>
      </x:c>
      <x:c r="D823" s="53" t="n">
        <x:v>2463.178442095255</x:v>
      </x:c>
      <x:c r="E823" s="47" t="n">
        <x:v>0.985271376838102</x:v>
      </x:c>
      <x:c r="F823" s="47" t="n">
        <x:v>0.852713768381019</x:v>
      </x:c>
      <x:c r="G823" s="47" t="n">
        <x:v>1</x:v>
      </x:c>
      <x:c r="H823" s="47" t="n">
        <x:v>1</x:v>
      </x:c>
      <x:c r="I823" s="47" t="n">
        <x:v>1</x:v>
      </x:c>
      <x:c r="J823" s="47" t="n">
        <x:v>1</x:v>
      </x:c>
      <x:c r="K823" s="47" t="n">
        <x:v>1</x:v>
      </x:c>
      <x:c r="L823" s="47" t="n">
        <x:v>0.9818124621475813</x:v>
      </x:c>
      <x:c r="M823" s="29" t="n">
        <x:v>0</x:v>
      </x:c>
    </x:row>
    <x:row r="824" ht="15" hidden="0" customHeight="1">
      <x:c r="A824" s="27" t="n">
        <x:v>320</x:v>
      </x:c>
      <x:c r="B824" s="27" t="n">
        <x:v>331224</x:v>
      </x:c>
      <x:c r="C824" s="27" t="str">
        <x:v>A1</x:v>
      </x:c>
      <x:c r="D824" s="52" t="n">
        <x:v>2469.839083347417</x:v>
      </x:c>
      <x:c r="E824" s="46" t="n">
        <x:v>0.9879356333389667</x:v>
      </x:c>
      <x:c r="F824" s="46" t="n">
        <x:v>0.9037252167408867</x:v>
      </x:c>
      <x:c r="G824" s="46" t="n">
        <x:v>1</x:v>
      </x:c>
      <x:c r="H824" s="46" t="n">
        <x:v>1</x:v>
      </x:c>
      <x:c r="I824" s="46" t="n">
        <x:v>1</x:v>
      </x:c>
      <x:c r="J824" s="46" t="n">
        <x:v>1</x:v>
      </x:c>
      <x:c r="K824" s="46" t="n">
        <x:v>1</x:v>
      </x:c>
      <x:c r="L824" s="46" t="n">
        <x:v>0.9851024007538853</x:v>
      </x:c>
      <x:c r="M824" s="27" t="n">
        <x:v>0</x:v>
      </x:c>
    </x:row>
    <x:row r="825" ht="15" hidden="0" customHeight="1">
      <x:c r="A825" s="29" t="n">
        <x:v>321</x:v>
      </x:c>
      <x:c r="B825" s="29" t="n">
        <x:v>331225</x:v>
      </x:c>
      <x:c r="C825" s="29" t="str">
        <x:v>A1</x:v>
      </x:c>
      <x:c r="D825" s="53" t="n">
        <x:v>2424.702532346563</x:v>
      </x:c>
      <x:c r="E825" s="47" t="n">
        <x:v>0.9698810129386253</x:v>
      </x:c>
      <x:c r="F825" s="47" t="n">
        <x:v>0.7973988137404188</x:v>
      </x:c>
      <x:c r="G825" s="47" t="n">
        <x:v>1</x:v>
      </x:c>
      <x:c r="H825" s="47" t="n">
        <x:v>1</x:v>
      </x:c>
      <x:c r="I825" s="47" t="n">
        <x:v>1</x:v>
      </x:c>
      <x:c r="J825" s="47" t="n">
        <x:v>1</x:v>
      </x:c>
      <x:c r="K825" s="47" t="n">
        <x:v>1</x:v>
      </x:c>
      <x:c r="L825" s="47" t="n">
        <x:v>0.9628077783487355</x:v>
      </x:c>
      <x:c r="M825" s="29" t="n">
        <x:v>0</x:v>
      </x:c>
    </x:row>
    <x:row r="826" ht="15" hidden="0" customHeight="1">
      <x:c r="A826" s="27" t="n">
        <x:v>322</x:v>
      </x:c>
      <x:c r="B826" s="27" t="n">
        <x:v>331226</x:v>
      </x:c>
      <x:c r="C826" s="27" t="str">
        <x:v>A1</x:v>
      </x:c>
      <x:c r="D826" s="52" t="n">
        <x:v>2483.277074427175</x:v>
      </x:c>
      <x:c r="E826" s="46" t="n">
        <x:v>0.99331082977087</x:v>
      </x:c>
      <x:c r="F826" s="46" t="n">
        <x:v>0.9331082977087007</x:v>
      </x:c>
      <x:c r="G826" s="46" t="n">
        <x:v>1</x:v>
      </x:c>
      <x:c r="H826" s="46" t="n">
        <x:v>1</x:v>
      </x:c>
      <x:c r="I826" s="46" t="n">
        <x:v>1</x:v>
      </x:c>
      <x:c r="J826" s="46" t="n">
        <x:v>1</x:v>
      </x:c>
      <x:c r="K826" s="46" t="n">
        <x:v>1</x:v>
      </x:c>
      <x:c r="L826" s="46" t="n">
        <x:v>0.991739924675492</x:v>
      </x:c>
      <x:c r="M826" s="27" t="n">
        <x:v>0</x:v>
      </x:c>
    </x:row>
    <x:row r="827" ht="15" hidden="0" customHeight="1">
      <x:c r="A827" s="29" t="n">
        <x:v>323</x:v>
      </x:c>
      <x:c r="B827" s="29" t="n">
        <x:v>331227</x:v>
      </x:c>
      <x:c r="C827" s="29" t="str">
        <x:v>A1</x:v>
      </x:c>
      <x:c r="D827" s="53" t="n">
        <x:v>2448.0337075160905</x:v>
      </x:c>
      <x:c r="E827" s="47" t="n">
        <x:v>0.9792134830064362</x:v>
      </x:c>
      <x:c r="F827" s="47" t="n">
        <x:v>0.7963941425325239</x:v>
      </x:c>
      <x:c r="G827" s="47" t="n">
        <x:v>1</x:v>
      </x:c>
      <x:c r="H827" s="47" t="n">
        <x:v>1</x:v>
      </x:c>
      <x:c r="I827" s="47" t="n">
        <x:v>1</x:v>
      </x:c>
      <x:c r="J827" s="47" t="n">
        <x:v>1</x:v>
      </x:c>
      <x:c r="K827" s="47" t="n">
        <x:v>1</x:v>
      </x:c>
      <x:c r="L827" s="47" t="n">
        <x:v>0.9743319140910343</x:v>
      </x:c>
      <x:c r="M827" s="29" t="n">
        <x:v>0</x:v>
      </x:c>
    </x:row>
    <x:row r="828" ht="15" hidden="0" customHeight="1">
      <x:c r="A828" s="27" t="n">
        <x:v>324</x:v>
      </x:c>
      <x:c r="B828" s="27" t="n">
        <x:v>331228</x:v>
      </x:c>
      <x:c r="C828" s="27" t="str">
        <x:v>A1</x:v>
      </x:c>
      <x:c r="D828" s="52" t="n">
        <x:v>2470.045162120749</x:v>
      </x:c>
      <x:c r="E828" s="46" t="n">
        <x:v>0.9880180648482996</x:v>
      </x:c>
      <x:c r="F828" s="46" t="n">
        <x:v>0.8801806484829945</x:v>
      </x:c>
      <x:c r="G828" s="46" t="n">
        <x:v>1</x:v>
      </x:c>
      <x:c r="H828" s="46" t="n">
        <x:v>1</x:v>
      </x:c>
      <x:c r="I828" s="46" t="n">
        <x:v>1</x:v>
      </x:c>
      <x:c r="J828" s="46" t="n">
        <x:v>1</x:v>
      </x:c>
      <x:c r="K828" s="46" t="n">
        <x:v>1</x:v>
      </x:c>
      <x:c r="L828" s="46" t="n">
        <x:v>0.9852041907297535</x:v>
      </x:c>
      <x:c r="M828" s="27" t="n">
        <x:v>0</x:v>
      </x:c>
    </x:row>
    <x:row r="829" ht="15" hidden="0" customHeight="1">
      <x:c r="A829" s="29" t="n">
        <x:v>325</x:v>
      </x:c>
      <x:c r="B829" s="29" t="n">
        <x:v>331229</x:v>
      </x:c>
      <x:c r="C829" s="29" t="str">
        <x:v>A1</x:v>
      </x:c>
      <x:c r="D829" s="53" t="n">
        <x:v>2403.0859489494824</x:v>
      </x:c>
      <x:c r="E829" s="47" t="n">
        <x:v>0.961234379579793</x:v>
      </x:c>
      <x:c r="F829" s="47" t="n">
        <x:v>0.7806010156289216</x:v>
      </x:c>
      <x:c r="G829" s="47" t="n">
        <x:v>1</x:v>
      </x:c>
      <x:c r="H829" s="47" t="n">
        <x:v>1</x:v>
      </x:c>
      <x:c r="I829" s="47" t="n">
        <x:v>1</x:v>
      </x:c>
      <x:c r="J829" s="47" t="n">
        <x:v>1</x:v>
      </x:c>
      <x:c r="K829" s="47" t="n">
        <x:v>1</x:v>
      </x:c>
      <x:c r="L829" s="47" t="n">
        <x:v>0.9521305432955252</x:v>
      </x:c>
      <x:c r="M829" s="29" t="n">
        <x:v>0</x:v>
      </x:c>
    </x:row>
    <x:row r="830" ht="15" hidden="0" customHeight="1">
      <x:c r="A830" s="27" t="n">
        <x:v>326</x:v>
      </x:c>
      <x:c r="B830" s="27" t="n">
        <x:v>331230</x:v>
      </x:c>
      <x:c r="C830" s="27" t="str">
        <x:v>A1</x:v>
      </x:c>
      <x:c r="D830" s="52" t="n">
        <x:v>2500</x:v>
      </x:c>
      <x:c r="E830" s="46" t="n">
        <x:v>1</x:v>
      </x:c>
      <x:c r="F830" s="46" t="n">
        <x:v>0.9999999999999999</x:v>
      </x:c>
      <x:c r="G830" s="46" t="n">
        <x:v>1</x:v>
      </x:c>
      <x:c r="H830" s="46" t="n">
        <x:v>1</x:v>
      </x:c>
      <x:c r="I830" s="46" t="n">
        <x:v>1</x:v>
      </x:c>
      <x:c r="J830" s="46" t="n">
        <x:v>1</x:v>
      </x:c>
      <x:c r="K830" s="46" t="n">
        <x:v>1</x:v>
      </x:c>
      <x:c r="L830" s="46" t="n">
        <x:v>1</x:v>
      </x:c>
      <x:c r="M830" s="27" t="n">
        <x:v>1</x:v>
      </x:c>
    </x:row>
    <x:row r="831" ht="15" hidden="0" customHeight="1">
      <x:c r="A831" s="29" t="n">
        <x:v>327</x:v>
      </x:c>
      <x:c r="B831" s="29" t="n">
        <x:v>331231</x:v>
      </x:c>
      <x:c r="C831" s="29" t="str">
        <x:v>A1</x:v>
      </x:c>
      <x:c r="D831" s="53" t="n">
        <x:v>2434.3063951010695</x:v>
      </x:c>
      <x:c r="E831" s="47" t="n">
        <x:v>0.9737225580404278</x:v>
      </x:c>
      <x:c r="F831" s="47" t="n">
        <x:v>0.8046325775832852</x:v>
      </x:c>
      <x:c r="G831" s="47" t="n">
        <x:v>1</x:v>
      </x:c>
      <x:c r="H831" s="47" t="n">
        <x:v>1</x:v>
      </x:c>
      <x:c r="I831" s="47" t="n">
        <x:v>1</x:v>
      </x:c>
      <x:c r="J831" s="47" t="n">
        <x:v>1</x:v>
      </x:c>
      <x:c r="K831" s="47" t="n">
        <x:v>1</x:v>
      </x:c>
      <x:c r="L831" s="47" t="n">
        <x:v>0.9675514835941484</x:v>
      </x:c>
      <x:c r="M831" s="29" t="n">
        <x:v>0</x:v>
      </x:c>
    </x:row>
    <x:row r="832" ht="15" hidden="0" customHeight="1">
      <x:c r="A832" s="27" t="n">
        <x:v>328</x:v>
      </x:c>
      <x:c r="B832" s="27" t="n">
        <x:v>331232</x:v>
      </x:c>
      <x:c r="C832" s="27" t="str">
        <x:v>A1</x:v>
      </x:c>
      <x:c r="D832" s="52" t="n">
        <x:v>2493.704101894982</x:v>
      </x:c>
      <x:c r="E832" s="46" t="n">
        <x:v>0.9974816407579928</x:v>
      </x:c>
      <x:c r="F832" s="46" t="n">
        <x:v>0.9748164075799282</x:v>
      </x:c>
      <x:c r="G832" s="46" t="n">
        <x:v>1</x:v>
      </x:c>
      <x:c r="H832" s="46" t="n">
        <x:v>1</x:v>
      </x:c>
      <x:c r="I832" s="46" t="n">
        <x:v>1</x:v>
      </x:c>
      <x:c r="J832" s="46" t="n">
        <x:v>1</x:v>
      </x:c>
      <x:c r="K832" s="46" t="n">
        <x:v>1</x:v>
      </x:c>
      <x:c r="L832" s="46" t="n">
        <x:v>0.9968902216088682</x:v>
      </x:c>
      <x:c r="M832" s="27" t="n">
        <x:v>1</x:v>
      </x:c>
    </x:row>
    <x:row r="833" ht="15" hidden="0" customHeight="1">
      <x:c r="A833" s="29" t="n">
        <x:v>329</x:v>
      </x:c>
      <x:c r="B833" s="29" t="n">
        <x:v>331233</x:v>
      </x:c>
      <x:c r="C833" s="29" t="str">
        <x:v>A1</x:v>
      </x:c>
      <x:c r="D833" s="53" t="n">
        <x:v>2500</x:v>
      </x:c>
      <x:c r="E833" s="47" t="n">
        <x:v>1</x:v>
      </x:c>
      <x:c r="F833" s="47" t="n">
        <x:v>1</x:v>
      </x:c>
      <x:c r="G833" s="47" t="n">
        <x:v>1</x:v>
      </x:c>
      <x:c r="H833" s="47" t="n">
        <x:v>1</x:v>
      </x:c>
      <x:c r="I833" s="47" t="n">
        <x:v>1</x:v>
      </x:c>
      <x:c r="J833" s="47" t="n">
        <x:v>1</x:v>
      </x:c>
      <x:c r="K833" s="47" t="n">
        <x:v>1</x:v>
      </x:c>
      <x:c r="L833" s="47" t="n">
        <x:v>1</x:v>
      </x:c>
      <x:c r="M833" s="29" t="n">
        <x:v>1</x:v>
      </x:c>
    </x:row>
    <x:row r="834" ht="15" hidden="0" customHeight="1">
      <x:c r="A834" s="27" t="n">
        <x:v>330</x:v>
      </x:c>
      <x:c r="B834" s="27" t="n">
        <x:v>331234</x:v>
      </x:c>
      <x:c r="C834" s="27" t="str">
        <x:v>A1</x:v>
      </x:c>
      <x:c r="D834" s="52" t="n">
        <x:v>2443.129551051504</x:v>
      </x:c>
      <x:c r="E834" s="46" t="n">
        <x:v>0.9772518204206017</x:v>
      </x:c>
      <x:c r="F834" s="46" t="n">
        <x:v>0.8236098743192594</x:v>
      </x:c>
      <x:c r="G834" s="46" t="n">
        <x:v>1</x:v>
      </x:c>
      <x:c r="H834" s="46" t="n">
        <x:v>1</x:v>
      </x:c>
      <x:c r="I834" s="46" t="n">
        <x:v>1</x:v>
      </x:c>
      <x:c r="J834" s="46" t="n">
        <x:v>1</x:v>
      </x:c>
      <x:c r="K834" s="46" t="n">
        <x:v>1</x:v>
      </x:c>
      <x:c r="L834" s="46" t="n">
        <x:v>0.9719095686931402</x:v>
      </x:c>
      <x:c r="M834" s="27" t="n">
        <x:v>0</x:v>
      </x:c>
    </x:row>
    <x:row r="835" ht="15" hidden="0" customHeight="1">
      <x:c r="A835" s="29" t="n">
        <x:v>331</x:v>
      </x:c>
      <x:c r="B835" s="29" t="n">
        <x:v>331235</x:v>
      </x:c>
      <x:c r="C835" s="29" t="str">
        <x:v>A1</x:v>
      </x:c>
      <x:c r="D835" s="53" t="n">
        <x:v>2324.389680127924</x:v>
      </x:c>
      <x:c r="E835" s="47" t="n">
        <x:v>0.9297558720511695</x:v>
      </x:c>
      <x:c r="F835" s="47" t="n">
        <x:v>0.5079622508253921</x:v>
      </x:c>
      <x:c r="G835" s="47" t="n">
        <x:v>1</x:v>
      </x:c>
      <x:c r="H835" s="47" t="n">
        <x:v>1</x:v>
      </x:c>
      <x:c r="I835" s="47" t="n">
        <x:v>1</x:v>
      </x:c>
      <x:c r="J835" s="47" t="n">
        <x:v>1</x:v>
      </x:c>
      <x:c r="K835" s="47" t="n">
        <x:v>1</x:v>
      </x:c>
      <x:c r="L835" s="47" t="n">
        <x:v>0.9132595272527262</x:v>
      </x:c>
      <x:c r="M835" s="29" t="n">
        <x:v>0</x:v>
      </x:c>
    </x:row>
    <x:row r="836" ht="15" hidden="0" customHeight="1">
      <x:c r="A836" s="27" t="n">
        <x:v>332</x:v>
      </x:c>
      <x:c r="B836" s="27" t="n">
        <x:v>331236</x:v>
      </x:c>
      <x:c r="C836" s="27" t="str">
        <x:v>A1</x:v>
      </x:c>
      <x:c r="D836" s="52" t="n">
        <x:v>2500</x:v>
      </x:c>
      <x:c r="E836" s="46" t="n">
        <x:v>1</x:v>
      </x:c>
      <x:c r="F836" s="46" t="n">
        <x:v>1</x:v>
      </x:c>
      <x:c r="G836" s="46" t="n">
        <x:v>1</x:v>
      </x:c>
      <x:c r="H836" s="46" t="n">
        <x:v>1</x:v>
      </x:c>
      <x:c r="I836" s="46" t="n">
        <x:v>1</x:v>
      </x:c>
      <x:c r="J836" s="46" t="n">
        <x:v>1</x:v>
      </x:c>
      <x:c r="K836" s="46" t="n">
        <x:v>1</x:v>
      </x:c>
      <x:c r="L836" s="46" t="n">
        <x:v>1</x:v>
      </x:c>
      <x:c r="M836" s="27" t="n">
        <x:v>1</x:v>
      </x:c>
    </x:row>
    <x:row r="837" ht="15" hidden="0" customHeight="1">
      <x:c r="A837" s="29" t="n">
        <x:v>333</x:v>
      </x:c>
      <x:c r="B837" s="29" t="n">
        <x:v>331237</x:v>
      </x:c>
      <x:c r="C837" s="29" t="str">
        <x:v>A1</x:v>
      </x:c>
      <x:c r="D837" s="53" t="n">
        <x:v>2445.4489039359405</x:v>
      </x:c>
      <x:c r="E837" s="47" t="n">
        <x:v>0.9781795615743762</x:v>
      </x:c>
      <x:c r="F837" s="47" t="n">
        <x:v>0.7950239331303797</x:v>
      </x:c>
      <x:c r="G837" s="47" t="n">
        <x:v>1</x:v>
      </x:c>
      <x:c r="H837" s="47" t="n">
        <x:v>1</x:v>
      </x:c>
      <x:c r="I837" s="47" t="n">
        <x:v>1</x:v>
      </x:c>
      <x:c r="J837" s="47" t="n">
        <x:v>1</x:v>
      </x:c>
      <x:c r="K837" s="47" t="n">
        <x:v>1</x:v>
      </x:c>
      <x:c r="L837" s="47" t="n">
        <x:v>0.9730551834030862</x:v>
      </x:c>
      <x:c r="M837" s="29" t="n">
        <x:v>0</x:v>
      </x:c>
    </x:row>
    <x:row r="838" ht="15" hidden="0" customHeight="1">
      <x:c r="A838" s="27" t="n">
        <x:v>334</x:v>
      </x:c>
      <x:c r="B838" s="27" t="n">
        <x:v>331238</x:v>
      </x:c>
      <x:c r="C838" s="27" t="str">
        <x:v>A1</x:v>
      </x:c>
      <x:c r="D838" s="52" t="n">
        <x:v>2479.86575795816</x:v>
      </x:c>
      <x:c r="E838" s="46" t="n">
        <x:v>0.991946303183264</x:v>
      </x:c>
      <x:c r="F838" s="46" t="n">
        <x:v>0.9194630318326399</x:v>
      </x:c>
      <x:c r="G838" s="46" t="n">
        <x:v>1</x:v>
      </x:c>
      <x:c r="H838" s="46" t="n">
        <x:v>1</x:v>
      </x:c>
      <x:c r="I838" s="46" t="n">
        <x:v>1</x:v>
      </x:c>
      <x:c r="J838" s="46" t="n">
        <x:v>1</x:v>
      </x:c>
      <x:c r="K838" s="46" t="n">
        <x:v>1</x:v>
      </x:c>
      <x:c r="L838" s="46" t="n">
        <x:v>0.9900549485110588</x:v>
      </x:c>
      <x:c r="M838" s="27" t="n">
        <x:v>0</x:v>
      </x:c>
    </x:row>
    <x:row r="839" ht="15" hidden="0" customHeight="1">
      <x:c r="A839" s="29" t="n">
        <x:v>335</x:v>
      </x:c>
      <x:c r="B839" s="29" t="n">
        <x:v>331239</x:v>
      </x:c>
      <x:c r="C839" s="29" t="str">
        <x:v>A1</x:v>
      </x:c>
      <x:c r="D839" s="53" t="n">
        <x:v>2427.765811941081</x:v>
      </x:c>
      <x:c r="E839" s="47" t="n">
        <x:v>0.9711063247764324</x:v>
      </x:c>
      <x:c r="F839" s="47" t="n">
        <x:v>0.7811019968692808</x:v>
      </x:c>
      <x:c r="G839" s="47" t="n">
        <x:v>1</x:v>
      </x:c>
      <x:c r="H839" s="47" t="n">
        <x:v>1</x:v>
      </x:c>
      <x:c r="I839" s="47" t="n">
        <x:v>1</x:v>
      </x:c>
      <x:c r="J839" s="47" t="n">
        <x:v>1</x:v>
      </x:c>
      <x:c r="K839" s="47" t="n">
        <x:v>1</x:v>
      </x:c>
      <x:c r="L839" s="47" t="n">
        <x:v>0.9643208461478212</x:v>
      </x:c>
      <x:c r="M839" s="29" t="n">
        <x:v>0</x:v>
      </x:c>
    </x:row>
    <x:row r="840" ht="15" hidden="0" customHeight="1">
      <x:c r="A840" s="27" t="n">
        <x:v>336</x:v>
      </x:c>
      <x:c r="B840" s="27" t="n">
        <x:v>331240</x:v>
      </x:c>
      <x:c r="C840" s="27" t="str">
        <x:v>A1</x:v>
      </x:c>
      <x:c r="D840" s="52" t="n">
        <x:v>2432.5950294579975</x:v>
      </x:c>
      <x:c r="E840" s="46" t="n">
        <x:v>0.973038011783199</x:v>
      </x:c>
      <x:c r="F840" s="46" t="n">
        <x:v>0.7505564566052407</x:v>
      </x:c>
      <x:c r="G840" s="46" t="n">
        <x:v>1</x:v>
      </x:c>
      <x:c r="H840" s="46" t="n">
        <x:v>1</x:v>
      </x:c>
      <x:c r="I840" s="46" t="n">
        <x:v>1</x:v>
      </x:c>
      <x:c r="J840" s="46" t="n">
        <x:v>1</x:v>
      </x:c>
      <x:c r="K840" s="46" t="n">
        <x:v>1</x:v>
      </x:c>
      <x:c r="L840" s="46" t="n">
        <x:v>0.9667061764104271</x:v>
      </x:c>
      <x:c r="M840" s="27" t="n">
        <x:v>0</x:v>
      </x:c>
    </x:row>
    <x:row r="841" ht="15" hidden="0" customHeight="1">
      <x:c r="A841" s="29" t="n">
        <x:v>337</x:v>
      </x:c>
      <x:c r="B841" s="29" t="n">
        <x:v>331241</x:v>
      </x:c>
      <x:c r="C841" s="29" t="str">
        <x:v>A1</x:v>
      </x:c>
      <x:c r="D841" s="53" t="n">
        <x:v>2411.132476547421</x:v>
      </x:c>
      <x:c r="E841" s="47" t="n">
        <x:v>0.9644529906189684</x:v>
      </x:c>
      <x:c r="F841" s="47" t="n">
        <x:v>0.6959000692076062</x:v>
      </x:c>
      <x:c r="G841" s="47" t="n">
        <x:v>1</x:v>
      </x:c>
      <x:c r="H841" s="47" t="n">
        <x:v>1</x:v>
      </x:c>
      <x:c r="I841" s="47" t="n">
        <x:v>1</x:v>
      </x:c>
      <x:c r="J841" s="47" t="n">
        <x:v>1</x:v>
      </x:c>
      <x:c r="K841" s="47" t="n">
        <x:v>1</x:v>
      </x:c>
      <x:c r="L841" s="47" t="n">
        <x:v>0.9561050227471177</x:v>
      </x:c>
      <x:c r="M841" s="29" t="n">
        <x:v>0</x:v>
      </x:c>
    </x:row>
    <x:row r="842" ht="15" hidden="0" customHeight="1">
      <x:c r="A842" s="27" t="n">
        <x:v>338</x:v>
      </x:c>
      <x:c r="B842" s="27" t="n">
        <x:v>331242</x:v>
      </x:c>
      <x:c r="C842" s="27" t="str">
        <x:v>A1</x:v>
      </x:c>
      <x:c r="D842" s="52" t="n">
        <x:v>2358.155301721926</x:v>
      </x:c>
      <x:c r="E842" s="46" t="n">
        <x:v>0.9432621206887705</x:v>
      </x:c>
      <x:c r="F842" s="46" t="n">
        <x:v>0.677466842938411</x:v>
      </x:c>
      <x:c r="G842" s="46" t="n">
        <x:v>1</x:v>
      </x:c>
      <x:c r="H842" s="46" t="n">
        <x:v>1</x:v>
      </x:c>
      <x:c r="I842" s="46" t="n">
        <x:v>1</x:v>
      </x:c>
      <x:c r="J842" s="46" t="n">
        <x:v>1</x:v>
      </x:c>
      <x:c r="K842" s="46" t="n">
        <x:v>1</x:v>
      </x:c>
      <x:c r="L842" s="46" t="n">
        <x:v>0.9299376244272138</x:v>
      </x:c>
      <x:c r="M842" s="27" t="n">
        <x:v>0</x:v>
      </x:c>
    </x:row>
    <x:row r="843" ht="15" hidden="0" customHeight="1">
      <x:c r="A843" s="29" t="n">
        <x:v>339</x:v>
      </x:c>
      <x:c r="B843" s="29" t="n">
        <x:v>331243</x:v>
      </x:c>
      <x:c r="C843" s="29" t="str">
        <x:v>A1</x:v>
      </x:c>
      <x:c r="D843" s="53" t="n">
        <x:v>2496.411528178604</x:v>
      </x:c>
      <x:c r="E843" s="47" t="n">
        <x:v>0.9985646112714416</x:v>
      </x:c>
      <x:c r="F843" s="47" t="n">
        <x:v>0.985646112714415</x:v>
      </x:c>
      <x:c r="G843" s="47" t="n">
        <x:v>1</x:v>
      </x:c>
      <x:c r="H843" s="47" t="n">
        <x:v>1</x:v>
      </x:c>
      <x:c r="I843" s="47" t="n">
        <x:v>1</x:v>
      </x:c>
      <x:c r="J843" s="47" t="n">
        <x:v>1</x:v>
      </x:c>
      <x:c r="K843" s="47" t="n">
        <x:v>1</x:v>
      </x:c>
      <x:c r="L843" s="47" t="n">
        <x:v>0.9982275202137612</x:v>
      </x:c>
      <x:c r="M843" s="29" t="n">
        <x:v>1</x:v>
      </x:c>
    </x:row>
    <x:row r="844" ht="15" hidden="0" customHeight="1">
      <x:c r="A844" s="27" t="n">
        <x:v>340</x:v>
      </x:c>
      <x:c r="B844" s="27" t="n">
        <x:v>331244</x:v>
      </x:c>
      <x:c r="C844" s="27" t="str">
        <x:v>A1</x:v>
      </x:c>
      <x:c r="D844" s="52" t="n">
        <x:v>2486.2934148334407</x:v>
      </x:c>
      <x:c r="E844" s="46" t="n">
        <x:v>0.9945173659333763</x:v>
      </x:c>
      <x:c r="F844" s="46" t="n">
        <x:v>0.9451736593337623</x:v>
      </x:c>
      <x:c r="G844" s="46" t="n">
        <x:v>1</x:v>
      </x:c>
      <x:c r="H844" s="46" t="n">
        <x:v>1</x:v>
      </x:c>
      <x:c r="I844" s="46" t="n">
        <x:v>1</x:v>
      </x:c>
      <x:c r="J844" s="46" t="n">
        <x:v>1</x:v>
      </x:c>
      <x:c r="K844" s="46" t="n">
        <x:v>1</x:v>
      </x:c>
      <x:c r="L844" s="46" t="n">
        <x:v>0.9932298074625443</x:v>
      </x:c>
      <x:c r="M844" s="27" t="n">
        <x:v>0</x:v>
      </x:c>
    </x:row>
    <x:row r="845" ht="15" hidden="0" customHeight="1">
      <x:c r="A845" s="29" t="n">
        <x:v>341</x:v>
      </x:c>
      <x:c r="B845" s="29" t="n">
        <x:v>331245</x:v>
      </x:c>
      <x:c r="C845" s="29" t="str">
        <x:v>A1</x:v>
      </x:c>
      <x:c r="D845" s="53" t="n">
        <x:v>2493.598092842607</x:v>
      </x:c>
      <x:c r="E845" s="47" t="n">
        <x:v>0.9974392371370429</x:v>
      </x:c>
      <x:c r="F845" s="47" t="n">
        <x:v>0.9761662017548488</x:v>
      </x:c>
      <x:c r="G845" s="47" t="n">
        <x:v>1</x:v>
      </x:c>
      <x:c r="H845" s="47" t="n">
        <x:v>1</x:v>
      </x:c>
      <x:c r="I845" s="47" t="n">
        <x:v>1</x:v>
      </x:c>
      <x:c r="J845" s="47" t="n">
        <x:v>1</x:v>
      </x:c>
      <x:c r="K845" s="47" t="n">
        <x:v>1</x:v>
      </x:c>
      <x:c r="L845" s="47" t="n">
        <x:v>0.996837859792517</x:v>
      </x:c>
      <x:c r="M845" s="29" t="n">
        <x:v>1</x:v>
      </x:c>
    </x:row>
    <x:row r="846" ht="15" hidden="0" customHeight="1">
      <x:c r="A846" s="27" t="n">
        <x:v>342</x:v>
      </x:c>
      <x:c r="B846" s="27" t="n">
        <x:v>331246</x:v>
      </x:c>
      <x:c r="C846" s="27" t="str">
        <x:v>A1</x:v>
      </x:c>
      <x:c r="D846" s="52" t="n">
        <x:v>2487.951016056226</x:v>
      </x:c>
      <x:c r="E846" s="46" t="n">
        <x:v>0.9951804064224904</x:v>
      </x:c>
      <x:c r="F846" s="46" t="n">
        <x:v>0.9518040642249032</x:v>
      </x:c>
      <x:c r="G846" s="46" t="n">
        <x:v>1</x:v>
      </x:c>
      <x:c r="H846" s="46" t="n">
        <x:v>1</x:v>
      </x:c>
      <x:c r="I846" s="46" t="n">
        <x:v>1</x:v>
      </x:c>
      <x:c r="J846" s="46" t="n">
        <x:v>1</x:v>
      </x:c>
      <x:c r="K846" s="46" t="n">
        <x:v>1</x:v>
      </x:c>
      <x:c r="L846" s="46" t="n">
        <x:v>0.9940485583981135</x:v>
      </x:c>
      <x:c r="M846" s="27" t="n">
        <x:v>1</x:v>
      </x:c>
    </x:row>
    <x:row r="847" ht="15" hidden="0" customHeight="1">
      <x:c r="A847" s="29" t="n">
        <x:v>343</x:v>
      </x:c>
      <x:c r="B847" s="29" t="n">
        <x:v>331247</x:v>
      </x:c>
      <x:c r="C847" s="29" t="str">
        <x:v>A1</x:v>
      </x:c>
      <x:c r="D847" s="53" t="n">
        <x:v>2451.9673011557284</x:v>
      </x:c>
      <x:c r="E847" s="47" t="n">
        <x:v>0.9807869204622913</x:v>
      </x:c>
      <x:c r="F847" s="47" t="n">
        <x:v>0.8477579584614738</x:v>
      </x:c>
      <x:c r="G847" s="47" t="n">
        <x:v>1</x:v>
      </x:c>
      <x:c r="H847" s="47" t="n">
        <x:v>1</x:v>
      </x:c>
      <x:c r="I847" s="47" t="n">
        <x:v>1</x:v>
      </x:c>
      <x:c r="J847" s="47" t="n">
        <x:v>1</x:v>
      </x:c>
      <x:c r="K847" s="47" t="n">
        <x:v>1</x:v>
      </x:c>
      <x:c r="L847" s="47" t="n">
        <x:v>0.9762748623878449</x:v>
      </x:c>
      <x:c r="M847" s="29" t="n">
        <x:v>0</x:v>
      </x:c>
    </x:row>
    <x:row r="848" ht="15" hidden="0" customHeight="1">
      <x:c r="A848" s="27" t="n">
        <x:v>344</x:v>
      </x:c>
      <x:c r="B848" s="27" t="n">
        <x:v>331248</x:v>
      </x:c>
      <x:c r="C848" s="27" t="str">
        <x:v>A1</x:v>
      </x:c>
      <x:c r="D848" s="52" t="n">
        <x:v>2500</x:v>
      </x:c>
      <x:c r="E848" s="46" t="n">
        <x:v>1</x:v>
      </x:c>
      <x:c r="F848" s="46" t="n">
        <x:v>0.9999999999999998</x:v>
      </x:c>
      <x:c r="G848" s="46" t="n">
        <x:v>1</x:v>
      </x:c>
      <x:c r="H848" s="46" t="n">
        <x:v>1</x:v>
      </x:c>
      <x:c r="I848" s="46" t="n">
        <x:v>1</x:v>
      </x:c>
      <x:c r="J848" s="46" t="n">
        <x:v>1</x:v>
      </x:c>
      <x:c r="K848" s="46" t="n">
        <x:v>1</x:v>
      </x:c>
      <x:c r="L848" s="46" t="n">
        <x:v>1</x:v>
      </x:c>
      <x:c r="M848" s="27" t="n">
        <x:v>1</x:v>
      </x:c>
    </x:row>
    <x:row r="849" ht="15" hidden="0" customHeight="1">
      <x:c r="A849" s="29" t="n">
        <x:v>345</x:v>
      </x:c>
      <x:c r="B849" s="29" t="n">
        <x:v>331249</x:v>
      </x:c>
      <x:c r="C849" s="29" t="str">
        <x:v>A1</x:v>
      </x:c>
      <x:c r="D849" s="53" t="n">
        <x:v>2450.7496073991488</x:v>
      </x:c>
      <x:c r="E849" s="47" t="n">
        <x:v>0.9802998429596596</x:v>
      </x:c>
      <x:c r="F849" s="47" t="n">
        <x:v>0.817120970707932</x:v>
      </x:c>
      <x:c r="G849" s="47" t="n">
        <x:v>1</x:v>
      </x:c>
      <x:c r="H849" s="47" t="n">
        <x:v>1</x:v>
      </x:c>
      <x:c r="I849" s="47" t="n">
        <x:v>1</x:v>
      </x:c>
      <x:c r="J849" s="47" t="n">
        <x:v>1</x:v>
      </x:c>
      <x:c r="K849" s="47" t="n">
        <x:v>1</x:v>
      </x:c>
      <x:c r="L849" s="47" t="n">
        <x:v>0.9756733981220543</x:v>
      </x:c>
      <x:c r="M849" s="29" t="n">
        <x:v>0</x:v>
      </x:c>
    </x:row>
    <x:row r="850" ht="15" hidden="0" customHeight="1">
      <x:c r="A850" s="27" t="n">
        <x:v>346</x:v>
      </x:c>
      <x:c r="B850" s="27" t="n">
        <x:v>331250</x:v>
      </x:c>
      <x:c r="C850" s="27" t="str">
        <x:v>A1</x:v>
      </x:c>
      <x:c r="D850" s="52" t="n">
        <x:v>2422.1048525092688</x:v>
      </x:c>
      <x:c r="E850" s="46" t="n">
        <x:v>0.9688419410037075</x:v>
      </x:c>
      <x:c r="F850" s="46" t="n">
        <x:v>0.7211511727368882</x:v>
      </x:c>
      <x:c r="G850" s="46" t="n">
        <x:v>1</x:v>
      </x:c>
      <x:c r="H850" s="46" t="n">
        <x:v>1</x:v>
      </x:c>
      <x:c r="I850" s="46" t="n">
        <x:v>1</x:v>
      </x:c>
      <x:c r="J850" s="46" t="n">
        <x:v>1</x:v>
      </x:c>
      <x:c r="K850" s="46" t="n">
        <x:v>1</x:v>
      </x:c>
      <x:c r="L850" s="46" t="n">
        <x:v>0.961524687598163</x:v>
      </x:c>
      <x:c r="M850" s="27" t="n">
        <x:v>0</x:v>
      </x:c>
    </x:row>
    <x:row r="851" ht="15" hidden="0" customHeight="1">
      <x:c r="A851" s="29" t="n">
        <x:v>347</x:v>
      </x:c>
      <x:c r="B851" s="29" t="n">
        <x:v>331251</x:v>
      </x:c>
      <x:c r="C851" s="29" t="str">
        <x:v>A1</x:v>
      </x:c>
      <x:c r="D851" s="53" t="n">
        <x:v>2476.2968351865443</x:v>
      </x:c>
      <x:c r="E851" s="47" t="n">
        <x:v>0.9905187340746178</x:v>
      </x:c>
      <x:c r="F851" s="47" t="n">
        <x:v>0.9051873407461773</x:v>
      </x:c>
      <x:c r="G851" s="47" t="n">
        <x:v>1</x:v>
      </x:c>
      <x:c r="H851" s="47" t="n">
        <x:v>1</x:v>
      </x:c>
      <x:c r="I851" s="47" t="n">
        <x:v>1</x:v>
      </x:c>
      <x:c r="J851" s="47" t="n">
        <x:v>1</x:v>
      </x:c>
      <x:c r="K851" s="47" t="n">
        <x:v>1</x:v>
      </x:c>
      <x:c r="L851" s="47" t="n">
        <x:v>0.9882921247280717</x:v>
      </x:c>
      <x:c r="M851" s="29" t="n">
        <x:v>0</x:v>
      </x:c>
    </x:row>
    <x:row r="852" ht="15" hidden="0" customHeight="1">
      <x:c r="A852" s="27" t="n">
        <x:v>348</x:v>
      </x:c>
      <x:c r="B852" s="27" t="n">
        <x:v>331252</x:v>
      </x:c>
      <x:c r="C852" s="27" t="str">
        <x:v>A1</x:v>
      </x:c>
      <x:c r="D852" s="52" t="n">
        <x:v>2469.8185820435515</x:v>
      </x:c>
      <x:c r="E852" s="46" t="n">
        <x:v>0.9879274328174206</x:v>
      </x:c>
      <x:c r="F852" s="46" t="n">
        <x:v>0.8792743281742055</x:v>
      </x:c>
      <x:c r="G852" s="46" t="n">
        <x:v>1</x:v>
      </x:c>
      <x:c r="H852" s="46" t="n">
        <x:v>1</x:v>
      </x:c>
      <x:c r="I852" s="46" t="n">
        <x:v>1</x:v>
      </x:c>
      <x:c r="J852" s="46" t="n">
        <x:v>1</x:v>
      </x:c>
      <x:c r="K852" s="46" t="n">
        <x:v>1</x:v>
      </x:c>
      <x:c r="L852" s="46" t="n">
        <x:v>0.9850922743969006</x:v>
      </x:c>
      <x:c r="M852" s="27" t="n">
        <x:v>0</x:v>
      </x:c>
    </x:row>
    <x:row r="853" ht="15" hidden="0" customHeight="1">
      <x:c r="A853" s="29" t="n">
        <x:v>349</x:v>
      </x:c>
      <x:c r="B853" s="29" t="n">
        <x:v>331253</x:v>
      </x:c>
      <x:c r="C853" s="29" t="str">
        <x:v>A1</x:v>
      </x:c>
      <x:c r="D853" s="53" t="n">
        <x:v>2480.3070791941104</x:v>
      </x:c>
      <x:c r="E853" s="47" t="n">
        <x:v>0.9921228316776441</x:v>
      </x:c>
      <x:c r="F853" s="47" t="n">
        <x:v>0.9212283167764406</x:v>
      </x:c>
      <x:c r="G853" s="47" t="n">
        <x:v>1</x:v>
      </x:c>
      <x:c r="H853" s="47" t="n">
        <x:v>1</x:v>
      </x:c>
      <x:c r="I853" s="47" t="n">
        <x:v>1</x:v>
      </x:c>
      <x:c r="J853" s="47" t="n">
        <x:v>1</x:v>
      </x:c>
      <x:c r="K853" s="47" t="n">
        <x:v>1</x:v>
      </x:c>
      <x:c r="L853" s="47" t="n">
        <x:v>0.9902729334943308</x:v>
      </x:c>
      <x:c r="M853" s="29" t="n">
        <x:v>0</x:v>
      </x:c>
    </x:row>
    <x:row r="854" ht="15" hidden="0" customHeight="1">
      <x:c r="A854" s="27" t="n">
        <x:v>350</x:v>
      </x:c>
      <x:c r="B854" s="27" t="n">
        <x:v>331254</x:v>
      </x:c>
      <x:c r="C854" s="27" t="str">
        <x:v>A1</x:v>
      </x:c>
      <x:c r="D854" s="52" t="n">
        <x:v>2500</x:v>
      </x:c>
      <x:c r="E854" s="46" t="n">
        <x:v>1</x:v>
      </x:c>
      <x:c r="F854" s="46" t="n">
        <x:v>1</x:v>
      </x:c>
      <x:c r="G854" s="46" t="n">
        <x:v>1</x:v>
      </x:c>
      <x:c r="H854" s="46" t="n">
        <x:v>1</x:v>
      </x:c>
      <x:c r="I854" s="46" t="n">
        <x:v>1</x:v>
      </x:c>
      <x:c r="J854" s="46" t="n">
        <x:v>1</x:v>
      </x:c>
      <x:c r="K854" s="46" t="n">
        <x:v>1</x:v>
      </x:c>
      <x:c r="L854" s="46" t="n">
        <x:v>1</x:v>
      </x:c>
      <x:c r="M854" s="27" t="n">
        <x:v>1</x:v>
      </x:c>
    </x:row>
    <x:row r="855" ht="15" hidden="0" customHeight="1">
      <x:c r="A855" s="29" t="n">
        <x:v>351</x:v>
      </x:c>
      <x:c r="B855" s="29" t="n">
        <x:v>331255</x:v>
      </x:c>
      <x:c r="C855" s="29" t="str">
        <x:v>A1</x:v>
      </x:c>
      <x:c r="D855" s="53" t="n">
        <x:v>2454.1604747177516</x:v>
      </x:c>
      <x:c r="E855" s="47" t="n">
        <x:v>0.9816641898871007</x:v>
      </x:c>
      <x:c r="F855" s="47" t="n">
        <x:v>0.8166418988710061</x:v>
      </x:c>
      <x:c r="G855" s="47" t="n">
        <x:v>1</x:v>
      </x:c>
      <x:c r="H855" s="47" t="n">
        <x:v>1</x:v>
      </x:c>
      <x:c r="I855" s="47" t="n">
        <x:v>1</x:v>
      </x:c>
      <x:c r="J855" s="47" t="n">
        <x:v>1</x:v>
      </x:c>
      <x:c r="K855" s="47" t="n">
        <x:v>1</x:v>
      </x:c>
      <x:c r="L855" s="47" t="n">
        <x:v>0.9773581524343826</x:v>
      </x:c>
      <x:c r="M855" s="29" t="n">
        <x:v>0</x:v>
      </x:c>
    </x:row>
    <x:row r="856" ht="15" hidden="0" customHeight="1">
      <x:c r="A856" s="27" t="n">
        <x:v>352</x:v>
      </x:c>
      <x:c r="B856" s="27" t="n">
        <x:v>331256</x:v>
      </x:c>
      <x:c r="C856" s="27" t="str">
        <x:v>A1</x:v>
      </x:c>
      <x:c r="D856" s="52" t="n">
        <x:v>2444.645471112696</x:v>
      </x:c>
      <x:c r="E856" s="46" t="n">
        <x:v>0.9778581884450784</x:v>
      </x:c>
      <x:c r="F856" s="46" t="n">
        <x:v>0.7912429712432111</x:v>
      </x:c>
      <x:c r="G856" s="46" t="n">
        <x:v>1</x:v>
      </x:c>
      <x:c r="H856" s="46" t="n">
        <x:v>1</x:v>
      </x:c>
      <x:c r="I856" s="46" t="n">
        <x:v>1</x:v>
      </x:c>
      <x:c r="J856" s="46" t="n">
        <x:v>1</x:v>
      </x:c>
      <x:c r="K856" s="46" t="n">
        <x:v>1</x:v>
      </x:c>
      <x:c r="L856" s="46" t="n">
        <x:v>0.9726583380299915</x:v>
      </x:c>
      <x:c r="M856" s="27" t="n">
        <x:v>0</x:v>
      </x:c>
    </x:row>
    <x:row r="857" ht="15" hidden="0" customHeight="1">
      <x:c r="A857" s="29" t="n">
        <x:v>353</x:v>
      </x:c>
      <x:c r="B857" s="29" t="n">
        <x:v>331257</x:v>
      </x:c>
      <x:c r="C857" s="29" t="str">
        <x:v>A1</x:v>
      </x:c>
      <x:c r="D857" s="53" t="n">
        <x:v>2500</x:v>
      </x:c>
      <x:c r="E857" s="47" t="n">
        <x:v>1</x:v>
      </x:c>
      <x:c r="F857" s="47" t="n">
        <x:v>0.9999999999999998</x:v>
      </x:c>
      <x:c r="G857" s="47" t="n">
        <x:v>1</x:v>
      </x:c>
      <x:c r="H857" s="47" t="n">
        <x:v>1</x:v>
      </x:c>
      <x:c r="I857" s="47" t="n">
        <x:v>1</x:v>
      </x:c>
      <x:c r="J857" s="47" t="n">
        <x:v>1</x:v>
      </x:c>
      <x:c r="K857" s="47" t="n">
        <x:v>1</x:v>
      </x:c>
      <x:c r="L857" s="47" t="n">
        <x:v>1</x:v>
      </x:c>
      <x:c r="M857" s="29" t="n">
        <x:v>1</x:v>
      </x:c>
    </x:row>
    <x:row r="858" ht="15" hidden="0" customHeight="1">
      <x:c r="A858" s="27" t="n">
        <x:v>354</x:v>
      </x:c>
      <x:c r="B858" s="27" t="n">
        <x:v>331258</x:v>
      </x:c>
      <x:c r="C858" s="27" t="str">
        <x:v>A1</x:v>
      </x:c>
      <x:c r="D858" s="52" t="n">
        <x:v>2398.906274940161</x:v>
      </x:c>
      <x:c r="E858" s="46" t="n">
        <x:v>0.9595625099760644</x:v>
      </x:c>
      <x:c r="F858" s="46" t="n">
        <x:v>0.6358551238651178</x:v>
      </x:c>
      <x:c r="G858" s="46" t="n">
        <x:v>1</x:v>
      </x:c>
      <x:c r="H858" s="46" t="n">
        <x:v>1</x:v>
      </x:c>
      <x:c r="I858" s="46" t="n">
        <x:v>1</x:v>
      </x:c>
      <x:c r="J858" s="46" t="n">
        <x:v>1</x:v>
      </x:c>
      <x:c r="K858" s="46" t="n">
        <x:v>1</x:v>
      </x:c>
      <x:c r="L858" s="46" t="n">
        <x:v>0.950066046745652</x:v>
      </x:c>
      <x:c r="M858" s="27" t="n">
        <x:v>0</x:v>
      </x:c>
    </x:row>
    <x:row r="859" ht="15" hidden="0" customHeight="1">
      <x:c r="A859" s="29" t="n">
        <x:v>355</x:v>
      </x:c>
      <x:c r="B859" s="29" t="n">
        <x:v>331259</x:v>
      </x:c>
      <x:c r="C859" s="29" t="str">
        <x:v>A1</x:v>
      </x:c>
      <x:c r="D859" s="53" t="n">
        <x:v>2403.07727650378</x:v>
      </x:c>
      <x:c r="E859" s="47" t="n">
        <x:v>0.961230910601512</x:v>
      </x:c>
      <x:c r="F859" s="47" t="n">
        <x:v>0.6774636467824624</x:v>
      </x:c>
      <x:c r="G859" s="47" t="n">
        <x:v>1</x:v>
      </x:c>
      <x:c r="H859" s="47" t="n">
        <x:v>1</x:v>
      </x:c>
      <x:c r="I859" s="47" t="n">
        <x:v>1</x:v>
      </x:c>
      <x:c r="J859" s="47" t="n">
        <x:v>1</x:v>
      </x:c>
      <x:c r="K859" s="47" t="n">
        <x:v>1</x:v>
      </x:c>
      <x:c r="L859" s="47" t="n">
        <x:v>0.9521262596518266</x:v>
      </x:c>
      <x:c r="M859" s="29" t="n">
        <x:v>0</x:v>
      </x:c>
    </x:row>
    <x:row r="860" ht="15" hidden="0" customHeight="1">
      <x:c r="A860" s="27" t="n">
        <x:v>356</x:v>
      </x:c>
      <x:c r="B860" s="27" t="n">
        <x:v>331260</x:v>
      </x:c>
      <x:c r="C860" s="27" t="str">
        <x:v>A1</x:v>
      </x:c>
      <x:c r="D860" s="52" t="n">
        <x:v>2451.797113947559</x:v>
      </x:c>
      <x:c r="E860" s="46" t="n">
        <x:v>0.9807188455790236</x:v>
      </x:c>
      <x:c r="F860" s="46" t="n">
        <x:v>0.8176714818532429</x:v>
      </x:c>
      <x:c r="G860" s="46" t="n">
        <x:v>1</x:v>
      </x:c>
      <x:c r="H860" s="46" t="n">
        <x:v>1</x:v>
      </x:c>
      <x:c r="I860" s="46" t="n">
        <x:v>1</x:v>
      </x:c>
      <x:c r="J860" s="46" t="n">
        <x:v>1</x:v>
      </x:c>
      <x:c r="K860" s="46" t="n">
        <x:v>1</x:v>
      </x:c>
      <x:c r="L860" s="46" t="n">
        <x:v>0.9761908005918019</x:v>
      </x:c>
      <x:c r="M860" s="27" t="n">
        <x:v>0</x:v>
      </x:c>
    </x:row>
    <x:row r="861" ht="15" hidden="0" customHeight="1">
      <x:c r="A861" s="29" t="n">
        <x:v>357</x:v>
      </x:c>
      <x:c r="B861" s="29" t="n">
        <x:v>331261</x:v>
      </x:c>
      <x:c r="C861" s="29" t="str">
        <x:v>A1</x:v>
      </x:c>
      <x:c r="D861" s="53" t="n">
        <x:v>2457.1891935804815</x:v>
      </x:c>
      <x:c r="E861" s="47" t="n">
        <x:v>0.9828756774321926</x:v>
      </x:c>
      <x:c r="F861" s="47" t="n">
        <x:v>0.8374354958527933</x:v>
      </x:c>
      <x:c r="G861" s="47" t="n">
        <x:v>1</x:v>
      </x:c>
      <x:c r="H861" s="47" t="n">
        <x:v>1</x:v>
      </x:c>
      <x:c r="I861" s="47" t="n">
        <x:v>1</x:v>
      </x:c>
      <x:c r="J861" s="47" t="n">
        <x:v>1</x:v>
      </x:c>
      <x:c r="K861" s="47" t="n">
        <x:v>1</x:v>
      </x:c>
      <x:c r="L861" s="47" t="n">
        <x:v>0.9788541494017771</x:v>
      </x:c>
      <x:c r="M861" s="29" t="n">
        <x:v>0</x:v>
      </x:c>
    </x:row>
    <x:row r="862" ht="15" hidden="0" customHeight="1">
      <x:c r="A862" s="27" t="n">
        <x:v>358</x:v>
      </x:c>
      <x:c r="B862" s="27" t="n">
        <x:v>331262</x:v>
      </x:c>
      <x:c r="C862" s="27" t="str">
        <x:v>A1</x:v>
      </x:c>
      <x:c r="D862" s="52" t="n">
        <x:v>2500</x:v>
      </x:c>
      <x:c r="E862" s="46" t="n">
        <x:v>1</x:v>
      </x:c>
      <x:c r="F862" s="46" t="n">
        <x:v>0.9999999999999998</x:v>
      </x:c>
      <x:c r="G862" s="46" t="n">
        <x:v>1</x:v>
      </x:c>
      <x:c r="H862" s="46" t="n">
        <x:v>1</x:v>
      </x:c>
      <x:c r="I862" s="46" t="n">
        <x:v>1</x:v>
      </x:c>
      <x:c r="J862" s="46" t="n">
        <x:v>1</x:v>
      </x:c>
      <x:c r="K862" s="46" t="n">
        <x:v>1</x:v>
      </x:c>
      <x:c r="L862" s="46" t="n">
        <x:v>1</x:v>
      </x:c>
      <x:c r="M862" s="27" t="n">
        <x:v>1</x:v>
      </x:c>
    </x:row>
    <x:row r="863" ht="15" hidden="0" customHeight="1">
      <x:c r="A863" s="29" t="n">
        <x:v>359</x:v>
      </x:c>
      <x:c r="B863" s="29" t="n">
        <x:v>331263</x:v>
      </x:c>
      <x:c r="C863" s="29" t="str">
        <x:v>A1</x:v>
      </x:c>
      <x:c r="D863" s="53" t="n">
        <x:v>2500</x:v>
      </x:c>
      <x:c r="E863" s="47" t="n">
        <x:v>1</x:v>
      </x:c>
      <x:c r="F863" s="47" t="n">
        <x:v>0.9999999999999998</x:v>
      </x:c>
      <x:c r="G863" s="47" t="n">
        <x:v>1</x:v>
      </x:c>
      <x:c r="H863" s="47" t="n">
        <x:v>1</x:v>
      </x:c>
      <x:c r="I863" s="47" t="n">
        <x:v>1</x:v>
      </x:c>
      <x:c r="J863" s="47" t="n">
        <x:v>1</x:v>
      </x:c>
      <x:c r="K863" s="47" t="n">
        <x:v>1</x:v>
      </x:c>
      <x:c r="L863" s="47" t="n">
        <x:v>1</x:v>
      </x:c>
      <x:c r="M863" s="29" t="n">
        <x:v>1</x:v>
      </x:c>
    </x:row>
    <x:row r="864" ht="15" hidden="0" customHeight="1">
      <x:c r="A864" s="27" t="n">
        <x:v>360</x:v>
      </x:c>
      <x:c r="B864" s="27" t="n">
        <x:v>331264</x:v>
      </x:c>
      <x:c r="C864" s="27" t="str">
        <x:v>A1</x:v>
      </x:c>
      <x:c r="D864" s="52" t="n">
        <x:v>2447.7486859762566</x:v>
      </x:c>
      <x:c r="E864" s="46" t="n">
        <x:v>0.9790994743905026</x:v>
      </x:c>
      <x:c r="F864" s="46" t="n">
        <x:v>0.8096108238176934</x:v>
      </x:c>
      <x:c r="G864" s="46" t="n">
        <x:v>1</x:v>
      </x:c>
      <x:c r="H864" s="46" t="n">
        <x:v>1</x:v>
      </x:c>
      <x:c r="I864" s="46" t="n">
        <x:v>1</x:v>
      </x:c>
      <x:c r="J864" s="46" t="n">
        <x:v>1</x:v>
      </x:c>
      <x:c r="K864" s="46" t="n">
        <x:v>1</x:v>
      </x:c>
      <x:c r="L864" s="46" t="n">
        <x:v>0.9741911313447448</x:v>
      </x:c>
      <x:c r="M864" s="27" t="n">
        <x:v>0</x:v>
      </x:c>
    </x:row>
    <x:row r="865" ht="15" hidden="0" customHeight="1">
      <x:c r="A865" s="29" t="n">
        <x:v>361</x:v>
      </x:c>
      <x:c r="B865" s="29" t="n">
        <x:v>331265</x:v>
      </x:c>
      <x:c r="C865" s="29" t="str">
        <x:v>A1</x:v>
      </x:c>
      <x:c r="D865" s="53" t="n">
        <x:v>2426.9143007662087</x:v>
      </x:c>
      <x:c r="E865" s="47" t="n">
        <x:v>0.9707657203064834</x:v>
      </x:c>
      <x:c r="F865" s="47" t="n">
        <x:v>0.7076572030648338</x:v>
      </x:c>
      <x:c r="G865" s="47" t="n">
        <x:v>1</x:v>
      </x:c>
      <x:c r="H865" s="47" t="n">
        <x:v>1</x:v>
      </x:c>
      <x:c r="I865" s="47" t="n">
        <x:v>1</x:v>
      </x:c>
      <x:c r="J865" s="47" t="n">
        <x:v>1</x:v>
      </x:c>
      <x:c r="K865" s="47" t="n">
        <x:v>1</x:v>
      </x:c>
      <x:c r="L865" s="47" t="n">
        <x:v>0.9639002530875054</x:v>
      </x:c>
      <x:c r="M865" s="29" t="n">
        <x:v>0</x:v>
      </x:c>
    </x:row>
    <x:row r="866" ht="15" hidden="0" customHeight="1">
      <x:c r="A866" s="27" t="n">
        <x:v>362</x:v>
      </x:c>
      <x:c r="B866" s="27" t="n">
        <x:v>331266</x:v>
      </x:c>
      <x:c r="C866" s="27" t="str">
        <x:v>A1</x:v>
      </x:c>
      <x:c r="D866" s="52" t="n">
        <x:v>2443.5897960081306</x:v>
      </x:c>
      <x:c r="E866" s="46" t="n">
        <x:v>0.9774359184032523</x:v>
      </x:c>
      <x:c r="F866" s="46" t="n">
        <x:v>0.8030438162558029</x:v>
      </x:c>
      <x:c r="G866" s="46" t="n">
        <x:v>1</x:v>
      </x:c>
      <x:c r="H866" s="46" t="n">
        <x:v>1</x:v>
      </x:c>
      <x:c r="I866" s="46" t="n">
        <x:v>1</x:v>
      </x:c>
      <x:c r="J866" s="46" t="n">
        <x:v>1</x:v>
      </x:c>
      <x:c r="K866" s="46" t="n">
        <x:v>1</x:v>
      </x:c>
      <x:c r="L866" s="46" t="n">
        <x:v>0.9721369008063463</x:v>
      </x:c>
      <x:c r="M866" s="27" t="n">
        <x:v>0</x:v>
      </x:c>
    </x:row>
    <x:row r="867" ht="15" hidden="0" customHeight="1">
      <x:c r="A867" s="29" t="n">
        <x:v>363</x:v>
      </x:c>
      <x:c r="B867" s="29" t="n">
        <x:v>331267</x:v>
      </x:c>
      <x:c r="C867" s="29" t="str">
        <x:v>A1</x:v>
      </x:c>
      <x:c r="D867" s="53" t="n">
        <x:v>2384.7364619431505</x:v>
      </x:c>
      <x:c r="E867" s="47" t="n">
        <x:v>0.9538945847772602</x:v>
      </x:c>
      <x:c r="F867" s="47" t="n">
        <x:v>0.6383202267139545</x:v>
      </x:c>
      <x:c r="G867" s="47" t="n">
        <x:v>1</x:v>
      </x:c>
      <x:c r="H867" s="47" t="n">
        <x:v>1</x:v>
      </x:c>
      <x:c r="I867" s="47" t="n">
        <x:v>1</x:v>
      </x:c>
      <x:c r="J867" s="47" t="n">
        <x:v>1</x:v>
      </x:c>
      <x:c r="K867" s="47" t="n">
        <x:v>1</x:v>
      </x:c>
      <x:c r="L867" s="47" t="n">
        <x:v>0.9430670487425932</x:v>
      </x:c>
      <x:c r="M867" s="29" t="n">
        <x:v>0</x:v>
      </x:c>
    </x:row>
    <x:row r="868" ht="15" hidden="0" customHeight="1">
      <x:c r="A868" s="27" t="n">
        <x:v>364</x:v>
      </x:c>
      <x:c r="B868" s="27" t="n">
        <x:v>331268</x:v>
      </x:c>
      <x:c r="C868" s="27" t="str">
        <x:v>A1</x:v>
      </x:c>
      <x:c r="D868" s="52" t="n">
        <x:v>2454.207032837941</x:v>
      </x:c>
      <x:c r="E868" s="46" t="n">
        <x:v>0.9816828131351764</x:v>
      </x:c>
      <x:c r="F868" s="46" t="n">
        <x:v>0.8168281313517632</x:v>
      </x:c>
      <x:c r="G868" s="46" t="n">
        <x:v>1</x:v>
      </x:c>
      <x:c r="H868" s="46" t="n">
        <x:v>1</x:v>
      </x:c>
      <x:c r="I868" s="46" t="n">
        <x:v>1</x:v>
      </x:c>
      <x:c r="J868" s="46" t="n">
        <x:v>1</x:v>
      </x:c>
      <x:c r="K868" s="46" t="n">
        <x:v>1</x:v>
      </x:c>
      <x:c r="L868" s="46" t="n">
        <x:v>0.9773811492227171</x:v>
      </x:c>
      <x:c r="M868" s="27" t="n">
        <x:v>0</x:v>
      </x:c>
    </x:row>
    <x:row r="869" ht="15" hidden="0" customHeight="1">
      <x:c r="A869" s="29" t="n">
        <x:v>365</x:v>
      </x:c>
      <x:c r="B869" s="29" t="n">
        <x:v>331269</x:v>
      </x:c>
      <x:c r="C869" s="29" t="str">
        <x:v>A1</x:v>
      </x:c>
      <x:c r="D869" s="53" t="n">
        <x:v>2467.9550464012277</x:v>
      </x:c>
      <x:c r="E869" s="47" t="n">
        <x:v>0.987182018560491</x:v>
      </x:c>
      <x:c r="F869" s="47" t="n">
        <x:v>0.8718201856049104</x:v>
      </x:c>
      <x:c r="G869" s="47" t="n">
        <x:v>1</x:v>
      </x:c>
      <x:c r="H869" s="47" t="n">
        <x:v>1</x:v>
      </x:c>
      <x:c r="I869" s="47" t="n">
        <x:v>1</x:v>
      </x:c>
      <x:c r="J869" s="47" t="n">
        <x:v>1</x:v>
      </x:c>
      <x:c r="K869" s="47" t="n">
        <x:v>1</x:v>
      </x:c>
      <x:c r="L869" s="47" t="n">
        <x:v>0.9841718047871744</x:v>
      </x:c>
      <x:c r="M869" s="29" t="n">
        <x:v>0</x:v>
      </x:c>
    </x:row>
    <x:row r="870" ht="15" hidden="0" customHeight="1">
      <x:c r="A870" s="27" t="n">
        <x:v>366</x:v>
      </x:c>
      <x:c r="B870" s="27" t="n">
        <x:v>331270</x:v>
      </x:c>
      <x:c r="C870" s="27" t="str">
        <x:v>A1</x:v>
      </x:c>
      <x:c r="D870" s="52" t="n">
        <x:v>2487.862157678328</x:v>
      </x:c>
      <x:c r="E870" s="46" t="n">
        <x:v>0.9951448630713312</x:v>
      </x:c>
      <x:c r="F870" s="46" t="n">
        <x:v>0.9514486307133116</x:v>
      </x:c>
      <x:c r="G870" s="46" t="n">
        <x:v>1</x:v>
      </x:c>
      <x:c r="H870" s="46" t="n">
        <x:v>1</x:v>
      </x:c>
      <x:c r="I870" s="46" t="n">
        <x:v>1</x:v>
      </x:c>
      <x:c r="J870" s="46" t="n">
        <x:v>1</x:v>
      </x:c>
      <x:c r="K870" s="46" t="n">
        <x:v>1</x:v>
      </x:c>
      <x:c r="L870" s="46" t="n">
        <x:v>0.9940046679381904</x:v>
      </x:c>
      <x:c r="M870" s="27" t="n">
        <x:v>1</x:v>
      </x:c>
    </x:row>
    <x:row r="871" ht="15" hidden="0" customHeight="1">
      <x:c r="A871" s="29" t="n">
        <x:v>367</x:v>
      </x:c>
      <x:c r="B871" s="29" t="n">
        <x:v>331271</x:v>
      </x:c>
      <x:c r="C871" s="29" t="str">
        <x:v>A1</x:v>
      </x:c>
      <x:c r="D871" s="53" t="n">
        <x:v>2457.476356814066</x:v>
      </x:c>
      <x:c r="E871" s="47" t="n">
        <x:v>0.9829905427256265</x:v>
      </x:c>
      <x:c r="F871" s="47" t="n">
        <x:v>0.8299054272562637</x:v>
      </x:c>
      <x:c r="G871" s="47" t="n">
        <x:v>1</x:v>
      </x:c>
      <x:c r="H871" s="47" t="n">
        <x:v>1</x:v>
      </x:c>
      <x:c r="I871" s="47" t="n">
        <x:v>1</x:v>
      </x:c>
      <x:c r="J871" s="47" t="n">
        <x:v>1</x:v>
      </x:c>
      <x:c r="K871" s="47" t="n">
        <x:v>1</x:v>
      </x:c>
      <x:c r="L871" s="47" t="n">
        <x:v>0.9789959900103181</x:v>
      </x:c>
      <x:c r="M871" s="29" t="n">
        <x:v>0</x:v>
      </x:c>
    </x:row>
    <x:row r="872" ht="15" hidden="0" customHeight="1">
      <x:c r="A872" s="27" t="n">
        <x:v>368</x:v>
      </x:c>
      <x:c r="B872" s="27" t="n">
        <x:v>331272</x:v>
      </x:c>
      <x:c r="C872" s="27" t="str">
        <x:v>A1</x:v>
      </x:c>
      <x:c r="D872" s="52" t="n">
        <x:v>2433.3557841739794</x:v>
      </x:c>
      <x:c r="E872" s="46" t="n">
        <x:v>0.9733423136695918</x:v>
      </x:c>
      <x:c r="F872" s="46" t="n">
        <x:v>0.7553244659862933</x:v>
      </x:c>
      <x:c r="G872" s="46" t="n">
        <x:v>1</x:v>
      </x:c>
      <x:c r="H872" s="46" t="n">
        <x:v>1</x:v>
      </x:c>
      <x:c r="I872" s="46" t="n">
        <x:v>1</x:v>
      </x:c>
      <x:c r="J872" s="46" t="n">
        <x:v>1</x:v>
      </x:c>
      <x:c r="K872" s="46" t="n">
        <x:v>1</x:v>
      </x:c>
      <x:c r="L872" s="46" t="n">
        <x:v>0.9670819414779758</x:v>
      </x:c>
      <x:c r="M872" s="27" t="n">
        <x:v>0</x:v>
      </x:c>
    </x:row>
    <x:row r="873" ht="15" hidden="0" customHeight="1">
      <x:c r="A873" s="29" t="n">
        <x:v>369</x:v>
      </x:c>
      <x:c r="B873" s="29" t="n">
        <x:v>331273</x:v>
      </x:c>
      <x:c r="C873" s="29" t="str">
        <x:v>A1</x:v>
      </x:c>
      <x:c r="D873" s="53" t="n">
        <x:v>2453.154111358129</x:v>
      </x:c>
      <x:c r="E873" s="47" t="n">
        <x:v>0.9812616445432515</x:v>
      </x:c>
      <x:c r="F873" s="47" t="n">
        <x:v>0.8126164454325149</x:v>
      </x:c>
      <x:c r="G873" s="47" t="n">
        <x:v>1</x:v>
      </x:c>
      <x:c r="H873" s="47" t="n">
        <x:v>1</x:v>
      </x:c>
      <x:c r="I873" s="47" t="n">
        <x:v>1</x:v>
      </x:c>
      <x:c r="J873" s="47" t="n">
        <x:v>1</x:v>
      </x:c>
      <x:c r="K873" s="47" t="n">
        <x:v>1</x:v>
      </x:c>
      <x:c r="L873" s="47" t="n">
        <x:v>0.9768610721168204</x:v>
      </x:c>
      <x:c r="M873" s="29" t="n">
        <x:v>0</x:v>
      </x:c>
    </x:row>
    <x:row r="874" ht="15" hidden="0" customHeight="1">
      <x:c r="A874" s="27" t="n">
        <x:v>370</x:v>
      </x:c>
      <x:c r="B874" s="27" t="n">
        <x:v>331274</x:v>
      </x:c>
      <x:c r="C874" s="27" t="str">
        <x:v>A1</x:v>
      </x:c>
      <x:c r="D874" s="52" t="n">
        <x:v>2462.4099321314375</x:v>
      </x:c>
      <x:c r="E874" s="46" t="n">
        <x:v>0.984963972852575</x:v>
      </x:c>
      <x:c r="F874" s="46" t="n">
        <x:v>0.8572405140313165</x:v>
      </x:c>
      <x:c r="G874" s="46" t="n">
        <x:v>1</x:v>
      </x:c>
      <x:c r="H874" s="46" t="n">
        <x:v>1</x:v>
      </x:c>
      <x:c r="I874" s="46" t="n">
        <x:v>1</x:v>
      </x:c>
      <x:c r="J874" s="46" t="n">
        <x:v>1</x:v>
      </x:c>
      <x:c r="K874" s="46" t="n">
        <x:v>1</x:v>
      </x:c>
      <x:c r="L874" s="46" t="n">
        <x:v>0.9814328664744963</x:v>
      </x:c>
      <x:c r="M874" s="27" t="n">
        <x:v>0</x:v>
      </x:c>
    </x:row>
    <x:row r="875" ht="15" hidden="0" customHeight="1">
      <x:c r="A875" s="29" t="n">
        <x:v>371</x:v>
      </x:c>
      <x:c r="B875" s="29" t="n">
        <x:v>331275</x:v>
      </x:c>
      <x:c r="C875" s="29" t="str">
        <x:v>A1</x:v>
      </x:c>
      <x:c r="D875" s="53" t="n">
        <x:v>2395.9899953780573</x:v>
      </x:c>
      <x:c r="E875" s="47" t="n">
        <x:v>0.9583959981512229</x:v>
      </x:c>
      <x:c r="F875" s="47" t="n">
        <x:v>0.7105328105163903</x:v>
      </x:c>
      <x:c r="G875" s="47" t="n">
        <x:v>1</x:v>
      </x:c>
      <x:c r="H875" s="47" t="n">
        <x:v>1</x:v>
      </x:c>
      <x:c r="I875" s="47" t="n">
        <x:v>1</x:v>
      </x:c>
      <x:c r="J875" s="47" t="n">
        <x:v>1</x:v>
      </x:c>
      <x:c r="K875" s="47" t="n">
        <x:v>1</x:v>
      </x:c>
      <x:c r="L875" s="47" t="n">
        <x:v>0.9486255877335372</x:v>
      </x:c>
      <x:c r="M875" s="29" t="n">
        <x:v>0</x:v>
      </x:c>
    </x:row>
    <x:row r="876" ht="15" hidden="0" customHeight="1">
      <x:c r="A876" s="27" t="n">
        <x:v>372</x:v>
      </x:c>
      <x:c r="B876" s="27" t="n">
        <x:v>331276</x:v>
      </x:c>
      <x:c r="C876" s="27" t="str">
        <x:v>A1</x:v>
      </x:c>
      <x:c r="D876" s="52" t="n">
        <x:v>2453.2069483347673</x:v>
      </x:c>
      <x:c r="E876" s="46" t="n">
        <x:v>0.981282779333907</x:v>
      </x:c>
      <x:c r="F876" s="46" t="n">
        <x:v>0.8128277933390688</x:v>
      </x:c>
      <x:c r="G876" s="46" t="n">
        <x:v>1</x:v>
      </x:c>
      <x:c r="H876" s="46" t="n">
        <x:v>1</x:v>
      </x:c>
      <x:c r="I876" s="46" t="n">
        <x:v>1</x:v>
      </x:c>
      <x:c r="J876" s="46" t="n">
        <x:v>1</x:v>
      </x:c>
      <x:c r="K876" s="46" t="n">
        <x:v>1</x:v>
      </x:c>
      <x:c r="L876" s="46" t="n">
        <x:v>0.9768871702660379</x:v>
      </x:c>
      <x:c r="M876" s="27" t="n">
        <x:v>0</x:v>
      </x:c>
    </x:row>
    <x:row r="877" ht="15" hidden="0" customHeight="1">
      <x:c r="A877" s="29" t="n">
        <x:v>373</x:v>
      </x:c>
      <x:c r="B877" s="29" t="n">
        <x:v>331277</x:v>
      </x:c>
      <x:c r="C877" s="29" t="str">
        <x:v>A1</x:v>
      </x:c>
      <x:c r="D877" s="53" t="n">
        <x:v>2477.129976671706</x:v>
      </x:c>
      <x:c r="E877" s="47" t="n">
        <x:v>0.9908519906686825</x:v>
      </x:c>
      <x:c r="F877" s="47" t="n">
        <x:v>0.9154914477782418</x:v>
      </x:c>
      <x:c r="G877" s="47" t="n">
        <x:v>1</x:v>
      </x:c>
      <x:c r="H877" s="47" t="n">
        <x:v>1</x:v>
      </x:c>
      <x:c r="I877" s="47" t="n">
        <x:v>1</x:v>
      </x:c>
      <x:c r="J877" s="47" t="n">
        <x:v>1.0000000000000002</x:v>
      </x:c>
      <x:c r="K877" s="47" t="n">
        <x:v>1</x:v>
      </x:c>
      <x:c r="L877" s="47" t="n">
        <x:v>0.9887036443149667</x:v>
      </x:c>
      <x:c r="M877" s="29" t="n">
        <x:v>0</x:v>
      </x:c>
    </x:row>
    <x:row r="878" ht="15" hidden="0" customHeight="1">
      <x:c r="A878" s="27" t="n">
        <x:v>374</x:v>
      </x:c>
      <x:c r="B878" s="27" t="n">
        <x:v>331278</x:v>
      </x:c>
      <x:c r="C878" s="27" t="str">
        <x:v>A1</x:v>
      </x:c>
      <x:c r="D878" s="52" t="n">
        <x:v>2444.0508040969953</x:v>
      </x:c>
      <x:c r="E878" s="46" t="n">
        <x:v>0.9776203216387981</x:v>
      </x:c>
      <x:c r="F878" s="46" t="n">
        <x:v>0.8198899179697526</x:v>
      </x:c>
      <x:c r="G878" s="46" t="n">
        <x:v>1</x:v>
      </x:c>
      <x:c r="H878" s="46" t="n">
        <x:v>1</x:v>
      </x:c>
      <x:c r="I878" s="46" t="n">
        <x:v>1</x:v>
      </x:c>
      <x:c r="J878" s="46" t="n">
        <x:v>1</x:v>
      </x:c>
      <x:c r="K878" s="46" t="n">
        <x:v>1</x:v>
      </x:c>
      <x:c r="L878" s="46" t="n">
        <x:v>0.9723646098589667</x:v>
      </x:c>
      <x:c r="M878" s="27" t="n">
        <x:v>0</x:v>
      </x:c>
    </x:row>
    <x:row r="879" ht="15" hidden="0" customHeight="1">
      <x:c r="A879" s="29" t="n">
        <x:v>375</x:v>
      </x:c>
      <x:c r="B879" s="29" t="n">
        <x:v>331279</x:v>
      </x:c>
      <x:c r="C879" s="29" t="str">
        <x:v>A1</x:v>
      </x:c>
      <x:c r="D879" s="53" t="n">
        <x:v>2438.109356728357</x:v>
      </x:c>
      <x:c r="E879" s="47" t="n">
        <x:v>0.9752437426913427</x:v>
      </x:c>
      <x:c r="F879" s="47" t="n">
        <x:v>0.7900581498501572</x:v>
      </x:c>
      <x:c r="G879" s="47" t="n">
        <x:v>1</x:v>
      </x:c>
      <x:c r="H879" s="47" t="n">
        <x:v>1</x:v>
      </x:c>
      <x:c r="I879" s="47" t="n">
        <x:v>1</x:v>
      </x:c>
      <x:c r="J879" s="47" t="n">
        <x:v>1</x:v>
      </x:c>
      <x:c r="K879" s="47" t="n">
        <x:v>1</x:v>
      </x:c>
      <x:c r="L879" s="47" t="n">
        <x:v>0.9694299078782735</x:v>
      </x:c>
      <x:c r="M879" s="29" t="n">
        <x:v>0</x:v>
      </x:c>
    </x:row>
    <x:row r="880" ht="15" hidden="0" customHeight="1">
      <x:c r="A880" s="27" t="n">
        <x:v>376</x:v>
      </x:c>
      <x:c r="B880" s="27" t="n">
        <x:v>331280</x:v>
      </x:c>
      <x:c r="C880" s="27" t="str">
        <x:v>A1</x:v>
      </x:c>
      <x:c r="D880" s="52" t="n">
        <x:v>2465.7613759633773</x:v>
      </x:c>
      <x:c r="E880" s="46" t="n">
        <x:v>0.9863045503853509</x:v>
      </x:c>
      <x:c r="F880" s="46" t="n">
        <x:v>0.8630455038535092</x:v>
      </x:c>
      <x:c r="G880" s="46" t="n">
        <x:v>1</x:v>
      </x:c>
      <x:c r="H880" s="46" t="n">
        <x:v>1</x:v>
      </x:c>
      <x:c r="I880" s="46" t="n">
        <x:v>1</x:v>
      </x:c>
      <x:c r="J880" s="46" t="n">
        <x:v>1</x:v>
      </x:c>
      <x:c r="K880" s="46" t="n">
        <x:v>1</x:v>
      </x:c>
      <x:c r="L880" s="46" t="n">
        <x:v>0.9830882693151732</x:v>
      </x:c>
      <x:c r="M880" s="27" t="n">
        <x:v>0</x:v>
      </x:c>
    </x:row>
    <x:row r="881" ht="15" hidden="0" customHeight="1">
      <x:c r="A881" s="29" t="n">
        <x:v>377</x:v>
      </x:c>
      <x:c r="B881" s="29" t="n">
        <x:v>331281</x:v>
      </x:c>
      <x:c r="C881" s="29" t="str">
        <x:v>A1</x:v>
      </x:c>
      <x:c r="D881" s="53" t="n">
        <x:v>2355.6491120710634</x:v>
      </x:c>
      <x:c r="E881" s="47" t="n">
        <x:v>0.9422596448284254</x:v>
      </x:c>
      <x:c r="F881" s="47" t="n">
        <x:v>0.6510350011863327</x:v>
      </x:c>
      <x:c r="G881" s="47" t="n">
        <x:v>1</x:v>
      </x:c>
      <x:c r="H881" s="47" t="n">
        <x:v>1</x:v>
      </x:c>
      <x:c r="I881" s="47" t="n">
        <x:v>1</x:v>
      </x:c>
      <x:c r="J881" s="47" t="n">
        <x:v>1</x:v>
      </x:c>
      <x:c r="K881" s="47" t="n">
        <x:v>1</x:v>
      </x:c>
      <x:c r="L881" s="47" t="n">
        <x:v>0.928699724084748</x:v>
      </x:c>
      <x:c r="M881" s="29" t="n">
        <x:v>0</x:v>
      </x:c>
    </x:row>
    <x:row r="882" ht="15" hidden="0" customHeight="1">
      <x:c r="A882" s="27" t="n">
        <x:v>378</x:v>
      </x:c>
      <x:c r="B882" s="27" t="n">
        <x:v>331282</x:v>
      </x:c>
      <x:c r="C882" s="27" t="str">
        <x:v>A1</x:v>
      </x:c>
      <x:c r="D882" s="52" t="n">
        <x:v>2500</x:v>
      </x:c>
      <x:c r="E882" s="46" t="n">
        <x:v>1</x:v>
      </x:c>
      <x:c r="F882" s="46" t="n">
        <x:v>0.9999999999999998</x:v>
      </x:c>
      <x:c r="G882" s="46" t="n">
        <x:v>1</x:v>
      </x:c>
      <x:c r="H882" s="46" t="n">
        <x:v>1</x:v>
      </x:c>
      <x:c r="I882" s="46" t="n">
        <x:v>1</x:v>
      </x:c>
      <x:c r="J882" s="46" t="n">
        <x:v>1</x:v>
      </x:c>
      <x:c r="K882" s="46" t="n">
        <x:v>1</x:v>
      </x:c>
      <x:c r="L882" s="46" t="n">
        <x:v>1</x:v>
      </x:c>
      <x:c r="M882" s="27" t="n">
        <x:v>1</x:v>
      </x:c>
    </x:row>
    <x:row r="883" ht="15" hidden="0" customHeight="1">
      <x:c r="A883" s="29" t="n">
        <x:v>379</x:v>
      </x:c>
      <x:c r="B883" s="29" t="n">
        <x:v>331283</x:v>
      </x:c>
      <x:c r="C883" s="29" t="str">
        <x:v>A1</x:v>
      </x:c>
      <x:c r="D883" s="53" t="n">
        <x:v>2480.528687878666</x:v>
      </x:c>
      <x:c r="E883" s="47" t="n">
        <x:v>0.9922114751514663</x:v>
      </x:c>
      <x:c r="F883" s="47" t="n">
        <x:v>0.9221147515146632</x:v>
      </x:c>
      <x:c r="G883" s="47" t="n">
        <x:v>1</x:v>
      </x:c>
      <x:c r="H883" s="47" t="n">
        <x:v>1</x:v>
      </x:c>
      <x:c r="I883" s="47" t="n">
        <x:v>1</x:v>
      </x:c>
      <x:c r="J883" s="47" t="n">
        <x:v>1</x:v>
      </x:c>
      <x:c r="K883" s="47" t="n">
        <x:v>1</x:v>
      </x:c>
      <x:c r="L883" s="47" t="n">
        <x:v>0.9903823942713357</x:v>
      </x:c>
      <x:c r="M883" s="29" t="n">
        <x:v>0</x:v>
      </x:c>
    </x:row>
    <x:row r="884" ht="15" hidden="0" customHeight="1">
      <x:c r="A884" s="27" t="n">
        <x:v>380</x:v>
      </x:c>
      <x:c r="B884" s="27" t="n">
        <x:v>331284</x:v>
      </x:c>
      <x:c r="C884" s="27" t="str">
        <x:v>A1</x:v>
      </x:c>
      <x:c r="D884" s="52" t="n">
        <x:v>2454.666200932519</x:v>
      </x:c>
      <x:c r="E884" s="46" t="n">
        <x:v>0.9818664803730076</x:v>
      </x:c>
      <x:c r="F884" s="46" t="n">
        <x:v>0.8524799818637931</x:v>
      </x:c>
      <x:c r="G884" s="46" t="n">
        <x:v>1</x:v>
      </x:c>
      <x:c r="H884" s="46" t="n">
        <x:v>1</x:v>
      </x:c>
      <x:c r="I884" s="46" t="n">
        <x:v>1</x:v>
      </x:c>
      <x:c r="J884" s="46" t="n">
        <x:v>1</x:v>
      </x:c>
      <x:c r="K884" s="46" t="n">
        <x:v>1</x:v>
      </x:c>
      <x:c r="L884" s="46" t="n">
        <x:v>0.9776079494336796</x:v>
      </x:c>
      <x:c r="M884" s="27" t="n">
        <x:v>0</x:v>
      </x:c>
    </x:row>
    <x:row r="885" ht="15" hidden="0" customHeight="1">
      <x:c r="A885" s="29" t="n">
        <x:v>381</x:v>
      </x:c>
      <x:c r="B885" s="29" t="n">
        <x:v>331285</x:v>
      </x:c>
      <x:c r="C885" s="29" t="str">
        <x:v>A1</x:v>
      </x:c>
      <x:c r="D885" s="53" t="n">
        <x:v>2395.706763856565</x:v>
      </x:c>
      <x:c r="E885" s="47" t="n">
        <x:v>0.958282705542626</x:v>
      </x:c>
      <x:c r="F885" s="47" t="n">
        <x:v>0.5828270554262596</x:v>
      </x:c>
      <x:c r="G885" s="47" t="n">
        <x:v>1</x:v>
      </x:c>
      <x:c r="H885" s="47" t="n">
        <x:v>1</x:v>
      </x:c>
      <x:c r="I885" s="47" t="n">
        <x:v>1</x:v>
      </x:c>
      <x:c r="J885" s="47" t="n">
        <x:v>1</x:v>
      </x:c>
      <x:c r="K885" s="47" t="n">
        <x:v>1</x:v>
      </x:c>
      <x:c r="L885" s="47" t="n">
        <x:v>0.9484856891439265</x:v>
      </x:c>
      <x:c r="M885" s="29" t="n">
        <x:v>0</x:v>
      </x:c>
    </x:row>
    <x:row r="886" ht="15" hidden="0" customHeight="1">
      <x:c r="A886" s="27" t="n">
        <x:v>382</x:v>
      </x:c>
      <x:c r="B886" s="27" t="n">
        <x:v>331286</x:v>
      </x:c>
      <x:c r="C886" s="27" t="str">
        <x:v>A1</x:v>
      </x:c>
      <x:c r="D886" s="52" t="n">
        <x:v>2474.6038078271763</x:v>
      </x:c>
      <x:c r="E886" s="46" t="n">
        <x:v>0.9898415231308705</x:v>
      </x:c>
      <x:c r="F886" s="46" t="n">
        <x:v>0.8984152313087054</x:v>
      </x:c>
      <x:c r="G886" s="46" t="n">
        <x:v>1</x:v>
      </x:c>
      <x:c r="H886" s="46" t="n">
        <x:v>1</x:v>
      </x:c>
      <x:c r="I886" s="46" t="n">
        <x:v>1</x:v>
      </x:c>
      <x:c r="J886" s="46" t="n">
        <x:v>1</x:v>
      </x:c>
      <x:c r="K886" s="46" t="n">
        <x:v>1</x:v>
      </x:c>
      <x:c r="L886" s="46" t="n">
        <x:v>0.9874558755051751</x:v>
      </x:c>
      <x:c r="M886" s="27" t="n">
        <x:v>0</x:v>
      </x:c>
    </x:row>
    <x:row r="887" ht="15" hidden="0" customHeight="1">
      <x:c r="A887" s="29" t="n">
        <x:v>383</x:v>
      </x:c>
      <x:c r="B887" s="29" t="n">
        <x:v>331287</x:v>
      </x:c>
      <x:c r="C887" s="29" t="str">
        <x:v>A1</x:v>
      </x:c>
      <x:c r="D887" s="53" t="n">
        <x:v>2418.778494218099</x:v>
      </x:c>
      <x:c r="E887" s="47" t="n">
        <x:v>0.9675113976872395</x:v>
      </x:c>
      <x:c r="F887" s="47" t="n">
        <x:v>0.6751139768723949</x:v>
      </x:c>
      <x:c r="G887" s="47" t="n">
        <x:v>1</x:v>
      </x:c>
      <x:c r="H887" s="47" t="n">
        <x:v>1</x:v>
      </x:c>
      <x:c r="I887" s="47" t="n">
        <x:v>1</x:v>
      </x:c>
      <x:c r="J887" s="47" t="n">
        <x:v>1</x:v>
      </x:c>
      <x:c r="K887" s="47" t="n">
        <x:v>1</x:v>
      </x:c>
      <x:c r="L887" s="47" t="n">
        <x:v>0.9598816754396915</x:v>
      </x:c>
      <x:c r="M887" s="29" t="n">
        <x:v>0</x:v>
      </x:c>
    </x:row>
    <x:row r="888" ht="15" hidden="0" customHeight="1">
      <x:c r="A888" s="27" t="n">
        <x:v>384</x:v>
      </x:c>
      <x:c r="B888" s="27" t="n">
        <x:v>331288</x:v>
      </x:c>
      <x:c r="C888" s="27" t="str">
        <x:v>A1</x:v>
      </x:c>
      <x:c r="D888" s="52" t="n">
        <x:v>2448.935562036857</x:v>
      </x:c>
      <x:c r="E888" s="46" t="n">
        <x:v>0.9795742248147428</x:v>
      </x:c>
      <x:c r="F888" s="46" t="n">
        <x:v>0.7957422481474274</x:v>
      </x:c>
      <x:c r="G888" s="46" t="n">
        <x:v>1</x:v>
      </x:c>
      <x:c r="H888" s="46" t="n">
        <x:v>1</x:v>
      </x:c>
      <x:c r="I888" s="46" t="n">
        <x:v>1</x:v>
      </x:c>
      <x:c r="J888" s="46" t="n">
        <x:v>1</x:v>
      </x:c>
      <x:c r="K888" s="46" t="n">
        <x:v>1</x:v>
      </x:c>
      <x:c r="L888" s="46" t="n">
        <x:v>0.9747773736035361</x:v>
      </x:c>
      <x:c r="M888" s="27" t="n">
        <x:v>0</x:v>
      </x:c>
    </x:row>
    <x:row r="889" ht="15" hidden="0" customHeight="1">
      <x:c r="A889" s="29" t="n">
        <x:v>385</x:v>
      </x:c>
      <x:c r="B889" s="29" t="n">
        <x:v>331289</x:v>
      </x:c>
      <x:c r="C889" s="29" t="str">
        <x:v>A1</x:v>
      </x:c>
      <x:c r="D889" s="53" t="n">
        <x:v>2479.175354072426</x:v>
      </x:c>
      <x:c r="E889" s="47" t="n">
        <x:v>0.9916701416289705</x:v>
      </x:c>
      <x:c r="F889" s="47" t="n">
        <x:v>0.9167014162897049</x:v>
      </x:c>
      <x:c r="G889" s="47" t="n">
        <x:v>1</x:v>
      </x:c>
      <x:c r="H889" s="47" t="n">
        <x:v>1</x:v>
      </x:c>
      <x:c r="I889" s="47" t="n">
        <x:v>1</x:v>
      </x:c>
      <x:c r="J889" s="47" t="n">
        <x:v>1</x:v>
      </x:c>
      <x:c r="K889" s="47" t="n">
        <x:v>1</x:v>
      </x:c>
      <x:c r="L889" s="47" t="n">
        <x:v>0.9897139323368457</x:v>
      </x:c>
      <x:c r="M889" s="29" t="n">
        <x:v>0</x:v>
      </x:c>
    </x:row>
    <x:row r="890" ht="15" hidden="0" customHeight="1">
      <x:c r="A890" s="27" t="n">
        <x:v>386</x:v>
      </x:c>
      <x:c r="B890" s="27" t="n">
        <x:v>331290</x:v>
      </x:c>
      <x:c r="C890" s="27" t="str">
        <x:v>A1</x:v>
      </x:c>
      <x:c r="D890" s="52" t="n">
        <x:v>2443.004022005276</x:v>
      </x:c>
      <x:c r="E890" s="46" t="n">
        <x:v>0.9772016088021104</x:v>
      </x:c>
      <x:c r="F890" s="46" t="n">
        <x:v>0.7945502528110562</x:v>
      </x:c>
      <x:c r="G890" s="46" t="n">
        <x:v>1</x:v>
      </x:c>
      <x:c r="H890" s="46" t="n">
        <x:v>1</x:v>
      </x:c>
      <x:c r="I890" s="46" t="n">
        <x:v>1</x:v>
      </x:c>
      <x:c r="J890" s="46" t="n">
        <x:v>1</x:v>
      </x:c>
      <x:c r="K890" s="46" t="n">
        <x:v>1</x:v>
      </x:c>
      <x:c r="L890" s="46" t="n">
        <x:v>0.9718475652253412</x:v>
      </x:c>
      <x:c r="M890" s="27" t="n">
        <x:v>0</x:v>
      </x:c>
    </x:row>
    <x:row r="891" ht="15" hidden="0" customHeight="1">
      <x:c r="A891" s="29" t="n">
        <x:v>387</x:v>
      </x:c>
      <x:c r="B891" s="29" t="n">
        <x:v>331291</x:v>
      </x:c>
      <x:c r="C891" s="29" t="str">
        <x:v>A1</x:v>
      </x:c>
      <x:c r="D891" s="53" t="n">
        <x:v>2462.3064200121203</x:v>
      </x:c>
      <x:c r="E891" s="47" t="n">
        <x:v>0.9849225680048481</x:v>
      </x:c>
      <x:c r="F891" s="47" t="n">
        <x:v>0.84922568004848</x:v>
      </x:c>
      <x:c r="G891" s="47" t="n">
        <x:v>1</x:v>
      </x:c>
      <x:c r="H891" s="47" t="n">
        <x:v>1</x:v>
      </x:c>
      <x:c r="I891" s="47" t="n">
        <x:v>1</x:v>
      </x:c>
      <x:c r="J891" s="47" t="n">
        <x:v>1</x:v>
      </x:c>
      <x:c r="K891" s="47" t="n">
        <x:v>1</x:v>
      </x:c>
      <x:c r="L891" s="47" t="n">
        <x:v>0.9813817379863119</x:v>
      </x:c>
      <x:c r="M891" s="29" t="n">
        <x:v>0</x:v>
      </x:c>
    </x:row>
    <x:row r="892" ht="15" hidden="0" customHeight="1">
      <x:c r="A892" s="27" t="n">
        <x:v>388</x:v>
      </x:c>
      <x:c r="B892" s="27" t="n">
        <x:v>331292</x:v>
      </x:c>
      <x:c r="C892" s="27" t="str">
        <x:v>A1</x:v>
      </x:c>
      <x:c r="D892" s="52" t="n">
        <x:v>2500</x:v>
      </x:c>
      <x:c r="E892" s="46" t="n">
        <x:v>1</x:v>
      </x:c>
      <x:c r="F892" s="46" t="n">
        <x:v>1</x:v>
      </x:c>
      <x:c r="G892" s="46" t="n">
        <x:v>1</x:v>
      </x:c>
      <x:c r="H892" s="46" t="n">
        <x:v>1</x:v>
      </x:c>
      <x:c r="I892" s="46" t="n">
        <x:v>1</x:v>
      </x:c>
      <x:c r="J892" s="46" t="n">
        <x:v>1</x:v>
      </x:c>
      <x:c r="K892" s="46" t="n">
        <x:v>1</x:v>
      </x:c>
      <x:c r="L892" s="46" t="n">
        <x:v>1</x:v>
      </x:c>
      <x:c r="M892" s="27" t="n">
        <x:v>1</x:v>
      </x:c>
    </x:row>
    <x:row r="893" ht="15" hidden="0" customHeight="1">
      <x:c r="A893" s="29" t="n">
        <x:v>389</x:v>
      </x:c>
      <x:c r="B893" s="29" t="n">
        <x:v>331293</x:v>
      </x:c>
      <x:c r="C893" s="29" t="str">
        <x:v>A1</x:v>
      </x:c>
      <x:c r="D893" s="53" t="n">
        <x:v>2450.8678718065034</x:v>
      </x:c>
      <x:c r="E893" s="47" t="n">
        <x:v>0.9803471487226014</x:v>
      </x:c>
      <x:c r="F893" s="47" t="n">
        <x:v>0.8318574534842227</x:v>
      </x:c>
      <x:c r="G893" s="47" t="n">
        <x:v>1</x:v>
      </x:c>
      <x:c r="H893" s="47" t="n">
        <x:v>1</x:v>
      </x:c>
      <x:c r="I893" s="47" t="n">
        <x:v>1</x:v>
      </x:c>
      <x:c r="J893" s="47" t="n">
        <x:v>1</x:v>
      </x:c>
      <x:c r="K893" s="47" t="n">
        <x:v>1</x:v>
      </x:c>
      <x:c r="L893" s="47" t="n">
        <x:v>0.9757318133143426</x:v>
      </x:c>
      <x:c r="M893" s="29" t="n">
        <x:v>0</x:v>
      </x:c>
    </x:row>
    <x:row r="894" ht="15" hidden="0" customHeight="1">
      <x:c r="A894" s="27" t="n">
        <x:v>390</x:v>
      </x:c>
      <x:c r="B894" s="27" t="n">
        <x:v>331294</x:v>
      </x:c>
      <x:c r="C894" s="27" t="str">
        <x:v>A1</x:v>
      </x:c>
      <x:c r="D894" s="52" t="n">
        <x:v>2500</x:v>
      </x:c>
      <x:c r="E894" s="46" t="n">
        <x:v>1</x:v>
      </x:c>
      <x:c r="F894" s="46" t="n">
        <x:v>0.9999999999999998</x:v>
      </x:c>
      <x:c r="G894" s="46" t="n">
        <x:v>1</x:v>
      </x:c>
      <x:c r="H894" s="46" t="n">
        <x:v>1</x:v>
      </x:c>
      <x:c r="I894" s="46" t="n">
        <x:v>1</x:v>
      </x:c>
      <x:c r="J894" s="46" t="n">
        <x:v>1</x:v>
      </x:c>
      <x:c r="K894" s="46" t="n">
        <x:v>1</x:v>
      </x:c>
      <x:c r="L894" s="46" t="n">
        <x:v>1</x:v>
      </x:c>
      <x:c r="M894" s="27" t="n">
        <x:v>1</x:v>
      </x:c>
    </x:row>
    <x:row r="895" ht="15" hidden="0" customHeight="1">
      <x:c r="A895" s="29" t="n">
        <x:v>391</x:v>
      </x:c>
      <x:c r="B895" s="29" t="n">
        <x:v>331295</x:v>
      </x:c>
      <x:c r="C895" s="29" t="str">
        <x:v>A1</x:v>
      </x:c>
      <x:c r="D895" s="53" t="n">
        <x:v>2444.353415176972</x:v>
      </x:c>
      <x:c r="E895" s="47" t="n">
        <x:v>0.9777413660707888</x:v>
      </x:c>
      <x:c r="F895" s="47" t="n">
        <x:v>0.7948893016336418</x:v>
      </x:c>
      <x:c r="G895" s="47" t="n">
        <x:v>1</x:v>
      </x:c>
      <x:c r="H895" s="47" t="n">
        <x:v>1</x:v>
      </x:c>
      <x:c r="I895" s="47" t="n">
        <x:v>1</x:v>
      </x:c>
      <x:c r="J895" s="47" t="n">
        <x:v>1</x:v>
      </x:c>
      <x:c r="K895" s="47" t="n">
        <x:v>1</x:v>
      </x:c>
      <x:c r="L895" s="47" t="n">
        <x:v>0.9725140807337699</x:v>
      </x:c>
      <x:c r="M895" s="29" t="n">
        <x:v>0</x:v>
      </x:c>
    </x:row>
    <x:row r="896" ht="15" hidden="0" customHeight="1">
      <x:c r="A896" s="27" t="n">
        <x:v>392</x:v>
      </x:c>
      <x:c r="B896" s="27" t="n">
        <x:v>331296</x:v>
      </x:c>
      <x:c r="C896" s="27" t="str">
        <x:v>A1</x:v>
      </x:c>
      <x:c r="D896" s="52" t="n">
        <x:v>2433.962023276058</x:v>
      </x:c>
      <x:c r="E896" s="46" t="n">
        <x:v>0.9735848093104232</x:v>
      </x:c>
      <x:c r="F896" s="46" t="n">
        <x:v>0.7474715663702018</x:v>
      </x:c>
      <x:c r="G896" s="46" t="n">
        <x:v>1</x:v>
      </x:c>
      <x:c r="H896" s="46" t="n">
        <x:v>1</x:v>
      </x:c>
      <x:c r="I896" s="46" t="n">
        <x:v>1</x:v>
      </x:c>
      <x:c r="J896" s="46" t="n">
        <x:v>1</x:v>
      </x:c>
      <x:c r="K896" s="46" t="n">
        <x:v>1</x:v>
      </x:c>
      <x:c r="L896" s="46" t="n">
        <x:v>0.9673813855331457</x:v>
      </x:c>
      <x:c r="M896" s="27" t="n">
        <x:v>0</x:v>
      </x:c>
    </x:row>
    <x:row r="897" ht="15" hidden="0" customHeight="1">
      <x:c r="A897" s="29" t="n">
        <x:v>393</x:v>
      </x:c>
      <x:c r="B897" s="29" t="n">
        <x:v>331297</x:v>
      </x:c>
      <x:c r="C897" s="29" t="str">
        <x:v>A1</x:v>
      </x:c>
      <x:c r="D897" s="53" t="n">
        <x:v>2405.526485334253</x:v>
      </x:c>
      <x:c r="E897" s="47" t="n">
        <x:v>0.9622105941337011</x:v>
      </x:c>
      <x:c r="F897" s="47" t="n">
        <x:v>0.6710726303541151</x:v>
      </x:c>
      <x:c r="G897" s="47" t="n">
        <x:v>1</x:v>
      </x:c>
      <x:c r="H897" s="47" t="n">
        <x:v>1</x:v>
      </x:c>
      <x:c r="I897" s="47" t="n">
        <x:v>1</x:v>
      </x:c>
      <x:c r="J897" s="47" t="n">
        <x:v>1</x:v>
      </x:c>
      <x:c r="K897" s="47" t="n">
        <x:v>1</x:v>
      </x:c>
      <x:c r="L897" s="47" t="n">
        <x:v>0.9533360150464227</x:v>
      </x:c>
      <x:c r="M897" s="29" t="n">
        <x:v>0</x:v>
      </x:c>
    </x:row>
    <x:row r="898" ht="15" hidden="0" customHeight="1">
      <x:c r="A898" s="27" t="n">
        <x:v>394</x:v>
      </x:c>
      <x:c r="B898" s="27" t="n">
        <x:v>331298</x:v>
      </x:c>
      <x:c r="C898" s="27" t="str">
        <x:v>A1</x:v>
      </x:c>
      <x:c r="D898" s="52" t="n">
        <x:v>2469.765251361875</x:v>
      </x:c>
      <x:c r="E898" s="46" t="n">
        <x:v>0.98790610054475</x:v>
      </x:c>
      <x:c r="F898" s="46" t="n">
        <x:v>0.8937882227597427</x:v>
      </x:c>
      <x:c r="G898" s="46" t="n">
        <x:v>1</x:v>
      </x:c>
      <x:c r="H898" s="46" t="n">
        <x:v>1</x:v>
      </x:c>
      <x:c r="I898" s="46" t="n">
        <x:v>1</x:v>
      </x:c>
      <x:c r="J898" s="46" t="n">
        <x:v>1</x:v>
      </x:c>
      <x:c r="K898" s="46" t="n">
        <x:v>1</x:v>
      </x:c>
      <x:c r="L898" s="46" t="n">
        <x:v>0.9850659323883904</x:v>
      </x:c>
      <x:c r="M898" s="27" t="n">
        <x:v>0</x:v>
      </x:c>
    </x:row>
    <x:row r="899" ht="15" hidden="0" customHeight="1">
      <x:c r="A899" s="29" t="n">
        <x:v>395</x:v>
      </x:c>
      <x:c r="B899" s="29" t="n">
        <x:v>331299</x:v>
      </x:c>
      <x:c r="C899" s="29" t="str">
        <x:v>A1</x:v>
      </x:c>
      <x:c r="D899" s="53" t="n">
        <x:v>2444.5398281084676</x:v>
      </x:c>
      <x:c r="E899" s="47" t="n">
        <x:v>0.9778159312433871</x:v>
      </x:c>
      <x:c r="F899" s="47" t="n">
        <x:v>0.7937284655529964</x:v>
      </x:c>
      <x:c r="G899" s="47" t="n">
        <x:v>1</x:v>
      </x:c>
      <x:c r="H899" s="47" t="n">
        <x:v>1</x:v>
      </x:c>
      <x:c r="I899" s="47" t="n">
        <x:v>1</x:v>
      </x:c>
      <x:c r="J899" s="47" t="n">
        <x:v>1</x:v>
      </x:c>
      <x:c r="K899" s="47" t="n">
        <x:v>1</x:v>
      </x:c>
      <x:c r="L899" s="47" t="n">
        <x:v>0.9726061570184433</x:v>
      </x:c>
      <x:c r="M899" s="29" t="n">
        <x:v>0</x:v>
      </x:c>
    </x:row>
    <x:row r="900" ht="15" hidden="0" customHeight="1">
      <x:c r="A900" s="27" t="n">
        <x:v>396</x:v>
      </x:c>
      <x:c r="B900" s="27" t="n">
        <x:v>331300</x:v>
      </x:c>
      <x:c r="C900" s="27" t="str">
        <x:v>A1</x:v>
      </x:c>
      <x:c r="D900" s="52" t="n">
        <x:v>2457.9835950682414</x:v>
      </x:c>
      <x:c r="E900" s="46" t="n">
        <x:v>0.9831934380272965</x:v>
      </x:c>
      <x:c r="F900" s="46" t="n">
        <x:v>0.8319343802729656</x:v>
      </x:c>
      <x:c r="G900" s="46" t="n">
        <x:v>1</x:v>
      </x:c>
      <x:c r="H900" s="46" t="n">
        <x:v>1</x:v>
      </x:c>
      <x:c r="I900" s="46" t="n">
        <x:v>1</x:v>
      </x:c>
      <x:c r="J900" s="46" t="n">
        <x:v>1</x:v>
      </x:c>
      <x:c r="K900" s="46" t="n">
        <x:v>1</x:v>
      </x:c>
      <x:c r="L900" s="46" t="n">
        <x:v>0.9792465338621529</x:v>
      </x:c>
      <x:c r="M900" s="27" t="n">
        <x:v>0</x:v>
      </x:c>
    </x:row>
    <x:row r="901" ht="15" hidden="0" customHeight="1">
      <x:c r="A901" s="29" t="n">
        <x:v>397</x:v>
      </x:c>
      <x:c r="B901" s="29" t="n">
        <x:v>331301</x:v>
      </x:c>
      <x:c r="C901" s="29" t="str">
        <x:v>A1</x:v>
      </x:c>
      <x:c r="D901" s="53" t="n">
        <x:v>2447.4648204581244</x:v>
      </x:c>
      <x:c r="E901" s="47" t="n">
        <x:v>0.9789859281832498</x:v>
      </x:c>
      <x:c r="F901" s="47" t="n">
        <x:v>0.8022006990581485</x:v>
      </x:c>
      <x:c r="G901" s="47" t="n">
        <x:v>1</x:v>
      </x:c>
      <x:c r="H901" s="47" t="n">
        <x:v>1</x:v>
      </x:c>
      <x:c r="I901" s="47" t="n">
        <x:v>1</x:v>
      </x:c>
      <x:c r="J901" s="47" t="n">
        <x:v>1</x:v>
      </x:c>
      <x:c r="K901" s="47" t="n">
        <x:v>1</x:v>
      </x:c>
      <x:c r="L901" s="47" t="n">
        <x:v>0.974050919600598</x:v>
      </x:c>
      <x:c r="M901" s="29" t="n">
        <x:v>0</x:v>
      </x:c>
    </x:row>
    <x:row r="902" ht="15" hidden="0" customHeight="1">
      <x:c r="A902" s="27" t="n">
        <x:v>398</x:v>
      </x:c>
      <x:c r="B902" s="27" t="n">
        <x:v>331302</x:v>
      </x:c>
      <x:c r="C902" s="27" t="str">
        <x:v>A1</x:v>
      </x:c>
      <x:c r="D902" s="52" t="n">
        <x:v>2469.8396685364055</x:v>
      </x:c>
      <x:c r="E902" s="46" t="n">
        <x:v>0.9879358674145622</x:v>
      </x:c>
      <x:c r="F902" s="46" t="n">
        <x:v>0.879358674145622</x:v>
      </x:c>
      <x:c r="G902" s="46" t="n">
        <x:v>1</x:v>
      </x:c>
      <x:c r="H902" s="46" t="n">
        <x:v>1</x:v>
      </x:c>
      <x:c r="I902" s="46" t="n">
        <x:v>1</x:v>
      </x:c>
      <x:c r="J902" s="46" t="n">
        <x:v>1</x:v>
      </x:c>
      <x:c r="K902" s="46" t="n">
        <x:v>1</x:v>
      </x:c>
      <x:c r="L902" s="46" t="n">
        <x:v>0.9851026898005061</x:v>
      </x:c>
      <x:c r="M902" s="27" t="n">
        <x:v>0</x:v>
      </x:c>
    </x:row>
    <x:row r="903" ht="15" hidden="0" customHeight="1">
      <x:c r="A903" s="29" t="n">
        <x:v>399</x:v>
      </x:c>
      <x:c r="B903" s="29" t="n">
        <x:v>331303</x:v>
      </x:c>
      <x:c r="C903" s="29" t="str">
        <x:v>A1</x:v>
      </x:c>
      <x:c r="D903" s="53" t="n">
        <x:v>2462.4633729790853</x:v>
      </x:c>
      <x:c r="E903" s="47" t="n">
        <x:v>0.9849853491916342</x:v>
      </x:c>
      <x:c r="F903" s="47" t="n">
        <x:v>0.903842026660978</x:v>
      </x:c>
      <x:c r="G903" s="47" t="n">
        <x:v>1</x:v>
      </x:c>
      <x:c r="H903" s="47" t="n">
        <x:v>1</x:v>
      </x:c>
      <x:c r="I903" s="47" t="n">
        <x:v>1</x:v>
      </x:c>
      <x:c r="J903" s="47" t="n">
        <x:v>1</x:v>
      </x:c>
      <x:c r="K903" s="47" t="n">
        <x:v>1</x:v>
      </x:c>
      <x:c r="L903" s="47" t="n">
        <x:v>0.98145926289808</x:v>
      </x:c>
      <x:c r="M903" s="29" t="n">
        <x:v>0</x:v>
      </x:c>
    </x:row>
    <x:row r="904" ht="15" hidden="0" customHeight="1">
      <x:c r="A904" s="27" t="n">
        <x:v>400</x:v>
      </x:c>
      <x:c r="B904" s="27" t="n">
        <x:v>331304</x:v>
      </x:c>
      <x:c r="C904" s="27" t="str">
        <x:v>A1</x:v>
      </x:c>
      <x:c r="D904" s="52" t="n">
        <x:v>2465.212487173707</x:v>
      </x:c>
      <x:c r="E904" s="46" t="n">
        <x:v>0.9860849948694828</x:v>
      </x:c>
      <x:c r="F904" s="46" t="n">
        <x:v>0.8608499486948262</x:v>
      </x:c>
      <x:c r="G904" s="46" t="n">
        <x:v>1</x:v>
      </x:c>
      <x:c r="H904" s="46" t="n">
        <x:v>1</x:v>
      </x:c>
      <x:c r="I904" s="46" t="n">
        <x:v>1</x:v>
      </x:c>
      <x:c r="J904" s="46" t="n">
        <x:v>1</x:v>
      </x:c>
      <x:c r="K904" s="46" t="n">
        <x:v>1</x:v>
      </x:c>
      <x:c r="L904" s="46" t="n">
        <x:v>0.982817152713732</x:v>
      </x:c>
      <x:c r="M904" s="27" t="n">
        <x:v>0</x:v>
      </x:c>
    </x:row>
    <x:row r="905" ht="15" hidden="0" customHeight="1">
      <x:c r="A905" s="29" t="n">
        <x:v>401</x:v>
      </x:c>
      <x:c r="B905" s="29" t="n">
        <x:v>331305</x:v>
      </x:c>
      <x:c r="C905" s="29" t="str">
        <x:v>A1</x:v>
      </x:c>
      <x:c r="D905" s="53" t="n">
        <x:v>2440.480062679144</x:v>
      </x:c>
      <x:c r="E905" s="47" t="n">
        <x:v>0.9761920250716576</x:v>
      </x:c>
      <x:c r="F905" s="47" t="n">
        <x:v>0.7748623133475927</x:v>
      </x:c>
      <x:c r="G905" s="47" t="n">
        <x:v>1</x:v>
      </x:c>
      <x:c r="H905" s="47" t="n">
        <x:v>1</x:v>
      </x:c>
      <x:c r="I905" s="47" t="n">
        <x:v>1</x:v>
      </x:c>
      <x:c r="J905" s="47" t="n">
        <x:v>1</x:v>
      </x:c>
      <x:c r="K905" s="47" t="n">
        <x:v>1</x:v>
      </x:c>
      <x:c r="L905" s="47" t="n">
        <x:v>0.9706008877789186</x:v>
      </x:c>
      <x:c r="M905" s="29" t="n">
        <x:v>0</x:v>
      </x:c>
    </x:row>
    <x:row r="906" ht="15" hidden="0" customHeight="1">
      <x:c r="A906" s="27" t="n">
        <x:v>402</x:v>
      </x:c>
      <x:c r="B906" s="27" t="n">
        <x:v>331306</x:v>
      </x:c>
      <x:c r="C906" s="27" t="str">
        <x:v>A1</x:v>
      </x:c>
      <x:c r="D906" s="52" t="n">
        <x:v>2457.263398256389</x:v>
      </x:c>
      <x:c r="E906" s="46" t="n">
        <x:v>0.9829053593025555</x:v>
      </x:c>
      <x:c r="F906" s="46" t="n">
        <x:v>0.8402324615450198</x:v>
      </x:c>
      <x:c r="G906" s="46" t="n">
        <x:v>1</x:v>
      </x:c>
      <x:c r="H906" s="46" t="n">
        <x:v>1</x:v>
      </x:c>
      <x:c r="I906" s="46" t="n">
        <x:v>1</x:v>
      </x:c>
      <x:c r="J906" s="46" t="n">
        <x:v>1</x:v>
      </x:c>
      <x:c r="K906" s="46" t="n">
        <x:v>1</x:v>
      </x:c>
      <x:c r="L906" s="46" t="n">
        <x:v>0.9788908018529141</x:v>
      </x:c>
      <x:c r="M906" s="27" t="n">
        <x:v>0</x:v>
      </x:c>
    </x:row>
    <x:row r="907" ht="15" hidden="0" customHeight="1">
      <x:c r="A907" s="29" t="n">
        <x:v>403</x:v>
      </x:c>
      <x:c r="B907" s="29" t="n">
        <x:v>331307</x:v>
      </x:c>
      <x:c r="C907" s="29" t="str">
        <x:v>A1</x:v>
      </x:c>
      <x:c r="D907" s="53" t="n">
        <x:v>2404.9337421921077</x:v>
      </x:c>
      <x:c r="E907" s="47" t="n">
        <x:v>0.9619734968768431</x:v>
      </x:c>
      <x:c r="F907" s="47" t="n">
        <x:v>0.6467197114825843</x:v>
      </x:c>
      <x:c r="G907" s="47" t="n">
        <x:v>1</x:v>
      </x:c>
      <x:c r="H907" s="47" t="n">
        <x:v>1</x:v>
      </x:c>
      <x:c r="I907" s="47" t="n">
        <x:v>1</x:v>
      </x:c>
      <x:c r="J907" s="47" t="n">
        <x:v>1</x:v>
      </x:c>
      <x:c r="K907" s="47" t="n">
        <x:v>1</x:v>
      </x:c>
      <x:c r="L907" s="47" t="n">
        <x:v>0.953043237148149</x:v>
      </x:c>
      <x:c r="M907" s="29" t="n">
        <x:v>0</x:v>
      </x:c>
    </x:row>
    <x:row r="908" ht="15" hidden="0" customHeight="1">
      <x:c r="A908" s="27" t="n">
        <x:v>404</x:v>
      </x:c>
      <x:c r="B908" s="27" t="n">
        <x:v>331308</x:v>
      </x:c>
      <x:c r="C908" s="27" t="str">
        <x:v>A1</x:v>
      </x:c>
      <x:c r="D908" s="52" t="n">
        <x:v>2449.680314414314</x:v>
      </x:c>
      <x:c r="E908" s="46" t="n">
        <x:v>0.9798721257657257</x:v>
      </x:c>
      <x:c r="F908" s="46" t="n">
        <x:v>0.7987212576572555</x:v>
      </x:c>
      <x:c r="G908" s="46" t="n">
        <x:v>1</x:v>
      </x:c>
      <x:c r="H908" s="46" t="n">
        <x:v>1</x:v>
      </x:c>
      <x:c r="I908" s="46" t="n">
        <x:v>1</x:v>
      </x:c>
      <x:c r="J908" s="46" t="n">
        <x:v>1</x:v>
      </x:c>
      <x:c r="K908" s="46" t="n">
        <x:v>1</x:v>
      </x:c>
      <x:c r="L908" s="46" t="n">
        <x:v>0.9751452345205218</x:v>
      </x:c>
      <x:c r="M908" s="27" t="n">
        <x:v>0</x:v>
      </x:c>
    </x:row>
    <x:row r="909" ht="15" hidden="0" customHeight="1">
      <x:c r="A909" s="29" t="n">
        <x:v>405</x:v>
      </x:c>
      <x:c r="B909" s="29" t="n">
        <x:v>331309</x:v>
      </x:c>
      <x:c r="C909" s="29" t="str">
        <x:v>A1</x:v>
      </x:c>
      <x:c r="D909" s="53" t="n">
        <x:v>2454.3012528558265</x:v>
      </x:c>
      <x:c r="E909" s="47" t="n">
        <x:v>0.9817205011423306</x:v>
      </x:c>
      <x:c r="F909" s="47" t="n">
        <x:v>0.8172050114233064</x:v>
      </x:c>
      <x:c r="G909" s="47" t="n">
        <x:v>1</x:v>
      </x:c>
      <x:c r="H909" s="47" t="n">
        <x:v>1</x:v>
      </x:c>
      <x:c r="I909" s="47" t="n">
        <x:v>1</x:v>
      </x:c>
      <x:c r="J909" s="47" t="n">
        <x:v>1</x:v>
      </x:c>
      <x:c r="K909" s="47" t="n">
        <x:v>1</x:v>
      </x:c>
      <x:c r="L909" s="47" t="n">
        <x:v>0.9774276879961765</x:v>
      </x:c>
      <x:c r="M909" s="29" t="n">
        <x:v>0</x:v>
      </x:c>
    </x:row>
    <x:row r="910" ht="15" hidden="0" customHeight="1">
      <x:c r="A910" s="27" t="n">
        <x:v>406</x:v>
      </x:c>
      <x:c r="B910" s="27" t="n">
        <x:v>331310</x:v>
      </x:c>
      <x:c r="C910" s="27" t="str">
        <x:v>A1</x:v>
      </x:c>
      <x:c r="D910" s="52" t="n">
        <x:v>2409.7081407662736</x:v>
      </x:c>
      <x:c r="E910" s="46" t="n">
        <x:v>0.9638832563065094</x:v>
      </x:c>
      <x:c r="F910" s="46" t="n">
        <x:v>0.7780136111540158</x:v>
      </x:c>
      <x:c r="G910" s="46" t="n">
        <x:v>1</x:v>
      </x:c>
      <x:c r="H910" s="46" t="n">
        <x:v>1</x:v>
      </x:c>
      <x:c r="I910" s="46" t="n">
        <x:v>1</x:v>
      </x:c>
      <x:c r="J910" s="46" t="n">
        <x:v>1</x:v>
      </x:c>
      <x:c r="K910" s="46" t="n">
        <x:v>1</x:v>
      </x:c>
      <x:c r="L910" s="46" t="n">
        <x:v>0.9554014902947107</x:v>
      </x:c>
      <x:c r="M910" s="27" t="n">
        <x:v>0</x:v>
      </x:c>
    </x:row>
    <x:row r="911" ht="15" hidden="0" customHeight="1">
      <x:c r="A911" s="29" t="n">
        <x:v>407</x:v>
      </x:c>
      <x:c r="B911" s="29" t="n">
        <x:v>331311</x:v>
      </x:c>
      <x:c r="C911" s="29" t="str">
        <x:v>A1</x:v>
      </x:c>
      <x:c r="D911" s="53" t="n">
        <x:v>2363.0054022437866</x:v>
      </x:c>
      <x:c r="E911" s="47" t="n">
        <x:v>0.9452021608975146</x:v>
      </x:c>
      <x:c r="F911" s="47" t="n">
        <x:v>0.659301003492667</x:v>
      </x:c>
      <x:c r="G911" s="47" t="n">
        <x:v>1</x:v>
      </x:c>
      <x:c r="H911" s="47" t="n">
        <x:v>1</x:v>
      </x:c>
      <x:c r="I911" s="47" t="n">
        <x:v>1</x:v>
      </x:c>
      <x:c r="J911" s="47" t="n">
        <x:v>1</x:v>
      </x:c>
      <x:c r="K911" s="47" t="n">
        <x:v>1</x:v>
      </x:c>
      <x:c r="L911" s="47" t="n">
        <x:v>0.9323332695831729</x:v>
      </x:c>
      <x:c r="M911" s="29" t="n">
        <x:v>0</x:v>
      </x:c>
    </x:row>
    <x:row r="912" ht="15" hidden="0" customHeight="1">
      <x:c r="A912" s="27" t="n">
        <x:v>408</x:v>
      </x:c>
      <x:c r="B912" s="27" t="n">
        <x:v>331312</x:v>
      </x:c>
      <x:c r="C912" s="27" t="str">
        <x:v>A1</x:v>
      </x:c>
      <x:c r="D912" s="52" t="n">
        <x:v>2455.908794239706</x:v>
      </x:c>
      <x:c r="E912" s="46" t="n">
        <x:v>0.9823635176958824</x:v>
      </x:c>
      <x:c r="F912" s="46" t="n">
        <x:v>0.834604008535859</x:v>
      </x:c>
      <x:c r="G912" s="46" t="n">
        <x:v>1</x:v>
      </x:c>
      <x:c r="H912" s="46" t="n">
        <x:v>1</x:v>
      </x:c>
      <x:c r="I912" s="46" t="n">
        <x:v>1</x:v>
      </x:c>
      <x:c r="J912" s="46" t="n">
        <x:v>1</x:v>
      </x:c>
      <x:c r="K912" s="46" t="n">
        <x:v>1</x:v>
      </x:c>
      <x:c r="L912" s="46" t="n">
        <x:v>0.9782217125142121</x:v>
      </x:c>
      <x:c r="M912" s="27" t="n">
        <x:v>0</x:v>
      </x:c>
    </x:row>
    <x:row r="913" ht="15" hidden="0" customHeight="1">
      <x:c r="A913" s="29" t="n">
        <x:v>409</x:v>
      </x:c>
      <x:c r="B913" s="29" t="n">
        <x:v>331313</x:v>
      </x:c>
      <x:c r="C913" s="29" t="str">
        <x:v>A1</x:v>
      </x:c>
      <x:c r="D913" s="53" t="n">
        <x:v>2432.961549487264</x:v>
      </x:c>
      <x:c r="E913" s="47" t="n">
        <x:v>0.9731846197949057</x:v>
      </x:c>
      <x:c r="F913" s="47" t="n">
        <x:v>0.7540414200220873</x:v>
      </x:c>
      <x:c r="G913" s="47" t="n">
        <x:v>1</x:v>
      </x:c>
      <x:c r="H913" s="47" t="n">
        <x:v>1</x:v>
      </x:c>
      <x:c r="I913" s="47" t="n">
        <x:v>1</x:v>
      </x:c>
      <x:c r="J913" s="47" t="n">
        <x:v>1</x:v>
      </x:c>
      <x:c r="K913" s="47" t="n">
        <x:v>1</x:v>
      </x:c>
      <x:c r="L913" s="47" t="n">
        <x:v>0.9668872142938104</x:v>
      </x:c>
      <x:c r="M913" s="29" t="n">
        <x:v>0</x:v>
      </x:c>
    </x:row>
    <x:row r="914" ht="15" hidden="0" customHeight="1">
      <x:c r="A914" s="27" t="n">
        <x:v>410</x:v>
      </x:c>
      <x:c r="B914" s="27" t="n">
        <x:v>331314</x:v>
      </x:c>
      <x:c r="C914" s="27" t="str">
        <x:v>A1</x:v>
      </x:c>
      <x:c r="D914" s="52" t="n">
        <x:v>2436.1572275191384</x:v>
      </x:c>
      <x:c r="E914" s="46" t="n">
        <x:v>0.9744628910076554</x:v>
      </x:c>
      <x:c r="F914" s="46" t="n">
        <x:v>0.8235862738201145</x:v>
      </x:c>
      <x:c r="G914" s="46" t="n">
        <x:v>1</x:v>
      </x:c>
      <x:c r="H914" s="46" t="n">
        <x:v>1</x:v>
      </x:c>
      <x:c r="I914" s="46" t="n">
        <x:v>1</x:v>
      </x:c>
      <x:c r="J914" s="46" t="n">
        <x:v>1</x:v>
      </x:c>
      <x:c r="K914" s="46" t="n">
        <x:v>1</x:v>
      </x:c>
      <x:c r="L914" s="46" t="n">
        <x:v>0.9684656786086343</x:v>
      </x:c>
      <x:c r="M914" s="27" t="n">
        <x:v>0</x:v>
      </x:c>
    </x:row>
    <x:row r="915" ht="15" hidden="0" customHeight="1">
      <x:c r="A915" s="29" t="n">
        <x:v>411</x:v>
      </x:c>
      <x:c r="B915" s="29" t="n">
        <x:v>331315</x:v>
      </x:c>
      <x:c r="C915" s="29" t="str">
        <x:v>A1</x:v>
      </x:c>
      <x:c r="D915" s="53" t="n">
        <x:v>2361.4672151710924</x:v>
      </x:c>
      <x:c r="E915" s="47" t="n">
        <x:v>0.944586886068437</x:v>
      </x:c>
      <x:c r="F915" s="47" t="n">
        <x:v>0.6329450463863927</x:v>
      </x:c>
      <x:c r="G915" s="47" t="n">
        <x:v>1</x:v>
      </x:c>
      <x:c r="H915" s="47" t="n">
        <x:v>1</x:v>
      </x:c>
      <x:c r="I915" s="47" t="n">
        <x:v>1</x:v>
      </x:c>
      <x:c r="J915" s="47" t="n">
        <x:v>1</x:v>
      </x:c>
      <x:c r="K915" s="47" t="n">
        <x:v>1</x:v>
      </x:c>
      <x:c r="L915" s="47" t="n">
        <x:v>0.9315735017406197</x:v>
      </x:c>
      <x:c r="M915" s="29" t="n">
        <x:v>0</x:v>
      </x:c>
    </x:row>
    <x:row r="916" ht="15" hidden="0" customHeight="1">
      <x:c r="A916" s="27" t="n">
        <x:v>412</x:v>
      </x:c>
      <x:c r="B916" s="27" t="n">
        <x:v>331316</x:v>
      </x:c>
      <x:c r="C916" s="27" t="str">
        <x:v>A1</x:v>
      </x:c>
      <x:c r="D916" s="52" t="n">
        <x:v>2449.9505939157925</x:v>
      </x:c>
      <x:c r="E916" s="46" t="n">
        <x:v>0.979980237566317</x:v>
      </x:c>
      <x:c r="F916" s="46" t="n">
        <x:v>0.8114954761780978</x:v>
      </x:c>
      <x:c r="G916" s="46" t="n">
        <x:v>1</x:v>
      </x:c>
      <x:c r="H916" s="46" t="n">
        <x:v>1</x:v>
      </x:c>
      <x:c r="I916" s="46" t="n">
        <x:v>1</x:v>
      </x:c>
      <x:c r="J916" s="46" t="n">
        <x:v>1</x:v>
      </x:c>
      <x:c r="K916" s="46" t="n">
        <x:v>1</x:v>
      </x:c>
      <x:c r="L916" s="46" t="n">
        <x:v>0.9752787356254068</x:v>
      </x:c>
      <x:c r="M916" s="27" t="n">
        <x:v>0</x:v>
      </x:c>
    </x:row>
    <x:row r="917" ht="15" hidden="0" customHeight="1">
      <x:c r="A917" s="29" t="n">
        <x:v>413</x:v>
      </x:c>
      <x:c r="B917" s="29" t="n">
        <x:v>331317</x:v>
      </x:c>
      <x:c r="C917" s="29" t="str">
        <x:v>A1</x:v>
      </x:c>
      <x:c r="D917" s="53" t="n">
        <x:v>2420.3652512945655</x:v>
      </x:c>
      <x:c r="E917" s="47" t="n">
        <x:v>0.9681461005178262</x:v>
      </x:c>
      <x:c r="F917" s="47" t="n">
        <x:v>0.7662247855023482</x:v>
      </x:c>
      <x:c r="G917" s="47" t="n">
        <x:v>1</x:v>
      </x:c>
      <x:c r="H917" s="47" t="n">
        <x:v>1</x:v>
      </x:c>
      <x:c r="I917" s="47" t="n">
        <x:v>1</x:v>
      </x:c>
      <x:c r="J917" s="47" t="n">
        <x:v>1</x:v>
      </x:c>
      <x:c r="K917" s="47" t="n">
        <x:v>1</x:v>
      </x:c>
      <x:c r="L917" s="47" t="n">
        <x:v>0.9606654338147576</x:v>
      </x:c>
      <x:c r="M917" s="29" t="n">
        <x:v>0</x:v>
      </x:c>
    </x:row>
    <x:row r="918" ht="15" hidden="0" customHeight="1">
      <x:c r="A918" s="27" t="n">
        <x:v>414</x:v>
      </x:c>
      <x:c r="B918" s="27" t="n">
        <x:v>331318</x:v>
      </x:c>
      <x:c r="C918" s="27" t="str">
        <x:v>A1</x:v>
      </x:c>
      <x:c r="D918" s="52" t="n">
        <x:v>2449.5273652525843</x:v>
      </x:c>
      <x:c r="E918" s="46" t="n">
        <x:v>0.9798109461010337</x:v>
      </x:c>
      <x:c r="F918" s="46" t="n">
        <x:v>0.824990289255086</x:v>
      </x:c>
      <x:c r="G918" s="46" t="n">
        <x:v>1</x:v>
      </x:c>
      <x:c r="H918" s="46" t="n">
        <x:v>1</x:v>
      </x:c>
      <x:c r="I918" s="46" t="n">
        <x:v>1</x:v>
      </x:c>
      <x:c r="J918" s="46" t="n">
        <x:v>1</x:v>
      </x:c>
      <x:c r="K918" s="46" t="n">
        <x:v>1</x:v>
      </x:c>
      <x:c r="L918" s="46" t="n">
        <x:v>0.9750696872371708</x:v>
      </x:c>
      <x:c r="M918" s="27" t="n">
        <x:v>0</x:v>
      </x:c>
    </x:row>
    <x:row r="919" ht="15" hidden="0" customHeight="1">
      <x:c r="A919" s="29" t="n">
        <x:v>415</x:v>
      </x:c>
      <x:c r="B919" s="29" t="n">
        <x:v>331319</x:v>
      </x:c>
      <x:c r="C919" s="29" t="str">
        <x:v>A1</x:v>
      </x:c>
      <x:c r="D919" s="53" t="n">
        <x:v>2460.56769923895</x:v>
      </x:c>
      <x:c r="E919" s="47" t="n">
        <x:v>0.98422707969558</x:v>
      </x:c>
      <x:c r="F919" s="47" t="n">
        <x:v>0.8441153503991423</x:v>
      </x:c>
      <x:c r="G919" s="47" t="n">
        <x:v>1</x:v>
      </x:c>
      <x:c r="H919" s="47" t="n">
        <x:v>1</x:v>
      </x:c>
      <x:c r="I919" s="47" t="n">
        <x:v>1</x:v>
      </x:c>
      <x:c r="J919" s="47" t="n">
        <x:v>1</x:v>
      </x:c>
      <x:c r="K919" s="47" t="n">
        <x:v>1</x:v>
      </x:c>
      <x:c r="L919" s="47" t="n">
        <x:v>0.9805229190857475</x:v>
      </x:c>
      <x:c r="M919" s="29" t="n">
        <x:v>0</x:v>
      </x:c>
    </x:row>
    <x:row r="920" ht="15" hidden="0" customHeight="1">
      <x:c r="A920" s="27" t="n">
        <x:v>416</x:v>
      </x:c>
      <x:c r="B920" s="27" t="n">
        <x:v>331320</x:v>
      </x:c>
      <x:c r="C920" s="27" t="str">
        <x:v>A1</x:v>
      </x:c>
      <x:c r="D920" s="52" t="n">
        <x:v>2386.7997257281013</x:v>
      </x:c>
      <x:c r="E920" s="46" t="n">
        <x:v>0.9547198902912405</x:v>
      </x:c>
      <x:c r="F920" s="46" t="n">
        <x:v>0.6068782659882627</x:v>
      </x:c>
      <x:c r="G920" s="46" t="n">
        <x:v>1</x:v>
      </x:c>
      <x:c r="H920" s="46" t="n">
        <x:v>1</x:v>
      </x:c>
      <x:c r="I920" s="46" t="n">
        <x:v>1</x:v>
      </x:c>
      <x:c r="J920" s="46" t="n">
        <x:v>1</x:v>
      </x:c>
      <x:c r="K920" s="46" t="n">
        <x:v>1</x:v>
      </x:c>
      <x:c r="L920" s="46" t="n">
        <x:v>0.9440861715153285</x:v>
      </x:c>
      <x:c r="M920" s="27" t="n">
        <x:v>0</x:v>
      </x:c>
    </x:row>
    <x:row r="921" ht="15" hidden="0" customHeight="1">
      <x:c r="A921" s="29" t="n">
        <x:v>417</x:v>
      </x:c>
      <x:c r="B921" s="29" t="n">
        <x:v>331321</x:v>
      </x:c>
      <x:c r="C921" s="29" t="str">
        <x:v>A1</x:v>
      </x:c>
      <x:c r="D921" s="53" t="n">
        <x:v>2474.5312803040333</x:v>
      </x:c>
      <x:c r="E921" s="47" t="n">
        <x:v>0.9898125121216134</x:v>
      </x:c>
      <x:c r="F921" s="47" t="n">
        <x:v>0.898125121216132</x:v>
      </x:c>
      <x:c r="G921" s="47" t="n">
        <x:v>1</x:v>
      </x:c>
      <x:c r="H921" s="47" t="n">
        <x:v>1</x:v>
      </x:c>
      <x:c r="I921" s="47" t="n">
        <x:v>1</x:v>
      </x:c>
      <x:c r="J921" s="47" t="n">
        <x:v>1</x:v>
      </x:c>
      <x:c r="K921" s="47" t="n">
        <x:v>1</x:v>
      </x:c>
      <x:c r="L921" s="47" t="n">
        <x:v>0.9874200514622076</x:v>
      </x:c>
      <x:c r="M921" s="29" t="n">
        <x:v>0</x:v>
      </x:c>
    </x:row>
    <x:row r="922" ht="15" hidden="0" customHeight="1">
      <x:c r="A922" s="27" t="n">
        <x:v>418</x:v>
      </x:c>
      <x:c r="B922" s="27" t="n">
        <x:v>331322</x:v>
      </x:c>
      <x:c r="C922" s="27" t="str">
        <x:v>A1</x:v>
      </x:c>
      <x:c r="D922" s="52" t="n">
        <x:v>2442.268485827199</x:v>
      </x:c>
      <x:c r="E922" s="46" t="n">
        <x:v>0.9769073943308797</x:v>
      </x:c>
      <x:c r="F922" s="46" t="n">
        <x:v>0.7931878064967071</x:v>
      </x:c>
      <x:c r="G922" s="46" t="n">
        <x:v>1</x:v>
      </x:c>
      <x:c r="H922" s="46" t="n">
        <x:v>1</x:v>
      </x:c>
      <x:c r="I922" s="46" t="n">
        <x:v>1</x:v>
      </x:c>
      <x:c r="J922" s="46" t="n">
        <x:v>1</x:v>
      </x:c>
      <x:c r="K922" s="46" t="n">
        <x:v>1</x:v>
      </x:c>
      <x:c r="L922" s="46" t="n">
        <x:v>0.9714842565322326</x:v>
      </x:c>
      <x:c r="M922" s="27" t="n">
        <x:v>0</x:v>
      </x:c>
    </x:row>
    <x:row r="923" ht="15" hidden="0" customHeight="1">
      <x:c r="A923" s="29" t="n">
        <x:v>419</x:v>
      </x:c>
      <x:c r="B923" s="29" t="n">
        <x:v>331323</x:v>
      </x:c>
      <x:c r="C923" s="29" t="str">
        <x:v>A1</x:v>
      </x:c>
      <x:c r="D923" s="53" t="n">
        <x:v>2377.324124028182</x:v>
      </x:c>
      <x:c r="E923" s="47" t="n">
        <x:v>0.9509296496112727</x:v>
      </x:c>
      <x:c r="F923" s="47" t="n">
        <x:v>0.6362280669687048</x:v>
      </x:c>
      <x:c r="G923" s="47" t="n">
        <x:v>1</x:v>
      </x:c>
      <x:c r="H923" s="47" t="n">
        <x:v>1</x:v>
      </x:c>
      <x:c r="I923" s="47" t="n">
        <x:v>1</x:v>
      </x:c>
      <x:c r="J923" s="47" t="n">
        <x:v>1</x:v>
      </x:c>
      <x:c r="K923" s="47" t="n">
        <x:v>1</x:v>
      </x:c>
      <x:c r="L923" s="47" t="n">
        <x:v>0.939405819178321</x:v>
      </x:c>
      <x:c r="M923" s="29" t="n">
        <x:v>0</x:v>
      </x:c>
    </x:row>
    <x:row r="924" ht="15" hidden="0" customHeight="1">
      <x:c r="A924" s="27" t="n">
        <x:v>420</x:v>
      </x:c>
      <x:c r="B924" s="27" t="n">
        <x:v>331324</x:v>
      </x:c>
      <x:c r="C924" s="27" t="str">
        <x:v>A1</x:v>
      </x:c>
      <x:c r="D924" s="52" t="n">
        <x:v>2439.1844395269027</x:v>
      </x:c>
      <x:c r="E924" s="46" t="n">
        <x:v>0.9756737758107611</x:v>
      </x:c>
      <x:c r="F924" s="46" t="n">
        <x:v>0.773064099737206</x:v>
      </x:c>
      <x:c r="G924" s="46" t="n">
        <x:v>1</x:v>
      </x:c>
      <x:c r="H924" s="46" t="n">
        <x:v>1</x:v>
      </x:c>
      <x:c r="I924" s="46" t="n">
        <x:v>1</x:v>
      </x:c>
      <x:c r="J924" s="46" t="n">
        <x:v>1</x:v>
      </x:c>
      <x:c r="K924" s="46" t="n">
        <x:v>1</x:v>
      </x:c>
      <x:c r="L924" s="46" t="n">
        <x:v>0.9699609312842797</x:v>
      </x:c>
      <x:c r="M924" s="27" t="n">
        <x:v>0</x:v>
      </x:c>
    </x:row>
    <x:row r="925" ht="15" hidden="0" customHeight="1">
      <x:c r="A925" s="29" t="n">
        <x:v>421</x:v>
      </x:c>
      <x:c r="B925" s="29" t="n">
        <x:v>331325</x:v>
      </x:c>
      <x:c r="C925" s="29" t="str">
        <x:v>A1</x:v>
      </x:c>
      <x:c r="D925" s="53" t="n">
        <x:v>2498.2565357960316</x:v>
      </x:c>
      <x:c r="E925" s="47" t="n">
        <x:v>0.9993026143184126</x:v>
      </x:c>
      <x:c r="F925" s="47" t="n">
        <x:v>0.9930261431841263</x:v>
      </x:c>
      <x:c r="G925" s="47" t="n">
        <x:v>1</x:v>
      </x:c>
      <x:c r="H925" s="47" t="n">
        <x:v>1</x:v>
      </x:c>
      <x:c r="I925" s="47" t="n">
        <x:v>1</x:v>
      </x:c>
      <x:c r="J925" s="47" t="n">
        <x:v>1</x:v>
      </x:c>
      <x:c r="K925" s="47" t="n">
        <x:v>1</x:v>
      </x:c>
      <x:c r="L925" s="47" t="n">
        <x:v>0.9991388381424261</x:v>
      </x:c>
      <x:c r="M925" s="29" t="n">
        <x:v>1</x:v>
      </x:c>
    </x:row>
    <x:row r="926" ht="15" hidden="0" customHeight="1">
      <x:c r="A926" s="27" t="n">
        <x:v>422</x:v>
      </x:c>
      <x:c r="B926" s="27" t="n">
        <x:v>331326</x:v>
      </x:c>
      <x:c r="C926" s="27" t="str">
        <x:v>A1</x:v>
      </x:c>
      <x:c r="D926" s="52" t="n">
        <x:v>2426.267332083105</x:v>
      </x:c>
      <x:c r="E926" s="46" t="n">
        <x:v>0.970506932833242</x:v>
      </x:c>
      <x:c r="F926" s="46" t="n">
        <x:v>0.7830368892524122</x:v>
      </x:c>
      <x:c r="G926" s="46" t="n">
        <x:v>1</x:v>
      </x:c>
      <x:c r="H926" s="46" t="n">
        <x:v>1</x:v>
      </x:c>
      <x:c r="I926" s="46" t="n">
        <x:v>1</x:v>
      </x:c>
      <x:c r="J926" s="46" t="n">
        <x:v>1</x:v>
      </x:c>
      <x:c r="K926" s="46" t="n">
        <x:v>1</x:v>
      </x:c>
      <x:c r="L926" s="46" t="n">
        <x:v>0.9635806911764175</x:v>
      </x:c>
      <x:c r="M926" s="27" t="n">
        <x:v>0</x:v>
      </x:c>
    </x:row>
    <x:row r="927" ht="15" hidden="0" customHeight="1">
      <x:c r="A927" s="29" t="n">
        <x:v>423</x:v>
      </x:c>
      <x:c r="B927" s="29" t="n">
        <x:v>331327</x:v>
      </x:c>
      <x:c r="C927" s="29" t="str">
        <x:v>A1</x:v>
      </x:c>
      <x:c r="D927" s="53" t="n">
        <x:v>2415.8179695459166</x:v>
      </x:c>
      <x:c r="E927" s="47" t="n">
        <x:v>0.9663271878183667</x:v>
      </x:c>
      <x:c r="F927" s="47" t="n">
        <x:v>0.7717957888167967</x:v>
      </x:c>
      <x:c r="G927" s="47" t="n">
        <x:v>1</x:v>
      </x:c>
      <x:c r="H927" s="47" t="n">
        <x:v>1</x:v>
      </x:c>
      <x:c r="I927" s="47" t="n">
        <x:v>1</x:v>
      </x:c>
      <x:c r="J927" s="47" t="n">
        <x:v>1</x:v>
      </x:c>
      <x:c r="K927" s="47" t="n">
        <x:v>1</x:v>
      </x:c>
      <x:c r="L927" s="47" t="n">
        <x:v>0.9584193621210202</x:v>
      </x:c>
      <x:c r="M927" s="29" t="n">
        <x:v>0</x:v>
      </x:c>
    </x:row>
    <x:row r="928" ht="15" hidden="0" customHeight="1">
      <x:c r="A928" s="27" t="n">
        <x:v>424</x:v>
      </x:c>
      <x:c r="B928" s="27" t="n">
        <x:v>331328</x:v>
      </x:c>
      <x:c r="C928" s="27" t="str">
        <x:v>A1</x:v>
      </x:c>
      <x:c r="D928" s="52" t="n">
        <x:v>2436.2779669243914</x:v>
      </x:c>
      <x:c r="E928" s="46" t="n">
        <x:v>0.9745111867697566</x:v>
      </x:c>
      <x:c r="F928" s="46" t="n">
        <x:v>0.7931747936901059</x:v>
      </x:c>
      <x:c r="G928" s="46" t="n">
        <x:v>1</x:v>
      </x:c>
      <x:c r="H928" s="46" t="n">
        <x:v>1</x:v>
      </x:c>
      <x:c r="I928" s="46" t="n">
        <x:v>1</x:v>
      </x:c>
      <x:c r="J928" s="46" t="n">
        <x:v>1</x:v>
      </x:c>
      <x:c r="K928" s="46" t="n">
        <x:v>1</x:v>
      </x:c>
      <x:c r="L928" s="46" t="n">
        <x:v>0.9685253162944975</x:v>
      </x:c>
      <x:c r="M928" s="27" t="n">
        <x:v>0</x:v>
      </x:c>
    </x:row>
    <x:row r="929" ht="15" hidden="0" customHeight="1">
      <x:c r="A929" s="29" t="n">
        <x:v>425</x:v>
      </x:c>
      <x:c r="B929" s="29" t="n">
        <x:v>331329</x:v>
      </x:c>
      <x:c r="C929" s="29" t="str">
        <x:v>A1</x:v>
      </x:c>
      <x:c r="D929" s="53" t="n">
        <x:v>2496.307944863641</x:v>
      </x:c>
      <x:c r="E929" s="47" t="n">
        <x:v>0.9985231779454563</x:v>
      </x:c>
      <x:c r="F929" s="47" t="n">
        <x:v>0.9852317794545622</x:v>
      </x:c>
      <x:c r="G929" s="47" t="n">
        <x:v>1</x:v>
      </x:c>
      <x:c r="H929" s="47" t="n">
        <x:v>1</x:v>
      </x:c>
      <x:c r="I929" s="47" t="n">
        <x:v>1</x:v>
      </x:c>
      <x:c r="J929" s="47" t="n">
        <x:v>1</x:v>
      </x:c>
      <x:c r="K929" s="47" t="n">
        <x:v>1</x:v>
      </x:c>
      <x:c r="L929" s="47" t="n">
        <x:v>0.9981763565593975</x:v>
      </x:c>
      <x:c r="M929" s="29" t="n">
        <x:v>1</x:v>
      </x:c>
    </x:row>
    <x:row r="930" ht="15" hidden="0" customHeight="1">
      <x:c r="A930" s="27" t="n">
        <x:v>426</x:v>
      </x:c>
      <x:c r="B930" s="27" t="n">
        <x:v>331330</x:v>
      </x:c>
      <x:c r="C930" s="27" t="str">
        <x:v>A1</x:v>
      </x:c>
      <x:c r="D930" s="52" t="n">
        <x:v>2434.3709844266987</x:v>
      </x:c>
      <x:c r="E930" s="46" t="n">
        <x:v>0.9737483937706795</x:v>
      </x:c>
      <x:c r="F930" s="46" t="n">
        <x:v>0.7543692596480419</x:v>
      </x:c>
      <x:c r="G930" s="46" t="n">
        <x:v>1</x:v>
      </x:c>
      <x:c r="H930" s="46" t="n">
        <x:v>1</x:v>
      </x:c>
      <x:c r="I930" s="46" t="n">
        <x:v>1</x:v>
      </x:c>
      <x:c r="J930" s="46" t="n">
        <x:v>1</x:v>
      </x:c>
      <x:c r="K930" s="46" t="n">
        <x:v>1</x:v>
      </x:c>
      <x:c r="L930" s="46" t="n">
        <x:v>0.9675833866659248</x:v>
      </x:c>
      <x:c r="M930" s="27" t="n">
        <x:v>0</x:v>
      </x:c>
    </x:row>
    <x:row r="931" ht="15" hidden="0" customHeight="1">
      <x:c r="A931" s="29" t="n">
        <x:v>427</x:v>
      </x:c>
      <x:c r="B931" s="29" t="n">
        <x:v>331331</x:v>
      </x:c>
      <x:c r="C931" s="29" t="str">
        <x:v>A1</x:v>
      </x:c>
      <x:c r="D931" s="53" t="n">
        <x:v>2434.406263201182</x:v>
      </x:c>
      <x:c r="E931" s="47" t="n">
        <x:v>0.9737625052804728</x:v>
      </x:c>
      <x:c r="F931" s="47" t="n">
        <x:v>0.7376250528047269</x:v>
      </x:c>
      <x:c r="G931" s="47" t="n">
        <x:v>1</x:v>
      </x:c>
      <x:c r="H931" s="47" t="n">
        <x:v>1</x:v>
      </x:c>
      <x:c r="I931" s="47" t="n">
        <x:v>1</x:v>
      </x:c>
      <x:c r="J931" s="47" t="n">
        <x:v>1</x:v>
      </x:c>
      <x:c r="K931" s="47" t="n">
        <x:v>1</x:v>
      </x:c>
      <x:c r="L931" s="47" t="n">
        <x:v>0.9676008121656268</x:v>
      </x:c>
      <x:c r="M931" s="29" t="n">
        <x:v>0</x:v>
      </x:c>
    </x:row>
    <x:row r="932" ht="15" hidden="0" customHeight="1">
      <x:c r="A932" s="27" t="n">
        <x:v>428</x:v>
      </x:c>
      <x:c r="B932" s="27" t="n">
        <x:v>331332</x:v>
      </x:c>
      <x:c r="C932" s="27" t="str">
        <x:v>A1</x:v>
      </x:c>
      <x:c r="D932" s="52" t="n">
        <x:v>2458.7337794169466</x:v>
      </x:c>
      <x:c r="E932" s="46" t="n">
        <x:v>0.9834935117667787</x:v>
      </x:c>
      <x:c r="F932" s="46" t="n">
        <x:v>0.8482613626144248</x:v>
      </x:c>
      <x:c r="G932" s="46" t="n">
        <x:v>1</x:v>
      </x:c>
      <x:c r="H932" s="46" t="n">
        <x:v>1</x:v>
      </x:c>
      <x:c r="I932" s="46" t="n">
        <x:v>1</x:v>
      </x:c>
      <x:c r="J932" s="46" t="n">
        <x:v>1</x:v>
      </x:c>
      <x:c r="K932" s="46" t="n">
        <x:v>1</x:v>
      </x:c>
      <x:c r="L932" s="46" t="n">
        <x:v>0.9796170778319019</x:v>
      </x:c>
      <x:c r="M932" s="27" t="n">
        <x:v>0</x:v>
      </x:c>
    </x:row>
    <x:row r="933" ht="15" hidden="0" customHeight="1">
      <x:c r="A933" s="29" t="n">
        <x:v>429</x:v>
      </x:c>
      <x:c r="B933" s="29" t="n">
        <x:v>331333</x:v>
      </x:c>
      <x:c r="C933" s="29" t="str">
        <x:v>A1</x:v>
      </x:c>
      <x:c r="D933" s="53" t="n">
        <x:v>2447.948814982545</x:v>
      </x:c>
      <x:c r="E933" s="47" t="n">
        <x:v>0.979179525993018</x:v>
      </x:c>
      <x:c r="F933" s="47" t="n">
        <x:v>0.8386697989285151</x:v>
      </x:c>
      <x:c r="G933" s="47" t="n">
        <x:v>1</x:v>
      </x:c>
      <x:c r="H933" s="47" t="n">
        <x:v>1</x:v>
      </x:c>
      <x:c r="I933" s="47" t="n">
        <x:v>1</x:v>
      </x:c>
      <x:c r="J933" s="47" t="n">
        <x:v>1</x:v>
      </x:c>
      <x:c r="K933" s="47" t="n">
        <x:v>1</x:v>
      </x:c>
      <x:c r="L933" s="47" t="n">
        <x:v>0.9742899825092353</x:v>
      </x:c>
      <x:c r="M933" s="29" t="n">
        <x:v>0</x:v>
      </x:c>
    </x:row>
    <x:row r="934" ht="15" hidden="0" customHeight="1">
      <x:c r="A934" s="27" t="n">
        <x:v>430</x:v>
      </x:c>
      <x:c r="B934" s="27" t="n">
        <x:v>331334</x:v>
      </x:c>
      <x:c r="C934" s="27" t="str">
        <x:v>A1</x:v>
      </x:c>
      <x:c r="D934" s="52" t="n">
        <x:v>2462.382566598307</x:v>
      </x:c>
      <x:c r="E934" s="46" t="n">
        <x:v>0.9849530266393229</x:v>
      </x:c>
      <x:c r="F934" s="46" t="n">
        <x:v>0.8495302663932287</x:v>
      </x:c>
      <x:c r="G934" s="46" t="n">
        <x:v>1</x:v>
      </x:c>
      <x:c r="H934" s="46" t="n">
        <x:v>1</x:v>
      </x:c>
      <x:c r="I934" s="46" t="n">
        <x:v>1</x:v>
      </x:c>
      <x:c r="J934" s="46" t="n">
        <x:v>1</x:v>
      </x:c>
      <x:c r="K934" s="46" t="n">
        <x:v>1</x:v>
      </x:c>
      <x:c r="L934" s="46" t="n">
        <x:v>0.981419349619209</x:v>
      </x:c>
      <x:c r="M934" s="27" t="n">
        <x:v>0</x:v>
      </x:c>
    </x:row>
    <x:row r="935" ht="15" hidden="0" customHeight="1">
      <x:c r="A935" s="29" t="n">
        <x:v>431</x:v>
      </x:c>
      <x:c r="B935" s="29" t="n">
        <x:v>331335</x:v>
      </x:c>
      <x:c r="C935" s="29" t="str">
        <x:v>A1</x:v>
      </x:c>
      <x:c r="D935" s="53" t="n">
        <x:v>2467.7802875410252</x:v>
      </x:c>
      <x:c r="E935" s="47" t="n">
        <x:v>0.98711211501641</x:v>
      </x:c>
      <x:c r="F935" s="47" t="n">
        <x:v>0.8711211501640999</x:v>
      </x:c>
      <x:c r="G935" s="47" t="n">
        <x:v>1</x:v>
      </x:c>
      <x:c r="H935" s="47" t="n">
        <x:v>1</x:v>
      </x:c>
      <x:c r="I935" s="47" t="n">
        <x:v>1</x:v>
      </x:c>
      <x:c r="J935" s="47" t="n">
        <x:v>1</x:v>
      </x:c>
      <x:c r="K935" s="47" t="n">
        <x:v>1</x:v>
      </x:c>
      <x:c r="L935" s="47" t="n">
        <x:v>0.984085484882047</x:v>
      </x:c>
      <x:c r="M935" s="29" t="n">
        <x:v>0</x:v>
      </x:c>
    </x:row>
    <x:row r="936" ht="15" hidden="0" customHeight="1">
      <x:c r="A936" s="27" t="n">
        <x:v>432</x:v>
      </x:c>
      <x:c r="B936" s="27" t="n">
        <x:v>331336</x:v>
      </x:c>
      <x:c r="C936" s="27" t="str">
        <x:v>A1</x:v>
      </x:c>
      <x:c r="D936" s="52" t="n">
        <x:v>2431.93097244003</x:v>
      </x:c>
      <x:c r="E936" s="46" t="n">
        <x:v>0.972772388976012</x:v>
      </x:c>
      <x:c r="F936" s="46" t="n">
        <x:v>0.7277238897601189</x:v>
      </x:c>
      <x:c r="G936" s="46" t="n">
        <x:v>1</x:v>
      </x:c>
      <x:c r="H936" s="46" t="n">
        <x:v>1</x:v>
      </x:c>
      <x:c r="I936" s="46" t="n">
        <x:v>1</x:v>
      </x:c>
      <x:c r="J936" s="46" t="n">
        <x:v>1</x:v>
      </x:c>
      <x:c r="K936" s="46" t="n">
        <x:v>1</x:v>
      </x:c>
      <x:c r="L936" s="46" t="n">
        <x:v>0.966378173934766</x:v>
      </x:c>
      <x:c r="M936" s="27" t="n">
        <x:v>0</x:v>
      </x:c>
    </x:row>
    <x:row r="937" ht="15" hidden="0" customHeight="1">
      <x:c r="A937" s="29" t="n">
        <x:v>433</x:v>
      </x:c>
      <x:c r="B937" s="29" t="n">
        <x:v>331337</x:v>
      </x:c>
      <x:c r="C937" s="29" t="str">
        <x:v>A1</x:v>
      </x:c>
      <x:c r="D937" s="53" t="n">
        <x:v>2412.223676857268</x:v>
      </x:c>
      <x:c r="E937" s="47" t="n">
        <x:v>0.9648894707429072</x:v>
      </x:c>
      <x:c r="F937" s="47" t="n">
        <x:v>0.7801231835321711</x:v>
      </x:c>
      <x:c r="G937" s="47" t="n">
        <x:v>1</x:v>
      </x:c>
      <x:c r="H937" s="47" t="n">
        <x:v>1</x:v>
      </x:c>
      <x:c r="I937" s="47" t="n">
        <x:v>1</x:v>
      </x:c>
      <x:c r="J937" s="47" t="n">
        <x:v>1</x:v>
      </x:c>
      <x:c r="K937" s="47" t="n">
        <x:v>1</x:v>
      </x:c>
      <x:c r="L937" s="47" t="n">
        <x:v>0.9566440071918079</x:v>
      </x:c>
      <x:c r="M937" s="29" t="n">
        <x:v>0</x:v>
      </x:c>
    </x:row>
    <x:row r="938" ht="15" hidden="0" customHeight="1">
      <x:c r="A938" s="27" t="n">
        <x:v>434</x:v>
      </x:c>
      <x:c r="B938" s="27" t="n">
        <x:v>331338</x:v>
      </x:c>
      <x:c r="C938" s="27" t="str">
        <x:v>A1</x:v>
      </x:c>
      <x:c r="D938" s="52" t="n">
        <x:v>2438.268689223996</x:v>
      </x:c>
      <x:c r="E938" s="46" t="n">
        <x:v>0.9753074756895983</x:v>
      </x:c>
      <x:c r="F938" s="46" t="n">
        <x:v>0.776502997959286</x:v>
      </x:c>
      <x:c r="G938" s="46" t="n">
        <x:v>1</x:v>
      </x:c>
      <x:c r="H938" s="46" t="n">
        <x:v>1</x:v>
      </x:c>
      <x:c r="I938" s="46" t="n">
        <x:v>1</x:v>
      </x:c>
      <x:c r="J938" s="46" t="n">
        <x:v>1</x:v>
      </x:c>
      <x:c r="K938" s="46" t="n">
        <x:v>1</x:v>
      </x:c>
      <x:c r="L938" s="46" t="n">
        <x:v>0.9695086081278135</x:v>
      </x:c>
      <x:c r="M938" s="27" t="n">
        <x:v>0</x:v>
      </x:c>
    </x:row>
    <x:row r="939" ht="15" hidden="0" customHeight="1">
      <x:c r="A939" s="29" t="n">
        <x:v>435</x:v>
      </x:c>
      <x:c r="B939" s="29" t="n">
        <x:v>331339</x:v>
      </x:c>
      <x:c r="C939" s="29" t="str">
        <x:v>A1</x:v>
      </x:c>
      <x:c r="D939" s="53" t="n">
        <x:v>2477.556428103858</x:v>
      </x:c>
      <x:c r="E939" s="47" t="n">
        <x:v>0.9910225712415431</x:v>
      </x:c>
      <x:c r="F939" s="47" t="n">
        <x:v>0.9173510321411354</x:v>
      </x:c>
      <x:c r="G939" s="47" t="n">
        <x:v>1</x:v>
      </x:c>
      <x:c r="H939" s="47" t="n">
        <x:v>1</x:v>
      </x:c>
      <x:c r="I939" s="47" t="n">
        <x:v>1</x:v>
      </x:c>
      <x:c r="J939" s="47" t="n">
        <x:v>1</x:v>
      </x:c>
      <x:c r="K939" s="47" t="n">
        <x:v>1</x:v>
      </x:c>
      <x:c r="L939" s="47" t="n">
        <x:v>0.9889142845487271</x:v>
      </x:c>
      <x:c r="M939" s="29" t="n">
        <x:v>0</x:v>
      </x:c>
    </x:row>
    <x:row r="940" ht="15" hidden="0" customHeight="1">
      <x:c r="A940" s="27" t="n">
        <x:v>436</x:v>
      </x:c>
      <x:c r="B940" s="27" t="n">
        <x:v>331340</x:v>
      </x:c>
      <x:c r="C940" s="27" t="str">
        <x:v>A1</x:v>
      </x:c>
      <x:c r="D940" s="52" t="n">
        <x:v>2455.7515170213096</x:v>
      </x:c>
      <x:c r="E940" s="46" t="n">
        <x:v>0.9823006068085238</x:v>
      </x:c>
      <x:c r="F940" s="46" t="n">
        <x:v>0.8496083767538978</x:v>
      </x:c>
      <x:c r="G940" s="46" t="n">
        <x:v>1</x:v>
      </x:c>
      <x:c r="H940" s="46" t="n">
        <x:v>1</x:v>
      </x:c>
      <x:c r="I940" s="46" t="n">
        <x:v>1</x:v>
      </x:c>
      <x:c r="J940" s="46" t="n">
        <x:v>1</x:v>
      </x:c>
      <x:c r="K940" s="46" t="n">
        <x:v>1</x:v>
      </x:c>
      <x:c r="L940" s="46" t="n">
        <x:v>0.9781440274425944</x:v>
      </x:c>
      <x:c r="M940" s="27" t="n">
        <x:v>0</x:v>
      </x:c>
    </x:row>
    <x:row r="941" ht="15" hidden="0" customHeight="1">
      <x:c r="A941" s="29" t="n">
        <x:v>437</x:v>
      </x:c>
      <x:c r="B941" s="29" t="n">
        <x:v>331341</x:v>
      </x:c>
      <x:c r="C941" s="29" t="str">
        <x:v>A1</x:v>
      </x:c>
      <x:c r="D941" s="53" t="n">
        <x:v>2423.3055990324424</x:v>
      </x:c>
      <x:c r="E941" s="47" t="n">
        <x:v>0.9693222396129769</x:v>
      </x:c>
      <x:c r="F941" s="47" t="n">
        <x:v>0.7433220831540025</x:v>
      </x:c>
      <x:c r="G941" s="47" t="n">
        <x:v>1</x:v>
      </x:c>
      <x:c r="H941" s="47" t="n">
        <x:v>1</x:v>
      </x:c>
      <x:c r="I941" s="47" t="n">
        <x:v>1</x:v>
      </x:c>
      <x:c r="J941" s="47" t="n">
        <x:v>1</x:v>
      </x:c>
      <x:c r="K941" s="47" t="n">
        <x:v>1</x:v>
      </x:c>
      <x:c r="L941" s="47" t="n">
        <x:v>0.9621177809946422</x:v>
      </x:c>
      <x:c r="M941" s="29" t="n">
        <x:v>0</x:v>
      </x:c>
    </x:row>
    <x:row r="942" ht="15" hidden="0" customHeight="1">
      <x:c r="A942" s="27" t="n">
        <x:v>438</x:v>
      </x:c>
      <x:c r="B942" s="27" t="n">
        <x:v>331342</x:v>
      </x:c>
      <x:c r="C942" s="27" t="str">
        <x:v>A1</x:v>
      </x:c>
      <x:c r="D942" s="52" t="n">
        <x:v>2437.0310375737886</x:v>
      </x:c>
      <x:c r="E942" s="46" t="n">
        <x:v>0.9748124150295154</x:v>
      </x:c>
      <x:c r="F942" s="46" t="n">
        <x:v>0.8031114548695245</x:v>
      </x:c>
      <x:c r="G942" s="46" t="n">
        <x:v>1</x:v>
      </x:c>
      <x:c r="H942" s="46" t="n">
        <x:v>1</x:v>
      </x:c>
      <x:c r="I942" s="46" t="n">
        <x:v>1</x:v>
      </x:c>
      <x:c r="J942" s="46" t="n">
        <x:v>1</x:v>
      </x:c>
      <x:c r="K942" s="46" t="n">
        <x:v>1</x:v>
      </x:c>
      <x:c r="L942" s="46" t="n">
        <x:v>0.9688972859155788</x:v>
      </x:c>
      <x:c r="M942" s="27" t="n">
        <x:v>0</x:v>
      </x:c>
    </x:row>
    <x:row r="943" ht="15" hidden="0" customHeight="1">
      <x:c r="A943" s="29" t="n">
        <x:v>439</x:v>
      </x:c>
      <x:c r="B943" s="29" t="n">
        <x:v>331343</x:v>
      </x:c>
      <x:c r="C943" s="29" t="str">
        <x:v>A1</x:v>
      </x:c>
      <x:c r="D943" s="53" t="n">
        <x:v>2452.1786213038395</x:v>
      </x:c>
      <x:c r="E943" s="47" t="n">
        <x:v>0.9808714485215357</x:v>
      </x:c>
      <x:c r="F943" s="47" t="n">
        <x:v>0.8557213381740453</x:v>
      </x:c>
      <x:c r="G943" s="47" t="n">
        <x:v>1</x:v>
      </x:c>
      <x:c r="H943" s="47" t="n">
        <x:v>1</x:v>
      </x:c>
      <x:c r="I943" s="47" t="n">
        <x:v>1</x:v>
      </x:c>
      <x:c r="J943" s="47" t="n">
        <x:v>1</x:v>
      </x:c>
      <x:c r="K943" s="47" t="n">
        <x:v>1</x:v>
      </x:c>
      <x:c r="L943" s="47" t="n">
        <x:v>0.9763792412737871</x:v>
      </x:c>
      <x:c r="M943" s="29" t="n">
        <x:v>0</x:v>
      </x:c>
    </x:row>
    <x:row r="944" ht="15" hidden="0" customHeight="1">
      <x:c r="A944" s="27" t="n">
        <x:v>440</x:v>
      </x:c>
      <x:c r="B944" s="27" t="n">
        <x:v>331344</x:v>
      </x:c>
      <x:c r="C944" s="27" t="str">
        <x:v>A1</x:v>
      </x:c>
      <x:c r="D944" s="52" t="n">
        <x:v>2390.777422262106</x:v>
      </x:c>
      <x:c r="E944" s="46" t="n">
        <x:v>0.9563109689048425</x:v>
      </x:c>
      <x:c r="F944" s="46" t="n">
        <x:v>0.7027488043840839</x:v>
      </x:c>
      <x:c r="G944" s="46" t="n">
        <x:v>1</x:v>
      </x:c>
      <x:c r="H944" s="46" t="n">
        <x:v>1</x:v>
      </x:c>
      <x:c r="I944" s="46" t="n">
        <x:v>1</x:v>
      </x:c>
      <x:c r="J944" s="46" t="n">
        <x:v>1</x:v>
      </x:c>
      <x:c r="K944" s="46" t="n">
        <x:v>1</x:v>
      </x:c>
      <x:c r="L944" s="46" t="n">
        <x:v>0.9460509038730628</x:v>
      </x:c>
      <x:c r="M944" s="27" t="n">
        <x:v>0</x:v>
      </x:c>
    </x:row>
    <x:row r="945" ht="15" hidden="0" customHeight="1">
      <x:c r="A945" s="29" t="n">
        <x:v>441</x:v>
      </x:c>
      <x:c r="B945" s="29" t="n">
        <x:v>331345</x:v>
      </x:c>
      <x:c r="C945" s="29" t="str">
        <x:v>A1</x:v>
      </x:c>
      <x:c r="D945" s="53" t="n">
        <x:v>2437.3104170128036</x:v>
      </x:c>
      <x:c r="E945" s="47" t="n">
        <x:v>0.9749241668051214</x:v>
      </x:c>
      <x:c r="F945" s="47" t="n">
        <x:v>0.8112467782404382</x:v>
      </x:c>
      <x:c r="G945" s="47" t="n">
        <x:v>1</x:v>
      </x:c>
      <x:c r="H945" s="47" t="n">
        <x:v>1</x:v>
      </x:c>
      <x:c r="I945" s="47" t="n">
        <x:v>1</x:v>
      </x:c>
      <x:c r="J945" s="47" t="n">
        <x:v>1</x:v>
      </x:c>
      <x:c r="K945" s="47" t="n">
        <x:v>1</x:v>
      </x:c>
      <x:c r="L945" s="47" t="n">
        <x:v>0.9690352818182895</x:v>
      </x:c>
      <x:c r="M945" s="29" t="n">
        <x:v>0</x:v>
      </x:c>
    </x:row>
    <x:row r="946" ht="15" hidden="0" customHeight="1">
      <x:c r="A946" s="27" t="n">
        <x:v>442</x:v>
      </x:c>
      <x:c r="B946" s="27" t="n">
        <x:v>331346</x:v>
      </x:c>
      <x:c r="C946" s="27" t="str">
        <x:v>A1</x:v>
      </x:c>
      <x:c r="D946" s="52" t="n">
        <x:v>2499.3129978878846</x:v>
      </x:c>
      <x:c r="E946" s="46" t="n">
        <x:v>0.9997251991551539</x:v>
      </x:c>
      <x:c r="F946" s="46" t="n">
        <x:v>0.9972519915515381</x:v>
      </x:c>
      <x:c r="G946" s="46" t="n">
        <x:v>1</x:v>
      </x:c>
      <x:c r="H946" s="46" t="n">
        <x:v>1</x:v>
      </x:c>
      <x:c r="I946" s="46" t="n">
        <x:v>1</x:v>
      </x:c>
      <x:c r="J946" s="46" t="n">
        <x:v>1</x:v>
      </x:c>
      <x:c r="K946" s="46" t="n">
        <x:v>1</x:v>
      </x:c>
      <x:c r="L946" s="46" t="n">
        <x:v>0.9996606640883822</x:v>
      </x:c>
      <x:c r="M946" s="27" t="n">
        <x:v>1</x:v>
      </x:c>
    </x:row>
    <x:row r="947" ht="15" hidden="0" customHeight="1">
      <x:c r="A947" s="29" t="n">
        <x:v>443</x:v>
      </x:c>
      <x:c r="B947" s="29" t="n">
        <x:v>331347</x:v>
      </x:c>
      <x:c r="C947" s="29" t="str">
        <x:v>A1</x:v>
      </x:c>
      <x:c r="D947" s="53" t="n">
        <x:v>2444.314859643434</x:v>
      </x:c>
      <x:c r="E947" s="47" t="n">
        <x:v>0.9777259438573735</x:v>
      </x:c>
      <x:c r="F947" s="47" t="n">
        <x:v>0.7901798748368548</x:v>
      </x:c>
      <x:c r="G947" s="47" t="n">
        <x:v>1</x:v>
      </x:c>
      <x:c r="H947" s="47" t="n">
        <x:v>1</x:v>
      </x:c>
      <x:c r="I947" s="47" t="n">
        <x:v>1</x:v>
      </x:c>
      <x:c r="J947" s="47" t="n">
        <x:v>1</x:v>
      </x:c>
      <x:c r="K947" s="47" t="n">
        <x:v>1</x:v>
      </x:c>
      <x:c r="L947" s="47" t="n">
        <x:v>0.972495036720818</x:v>
      </x:c>
      <x:c r="M947" s="29" t="n">
        <x:v>0</x:v>
      </x:c>
    </x:row>
    <x:row r="948" ht="15" hidden="0" customHeight="1">
      <x:c r="A948" s="27" t="n">
        <x:v>444</x:v>
      </x:c>
      <x:c r="B948" s="27" t="n">
        <x:v>331348</x:v>
      </x:c>
      <x:c r="C948" s="27" t="str">
        <x:v>A1</x:v>
      </x:c>
      <x:c r="D948" s="52" t="n">
        <x:v>2429.1658051570357</x:v>
      </x:c>
      <x:c r="E948" s="46" t="n">
        <x:v>0.9716663220628143</x:v>
      </x:c>
      <x:c r="F948" s="46" t="n">
        <x:v>0.7877272583527455</x:v>
      </x:c>
      <x:c r="G948" s="46" t="n">
        <x:v>1</x:v>
      </x:c>
      <x:c r="H948" s="46" t="n">
        <x:v>1</x:v>
      </x:c>
      <x:c r="I948" s="46" t="n">
        <x:v>1</x:v>
      </x:c>
      <x:c r="J948" s="46" t="n">
        <x:v>1</x:v>
      </x:c>
      <x:c r="K948" s="46" t="n">
        <x:v>1</x:v>
      </x:c>
      <x:c r="L948" s="46" t="n">
        <x:v>0.9650123549013123</x:v>
      </x:c>
      <x:c r="M948" s="27" t="n">
        <x:v>0</x:v>
      </x:c>
    </x:row>
    <x:row r="949" ht="15" hidden="0" customHeight="1">
      <x:c r="A949" s="29" t="n">
        <x:v>445</x:v>
      </x:c>
      <x:c r="B949" s="29" t="n">
        <x:v>331349</x:v>
      </x:c>
      <x:c r="C949" s="29" t="str">
        <x:v>A1</x:v>
      </x:c>
      <x:c r="D949" s="53" t="n">
        <x:v>2472.0014145334762</x:v>
      </x:c>
      <x:c r="E949" s="47" t="n">
        <x:v>0.9888005658133905</x:v>
      </x:c>
      <x:c r="F949" s="47" t="n">
        <x:v>0.894060061905557</x:v>
      </x:c>
      <x:c r="G949" s="47" t="n">
        <x:v>1</x:v>
      </x:c>
      <x:c r="H949" s="47" t="n">
        <x:v>1</x:v>
      </x:c>
      <x:c r="I949" s="47" t="n">
        <x:v>1</x:v>
      </x:c>
      <x:c r="J949" s="47" t="n">
        <x:v>1</x:v>
      </x:c>
      <x:c r="K949" s="47" t="n">
        <x:v>1</x:v>
      </x:c>
      <x:c r="L949" s="47" t="n">
        <x:v>0.9861704566030609</x:v>
      </x:c>
      <x:c r="M949" s="29" t="n">
        <x:v>0</x:v>
      </x:c>
    </x:row>
    <x:row r="950" ht="15" hidden="0" customHeight="1">
      <x:c r="A950" s="27" t="n">
        <x:v>446</x:v>
      </x:c>
      <x:c r="B950" s="27" t="n">
        <x:v>331350</x:v>
      </x:c>
      <x:c r="C950" s="27" t="str">
        <x:v>A1</x:v>
      </x:c>
      <x:c r="D950" s="52" t="n">
        <x:v>2488.4593416058783</x:v>
      </x:c>
      <x:c r="E950" s="46" t="n">
        <x:v>0.9953837366423514</x:v>
      </x:c>
      <x:c r="F950" s="46" t="n">
        <x:v>0.9707564985064023</x:v>
      </x:c>
      <x:c r="G950" s="46" t="n">
        <x:v>1</x:v>
      </x:c>
      <x:c r="H950" s="46" t="n">
        <x:v>1</x:v>
      </x:c>
      <x:c r="I950" s="46" t="n">
        <x:v>1</x:v>
      </x:c>
      <x:c r="J950" s="46" t="n">
        <x:v>1</x:v>
      </x:c>
      <x:c r="K950" s="46" t="n">
        <x:v>1</x:v>
      </x:c>
      <x:c r="L950" s="46" t="n">
        <x:v>0.9942996393056505</x:v>
      </x:c>
      <x:c r="M950" s="27" t="n">
        <x:v>1</x:v>
      </x:c>
    </x:row>
    <x:row r="951" ht="15" hidden="0" customHeight="1">
      <x:c r="A951" s="29" t="n">
        <x:v>447</x:v>
      </x:c>
      <x:c r="B951" s="29" t="n">
        <x:v>331351</x:v>
      </x:c>
      <x:c r="C951" s="29" t="str">
        <x:v>A1</x:v>
      </x:c>
      <x:c r="D951" s="53" t="n">
        <x:v>2467.201474101306</x:v>
      </x:c>
      <x:c r="E951" s="47" t="n">
        <x:v>0.9868805896405224</x:v>
      </x:c>
      <x:c r="F951" s="47" t="n">
        <x:v>0.8688058964052237</x:v>
      </x:c>
      <x:c r="G951" s="47" t="n">
        <x:v>1</x:v>
      </x:c>
      <x:c r="H951" s="47" t="n">
        <x:v>1</x:v>
      </x:c>
      <x:c r="I951" s="47" t="n">
        <x:v>1</x:v>
      </x:c>
      <x:c r="J951" s="47" t="n">
        <x:v>1</x:v>
      </x:c>
      <x:c r="K951" s="47" t="n">
        <x:v>1</x:v>
      </x:c>
      <x:c r="L951" s="47" t="n">
        <x:v>0.9837995873822287</x:v>
      </x:c>
      <x:c r="M951" s="29" t="n">
        <x:v>0</x:v>
      </x:c>
    </x:row>
    <x:row r="952" ht="15" hidden="0" customHeight="1">
      <x:c r="A952" s="27" t="n">
        <x:v>448</x:v>
      </x:c>
      <x:c r="B952" s="27" t="n">
        <x:v>331352</x:v>
      </x:c>
      <x:c r="C952" s="27" t="str">
        <x:v>A1</x:v>
      </x:c>
      <x:c r="D952" s="52" t="n">
        <x:v>2446.581907523364</x:v>
      </x:c>
      <x:c r="E952" s="46" t="n">
        <x:v>0.9786327630093455</x:v>
      </x:c>
      <x:c r="F952" s="46" t="n">
        <x:v>0.7971245190974161</x:v>
      </x:c>
      <x:c r="G952" s="46" t="n">
        <x:v>1</x:v>
      </x:c>
      <x:c r="H952" s="46" t="n">
        <x:v>1</x:v>
      </x:c>
      <x:c r="I952" s="46" t="n">
        <x:v>1</x:v>
      </x:c>
      <x:c r="J952" s="46" t="n">
        <x:v>1</x:v>
      </x:c>
      <x:c r="K952" s="46" t="n">
        <x:v>1</x:v>
      </x:c>
      <x:c r="L952" s="46" t="n">
        <x:v>0.9736148160423811</x:v>
      </x:c>
      <x:c r="M952" s="27" t="n">
        <x:v>0</x:v>
      </x:c>
    </x:row>
    <x:row r="953" ht="15" hidden="0" customHeight="1">
      <x:c r="A953" s="29" t="n">
        <x:v>449</x:v>
      </x:c>
      <x:c r="B953" s="29" t="n">
        <x:v>331353</x:v>
      </x:c>
      <x:c r="C953" s="29" t="str">
        <x:v>A1</x:v>
      </x:c>
      <x:c r="D953" s="53" t="n">
        <x:v>2450.432934854259</x:v>
      </x:c>
      <x:c r="E953" s="47" t="n">
        <x:v>0.9801731739417037</x:v>
      </x:c>
      <x:c r="F953" s="47" t="n">
        <x:v>0.8070156870976303</x:v>
      </x:c>
      <x:c r="G953" s="47" t="n">
        <x:v>1</x:v>
      </x:c>
      <x:c r="H953" s="47" t="n">
        <x:v>1</x:v>
      </x:c>
      <x:c r="I953" s="47" t="n">
        <x:v>1</x:v>
      </x:c>
      <x:c r="J953" s="47" t="n">
        <x:v>1</x:v>
      </x:c>
      <x:c r="K953" s="47" t="n">
        <x:v>1</x:v>
      </x:c>
      <x:c r="L953" s="47" t="n">
        <x:v>0.9755169817663992</x:v>
      </x:c>
      <x:c r="M953" s="29" t="n">
        <x:v>0</x:v>
      </x:c>
    </x:row>
    <x:row r="954" ht="15" hidden="0" customHeight="1">
      <x:c r="A954" s="27" t="n">
        <x:v>450</x:v>
      </x:c>
      <x:c r="B954" s="27" t="n">
        <x:v>331354</x:v>
      </x:c>
      <x:c r="C954" s="27" t="str">
        <x:v>A1</x:v>
      </x:c>
      <x:c r="D954" s="52" t="n">
        <x:v>2465.4952874160035</x:v>
      </x:c>
      <x:c r="E954" s="46" t="n">
        <x:v>0.9861981149664014</x:v>
      </x:c>
      <x:c r="F954" s="46" t="n">
        <x:v>0.8619811496640132</x:v>
      </x:c>
      <x:c r="G954" s="46" t="n">
        <x:v>1</x:v>
      </x:c>
      <x:c r="H954" s="46" t="n">
        <x:v>1</x:v>
      </x:c>
      <x:c r="I954" s="46" t="n">
        <x:v>1</x:v>
      </x:c>
      <x:c r="J954" s="46" t="n">
        <x:v>1</x:v>
      </x:c>
      <x:c r="K954" s="46" t="n">
        <x:v>1</x:v>
      </x:c>
      <x:c r="L954" s="46" t="n">
        <x:v>0.9829568382784968</x:v>
      </x:c>
      <x:c r="M954" s="27" t="n">
        <x:v>0</x:v>
      </x:c>
    </x:row>
    <x:row r="955" ht="15" hidden="0" customHeight="1">
      <x:c r="A955" s="29" t="n">
        <x:v>451</x:v>
      </x:c>
      <x:c r="B955" s="29" t="n">
        <x:v>331355</x:v>
      </x:c>
      <x:c r="C955" s="29" t="str">
        <x:v>A1</x:v>
      </x:c>
      <x:c r="D955" s="53" t="n">
        <x:v>2494.4969945374664</x:v>
      </x:c>
      <x:c r="E955" s="47" t="n">
        <x:v>0.9977987978149866</x:v>
      </x:c>
      <x:c r="F955" s="47" t="n">
        <x:v>0.9779879781498644</x:v>
      </x:c>
      <x:c r="G955" s="47" t="n">
        <x:v>1</x:v>
      </x:c>
      <x:c r="H955" s="47" t="n">
        <x:v>1</x:v>
      </x:c>
      <x:c r="I955" s="47" t="n">
        <x:v>1</x:v>
      </x:c>
      <x:c r="J955" s="47" t="n">
        <x:v>1</x:v>
      </x:c>
      <x:c r="K955" s="47" t="n">
        <x:v>1</x:v>
      </x:c>
      <x:c r="L955" s="47" t="n">
        <x:v>0.997281860794407</x:v>
      </x:c>
      <x:c r="M955" s="29" t="n">
        <x:v>1</x:v>
      </x:c>
    </x:row>
    <x:row r="956" ht="15" hidden="0" customHeight="1">
      <x:c r="A956" s="27" t="n">
        <x:v>452</x:v>
      </x:c>
      <x:c r="B956" s="27" t="n">
        <x:v>331356</x:v>
      </x:c>
      <x:c r="C956" s="27" t="str">
        <x:v>A1</x:v>
      </x:c>
      <x:c r="D956" s="52" t="n">
        <x:v>2464.293314519662</x:v>
      </x:c>
      <x:c r="E956" s="46" t="n">
        <x:v>0.9857173258078649</x:v>
      </x:c>
      <x:c r="F956" s="46" t="n">
        <x:v>0.8571732580786473</x:v>
      </x:c>
      <x:c r="G956" s="46" t="n">
        <x:v>1</x:v>
      </x:c>
      <x:c r="H956" s="46" t="n">
        <x:v>1</x:v>
      </x:c>
      <x:c r="I956" s="46" t="n">
        <x:v>1</x:v>
      </x:c>
      <x:c r="J956" s="46" t="n">
        <x:v>1</x:v>
      </x:c>
      <x:c r="K956" s="46" t="n">
        <x:v>1</x:v>
      </x:c>
      <x:c r="L956" s="46" t="n">
        <x:v>0.9823631391306678</x:v>
      </x:c>
      <x:c r="M956" s="27" t="n">
        <x:v>0</x:v>
      </x:c>
    </x:row>
    <x:row r="957" ht="15" hidden="0" customHeight="1">
      <x:c r="A957" s="29" t="n">
        <x:v>453</x:v>
      </x:c>
      <x:c r="B957" s="29" t="n">
        <x:v>331357</x:v>
      </x:c>
      <x:c r="C957" s="29" t="str">
        <x:v>A1</x:v>
      </x:c>
      <x:c r="D957" s="53" t="n">
        <x:v>2463.13170494076</x:v>
      </x:c>
      <x:c r="E957" s="47" t="n">
        <x:v>0.9852526819763039</x:v>
      </x:c>
      <x:c r="F957" s="47" t="n">
        <x:v>0.8525268197630385</x:v>
      </x:c>
      <x:c r="G957" s="47" t="n">
        <x:v>1</x:v>
      </x:c>
      <x:c r="H957" s="47" t="n">
        <x:v>1</x:v>
      </x:c>
      <x:c r="I957" s="47" t="n">
        <x:v>1</x:v>
      </x:c>
      <x:c r="J957" s="47" t="n">
        <x:v>1</x:v>
      </x:c>
      <x:c r="K957" s="47" t="n">
        <x:v>1</x:v>
      </x:c>
      <x:c r="L957" s="47" t="n">
        <x:v>0.9817893769275401</x:v>
      </x:c>
      <x:c r="M957" s="29" t="n">
        <x:v>0</x:v>
      </x:c>
    </x:row>
    <x:row r="958" ht="15" hidden="0" customHeight="1">
      <x:c r="A958" s="27" t="n">
        <x:v>454</x:v>
      </x:c>
      <x:c r="B958" s="27" t="n">
        <x:v>331358</x:v>
      </x:c>
      <x:c r="C958" s="27" t="str">
        <x:v>A1</x:v>
      </x:c>
      <x:c r="D958" s="52" t="n">
        <x:v>2469.6578615824783</x:v>
      </x:c>
      <x:c r="E958" s="46" t="n">
        <x:v>0.9878631446329913</x:v>
      </x:c>
      <x:c r="F958" s="46" t="n">
        <x:v>0.8786314463299123</x:v>
      </x:c>
      <x:c r="G958" s="46" t="n">
        <x:v>1</x:v>
      </x:c>
      <x:c r="H958" s="46" t="n">
        <x:v>1</x:v>
      </x:c>
      <x:c r="I958" s="46" t="n">
        <x:v>1</x:v>
      </x:c>
      <x:c r="J958" s="46" t="n">
        <x:v>1</x:v>
      </x:c>
      <x:c r="K958" s="46" t="n">
        <x:v>1</x:v>
      </x:c>
      <x:c r="L958" s="46" t="n">
        <x:v>0.9850128885795761</x:v>
      </x:c>
      <x:c r="M958" s="27" t="n">
        <x:v>0</x:v>
      </x:c>
    </x:row>
    <x:row r="959" ht="15" hidden="0" customHeight="1">
      <x:c r="A959" s="29" t="n">
        <x:v>455</x:v>
      </x:c>
      <x:c r="B959" s="29" t="n">
        <x:v>331359</x:v>
      </x:c>
      <x:c r="C959" s="29" t="str">
        <x:v>A1</x:v>
      </x:c>
      <x:c r="D959" s="53" t="n">
        <x:v>2498.9182918634137</x:v>
      </x:c>
      <x:c r="E959" s="47" t="n">
        <x:v>0.9995673167453655</x:v>
      </x:c>
      <x:c r="F959" s="47" t="n">
        <x:v>0.9956731674536552</x:v>
      </x:c>
      <x:c r="G959" s="47" t="n">
        <x:v>1</x:v>
      </x:c>
      <x:c r="H959" s="47" t="n">
        <x:v>1</x:v>
      </x:c>
      <x:c r="I959" s="47" t="n">
        <x:v>1</x:v>
      </x:c>
      <x:c r="J959" s="47" t="n">
        <x:v>1</x:v>
      </x:c>
      <x:c r="K959" s="47" t="n">
        <x:v>1</x:v>
      </x:c>
      <x:c r="L959" s="47" t="n">
        <x:v>0.9994657040929575</x:v>
      </x:c>
      <x:c r="M959" s="29" t="n">
        <x:v>1</x:v>
      </x:c>
    </x:row>
    <x:row r="960" ht="15" hidden="0" customHeight="1">
      <x:c r="A960" s="27" t="n">
        <x:v>456</x:v>
      </x:c>
      <x:c r="B960" s="27" t="n">
        <x:v>331360</x:v>
      </x:c>
      <x:c r="C960" s="27" t="str">
        <x:v>A1</x:v>
      </x:c>
      <x:c r="D960" s="52" t="n">
        <x:v>2412.8837153182085</x:v>
      </x:c>
      <x:c r="E960" s="46" t="n">
        <x:v>0.9651534861272834</x:v>
      </x:c>
      <x:c r="F960" s="46" t="n">
        <x:v>0.7929172283621925</x:v>
      </x:c>
      <x:c r="G960" s="46" t="n">
        <x:v>1</x:v>
      </x:c>
      <x:c r="H960" s="46" t="n">
        <x:v>1</x:v>
      </x:c>
      <x:c r="I960" s="46" t="n">
        <x:v>1</x:v>
      </x:c>
      <x:c r="J960" s="46" t="n">
        <x:v>1</x:v>
      </x:c>
      <x:c r="K960" s="46" t="n">
        <x:v>1</x:v>
      </x:c>
      <x:c r="L960" s="46" t="n">
        <x:v>0.9569700247525929</x:v>
      </x:c>
      <x:c r="M960" s="27" t="n">
        <x:v>0</x:v>
      </x:c>
    </x:row>
    <x:row r="961" ht="15" hidden="0" customHeight="1">
      <x:c r="A961" s="29" t="n">
        <x:v>457</x:v>
      </x:c>
      <x:c r="B961" s="29" t="n">
        <x:v>331361</x:v>
      </x:c>
      <x:c r="C961" s="29" t="str">
        <x:v>A1</x:v>
      </x:c>
      <x:c r="D961" s="53" t="n">
        <x:v>2431.1389145640787</x:v>
      </x:c>
      <x:c r="E961" s="47" t="n">
        <x:v>0.9724555658256315</x:v>
      </x:c>
      <x:c r="F961" s="47" t="n">
        <x:v>0.7520576878713086</x:v>
      </x:c>
      <x:c r="G961" s="47" t="n">
        <x:v>1</x:v>
      </x:c>
      <x:c r="H961" s="47" t="n">
        <x:v>1</x:v>
      </x:c>
      <x:c r="I961" s="47" t="n">
        <x:v>1</x:v>
      </x:c>
      <x:c r="J961" s="47" t="n">
        <x:v>1</x:v>
      </x:c>
      <x:c r="K961" s="47" t="n">
        <x:v>1</x:v>
      </x:c>
      <x:c r="L961" s="47" t="n">
        <x:v>0.9659869470714859</x:v>
      </x:c>
      <x:c r="M961" s="29" t="n">
        <x:v>0</x:v>
      </x:c>
    </x:row>
    <x:row r="962" ht="15" hidden="0" customHeight="1">
      <x:c r="A962" s="27" t="n">
        <x:v>458</x:v>
      </x:c>
      <x:c r="B962" s="27" t="n">
        <x:v>331362</x:v>
      </x:c>
      <x:c r="C962" s="27" t="str">
        <x:v>A1</x:v>
      </x:c>
      <x:c r="D962" s="52" t="n">
        <x:v>2407.276712119722</x:v>
      </x:c>
      <x:c r="E962" s="46" t="n">
        <x:v>0.9629106848478889</x:v>
      </x:c>
      <x:c r="F962" s="46" t="n">
        <x:v>0.6674535974524598</x:v>
      </x:c>
      <x:c r="G962" s="46" t="n">
        <x:v>1</x:v>
      </x:c>
      <x:c r="H962" s="46" t="n">
        <x:v>1</x:v>
      </x:c>
      <x:c r="I962" s="46" t="n">
        <x:v>1</x:v>
      </x:c>
      <x:c r="J962" s="46" t="n">
        <x:v>1</x:v>
      </x:c>
      <x:c r="K962" s="46" t="n">
        <x:v>1</x:v>
      </x:c>
      <x:c r="L962" s="46" t="n">
        <x:v>0.9542005171946857</x:v>
      </x:c>
      <x:c r="M962" s="27" t="n">
        <x:v>0</x:v>
      </x:c>
    </x:row>
    <x:row r="963" ht="15" hidden="0" customHeight="1">
      <x:c r="A963" s="29" t="n">
        <x:v>459</x:v>
      </x:c>
      <x:c r="B963" s="29" t="n">
        <x:v>331363</x:v>
      </x:c>
      <x:c r="C963" s="29" t="str">
        <x:v>A1</x:v>
      </x:c>
      <x:c r="D963" s="53" t="n">
        <x:v>2471.2160241542356</x:v>
      </x:c>
      <x:c r="E963" s="47" t="n">
        <x:v>0.9884864096616942</x:v>
      </x:c>
      <x:c r="F963" s="47" t="n">
        <x:v>0.9130294795573045</x:v>
      </x:c>
      <x:c r="G963" s="47" t="n">
        <x:v>1</x:v>
      </x:c>
      <x:c r="H963" s="47" t="n">
        <x:v>1</x:v>
      </x:c>
      <x:c r="I963" s="47" t="n">
        <x:v>1</x:v>
      </x:c>
      <x:c r="J963" s="47" t="n">
        <x:v>1</x:v>
      </x:c>
      <x:c r="K963" s="47" t="n">
        <x:v>1</x:v>
      </x:c>
      <x:c r="L963" s="47" t="n">
        <x:v>0.9857825230645527</x:v>
      </x:c>
      <x:c r="M963" s="29" t="n">
        <x:v>0</x:v>
      </x:c>
    </x:row>
    <x:row r="964" ht="15" hidden="0" customHeight="1">
      <x:c r="A964" s="27" t="n">
        <x:v>460</x:v>
      </x:c>
      <x:c r="B964" s="27" t="n">
        <x:v>331364</x:v>
      </x:c>
      <x:c r="C964" s="27" t="str">
        <x:v>A1</x:v>
      </x:c>
      <x:c r="D964" s="52" t="n">
        <x:v>2450.9530743628293</x:v>
      </x:c>
      <x:c r="E964" s="46" t="n">
        <x:v>0.9803812297451318</x:v>
      </x:c>
      <x:c r="F964" s="46" t="n">
        <x:v>0.8216679101490746</x:v>
      </x:c>
      <x:c r="G964" s="46" t="n">
        <x:v>1</x:v>
      </x:c>
      <x:c r="H964" s="46" t="n">
        <x:v>1</x:v>
      </x:c>
      <x:c r="I964" s="46" t="n">
        <x:v>1</x:v>
      </x:c>
      <x:c r="J964" s="46" t="n">
        <x:v>1</x:v>
      </x:c>
      <x:c r="K964" s="46" t="n">
        <x:v>1</x:v>
      </x:c>
      <x:c r="L964" s="46" t="n">
        <x:v>0.9757738980279309</x:v>
      </x:c>
      <x:c r="M964" s="27" t="n">
        <x:v>0</x:v>
      </x:c>
    </x:row>
    <x:row r="965" ht="15" hidden="0" customHeight="1">
      <x:c r="A965" s="29" t="n">
        <x:v>461</x:v>
      </x:c>
      <x:c r="B965" s="29" t="n">
        <x:v>331365</x:v>
      </x:c>
      <x:c r="C965" s="29" t="str">
        <x:v>A1</x:v>
      </x:c>
      <x:c r="D965" s="53" t="n">
        <x:v>2454.417003073502</x:v>
      </x:c>
      <x:c r="E965" s="47" t="n">
        <x:v>0.9817668012294009</x:v>
      </x:c>
      <x:c r="F965" s="47" t="n">
        <x:v>0.8176680122940075</x:v>
      </x:c>
      <x:c r="G965" s="47" t="n">
        <x:v>1</x:v>
      </x:c>
      <x:c r="H965" s="47" t="n">
        <x:v>1</x:v>
      </x:c>
      <x:c r="I965" s="47" t="n">
        <x:v>1</x:v>
      </x:c>
      <x:c r="J965" s="47" t="n">
        <x:v>1</x:v>
      </x:c>
      <x:c r="K965" s="47" t="n">
        <x:v>1</x:v>
      </x:c>
      <x:c r="L965" s="47" t="n">
        <x:v>0.9774848613366104</x:v>
      </x:c>
      <x:c r="M965" s="29" t="n">
        <x:v>0</x:v>
      </x:c>
    </x:row>
    <x:row r="966" ht="15" hidden="0" customHeight="1">
      <x:c r="A966" s="27" t="n">
        <x:v>462</x:v>
      </x:c>
      <x:c r="B966" s="27" t="n">
        <x:v>331366</x:v>
      </x:c>
      <x:c r="C966" s="27" t="str">
        <x:v>A1</x:v>
      </x:c>
      <x:c r="D966" s="52" t="n">
        <x:v>2464.8198700114644</x:v>
      </x:c>
      <x:c r="E966" s="46" t="n">
        <x:v>0.9859279480045858</x:v>
      </x:c>
      <x:c r="F966" s="46" t="n">
        <x:v>0.8592794800458573</x:v>
      </x:c>
      <x:c r="G966" s="46" t="n">
        <x:v>1</x:v>
      </x:c>
      <x:c r="H966" s="46" t="n">
        <x:v>1</x:v>
      </x:c>
      <x:c r="I966" s="46" t="n">
        <x:v>1</x:v>
      </x:c>
      <x:c r="J966" s="46" t="n">
        <x:v>1</x:v>
      </x:c>
      <x:c r="K966" s="46" t="n">
        <x:v>1</x:v>
      </x:c>
      <x:c r="L966" s="46" t="n">
        <x:v>0.9826232244851041</x:v>
      </x:c>
      <x:c r="M966" s="27" t="n">
        <x:v>0</x:v>
      </x:c>
    </x:row>
    <x:row r="967" ht="15" hidden="0" customHeight="1">
      <x:c r="A967" s="29" t="n">
        <x:v>463</x:v>
      </x:c>
      <x:c r="B967" s="29" t="n">
        <x:v>331367</x:v>
      </x:c>
      <x:c r="C967" s="29" t="str">
        <x:v>A1</x:v>
      </x:c>
      <x:c r="D967" s="53" t="n">
        <x:v>2478.616976407569</x:v>
      </x:c>
      <x:c r="E967" s="47" t="n">
        <x:v>0.9914467905630275</x:v>
      </x:c>
      <x:c r="F967" s="47" t="n">
        <x:v>0.914467905630275</x:v>
      </x:c>
      <x:c r="G967" s="47" t="n">
        <x:v>1</x:v>
      </x:c>
      <x:c r="H967" s="47" t="n">
        <x:v>1</x:v>
      </x:c>
      <x:c r="I967" s="47" t="n">
        <x:v>1</x:v>
      </x:c>
      <x:c r="J967" s="47" t="n">
        <x:v>1</x:v>
      </x:c>
      <x:c r="K967" s="47" t="n">
        <x:v>1</x:v>
      </x:c>
      <x:c r="L967" s="47" t="n">
        <x:v>0.9894381288267984</x:v>
      </x:c>
      <x:c r="M967" s="29" t="n">
        <x:v>0</x:v>
      </x:c>
    </x:row>
    <x:row r="968" ht="15" hidden="0" customHeight="1">
      <x:c r="A968" s="27" t="n">
        <x:v>464</x:v>
      </x:c>
      <x:c r="B968" s="27" t="n">
        <x:v>331368</x:v>
      </x:c>
      <x:c r="C968" s="27" t="str">
        <x:v>A1</x:v>
      </x:c>
      <x:c r="D968" s="52" t="n">
        <x:v>2427.760585194147</x:v>
      </x:c>
      <x:c r="E968" s="46" t="n">
        <x:v>0.9711042340776589</x:v>
      </x:c>
      <x:c r="F968" s="46" t="n">
        <x:v>0.7732204359598156</x:v>
      </x:c>
      <x:c r="G968" s="46" t="n">
        <x:v>1</x:v>
      </x:c>
      <x:c r="H968" s="46" t="n">
        <x:v>1</x:v>
      </x:c>
      <x:c r="I968" s="46" t="n">
        <x:v>1</x:v>
      </x:c>
      <x:c r="J968" s="46" t="n">
        <x:v>1</x:v>
      </x:c>
      <x:c r="K968" s="46" t="n">
        <x:v>1</x:v>
      </x:c>
      <x:c r="L968" s="46" t="n">
        <x:v>0.9643182644629846</x:v>
      </x:c>
      <x:c r="M968" s="27" t="n">
        <x:v>0</x:v>
      </x:c>
    </x:row>
    <x:row r="969" ht="15" hidden="0" customHeight="1">
      <x:c r="A969" s="29" t="n">
        <x:v>465</x:v>
      </x:c>
      <x:c r="B969" s="29" t="n">
        <x:v>331369</x:v>
      </x:c>
      <x:c r="C969" s="29" t="str">
        <x:v>A1</x:v>
      </x:c>
      <x:c r="D969" s="53" t="n">
        <x:v>2442.8273371249456</x:v>
      </x:c>
      <x:c r="E969" s="47" t="n">
        <x:v>0.9771309348499783</x:v>
      </x:c>
      <x:c r="F969" s="47" t="n">
        <x:v>0.7713696198181854</x:v>
      </x:c>
      <x:c r="G969" s="47" t="n">
        <x:v>1</x:v>
      </x:c>
      <x:c r="H969" s="47" t="n">
        <x:v>1</x:v>
      </x:c>
      <x:c r="I969" s="47" t="n">
        <x:v>1</x:v>
      </x:c>
      <x:c r="J969" s="47" t="n">
        <x:v>1</x:v>
      </x:c>
      <x:c r="K969" s="47" t="n">
        <x:v>1</x:v>
      </x:c>
      <x:c r="L969" s="47" t="n">
        <x:v>0.9717602939871912</x:v>
      </x:c>
      <x:c r="M969" s="29" t="n">
        <x:v>0</x:v>
      </x:c>
    </x:row>
    <x:row r="970" ht="15" hidden="0" customHeight="1">
      <x:c r="A970" s="27" t="n">
        <x:v>466</x:v>
      </x:c>
      <x:c r="B970" s="27" t="n">
        <x:v>331370</x:v>
      </x:c>
      <x:c r="C970" s="27" t="str">
        <x:v>A1</x:v>
      </x:c>
      <x:c r="D970" s="52" t="n">
        <x:v>2466.3679484661798</x:v>
      </x:c>
      <x:c r="E970" s="46" t="n">
        <x:v>0.986547179386472</x:v>
      </x:c>
      <x:c r="F970" s="46" t="n">
        <x:v>0.8654717938647191</x:v>
      </x:c>
      <x:c r="G970" s="46" t="n">
        <x:v>1</x:v>
      </x:c>
      <x:c r="H970" s="46" t="n">
        <x:v>1</x:v>
      </x:c>
      <x:c r="I970" s="46" t="n">
        <x:v>1</x:v>
      </x:c>
      <x:c r="J970" s="46" t="n">
        <x:v>1</x:v>
      </x:c>
      <x:c r="K970" s="46" t="n">
        <x:v>1</x:v>
      </x:c>
      <x:c r="L970" s="46" t="n">
        <x:v>0.9833878780493689</x:v>
      </x:c>
      <x:c r="M970" s="27" t="n">
        <x:v>0</x:v>
      </x:c>
    </x:row>
    <x:row r="971" ht="15" hidden="0" customHeight="1">
      <x:c r="A971" s="29" t="n">
        <x:v>467</x:v>
      </x:c>
      <x:c r="B971" s="29" t="n">
        <x:v>331371</x:v>
      </x:c>
      <x:c r="C971" s="29" t="str">
        <x:v>A1</x:v>
      </x:c>
      <x:c r="D971" s="53" t="n">
        <x:v>2458.3405553675743</x:v>
      </x:c>
      <x:c r="E971" s="47" t="n">
        <x:v>0.9833362221470298</x:v>
      </x:c>
      <x:c r="F971" s="47" t="n">
        <x:v>0.8576888865036437</x:v>
      </x:c>
      <x:c r="G971" s="47" t="n">
        <x:v>1</x:v>
      </x:c>
      <x:c r="H971" s="47" t="n">
        <x:v>1</x:v>
      </x:c>
      <x:c r="I971" s="47" t="n">
        <x:v>1</x:v>
      </x:c>
      <x:c r="J971" s="47" t="n">
        <x:v>1</x:v>
      </x:c>
      <x:c r="K971" s="47" t="n">
        <x:v>1</x:v>
      </x:c>
      <x:c r="L971" s="47" t="n">
        <x:v>0.9794228498391335</x:v>
      </x:c>
      <x:c r="M971" s="29" t="n">
        <x:v>0</x:v>
      </x:c>
    </x:row>
    <x:row r="972" ht="15" hidden="0" customHeight="1">
      <x:c r="A972" s="27" t="n">
        <x:v>468</x:v>
      </x:c>
      <x:c r="B972" s="27" t="n">
        <x:v>331372</x:v>
      </x:c>
      <x:c r="C972" s="27" t="str">
        <x:v>A1</x:v>
      </x:c>
      <x:c r="D972" s="52" t="n">
        <x:v>2429.1293954341277</x:v>
      </x:c>
      <x:c r="E972" s="46" t="n">
        <x:v>0.971651758173651</x:v>
      </x:c>
      <x:c r="F972" s="46" t="n">
        <x:v>0.7643756296434976</x:v>
      </x:c>
      <x:c r="G972" s="46" t="n">
        <x:v>1</x:v>
      </x:c>
      <x:c r="H972" s="46" t="n">
        <x:v>1</x:v>
      </x:c>
      <x:c r="I972" s="46" t="n">
        <x:v>1</x:v>
      </x:c>
      <x:c r="J972" s="46" t="n">
        <x:v>1</x:v>
      </x:c>
      <x:c r="K972" s="46" t="n">
        <x:v>1</x:v>
      </x:c>
      <x:c r="L972" s="46" t="n">
        <x:v>0.9649943707840919</x:v>
      </x:c>
      <x:c r="M972" s="27" t="n">
        <x:v>0</x:v>
      </x:c>
    </x:row>
    <x:row r="973" ht="15" hidden="0" customHeight="1">
      <x:c r="A973" s="29" t="n">
        <x:v>469</x:v>
      </x:c>
      <x:c r="B973" s="29" t="n">
        <x:v>331373</x:v>
      </x:c>
      <x:c r="C973" s="29" t="str">
        <x:v>A1</x:v>
      </x:c>
      <x:c r="D973" s="53" t="n">
        <x:v>2412.4489293565766</x:v>
      </x:c>
      <x:c r="E973" s="47" t="n">
        <x:v>0.9649795717426306</x:v>
      </x:c>
      <x:c r="F973" s="47" t="n">
        <x:v>0.7513451803958362</x:v>
      </x:c>
      <x:c r="G973" s="47" t="n">
        <x:v>1</x:v>
      </x:c>
      <x:c r="H973" s="47" t="n">
        <x:v>1</x:v>
      </x:c>
      <x:c r="I973" s="47" t="n">
        <x:v>1</x:v>
      </x:c>
      <x:c r="J973" s="47" t="n">
        <x:v>1</x:v>
      </x:c>
      <x:c r="K973" s="47" t="n">
        <x:v>1</x:v>
      </x:c>
      <x:c r="L973" s="47" t="n">
        <x:v>0.9567552677845325</x:v>
      </x:c>
      <x:c r="M973" s="29" t="n">
        <x:v>0</x:v>
      </x:c>
    </x:row>
    <x:row r="974" ht="15" hidden="0" customHeight="1">
      <x:c r="A974" s="27" t="n">
        <x:v>470</x:v>
      </x:c>
      <x:c r="B974" s="27" t="n">
        <x:v>331374</x:v>
      </x:c>
      <x:c r="C974" s="27" t="str">
        <x:v>A1</x:v>
      </x:c>
      <x:c r="D974" s="52" t="n">
        <x:v>2413.5421149660065</x:v>
      </x:c>
      <x:c r="E974" s="46" t="n">
        <x:v>0.9654168459864025</x:v>
      </x:c>
      <x:c r="F974" s="46" t="n">
        <x:v>0.7686563749234984</x:v>
      </x:c>
      <x:c r="G974" s="46" t="n">
        <x:v>1</x:v>
      </x:c>
      <x:c r="H974" s="46" t="n">
        <x:v>1</x:v>
      </x:c>
      <x:c r="I974" s="46" t="n">
        <x:v>1</x:v>
      </x:c>
      <x:c r="J974" s="46" t="n">
        <x:v>1</x:v>
      </x:c>
      <x:c r="K974" s="46" t="n">
        <x:v>1</x:v>
      </x:c>
      <x:c r="L974" s="46" t="n">
        <x:v>0.9572952328425742</x:v>
      </x:c>
      <x:c r="M974" s="27" t="n">
        <x:v>0</x:v>
      </x:c>
    </x:row>
    <x:row r="975" ht="15" hidden="0" customHeight="1">
      <x:c r="A975" s="29" t="n">
        <x:v>471</x:v>
      </x:c>
      <x:c r="B975" s="29" t="n">
        <x:v>331375</x:v>
      </x:c>
      <x:c r="C975" s="29" t="str">
        <x:v>A1</x:v>
      </x:c>
      <x:c r="D975" s="53" t="n">
        <x:v>2500</x:v>
      </x:c>
      <x:c r="E975" s="47" t="n">
        <x:v>1</x:v>
      </x:c>
      <x:c r="F975" s="47" t="n">
        <x:v>0.9999999999999998</x:v>
      </x:c>
      <x:c r="G975" s="47" t="n">
        <x:v>1</x:v>
      </x:c>
      <x:c r="H975" s="47" t="n">
        <x:v>1</x:v>
      </x:c>
      <x:c r="I975" s="47" t="n">
        <x:v>1</x:v>
      </x:c>
      <x:c r="J975" s="47" t="n">
        <x:v>1</x:v>
      </x:c>
      <x:c r="K975" s="47" t="n">
        <x:v>1</x:v>
      </x:c>
      <x:c r="L975" s="47" t="n">
        <x:v>1</x:v>
      </x:c>
      <x:c r="M975" s="29" t="n">
        <x:v>1</x:v>
      </x:c>
    </x:row>
    <x:row r="976" ht="15" hidden="0" customHeight="1">
      <x:c r="A976" s="27" t="n">
        <x:v>472</x:v>
      </x:c>
      <x:c r="B976" s="27" t="n">
        <x:v>331376</x:v>
      </x:c>
      <x:c r="C976" s="27" t="str">
        <x:v>A1</x:v>
      </x:c>
      <x:c r="D976" s="52" t="n">
        <x:v>2443.5193567744327</x:v>
      </x:c>
      <x:c r="E976" s="46" t="n">
        <x:v>0.977407742709773</x:v>
      </x:c>
      <x:c r="F976" s="46" t="n">
        <x:v>0.7902731974775181</x:v>
      </x:c>
      <x:c r="G976" s="46" t="n">
        <x:v>1</x:v>
      </x:c>
      <x:c r="H976" s="46" t="n">
        <x:v>1</x:v>
      </x:c>
      <x:c r="I976" s="46" t="n">
        <x:v>1</x:v>
      </x:c>
      <x:c r="J976" s="46" t="n">
        <x:v>1</x:v>
      </x:c>
      <x:c r="K976" s="46" t="n">
        <x:v>1</x:v>
      </x:c>
      <x:c r="L976" s="46" t="n">
        <x:v>0.9721021082472565</x:v>
      </x:c>
      <x:c r="M976" s="27" t="n">
        <x:v>0</x:v>
      </x:c>
    </x:row>
    <x:row r="977" ht="15" hidden="0" customHeight="1">
      <x:c r="A977" s="29" t="n">
        <x:v>473</x:v>
      </x:c>
      <x:c r="B977" s="29" t="n">
        <x:v>331377</x:v>
      </x:c>
      <x:c r="C977" s="29" t="str">
        <x:v>A1</x:v>
      </x:c>
      <x:c r="D977" s="53" t="n">
        <x:v>2427.047510880321</x:v>
      </x:c>
      <x:c r="E977" s="47" t="n">
        <x:v>0.9708190043521284</x:v>
      </x:c>
      <x:c r="F977" s="47" t="n">
        <x:v>0.8246972138702948</x:v>
      </x:c>
      <x:c r="G977" s="47" t="n">
        <x:v>1</x:v>
      </x:c>
      <x:c r="H977" s="47" t="n">
        <x:v>1</x:v>
      </x:c>
      <x:c r="I977" s="47" t="n">
        <x:v>1</x:v>
      </x:c>
      <x:c r="J977" s="47" t="n">
        <x:v>1</x:v>
      </x:c>
      <x:c r="K977" s="47" t="n">
        <x:v>1</x:v>
      </x:c>
      <x:c r="L977" s="47" t="n">
        <x:v>0.963966050520602</x:v>
      </x:c>
      <x:c r="M977" s="29" t="n">
        <x:v>0</x:v>
      </x:c>
    </x:row>
    <x:row r="978" ht="15" hidden="0" customHeight="1">
      <x:c r="A978" s="27" t="n">
        <x:v>474</x:v>
      </x:c>
      <x:c r="B978" s="27" t="n">
        <x:v>331378</x:v>
      </x:c>
      <x:c r="C978" s="27" t="str">
        <x:v>A1</x:v>
      </x:c>
      <x:c r="D978" s="52" t="n">
        <x:v>2443.559763131322</x:v>
      </x:c>
      <x:c r="E978" s="46" t="n">
        <x:v>0.9774239052525289</x:v>
      </x:c>
      <x:c r="F978" s="46" t="n">
        <x:v>0.8004712263936834</x:v>
      </x:c>
      <x:c r="G978" s="46" t="n">
        <x:v>1</x:v>
      </x:c>
      <x:c r="H978" s="46" t="n">
        <x:v>1</x:v>
      </x:c>
      <x:c r="I978" s="46" t="n">
        <x:v>1</x:v>
      </x:c>
      <x:c r="J978" s="46" t="n">
        <x:v>1</x:v>
      </x:c>
      <x:c r="K978" s="46" t="n">
        <x:v>1</x:v>
      </x:c>
      <x:c r="L978" s="46" t="n">
        <x:v>0.9721220664507444</x:v>
      </x:c>
      <x:c r="M978" s="27" t="n">
        <x:v>0</x:v>
      </x:c>
    </x:row>
    <x:row r="979" ht="15" hidden="0" customHeight="1">
      <x:c r="A979" s="29" t="n">
        <x:v>475</x:v>
      </x:c>
      <x:c r="B979" s="29" t="n">
        <x:v>331379</x:v>
      </x:c>
      <x:c r="C979" s="29" t="str">
        <x:v>A1</x:v>
      </x:c>
      <x:c r="D979" s="53" t="n">
        <x:v>2497.2407114573707</x:v>
      </x:c>
      <x:c r="E979" s="47" t="n">
        <x:v>0.9988962845829483</x:v>
      </x:c>
      <x:c r="F979" s="47" t="n">
        <x:v>0.988962845829483</x:v>
      </x:c>
      <x:c r="G979" s="47" t="n">
        <x:v>1</x:v>
      </x:c>
      <x:c r="H979" s="47" t="n">
        <x:v>1</x:v>
      </x:c>
      <x:c r="I979" s="47" t="n">
        <x:v>1</x:v>
      </x:c>
      <x:c r="J979" s="47" t="n">
        <x:v>1</x:v>
      </x:c>
      <x:c r="K979" s="47" t="n">
        <x:v>1</x:v>
      </x:c>
      <x:c r="L979" s="47" t="n">
        <x:v>0.9986370846952038</x:v>
      </x:c>
      <x:c r="M979" s="29" t="n">
        <x:v>1</x:v>
      </x:c>
    </x:row>
    <x:row r="980" ht="15" hidden="0" customHeight="1">
      <x:c r="A980" s="27" t="n">
        <x:v>476</x:v>
      </x:c>
      <x:c r="B980" s="27" t="n">
        <x:v>331380</x:v>
      </x:c>
      <x:c r="C980" s="27" t="str">
        <x:v>A1</x:v>
      </x:c>
      <x:c r="D980" s="52" t="n">
        <x:v>2374.6577272004934</x:v>
      </x:c>
      <x:c r="E980" s="46" t="n">
        <x:v>0.9498630908801974</x:v>
      </x:c>
      <x:c r="F980" s="46" t="n">
        <x:v>0.5668372249782289</x:v>
      </x:c>
      <x:c r="G980" s="46" t="n">
        <x:v>1</x:v>
      </x:c>
      <x:c r="H980" s="46" t="n">
        <x:v>1</x:v>
      </x:c>
      <x:c r="I980" s="46" t="n">
        <x:v>1</x:v>
      </x:c>
      <x:c r="J980" s="46" t="n">
        <x:v>1</x:v>
      </x:c>
      <x:c r="K980" s="46" t="n">
        <x:v>1</x:v>
      </x:c>
      <x:c r="L980" s="46" t="n">
        <x:v>0.938088786548724</x:v>
      </x:c>
      <x:c r="M980" s="27" t="n">
        <x:v>0</x:v>
      </x:c>
    </x:row>
    <x:row r="981" ht="15" hidden="0" customHeight="1">
      <x:c r="A981" s="29" t="n">
        <x:v>477</x:v>
      </x:c>
      <x:c r="B981" s="29" t="n">
        <x:v>331381</x:v>
      </x:c>
      <x:c r="C981" s="29" t="str">
        <x:v>A1</x:v>
      </x:c>
      <x:c r="D981" s="53" t="n">
        <x:v>2449.95343084884</x:v>
      </x:c>
      <x:c r="E981" s="47" t="n">
        <x:v>0.9799813723395361</x:v>
      </x:c>
      <x:c r="F981" s="47" t="n">
        <x:v>0.8197478590826386</x:v>
      </x:c>
      <x:c r="G981" s="47" t="n">
        <x:v>1</x:v>
      </x:c>
      <x:c r="H981" s="47" t="n">
        <x:v>1</x:v>
      </x:c>
      <x:c r="I981" s="47" t="n">
        <x:v>1</x:v>
      </x:c>
      <x:c r="J981" s="47" t="n">
        <x:v>1</x:v>
      </x:c>
      <x:c r="K981" s="47" t="n">
        <x:v>1</x:v>
      </x:c>
      <x:c r="L981" s="47" t="n">
        <x:v>0.9752801368922224</x:v>
      </x:c>
      <x:c r="M981" s="29" t="n">
        <x:v>0</x:v>
      </x:c>
    </x:row>
    <x:row r="982" ht="15" hidden="0" customHeight="1">
      <x:c r="A982" s="27" t="n">
        <x:v>478</x:v>
      </x:c>
      <x:c r="B982" s="27" t="n">
        <x:v>331382</x:v>
      </x:c>
      <x:c r="C982" s="27" t="str">
        <x:v>A1</x:v>
      </x:c>
      <x:c r="D982" s="52" t="n">
        <x:v>2434.4295641540516</x:v>
      </x:c>
      <x:c r="E982" s="46" t="n">
        <x:v>0.9737718256616207</x:v>
      </x:c>
      <x:c r="F982" s="46" t="n">
        <x:v>0.7774968116742818</x:v>
      </x:c>
      <x:c r="G982" s="46" t="n">
        <x:v>1</x:v>
      </x:c>
      <x:c r="H982" s="46" t="n">
        <x:v>1</x:v>
      </x:c>
      <x:c r="I982" s="46" t="n">
        <x:v>1</x:v>
      </x:c>
      <x:c r="J982" s="46" t="n">
        <x:v>1</x:v>
      </x:c>
      <x:c r="K982" s="46" t="n">
        <x:v>1</x:v>
      </x:c>
      <x:c r="L982" s="46" t="n">
        <x:v>0.9676123213734505</x:v>
      </x:c>
      <x:c r="M982" s="27" t="n">
        <x:v>0</x:v>
      </x:c>
    </x:row>
    <x:row r="983" ht="15" hidden="0" customHeight="1">
      <x:c r="A983" s="29" t="n">
        <x:v>479</x:v>
      </x:c>
      <x:c r="B983" s="29" t="n">
        <x:v>331383</x:v>
      </x:c>
      <x:c r="C983" s="29" t="str">
        <x:v>A1</x:v>
      </x:c>
      <x:c r="D983" s="53" t="n">
        <x:v>2471.7632773422683</x:v>
      </x:c>
      <x:c r="E983" s="47" t="n">
        <x:v>0.9887053109369074</x:v>
      </x:c>
      <x:c r="F983" s="47" t="n">
        <x:v>0.8943849555721808</x:v>
      </x:c>
      <x:c r="G983" s="47" t="n">
        <x:v>1</x:v>
      </x:c>
      <x:c r="H983" s="47" t="n">
        <x:v>1</x:v>
      </x:c>
      <x:c r="I983" s="47" t="n">
        <x:v>1</x:v>
      </x:c>
      <x:c r="J983" s="47" t="n">
        <x:v>1</x:v>
      </x:c>
      <x:c r="K983" s="47" t="n">
        <x:v>1</x:v>
      </x:c>
      <x:c r="L983" s="47" t="n">
        <x:v>0.9860528317814721</x:v>
      </x:c>
      <x:c r="M983" s="29" t="n">
        <x:v>0</x:v>
      </x:c>
    </x:row>
    <x:row r="984" ht="15" hidden="0" customHeight="1">
      <x:c r="A984" s="27" t="n">
        <x:v>480</x:v>
      </x:c>
      <x:c r="B984" s="27" t="n">
        <x:v>331384</x:v>
      </x:c>
      <x:c r="C984" s="27" t="str">
        <x:v>A1</x:v>
      </x:c>
      <x:c r="D984" s="52" t="n">
        <x:v>2458.164305133927</x:v>
      </x:c>
      <x:c r="E984" s="46" t="n">
        <x:v>0.9832657220535708</x:v>
      </x:c>
      <x:c r="F984" s="46" t="n">
        <x:v>0.832657220535708</x:v>
      </x:c>
      <x:c r="G984" s="46" t="n">
        <x:v>1</x:v>
      </x:c>
      <x:c r="H984" s="46" t="n">
        <x:v>1</x:v>
      </x:c>
      <x:c r="I984" s="46" t="n">
        <x:v>1</x:v>
      </x:c>
      <x:c r="J984" s="46" t="n">
        <x:v>1</x:v>
      </x:c>
      <x:c r="K984" s="46" t="n">
        <x:v>1</x:v>
      </x:c>
      <x:c r="L984" s="46" t="n">
        <x:v>0.9793357932891569</x:v>
      </x:c>
      <x:c r="M984" s="27" t="n">
        <x:v>0</x:v>
      </x:c>
    </x:row>
    <x:row r="985" ht="15" hidden="0" customHeight="1">
      <x:c r="A985" s="29" t="n">
        <x:v>481</x:v>
      </x:c>
      <x:c r="B985" s="29" t="n">
        <x:v>331385</x:v>
      </x:c>
      <x:c r="C985" s="29" t="str">
        <x:v>A1</x:v>
      </x:c>
      <x:c r="D985" s="53" t="n">
        <x:v>2448.9535056405916</x:v>
      </x:c>
      <x:c r="E985" s="47" t="n">
        <x:v>0.9795814022562367</x:v>
      </x:c>
      <x:c r="F985" s="47" t="n">
        <x:v>0.7958140225623667</x:v>
      </x:c>
      <x:c r="G985" s="47" t="n">
        <x:v>1</x:v>
      </x:c>
      <x:c r="H985" s="47" t="n">
        <x:v>1</x:v>
      </x:c>
      <x:c r="I985" s="47" t="n">
        <x:v>1</x:v>
      </x:c>
      <x:c r="J985" s="47" t="n">
        <x:v>1</x:v>
      </x:c>
      <x:c r="K985" s="47" t="n">
        <x:v>1</x:v>
      </x:c>
      <x:c r="L985" s="47" t="n">
        <x:v>0.9747862366172354</x:v>
      </x:c>
      <x:c r="M985" s="29" t="n">
        <x:v>0</x:v>
      </x:c>
    </x:row>
    <x:row r="986" ht="15" hidden="0" customHeight="1">
      <x:c r="A986" s="27" t="n">
        <x:v>482</x:v>
      </x:c>
      <x:c r="B986" s="27" t="n">
        <x:v>331386</x:v>
      </x:c>
      <x:c r="C986" s="27" t="str">
        <x:v>A1</x:v>
      </x:c>
      <x:c r="D986" s="52" t="n">
        <x:v>2390.530649038982</x:v>
      </x:c>
      <x:c r="E986" s="46" t="n">
        <x:v>0.9562122596155929</x:v>
      </x:c>
      <x:c r="F986" s="46" t="n">
        <x:v>0.7355322882535972</x:v>
      </x:c>
      <x:c r="G986" s="46" t="n">
        <x:v>1</x:v>
      </x:c>
      <x:c r="H986" s="46" t="n">
        <x:v>1</x:v>
      </x:c>
      <x:c r="I986" s="46" t="n">
        <x:v>1</x:v>
      </x:c>
      <x:c r="J986" s="46" t="n">
        <x:v>1</x:v>
      </x:c>
      <x:c r="K986" s="46" t="n">
        <x:v>1</x:v>
      </x:c>
      <x:c r="L986" s="46" t="n">
        <x:v>0.9459290133939001</x:v>
      </x:c>
      <x:c r="M986" s="27" t="n">
        <x:v>0</x:v>
      </x:c>
    </x:row>
    <x:row r="987" ht="15" hidden="0" customHeight="1">
      <x:c r="A987" s="29" t="n">
        <x:v>483</x:v>
      </x:c>
      <x:c r="B987" s="29" t="n">
        <x:v>331387</x:v>
      </x:c>
      <x:c r="C987" s="29" t="str">
        <x:v>A1</x:v>
      </x:c>
      <x:c r="D987" s="53" t="n">
        <x:v>2428.040403727666</x:v>
      </x:c>
      <x:c r="E987" s="47" t="n">
        <x:v>0.9712161614910665</x:v>
      </x:c>
      <x:c r="F987" s="47" t="n">
        <x:v>0.7398502322406028</x:v>
      </x:c>
      <x:c r="G987" s="47" t="n">
        <x:v>1</x:v>
      </x:c>
      <x:c r="H987" s="47" t="n">
        <x:v>1</x:v>
      </x:c>
      <x:c r="I987" s="47" t="n">
        <x:v>1</x:v>
      </x:c>
      <x:c r="J987" s="47" t="n">
        <x:v>1</x:v>
      </x:c>
      <x:c r="K987" s="47" t="n">
        <x:v>1</x:v>
      </x:c>
      <x:c r="L987" s="47" t="n">
        <x:v>0.9644564772508126</x:v>
      </x:c>
      <x:c r="M987" s="29" t="n">
        <x:v>0</x:v>
      </x:c>
    </x:row>
    <x:row r="988" ht="15" hidden="0" customHeight="1">
      <x:c r="A988" s="27" t="n">
        <x:v>484</x:v>
      </x:c>
      <x:c r="B988" s="27" t="n">
        <x:v>331388</x:v>
      </x:c>
      <x:c r="C988" s="27" t="str">
        <x:v>A1</x:v>
      </x:c>
      <x:c r="D988" s="52" t="n">
        <x:v>2408.1986279544954</x:v>
      </x:c>
      <x:c r="E988" s="46" t="n">
        <x:v>0.9632794511817981</x:v>
      </x:c>
      <x:c r="F988" s="46" t="n">
        <x:v>0.6847706292904417</x:v>
      </x:c>
      <x:c r="G988" s="46" t="n">
        <x:v>1</x:v>
      </x:c>
      <x:c r="H988" s="46" t="n">
        <x:v>1</x:v>
      </x:c>
      <x:c r="I988" s="46" t="n">
        <x:v>1</x:v>
      </x:c>
      <x:c r="J988" s="46" t="n">
        <x:v>1</x:v>
      </x:c>
      <x:c r="K988" s="46" t="n">
        <x:v>1</x:v>
      </x:c>
      <x:c r="L988" s="46" t="n">
        <x:v>0.954655885736806</x:v>
      </x:c>
      <x:c r="M988" s="27" t="n">
        <x:v>0</x:v>
      </x:c>
    </x:row>
    <x:row r="989" ht="15" hidden="0" customHeight="1">
      <x:c r="A989" s="29" t="n">
        <x:v>485</x:v>
      </x:c>
      <x:c r="B989" s="29" t="n">
        <x:v>331389</x:v>
      </x:c>
      <x:c r="C989" s="29" t="str">
        <x:v>A1</x:v>
      </x:c>
      <x:c r="D989" s="53" t="n">
        <x:v>2429.41437119181</x:v>
      </x:c>
      <x:c r="E989" s="47" t="n">
        <x:v>0.971765748476724</x:v>
      </x:c>
      <x:c r="F989" s="47" t="n">
        <x:v>0.7587837220630097</x:v>
      </x:c>
      <x:c r="G989" s="47" t="n">
        <x:v>1</x:v>
      </x:c>
      <x:c r="H989" s="47" t="n">
        <x:v>1</x:v>
      </x:c>
      <x:c r="I989" s="47" t="n">
        <x:v>1</x:v>
      </x:c>
      <x:c r="J989" s="47" t="n">
        <x:v>1</x:v>
      </x:c>
      <x:c r="K989" s="47" t="n">
        <x:v>1</x:v>
      </x:c>
      <x:c r="L989" s="47" t="n">
        <x:v>0.9651351309168729</x:v>
      </x:c>
      <x:c r="M989" s="29" t="n">
        <x:v>0</x:v>
      </x:c>
    </x:row>
    <x:row r="990" ht="15" hidden="0" customHeight="1">
      <x:c r="A990" s="27" t="n">
        <x:v>486</x:v>
      </x:c>
      <x:c r="B990" s="27" t="n">
        <x:v>331390</x:v>
      </x:c>
      <x:c r="C990" s="27" t="str">
        <x:v>A1</x:v>
      </x:c>
      <x:c r="D990" s="52" t="n">
        <x:v>2446.761000604419</x:v>
      </x:c>
      <x:c r="E990" s="46" t="n">
        <x:v>0.9787044002417676</x:v>
      </x:c>
      <x:c r="F990" s="46" t="n">
        <x:v>0.7870440024176758</x:v>
      </x:c>
      <x:c r="G990" s="46" t="n">
        <x:v>1</x:v>
      </x:c>
      <x:c r="H990" s="46" t="n">
        <x:v>1</x:v>
      </x:c>
      <x:c r="I990" s="46" t="n">
        <x:v>1</x:v>
      </x:c>
      <x:c r="J990" s="46" t="n">
        <x:v>1</x:v>
      </x:c>
      <x:c r="K990" s="46" t="n">
        <x:v>1</x:v>
      </x:c>
      <x:c r="L990" s="46" t="n">
        <x:v>0.9737032767804961</x:v>
      </x:c>
      <x:c r="M990" s="27" t="n">
        <x:v>0</x:v>
      </x:c>
    </x:row>
    <x:row r="991" ht="15" hidden="0" customHeight="1">
      <x:c r="A991" s="29" t="n">
        <x:v>487</x:v>
      </x:c>
      <x:c r="B991" s="29" t="n">
        <x:v>331391</x:v>
      </x:c>
      <x:c r="C991" s="29" t="str">
        <x:v>A1</x:v>
      </x:c>
      <x:c r="D991" s="53" t="n">
        <x:v>2459.7621729824077</x:v>
      </x:c>
      <x:c r="E991" s="47" t="n">
        <x:v>0.983904869192963</x:v>
      </x:c>
      <x:c r="F991" s="47" t="n">
        <x:v>0.8902352851939525</x:v>
      </x:c>
      <x:c r="G991" s="47" t="n">
        <x:v>1</x:v>
      </x:c>
      <x:c r="H991" s="47" t="n">
        <x:v>1</x:v>
      </x:c>
      <x:c r="I991" s="47" t="n">
        <x:v>1</x:v>
      </x:c>
      <x:c r="J991" s="47" t="n">
        <x:v>1</x:v>
      </x:c>
      <x:c r="K991" s="47" t="n">
        <x:v>1</x:v>
      </x:c>
      <x:c r="L991" s="47" t="n">
        <x:v>0.980125039688035</x:v>
      </x:c>
      <x:c r="M991" s="29" t="n">
        <x:v>0</x:v>
      </x:c>
    </x:row>
    <x:row r="992" ht="15" hidden="0" customHeight="1">
      <x:c r="A992" s="27" t="n">
        <x:v>488</x:v>
      </x:c>
      <x:c r="B992" s="27" t="n">
        <x:v>331392</x:v>
      </x:c>
      <x:c r="C992" s="27" t="str">
        <x:v>A1</x:v>
      </x:c>
      <x:c r="D992" s="52" t="n">
        <x:v>2377.6705225543433</x:v>
      </x:c>
      <x:c r="E992" s="46" t="n">
        <x:v>0.9510682090217373</x:v>
      </x:c>
      <x:c r="F992" s="46" t="n">
        <x:v>0.7292545111603994</x:v>
      </x:c>
      <x:c r="G992" s="46" t="n">
        <x:v>1</x:v>
      </x:c>
      <x:c r="H992" s="46" t="n">
        <x:v>1</x:v>
      </x:c>
      <x:c r="I992" s="46" t="n">
        <x:v>1</x:v>
      </x:c>
      <x:c r="J992" s="46" t="n">
        <x:v>1</x:v>
      </x:c>
      <x:c r="K992" s="46" t="n">
        <x:v>1</x:v>
      </x:c>
      <x:c r="L992" s="46" t="n">
        <x:v>0.9395769183024504</x:v>
      </x:c>
      <x:c r="M992" s="27" t="n">
        <x:v>0</x:v>
      </x:c>
    </x:row>
    <x:row r="993" ht="15" hidden="0" customHeight="1">
      <x:c r="A993" s="29" t="n">
        <x:v>489</x:v>
      </x:c>
      <x:c r="B993" s="29" t="n">
        <x:v>331393</x:v>
      </x:c>
      <x:c r="C993" s="29" t="str">
        <x:v>A1</x:v>
      </x:c>
      <x:c r="D993" s="53" t="n">
        <x:v>2488.646218881089</x:v>
      </x:c>
      <x:c r="E993" s="47" t="n">
        <x:v>0.9954584875524357</x:v>
      </x:c>
      <x:c r="F993" s="47" t="n">
        <x:v>0.9545848755243564</x:v>
      </x:c>
      <x:c r="G993" s="47" t="n">
        <x:v>1</x:v>
      </x:c>
      <x:c r="H993" s="47" t="n">
        <x:v>1</x:v>
      </x:c>
      <x:c r="I993" s="47" t="n">
        <x:v>1</x:v>
      </x:c>
      <x:c r="J993" s="47" t="n">
        <x:v>1</x:v>
      </x:c>
      <x:c r="K993" s="47" t="n">
        <x:v>1</x:v>
      </x:c>
      <x:c r="L993" s="47" t="n">
        <x:v>0.9943919449469667</x:v>
      </x:c>
      <x:c r="M993" s="29" t="n">
        <x:v>1</x:v>
      </x:c>
    </x:row>
    <x:row r="994" ht="15" hidden="0" customHeight="1">
      <x:c r="A994" s="27" t="n">
        <x:v>490</x:v>
      </x:c>
      <x:c r="B994" s="27" t="n">
        <x:v>331394</x:v>
      </x:c>
      <x:c r="C994" s="27" t="str">
        <x:v>A1</x:v>
      </x:c>
      <x:c r="D994" s="52" t="n">
        <x:v>2441.5973558210853</x:v>
      </x:c>
      <x:c r="E994" s="46" t="n">
        <x:v>0.9766389423284342</x:v>
      </x:c>
      <x:c r="F994" s="46" t="n">
        <x:v>0.7809052867486316</x:v>
      </x:c>
      <x:c r="G994" s="46" t="n">
        <x:v>1</x:v>
      </x:c>
      <x:c r="H994" s="46" t="n">
        <x:v>1</x:v>
      </x:c>
      <x:c r="I994" s="46" t="n">
        <x:v>1</x:v>
      </x:c>
      <x:c r="J994" s="46" t="n">
        <x:v>1</x:v>
      </x:c>
      <x:c r="K994" s="46" t="n">
        <x:v>1</x:v>
      </x:c>
      <x:c r="L994" s="46" t="n">
        <x:v>0.9711527604444878</x:v>
      </x:c>
      <x:c r="M994" s="27" t="n">
        <x:v>0</x:v>
      </x:c>
    </x:row>
    <x:row r="995" ht="15" hidden="0" customHeight="1">
      <x:c r="A995" s="29" t="n">
        <x:v>491</x:v>
      </x:c>
      <x:c r="B995" s="29" t="n">
        <x:v>331395</x:v>
      </x:c>
      <x:c r="C995" s="29" t="str">
        <x:v>A1</x:v>
      </x:c>
      <x:c r="D995" s="53" t="n">
        <x:v>2396.7653705788384</x:v>
      </x:c>
      <x:c r="E995" s="47" t="n">
        <x:v>0.9587061482315353</x:v>
      </x:c>
      <x:c r="F995" s="47" t="n">
        <x:v>0.6625376420492691</x:v>
      </x:c>
      <x:c r="G995" s="47" t="n">
        <x:v>1</x:v>
      </x:c>
      <x:c r="H995" s="47" t="n">
        <x:v>1</x:v>
      </x:c>
      <x:c r="I995" s="47" t="n">
        <x:v>1</x:v>
      </x:c>
      <x:c r="J995" s="47" t="n">
        <x:v>1</x:v>
      </x:c>
      <x:c r="K995" s="47" t="n">
        <x:v>1</x:v>
      </x:c>
      <x:c r="L995" s="47" t="n">
        <x:v>0.9490085744026647</x:v>
      </x:c>
      <x:c r="M995" s="29" t="n">
        <x:v>0</x:v>
      </x:c>
    </x:row>
    <x:row r="996" ht="15" hidden="0" customHeight="1">
      <x:c r="A996" s="27" t="n">
        <x:v>492</x:v>
      </x:c>
      <x:c r="B996" s="27" t="n">
        <x:v>331396</x:v>
      </x:c>
      <x:c r="C996" s="27" t="str">
        <x:v>A1</x:v>
      </x:c>
      <x:c r="D996" s="52" t="n">
        <x:v>2439.957220737858</x:v>
      </x:c>
      <x:c r="E996" s="46" t="n">
        <x:v>0.9759828882951431</x:v>
      </x:c>
      <x:c r="F996" s="46" t="n">
        <x:v>0.7749979736451102</x:v>
      </x:c>
      <x:c r="G996" s="46" t="n">
        <x:v>1</x:v>
      </x:c>
      <x:c r="H996" s="46" t="n">
        <x:v>1</x:v>
      </x:c>
      <x:c r="I996" s="46" t="n">
        <x:v>1</x:v>
      </x:c>
      <x:c r="J996" s="46" t="n">
        <x:v>1</x:v>
      </x:c>
      <x:c r="K996" s="46" t="n">
        <x:v>1</x:v>
      </x:c>
      <x:c r="L996" s="46" t="n">
        <x:v>0.970342636685291</x:v>
      </x:c>
      <x:c r="M996" s="27" t="n">
        <x:v>0</x:v>
      </x:c>
    </x:row>
    <x:row r="997" ht="15" hidden="0" customHeight="1">
      <x:c r="A997" s="29" t="n">
        <x:v>493</x:v>
      </x:c>
      <x:c r="B997" s="29" t="n">
        <x:v>331397</x:v>
      </x:c>
      <x:c r="C997" s="29" t="str">
        <x:v>A1</x:v>
      </x:c>
      <x:c r="D997" s="53" t="n">
        <x:v>2443.2965496496267</x:v>
      </x:c>
      <x:c r="E997" s="47" t="n">
        <x:v>0.9773186198598507</x:v>
      </x:c>
      <x:c r="F997" s="47" t="n">
        <x:v>0.7731861985985065</x:v>
      </x:c>
      <x:c r="G997" s="47" t="n">
        <x:v>1</x:v>
      </x:c>
      <x:c r="H997" s="47" t="n">
        <x:v>1</x:v>
      </x:c>
      <x:c r="I997" s="47" t="n">
        <x:v>1</x:v>
      </x:c>
      <x:c r="J997" s="47" t="n">
        <x:v>1</x:v>
      </x:c>
      <x:c r="K997" s="47" t="n">
        <x:v>1</x:v>
      </x:c>
      <x:c r="L997" s="47" t="n">
        <x:v>0.9719920555160092</x:v>
      </x:c>
      <x:c r="M997" s="29" t="n">
        <x:v>0</x:v>
      </x:c>
    </x:row>
    <x:row r="998" ht="15" hidden="0" customHeight="1">
      <x:c r="A998" s="27" t="n">
        <x:v>494</x:v>
      </x:c>
      <x:c r="B998" s="27" t="n">
        <x:v>331398</x:v>
      </x:c>
      <x:c r="C998" s="27" t="str">
        <x:v>A1</x:v>
      </x:c>
      <x:c r="D998" s="52" t="n">
        <x:v>2403.8019712510554</x:v>
      </x:c>
      <x:c r="E998" s="46" t="n">
        <x:v>0.9615207885004222</x:v>
      </x:c>
      <x:c r="F998" s="46" t="n">
        <x:v>0.6789717716246471</x:v>
      </x:c>
      <x:c r="G998" s="46" t="n">
        <x:v>1</x:v>
      </x:c>
      <x:c r="H998" s="46" t="n">
        <x:v>1</x:v>
      </x:c>
      <x:c r="I998" s="46" t="n">
        <x:v>1</x:v>
      </x:c>
      <x:c r="J998" s="46" t="n">
        <x:v>1</x:v>
      </x:c>
      <x:c r="K998" s="46" t="n">
        <x:v>1</x:v>
      </x:c>
      <x:c r="L998" s="46" t="n">
        <x:v>0.9524842133587722</x:v>
      </x:c>
      <x:c r="M998" s="27" t="n">
        <x:v>0</x:v>
      </x:c>
    </x:row>
    <x:row r="999" ht="15" hidden="0" customHeight="1">
      <x:c r="A999" s="29" t="n">
        <x:v>495</x:v>
      </x:c>
      <x:c r="B999" s="29" t="n">
        <x:v>331399</x:v>
      </x:c>
      <x:c r="C999" s="29" t="str">
        <x:v>A1</x:v>
      </x:c>
      <x:c r="D999" s="53" t="n">
        <x:v>2340.5150511884117</x:v>
      </x:c>
      <x:c r="E999" s="47" t="n">
        <x:v>0.9362060204753647</x:v>
      </x:c>
      <x:c r="F999" s="47" t="n">
        <x:v>0.5176573532376568</x:v>
      </x:c>
      <x:c r="G999" s="47" t="n">
        <x:v>1</x:v>
      </x:c>
      <x:c r="H999" s="47" t="n">
        <x:v>1</x:v>
      </x:c>
      <x:c r="I999" s="47" t="n">
        <x:v>1</x:v>
      </x:c>
      <x:c r="J999" s="47" t="n">
        <x:v>1</x:v>
      </x:c>
      <x:c r="K999" s="47" t="n">
        <x:v>1</x:v>
      </x:c>
      <x:c r="L999" s="47" t="n">
        <x:v>0.9212244481641556</x:v>
      </x:c>
      <x:c r="M999" s="29" t="n">
        <x:v>0</x:v>
      </x:c>
    </x:row>
    <x:row r="1000" ht="15" hidden="0" customHeight="1">
      <x:c r="A1000" s="27" t="n">
        <x:v>496</x:v>
      </x:c>
      <x:c r="B1000" s="27" t="n">
        <x:v>331400</x:v>
      </x:c>
      <x:c r="C1000" s="27" t="str">
        <x:v>A1</x:v>
      </x:c>
      <x:c r="D1000" s="52" t="n">
        <x:v>2356.940202292757</x:v>
      </x:c>
      <x:c r="E1000" s="46" t="n">
        <x:v>0.9427760809171029</x:v>
      </x:c>
      <x:c r="F1000" s="46" t="n">
        <x:v>0.6421940550105427</x:v>
      </x:c>
      <x:c r="G1000" s="46" t="n">
        <x:v>1</x:v>
      </x:c>
      <x:c r="H1000" s="46" t="n">
        <x:v>1</x:v>
      </x:c>
      <x:c r="I1000" s="46" t="n">
        <x:v>1</x:v>
      </x:c>
      <x:c r="J1000" s="46" t="n">
        <x:v>1</x:v>
      </x:c>
      <x:c r="K1000" s="46" t="n">
        <x:v>1</x:v>
      </x:c>
      <x:c r="L1000" s="46" t="n">
        <x:v>0.9293374415962852</x:v>
      </x:c>
      <x:c r="M1000" s="27" t="n">
        <x:v>0</x:v>
      </x:c>
    </x:row>
    <x:row r="1001" ht="15" hidden="0" customHeight="1">
      <x:c r="A1001" s="29" t="n">
        <x:v>497</x:v>
      </x:c>
      <x:c r="B1001" s="29" t="n">
        <x:v>331401</x:v>
      </x:c>
      <x:c r="C1001" s="29" t="str">
        <x:v>A1</x:v>
      </x:c>
      <x:c r="D1001" s="53" t="n">
        <x:v>2435.8715256465457</x:v>
      </x:c>
      <x:c r="E1001" s="47" t="n">
        <x:v>0.9743486102586183</x:v>
      </x:c>
      <x:c r="F1001" s="47" t="n">
        <x:v>0.7695149158888155</x:v>
      </x:c>
      <x:c r="G1001" s="47" t="n">
        <x:v>1</x:v>
      </x:c>
      <x:c r="H1001" s="47" t="n">
        <x:v>1</x:v>
      </x:c>
      <x:c r="I1001" s="47" t="n">
        <x:v>1</x:v>
      </x:c>
      <x:c r="J1001" s="47" t="n">
        <x:v>1</x:v>
      </x:c>
      <x:c r="K1001" s="47" t="n">
        <x:v>1</x:v>
      </x:c>
      <x:c r="L1001" s="47" t="n">
        <x:v>0.9683245598206751</x:v>
      </x:c>
      <x:c r="M1001" s="29" t="n">
        <x:v>0</x:v>
      </x:c>
    </x:row>
    <x:row r="1002" ht="15" hidden="0" customHeight="1">
      <x:c r="A1002" s="27" t="n">
        <x:v>498</x:v>
      </x:c>
      <x:c r="B1002" s="27" t="n">
        <x:v>331402</x:v>
      </x:c>
      <x:c r="C1002" s="27" t="str">
        <x:v>A1</x:v>
      </x:c>
      <x:c r="D1002" s="52" t="n">
        <x:v>2365.6898703186207</x:v>
      </x:c>
      <x:c r="E1002" s="46" t="n">
        <x:v>0.9462759481274483</x:v>
      </x:c>
      <x:c r="F1002" s="46" t="n">
        <x:v>0.6630660301208693</x:v>
      </x:c>
      <x:c r="G1002" s="46" t="n">
        <x:v>1</x:v>
      </x:c>
      <x:c r="H1002" s="46" t="n">
        <x:v>1</x:v>
      </x:c>
      <x:c r="I1002" s="46" t="n">
        <x:v>1</x:v>
      </x:c>
      <x:c r="J1002" s="46" t="n">
        <x:v>1</x:v>
      </x:c>
      <x:c r="K1002" s="46" t="n">
        <x:v>1</x:v>
      </x:c>
      <x:c r="L1002" s="46" t="n">
        <x:v>0.9336592282743005</x:v>
      </x:c>
      <x:c r="M1002" s="27" t="n">
        <x:v>0</x:v>
      </x:c>
    </x:row>
    <x:row r="1003" ht="15" hidden="0" customHeight="1">
      <x:c r="A1003" s="29" t="n">
        <x:v>499</x:v>
      </x:c>
      <x:c r="B1003" s="29" t="n">
        <x:v>331403</x:v>
      </x:c>
      <x:c r="C1003" s="29" t="str">
        <x:v>A1</x:v>
      </x:c>
      <x:c r="D1003" s="53" t="n">
        <x:v>2489.9101507739438</x:v>
      </x:c>
      <x:c r="E1003" s="47" t="n">
        <x:v>0.9959640603095775</x:v>
      </x:c>
      <x:c r="F1003" s="47" t="n">
        <x:v>0.9596406030957739</x:v>
      </x:c>
      <x:c r="G1003" s="47" t="n">
        <x:v>1</x:v>
      </x:c>
      <x:c r="H1003" s="47" t="n">
        <x:v>1</x:v>
      </x:c>
      <x:c r="I1003" s="47" t="n">
        <x:v>1</x:v>
      </x:c>
      <x:c r="J1003" s="47" t="n">
        <x:v>1</x:v>
      </x:c>
      <x:c r="K1003" s="47" t="n">
        <x:v>1</x:v>
      </x:c>
      <x:c r="L1003" s="47" t="n">
        <x:v>0.9950162479491274</x:v>
      </x:c>
      <x:c r="M1003" s="29" t="n">
        <x:v>1</x:v>
      </x:c>
    </x:row>
    <x:row r="1004" ht="15" hidden="0" customHeight="1">
      <x:c r="A1004" s="27" t="n">
        <x:v>500</x:v>
      </x:c>
      <x:c r="B1004" s="27" t="n">
        <x:v>331404</x:v>
      </x:c>
      <x:c r="C1004" s="27" t="str">
        <x:v>A1</x:v>
      </x:c>
      <x:c r="D1004" s="52" t="n">
        <x:v>2468.9781740887506</x:v>
      </x:c>
      <x:c r="E1004" s="46" t="n">
        <x:v>0.9875912696355003</x:v>
      </x:c>
      <x:c r="F1004" s="46" t="n">
        <x:v>0.8759126963550011</x:v>
      </x:c>
      <x:c r="G1004" s="46" t="n">
        <x:v>1</x:v>
      </x:c>
      <x:c r="H1004" s="46" t="n">
        <x:v>1</x:v>
      </x:c>
      <x:c r="I1004" s="46" t="n">
        <x:v>1</x:v>
      </x:c>
      <x:c r="J1004" s="46" t="n">
        <x:v>1</x:v>
      </x:c>
      <x:c r="K1004" s="46" t="n">
        <x:v>1</x:v>
      </x:c>
      <x:c r="L1004" s="46" t="n">
        <x:v>0.9846771656302113</x:v>
      </x:c>
      <x:c r="M1004" s="27" t="n">
        <x:v>0</x:v>
      </x:c>
    </x:row>
    <x:row r="1005" ht="15" hidden="0" customHeight="1">
      <x:c r="A1005" s="29" t="n">
        <x:v>1</x:v>
      </x:c>
      <x:c r="B1005" s="29" t="n">
        <x:v>330905</x:v>
      </x:c>
      <x:c r="C1005" s="29" t="str">
        <x:v>A2</x:v>
      </x:c>
      <x:c r="D1005" s="53" t="n">
        <x:v>2500</x:v>
      </x:c>
      <x:c r="E1005" s="47" t="n">
        <x:v>1</x:v>
      </x:c>
      <x:c r="F1005" s="47" t="n">
        <x:v>1</x:v>
      </x:c>
      <x:c r="G1005" s="47" t="n">
        <x:v>1</x:v>
      </x:c>
      <x:c r="H1005" s="47" t="n">
        <x:v>1</x:v>
      </x:c>
      <x:c r="I1005" s="47" t="n">
        <x:v>1</x:v>
      </x:c>
      <x:c r="J1005" s="47" t="n">
        <x:v>1</x:v>
      </x:c>
      <x:c r="K1005" s="47" t="n">
        <x:v>1</x:v>
      </x:c>
      <x:c r="L1005" s="47" t="n">
        <x:v>1</x:v>
      </x:c>
      <x:c r="M1005" s="29" t="n">
        <x:v>1</x:v>
      </x:c>
    </x:row>
    <x:row r="1006" ht="15" hidden="0" customHeight="1">
      <x:c r="A1006" s="27" t="n">
        <x:v>2</x:v>
      </x:c>
      <x:c r="B1006" s="27" t="n">
        <x:v>330906</x:v>
      </x:c>
      <x:c r="C1006" s="27" t="str">
        <x:v>A2</x:v>
      </x:c>
      <x:c r="D1006" s="52" t="n">
        <x:v>2500</x:v>
      </x:c>
      <x:c r="E1006" s="46" t="n">
        <x:v>1</x:v>
      </x:c>
      <x:c r="F1006" s="46" t="n">
        <x:v>1</x:v>
      </x:c>
      <x:c r="G1006" s="46" t="n">
        <x:v>1</x:v>
      </x:c>
      <x:c r="H1006" s="46" t="n">
        <x:v>1</x:v>
      </x:c>
      <x:c r="I1006" s="46" t="n">
        <x:v>1</x:v>
      </x:c>
      <x:c r="J1006" s="46" t="n">
        <x:v>1</x:v>
      </x:c>
      <x:c r="K1006" s="46" t="n">
        <x:v>1</x:v>
      </x:c>
      <x:c r="L1006" s="46" t="n">
        <x:v>1</x:v>
      </x:c>
      <x:c r="M1006" s="27" t="n">
        <x:v>1</x:v>
      </x:c>
    </x:row>
    <x:row r="1007" ht="15" hidden="0" customHeight="1">
      <x:c r="A1007" s="29" t="n">
        <x:v>3</x:v>
      </x:c>
      <x:c r="B1007" s="29" t="n">
        <x:v>330907</x:v>
      </x:c>
      <x:c r="C1007" s="29" t="str">
        <x:v>A2</x:v>
      </x:c>
      <x:c r="D1007" s="53" t="n">
        <x:v>2500</x:v>
      </x:c>
      <x:c r="E1007" s="47" t="n">
        <x:v>1</x:v>
      </x:c>
      <x:c r="F1007" s="47" t="n">
        <x:v>0.9999999999999999</x:v>
      </x:c>
      <x:c r="G1007" s="47" t="n">
        <x:v>1</x:v>
      </x:c>
      <x:c r="H1007" s="47" t="n">
        <x:v>1</x:v>
      </x:c>
      <x:c r="I1007" s="47" t="n">
        <x:v>1</x:v>
      </x:c>
      <x:c r="J1007" s="47" t="n">
        <x:v>1</x:v>
      </x:c>
      <x:c r="K1007" s="47" t="n">
        <x:v>1</x:v>
      </x:c>
      <x:c r="L1007" s="47" t="n">
        <x:v>1</x:v>
      </x:c>
      <x:c r="M1007" s="29" t="n">
        <x:v>1</x:v>
      </x:c>
    </x:row>
    <x:row r="1008" ht="15" hidden="0" customHeight="1">
      <x:c r="A1008" s="27" t="n">
        <x:v>4</x:v>
      </x:c>
      <x:c r="B1008" s="27" t="n">
        <x:v>330908</x:v>
      </x:c>
      <x:c r="C1008" s="27" t="str">
        <x:v>A2</x:v>
      </x:c>
      <x:c r="D1008" s="52" t="n">
        <x:v>2500</x:v>
      </x:c>
      <x:c r="E1008" s="46" t="n">
        <x:v>1</x:v>
      </x:c>
      <x:c r="F1008" s="46" t="n">
        <x:v>1</x:v>
      </x:c>
      <x:c r="G1008" s="46" t="n">
        <x:v>1</x:v>
      </x:c>
      <x:c r="H1008" s="46" t="n">
        <x:v>1</x:v>
      </x:c>
      <x:c r="I1008" s="46" t="n">
        <x:v>1</x:v>
      </x:c>
      <x:c r="J1008" s="46" t="n">
        <x:v>1</x:v>
      </x:c>
      <x:c r="K1008" s="46" t="n">
        <x:v>1</x:v>
      </x:c>
      <x:c r="L1008" s="46" t="n">
        <x:v>1</x:v>
      </x:c>
      <x:c r="M1008" s="27" t="n">
        <x:v>1</x:v>
      </x:c>
    </x:row>
    <x:row r="1009" ht="15" hidden="0" customHeight="1">
      <x:c r="A1009" s="29" t="n">
        <x:v>5</x:v>
      </x:c>
      <x:c r="B1009" s="29" t="n">
        <x:v>330909</x:v>
      </x:c>
      <x:c r="C1009" s="29" t="str">
        <x:v>A2</x:v>
      </x:c>
      <x:c r="D1009" s="53" t="n">
        <x:v>2500</x:v>
      </x:c>
      <x:c r="E1009" s="47" t="n">
        <x:v>1</x:v>
      </x:c>
      <x:c r="F1009" s="47" t="n">
        <x:v>1</x:v>
      </x:c>
      <x:c r="G1009" s="47" t="n">
        <x:v>1</x:v>
      </x:c>
      <x:c r="H1009" s="47" t="n">
        <x:v>1</x:v>
      </x:c>
      <x:c r="I1009" s="47" t="n">
        <x:v>1</x:v>
      </x:c>
      <x:c r="J1009" s="47" t="n">
        <x:v>1</x:v>
      </x:c>
      <x:c r="K1009" s="47" t="n">
        <x:v>1</x:v>
      </x:c>
      <x:c r="L1009" s="47" t="n">
        <x:v>1</x:v>
      </x:c>
      <x:c r="M1009" s="29" t="n">
        <x:v>1</x:v>
      </x:c>
    </x:row>
    <x:row r="1010" ht="15" hidden="0" customHeight="1">
      <x:c r="A1010" s="27" t="n">
        <x:v>6</x:v>
      </x:c>
      <x:c r="B1010" s="27" t="n">
        <x:v>330910</x:v>
      </x:c>
      <x:c r="C1010" s="27" t="str">
        <x:v>A2</x:v>
      </x:c>
      <x:c r="D1010" s="52" t="n">
        <x:v>2500</x:v>
      </x:c>
      <x:c r="E1010" s="46" t="n">
        <x:v>1</x:v>
      </x:c>
      <x:c r="F1010" s="46" t="n">
        <x:v>0.9999999999999999</x:v>
      </x:c>
      <x:c r="G1010" s="46" t="n">
        <x:v>1</x:v>
      </x:c>
      <x:c r="H1010" s="46" t="n">
        <x:v>1</x:v>
      </x:c>
      <x:c r="I1010" s="46" t="n">
        <x:v>1</x:v>
      </x:c>
      <x:c r="J1010" s="46" t="n">
        <x:v>1</x:v>
      </x:c>
      <x:c r="K1010" s="46" t="n">
        <x:v>1</x:v>
      </x:c>
      <x:c r="L1010" s="46" t="n">
        <x:v>1</x:v>
      </x:c>
      <x:c r="M1010" s="27" t="n">
        <x:v>1</x:v>
      </x:c>
    </x:row>
    <x:row r="1011" ht="15" hidden="0" customHeight="1">
      <x:c r="A1011" s="29" t="n">
        <x:v>7</x:v>
      </x:c>
      <x:c r="B1011" s="29" t="n">
        <x:v>330911</x:v>
      </x:c>
      <x:c r="C1011" s="29" t="str">
        <x:v>A2</x:v>
      </x:c>
      <x:c r="D1011" s="53" t="n">
        <x:v>2500</x:v>
      </x:c>
      <x:c r="E1011" s="47" t="n">
        <x:v>1</x:v>
      </x:c>
      <x:c r="F1011" s="47" t="n">
        <x:v>1</x:v>
      </x:c>
      <x:c r="G1011" s="47" t="n">
        <x:v>1</x:v>
      </x:c>
      <x:c r="H1011" s="47" t="n">
        <x:v>1</x:v>
      </x:c>
      <x:c r="I1011" s="47" t="n">
        <x:v>1</x:v>
      </x:c>
      <x:c r="J1011" s="47" t="n">
        <x:v>1</x:v>
      </x:c>
      <x:c r="K1011" s="47" t="n">
        <x:v>1</x:v>
      </x:c>
      <x:c r="L1011" s="47" t="n">
        <x:v>1</x:v>
      </x:c>
      <x:c r="M1011" s="29" t="n">
        <x:v>1</x:v>
      </x:c>
    </x:row>
    <x:row r="1012" ht="15" hidden="0" customHeight="1">
      <x:c r="A1012" s="27" t="n">
        <x:v>8</x:v>
      </x:c>
      <x:c r="B1012" s="27" t="n">
        <x:v>330912</x:v>
      </x:c>
      <x:c r="C1012" s="27" t="str">
        <x:v>A2</x:v>
      </x:c>
      <x:c r="D1012" s="52" t="n">
        <x:v>2500</x:v>
      </x:c>
      <x:c r="E1012" s="46" t="n">
        <x:v>1</x:v>
      </x:c>
      <x:c r="F1012" s="46" t="n">
        <x:v>1</x:v>
      </x:c>
      <x:c r="G1012" s="46" t="n">
        <x:v>1</x:v>
      </x:c>
      <x:c r="H1012" s="46" t="n">
        <x:v>1</x:v>
      </x:c>
      <x:c r="I1012" s="46" t="n">
        <x:v>1</x:v>
      </x:c>
      <x:c r="J1012" s="46" t="n">
        <x:v>1</x:v>
      </x:c>
      <x:c r="K1012" s="46" t="n">
        <x:v>1</x:v>
      </x:c>
      <x:c r="L1012" s="46" t="n">
        <x:v>1</x:v>
      </x:c>
      <x:c r="M1012" s="27" t="n">
        <x:v>1</x:v>
      </x:c>
    </x:row>
    <x:row r="1013" ht="15" hidden="0" customHeight="1">
      <x:c r="A1013" s="29" t="n">
        <x:v>9</x:v>
      </x:c>
      <x:c r="B1013" s="29" t="n">
        <x:v>330913</x:v>
      </x:c>
      <x:c r="C1013" s="29" t="str">
        <x:v>A2</x:v>
      </x:c>
      <x:c r="D1013" s="53" t="n">
        <x:v>2500</x:v>
      </x:c>
      <x:c r="E1013" s="47" t="n">
        <x:v>1</x:v>
      </x:c>
      <x:c r="F1013" s="47" t="n">
        <x:v>0.9999999999999998</x:v>
      </x:c>
      <x:c r="G1013" s="47" t="n">
        <x:v>1</x:v>
      </x:c>
      <x:c r="H1013" s="47" t="n">
        <x:v>1</x:v>
      </x:c>
      <x:c r="I1013" s="47" t="n">
        <x:v>1</x:v>
      </x:c>
      <x:c r="J1013" s="47" t="n">
        <x:v>1</x:v>
      </x:c>
      <x:c r="K1013" s="47" t="n">
        <x:v>1</x:v>
      </x:c>
      <x:c r="L1013" s="47" t="n">
        <x:v>1</x:v>
      </x:c>
      <x:c r="M1013" s="29" t="n">
        <x:v>1</x:v>
      </x:c>
    </x:row>
    <x:row r="1014" ht="15" hidden="0" customHeight="1">
      <x:c r="A1014" s="27" t="n">
        <x:v>10</x:v>
      </x:c>
      <x:c r="B1014" s="27" t="n">
        <x:v>330914</x:v>
      </x:c>
      <x:c r="C1014" s="27" t="str">
        <x:v>A2</x:v>
      </x:c>
      <x:c r="D1014" s="52" t="n">
        <x:v>2500</x:v>
      </x:c>
      <x:c r="E1014" s="46" t="n">
        <x:v>1</x:v>
      </x:c>
      <x:c r="F1014" s="46" t="n">
        <x:v>1</x:v>
      </x:c>
      <x:c r="G1014" s="46" t="n">
        <x:v>1</x:v>
      </x:c>
      <x:c r="H1014" s="46" t="n">
        <x:v>1</x:v>
      </x:c>
      <x:c r="I1014" s="46" t="n">
        <x:v>1</x:v>
      </x:c>
      <x:c r="J1014" s="46" t="n">
        <x:v>1</x:v>
      </x:c>
      <x:c r="K1014" s="46" t="n">
        <x:v>1</x:v>
      </x:c>
      <x:c r="L1014" s="46" t="n">
        <x:v>1</x:v>
      </x:c>
      <x:c r="M1014" s="27" t="n">
        <x:v>1</x:v>
      </x:c>
    </x:row>
    <x:row r="1015" ht="15" hidden="0" customHeight="1">
      <x:c r="A1015" s="29" t="n">
        <x:v>11</x:v>
      </x:c>
      <x:c r="B1015" s="29" t="n">
        <x:v>330915</x:v>
      </x:c>
      <x:c r="C1015" s="29" t="str">
        <x:v>A2</x:v>
      </x:c>
      <x:c r="D1015" s="53" t="n">
        <x:v>2500</x:v>
      </x:c>
      <x:c r="E1015" s="47" t="n">
        <x:v>1</x:v>
      </x:c>
      <x:c r="F1015" s="47" t="n">
        <x:v>1</x:v>
      </x:c>
      <x:c r="G1015" s="47" t="n">
        <x:v>1</x:v>
      </x:c>
      <x:c r="H1015" s="47" t="n">
        <x:v>1</x:v>
      </x:c>
      <x:c r="I1015" s="47" t="n">
        <x:v>1</x:v>
      </x:c>
      <x:c r="J1015" s="47" t="n">
        <x:v>1</x:v>
      </x:c>
      <x:c r="K1015" s="47" t="n">
        <x:v>1</x:v>
      </x:c>
      <x:c r="L1015" s="47" t="n">
        <x:v>1</x:v>
      </x:c>
      <x:c r="M1015" s="29" t="n">
        <x:v>1</x:v>
      </x:c>
    </x:row>
    <x:row r="1016" ht="15" hidden="0" customHeight="1">
      <x:c r="A1016" s="27" t="n">
        <x:v>12</x:v>
      </x:c>
      <x:c r="B1016" s="27" t="n">
        <x:v>330916</x:v>
      </x:c>
      <x:c r="C1016" s="27" t="str">
        <x:v>A2</x:v>
      </x:c>
      <x:c r="D1016" s="52" t="n">
        <x:v>2500</x:v>
      </x:c>
      <x:c r="E1016" s="46" t="n">
        <x:v>1</x:v>
      </x:c>
      <x:c r="F1016" s="46" t="n">
        <x:v>1</x:v>
      </x:c>
      <x:c r="G1016" s="46" t="n">
        <x:v>1</x:v>
      </x:c>
      <x:c r="H1016" s="46" t="n">
        <x:v>1</x:v>
      </x:c>
      <x:c r="I1016" s="46" t="n">
        <x:v>1</x:v>
      </x:c>
      <x:c r="J1016" s="46" t="n">
        <x:v>1</x:v>
      </x:c>
      <x:c r="K1016" s="46" t="n">
        <x:v>1</x:v>
      </x:c>
      <x:c r="L1016" s="46" t="n">
        <x:v>1</x:v>
      </x:c>
      <x:c r="M1016" s="27" t="n">
        <x:v>1</x:v>
      </x:c>
    </x:row>
    <x:row r="1017" ht="15" hidden="0" customHeight="1">
      <x:c r="A1017" s="29" t="n">
        <x:v>13</x:v>
      </x:c>
      <x:c r="B1017" s="29" t="n">
        <x:v>330917</x:v>
      </x:c>
      <x:c r="C1017" s="29" t="str">
        <x:v>A2</x:v>
      </x:c>
      <x:c r="D1017" s="53" t="n">
        <x:v>2500</x:v>
      </x:c>
      <x:c r="E1017" s="47" t="n">
        <x:v>1</x:v>
      </x:c>
      <x:c r="F1017" s="47" t="n">
        <x:v>0.9999999999999998</x:v>
      </x:c>
      <x:c r="G1017" s="47" t="n">
        <x:v>1</x:v>
      </x:c>
      <x:c r="H1017" s="47" t="n">
        <x:v>1</x:v>
      </x:c>
      <x:c r="I1017" s="47" t="n">
        <x:v>1</x:v>
      </x:c>
      <x:c r="J1017" s="47" t="n">
        <x:v>1</x:v>
      </x:c>
      <x:c r="K1017" s="47" t="n">
        <x:v>1</x:v>
      </x:c>
      <x:c r="L1017" s="47" t="n">
        <x:v>1</x:v>
      </x:c>
      <x:c r="M1017" s="29" t="n">
        <x:v>1</x:v>
      </x:c>
    </x:row>
    <x:row r="1018" ht="15" hidden="0" customHeight="1">
      <x:c r="A1018" s="27" t="n">
        <x:v>14</x:v>
      </x:c>
      <x:c r="B1018" s="27" t="n">
        <x:v>330918</x:v>
      </x:c>
      <x:c r="C1018" s="27" t="str">
        <x:v>A2</x:v>
      </x:c>
      <x:c r="D1018" s="52" t="n">
        <x:v>2500</x:v>
      </x:c>
      <x:c r="E1018" s="46" t="n">
        <x:v>1</x:v>
      </x:c>
      <x:c r="F1018" s="46" t="n">
        <x:v>1</x:v>
      </x:c>
      <x:c r="G1018" s="46" t="n">
        <x:v>1</x:v>
      </x:c>
      <x:c r="H1018" s="46" t="n">
        <x:v>1</x:v>
      </x:c>
      <x:c r="I1018" s="46" t="n">
        <x:v>1</x:v>
      </x:c>
      <x:c r="J1018" s="46" t="n">
        <x:v>1</x:v>
      </x:c>
      <x:c r="K1018" s="46" t="n">
        <x:v>1</x:v>
      </x:c>
      <x:c r="L1018" s="46" t="n">
        <x:v>1</x:v>
      </x:c>
      <x:c r="M1018" s="27" t="n">
        <x:v>1</x:v>
      </x:c>
    </x:row>
    <x:row r="1019" ht="15" hidden="0" customHeight="1">
      <x:c r="A1019" s="29" t="n">
        <x:v>15</x:v>
      </x:c>
      <x:c r="B1019" s="29" t="n">
        <x:v>330919</x:v>
      </x:c>
      <x:c r="C1019" s="29" t="str">
        <x:v>A2</x:v>
      </x:c>
      <x:c r="D1019" s="53" t="n">
        <x:v>2500</x:v>
      </x:c>
      <x:c r="E1019" s="47" t="n">
        <x:v>1</x:v>
      </x:c>
      <x:c r="F1019" s="47" t="n">
        <x:v>0.9999999999999998</x:v>
      </x:c>
      <x:c r="G1019" s="47" t="n">
        <x:v>1</x:v>
      </x:c>
      <x:c r="H1019" s="47" t="n">
        <x:v>1</x:v>
      </x:c>
      <x:c r="I1019" s="47" t="n">
        <x:v>1</x:v>
      </x:c>
      <x:c r="J1019" s="47" t="n">
        <x:v>1</x:v>
      </x:c>
      <x:c r="K1019" s="47" t="n">
        <x:v>1</x:v>
      </x:c>
      <x:c r="L1019" s="47" t="n">
        <x:v>1</x:v>
      </x:c>
      <x:c r="M1019" s="29" t="n">
        <x:v>1</x:v>
      </x:c>
    </x:row>
    <x:row r="1020" ht="15" hidden="0" customHeight="1">
      <x:c r="A1020" s="27" t="n">
        <x:v>16</x:v>
      </x:c>
      <x:c r="B1020" s="27" t="n">
        <x:v>330920</x:v>
      </x:c>
      <x:c r="C1020" s="27" t="str">
        <x:v>A2</x:v>
      </x:c>
      <x:c r="D1020" s="52" t="n">
        <x:v>2500</x:v>
      </x:c>
      <x:c r="E1020" s="46" t="n">
        <x:v>1</x:v>
      </x:c>
      <x:c r="F1020" s="46" t="n">
        <x:v>1</x:v>
      </x:c>
      <x:c r="G1020" s="46" t="n">
        <x:v>1</x:v>
      </x:c>
      <x:c r="H1020" s="46" t="n">
        <x:v>1</x:v>
      </x:c>
      <x:c r="I1020" s="46" t="n">
        <x:v>1</x:v>
      </x:c>
      <x:c r="J1020" s="46" t="n">
        <x:v>1</x:v>
      </x:c>
      <x:c r="K1020" s="46" t="n">
        <x:v>1</x:v>
      </x:c>
      <x:c r="L1020" s="46" t="n">
        <x:v>1</x:v>
      </x:c>
      <x:c r="M1020" s="27" t="n">
        <x:v>1</x:v>
      </x:c>
    </x:row>
    <x:row r="1021" ht="15" hidden="0" customHeight="1">
      <x:c r="A1021" s="29" t="n">
        <x:v>17</x:v>
      </x:c>
      <x:c r="B1021" s="29" t="n">
        <x:v>330921</x:v>
      </x:c>
      <x:c r="C1021" s="29" t="str">
        <x:v>A2</x:v>
      </x:c>
      <x:c r="D1021" s="53" t="n">
        <x:v>2500</x:v>
      </x:c>
      <x:c r="E1021" s="47" t="n">
        <x:v>1</x:v>
      </x:c>
      <x:c r="F1021" s="47" t="n">
        <x:v>1</x:v>
      </x:c>
      <x:c r="G1021" s="47" t="n">
        <x:v>1</x:v>
      </x:c>
      <x:c r="H1021" s="47" t="n">
        <x:v>1</x:v>
      </x:c>
      <x:c r="I1021" s="47" t="n">
        <x:v>1</x:v>
      </x:c>
      <x:c r="J1021" s="47" t="n">
        <x:v>1</x:v>
      </x:c>
      <x:c r="K1021" s="47" t="n">
        <x:v>1</x:v>
      </x:c>
      <x:c r="L1021" s="47" t="n">
        <x:v>1</x:v>
      </x:c>
      <x:c r="M1021" s="29" t="n">
        <x:v>1</x:v>
      </x:c>
    </x:row>
    <x:row r="1022" ht="15" hidden="0" customHeight="1">
      <x:c r="A1022" s="27" t="n">
        <x:v>18</x:v>
      </x:c>
      <x:c r="B1022" s="27" t="n">
        <x:v>330922</x:v>
      </x:c>
      <x:c r="C1022" s="27" t="str">
        <x:v>A2</x:v>
      </x:c>
      <x:c r="D1022" s="52" t="n">
        <x:v>2500</x:v>
      </x:c>
      <x:c r="E1022" s="46" t="n">
        <x:v>1</x:v>
      </x:c>
      <x:c r="F1022" s="46" t="n">
        <x:v>1</x:v>
      </x:c>
      <x:c r="G1022" s="46" t="n">
        <x:v>1</x:v>
      </x:c>
      <x:c r="H1022" s="46" t="n">
        <x:v>1</x:v>
      </x:c>
      <x:c r="I1022" s="46" t="n">
        <x:v>1</x:v>
      </x:c>
      <x:c r="J1022" s="46" t="n">
        <x:v>1</x:v>
      </x:c>
      <x:c r="K1022" s="46" t="n">
        <x:v>1</x:v>
      </x:c>
      <x:c r="L1022" s="46" t="n">
        <x:v>1</x:v>
      </x:c>
      <x:c r="M1022" s="27" t="n">
        <x:v>1</x:v>
      </x:c>
    </x:row>
    <x:row r="1023" ht="15" hidden="0" customHeight="1">
      <x:c r="A1023" s="29" t="n">
        <x:v>19</x:v>
      </x:c>
      <x:c r="B1023" s="29" t="n">
        <x:v>330923</x:v>
      </x:c>
      <x:c r="C1023" s="29" t="str">
        <x:v>A2</x:v>
      </x:c>
      <x:c r="D1023" s="53" t="n">
        <x:v>2500</x:v>
      </x:c>
      <x:c r="E1023" s="47" t="n">
        <x:v>1</x:v>
      </x:c>
      <x:c r="F1023" s="47" t="n">
        <x:v>1</x:v>
      </x:c>
      <x:c r="G1023" s="47" t="n">
        <x:v>1</x:v>
      </x:c>
      <x:c r="H1023" s="47" t="n">
        <x:v>1</x:v>
      </x:c>
      <x:c r="I1023" s="47" t="n">
        <x:v>1</x:v>
      </x:c>
      <x:c r="J1023" s="47" t="n">
        <x:v>1</x:v>
      </x:c>
      <x:c r="K1023" s="47" t="n">
        <x:v>1</x:v>
      </x:c>
      <x:c r="L1023" s="47" t="n">
        <x:v>1</x:v>
      </x:c>
      <x:c r="M1023" s="29" t="n">
        <x:v>1</x:v>
      </x:c>
    </x:row>
    <x:row r="1024" ht="15" hidden="0" customHeight="1">
      <x:c r="A1024" s="27" t="n">
        <x:v>20</x:v>
      </x:c>
      <x:c r="B1024" s="27" t="n">
        <x:v>330924</x:v>
      </x:c>
      <x:c r="C1024" s="27" t="str">
        <x:v>A2</x:v>
      </x:c>
      <x:c r="D1024" s="52" t="n">
        <x:v>2500</x:v>
      </x:c>
      <x:c r="E1024" s="46" t="n">
        <x:v>1</x:v>
      </x:c>
      <x:c r="F1024" s="46" t="n">
        <x:v>1</x:v>
      </x:c>
      <x:c r="G1024" s="46" t="n">
        <x:v>1</x:v>
      </x:c>
      <x:c r="H1024" s="46" t="n">
        <x:v>1</x:v>
      </x:c>
      <x:c r="I1024" s="46" t="n">
        <x:v>1</x:v>
      </x:c>
      <x:c r="J1024" s="46" t="n">
        <x:v>1</x:v>
      </x:c>
      <x:c r="K1024" s="46" t="n">
        <x:v>1</x:v>
      </x:c>
      <x:c r="L1024" s="46" t="n">
        <x:v>1</x:v>
      </x:c>
      <x:c r="M1024" s="27" t="n">
        <x:v>1</x:v>
      </x:c>
    </x:row>
    <x:row r="1025" ht="15" hidden="0" customHeight="1">
      <x:c r="A1025" s="29" t="n">
        <x:v>21</x:v>
      </x:c>
      <x:c r="B1025" s="29" t="n">
        <x:v>330925</x:v>
      </x:c>
      <x:c r="C1025" s="29" t="str">
        <x:v>A2</x:v>
      </x:c>
      <x:c r="D1025" s="53" t="n">
        <x:v>2500</x:v>
      </x:c>
      <x:c r="E1025" s="47" t="n">
        <x:v>1</x:v>
      </x:c>
      <x:c r="F1025" s="47" t="n">
        <x:v>0.9999999999999999</x:v>
      </x:c>
      <x:c r="G1025" s="47" t="n">
        <x:v>1</x:v>
      </x:c>
      <x:c r="H1025" s="47" t="n">
        <x:v>1</x:v>
      </x:c>
      <x:c r="I1025" s="47" t="n">
        <x:v>1</x:v>
      </x:c>
      <x:c r="J1025" s="47" t="n">
        <x:v>1</x:v>
      </x:c>
      <x:c r="K1025" s="47" t="n">
        <x:v>1</x:v>
      </x:c>
      <x:c r="L1025" s="47" t="n">
        <x:v>1</x:v>
      </x:c>
      <x:c r="M1025" s="29" t="n">
        <x:v>1</x:v>
      </x:c>
    </x:row>
    <x:row r="1026" ht="15" hidden="0" customHeight="1">
      <x:c r="A1026" s="27" t="n">
        <x:v>22</x:v>
      </x:c>
      <x:c r="B1026" s="27" t="n">
        <x:v>330926</x:v>
      </x:c>
      <x:c r="C1026" s="27" t="str">
        <x:v>A2</x:v>
      </x:c>
      <x:c r="D1026" s="52" t="n">
        <x:v>2500</x:v>
      </x:c>
      <x:c r="E1026" s="46" t="n">
        <x:v>1</x:v>
      </x:c>
      <x:c r="F1026" s="46" t="n">
        <x:v>1</x:v>
      </x:c>
      <x:c r="G1026" s="46" t="n">
        <x:v>1</x:v>
      </x:c>
      <x:c r="H1026" s="46" t="n">
        <x:v>1</x:v>
      </x:c>
      <x:c r="I1026" s="46" t="n">
        <x:v>1</x:v>
      </x:c>
      <x:c r="J1026" s="46" t="n">
        <x:v>1</x:v>
      </x:c>
      <x:c r="K1026" s="46" t="n">
        <x:v>1</x:v>
      </x:c>
      <x:c r="L1026" s="46" t="n">
        <x:v>1</x:v>
      </x:c>
      <x:c r="M1026" s="27" t="n">
        <x:v>1</x:v>
      </x:c>
    </x:row>
    <x:row r="1027" ht="15" hidden="0" customHeight="1">
      <x:c r="A1027" s="29" t="n">
        <x:v>23</x:v>
      </x:c>
      <x:c r="B1027" s="29" t="n">
        <x:v>330927</x:v>
      </x:c>
      <x:c r="C1027" s="29" t="str">
        <x:v>A2</x:v>
      </x:c>
      <x:c r="D1027" s="53" t="n">
        <x:v>2500</x:v>
      </x:c>
      <x:c r="E1027" s="47" t="n">
        <x:v>1</x:v>
      </x:c>
      <x:c r="F1027" s="47" t="n">
        <x:v>0.9999999999999998</x:v>
      </x:c>
      <x:c r="G1027" s="47" t="n">
        <x:v>1</x:v>
      </x:c>
      <x:c r="H1027" s="47" t="n">
        <x:v>1</x:v>
      </x:c>
      <x:c r="I1027" s="47" t="n">
        <x:v>1</x:v>
      </x:c>
      <x:c r="J1027" s="47" t="n">
        <x:v>1</x:v>
      </x:c>
      <x:c r="K1027" s="47" t="n">
        <x:v>1</x:v>
      </x:c>
      <x:c r="L1027" s="47" t="n">
        <x:v>0.9999999999999999</x:v>
      </x:c>
      <x:c r="M1027" s="29" t="n">
        <x:v>1</x:v>
      </x:c>
    </x:row>
    <x:row r="1028" ht="15" hidden="0" customHeight="1">
      <x:c r="A1028" s="27" t="n">
        <x:v>24</x:v>
      </x:c>
      <x:c r="B1028" s="27" t="n">
        <x:v>330928</x:v>
      </x:c>
      <x:c r="C1028" s="27" t="str">
        <x:v>A2</x:v>
      </x:c>
      <x:c r="D1028" s="52" t="n">
        <x:v>2493.4113044805654</x:v>
      </x:c>
      <x:c r="E1028" s="46" t="n">
        <x:v>0.9973645217922261</x:v>
      </x:c>
      <x:c r="F1028" s="46" t="n">
        <x:v>0.9736452179222613</x:v>
      </x:c>
      <x:c r="G1028" s="46" t="n">
        <x:v>1</x:v>
      </x:c>
      <x:c r="H1028" s="46" t="n">
        <x:v>1</x:v>
      </x:c>
      <x:c r="I1028" s="46" t="n">
        <x:v>1</x:v>
      </x:c>
      <x:c r="J1028" s="46" t="n">
        <x:v>1</x:v>
      </x:c>
      <x:c r="K1028" s="46" t="n">
        <x:v>1</x:v>
      </x:c>
      <x:c r="L1028" s="46" t="n">
        <x:v>0.9967455980687244</x:v>
      </x:c>
      <x:c r="M1028" s="27" t="n">
        <x:v>1</x:v>
      </x:c>
    </x:row>
    <x:row r="1029" ht="15" hidden="0" customHeight="1">
      <x:c r="A1029" s="29" t="n">
        <x:v>25</x:v>
      </x:c>
      <x:c r="B1029" s="29" t="n">
        <x:v>330929</x:v>
      </x:c>
      <x:c r="C1029" s="29" t="str">
        <x:v>A2</x:v>
      </x:c>
      <x:c r="D1029" s="53" t="n">
        <x:v>2500</x:v>
      </x:c>
      <x:c r="E1029" s="47" t="n">
        <x:v>1</x:v>
      </x:c>
      <x:c r="F1029" s="47" t="n">
        <x:v>1</x:v>
      </x:c>
      <x:c r="G1029" s="47" t="n">
        <x:v>1</x:v>
      </x:c>
      <x:c r="H1029" s="47" t="n">
        <x:v>1</x:v>
      </x:c>
      <x:c r="I1029" s="47" t="n">
        <x:v>1</x:v>
      </x:c>
      <x:c r="J1029" s="47" t="n">
        <x:v>1</x:v>
      </x:c>
      <x:c r="K1029" s="47" t="n">
        <x:v>1</x:v>
      </x:c>
      <x:c r="L1029" s="47" t="n">
        <x:v>1</x:v>
      </x:c>
      <x:c r="M1029" s="29" t="n">
        <x:v>1</x:v>
      </x:c>
    </x:row>
    <x:row r="1030" ht="15" hidden="0" customHeight="1">
      <x:c r="A1030" s="27" t="n">
        <x:v>26</x:v>
      </x:c>
      <x:c r="B1030" s="27" t="n">
        <x:v>330930</x:v>
      </x:c>
      <x:c r="C1030" s="27" t="str">
        <x:v>A2</x:v>
      </x:c>
      <x:c r="D1030" s="52" t="n">
        <x:v>2500</x:v>
      </x:c>
      <x:c r="E1030" s="46" t="n">
        <x:v>1</x:v>
      </x:c>
      <x:c r="F1030" s="46" t="n">
        <x:v>1</x:v>
      </x:c>
      <x:c r="G1030" s="46" t="n">
        <x:v>1</x:v>
      </x:c>
      <x:c r="H1030" s="46" t="n">
        <x:v>1</x:v>
      </x:c>
      <x:c r="I1030" s="46" t="n">
        <x:v>1</x:v>
      </x:c>
      <x:c r="J1030" s="46" t="n">
        <x:v>1</x:v>
      </x:c>
      <x:c r="K1030" s="46" t="n">
        <x:v>1</x:v>
      </x:c>
      <x:c r="L1030" s="46" t="n">
        <x:v>1</x:v>
      </x:c>
      <x:c r="M1030" s="27" t="n">
        <x:v>1</x:v>
      </x:c>
    </x:row>
    <x:row r="1031" ht="15" hidden="0" customHeight="1">
      <x:c r="A1031" s="29" t="n">
        <x:v>27</x:v>
      </x:c>
      <x:c r="B1031" s="29" t="n">
        <x:v>330931</x:v>
      </x:c>
      <x:c r="C1031" s="29" t="str">
        <x:v>A2</x:v>
      </x:c>
      <x:c r="D1031" s="53" t="n">
        <x:v>2500</x:v>
      </x:c>
      <x:c r="E1031" s="47" t="n">
        <x:v>1</x:v>
      </x:c>
      <x:c r="F1031" s="47" t="n">
        <x:v>1</x:v>
      </x:c>
      <x:c r="G1031" s="47" t="n">
        <x:v>1</x:v>
      </x:c>
      <x:c r="H1031" s="47" t="n">
        <x:v>1</x:v>
      </x:c>
      <x:c r="I1031" s="47" t="n">
        <x:v>1</x:v>
      </x:c>
      <x:c r="J1031" s="47" t="n">
        <x:v>1</x:v>
      </x:c>
      <x:c r="K1031" s="47" t="n">
        <x:v>1</x:v>
      </x:c>
      <x:c r="L1031" s="47" t="n">
        <x:v>1</x:v>
      </x:c>
      <x:c r="M1031" s="29" t="n">
        <x:v>1</x:v>
      </x:c>
    </x:row>
    <x:row r="1032" ht="15" hidden="0" customHeight="1">
      <x:c r="A1032" s="27" t="n">
        <x:v>28</x:v>
      </x:c>
      <x:c r="B1032" s="27" t="n">
        <x:v>330932</x:v>
      </x:c>
      <x:c r="C1032" s="27" t="str">
        <x:v>A2</x:v>
      </x:c>
      <x:c r="D1032" s="52" t="n">
        <x:v>2500</x:v>
      </x:c>
      <x:c r="E1032" s="46" t="n">
        <x:v>1</x:v>
      </x:c>
      <x:c r="F1032" s="46" t="n">
        <x:v>0.9999999999999998</x:v>
      </x:c>
      <x:c r="G1032" s="46" t="n">
        <x:v>1</x:v>
      </x:c>
      <x:c r="H1032" s="46" t="n">
        <x:v>1</x:v>
      </x:c>
      <x:c r="I1032" s="46" t="n">
        <x:v>1</x:v>
      </x:c>
      <x:c r="J1032" s="46" t="n">
        <x:v>1</x:v>
      </x:c>
      <x:c r="K1032" s="46" t="n">
        <x:v>1</x:v>
      </x:c>
      <x:c r="L1032" s="46" t="n">
        <x:v>1</x:v>
      </x:c>
      <x:c r="M1032" s="27" t="n">
        <x:v>1</x:v>
      </x:c>
    </x:row>
    <x:row r="1033" ht="15" hidden="0" customHeight="1">
      <x:c r="A1033" s="29" t="n">
        <x:v>29</x:v>
      </x:c>
      <x:c r="B1033" s="29" t="n">
        <x:v>330933</x:v>
      </x:c>
      <x:c r="C1033" s="29" t="str">
        <x:v>A2</x:v>
      </x:c>
      <x:c r="D1033" s="53" t="n">
        <x:v>2500</x:v>
      </x:c>
      <x:c r="E1033" s="47" t="n">
        <x:v>1</x:v>
      </x:c>
      <x:c r="F1033" s="47" t="n">
        <x:v>1</x:v>
      </x:c>
      <x:c r="G1033" s="47" t="n">
        <x:v>1</x:v>
      </x:c>
      <x:c r="H1033" s="47" t="n">
        <x:v>1</x:v>
      </x:c>
      <x:c r="I1033" s="47" t="n">
        <x:v>1</x:v>
      </x:c>
      <x:c r="J1033" s="47" t="n">
        <x:v>1</x:v>
      </x:c>
      <x:c r="K1033" s="47" t="n">
        <x:v>1</x:v>
      </x:c>
      <x:c r="L1033" s="47" t="n">
        <x:v>1</x:v>
      </x:c>
      <x:c r="M1033" s="29" t="n">
        <x:v>1</x:v>
      </x:c>
    </x:row>
    <x:row r="1034" ht="15" hidden="0" customHeight="1">
      <x:c r="A1034" s="27" t="n">
        <x:v>30</x:v>
      </x:c>
      <x:c r="B1034" s="27" t="n">
        <x:v>330934</x:v>
      </x:c>
      <x:c r="C1034" s="27" t="str">
        <x:v>A2</x:v>
      </x:c>
      <x:c r="D1034" s="52" t="n">
        <x:v>2500</x:v>
      </x:c>
      <x:c r="E1034" s="46" t="n">
        <x:v>1</x:v>
      </x:c>
      <x:c r="F1034" s="46" t="n">
        <x:v>0.9999999999999998</x:v>
      </x:c>
      <x:c r="G1034" s="46" t="n">
        <x:v>1</x:v>
      </x:c>
      <x:c r="H1034" s="46" t="n">
        <x:v>1</x:v>
      </x:c>
      <x:c r="I1034" s="46" t="n">
        <x:v>1</x:v>
      </x:c>
      <x:c r="J1034" s="46" t="n">
        <x:v>1</x:v>
      </x:c>
      <x:c r="K1034" s="46" t="n">
        <x:v>1</x:v>
      </x:c>
      <x:c r="L1034" s="46" t="n">
        <x:v>1</x:v>
      </x:c>
      <x:c r="M1034" s="27" t="n">
        <x:v>1</x:v>
      </x:c>
    </x:row>
    <x:row r="1035" ht="15" hidden="0" customHeight="1">
      <x:c r="A1035" s="29" t="n">
        <x:v>31</x:v>
      </x:c>
      <x:c r="B1035" s="29" t="n">
        <x:v>330935</x:v>
      </x:c>
      <x:c r="C1035" s="29" t="str">
        <x:v>A2</x:v>
      </x:c>
      <x:c r="D1035" s="53" t="n">
        <x:v>2500</x:v>
      </x:c>
      <x:c r="E1035" s="47" t="n">
        <x:v>1</x:v>
      </x:c>
      <x:c r="F1035" s="47" t="n">
        <x:v>1</x:v>
      </x:c>
      <x:c r="G1035" s="47" t="n">
        <x:v>1</x:v>
      </x:c>
      <x:c r="H1035" s="47" t="n">
        <x:v>1</x:v>
      </x:c>
      <x:c r="I1035" s="47" t="n">
        <x:v>1</x:v>
      </x:c>
      <x:c r="J1035" s="47" t="n">
        <x:v>1</x:v>
      </x:c>
      <x:c r="K1035" s="47" t="n">
        <x:v>1</x:v>
      </x:c>
      <x:c r="L1035" s="47" t="n">
        <x:v>1</x:v>
      </x:c>
      <x:c r="M1035" s="29" t="n">
        <x:v>1</x:v>
      </x:c>
    </x:row>
    <x:row r="1036" ht="15" hidden="0" customHeight="1">
      <x:c r="A1036" s="27" t="n">
        <x:v>32</x:v>
      </x:c>
      <x:c r="B1036" s="27" t="n">
        <x:v>330936</x:v>
      </x:c>
      <x:c r="C1036" s="27" t="str">
        <x:v>A2</x:v>
      </x:c>
      <x:c r="D1036" s="52" t="n">
        <x:v>2500</x:v>
      </x:c>
      <x:c r="E1036" s="46" t="n">
        <x:v>1</x:v>
      </x:c>
      <x:c r="F1036" s="46" t="n">
        <x:v>1</x:v>
      </x:c>
      <x:c r="G1036" s="46" t="n">
        <x:v>1</x:v>
      </x:c>
      <x:c r="H1036" s="46" t="n">
        <x:v>1</x:v>
      </x:c>
      <x:c r="I1036" s="46" t="n">
        <x:v>1</x:v>
      </x:c>
      <x:c r="J1036" s="46" t="n">
        <x:v>1</x:v>
      </x:c>
      <x:c r="K1036" s="46" t="n">
        <x:v>1</x:v>
      </x:c>
      <x:c r="L1036" s="46" t="n">
        <x:v>1</x:v>
      </x:c>
      <x:c r="M1036" s="27" t="n">
        <x:v>1</x:v>
      </x:c>
    </x:row>
    <x:row r="1037" ht="15" hidden="0" customHeight="1">
      <x:c r="A1037" s="29" t="n">
        <x:v>33</x:v>
      </x:c>
      <x:c r="B1037" s="29" t="n">
        <x:v>330937</x:v>
      </x:c>
      <x:c r="C1037" s="29" t="str">
        <x:v>A2</x:v>
      </x:c>
      <x:c r="D1037" s="53" t="n">
        <x:v>2500</x:v>
      </x:c>
      <x:c r="E1037" s="47" t="n">
        <x:v>1</x:v>
      </x:c>
      <x:c r="F1037" s="47" t="n">
        <x:v>1</x:v>
      </x:c>
      <x:c r="G1037" s="47" t="n">
        <x:v>1</x:v>
      </x:c>
      <x:c r="H1037" s="47" t="n">
        <x:v>1</x:v>
      </x:c>
      <x:c r="I1037" s="47" t="n">
        <x:v>1</x:v>
      </x:c>
      <x:c r="J1037" s="47" t="n">
        <x:v>1</x:v>
      </x:c>
      <x:c r="K1037" s="47" t="n">
        <x:v>1</x:v>
      </x:c>
      <x:c r="L1037" s="47" t="n">
        <x:v>1</x:v>
      </x:c>
      <x:c r="M1037" s="29" t="n">
        <x:v>1</x:v>
      </x:c>
    </x:row>
    <x:row r="1038" ht="15" hidden="0" customHeight="1">
      <x:c r="A1038" s="27" t="n">
        <x:v>34</x:v>
      </x:c>
      <x:c r="B1038" s="27" t="n">
        <x:v>330938</x:v>
      </x:c>
      <x:c r="C1038" s="27" t="str">
        <x:v>A2</x:v>
      </x:c>
      <x:c r="D1038" s="52" t="n">
        <x:v>2500</x:v>
      </x:c>
      <x:c r="E1038" s="46" t="n">
        <x:v>1</x:v>
      </x:c>
      <x:c r="F1038" s="46" t="n">
        <x:v>1</x:v>
      </x:c>
      <x:c r="G1038" s="46" t="n">
        <x:v>1</x:v>
      </x:c>
      <x:c r="H1038" s="46" t="n">
        <x:v>1</x:v>
      </x:c>
      <x:c r="I1038" s="46" t="n">
        <x:v>1</x:v>
      </x:c>
      <x:c r="J1038" s="46" t="n">
        <x:v>1</x:v>
      </x:c>
      <x:c r="K1038" s="46" t="n">
        <x:v>1</x:v>
      </x:c>
      <x:c r="L1038" s="46" t="n">
        <x:v>1</x:v>
      </x:c>
      <x:c r="M1038" s="27" t="n">
        <x:v>1</x:v>
      </x:c>
    </x:row>
    <x:row r="1039" ht="15" hidden="0" customHeight="1">
      <x:c r="A1039" s="29" t="n">
        <x:v>35</x:v>
      </x:c>
      <x:c r="B1039" s="29" t="n">
        <x:v>330939</x:v>
      </x:c>
      <x:c r="C1039" s="29" t="str">
        <x:v>A2</x:v>
      </x:c>
      <x:c r="D1039" s="53" t="n">
        <x:v>2500</x:v>
      </x:c>
      <x:c r="E1039" s="47" t="n">
        <x:v>1</x:v>
      </x:c>
      <x:c r="F1039" s="47" t="n">
        <x:v>1</x:v>
      </x:c>
      <x:c r="G1039" s="47" t="n">
        <x:v>1</x:v>
      </x:c>
      <x:c r="H1039" s="47" t="n">
        <x:v>1</x:v>
      </x:c>
      <x:c r="I1039" s="47" t="n">
        <x:v>1</x:v>
      </x:c>
      <x:c r="J1039" s="47" t="n">
        <x:v>1</x:v>
      </x:c>
      <x:c r="K1039" s="47" t="n">
        <x:v>1</x:v>
      </x:c>
      <x:c r="L1039" s="47" t="n">
        <x:v>1</x:v>
      </x:c>
      <x:c r="M1039" s="29" t="n">
        <x:v>1</x:v>
      </x:c>
    </x:row>
    <x:row r="1040" ht="15" hidden="0" customHeight="1">
      <x:c r="A1040" s="27" t="n">
        <x:v>36</x:v>
      </x:c>
      <x:c r="B1040" s="27" t="n">
        <x:v>330940</x:v>
      </x:c>
      <x:c r="C1040" s="27" t="str">
        <x:v>A2</x:v>
      </x:c>
      <x:c r="D1040" s="52" t="n">
        <x:v>2500</x:v>
      </x:c>
      <x:c r="E1040" s="46" t="n">
        <x:v>1</x:v>
      </x:c>
      <x:c r="F1040" s="46" t="n">
        <x:v>1</x:v>
      </x:c>
      <x:c r="G1040" s="46" t="n">
        <x:v>1</x:v>
      </x:c>
      <x:c r="H1040" s="46" t="n">
        <x:v>1</x:v>
      </x:c>
      <x:c r="I1040" s="46" t="n">
        <x:v>1</x:v>
      </x:c>
      <x:c r="J1040" s="46" t="n">
        <x:v>1</x:v>
      </x:c>
      <x:c r="K1040" s="46" t="n">
        <x:v>1</x:v>
      </x:c>
      <x:c r="L1040" s="46" t="n">
        <x:v>1</x:v>
      </x:c>
      <x:c r="M1040" s="27" t="n">
        <x:v>1</x:v>
      </x:c>
    </x:row>
    <x:row r="1041" ht="15" hidden="0" customHeight="1">
      <x:c r="A1041" s="29" t="n">
        <x:v>37</x:v>
      </x:c>
      <x:c r="B1041" s="29" t="n">
        <x:v>330941</x:v>
      </x:c>
      <x:c r="C1041" s="29" t="str">
        <x:v>A2</x:v>
      </x:c>
      <x:c r="D1041" s="53" t="n">
        <x:v>2500</x:v>
      </x:c>
      <x:c r="E1041" s="47" t="n">
        <x:v>1</x:v>
      </x:c>
      <x:c r="F1041" s="47" t="n">
        <x:v>0.9999999999999998</x:v>
      </x:c>
      <x:c r="G1041" s="47" t="n">
        <x:v>1</x:v>
      </x:c>
      <x:c r="H1041" s="47" t="n">
        <x:v>1</x:v>
      </x:c>
      <x:c r="I1041" s="47" t="n">
        <x:v>1</x:v>
      </x:c>
      <x:c r="J1041" s="47" t="n">
        <x:v>1</x:v>
      </x:c>
      <x:c r="K1041" s="47" t="n">
        <x:v>1</x:v>
      </x:c>
      <x:c r="L1041" s="47" t="n">
        <x:v>1</x:v>
      </x:c>
      <x:c r="M1041" s="29" t="n">
        <x:v>1</x:v>
      </x:c>
    </x:row>
    <x:row r="1042" ht="15" hidden="0" customHeight="1">
      <x:c r="A1042" s="27" t="n">
        <x:v>38</x:v>
      </x:c>
      <x:c r="B1042" s="27" t="n">
        <x:v>330942</x:v>
      </x:c>
      <x:c r="C1042" s="27" t="str">
        <x:v>A2</x:v>
      </x:c>
      <x:c r="D1042" s="52" t="n">
        <x:v>2500</x:v>
      </x:c>
      <x:c r="E1042" s="46" t="n">
        <x:v>1</x:v>
      </x:c>
      <x:c r="F1042" s="46" t="n">
        <x:v>1</x:v>
      </x:c>
      <x:c r="G1042" s="46" t="n">
        <x:v>1</x:v>
      </x:c>
      <x:c r="H1042" s="46" t="n">
        <x:v>1</x:v>
      </x:c>
      <x:c r="I1042" s="46" t="n">
        <x:v>1</x:v>
      </x:c>
      <x:c r="J1042" s="46" t="n">
        <x:v>1</x:v>
      </x:c>
      <x:c r="K1042" s="46" t="n">
        <x:v>1</x:v>
      </x:c>
      <x:c r="L1042" s="46" t="n">
        <x:v>1</x:v>
      </x:c>
      <x:c r="M1042" s="27" t="n">
        <x:v>1</x:v>
      </x:c>
    </x:row>
    <x:row r="1043" ht="15" hidden="0" customHeight="1">
      <x:c r="A1043" s="29" t="n">
        <x:v>39</x:v>
      </x:c>
      <x:c r="B1043" s="29" t="n">
        <x:v>330943</x:v>
      </x:c>
      <x:c r="C1043" s="29" t="str">
        <x:v>A2</x:v>
      </x:c>
      <x:c r="D1043" s="53" t="n">
        <x:v>2500</x:v>
      </x:c>
      <x:c r="E1043" s="47" t="n">
        <x:v>1</x:v>
      </x:c>
      <x:c r="F1043" s="47" t="n">
        <x:v>1</x:v>
      </x:c>
      <x:c r="G1043" s="47" t="n">
        <x:v>1</x:v>
      </x:c>
      <x:c r="H1043" s="47" t="n">
        <x:v>1</x:v>
      </x:c>
      <x:c r="I1043" s="47" t="n">
        <x:v>1</x:v>
      </x:c>
      <x:c r="J1043" s="47" t="n">
        <x:v>1</x:v>
      </x:c>
      <x:c r="K1043" s="47" t="n">
        <x:v>1</x:v>
      </x:c>
      <x:c r="L1043" s="47" t="n">
        <x:v>1</x:v>
      </x:c>
      <x:c r="M1043" s="29" t="n">
        <x:v>1</x:v>
      </x:c>
    </x:row>
    <x:row r="1044" ht="15" hidden="0" customHeight="1">
      <x:c r="A1044" s="27" t="n">
        <x:v>40</x:v>
      </x:c>
      <x:c r="B1044" s="27" t="n">
        <x:v>330944</x:v>
      </x:c>
      <x:c r="C1044" s="27" t="str">
        <x:v>A2</x:v>
      </x:c>
      <x:c r="D1044" s="52" t="n">
        <x:v>2500</x:v>
      </x:c>
      <x:c r="E1044" s="46" t="n">
        <x:v>1</x:v>
      </x:c>
      <x:c r="F1044" s="46" t="n">
        <x:v>1</x:v>
      </x:c>
      <x:c r="G1044" s="46" t="n">
        <x:v>1</x:v>
      </x:c>
      <x:c r="H1044" s="46" t="n">
        <x:v>1</x:v>
      </x:c>
      <x:c r="I1044" s="46" t="n">
        <x:v>1</x:v>
      </x:c>
      <x:c r="J1044" s="46" t="n">
        <x:v>1</x:v>
      </x:c>
      <x:c r="K1044" s="46" t="n">
        <x:v>1</x:v>
      </x:c>
      <x:c r="L1044" s="46" t="n">
        <x:v>1</x:v>
      </x:c>
      <x:c r="M1044" s="27" t="n">
        <x:v>1</x:v>
      </x:c>
    </x:row>
    <x:row r="1045" ht="15" hidden="0" customHeight="1">
      <x:c r="A1045" s="29" t="n">
        <x:v>41</x:v>
      </x:c>
      <x:c r="B1045" s="29" t="n">
        <x:v>330945</x:v>
      </x:c>
      <x:c r="C1045" s="29" t="str">
        <x:v>A2</x:v>
      </x:c>
      <x:c r="D1045" s="53" t="n">
        <x:v>2500</x:v>
      </x:c>
      <x:c r="E1045" s="47" t="n">
        <x:v>1</x:v>
      </x:c>
      <x:c r="F1045" s="47" t="n">
        <x:v>1</x:v>
      </x:c>
      <x:c r="G1045" s="47" t="n">
        <x:v>1</x:v>
      </x:c>
      <x:c r="H1045" s="47" t="n">
        <x:v>1</x:v>
      </x:c>
      <x:c r="I1045" s="47" t="n">
        <x:v>1</x:v>
      </x:c>
      <x:c r="J1045" s="47" t="n">
        <x:v>1</x:v>
      </x:c>
      <x:c r="K1045" s="47" t="n">
        <x:v>1</x:v>
      </x:c>
      <x:c r="L1045" s="47" t="n">
        <x:v>1</x:v>
      </x:c>
      <x:c r="M1045" s="29" t="n">
        <x:v>1</x:v>
      </x:c>
    </x:row>
    <x:row r="1046" ht="15" hidden="0" customHeight="1">
      <x:c r="A1046" s="27" t="n">
        <x:v>42</x:v>
      </x:c>
      <x:c r="B1046" s="27" t="n">
        <x:v>330946</x:v>
      </x:c>
      <x:c r="C1046" s="27" t="str">
        <x:v>A2</x:v>
      </x:c>
      <x:c r="D1046" s="52" t="n">
        <x:v>2500</x:v>
      </x:c>
      <x:c r="E1046" s="46" t="n">
        <x:v>1</x:v>
      </x:c>
      <x:c r="F1046" s="46" t="n">
        <x:v>1</x:v>
      </x:c>
      <x:c r="G1046" s="46" t="n">
        <x:v>1</x:v>
      </x:c>
      <x:c r="H1046" s="46" t="n">
        <x:v>1</x:v>
      </x:c>
      <x:c r="I1046" s="46" t="n">
        <x:v>1</x:v>
      </x:c>
      <x:c r="J1046" s="46" t="n">
        <x:v>1</x:v>
      </x:c>
      <x:c r="K1046" s="46" t="n">
        <x:v>1</x:v>
      </x:c>
      <x:c r="L1046" s="46" t="n">
        <x:v>1</x:v>
      </x:c>
      <x:c r="M1046" s="27" t="n">
        <x:v>1</x:v>
      </x:c>
    </x:row>
    <x:row r="1047" ht="15" hidden="0" customHeight="1">
      <x:c r="A1047" s="29" t="n">
        <x:v>43</x:v>
      </x:c>
      <x:c r="B1047" s="29" t="n">
        <x:v>330947</x:v>
      </x:c>
      <x:c r="C1047" s="29" t="str">
        <x:v>A2</x:v>
      </x:c>
      <x:c r="D1047" s="53" t="n">
        <x:v>2500</x:v>
      </x:c>
      <x:c r="E1047" s="47" t="n">
        <x:v>1</x:v>
      </x:c>
      <x:c r="F1047" s="47" t="n">
        <x:v>1</x:v>
      </x:c>
      <x:c r="G1047" s="47" t="n">
        <x:v>1</x:v>
      </x:c>
      <x:c r="H1047" s="47" t="n">
        <x:v>1</x:v>
      </x:c>
      <x:c r="I1047" s="47" t="n">
        <x:v>1</x:v>
      </x:c>
      <x:c r="J1047" s="47" t="n">
        <x:v>1</x:v>
      </x:c>
      <x:c r="K1047" s="47" t="n">
        <x:v>1</x:v>
      </x:c>
      <x:c r="L1047" s="47" t="n">
        <x:v>1</x:v>
      </x:c>
      <x:c r="M1047" s="29" t="n">
        <x:v>1</x:v>
      </x:c>
    </x:row>
    <x:row r="1048" ht="15" hidden="0" customHeight="1">
      <x:c r="A1048" s="27" t="n">
        <x:v>44</x:v>
      </x:c>
      <x:c r="B1048" s="27" t="n">
        <x:v>330948</x:v>
      </x:c>
      <x:c r="C1048" s="27" t="str">
        <x:v>A2</x:v>
      </x:c>
      <x:c r="D1048" s="52" t="n">
        <x:v>2500</x:v>
      </x:c>
      <x:c r="E1048" s="46" t="n">
        <x:v>1</x:v>
      </x:c>
      <x:c r="F1048" s="46" t="n">
        <x:v>1</x:v>
      </x:c>
      <x:c r="G1048" s="46" t="n">
        <x:v>1</x:v>
      </x:c>
      <x:c r="H1048" s="46" t="n">
        <x:v>1</x:v>
      </x:c>
      <x:c r="I1048" s="46" t="n">
        <x:v>1</x:v>
      </x:c>
      <x:c r="J1048" s="46" t="n">
        <x:v>1</x:v>
      </x:c>
      <x:c r="K1048" s="46" t="n">
        <x:v>1</x:v>
      </x:c>
      <x:c r="L1048" s="46" t="n">
        <x:v>1</x:v>
      </x:c>
      <x:c r="M1048" s="27" t="n">
        <x:v>1</x:v>
      </x:c>
    </x:row>
    <x:row r="1049" ht="15" hidden="0" customHeight="1">
      <x:c r="A1049" s="29" t="n">
        <x:v>45</x:v>
      </x:c>
      <x:c r="B1049" s="29" t="n">
        <x:v>330949</x:v>
      </x:c>
      <x:c r="C1049" s="29" t="str">
        <x:v>A2</x:v>
      </x:c>
      <x:c r="D1049" s="53" t="n">
        <x:v>2500</x:v>
      </x:c>
      <x:c r="E1049" s="47" t="n">
        <x:v>1</x:v>
      </x:c>
      <x:c r="F1049" s="47" t="n">
        <x:v>1</x:v>
      </x:c>
      <x:c r="G1049" s="47" t="n">
        <x:v>1</x:v>
      </x:c>
      <x:c r="H1049" s="47" t="n">
        <x:v>1</x:v>
      </x:c>
      <x:c r="I1049" s="47" t="n">
        <x:v>1</x:v>
      </x:c>
      <x:c r="J1049" s="47" t="n">
        <x:v>1</x:v>
      </x:c>
      <x:c r="K1049" s="47" t="n">
        <x:v>1</x:v>
      </x:c>
      <x:c r="L1049" s="47" t="n">
        <x:v>1</x:v>
      </x:c>
      <x:c r="M1049" s="29" t="n">
        <x:v>1</x:v>
      </x:c>
    </x:row>
    <x:row r="1050" ht="15" hidden="0" customHeight="1">
      <x:c r="A1050" s="27" t="n">
        <x:v>46</x:v>
      </x:c>
      <x:c r="B1050" s="27" t="n">
        <x:v>330950</x:v>
      </x:c>
      <x:c r="C1050" s="27" t="str">
        <x:v>A2</x:v>
      </x:c>
      <x:c r="D1050" s="52" t="n">
        <x:v>2500</x:v>
      </x:c>
      <x:c r="E1050" s="46" t="n">
        <x:v>1</x:v>
      </x:c>
      <x:c r="F1050" s="46" t="n">
        <x:v>1</x:v>
      </x:c>
      <x:c r="G1050" s="46" t="n">
        <x:v>1</x:v>
      </x:c>
      <x:c r="H1050" s="46" t="n">
        <x:v>1</x:v>
      </x:c>
      <x:c r="I1050" s="46" t="n">
        <x:v>1</x:v>
      </x:c>
      <x:c r="J1050" s="46" t="n">
        <x:v>1</x:v>
      </x:c>
      <x:c r="K1050" s="46" t="n">
        <x:v>1</x:v>
      </x:c>
      <x:c r="L1050" s="46" t="n">
        <x:v>1</x:v>
      </x:c>
      <x:c r="M1050" s="27" t="n">
        <x:v>1</x:v>
      </x:c>
    </x:row>
    <x:row r="1051" ht="15" hidden="0" customHeight="1">
      <x:c r="A1051" s="29" t="n">
        <x:v>47</x:v>
      </x:c>
      <x:c r="B1051" s="29" t="n">
        <x:v>330951</x:v>
      </x:c>
      <x:c r="C1051" s="29" t="str">
        <x:v>A2</x:v>
      </x:c>
      <x:c r="D1051" s="53" t="n">
        <x:v>2500</x:v>
      </x:c>
      <x:c r="E1051" s="47" t="n">
        <x:v>1</x:v>
      </x:c>
      <x:c r="F1051" s="47" t="n">
        <x:v>1</x:v>
      </x:c>
      <x:c r="G1051" s="47" t="n">
        <x:v>1</x:v>
      </x:c>
      <x:c r="H1051" s="47" t="n">
        <x:v>1</x:v>
      </x:c>
      <x:c r="I1051" s="47" t="n">
        <x:v>1</x:v>
      </x:c>
      <x:c r="J1051" s="47" t="n">
        <x:v>1</x:v>
      </x:c>
      <x:c r="K1051" s="47" t="n">
        <x:v>1</x:v>
      </x:c>
      <x:c r="L1051" s="47" t="n">
        <x:v>1</x:v>
      </x:c>
      <x:c r="M1051" s="29" t="n">
        <x:v>1</x:v>
      </x:c>
    </x:row>
    <x:row r="1052" ht="15" hidden="0" customHeight="1">
      <x:c r="A1052" s="27" t="n">
        <x:v>48</x:v>
      </x:c>
      <x:c r="B1052" s="27" t="n">
        <x:v>330952</x:v>
      </x:c>
      <x:c r="C1052" s="27" t="str">
        <x:v>A2</x:v>
      </x:c>
      <x:c r="D1052" s="52" t="n">
        <x:v>2500</x:v>
      </x:c>
      <x:c r="E1052" s="46" t="n">
        <x:v>1</x:v>
      </x:c>
      <x:c r="F1052" s="46" t="n">
        <x:v>1</x:v>
      </x:c>
      <x:c r="G1052" s="46" t="n">
        <x:v>1</x:v>
      </x:c>
      <x:c r="H1052" s="46" t="n">
        <x:v>1</x:v>
      </x:c>
      <x:c r="I1052" s="46" t="n">
        <x:v>1</x:v>
      </x:c>
      <x:c r="J1052" s="46" t="n">
        <x:v>1</x:v>
      </x:c>
      <x:c r="K1052" s="46" t="n">
        <x:v>1</x:v>
      </x:c>
      <x:c r="L1052" s="46" t="n">
        <x:v>1</x:v>
      </x:c>
      <x:c r="M1052" s="27" t="n">
        <x:v>1</x:v>
      </x:c>
    </x:row>
    <x:row r="1053" ht="15" hidden="0" customHeight="1">
      <x:c r="A1053" s="29" t="n">
        <x:v>49</x:v>
      </x:c>
      <x:c r="B1053" s="29" t="n">
        <x:v>330953</x:v>
      </x:c>
      <x:c r="C1053" s="29" t="str">
        <x:v>A2</x:v>
      </x:c>
      <x:c r="D1053" s="53" t="n">
        <x:v>2500</x:v>
      </x:c>
      <x:c r="E1053" s="47" t="n">
        <x:v>1</x:v>
      </x:c>
      <x:c r="F1053" s="47" t="n">
        <x:v>1</x:v>
      </x:c>
      <x:c r="G1053" s="47" t="n">
        <x:v>1</x:v>
      </x:c>
      <x:c r="H1053" s="47" t="n">
        <x:v>1</x:v>
      </x:c>
      <x:c r="I1053" s="47" t="n">
        <x:v>1</x:v>
      </x:c>
      <x:c r="J1053" s="47" t="n">
        <x:v>1</x:v>
      </x:c>
      <x:c r="K1053" s="47" t="n">
        <x:v>1</x:v>
      </x:c>
      <x:c r="L1053" s="47" t="n">
        <x:v>1</x:v>
      </x:c>
      <x:c r="M1053" s="29" t="n">
        <x:v>1</x:v>
      </x:c>
    </x:row>
    <x:row r="1054" ht="15" hidden="0" customHeight="1">
      <x:c r="A1054" s="27" t="n">
        <x:v>50</x:v>
      </x:c>
      <x:c r="B1054" s="27" t="n">
        <x:v>330954</x:v>
      </x:c>
      <x:c r="C1054" s="27" t="str">
        <x:v>A2</x:v>
      </x:c>
      <x:c r="D1054" s="52" t="n">
        <x:v>2500</x:v>
      </x:c>
      <x:c r="E1054" s="46" t="n">
        <x:v>1</x:v>
      </x:c>
      <x:c r="F1054" s="46" t="n">
        <x:v>0.9999999999999998</x:v>
      </x:c>
      <x:c r="G1054" s="46" t="n">
        <x:v>1</x:v>
      </x:c>
      <x:c r="H1054" s="46" t="n">
        <x:v>1</x:v>
      </x:c>
      <x:c r="I1054" s="46" t="n">
        <x:v>1</x:v>
      </x:c>
      <x:c r="J1054" s="46" t="n">
        <x:v>1</x:v>
      </x:c>
      <x:c r="K1054" s="46" t="n">
        <x:v>1</x:v>
      </x:c>
      <x:c r="L1054" s="46" t="n">
        <x:v>1</x:v>
      </x:c>
      <x:c r="M1054" s="27" t="n">
        <x:v>1</x:v>
      </x:c>
    </x:row>
    <x:row r="1055" ht="15" hidden="0" customHeight="1">
      <x:c r="A1055" s="29" t="n">
        <x:v>51</x:v>
      </x:c>
      <x:c r="B1055" s="29" t="n">
        <x:v>330955</x:v>
      </x:c>
      <x:c r="C1055" s="29" t="str">
        <x:v>A2</x:v>
      </x:c>
      <x:c r="D1055" s="53" t="n">
        <x:v>2500</x:v>
      </x:c>
      <x:c r="E1055" s="47" t="n">
        <x:v>1</x:v>
      </x:c>
      <x:c r="F1055" s="47" t="n">
        <x:v>1</x:v>
      </x:c>
      <x:c r="G1055" s="47" t="n">
        <x:v>1</x:v>
      </x:c>
      <x:c r="H1055" s="47" t="n">
        <x:v>1</x:v>
      </x:c>
      <x:c r="I1055" s="47" t="n">
        <x:v>1</x:v>
      </x:c>
      <x:c r="J1055" s="47" t="n">
        <x:v>1</x:v>
      </x:c>
      <x:c r="K1055" s="47" t="n">
        <x:v>1</x:v>
      </x:c>
      <x:c r="L1055" s="47" t="n">
        <x:v>1</x:v>
      </x:c>
      <x:c r="M1055" s="29" t="n">
        <x:v>1</x:v>
      </x:c>
    </x:row>
    <x:row r="1056" ht="15" hidden="0" customHeight="1">
      <x:c r="A1056" s="27" t="n">
        <x:v>52</x:v>
      </x:c>
      <x:c r="B1056" s="27" t="n">
        <x:v>330956</x:v>
      </x:c>
      <x:c r="C1056" s="27" t="str">
        <x:v>A2</x:v>
      </x:c>
      <x:c r="D1056" s="52" t="n">
        <x:v>2500</x:v>
      </x:c>
      <x:c r="E1056" s="46" t="n">
        <x:v>1</x:v>
      </x:c>
      <x:c r="F1056" s="46" t="n">
        <x:v>1</x:v>
      </x:c>
      <x:c r="G1056" s="46" t="n">
        <x:v>1</x:v>
      </x:c>
      <x:c r="H1056" s="46" t="n">
        <x:v>1</x:v>
      </x:c>
      <x:c r="I1056" s="46" t="n">
        <x:v>1</x:v>
      </x:c>
      <x:c r="J1056" s="46" t="n">
        <x:v>1</x:v>
      </x:c>
      <x:c r="K1056" s="46" t="n">
        <x:v>1</x:v>
      </x:c>
      <x:c r="L1056" s="46" t="n">
        <x:v>1</x:v>
      </x:c>
      <x:c r="M1056" s="27" t="n">
        <x:v>1</x:v>
      </x:c>
    </x:row>
    <x:row r="1057" ht="15" hidden="0" customHeight="1">
      <x:c r="A1057" s="29" t="n">
        <x:v>53</x:v>
      </x:c>
      <x:c r="B1057" s="29" t="n">
        <x:v>330957</x:v>
      </x:c>
      <x:c r="C1057" s="29" t="str">
        <x:v>A2</x:v>
      </x:c>
      <x:c r="D1057" s="53" t="n">
        <x:v>2500</x:v>
      </x:c>
      <x:c r="E1057" s="47" t="n">
        <x:v>1</x:v>
      </x:c>
      <x:c r="F1057" s="47" t="n">
        <x:v>1</x:v>
      </x:c>
      <x:c r="G1057" s="47" t="n">
        <x:v>1</x:v>
      </x:c>
      <x:c r="H1057" s="47" t="n">
        <x:v>1</x:v>
      </x:c>
      <x:c r="I1057" s="47" t="n">
        <x:v>1</x:v>
      </x:c>
      <x:c r="J1057" s="47" t="n">
        <x:v>1</x:v>
      </x:c>
      <x:c r="K1057" s="47" t="n">
        <x:v>1</x:v>
      </x:c>
      <x:c r="L1057" s="47" t="n">
        <x:v>1</x:v>
      </x:c>
      <x:c r="M1057" s="29" t="n">
        <x:v>1</x:v>
      </x:c>
    </x:row>
    <x:row r="1058" ht="15" hidden="0" customHeight="1">
      <x:c r="A1058" s="27" t="n">
        <x:v>54</x:v>
      </x:c>
      <x:c r="B1058" s="27" t="n">
        <x:v>330958</x:v>
      </x:c>
      <x:c r="C1058" s="27" t="str">
        <x:v>A2</x:v>
      </x:c>
      <x:c r="D1058" s="52" t="n">
        <x:v>2500</x:v>
      </x:c>
      <x:c r="E1058" s="46" t="n">
        <x:v>1</x:v>
      </x:c>
      <x:c r="F1058" s="46" t="n">
        <x:v>1</x:v>
      </x:c>
      <x:c r="G1058" s="46" t="n">
        <x:v>1</x:v>
      </x:c>
      <x:c r="H1058" s="46" t="n">
        <x:v>1</x:v>
      </x:c>
      <x:c r="I1058" s="46" t="n">
        <x:v>1</x:v>
      </x:c>
      <x:c r="J1058" s="46" t="n">
        <x:v>1</x:v>
      </x:c>
      <x:c r="K1058" s="46" t="n">
        <x:v>1</x:v>
      </x:c>
      <x:c r="L1058" s="46" t="n">
        <x:v>1</x:v>
      </x:c>
      <x:c r="M1058" s="27" t="n">
        <x:v>1</x:v>
      </x:c>
    </x:row>
    <x:row r="1059" ht="15" hidden="0" customHeight="1">
      <x:c r="A1059" s="29" t="n">
        <x:v>55</x:v>
      </x:c>
      <x:c r="B1059" s="29" t="n">
        <x:v>330959</x:v>
      </x:c>
      <x:c r="C1059" s="29" t="str">
        <x:v>A2</x:v>
      </x:c>
      <x:c r="D1059" s="53" t="n">
        <x:v>2500</x:v>
      </x:c>
      <x:c r="E1059" s="47" t="n">
        <x:v>1</x:v>
      </x:c>
      <x:c r="F1059" s="47" t="n">
        <x:v>1</x:v>
      </x:c>
      <x:c r="G1059" s="47" t="n">
        <x:v>1</x:v>
      </x:c>
      <x:c r="H1059" s="47" t="n">
        <x:v>1</x:v>
      </x:c>
      <x:c r="I1059" s="47" t="n">
        <x:v>1</x:v>
      </x:c>
      <x:c r="J1059" s="47" t="n">
        <x:v>1</x:v>
      </x:c>
      <x:c r="K1059" s="47" t="n">
        <x:v>1</x:v>
      </x:c>
      <x:c r="L1059" s="47" t="n">
        <x:v>0.9999999999999999</x:v>
      </x:c>
      <x:c r="M1059" s="29" t="n">
        <x:v>1</x:v>
      </x:c>
    </x:row>
    <x:row r="1060" ht="15" hidden="0" customHeight="1">
      <x:c r="A1060" s="27" t="n">
        <x:v>56</x:v>
      </x:c>
      <x:c r="B1060" s="27" t="n">
        <x:v>330960</x:v>
      </x:c>
      <x:c r="C1060" s="27" t="str">
        <x:v>A2</x:v>
      </x:c>
      <x:c r="D1060" s="52" t="n">
        <x:v>2500</x:v>
      </x:c>
      <x:c r="E1060" s="46" t="n">
        <x:v>1</x:v>
      </x:c>
      <x:c r="F1060" s="46" t="n">
        <x:v>1</x:v>
      </x:c>
      <x:c r="G1060" s="46" t="n">
        <x:v>1</x:v>
      </x:c>
      <x:c r="H1060" s="46" t="n">
        <x:v>1</x:v>
      </x:c>
      <x:c r="I1060" s="46" t="n">
        <x:v>1</x:v>
      </x:c>
      <x:c r="J1060" s="46" t="n">
        <x:v>1</x:v>
      </x:c>
      <x:c r="K1060" s="46" t="n">
        <x:v>1</x:v>
      </x:c>
      <x:c r="L1060" s="46" t="n">
        <x:v>1</x:v>
      </x:c>
      <x:c r="M1060" s="27" t="n">
        <x:v>1</x:v>
      </x:c>
    </x:row>
    <x:row r="1061" ht="15" hidden="0" customHeight="1">
      <x:c r="A1061" s="29" t="n">
        <x:v>57</x:v>
      </x:c>
      <x:c r="B1061" s="29" t="n">
        <x:v>330961</x:v>
      </x:c>
      <x:c r="C1061" s="29" t="str">
        <x:v>A2</x:v>
      </x:c>
      <x:c r="D1061" s="53" t="n">
        <x:v>2500</x:v>
      </x:c>
      <x:c r="E1061" s="47" t="n">
        <x:v>1</x:v>
      </x:c>
      <x:c r="F1061" s="47" t="n">
        <x:v>1</x:v>
      </x:c>
      <x:c r="G1061" s="47" t="n">
        <x:v>1</x:v>
      </x:c>
      <x:c r="H1061" s="47" t="n">
        <x:v>1</x:v>
      </x:c>
      <x:c r="I1061" s="47" t="n">
        <x:v>1</x:v>
      </x:c>
      <x:c r="J1061" s="47" t="n">
        <x:v>1</x:v>
      </x:c>
      <x:c r="K1061" s="47" t="n">
        <x:v>1</x:v>
      </x:c>
      <x:c r="L1061" s="47" t="n">
        <x:v>1</x:v>
      </x:c>
      <x:c r="M1061" s="29" t="n">
        <x:v>1</x:v>
      </x:c>
    </x:row>
    <x:row r="1062" ht="15" hidden="0" customHeight="1">
      <x:c r="A1062" s="27" t="n">
        <x:v>58</x:v>
      </x:c>
      <x:c r="B1062" s="27" t="n">
        <x:v>330962</x:v>
      </x:c>
      <x:c r="C1062" s="27" t="str">
        <x:v>A2</x:v>
      </x:c>
      <x:c r="D1062" s="52" t="n">
        <x:v>2500</x:v>
      </x:c>
      <x:c r="E1062" s="46" t="n">
        <x:v>1</x:v>
      </x:c>
      <x:c r="F1062" s="46" t="n">
        <x:v>1</x:v>
      </x:c>
      <x:c r="G1062" s="46" t="n">
        <x:v>1</x:v>
      </x:c>
      <x:c r="H1062" s="46" t="n">
        <x:v>1</x:v>
      </x:c>
      <x:c r="I1062" s="46" t="n">
        <x:v>1</x:v>
      </x:c>
      <x:c r="J1062" s="46" t="n">
        <x:v>1</x:v>
      </x:c>
      <x:c r="K1062" s="46" t="n">
        <x:v>1</x:v>
      </x:c>
      <x:c r="L1062" s="46" t="n">
        <x:v>1</x:v>
      </x:c>
      <x:c r="M1062" s="27" t="n">
        <x:v>1</x:v>
      </x:c>
    </x:row>
    <x:row r="1063" ht="15" hidden="0" customHeight="1">
      <x:c r="A1063" s="29" t="n">
        <x:v>59</x:v>
      </x:c>
      <x:c r="B1063" s="29" t="n">
        <x:v>330963</x:v>
      </x:c>
      <x:c r="C1063" s="29" t="str">
        <x:v>A2</x:v>
      </x:c>
      <x:c r="D1063" s="53" t="n">
        <x:v>2500</x:v>
      </x:c>
      <x:c r="E1063" s="47" t="n">
        <x:v>1</x:v>
      </x:c>
      <x:c r="F1063" s="47" t="n">
        <x:v>1</x:v>
      </x:c>
      <x:c r="G1063" s="47" t="n">
        <x:v>1</x:v>
      </x:c>
      <x:c r="H1063" s="47" t="n">
        <x:v>1</x:v>
      </x:c>
      <x:c r="I1063" s="47" t="n">
        <x:v>1</x:v>
      </x:c>
      <x:c r="J1063" s="47" t="n">
        <x:v>1</x:v>
      </x:c>
      <x:c r="K1063" s="47" t="n">
        <x:v>1</x:v>
      </x:c>
      <x:c r="L1063" s="47" t="n">
        <x:v>1</x:v>
      </x:c>
      <x:c r="M1063" s="29" t="n">
        <x:v>1</x:v>
      </x:c>
    </x:row>
    <x:row r="1064" ht="15" hidden="0" customHeight="1">
      <x:c r="A1064" s="27" t="n">
        <x:v>60</x:v>
      </x:c>
      <x:c r="B1064" s="27" t="n">
        <x:v>330964</x:v>
      </x:c>
      <x:c r="C1064" s="27" t="str">
        <x:v>A2</x:v>
      </x:c>
      <x:c r="D1064" s="52" t="n">
        <x:v>2500</x:v>
      </x:c>
      <x:c r="E1064" s="46" t="n">
        <x:v>1</x:v>
      </x:c>
      <x:c r="F1064" s="46" t="n">
        <x:v>1</x:v>
      </x:c>
      <x:c r="G1064" s="46" t="n">
        <x:v>1</x:v>
      </x:c>
      <x:c r="H1064" s="46" t="n">
        <x:v>1</x:v>
      </x:c>
      <x:c r="I1064" s="46" t="n">
        <x:v>1</x:v>
      </x:c>
      <x:c r="J1064" s="46" t="n">
        <x:v>1</x:v>
      </x:c>
      <x:c r="K1064" s="46" t="n">
        <x:v>1</x:v>
      </x:c>
      <x:c r="L1064" s="46" t="n">
        <x:v>1</x:v>
      </x:c>
      <x:c r="M1064" s="27" t="n">
        <x:v>1</x:v>
      </x:c>
    </x:row>
    <x:row r="1065" ht="15" hidden="0" customHeight="1">
      <x:c r="A1065" s="29" t="n">
        <x:v>61</x:v>
      </x:c>
      <x:c r="B1065" s="29" t="n">
        <x:v>330965</x:v>
      </x:c>
      <x:c r="C1065" s="29" t="str">
        <x:v>A2</x:v>
      </x:c>
      <x:c r="D1065" s="53" t="n">
        <x:v>2500</x:v>
      </x:c>
      <x:c r="E1065" s="47" t="n">
        <x:v>1</x:v>
      </x:c>
      <x:c r="F1065" s="47" t="n">
        <x:v>1</x:v>
      </x:c>
      <x:c r="G1065" s="47" t="n">
        <x:v>1</x:v>
      </x:c>
      <x:c r="H1065" s="47" t="n">
        <x:v>1</x:v>
      </x:c>
      <x:c r="I1065" s="47" t="n">
        <x:v>1</x:v>
      </x:c>
      <x:c r="J1065" s="47" t="n">
        <x:v>1</x:v>
      </x:c>
      <x:c r="K1065" s="47" t="n">
        <x:v>1</x:v>
      </x:c>
      <x:c r="L1065" s="47" t="n">
        <x:v>1</x:v>
      </x:c>
      <x:c r="M1065" s="29" t="n">
        <x:v>1</x:v>
      </x:c>
    </x:row>
    <x:row r="1066" ht="15" hidden="0" customHeight="1">
      <x:c r="A1066" s="27" t="n">
        <x:v>62</x:v>
      </x:c>
      <x:c r="B1066" s="27" t="n">
        <x:v>330966</x:v>
      </x:c>
      <x:c r="C1066" s="27" t="str">
        <x:v>A2</x:v>
      </x:c>
      <x:c r="D1066" s="52" t="n">
        <x:v>2500</x:v>
      </x:c>
      <x:c r="E1066" s="46" t="n">
        <x:v>1</x:v>
      </x:c>
      <x:c r="F1066" s="46" t="n">
        <x:v>1</x:v>
      </x:c>
      <x:c r="G1066" s="46" t="n">
        <x:v>1</x:v>
      </x:c>
      <x:c r="H1066" s="46" t="n">
        <x:v>1</x:v>
      </x:c>
      <x:c r="I1066" s="46" t="n">
        <x:v>1</x:v>
      </x:c>
      <x:c r="J1066" s="46" t="n">
        <x:v>1</x:v>
      </x:c>
      <x:c r="K1066" s="46" t="n">
        <x:v>1</x:v>
      </x:c>
      <x:c r="L1066" s="46" t="n">
        <x:v>1</x:v>
      </x:c>
      <x:c r="M1066" s="27" t="n">
        <x:v>1</x:v>
      </x:c>
    </x:row>
    <x:row r="1067" ht="15" hidden="0" customHeight="1">
      <x:c r="A1067" s="29" t="n">
        <x:v>63</x:v>
      </x:c>
      <x:c r="B1067" s="29" t="n">
        <x:v>330967</x:v>
      </x:c>
      <x:c r="C1067" s="29" t="str">
        <x:v>A2</x:v>
      </x:c>
      <x:c r="D1067" s="53" t="n">
        <x:v>2500</x:v>
      </x:c>
      <x:c r="E1067" s="47" t="n">
        <x:v>1</x:v>
      </x:c>
      <x:c r="F1067" s="47" t="n">
        <x:v>1</x:v>
      </x:c>
      <x:c r="G1067" s="47" t="n">
        <x:v>1</x:v>
      </x:c>
      <x:c r="H1067" s="47" t="n">
        <x:v>1</x:v>
      </x:c>
      <x:c r="I1067" s="47" t="n">
        <x:v>1</x:v>
      </x:c>
      <x:c r="J1067" s="47" t="n">
        <x:v>1</x:v>
      </x:c>
      <x:c r="K1067" s="47" t="n">
        <x:v>1</x:v>
      </x:c>
      <x:c r="L1067" s="47" t="n">
        <x:v>1</x:v>
      </x:c>
      <x:c r="M1067" s="29" t="n">
        <x:v>1</x:v>
      </x:c>
    </x:row>
    <x:row r="1068" ht="15" hidden="0" customHeight="1">
      <x:c r="A1068" s="27" t="n">
        <x:v>64</x:v>
      </x:c>
      <x:c r="B1068" s="27" t="n">
        <x:v>330968</x:v>
      </x:c>
      <x:c r="C1068" s="27" t="str">
        <x:v>A2</x:v>
      </x:c>
      <x:c r="D1068" s="52" t="n">
        <x:v>2500</x:v>
      </x:c>
      <x:c r="E1068" s="46" t="n">
        <x:v>1</x:v>
      </x:c>
      <x:c r="F1068" s="46" t="n">
        <x:v>0.9999999999999999</x:v>
      </x:c>
      <x:c r="G1068" s="46" t="n">
        <x:v>1</x:v>
      </x:c>
      <x:c r="H1068" s="46" t="n">
        <x:v>1</x:v>
      </x:c>
      <x:c r="I1068" s="46" t="n">
        <x:v>1</x:v>
      </x:c>
      <x:c r="J1068" s="46" t="n">
        <x:v>1</x:v>
      </x:c>
      <x:c r="K1068" s="46" t="n">
        <x:v>1</x:v>
      </x:c>
      <x:c r="L1068" s="46" t="n">
        <x:v>1</x:v>
      </x:c>
      <x:c r="M1068" s="27" t="n">
        <x:v>1</x:v>
      </x:c>
    </x:row>
    <x:row r="1069" ht="15" hidden="0" customHeight="1">
      <x:c r="A1069" s="29" t="n">
        <x:v>65</x:v>
      </x:c>
      <x:c r="B1069" s="29" t="n">
        <x:v>330969</x:v>
      </x:c>
      <x:c r="C1069" s="29" t="str">
        <x:v>A2</x:v>
      </x:c>
      <x:c r="D1069" s="53" t="n">
        <x:v>2500</x:v>
      </x:c>
      <x:c r="E1069" s="47" t="n">
        <x:v>1</x:v>
      </x:c>
      <x:c r="F1069" s="47" t="n">
        <x:v>1</x:v>
      </x:c>
      <x:c r="G1069" s="47" t="n">
        <x:v>1</x:v>
      </x:c>
      <x:c r="H1069" s="47" t="n">
        <x:v>1</x:v>
      </x:c>
      <x:c r="I1069" s="47" t="n">
        <x:v>1</x:v>
      </x:c>
      <x:c r="J1069" s="47" t="n">
        <x:v>1</x:v>
      </x:c>
      <x:c r="K1069" s="47" t="n">
        <x:v>1</x:v>
      </x:c>
      <x:c r="L1069" s="47" t="n">
        <x:v>1</x:v>
      </x:c>
      <x:c r="M1069" s="29" t="n">
        <x:v>1</x:v>
      </x:c>
    </x:row>
    <x:row r="1070" ht="15" hidden="0" customHeight="1">
      <x:c r="A1070" s="27" t="n">
        <x:v>66</x:v>
      </x:c>
      <x:c r="B1070" s="27" t="n">
        <x:v>330970</x:v>
      </x:c>
      <x:c r="C1070" s="27" t="str">
        <x:v>A2</x:v>
      </x:c>
      <x:c r="D1070" s="52" t="n">
        <x:v>2500</x:v>
      </x:c>
      <x:c r="E1070" s="46" t="n">
        <x:v>1</x:v>
      </x:c>
      <x:c r="F1070" s="46" t="n">
        <x:v>1</x:v>
      </x:c>
      <x:c r="G1070" s="46" t="n">
        <x:v>1</x:v>
      </x:c>
      <x:c r="H1070" s="46" t="n">
        <x:v>1</x:v>
      </x:c>
      <x:c r="I1070" s="46" t="n">
        <x:v>1</x:v>
      </x:c>
      <x:c r="J1070" s="46" t="n">
        <x:v>1</x:v>
      </x:c>
      <x:c r="K1070" s="46" t="n">
        <x:v>1</x:v>
      </x:c>
      <x:c r="L1070" s="46" t="n">
        <x:v>1</x:v>
      </x:c>
      <x:c r="M1070" s="27" t="n">
        <x:v>1</x:v>
      </x:c>
    </x:row>
    <x:row r="1071" ht="15" hidden="0" customHeight="1">
      <x:c r="A1071" s="29" t="n">
        <x:v>67</x:v>
      </x:c>
      <x:c r="B1071" s="29" t="n">
        <x:v>330971</x:v>
      </x:c>
      <x:c r="C1071" s="29" t="str">
        <x:v>A2</x:v>
      </x:c>
      <x:c r="D1071" s="53" t="n">
        <x:v>2500</x:v>
      </x:c>
      <x:c r="E1071" s="47" t="n">
        <x:v>1</x:v>
      </x:c>
      <x:c r="F1071" s="47" t="n">
        <x:v>1</x:v>
      </x:c>
      <x:c r="G1071" s="47" t="n">
        <x:v>1</x:v>
      </x:c>
      <x:c r="H1071" s="47" t="n">
        <x:v>1</x:v>
      </x:c>
      <x:c r="I1071" s="47" t="n">
        <x:v>1</x:v>
      </x:c>
      <x:c r="J1071" s="47" t="n">
        <x:v>1</x:v>
      </x:c>
      <x:c r="K1071" s="47" t="n">
        <x:v>1</x:v>
      </x:c>
      <x:c r="L1071" s="47" t="n">
        <x:v>1</x:v>
      </x:c>
      <x:c r="M1071" s="29" t="n">
        <x:v>1</x:v>
      </x:c>
    </x:row>
    <x:row r="1072" ht="15" hidden="0" customHeight="1">
      <x:c r="A1072" s="27" t="n">
        <x:v>68</x:v>
      </x:c>
      <x:c r="B1072" s="27" t="n">
        <x:v>330972</x:v>
      </x:c>
      <x:c r="C1072" s="27" t="str">
        <x:v>A2</x:v>
      </x:c>
      <x:c r="D1072" s="52" t="n">
        <x:v>2500</x:v>
      </x:c>
      <x:c r="E1072" s="46" t="n">
        <x:v>1</x:v>
      </x:c>
      <x:c r="F1072" s="46" t="n">
        <x:v>0.9999999999999999</x:v>
      </x:c>
      <x:c r="G1072" s="46" t="n">
        <x:v>1</x:v>
      </x:c>
      <x:c r="H1072" s="46" t="n">
        <x:v>1</x:v>
      </x:c>
      <x:c r="I1072" s="46" t="n">
        <x:v>1</x:v>
      </x:c>
      <x:c r="J1072" s="46" t="n">
        <x:v>1</x:v>
      </x:c>
      <x:c r="K1072" s="46" t="n">
        <x:v>1</x:v>
      </x:c>
      <x:c r="L1072" s="46" t="n">
        <x:v>1</x:v>
      </x:c>
      <x:c r="M1072" s="27" t="n">
        <x:v>1</x:v>
      </x:c>
    </x:row>
    <x:row r="1073" ht="15" hidden="0" customHeight="1">
      <x:c r="A1073" s="29" t="n">
        <x:v>69</x:v>
      </x:c>
      <x:c r="B1073" s="29" t="n">
        <x:v>330973</x:v>
      </x:c>
      <x:c r="C1073" s="29" t="str">
        <x:v>A2</x:v>
      </x:c>
      <x:c r="D1073" s="53" t="n">
        <x:v>2500</x:v>
      </x:c>
      <x:c r="E1073" s="47" t="n">
        <x:v>1</x:v>
      </x:c>
      <x:c r="F1073" s="47" t="n">
        <x:v>0.9999999999999998</x:v>
      </x:c>
      <x:c r="G1073" s="47" t="n">
        <x:v>1</x:v>
      </x:c>
      <x:c r="H1073" s="47" t="n">
        <x:v>1</x:v>
      </x:c>
      <x:c r="I1073" s="47" t="n">
        <x:v>1</x:v>
      </x:c>
      <x:c r="J1073" s="47" t="n">
        <x:v>1</x:v>
      </x:c>
      <x:c r="K1073" s="47" t="n">
        <x:v>1</x:v>
      </x:c>
      <x:c r="L1073" s="47" t="n">
        <x:v>1</x:v>
      </x:c>
      <x:c r="M1073" s="29" t="n">
        <x:v>1</x:v>
      </x:c>
    </x:row>
    <x:row r="1074" ht="15" hidden="0" customHeight="1">
      <x:c r="A1074" s="27" t="n">
        <x:v>70</x:v>
      </x:c>
      <x:c r="B1074" s="27" t="n">
        <x:v>330974</x:v>
      </x:c>
      <x:c r="C1074" s="27" t="str">
        <x:v>A2</x:v>
      </x:c>
      <x:c r="D1074" s="52" t="n">
        <x:v>2500</x:v>
      </x:c>
      <x:c r="E1074" s="46" t="n">
        <x:v>1</x:v>
      </x:c>
      <x:c r="F1074" s="46" t="n">
        <x:v>1</x:v>
      </x:c>
      <x:c r="G1074" s="46" t="n">
        <x:v>1</x:v>
      </x:c>
      <x:c r="H1074" s="46" t="n">
        <x:v>1</x:v>
      </x:c>
      <x:c r="I1074" s="46" t="n">
        <x:v>1</x:v>
      </x:c>
      <x:c r="J1074" s="46" t="n">
        <x:v>1</x:v>
      </x:c>
      <x:c r="K1074" s="46" t="n">
        <x:v>1</x:v>
      </x:c>
      <x:c r="L1074" s="46" t="n">
        <x:v>1</x:v>
      </x:c>
      <x:c r="M1074" s="27" t="n">
        <x:v>1</x:v>
      </x:c>
    </x:row>
    <x:row r="1075" ht="15" hidden="0" customHeight="1">
      <x:c r="A1075" s="29" t="n">
        <x:v>71</x:v>
      </x:c>
      <x:c r="B1075" s="29" t="n">
        <x:v>330975</x:v>
      </x:c>
      <x:c r="C1075" s="29" t="str">
        <x:v>A2</x:v>
      </x:c>
      <x:c r="D1075" s="53" t="n">
        <x:v>2469.4961765949743</x:v>
      </x:c>
      <x:c r="E1075" s="47" t="n">
        <x:v>0.9877984706379898</x:v>
      </x:c>
      <x:c r="F1075" s="47" t="n">
        <x:v>0.8779847063798967</x:v>
      </x:c>
      <x:c r="G1075" s="47" t="n">
        <x:v>1</x:v>
      </x:c>
      <x:c r="H1075" s="47" t="n">
        <x:v>1</x:v>
      </x:c>
      <x:c r="I1075" s="47" t="n">
        <x:v>1</x:v>
      </x:c>
      <x:c r="J1075" s="47" t="n">
        <x:v>1</x:v>
      </x:c>
      <x:c r="K1075" s="47" t="n">
        <x:v>1</x:v>
      </x:c>
      <x:c r="L1075" s="47" t="n">
        <x:v>0.9849330263467504</x:v>
      </x:c>
      <x:c r="M1075" s="29" t="n">
        <x:v>0</x:v>
      </x:c>
    </x:row>
    <x:row r="1076" ht="15" hidden="0" customHeight="1">
      <x:c r="A1076" s="27" t="n">
        <x:v>72</x:v>
      </x:c>
      <x:c r="B1076" s="27" t="n">
        <x:v>330976</x:v>
      </x:c>
      <x:c r="C1076" s="27" t="str">
        <x:v>A2</x:v>
      </x:c>
      <x:c r="D1076" s="52" t="n">
        <x:v>2500</x:v>
      </x:c>
      <x:c r="E1076" s="46" t="n">
        <x:v>1</x:v>
      </x:c>
      <x:c r="F1076" s="46" t="n">
        <x:v>0.9999999999999998</x:v>
      </x:c>
      <x:c r="G1076" s="46" t="n">
        <x:v>1</x:v>
      </x:c>
      <x:c r="H1076" s="46" t="n">
        <x:v>1</x:v>
      </x:c>
      <x:c r="I1076" s="46" t="n">
        <x:v>1</x:v>
      </x:c>
      <x:c r="J1076" s="46" t="n">
        <x:v>1</x:v>
      </x:c>
      <x:c r="K1076" s="46" t="n">
        <x:v>1</x:v>
      </x:c>
      <x:c r="L1076" s="46" t="n">
        <x:v>1</x:v>
      </x:c>
      <x:c r="M1076" s="27" t="n">
        <x:v>1</x:v>
      </x:c>
    </x:row>
    <x:row r="1077" ht="15" hidden="0" customHeight="1">
      <x:c r="A1077" s="29" t="n">
        <x:v>73</x:v>
      </x:c>
      <x:c r="B1077" s="29" t="n">
        <x:v>330977</x:v>
      </x:c>
      <x:c r="C1077" s="29" t="str">
        <x:v>A2</x:v>
      </x:c>
      <x:c r="D1077" s="53" t="n">
        <x:v>2500</x:v>
      </x:c>
      <x:c r="E1077" s="47" t="n">
        <x:v>1</x:v>
      </x:c>
      <x:c r="F1077" s="47" t="n">
        <x:v>1</x:v>
      </x:c>
      <x:c r="G1077" s="47" t="n">
        <x:v>1</x:v>
      </x:c>
      <x:c r="H1077" s="47" t="n">
        <x:v>1</x:v>
      </x:c>
      <x:c r="I1077" s="47" t="n">
        <x:v>1</x:v>
      </x:c>
      <x:c r="J1077" s="47" t="n">
        <x:v>1</x:v>
      </x:c>
      <x:c r="K1077" s="47" t="n">
        <x:v>1</x:v>
      </x:c>
      <x:c r="L1077" s="47" t="n">
        <x:v>1</x:v>
      </x:c>
      <x:c r="M1077" s="29" t="n">
        <x:v>1</x:v>
      </x:c>
    </x:row>
    <x:row r="1078" ht="15" hidden="0" customHeight="1">
      <x:c r="A1078" s="27" t="n">
        <x:v>74</x:v>
      </x:c>
      <x:c r="B1078" s="27" t="n">
        <x:v>330978</x:v>
      </x:c>
      <x:c r="C1078" s="27" t="str">
        <x:v>A2</x:v>
      </x:c>
      <x:c r="D1078" s="52" t="n">
        <x:v>2500</x:v>
      </x:c>
      <x:c r="E1078" s="46" t="n">
        <x:v>1</x:v>
      </x:c>
      <x:c r="F1078" s="46" t="n">
        <x:v>1</x:v>
      </x:c>
      <x:c r="G1078" s="46" t="n">
        <x:v>1</x:v>
      </x:c>
      <x:c r="H1078" s="46" t="n">
        <x:v>1</x:v>
      </x:c>
      <x:c r="I1078" s="46" t="n">
        <x:v>1</x:v>
      </x:c>
      <x:c r="J1078" s="46" t="n">
        <x:v>1</x:v>
      </x:c>
      <x:c r="K1078" s="46" t="n">
        <x:v>1</x:v>
      </x:c>
      <x:c r="L1078" s="46" t="n">
        <x:v>1</x:v>
      </x:c>
      <x:c r="M1078" s="27" t="n">
        <x:v>1</x:v>
      </x:c>
    </x:row>
    <x:row r="1079" ht="15" hidden="0" customHeight="1">
      <x:c r="A1079" s="29" t="n">
        <x:v>75</x:v>
      </x:c>
      <x:c r="B1079" s="29" t="n">
        <x:v>330979</x:v>
      </x:c>
      <x:c r="C1079" s="29" t="str">
        <x:v>A2</x:v>
      </x:c>
      <x:c r="D1079" s="53" t="n">
        <x:v>2500</x:v>
      </x:c>
      <x:c r="E1079" s="47" t="n">
        <x:v>1</x:v>
      </x:c>
      <x:c r="F1079" s="47" t="n">
        <x:v>1</x:v>
      </x:c>
      <x:c r="G1079" s="47" t="n">
        <x:v>1</x:v>
      </x:c>
      <x:c r="H1079" s="47" t="n">
        <x:v>1</x:v>
      </x:c>
      <x:c r="I1079" s="47" t="n">
        <x:v>1</x:v>
      </x:c>
      <x:c r="J1079" s="47" t="n">
        <x:v>1</x:v>
      </x:c>
      <x:c r="K1079" s="47" t="n">
        <x:v>1</x:v>
      </x:c>
      <x:c r="L1079" s="47" t="n">
        <x:v>0.9999999999999999</x:v>
      </x:c>
      <x:c r="M1079" s="29" t="n">
        <x:v>1</x:v>
      </x:c>
    </x:row>
    <x:row r="1080" ht="15" hidden="0" customHeight="1">
      <x:c r="A1080" s="27" t="n">
        <x:v>76</x:v>
      </x:c>
      <x:c r="B1080" s="27" t="n">
        <x:v>330980</x:v>
      </x:c>
      <x:c r="C1080" s="27" t="str">
        <x:v>A2</x:v>
      </x:c>
      <x:c r="D1080" s="52" t="n">
        <x:v>2500</x:v>
      </x:c>
      <x:c r="E1080" s="46" t="n">
        <x:v>1</x:v>
      </x:c>
      <x:c r="F1080" s="46" t="n">
        <x:v>0.9999999999999998</x:v>
      </x:c>
      <x:c r="G1080" s="46" t="n">
        <x:v>1</x:v>
      </x:c>
      <x:c r="H1080" s="46" t="n">
        <x:v>1</x:v>
      </x:c>
      <x:c r="I1080" s="46" t="n">
        <x:v>1</x:v>
      </x:c>
      <x:c r="J1080" s="46" t="n">
        <x:v>1</x:v>
      </x:c>
      <x:c r="K1080" s="46" t="n">
        <x:v>1</x:v>
      </x:c>
      <x:c r="L1080" s="46" t="n">
        <x:v>1</x:v>
      </x:c>
      <x:c r="M1080" s="27" t="n">
        <x:v>1</x:v>
      </x:c>
    </x:row>
    <x:row r="1081" ht="15" hidden="0" customHeight="1">
      <x:c r="A1081" s="29" t="n">
        <x:v>77</x:v>
      </x:c>
      <x:c r="B1081" s="29" t="n">
        <x:v>330981</x:v>
      </x:c>
      <x:c r="C1081" s="29" t="str">
        <x:v>A2</x:v>
      </x:c>
      <x:c r="D1081" s="53" t="n">
        <x:v>2500</x:v>
      </x:c>
      <x:c r="E1081" s="47" t="n">
        <x:v>1</x:v>
      </x:c>
      <x:c r="F1081" s="47" t="n">
        <x:v>1</x:v>
      </x:c>
      <x:c r="G1081" s="47" t="n">
        <x:v>1</x:v>
      </x:c>
      <x:c r="H1081" s="47" t="n">
        <x:v>1</x:v>
      </x:c>
      <x:c r="I1081" s="47" t="n">
        <x:v>1</x:v>
      </x:c>
      <x:c r="J1081" s="47" t="n">
        <x:v>1</x:v>
      </x:c>
      <x:c r="K1081" s="47" t="n">
        <x:v>1</x:v>
      </x:c>
      <x:c r="L1081" s="47" t="n">
        <x:v>1</x:v>
      </x:c>
      <x:c r="M1081" s="29" t="n">
        <x:v>1</x:v>
      </x:c>
    </x:row>
    <x:row r="1082" ht="15" hidden="0" customHeight="1">
      <x:c r="A1082" s="27" t="n">
        <x:v>78</x:v>
      </x:c>
      <x:c r="B1082" s="27" t="n">
        <x:v>330982</x:v>
      </x:c>
      <x:c r="C1082" s="27" t="str">
        <x:v>A2</x:v>
      </x:c>
      <x:c r="D1082" s="52" t="n">
        <x:v>2500</x:v>
      </x:c>
      <x:c r="E1082" s="46" t="n">
        <x:v>1</x:v>
      </x:c>
      <x:c r="F1082" s="46" t="n">
        <x:v>1</x:v>
      </x:c>
      <x:c r="G1082" s="46" t="n">
        <x:v>1</x:v>
      </x:c>
      <x:c r="H1082" s="46" t="n">
        <x:v>1</x:v>
      </x:c>
      <x:c r="I1082" s="46" t="n">
        <x:v>1</x:v>
      </x:c>
      <x:c r="J1082" s="46" t="n">
        <x:v>1</x:v>
      </x:c>
      <x:c r="K1082" s="46" t="n">
        <x:v>1</x:v>
      </x:c>
      <x:c r="L1082" s="46" t="n">
        <x:v>1</x:v>
      </x:c>
      <x:c r="M1082" s="27" t="n">
        <x:v>1</x:v>
      </x:c>
    </x:row>
    <x:row r="1083" ht="15" hidden="0" customHeight="1">
      <x:c r="A1083" s="29" t="n">
        <x:v>79</x:v>
      </x:c>
      <x:c r="B1083" s="29" t="n">
        <x:v>330983</x:v>
      </x:c>
      <x:c r="C1083" s="29" t="str">
        <x:v>A2</x:v>
      </x:c>
      <x:c r="D1083" s="53" t="n">
        <x:v>2500</x:v>
      </x:c>
      <x:c r="E1083" s="47" t="n">
        <x:v>1</x:v>
      </x:c>
      <x:c r="F1083" s="47" t="n">
        <x:v>1</x:v>
      </x:c>
      <x:c r="G1083" s="47" t="n">
        <x:v>1</x:v>
      </x:c>
      <x:c r="H1083" s="47" t="n">
        <x:v>1</x:v>
      </x:c>
      <x:c r="I1083" s="47" t="n">
        <x:v>1</x:v>
      </x:c>
      <x:c r="J1083" s="47" t="n">
        <x:v>1</x:v>
      </x:c>
      <x:c r="K1083" s="47" t="n">
        <x:v>1</x:v>
      </x:c>
      <x:c r="L1083" s="47" t="n">
        <x:v>1</x:v>
      </x:c>
      <x:c r="M1083" s="29" t="n">
        <x:v>1</x:v>
      </x:c>
    </x:row>
    <x:row r="1084" ht="15" hidden="0" customHeight="1">
      <x:c r="A1084" s="27" t="n">
        <x:v>80</x:v>
      </x:c>
      <x:c r="B1084" s="27" t="n">
        <x:v>330984</x:v>
      </x:c>
      <x:c r="C1084" s="27" t="str">
        <x:v>A2</x:v>
      </x:c>
      <x:c r="D1084" s="52" t="n">
        <x:v>2500</x:v>
      </x:c>
      <x:c r="E1084" s="46" t="n">
        <x:v>1</x:v>
      </x:c>
      <x:c r="F1084" s="46" t="n">
        <x:v>0.9999999999999999</x:v>
      </x:c>
      <x:c r="G1084" s="46" t="n">
        <x:v>1</x:v>
      </x:c>
      <x:c r="H1084" s="46" t="n">
        <x:v>1</x:v>
      </x:c>
      <x:c r="I1084" s="46" t="n">
        <x:v>1</x:v>
      </x:c>
      <x:c r="J1084" s="46" t="n">
        <x:v>1</x:v>
      </x:c>
      <x:c r="K1084" s="46" t="n">
        <x:v>1</x:v>
      </x:c>
      <x:c r="L1084" s="46" t="n">
        <x:v>1</x:v>
      </x:c>
      <x:c r="M1084" s="27" t="n">
        <x:v>1</x:v>
      </x:c>
    </x:row>
    <x:row r="1085" ht="15" hidden="0" customHeight="1">
      <x:c r="A1085" s="29" t="n">
        <x:v>81</x:v>
      </x:c>
      <x:c r="B1085" s="29" t="n">
        <x:v>330985</x:v>
      </x:c>
      <x:c r="C1085" s="29" t="str">
        <x:v>A2</x:v>
      </x:c>
      <x:c r="D1085" s="53" t="n">
        <x:v>2500</x:v>
      </x:c>
      <x:c r="E1085" s="47" t="n">
        <x:v>1</x:v>
      </x:c>
      <x:c r="F1085" s="47" t="n">
        <x:v>1</x:v>
      </x:c>
      <x:c r="G1085" s="47" t="n">
        <x:v>1</x:v>
      </x:c>
      <x:c r="H1085" s="47" t="n">
        <x:v>1</x:v>
      </x:c>
      <x:c r="I1085" s="47" t="n">
        <x:v>1</x:v>
      </x:c>
      <x:c r="J1085" s="47" t="n">
        <x:v>1</x:v>
      </x:c>
      <x:c r="K1085" s="47" t="n">
        <x:v>1</x:v>
      </x:c>
      <x:c r="L1085" s="47" t="n">
        <x:v>1</x:v>
      </x:c>
      <x:c r="M1085" s="29" t="n">
        <x:v>1</x:v>
      </x:c>
    </x:row>
    <x:row r="1086" ht="15" hidden="0" customHeight="1">
      <x:c r="A1086" s="27" t="n">
        <x:v>82</x:v>
      </x:c>
      <x:c r="B1086" s="27" t="n">
        <x:v>330986</x:v>
      </x:c>
      <x:c r="C1086" s="27" t="str">
        <x:v>A2</x:v>
      </x:c>
      <x:c r="D1086" s="52" t="n">
        <x:v>2500</x:v>
      </x:c>
      <x:c r="E1086" s="46" t="n">
        <x:v>1</x:v>
      </x:c>
      <x:c r="F1086" s="46" t="n">
        <x:v>1</x:v>
      </x:c>
      <x:c r="G1086" s="46" t="n">
        <x:v>1</x:v>
      </x:c>
      <x:c r="H1086" s="46" t="n">
        <x:v>1</x:v>
      </x:c>
      <x:c r="I1086" s="46" t="n">
        <x:v>1</x:v>
      </x:c>
      <x:c r="J1086" s="46" t="n">
        <x:v>1</x:v>
      </x:c>
      <x:c r="K1086" s="46" t="n">
        <x:v>1</x:v>
      </x:c>
      <x:c r="L1086" s="46" t="n">
        <x:v>1</x:v>
      </x:c>
      <x:c r="M1086" s="27" t="n">
        <x:v>1</x:v>
      </x:c>
    </x:row>
    <x:row r="1087" ht="15" hidden="0" customHeight="1">
      <x:c r="A1087" s="29" t="n">
        <x:v>83</x:v>
      </x:c>
      <x:c r="B1087" s="29" t="n">
        <x:v>330987</x:v>
      </x:c>
      <x:c r="C1087" s="29" t="str">
        <x:v>A2</x:v>
      </x:c>
      <x:c r="D1087" s="53" t="n">
        <x:v>2500</x:v>
      </x:c>
      <x:c r="E1087" s="47" t="n">
        <x:v>1</x:v>
      </x:c>
      <x:c r="F1087" s="47" t="n">
        <x:v>1</x:v>
      </x:c>
      <x:c r="G1087" s="47" t="n">
        <x:v>1</x:v>
      </x:c>
      <x:c r="H1087" s="47" t="n">
        <x:v>1</x:v>
      </x:c>
      <x:c r="I1087" s="47" t="n">
        <x:v>1</x:v>
      </x:c>
      <x:c r="J1087" s="47" t="n">
        <x:v>1</x:v>
      </x:c>
      <x:c r="K1087" s="47" t="n">
        <x:v>1</x:v>
      </x:c>
      <x:c r="L1087" s="47" t="n">
        <x:v>1</x:v>
      </x:c>
      <x:c r="M1087" s="29" t="n">
        <x:v>1</x:v>
      </x:c>
    </x:row>
    <x:row r="1088" ht="15" hidden="0" customHeight="1">
      <x:c r="A1088" s="27" t="n">
        <x:v>84</x:v>
      </x:c>
      <x:c r="B1088" s="27" t="n">
        <x:v>330988</x:v>
      </x:c>
      <x:c r="C1088" s="27" t="str">
        <x:v>A2</x:v>
      </x:c>
      <x:c r="D1088" s="52" t="n">
        <x:v>2500</x:v>
      </x:c>
      <x:c r="E1088" s="46" t="n">
        <x:v>1</x:v>
      </x:c>
      <x:c r="F1088" s="46" t="n">
        <x:v>1</x:v>
      </x:c>
      <x:c r="G1088" s="46" t="n">
        <x:v>1</x:v>
      </x:c>
      <x:c r="H1088" s="46" t="n">
        <x:v>1</x:v>
      </x:c>
      <x:c r="I1088" s="46" t="n">
        <x:v>1</x:v>
      </x:c>
      <x:c r="J1088" s="46" t="n">
        <x:v>1</x:v>
      </x:c>
      <x:c r="K1088" s="46" t="n">
        <x:v>1</x:v>
      </x:c>
      <x:c r="L1088" s="46" t="n">
        <x:v>1</x:v>
      </x:c>
      <x:c r="M1088" s="27" t="n">
        <x:v>1</x:v>
      </x:c>
    </x:row>
    <x:row r="1089" ht="15" hidden="0" customHeight="1">
      <x:c r="A1089" s="29" t="n">
        <x:v>85</x:v>
      </x:c>
      <x:c r="B1089" s="29" t="n">
        <x:v>330989</x:v>
      </x:c>
      <x:c r="C1089" s="29" t="str">
        <x:v>A2</x:v>
      </x:c>
      <x:c r="D1089" s="53" t="n">
        <x:v>2500</x:v>
      </x:c>
      <x:c r="E1089" s="47" t="n">
        <x:v>1</x:v>
      </x:c>
      <x:c r="F1089" s="47" t="n">
        <x:v>1</x:v>
      </x:c>
      <x:c r="G1089" s="47" t="n">
        <x:v>1</x:v>
      </x:c>
      <x:c r="H1089" s="47" t="n">
        <x:v>1</x:v>
      </x:c>
      <x:c r="I1089" s="47" t="n">
        <x:v>1</x:v>
      </x:c>
      <x:c r="J1089" s="47" t="n">
        <x:v>1</x:v>
      </x:c>
      <x:c r="K1089" s="47" t="n">
        <x:v>1</x:v>
      </x:c>
      <x:c r="L1089" s="47" t="n">
        <x:v>1</x:v>
      </x:c>
      <x:c r="M1089" s="29" t="n">
        <x:v>1</x:v>
      </x:c>
    </x:row>
    <x:row r="1090" ht="15" hidden="0" customHeight="1">
      <x:c r="A1090" s="27" t="n">
        <x:v>86</x:v>
      </x:c>
      <x:c r="B1090" s="27" t="n">
        <x:v>330990</x:v>
      </x:c>
      <x:c r="C1090" s="27" t="str">
        <x:v>A2</x:v>
      </x:c>
      <x:c r="D1090" s="52" t="n">
        <x:v>2500</x:v>
      </x:c>
      <x:c r="E1090" s="46" t="n">
        <x:v>1</x:v>
      </x:c>
      <x:c r="F1090" s="46" t="n">
        <x:v>0.9999999999999999</x:v>
      </x:c>
      <x:c r="G1090" s="46" t="n">
        <x:v>1</x:v>
      </x:c>
      <x:c r="H1090" s="46" t="n">
        <x:v>1</x:v>
      </x:c>
      <x:c r="I1090" s="46" t="n">
        <x:v>1</x:v>
      </x:c>
      <x:c r="J1090" s="46" t="n">
        <x:v>1</x:v>
      </x:c>
      <x:c r="K1090" s="46" t="n">
        <x:v>1</x:v>
      </x:c>
      <x:c r="L1090" s="46" t="n">
        <x:v>1</x:v>
      </x:c>
      <x:c r="M1090" s="27" t="n">
        <x:v>1</x:v>
      </x:c>
    </x:row>
    <x:row r="1091" ht="15" hidden="0" customHeight="1">
      <x:c r="A1091" s="29" t="n">
        <x:v>87</x:v>
      </x:c>
      <x:c r="B1091" s="29" t="n">
        <x:v>330991</x:v>
      </x:c>
      <x:c r="C1091" s="29" t="str">
        <x:v>A2</x:v>
      </x:c>
      <x:c r="D1091" s="53" t="n">
        <x:v>2500</x:v>
      </x:c>
      <x:c r="E1091" s="47" t="n">
        <x:v>1</x:v>
      </x:c>
      <x:c r="F1091" s="47" t="n">
        <x:v>0.9999999999999998</x:v>
      </x:c>
      <x:c r="G1091" s="47" t="n">
        <x:v>1</x:v>
      </x:c>
      <x:c r="H1091" s="47" t="n">
        <x:v>1</x:v>
      </x:c>
      <x:c r="I1091" s="47" t="n">
        <x:v>1</x:v>
      </x:c>
      <x:c r="J1091" s="47" t="n">
        <x:v>1</x:v>
      </x:c>
      <x:c r="K1091" s="47" t="n">
        <x:v>1</x:v>
      </x:c>
      <x:c r="L1091" s="47" t="n">
        <x:v>1</x:v>
      </x:c>
      <x:c r="M1091" s="29" t="n">
        <x:v>1</x:v>
      </x:c>
    </x:row>
    <x:row r="1092" ht="15" hidden="0" customHeight="1">
      <x:c r="A1092" s="27" t="n">
        <x:v>88</x:v>
      </x:c>
      <x:c r="B1092" s="27" t="n">
        <x:v>330992</x:v>
      </x:c>
      <x:c r="C1092" s="27" t="str">
        <x:v>A2</x:v>
      </x:c>
      <x:c r="D1092" s="52" t="n">
        <x:v>2500</x:v>
      </x:c>
      <x:c r="E1092" s="46" t="n">
        <x:v>1</x:v>
      </x:c>
      <x:c r="F1092" s="46" t="n">
        <x:v>1</x:v>
      </x:c>
      <x:c r="G1092" s="46" t="n">
        <x:v>1</x:v>
      </x:c>
      <x:c r="H1092" s="46" t="n">
        <x:v>1</x:v>
      </x:c>
      <x:c r="I1092" s="46" t="n">
        <x:v>1</x:v>
      </x:c>
      <x:c r="J1092" s="46" t="n">
        <x:v>1</x:v>
      </x:c>
      <x:c r="K1092" s="46" t="n">
        <x:v>1</x:v>
      </x:c>
      <x:c r="L1092" s="46" t="n">
        <x:v>1</x:v>
      </x:c>
      <x:c r="M1092" s="27" t="n">
        <x:v>1</x:v>
      </x:c>
    </x:row>
    <x:row r="1093" ht="15" hidden="0" customHeight="1">
      <x:c r="A1093" s="29" t="n">
        <x:v>89</x:v>
      </x:c>
      <x:c r="B1093" s="29" t="n">
        <x:v>330993</x:v>
      </x:c>
      <x:c r="C1093" s="29" t="str">
        <x:v>A2</x:v>
      </x:c>
      <x:c r="D1093" s="53" t="n">
        <x:v>2500</x:v>
      </x:c>
      <x:c r="E1093" s="47" t="n">
        <x:v>1</x:v>
      </x:c>
      <x:c r="F1093" s="47" t="n">
        <x:v>1</x:v>
      </x:c>
      <x:c r="G1093" s="47" t="n">
        <x:v>1</x:v>
      </x:c>
      <x:c r="H1093" s="47" t="n">
        <x:v>1</x:v>
      </x:c>
      <x:c r="I1093" s="47" t="n">
        <x:v>1</x:v>
      </x:c>
      <x:c r="J1093" s="47" t="n">
        <x:v>1</x:v>
      </x:c>
      <x:c r="K1093" s="47" t="n">
        <x:v>1</x:v>
      </x:c>
      <x:c r="L1093" s="47" t="n">
        <x:v>1</x:v>
      </x:c>
      <x:c r="M1093" s="29" t="n">
        <x:v>1</x:v>
      </x:c>
    </x:row>
    <x:row r="1094" ht="15" hidden="0" customHeight="1">
      <x:c r="A1094" s="27" t="n">
        <x:v>90</x:v>
      </x:c>
      <x:c r="B1094" s="27" t="n">
        <x:v>330994</x:v>
      </x:c>
      <x:c r="C1094" s="27" t="str">
        <x:v>A2</x:v>
      </x:c>
      <x:c r="D1094" s="52" t="n">
        <x:v>2500</x:v>
      </x:c>
      <x:c r="E1094" s="46" t="n">
        <x:v>1</x:v>
      </x:c>
      <x:c r="F1094" s="46" t="n">
        <x:v>1</x:v>
      </x:c>
      <x:c r="G1094" s="46" t="n">
        <x:v>1</x:v>
      </x:c>
      <x:c r="H1094" s="46" t="n">
        <x:v>1</x:v>
      </x:c>
      <x:c r="I1094" s="46" t="n">
        <x:v>1</x:v>
      </x:c>
      <x:c r="J1094" s="46" t="n">
        <x:v>1</x:v>
      </x:c>
      <x:c r="K1094" s="46" t="n">
        <x:v>1</x:v>
      </x:c>
      <x:c r="L1094" s="46" t="n">
        <x:v>1</x:v>
      </x:c>
      <x:c r="M1094" s="27" t="n">
        <x:v>1</x:v>
      </x:c>
    </x:row>
    <x:row r="1095" ht="15" hidden="0" customHeight="1">
      <x:c r="A1095" s="29" t="n">
        <x:v>91</x:v>
      </x:c>
      <x:c r="B1095" s="29" t="n">
        <x:v>330995</x:v>
      </x:c>
      <x:c r="C1095" s="29" t="str">
        <x:v>A2</x:v>
      </x:c>
      <x:c r="D1095" s="53" t="n">
        <x:v>2500</x:v>
      </x:c>
      <x:c r="E1095" s="47" t="n">
        <x:v>1</x:v>
      </x:c>
      <x:c r="F1095" s="47" t="n">
        <x:v>1</x:v>
      </x:c>
      <x:c r="G1095" s="47" t="n">
        <x:v>1</x:v>
      </x:c>
      <x:c r="H1095" s="47" t="n">
        <x:v>1</x:v>
      </x:c>
      <x:c r="I1095" s="47" t="n">
        <x:v>1</x:v>
      </x:c>
      <x:c r="J1095" s="47" t="n">
        <x:v>1</x:v>
      </x:c>
      <x:c r="K1095" s="47" t="n">
        <x:v>1</x:v>
      </x:c>
      <x:c r="L1095" s="47" t="n">
        <x:v>1</x:v>
      </x:c>
      <x:c r="M1095" s="29" t="n">
        <x:v>1</x:v>
      </x:c>
    </x:row>
    <x:row r="1096" ht="15" hidden="0" customHeight="1">
      <x:c r="A1096" s="27" t="n">
        <x:v>92</x:v>
      </x:c>
      <x:c r="B1096" s="27" t="n">
        <x:v>330996</x:v>
      </x:c>
      <x:c r="C1096" s="27" t="str">
        <x:v>A2</x:v>
      </x:c>
      <x:c r="D1096" s="52" t="n">
        <x:v>2500</x:v>
      </x:c>
      <x:c r="E1096" s="46" t="n">
        <x:v>1</x:v>
      </x:c>
      <x:c r="F1096" s="46" t="n">
        <x:v>0.9999999999999998</x:v>
      </x:c>
      <x:c r="G1096" s="46" t="n">
        <x:v>1</x:v>
      </x:c>
      <x:c r="H1096" s="46" t="n">
        <x:v>1</x:v>
      </x:c>
      <x:c r="I1096" s="46" t="n">
        <x:v>1</x:v>
      </x:c>
      <x:c r="J1096" s="46" t="n">
        <x:v>1</x:v>
      </x:c>
      <x:c r="K1096" s="46" t="n">
        <x:v>1</x:v>
      </x:c>
      <x:c r="L1096" s="46" t="n">
        <x:v>1</x:v>
      </x:c>
      <x:c r="M1096" s="27" t="n">
        <x:v>1</x:v>
      </x:c>
    </x:row>
    <x:row r="1097" ht="15" hidden="0" customHeight="1">
      <x:c r="A1097" s="29" t="n">
        <x:v>93</x:v>
      </x:c>
      <x:c r="B1097" s="29" t="n">
        <x:v>330997</x:v>
      </x:c>
      <x:c r="C1097" s="29" t="str">
        <x:v>A2</x:v>
      </x:c>
      <x:c r="D1097" s="53" t="n">
        <x:v>2500</x:v>
      </x:c>
      <x:c r="E1097" s="47" t="n">
        <x:v>1</x:v>
      </x:c>
      <x:c r="F1097" s="47" t="n">
        <x:v>0.9999999999999998</x:v>
      </x:c>
      <x:c r="G1097" s="47" t="n">
        <x:v>1</x:v>
      </x:c>
      <x:c r="H1097" s="47" t="n">
        <x:v>1</x:v>
      </x:c>
      <x:c r="I1097" s="47" t="n">
        <x:v>1</x:v>
      </x:c>
      <x:c r="J1097" s="47" t="n">
        <x:v>1</x:v>
      </x:c>
      <x:c r="K1097" s="47" t="n">
        <x:v>1</x:v>
      </x:c>
      <x:c r="L1097" s="47" t="n">
        <x:v>1</x:v>
      </x:c>
      <x:c r="M1097" s="29" t="n">
        <x:v>1</x:v>
      </x:c>
    </x:row>
    <x:row r="1098" ht="15" hidden="0" customHeight="1">
      <x:c r="A1098" s="27" t="n">
        <x:v>94</x:v>
      </x:c>
      <x:c r="B1098" s="27" t="n">
        <x:v>330998</x:v>
      </x:c>
      <x:c r="C1098" s="27" t="str">
        <x:v>A2</x:v>
      </x:c>
      <x:c r="D1098" s="52" t="n">
        <x:v>2500</x:v>
      </x:c>
      <x:c r="E1098" s="46" t="n">
        <x:v>1</x:v>
      </x:c>
      <x:c r="F1098" s="46" t="n">
        <x:v>0.9999999999999998</x:v>
      </x:c>
      <x:c r="G1098" s="46" t="n">
        <x:v>1</x:v>
      </x:c>
      <x:c r="H1098" s="46" t="n">
        <x:v>1</x:v>
      </x:c>
      <x:c r="I1098" s="46" t="n">
        <x:v>1</x:v>
      </x:c>
      <x:c r="J1098" s="46" t="n">
        <x:v>1</x:v>
      </x:c>
      <x:c r="K1098" s="46" t="n">
        <x:v>1</x:v>
      </x:c>
      <x:c r="L1098" s="46" t="n">
        <x:v>0.9999999999999999</x:v>
      </x:c>
      <x:c r="M1098" s="27" t="n">
        <x:v>1</x:v>
      </x:c>
    </x:row>
    <x:row r="1099" ht="15" hidden="0" customHeight="1">
      <x:c r="A1099" s="29" t="n">
        <x:v>95</x:v>
      </x:c>
      <x:c r="B1099" s="29" t="n">
        <x:v>330999</x:v>
      </x:c>
      <x:c r="C1099" s="29" t="str">
        <x:v>A2</x:v>
      </x:c>
      <x:c r="D1099" s="53" t="n">
        <x:v>2490.3247144436</x:v>
      </x:c>
      <x:c r="E1099" s="47" t="n">
        <x:v>0.99612988577744</x:v>
      </x:c>
      <x:c r="F1099" s="47" t="n">
        <x:v>0.9612988577743993</x:v>
      </x:c>
      <x:c r="G1099" s="47" t="n">
        <x:v>1</x:v>
      </x:c>
      <x:c r="H1099" s="47" t="n">
        <x:v>1</x:v>
      </x:c>
      <x:c r="I1099" s="47" t="n">
        <x:v>1</x:v>
      </x:c>
      <x:c r="J1099" s="47" t="n">
        <x:v>1</x:v>
      </x:c>
      <x:c r="K1099" s="47" t="n">
        <x:v>1</x:v>
      </x:c>
      <x:c r="L1099" s="47" t="n">
        <x:v>0.9952210163745595</x:v>
      </x:c>
      <x:c r="M1099" s="29" t="n">
        <x:v>1</x:v>
      </x:c>
    </x:row>
    <x:row r="1100" ht="15" hidden="0" customHeight="1">
      <x:c r="A1100" s="27" t="n">
        <x:v>96</x:v>
      </x:c>
      <x:c r="B1100" s="27" t="n">
        <x:v>331000</x:v>
      </x:c>
      <x:c r="C1100" s="27" t="str">
        <x:v>A2</x:v>
      </x:c>
      <x:c r="D1100" s="52" t="n">
        <x:v>2500</x:v>
      </x:c>
      <x:c r="E1100" s="46" t="n">
        <x:v>1</x:v>
      </x:c>
      <x:c r="F1100" s="46" t="n">
        <x:v>0.9999999999999998</x:v>
      </x:c>
      <x:c r="G1100" s="46" t="n">
        <x:v>1</x:v>
      </x:c>
      <x:c r="H1100" s="46" t="n">
        <x:v>1</x:v>
      </x:c>
      <x:c r="I1100" s="46" t="n">
        <x:v>1</x:v>
      </x:c>
      <x:c r="J1100" s="46" t="n">
        <x:v>1</x:v>
      </x:c>
      <x:c r="K1100" s="46" t="n">
        <x:v>1</x:v>
      </x:c>
      <x:c r="L1100" s="46" t="n">
        <x:v>1</x:v>
      </x:c>
      <x:c r="M1100" s="27" t="n">
        <x:v>1</x:v>
      </x:c>
    </x:row>
    <x:row r="1101" ht="15" hidden="0" customHeight="1">
      <x:c r="A1101" s="29" t="n">
        <x:v>97</x:v>
      </x:c>
      <x:c r="B1101" s="29" t="n">
        <x:v>331001</x:v>
      </x:c>
      <x:c r="C1101" s="29" t="str">
        <x:v>A2</x:v>
      </x:c>
      <x:c r="D1101" s="53" t="n">
        <x:v>2500</x:v>
      </x:c>
      <x:c r="E1101" s="47" t="n">
        <x:v>1</x:v>
      </x:c>
      <x:c r="F1101" s="47" t="n">
        <x:v>1</x:v>
      </x:c>
      <x:c r="G1101" s="47" t="n">
        <x:v>1</x:v>
      </x:c>
      <x:c r="H1101" s="47" t="n">
        <x:v>1</x:v>
      </x:c>
      <x:c r="I1101" s="47" t="n">
        <x:v>1</x:v>
      </x:c>
      <x:c r="J1101" s="47" t="n">
        <x:v>1</x:v>
      </x:c>
      <x:c r="K1101" s="47" t="n">
        <x:v>1</x:v>
      </x:c>
      <x:c r="L1101" s="47" t="n">
        <x:v>1</x:v>
      </x:c>
      <x:c r="M1101" s="29" t="n">
        <x:v>1</x:v>
      </x:c>
    </x:row>
    <x:row r="1102" ht="15" hidden="0" customHeight="1">
      <x:c r="A1102" s="27" t="n">
        <x:v>98</x:v>
      </x:c>
      <x:c r="B1102" s="27" t="n">
        <x:v>331002</x:v>
      </x:c>
      <x:c r="C1102" s="27" t="str">
        <x:v>A2</x:v>
      </x:c>
      <x:c r="D1102" s="52" t="n">
        <x:v>2500</x:v>
      </x:c>
      <x:c r="E1102" s="46" t="n">
        <x:v>1</x:v>
      </x:c>
      <x:c r="F1102" s="46" t="n">
        <x:v>1</x:v>
      </x:c>
      <x:c r="G1102" s="46" t="n">
        <x:v>1</x:v>
      </x:c>
      <x:c r="H1102" s="46" t="n">
        <x:v>1</x:v>
      </x:c>
      <x:c r="I1102" s="46" t="n">
        <x:v>1</x:v>
      </x:c>
      <x:c r="J1102" s="46" t="n">
        <x:v>1</x:v>
      </x:c>
      <x:c r="K1102" s="46" t="n">
        <x:v>1</x:v>
      </x:c>
      <x:c r="L1102" s="46" t="n">
        <x:v>1</x:v>
      </x:c>
      <x:c r="M1102" s="27" t="n">
        <x:v>1</x:v>
      </x:c>
    </x:row>
    <x:row r="1103" ht="15" hidden="0" customHeight="1">
      <x:c r="A1103" s="29" t="n">
        <x:v>99</x:v>
      </x:c>
      <x:c r="B1103" s="29" t="n">
        <x:v>331003</x:v>
      </x:c>
      <x:c r="C1103" s="29" t="str">
        <x:v>A2</x:v>
      </x:c>
      <x:c r="D1103" s="53" t="n">
        <x:v>2500</x:v>
      </x:c>
      <x:c r="E1103" s="47" t="n">
        <x:v>1</x:v>
      </x:c>
      <x:c r="F1103" s="47" t="n">
        <x:v>1</x:v>
      </x:c>
      <x:c r="G1103" s="47" t="n">
        <x:v>1</x:v>
      </x:c>
      <x:c r="H1103" s="47" t="n">
        <x:v>1</x:v>
      </x:c>
      <x:c r="I1103" s="47" t="n">
        <x:v>1</x:v>
      </x:c>
      <x:c r="J1103" s="47" t="n">
        <x:v>1</x:v>
      </x:c>
      <x:c r="K1103" s="47" t="n">
        <x:v>1</x:v>
      </x:c>
      <x:c r="L1103" s="47" t="n">
        <x:v>1</x:v>
      </x:c>
      <x:c r="M1103" s="29" t="n">
        <x:v>1</x:v>
      </x:c>
    </x:row>
    <x:row r="1104" ht="15" hidden="0" customHeight="1">
      <x:c r="A1104" s="27" t="n">
        <x:v>100</x:v>
      </x:c>
      <x:c r="B1104" s="27" t="n">
        <x:v>331004</x:v>
      </x:c>
      <x:c r="C1104" s="27" t="str">
        <x:v>A2</x:v>
      </x:c>
      <x:c r="D1104" s="52" t="n">
        <x:v>2500</x:v>
      </x:c>
      <x:c r="E1104" s="46" t="n">
        <x:v>1</x:v>
      </x:c>
      <x:c r="F1104" s="46" t="n">
        <x:v>0.9999999999999998</x:v>
      </x:c>
      <x:c r="G1104" s="46" t="n">
        <x:v>1</x:v>
      </x:c>
      <x:c r="H1104" s="46" t="n">
        <x:v>1</x:v>
      </x:c>
      <x:c r="I1104" s="46" t="n">
        <x:v>1</x:v>
      </x:c>
      <x:c r="J1104" s="46" t="n">
        <x:v>1</x:v>
      </x:c>
      <x:c r="K1104" s="46" t="n">
        <x:v>1</x:v>
      </x:c>
      <x:c r="L1104" s="46" t="n">
        <x:v>1</x:v>
      </x:c>
      <x:c r="M1104" s="27" t="n">
        <x:v>1</x:v>
      </x:c>
    </x:row>
    <x:row r="1105" ht="15" hidden="0" customHeight="1">
      <x:c r="A1105" s="29" t="n">
        <x:v>101</x:v>
      </x:c>
      <x:c r="B1105" s="29" t="n">
        <x:v>331005</x:v>
      </x:c>
      <x:c r="C1105" s="29" t="str">
        <x:v>A2</x:v>
      </x:c>
      <x:c r="D1105" s="53" t="n">
        <x:v>2500</x:v>
      </x:c>
      <x:c r="E1105" s="47" t="n">
        <x:v>1</x:v>
      </x:c>
      <x:c r="F1105" s="47" t="n">
        <x:v>1</x:v>
      </x:c>
      <x:c r="G1105" s="47" t="n">
        <x:v>1</x:v>
      </x:c>
      <x:c r="H1105" s="47" t="n">
        <x:v>1</x:v>
      </x:c>
      <x:c r="I1105" s="47" t="n">
        <x:v>1</x:v>
      </x:c>
      <x:c r="J1105" s="47" t="n">
        <x:v>1</x:v>
      </x:c>
      <x:c r="K1105" s="47" t="n">
        <x:v>1</x:v>
      </x:c>
      <x:c r="L1105" s="47" t="n">
        <x:v>1</x:v>
      </x:c>
      <x:c r="M1105" s="29" t="n">
        <x:v>1</x:v>
      </x:c>
    </x:row>
    <x:row r="1106" ht="15" hidden="0" customHeight="1">
      <x:c r="A1106" s="27" t="n">
        <x:v>102</x:v>
      </x:c>
      <x:c r="B1106" s="27" t="n">
        <x:v>331006</x:v>
      </x:c>
      <x:c r="C1106" s="27" t="str">
        <x:v>A2</x:v>
      </x:c>
      <x:c r="D1106" s="52" t="n">
        <x:v>2500</x:v>
      </x:c>
      <x:c r="E1106" s="46" t="n">
        <x:v>1</x:v>
      </x:c>
      <x:c r="F1106" s="46" t="n">
        <x:v>1</x:v>
      </x:c>
      <x:c r="G1106" s="46" t="n">
        <x:v>1</x:v>
      </x:c>
      <x:c r="H1106" s="46" t="n">
        <x:v>1</x:v>
      </x:c>
      <x:c r="I1106" s="46" t="n">
        <x:v>1</x:v>
      </x:c>
      <x:c r="J1106" s="46" t="n">
        <x:v>1</x:v>
      </x:c>
      <x:c r="K1106" s="46" t="n">
        <x:v>1</x:v>
      </x:c>
      <x:c r="L1106" s="46" t="n">
        <x:v>1</x:v>
      </x:c>
      <x:c r="M1106" s="27" t="n">
        <x:v>1</x:v>
      </x:c>
    </x:row>
    <x:row r="1107" ht="15" hidden="0" customHeight="1">
      <x:c r="A1107" s="29" t="n">
        <x:v>103</x:v>
      </x:c>
      <x:c r="B1107" s="29" t="n">
        <x:v>331007</x:v>
      </x:c>
      <x:c r="C1107" s="29" t="str">
        <x:v>A2</x:v>
      </x:c>
      <x:c r="D1107" s="53" t="n">
        <x:v>2500</x:v>
      </x:c>
      <x:c r="E1107" s="47" t="n">
        <x:v>1</x:v>
      </x:c>
      <x:c r="F1107" s="47" t="n">
        <x:v>1</x:v>
      </x:c>
      <x:c r="G1107" s="47" t="n">
        <x:v>1</x:v>
      </x:c>
      <x:c r="H1107" s="47" t="n">
        <x:v>1</x:v>
      </x:c>
      <x:c r="I1107" s="47" t="n">
        <x:v>1</x:v>
      </x:c>
      <x:c r="J1107" s="47" t="n">
        <x:v>1</x:v>
      </x:c>
      <x:c r="K1107" s="47" t="n">
        <x:v>1</x:v>
      </x:c>
      <x:c r="L1107" s="47" t="n">
        <x:v>1</x:v>
      </x:c>
      <x:c r="M1107" s="29" t="n">
        <x:v>1</x:v>
      </x:c>
    </x:row>
    <x:row r="1108" ht="15" hidden="0" customHeight="1">
      <x:c r="A1108" s="27" t="n">
        <x:v>104</x:v>
      </x:c>
      <x:c r="B1108" s="27" t="n">
        <x:v>331008</x:v>
      </x:c>
      <x:c r="C1108" s="27" t="str">
        <x:v>A2</x:v>
      </x:c>
      <x:c r="D1108" s="52" t="n">
        <x:v>2500</x:v>
      </x:c>
      <x:c r="E1108" s="46" t="n">
        <x:v>1</x:v>
      </x:c>
      <x:c r="F1108" s="46" t="n">
        <x:v>1</x:v>
      </x:c>
      <x:c r="G1108" s="46" t="n">
        <x:v>1</x:v>
      </x:c>
      <x:c r="H1108" s="46" t="n">
        <x:v>1</x:v>
      </x:c>
      <x:c r="I1108" s="46" t="n">
        <x:v>1</x:v>
      </x:c>
      <x:c r="J1108" s="46" t="n">
        <x:v>1</x:v>
      </x:c>
      <x:c r="K1108" s="46" t="n">
        <x:v>1</x:v>
      </x:c>
      <x:c r="L1108" s="46" t="n">
        <x:v>1</x:v>
      </x:c>
      <x:c r="M1108" s="27" t="n">
        <x:v>1</x:v>
      </x:c>
    </x:row>
    <x:row r="1109" ht="15" hidden="0" customHeight="1">
      <x:c r="A1109" s="29" t="n">
        <x:v>105</x:v>
      </x:c>
      <x:c r="B1109" s="29" t="n">
        <x:v>331009</x:v>
      </x:c>
      <x:c r="C1109" s="29" t="str">
        <x:v>A2</x:v>
      </x:c>
      <x:c r="D1109" s="53" t="n">
        <x:v>2500</x:v>
      </x:c>
      <x:c r="E1109" s="47" t="n">
        <x:v>1</x:v>
      </x:c>
      <x:c r="F1109" s="47" t="n">
        <x:v>1</x:v>
      </x:c>
      <x:c r="G1109" s="47" t="n">
        <x:v>1</x:v>
      </x:c>
      <x:c r="H1109" s="47" t="n">
        <x:v>1</x:v>
      </x:c>
      <x:c r="I1109" s="47" t="n">
        <x:v>1</x:v>
      </x:c>
      <x:c r="J1109" s="47" t="n">
        <x:v>1</x:v>
      </x:c>
      <x:c r="K1109" s="47" t="n">
        <x:v>1</x:v>
      </x:c>
      <x:c r="L1109" s="47" t="n">
        <x:v>1</x:v>
      </x:c>
      <x:c r="M1109" s="29" t="n">
        <x:v>1</x:v>
      </x:c>
    </x:row>
    <x:row r="1110" ht="15" hidden="0" customHeight="1">
      <x:c r="A1110" s="27" t="n">
        <x:v>106</x:v>
      </x:c>
      <x:c r="B1110" s="27" t="n">
        <x:v>331010</x:v>
      </x:c>
      <x:c r="C1110" s="27" t="str">
        <x:v>A2</x:v>
      </x:c>
      <x:c r="D1110" s="52" t="n">
        <x:v>2500</x:v>
      </x:c>
      <x:c r="E1110" s="46" t="n">
        <x:v>1</x:v>
      </x:c>
      <x:c r="F1110" s="46" t="n">
        <x:v>1</x:v>
      </x:c>
      <x:c r="G1110" s="46" t="n">
        <x:v>1</x:v>
      </x:c>
      <x:c r="H1110" s="46" t="n">
        <x:v>1</x:v>
      </x:c>
      <x:c r="I1110" s="46" t="n">
        <x:v>1</x:v>
      </x:c>
      <x:c r="J1110" s="46" t="n">
        <x:v>1</x:v>
      </x:c>
      <x:c r="K1110" s="46" t="n">
        <x:v>1</x:v>
      </x:c>
      <x:c r="L1110" s="46" t="n">
        <x:v>1</x:v>
      </x:c>
      <x:c r="M1110" s="27" t="n">
        <x:v>1</x:v>
      </x:c>
    </x:row>
    <x:row r="1111" ht="15" hidden="0" customHeight="1">
      <x:c r="A1111" s="29" t="n">
        <x:v>107</x:v>
      </x:c>
      <x:c r="B1111" s="29" t="n">
        <x:v>331011</x:v>
      </x:c>
      <x:c r="C1111" s="29" t="str">
        <x:v>A2</x:v>
      </x:c>
      <x:c r="D1111" s="53" t="n">
        <x:v>2500</x:v>
      </x:c>
      <x:c r="E1111" s="47" t="n">
        <x:v>1</x:v>
      </x:c>
      <x:c r="F1111" s="47" t="n">
        <x:v>1</x:v>
      </x:c>
      <x:c r="G1111" s="47" t="n">
        <x:v>1</x:v>
      </x:c>
      <x:c r="H1111" s="47" t="n">
        <x:v>1</x:v>
      </x:c>
      <x:c r="I1111" s="47" t="n">
        <x:v>1</x:v>
      </x:c>
      <x:c r="J1111" s="47" t="n">
        <x:v>1</x:v>
      </x:c>
      <x:c r="K1111" s="47" t="n">
        <x:v>1</x:v>
      </x:c>
      <x:c r="L1111" s="47" t="n">
        <x:v>1</x:v>
      </x:c>
      <x:c r="M1111" s="29" t="n">
        <x:v>1</x:v>
      </x:c>
    </x:row>
    <x:row r="1112" ht="15" hidden="0" customHeight="1">
      <x:c r="A1112" s="27" t="n">
        <x:v>108</x:v>
      </x:c>
      <x:c r="B1112" s="27" t="n">
        <x:v>331012</x:v>
      </x:c>
      <x:c r="C1112" s="27" t="str">
        <x:v>A2</x:v>
      </x:c>
      <x:c r="D1112" s="52" t="n">
        <x:v>2500</x:v>
      </x:c>
      <x:c r="E1112" s="46" t="n">
        <x:v>1</x:v>
      </x:c>
      <x:c r="F1112" s="46" t="n">
        <x:v>0.9999999999999999</x:v>
      </x:c>
      <x:c r="G1112" s="46" t="n">
        <x:v>1</x:v>
      </x:c>
      <x:c r="H1112" s="46" t="n">
        <x:v>1</x:v>
      </x:c>
      <x:c r="I1112" s="46" t="n">
        <x:v>1</x:v>
      </x:c>
      <x:c r="J1112" s="46" t="n">
        <x:v>1</x:v>
      </x:c>
      <x:c r="K1112" s="46" t="n">
        <x:v>1</x:v>
      </x:c>
      <x:c r="L1112" s="46" t="n">
        <x:v>1</x:v>
      </x:c>
      <x:c r="M1112" s="27" t="n">
        <x:v>1</x:v>
      </x:c>
    </x:row>
    <x:row r="1113" ht="15" hidden="0" customHeight="1">
      <x:c r="A1113" s="29" t="n">
        <x:v>109</x:v>
      </x:c>
      <x:c r="B1113" s="29" t="n">
        <x:v>331013</x:v>
      </x:c>
      <x:c r="C1113" s="29" t="str">
        <x:v>A2</x:v>
      </x:c>
      <x:c r="D1113" s="53" t="n">
        <x:v>2500</x:v>
      </x:c>
      <x:c r="E1113" s="47" t="n">
        <x:v>1</x:v>
      </x:c>
      <x:c r="F1113" s="47" t="n">
        <x:v>1</x:v>
      </x:c>
      <x:c r="G1113" s="47" t="n">
        <x:v>1</x:v>
      </x:c>
      <x:c r="H1113" s="47" t="n">
        <x:v>1</x:v>
      </x:c>
      <x:c r="I1113" s="47" t="n">
        <x:v>1</x:v>
      </x:c>
      <x:c r="J1113" s="47" t="n">
        <x:v>1</x:v>
      </x:c>
      <x:c r="K1113" s="47" t="n">
        <x:v>1</x:v>
      </x:c>
      <x:c r="L1113" s="47" t="n">
        <x:v>1</x:v>
      </x:c>
      <x:c r="M1113" s="29" t="n">
        <x:v>1</x:v>
      </x:c>
    </x:row>
    <x:row r="1114" ht="15" hidden="0" customHeight="1">
      <x:c r="A1114" s="27" t="n">
        <x:v>110</x:v>
      </x:c>
      <x:c r="B1114" s="27" t="n">
        <x:v>331014</x:v>
      </x:c>
      <x:c r="C1114" s="27" t="str">
        <x:v>A2</x:v>
      </x:c>
      <x:c r="D1114" s="52" t="n">
        <x:v>2500</x:v>
      </x:c>
      <x:c r="E1114" s="46" t="n">
        <x:v>1</x:v>
      </x:c>
      <x:c r="F1114" s="46" t="n">
        <x:v>0.9999999999999998</x:v>
      </x:c>
      <x:c r="G1114" s="46" t="n">
        <x:v>1</x:v>
      </x:c>
      <x:c r="H1114" s="46" t="n">
        <x:v>1</x:v>
      </x:c>
      <x:c r="I1114" s="46" t="n">
        <x:v>1</x:v>
      </x:c>
      <x:c r="J1114" s="46" t="n">
        <x:v>1</x:v>
      </x:c>
      <x:c r="K1114" s="46" t="n">
        <x:v>1</x:v>
      </x:c>
      <x:c r="L1114" s="46" t="n">
        <x:v>1</x:v>
      </x:c>
      <x:c r="M1114" s="27" t="n">
        <x:v>1</x:v>
      </x:c>
    </x:row>
    <x:row r="1115" ht="15" hidden="0" customHeight="1">
      <x:c r="A1115" s="29" t="n">
        <x:v>111</x:v>
      </x:c>
      <x:c r="B1115" s="29" t="n">
        <x:v>331015</x:v>
      </x:c>
      <x:c r="C1115" s="29" t="str">
        <x:v>A2</x:v>
      </x:c>
      <x:c r="D1115" s="53" t="n">
        <x:v>2500</x:v>
      </x:c>
      <x:c r="E1115" s="47" t="n">
        <x:v>1</x:v>
      </x:c>
      <x:c r="F1115" s="47" t="n">
        <x:v>1</x:v>
      </x:c>
      <x:c r="G1115" s="47" t="n">
        <x:v>1</x:v>
      </x:c>
      <x:c r="H1115" s="47" t="n">
        <x:v>1</x:v>
      </x:c>
      <x:c r="I1115" s="47" t="n">
        <x:v>1</x:v>
      </x:c>
      <x:c r="J1115" s="47" t="n">
        <x:v>1</x:v>
      </x:c>
      <x:c r="K1115" s="47" t="n">
        <x:v>1</x:v>
      </x:c>
      <x:c r="L1115" s="47" t="n">
        <x:v>1</x:v>
      </x:c>
      <x:c r="M1115" s="29" t="n">
        <x:v>1</x:v>
      </x:c>
    </x:row>
    <x:row r="1116" ht="15" hidden="0" customHeight="1">
      <x:c r="A1116" s="27" t="n">
        <x:v>112</x:v>
      </x:c>
      <x:c r="B1116" s="27" t="n">
        <x:v>331016</x:v>
      </x:c>
      <x:c r="C1116" s="27" t="str">
        <x:v>A2</x:v>
      </x:c>
      <x:c r="D1116" s="52" t="n">
        <x:v>2500</x:v>
      </x:c>
      <x:c r="E1116" s="46" t="n">
        <x:v>1</x:v>
      </x:c>
      <x:c r="F1116" s="46" t="n">
        <x:v>1</x:v>
      </x:c>
      <x:c r="G1116" s="46" t="n">
        <x:v>1</x:v>
      </x:c>
      <x:c r="H1116" s="46" t="n">
        <x:v>1</x:v>
      </x:c>
      <x:c r="I1116" s="46" t="n">
        <x:v>1</x:v>
      </x:c>
      <x:c r="J1116" s="46" t="n">
        <x:v>1</x:v>
      </x:c>
      <x:c r="K1116" s="46" t="n">
        <x:v>1</x:v>
      </x:c>
      <x:c r="L1116" s="46" t="n">
        <x:v>1</x:v>
      </x:c>
      <x:c r="M1116" s="27" t="n">
        <x:v>1</x:v>
      </x:c>
    </x:row>
    <x:row r="1117" ht="15" hidden="0" customHeight="1">
      <x:c r="A1117" s="29" t="n">
        <x:v>113</x:v>
      </x:c>
      <x:c r="B1117" s="29" t="n">
        <x:v>331017</x:v>
      </x:c>
      <x:c r="C1117" s="29" t="str">
        <x:v>A2</x:v>
      </x:c>
      <x:c r="D1117" s="53" t="n">
        <x:v>2500</x:v>
      </x:c>
      <x:c r="E1117" s="47" t="n">
        <x:v>1</x:v>
      </x:c>
      <x:c r="F1117" s="47" t="n">
        <x:v>1</x:v>
      </x:c>
      <x:c r="G1117" s="47" t="n">
        <x:v>1</x:v>
      </x:c>
      <x:c r="H1117" s="47" t="n">
        <x:v>1</x:v>
      </x:c>
      <x:c r="I1117" s="47" t="n">
        <x:v>1</x:v>
      </x:c>
      <x:c r="J1117" s="47" t="n">
        <x:v>1</x:v>
      </x:c>
      <x:c r="K1117" s="47" t="n">
        <x:v>1</x:v>
      </x:c>
      <x:c r="L1117" s="47" t="n">
        <x:v>1</x:v>
      </x:c>
      <x:c r="M1117" s="29" t="n">
        <x:v>1</x:v>
      </x:c>
    </x:row>
    <x:row r="1118" ht="15" hidden="0" customHeight="1">
      <x:c r="A1118" s="27" t="n">
        <x:v>114</x:v>
      </x:c>
      <x:c r="B1118" s="27" t="n">
        <x:v>331018</x:v>
      </x:c>
      <x:c r="C1118" s="27" t="str">
        <x:v>A2</x:v>
      </x:c>
      <x:c r="D1118" s="52" t="n">
        <x:v>2500</x:v>
      </x:c>
      <x:c r="E1118" s="46" t="n">
        <x:v>1</x:v>
      </x:c>
      <x:c r="F1118" s="46" t="n">
        <x:v>1</x:v>
      </x:c>
      <x:c r="G1118" s="46" t="n">
        <x:v>1</x:v>
      </x:c>
      <x:c r="H1118" s="46" t="n">
        <x:v>1</x:v>
      </x:c>
      <x:c r="I1118" s="46" t="n">
        <x:v>1</x:v>
      </x:c>
      <x:c r="J1118" s="46" t="n">
        <x:v>1</x:v>
      </x:c>
      <x:c r="K1118" s="46" t="n">
        <x:v>1</x:v>
      </x:c>
      <x:c r="L1118" s="46" t="n">
        <x:v>1</x:v>
      </x:c>
      <x:c r="M1118" s="27" t="n">
        <x:v>1</x:v>
      </x:c>
    </x:row>
    <x:row r="1119" ht="15" hidden="0" customHeight="1">
      <x:c r="A1119" s="29" t="n">
        <x:v>115</x:v>
      </x:c>
      <x:c r="B1119" s="29" t="n">
        <x:v>331019</x:v>
      </x:c>
      <x:c r="C1119" s="29" t="str">
        <x:v>A2</x:v>
      </x:c>
      <x:c r="D1119" s="53" t="n">
        <x:v>2500</x:v>
      </x:c>
      <x:c r="E1119" s="47" t="n">
        <x:v>1</x:v>
      </x:c>
      <x:c r="F1119" s="47" t="n">
        <x:v>1</x:v>
      </x:c>
      <x:c r="G1119" s="47" t="n">
        <x:v>1</x:v>
      </x:c>
      <x:c r="H1119" s="47" t="n">
        <x:v>1</x:v>
      </x:c>
      <x:c r="I1119" s="47" t="n">
        <x:v>1</x:v>
      </x:c>
      <x:c r="J1119" s="47" t="n">
        <x:v>1</x:v>
      </x:c>
      <x:c r="K1119" s="47" t="n">
        <x:v>1</x:v>
      </x:c>
      <x:c r="L1119" s="47" t="n">
        <x:v>1</x:v>
      </x:c>
      <x:c r="M1119" s="29" t="n">
        <x:v>1</x:v>
      </x:c>
    </x:row>
    <x:row r="1120" ht="15" hidden="0" customHeight="1">
      <x:c r="A1120" s="27" t="n">
        <x:v>116</x:v>
      </x:c>
      <x:c r="B1120" s="27" t="n">
        <x:v>331020</x:v>
      </x:c>
      <x:c r="C1120" s="27" t="str">
        <x:v>A2</x:v>
      </x:c>
      <x:c r="D1120" s="52" t="n">
        <x:v>2500</x:v>
      </x:c>
      <x:c r="E1120" s="46" t="n">
        <x:v>1</x:v>
      </x:c>
      <x:c r="F1120" s="46" t="n">
        <x:v>1</x:v>
      </x:c>
      <x:c r="G1120" s="46" t="n">
        <x:v>1</x:v>
      </x:c>
      <x:c r="H1120" s="46" t="n">
        <x:v>1</x:v>
      </x:c>
      <x:c r="I1120" s="46" t="n">
        <x:v>1</x:v>
      </x:c>
      <x:c r="J1120" s="46" t="n">
        <x:v>1</x:v>
      </x:c>
      <x:c r="K1120" s="46" t="n">
        <x:v>1</x:v>
      </x:c>
      <x:c r="L1120" s="46" t="n">
        <x:v>1</x:v>
      </x:c>
      <x:c r="M1120" s="27" t="n">
        <x:v>1</x:v>
      </x:c>
    </x:row>
    <x:row r="1121" ht="15" hidden="0" customHeight="1">
      <x:c r="A1121" s="29" t="n">
        <x:v>117</x:v>
      </x:c>
      <x:c r="B1121" s="29" t="n">
        <x:v>331021</x:v>
      </x:c>
      <x:c r="C1121" s="29" t="str">
        <x:v>A2</x:v>
      </x:c>
      <x:c r="D1121" s="53" t="n">
        <x:v>2500</x:v>
      </x:c>
      <x:c r="E1121" s="47" t="n">
        <x:v>1</x:v>
      </x:c>
      <x:c r="F1121" s="47" t="n">
        <x:v>1</x:v>
      </x:c>
      <x:c r="G1121" s="47" t="n">
        <x:v>1</x:v>
      </x:c>
      <x:c r="H1121" s="47" t="n">
        <x:v>1</x:v>
      </x:c>
      <x:c r="I1121" s="47" t="n">
        <x:v>1</x:v>
      </x:c>
      <x:c r="J1121" s="47" t="n">
        <x:v>1</x:v>
      </x:c>
      <x:c r="K1121" s="47" t="n">
        <x:v>1</x:v>
      </x:c>
      <x:c r="L1121" s="47" t="n">
        <x:v>1</x:v>
      </x:c>
      <x:c r="M1121" s="29" t="n">
        <x:v>1</x:v>
      </x:c>
    </x:row>
    <x:row r="1122" ht="15" hidden="0" customHeight="1">
      <x:c r="A1122" s="27" t="n">
        <x:v>118</x:v>
      </x:c>
      <x:c r="B1122" s="27" t="n">
        <x:v>331022</x:v>
      </x:c>
      <x:c r="C1122" s="27" t="str">
        <x:v>A2</x:v>
      </x:c>
      <x:c r="D1122" s="52" t="n">
        <x:v>2500</x:v>
      </x:c>
      <x:c r="E1122" s="46" t="n">
        <x:v>1</x:v>
      </x:c>
      <x:c r="F1122" s="46" t="n">
        <x:v>1</x:v>
      </x:c>
      <x:c r="G1122" s="46" t="n">
        <x:v>1</x:v>
      </x:c>
      <x:c r="H1122" s="46" t="n">
        <x:v>1</x:v>
      </x:c>
      <x:c r="I1122" s="46" t="n">
        <x:v>1</x:v>
      </x:c>
      <x:c r="J1122" s="46" t="n">
        <x:v>1</x:v>
      </x:c>
      <x:c r="K1122" s="46" t="n">
        <x:v>1</x:v>
      </x:c>
      <x:c r="L1122" s="46" t="n">
        <x:v>1</x:v>
      </x:c>
      <x:c r="M1122" s="27" t="n">
        <x:v>1</x:v>
      </x:c>
    </x:row>
    <x:row r="1123" ht="15" hidden="0" customHeight="1">
      <x:c r="A1123" s="29" t="n">
        <x:v>119</x:v>
      </x:c>
      <x:c r="B1123" s="29" t="n">
        <x:v>331023</x:v>
      </x:c>
      <x:c r="C1123" s="29" t="str">
        <x:v>A2</x:v>
      </x:c>
      <x:c r="D1123" s="53" t="n">
        <x:v>2500</x:v>
      </x:c>
      <x:c r="E1123" s="47" t="n">
        <x:v>1</x:v>
      </x:c>
      <x:c r="F1123" s="47" t="n">
        <x:v>1</x:v>
      </x:c>
      <x:c r="G1123" s="47" t="n">
        <x:v>1</x:v>
      </x:c>
      <x:c r="H1123" s="47" t="n">
        <x:v>1</x:v>
      </x:c>
      <x:c r="I1123" s="47" t="n">
        <x:v>1</x:v>
      </x:c>
      <x:c r="J1123" s="47" t="n">
        <x:v>1</x:v>
      </x:c>
      <x:c r="K1123" s="47" t="n">
        <x:v>1</x:v>
      </x:c>
      <x:c r="L1123" s="47" t="n">
        <x:v>1</x:v>
      </x:c>
      <x:c r="M1123" s="29" t="n">
        <x:v>1</x:v>
      </x:c>
    </x:row>
    <x:row r="1124" ht="15" hidden="0" customHeight="1">
      <x:c r="A1124" s="27" t="n">
        <x:v>120</x:v>
      </x:c>
      <x:c r="B1124" s="27" t="n">
        <x:v>331024</x:v>
      </x:c>
      <x:c r="C1124" s="27" t="str">
        <x:v>A2</x:v>
      </x:c>
      <x:c r="D1124" s="52" t="n">
        <x:v>2500</x:v>
      </x:c>
      <x:c r="E1124" s="46" t="n">
        <x:v>1</x:v>
      </x:c>
      <x:c r="F1124" s="46" t="n">
        <x:v>1</x:v>
      </x:c>
      <x:c r="G1124" s="46" t="n">
        <x:v>1</x:v>
      </x:c>
      <x:c r="H1124" s="46" t="n">
        <x:v>1</x:v>
      </x:c>
      <x:c r="I1124" s="46" t="n">
        <x:v>1</x:v>
      </x:c>
      <x:c r="J1124" s="46" t="n">
        <x:v>1</x:v>
      </x:c>
      <x:c r="K1124" s="46" t="n">
        <x:v>1</x:v>
      </x:c>
      <x:c r="L1124" s="46" t="n">
        <x:v>1</x:v>
      </x:c>
      <x:c r="M1124" s="27" t="n">
        <x:v>1</x:v>
      </x:c>
    </x:row>
    <x:row r="1125" ht="15" hidden="0" customHeight="1">
      <x:c r="A1125" s="29" t="n">
        <x:v>121</x:v>
      </x:c>
      <x:c r="B1125" s="29" t="n">
        <x:v>331025</x:v>
      </x:c>
      <x:c r="C1125" s="29" t="str">
        <x:v>A2</x:v>
      </x:c>
      <x:c r="D1125" s="53" t="n">
        <x:v>2500</x:v>
      </x:c>
      <x:c r="E1125" s="47" t="n">
        <x:v>1</x:v>
      </x:c>
      <x:c r="F1125" s="47" t="n">
        <x:v>1</x:v>
      </x:c>
      <x:c r="G1125" s="47" t="n">
        <x:v>1</x:v>
      </x:c>
      <x:c r="H1125" s="47" t="n">
        <x:v>1</x:v>
      </x:c>
      <x:c r="I1125" s="47" t="n">
        <x:v>1</x:v>
      </x:c>
      <x:c r="J1125" s="47" t="n">
        <x:v>1</x:v>
      </x:c>
      <x:c r="K1125" s="47" t="n">
        <x:v>1</x:v>
      </x:c>
      <x:c r="L1125" s="47" t="n">
        <x:v>1</x:v>
      </x:c>
      <x:c r="M1125" s="29" t="n">
        <x:v>1</x:v>
      </x:c>
    </x:row>
    <x:row r="1126" ht="15" hidden="0" customHeight="1">
      <x:c r="A1126" s="27" t="n">
        <x:v>122</x:v>
      </x:c>
      <x:c r="B1126" s="27" t="n">
        <x:v>331026</x:v>
      </x:c>
      <x:c r="C1126" s="27" t="str">
        <x:v>A2</x:v>
      </x:c>
      <x:c r="D1126" s="52" t="n">
        <x:v>2500</x:v>
      </x:c>
      <x:c r="E1126" s="46" t="n">
        <x:v>1</x:v>
      </x:c>
      <x:c r="F1126" s="46" t="n">
        <x:v>1</x:v>
      </x:c>
      <x:c r="G1126" s="46" t="n">
        <x:v>1</x:v>
      </x:c>
      <x:c r="H1126" s="46" t="n">
        <x:v>1</x:v>
      </x:c>
      <x:c r="I1126" s="46" t="n">
        <x:v>1</x:v>
      </x:c>
      <x:c r="J1126" s="46" t="n">
        <x:v>1</x:v>
      </x:c>
      <x:c r="K1126" s="46" t="n">
        <x:v>1</x:v>
      </x:c>
      <x:c r="L1126" s="46" t="n">
        <x:v>1</x:v>
      </x:c>
      <x:c r="M1126" s="27" t="n">
        <x:v>1</x:v>
      </x:c>
    </x:row>
    <x:row r="1127" ht="15" hidden="0" customHeight="1">
      <x:c r="A1127" s="29" t="n">
        <x:v>123</x:v>
      </x:c>
      <x:c r="B1127" s="29" t="n">
        <x:v>331027</x:v>
      </x:c>
      <x:c r="C1127" s="29" t="str">
        <x:v>A2</x:v>
      </x:c>
      <x:c r="D1127" s="53" t="n">
        <x:v>2500</x:v>
      </x:c>
      <x:c r="E1127" s="47" t="n">
        <x:v>1</x:v>
      </x:c>
      <x:c r="F1127" s="47" t="n">
        <x:v>1</x:v>
      </x:c>
      <x:c r="G1127" s="47" t="n">
        <x:v>1</x:v>
      </x:c>
      <x:c r="H1127" s="47" t="n">
        <x:v>1</x:v>
      </x:c>
      <x:c r="I1127" s="47" t="n">
        <x:v>1</x:v>
      </x:c>
      <x:c r="J1127" s="47" t="n">
        <x:v>1</x:v>
      </x:c>
      <x:c r="K1127" s="47" t="n">
        <x:v>1</x:v>
      </x:c>
      <x:c r="L1127" s="47" t="n">
        <x:v>1</x:v>
      </x:c>
      <x:c r="M1127" s="29" t="n">
        <x:v>1</x:v>
      </x:c>
    </x:row>
    <x:row r="1128" ht="15" hidden="0" customHeight="1">
      <x:c r="A1128" s="27" t="n">
        <x:v>124</x:v>
      </x:c>
      <x:c r="B1128" s="27" t="n">
        <x:v>331028</x:v>
      </x:c>
      <x:c r="C1128" s="27" t="str">
        <x:v>A2</x:v>
      </x:c>
      <x:c r="D1128" s="52" t="n">
        <x:v>2500</x:v>
      </x:c>
      <x:c r="E1128" s="46" t="n">
        <x:v>1</x:v>
      </x:c>
      <x:c r="F1128" s="46" t="n">
        <x:v>1</x:v>
      </x:c>
      <x:c r="G1128" s="46" t="n">
        <x:v>1</x:v>
      </x:c>
      <x:c r="H1128" s="46" t="n">
        <x:v>1</x:v>
      </x:c>
      <x:c r="I1128" s="46" t="n">
        <x:v>1</x:v>
      </x:c>
      <x:c r="J1128" s="46" t="n">
        <x:v>1</x:v>
      </x:c>
      <x:c r="K1128" s="46" t="n">
        <x:v>1</x:v>
      </x:c>
      <x:c r="L1128" s="46" t="n">
        <x:v>1</x:v>
      </x:c>
      <x:c r="M1128" s="27" t="n">
        <x:v>1</x:v>
      </x:c>
    </x:row>
    <x:row r="1129" ht="15" hidden="0" customHeight="1">
      <x:c r="A1129" s="29" t="n">
        <x:v>125</x:v>
      </x:c>
      <x:c r="B1129" s="29" t="n">
        <x:v>331029</x:v>
      </x:c>
      <x:c r="C1129" s="29" t="str">
        <x:v>A2</x:v>
      </x:c>
      <x:c r="D1129" s="53" t="n">
        <x:v>2500</x:v>
      </x:c>
      <x:c r="E1129" s="47" t="n">
        <x:v>1</x:v>
      </x:c>
      <x:c r="F1129" s="47" t="n">
        <x:v>1</x:v>
      </x:c>
      <x:c r="G1129" s="47" t="n">
        <x:v>1</x:v>
      </x:c>
      <x:c r="H1129" s="47" t="n">
        <x:v>1</x:v>
      </x:c>
      <x:c r="I1129" s="47" t="n">
        <x:v>1</x:v>
      </x:c>
      <x:c r="J1129" s="47" t="n">
        <x:v>1</x:v>
      </x:c>
      <x:c r="K1129" s="47" t="n">
        <x:v>1</x:v>
      </x:c>
      <x:c r="L1129" s="47" t="n">
        <x:v>1</x:v>
      </x:c>
      <x:c r="M1129" s="29" t="n">
        <x:v>1</x:v>
      </x:c>
    </x:row>
    <x:row r="1130" ht="15" hidden="0" customHeight="1">
      <x:c r="A1130" s="27" t="n">
        <x:v>126</x:v>
      </x:c>
      <x:c r="B1130" s="27" t="n">
        <x:v>331030</x:v>
      </x:c>
      <x:c r="C1130" s="27" t="str">
        <x:v>A2</x:v>
      </x:c>
      <x:c r="D1130" s="52" t="n">
        <x:v>2500</x:v>
      </x:c>
      <x:c r="E1130" s="46" t="n">
        <x:v>1</x:v>
      </x:c>
      <x:c r="F1130" s="46" t="n">
        <x:v>0.9999999999999998</x:v>
      </x:c>
      <x:c r="G1130" s="46" t="n">
        <x:v>1</x:v>
      </x:c>
      <x:c r="H1130" s="46" t="n">
        <x:v>1</x:v>
      </x:c>
      <x:c r="I1130" s="46" t="n">
        <x:v>1</x:v>
      </x:c>
      <x:c r="J1130" s="46" t="n">
        <x:v>1</x:v>
      </x:c>
      <x:c r="K1130" s="46" t="n">
        <x:v>1</x:v>
      </x:c>
      <x:c r="L1130" s="46" t="n">
        <x:v>1</x:v>
      </x:c>
      <x:c r="M1130" s="27" t="n">
        <x:v>1</x:v>
      </x:c>
    </x:row>
    <x:row r="1131" ht="15" hidden="0" customHeight="1">
      <x:c r="A1131" s="29" t="n">
        <x:v>127</x:v>
      </x:c>
      <x:c r="B1131" s="29" t="n">
        <x:v>331031</x:v>
      </x:c>
      <x:c r="C1131" s="29" t="str">
        <x:v>A2</x:v>
      </x:c>
      <x:c r="D1131" s="53" t="n">
        <x:v>2500</x:v>
      </x:c>
      <x:c r="E1131" s="47" t="n">
        <x:v>1</x:v>
      </x:c>
      <x:c r="F1131" s="47" t="n">
        <x:v>1</x:v>
      </x:c>
      <x:c r="G1131" s="47" t="n">
        <x:v>1</x:v>
      </x:c>
      <x:c r="H1131" s="47" t="n">
        <x:v>1</x:v>
      </x:c>
      <x:c r="I1131" s="47" t="n">
        <x:v>1</x:v>
      </x:c>
      <x:c r="J1131" s="47" t="n">
        <x:v>1</x:v>
      </x:c>
      <x:c r="K1131" s="47" t="n">
        <x:v>1</x:v>
      </x:c>
      <x:c r="L1131" s="47" t="n">
        <x:v>1</x:v>
      </x:c>
      <x:c r="M1131" s="29" t="n">
        <x:v>1</x:v>
      </x:c>
    </x:row>
    <x:row r="1132" ht="15" hidden="0" customHeight="1">
      <x:c r="A1132" s="27" t="n">
        <x:v>128</x:v>
      </x:c>
      <x:c r="B1132" s="27" t="n">
        <x:v>331032</x:v>
      </x:c>
      <x:c r="C1132" s="27" t="str">
        <x:v>A2</x:v>
      </x:c>
      <x:c r="D1132" s="52" t="n">
        <x:v>2500</x:v>
      </x:c>
      <x:c r="E1132" s="46" t="n">
        <x:v>1</x:v>
      </x:c>
      <x:c r="F1132" s="46" t="n">
        <x:v>1</x:v>
      </x:c>
      <x:c r="G1132" s="46" t="n">
        <x:v>1</x:v>
      </x:c>
      <x:c r="H1132" s="46" t="n">
        <x:v>1</x:v>
      </x:c>
      <x:c r="I1132" s="46" t="n">
        <x:v>1</x:v>
      </x:c>
      <x:c r="J1132" s="46" t="n">
        <x:v>1</x:v>
      </x:c>
      <x:c r="K1132" s="46" t="n">
        <x:v>1</x:v>
      </x:c>
      <x:c r="L1132" s="46" t="n">
        <x:v>1</x:v>
      </x:c>
      <x:c r="M1132" s="27" t="n">
        <x:v>1</x:v>
      </x:c>
    </x:row>
    <x:row r="1133" ht="15" hidden="0" customHeight="1">
      <x:c r="A1133" s="29" t="n">
        <x:v>129</x:v>
      </x:c>
      <x:c r="B1133" s="29" t="n">
        <x:v>331033</x:v>
      </x:c>
      <x:c r="C1133" s="29" t="str">
        <x:v>A2</x:v>
      </x:c>
      <x:c r="D1133" s="53" t="n">
        <x:v>2486.130829637763</x:v>
      </x:c>
      <x:c r="E1133" s="47" t="n">
        <x:v>0.9944523318551052</x:v>
      </x:c>
      <x:c r="F1133" s="47" t="n">
        <x:v>0.9445233185510508</x:v>
      </x:c>
      <x:c r="G1133" s="47" t="n">
        <x:v>1</x:v>
      </x:c>
      <x:c r="H1133" s="47" t="n">
        <x:v>1</x:v>
      </x:c>
      <x:c r="I1133" s="47" t="n">
        <x:v>1</x:v>
      </x:c>
      <x:c r="J1133" s="47" t="n">
        <x:v>1</x:v>
      </x:c>
      <x:c r="K1133" s="47" t="n">
        <x:v>1</x:v>
      </x:c>
      <x:c r="L1133" s="47" t="n">
        <x:v>0.9931495005833979</x:v>
      </x:c>
      <x:c r="M1133" s="29" t="n">
        <x:v>0</x:v>
      </x:c>
    </x:row>
    <x:row r="1134" ht="15" hidden="0" customHeight="1">
      <x:c r="A1134" s="27" t="n">
        <x:v>130</x:v>
      </x:c>
      <x:c r="B1134" s="27" t="n">
        <x:v>331034</x:v>
      </x:c>
      <x:c r="C1134" s="27" t="str">
        <x:v>A2</x:v>
      </x:c>
      <x:c r="D1134" s="52" t="n">
        <x:v>2500</x:v>
      </x:c>
      <x:c r="E1134" s="46" t="n">
        <x:v>1</x:v>
      </x:c>
      <x:c r="F1134" s="46" t="n">
        <x:v>1</x:v>
      </x:c>
      <x:c r="G1134" s="46" t="n">
        <x:v>1</x:v>
      </x:c>
      <x:c r="H1134" s="46" t="n">
        <x:v>1</x:v>
      </x:c>
      <x:c r="I1134" s="46" t="n">
        <x:v>1</x:v>
      </x:c>
      <x:c r="J1134" s="46" t="n">
        <x:v>1</x:v>
      </x:c>
      <x:c r="K1134" s="46" t="n">
        <x:v>1</x:v>
      </x:c>
      <x:c r="L1134" s="46" t="n">
        <x:v>1</x:v>
      </x:c>
      <x:c r="M1134" s="27" t="n">
        <x:v>1</x:v>
      </x:c>
    </x:row>
    <x:row r="1135" ht="15" hidden="0" customHeight="1">
      <x:c r="A1135" s="29" t="n">
        <x:v>131</x:v>
      </x:c>
      <x:c r="B1135" s="29" t="n">
        <x:v>331035</x:v>
      </x:c>
      <x:c r="C1135" s="29" t="str">
        <x:v>A2</x:v>
      </x:c>
      <x:c r="D1135" s="53" t="n">
        <x:v>2500</x:v>
      </x:c>
      <x:c r="E1135" s="47" t="n">
        <x:v>1</x:v>
      </x:c>
      <x:c r="F1135" s="47" t="n">
        <x:v>1</x:v>
      </x:c>
      <x:c r="G1135" s="47" t="n">
        <x:v>1</x:v>
      </x:c>
      <x:c r="H1135" s="47" t="n">
        <x:v>1</x:v>
      </x:c>
      <x:c r="I1135" s="47" t="n">
        <x:v>1</x:v>
      </x:c>
      <x:c r="J1135" s="47" t="n">
        <x:v>1</x:v>
      </x:c>
      <x:c r="K1135" s="47" t="n">
        <x:v>1</x:v>
      </x:c>
      <x:c r="L1135" s="47" t="n">
        <x:v>1</x:v>
      </x:c>
      <x:c r="M1135" s="29" t="n">
        <x:v>1</x:v>
      </x:c>
    </x:row>
    <x:row r="1136" ht="15" hidden="0" customHeight="1">
      <x:c r="A1136" s="27" t="n">
        <x:v>132</x:v>
      </x:c>
      <x:c r="B1136" s="27" t="n">
        <x:v>331036</x:v>
      </x:c>
      <x:c r="C1136" s="27" t="str">
        <x:v>A2</x:v>
      </x:c>
      <x:c r="D1136" s="52" t="n">
        <x:v>2500</x:v>
      </x:c>
      <x:c r="E1136" s="46" t="n">
        <x:v>1</x:v>
      </x:c>
      <x:c r="F1136" s="46" t="n">
        <x:v>1</x:v>
      </x:c>
      <x:c r="G1136" s="46" t="n">
        <x:v>1</x:v>
      </x:c>
      <x:c r="H1136" s="46" t="n">
        <x:v>1</x:v>
      </x:c>
      <x:c r="I1136" s="46" t="n">
        <x:v>1</x:v>
      </x:c>
      <x:c r="J1136" s="46" t="n">
        <x:v>1</x:v>
      </x:c>
      <x:c r="K1136" s="46" t="n">
        <x:v>1</x:v>
      </x:c>
      <x:c r="L1136" s="46" t="n">
        <x:v>1</x:v>
      </x:c>
      <x:c r="M1136" s="27" t="n">
        <x:v>1</x:v>
      </x:c>
    </x:row>
    <x:row r="1137" ht="15" hidden="0" customHeight="1">
      <x:c r="A1137" s="29" t="n">
        <x:v>133</x:v>
      </x:c>
      <x:c r="B1137" s="29" t="n">
        <x:v>331037</x:v>
      </x:c>
      <x:c r="C1137" s="29" t="str">
        <x:v>A2</x:v>
      </x:c>
      <x:c r="D1137" s="53" t="n">
        <x:v>2500</x:v>
      </x:c>
      <x:c r="E1137" s="47" t="n">
        <x:v>1</x:v>
      </x:c>
      <x:c r="F1137" s="47" t="n">
        <x:v>1</x:v>
      </x:c>
      <x:c r="G1137" s="47" t="n">
        <x:v>1</x:v>
      </x:c>
      <x:c r="H1137" s="47" t="n">
        <x:v>1</x:v>
      </x:c>
      <x:c r="I1137" s="47" t="n">
        <x:v>1</x:v>
      </x:c>
      <x:c r="J1137" s="47" t="n">
        <x:v>1</x:v>
      </x:c>
      <x:c r="K1137" s="47" t="n">
        <x:v>1</x:v>
      </x:c>
      <x:c r="L1137" s="47" t="n">
        <x:v>1</x:v>
      </x:c>
      <x:c r="M1137" s="29" t="n">
        <x:v>1</x:v>
      </x:c>
    </x:row>
    <x:row r="1138" ht="15" hidden="0" customHeight="1">
      <x:c r="A1138" s="27" t="n">
        <x:v>134</x:v>
      </x:c>
      <x:c r="B1138" s="27" t="n">
        <x:v>331038</x:v>
      </x:c>
      <x:c r="C1138" s="27" t="str">
        <x:v>A2</x:v>
      </x:c>
      <x:c r="D1138" s="52" t="n">
        <x:v>2500</x:v>
      </x:c>
      <x:c r="E1138" s="46" t="n">
        <x:v>1</x:v>
      </x:c>
      <x:c r="F1138" s="46" t="n">
        <x:v>1</x:v>
      </x:c>
      <x:c r="G1138" s="46" t="n">
        <x:v>1</x:v>
      </x:c>
      <x:c r="H1138" s="46" t="n">
        <x:v>1</x:v>
      </x:c>
      <x:c r="I1138" s="46" t="n">
        <x:v>1</x:v>
      </x:c>
      <x:c r="J1138" s="46" t="n">
        <x:v>1</x:v>
      </x:c>
      <x:c r="K1138" s="46" t="n">
        <x:v>1</x:v>
      </x:c>
      <x:c r="L1138" s="46" t="n">
        <x:v>0.9999999999999999</x:v>
      </x:c>
      <x:c r="M1138" s="27" t="n">
        <x:v>1</x:v>
      </x:c>
    </x:row>
    <x:row r="1139" ht="15" hidden="0" customHeight="1">
      <x:c r="A1139" s="29" t="n">
        <x:v>135</x:v>
      </x:c>
      <x:c r="B1139" s="29" t="n">
        <x:v>331039</x:v>
      </x:c>
      <x:c r="C1139" s="29" t="str">
        <x:v>A2</x:v>
      </x:c>
      <x:c r="D1139" s="53" t="n">
        <x:v>2500</x:v>
      </x:c>
      <x:c r="E1139" s="47" t="n">
        <x:v>1</x:v>
      </x:c>
      <x:c r="F1139" s="47" t="n">
        <x:v>0.9999999999999998</x:v>
      </x:c>
      <x:c r="G1139" s="47" t="n">
        <x:v>1</x:v>
      </x:c>
      <x:c r="H1139" s="47" t="n">
        <x:v>1</x:v>
      </x:c>
      <x:c r="I1139" s="47" t="n">
        <x:v>1</x:v>
      </x:c>
      <x:c r="J1139" s="47" t="n">
        <x:v>1</x:v>
      </x:c>
      <x:c r="K1139" s="47" t="n">
        <x:v>1</x:v>
      </x:c>
      <x:c r="L1139" s="47" t="n">
        <x:v>1</x:v>
      </x:c>
      <x:c r="M1139" s="29" t="n">
        <x:v>1</x:v>
      </x:c>
    </x:row>
    <x:row r="1140" ht="15" hidden="0" customHeight="1">
      <x:c r="A1140" s="27" t="n">
        <x:v>136</x:v>
      </x:c>
      <x:c r="B1140" s="27" t="n">
        <x:v>331040</x:v>
      </x:c>
      <x:c r="C1140" s="27" t="str">
        <x:v>A2</x:v>
      </x:c>
      <x:c r="D1140" s="52" t="n">
        <x:v>2500</x:v>
      </x:c>
      <x:c r="E1140" s="46" t="n">
        <x:v>1</x:v>
      </x:c>
      <x:c r="F1140" s="46" t="n">
        <x:v>0.9999999999999998</x:v>
      </x:c>
      <x:c r="G1140" s="46" t="n">
        <x:v>1</x:v>
      </x:c>
      <x:c r="H1140" s="46" t="n">
        <x:v>1</x:v>
      </x:c>
      <x:c r="I1140" s="46" t="n">
        <x:v>1</x:v>
      </x:c>
      <x:c r="J1140" s="46" t="n">
        <x:v>1</x:v>
      </x:c>
      <x:c r="K1140" s="46" t="n">
        <x:v>1</x:v>
      </x:c>
      <x:c r="L1140" s="46" t="n">
        <x:v>1</x:v>
      </x:c>
      <x:c r="M1140" s="27" t="n">
        <x:v>1</x:v>
      </x:c>
    </x:row>
    <x:row r="1141" ht="15" hidden="0" customHeight="1">
      <x:c r="A1141" s="29" t="n">
        <x:v>137</x:v>
      </x:c>
      <x:c r="B1141" s="29" t="n">
        <x:v>331041</x:v>
      </x:c>
      <x:c r="C1141" s="29" t="str">
        <x:v>A2</x:v>
      </x:c>
      <x:c r="D1141" s="53" t="n">
        <x:v>2500</x:v>
      </x:c>
      <x:c r="E1141" s="47" t="n">
        <x:v>1</x:v>
      </x:c>
      <x:c r="F1141" s="47" t="n">
        <x:v>1</x:v>
      </x:c>
      <x:c r="G1141" s="47" t="n">
        <x:v>1</x:v>
      </x:c>
      <x:c r="H1141" s="47" t="n">
        <x:v>1</x:v>
      </x:c>
      <x:c r="I1141" s="47" t="n">
        <x:v>1</x:v>
      </x:c>
      <x:c r="J1141" s="47" t="n">
        <x:v>1</x:v>
      </x:c>
      <x:c r="K1141" s="47" t="n">
        <x:v>1</x:v>
      </x:c>
      <x:c r="L1141" s="47" t="n">
        <x:v>1</x:v>
      </x:c>
      <x:c r="M1141" s="29" t="n">
        <x:v>1</x:v>
      </x:c>
    </x:row>
    <x:row r="1142" ht="15" hidden="0" customHeight="1">
      <x:c r="A1142" s="27" t="n">
        <x:v>138</x:v>
      </x:c>
      <x:c r="B1142" s="27" t="n">
        <x:v>331042</x:v>
      </x:c>
      <x:c r="C1142" s="27" t="str">
        <x:v>A2</x:v>
      </x:c>
      <x:c r="D1142" s="52" t="n">
        <x:v>2500</x:v>
      </x:c>
      <x:c r="E1142" s="46" t="n">
        <x:v>1</x:v>
      </x:c>
      <x:c r="F1142" s="46" t="n">
        <x:v>0.9999999999999998</x:v>
      </x:c>
      <x:c r="G1142" s="46" t="n">
        <x:v>1</x:v>
      </x:c>
      <x:c r="H1142" s="46" t="n">
        <x:v>1</x:v>
      </x:c>
      <x:c r="I1142" s="46" t="n">
        <x:v>1</x:v>
      </x:c>
      <x:c r="J1142" s="46" t="n">
        <x:v>1</x:v>
      </x:c>
      <x:c r="K1142" s="46" t="n">
        <x:v>1</x:v>
      </x:c>
      <x:c r="L1142" s="46" t="n">
        <x:v>1</x:v>
      </x:c>
      <x:c r="M1142" s="27" t="n">
        <x:v>1</x:v>
      </x:c>
    </x:row>
    <x:row r="1143" ht="15" hidden="0" customHeight="1">
      <x:c r="A1143" s="29" t="n">
        <x:v>139</x:v>
      </x:c>
      <x:c r="B1143" s="29" t="n">
        <x:v>331043</x:v>
      </x:c>
      <x:c r="C1143" s="29" t="str">
        <x:v>A2</x:v>
      </x:c>
      <x:c r="D1143" s="53" t="n">
        <x:v>2500</x:v>
      </x:c>
      <x:c r="E1143" s="47" t="n">
        <x:v>1</x:v>
      </x:c>
      <x:c r="F1143" s="47" t="n">
        <x:v>1</x:v>
      </x:c>
      <x:c r="G1143" s="47" t="n">
        <x:v>1</x:v>
      </x:c>
      <x:c r="H1143" s="47" t="n">
        <x:v>1</x:v>
      </x:c>
      <x:c r="I1143" s="47" t="n">
        <x:v>1</x:v>
      </x:c>
      <x:c r="J1143" s="47" t="n">
        <x:v>1</x:v>
      </x:c>
      <x:c r="K1143" s="47" t="n">
        <x:v>1</x:v>
      </x:c>
      <x:c r="L1143" s="47" t="n">
        <x:v>1</x:v>
      </x:c>
      <x:c r="M1143" s="29" t="n">
        <x:v>1</x:v>
      </x:c>
    </x:row>
    <x:row r="1144" ht="15" hidden="0" customHeight="1">
      <x:c r="A1144" s="27" t="n">
        <x:v>140</x:v>
      </x:c>
      <x:c r="B1144" s="27" t="n">
        <x:v>331044</x:v>
      </x:c>
      <x:c r="C1144" s="27" t="str">
        <x:v>A2</x:v>
      </x:c>
      <x:c r="D1144" s="52" t="n">
        <x:v>2500</x:v>
      </x:c>
      <x:c r="E1144" s="46" t="n">
        <x:v>1</x:v>
      </x:c>
      <x:c r="F1144" s="46" t="n">
        <x:v>1</x:v>
      </x:c>
      <x:c r="G1144" s="46" t="n">
        <x:v>1</x:v>
      </x:c>
      <x:c r="H1144" s="46" t="n">
        <x:v>1</x:v>
      </x:c>
      <x:c r="I1144" s="46" t="n">
        <x:v>1</x:v>
      </x:c>
      <x:c r="J1144" s="46" t="n">
        <x:v>1</x:v>
      </x:c>
      <x:c r="K1144" s="46" t="n">
        <x:v>1</x:v>
      </x:c>
      <x:c r="L1144" s="46" t="n">
        <x:v>1</x:v>
      </x:c>
      <x:c r="M1144" s="27" t="n">
        <x:v>1</x:v>
      </x:c>
    </x:row>
    <x:row r="1145" ht="15" hidden="0" customHeight="1">
      <x:c r="A1145" s="29" t="n">
        <x:v>141</x:v>
      </x:c>
      <x:c r="B1145" s="29" t="n">
        <x:v>331045</x:v>
      </x:c>
      <x:c r="C1145" s="29" t="str">
        <x:v>A2</x:v>
      </x:c>
      <x:c r="D1145" s="53" t="n">
        <x:v>2500</x:v>
      </x:c>
      <x:c r="E1145" s="47" t="n">
        <x:v>1</x:v>
      </x:c>
      <x:c r="F1145" s="47" t="n">
        <x:v>1</x:v>
      </x:c>
      <x:c r="G1145" s="47" t="n">
        <x:v>1</x:v>
      </x:c>
      <x:c r="H1145" s="47" t="n">
        <x:v>1</x:v>
      </x:c>
      <x:c r="I1145" s="47" t="n">
        <x:v>1</x:v>
      </x:c>
      <x:c r="J1145" s="47" t="n">
        <x:v>1</x:v>
      </x:c>
      <x:c r="K1145" s="47" t="n">
        <x:v>1</x:v>
      </x:c>
      <x:c r="L1145" s="47" t="n">
        <x:v>1</x:v>
      </x:c>
      <x:c r="M1145" s="29" t="n">
        <x:v>1</x:v>
      </x:c>
    </x:row>
    <x:row r="1146" ht="15" hidden="0" customHeight="1">
      <x:c r="A1146" s="27" t="n">
        <x:v>142</x:v>
      </x:c>
      <x:c r="B1146" s="27" t="n">
        <x:v>331046</x:v>
      </x:c>
      <x:c r="C1146" s="27" t="str">
        <x:v>A2</x:v>
      </x:c>
      <x:c r="D1146" s="52" t="n">
        <x:v>2500</x:v>
      </x:c>
      <x:c r="E1146" s="46" t="n">
        <x:v>1</x:v>
      </x:c>
      <x:c r="F1146" s="46" t="n">
        <x:v>0.9999999999999998</x:v>
      </x:c>
      <x:c r="G1146" s="46" t="n">
        <x:v>1</x:v>
      </x:c>
      <x:c r="H1146" s="46" t="n">
        <x:v>1</x:v>
      </x:c>
      <x:c r="I1146" s="46" t="n">
        <x:v>1</x:v>
      </x:c>
      <x:c r="J1146" s="46" t="n">
        <x:v>1</x:v>
      </x:c>
      <x:c r="K1146" s="46" t="n">
        <x:v>1</x:v>
      </x:c>
      <x:c r="L1146" s="46" t="n">
        <x:v>1</x:v>
      </x:c>
      <x:c r="M1146" s="27" t="n">
        <x:v>1</x:v>
      </x:c>
    </x:row>
    <x:row r="1147" ht="15" hidden="0" customHeight="1">
      <x:c r="A1147" s="29" t="n">
        <x:v>143</x:v>
      </x:c>
      <x:c r="B1147" s="29" t="n">
        <x:v>331047</x:v>
      </x:c>
      <x:c r="C1147" s="29" t="str">
        <x:v>A2</x:v>
      </x:c>
      <x:c r="D1147" s="53" t="n">
        <x:v>2500</x:v>
      </x:c>
      <x:c r="E1147" s="47" t="n">
        <x:v>1</x:v>
      </x:c>
      <x:c r="F1147" s="47" t="n">
        <x:v>1</x:v>
      </x:c>
      <x:c r="G1147" s="47" t="n">
        <x:v>1</x:v>
      </x:c>
      <x:c r="H1147" s="47" t="n">
        <x:v>1</x:v>
      </x:c>
      <x:c r="I1147" s="47" t="n">
        <x:v>1</x:v>
      </x:c>
      <x:c r="J1147" s="47" t="n">
        <x:v>1</x:v>
      </x:c>
      <x:c r="K1147" s="47" t="n">
        <x:v>1</x:v>
      </x:c>
      <x:c r="L1147" s="47" t="n">
        <x:v>1</x:v>
      </x:c>
      <x:c r="M1147" s="29" t="n">
        <x:v>1</x:v>
      </x:c>
    </x:row>
    <x:row r="1148" ht="15" hidden="0" customHeight="1">
      <x:c r="A1148" s="27" t="n">
        <x:v>144</x:v>
      </x:c>
      <x:c r="B1148" s="27" t="n">
        <x:v>331048</x:v>
      </x:c>
      <x:c r="C1148" s="27" t="str">
        <x:v>A2</x:v>
      </x:c>
      <x:c r="D1148" s="52" t="n">
        <x:v>2500</x:v>
      </x:c>
      <x:c r="E1148" s="46" t="n">
        <x:v>1</x:v>
      </x:c>
      <x:c r="F1148" s="46" t="n">
        <x:v>1</x:v>
      </x:c>
      <x:c r="G1148" s="46" t="n">
        <x:v>1</x:v>
      </x:c>
      <x:c r="H1148" s="46" t="n">
        <x:v>1</x:v>
      </x:c>
      <x:c r="I1148" s="46" t="n">
        <x:v>1</x:v>
      </x:c>
      <x:c r="J1148" s="46" t="n">
        <x:v>1</x:v>
      </x:c>
      <x:c r="K1148" s="46" t="n">
        <x:v>1</x:v>
      </x:c>
      <x:c r="L1148" s="46" t="n">
        <x:v>1</x:v>
      </x:c>
      <x:c r="M1148" s="27" t="n">
        <x:v>1</x:v>
      </x:c>
    </x:row>
    <x:row r="1149" ht="15" hidden="0" customHeight="1">
      <x:c r="A1149" s="29" t="n">
        <x:v>145</x:v>
      </x:c>
      <x:c r="B1149" s="29" t="n">
        <x:v>331049</x:v>
      </x:c>
      <x:c r="C1149" s="29" t="str">
        <x:v>A2</x:v>
      </x:c>
      <x:c r="D1149" s="53" t="n">
        <x:v>2500</x:v>
      </x:c>
      <x:c r="E1149" s="47" t="n">
        <x:v>1</x:v>
      </x:c>
      <x:c r="F1149" s="47" t="n">
        <x:v>1</x:v>
      </x:c>
      <x:c r="G1149" s="47" t="n">
        <x:v>1</x:v>
      </x:c>
      <x:c r="H1149" s="47" t="n">
        <x:v>1</x:v>
      </x:c>
      <x:c r="I1149" s="47" t="n">
        <x:v>1</x:v>
      </x:c>
      <x:c r="J1149" s="47" t="n">
        <x:v>1</x:v>
      </x:c>
      <x:c r="K1149" s="47" t="n">
        <x:v>1</x:v>
      </x:c>
      <x:c r="L1149" s="47" t="n">
        <x:v>1</x:v>
      </x:c>
      <x:c r="M1149" s="29" t="n">
        <x:v>1</x:v>
      </x:c>
    </x:row>
    <x:row r="1150" ht="15" hidden="0" customHeight="1">
      <x:c r="A1150" s="27" t="n">
        <x:v>146</x:v>
      </x:c>
      <x:c r="B1150" s="27" t="n">
        <x:v>331050</x:v>
      </x:c>
      <x:c r="C1150" s="27" t="str">
        <x:v>A2</x:v>
      </x:c>
      <x:c r="D1150" s="52" t="n">
        <x:v>2500</x:v>
      </x:c>
      <x:c r="E1150" s="46" t="n">
        <x:v>1</x:v>
      </x:c>
      <x:c r="F1150" s="46" t="n">
        <x:v>1</x:v>
      </x:c>
      <x:c r="G1150" s="46" t="n">
        <x:v>1</x:v>
      </x:c>
      <x:c r="H1150" s="46" t="n">
        <x:v>1</x:v>
      </x:c>
      <x:c r="I1150" s="46" t="n">
        <x:v>1</x:v>
      </x:c>
      <x:c r="J1150" s="46" t="n">
        <x:v>1</x:v>
      </x:c>
      <x:c r="K1150" s="46" t="n">
        <x:v>1</x:v>
      </x:c>
      <x:c r="L1150" s="46" t="n">
        <x:v>1</x:v>
      </x:c>
      <x:c r="M1150" s="27" t="n">
        <x:v>1</x:v>
      </x:c>
    </x:row>
    <x:row r="1151" ht="15" hidden="0" customHeight="1">
      <x:c r="A1151" s="29" t="n">
        <x:v>147</x:v>
      </x:c>
      <x:c r="B1151" s="29" t="n">
        <x:v>331051</x:v>
      </x:c>
      <x:c r="C1151" s="29" t="str">
        <x:v>A2</x:v>
      </x:c>
      <x:c r="D1151" s="53" t="n">
        <x:v>2500</x:v>
      </x:c>
      <x:c r="E1151" s="47" t="n">
        <x:v>1</x:v>
      </x:c>
      <x:c r="F1151" s="47" t="n">
        <x:v>0.9999999999999998</x:v>
      </x:c>
      <x:c r="G1151" s="47" t="n">
        <x:v>1</x:v>
      </x:c>
      <x:c r="H1151" s="47" t="n">
        <x:v>1</x:v>
      </x:c>
      <x:c r="I1151" s="47" t="n">
        <x:v>1</x:v>
      </x:c>
      <x:c r="J1151" s="47" t="n">
        <x:v>1</x:v>
      </x:c>
      <x:c r="K1151" s="47" t="n">
        <x:v>1</x:v>
      </x:c>
      <x:c r="L1151" s="47" t="n">
        <x:v>1</x:v>
      </x:c>
      <x:c r="M1151" s="29" t="n">
        <x:v>1</x:v>
      </x:c>
    </x:row>
    <x:row r="1152" ht="15" hidden="0" customHeight="1">
      <x:c r="A1152" s="27" t="n">
        <x:v>148</x:v>
      </x:c>
      <x:c r="B1152" s="27" t="n">
        <x:v>331052</x:v>
      </x:c>
      <x:c r="C1152" s="27" t="str">
        <x:v>A2</x:v>
      </x:c>
      <x:c r="D1152" s="52" t="n">
        <x:v>2500</x:v>
      </x:c>
      <x:c r="E1152" s="46" t="n">
        <x:v>1</x:v>
      </x:c>
      <x:c r="F1152" s="46" t="n">
        <x:v>1</x:v>
      </x:c>
      <x:c r="G1152" s="46" t="n">
        <x:v>1</x:v>
      </x:c>
      <x:c r="H1152" s="46" t="n">
        <x:v>1</x:v>
      </x:c>
      <x:c r="I1152" s="46" t="n">
        <x:v>1</x:v>
      </x:c>
      <x:c r="J1152" s="46" t="n">
        <x:v>1</x:v>
      </x:c>
      <x:c r="K1152" s="46" t="n">
        <x:v>1</x:v>
      </x:c>
      <x:c r="L1152" s="46" t="n">
        <x:v>1</x:v>
      </x:c>
      <x:c r="M1152" s="27" t="n">
        <x:v>1</x:v>
      </x:c>
    </x:row>
    <x:row r="1153" ht="15" hidden="0" customHeight="1">
      <x:c r="A1153" s="29" t="n">
        <x:v>149</x:v>
      </x:c>
      <x:c r="B1153" s="29" t="n">
        <x:v>331053</x:v>
      </x:c>
      <x:c r="C1153" s="29" t="str">
        <x:v>A2</x:v>
      </x:c>
      <x:c r="D1153" s="53" t="n">
        <x:v>2500</x:v>
      </x:c>
      <x:c r="E1153" s="47" t="n">
        <x:v>1</x:v>
      </x:c>
      <x:c r="F1153" s="47" t="n">
        <x:v>1</x:v>
      </x:c>
      <x:c r="G1153" s="47" t="n">
        <x:v>1</x:v>
      </x:c>
      <x:c r="H1153" s="47" t="n">
        <x:v>1</x:v>
      </x:c>
      <x:c r="I1153" s="47" t="n">
        <x:v>1</x:v>
      </x:c>
      <x:c r="J1153" s="47" t="n">
        <x:v>1</x:v>
      </x:c>
      <x:c r="K1153" s="47" t="n">
        <x:v>1</x:v>
      </x:c>
      <x:c r="L1153" s="47" t="n">
        <x:v>1</x:v>
      </x:c>
      <x:c r="M1153" s="29" t="n">
        <x:v>1</x:v>
      </x:c>
    </x:row>
    <x:row r="1154" ht="15" hidden="0" customHeight="1">
      <x:c r="A1154" s="27" t="n">
        <x:v>150</x:v>
      </x:c>
      <x:c r="B1154" s="27" t="n">
        <x:v>331054</x:v>
      </x:c>
      <x:c r="C1154" s="27" t="str">
        <x:v>A2</x:v>
      </x:c>
      <x:c r="D1154" s="52" t="n">
        <x:v>2500</x:v>
      </x:c>
      <x:c r="E1154" s="46" t="n">
        <x:v>1</x:v>
      </x:c>
      <x:c r="F1154" s="46" t="n">
        <x:v>1</x:v>
      </x:c>
      <x:c r="G1154" s="46" t="n">
        <x:v>1</x:v>
      </x:c>
      <x:c r="H1154" s="46" t="n">
        <x:v>1</x:v>
      </x:c>
      <x:c r="I1154" s="46" t="n">
        <x:v>1</x:v>
      </x:c>
      <x:c r="J1154" s="46" t="n">
        <x:v>1</x:v>
      </x:c>
      <x:c r="K1154" s="46" t="n">
        <x:v>1</x:v>
      </x:c>
      <x:c r="L1154" s="46" t="n">
        <x:v>1</x:v>
      </x:c>
      <x:c r="M1154" s="27" t="n">
        <x:v>1</x:v>
      </x:c>
    </x:row>
    <x:row r="1155" ht="15" hidden="0" customHeight="1">
      <x:c r="A1155" s="29" t="n">
        <x:v>151</x:v>
      </x:c>
      <x:c r="B1155" s="29" t="n">
        <x:v>331055</x:v>
      </x:c>
      <x:c r="C1155" s="29" t="str">
        <x:v>A2</x:v>
      </x:c>
      <x:c r="D1155" s="53" t="n">
        <x:v>2500</x:v>
      </x:c>
      <x:c r="E1155" s="47" t="n">
        <x:v>1</x:v>
      </x:c>
      <x:c r="F1155" s="47" t="n">
        <x:v>1</x:v>
      </x:c>
      <x:c r="G1155" s="47" t="n">
        <x:v>1</x:v>
      </x:c>
      <x:c r="H1155" s="47" t="n">
        <x:v>1</x:v>
      </x:c>
      <x:c r="I1155" s="47" t="n">
        <x:v>1</x:v>
      </x:c>
      <x:c r="J1155" s="47" t="n">
        <x:v>1</x:v>
      </x:c>
      <x:c r="K1155" s="47" t="n">
        <x:v>1</x:v>
      </x:c>
      <x:c r="L1155" s="47" t="n">
        <x:v>1</x:v>
      </x:c>
      <x:c r="M1155" s="29" t="n">
        <x:v>1</x:v>
      </x:c>
    </x:row>
    <x:row r="1156" ht="15" hidden="0" customHeight="1">
      <x:c r="A1156" s="27" t="n">
        <x:v>152</x:v>
      </x:c>
      <x:c r="B1156" s="27" t="n">
        <x:v>331056</x:v>
      </x:c>
      <x:c r="C1156" s="27" t="str">
        <x:v>A2</x:v>
      </x:c>
      <x:c r="D1156" s="52" t="n">
        <x:v>2500</x:v>
      </x:c>
      <x:c r="E1156" s="46" t="n">
        <x:v>1</x:v>
      </x:c>
      <x:c r="F1156" s="46" t="n">
        <x:v>1</x:v>
      </x:c>
      <x:c r="G1156" s="46" t="n">
        <x:v>1</x:v>
      </x:c>
      <x:c r="H1156" s="46" t="n">
        <x:v>1</x:v>
      </x:c>
      <x:c r="I1156" s="46" t="n">
        <x:v>1</x:v>
      </x:c>
      <x:c r="J1156" s="46" t="n">
        <x:v>1</x:v>
      </x:c>
      <x:c r="K1156" s="46" t="n">
        <x:v>1</x:v>
      </x:c>
      <x:c r="L1156" s="46" t="n">
        <x:v>1</x:v>
      </x:c>
      <x:c r="M1156" s="27" t="n">
        <x:v>1</x:v>
      </x:c>
    </x:row>
    <x:row r="1157" ht="15" hidden="0" customHeight="1">
      <x:c r="A1157" s="29" t="n">
        <x:v>153</x:v>
      </x:c>
      <x:c r="B1157" s="29" t="n">
        <x:v>331057</x:v>
      </x:c>
      <x:c r="C1157" s="29" t="str">
        <x:v>A2</x:v>
      </x:c>
      <x:c r="D1157" s="53" t="n">
        <x:v>2500</x:v>
      </x:c>
      <x:c r="E1157" s="47" t="n">
        <x:v>1</x:v>
      </x:c>
      <x:c r="F1157" s="47" t="n">
        <x:v>1</x:v>
      </x:c>
      <x:c r="G1157" s="47" t="n">
        <x:v>1</x:v>
      </x:c>
      <x:c r="H1157" s="47" t="n">
        <x:v>1</x:v>
      </x:c>
      <x:c r="I1157" s="47" t="n">
        <x:v>1</x:v>
      </x:c>
      <x:c r="J1157" s="47" t="n">
        <x:v>1</x:v>
      </x:c>
      <x:c r="K1157" s="47" t="n">
        <x:v>1</x:v>
      </x:c>
      <x:c r="L1157" s="47" t="n">
        <x:v>1</x:v>
      </x:c>
      <x:c r="M1157" s="29" t="n">
        <x:v>1</x:v>
      </x:c>
    </x:row>
    <x:row r="1158" ht="15" hidden="0" customHeight="1">
      <x:c r="A1158" s="27" t="n">
        <x:v>154</x:v>
      </x:c>
      <x:c r="B1158" s="27" t="n">
        <x:v>331058</x:v>
      </x:c>
      <x:c r="C1158" s="27" t="str">
        <x:v>A2</x:v>
      </x:c>
      <x:c r="D1158" s="52" t="n">
        <x:v>2500</x:v>
      </x:c>
      <x:c r="E1158" s="46" t="n">
        <x:v>1</x:v>
      </x:c>
      <x:c r="F1158" s="46" t="n">
        <x:v>1</x:v>
      </x:c>
      <x:c r="G1158" s="46" t="n">
        <x:v>1</x:v>
      </x:c>
      <x:c r="H1158" s="46" t="n">
        <x:v>1</x:v>
      </x:c>
      <x:c r="I1158" s="46" t="n">
        <x:v>1</x:v>
      </x:c>
      <x:c r="J1158" s="46" t="n">
        <x:v>1</x:v>
      </x:c>
      <x:c r="K1158" s="46" t="n">
        <x:v>1</x:v>
      </x:c>
      <x:c r="L1158" s="46" t="n">
        <x:v>1</x:v>
      </x:c>
      <x:c r="M1158" s="27" t="n">
        <x:v>1</x:v>
      </x:c>
    </x:row>
    <x:row r="1159" ht="15" hidden="0" customHeight="1">
      <x:c r="A1159" s="29" t="n">
        <x:v>155</x:v>
      </x:c>
      <x:c r="B1159" s="29" t="n">
        <x:v>331059</x:v>
      </x:c>
      <x:c r="C1159" s="29" t="str">
        <x:v>A2</x:v>
      </x:c>
      <x:c r="D1159" s="53" t="n">
        <x:v>2500</x:v>
      </x:c>
      <x:c r="E1159" s="47" t="n">
        <x:v>1</x:v>
      </x:c>
      <x:c r="F1159" s="47" t="n">
        <x:v>0.9999999999999999</x:v>
      </x:c>
      <x:c r="G1159" s="47" t="n">
        <x:v>1</x:v>
      </x:c>
      <x:c r="H1159" s="47" t="n">
        <x:v>1</x:v>
      </x:c>
      <x:c r="I1159" s="47" t="n">
        <x:v>1</x:v>
      </x:c>
      <x:c r="J1159" s="47" t="n">
        <x:v>1</x:v>
      </x:c>
      <x:c r="K1159" s="47" t="n">
        <x:v>1</x:v>
      </x:c>
      <x:c r="L1159" s="47" t="n">
        <x:v>0.9999999999999999</x:v>
      </x:c>
      <x:c r="M1159" s="29" t="n">
        <x:v>1</x:v>
      </x:c>
    </x:row>
    <x:row r="1160" ht="15" hidden="0" customHeight="1">
      <x:c r="A1160" s="27" t="n">
        <x:v>156</x:v>
      </x:c>
      <x:c r="B1160" s="27" t="n">
        <x:v>331060</x:v>
      </x:c>
      <x:c r="C1160" s="27" t="str">
        <x:v>A2</x:v>
      </x:c>
      <x:c r="D1160" s="52" t="n">
        <x:v>2500</x:v>
      </x:c>
      <x:c r="E1160" s="46" t="n">
        <x:v>1</x:v>
      </x:c>
      <x:c r="F1160" s="46" t="n">
        <x:v>0.9999999999999999</x:v>
      </x:c>
      <x:c r="G1160" s="46" t="n">
        <x:v>1</x:v>
      </x:c>
      <x:c r="H1160" s="46" t="n">
        <x:v>1</x:v>
      </x:c>
      <x:c r="I1160" s="46" t="n">
        <x:v>1</x:v>
      </x:c>
      <x:c r="J1160" s="46" t="n">
        <x:v>1</x:v>
      </x:c>
      <x:c r="K1160" s="46" t="n">
        <x:v>1</x:v>
      </x:c>
      <x:c r="L1160" s="46" t="n">
        <x:v>1</x:v>
      </x:c>
      <x:c r="M1160" s="27" t="n">
        <x:v>1</x:v>
      </x:c>
    </x:row>
    <x:row r="1161" ht="15" hidden="0" customHeight="1">
      <x:c r="A1161" s="29" t="n">
        <x:v>157</x:v>
      </x:c>
      <x:c r="B1161" s="29" t="n">
        <x:v>331061</x:v>
      </x:c>
      <x:c r="C1161" s="29" t="str">
        <x:v>A2</x:v>
      </x:c>
      <x:c r="D1161" s="53" t="n">
        <x:v>2500</x:v>
      </x:c>
      <x:c r="E1161" s="47" t="n">
        <x:v>1</x:v>
      </x:c>
      <x:c r="F1161" s="47" t="n">
        <x:v>1</x:v>
      </x:c>
      <x:c r="G1161" s="47" t="n">
        <x:v>1</x:v>
      </x:c>
      <x:c r="H1161" s="47" t="n">
        <x:v>1</x:v>
      </x:c>
      <x:c r="I1161" s="47" t="n">
        <x:v>1</x:v>
      </x:c>
      <x:c r="J1161" s="47" t="n">
        <x:v>1</x:v>
      </x:c>
      <x:c r="K1161" s="47" t="n">
        <x:v>1</x:v>
      </x:c>
      <x:c r="L1161" s="47" t="n">
        <x:v>1</x:v>
      </x:c>
      <x:c r="M1161" s="29" t="n">
        <x:v>1</x:v>
      </x:c>
    </x:row>
    <x:row r="1162" ht="15" hidden="0" customHeight="1">
      <x:c r="A1162" s="27" t="n">
        <x:v>158</x:v>
      </x:c>
      <x:c r="B1162" s="27" t="n">
        <x:v>331062</x:v>
      </x:c>
      <x:c r="C1162" s="27" t="str">
        <x:v>A2</x:v>
      </x:c>
      <x:c r="D1162" s="52" t="n">
        <x:v>2500</x:v>
      </x:c>
      <x:c r="E1162" s="46" t="n">
        <x:v>1</x:v>
      </x:c>
      <x:c r="F1162" s="46" t="n">
        <x:v>0.9999999999999998</x:v>
      </x:c>
      <x:c r="G1162" s="46" t="n">
        <x:v>1</x:v>
      </x:c>
      <x:c r="H1162" s="46" t="n">
        <x:v>1</x:v>
      </x:c>
      <x:c r="I1162" s="46" t="n">
        <x:v>1</x:v>
      </x:c>
      <x:c r="J1162" s="46" t="n">
        <x:v>1</x:v>
      </x:c>
      <x:c r="K1162" s="46" t="n">
        <x:v>1</x:v>
      </x:c>
      <x:c r="L1162" s="46" t="n">
        <x:v>1</x:v>
      </x:c>
      <x:c r="M1162" s="27" t="n">
        <x:v>1</x:v>
      </x:c>
    </x:row>
    <x:row r="1163" ht="15" hidden="0" customHeight="1">
      <x:c r="A1163" s="29" t="n">
        <x:v>159</x:v>
      </x:c>
      <x:c r="B1163" s="29" t="n">
        <x:v>331063</x:v>
      </x:c>
      <x:c r="C1163" s="29" t="str">
        <x:v>A2</x:v>
      </x:c>
      <x:c r="D1163" s="53" t="n">
        <x:v>2500</x:v>
      </x:c>
      <x:c r="E1163" s="47" t="n">
        <x:v>1</x:v>
      </x:c>
      <x:c r="F1163" s="47" t="n">
        <x:v>1</x:v>
      </x:c>
      <x:c r="G1163" s="47" t="n">
        <x:v>1</x:v>
      </x:c>
      <x:c r="H1163" s="47" t="n">
        <x:v>1</x:v>
      </x:c>
      <x:c r="I1163" s="47" t="n">
        <x:v>1</x:v>
      </x:c>
      <x:c r="J1163" s="47" t="n">
        <x:v>1</x:v>
      </x:c>
      <x:c r="K1163" s="47" t="n">
        <x:v>1</x:v>
      </x:c>
      <x:c r="L1163" s="47" t="n">
        <x:v>1</x:v>
      </x:c>
      <x:c r="M1163" s="29" t="n">
        <x:v>1</x:v>
      </x:c>
    </x:row>
    <x:row r="1164" ht="15" hidden="0" customHeight="1">
      <x:c r="A1164" s="27" t="n">
        <x:v>160</x:v>
      </x:c>
      <x:c r="B1164" s="27" t="n">
        <x:v>331064</x:v>
      </x:c>
      <x:c r="C1164" s="27" t="str">
        <x:v>A2</x:v>
      </x:c>
      <x:c r="D1164" s="52" t="n">
        <x:v>2500</x:v>
      </x:c>
      <x:c r="E1164" s="46" t="n">
        <x:v>1</x:v>
      </x:c>
      <x:c r="F1164" s="46" t="n">
        <x:v>1</x:v>
      </x:c>
      <x:c r="G1164" s="46" t="n">
        <x:v>1</x:v>
      </x:c>
      <x:c r="H1164" s="46" t="n">
        <x:v>1</x:v>
      </x:c>
      <x:c r="I1164" s="46" t="n">
        <x:v>1</x:v>
      </x:c>
      <x:c r="J1164" s="46" t="n">
        <x:v>1</x:v>
      </x:c>
      <x:c r="K1164" s="46" t="n">
        <x:v>1</x:v>
      </x:c>
      <x:c r="L1164" s="46" t="n">
        <x:v>1</x:v>
      </x:c>
      <x:c r="M1164" s="27" t="n">
        <x:v>1</x:v>
      </x:c>
    </x:row>
    <x:row r="1165" ht="15" hidden="0" customHeight="1">
      <x:c r="A1165" s="29" t="n">
        <x:v>161</x:v>
      </x:c>
      <x:c r="B1165" s="29" t="n">
        <x:v>331065</x:v>
      </x:c>
      <x:c r="C1165" s="29" t="str">
        <x:v>A2</x:v>
      </x:c>
      <x:c r="D1165" s="53" t="n">
        <x:v>2500</x:v>
      </x:c>
      <x:c r="E1165" s="47" t="n">
        <x:v>1</x:v>
      </x:c>
      <x:c r="F1165" s="47" t="n">
        <x:v>1</x:v>
      </x:c>
      <x:c r="G1165" s="47" t="n">
        <x:v>1</x:v>
      </x:c>
      <x:c r="H1165" s="47" t="n">
        <x:v>1</x:v>
      </x:c>
      <x:c r="I1165" s="47" t="n">
        <x:v>1</x:v>
      </x:c>
      <x:c r="J1165" s="47" t="n">
        <x:v>1</x:v>
      </x:c>
      <x:c r="K1165" s="47" t="n">
        <x:v>1</x:v>
      </x:c>
      <x:c r="L1165" s="47" t="n">
        <x:v>1</x:v>
      </x:c>
      <x:c r="M1165" s="29" t="n">
        <x:v>1</x:v>
      </x:c>
    </x:row>
    <x:row r="1166" ht="15" hidden="0" customHeight="1">
      <x:c r="A1166" s="27" t="n">
        <x:v>162</x:v>
      </x:c>
      <x:c r="B1166" s="27" t="n">
        <x:v>331066</x:v>
      </x:c>
      <x:c r="C1166" s="27" t="str">
        <x:v>A2</x:v>
      </x:c>
      <x:c r="D1166" s="52" t="n">
        <x:v>2500</x:v>
      </x:c>
      <x:c r="E1166" s="46" t="n">
        <x:v>1</x:v>
      </x:c>
      <x:c r="F1166" s="46" t="n">
        <x:v>1</x:v>
      </x:c>
      <x:c r="G1166" s="46" t="n">
        <x:v>1</x:v>
      </x:c>
      <x:c r="H1166" s="46" t="n">
        <x:v>1</x:v>
      </x:c>
      <x:c r="I1166" s="46" t="n">
        <x:v>1</x:v>
      </x:c>
      <x:c r="J1166" s="46" t="n">
        <x:v>1</x:v>
      </x:c>
      <x:c r="K1166" s="46" t="n">
        <x:v>1</x:v>
      </x:c>
      <x:c r="L1166" s="46" t="n">
        <x:v>1</x:v>
      </x:c>
      <x:c r="M1166" s="27" t="n">
        <x:v>1</x:v>
      </x:c>
    </x:row>
    <x:row r="1167" ht="15" hidden="0" customHeight="1">
      <x:c r="A1167" s="29" t="n">
        <x:v>163</x:v>
      </x:c>
      <x:c r="B1167" s="29" t="n">
        <x:v>331067</x:v>
      </x:c>
      <x:c r="C1167" s="29" t="str">
        <x:v>A2</x:v>
      </x:c>
      <x:c r="D1167" s="53" t="n">
        <x:v>2500</x:v>
      </x:c>
      <x:c r="E1167" s="47" t="n">
        <x:v>1</x:v>
      </x:c>
      <x:c r="F1167" s="47" t="n">
        <x:v>0.9999999999999998</x:v>
      </x:c>
      <x:c r="G1167" s="47" t="n">
        <x:v>1</x:v>
      </x:c>
      <x:c r="H1167" s="47" t="n">
        <x:v>1</x:v>
      </x:c>
      <x:c r="I1167" s="47" t="n">
        <x:v>1</x:v>
      </x:c>
      <x:c r="J1167" s="47" t="n">
        <x:v>1</x:v>
      </x:c>
      <x:c r="K1167" s="47" t="n">
        <x:v>1</x:v>
      </x:c>
      <x:c r="L1167" s="47" t="n">
        <x:v>1</x:v>
      </x:c>
      <x:c r="M1167" s="29" t="n">
        <x:v>1</x:v>
      </x:c>
    </x:row>
    <x:row r="1168" ht="15" hidden="0" customHeight="1">
      <x:c r="A1168" s="27" t="n">
        <x:v>164</x:v>
      </x:c>
      <x:c r="B1168" s="27" t="n">
        <x:v>331068</x:v>
      </x:c>
      <x:c r="C1168" s="27" t="str">
        <x:v>A2</x:v>
      </x:c>
      <x:c r="D1168" s="52" t="n">
        <x:v>2500</x:v>
      </x:c>
      <x:c r="E1168" s="46" t="n">
        <x:v>1</x:v>
      </x:c>
      <x:c r="F1168" s="46" t="n">
        <x:v>1</x:v>
      </x:c>
      <x:c r="G1168" s="46" t="n">
        <x:v>1</x:v>
      </x:c>
      <x:c r="H1168" s="46" t="n">
        <x:v>1</x:v>
      </x:c>
      <x:c r="I1168" s="46" t="n">
        <x:v>1</x:v>
      </x:c>
      <x:c r="J1168" s="46" t="n">
        <x:v>1</x:v>
      </x:c>
      <x:c r="K1168" s="46" t="n">
        <x:v>1</x:v>
      </x:c>
      <x:c r="L1168" s="46" t="n">
        <x:v>1</x:v>
      </x:c>
      <x:c r="M1168" s="27" t="n">
        <x:v>1</x:v>
      </x:c>
    </x:row>
    <x:row r="1169" ht="15" hidden="0" customHeight="1">
      <x:c r="A1169" s="29" t="n">
        <x:v>165</x:v>
      </x:c>
      <x:c r="B1169" s="29" t="n">
        <x:v>331069</x:v>
      </x:c>
      <x:c r="C1169" s="29" t="str">
        <x:v>A2</x:v>
      </x:c>
      <x:c r="D1169" s="53" t="n">
        <x:v>2500</x:v>
      </x:c>
      <x:c r="E1169" s="47" t="n">
        <x:v>1</x:v>
      </x:c>
      <x:c r="F1169" s="47" t="n">
        <x:v>0.9999999999999998</x:v>
      </x:c>
      <x:c r="G1169" s="47" t="n">
        <x:v>1</x:v>
      </x:c>
      <x:c r="H1169" s="47" t="n">
        <x:v>1</x:v>
      </x:c>
      <x:c r="I1169" s="47" t="n">
        <x:v>1</x:v>
      </x:c>
      <x:c r="J1169" s="47" t="n">
        <x:v>1</x:v>
      </x:c>
      <x:c r="K1169" s="47" t="n">
        <x:v>1</x:v>
      </x:c>
      <x:c r="L1169" s="47" t="n">
        <x:v>1</x:v>
      </x:c>
      <x:c r="M1169" s="29" t="n">
        <x:v>1</x:v>
      </x:c>
    </x:row>
    <x:row r="1170" ht="15" hidden="0" customHeight="1">
      <x:c r="A1170" s="27" t="n">
        <x:v>166</x:v>
      </x:c>
      <x:c r="B1170" s="27" t="n">
        <x:v>331070</x:v>
      </x:c>
      <x:c r="C1170" s="27" t="str">
        <x:v>A2</x:v>
      </x:c>
      <x:c r="D1170" s="52" t="n">
        <x:v>2500</x:v>
      </x:c>
      <x:c r="E1170" s="46" t="n">
        <x:v>1</x:v>
      </x:c>
      <x:c r="F1170" s="46" t="n">
        <x:v>0.9999999999999998</x:v>
      </x:c>
      <x:c r="G1170" s="46" t="n">
        <x:v>1</x:v>
      </x:c>
      <x:c r="H1170" s="46" t="n">
        <x:v>1</x:v>
      </x:c>
      <x:c r="I1170" s="46" t="n">
        <x:v>1</x:v>
      </x:c>
      <x:c r="J1170" s="46" t="n">
        <x:v>1</x:v>
      </x:c>
      <x:c r="K1170" s="46" t="n">
        <x:v>1</x:v>
      </x:c>
      <x:c r="L1170" s="46" t="n">
        <x:v>1</x:v>
      </x:c>
      <x:c r="M1170" s="27" t="n">
        <x:v>1</x:v>
      </x:c>
    </x:row>
    <x:row r="1171" ht="15" hidden="0" customHeight="1">
      <x:c r="A1171" s="29" t="n">
        <x:v>167</x:v>
      </x:c>
      <x:c r="B1171" s="29" t="n">
        <x:v>331071</x:v>
      </x:c>
      <x:c r="C1171" s="29" t="str">
        <x:v>A2</x:v>
      </x:c>
      <x:c r="D1171" s="53" t="n">
        <x:v>2500</x:v>
      </x:c>
      <x:c r="E1171" s="47" t="n">
        <x:v>1</x:v>
      </x:c>
      <x:c r="F1171" s="47" t="n">
        <x:v>1</x:v>
      </x:c>
      <x:c r="G1171" s="47" t="n">
        <x:v>1</x:v>
      </x:c>
      <x:c r="H1171" s="47" t="n">
        <x:v>1</x:v>
      </x:c>
      <x:c r="I1171" s="47" t="n">
        <x:v>1</x:v>
      </x:c>
      <x:c r="J1171" s="47" t="n">
        <x:v>1</x:v>
      </x:c>
      <x:c r="K1171" s="47" t="n">
        <x:v>1</x:v>
      </x:c>
      <x:c r="L1171" s="47" t="n">
        <x:v>1</x:v>
      </x:c>
      <x:c r="M1171" s="29" t="n">
        <x:v>1</x:v>
      </x:c>
    </x:row>
    <x:row r="1172" ht="15" hidden="0" customHeight="1">
      <x:c r="A1172" s="27" t="n">
        <x:v>168</x:v>
      </x:c>
      <x:c r="B1172" s="27" t="n">
        <x:v>331072</x:v>
      </x:c>
      <x:c r="C1172" s="27" t="str">
        <x:v>A2</x:v>
      </x:c>
      <x:c r="D1172" s="52" t="n">
        <x:v>2500</x:v>
      </x:c>
      <x:c r="E1172" s="46" t="n">
        <x:v>1</x:v>
      </x:c>
      <x:c r="F1172" s="46" t="n">
        <x:v>1</x:v>
      </x:c>
      <x:c r="G1172" s="46" t="n">
        <x:v>1</x:v>
      </x:c>
      <x:c r="H1172" s="46" t="n">
        <x:v>1</x:v>
      </x:c>
      <x:c r="I1172" s="46" t="n">
        <x:v>1</x:v>
      </x:c>
      <x:c r="J1172" s="46" t="n">
        <x:v>1</x:v>
      </x:c>
      <x:c r="K1172" s="46" t="n">
        <x:v>1</x:v>
      </x:c>
      <x:c r="L1172" s="46" t="n">
        <x:v>1</x:v>
      </x:c>
      <x:c r="M1172" s="27" t="n">
        <x:v>1</x:v>
      </x:c>
    </x:row>
    <x:row r="1173" ht="15" hidden="0" customHeight="1">
      <x:c r="A1173" s="29" t="n">
        <x:v>169</x:v>
      </x:c>
      <x:c r="B1173" s="29" t="n">
        <x:v>331073</x:v>
      </x:c>
      <x:c r="C1173" s="29" t="str">
        <x:v>A2</x:v>
      </x:c>
      <x:c r="D1173" s="53" t="n">
        <x:v>2500</x:v>
      </x:c>
      <x:c r="E1173" s="47" t="n">
        <x:v>1</x:v>
      </x:c>
      <x:c r="F1173" s="47" t="n">
        <x:v>1</x:v>
      </x:c>
      <x:c r="G1173" s="47" t="n">
        <x:v>1</x:v>
      </x:c>
      <x:c r="H1173" s="47" t="n">
        <x:v>1</x:v>
      </x:c>
      <x:c r="I1173" s="47" t="n">
        <x:v>1</x:v>
      </x:c>
      <x:c r="J1173" s="47" t="n">
        <x:v>1</x:v>
      </x:c>
      <x:c r="K1173" s="47" t="n">
        <x:v>1</x:v>
      </x:c>
      <x:c r="L1173" s="47" t="n">
        <x:v>1</x:v>
      </x:c>
      <x:c r="M1173" s="29" t="n">
        <x:v>1</x:v>
      </x:c>
    </x:row>
    <x:row r="1174" ht="15" hidden="0" customHeight="1">
      <x:c r="A1174" s="27" t="n">
        <x:v>170</x:v>
      </x:c>
      <x:c r="B1174" s="27" t="n">
        <x:v>331074</x:v>
      </x:c>
      <x:c r="C1174" s="27" t="str">
        <x:v>A2</x:v>
      </x:c>
      <x:c r="D1174" s="52" t="n">
        <x:v>2500</x:v>
      </x:c>
      <x:c r="E1174" s="46" t="n">
        <x:v>1</x:v>
      </x:c>
      <x:c r="F1174" s="46" t="n">
        <x:v>1</x:v>
      </x:c>
      <x:c r="G1174" s="46" t="n">
        <x:v>1</x:v>
      </x:c>
      <x:c r="H1174" s="46" t="n">
        <x:v>1</x:v>
      </x:c>
      <x:c r="I1174" s="46" t="n">
        <x:v>1</x:v>
      </x:c>
      <x:c r="J1174" s="46" t="n">
        <x:v>1</x:v>
      </x:c>
      <x:c r="K1174" s="46" t="n">
        <x:v>1</x:v>
      </x:c>
      <x:c r="L1174" s="46" t="n">
        <x:v>1</x:v>
      </x:c>
      <x:c r="M1174" s="27" t="n">
        <x:v>1</x:v>
      </x:c>
    </x:row>
    <x:row r="1175" ht="15" hidden="0" customHeight="1">
      <x:c r="A1175" s="29" t="n">
        <x:v>171</x:v>
      </x:c>
      <x:c r="B1175" s="29" t="n">
        <x:v>331075</x:v>
      </x:c>
      <x:c r="C1175" s="29" t="str">
        <x:v>A2</x:v>
      </x:c>
      <x:c r="D1175" s="53" t="n">
        <x:v>2500</x:v>
      </x:c>
      <x:c r="E1175" s="47" t="n">
        <x:v>1</x:v>
      </x:c>
      <x:c r="F1175" s="47" t="n">
        <x:v>1</x:v>
      </x:c>
      <x:c r="G1175" s="47" t="n">
        <x:v>1</x:v>
      </x:c>
      <x:c r="H1175" s="47" t="n">
        <x:v>1</x:v>
      </x:c>
      <x:c r="I1175" s="47" t="n">
        <x:v>1</x:v>
      </x:c>
      <x:c r="J1175" s="47" t="n">
        <x:v>1</x:v>
      </x:c>
      <x:c r="K1175" s="47" t="n">
        <x:v>1</x:v>
      </x:c>
      <x:c r="L1175" s="47" t="n">
        <x:v>1</x:v>
      </x:c>
      <x:c r="M1175" s="29" t="n">
        <x:v>1</x:v>
      </x:c>
    </x:row>
    <x:row r="1176" ht="15" hidden="0" customHeight="1">
      <x:c r="A1176" s="27" t="n">
        <x:v>172</x:v>
      </x:c>
      <x:c r="B1176" s="27" t="n">
        <x:v>331076</x:v>
      </x:c>
      <x:c r="C1176" s="27" t="str">
        <x:v>A2</x:v>
      </x:c>
      <x:c r="D1176" s="52" t="n">
        <x:v>2500</x:v>
      </x:c>
      <x:c r="E1176" s="46" t="n">
        <x:v>1</x:v>
      </x:c>
      <x:c r="F1176" s="46" t="n">
        <x:v>1</x:v>
      </x:c>
      <x:c r="G1176" s="46" t="n">
        <x:v>1</x:v>
      </x:c>
      <x:c r="H1176" s="46" t="n">
        <x:v>1</x:v>
      </x:c>
      <x:c r="I1176" s="46" t="n">
        <x:v>1</x:v>
      </x:c>
      <x:c r="J1176" s="46" t="n">
        <x:v>1</x:v>
      </x:c>
      <x:c r="K1176" s="46" t="n">
        <x:v>1</x:v>
      </x:c>
      <x:c r="L1176" s="46" t="n">
        <x:v>1</x:v>
      </x:c>
      <x:c r="M1176" s="27" t="n">
        <x:v>1</x:v>
      </x:c>
    </x:row>
    <x:row r="1177" ht="15" hidden="0" customHeight="1">
      <x:c r="A1177" s="29" t="n">
        <x:v>173</x:v>
      </x:c>
      <x:c r="B1177" s="29" t="n">
        <x:v>331077</x:v>
      </x:c>
      <x:c r="C1177" s="29" t="str">
        <x:v>A2</x:v>
      </x:c>
      <x:c r="D1177" s="53" t="n">
        <x:v>2500</x:v>
      </x:c>
      <x:c r="E1177" s="47" t="n">
        <x:v>1</x:v>
      </x:c>
      <x:c r="F1177" s="47" t="n">
        <x:v>1</x:v>
      </x:c>
      <x:c r="G1177" s="47" t="n">
        <x:v>1</x:v>
      </x:c>
      <x:c r="H1177" s="47" t="n">
        <x:v>1</x:v>
      </x:c>
      <x:c r="I1177" s="47" t="n">
        <x:v>1</x:v>
      </x:c>
      <x:c r="J1177" s="47" t="n">
        <x:v>1</x:v>
      </x:c>
      <x:c r="K1177" s="47" t="n">
        <x:v>1</x:v>
      </x:c>
      <x:c r="L1177" s="47" t="n">
        <x:v>1</x:v>
      </x:c>
      <x:c r="M1177" s="29" t="n">
        <x:v>1</x:v>
      </x:c>
    </x:row>
    <x:row r="1178" ht="15" hidden="0" customHeight="1">
      <x:c r="A1178" s="27" t="n">
        <x:v>174</x:v>
      </x:c>
      <x:c r="B1178" s="27" t="n">
        <x:v>331078</x:v>
      </x:c>
      <x:c r="C1178" s="27" t="str">
        <x:v>A2</x:v>
      </x:c>
      <x:c r="D1178" s="52" t="n">
        <x:v>2500</x:v>
      </x:c>
      <x:c r="E1178" s="46" t="n">
        <x:v>1</x:v>
      </x:c>
      <x:c r="F1178" s="46" t="n">
        <x:v>1</x:v>
      </x:c>
      <x:c r="G1178" s="46" t="n">
        <x:v>1</x:v>
      </x:c>
      <x:c r="H1178" s="46" t="n">
        <x:v>1</x:v>
      </x:c>
      <x:c r="I1178" s="46" t="n">
        <x:v>1</x:v>
      </x:c>
      <x:c r="J1178" s="46" t="n">
        <x:v>1</x:v>
      </x:c>
      <x:c r="K1178" s="46" t="n">
        <x:v>1</x:v>
      </x:c>
      <x:c r="L1178" s="46" t="n">
        <x:v>1</x:v>
      </x:c>
      <x:c r="M1178" s="27" t="n">
        <x:v>1</x:v>
      </x:c>
    </x:row>
    <x:row r="1179" ht="15" hidden="0" customHeight="1">
      <x:c r="A1179" s="29" t="n">
        <x:v>175</x:v>
      </x:c>
      <x:c r="B1179" s="29" t="n">
        <x:v>331079</x:v>
      </x:c>
      <x:c r="C1179" s="29" t="str">
        <x:v>A2</x:v>
      </x:c>
      <x:c r="D1179" s="53" t="n">
        <x:v>2500</x:v>
      </x:c>
      <x:c r="E1179" s="47" t="n">
        <x:v>1</x:v>
      </x:c>
      <x:c r="F1179" s="47" t="n">
        <x:v>0.9999999999999998</x:v>
      </x:c>
      <x:c r="G1179" s="47" t="n">
        <x:v>1</x:v>
      </x:c>
      <x:c r="H1179" s="47" t="n">
        <x:v>1</x:v>
      </x:c>
      <x:c r="I1179" s="47" t="n">
        <x:v>1</x:v>
      </x:c>
      <x:c r="J1179" s="47" t="n">
        <x:v>1</x:v>
      </x:c>
      <x:c r="K1179" s="47" t="n">
        <x:v>1</x:v>
      </x:c>
      <x:c r="L1179" s="47" t="n">
        <x:v>1</x:v>
      </x:c>
      <x:c r="M1179" s="29" t="n">
        <x:v>1</x:v>
      </x:c>
    </x:row>
    <x:row r="1180" ht="15" hidden="0" customHeight="1">
      <x:c r="A1180" s="27" t="n">
        <x:v>176</x:v>
      </x:c>
      <x:c r="B1180" s="27" t="n">
        <x:v>331080</x:v>
      </x:c>
      <x:c r="C1180" s="27" t="str">
        <x:v>A2</x:v>
      </x:c>
      <x:c r="D1180" s="52" t="n">
        <x:v>2500</x:v>
      </x:c>
      <x:c r="E1180" s="46" t="n">
        <x:v>1</x:v>
      </x:c>
      <x:c r="F1180" s="46" t="n">
        <x:v>1</x:v>
      </x:c>
      <x:c r="G1180" s="46" t="n">
        <x:v>1</x:v>
      </x:c>
      <x:c r="H1180" s="46" t="n">
        <x:v>1</x:v>
      </x:c>
      <x:c r="I1180" s="46" t="n">
        <x:v>1</x:v>
      </x:c>
      <x:c r="J1180" s="46" t="n">
        <x:v>1</x:v>
      </x:c>
      <x:c r="K1180" s="46" t="n">
        <x:v>1</x:v>
      </x:c>
      <x:c r="L1180" s="46" t="n">
        <x:v>1</x:v>
      </x:c>
      <x:c r="M1180" s="27" t="n">
        <x:v>1</x:v>
      </x:c>
    </x:row>
    <x:row r="1181" ht="15" hidden="0" customHeight="1">
      <x:c r="A1181" s="29" t="n">
        <x:v>177</x:v>
      </x:c>
      <x:c r="B1181" s="29" t="n">
        <x:v>331081</x:v>
      </x:c>
      <x:c r="C1181" s="29" t="str">
        <x:v>A2</x:v>
      </x:c>
      <x:c r="D1181" s="53" t="n">
        <x:v>2500</x:v>
      </x:c>
      <x:c r="E1181" s="47" t="n">
        <x:v>1</x:v>
      </x:c>
      <x:c r="F1181" s="47" t="n">
        <x:v>1</x:v>
      </x:c>
      <x:c r="G1181" s="47" t="n">
        <x:v>1</x:v>
      </x:c>
      <x:c r="H1181" s="47" t="n">
        <x:v>1</x:v>
      </x:c>
      <x:c r="I1181" s="47" t="n">
        <x:v>1</x:v>
      </x:c>
      <x:c r="J1181" s="47" t="n">
        <x:v>1</x:v>
      </x:c>
      <x:c r="K1181" s="47" t="n">
        <x:v>1</x:v>
      </x:c>
      <x:c r="L1181" s="47" t="n">
        <x:v>1</x:v>
      </x:c>
      <x:c r="M1181" s="29" t="n">
        <x:v>1</x:v>
      </x:c>
    </x:row>
    <x:row r="1182" ht="15" hidden="0" customHeight="1">
      <x:c r="A1182" s="27" t="n">
        <x:v>178</x:v>
      </x:c>
      <x:c r="B1182" s="27" t="n">
        <x:v>331082</x:v>
      </x:c>
      <x:c r="C1182" s="27" t="str">
        <x:v>A2</x:v>
      </x:c>
      <x:c r="D1182" s="52" t="n">
        <x:v>2500</x:v>
      </x:c>
      <x:c r="E1182" s="46" t="n">
        <x:v>1</x:v>
      </x:c>
      <x:c r="F1182" s="46" t="n">
        <x:v>1</x:v>
      </x:c>
      <x:c r="G1182" s="46" t="n">
        <x:v>1</x:v>
      </x:c>
      <x:c r="H1182" s="46" t="n">
        <x:v>1</x:v>
      </x:c>
      <x:c r="I1182" s="46" t="n">
        <x:v>1</x:v>
      </x:c>
      <x:c r="J1182" s="46" t="n">
        <x:v>1</x:v>
      </x:c>
      <x:c r="K1182" s="46" t="n">
        <x:v>1</x:v>
      </x:c>
      <x:c r="L1182" s="46" t="n">
        <x:v>0.9999999999999999</x:v>
      </x:c>
      <x:c r="M1182" s="27" t="n">
        <x:v>1</x:v>
      </x:c>
    </x:row>
    <x:row r="1183" ht="15" hidden="0" customHeight="1">
      <x:c r="A1183" s="29" t="n">
        <x:v>179</x:v>
      </x:c>
      <x:c r="B1183" s="29" t="n">
        <x:v>331083</x:v>
      </x:c>
      <x:c r="C1183" s="29" t="str">
        <x:v>A2</x:v>
      </x:c>
      <x:c r="D1183" s="53" t="n">
        <x:v>2500</x:v>
      </x:c>
      <x:c r="E1183" s="47" t="n">
        <x:v>1</x:v>
      </x:c>
      <x:c r="F1183" s="47" t="n">
        <x:v>0.9999999999999998</x:v>
      </x:c>
      <x:c r="G1183" s="47" t="n">
        <x:v>1</x:v>
      </x:c>
      <x:c r="H1183" s="47" t="n">
        <x:v>1</x:v>
      </x:c>
      <x:c r="I1183" s="47" t="n">
        <x:v>1</x:v>
      </x:c>
      <x:c r="J1183" s="47" t="n">
        <x:v>1</x:v>
      </x:c>
      <x:c r="K1183" s="47" t="n">
        <x:v>1</x:v>
      </x:c>
      <x:c r="L1183" s="47" t="n">
        <x:v>0.9999999999999999</x:v>
      </x:c>
      <x:c r="M1183" s="29" t="n">
        <x:v>1</x:v>
      </x:c>
    </x:row>
    <x:row r="1184" ht="15" hidden="0" customHeight="1">
      <x:c r="A1184" s="27" t="n">
        <x:v>180</x:v>
      </x:c>
      <x:c r="B1184" s="27" t="n">
        <x:v>331084</x:v>
      </x:c>
      <x:c r="C1184" s="27" t="str">
        <x:v>A2</x:v>
      </x:c>
      <x:c r="D1184" s="52" t="n">
        <x:v>2500</x:v>
      </x:c>
      <x:c r="E1184" s="46" t="n">
        <x:v>1</x:v>
      </x:c>
      <x:c r="F1184" s="46" t="n">
        <x:v>1</x:v>
      </x:c>
      <x:c r="G1184" s="46" t="n">
        <x:v>1</x:v>
      </x:c>
      <x:c r="H1184" s="46" t="n">
        <x:v>1</x:v>
      </x:c>
      <x:c r="I1184" s="46" t="n">
        <x:v>1</x:v>
      </x:c>
      <x:c r="J1184" s="46" t="n">
        <x:v>1</x:v>
      </x:c>
      <x:c r="K1184" s="46" t="n">
        <x:v>1</x:v>
      </x:c>
      <x:c r="L1184" s="46" t="n">
        <x:v>0.9999999999999999</x:v>
      </x:c>
      <x:c r="M1184" s="27" t="n">
        <x:v>1</x:v>
      </x:c>
    </x:row>
    <x:row r="1185" ht="15" hidden="0" customHeight="1">
      <x:c r="A1185" s="29" t="n">
        <x:v>181</x:v>
      </x:c>
      <x:c r="B1185" s="29" t="n">
        <x:v>331085</x:v>
      </x:c>
      <x:c r="C1185" s="29" t="str">
        <x:v>A2</x:v>
      </x:c>
      <x:c r="D1185" s="53" t="n">
        <x:v>2500</x:v>
      </x:c>
      <x:c r="E1185" s="47" t="n">
        <x:v>1</x:v>
      </x:c>
      <x:c r="F1185" s="47" t="n">
        <x:v>1</x:v>
      </x:c>
      <x:c r="G1185" s="47" t="n">
        <x:v>1</x:v>
      </x:c>
      <x:c r="H1185" s="47" t="n">
        <x:v>1</x:v>
      </x:c>
      <x:c r="I1185" s="47" t="n">
        <x:v>1</x:v>
      </x:c>
      <x:c r="J1185" s="47" t="n">
        <x:v>1</x:v>
      </x:c>
      <x:c r="K1185" s="47" t="n">
        <x:v>1</x:v>
      </x:c>
      <x:c r="L1185" s="47" t="n">
        <x:v>1</x:v>
      </x:c>
      <x:c r="M1185" s="29" t="n">
        <x:v>1</x:v>
      </x:c>
    </x:row>
    <x:row r="1186" ht="15" hidden="0" customHeight="1">
      <x:c r="A1186" s="27" t="n">
        <x:v>182</x:v>
      </x:c>
      <x:c r="B1186" s="27" t="n">
        <x:v>331086</x:v>
      </x:c>
      <x:c r="C1186" s="27" t="str">
        <x:v>A2</x:v>
      </x:c>
      <x:c r="D1186" s="52" t="n">
        <x:v>2500</x:v>
      </x:c>
      <x:c r="E1186" s="46" t="n">
        <x:v>1</x:v>
      </x:c>
      <x:c r="F1186" s="46" t="n">
        <x:v>0.9999999999999998</x:v>
      </x:c>
      <x:c r="G1186" s="46" t="n">
        <x:v>1</x:v>
      </x:c>
      <x:c r="H1186" s="46" t="n">
        <x:v>1</x:v>
      </x:c>
      <x:c r="I1186" s="46" t="n">
        <x:v>1</x:v>
      </x:c>
      <x:c r="J1186" s="46" t="n">
        <x:v>1</x:v>
      </x:c>
      <x:c r="K1186" s="46" t="n">
        <x:v>1</x:v>
      </x:c>
      <x:c r="L1186" s="46" t="n">
        <x:v>1</x:v>
      </x:c>
      <x:c r="M1186" s="27" t="n">
        <x:v>1</x:v>
      </x:c>
    </x:row>
    <x:row r="1187" ht="15" hidden="0" customHeight="1">
      <x:c r="A1187" s="29" t="n">
        <x:v>183</x:v>
      </x:c>
      <x:c r="B1187" s="29" t="n">
        <x:v>331087</x:v>
      </x:c>
      <x:c r="C1187" s="29" t="str">
        <x:v>A2</x:v>
      </x:c>
      <x:c r="D1187" s="53" t="n">
        <x:v>2500</x:v>
      </x:c>
      <x:c r="E1187" s="47" t="n">
        <x:v>1</x:v>
      </x:c>
      <x:c r="F1187" s="47" t="n">
        <x:v>1</x:v>
      </x:c>
      <x:c r="G1187" s="47" t="n">
        <x:v>1</x:v>
      </x:c>
      <x:c r="H1187" s="47" t="n">
        <x:v>1</x:v>
      </x:c>
      <x:c r="I1187" s="47" t="n">
        <x:v>1</x:v>
      </x:c>
      <x:c r="J1187" s="47" t="n">
        <x:v>1</x:v>
      </x:c>
      <x:c r="K1187" s="47" t="n">
        <x:v>1</x:v>
      </x:c>
      <x:c r="L1187" s="47" t="n">
        <x:v>1</x:v>
      </x:c>
      <x:c r="M1187" s="29" t="n">
        <x:v>1</x:v>
      </x:c>
    </x:row>
    <x:row r="1188" ht="15" hidden="0" customHeight="1">
      <x:c r="A1188" s="27" t="n">
        <x:v>184</x:v>
      </x:c>
      <x:c r="B1188" s="27" t="n">
        <x:v>331088</x:v>
      </x:c>
      <x:c r="C1188" s="27" t="str">
        <x:v>A2</x:v>
      </x:c>
      <x:c r="D1188" s="52" t="n">
        <x:v>2500</x:v>
      </x:c>
      <x:c r="E1188" s="46" t="n">
        <x:v>1</x:v>
      </x:c>
      <x:c r="F1188" s="46" t="n">
        <x:v>1</x:v>
      </x:c>
      <x:c r="G1188" s="46" t="n">
        <x:v>1</x:v>
      </x:c>
      <x:c r="H1188" s="46" t="n">
        <x:v>1</x:v>
      </x:c>
      <x:c r="I1188" s="46" t="n">
        <x:v>1</x:v>
      </x:c>
      <x:c r="J1188" s="46" t="n">
        <x:v>1</x:v>
      </x:c>
      <x:c r="K1188" s="46" t="n">
        <x:v>1</x:v>
      </x:c>
      <x:c r="L1188" s="46" t="n">
        <x:v>1</x:v>
      </x:c>
      <x:c r="M1188" s="27" t="n">
        <x:v>1</x:v>
      </x:c>
    </x:row>
    <x:row r="1189" ht="15" hidden="0" customHeight="1">
      <x:c r="A1189" s="29" t="n">
        <x:v>185</x:v>
      </x:c>
      <x:c r="B1189" s="29" t="n">
        <x:v>331089</x:v>
      </x:c>
      <x:c r="C1189" s="29" t="str">
        <x:v>A2</x:v>
      </x:c>
      <x:c r="D1189" s="53" t="n">
        <x:v>2500</x:v>
      </x:c>
      <x:c r="E1189" s="47" t="n">
        <x:v>1</x:v>
      </x:c>
      <x:c r="F1189" s="47" t="n">
        <x:v>1</x:v>
      </x:c>
      <x:c r="G1189" s="47" t="n">
        <x:v>1</x:v>
      </x:c>
      <x:c r="H1189" s="47" t="n">
        <x:v>1</x:v>
      </x:c>
      <x:c r="I1189" s="47" t="n">
        <x:v>1</x:v>
      </x:c>
      <x:c r="J1189" s="47" t="n">
        <x:v>1</x:v>
      </x:c>
      <x:c r="K1189" s="47" t="n">
        <x:v>1</x:v>
      </x:c>
      <x:c r="L1189" s="47" t="n">
        <x:v>1</x:v>
      </x:c>
      <x:c r="M1189" s="29" t="n">
        <x:v>1</x:v>
      </x:c>
    </x:row>
    <x:row r="1190" ht="15" hidden="0" customHeight="1">
      <x:c r="A1190" s="27" t="n">
        <x:v>186</x:v>
      </x:c>
      <x:c r="B1190" s="27" t="n">
        <x:v>331090</x:v>
      </x:c>
      <x:c r="C1190" s="27" t="str">
        <x:v>A2</x:v>
      </x:c>
      <x:c r="D1190" s="52" t="n">
        <x:v>2500</x:v>
      </x:c>
      <x:c r="E1190" s="46" t="n">
        <x:v>1</x:v>
      </x:c>
      <x:c r="F1190" s="46" t="n">
        <x:v>1</x:v>
      </x:c>
      <x:c r="G1190" s="46" t="n">
        <x:v>1</x:v>
      </x:c>
      <x:c r="H1190" s="46" t="n">
        <x:v>1</x:v>
      </x:c>
      <x:c r="I1190" s="46" t="n">
        <x:v>1</x:v>
      </x:c>
      <x:c r="J1190" s="46" t="n">
        <x:v>1</x:v>
      </x:c>
      <x:c r="K1190" s="46" t="n">
        <x:v>1</x:v>
      </x:c>
      <x:c r="L1190" s="46" t="n">
        <x:v>1</x:v>
      </x:c>
      <x:c r="M1190" s="27" t="n">
        <x:v>1</x:v>
      </x:c>
    </x:row>
    <x:row r="1191" ht="15" hidden="0" customHeight="1">
      <x:c r="A1191" s="29" t="n">
        <x:v>187</x:v>
      </x:c>
      <x:c r="B1191" s="29" t="n">
        <x:v>331091</x:v>
      </x:c>
      <x:c r="C1191" s="29" t="str">
        <x:v>A2</x:v>
      </x:c>
      <x:c r="D1191" s="53" t="n">
        <x:v>2500</x:v>
      </x:c>
      <x:c r="E1191" s="47" t="n">
        <x:v>1</x:v>
      </x:c>
      <x:c r="F1191" s="47" t="n">
        <x:v>0.9999999999999999</x:v>
      </x:c>
      <x:c r="G1191" s="47" t="n">
        <x:v>1</x:v>
      </x:c>
      <x:c r="H1191" s="47" t="n">
        <x:v>1</x:v>
      </x:c>
      <x:c r="I1191" s="47" t="n">
        <x:v>1</x:v>
      </x:c>
      <x:c r="J1191" s="47" t="n">
        <x:v>1</x:v>
      </x:c>
      <x:c r="K1191" s="47" t="n">
        <x:v>1</x:v>
      </x:c>
      <x:c r="L1191" s="47" t="n">
        <x:v>1</x:v>
      </x:c>
      <x:c r="M1191" s="29" t="n">
        <x:v>1</x:v>
      </x:c>
    </x:row>
    <x:row r="1192" ht="15" hidden="0" customHeight="1">
      <x:c r="A1192" s="27" t="n">
        <x:v>188</x:v>
      </x:c>
      <x:c r="B1192" s="27" t="n">
        <x:v>331092</x:v>
      </x:c>
      <x:c r="C1192" s="27" t="str">
        <x:v>A2</x:v>
      </x:c>
      <x:c r="D1192" s="52" t="n">
        <x:v>2500</x:v>
      </x:c>
      <x:c r="E1192" s="46" t="n">
        <x:v>1</x:v>
      </x:c>
      <x:c r="F1192" s="46" t="n">
        <x:v>1</x:v>
      </x:c>
      <x:c r="G1192" s="46" t="n">
        <x:v>1</x:v>
      </x:c>
      <x:c r="H1192" s="46" t="n">
        <x:v>1</x:v>
      </x:c>
      <x:c r="I1192" s="46" t="n">
        <x:v>1</x:v>
      </x:c>
      <x:c r="J1192" s="46" t="n">
        <x:v>1</x:v>
      </x:c>
      <x:c r="K1192" s="46" t="n">
        <x:v>1</x:v>
      </x:c>
      <x:c r="L1192" s="46" t="n">
        <x:v>1</x:v>
      </x:c>
      <x:c r="M1192" s="27" t="n">
        <x:v>1</x:v>
      </x:c>
    </x:row>
    <x:row r="1193" ht="15" hidden="0" customHeight="1">
      <x:c r="A1193" s="29" t="n">
        <x:v>189</x:v>
      </x:c>
      <x:c r="B1193" s="29" t="n">
        <x:v>331093</x:v>
      </x:c>
      <x:c r="C1193" s="29" t="str">
        <x:v>A2</x:v>
      </x:c>
      <x:c r="D1193" s="53" t="n">
        <x:v>2500</x:v>
      </x:c>
      <x:c r="E1193" s="47" t="n">
        <x:v>1</x:v>
      </x:c>
      <x:c r="F1193" s="47" t="n">
        <x:v>0.9999999999999999</x:v>
      </x:c>
      <x:c r="G1193" s="47" t="n">
        <x:v>1</x:v>
      </x:c>
      <x:c r="H1193" s="47" t="n">
        <x:v>1</x:v>
      </x:c>
      <x:c r="I1193" s="47" t="n">
        <x:v>1</x:v>
      </x:c>
      <x:c r="J1193" s="47" t="n">
        <x:v>1</x:v>
      </x:c>
      <x:c r="K1193" s="47" t="n">
        <x:v>1</x:v>
      </x:c>
      <x:c r="L1193" s="47" t="n">
        <x:v>1</x:v>
      </x:c>
      <x:c r="M1193" s="29" t="n">
        <x:v>1</x:v>
      </x:c>
    </x:row>
    <x:row r="1194" ht="15" hidden="0" customHeight="1">
      <x:c r="A1194" s="27" t="n">
        <x:v>190</x:v>
      </x:c>
      <x:c r="B1194" s="27" t="n">
        <x:v>331094</x:v>
      </x:c>
      <x:c r="C1194" s="27" t="str">
        <x:v>A2</x:v>
      </x:c>
      <x:c r="D1194" s="52" t="n">
        <x:v>2500</x:v>
      </x:c>
      <x:c r="E1194" s="46" t="n">
        <x:v>1</x:v>
      </x:c>
      <x:c r="F1194" s="46" t="n">
        <x:v>1</x:v>
      </x:c>
      <x:c r="G1194" s="46" t="n">
        <x:v>1</x:v>
      </x:c>
      <x:c r="H1194" s="46" t="n">
        <x:v>1</x:v>
      </x:c>
      <x:c r="I1194" s="46" t="n">
        <x:v>1</x:v>
      </x:c>
      <x:c r="J1194" s="46" t="n">
        <x:v>1</x:v>
      </x:c>
      <x:c r="K1194" s="46" t="n">
        <x:v>1</x:v>
      </x:c>
      <x:c r="L1194" s="46" t="n">
        <x:v>1</x:v>
      </x:c>
      <x:c r="M1194" s="27" t="n">
        <x:v>1</x:v>
      </x:c>
    </x:row>
    <x:row r="1195" ht="15" hidden="0" customHeight="1">
      <x:c r="A1195" s="29" t="n">
        <x:v>191</x:v>
      </x:c>
      <x:c r="B1195" s="29" t="n">
        <x:v>331095</x:v>
      </x:c>
      <x:c r="C1195" s="29" t="str">
        <x:v>A2</x:v>
      </x:c>
      <x:c r="D1195" s="53" t="n">
        <x:v>2500</x:v>
      </x:c>
      <x:c r="E1195" s="47" t="n">
        <x:v>1</x:v>
      </x:c>
      <x:c r="F1195" s="47" t="n">
        <x:v>1</x:v>
      </x:c>
      <x:c r="G1195" s="47" t="n">
        <x:v>1</x:v>
      </x:c>
      <x:c r="H1195" s="47" t="n">
        <x:v>1</x:v>
      </x:c>
      <x:c r="I1195" s="47" t="n">
        <x:v>1</x:v>
      </x:c>
      <x:c r="J1195" s="47" t="n">
        <x:v>1</x:v>
      </x:c>
      <x:c r="K1195" s="47" t="n">
        <x:v>1</x:v>
      </x:c>
      <x:c r="L1195" s="47" t="n">
        <x:v>1</x:v>
      </x:c>
      <x:c r="M1195" s="29" t="n">
        <x:v>1</x:v>
      </x:c>
    </x:row>
    <x:row r="1196" ht="15" hidden="0" customHeight="1">
      <x:c r="A1196" s="27" t="n">
        <x:v>192</x:v>
      </x:c>
      <x:c r="B1196" s="27" t="n">
        <x:v>331096</x:v>
      </x:c>
      <x:c r="C1196" s="27" t="str">
        <x:v>A2</x:v>
      </x:c>
      <x:c r="D1196" s="52" t="n">
        <x:v>2500</x:v>
      </x:c>
      <x:c r="E1196" s="46" t="n">
        <x:v>1</x:v>
      </x:c>
      <x:c r="F1196" s="46" t="n">
        <x:v>1</x:v>
      </x:c>
      <x:c r="G1196" s="46" t="n">
        <x:v>1</x:v>
      </x:c>
      <x:c r="H1196" s="46" t="n">
        <x:v>1</x:v>
      </x:c>
      <x:c r="I1196" s="46" t="n">
        <x:v>1</x:v>
      </x:c>
      <x:c r="J1196" s="46" t="n">
        <x:v>1</x:v>
      </x:c>
      <x:c r="K1196" s="46" t="n">
        <x:v>1</x:v>
      </x:c>
      <x:c r="L1196" s="46" t="n">
        <x:v>1</x:v>
      </x:c>
      <x:c r="M1196" s="27" t="n">
        <x:v>1</x:v>
      </x:c>
    </x:row>
    <x:row r="1197" ht="15" hidden="0" customHeight="1">
      <x:c r="A1197" s="29" t="n">
        <x:v>193</x:v>
      </x:c>
      <x:c r="B1197" s="29" t="n">
        <x:v>331097</x:v>
      </x:c>
      <x:c r="C1197" s="29" t="str">
        <x:v>A2</x:v>
      </x:c>
      <x:c r="D1197" s="53" t="n">
        <x:v>2500</x:v>
      </x:c>
      <x:c r="E1197" s="47" t="n">
        <x:v>1</x:v>
      </x:c>
      <x:c r="F1197" s="47" t="n">
        <x:v>1</x:v>
      </x:c>
      <x:c r="G1197" s="47" t="n">
        <x:v>1</x:v>
      </x:c>
      <x:c r="H1197" s="47" t="n">
        <x:v>1</x:v>
      </x:c>
      <x:c r="I1197" s="47" t="n">
        <x:v>1</x:v>
      </x:c>
      <x:c r="J1197" s="47" t="n">
        <x:v>1</x:v>
      </x:c>
      <x:c r="K1197" s="47" t="n">
        <x:v>1</x:v>
      </x:c>
      <x:c r="L1197" s="47" t="n">
        <x:v>1</x:v>
      </x:c>
      <x:c r="M1197" s="29" t="n">
        <x:v>1</x:v>
      </x:c>
    </x:row>
    <x:row r="1198" ht="15" hidden="0" customHeight="1">
      <x:c r="A1198" s="27" t="n">
        <x:v>194</x:v>
      </x:c>
      <x:c r="B1198" s="27" t="n">
        <x:v>331098</x:v>
      </x:c>
      <x:c r="C1198" s="27" t="str">
        <x:v>A2</x:v>
      </x:c>
      <x:c r="D1198" s="52" t="n">
        <x:v>2500</x:v>
      </x:c>
      <x:c r="E1198" s="46" t="n">
        <x:v>1</x:v>
      </x:c>
      <x:c r="F1198" s="46" t="n">
        <x:v>1</x:v>
      </x:c>
      <x:c r="G1198" s="46" t="n">
        <x:v>1</x:v>
      </x:c>
      <x:c r="H1198" s="46" t="n">
        <x:v>1</x:v>
      </x:c>
      <x:c r="I1198" s="46" t="n">
        <x:v>1</x:v>
      </x:c>
      <x:c r="J1198" s="46" t="n">
        <x:v>1</x:v>
      </x:c>
      <x:c r="K1198" s="46" t="n">
        <x:v>1</x:v>
      </x:c>
      <x:c r="L1198" s="46" t="n">
        <x:v>0.9999999999999999</x:v>
      </x:c>
      <x:c r="M1198" s="27" t="n">
        <x:v>1</x:v>
      </x:c>
    </x:row>
    <x:row r="1199" ht="15" hidden="0" customHeight="1">
      <x:c r="A1199" s="29" t="n">
        <x:v>195</x:v>
      </x:c>
      <x:c r="B1199" s="29" t="n">
        <x:v>331099</x:v>
      </x:c>
      <x:c r="C1199" s="29" t="str">
        <x:v>A2</x:v>
      </x:c>
      <x:c r="D1199" s="53" t="n">
        <x:v>2500</x:v>
      </x:c>
      <x:c r="E1199" s="47" t="n">
        <x:v>1</x:v>
      </x:c>
      <x:c r="F1199" s="47" t="n">
        <x:v>0.9999999999999999</x:v>
      </x:c>
      <x:c r="G1199" s="47" t="n">
        <x:v>1</x:v>
      </x:c>
      <x:c r="H1199" s="47" t="n">
        <x:v>1</x:v>
      </x:c>
      <x:c r="I1199" s="47" t="n">
        <x:v>1</x:v>
      </x:c>
      <x:c r="J1199" s="47" t="n">
        <x:v>1</x:v>
      </x:c>
      <x:c r="K1199" s="47" t="n">
        <x:v>1</x:v>
      </x:c>
      <x:c r="L1199" s="47" t="n">
        <x:v>1</x:v>
      </x:c>
      <x:c r="M1199" s="29" t="n">
        <x:v>1</x:v>
      </x:c>
    </x:row>
    <x:row r="1200" ht="15" hidden="0" customHeight="1">
      <x:c r="A1200" s="27" t="n">
        <x:v>196</x:v>
      </x:c>
      <x:c r="B1200" s="27" t="n">
        <x:v>331100</x:v>
      </x:c>
      <x:c r="C1200" s="27" t="str">
        <x:v>A2</x:v>
      </x:c>
      <x:c r="D1200" s="52" t="n">
        <x:v>2500</x:v>
      </x:c>
      <x:c r="E1200" s="46" t="n">
        <x:v>1</x:v>
      </x:c>
      <x:c r="F1200" s="46" t="n">
        <x:v>1</x:v>
      </x:c>
      <x:c r="G1200" s="46" t="n">
        <x:v>1</x:v>
      </x:c>
      <x:c r="H1200" s="46" t="n">
        <x:v>1</x:v>
      </x:c>
      <x:c r="I1200" s="46" t="n">
        <x:v>1</x:v>
      </x:c>
      <x:c r="J1200" s="46" t="n">
        <x:v>1</x:v>
      </x:c>
      <x:c r="K1200" s="46" t="n">
        <x:v>1</x:v>
      </x:c>
      <x:c r="L1200" s="46" t="n">
        <x:v>1</x:v>
      </x:c>
      <x:c r="M1200" s="27" t="n">
        <x:v>1</x:v>
      </x:c>
    </x:row>
    <x:row r="1201" ht="15" hidden="0" customHeight="1">
      <x:c r="A1201" s="29" t="n">
        <x:v>197</x:v>
      </x:c>
      <x:c r="B1201" s="29" t="n">
        <x:v>331101</x:v>
      </x:c>
      <x:c r="C1201" s="29" t="str">
        <x:v>A2</x:v>
      </x:c>
      <x:c r="D1201" s="53" t="n">
        <x:v>2500</x:v>
      </x:c>
      <x:c r="E1201" s="47" t="n">
        <x:v>1</x:v>
      </x:c>
      <x:c r="F1201" s="47" t="n">
        <x:v>0.9999999999999999</x:v>
      </x:c>
      <x:c r="G1201" s="47" t="n">
        <x:v>1</x:v>
      </x:c>
      <x:c r="H1201" s="47" t="n">
        <x:v>1</x:v>
      </x:c>
      <x:c r="I1201" s="47" t="n">
        <x:v>1</x:v>
      </x:c>
      <x:c r="J1201" s="47" t="n">
        <x:v>1</x:v>
      </x:c>
      <x:c r="K1201" s="47" t="n">
        <x:v>1</x:v>
      </x:c>
      <x:c r="L1201" s="47" t="n">
        <x:v>1</x:v>
      </x:c>
      <x:c r="M1201" s="29" t="n">
        <x:v>1</x:v>
      </x:c>
    </x:row>
    <x:row r="1202" ht="15" hidden="0" customHeight="1">
      <x:c r="A1202" s="27" t="n">
        <x:v>198</x:v>
      </x:c>
      <x:c r="B1202" s="27" t="n">
        <x:v>331102</x:v>
      </x:c>
      <x:c r="C1202" s="27" t="str">
        <x:v>A2</x:v>
      </x:c>
      <x:c r="D1202" s="52" t="n">
        <x:v>2500</x:v>
      </x:c>
      <x:c r="E1202" s="46" t="n">
        <x:v>1</x:v>
      </x:c>
      <x:c r="F1202" s="46" t="n">
        <x:v>1</x:v>
      </x:c>
      <x:c r="G1202" s="46" t="n">
        <x:v>1</x:v>
      </x:c>
      <x:c r="H1202" s="46" t="n">
        <x:v>1</x:v>
      </x:c>
      <x:c r="I1202" s="46" t="n">
        <x:v>1</x:v>
      </x:c>
      <x:c r="J1202" s="46" t="n">
        <x:v>1</x:v>
      </x:c>
      <x:c r="K1202" s="46" t="n">
        <x:v>1</x:v>
      </x:c>
      <x:c r="L1202" s="46" t="n">
        <x:v>1</x:v>
      </x:c>
      <x:c r="M1202" s="27" t="n">
        <x:v>1</x:v>
      </x:c>
    </x:row>
    <x:row r="1203" ht="15" hidden="0" customHeight="1">
      <x:c r="A1203" s="29" t="n">
        <x:v>199</x:v>
      </x:c>
      <x:c r="B1203" s="29" t="n">
        <x:v>331103</x:v>
      </x:c>
      <x:c r="C1203" s="29" t="str">
        <x:v>A2</x:v>
      </x:c>
      <x:c r="D1203" s="53" t="n">
        <x:v>2500</x:v>
      </x:c>
      <x:c r="E1203" s="47" t="n">
        <x:v>1</x:v>
      </x:c>
      <x:c r="F1203" s="47" t="n">
        <x:v>1</x:v>
      </x:c>
      <x:c r="G1203" s="47" t="n">
        <x:v>1</x:v>
      </x:c>
      <x:c r="H1203" s="47" t="n">
        <x:v>1</x:v>
      </x:c>
      <x:c r="I1203" s="47" t="n">
        <x:v>1</x:v>
      </x:c>
      <x:c r="J1203" s="47" t="n">
        <x:v>1</x:v>
      </x:c>
      <x:c r="K1203" s="47" t="n">
        <x:v>1</x:v>
      </x:c>
      <x:c r="L1203" s="47" t="n">
        <x:v>1</x:v>
      </x:c>
      <x:c r="M1203" s="29" t="n">
        <x:v>1</x:v>
      </x:c>
    </x:row>
    <x:row r="1204" ht="15" hidden="0" customHeight="1">
      <x:c r="A1204" s="27" t="n">
        <x:v>200</x:v>
      </x:c>
      <x:c r="B1204" s="27" t="n">
        <x:v>331104</x:v>
      </x:c>
      <x:c r="C1204" s="27" t="str">
        <x:v>A2</x:v>
      </x:c>
      <x:c r="D1204" s="52" t="n">
        <x:v>2500</x:v>
      </x:c>
      <x:c r="E1204" s="46" t="n">
        <x:v>1</x:v>
      </x:c>
      <x:c r="F1204" s="46" t="n">
        <x:v>1</x:v>
      </x:c>
      <x:c r="G1204" s="46" t="n">
        <x:v>1</x:v>
      </x:c>
      <x:c r="H1204" s="46" t="n">
        <x:v>1</x:v>
      </x:c>
      <x:c r="I1204" s="46" t="n">
        <x:v>1</x:v>
      </x:c>
      <x:c r="J1204" s="46" t="n">
        <x:v>1</x:v>
      </x:c>
      <x:c r="K1204" s="46" t="n">
        <x:v>1</x:v>
      </x:c>
      <x:c r="L1204" s="46" t="n">
        <x:v>1</x:v>
      </x:c>
      <x:c r="M1204" s="27" t="n">
        <x:v>1</x:v>
      </x:c>
    </x:row>
    <x:row r="1205" ht="15" hidden="0" customHeight="1">
      <x:c r="A1205" s="29" t="n">
        <x:v>201</x:v>
      </x:c>
      <x:c r="B1205" s="29" t="n">
        <x:v>331105</x:v>
      </x:c>
      <x:c r="C1205" s="29" t="str">
        <x:v>A2</x:v>
      </x:c>
      <x:c r="D1205" s="53" t="n">
        <x:v>2500</x:v>
      </x:c>
      <x:c r="E1205" s="47" t="n">
        <x:v>1</x:v>
      </x:c>
      <x:c r="F1205" s="47" t="n">
        <x:v>1</x:v>
      </x:c>
      <x:c r="G1205" s="47" t="n">
        <x:v>1</x:v>
      </x:c>
      <x:c r="H1205" s="47" t="n">
        <x:v>1</x:v>
      </x:c>
      <x:c r="I1205" s="47" t="n">
        <x:v>1</x:v>
      </x:c>
      <x:c r="J1205" s="47" t="n">
        <x:v>1</x:v>
      </x:c>
      <x:c r="K1205" s="47" t="n">
        <x:v>1</x:v>
      </x:c>
      <x:c r="L1205" s="47" t="n">
        <x:v>1</x:v>
      </x:c>
      <x:c r="M1205" s="29" t="n">
        <x:v>1</x:v>
      </x:c>
    </x:row>
    <x:row r="1206" ht="15" hidden="0" customHeight="1">
      <x:c r="A1206" s="27" t="n">
        <x:v>202</x:v>
      </x:c>
      <x:c r="B1206" s="27" t="n">
        <x:v>331106</x:v>
      </x:c>
      <x:c r="C1206" s="27" t="str">
        <x:v>A2</x:v>
      </x:c>
      <x:c r="D1206" s="52" t="n">
        <x:v>2500</x:v>
      </x:c>
      <x:c r="E1206" s="46" t="n">
        <x:v>1</x:v>
      </x:c>
      <x:c r="F1206" s="46" t="n">
        <x:v>0.9999999999999998</x:v>
      </x:c>
      <x:c r="G1206" s="46" t="n">
        <x:v>1</x:v>
      </x:c>
      <x:c r="H1206" s="46" t="n">
        <x:v>1</x:v>
      </x:c>
      <x:c r="I1206" s="46" t="n">
        <x:v>1</x:v>
      </x:c>
      <x:c r="J1206" s="46" t="n">
        <x:v>1</x:v>
      </x:c>
      <x:c r="K1206" s="46" t="n">
        <x:v>1</x:v>
      </x:c>
      <x:c r="L1206" s="46" t="n">
        <x:v>1</x:v>
      </x:c>
      <x:c r="M1206" s="27" t="n">
        <x:v>1</x:v>
      </x:c>
    </x:row>
    <x:row r="1207" ht="15" hidden="0" customHeight="1">
      <x:c r="A1207" s="29" t="n">
        <x:v>203</x:v>
      </x:c>
      <x:c r="B1207" s="29" t="n">
        <x:v>331107</x:v>
      </x:c>
      <x:c r="C1207" s="29" t="str">
        <x:v>A2</x:v>
      </x:c>
      <x:c r="D1207" s="53" t="n">
        <x:v>2500</x:v>
      </x:c>
      <x:c r="E1207" s="47" t="n">
        <x:v>1</x:v>
      </x:c>
      <x:c r="F1207" s="47" t="n">
        <x:v>1</x:v>
      </x:c>
      <x:c r="G1207" s="47" t="n">
        <x:v>1</x:v>
      </x:c>
      <x:c r="H1207" s="47" t="n">
        <x:v>1</x:v>
      </x:c>
      <x:c r="I1207" s="47" t="n">
        <x:v>1</x:v>
      </x:c>
      <x:c r="J1207" s="47" t="n">
        <x:v>1</x:v>
      </x:c>
      <x:c r="K1207" s="47" t="n">
        <x:v>1</x:v>
      </x:c>
      <x:c r="L1207" s="47" t="n">
        <x:v>1</x:v>
      </x:c>
      <x:c r="M1207" s="29" t="n">
        <x:v>1</x:v>
      </x:c>
    </x:row>
    <x:row r="1208" ht="15" hidden="0" customHeight="1">
      <x:c r="A1208" s="27" t="n">
        <x:v>204</x:v>
      </x:c>
      <x:c r="B1208" s="27" t="n">
        <x:v>331108</x:v>
      </x:c>
      <x:c r="C1208" s="27" t="str">
        <x:v>A2</x:v>
      </x:c>
      <x:c r="D1208" s="52" t="n">
        <x:v>2500</x:v>
      </x:c>
      <x:c r="E1208" s="46" t="n">
        <x:v>1</x:v>
      </x:c>
      <x:c r="F1208" s="46" t="n">
        <x:v>1</x:v>
      </x:c>
      <x:c r="G1208" s="46" t="n">
        <x:v>1</x:v>
      </x:c>
      <x:c r="H1208" s="46" t="n">
        <x:v>1</x:v>
      </x:c>
      <x:c r="I1208" s="46" t="n">
        <x:v>1</x:v>
      </x:c>
      <x:c r="J1208" s="46" t="n">
        <x:v>1</x:v>
      </x:c>
      <x:c r="K1208" s="46" t="n">
        <x:v>1</x:v>
      </x:c>
      <x:c r="L1208" s="46" t="n">
        <x:v>1</x:v>
      </x:c>
      <x:c r="M1208" s="27" t="n">
        <x:v>1</x:v>
      </x:c>
    </x:row>
    <x:row r="1209" ht="15" hidden="0" customHeight="1">
      <x:c r="A1209" s="29" t="n">
        <x:v>205</x:v>
      </x:c>
      <x:c r="B1209" s="29" t="n">
        <x:v>331109</x:v>
      </x:c>
      <x:c r="C1209" s="29" t="str">
        <x:v>A2</x:v>
      </x:c>
      <x:c r="D1209" s="53" t="n">
        <x:v>2500</x:v>
      </x:c>
      <x:c r="E1209" s="47" t="n">
        <x:v>1</x:v>
      </x:c>
      <x:c r="F1209" s="47" t="n">
        <x:v>0.9999999999999998</x:v>
      </x:c>
      <x:c r="G1209" s="47" t="n">
        <x:v>1</x:v>
      </x:c>
      <x:c r="H1209" s="47" t="n">
        <x:v>1</x:v>
      </x:c>
      <x:c r="I1209" s="47" t="n">
        <x:v>1</x:v>
      </x:c>
      <x:c r="J1209" s="47" t="n">
        <x:v>1</x:v>
      </x:c>
      <x:c r="K1209" s="47" t="n">
        <x:v>1</x:v>
      </x:c>
      <x:c r="L1209" s="47" t="n">
        <x:v>1</x:v>
      </x:c>
      <x:c r="M1209" s="29" t="n">
        <x:v>1</x:v>
      </x:c>
    </x:row>
    <x:row r="1210" ht="15" hidden="0" customHeight="1">
      <x:c r="A1210" s="27" t="n">
        <x:v>206</x:v>
      </x:c>
      <x:c r="B1210" s="27" t="n">
        <x:v>331110</x:v>
      </x:c>
      <x:c r="C1210" s="27" t="str">
        <x:v>A2</x:v>
      </x:c>
      <x:c r="D1210" s="52" t="n">
        <x:v>2500</x:v>
      </x:c>
      <x:c r="E1210" s="46" t="n">
        <x:v>1</x:v>
      </x:c>
      <x:c r="F1210" s="46" t="n">
        <x:v>0.9999999999999998</x:v>
      </x:c>
      <x:c r="G1210" s="46" t="n">
        <x:v>1</x:v>
      </x:c>
      <x:c r="H1210" s="46" t="n">
        <x:v>1</x:v>
      </x:c>
      <x:c r="I1210" s="46" t="n">
        <x:v>1</x:v>
      </x:c>
      <x:c r="J1210" s="46" t="n">
        <x:v>1</x:v>
      </x:c>
      <x:c r="K1210" s="46" t="n">
        <x:v>1</x:v>
      </x:c>
      <x:c r="L1210" s="46" t="n">
        <x:v>1</x:v>
      </x:c>
      <x:c r="M1210" s="27" t="n">
        <x:v>1</x:v>
      </x:c>
    </x:row>
    <x:row r="1211" ht="15" hidden="0" customHeight="1">
      <x:c r="A1211" s="29" t="n">
        <x:v>207</x:v>
      </x:c>
      <x:c r="B1211" s="29" t="n">
        <x:v>331111</x:v>
      </x:c>
      <x:c r="C1211" s="29" t="str">
        <x:v>A2</x:v>
      </x:c>
      <x:c r="D1211" s="53" t="n">
        <x:v>2500</x:v>
      </x:c>
      <x:c r="E1211" s="47" t="n">
        <x:v>1</x:v>
      </x:c>
      <x:c r="F1211" s="47" t="n">
        <x:v>1</x:v>
      </x:c>
      <x:c r="G1211" s="47" t="n">
        <x:v>1</x:v>
      </x:c>
      <x:c r="H1211" s="47" t="n">
        <x:v>1</x:v>
      </x:c>
      <x:c r="I1211" s="47" t="n">
        <x:v>1</x:v>
      </x:c>
      <x:c r="J1211" s="47" t="n">
        <x:v>1</x:v>
      </x:c>
      <x:c r="K1211" s="47" t="n">
        <x:v>1</x:v>
      </x:c>
      <x:c r="L1211" s="47" t="n">
        <x:v>1</x:v>
      </x:c>
      <x:c r="M1211" s="29" t="n">
        <x:v>1</x:v>
      </x:c>
    </x:row>
    <x:row r="1212" ht="15" hidden="0" customHeight="1">
      <x:c r="A1212" s="27" t="n">
        <x:v>208</x:v>
      </x:c>
      <x:c r="B1212" s="27" t="n">
        <x:v>331112</x:v>
      </x:c>
      <x:c r="C1212" s="27" t="str">
        <x:v>A2</x:v>
      </x:c>
      <x:c r="D1212" s="52" t="n">
        <x:v>2500</x:v>
      </x:c>
      <x:c r="E1212" s="46" t="n">
        <x:v>1</x:v>
      </x:c>
      <x:c r="F1212" s="46" t="n">
        <x:v>1</x:v>
      </x:c>
      <x:c r="G1212" s="46" t="n">
        <x:v>1</x:v>
      </x:c>
      <x:c r="H1212" s="46" t="n">
        <x:v>1</x:v>
      </x:c>
      <x:c r="I1212" s="46" t="n">
        <x:v>1</x:v>
      </x:c>
      <x:c r="J1212" s="46" t="n">
        <x:v>1</x:v>
      </x:c>
      <x:c r="K1212" s="46" t="n">
        <x:v>1</x:v>
      </x:c>
      <x:c r="L1212" s="46" t="n">
        <x:v>1</x:v>
      </x:c>
      <x:c r="M1212" s="27" t="n">
        <x:v>1</x:v>
      </x:c>
    </x:row>
    <x:row r="1213" ht="15" hidden="0" customHeight="1">
      <x:c r="A1213" s="29" t="n">
        <x:v>209</x:v>
      </x:c>
      <x:c r="B1213" s="29" t="n">
        <x:v>331113</x:v>
      </x:c>
      <x:c r="C1213" s="29" t="str">
        <x:v>A2</x:v>
      </x:c>
      <x:c r="D1213" s="53" t="n">
        <x:v>2500</x:v>
      </x:c>
      <x:c r="E1213" s="47" t="n">
        <x:v>1</x:v>
      </x:c>
      <x:c r="F1213" s="47" t="n">
        <x:v>1</x:v>
      </x:c>
      <x:c r="G1213" s="47" t="n">
        <x:v>1</x:v>
      </x:c>
      <x:c r="H1213" s="47" t="n">
        <x:v>1</x:v>
      </x:c>
      <x:c r="I1213" s="47" t="n">
        <x:v>1</x:v>
      </x:c>
      <x:c r="J1213" s="47" t="n">
        <x:v>1</x:v>
      </x:c>
      <x:c r="K1213" s="47" t="n">
        <x:v>1</x:v>
      </x:c>
      <x:c r="L1213" s="47" t="n">
        <x:v>1</x:v>
      </x:c>
      <x:c r="M1213" s="29" t="n">
        <x:v>1</x:v>
      </x:c>
    </x:row>
    <x:row r="1214" ht="15" hidden="0" customHeight="1">
      <x:c r="A1214" s="27" t="n">
        <x:v>210</x:v>
      </x:c>
      <x:c r="B1214" s="27" t="n">
        <x:v>331114</x:v>
      </x:c>
      <x:c r="C1214" s="27" t="str">
        <x:v>A2</x:v>
      </x:c>
      <x:c r="D1214" s="52" t="n">
        <x:v>2500</x:v>
      </x:c>
      <x:c r="E1214" s="46" t="n">
        <x:v>1</x:v>
      </x:c>
      <x:c r="F1214" s="46" t="n">
        <x:v>1</x:v>
      </x:c>
      <x:c r="G1214" s="46" t="n">
        <x:v>1</x:v>
      </x:c>
      <x:c r="H1214" s="46" t="n">
        <x:v>1</x:v>
      </x:c>
      <x:c r="I1214" s="46" t="n">
        <x:v>1</x:v>
      </x:c>
      <x:c r="J1214" s="46" t="n">
        <x:v>1</x:v>
      </x:c>
      <x:c r="K1214" s="46" t="n">
        <x:v>1</x:v>
      </x:c>
      <x:c r="L1214" s="46" t="n">
        <x:v>1</x:v>
      </x:c>
      <x:c r="M1214" s="27" t="n">
        <x:v>1</x:v>
      </x:c>
    </x:row>
    <x:row r="1215" ht="15" hidden="0" customHeight="1">
      <x:c r="A1215" s="29" t="n">
        <x:v>211</x:v>
      </x:c>
      <x:c r="B1215" s="29" t="n">
        <x:v>331115</x:v>
      </x:c>
      <x:c r="C1215" s="29" t="str">
        <x:v>A2</x:v>
      </x:c>
      <x:c r="D1215" s="53" t="n">
        <x:v>2500</x:v>
      </x:c>
      <x:c r="E1215" s="47" t="n">
        <x:v>1</x:v>
      </x:c>
      <x:c r="F1215" s="47" t="n">
        <x:v>1</x:v>
      </x:c>
      <x:c r="G1215" s="47" t="n">
        <x:v>1</x:v>
      </x:c>
      <x:c r="H1215" s="47" t="n">
        <x:v>1</x:v>
      </x:c>
      <x:c r="I1215" s="47" t="n">
        <x:v>1</x:v>
      </x:c>
      <x:c r="J1215" s="47" t="n">
        <x:v>1</x:v>
      </x:c>
      <x:c r="K1215" s="47" t="n">
        <x:v>1</x:v>
      </x:c>
      <x:c r="L1215" s="47" t="n">
        <x:v>0.9999999999999999</x:v>
      </x:c>
      <x:c r="M1215" s="29" t="n">
        <x:v>1</x:v>
      </x:c>
    </x:row>
    <x:row r="1216" ht="15" hidden="0" customHeight="1">
      <x:c r="A1216" s="27" t="n">
        <x:v>212</x:v>
      </x:c>
      <x:c r="B1216" s="27" t="n">
        <x:v>331116</x:v>
      </x:c>
      <x:c r="C1216" s="27" t="str">
        <x:v>A2</x:v>
      </x:c>
      <x:c r="D1216" s="52" t="n">
        <x:v>2500</x:v>
      </x:c>
      <x:c r="E1216" s="46" t="n">
        <x:v>1</x:v>
      </x:c>
      <x:c r="F1216" s="46" t="n">
        <x:v>1</x:v>
      </x:c>
      <x:c r="G1216" s="46" t="n">
        <x:v>1</x:v>
      </x:c>
      <x:c r="H1216" s="46" t="n">
        <x:v>1</x:v>
      </x:c>
      <x:c r="I1216" s="46" t="n">
        <x:v>1</x:v>
      </x:c>
      <x:c r="J1216" s="46" t="n">
        <x:v>1</x:v>
      </x:c>
      <x:c r="K1216" s="46" t="n">
        <x:v>1</x:v>
      </x:c>
      <x:c r="L1216" s="46" t="n">
        <x:v>1</x:v>
      </x:c>
      <x:c r="M1216" s="27" t="n">
        <x:v>1</x:v>
      </x:c>
    </x:row>
    <x:row r="1217" ht="15" hidden="0" customHeight="1">
      <x:c r="A1217" s="29" t="n">
        <x:v>213</x:v>
      </x:c>
      <x:c r="B1217" s="29" t="n">
        <x:v>331117</x:v>
      </x:c>
      <x:c r="C1217" s="29" t="str">
        <x:v>A2</x:v>
      </x:c>
      <x:c r="D1217" s="53" t="n">
        <x:v>2500</x:v>
      </x:c>
      <x:c r="E1217" s="47" t="n">
        <x:v>1</x:v>
      </x:c>
      <x:c r="F1217" s="47" t="n">
        <x:v>1</x:v>
      </x:c>
      <x:c r="G1217" s="47" t="n">
        <x:v>1</x:v>
      </x:c>
      <x:c r="H1217" s="47" t="n">
        <x:v>1</x:v>
      </x:c>
      <x:c r="I1217" s="47" t="n">
        <x:v>1</x:v>
      </x:c>
      <x:c r="J1217" s="47" t="n">
        <x:v>1</x:v>
      </x:c>
      <x:c r="K1217" s="47" t="n">
        <x:v>1</x:v>
      </x:c>
      <x:c r="L1217" s="47" t="n">
        <x:v>1</x:v>
      </x:c>
      <x:c r="M1217" s="29" t="n">
        <x:v>1</x:v>
      </x:c>
    </x:row>
    <x:row r="1218" ht="15" hidden="0" customHeight="1">
      <x:c r="A1218" s="27" t="n">
        <x:v>214</x:v>
      </x:c>
      <x:c r="B1218" s="27" t="n">
        <x:v>331118</x:v>
      </x:c>
      <x:c r="C1218" s="27" t="str">
        <x:v>A2</x:v>
      </x:c>
      <x:c r="D1218" s="52" t="n">
        <x:v>2500</x:v>
      </x:c>
      <x:c r="E1218" s="46" t="n">
        <x:v>1</x:v>
      </x:c>
      <x:c r="F1218" s="46" t="n">
        <x:v>0.9999999999999998</x:v>
      </x:c>
      <x:c r="G1218" s="46" t="n">
        <x:v>1</x:v>
      </x:c>
      <x:c r="H1218" s="46" t="n">
        <x:v>1</x:v>
      </x:c>
      <x:c r="I1218" s="46" t="n">
        <x:v>1</x:v>
      </x:c>
      <x:c r="J1218" s="46" t="n">
        <x:v>1</x:v>
      </x:c>
      <x:c r="K1218" s="46" t="n">
        <x:v>1</x:v>
      </x:c>
      <x:c r="L1218" s="46" t="n">
        <x:v>1</x:v>
      </x:c>
      <x:c r="M1218" s="27" t="n">
        <x:v>1</x:v>
      </x:c>
    </x:row>
    <x:row r="1219" ht="15" hidden="0" customHeight="1">
      <x:c r="A1219" s="29" t="n">
        <x:v>215</x:v>
      </x:c>
      <x:c r="B1219" s="29" t="n">
        <x:v>331119</x:v>
      </x:c>
      <x:c r="C1219" s="29" t="str">
        <x:v>A2</x:v>
      </x:c>
      <x:c r="D1219" s="53" t="n">
        <x:v>2500</x:v>
      </x:c>
      <x:c r="E1219" s="47" t="n">
        <x:v>1</x:v>
      </x:c>
      <x:c r="F1219" s="47" t="n">
        <x:v>1</x:v>
      </x:c>
      <x:c r="G1219" s="47" t="n">
        <x:v>1</x:v>
      </x:c>
      <x:c r="H1219" s="47" t="n">
        <x:v>1</x:v>
      </x:c>
      <x:c r="I1219" s="47" t="n">
        <x:v>1</x:v>
      </x:c>
      <x:c r="J1219" s="47" t="n">
        <x:v>1</x:v>
      </x:c>
      <x:c r="K1219" s="47" t="n">
        <x:v>1</x:v>
      </x:c>
      <x:c r="L1219" s="47" t="n">
        <x:v>1</x:v>
      </x:c>
      <x:c r="M1219" s="29" t="n">
        <x:v>1</x:v>
      </x:c>
    </x:row>
    <x:row r="1220" ht="15" hidden="0" customHeight="1">
      <x:c r="A1220" s="27" t="n">
        <x:v>216</x:v>
      </x:c>
      <x:c r="B1220" s="27" t="n">
        <x:v>331120</x:v>
      </x:c>
      <x:c r="C1220" s="27" t="str">
        <x:v>A2</x:v>
      </x:c>
      <x:c r="D1220" s="52" t="n">
        <x:v>2500</x:v>
      </x:c>
      <x:c r="E1220" s="46" t="n">
        <x:v>1</x:v>
      </x:c>
      <x:c r="F1220" s="46" t="n">
        <x:v>1</x:v>
      </x:c>
      <x:c r="G1220" s="46" t="n">
        <x:v>1</x:v>
      </x:c>
      <x:c r="H1220" s="46" t="n">
        <x:v>1</x:v>
      </x:c>
      <x:c r="I1220" s="46" t="n">
        <x:v>1</x:v>
      </x:c>
      <x:c r="J1220" s="46" t="n">
        <x:v>1</x:v>
      </x:c>
      <x:c r="K1220" s="46" t="n">
        <x:v>1</x:v>
      </x:c>
      <x:c r="L1220" s="46" t="n">
        <x:v>1</x:v>
      </x:c>
      <x:c r="M1220" s="27" t="n">
        <x:v>1</x:v>
      </x:c>
    </x:row>
    <x:row r="1221" ht="15" hidden="0" customHeight="1">
      <x:c r="A1221" s="29" t="n">
        <x:v>217</x:v>
      </x:c>
      <x:c r="B1221" s="29" t="n">
        <x:v>331121</x:v>
      </x:c>
      <x:c r="C1221" s="29" t="str">
        <x:v>A2</x:v>
      </x:c>
      <x:c r="D1221" s="53" t="n">
        <x:v>2500</x:v>
      </x:c>
      <x:c r="E1221" s="47" t="n">
        <x:v>1</x:v>
      </x:c>
      <x:c r="F1221" s="47" t="n">
        <x:v>1</x:v>
      </x:c>
      <x:c r="G1221" s="47" t="n">
        <x:v>1</x:v>
      </x:c>
      <x:c r="H1221" s="47" t="n">
        <x:v>1</x:v>
      </x:c>
      <x:c r="I1221" s="47" t="n">
        <x:v>1</x:v>
      </x:c>
      <x:c r="J1221" s="47" t="n">
        <x:v>1</x:v>
      </x:c>
      <x:c r="K1221" s="47" t="n">
        <x:v>1</x:v>
      </x:c>
      <x:c r="L1221" s="47" t="n">
        <x:v>1</x:v>
      </x:c>
      <x:c r="M1221" s="29" t="n">
        <x:v>1</x:v>
      </x:c>
    </x:row>
    <x:row r="1222" ht="15" hidden="0" customHeight="1">
      <x:c r="A1222" s="27" t="n">
        <x:v>218</x:v>
      </x:c>
      <x:c r="B1222" s="27" t="n">
        <x:v>331122</x:v>
      </x:c>
      <x:c r="C1222" s="27" t="str">
        <x:v>A2</x:v>
      </x:c>
      <x:c r="D1222" s="52" t="n">
        <x:v>2500</x:v>
      </x:c>
      <x:c r="E1222" s="46" t="n">
        <x:v>1</x:v>
      </x:c>
      <x:c r="F1222" s="46" t="n">
        <x:v>0.9999999999999998</x:v>
      </x:c>
      <x:c r="G1222" s="46" t="n">
        <x:v>1</x:v>
      </x:c>
      <x:c r="H1222" s="46" t="n">
        <x:v>1</x:v>
      </x:c>
      <x:c r="I1222" s="46" t="n">
        <x:v>1</x:v>
      </x:c>
      <x:c r="J1222" s="46" t="n">
        <x:v>1</x:v>
      </x:c>
      <x:c r="K1222" s="46" t="n">
        <x:v>1</x:v>
      </x:c>
      <x:c r="L1222" s="46" t="n">
        <x:v>1</x:v>
      </x:c>
      <x:c r="M1222" s="27" t="n">
        <x:v>1</x:v>
      </x:c>
    </x:row>
    <x:row r="1223" ht="15" hidden="0" customHeight="1">
      <x:c r="A1223" s="29" t="n">
        <x:v>219</x:v>
      </x:c>
      <x:c r="B1223" s="29" t="n">
        <x:v>331123</x:v>
      </x:c>
      <x:c r="C1223" s="29" t="str">
        <x:v>A2</x:v>
      </x:c>
      <x:c r="D1223" s="53" t="n">
        <x:v>2500</x:v>
      </x:c>
      <x:c r="E1223" s="47" t="n">
        <x:v>1</x:v>
      </x:c>
      <x:c r="F1223" s="47" t="n">
        <x:v>1</x:v>
      </x:c>
      <x:c r="G1223" s="47" t="n">
        <x:v>1</x:v>
      </x:c>
      <x:c r="H1223" s="47" t="n">
        <x:v>1</x:v>
      </x:c>
      <x:c r="I1223" s="47" t="n">
        <x:v>1</x:v>
      </x:c>
      <x:c r="J1223" s="47" t="n">
        <x:v>1</x:v>
      </x:c>
      <x:c r="K1223" s="47" t="n">
        <x:v>1</x:v>
      </x:c>
      <x:c r="L1223" s="47" t="n">
        <x:v>1</x:v>
      </x:c>
      <x:c r="M1223" s="29" t="n">
        <x:v>1</x:v>
      </x:c>
    </x:row>
    <x:row r="1224" ht="15" hidden="0" customHeight="1">
      <x:c r="A1224" s="27" t="n">
        <x:v>220</x:v>
      </x:c>
      <x:c r="B1224" s="27" t="n">
        <x:v>331124</x:v>
      </x:c>
      <x:c r="C1224" s="27" t="str">
        <x:v>A2</x:v>
      </x:c>
      <x:c r="D1224" s="52" t="n">
        <x:v>2500</x:v>
      </x:c>
      <x:c r="E1224" s="46" t="n">
        <x:v>1</x:v>
      </x:c>
      <x:c r="F1224" s="46" t="n">
        <x:v>1</x:v>
      </x:c>
      <x:c r="G1224" s="46" t="n">
        <x:v>1</x:v>
      </x:c>
      <x:c r="H1224" s="46" t="n">
        <x:v>1</x:v>
      </x:c>
      <x:c r="I1224" s="46" t="n">
        <x:v>1</x:v>
      </x:c>
      <x:c r="J1224" s="46" t="n">
        <x:v>1</x:v>
      </x:c>
      <x:c r="K1224" s="46" t="n">
        <x:v>1</x:v>
      </x:c>
      <x:c r="L1224" s="46" t="n">
        <x:v>1</x:v>
      </x:c>
      <x:c r="M1224" s="27" t="n">
        <x:v>1</x:v>
      </x:c>
    </x:row>
    <x:row r="1225" ht="15" hidden="0" customHeight="1">
      <x:c r="A1225" s="29" t="n">
        <x:v>221</x:v>
      </x:c>
      <x:c r="B1225" s="29" t="n">
        <x:v>331125</x:v>
      </x:c>
      <x:c r="C1225" s="29" t="str">
        <x:v>A2</x:v>
      </x:c>
      <x:c r="D1225" s="53" t="n">
        <x:v>2500</x:v>
      </x:c>
      <x:c r="E1225" s="47" t="n">
        <x:v>1</x:v>
      </x:c>
      <x:c r="F1225" s="47" t="n">
        <x:v>0.9999999999999999</x:v>
      </x:c>
      <x:c r="G1225" s="47" t="n">
        <x:v>1</x:v>
      </x:c>
      <x:c r="H1225" s="47" t="n">
        <x:v>1</x:v>
      </x:c>
      <x:c r="I1225" s="47" t="n">
        <x:v>1</x:v>
      </x:c>
      <x:c r="J1225" s="47" t="n">
        <x:v>1</x:v>
      </x:c>
      <x:c r="K1225" s="47" t="n">
        <x:v>1</x:v>
      </x:c>
      <x:c r="L1225" s="47" t="n">
        <x:v>1</x:v>
      </x:c>
      <x:c r="M1225" s="29" t="n">
        <x:v>1</x:v>
      </x:c>
    </x:row>
    <x:row r="1226" ht="15" hidden="0" customHeight="1">
      <x:c r="A1226" s="27" t="n">
        <x:v>222</x:v>
      </x:c>
      <x:c r="B1226" s="27" t="n">
        <x:v>331126</x:v>
      </x:c>
      <x:c r="C1226" s="27" t="str">
        <x:v>A2</x:v>
      </x:c>
      <x:c r="D1226" s="52" t="n">
        <x:v>2500</x:v>
      </x:c>
      <x:c r="E1226" s="46" t="n">
        <x:v>1</x:v>
      </x:c>
      <x:c r="F1226" s="46" t="n">
        <x:v>0.9999999999999999</x:v>
      </x:c>
      <x:c r="G1226" s="46" t="n">
        <x:v>1</x:v>
      </x:c>
      <x:c r="H1226" s="46" t="n">
        <x:v>1</x:v>
      </x:c>
      <x:c r="I1226" s="46" t="n">
        <x:v>1</x:v>
      </x:c>
      <x:c r="J1226" s="46" t="n">
        <x:v>1</x:v>
      </x:c>
      <x:c r="K1226" s="46" t="n">
        <x:v>1</x:v>
      </x:c>
      <x:c r="L1226" s="46" t="n">
        <x:v>1</x:v>
      </x:c>
      <x:c r="M1226" s="27" t="n">
        <x:v>1</x:v>
      </x:c>
    </x:row>
    <x:row r="1227" ht="15" hidden="0" customHeight="1">
      <x:c r="A1227" s="29" t="n">
        <x:v>223</x:v>
      </x:c>
      <x:c r="B1227" s="29" t="n">
        <x:v>331127</x:v>
      </x:c>
      <x:c r="C1227" s="29" t="str">
        <x:v>A2</x:v>
      </x:c>
      <x:c r="D1227" s="53" t="n">
        <x:v>2500</x:v>
      </x:c>
      <x:c r="E1227" s="47" t="n">
        <x:v>1</x:v>
      </x:c>
      <x:c r="F1227" s="47" t="n">
        <x:v>1</x:v>
      </x:c>
      <x:c r="G1227" s="47" t="n">
        <x:v>1</x:v>
      </x:c>
      <x:c r="H1227" s="47" t="n">
        <x:v>1</x:v>
      </x:c>
      <x:c r="I1227" s="47" t="n">
        <x:v>1</x:v>
      </x:c>
      <x:c r="J1227" s="47" t="n">
        <x:v>1</x:v>
      </x:c>
      <x:c r="K1227" s="47" t="n">
        <x:v>1</x:v>
      </x:c>
      <x:c r="L1227" s="47" t="n">
        <x:v>1</x:v>
      </x:c>
      <x:c r="M1227" s="29" t="n">
        <x:v>1</x:v>
      </x:c>
    </x:row>
    <x:row r="1228" ht="15" hidden="0" customHeight="1">
      <x:c r="A1228" s="27" t="n">
        <x:v>224</x:v>
      </x:c>
      <x:c r="B1228" s="27" t="n">
        <x:v>331128</x:v>
      </x:c>
      <x:c r="C1228" s="27" t="str">
        <x:v>A2</x:v>
      </x:c>
      <x:c r="D1228" s="52" t="n">
        <x:v>2500</x:v>
      </x:c>
      <x:c r="E1228" s="46" t="n">
        <x:v>1</x:v>
      </x:c>
      <x:c r="F1228" s="46" t="n">
        <x:v>1</x:v>
      </x:c>
      <x:c r="G1228" s="46" t="n">
        <x:v>1</x:v>
      </x:c>
      <x:c r="H1228" s="46" t="n">
        <x:v>1</x:v>
      </x:c>
      <x:c r="I1228" s="46" t="n">
        <x:v>1</x:v>
      </x:c>
      <x:c r="J1228" s="46" t="n">
        <x:v>1</x:v>
      </x:c>
      <x:c r="K1228" s="46" t="n">
        <x:v>1</x:v>
      </x:c>
      <x:c r="L1228" s="46" t="n">
        <x:v>1</x:v>
      </x:c>
      <x:c r="M1228" s="27" t="n">
        <x:v>1</x:v>
      </x:c>
    </x:row>
    <x:row r="1229" ht="15" hidden="0" customHeight="1">
      <x:c r="A1229" s="29" t="n">
        <x:v>225</x:v>
      </x:c>
      <x:c r="B1229" s="29" t="n">
        <x:v>331129</x:v>
      </x:c>
      <x:c r="C1229" s="29" t="str">
        <x:v>A2</x:v>
      </x:c>
      <x:c r="D1229" s="53" t="n">
        <x:v>2500</x:v>
      </x:c>
      <x:c r="E1229" s="47" t="n">
        <x:v>1</x:v>
      </x:c>
      <x:c r="F1229" s="47" t="n">
        <x:v>1</x:v>
      </x:c>
      <x:c r="G1229" s="47" t="n">
        <x:v>1</x:v>
      </x:c>
      <x:c r="H1229" s="47" t="n">
        <x:v>1</x:v>
      </x:c>
      <x:c r="I1229" s="47" t="n">
        <x:v>1</x:v>
      </x:c>
      <x:c r="J1229" s="47" t="n">
        <x:v>1</x:v>
      </x:c>
      <x:c r="K1229" s="47" t="n">
        <x:v>1</x:v>
      </x:c>
      <x:c r="L1229" s="47" t="n">
        <x:v>1</x:v>
      </x:c>
      <x:c r="M1229" s="29" t="n">
        <x:v>1</x:v>
      </x:c>
    </x:row>
    <x:row r="1230" ht="15" hidden="0" customHeight="1">
      <x:c r="A1230" s="27" t="n">
        <x:v>226</x:v>
      </x:c>
      <x:c r="B1230" s="27" t="n">
        <x:v>331130</x:v>
      </x:c>
      <x:c r="C1230" s="27" t="str">
        <x:v>A2</x:v>
      </x:c>
      <x:c r="D1230" s="52" t="n">
        <x:v>2500</x:v>
      </x:c>
      <x:c r="E1230" s="46" t="n">
        <x:v>1</x:v>
      </x:c>
      <x:c r="F1230" s="46" t="n">
        <x:v>0.9999999999999998</x:v>
      </x:c>
      <x:c r="G1230" s="46" t="n">
        <x:v>1</x:v>
      </x:c>
      <x:c r="H1230" s="46" t="n">
        <x:v>1</x:v>
      </x:c>
      <x:c r="I1230" s="46" t="n">
        <x:v>1</x:v>
      </x:c>
      <x:c r="J1230" s="46" t="n">
        <x:v>1</x:v>
      </x:c>
      <x:c r="K1230" s="46" t="n">
        <x:v>1</x:v>
      </x:c>
      <x:c r="L1230" s="46" t="n">
        <x:v>0.9999999999999999</x:v>
      </x:c>
      <x:c r="M1230" s="27" t="n">
        <x:v>1</x:v>
      </x:c>
    </x:row>
    <x:row r="1231" ht="15" hidden="0" customHeight="1">
      <x:c r="A1231" s="29" t="n">
        <x:v>227</x:v>
      </x:c>
      <x:c r="B1231" s="29" t="n">
        <x:v>331131</x:v>
      </x:c>
      <x:c r="C1231" s="29" t="str">
        <x:v>A2</x:v>
      </x:c>
      <x:c r="D1231" s="53" t="n">
        <x:v>2500</x:v>
      </x:c>
      <x:c r="E1231" s="47" t="n">
        <x:v>1</x:v>
      </x:c>
      <x:c r="F1231" s="47" t="n">
        <x:v>0.9999999999999998</x:v>
      </x:c>
      <x:c r="G1231" s="47" t="n">
        <x:v>1</x:v>
      </x:c>
      <x:c r="H1231" s="47" t="n">
        <x:v>1</x:v>
      </x:c>
      <x:c r="I1231" s="47" t="n">
        <x:v>1</x:v>
      </x:c>
      <x:c r="J1231" s="47" t="n">
        <x:v>1</x:v>
      </x:c>
      <x:c r="K1231" s="47" t="n">
        <x:v>1</x:v>
      </x:c>
      <x:c r="L1231" s="47" t="n">
        <x:v>1</x:v>
      </x:c>
      <x:c r="M1231" s="29" t="n">
        <x:v>1</x:v>
      </x:c>
    </x:row>
    <x:row r="1232" ht="15" hidden="0" customHeight="1">
      <x:c r="A1232" s="27" t="n">
        <x:v>228</x:v>
      </x:c>
      <x:c r="B1232" s="27" t="n">
        <x:v>331132</x:v>
      </x:c>
      <x:c r="C1232" s="27" t="str">
        <x:v>A2</x:v>
      </x:c>
      <x:c r="D1232" s="52" t="n">
        <x:v>2500</x:v>
      </x:c>
      <x:c r="E1232" s="46" t="n">
        <x:v>1</x:v>
      </x:c>
      <x:c r="F1232" s="46" t="n">
        <x:v>1</x:v>
      </x:c>
      <x:c r="G1232" s="46" t="n">
        <x:v>1</x:v>
      </x:c>
      <x:c r="H1232" s="46" t="n">
        <x:v>1</x:v>
      </x:c>
      <x:c r="I1232" s="46" t="n">
        <x:v>1</x:v>
      </x:c>
      <x:c r="J1232" s="46" t="n">
        <x:v>1</x:v>
      </x:c>
      <x:c r="K1232" s="46" t="n">
        <x:v>1</x:v>
      </x:c>
      <x:c r="L1232" s="46" t="n">
        <x:v>1</x:v>
      </x:c>
      <x:c r="M1232" s="27" t="n">
        <x:v>1</x:v>
      </x:c>
    </x:row>
    <x:row r="1233" ht="15" hidden="0" customHeight="1">
      <x:c r="A1233" s="29" t="n">
        <x:v>229</x:v>
      </x:c>
      <x:c r="B1233" s="29" t="n">
        <x:v>331133</x:v>
      </x:c>
      <x:c r="C1233" s="29" t="str">
        <x:v>A2</x:v>
      </x:c>
      <x:c r="D1233" s="53" t="n">
        <x:v>2500</x:v>
      </x:c>
      <x:c r="E1233" s="47" t="n">
        <x:v>1</x:v>
      </x:c>
      <x:c r="F1233" s="47" t="n">
        <x:v>1</x:v>
      </x:c>
      <x:c r="G1233" s="47" t="n">
        <x:v>1</x:v>
      </x:c>
      <x:c r="H1233" s="47" t="n">
        <x:v>1</x:v>
      </x:c>
      <x:c r="I1233" s="47" t="n">
        <x:v>1</x:v>
      </x:c>
      <x:c r="J1233" s="47" t="n">
        <x:v>1</x:v>
      </x:c>
      <x:c r="K1233" s="47" t="n">
        <x:v>1</x:v>
      </x:c>
      <x:c r="L1233" s="47" t="n">
        <x:v>1</x:v>
      </x:c>
      <x:c r="M1233" s="29" t="n">
        <x:v>1</x:v>
      </x:c>
    </x:row>
    <x:row r="1234" ht="15" hidden="0" customHeight="1">
      <x:c r="A1234" s="27" t="n">
        <x:v>230</x:v>
      </x:c>
      <x:c r="B1234" s="27" t="n">
        <x:v>331134</x:v>
      </x:c>
      <x:c r="C1234" s="27" t="str">
        <x:v>A2</x:v>
      </x:c>
      <x:c r="D1234" s="52" t="n">
        <x:v>2500</x:v>
      </x:c>
      <x:c r="E1234" s="46" t="n">
        <x:v>1</x:v>
      </x:c>
      <x:c r="F1234" s="46" t="n">
        <x:v>0.9999999999999998</x:v>
      </x:c>
      <x:c r="G1234" s="46" t="n">
        <x:v>1</x:v>
      </x:c>
      <x:c r="H1234" s="46" t="n">
        <x:v>1</x:v>
      </x:c>
      <x:c r="I1234" s="46" t="n">
        <x:v>1</x:v>
      </x:c>
      <x:c r="J1234" s="46" t="n">
        <x:v>1</x:v>
      </x:c>
      <x:c r="K1234" s="46" t="n">
        <x:v>1</x:v>
      </x:c>
      <x:c r="L1234" s="46" t="n">
        <x:v>1</x:v>
      </x:c>
      <x:c r="M1234" s="27" t="n">
        <x:v>1</x:v>
      </x:c>
    </x:row>
    <x:row r="1235" ht="15" hidden="0" customHeight="1">
      <x:c r="A1235" s="29" t="n">
        <x:v>231</x:v>
      </x:c>
      <x:c r="B1235" s="29" t="n">
        <x:v>331135</x:v>
      </x:c>
      <x:c r="C1235" s="29" t="str">
        <x:v>A2</x:v>
      </x:c>
      <x:c r="D1235" s="53" t="n">
        <x:v>2500</x:v>
      </x:c>
      <x:c r="E1235" s="47" t="n">
        <x:v>1</x:v>
      </x:c>
      <x:c r="F1235" s="47" t="n">
        <x:v>1</x:v>
      </x:c>
      <x:c r="G1235" s="47" t="n">
        <x:v>1</x:v>
      </x:c>
      <x:c r="H1235" s="47" t="n">
        <x:v>1</x:v>
      </x:c>
      <x:c r="I1235" s="47" t="n">
        <x:v>1</x:v>
      </x:c>
      <x:c r="J1235" s="47" t="n">
        <x:v>1</x:v>
      </x:c>
      <x:c r="K1235" s="47" t="n">
        <x:v>1</x:v>
      </x:c>
      <x:c r="L1235" s="47" t="n">
        <x:v>1</x:v>
      </x:c>
      <x:c r="M1235" s="29" t="n">
        <x:v>1</x:v>
      </x:c>
    </x:row>
    <x:row r="1236" ht="15" hidden="0" customHeight="1">
      <x:c r="A1236" s="27" t="n">
        <x:v>232</x:v>
      </x:c>
      <x:c r="B1236" s="27" t="n">
        <x:v>331136</x:v>
      </x:c>
      <x:c r="C1236" s="27" t="str">
        <x:v>A2</x:v>
      </x:c>
      <x:c r="D1236" s="52" t="n">
        <x:v>2500</x:v>
      </x:c>
      <x:c r="E1236" s="46" t="n">
        <x:v>1</x:v>
      </x:c>
      <x:c r="F1236" s="46" t="n">
        <x:v>0.9999999999999999</x:v>
      </x:c>
      <x:c r="G1236" s="46" t="n">
        <x:v>1</x:v>
      </x:c>
      <x:c r="H1236" s="46" t="n">
        <x:v>1</x:v>
      </x:c>
      <x:c r="I1236" s="46" t="n">
        <x:v>1</x:v>
      </x:c>
      <x:c r="J1236" s="46" t="n">
        <x:v>1</x:v>
      </x:c>
      <x:c r="K1236" s="46" t="n">
        <x:v>1</x:v>
      </x:c>
      <x:c r="L1236" s="46" t="n">
        <x:v>1</x:v>
      </x:c>
      <x:c r="M1236" s="27" t="n">
        <x:v>1</x:v>
      </x:c>
    </x:row>
    <x:row r="1237" ht="15" hidden="0" customHeight="1">
      <x:c r="A1237" s="29" t="n">
        <x:v>233</x:v>
      </x:c>
      <x:c r="B1237" s="29" t="n">
        <x:v>331137</x:v>
      </x:c>
      <x:c r="C1237" s="29" t="str">
        <x:v>A2</x:v>
      </x:c>
      <x:c r="D1237" s="53" t="n">
        <x:v>2500</x:v>
      </x:c>
      <x:c r="E1237" s="47" t="n">
        <x:v>1</x:v>
      </x:c>
      <x:c r="F1237" s="47" t="n">
        <x:v>1</x:v>
      </x:c>
      <x:c r="G1237" s="47" t="n">
        <x:v>1</x:v>
      </x:c>
      <x:c r="H1237" s="47" t="n">
        <x:v>1</x:v>
      </x:c>
      <x:c r="I1237" s="47" t="n">
        <x:v>1</x:v>
      </x:c>
      <x:c r="J1237" s="47" t="n">
        <x:v>1</x:v>
      </x:c>
      <x:c r="K1237" s="47" t="n">
        <x:v>1</x:v>
      </x:c>
      <x:c r="L1237" s="47" t="n">
        <x:v>1</x:v>
      </x:c>
      <x:c r="M1237" s="29" t="n">
        <x:v>1</x:v>
      </x:c>
    </x:row>
    <x:row r="1238" ht="15" hidden="0" customHeight="1">
      <x:c r="A1238" s="27" t="n">
        <x:v>234</x:v>
      </x:c>
      <x:c r="B1238" s="27" t="n">
        <x:v>331138</x:v>
      </x:c>
      <x:c r="C1238" s="27" t="str">
        <x:v>A2</x:v>
      </x:c>
      <x:c r="D1238" s="52" t="n">
        <x:v>2500</x:v>
      </x:c>
      <x:c r="E1238" s="46" t="n">
        <x:v>1</x:v>
      </x:c>
      <x:c r="F1238" s="46" t="n">
        <x:v>1</x:v>
      </x:c>
      <x:c r="G1238" s="46" t="n">
        <x:v>1</x:v>
      </x:c>
      <x:c r="H1238" s="46" t="n">
        <x:v>1</x:v>
      </x:c>
      <x:c r="I1238" s="46" t="n">
        <x:v>1</x:v>
      </x:c>
      <x:c r="J1238" s="46" t="n">
        <x:v>1</x:v>
      </x:c>
      <x:c r="K1238" s="46" t="n">
        <x:v>1</x:v>
      </x:c>
      <x:c r="L1238" s="46" t="n">
        <x:v>1</x:v>
      </x:c>
      <x:c r="M1238" s="27" t="n">
        <x:v>1</x:v>
      </x:c>
    </x:row>
    <x:row r="1239" ht="15" hidden="0" customHeight="1">
      <x:c r="A1239" s="29" t="n">
        <x:v>235</x:v>
      </x:c>
      <x:c r="B1239" s="29" t="n">
        <x:v>331139</x:v>
      </x:c>
      <x:c r="C1239" s="29" t="str">
        <x:v>A2</x:v>
      </x:c>
      <x:c r="D1239" s="53" t="n">
        <x:v>2500</x:v>
      </x:c>
      <x:c r="E1239" s="47" t="n">
        <x:v>1</x:v>
      </x:c>
      <x:c r="F1239" s="47" t="n">
        <x:v>1</x:v>
      </x:c>
      <x:c r="G1239" s="47" t="n">
        <x:v>1</x:v>
      </x:c>
      <x:c r="H1239" s="47" t="n">
        <x:v>1</x:v>
      </x:c>
      <x:c r="I1239" s="47" t="n">
        <x:v>1</x:v>
      </x:c>
      <x:c r="J1239" s="47" t="n">
        <x:v>1</x:v>
      </x:c>
      <x:c r="K1239" s="47" t="n">
        <x:v>1</x:v>
      </x:c>
      <x:c r="L1239" s="47" t="n">
        <x:v>1</x:v>
      </x:c>
      <x:c r="M1239" s="29" t="n">
        <x:v>1</x:v>
      </x:c>
    </x:row>
    <x:row r="1240" ht="15" hidden="0" customHeight="1">
      <x:c r="A1240" s="27" t="n">
        <x:v>236</x:v>
      </x:c>
      <x:c r="B1240" s="27" t="n">
        <x:v>331140</x:v>
      </x:c>
      <x:c r="C1240" s="27" t="str">
        <x:v>A2</x:v>
      </x:c>
      <x:c r="D1240" s="52" t="n">
        <x:v>2500</x:v>
      </x:c>
      <x:c r="E1240" s="46" t="n">
        <x:v>1</x:v>
      </x:c>
      <x:c r="F1240" s="46" t="n">
        <x:v>1</x:v>
      </x:c>
      <x:c r="G1240" s="46" t="n">
        <x:v>1</x:v>
      </x:c>
      <x:c r="H1240" s="46" t="n">
        <x:v>1</x:v>
      </x:c>
      <x:c r="I1240" s="46" t="n">
        <x:v>1</x:v>
      </x:c>
      <x:c r="J1240" s="46" t="n">
        <x:v>1</x:v>
      </x:c>
      <x:c r="K1240" s="46" t="n">
        <x:v>1</x:v>
      </x:c>
      <x:c r="L1240" s="46" t="n">
        <x:v>1</x:v>
      </x:c>
      <x:c r="M1240" s="27" t="n">
        <x:v>1</x:v>
      </x:c>
    </x:row>
    <x:row r="1241" ht="15" hidden="0" customHeight="1">
      <x:c r="A1241" s="29" t="n">
        <x:v>237</x:v>
      </x:c>
      <x:c r="B1241" s="29" t="n">
        <x:v>331141</x:v>
      </x:c>
      <x:c r="C1241" s="29" t="str">
        <x:v>A2</x:v>
      </x:c>
      <x:c r="D1241" s="53" t="n">
        <x:v>2500</x:v>
      </x:c>
      <x:c r="E1241" s="47" t="n">
        <x:v>1</x:v>
      </x:c>
      <x:c r="F1241" s="47" t="n">
        <x:v>1</x:v>
      </x:c>
      <x:c r="G1241" s="47" t="n">
        <x:v>1</x:v>
      </x:c>
      <x:c r="H1241" s="47" t="n">
        <x:v>1</x:v>
      </x:c>
      <x:c r="I1241" s="47" t="n">
        <x:v>1</x:v>
      </x:c>
      <x:c r="J1241" s="47" t="n">
        <x:v>1</x:v>
      </x:c>
      <x:c r="K1241" s="47" t="n">
        <x:v>1</x:v>
      </x:c>
      <x:c r="L1241" s="47" t="n">
        <x:v>1</x:v>
      </x:c>
      <x:c r="M1241" s="29" t="n">
        <x:v>1</x:v>
      </x:c>
    </x:row>
    <x:row r="1242" ht="15" hidden="0" customHeight="1">
      <x:c r="A1242" s="27" t="n">
        <x:v>238</x:v>
      </x:c>
      <x:c r="B1242" s="27" t="n">
        <x:v>331142</x:v>
      </x:c>
      <x:c r="C1242" s="27" t="str">
        <x:v>A2</x:v>
      </x:c>
      <x:c r="D1242" s="52" t="n">
        <x:v>2500</x:v>
      </x:c>
      <x:c r="E1242" s="46" t="n">
        <x:v>1</x:v>
      </x:c>
      <x:c r="F1242" s="46" t="n">
        <x:v>1</x:v>
      </x:c>
      <x:c r="G1242" s="46" t="n">
        <x:v>1</x:v>
      </x:c>
      <x:c r="H1242" s="46" t="n">
        <x:v>1</x:v>
      </x:c>
      <x:c r="I1242" s="46" t="n">
        <x:v>1</x:v>
      </x:c>
      <x:c r="J1242" s="46" t="n">
        <x:v>1</x:v>
      </x:c>
      <x:c r="K1242" s="46" t="n">
        <x:v>1</x:v>
      </x:c>
      <x:c r="L1242" s="46" t="n">
        <x:v>0.9999999999999999</x:v>
      </x:c>
      <x:c r="M1242" s="27" t="n">
        <x:v>1</x:v>
      </x:c>
    </x:row>
    <x:row r="1243" ht="15" hidden="0" customHeight="1">
      <x:c r="A1243" s="29" t="n">
        <x:v>239</x:v>
      </x:c>
      <x:c r="B1243" s="29" t="n">
        <x:v>331143</x:v>
      </x:c>
      <x:c r="C1243" s="29" t="str">
        <x:v>A2</x:v>
      </x:c>
      <x:c r="D1243" s="53" t="n">
        <x:v>2500</x:v>
      </x:c>
      <x:c r="E1243" s="47" t="n">
        <x:v>1</x:v>
      </x:c>
      <x:c r="F1243" s="47" t="n">
        <x:v>0.9999999999999998</x:v>
      </x:c>
      <x:c r="G1243" s="47" t="n">
        <x:v>1</x:v>
      </x:c>
      <x:c r="H1243" s="47" t="n">
        <x:v>1</x:v>
      </x:c>
      <x:c r="I1243" s="47" t="n">
        <x:v>1</x:v>
      </x:c>
      <x:c r="J1243" s="47" t="n">
        <x:v>1</x:v>
      </x:c>
      <x:c r="K1243" s="47" t="n">
        <x:v>1</x:v>
      </x:c>
      <x:c r="L1243" s="47" t="n">
        <x:v>0.9999999999999999</x:v>
      </x:c>
      <x:c r="M1243" s="29" t="n">
        <x:v>1</x:v>
      </x:c>
    </x:row>
    <x:row r="1244" ht="15" hidden="0" customHeight="1">
      <x:c r="A1244" s="27" t="n">
        <x:v>240</x:v>
      </x:c>
      <x:c r="B1244" s="27" t="n">
        <x:v>331144</x:v>
      </x:c>
      <x:c r="C1244" s="27" t="str">
        <x:v>A2</x:v>
      </x:c>
      <x:c r="D1244" s="52" t="n">
        <x:v>2500</x:v>
      </x:c>
      <x:c r="E1244" s="46" t="n">
        <x:v>1</x:v>
      </x:c>
      <x:c r="F1244" s="46" t="n">
        <x:v>1</x:v>
      </x:c>
      <x:c r="G1244" s="46" t="n">
        <x:v>1</x:v>
      </x:c>
      <x:c r="H1244" s="46" t="n">
        <x:v>1</x:v>
      </x:c>
      <x:c r="I1244" s="46" t="n">
        <x:v>1</x:v>
      </x:c>
      <x:c r="J1244" s="46" t="n">
        <x:v>1</x:v>
      </x:c>
      <x:c r="K1244" s="46" t="n">
        <x:v>1</x:v>
      </x:c>
      <x:c r="L1244" s="46" t="n">
        <x:v>1</x:v>
      </x:c>
      <x:c r="M1244" s="27" t="n">
        <x:v>1</x:v>
      </x:c>
    </x:row>
    <x:row r="1245" ht="15" hidden="0" customHeight="1">
      <x:c r="A1245" s="29" t="n">
        <x:v>241</x:v>
      </x:c>
      <x:c r="B1245" s="29" t="n">
        <x:v>331145</x:v>
      </x:c>
      <x:c r="C1245" s="29" t="str">
        <x:v>A2</x:v>
      </x:c>
      <x:c r="D1245" s="53" t="n">
        <x:v>2500</x:v>
      </x:c>
      <x:c r="E1245" s="47" t="n">
        <x:v>1</x:v>
      </x:c>
      <x:c r="F1245" s="47" t="n">
        <x:v>1</x:v>
      </x:c>
      <x:c r="G1245" s="47" t="n">
        <x:v>1</x:v>
      </x:c>
      <x:c r="H1245" s="47" t="n">
        <x:v>1</x:v>
      </x:c>
      <x:c r="I1245" s="47" t="n">
        <x:v>1</x:v>
      </x:c>
      <x:c r="J1245" s="47" t="n">
        <x:v>1</x:v>
      </x:c>
      <x:c r="K1245" s="47" t="n">
        <x:v>1</x:v>
      </x:c>
      <x:c r="L1245" s="47" t="n">
        <x:v>1</x:v>
      </x:c>
      <x:c r="M1245" s="29" t="n">
        <x:v>1</x:v>
      </x:c>
    </x:row>
    <x:row r="1246" ht="15" hidden="0" customHeight="1">
      <x:c r="A1246" s="27" t="n">
        <x:v>242</x:v>
      </x:c>
      <x:c r="B1246" s="27" t="n">
        <x:v>331146</x:v>
      </x:c>
      <x:c r="C1246" s="27" t="str">
        <x:v>A2</x:v>
      </x:c>
      <x:c r="D1246" s="52" t="n">
        <x:v>2500</x:v>
      </x:c>
      <x:c r="E1246" s="46" t="n">
        <x:v>1</x:v>
      </x:c>
      <x:c r="F1246" s="46" t="n">
        <x:v>1</x:v>
      </x:c>
      <x:c r="G1246" s="46" t="n">
        <x:v>1</x:v>
      </x:c>
      <x:c r="H1246" s="46" t="n">
        <x:v>1</x:v>
      </x:c>
      <x:c r="I1246" s="46" t="n">
        <x:v>1</x:v>
      </x:c>
      <x:c r="J1246" s="46" t="n">
        <x:v>1</x:v>
      </x:c>
      <x:c r="K1246" s="46" t="n">
        <x:v>1</x:v>
      </x:c>
      <x:c r="L1246" s="46" t="n">
        <x:v>1</x:v>
      </x:c>
      <x:c r="M1246" s="27" t="n">
        <x:v>1</x:v>
      </x:c>
    </x:row>
    <x:row r="1247" ht="15" hidden="0" customHeight="1">
      <x:c r="A1247" s="29" t="n">
        <x:v>243</x:v>
      </x:c>
      <x:c r="B1247" s="29" t="n">
        <x:v>331147</x:v>
      </x:c>
      <x:c r="C1247" s="29" t="str">
        <x:v>A2</x:v>
      </x:c>
      <x:c r="D1247" s="53" t="n">
        <x:v>2500</x:v>
      </x:c>
      <x:c r="E1247" s="47" t="n">
        <x:v>1</x:v>
      </x:c>
      <x:c r="F1247" s="47" t="n">
        <x:v>1</x:v>
      </x:c>
      <x:c r="G1247" s="47" t="n">
        <x:v>1</x:v>
      </x:c>
      <x:c r="H1247" s="47" t="n">
        <x:v>1</x:v>
      </x:c>
      <x:c r="I1247" s="47" t="n">
        <x:v>1</x:v>
      </x:c>
      <x:c r="J1247" s="47" t="n">
        <x:v>1</x:v>
      </x:c>
      <x:c r="K1247" s="47" t="n">
        <x:v>1</x:v>
      </x:c>
      <x:c r="L1247" s="47" t="n">
        <x:v>1</x:v>
      </x:c>
      <x:c r="M1247" s="29" t="n">
        <x:v>1</x:v>
      </x:c>
    </x:row>
    <x:row r="1248" ht="15" hidden="0" customHeight="1">
      <x:c r="A1248" s="27" t="n">
        <x:v>244</x:v>
      </x:c>
      <x:c r="B1248" s="27" t="n">
        <x:v>331148</x:v>
      </x:c>
      <x:c r="C1248" s="27" t="str">
        <x:v>A2</x:v>
      </x:c>
      <x:c r="D1248" s="52" t="n">
        <x:v>2500</x:v>
      </x:c>
      <x:c r="E1248" s="46" t="n">
        <x:v>1</x:v>
      </x:c>
      <x:c r="F1248" s="46" t="n">
        <x:v>1</x:v>
      </x:c>
      <x:c r="G1248" s="46" t="n">
        <x:v>1</x:v>
      </x:c>
      <x:c r="H1248" s="46" t="n">
        <x:v>1</x:v>
      </x:c>
      <x:c r="I1248" s="46" t="n">
        <x:v>1</x:v>
      </x:c>
      <x:c r="J1248" s="46" t="n">
        <x:v>1</x:v>
      </x:c>
      <x:c r="K1248" s="46" t="n">
        <x:v>1</x:v>
      </x:c>
      <x:c r="L1248" s="46" t="n">
        <x:v>1</x:v>
      </x:c>
      <x:c r="M1248" s="27" t="n">
        <x:v>1</x:v>
      </x:c>
    </x:row>
    <x:row r="1249" ht="15" hidden="0" customHeight="1">
      <x:c r="A1249" s="29" t="n">
        <x:v>245</x:v>
      </x:c>
      <x:c r="B1249" s="29" t="n">
        <x:v>331149</x:v>
      </x:c>
      <x:c r="C1249" s="29" t="str">
        <x:v>A2</x:v>
      </x:c>
      <x:c r="D1249" s="53" t="n">
        <x:v>2500</x:v>
      </x:c>
      <x:c r="E1249" s="47" t="n">
        <x:v>1</x:v>
      </x:c>
      <x:c r="F1249" s="47" t="n">
        <x:v>0.9999999999999998</x:v>
      </x:c>
      <x:c r="G1249" s="47" t="n">
        <x:v>1</x:v>
      </x:c>
      <x:c r="H1249" s="47" t="n">
        <x:v>1</x:v>
      </x:c>
      <x:c r="I1249" s="47" t="n">
        <x:v>1</x:v>
      </x:c>
      <x:c r="J1249" s="47" t="n">
        <x:v>1</x:v>
      </x:c>
      <x:c r="K1249" s="47" t="n">
        <x:v>1</x:v>
      </x:c>
      <x:c r="L1249" s="47" t="n">
        <x:v>1</x:v>
      </x:c>
      <x:c r="M1249" s="29" t="n">
        <x:v>1</x:v>
      </x:c>
    </x:row>
    <x:row r="1250" ht="15" hidden="0" customHeight="1">
      <x:c r="A1250" s="27" t="n">
        <x:v>246</x:v>
      </x:c>
      <x:c r="B1250" s="27" t="n">
        <x:v>331150</x:v>
      </x:c>
      <x:c r="C1250" s="27" t="str">
        <x:v>A2</x:v>
      </x:c>
      <x:c r="D1250" s="52" t="n">
        <x:v>2500</x:v>
      </x:c>
      <x:c r="E1250" s="46" t="n">
        <x:v>1</x:v>
      </x:c>
      <x:c r="F1250" s="46" t="n">
        <x:v>1</x:v>
      </x:c>
      <x:c r="G1250" s="46" t="n">
        <x:v>1</x:v>
      </x:c>
      <x:c r="H1250" s="46" t="n">
        <x:v>1</x:v>
      </x:c>
      <x:c r="I1250" s="46" t="n">
        <x:v>1</x:v>
      </x:c>
      <x:c r="J1250" s="46" t="n">
        <x:v>1</x:v>
      </x:c>
      <x:c r="K1250" s="46" t="n">
        <x:v>1</x:v>
      </x:c>
      <x:c r="L1250" s="46" t="n">
        <x:v>1</x:v>
      </x:c>
      <x:c r="M1250" s="27" t="n">
        <x:v>1</x:v>
      </x:c>
    </x:row>
    <x:row r="1251" ht="15" hidden="0" customHeight="1">
      <x:c r="A1251" s="29" t="n">
        <x:v>247</x:v>
      </x:c>
      <x:c r="B1251" s="29" t="n">
        <x:v>331151</x:v>
      </x:c>
      <x:c r="C1251" s="29" t="str">
        <x:v>A2</x:v>
      </x:c>
      <x:c r="D1251" s="53" t="n">
        <x:v>2500</x:v>
      </x:c>
      <x:c r="E1251" s="47" t="n">
        <x:v>1</x:v>
      </x:c>
      <x:c r="F1251" s="47" t="n">
        <x:v>1</x:v>
      </x:c>
      <x:c r="G1251" s="47" t="n">
        <x:v>1</x:v>
      </x:c>
      <x:c r="H1251" s="47" t="n">
        <x:v>1</x:v>
      </x:c>
      <x:c r="I1251" s="47" t="n">
        <x:v>1</x:v>
      </x:c>
      <x:c r="J1251" s="47" t="n">
        <x:v>1</x:v>
      </x:c>
      <x:c r="K1251" s="47" t="n">
        <x:v>1</x:v>
      </x:c>
      <x:c r="L1251" s="47" t="n">
        <x:v>1</x:v>
      </x:c>
      <x:c r="M1251" s="29" t="n">
        <x:v>1</x:v>
      </x:c>
    </x:row>
    <x:row r="1252" ht="15" hidden="0" customHeight="1">
      <x:c r="A1252" s="27" t="n">
        <x:v>248</x:v>
      </x:c>
      <x:c r="B1252" s="27" t="n">
        <x:v>331152</x:v>
      </x:c>
      <x:c r="C1252" s="27" t="str">
        <x:v>A2</x:v>
      </x:c>
      <x:c r="D1252" s="52" t="n">
        <x:v>2500</x:v>
      </x:c>
      <x:c r="E1252" s="46" t="n">
        <x:v>1</x:v>
      </x:c>
      <x:c r="F1252" s="46" t="n">
        <x:v>1</x:v>
      </x:c>
      <x:c r="G1252" s="46" t="n">
        <x:v>1</x:v>
      </x:c>
      <x:c r="H1252" s="46" t="n">
        <x:v>1</x:v>
      </x:c>
      <x:c r="I1252" s="46" t="n">
        <x:v>1</x:v>
      </x:c>
      <x:c r="J1252" s="46" t="n">
        <x:v>1</x:v>
      </x:c>
      <x:c r="K1252" s="46" t="n">
        <x:v>1</x:v>
      </x:c>
      <x:c r="L1252" s="46" t="n">
        <x:v>1</x:v>
      </x:c>
      <x:c r="M1252" s="27" t="n">
        <x:v>1</x:v>
      </x:c>
    </x:row>
    <x:row r="1253" ht="15" hidden="0" customHeight="1">
      <x:c r="A1253" s="29" t="n">
        <x:v>249</x:v>
      </x:c>
      <x:c r="B1253" s="29" t="n">
        <x:v>331153</x:v>
      </x:c>
      <x:c r="C1253" s="29" t="str">
        <x:v>A2</x:v>
      </x:c>
      <x:c r="D1253" s="53" t="n">
        <x:v>2500</x:v>
      </x:c>
      <x:c r="E1253" s="47" t="n">
        <x:v>1</x:v>
      </x:c>
      <x:c r="F1253" s="47" t="n">
        <x:v>0.9999999999999998</x:v>
      </x:c>
      <x:c r="G1253" s="47" t="n">
        <x:v>1</x:v>
      </x:c>
      <x:c r="H1253" s="47" t="n">
        <x:v>1</x:v>
      </x:c>
      <x:c r="I1253" s="47" t="n">
        <x:v>1</x:v>
      </x:c>
      <x:c r="J1253" s="47" t="n">
        <x:v>1</x:v>
      </x:c>
      <x:c r="K1253" s="47" t="n">
        <x:v>1</x:v>
      </x:c>
      <x:c r="L1253" s="47" t="n">
        <x:v>1</x:v>
      </x:c>
      <x:c r="M1253" s="29" t="n">
        <x:v>1</x:v>
      </x:c>
    </x:row>
    <x:row r="1254" ht="15" hidden="0" customHeight="1">
      <x:c r="A1254" s="27" t="n">
        <x:v>250</x:v>
      </x:c>
      <x:c r="B1254" s="27" t="n">
        <x:v>331154</x:v>
      </x:c>
      <x:c r="C1254" s="27" t="str">
        <x:v>A2</x:v>
      </x:c>
      <x:c r="D1254" s="52" t="n">
        <x:v>2500</x:v>
      </x:c>
      <x:c r="E1254" s="46" t="n">
        <x:v>1</x:v>
      </x:c>
      <x:c r="F1254" s="46" t="n">
        <x:v>0.9999999999999999</x:v>
      </x:c>
      <x:c r="G1254" s="46" t="n">
        <x:v>1</x:v>
      </x:c>
      <x:c r="H1254" s="46" t="n">
        <x:v>1</x:v>
      </x:c>
      <x:c r="I1254" s="46" t="n">
        <x:v>1</x:v>
      </x:c>
      <x:c r="J1254" s="46" t="n">
        <x:v>1</x:v>
      </x:c>
      <x:c r="K1254" s="46" t="n">
        <x:v>1</x:v>
      </x:c>
      <x:c r="L1254" s="46" t="n">
        <x:v>1</x:v>
      </x:c>
      <x:c r="M1254" s="27" t="n">
        <x:v>1</x:v>
      </x:c>
    </x:row>
    <x:row r="1255" ht="15" hidden="0" customHeight="1">
      <x:c r="A1255" s="29" t="n">
        <x:v>251</x:v>
      </x:c>
      <x:c r="B1255" s="29" t="n">
        <x:v>331155</x:v>
      </x:c>
      <x:c r="C1255" s="29" t="str">
        <x:v>A2</x:v>
      </x:c>
      <x:c r="D1255" s="53" t="n">
        <x:v>2500</x:v>
      </x:c>
      <x:c r="E1255" s="47" t="n">
        <x:v>1</x:v>
      </x:c>
      <x:c r="F1255" s="47" t="n">
        <x:v>1</x:v>
      </x:c>
      <x:c r="G1255" s="47" t="n">
        <x:v>1</x:v>
      </x:c>
      <x:c r="H1255" s="47" t="n">
        <x:v>1</x:v>
      </x:c>
      <x:c r="I1255" s="47" t="n">
        <x:v>1</x:v>
      </x:c>
      <x:c r="J1255" s="47" t="n">
        <x:v>1</x:v>
      </x:c>
      <x:c r="K1255" s="47" t="n">
        <x:v>1</x:v>
      </x:c>
      <x:c r="L1255" s="47" t="n">
        <x:v>1</x:v>
      </x:c>
      <x:c r="M1255" s="29" t="n">
        <x:v>1</x:v>
      </x:c>
    </x:row>
    <x:row r="1256" ht="15" hidden="0" customHeight="1">
      <x:c r="A1256" s="27" t="n">
        <x:v>252</x:v>
      </x:c>
      <x:c r="B1256" s="27" t="n">
        <x:v>331156</x:v>
      </x:c>
      <x:c r="C1256" s="27" t="str">
        <x:v>A2</x:v>
      </x:c>
      <x:c r="D1256" s="52" t="n">
        <x:v>2500</x:v>
      </x:c>
      <x:c r="E1256" s="46" t="n">
        <x:v>1</x:v>
      </x:c>
      <x:c r="F1256" s="46" t="n">
        <x:v>1</x:v>
      </x:c>
      <x:c r="G1256" s="46" t="n">
        <x:v>1</x:v>
      </x:c>
      <x:c r="H1256" s="46" t="n">
        <x:v>1</x:v>
      </x:c>
      <x:c r="I1256" s="46" t="n">
        <x:v>1</x:v>
      </x:c>
      <x:c r="J1256" s="46" t="n">
        <x:v>1</x:v>
      </x:c>
      <x:c r="K1256" s="46" t="n">
        <x:v>1</x:v>
      </x:c>
      <x:c r="L1256" s="46" t="n">
        <x:v>1</x:v>
      </x:c>
      <x:c r="M1256" s="27" t="n">
        <x:v>1</x:v>
      </x:c>
    </x:row>
    <x:row r="1257" ht="15" hidden="0" customHeight="1">
      <x:c r="A1257" s="29" t="n">
        <x:v>253</x:v>
      </x:c>
      <x:c r="B1257" s="29" t="n">
        <x:v>331157</x:v>
      </x:c>
      <x:c r="C1257" s="29" t="str">
        <x:v>A2</x:v>
      </x:c>
      <x:c r="D1257" s="53" t="n">
        <x:v>2500</x:v>
      </x:c>
      <x:c r="E1257" s="47" t="n">
        <x:v>1</x:v>
      </x:c>
      <x:c r="F1257" s="47" t="n">
        <x:v>1</x:v>
      </x:c>
      <x:c r="G1257" s="47" t="n">
        <x:v>1</x:v>
      </x:c>
      <x:c r="H1257" s="47" t="n">
        <x:v>1</x:v>
      </x:c>
      <x:c r="I1257" s="47" t="n">
        <x:v>1</x:v>
      </x:c>
      <x:c r="J1257" s="47" t="n">
        <x:v>1</x:v>
      </x:c>
      <x:c r="K1257" s="47" t="n">
        <x:v>1</x:v>
      </x:c>
      <x:c r="L1257" s="47" t="n">
        <x:v>1</x:v>
      </x:c>
      <x:c r="M1257" s="29" t="n">
        <x:v>1</x:v>
      </x:c>
    </x:row>
    <x:row r="1258" ht="15" hidden="0" customHeight="1">
      <x:c r="A1258" s="27" t="n">
        <x:v>254</x:v>
      </x:c>
      <x:c r="B1258" s="27" t="n">
        <x:v>331158</x:v>
      </x:c>
      <x:c r="C1258" s="27" t="str">
        <x:v>A2</x:v>
      </x:c>
      <x:c r="D1258" s="52" t="n">
        <x:v>2500</x:v>
      </x:c>
      <x:c r="E1258" s="46" t="n">
        <x:v>1</x:v>
      </x:c>
      <x:c r="F1258" s="46" t="n">
        <x:v>1</x:v>
      </x:c>
      <x:c r="G1258" s="46" t="n">
        <x:v>1</x:v>
      </x:c>
      <x:c r="H1258" s="46" t="n">
        <x:v>1</x:v>
      </x:c>
      <x:c r="I1258" s="46" t="n">
        <x:v>1</x:v>
      </x:c>
      <x:c r="J1258" s="46" t="n">
        <x:v>1</x:v>
      </x:c>
      <x:c r="K1258" s="46" t="n">
        <x:v>1</x:v>
      </x:c>
      <x:c r="L1258" s="46" t="n">
        <x:v>1</x:v>
      </x:c>
      <x:c r="M1258" s="27" t="n">
        <x:v>1</x:v>
      </x:c>
    </x:row>
    <x:row r="1259" ht="15" hidden="0" customHeight="1">
      <x:c r="A1259" s="29" t="n">
        <x:v>255</x:v>
      </x:c>
      <x:c r="B1259" s="29" t="n">
        <x:v>331159</x:v>
      </x:c>
      <x:c r="C1259" s="29" t="str">
        <x:v>A2</x:v>
      </x:c>
      <x:c r="D1259" s="53" t="n">
        <x:v>2500</x:v>
      </x:c>
      <x:c r="E1259" s="47" t="n">
        <x:v>1</x:v>
      </x:c>
      <x:c r="F1259" s="47" t="n">
        <x:v>1</x:v>
      </x:c>
      <x:c r="G1259" s="47" t="n">
        <x:v>1</x:v>
      </x:c>
      <x:c r="H1259" s="47" t="n">
        <x:v>1</x:v>
      </x:c>
      <x:c r="I1259" s="47" t="n">
        <x:v>1</x:v>
      </x:c>
      <x:c r="J1259" s="47" t="n">
        <x:v>1</x:v>
      </x:c>
      <x:c r="K1259" s="47" t="n">
        <x:v>1</x:v>
      </x:c>
      <x:c r="L1259" s="47" t="n">
        <x:v>1</x:v>
      </x:c>
      <x:c r="M1259" s="29" t="n">
        <x:v>1</x:v>
      </x:c>
    </x:row>
    <x:row r="1260" ht="15" hidden="0" customHeight="1">
      <x:c r="A1260" s="27" t="n">
        <x:v>256</x:v>
      </x:c>
      <x:c r="B1260" s="27" t="n">
        <x:v>331160</x:v>
      </x:c>
      <x:c r="C1260" s="27" t="str">
        <x:v>A2</x:v>
      </x:c>
      <x:c r="D1260" s="52" t="n">
        <x:v>2500</x:v>
      </x:c>
      <x:c r="E1260" s="46" t="n">
        <x:v>1</x:v>
      </x:c>
      <x:c r="F1260" s="46" t="n">
        <x:v>1</x:v>
      </x:c>
      <x:c r="G1260" s="46" t="n">
        <x:v>1</x:v>
      </x:c>
      <x:c r="H1260" s="46" t="n">
        <x:v>1</x:v>
      </x:c>
      <x:c r="I1260" s="46" t="n">
        <x:v>1</x:v>
      </x:c>
      <x:c r="J1260" s="46" t="n">
        <x:v>1</x:v>
      </x:c>
      <x:c r="K1260" s="46" t="n">
        <x:v>1</x:v>
      </x:c>
      <x:c r="L1260" s="46" t="n">
        <x:v>1</x:v>
      </x:c>
      <x:c r="M1260" s="27" t="n">
        <x:v>1</x:v>
      </x:c>
    </x:row>
    <x:row r="1261" ht="15" hidden="0" customHeight="1">
      <x:c r="A1261" s="29" t="n">
        <x:v>257</x:v>
      </x:c>
      <x:c r="B1261" s="29" t="n">
        <x:v>331161</x:v>
      </x:c>
      <x:c r="C1261" s="29" t="str">
        <x:v>A2</x:v>
      </x:c>
      <x:c r="D1261" s="53" t="n">
        <x:v>2500</x:v>
      </x:c>
      <x:c r="E1261" s="47" t="n">
        <x:v>1</x:v>
      </x:c>
      <x:c r="F1261" s="47" t="n">
        <x:v>1</x:v>
      </x:c>
      <x:c r="G1261" s="47" t="n">
        <x:v>1</x:v>
      </x:c>
      <x:c r="H1261" s="47" t="n">
        <x:v>1</x:v>
      </x:c>
      <x:c r="I1261" s="47" t="n">
        <x:v>1</x:v>
      </x:c>
      <x:c r="J1261" s="47" t="n">
        <x:v>1</x:v>
      </x:c>
      <x:c r="K1261" s="47" t="n">
        <x:v>1</x:v>
      </x:c>
      <x:c r="L1261" s="47" t="n">
        <x:v>1</x:v>
      </x:c>
      <x:c r="M1261" s="29" t="n">
        <x:v>1</x:v>
      </x:c>
    </x:row>
    <x:row r="1262" ht="15" hidden="0" customHeight="1">
      <x:c r="A1262" s="27" t="n">
        <x:v>258</x:v>
      </x:c>
      <x:c r="B1262" s="27" t="n">
        <x:v>331162</x:v>
      </x:c>
      <x:c r="C1262" s="27" t="str">
        <x:v>A2</x:v>
      </x:c>
      <x:c r="D1262" s="52" t="n">
        <x:v>2500</x:v>
      </x:c>
      <x:c r="E1262" s="46" t="n">
        <x:v>1</x:v>
      </x:c>
      <x:c r="F1262" s="46" t="n">
        <x:v>1</x:v>
      </x:c>
      <x:c r="G1262" s="46" t="n">
        <x:v>1</x:v>
      </x:c>
      <x:c r="H1262" s="46" t="n">
        <x:v>1</x:v>
      </x:c>
      <x:c r="I1262" s="46" t="n">
        <x:v>1</x:v>
      </x:c>
      <x:c r="J1262" s="46" t="n">
        <x:v>1</x:v>
      </x:c>
      <x:c r="K1262" s="46" t="n">
        <x:v>1</x:v>
      </x:c>
      <x:c r="L1262" s="46" t="n">
        <x:v>1</x:v>
      </x:c>
      <x:c r="M1262" s="27" t="n">
        <x:v>1</x:v>
      </x:c>
    </x:row>
    <x:row r="1263" ht="15" hidden="0" customHeight="1">
      <x:c r="A1263" s="29" t="n">
        <x:v>259</x:v>
      </x:c>
      <x:c r="B1263" s="29" t="n">
        <x:v>331163</x:v>
      </x:c>
      <x:c r="C1263" s="29" t="str">
        <x:v>A2</x:v>
      </x:c>
      <x:c r="D1263" s="53" t="n">
        <x:v>2500</x:v>
      </x:c>
      <x:c r="E1263" s="47" t="n">
        <x:v>1</x:v>
      </x:c>
      <x:c r="F1263" s="47" t="n">
        <x:v>1</x:v>
      </x:c>
      <x:c r="G1263" s="47" t="n">
        <x:v>1</x:v>
      </x:c>
      <x:c r="H1263" s="47" t="n">
        <x:v>1</x:v>
      </x:c>
      <x:c r="I1263" s="47" t="n">
        <x:v>1</x:v>
      </x:c>
      <x:c r="J1263" s="47" t="n">
        <x:v>1</x:v>
      </x:c>
      <x:c r="K1263" s="47" t="n">
        <x:v>1</x:v>
      </x:c>
      <x:c r="L1263" s="47" t="n">
        <x:v>1</x:v>
      </x:c>
      <x:c r="M1263" s="29" t="n">
        <x:v>1</x:v>
      </x:c>
    </x:row>
    <x:row r="1264" ht="15" hidden="0" customHeight="1">
      <x:c r="A1264" s="27" t="n">
        <x:v>260</x:v>
      </x:c>
      <x:c r="B1264" s="27" t="n">
        <x:v>331164</x:v>
      </x:c>
      <x:c r="C1264" s="27" t="str">
        <x:v>A2</x:v>
      </x:c>
      <x:c r="D1264" s="52" t="n">
        <x:v>2500</x:v>
      </x:c>
      <x:c r="E1264" s="46" t="n">
        <x:v>1</x:v>
      </x:c>
      <x:c r="F1264" s="46" t="n">
        <x:v>1</x:v>
      </x:c>
      <x:c r="G1264" s="46" t="n">
        <x:v>1</x:v>
      </x:c>
      <x:c r="H1264" s="46" t="n">
        <x:v>1</x:v>
      </x:c>
      <x:c r="I1264" s="46" t="n">
        <x:v>1</x:v>
      </x:c>
      <x:c r="J1264" s="46" t="n">
        <x:v>1</x:v>
      </x:c>
      <x:c r="K1264" s="46" t="n">
        <x:v>1</x:v>
      </x:c>
      <x:c r="L1264" s="46" t="n">
        <x:v>0.9999999999999999</x:v>
      </x:c>
      <x:c r="M1264" s="27" t="n">
        <x:v>1</x:v>
      </x:c>
    </x:row>
    <x:row r="1265" ht="15" hidden="0" customHeight="1">
      <x:c r="A1265" s="29" t="n">
        <x:v>261</x:v>
      </x:c>
      <x:c r="B1265" s="29" t="n">
        <x:v>331165</x:v>
      </x:c>
      <x:c r="C1265" s="29" t="str">
        <x:v>A2</x:v>
      </x:c>
      <x:c r="D1265" s="53" t="n">
        <x:v>2500</x:v>
      </x:c>
      <x:c r="E1265" s="47" t="n">
        <x:v>1</x:v>
      </x:c>
      <x:c r="F1265" s="47" t="n">
        <x:v>1</x:v>
      </x:c>
      <x:c r="G1265" s="47" t="n">
        <x:v>1</x:v>
      </x:c>
      <x:c r="H1265" s="47" t="n">
        <x:v>1</x:v>
      </x:c>
      <x:c r="I1265" s="47" t="n">
        <x:v>1</x:v>
      </x:c>
      <x:c r="J1265" s="47" t="n">
        <x:v>1</x:v>
      </x:c>
      <x:c r="K1265" s="47" t="n">
        <x:v>1</x:v>
      </x:c>
      <x:c r="L1265" s="47" t="n">
        <x:v>1</x:v>
      </x:c>
      <x:c r="M1265" s="29" t="n">
        <x:v>1</x:v>
      </x:c>
    </x:row>
    <x:row r="1266" ht="15" hidden="0" customHeight="1">
      <x:c r="A1266" s="27" t="n">
        <x:v>262</x:v>
      </x:c>
      <x:c r="B1266" s="27" t="n">
        <x:v>331166</x:v>
      </x:c>
      <x:c r="C1266" s="27" t="str">
        <x:v>A2</x:v>
      </x:c>
      <x:c r="D1266" s="52" t="n">
        <x:v>2500</x:v>
      </x:c>
      <x:c r="E1266" s="46" t="n">
        <x:v>1</x:v>
      </x:c>
      <x:c r="F1266" s="46" t="n">
        <x:v>1</x:v>
      </x:c>
      <x:c r="G1266" s="46" t="n">
        <x:v>1</x:v>
      </x:c>
      <x:c r="H1266" s="46" t="n">
        <x:v>1</x:v>
      </x:c>
      <x:c r="I1266" s="46" t="n">
        <x:v>1</x:v>
      </x:c>
      <x:c r="J1266" s="46" t="n">
        <x:v>1</x:v>
      </x:c>
      <x:c r="K1266" s="46" t="n">
        <x:v>1</x:v>
      </x:c>
      <x:c r="L1266" s="46" t="n">
        <x:v>1</x:v>
      </x:c>
      <x:c r="M1266" s="27" t="n">
        <x:v>1</x:v>
      </x:c>
    </x:row>
    <x:row r="1267" ht="15" hidden="0" customHeight="1">
      <x:c r="A1267" s="29" t="n">
        <x:v>263</x:v>
      </x:c>
      <x:c r="B1267" s="29" t="n">
        <x:v>331167</x:v>
      </x:c>
      <x:c r="C1267" s="29" t="str">
        <x:v>A2</x:v>
      </x:c>
      <x:c r="D1267" s="53" t="n">
        <x:v>2500</x:v>
      </x:c>
      <x:c r="E1267" s="47" t="n">
        <x:v>1</x:v>
      </x:c>
      <x:c r="F1267" s="47" t="n">
        <x:v>0.9999999999999998</x:v>
      </x:c>
      <x:c r="G1267" s="47" t="n">
        <x:v>1</x:v>
      </x:c>
      <x:c r="H1267" s="47" t="n">
        <x:v>1</x:v>
      </x:c>
      <x:c r="I1267" s="47" t="n">
        <x:v>1</x:v>
      </x:c>
      <x:c r="J1267" s="47" t="n">
        <x:v>1</x:v>
      </x:c>
      <x:c r="K1267" s="47" t="n">
        <x:v>1</x:v>
      </x:c>
      <x:c r="L1267" s="47" t="n">
        <x:v>1</x:v>
      </x:c>
      <x:c r="M1267" s="29" t="n">
        <x:v>1</x:v>
      </x:c>
    </x:row>
    <x:row r="1268" ht="15" hidden="0" customHeight="1">
      <x:c r="A1268" s="27" t="n">
        <x:v>264</x:v>
      </x:c>
      <x:c r="B1268" s="27" t="n">
        <x:v>331168</x:v>
      </x:c>
      <x:c r="C1268" s="27" t="str">
        <x:v>A2</x:v>
      </x:c>
      <x:c r="D1268" s="52" t="n">
        <x:v>2466.6142436343366</x:v>
      </x:c>
      <x:c r="E1268" s="46" t="n">
        <x:v>0.9866456974537346</x:v>
      </x:c>
      <x:c r="F1268" s="46" t="n">
        <x:v>0.8664569745373463</x:v>
      </x:c>
      <x:c r="G1268" s="46" t="n">
        <x:v>1</x:v>
      </x:c>
      <x:c r="H1268" s="46" t="n">
        <x:v>1</x:v>
      </x:c>
      <x:c r="I1268" s="46" t="n">
        <x:v>1</x:v>
      </x:c>
      <x:c r="J1268" s="46" t="n">
        <x:v>1</x:v>
      </x:c>
      <x:c r="K1268" s="46" t="n">
        <x:v>1</x:v>
      </x:c>
      <x:c r="L1268" s="46" t="n">
        <x:v>0.9835095323993915</x:v>
      </x:c>
      <x:c r="M1268" s="27" t="n">
        <x:v>0</x:v>
      </x:c>
    </x:row>
    <x:row r="1269" ht="15" hidden="0" customHeight="1">
      <x:c r="A1269" s="29" t="n">
        <x:v>265</x:v>
      </x:c>
      <x:c r="B1269" s="29" t="n">
        <x:v>331169</x:v>
      </x:c>
      <x:c r="C1269" s="29" t="str">
        <x:v>A2</x:v>
      </x:c>
      <x:c r="D1269" s="53" t="n">
        <x:v>2500</x:v>
      </x:c>
      <x:c r="E1269" s="47" t="n">
        <x:v>1</x:v>
      </x:c>
      <x:c r="F1269" s="47" t="n">
        <x:v>0.9999999999999998</x:v>
      </x:c>
      <x:c r="G1269" s="47" t="n">
        <x:v>1</x:v>
      </x:c>
      <x:c r="H1269" s="47" t="n">
        <x:v>1</x:v>
      </x:c>
      <x:c r="I1269" s="47" t="n">
        <x:v>1</x:v>
      </x:c>
      <x:c r="J1269" s="47" t="n">
        <x:v>1</x:v>
      </x:c>
      <x:c r="K1269" s="47" t="n">
        <x:v>1</x:v>
      </x:c>
      <x:c r="L1269" s="47" t="n">
        <x:v>1</x:v>
      </x:c>
      <x:c r="M1269" s="29" t="n">
        <x:v>1</x:v>
      </x:c>
    </x:row>
    <x:row r="1270" ht="15" hidden="0" customHeight="1">
      <x:c r="A1270" s="27" t="n">
        <x:v>266</x:v>
      </x:c>
      <x:c r="B1270" s="27" t="n">
        <x:v>331170</x:v>
      </x:c>
      <x:c r="C1270" s="27" t="str">
        <x:v>A2</x:v>
      </x:c>
      <x:c r="D1270" s="52" t="n">
        <x:v>2500</x:v>
      </x:c>
      <x:c r="E1270" s="46" t="n">
        <x:v>1</x:v>
      </x:c>
      <x:c r="F1270" s="46" t="n">
        <x:v>1</x:v>
      </x:c>
      <x:c r="G1270" s="46" t="n">
        <x:v>1</x:v>
      </x:c>
      <x:c r="H1270" s="46" t="n">
        <x:v>1</x:v>
      </x:c>
      <x:c r="I1270" s="46" t="n">
        <x:v>1</x:v>
      </x:c>
      <x:c r="J1270" s="46" t="n">
        <x:v>1</x:v>
      </x:c>
      <x:c r="K1270" s="46" t="n">
        <x:v>1</x:v>
      </x:c>
      <x:c r="L1270" s="46" t="n">
        <x:v>1</x:v>
      </x:c>
      <x:c r="M1270" s="27" t="n">
        <x:v>1</x:v>
      </x:c>
    </x:row>
    <x:row r="1271" ht="15" hidden="0" customHeight="1">
      <x:c r="A1271" s="29" t="n">
        <x:v>267</x:v>
      </x:c>
      <x:c r="B1271" s="29" t="n">
        <x:v>331171</x:v>
      </x:c>
      <x:c r="C1271" s="29" t="str">
        <x:v>A2</x:v>
      </x:c>
      <x:c r="D1271" s="53" t="n">
        <x:v>2500</x:v>
      </x:c>
      <x:c r="E1271" s="47" t="n">
        <x:v>1</x:v>
      </x:c>
      <x:c r="F1271" s="47" t="n">
        <x:v>1</x:v>
      </x:c>
      <x:c r="G1271" s="47" t="n">
        <x:v>1</x:v>
      </x:c>
      <x:c r="H1271" s="47" t="n">
        <x:v>1</x:v>
      </x:c>
      <x:c r="I1271" s="47" t="n">
        <x:v>1</x:v>
      </x:c>
      <x:c r="J1271" s="47" t="n">
        <x:v>1</x:v>
      </x:c>
      <x:c r="K1271" s="47" t="n">
        <x:v>1</x:v>
      </x:c>
      <x:c r="L1271" s="47" t="n">
        <x:v>1</x:v>
      </x:c>
      <x:c r="M1271" s="29" t="n">
        <x:v>1</x:v>
      </x:c>
    </x:row>
    <x:row r="1272" ht="15" hidden="0" customHeight="1">
      <x:c r="A1272" s="27" t="n">
        <x:v>268</x:v>
      </x:c>
      <x:c r="B1272" s="27" t="n">
        <x:v>331172</x:v>
      </x:c>
      <x:c r="C1272" s="27" t="str">
        <x:v>A2</x:v>
      </x:c>
      <x:c r="D1272" s="52" t="n">
        <x:v>2500</x:v>
      </x:c>
      <x:c r="E1272" s="46" t="n">
        <x:v>1</x:v>
      </x:c>
      <x:c r="F1272" s="46" t="n">
        <x:v>1</x:v>
      </x:c>
      <x:c r="G1272" s="46" t="n">
        <x:v>1</x:v>
      </x:c>
      <x:c r="H1272" s="46" t="n">
        <x:v>1</x:v>
      </x:c>
      <x:c r="I1272" s="46" t="n">
        <x:v>1</x:v>
      </x:c>
      <x:c r="J1272" s="46" t="n">
        <x:v>1</x:v>
      </x:c>
      <x:c r="K1272" s="46" t="n">
        <x:v>1</x:v>
      </x:c>
      <x:c r="L1272" s="46" t="n">
        <x:v>1</x:v>
      </x:c>
      <x:c r="M1272" s="27" t="n">
        <x:v>1</x:v>
      </x:c>
    </x:row>
    <x:row r="1273" ht="15" hidden="0" customHeight="1">
      <x:c r="A1273" s="29" t="n">
        <x:v>269</x:v>
      </x:c>
      <x:c r="B1273" s="29" t="n">
        <x:v>331173</x:v>
      </x:c>
      <x:c r="C1273" s="29" t="str">
        <x:v>A2</x:v>
      </x:c>
      <x:c r="D1273" s="53" t="n">
        <x:v>2500</x:v>
      </x:c>
      <x:c r="E1273" s="47" t="n">
        <x:v>1</x:v>
      </x:c>
      <x:c r="F1273" s="47" t="n">
        <x:v>0.9999999999999998</x:v>
      </x:c>
      <x:c r="G1273" s="47" t="n">
        <x:v>1</x:v>
      </x:c>
      <x:c r="H1273" s="47" t="n">
        <x:v>1</x:v>
      </x:c>
      <x:c r="I1273" s="47" t="n">
        <x:v>1</x:v>
      </x:c>
      <x:c r="J1273" s="47" t="n">
        <x:v>1</x:v>
      </x:c>
      <x:c r="K1273" s="47" t="n">
        <x:v>1</x:v>
      </x:c>
      <x:c r="L1273" s="47" t="n">
        <x:v>1</x:v>
      </x:c>
      <x:c r="M1273" s="29" t="n">
        <x:v>1</x:v>
      </x:c>
    </x:row>
    <x:row r="1274" ht="15" hidden="0" customHeight="1">
      <x:c r="A1274" s="27" t="n">
        <x:v>270</x:v>
      </x:c>
      <x:c r="B1274" s="27" t="n">
        <x:v>331174</x:v>
      </x:c>
      <x:c r="C1274" s="27" t="str">
        <x:v>A2</x:v>
      </x:c>
      <x:c r="D1274" s="52" t="n">
        <x:v>2500</x:v>
      </x:c>
      <x:c r="E1274" s="46" t="n">
        <x:v>1</x:v>
      </x:c>
      <x:c r="F1274" s="46" t="n">
        <x:v>1</x:v>
      </x:c>
      <x:c r="G1274" s="46" t="n">
        <x:v>1</x:v>
      </x:c>
      <x:c r="H1274" s="46" t="n">
        <x:v>1</x:v>
      </x:c>
      <x:c r="I1274" s="46" t="n">
        <x:v>1</x:v>
      </x:c>
      <x:c r="J1274" s="46" t="n">
        <x:v>1</x:v>
      </x:c>
      <x:c r="K1274" s="46" t="n">
        <x:v>1</x:v>
      </x:c>
      <x:c r="L1274" s="46" t="n">
        <x:v>1</x:v>
      </x:c>
      <x:c r="M1274" s="27" t="n">
        <x:v>1</x:v>
      </x:c>
    </x:row>
    <x:row r="1275" ht="15" hidden="0" customHeight="1">
      <x:c r="A1275" s="29" t="n">
        <x:v>271</x:v>
      </x:c>
      <x:c r="B1275" s="29" t="n">
        <x:v>331175</x:v>
      </x:c>
      <x:c r="C1275" s="29" t="str">
        <x:v>A2</x:v>
      </x:c>
      <x:c r="D1275" s="53" t="n">
        <x:v>2500</x:v>
      </x:c>
      <x:c r="E1275" s="47" t="n">
        <x:v>1</x:v>
      </x:c>
      <x:c r="F1275" s="47" t="n">
        <x:v>0.9999999999999998</x:v>
      </x:c>
      <x:c r="G1275" s="47" t="n">
        <x:v>1</x:v>
      </x:c>
      <x:c r="H1275" s="47" t="n">
        <x:v>1</x:v>
      </x:c>
      <x:c r="I1275" s="47" t="n">
        <x:v>1</x:v>
      </x:c>
      <x:c r="J1275" s="47" t="n">
        <x:v>1</x:v>
      </x:c>
      <x:c r="K1275" s="47" t="n">
        <x:v>1</x:v>
      </x:c>
      <x:c r="L1275" s="47" t="n">
        <x:v>1</x:v>
      </x:c>
      <x:c r="M1275" s="29" t="n">
        <x:v>1</x:v>
      </x:c>
    </x:row>
    <x:row r="1276" ht="15" hidden="0" customHeight="1">
      <x:c r="A1276" s="27" t="n">
        <x:v>272</x:v>
      </x:c>
      <x:c r="B1276" s="27" t="n">
        <x:v>331176</x:v>
      </x:c>
      <x:c r="C1276" s="27" t="str">
        <x:v>A2</x:v>
      </x:c>
      <x:c r="D1276" s="52" t="n">
        <x:v>2500</x:v>
      </x:c>
      <x:c r="E1276" s="46" t="n">
        <x:v>1</x:v>
      </x:c>
      <x:c r="F1276" s="46" t="n">
        <x:v>0.9999999999999998</x:v>
      </x:c>
      <x:c r="G1276" s="46" t="n">
        <x:v>1</x:v>
      </x:c>
      <x:c r="H1276" s="46" t="n">
        <x:v>1</x:v>
      </x:c>
      <x:c r="I1276" s="46" t="n">
        <x:v>1</x:v>
      </x:c>
      <x:c r="J1276" s="46" t="n">
        <x:v>1</x:v>
      </x:c>
      <x:c r="K1276" s="46" t="n">
        <x:v>1</x:v>
      </x:c>
      <x:c r="L1276" s="46" t="n">
        <x:v>1</x:v>
      </x:c>
      <x:c r="M1276" s="27" t="n">
        <x:v>1</x:v>
      </x:c>
    </x:row>
    <x:row r="1277" ht="15" hidden="0" customHeight="1">
      <x:c r="A1277" s="29" t="n">
        <x:v>273</x:v>
      </x:c>
      <x:c r="B1277" s="29" t="n">
        <x:v>331177</x:v>
      </x:c>
      <x:c r="C1277" s="29" t="str">
        <x:v>A2</x:v>
      </x:c>
      <x:c r="D1277" s="53" t="n">
        <x:v>2500</x:v>
      </x:c>
      <x:c r="E1277" s="47" t="n">
        <x:v>1</x:v>
      </x:c>
      <x:c r="F1277" s="47" t="n">
        <x:v>1</x:v>
      </x:c>
      <x:c r="G1277" s="47" t="n">
        <x:v>1</x:v>
      </x:c>
      <x:c r="H1277" s="47" t="n">
        <x:v>1</x:v>
      </x:c>
      <x:c r="I1277" s="47" t="n">
        <x:v>1</x:v>
      </x:c>
      <x:c r="J1277" s="47" t="n">
        <x:v>1</x:v>
      </x:c>
      <x:c r="K1277" s="47" t="n">
        <x:v>1</x:v>
      </x:c>
      <x:c r="L1277" s="47" t="n">
        <x:v>0.9999999999999999</x:v>
      </x:c>
      <x:c r="M1277" s="29" t="n">
        <x:v>1</x:v>
      </x:c>
    </x:row>
    <x:row r="1278" ht="15" hidden="0" customHeight="1">
      <x:c r="A1278" s="27" t="n">
        <x:v>274</x:v>
      </x:c>
      <x:c r="B1278" s="27" t="n">
        <x:v>331178</x:v>
      </x:c>
      <x:c r="C1278" s="27" t="str">
        <x:v>A2</x:v>
      </x:c>
      <x:c r="D1278" s="52" t="n">
        <x:v>2500</x:v>
      </x:c>
      <x:c r="E1278" s="46" t="n">
        <x:v>1</x:v>
      </x:c>
      <x:c r="F1278" s="46" t="n">
        <x:v>1</x:v>
      </x:c>
      <x:c r="G1278" s="46" t="n">
        <x:v>1</x:v>
      </x:c>
      <x:c r="H1278" s="46" t="n">
        <x:v>1</x:v>
      </x:c>
      <x:c r="I1278" s="46" t="n">
        <x:v>1</x:v>
      </x:c>
      <x:c r="J1278" s="46" t="n">
        <x:v>1</x:v>
      </x:c>
      <x:c r="K1278" s="46" t="n">
        <x:v>1</x:v>
      </x:c>
      <x:c r="L1278" s="46" t="n">
        <x:v>1</x:v>
      </x:c>
      <x:c r="M1278" s="27" t="n">
        <x:v>1</x:v>
      </x:c>
    </x:row>
    <x:row r="1279" ht="15" hidden="0" customHeight="1">
      <x:c r="A1279" s="29" t="n">
        <x:v>275</x:v>
      </x:c>
      <x:c r="B1279" s="29" t="n">
        <x:v>331179</x:v>
      </x:c>
      <x:c r="C1279" s="29" t="str">
        <x:v>A2</x:v>
      </x:c>
      <x:c r="D1279" s="53" t="n">
        <x:v>2500</x:v>
      </x:c>
      <x:c r="E1279" s="47" t="n">
        <x:v>1</x:v>
      </x:c>
      <x:c r="F1279" s="47" t="n">
        <x:v>1</x:v>
      </x:c>
      <x:c r="G1279" s="47" t="n">
        <x:v>1</x:v>
      </x:c>
      <x:c r="H1279" s="47" t="n">
        <x:v>1</x:v>
      </x:c>
      <x:c r="I1279" s="47" t="n">
        <x:v>1</x:v>
      </x:c>
      <x:c r="J1279" s="47" t="n">
        <x:v>1</x:v>
      </x:c>
      <x:c r="K1279" s="47" t="n">
        <x:v>1</x:v>
      </x:c>
      <x:c r="L1279" s="47" t="n">
        <x:v>1</x:v>
      </x:c>
      <x:c r="M1279" s="29" t="n">
        <x:v>1</x:v>
      </x:c>
    </x:row>
    <x:row r="1280" ht="15" hidden="0" customHeight="1">
      <x:c r="A1280" s="27" t="n">
        <x:v>276</x:v>
      </x:c>
      <x:c r="B1280" s="27" t="n">
        <x:v>331180</x:v>
      </x:c>
      <x:c r="C1280" s="27" t="str">
        <x:v>A2</x:v>
      </x:c>
      <x:c r="D1280" s="52" t="n">
        <x:v>2500</x:v>
      </x:c>
      <x:c r="E1280" s="46" t="n">
        <x:v>1</x:v>
      </x:c>
      <x:c r="F1280" s="46" t="n">
        <x:v>1</x:v>
      </x:c>
      <x:c r="G1280" s="46" t="n">
        <x:v>1</x:v>
      </x:c>
      <x:c r="H1280" s="46" t="n">
        <x:v>1</x:v>
      </x:c>
      <x:c r="I1280" s="46" t="n">
        <x:v>1</x:v>
      </x:c>
      <x:c r="J1280" s="46" t="n">
        <x:v>1</x:v>
      </x:c>
      <x:c r="K1280" s="46" t="n">
        <x:v>1</x:v>
      </x:c>
      <x:c r="L1280" s="46" t="n">
        <x:v>1</x:v>
      </x:c>
      <x:c r="M1280" s="27" t="n">
        <x:v>1</x:v>
      </x:c>
    </x:row>
    <x:row r="1281" ht="15" hidden="0" customHeight="1">
      <x:c r="A1281" s="29" t="n">
        <x:v>277</x:v>
      </x:c>
      <x:c r="B1281" s="29" t="n">
        <x:v>331181</x:v>
      </x:c>
      <x:c r="C1281" s="29" t="str">
        <x:v>A2</x:v>
      </x:c>
      <x:c r="D1281" s="53" t="n">
        <x:v>2500</x:v>
      </x:c>
      <x:c r="E1281" s="47" t="n">
        <x:v>1</x:v>
      </x:c>
      <x:c r="F1281" s="47" t="n">
        <x:v>1</x:v>
      </x:c>
      <x:c r="G1281" s="47" t="n">
        <x:v>1</x:v>
      </x:c>
      <x:c r="H1281" s="47" t="n">
        <x:v>1</x:v>
      </x:c>
      <x:c r="I1281" s="47" t="n">
        <x:v>1</x:v>
      </x:c>
      <x:c r="J1281" s="47" t="n">
        <x:v>1</x:v>
      </x:c>
      <x:c r="K1281" s="47" t="n">
        <x:v>1</x:v>
      </x:c>
      <x:c r="L1281" s="47" t="n">
        <x:v>1</x:v>
      </x:c>
      <x:c r="M1281" s="29" t="n">
        <x:v>1</x:v>
      </x:c>
    </x:row>
    <x:row r="1282" ht="15" hidden="0" customHeight="1">
      <x:c r="A1282" s="27" t="n">
        <x:v>278</x:v>
      </x:c>
      <x:c r="B1282" s="27" t="n">
        <x:v>331182</x:v>
      </x:c>
      <x:c r="C1282" s="27" t="str">
        <x:v>A2</x:v>
      </x:c>
      <x:c r="D1282" s="52" t="n">
        <x:v>2500</x:v>
      </x:c>
      <x:c r="E1282" s="46" t="n">
        <x:v>1</x:v>
      </x:c>
      <x:c r="F1282" s="46" t="n">
        <x:v>1</x:v>
      </x:c>
      <x:c r="G1282" s="46" t="n">
        <x:v>1</x:v>
      </x:c>
      <x:c r="H1282" s="46" t="n">
        <x:v>1</x:v>
      </x:c>
      <x:c r="I1282" s="46" t="n">
        <x:v>1</x:v>
      </x:c>
      <x:c r="J1282" s="46" t="n">
        <x:v>1</x:v>
      </x:c>
      <x:c r="K1282" s="46" t="n">
        <x:v>1</x:v>
      </x:c>
      <x:c r="L1282" s="46" t="n">
        <x:v>1</x:v>
      </x:c>
      <x:c r="M1282" s="27" t="n">
        <x:v>1</x:v>
      </x:c>
    </x:row>
    <x:row r="1283" ht="15" hidden="0" customHeight="1">
      <x:c r="A1283" s="29" t="n">
        <x:v>279</x:v>
      </x:c>
      <x:c r="B1283" s="29" t="n">
        <x:v>331183</x:v>
      </x:c>
      <x:c r="C1283" s="29" t="str">
        <x:v>A2</x:v>
      </x:c>
      <x:c r="D1283" s="53" t="n">
        <x:v>2500</x:v>
      </x:c>
      <x:c r="E1283" s="47" t="n">
        <x:v>1</x:v>
      </x:c>
      <x:c r="F1283" s="47" t="n">
        <x:v>0.9999999999999998</x:v>
      </x:c>
      <x:c r="G1283" s="47" t="n">
        <x:v>1</x:v>
      </x:c>
      <x:c r="H1283" s="47" t="n">
        <x:v>1</x:v>
      </x:c>
      <x:c r="I1283" s="47" t="n">
        <x:v>1</x:v>
      </x:c>
      <x:c r="J1283" s="47" t="n">
        <x:v>1</x:v>
      </x:c>
      <x:c r="K1283" s="47" t="n">
        <x:v>1</x:v>
      </x:c>
      <x:c r="L1283" s="47" t="n">
        <x:v>1</x:v>
      </x:c>
      <x:c r="M1283" s="29" t="n">
        <x:v>1</x:v>
      </x:c>
    </x:row>
    <x:row r="1284" ht="15" hidden="0" customHeight="1">
      <x:c r="A1284" s="27" t="n">
        <x:v>280</x:v>
      </x:c>
      <x:c r="B1284" s="27" t="n">
        <x:v>331184</x:v>
      </x:c>
      <x:c r="C1284" s="27" t="str">
        <x:v>A2</x:v>
      </x:c>
      <x:c r="D1284" s="52" t="n">
        <x:v>2500</x:v>
      </x:c>
      <x:c r="E1284" s="46" t="n">
        <x:v>1</x:v>
      </x:c>
      <x:c r="F1284" s="46" t="n">
        <x:v>1</x:v>
      </x:c>
      <x:c r="G1284" s="46" t="n">
        <x:v>1</x:v>
      </x:c>
      <x:c r="H1284" s="46" t="n">
        <x:v>1</x:v>
      </x:c>
      <x:c r="I1284" s="46" t="n">
        <x:v>1</x:v>
      </x:c>
      <x:c r="J1284" s="46" t="n">
        <x:v>1</x:v>
      </x:c>
      <x:c r="K1284" s="46" t="n">
        <x:v>1</x:v>
      </x:c>
      <x:c r="L1284" s="46" t="n">
        <x:v>1</x:v>
      </x:c>
      <x:c r="M1284" s="27" t="n">
        <x:v>1</x:v>
      </x:c>
    </x:row>
    <x:row r="1285" ht="15" hidden="0" customHeight="1">
      <x:c r="A1285" s="29" t="n">
        <x:v>281</x:v>
      </x:c>
      <x:c r="B1285" s="29" t="n">
        <x:v>331185</x:v>
      </x:c>
      <x:c r="C1285" s="29" t="str">
        <x:v>A2</x:v>
      </x:c>
      <x:c r="D1285" s="53" t="n">
        <x:v>2500</x:v>
      </x:c>
      <x:c r="E1285" s="47" t="n">
        <x:v>1</x:v>
      </x:c>
      <x:c r="F1285" s="47" t="n">
        <x:v>1</x:v>
      </x:c>
      <x:c r="G1285" s="47" t="n">
        <x:v>1</x:v>
      </x:c>
      <x:c r="H1285" s="47" t="n">
        <x:v>1</x:v>
      </x:c>
      <x:c r="I1285" s="47" t="n">
        <x:v>1</x:v>
      </x:c>
      <x:c r="J1285" s="47" t="n">
        <x:v>1</x:v>
      </x:c>
      <x:c r="K1285" s="47" t="n">
        <x:v>1</x:v>
      </x:c>
      <x:c r="L1285" s="47" t="n">
        <x:v>0.9999999999999999</x:v>
      </x:c>
      <x:c r="M1285" s="29" t="n">
        <x:v>1</x:v>
      </x:c>
    </x:row>
    <x:row r="1286" ht="15" hidden="0" customHeight="1">
      <x:c r="A1286" s="27" t="n">
        <x:v>282</x:v>
      </x:c>
      <x:c r="B1286" s="27" t="n">
        <x:v>331186</x:v>
      </x:c>
      <x:c r="C1286" s="27" t="str">
        <x:v>A2</x:v>
      </x:c>
      <x:c r="D1286" s="52" t="n">
        <x:v>2500</x:v>
      </x:c>
      <x:c r="E1286" s="46" t="n">
        <x:v>1</x:v>
      </x:c>
      <x:c r="F1286" s="46" t="n">
        <x:v>1</x:v>
      </x:c>
      <x:c r="G1286" s="46" t="n">
        <x:v>1</x:v>
      </x:c>
      <x:c r="H1286" s="46" t="n">
        <x:v>1</x:v>
      </x:c>
      <x:c r="I1286" s="46" t="n">
        <x:v>1</x:v>
      </x:c>
      <x:c r="J1286" s="46" t="n">
        <x:v>1</x:v>
      </x:c>
      <x:c r="K1286" s="46" t="n">
        <x:v>1</x:v>
      </x:c>
      <x:c r="L1286" s="46" t="n">
        <x:v>1</x:v>
      </x:c>
      <x:c r="M1286" s="27" t="n">
        <x:v>1</x:v>
      </x:c>
    </x:row>
    <x:row r="1287" ht="15" hidden="0" customHeight="1">
      <x:c r="A1287" s="29" t="n">
        <x:v>283</x:v>
      </x:c>
      <x:c r="B1287" s="29" t="n">
        <x:v>331187</x:v>
      </x:c>
      <x:c r="C1287" s="29" t="str">
        <x:v>A2</x:v>
      </x:c>
      <x:c r="D1287" s="53" t="n">
        <x:v>2500</x:v>
      </x:c>
      <x:c r="E1287" s="47" t="n">
        <x:v>1</x:v>
      </x:c>
      <x:c r="F1287" s="47" t="n">
        <x:v>1</x:v>
      </x:c>
      <x:c r="G1287" s="47" t="n">
        <x:v>1</x:v>
      </x:c>
      <x:c r="H1287" s="47" t="n">
        <x:v>1</x:v>
      </x:c>
      <x:c r="I1287" s="47" t="n">
        <x:v>1</x:v>
      </x:c>
      <x:c r="J1287" s="47" t="n">
        <x:v>1</x:v>
      </x:c>
      <x:c r="K1287" s="47" t="n">
        <x:v>1</x:v>
      </x:c>
      <x:c r="L1287" s="47" t="n">
        <x:v>1</x:v>
      </x:c>
      <x:c r="M1287" s="29" t="n">
        <x:v>1</x:v>
      </x:c>
    </x:row>
    <x:row r="1288" ht="15" hidden="0" customHeight="1">
      <x:c r="A1288" s="27" t="n">
        <x:v>284</x:v>
      </x:c>
      <x:c r="B1288" s="27" t="n">
        <x:v>331188</x:v>
      </x:c>
      <x:c r="C1288" s="27" t="str">
        <x:v>A2</x:v>
      </x:c>
      <x:c r="D1288" s="52" t="n">
        <x:v>2500</x:v>
      </x:c>
      <x:c r="E1288" s="46" t="n">
        <x:v>1</x:v>
      </x:c>
      <x:c r="F1288" s="46" t="n">
        <x:v>0.9999999999999999</x:v>
      </x:c>
      <x:c r="G1288" s="46" t="n">
        <x:v>1</x:v>
      </x:c>
      <x:c r="H1288" s="46" t="n">
        <x:v>1</x:v>
      </x:c>
      <x:c r="I1288" s="46" t="n">
        <x:v>1</x:v>
      </x:c>
      <x:c r="J1288" s="46" t="n">
        <x:v>1</x:v>
      </x:c>
      <x:c r="K1288" s="46" t="n">
        <x:v>1</x:v>
      </x:c>
      <x:c r="L1288" s="46" t="n">
        <x:v>1</x:v>
      </x:c>
      <x:c r="M1288" s="27" t="n">
        <x:v>1</x:v>
      </x:c>
    </x:row>
    <x:row r="1289" ht="15" hidden="0" customHeight="1">
      <x:c r="A1289" s="29" t="n">
        <x:v>285</x:v>
      </x:c>
      <x:c r="B1289" s="29" t="n">
        <x:v>331189</x:v>
      </x:c>
      <x:c r="C1289" s="29" t="str">
        <x:v>A2</x:v>
      </x:c>
      <x:c r="D1289" s="53" t="n">
        <x:v>2500</x:v>
      </x:c>
      <x:c r="E1289" s="47" t="n">
        <x:v>1</x:v>
      </x:c>
      <x:c r="F1289" s="47" t="n">
        <x:v>0.9999999999999998</x:v>
      </x:c>
      <x:c r="G1289" s="47" t="n">
        <x:v>1</x:v>
      </x:c>
      <x:c r="H1289" s="47" t="n">
        <x:v>1</x:v>
      </x:c>
      <x:c r="I1289" s="47" t="n">
        <x:v>1</x:v>
      </x:c>
      <x:c r="J1289" s="47" t="n">
        <x:v>1</x:v>
      </x:c>
      <x:c r="K1289" s="47" t="n">
        <x:v>1</x:v>
      </x:c>
      <x:c r="L1289" s="47" t="n">
        <x:v>1</x:v>
      </x:c>
      <x:c r="M1289" s="29" t="n">
        <x:v>1</x:v>
      </x:c>
    </x:row>
    <x:row r="1290" ht="15" hidden="0" customHeight="1">
      <x:c r="A1290" s="27" t="n">
        <x:v>286</x:v>
      </x:c>
      <x:c r="B1290" s="27" t="n">
        <x:v>331190</x:v>
      </x:c>
      <x:c r="C1290" s="27" t="str">
        <x:v>A2</x:v>
      </x:c>
      <x:c r="D1290" s="52" t="n">
        <x:v>2500</x:v>
      </x:c>
      <x:c r="E1290" s="46" t="n">
        <x:v>1</x:v>
      </x:c>
      <x:c r="F1290" s="46" t="n">
        <x:v>0.9999999999999998</x:v>
      </x:c>
      <x:c r="G1290" s="46" t="n">
        <x:v>1</x:v>
      </x:c>
      <x:c r="H1290" s="46" t="n">
        <x:v>1</x:v>
      </x:c>
      <x:c r="I1290" s="46" t="n">
        <x:v>1</x:v>
      </x:c>
      <x:c r="J1290" s="46" t="n">
        <x:v>1</x:v>
      </x:c>
      <x:c r="K1290" s="46" t="n">
        <x:v>1</x:v>
      </x:c>
      <x:c r="L1290" s="46" t="n">
        <x:v>1</x:v>
      </x:c>
      <x:c r="M1290" s="27" t="n">
        <x:v>1</x:v>
      </x:c>
    </x:row>
    <x:row r="1291" ht="15" hidden="0" customHeight="1">
      <x:c r="A1291" s="29" t="n">
        <x:v>287</x:v>
      </x:c>
      <x:c r="B1291" s="29" t="n">
        <x:v>331191</x:v>
      </x:c>
      <x:c r="C1291" s="29" t="str">
        <x:v>A2</x:v>
      </x:c>
      <x:c r="D1291" s="53" t="n">
        <x:v>2500</x:v>
      </x:c>
      <x:c r="E1291" s="47" t="n">
        <x:v>1</x:v>
      </x:c>
      <x:c r="F1291" s="47" t="n">
        <x:v>1</x:v>
      </x:c>
      <x:c r="G1291" s="47" t="n">
        <x:v>1</x:v>
      </x:c>
      <x:c r="H1291" s="47" t="n">
        <x:v>1</x:v>
      </x:c>
      <x:c r="I1291" s="47" t="n">
        <x:v>1</x:v>
      </x:c>
      <x:c r="J1291" s="47" t="n">
        <x:v>1</x:v>
      </x:c>
      <x:c r="K1291" s="47" t="n">
        <x:v>1</x:v>
      </x:c>
      <x:c r="L1291" s="47" t="n">
        <x:v>1</x:v>
      </x:c>
      <x:c r="M1291" s="29" t="n">
        <x:v>1</x:v>
      </x:c>
    </x:row>
    <x:row r="1292" ht="15" hidden="0" customHeight="1">
      <x:c r="A1292" s="27" t="n">
        <x:v>288</x:v>
      </x:c>
      <x:c r="B1292" s="27" t="n">
        <x:v>331192</x:v>
      </x:c>
      <x:c r="C1292" s="27" t="str">
        <x:v>A2</x:v>
      </x:c>
      <x:c r="D1292" s="52" t="n">
        <x:v>2500</x:v>
      </x:c>
      <x:c r="E1292" s="46" t="n">
        <x:v>1</x:v>
      </x:c>
      <x:c r="F1292" s="46" t="n">
        <x:v>0.9999999999999998</x:v>
      </x:c>
      <x:c r="G1292" s="46" t="n">
        <x:v>1</x:v>
      </x:c>
      <x:c r="H1292" s="46" t="n">
        <x:v>1</x:v>
      </x:c>
      <x:c r="I1292" s="46" t="n">
        <x:v>1</x:v>
      </x:c>
      <x:c r="J1292" s="46" t="n">
        <x:v>1</x:v>
      </x:c>
      <x:c r="K1292" s="46" t="n">
        <x:v>1</x:v>
      </x:c>
      <x:c r="L1292" s="46" t="n">
        <x:v>1</x:v>
      </x:c>
      <x:c r="M1292" s="27" t="n">
        <x:v>1</x:v>
      </x:c>
    </x:row>
    <x:row r="1293" ht="15" hidden="0" customHeight="1">
      <x:c r="A1293" s="29" t="n">
        <x:v>289</x:v>
      </x:c>
      <x:c r="B1293" s="29" t="n">
        <x:v>331193</x:v>
      </x:c>
      <x:c r="C1293" s="29" t="str">
        <x:v>A2</x:v>
      </x:c>
      <x:c r="D1293" s="53" t="n">
        <x:v>2500</x:v>
      </x:c>
      <x:c r="E1293" s="47" t="n">
        <x:v>1</x:v>
      </x:c>
      <x:c r="F1293" s="47" t="n">
        <x:v>1</x:v>
      </x:c>
      <x:c r="G1293" s="47" t="n">
        <x:v>1</x:v>
      </x:c>
      <x:c r="H1293" s="47" t="n">
        <x:v>1</x:v>
      </x:c>
      <x:c r="I1293" s="47" t="n">
        <x:v>1</x:v>
      </x:c>
      <x:c r="J1293" s="47" t="n">
        <x:v>1</x:v>
      </x:c>
      <x:c r="K1293" s="47" t="n">
        <x:v>1</x:v>
      </x:c>
      <x:c r="L1293" s="47" t="n">
        <x:v>1</x:v>
      </x:c>
      <x:c r="M1293" s="29" t="n">
        <x:v>1</x:v>
      </x:c>
    </x:row>
    <x:row r="1294" ht="15" hidden="0" customHeight="1">
      <x:c r="A1294" s="27" t="n">
        <x:v>290</x:v>
      </x:c>
      <x:c r="B1294" s="27" t="n">
        <x:v>331194</x:v>
      </x:c>
      <x:c r="C1294" s="27" t="str">
        <x:v>A2</x:v>
      </x:c>
      <x:c r="D1294" s="52" t="n">
        <x:v>2500</x:v>
      </x:c>
      <x:c r="E1294" s="46" t="n">
        <x:v>1</x:v>
      </x:c>
      <x:c r="F1294" s="46" t="n">
        <x:v>1</x:v>
      </x:c>
      <x:c r="G1294" s="46" t="n">
        <x:v>1</x:v>
      </x:c>
      <x:c r="H1294" s="46" t="n">
        <x:v>1</x:v>
      </x:c>
      <x:c r="I1294" s="46" t="n">
        <x:v>1</x:v>
      </x:c>
      <x:c r="J1294" s="46" t="n">
        <x:v>1</x:v>
      </x:c>
      <x:c r="K1294" s="46" t="n">
        <x:v>1</x:v>
      </x:c>
      <x:c r="L1294" s="46" t="n">
        <x:v>1</x:v>
      </x:c>
      <x:c r="M1294" s="27" t="n">
        <x:v>1</x:v>
      </x:c>
    </x:row>
    <x:row r="1295" ht="15" hidden="0" customHeight="1">
      <x:c r="A1295" s="29" t="n">
        <x:v>291</x:v>
      </x:c>
      <x:c r="B1295" s="29" t="n">
        <x:v>331195</x:v>
      </x:c>
      <x:c r="C1295" s="29" t="str">
        <x:v>A2</x:v>
      </x:c>
      <x:c r="D1295" s="53" t="n">
        <x:v>2500</x:v>
      </x:c>
      <x:c r="E1295" s="47" t="n">
        <x:v>1</x:v>
      </x:c>
      <x:c r="F1295" s="47" t="n">
        <x:v>1</x:v>
      </x:c>
      <x:c r="G1295" s="47" t="n">
        <x:v>1</x:v>
      </x:c>
      <x:c r="H1295" s="47" t="n">
        <x:v>1</x:v>
      </x:c>
      <x:c r="I1295" s="47" t="n">
        <x:v>1</x:v>
      </x:c>
      <x:c r="J1295" s="47" t="n">
        <x:v>1</x:v>
      </x:c>
      <x:c r="K1295" s="47" t="n">
        <x:v>1</x:v>
      </x:c>
      <x:c r="L1295" s="47" t="n">
        <x:v>1</x:v>
      </x:c>
      <x:c r="M1295" s="29" t="n">
        <x:v>1</x:v>
      </x:c>
    </x:row>
    <x:row r="1296" ht="15" hidden="0" customHeight="1">
      <x:c r="A1296" s="27" t="n">
        <x:v>292</x:v>
      </x:c>
      <x:c r="B1296" s="27" t="n">
        <x:v>331196</x:v>
      </x:c>
      <x:c r="C1296" s="27" t="str">
        <x:v>A2</x:v>
      </x:c>
      <x:c r="D1296" s="52" t="n">
        <x:v>2500</x:v>
      </x:c>
      <x:c r="E1296" s="46" t="n">
        <x:v>1</x:v>
      </x:c>
      <x:c r="F1296" s="46" t="n">
        <x:v>1</x:v>
      </x:c>
      <x:c r="G1296" s="46" t="n">
        <x:v>1</x:v>
      </x:c>
      <x:c r="H1296" s="46" t="n">
        <x:v>1</x:v>
      </x:c>
      <x:c r="I1296" s="46" t="n">
        <x:v>1</x:v>
      </x:c>
      <x:c r="J1296" s="46" t="n">
        <x:v>1</x:v>
      </x:c>
      <x:c r="K1296" s="46" t="n">
        <x:v>1</x:v>
      </x:c>
      <x:c r="L1296" s="46" t="n">
        <x:v>1</x:v>
      </x:c>
      <x:c r="M1296" s="27" t="n">
        <x:v>1</x:v>
      </x:c>
    </x:row>
    <x:row r="1297" ht="15" hidden="0" customHeight="1">
      <x:c r="A1297" s="29" t="n">
        <x:v>293</x:v>
      </x:c>
      <x:c r="B1297" s="29" t="n">
        <x:v>331197</x:v>
      </x:c>
      <x:c r="C1297" s="29" t="str">
        <x:v>A2</x:v>
      </x:c>
      <x:c r="D1297" s="53" t="n">
        <x:v>2500</x:v>
      </x:c>
      <x:c r="E1297" s="47" t="n">
        <x:v>1</x:v>
      </x:c>
      <x:c r="F1297" s="47" t="n">
        <x:v>0.9999999999999998</x:v>
      </x:c>
      <x:c r="G1297" s="47" t="n">
        <x:v>1</x:v>
      </x:c>
      <x:c r="H1297" s="47" t="n">
        <x:v>1</x:v>
      </x:c>
      <x:c r="I1297" s="47" t="n">
        <x:v>1</x:v>
      </x:c>
      <x:c r="J1297" s="47" t="n">
        <x:v>1</x:v>
      </x:c>
      <x:c r="K1297" s="47" t="n">
        <x:v>1</x:v>
      </x:c>
      <x:c r="L1297" s="47" t="n">
        <x:v>1</x:v>
      </x:c>
      <x:c r="M1297" s="29" t="n">
        <x:v>1</x:v>
      </x:c>
    </x:row>
    <x:row r="1298" ht="15" hidden="0" customHeight="1">
      <x:c r="A1298" s="27" t="n">
        <x:v>294</x:v>
      </x:c>
      <x:c r="B1298" s="27" t="n">
        <x:v>331198</x:v>
      </x:c>
      <x:c r="C1298" s="27" t="str">
        <x:v>A2</x:v>
      </x:c>
      <x:c r="D1298" s="52" t="n">
        <x:v>2500</x:v>
      </x:c>
      <x:c r="E1298" s="46" t="n">
        <x:v>1</x:v>
      </x:c>
      <x:c r="F1298" s="46" t="n">
        <x:v>1</x:v>
      </x:c>
      <x:c r="G1298" s="46" t="n">
        <x:v>1</x:v>
      </x:c>
      <x:c r="H1298" s="46" t="n">
        <x:v>1</x:v>
      </x:c>
      <x:c r="I1298" s="46" t="n">
        <x:v>1</x:v>
      </x:c>
      <x:c r="J1298" s="46" t="n">
        <x:v>1</x:v>
      </x:c>
      <x:c r="K1298" s="46" t="n">
        <x:v>1</x:v>
      </x:c>
      <x:c r="L1298" s="46" t="n">
        <x:v>0.9999999999999999</x:v>
      </x:c>
      <x:c r="M1298" s="27" t="n">
        <x:v>1</x:v>
      </x:c>
    </x:row>
    <x:row r="1299" ht="15" hidden="0" customHeight="1">
      <x:c r="A1299" s="29" t="n">
        <x:v>295</x:v>
      </x:c>
      <x:c r="B1299" s="29" t="n">
        <x:v>331199</x:v>
      </x:c>
      <x:c r="C1299" s="29" t="str">
        <x:v>A2</x:v>
      </x:c>
      <x:c r="D1299" s="53" t="n">
        <x:v>2500</x:v>
      </x:c>
      <x:c r="E1299" s="47" t="n">
        <x:v>1</x:v>
      </x:c>
      <x:c r="F1299" s="47" t="n">
        <x:v>1</x:v>
      </x:c>
      <x:c r="G1299" s="47" t="n">
        <x:v>1</x:v>
      </x:c>
      <x:c r="H1299" s="47" t="n">
        <x:v>1</x:v>
      </x:c>
      <x:c r="I1299" s="47" t="n">
        <x:v>1</x:v>
      </x:c>
      <x:c r="J1299" s="47" t="n">
        <x:v>1</x:v>
      </x:c>
      <x:c r="K1299" s="47" t="n">
        <x:v>1</x:v>
      </x:c>
      <x:c r="L1299" s="47" t="n">
        <x:v>1</x:v>
      </x:c>
      <x:c r="M1299" s="29" t="n">
        <x:v>1</x:v>
      </x:c>
    </x:row>
    <x:row r="1300" ht="15" hidden="0" customHeight="1">
      <x:c r="A1300" s="27" t="n">
        <x:v>296</x:v>
      </x:c>
      <x:c r="B1300" s="27" t="n">
        <x:v>331200</x:v>
      </x:c>
      <x:c r="C1300" s="27" t="str">
        <x:v>A2</x:v>
      </x:c>
      <x:c r="D1300" s="52" t="n">
        <x:v>2500</x:v>
      </x:c>
      <x:c r="E1300" s="46" t="n">
        <x:v>1</x:v>
      </x:c>
      <x:c r="F1300" s="46" t="n">
        <x:v>0.9999999999999998</x:v>
      </x:c>
      <x:c r="G1300" s="46" t="n">
        <x:v>1</x:v>
      </x:c>
      <x:c r="H1300" s="46" t="n">
        <x:v>1</x:v>
      </x:c>
      <x:c r="I1300" s="46" t="n">
        <x:v>1</x:v>
      </x:c>
      <x:c r="J1300" s="46" t="n">
        <x:v>1</x:v>
      </x:c>
      <x:c r="K1300" s="46" t="n">
        <x:v>1</x:v>
      </x:c>
      <x:c r="L1300" s="46" t="n">
        <x:v>1</x:v>
      </x:c>
      <x:c r="M1300" s="27" t="n">
        <x:v>1</x:v>
      </x:c>
    </x:row>
    <x:row r="1301" ht="15" hidden="0" customHeight="1">
      <x:c r="A1301" s="29" t="n">
        <x:v>297</x:v>
      </x:c>
      <x:c r="B1301" s="29" t="n">
        <x:v>331201</x:v>
      </x:c>
      <x:c r="C1301" s="29" t="str">
        <x:v>A2</x:v>
      </x:c>
      <x:c r="D1301" s="53" t="n">
        <x:v>2500</x:v>
      </x:c>
      <x:c r="E1301" s="47" t="n">
        <x:v>1</x:v>
      </x:c>
      <x:c r="F1301" s="47" t="n">
        <x:v>1</x:v>
      </x:c>
      <x:c r="G1301" s="47" t="n">
        <x:v>1</x:v>
      </x:c>
      <x:c r="H1301" s="47" t="n">
        <x:v>1</x:v>
      </x:c>
      <x:c r="I1301" s="47" t="n">
        <x:v>1</x:v>
      </x:c>
      <x:c r="J1301" s="47" t="n">
        <x:v>1</x:v>
      </x:c>
      <x:c r="K1301" s="47" t="n">
        <x:v>1</x:v>
      </x:c>
      <x:c r="L1301" s="47" t="n">
        <x:v>1</x:v>
      </x:c>
      <x:c r="M1301" s="29" t="n">
        <x:v>1</x:v>
      </x:c>
    </x:row>
    <x:row r="1302" ht="15" hidden="0" customHeight="1">
      <x:c r="A1302" s="27" t="n">
        <x:v>298</x:v>
      </x:c>
      <x:c r="B1302" s="27" t="n">
        <x:v>331202</x:v>
      </x:c>
      <x:c r="C1302" s="27" t="str">
        <x:v>A2</x:v>
      </x:c>
      <x:c r="D1302" s="52" t="n">
        <x:v>2500</x:v>
      </x:c>
      <x:c r="E1302" s="46" t="n">
        <x:v>1</x:v>
      </x:c>
      <x:c r="F1302" s="46" t="n">
        <x:v>1</x:v>
      </x:c>
      <x:c r="G1302" s="46" t="n">
        <x:v>1</x:v>
      </x:c>
      <x:c r="H1302" s="46" t="n">
        <x:v>1</x:v>
      </x:c>
      <x:c r="I1302" s="46" t="n">
        <x:v>1</x:v>
      </x:c>
      <x:c r="J1302" s="46" t="n">
        <x:v>1</x:v>
      </x:c>
      <x:c r="K1302" s="46" t="n">
        <x:v>1</x:v>
      </x:c>
      <x:c r="L1302" s="46" t="n">
        <x:v>1</x:v>
      </x:c>
      <x:c r="M1302" s="27" t="n">
        <x:v>1</x:v>
      </x:c>
    </x:row>
    <x:row r="1303" ht="15" hidden="0" customHeight="1">
      <x:c r="A1303" s="29" t="n">
        <x:v>299</x:v>
      </x:c>
      <x:c r="B1303" s="29" t="n">
        <x:v>331203</x:v>
      </x:c>
      <x:c r="C1303" s="29" t="str">
        <x:v>A2</x:v>
      </x:c>
      <x:c r="D1303" s="53" t="n">
        <x:v>2500</x:v>
      </x:c>
      <x:c r="E1303" s="47" t="n">
        <x:v>1</x:v>
      </x:c>
      <x:c r="F1303" s="47" t="n">
        <x:v>0.9999999999999998</x:v>
      </x:c>
      <x:c r="G1303" s="47" t="n">
        <x:v>1</x:v>
      </x:c>
      <x:c r="H1303" s="47" t="n">
        <x:v>1</x:v>
      </x:c>
      <x:c r="I1303" s="47" t="n">
        <x:v>1</x:v>
      </x:c>
      <x:c r="J1303" s="47" t="n">
        <x:v>1</x:v>
      </x:c>
      <x:c r="K1303" s="47" t="n">
        <x:v>1</x:v>
      </x:c>
      <x:c r="L1303" s="47" t="n">
        <x:v>1</x:v>
      </x:c>
      <x:c r="M1303" s="29" t="n">
        <x:v>1</x:v>
      </x:c>
    </x:row>
    <x:row r="1304" ht="15" hidden="0" customHeight="1">
      <x:c r="A1304" s="27" t="n">
        <x:v>300</x:v>
      </x:c>
      <x:c r="B1304" s="27" t="n">
        <x:v>331204</x:v>
      </x:c>
      <x:c r="C1304" s="27" t="str">
        <x:v>A2</x:v>
      </x:c>
      <x:c r="D1304" s="52" t="n">
        <x:v>2500</x:v>
      </x:c>
      <x:c r="E1304" s="46" t="n">
        <x:v>1</x:v>
      </x:c>
      <x:c r="F1304" s="46" t="n">
        <x:v>0.9999999999999998</x:v>
      </x:c>
      <x:c r="G1304" s="46" t="n">
        <x:v>1</x:v>
      </x:c>
      <x:c r="H1304" s="46" t="n">
        <x:v>1</x:v>
      </x:c>
      <x:c r="I1304" s="46" t="n">
        <x:v>1</x:v>
      </x:c>
      <x:c r="J1304" s="46" t="n">
        <x:v>1</x:v>
      </x:c>
      <x:c r="K1304" s="46" t="n">
        <x:v>1</x:v>
      </x:c>
      <x:c r="L1304" s="46" t="n">
        <x:v>1</x:v>
      </x:c>
      <x:c r="M1304" s="27" t="n">
        <x:v>1</x:v>
      </x:c>
    </x:row>
    <x:row r="1305" ht="15" hidden="0" customHeight="1">
      <x:c r="A1305" s="29" t="n">
        <x:v>301</x:v>
      </x:c>
      <x:c r="B1305" s="29" t="n">
        <x:v>331205</x:v>
      </x:c>
      <x:c r="C1305" s="29" t="str">
        <x:v>A2</x:v>
      </x:c>
      <x:c r="D1305" s="53" t="n">
        <x:v>2500</x:v>
      </x:c>
      <x:c r="E1305" s="47" t="n">
        <x:v>1</x:v>
      </x:c>
      <x:c r="F1305" s="47" t="n">
        <x:v>0.9999999999999998</x:v>
      </x:c>
      <x:c r="G1305" s="47" t="n">
        <x:v>1</x:v>
      </x:c>
      <x:c r="H1305" s="47" t="n">
        <x:v>1</x:v>
      </x:c>
      <x:c r="I1305" s="47" t="n">
        <x:v>1</x:v>
      </x:c>
      <x:c r="J1305" s="47" t="n">
        <x:v>1</x:v>
      </x:c>
      <x:c r="K1305" s="47" t="n">
        <x:v>1</x:v>
      </x:c>
      <x:c r="L1305" s="47" t="n">
        <x:v>0.9999999999999999</x:v>
      </x:c>
      <x:c r="M1305" s="29" t="n">
        <x:v>1</x:v>
      </x:c>
    </x:row>
    <x:row r="1306" ht="15" hidden="0" customHeight="1">
      <x:c r="A1306" s="27" t="n">
        <x:v>302</x:v>
      </x:c>
      <x:c r="B1306" s="27" t="n">
        <x:v>331206</x:v>
      </x:c>
      <x:c r="C1306" s="27" t="str">
        <x:v>A2</x:v>
      </x:c>
      <x:c r="D1306" s="52" t="n">
        <x:v>2500</x:v>
      </x:c>
      <x:c r="E1306" s="46" t="n">
        <x:v>1</x:v>
      </x:c>
      <x:c r="F1306" s="46" t="n">
        <x:v>1</x:v>
      </x:c>
      <x:c r="G1306" s="46" t="n">
        <x:v>1</x:v>
      </x:c>
      <x:c r="H1306" s="46" t="n">
        <x:v>1</x:v>
      </x:c>
      <x:c r="I1306" s="46" t="n">
        <x:v>1</x:v>
      </x:c>
      <x:c r="J1306" s="46" t="n">
        <x:v>1</x:v>
      </x:c>
      <x:c r="K1306" s="46" t="n">
        <x:v>1</x:v>
      </x:c>
      <x:c r="L1306" s="46" t="n">
        <x:v>1</x:v>
      </x:c>
      <x:c r="M1306" s="27" t="n">
        <x:v>1</x:v>
      </x:c>
    </x:row>
    <x:row r="1307" ht="15" hidden="0" customHeight="1">
      <x:c r="A1307" s="29" t="n">
        <x:v>303</x:v>
      </x:c>
      <x:c r="B1307" s="29" t="n">
        <x:v>331207</x:v>
      </x:c>
      <x:c r="C1307" s="29" t="str">
        <x:v>A2</x:v>
      </x:c>
      <x:c r="D1307" s="53" t="n">
        <x:v>2500</x:v>
      </x:c>
      <x:c r="E1307" s="47" t="n">
        <x:v>1</x:v>
      </x:c>
      <x:c r="F1307" s="47" t="n">
        <x:v>1</x:v>
      </x:c>
      <x:c r="G1307" s="47" t="n">
        <x:v>1</x:v>
      </x:c>
      <x:c r="H1307" s="47" t="n">
        <x:v>1</x:v>
      </x:c>
      <x:c r="I1307" s="47" t="n">
        <x:v>1</x:v>
      </x:c>
      <x:c r="J1307" s="47" t="n">
        <x:v>1</x:v>
      </x:c>
      <x:c r="K1307" s="47" t="n">
        <x:v>1</x:v>
      </x:c>
      <x:c r="L1307" s="47" t="n">
        <x:v>1</x:v>
      </x:c>
      <x:c r="M1307" s="29" t="n">
        <x:v>1</x:v>
      </x:c>
    </x:row>
    <x:row r="1308" ht="15" hidden="0" customHeight="1">
      <x:c r="A1308" s="27" t="n">
        <x:v>304</x:v>
      </x:c>
      <x:c r="B1308" s="27" t="n">
        <x:v>331208</x:v>
      </x:c>
      <x:c r="C1308" s="27" t="str">
        <x:v>A2</x:v>
      </x:c>
      <x:c r="D1308" s="52" t="n">
        <x:v>2500</x:v>
      </x:c>
      <x:c r="E1308" s="46" t="n">
        <x:v>1</x:v>
      </x:c>
      <x:c r="F1308" s="46" t="n">
        <x:v>1</x:v>
      </x:c>
      <x:c r="G1308" s="46" t="n">
        <x:v>1</x:v>
      </x:c>
      <x:c r="H1308" s="46" t="n">
        <x:v>1</x:v>
      </x:c>
      <x:c r="I1308" s="46" t="n">
        <x:v>1</x:v>
      </x:c>
      <x:c r="J1308" s="46" t="n">
        <x:v>1</x:v>
      </x:c>
      <x:c r="K1308" s="46" t="n">
        <x:v>1</x:v>
      </x:c>
      <x:c r="L1308" s="46" t="n">
        <x:v>1</x:v>
      </x:c>
      <x:c r="M1308" s="27" t="n">
        <x:v>1</x:v>
      </x:c>
    </x:row>
    <x:row r="1309" ht="15" hidden="0" customHeight="1">
      <x:c r="A1309" s="29" t="n">
        <x:v>305</x:v>
      </x:c>
      <x:c r="B1309" s="29" t="n">
        <x:v>331209</x:v>
      </x:c>
      <x:c r="C1309" s="29" t="str">
        <x:v>A2</x:v>
      </x:c>
      <x:c r="D1309" s="53" t="n">
        <x:v>2500</x:v>
      </x:c>
      <x:c r="E1309" s="47" t="n">
        <x:v>1</x:v>
      </x:c>
      <x:c r="F1309" s="47" t="n">
        <x:v>1</x:v>
      </x:c>
      <x:c r="G1309" s="47" t="n">
        <x:v>1</x:v>
      </x:c>
      <x:c r="H1309" s="47" t="n">
        <x:v>1</x:v>
      </x:c>
      <x:c r="I1309" s="47" t="n">
        <x:v>1</x:v>
      </x:c>
      <x:c r="J1309" s="47" t="n">
        <x:v>1</x:v>
      </x:c>
      <x:c r="K1309" s="47" t="n">
        <x:v>1</x:v>
      </x:c>
      <x:c r="L1309" s="47" t="n">
        <x:v>1</x:v>
      </x:c>
      <x:c r="M1309" s="29" t="n">
        <x:v>1</x:v>
      </x:c>
    </x:row>
    <x:row r="1310" ht="15" hidden="0" customHeight="1">
      <x:c r="A1310" s="27" t="n">
        <x:v>306</x:v>
      </x:c>
      <x:c r="B1310" s="27" t="n">
        <x:v>331210</x:v>
      </x:c>
      <x:c r="C1310" s="27" t="str">
        <x:v>A2</x:v>
      </x:c>
      <x:c r="D1310" s="52" t="n">
        <x:v>2470.8854962498854</x:v>
      </x:c>
      <x:c r="E1310" s="46" t="n">
        <x:v>0.9883541984999541</x:v>
      </x:c>
      <x:c r="F1310" s="46" t="n">
        <x:v>0.8835419849995401</x:v>
      </x:c>
      <x:c r="G1310" s="46" t="n">
        <x:v>1</x:v>
      </x:c>
      <x:c r="H1310" s="46" t="n">
        <x:v>1</x:v>
      </x:c>
      <x:c r="I1310" s="46" t="n">
        <x:v>1</x:v>
      </x:c>
      <x:c r="J1310" s="46" t="n">
        <x:v>1</x:v>
      </x:c>
      <x:c r="K1310" s="46" t="n">
        <x:v>1</x:v>
      </x:c>
      <x:c r="L1310" s="46" t="n">
        <x:v>0.9856192630311995</x:v>
      </x:c>
      <x:c r="M1310" s="27" t="n">
        <x:v>0</x:v>
      </x:c>
    </x:row>
    <x:row r="1311" ht="15" hidden="0" customHeight="1">
      <x:c r="A1311" s="29" t="n">
        <x:v>307</x:v>
      </x:c>
      <x:c r="B1311" s="29" t="n">
        <x:v>331211</x:v>
      </x:c>
      <x:c r="C1311" s="29" t="str">
        <x:v>A2</x:v>
      </x:c>
      <x:c r="D1311" s="53" t="n">
        <x:v>2500</x:v>
      </x:c>
      <x:c r="E1311" s="47" t="n">
        <x:v>1</x:v>
      </x:c>
      <x:c r="F1311" s="47" t="n">
        <x:v>1</x:v>
      </x:c>
      <x:c r="G1311" s="47" t="n">
        <x:v>1</x:v>
      </x:c>
      <x:c r="H1311" s="47" t="n">
        <x:v>1</x:v>
      </x:c>
      <x:c r="I1311" s="47" t="n">
        <x:v>1</x:v>
      </x:c>
      <x:c r="J1311" s="47" t="n">
        <x:v>1</x:v>
      </x:c>
      <x:c r="K1311" s="47" t="n">
        <x:v>1</x:v>
      </x:c>
      <x:c r="L1311" s="47" t="n">
        <x:v>1</x:v>
      </x:c>
      <x:c r="M1311" s="29" t="n">
        <x:v>1</x:v>
      </x:c>
    </x:row>
    <x:row r="1312" ht="15" hidden="0" customHeight="1">
      <x:c r="A1312" s="27" t="n">
        <x:v>308</x:v>
      </x:c>
      <x:c r="B1312" s="27" t="n">
        <x:v>331212</x:v>
      </x:c>
      <x:c r="C1312" s="27" t="str">
        <x:v>A2</x:v>
      </x:c>
      <x:c r="D1312" s="52" t="n">
        <x:v>2500</x:v>
      </x:c>
      <x:c r="E1312" s="46" t="n">
        <x:v>1</x:v>
      </x:c>
      <x:c r="F1312" s="46" t="n">
        <x:v>1</x:v>
      </x:c>
      <x:c r="G1312" s="46" t="n">
        <x:v>1</x:v>
      </x:c>
      <x:c r="H1312" s="46" t="n">
        <x:v>1</x:v>
      </x:c>
      <x:c r="I1312" s="46" t="n">
        <x:v>1</x:v>
      </x:c>
      <x:c r="J1312" s="46" t="n">
        <x:v>1</x:v>
      </x:c>
      <x:c r="K1312" s="46" t="n">
        <x:v>1</x:v>
      </x:c>
      <x:c r="L1312" s="46" t="n">
        <x:v>1</x:v>
      </x:c>
      <x:c r="M1312" s="27" t="n">
        <x:v>1</x:v>
      </x:c>
    </x:row>
    <x:row r="1313" ht="15" hidden="0" customHeight="1">
      <x:c r="A1313" s="29" t="n">
        <x:v>309</x:v>
      </x:c>
      <x:c r="B1313" s="29" t="n">
        <x:v>331213</x:v>
      </x:c>
      <x:c r="C1313" s="29" t="str">
        <x:v>A2</x:v>
      </x:c>
      <x:c r="D1313" s="53" t="n">
        <x:v>2500</x:v>
      </x:c>
      <x:c r="E1313" s="47" t="n">
        <x:v>1</x:v>
      </x:c>
      <x:c r="F1313" s="47" t="n">
        <x:v>1</x:v>
      </x:c>
      <x:c r="G1313" s="47" t="n">
        <x:v>1</x:v>
      </x:c>
      <x:c r="H1313" s="47" t="n">
        <x:v>1</x:v>
      </x:c>
      <x:c r="I1313" s="47" t="n">
        <x:v>1</x:v>
      </x:c>
      <x:c r="J1313" s="47" t="n">
        <x:v>1</x:v>
      </x:c>
      <x:c r="K1313" s="47" t="n">
        <x:v>1</x:v>
      </x:c>
      <x:c r="L1313" s="47" t="n">
        <x:v>1</x:v>
      </x:c>
      <x:c r="M1313" s="29" t="n">
        <x:v>1</x:v>
      </x:c>
    </x:row>
    <x:row r="1314" ht="15" hidden="0" customHeight="1">
      <x:c r="A1314" s="27" t="n">
        <x:v>310</x:v>
      </x:c>
      <x:c r="B1314" s="27" t="n">
        <x:v>331214</x:v>
      </x:c>
      <x:c r="C1314" s="27" t="str">
        <x:v>A2</x:v>
      </x:c>
      <x:c r="D1314" s="52" t="n">
        <x:v>2500</x:v>
      </x:c>
      <x:c r="E1314" s="46" t="n">
        <x:v>1</x:v>
      </x:c>
      <x:c r="F1314" s="46" t="n">
        <x:v>1</x:v>
      </x:c>
      <x:c r="G1314" s="46" t="n">
        <x:v>1</x:v>
      </x:c>
      <x:c r="H1314" s="46" t="n">
        <x:v>1</x:v>
      </x:c>
      <x:c r="I1314" s="46" t="n">
        <x:v>1</x:v>
      </x:c>
      <x:c r="J1314" s="46" t="n">
        <x:v>1</x:v>
      </x:c>
      <x:c r="K1314" s="46" t="n">
        <x:v>1</x:v>
      </x:c>
      <x:c r="L1314" s="46" t="n">
        <x:v>1</x:v>
      </x:c>
      <x:c r="M1314" s="27" t="n">
        <x:v>1</x:v>
      </x:c>
    </x:row>
    <x:row r="1315" ht="15" hidden="0" customHeight="1">
      <x:c r="A1315" s="29" t="n">
        <x:v>311</x:v>
      </x:c>
      <x:c r="B1315" s="29" t="n">
        <x:v>331215</x:v>
      </x:c>
      <x:c r="C1315" s="29" t="str">
        <x:v>A2</x:v>
      </x:c>
      <x:c r="D1315" s="53" t="n">
        <x:v>2500</x:v>
      </x:c>
      <x:c r="E1315" s="47" t="n">
        <x:v>1</x:v>
      </x:c>
      <x:c r="F1315" s="47" t="n">
        <x:v>0.9999999999999999</x:v>
      </x:c>
      <x:c r="G1315" s="47" t="n">
        <x:v>1</x:v>
      </x:c>
      <x:c r="H1315" s="47" t="n">
        <x:v>1</x:v>
      </x:c>
      <x:c r="I1315" s="47" t="n">
        <x:v>1</x:v>
      </x:c>
      <x:c r="J1315" s="47" t="n">
        <x:v>1</x:v>
      </x:c>
      <x:c r="K1315" s="47" t="n">
        <x:v>1</x:v>
      </x:c>
      <x:c r="L1315" s="47" t="n">
        <x:v>1</x:v>
      </x:c>
      <x:c r="M1315" s="29" t="n">
        <x:v>1</x:v>
      </x:c>
    </x:row>
    <x:row r="1316" ht="15" hidden="0" customHeight="1">
      <x:c r="A1316" s="27" t="n">
        <x:v>312</x:v>
      </x:c>
      <x:c r="B1316" s="27" t="n">
        <x:v>331216</x:v>
      </x:c>
      <x:c r="C1316" s="27" t="str">
        <x:v>A2</x:v>
      </x:c>
      <x:c r="D1316" s="52" t="n">
        <x:v>2500</x:v>
      </x:c>
      <x:c r="E1316" s="46" t="n">
        <x:v>1</x:v>
      </x:c>
      <x:c r="F1316" s="46" t="n">
        <x:v>1</x:v>
      </x:c>
      <x:c r="G1316" s="46" t="n">
        <x:v>1</x:v>
      </x:c>
      <x:c r="H1316" s="46" t="n">
        <x:v>1</x:v>
      </x:c>
      <x:c r="I1316" s="46" t="n">
        <x:v>1</x:v>
      </x:c>
      <x:c r="J1316" s="46" t="n">
        <x:v>1</x:v>
      </x:c>
      <x:c r="K1316" s="46" t="n">
        <x:v>1</x:v>
      </x:c>
      <x:c r="L1316" s="46" t="n">
        <x:v>1</x:v>
      </x:c>
      <x:c r="M1316" s="27" t="n">
        <x:v>1</x:v>
      </x:c>
    </x:row>
    <x:row r="1317" ht="15" hidden="0" customHeight="1">
      <x:c r="A1317" s="29" t="n">
        <x:v>313</x:v>
      </x:c>
      <x:c r="B1317" s="29" t="n">
        <x:v>331217</x:v>
      </x:c>
      <x:c r="C1317" s="29" t="str">
        <x:v>A2</x:v>
      </x:c>
      <x:c r="D1317" s="53" t="n">
        <x:v>2500</x:v>
      </x:c>
      <x:c r="E1317" s="47" t="n">
        <x:v>1</x:v>
      </x:c>
      <x:c r="F1317" s="47" t="n">
        <x:v>1</x:v>
      </x:c>
      <x:c r="G1317" s="47" t="n">
        <x:v>1</x:v>
      </x:c>
      <x:c r="H1317" s="47" t="n">
        <x:v>1</x:v>
      </x:c>
      <x:c r="I1317" s="47" t="n">
        <x:v>1</x:v>
      </x:c>
      <x:c r="J1317" s="47" t="n">
        <x:v>1.0000000000000002</x:v>
      </x:c>
      <x:c r="K1317" s="47" t="n">
        <x:v>1</x:v>
      </x:c>
      <x:c r="L1317" s="47" t="n">
        <x:v>1</x:v>
      </x:c>
      <x:c r="M1317" s="29" t="n">
        <x:v>1</x:v>
      </x:c>
    </x:row>
    <x:row r="1318" ht="15" hidden="0" customHeight="1">
      <x:c r="A1318" s="27" t="n">
        <x:v>314</x:v>
      </x:c>
      <x:c r="B1318" s="27" t="n">
        <x:v>331218</x:v>
      </x:c>
      <x:c r="C1318" s="27" t="str">
        <x:v>A2</x:v>
      </x:c>
      <x:c r="D1318" s="52" t="n">
        <x:v>2500</x:v>
      </x:c>
      <x:c r="E1318" s="46" t="n">
        <x:v>1</x:v>
      </x:c>
      <x:c r="F1318" s="46" t="n">
        <x:v>0.9999999999999999</x:v>
      </x:c>
      <x:c r="G1318" s="46" t="n">
        <x:v>1</x:v>
      </x:c>
      <x:c r="H1318" s="46" t="n">
        <x:v>1</x:v>
      </x:c>
      <x:c r="I1318" s="46" t="n">
        <x:v>1</x:v>
      </x:c>
      <x:c r="J1318" s="46" t="n">
        <x:v>1</x:v>
      </x:c>
      <x:c r="K1318" s="46" t="n">
        <x:v>1</x:v>
      </x:c>
      <x:c r="L1318" s="46" t="n">
        <x:v>1</x:v>
      </x:c>
      <x:c r="M1318" s="27" t="n">
        <x:v>1</x:v>
      </x:c>
    </x:row>
    <x:row r="1319" ht="15" hidden="0" customHeight="1">
      <x:c r="A1319" s="29" t="n">
        <x:v>315</x:v>
      </x:c>
      <x:c r="B1319" s="29" t="n">
        <x:v>331219</x:v>
      </x:c>
      <x:c r="C1319" s="29" t="str">
        <x:v>A2</x:v>
      </x:c>
      <x:c r="D1319" s="53" t="n">
        <x:v>2500</x:v>
      </x:c>
      <x:c r="E1319" s="47" t="n">
        <x:v>1</x:v>
      </x:c>
      <x:c r="F1319" s="47" t="n">
        <x:v>1</x:v>
      </x:c>
      <x:c r="G1319" s="47" t="n">
        <x:v>1</x:v>
      </x:c>
      <x:c r="H1319" s="47" t="n">
        <x:v>1</x:v>
      </x:c>
      <x:c r="I1319" s="47" t="n">
        <x:v>1</x:v>
      </x:c>
      <x:c r="J1319" s="47" t="n">
        <x:v>1</x:v>
      </x:c>
      <x:c r="K1319" s="47" t="n">
        <x:v>1</x:v>
      </x:c>
      <x:c r="L1319" s="47" t="n">
        <x:v>1</x:v>
      </x:c>
      <x:c r="M1319" s="29" t="n">
        <x:v>1</x:v>
      </x:c>
    </x:row>
    <x:row r="1320" ht="15" hidden="0" customHeight="1">
      <x:c r="A1320" s="27" t="n">
        <x:v>316</x:v>
      </x:c>
      <x:c r="B1320" s="27" t="n">
        <x:v>331220</x:v>
      </x:c>
      <x:c r="C1320" s="27" t="str">
        <x:v>A2</x:v>
      </x:c>
      <x:c r="D1320" s="52" t="n">
        <x:v>2500</x:v>
      </x:c>
      <x:c r="E1320" s="46" t="n">
        <x:v>1</x:v>
      </x:c>
      <x:c r="F1320" s="46" t="n">
        <x:v>1</x:v>
      </x:c>
      <x:c r="G1320" s="46" t="n">
        <x:v>1</x:v>
      </x:c>
      <x:c r="H1320" s="46" t="n">
        <x:v>1</x:v>
      </x:c>
      <x:c r="I1320" s="46" t="n">
        <x:v>1</x:v>
      </x:c>
      <x:c r="J1320" s="46" t="n">
        <x:v>1</x:v>
      </x:c>
      <x:c r="K1320" s="46" t="n">
        <x:v>1</x:v>
      </x:c>
      <x:c r="L1320" s="46" t="n">
        <x:v>1</x:v>
      </x:c>
      <x:c r="M1320" s="27" t="n">
        <x:v>1</x:v>
      </x:c>
    </x:row>
    <x:row r="1321" ht="15" hidden="0" customHeight="1">
      <x:c r="A1321" s="29" t="n">
        <x:v>317</x:v>
      </x:c>
      <x:c r="B1321" s="29" t="n">
        <x:v>331221</x:v>
      </x:c>
      <x:c r="C1321" s="29" t="str">
        <x:v>A2</x:v>
      </x:c>
      <x:c r="D1321" s="53" t="n">
        <x:v>2500</x:v>
      </x:c>
      <x:c r="E1321" s="47" t="n">
        <x:v>1</x:v>
      </x:c>
      <x:c r="F1321" s="47" t="n">
        <x:v>1</x:v>
      </x:c>
      <x:c r="G1321" s="47" t="n">
        <x:v>1</x:v>
      </x:c>
      <x:c r="H1321" s="47" t="n">
        <x:v>1</x:v>
      </x:c>
      <x:c r="I1321" s="47" t="n">
        <x:v>1</x:v>
      </x:c>
      <x:c r="J1321" s="47" t="n">
        <x:v>1</x:v>
      </x:c>
      <x:c r="K1321" s="47" t="n">
        <x:v>1</x:v>
      </x:c>
      <x:c r="L1321" s="47" t="n">
        <x:v>1</x:v>
      </x:c>
      <x:c r="M1321" s="29" t="n">
        <x:v>1</x:v>
      </x:c>
    </x:row>
    <x:row r="1322" ht="15" hidden="0" customHeight="1">
      <x:c r="A1322" s="27" t="n">
        <x:v>318</x:v>
      </x:c>
      <x:c r="B1322" s="27" t="n">
        <x:v>331222</x:v>
      </x:c>
      <x:c r="C1322" s="27" t="str">
        <x:v>A2</x:v>
      </x:c>
      <x:c r="D1322" s="52" t="n">
        <x:v>2500</x:v>
      </x:c>
      <x:c r="E1322" s="46" t="n">
        <x:v>1</x:v>
      </x:c>
      <x:c r="F1322" s="46" t="n">
        <x:v>1</x:v>
      </x:c>
      <x:c r="G1322" s="46" t="n">
        <x:v>1</x:v>
      </x:c>
      <x:c r="H1322" s="46" t="n">
        <x:v>1</x:v>
      </x:c>
      <x:c r="I1322" s="46" t="n">
        <x:v>1</x:v>
      </x:c>
      <x:c r="J1322" s="46" t="n">
        <x:v>1</x:v>
      </x:c>
      <x:c r="K1322" s="46" t="n">
        <x:v>1</x:v>
      </x:c>
      <x:c r="L1322" s="46" t="n">
        <x:v>1</x:v>
      </x:c>
      <x:c r="M1322" s="27" t="n">
        <x:v>1</x:v>
      </x:c>
    </x:row>
    <x:row r="1323" ht="15" hidden="0" customHeight="1">
      <x:c r="A1323" s="29" t="n">
        <x:v>319</x:v>
      </x:c>
      <x:c r="B1323" s="29" t="n">
        <x:v>331223</x:v>
      </x:c>
      <x:c r="C1323" s="29" t="str">
        <x:v>A2</x:v>
      </x:c>
      <x:c r="D1323" s="53" t="n">
        <x:v>2500</x:v>
      </x:c>
      <x:c r="E1323" s="47" t="n">
        <x:v>1</x:v>
      </x:c>
      <x:c r="F1323" s="47" t="n">
        <x:v>1</x:v>
      </x:c>
      <x:c r="G1323" s="47" t="n">
        <x:v>1</x:v>
      </x:c>
      <x:c r="H1323" s="47" t="n">
        <x:v>1</x:v>
      </x:c>
      <x:c r="I1323" s="47" t="n">
        <x:v>1</x:v>
      </x:c>
      <x:c r="J1323" s="47" t="n">
        <x:v>1</x:v>
      </x:c>
      <x:c r="K1323" s="47" t="n">
        <x:v>1</x:v>
      </x:c>
      <x:c r="L1323" s="47" t="n">
        <x:v>1</x:v>
      </x:c>
      <x:c r="M1323" s="29" t="n">
        <x:v>1</x:v>
      </x:c>
    </x:row>
    <x:row r="1324" ht="15" hidden="0" customHeight="1">
      <x:c r="A1324" s="27" t="n">
        <x:v>320</x:v>
      </x:c>
      <x:c r="B1324" s="27" t="n">
        <x:v>331224</x:v>
      </x:c>
      <x:c r="C1324" s="27" t="str">
        <x:v>A2</x:v>
      </x:c>
      <x:c r="D1324" s="52" t="n">
        <x:v>2500</x:v>
      </x:c>
      <x:c r="E1324" s="46" t="n">
        <x:v>1</x:v>
      </x:c>
      <x:c r="F1324" s="46" t="n">
        <x:v>0.9999999999999999</x:v>
      </x:c>
      <x:c r="G1324" s="46" t="n">
        <x:v>1</x:v>
      </x:c>
      <x:c r="H1324" s="46" t="n">
        <x:v>1</x:v>
      </x:c>
      <x:c r="I1324" s="46" t="n">
        <x:v>1</x:v>
      </x:c>
      <x:c r="J1324" s="46" t="n">
        <x:v>1</x:v>
      </x:c>
      <x:c r="K1324" s="46" t="n">
        <x:v>1</x:v>
      </x:c>
      <x:c r="L1324" s="46" t="n">
        <x:v>1</x:v>
      </x:c>
      <x:c r="M1324" s="27" t="n">
        <x:v>1</x:v>
      </x:c>
    </x:row>
    <x:row r="1325" ht="15" hidden="0" customHeight="1">
      <x:c r="A1325" s="29" t="n">
        <x:v>321</x:v>
      </x:c>
      <x:c r="B1325" s="29" t="n">
        <x:v>331225</x:v>
      </x:c>
      <x:c r="C1325" s="29" t="str">
        <x:v>A2</x:v>
      </x:c>
      <x:c r="D1325" s="53" t="n">
        <x:v>2500</x:v>
      </x:c>
      <x:c r="E1325" s="47" t="n">
        <x:v>1</x:v>
      </x:c>
      <x:c r="F1325" s="47" t="n">
        <x:v>1</x:v>
      </x:c>
      <x:c r="G1325" s="47" t="n">
        <x:v>1</x:v>
      </x:c>
      <x:c r="H1325" s="47" t="n">
        <x:v>1</x:v>
      </x:c>
      <x:c r="I1325" s="47" t="n">
        <x:v>1</x:v>
      </x:c>
      <x:c r="J1325" s="47" t="n">
        <x:v>1</x:v>
      </x:c>
      <x:c r="K1325" s="47" t="n">
        <x:v>1</x:v>
      </x:c>
      <x:c r="L1325" s="47" t="n">
        <x:v>0.9999999999999999</x:v>
      </x:c>
      <x:c r="M1325" s="29" t="n">
        <x:v>1</x:v>
      </x:c>
    </x:row>
    <x:row r="1326" ht="15" hidden="0" customHeight="1">
      <x:c r="A1326" s="27" t="n">
        <x:v>322</x:v>
      </x:c>
      <x:c r="B1326" s="27" t="n">
        <x:v>331226</x:v>
      </x:c>
      <x:c r="C1326" s="27" t="str">
        <x:v>A2</x:v>
      </x:c>
      <x:c r="D1326" s="52" t="n">
        <x:v>2500</x:v>
      </x:c>
      <x:c r="E1326" s="46" t="n">
        <x:v>1</x:v>
      </x:c>
      <x:c r="F1326" s="46" t="n">
        <x:v>1</x:v>
      </x:c>
      <x:c r="G1326" s="46" t="n">
        <x:v>1</x:v>
      </x:c>
      <x:c r="H1326" s="46" t="n">
        <x:v>1</x:v>
      </x:c>
      <x:c r="I1326" s="46" t="n">
        <x:v>1</x:v>
      </x:c>
      <x:c r="J1326" s="46" t="n">
        <x:v>1</x:v>
      </x:c>
      <x:c r="K1326" s="46" t="n">
        <x:v>1</x:v>
      </x:c>
      <x:c r="L1326" s="46" t="n">
        <x:v>1</x:v>
      </x:c>
      <x:c r="M1326" s="27" t="n">
        <x:v>1</x:v>
      </x:c>
    </x:row>
    <x:row r="1327" ht="15" hidden="0" customHeight="1">
      <x:c r="A1327" s="29" t="n">
        <x:v>323</x:v>
      </x:c>
      <x:c r="B1327" s="29" t="n">
        <x:v>331227</x:v>
      </x:c>
      <x:c r="C1327" s="29" t="str">
        <x:v>A2</x:v>
      </x:c>
      <x:c r="D1327" s="53" t="n">
        <x:v>2500</x:v>
      </x:c>
      <x:c r="E1327" s="47" t="n">
        <x:v>1</x:v>
      </x:c>
      <x:c r="F1327" s="47" t="n">
        <x:v>1</x:v>
      </x:c>
      <x:c r="G1327" s="47" t="n">
        <x:v>1</x:v>
      </x:c>
      <x:c r="H1327" s="47" t="n">
        <x:v>1</x:v>
      </x:c>
      <x:c r="I1327" s="47" t="n">
        <x:v>1</x:v>
      </x:c>
      <x:c r="J1327" s="47" t="n">
        <x:v>1</x:v>
      </x:c>
      <x:c r="K1327" s="47" t="n">
        <x:v>1</x:v>
      </x:c>
      <x:c r="L1327" s="47" t="n">
        <x:v>1</x:v>
      </x:c>
      <x:c r="M1327" s="29" t="n">
        <x:v>1</x:v>
      </x:c>
    </x:row>
    <x:row r="1328" ht="15" hidden="0" customHeight="1">
      <x:c r="A1328" s="27" t="n">
        <x:v>324</x:v>
      </x:c>
      <x:c r="B1328" s="27" t="n">
        <x:v>331228</x:v>
      </x:c>
      <x:c r="C1328" s="27" t="str">
        <x:v>A2</x:v>
      </x:c>
      <x:c r="D1328" s="52" t="n">
        <x:v>2500</x:v>
      </x:c>
      <x:c r="E1328" s="46" t="n">
        <x:v>1</x:v>
      </x:c>
      <x:c r="F1328" s="46" t="n">
        <x:v>0.9999999999999999</x:v>
      </x:c>
      <x:c r="G1328" s="46" t="n">
        <x:v>1</x:v>
      </x:c>
      <x:c r="H1328" s="46" t="n">
        <x:v>1</x:v>
      </x:c>
      <x:c r="I1328" s="46" t="n">
        <x:v>1</x:v>
      </x:c>
      <x:c r="J1328" s="46" t="n">
        <x:v>1</x:v>
      </x:c>
      <x:c r="K1328" s="46" t="n">
        <x:v>1</x:v>
      </x:c>
      <x:c r="L1328" s="46" t="n">
        <x:v>1</x:v>
      </x:c>
      <x:c r="M1328" s="27" t="n">
        <x:v>1</x:v>
      </x:c>
    </x:row>
    <x:row r="1329" ht="15" hidden="0" customHeight="1">
      <x:c r="A1329" s="29" t="n">
        <x:v>325</x:v>
      </x:c>
      <x:c r="B1329" s="29" t="n">
        <x:v>331229</x:v>
      </x:c>
      <x:c r="C1329" s="29" t="str">
        <x:v>A2</x:v>
      </x:c>
      <x:c r="D1329" s="53" t="n">
        <x:v>2500</x:v>
      </x:c>
      <x:c r="E1329" s="47" t="n">
        <x:v>1</x:v>
      </x:c>
      <x:c r="F1329" s="47" t="n">
        <x:v>1</x:v>
      </x:c>
      <x:c r="G1329" s="47" t="n">
        <x:v>1</x:v>
      </x:c>
      <x:c r="H1329" s="47" t="n">
        <x:v>1</x:v>
      </x:c>
      <x:c r="I1329" s="47" t="n">
        <x:v>1</x:v>
      </x:c>
      <x:c r="J1329" s="47" t="n">
        <x:v>1</x:v>
      </x:c>
      <x:c r="K1329" s="47" t="n">
        <x:v>1</x:v>
      </x:c>
      <x:c r="L1329" s="47" t="n">
        <x:v>1</x:v>
      </x:c>
      <x:c r="M1329" s="29" t="n">
        <x:v>1</x:v>
      </x:c>
    </x:row>
    <x:row r="1330" ht="15" hidden="0" customHeight="1">
      <x:c r="A1330" s="27" t="n">
        <x:v>326</x:v>
      </x:c>
      <x:c r="B1330" s="27" t="n">
        <x:v>331230</x:v>
      </x:c>
      <x:c r="C1330" s="27" t="str">
        <x:v>A2</x:v>
      </x:c>
      <x:c r="D1330" s="52" t="n">
        <x:v>2500</x:v>
      </x:c>
      <x:c r="E1330" s="46" t="n">
        <x:v>1</x:v>
      </x:c>
      <x:c r="F1330" s="46" t="n">
        <x:v>1</x:v>
      </x:c>
      <x:c r="G1330" s="46" t="n">
        <x:v>1</x:v>
      </x:c>
      <x:c r="H1330" s="46" t="n">
        <x:v>1</x:v>
      </x:c>
      <x:c r="I1330" s="46" t="n">
        <x:v>1</x:v>
      </x:c>
      <x:c r="J1330" s="46" t="n">
        <x:v>1</x:v>
      </x:c>
      <x:c r="K1330" s="46" t="n">
        <x:v>1</x:v>
      </x:c>
      <x:c r="L1330" s="46" t="n">
        <x:v>1</x:v>
      </x:c>
      <x:c r="M1330" s="27" t="n">
        <x:v>1</x:v>
      </x:c>
    </x:row>
    <x:row r="1331" ht="15" hidden="0" customHeight="1">
      <x:c r="A1331" s="29" t="n">
        <x:v>327</x:v>
      </x:c>
      <x:c r="B1331" s="29" t="n">
        <x:v>331231</x:v>
      </x:c>
      <x:c r="C1331" s="29" t="str">
        <x:v>A2</x:v>
      </x:c>
      <x:c r="D1331" s="53" t="n">
        <x:v>2500</x:v>
      </x:c>
      <x:c r="E1331" s="47" t="n">
        <x:v>1</x:v>
      </x:c>
      <x:c r="F1331" s="47" t="n">
        <x:v>0.9999999999999998</x:v>
      </x:c>
      <x:c r="G1331" s="47" t="n">
        <x:v>1</x:v>
      </x:c>
      <x:c r="H1331" s="47" t="n">
        <x:v>1</x:v>
      </x:c>
      <x:c r="I1331" s="47" t="n">
        <x:v>1</x:v>
      </x:c>
      <x:c r="J1331" s="47" t="n">
        <x:v>1</x:v>
      </x:c>
      <x:c r="K1331" s="47" t="n">
        <x:v>1</x:v>
      </x:c>
      <x:c r="L1331" s="47" t="n">
        <x:v>1</x:v>
      </x:c>
      <x:c r="M1331" s="29" t="n">
        <x:v>1</x:v>
      </x:c>
    </x:row>
    <x:row r="1332" ht="15" hidden="0" customHeight="1">
      <x:c r="A1332" s="27" t="n">
        <x:v>328</x:v>
      </x:c>
      <x:c r="B1332" s="27" t="n">
        <x:v>331232</x:v>
      </x:c>
      <x:c r="C1332" s="27" t="str">
        <x:v>A2</x:v>
      </x:c>
      <x:c r="D1332" s="52" t="n">
        <x:v>2500</x:v>
      </x:c>
      <x:c r="E1332" s="46" t="n">
        <x:v>1</x:v>
      </x:c>
      <x:c r="F1332" s="46" t="n">
        <x:v>0.9999999999999998</x:v>
      </x:c>
      <x:c r="G1332" s="46" t="n">
        <x:v>1</x:v>
      </x:c>
      <x:c r="H1332" s="46" t="n">
        <x:v>1</x:v>
      </x:c>
      <x:c r="I1332" s="46" t="n">
        <x:v>1</x:v>
      </x:c>
      <x:c r="J1332" s="46" t="n">
        <x:v>1</x:v>
      </x:c>
      <x:c r="K1332" s="46" t="n">
        <x:v>1</x:v>
      </x:c>
      <x:c r="L1332" s="46" t="n">
        <x:v>1</x:v>
      </x:c>
      <x:c r="M1332" s="27" t="n">
        <x:v>1</x:v>
      </x:c>
    </x:row>
    <x:row r="1333" ht="15" hidden="0" customHeight="1">
      <x:c r="A1333" s="29" t="n">
        <x:v>329</x:v>
      </x:c>
      <x:c r="B1333" s="29" t="n">
        <x:v>331233</x:v>
      </x:c>
      <x:c r="C1333" s="29" t="str">
        <x:v>A2</x:v>
      </x:c>
      <x:c r="D1333" s="53" t="n">
        <x:v>2500</x:v>
      </x:c>
      <x:c r="E1333" s="47" t="n">
        <x:v>1</x:v>
      </x:c>
      <x:c r="F1333" s="47" t="n">
        <x:v>1</x:v>
      </x:c>
      <x:c r="G1333" s="47" t="n">
        <x:v>1</x:v>
      </x:c>
      <x:c r="H1333" s="47" t="n">
        <x:v>1</x:v>
      </x:c>
      <x:c r="I1333" s="47" t="n">
        <x:v>1</x:v>
      </x:c>
      <x:c r="J1333" s="47" t="n">
        <x:v>1</x:v>
      </x:c>
      <x:c r="K1333" s="47" t="n">
        <x:v>1</x:v>
      </x:c>
      <x:c r="L1333" s="47" t="n">
        <x:v>1</x:v>
      </x:c>
      <x:c r="M1333" s="29" t="n">
        <x:v>1</x:v>
      </x:c>
    </x:row>
    <x:row r="1334" ht="15" hidden="0" customHeight="1">
      <x:c r="A1334" s="27" t="n">
        <x:v>330</x:v>
      </x:c>
      <x:c r="B1334" s="27" t="n">
        <x:v>331234</x:v>
      </x:c>
      <x:c r="C1334" s="27" t="str">
        <x:v>A2</x:v>
      </x:c>
      <x:c r="D1334" s="52" t="n">
        <x:v>2500</x:v>
      </x:c>
      <x:c r="E1334" s="46" t="n">
        <x:v>1</x:v>
      </x:c>
      <x:c r="F1334" s="46" t="n">
        <x:v>1</x:v>
      </x:c>
      <x:c r="G1334" s="46" t="n">
        <x:v>1</x:v>
      </x:c>
      <x:c r="H1334" s="46" t="n">
        <x:v>1</x:v>
      </x:c>
      <x:c r="I1334" s="46" t="n">
        <x:v>1</x:v>
      </x:c>
      <x:c r="J1334" s="46" t="n">
        <x:v>1</x:v>
      </x:c>
      <x:c r="K1334" s="46" t="n">
        <x:v>1</x:v>
      </x:c>
      <x:c r="L1334" s="46" t="n">
        <x:v>1</x:v>
      </x:c>
      <x:c r="M1334" s="27" t="n">
        <x:v>1</x:v>
      </x:c>
    </x:row>
    <x:row r="1335" ht="15" hidden="0" customHeight="1">
      <x:c r="A1335" s="29" t="n">
        <x:v>331</x:v>
      </x:c>
      <x:c r="B1335" s="29" t="n">
        <x:v>331235</x:v>
      </x:c>
      <x:c r="C1335" s="29" t="str">
        <x:v>A2</x:v>
      </x:c>
      <x:c r="D1335" s="53" t="n">
        <x:v>2500</x:v>
      </x:c>
      <x:c r="E1335" s="47" t="n">
        <x:v>1</x:v>
      </x:c>
      <x:c r="F1335" s="47" t="n">
        <x:v>1</x:v>
      </x:c>
      <x:c r="G1335" s="47" t="n">
        <x:v>1</x:v>
      </x:c>
      <x:c r="H1335" s="47" t="n">
        <x:v>1</x:v>
      </x:c>
      <x:c r="I1335" s="47" t="n">
        <x:v>1</x:v>
      </x:c>
      <x:c r="J1335" s="47" t="n">
        <x:v>1</x:v>
      </x:c>
      <x:c r="K1335" s="47" t="n">
        <x:v>1</x:v>
      </x:c>
      <x:c r="L1335" s="47" t="n">
        <x:v>1</x:v>
      </x:c>
      <x:c r="M1335" s="29" t="n">
        <x:v>1</x:v>
      </x:c>
    </x:row>
    <x:row r="1336" ht="15" hidden="0" customHeight="1">
      <x:c r="A1336" s="27" t="n">
        <x:v>332</x:v>
      </x:c>
      <x:c r="B1336" s="27" t="n">
        <x:v>331236</x:v>
      </x:c>
      <x:c r="C1336" s="27" t="str">
        <x:v>A2</x:v>
      </x:c>
      <x:c r="D1336" s="52" t="n">
        <x:v>2500</x:v>
      </x:c>
      <x:c r="E1336" s="46" t="n">
        <x:v>1</x:v>
      </x:c>
      <x:c r="F1336" s="46" t="n">
        <x:v>1</x:v>
      </x:c>
      <x:c r="G1336" s="46" t="n">
        <x:v>1</x:v>
      </x:c>
      <x:c r="H1336" s="46" t="n">
        <x:v>1</x:v>
      </x:c>
      <x:c r="I1336" s="46" t="n">
        <x:v>1</x:v>
      </x:c>
      <x:c r="J1336" s="46" t="n">
        <x:v>1</x:v>
      </x:c>
      <x:c r="K1336" s="46" t="n">
        <x:v>1</x:v>
      </x:c>
      <x:c r="L1336" s="46" t="n">
        <x:v>1</x:v>
      </x:c>
      <x:c r="M1336" s="27" t="n">
        <x:v>1</x:v>
      </x:c>
    </x:row>
    <x:row r="1337" ht="15" hidden="0" customHeight="1">
      <x:c r="A1337" s="29" t="n">
        <x:v>333</x:v>
      </x:c>
      <x:c r="B1337" s="29" t="n">
        <x:v>331237</x:v>
      </x:c>
      <x:c r="C1337" s="29" t="str">
        <x:v>A2</x:v>
      </x:c>
      <x:c r="D1337" s="53" t="n">
        <x:v>2500</x:v>
      </x:c>
      <x:c r="E1337" s="47" t="n">
        <x:v>1</x:v>
      </x:c>
      <x:c r="F1337" s="47" t="n">
        <x:v>0.9999999999999998</x:v>
      </x:c>
      <x:c r="G1337" s="47" t="n">
        <x:v>1</x:v>
      </x:c>
      <x:c r="H1337" s="47" t="n">
        <x:v>1</x:v>
      </x:c>
      <x:c r="I1337" s="47" t="n">
        <x:v>1</x:v>
      </x:c>
      <x:c r="J1337" s="47" t="n">
        <x:v>1</x:v>
      </x:c>
      <x:c r="K1337" s="47" t="n">
        <x:v>1</x:v>
      </x:c>
      <x:c r="L1337" s="47" t="n">
        <x:v>1</x:v>
      </x:c>
      <x:c r="M1337" s="29" t="n">
        <x:v>1</x:v>
      </x:c>
    </x:row>
    <x:row r="1338" ht="15" hidden="0" customHeight="1">
      <x:c r="A1338" s="27" t="n">
        <x:v>334</x:v>
      </x:c>
      <x:c r="B1338" s="27" t="n">
        <x:v>331238</x:v>
      </x:c>
      <x:c r="C1338" s="27" t="str">
        <x:v>A2</x:v>
      </x:c>
      <x:c r="D1338" s="52" t="n">
        <x:v>2500</x:v>
      </x:c>
      <x:c r="E1338" s="46" t="n">
        <x:v>1</x:v>
      </x:c>
      <x:c r="F1338" s="46" t="n">
        <x:v>1</x:v>
      </x:c>
      <x:c r="G1338" s="46" t="n">
        <x:v>1</x:v>
      </x:c>
      <x:c r="H1338" s="46" t="n">
        <x:v>1</x:v>
      </x:c>
      <x:c r="I1338" s="46" t="n">
        <x:v>1</x:v>
      </x:c>
      <x:c r="J1338" s="46" t="n">
        <x:v>1</x:v>
      </x:c>
      <x:c r="K1338" s="46" t="n">
        <x:v>1</x:v>
      </x:c>
      <x:c r="L1338" s="46" t="n">
        <x:v>1</x:v>
      </x:c>
      <x:c r="M1338" s="27" t="n">
        <x:v>1</x:v>
      </x:c>
    </x:row>
    <x:row r="1339" ht="15" hidden="0" customHeight="1">
      <x:c r="A1339" s="29" t="n">
        <x:v>335</x:v>
      </x:c>
      <x:c r="B1339" s="29" t="n">
        <x:v>331239</x:v>
      </x:c>
      <x:c r="C1339" s="29" t="str">
        <x:v>A2</x:v>
      </x:c>
      <x:c r="D1339" s="53" t="n">
        <x:v>2484.5169829446636</x:v>
      </x:c>
      <x:c r="E1339" s="47" t="n">
        <x:v>0.9938067931778655</x:v>
      </x:c>
      <x:c r="F1339" s="47" t="n">
        <x:v>0.9380679317786537</x:v>
      </x:c>
      <x:c r="G1339" s="47" t="n">
        <x:v>1</x:v>
      </x:c>
      <x:c r="H1339" s="47" t="n">
        <x:v>1</x:v>
      </x:c>
      <x:c r="I1339" s="47" t="n">
        <x:v>1</x:v>
      </x:c>
      <x:c r="J1339" s="47" t="n">
        <x:v>1</x:v>
      </x:c>
      <x:c r="K1339" s="47" t="n">
        <x:v>1</x:v>
      </x:c>
      <x:c r="L1339" s="47" t="n">
        <x:v>0.9923523616384714</x:v>
      </x:c>
      <x:c r="M1339" s="29" t="n">
        <x:v>0</x:v>
      </x:c>
    </x:row>
    <x:row r="1340" ht="15" hidden="0" customHeight="1">
      <x:c r="A1340" s="27" t="n">
        <x:v>336</x:v>
      </x:c>
      <x:c r="B1340" s="27" t="n">
        <x:v>331240</x:v>
      </x:c>
      <x:c r="C1340" s="27" t="str">
        <x:v>A2</x:v>
      </x:c>
      <x:c r="D1340" s="52" t="n">
        <x:v>2500</x:v>
      </x:c>
      <x:c r="E1340" s="46" t="n">
        <x:v>1</x:v>
      </x:c>
      <x:c r="F1340" s="46" t="n">
        <x:v>1</x:v>
      </x:c>
      <x:c r="G1340" s="46" t="n">
        <x:v>1</x:v>
      </x:c>
      <x:c r="H1340" s="46" t="n">
        <x:v>1</x:v>
      </x:c>
      <x:c r="I1340" s="46" t="n">
        <x:v>1</x:v>
      </x:c>
      <x:c r="J1340" s="46" t="n">
        <x:v>1</x:v>
      </x:c>
      <x:c r="K1340" s="46" t="n">
        <x:v>1</x:v>
      </x:c>
      <x:c r="L1340" s="46" t="n">
        <x:v>1</x:v>
      </x:c>
      <x:c r="M1340" s="27" t="n">
        <x:v>1</x:v>
      </x:c>
    </x:row>
    <x:row r="1341" ht="15" hidden="0" customHeight="1">
      <x:c r="A1341" s="29" t="n">
        <x:v>337</x:v>
      </x:c>
      <x:c r="B1341" s="29" t="n">
        <x:v>331241</x:v>
      </x:c>
      <x:c r="C1341" s="29" t="str">
        <x:v>A2</x:v>
      </x:c>
      <x:c r="D1341" s="53" t="n">
        <x:v>2500</x:v>
      </x:c>
      <x:c r="E1341" s="47" t="n">
        <x:v>1</x:v>
      </x:c>
      <x:c r="F1341" s="47" t="n">
        <x:v>1</x:v>
      </x:c>
      <x:c r="G1341" s="47" t="n">
        <x:v>1</x:v>
      </x:c>
      <x:c r="H1341" s="47" t="n">
        <x:v>1</x:v>
      </x:c>
      <x:c r="I1341" s="47" t="n">
        <x:v>1</x:v>
      </x:c>
      <x:c r="J1341" s="47" t="n">
        <x:v>1</x:v>
      </x:c>
      <x:c r="K1341" s="47" t="n">
        <x:v>1</x:v>
      </x:c>
      <x:c r="L1341" s="47" t="n">
        <x:v>1</x:v>
      </x:c>
      <x:c r="M1341" s="29" t="n">
        <x:v>1</x:v>
      </x:c>
    </x:row>
    <x:row r="1342" ht="15" hidden="0" customHeight="1">
      <x:c r="A1342" s="27" t="n">
        <x:v>338</x:v>
      </x:c>
      <x:c r="B1342" s="27" t="n">
        <x:v>331242</x:v>
      </x:c>
      <x:c r="C1342" s="27" t="str">
        <x:v>A2</x:v>
      </x:c>
      <x:c r="D1342" s="52" t="n">
        <x:v>2462.2184567736294</x:v>
      </x:c>
      <x:c r="E1342" s="46" t="n">
        <x:v>0.9848873827094518</x:v>
      </x:c>
      <x:c r="F1342" s="46" t="n">
        <x:v>0.8488738270945173</x:v>
      </x:c>
      <x:c r="G1342" s="46" t="n">
        <x:v>1</x:v>
      </x:c>
      <x:c r="H1342" s="46" t="n">
        <x:v>1</x:v>
      </x:c>
      <x:c r="I1342" s="46" t="n">
        <x:v>1</x:v>
      </x:c>
      <x:c r="J1342" s="46" t="n">
        <x:v>1</x:v>
      </x:c>
      <x:c r="K1342" s="46" t="n">
        <x:v>1</x:v>
      </x:c>
      <x:c r="L1342" s="46" t="n">
        <x:v>0.9813382896690568</x:v>
      </x:c>
      <x:c r="M1342" s="27" t="n">
        <x:v>0</x:v>
      </x:c>
    </x:row>
    <x:row r="1343" ht="15" hidden="0" customHeight="1">
      <x:c r="A1343" s="29" t="n">
        <x:v>339</x:v>
      </x:c>
      <x:c r="B1343" s="29" t="n">
        <x:v>331243</x:v>
      </x:c>
      <x:c r="C1343" s="29" t="str">
        <x:v>A2</x:v>
      </x:c>
      <x:c r="D1343" s="53" t="n">
        <x:v>2500</x:v>
      </x:c>
      <x:c r="E1343" s="47" t="n">
        <x:v>1</x:v>
      </x:c>
      <x:c r="F1343" s="47" t="n">
        <x:v>1</x:v>
      </x:c>
      <x:c r="G1343" s="47" t="n">
        <x:v>1</x:v>
      </x:c>
      <x:c r="H1343" s="47" t="n">
        <x:v>1</x:v>
      </x:c>
      <x:c r="I1343" s="47" t="n">
        <x:v>1</x:v>
      </x:c>
      <x:c r="J1343" s="47" t="n">
        <x:v>1</x:v>
      </x:c>
      <x:c r="K1343" s="47" t="n">
        <x:v>1</x:v>
      </x:c>
      <x:c r="L1343" s="47" t="n">
        <x:v>1</x:v>
      </x:c>
      <x:c r="M1343" s="29" t="n">
        <x:v>1</x:v>
      </x:c>
    </x:row>
    <x:row r="1344" ht="15" hidden="0" customHeight="1">
      <x:c r="A1344" s="27" t="n">
        <x:v>340</x:v>
      </x:c>
      <x:c r="B1344" s="27" t="n">
        <x:v>331244</x:v>
      </x:c>
      <x:c r="C1344" s="27" t="str">
        <x:v>A2</x:v>
      </x:c>
      <x:c r="D1344" s="52" t="n">
        <x:v>2500</x:v>
      </x:c>
      <x:c r="E1344" s="46" t="n">
        <x:v>1</x:v>
      </x:c>
      <x:c r="F1344" s="46" t="n">
        <x:v>1</x:v>
      </x:c>
      <x:c r="G1344" s="46" t="n">
        <x:v>1</x:v>
      </x:c>
      <x:c r="H1344" s="46" t="n">
        <x:v>1</x:v>
      </x:c>
      <x:c r="I1344" s="46" t="n">
        <x:v>1</x:v>
      </x:c>
      <x:c r="J1344" s="46" t="n">
        <x:v>1</x:v>
      </x:c>
      <x:c r="K1344" s="46" t="n">
        <x:v>1</x:v>
      </x:c>
      <x:c r="L1344" s="46" t="n">
        <x:v>1</x:v>
      </x:c>
      <x:c r="M1344" s="27" t="n">
        <x:v>1</x:v>
      </x:c>
    </x:row>
    <x:row r="1345" ht="15" hidden="0" customHeight="1">
      <x:c r="A1345" s="29" t="n">
        <x:v>341</x:v>
      </x:c>
      <x:c r="B1345" s="29" t="n">
        <x:v>331245</x:v>
      </x:c>
      <x:c r="C1345" s="29" t="str">
        <x:v>A2</x:v>
      </x:c>
      <x:c r="D1345" s="53" t="n">
        <x:v>2500</x:v>
      </x:c>
      <x:c r="E1345" s="47" t="n">
        <x:v>1</x:v>
      </x:c>
      <x:c r="F1345" s="47" t="n">
        <x:v>1</x:v>
      </x:c>
      <x:c r="G1345" s="47" t="n">
        <x:v>1</x:v>
      </x:c>
      <x:c r="H1345" s="47" t="n">
        <x:v>1</x:v>
      </x:c>
      <x:c r="I1345" s="47" t="n">
        <x:v>1</x:v>
      </x:c>
      <x:c r="J1345" s="47" t="n">
        <x:v>1</x:v>
      </x:c>
      <x:c r="K1345" s="47" t="n">
        <x:v>1</x:v>
      </x:c>
      <x:c r="L1345" s="47" t="n">
        <x:v>1</x:v>
      </x:c>
      <x:c r="M1345" s="29" t="n">
        <x:v>1</x:v>
      </x:c>
    </x:row>
    <x:row r="1346" ht="15" hidden="0" customHeight="1">
      <x:c r="A1346" s="27" t="n">
        <x:v>342</x:v>
      </x:c>
      <x:c r="B1346" s="27" t="n">
        <x:v>331246</x:v>
      </x:c>
      <x:c r="C1346" s="27" t="str">
        <x:v>A2</x:v>
      </x:c>
      <x:c r="D1346" s="52" t="n">
        <x:v>2500</x:v>
      </x:c>
      <x:c r="E1346" s="46" t="n">
        <x:v>1</x:v>
      </x:c>
      <x:c r="F1346" s="46" t="n">
        <x:v>1</x:v>
      </x:c>
      <x:c r="G1346" s="46" t="n">
        <x:v>1</x:v>
      </x:c>
      <x:c r="H1346" s="46" t="n">
        <x:v>1</x:v>
      </x:c>
      <x:c r="I1346" s="46" t="n">
        <x:v>1</x:v>
      </x:c>
      <x:c r="J1346" s="46" t="n">
        <x:v>1</x:v>
      </x:c>
      <x:c r="K1346" s="46" t="n">
        <x:v>1</x:v>
      </x:c>
      <x:c r="L1346" s="46" t="n">
        <x:v>1</x:v>
      </x:c>
      <x:c r="M1346" s="27" t="n">
        <x:v>1</x:v>
      </x:c>
    </x:row>
    <x:row r="1347" ht="15" hidden="0" customHeight="1">
      <x:c r="A1347" s="29" t="n">
        <x:v>343</x:v>
      </x:c>
      <x:c r="B1347" s="29" t="n">
        <x:v>331247</x:v>
      </x:c>
      <x:c r="C1347" s="29" t="str">
        <x:v>A2</x:v>
      </x:c>
      <x:c r="D1347" s="53" t="n">
        <x:v>2500</x:v>
      </x:c>
      <x:c r="E1347" s="47" t="n">
        <x:v>1</x:v>
      </x:c>
      <x:c r="F1347" s="47" t="n">
        <x:v>1</x:v>
      </x:c>
      <x:c r="G1347" s="47" t="n">
        <x:v>1</x:v>
      </x:c>
      <x:c r="H1347" s="47" t="n">
        <x:v>1</x:v>
      </x:c>
      <x:c r="I1347" s="47" t="n">
        <x:v>1</x:v>
      </x:c>
      <x:c r="J1347" s="47" t="n">
        <x:v>1</x:v>
      </x:c>
      <x:c r="K1347" s="47" t="n">
        <x:v>1</x:v>
      </x:c>
      <x:c r="L1347" s="47" t="n">
        <x:v>1</x:v>
      </x:c>
      <x:c r="M1347" s="29" t="n">
        <x:v>1</x:v>
      </x:c>
    </x:row>
    <x:row r="1348" ht="15" hidden="0" customHeight="1">
      <x:c r="A1348" s="27" t="n">
        <x:v>344</x:v>
      </x:c>
      <x:c r="B1348" s="27" t="n">
        <x:v>331248</x:v>
      </x:c>
      <x:c r="C1348" s="27" t="str">
        <x:v>A2</x:v>
      </x:c>
      <x:c r="D1348" s="52" t="n">
        <x:v>2500</x:v>
      </x:c>
      <x:c r="E1348" s="46" t="n">
        <x:v>1</x:v>
      </x:c>
      <x:c r="F1348" s="46" t="n">
        <x:v>1</x:v>
      </x:c>
      <x:c r="G1348" s="46" t="n">
        <x:v>1</x:v>
      </x:c>
      <x:c r="H1348" s="46" t="n">
        <x:v>1</x:v>
      </x:c>
      <x:c r="I1348" s="46" t="n">
        <x:v>1</x:v>
      </x:c>
      <x:c r="J1348" s="46" t="n">
        <x:v>1</x:v>
      </x:c>
      <x:c r="K1348" s="46" t="n">
        <x:v>1</x:v>
      </x:c>
      <x:c r="L1348" s="46" t="n">
        <x:v>1</x:v>
      </x:c>
      <x:c r="M1348" s="27" t="n">
        <x:v>1</x:v>
      </x:c>
    </x:row>
    <x:row r="1349" ht="15" hidden="0" customHeight="1">
      <x:c r="A1349" s="29" t="n">
        <x:v>345</x:v>
      </x:c>
      <x:c r="B1349" s="29" t="n">
        <x:v>331249</x:v>
      </x:c>
      <x:c r="C1349" s="29" t="str">
        <x:v>A2</x:v>
      </x:c>
      <x:c r="D1349" s="53" t="n">
        <x:v>2500</x:v>
      </x:c>
      <x:c r="E1349" s="47" t="n">
        <x:v>1</x:v>
      </x:c>
      <x:c r="F1349" s="47" t="n">
        <x:v>1</x:v>
      </x:c>
      <x:c r="G1349" s="47" t="n">
        <x:v>1</x:v>
      </x:c>
      <x:c r="H1349" s="47" t="n">
        <x:v>1</x:v>
      </x:c>
      <x:c r="I1349" s="47" t="n">
        <x:v>1</x:v>
      </x:c>
      <x:c r="J1349" s="47" t="n">
        <x:v>1</x:v>
      </x:c>
      <x:c r="K1349" s="47" t="n">
        <x:v>1</x:v>
      </x:c>
      <x:c r="L1349" s="47" t="n">
        <x:v>1</x:v>
      </x:c>
      <x:c r="M1349" s="29" t="n">
        <x:v>1</x:v>
      </x:c>
    </x:row>
    <x:row r="1350" ht="15" hidden="0" customHeight="1">
      <x:c r="A1350" s="27" t="n">
        <x:v>346</x:v>
      </x:c>
      <x:c r="B1350" s="27" t="n">
        <x:v>331250</x:v>
      </x:c>
      <x:c r="C1350" s="27" t="str">
        <x:v>A2</x:v>
      </x:c>
      <x:c r="D1350" s="52" t="n">
        <x:v>2500</x:v>
      </x:c>
      <x:c r="E1350" s="46" t="n">
        <x:v>1</x:v>
      </x:c>
      <x:c r="F1350" s="46" t="n">
        <x:v>1</x:v>
      </x:c>
      <x:c r="G1350" s="46" t="n">
        <x:v>1</x:v>
      </x:c>
      <x:c r="H1350" s="46" t="n">
        <x:v>1</x:v>
      </x:c>
      <x:c r="I1350" s="46" t="n">
        <x:v>1</x:v>
      </x:c>
      <x:c r="J1350" s="46" t="n">
        <x:v>1</x:v>
      </x:c>
      <x:c r="K1350" s="46" t="n">
        <x:v>1</x:v>
      </x:c>
      <x:c r="L1350" s="46" t="n">
        <x:v>1</x:v>
      </x:c>
      <x:c r="M1350" s="27" t="n">
        <x:v>1</x:v>
      </x:c>
    </x:row>
    <x:row r="1351" ht="15" hidden="0" customHeight="1">
      <x:c r="A1351" s="29" t="n">
        <x:v>347</x:v>
      </x:c>
      <x:c r="B1351" s="29" t="n">
        <x:v>331251</x:v>
      </x:c>
      <x:c r="C1351" s="29" t="str">
        <x:v>A2</x:v>
      </x:c>
      <x:c r="D1351" s="53" t="n">
        <x:v>2500</x:v>
      </x:c>
      <x:c r="E1351" s="47" t="n">
        <x:v>1</x:v>
      </x:c>
      <x:c r="F1351" s="47" t="n">
        <x:v>1</x:v>
      </x:c>
      <x:c r="G1351" s="47" t="n">
        <x:v>1</x:v>
      </x:c>
      <x:c r="H1351" s="47" t="n">
        <x:v>1</x:v>
      </x:c>
      <x:c r="I1351" s="47" t="n">
        <x:v>1</x:v>
      </x:c>
      <x:c r="J1351" s="47" t="n">
        <x:v>1</x:v>
      </x:c>
      <x:c r="K1351" s="47" t="n">
        <x:v>1</x:v>
      </x:c>
      <x:c r="L1351" s="47" t="n">
        <x:v>1</x:v>
      </x:c>
      <x:c r="M1351" s="29" t="n">
        <x:v>1</x:v>
      </x:c>
    </x:row>
    <x:row r="1352" ht="15" hidden="0" customHeight="1">
      <x:c r="A1352" s="27" t="n">
        <x:v>348</x:v>
      </x:c>
      <x:c r="B1352" s="27" t="n">
        <x:v>331252</x:v>
      </x:c>
      <x:c r="C1352" s="27" t="str">
        <x:v>A2</x:v>
      </x:c>
      <x:c r="D1352" s="52" t="n">
        <x:v>2500</x:v>
      </x:c>
      <x:c r="E1352" s="46" t="n">
        <x:v>1</x:v>
      </x:c>
      <x:c r="F1352" s="46" t="n">
        <x:v>1</x:v>
      </x:c>
      <x:c r="G1352" s="46" t="n">
        <x:v>1</x:v>
      </x:c>
      <x:c r="H1352" s="46" t="n">
        <x:v>1</x:v>
      </x:c>
      <x:c r="I1352" s="46" t="n">
        <x:v>1</x:v>
      </x:c>
      <x:c r="J1352" s="46" t="n">
        <x:v>1</x:v>
      </x:c>
      <x:c r="K1352" s="46" t="n">
        <x:v>1</x:v>
      </x:c>
      <x:c r="L1352" s="46" t="n">
        <x:v>1</x:v>
      </x:c>
      <x:c r="M1352" s="27" t="n">
        <x:v>1</x:v>
      </x:c>
    </x:row>
    <x:row r="1353" ht="15" hidden="0" customHeight="1">
      <x:c r="A1353" s="29" t="n">
        <x:v>349</x:v>
      </x:c>
      <x:c r="B1353" s="29" t="n">
        <x:v>331253</x:v>
      </x:c>
      <x:c r="C1353" s="29" t="str">
        <x:v>A2</x:v>
      </x:c>
      <x:c r="D1353" s="53" t="n">
        <x:v>2500</x:v>
      </x:c>
      <x:c r="E1353" s="47" t="n">
        <x:v>1</x:v>
      </x:c>
      <x:c r="F1353" s="47" t="n">
        <x:v>0.9999999999999998</x:v>
      </x:c>
      <x:c r="G1353" s="47" t="n">
        <x:v>1</x:v>
      </x:c>
      <x:c r="H1353" s="47" t="n">
        <x:v>1</x:v>
      </x:c>
      <x:c r="I1353" s="47" t="n">
        <x:v>1</x:v>
      </x:c>
      <x:c r="J1353" s="47" t="n">
        <x:v>1</x:v>
      </x:c>
      <x:c r="K1353" s="47" t="n">
        <x:v>1</x:v>
      </x:c>
      <x:c r="L1353" s="47" t="n">
        <x:v>1</x:v>
      </x:c>
      <x:c r="M1353" s="29" t="n">
        <x:v>1</x:v>
      </x:c>
    </x:row>
    <x:row r="1354" ht="15" hidden="0" customHeight="1">
      <x:c r="A1354" s="27" t="n">
        <x:v>350</x:v>
      </x:c>
      <x:c r="B1354" s="27" t="n">
        <x:v>331254</x:v>
      </x:c>
      <x:c r="C1354" s="27" t="str">
        <x:v>A2</x:v>
      </x:c>
      <x:c r="D1354" s="52" t="n">
        <x:v>2500</x:v>
      </x:c>
      <x:c r="E1354" s="46" t="n">
        <x:v>1</x:v>
      </x:c>
      <x:c r="F1354" s="46" t="n">
        <x:v>1</x:v>
      </x:c>
      <x:c r="G1354" s="46" t="n">
        <x:v>1</x:v>
      </x:c>
      <x:c r="H1354" s="46" t="n">
        <x:v>1</x:v>
      </x:c>
      <x:c r="I1354" s="46" t="n">
        <x:v>1</x:v>
      </x:c>
      <x:c r="J1354" s="46" t="n">
        <x:v>1</x:v>
      </x:c>
      <x:c r="K1354" s="46" t="n">
        <x:v>1</x:v>
      </x:c>
      <x:c r="L1354" s="46" t="n">
        <x:v>1</x:v>
      </x:c>
      <x:c r="M1354" s="27" t="n">
        <x:v>1</x:v>
      </x:c>
    </x:row>
    <x:row r="1355" ht="15" hidden="0" customHeight="1">
      <x:c r="A1355" s="29" t="n">
        <x:v>351</x:v>
      </x:c>
      <x:c r="B1355" s="29" t="n">
        <x:v>331255</x:v>
      </x:c>
      <x:c r="C1355" s="29" t="str">
        <x:v>A2</x:v>
      </x:c>
      <x:c r="D1355" s="53" t="n">
        <x:v>2500</x:v>
      </x:c>
      <x:c r="E1355" s="47" t="n">
        <x:v>1</x:v>
      </x:c>
      <x:c r="F1355" s="47" t="n">
        <x:v>1</x:v>
      </x:c>
      <x:c r="G1355" s="47" t="n">
        <x:v>1</x:v>
      </x:c>
      <x:c r="H1355" s="47" t="n">
        <x:v>1</x:v>
      </x:c>
      <x:c r="I1355" s="47" t="n">
        <x:v>1</x:v>
      </x:c>
      <x:c r="J1355" s="47" t="n">
        <x:v>1</x:v>
      </x:c>
      <x:c r="K1355" s="47" t="n">
        <x:v>1</x:v>
      </x:c>
      <x:c r="L1355" s="47" t="n">
        <x:v>1</x:v>
      </x:c>
      <x:c r="M1355" s="29" t="n">
        <x:v>1</x:v>
      </x:c>
    </x:row>
    <x:row r="1356" ht="15" hidden="0" customHeight="1">
      <x:c r="A1356" s="27" t="n">
        <x:v>352</x:v>
      </x:c>
      <x:c r="B1356" s="27" t="n">
        <x:v>331256</x:v>
      </x:c>
      <x:c r="C1356" s="27" t="str">
        <x:v>A2</x:v>
      </x:c>
      <x:c r="D1356" s="52" t="n">
        <x:v>2500</x:v>
      </x:c>
      <x:c r="E1356" s="46" t="n">
        <x:v>1</x:v>
      </x:c>
      <x:c r="F1356" s="46" t="n">
        <x:v>1</x:v>
      </x:c>
      <x:c r="G1356" s="46" t="n">
        <x:v>1</x:v>
      </x:c>
      <x:c r="H1356" s="46" t="n">
        <x:v>1</x:v>
      </x:c>
      <x:c r="I1356" s="46" t="n">
        <x:v>1</x:v>
      </x:c>
      <x:c r="J1356" s="46" t="n">
        <x:v>1</x:v>
      </x:c>
      <x:c r="K1356" s="46" t="n">
        <x:v>1</x:v>
      </x:c>
      <x:c r="L1356" s="46" t="n">
        <x:v>1</x:v>
      </x:c>
      <x:c r="M1356" s="27" t="n">
        <x:v>1</x:v>
      </x:c>
    </x:row>
    <x:row r="1357" ht="15" hidden="0" customHeight="1">
      <x:c r="A1357" s="29" t="n">
        <x:v>353</x:v>
      </x:c>
      <x:c r="B1357" s="29" t="n">
        <x:v>331257</x:v>
      </x:c>
      <x:c r="C1357" s="29" t="str">
        <x:v>A2</x:v>
      </x:c>
      <x:c r="D1357" s="53" t="n">
        <x:v>2500</x:v>
      </x:c>
      <x:c r="E1357" s="47" t="n">
        <x:v>1</x:v>
      </x:c>
      <x:c r="F1357" s="47" t="n">
        <x:v>1</x:v>
      </x:c>
      <x:c r="G1357" s="47" t="n">
        <x:v>1</x:v>
      </x:c>
      <x:c r="H1357" s="47" t="n">
        <x:v>1</x:v>
      </x:c>
      <x:c r="I1357" s="47" t="n">
        <x:v>1</x:v>
      </x:c>
      <x:c r="J1357" s="47" t="n">
        <x:v>1</x:v>
      </x:c>
      <x:c r="K1357" s="47" t="n">
        <x:v>1</x:v>
      </x:c>
      <x:c r="L1357" s="47" t="n">
        <x:v>1</x:v>
      </x:c>
      <x:c r="M1357" s="29" t="n">
        <x:v>1</x:v>
      </x:c>
    </x:row>
    <x:row r="1358" ht="15" hidden="0" customHeight="1">
      <x:c r="A1358" s="27" t="n">
        <x:v>354</x:v>
      </x:c>
      <x:c r="B1358" s="27" t="n">
        <x:v>331258</x:v>
      </x:c>
      <x:c r="C1358" s="27" t="str">
        <x:v>A2</x:v>
      </x:c>
      <x:c r="D1358" s="52" t="n">
        <x:v>2500</x:v>
      </x:c>
      <x:c r="E1358" s="46" t="n">
        <x:v>1</x:v>
      </x:c>
      <x:c r="F1358" s="46" t="n">
        <x:v>1</x:v>
      </x:c>
      <x:c r="G1358" s="46" t="n">
        <x:v>1</x:v>
      </x:c>
      <x:c r="H1358" s="46" t="n">
        <x:v>1</x:v>
      </x:c>
      <x:c r="I1358" s="46" t="n">
        <x:v>1</x:v>
      </x:c>
      <x:c r="J1358" s="46" t="n">
        <x:v>1</x:v>
      </x:c>
      <x:c r="K1358" s="46" t="n">
        <x:v>1</x:v>
      </x:c>
      <x:c r="L1358" s="46" t="n">
        <x:v>1</x:v>
      </x:c>
      <x:c r="M1358" s="27" t="n">
        <x:v>1</x:v>
      </x:c>
    </x:row>
    <x:row r="1359" ht="15" hidden="0" customHeight="1">
      <x:c r="A1359" s="29" t="n">
        <x:v>355</x:v>
      </x:c>
      <x:c r="B1359" s="29" t="n">
        <x:v>331259</x:v>
      </x:c>
      <x:c r="C1359" s="29" t="str">
        <x:v>A2</x:v>
      </x:c>
      <x:c r="D1359" s="53" t="n">
        <x:v>2500</x:v>
      </x:c>
      <x:c r="E1359" s="47" t="n">
        <x:v>1</x:v>
      </x:c>
      <x:c r="F1359" s="47" t="n">
        <x:v>1</x:v>
      </x:c>
      <x:c r="G1359" s="47" t="n">
        <x:v>1</x:v>
      </x:c>
      <x:c r="H1359" s="47" t="n">
        <x:v>1</x:v>
      </x:c>
      <x:c r="I1359" s="47" t="n">
        <x:v>1</x:v>
      </x:c>
      <x:c r="J1359" s="47" t="n">
        <x:v>1</x:v>
      </x:c>
      <x:c r="K1359" s="47" t="n">
        <x:v>1</x:v>
      </x:c>
      <x:c r="L1359" s="47" t="n">
        <x:v>1</x:v>
      </x:c>
      <x:c r="M1359" s="29" t="n">
        <x:v>1</x:v>
      </x:c>
    </x:row>
    <x:row r="1360" ht="15" hidden="0" customHeight="1">
      <x:c r="A1360" s="27" t="n">
        <x:v>356</x:v>
      </x:c>
      <x:c r="B1360" s="27" t="n">
        <x:v>331260</x:v>
      </x:c>
      <x:c r="C1360" s="27" t="str">
        <x:v>A2</x:v>
      </x:c>
      <x:c r="D1360" s="52" t="n">
        <x:v>2500</x:v>
      </x:c>
      <x:c r="E1360" s="46" t="n">
        <x:v>1</x:v>
      </x:c>
      <x:c r="F1360" s="46" t="n">
        <x:v>1</x:v>
      </x:c>
      <x:c r="G1360" s="46" t="n">
        <x:v>1</x:v>
      </x:c>
      <x:c r="H1360" s="46" t="n">
        <x:v>1</x:v>
      </x:c>
      <x:c r="I1360" s="46" t="n">
        <x:v>1</x:v>
      </x:c>
      <x:c r="J1360" s="46" t="n">
        <x:v>1</x:v>
      </x:c>
      <x:c r="K1360" s="46" t="n">
        <x:v>1</x:v>
      </x:c>
      <x:c r="L1360" s="46" t="n">
        <x:v>1</x:v>
      </x:c>
      <x:c r="M1360" s="27" t="n">
        <x:v>1</x:v>
      </x:c>
    </x:row>
    <x:row r="1361" ht="15" hidden="0" customHeight="1">
      <x:c r="A1361" s="29" t="n">
        <x:v>357</x:v>
      </x:c>
      <x:c r="B1361" s="29" t="n">
        <x:v>331261</x:v>
      </x:c>
      <x:c r="C1361" s="29" t="str">
        <x:v>A2</x:v>
      </x:c>
      <x:c r="D1361" s="53" t="n">
        <x:v>2500</x:v>
      </x:c>
      <x:c r="E1361" s="47" t="n">
        <x:v>1</x:v>
      </x:c>
      <x:c r="F1361" s="47" t="n">
        <x:v>1</x:v>
      </x:c>
      <x:c r="G1361" s="47" t="n">
        <x:v>1</x:v>
      </x:c>
      <x:c r="H1361" s="47" t="n">
        <x:v>1</x:v>
      </x:c>
      <x:c r="I1361" s="47" t="n">
        <x:v>1</x:v>
      </x:c>
      <x:c r="J1361" s="47" t="n">
        <x:v>1</x:v>
      </x:c>
      <x:c r="K1361" s="47" t="n">
        <x:v>1</x:v>
      </x:c>
      <x:c r="L1361" s="47" t="n">
        <x:v>1</x:v>
      </x:c>
      <x:c r="M1361" s="29" t="n">
        <x:v>1</x:v>
      </x:c>
    </x:row>
    <x:row r="1362" ht="15" hidden="0" customHeight="1">
      <x:c r="A1362" s="27" t="n">
        <x:v>358</x:v>
      </x:c>
      <x:c r="B1362" s="27" t="n">
        <x:v>331262</x:v>
      </x:c>
      <x:c r="C1362" s="27" t="str">
        <x:v>A2</x:v>
      </x:c>
      <x:c r="D1362" s="52" t="n">
        <x:v>2500</x:v>
      </x:c>
      <x:c r="E1362" s="46" t="n">
        <x:v>1</x:v>
      </x:c>
      <x:c r="F1362" s="46" t="n">
        <x:v>1</x:v>
      </x:c>
      <x:c r="G1362" s="46" t="n">
        <x:v>1</x:v>
      </x:c>
      <x:c r="H1362" s="46" t="n">
        <x:v>1</x:v>
      </x:c>
      <x:c r="I1362" s="46" t="n">
        <x:v>1</x:v>
      </x:c>
      <x:c r="J1362" s="46" t="n">
        <x:v>1</x:v>
      </x:c>
      <x:c r="K1362" s="46" t="n">
        <x:v>1</x:v>
      </x:c>
      <x:c r="L1362" s="46" t="n">
        <x:v>1</x:v>
      </x:c>
      <x:c r="M1362" s="27" t="n">
        <x:v>1</x:v>
      </x:c>
    </x:row>
    <x:row r="1363" ht="15" hidden="0" customHeight="1">
      <x:c r="A1363" s="29" t="n">
        <x:v>359</x:v>
      </x:c>
      <x:c r="B1363" s="29" t="n">
        <x:v>331263</x:v>
      </x:c>
      <x:c r="C1363" s="29" t="str">
        <x:v>A2</x:v>
      </x:c>
      <x:c r="D1363" s="53" t="n">
        <x:v>2500</x:v>
      </x:c>
      <x:c r="E1363" s="47" t="n">
        <x:v>1</x:v>
      </x:c>
      <x:c r="F1363" s="47" t="n">
        <x:v>1</x:v>
      </x:c>
      <x:c r="G1363" s="47" t="n">
        <x:v>1</x:v>
      </x:c>
      <x:c r="H1363" s="47" t="n">
        <x:v>1</x:v>
      </x:c>
      <x:c r="I1363" s="47" t="n">
        <x:v>1</x:v>
      </x:c>
      <x:c r="J1363" s="47" t="n">
        <x:v>1</x:v>
      </x:c>
      <x:c r="K1363" s="47" t="n">
        <x:v>1</x:v>
      </x:c>
      <x:c r="L1363" s="47" t="n">
        <x:v>1</x:v>
      </x:c>
      <x:c r="M1363" s="29" t="n">
        <x:v>1</x:v>
      </x:c>
    </x:row>
    <x:row r="1364" ht="15" hidden="0" customHeight="1">
      <x:c r="A1364" s="27" t="n">
        <x:v>360</x:v>
      </x:c>
      <x:c r="B1364" s="27" t="n">
        <x:v>331264</x:v>
      </x:c>
      <x:c r="C1364" s="27" t="str">
        <x:v>A2</x:v>
      </x:c>
      <x:c r="D1364" s="52" t="n">
        <x:v>2500</x:v>
      </x:c>
      <x:c r="E1364" s="46" t="n">
        <x:v>1</x:v>
      </x:c>
      <x:c r="F1364" s="46" t="n">
        <x:v>1</x:v>
      </x:c>
      <x:c r="G1364" s="46" t="n">
        <x:v>1</x:v>
      </x:c>
      <x:c r="H1364" s="46" t="n">
        <x:v>1</x:v>
      </x:c>
      <x:c r="I1364" s="46" t="n">
        <x:v>1</x:v>
      </x:c>
      <x:c r="J1364" s="46" t="n">
        <x:v>1</x:v>
      </x:c>
      <x:c r="K1364" s="46" t="n">
        <x:v>1</x:v>
      </x:c>
      <x:c r="L1364" s="46" t="n">
        <x:v>1</x:v>
      </x:c>
      <x:c r="M1364" s="27" t="n">
        <x:v>1</x:v>
      </x:c>
    </x:row>
    <x:row r="1365" ht="15" hidden="0" customHeight="1">
      <x:c r="A1365" s="29" t="n">
        <x:v>361</x:v>
      </x:c>
      <x:c r="B1365" s="29" t="n">
        <x:v>331265</x:v>
      </x:c>
      <x:c r="C1365" s="29" t="str">
        <x:v>A2</x:v>
      </x:c>
      <x:c r="D1365" s="53" t="n">
        <x:v>2500</x:v>
      </x:c>
      <x:c r="E1365" s="47" t="n">
        <x:v>1</x:v>
      </x:c>
      <x:c r="F1365" s="47" t="n">
        <x:v>0.9999999999999999</x:v>
      </x:c>
      <x:c r="G1365" s="47" t="n">
        <x:v>1</x:v>
      </x:c>
      <x:c r="H1365" s="47" t="n">
        <x:v>1</x:v>
      </x:c>
      <x:c r="I1365" s="47" t="n">
        <x:v>1</x:v>
      </x:c>
      <x:c r="J1365" s="47" t="n">
        <x:v>1</x:v>
      </x:c>
      <x:c r="K1365" s="47" t="n">
        <x:v>1</x:v>
      </x:c>
      <x:c r="L1365" s="47" t="n">
        <x:v>0.9999999999999999</x:v>
      </x:c>
      <x:c r="M1365" s="29" t="n">
        <x:v>1</x:v>
      </x:c>
    </x:row>
    <x:row r="1366" ht="15" hidden="0" customHeight="1">
      <x:c r="A1366" s="27" t="n">
        <x:v>362</x:v>
      </x:c>
      <x:c r="B1366" s="27" t="n">
        <x:v>331266</x:v>
      </x:c>
      <x:c r="C1366" s="27" t="str">
        <x:v>A2</x:v>
      </x:c>
      <x:c r="D1366" s="52" t="n">
        <x:v>2500</x:v>
      </x:c>
      <x:c r="E1366" s="46" t="n">
        <x:v>1</x:v>
      </x:c>
      <x:c r="F1366" s="46" t="n">
        <x:v>1</x:v>
      </x:c>
      <x:c r="G1366" s="46" t="n">
        <x:v>1</x:v>
      </x:c>
      <x:c r="H1366" s="46" t="n">
        <x:v>1</x:v>
      </x:c>
      <x:c r="I1366" s="46" t="n">
        <x:v>1</x:v>
      </x:c>
      <x:c r="J1366" s="46" t="n">
        <x:v>1</x:v>
      </x:c>
      <x:c r="K1366" s="46" t="n">
        <x:v>1</x:v>
      </x:c>
      <x:c r="L1366" s="46" t="n">
        <x:v>1</x:v>
      </x:c>
      <x:c r="M1366" s="27" t="n">
        <x:v>1</x:v>
      </x:c>
    </x:row>
    <x:row r="1367" ht="15" hidden="0" customHeight="1">
      <x:c r="A1367" s="29" t="n">
        <x:v>363</x:v>
      </x:c>
      <x:c r="B1367" s="29" t="n">
        <x:v>331267</x:v>
      </x:c>
      <x:c r="C1367" s="29" t="str">
        <x:v>A2</x:v>
      </x:c>
      <x:c r="D1367" s="53" t="n">
        <x:v>2500</x:v>
      </x:c>
      <x:c r="E1367" s="47" t="n">
        <x:v>1</x:v>
      </x:c>
      <x:c r="F1367" s="47" t="n">
        <x:v>0.9999999999999998</x:v>
      </x:c>
      <x:c r="G1367" s="47" t="n">
        <x:v>1</x:v>
      </x:c>
      <x:c r="H1367" s="47" t="n">
        <x:v>1</x:v>
      </x:c>
      <x:c r="I1367" s="47" t="n">
        <x:v>1</x:v>
      </x:c>
      <x:c r="J1367" s="47" t="n">
        <x:v>1</x:v>
      </x:c>
      <x:c r="K1367" s="47" t="n">
        <x:v>1</x:v>
      </x:c>
      <x:c r="L1367" s="47" t="n">
        <x:v>1</x:v>
      </x:c>
      <x:c r="M1367" s="29" t="n">
        <x:v>1</x:v>
      </x:c>
    </x:row>
    <x:row r="1368" ht="15" hidden="0" customHeight="1">
      <x:c r="A1368" s="27" t="n">
        <x:v>364</x:v>
      </x:c>
      <x:c r="B1368" s="27" t="n">
        <x:v>331268</x:v>
      </x:c>
      <x:c r="C1368" s="27" t="str">
        <x:v>A2</x:v>
      </x:c>
      <x:c r="D1368" s="52" t="n">
        <x:v>2500</x:v>
      </x:c>
      <x:c r="E1368" s="46" t="n">
        <x:v>1</x:v>
      </x:c>
      <x:c r="F1368" s="46" t="n">
        <x:v>1</x:v>
      </x:c>
      <x:c r="G1368" s="46" t="n">
        <x:v>1</x:v>
      </x:c>
      <x:c r="H1368" s="46" t="n">
        <x:v>1</x:v>
      </x:c>
      <x:c r="I1368" s="46" t="n">
        <x:v>1</x:v>
      </x:c>
      <x:c r="J1368" s="46" t="n">
        <x:v>1</x:v>
      </x:c>
      <x:c r="K1368" s="46" t="n">
        <x:v>1</x:v>
      </x:c>
      <x:c r="L1368" s="46" t="n">
        <x:v>1</x:v>
      </x:c>
      <x:c r="M1368" s="27" t="n">
        <x:v>1</x:v>
      </x:c>
    </x:row>
    <x:row r="1369" ht="15" hidden="0" customHeight="1">
      <x:c r="A1369" s="29" t="n">
        <x:v>365</x:v>
      </x:c>
      <x:c r="B1369" s="29" t="n">
        <x:v>331269</x:v>
      </x:c>
      <x:c r="C1369" s="29" t="str">
        <x:v>A2</x:v>
      </x:c>
      <x:c r="D1369" s="53" t="n">
        <x:v>2500</x:v>
      </x:c>
      <x:c r="E1369" s="47" t="n">
        <x:v>1</x:v>
      </x:c>
      <x:c r="F1369" s="47" t="n">
        <x:v>1</x:v>
      </x:c>
      <x:c r="G1369" s="47" t="n">
        <x:v>1</x:v>
      </x:c>
      <x:c r="H1369" s="47" t="n">
        <x:v>1</x:v>
      </x:c>
      <x:c r="I1369" s="47" t="n">
        <x:v>1</x:v>
      </x:c>
      <x:c r="J1369" s="47" t="n">
        <x:v>1</x:v>
      </x:c>
      <x:c r="K1369" s="47" t="n">
        <x:v>1</x:v>
      </x:c>
      <x:c r="L1369" s="47" t="n">
        <x:v>1</x:v>
      </x:c>
      <x:c r="M1369" s="29" t="n">
        <x:v>1</x:v>
      </x:c>
    </x:row>
    <x:row r="1370" ht="15" hidden="0" customHeight="1">
      <x:c r="A1370" s="27" t="n">
        <x:v>366</x:v>
      </x:c>
      <x:c r="B1370" s="27" t="n">
        <x:v>331270</x:v>
      </x:c>
      <x:c r="C1370" s="27" t="str">
        <x:v>A2</x:v>
      </x:c>
      <x:c r="D1370" s="52" t="n">
        <x:v>2500</x:v>
      </x:c>
      <x:c r="E1370" s="46" t="n">
        <x:v>1</x:v>
      </x:c>
      <x:c r="F1370" s="46" t="n">
        <x:v>0.9999999999999998</x:v>
      </x:c>
      <x:c r="G1370" s="46" t="n">
        <x:v>1</x:v>
      </x:c>
      <x:c r="H1370" s="46" t="n">
        <x:v>1</x:v>
      </x:c>
      <x:c r="I1370" s="46" t="n">
        <x:v>1</x:v>
      </x:c>
      <x:c r="J1370" s="46" t="n">
        <x:v>1</x:v>
      </x:c>
      <x:c r="K1370" s="46" t="n">
        <x:v>1</x:v>
      </x:c>
      <x:c r="L1370" s="46" t="n">
        <x:v>1</x:v>
      </x:c>
      <x:c r="M1370" s="27" t="n">
        <x:v>1</x:v>
      </x:c>
    </x:row>
    <x:row r="1371" ht="15" hidden="0" customHeight="1">
      <x:c r="A1371" s="29" t="n">
        <x:v>367</x:v>
      </x:c>
      <x:c r="B1371" s="29" t="n">
        <x:v>331271</x:v>
      </x:c>
      <x:c r="C1371" s="29" t="str">
        <x:v>A2</x:v>
      </x:c>
      <x:c r="D1371" s="53" t="n">
        <x:v>2500</x:v>
      </x:c>
      <x:c r="E1371" s="47" t="n">
        <x:v>1</x:v>
      </x:c>
      <x:c r="F1371" s="47" t="n">
        <x:v>1</x:v>
      </x:c>
      <x:c r="G1371" s="47" t="n">
        <x:v>1</x:v>
      </x:c>
      <x:c r="H1371" s="47" t="n">
        <x:v>1</x:v>
      </x:c>
      <x:c r="I1371" s="47" t="n">
        <x:v>1</x:v>
      </x:c>
      <x:c r="J1371" s="47" t="n">
        <x:v>1</x:v>
      </x:c>
      <x:c r="K1371" s="47" t="n">
        <x:v>1</x:v>
      </x:c>
      <x:c r="L1371" s="47" t="n">
        <x:v>1</x:v>
      </x:c>
      <x:c r="M1371" s="29" t="n">
        <x:v>1</x:v>
      </x:c>
    </x:row>
    <x:row r="1372" ht="15" hidden="0" customHeight="1">
      <x:c r="A1372" s="27" t="n">
        <x:v>368</x:v>
      </x:c>
      <x:c r="B1372" s="27" t="n">
        <x:v>331272</x:v>
      </x:c>
      <x:c r="C1372" s="27" t="str">
        <x:v>A2</x:v>
      </x:c>
      <x:c r="D1372" s="52" t="n">
        <x:v>2500</x:v>
      </x:c>
      <x:c r="E1372" s="46" t="n">
        <x:v>1</x:v>
      </x:c>
      <x:c r="F1372" s="46" t="n">
        <x:v>0.9999999999999999</x:v>
      </x:c>
      <x:c r="G1372" s="46" t="n">
        <x:v>1</x:v>
      </x:c>
      <x:c r="H1372" s="46" t="n">
        <x:v>1</x:v>
      </x:c>
      <x:c r="I1372" s="46" t="n">
        <x:v>1</x:v>
      </x:c>
      <x:c r="J1372" s="46" t="n">
        <x:v>1</x:v>
      </x:c>
      <x:c r="K1372" s="46" t="n">
        <x:v>1</x:v>
      </x:c>
      <x:c r="L1372" s="46" t="n">
        <x:v>1</x:v>
      </x:c>
      <x:c r="M1372" s="27" t="n">
        <x:v>1</x:v>
      </x:c>
    </x:row>
    <x:row r="1373" ht="15" hidden="0" customHeight="1">
      <x:c r="A1373" s="29" t="n">
        <x:v>369</x:v>
      </x:c>
      <x:c r="B1373" s="29" t="n">
        <x:v>331273</x:v>
      </x:c>
      <x:c r="C1373" s="29" t="str">
        <x:v>A2</x:v>
      </x:c>
      <x:c r="D1373" s="53" t="n">
        <x:v>2500</x:v>
      </x:c>
      <x:c r="E1373" s="47" t="n">
        <x:v>1</x:v>
      </x:c>
      <x:c r="F1373" s="47" t="n">
        <x:v>1</x:v>
      </x:c>
      <x:c r="G1373" s="47" t="n">
        <x:v>1</x:v>
      </x:c>
      <x:c r="H1373" s="47" t="n">
        <x:v>1</x:v>
      </x:c>
      <x:c r="I1373" s="47" t="n">
        <x:v>1</x:v>
      </x:c>
      <x:c r="J1373" s="47" t="n">
        <x:v>1</x:v>
      </x:c>
      <x:c r="K1373" s="47" t="n">
        <x:v>1</x:v>
      </x:c>
      <x:c r="L1373" s="47" t="n">
        <x:v>1</x:v>
      </x:c>
      <x:c r="M1373" s="29" t="n">
        <x:v>1</x:v>
      </x:c>
    </x:row>
    <x:row r="1374" ht="15" hidden="0" customHeight="1">
      <x:c r="A1374" s="27" t="n">
        <x:v>370</x:v>
      </x:c>
      <x:c r="B1374" s="27" t="n">
        <x:v>331274</x:v>
      </x:c>
      <x:c r="C1374" s="27" t="str">
        <x:v>A2</x:v>
      </x:c>
      <x:c r="D1374" s="52" t="n">
        <x:v>2500</x:v>
      </x:c>
      <x:c r="E1374" s="46" t="n">
        <x:v>1</x:v>
      </x:c>
      <x:c r="F1374" s="46" t="n">
        <x:v>1</x:v>
      </x:c>
      <x:c r="G1374" s="46" t="n">
        <x:v>1</x:v>
      </x:c>
      <x:c r="H1374" s="46" t="n">
        <x:v>1</x:v>
      </x:c>
      <x:c r="I1374" s="46" t="n">
        <x:v>1</x:v>
      </x:c>
      <x:c r="J1374" s="46" t="n">
        <x:v>1</x:v>
      </x:c>
      <x:c r="K1374" s="46" t="n">
        <x:v>1</x:v>
      </x:c>
      <x:c r="L1374" s="46" t="n">
        <x:v>1</x:v>
      </x:c>
      <x:c r="M1374" s="27" t="n">
        <x:v>1</x:v>
      </x:c>
    </x:row>
    <x:row r="1375" ht="15" hidden="0" customHeight="1">
      <x:c r="A1375" s="29" t="n">
        <x:v>371</x:v>
      </x:c>
      <x:c r="B1375" s="29" t="n">
        <x:v>331275</x:v>
      </x:c>
      <x:c r="C1375" s="29" t="str">
        <x:v>A2</x:v>
      </x:c>
      <x:c r="D1375" s="53" t="n">
        <x:v>2500</x:v>
      </x:c>
      <x:c r="E1375" s="47" t="n">
        <x:v>1</x:v>
      </x:c>
      <x:c r="F1375" s="47" t="n">
        <x:v>1</x:v>
      </x:c>
      <x:c r="G1375" s="47" t="n">
        <x:v>1</x:v>
      </x:c>
      <x:c r="H1375" s="47" t="n">
        <x:v>1</x:v>
      </x:c>
      <x:c r="I1375" s="47" t="n">
        <x:v>1</x:v>
      </x:c>
      <x:c r="J1375" s="47" t="n">
        <x:v>1</x:v>
      </x:c>
      <x:c r="K1375" s="47" t="n">
        <x:v>1</x:v>
      </x:c>
      <x:c r="L1375" s="47" t="n">
        <x:v>1</x:v>
      </x:c>
      <x:c r="M1375" s="29" t="n">
        <x:v>1</x:v>
      </x:c>
    </x:row>
    <x:row r="1376" ht="15" hidden="0" customHeight="1">
      <x:c r="A1376" s="27" t="n">
        <x:v>372</x:v>
      </x:c>
      <x:c r="B1376" s="27" t="n">
        <x:v>331276</x:v>
      </x:c>
      <x:c r="C1376" s="27" t="str">
        <x:v>A2</x:v>
      </x:c>
      <x:c r="D1376" s="52" t="n">
        <x:v>2500</x:v>
      </x:c>
      <x:c r="E1376" s="46" t="n">
        <x:v>1</x:v>
      </x:c>
      <x:c r="F1376" s="46" t="n">
        <x:v>1</x:v>
      </x:c>
      <x:c r="G1376" s="46" t="n">
        <x:v>1</x:v>
      </x:c>
      <x:c r="H1376" s="46" t="n">
        <x:v>1</x:v>
      </x:c>
      <x:c r="I1376" s="46" t="n">
        <x:v>1</x:v>
      </x:c>
      <x:c r="J1376" s="46" t="n">
        <x:v>1</x:v>
      </x:c>
      <x:c r="K1376" s="46" t="n">
        <x:v>1</x:v>
      </x:c>
      <x:c r="L1376" s="46" t="n">
        <x:v>1</x:v>
      </x:c>
      <x:c r="M1376" s="27" t="n">
        <x:v>1</x:v>
      </x:c>
    </x:row>
    <x:row r="1377" ht="15" hidden="0" customHeight="1">
      <x:c r="A1377" s="29" t="n">
        <x:v>373</x:v>
      </x:c>
      <x:c r="B1377" s="29" t="n">
        <x:v>331277</x:v>
      </x:c>
      <x:c r="C1377" s="29" t="str">
        <x:v>A2</x:v>
      </x:c>
      <x:c r="D1377" s="53" t="n">
        <x:v>2500</x:v>
      </x:c>
      <x:c r="E1377" s="47" t="n">
        <x:v>1</x:v>
      </x:c>
      <x:c r="F1377" s="47" t="n">
        <x:v>1</x:v>
      </x:c>
      <x:c r="G1377" s="47" t="n">
        <x:v>1</x:v>
      </x:c>
      <x:c r="H1377" s="47" t="n">
        <x:v>1</x:v>
      </x:c>
      <x:c r="I1377" s="47" t="n">
        <x:v>1</x:v>
      </x:c>
      <x:c r="J1377" s="47" t="n">
        <x:v>1</x:v>
      </x:c>
      <x:c r="K1377" s="47" t="n">
        <x:v>1</x:v>
      </x:c>
      <x:c r="L1377" s="47" t="n">
        <x:v>1</x:v>
      </x:c>
      <x:c r="M1377" s="29" t="n">
        <x:v>1</x:v>
      </x:c>
    </x:row>
    <x:row r="1378" ht="15" hidden="0" customHeight="1">
      <x:c r="A1378" s="27" t="n">
        <x:v>374</x:v>
      </x:c>
      <x:c r="B1378" s="27" t="n">
        <x:v>331278</x:v>
      </x:c>
      <x:c r="C1378" s="27" t="str">
        <x:v>A2</x:v>
      </x:c>
      <x:c r="D1378" s="52" t="n">
        <x:v>2500</x:v>
      </x:c>
      <x:c r="E1378" s="46" t="n">
        <x:v>1</x:v>
      </x:c>
      <x:c r="F1378" s="46" t="n">
        <x:v>0.9999999999999998</x:v>
      </x:c>
      <x:c r="G1378" s="46" t="n">
        <x:v>1</x:v>
      </x:c>
      <x:c r="H1378" s="46" t="n">
        <x:v>1</x:v>
      </x:c>
      <x:c r="I1378" s="46" t="n">
        <x:v>1</x:v>
      </x:c>
      <x:c r="J1378" s="46" t="n">
        <x:v>1</x:v>
      </x:c>
      <x:c r="K1378" s="46" t="n">
        <x:v>1</x:v>
      </x:c>
      <x:c r="L1378" s="46" t="n">
        <x:v>1</x:v>
      </x:c>
      <x:c r="M1378" s="27" t="n">
        <x:v>1</x:v>
      </x:c>
    </x:row>
    <x:row r="1379" ht="15" hidden="0" customHeight="1">
      <x:c r="A1379" s="29" t="n">
        <x:v>375</x:v>
      </x:c>
      <x:c r="B1379" s="29" t="n">
        <x:v>331279</x:v>
      </x:c>
      <x:c r="C1379" s="29" t="str">
        <x:v>A2</x:v>
      </x:c>
      <x:c r="D1379" s="53" t="n">
        <x:v>2500</x:v>
      </x:c>
      <x:c r="E1379" s="47" t="n">
        <x:v>1</x:v>
      </x:c>
      <x:c r="F1379" s="47" t="n">
        <x:v>0.9999999999999998</x:v>
      </x:c>
      <x:c r="G1379" s="47" t="n">
        <x:v>1</x:v>
      </x:c>
      <x:c r="H1379" s="47" t="n">
        <x:v>1</x:v>
      </x:c>
      <x:c r="I1379" s="47" t="n">
        <x:v>1</x:v>
      </x:c>
      <x:c r="J1379" s="47" t="n">
        <x:v>1</x:v>
      </x:c>
      <x:c r="K1379" s="47" t="n">
        <x:v>1</x:v>
      </x:c>
      <x:c r="L1379" s="47" t="n">
        <x:v>0.9999999999999999</x:v>
      </x:c>
      <x:c r="M1379" s="29" t="n">
        <x:v>1</x:v>
      </x:c>
    </x:row>
    <x:row r="1380" ht="15" hidden="0" customHeight="1">
      <x:c r="A1380" s="27" t="n">
        <x:v>376</x:v>
      </x:c>
      <x:c r="B1380" s="27" t="n">
        <x:v>331280</x:v>
      </x:c>
      <x:c r="C1380" s="27" t="str">
        <x:v>A2</x:v>
      </x:c>
      <x:c r="D1380" s="52" t="n">
        <x:v>2500</x:v>
      </x:c>
      <x:c r="E1380" s="46" t="n">
        <x:v>1</x:v>
      </x:c>
      <x:c r="F1380" s="46" t="n">
        <x:v>1</x:v>
      </x:c>
      <x:c r="G1380" s="46" t="n">
        <x:v>1</x:v>
      </x:c>
      <x:c r="H1380" s="46" t="n">
        <x:v>1</x:v>
      </x:c>
      <x:c r="I1380" s="46" t="n">
        <x:v>1</x:v>
      </x:c>
      <x:c r="J1380" s="46" t="n">
        <x:v>1</x:v>
      </x:c>
      <x:c r="K1380" s="46" t="n">
        <x:v>1</x:v>
      </x:c>
      <x:c r="L1380" s="46" t="n">
        <x:v>1</x:v>
      </x:c>
      <x:c r="M1380" s="27" t="n">
        <x:v>1</x:v>
      </x:c>
    </x:row>
    <x:row r="1381" ht="15" hidden="0" customHeight="1">
      <x:c r="A1381" s="29" t="n">
        <x:v>377</x:v>
      </x:c>
      <x:c r="B1381" s="29" t="n">
        <x:v>331281</x:v>
      </x:c>
      <x:c r="C1381" s="29" t="str">
        <x:v>A2</x:v>
      </x:c>
      <x:c r="D1381" s="53" t="n">
        <x:v>2500</x:v>
      </x:c>
      <x:c r="E1381" s="47" t="n">
        <x:v>1</x:v>
      </x:c>
      <x:c r="F1381" s="47" t="n">
        <x:v>1</x:v>
      </x:c>
      <x:c r="G1381" s="47" t="n">
        <x:v>1</x:v>
      </x:c>
      <x:c r="H1381" s="47" t="n">
        <x:v>1</x:v>
      </x:c>
      <x:c r="I1381" s="47" t="n">
        <x:v>1</x:v>
      </x:c>
      <x:c r="J1381" s="47" t="n">
        <x:v>1</x:v>
      </x:c>
      <x:c r="K1381" s="47" t="n">
        <x:v>1</x:v>
      </x:c>
      <x:c r="L1381" s="47" t="n">
        <x:v>1</x:v>
      </x:c>
      <x:c r="M1381" s="29" t="n">
        <x:v>1</x:v>
      </x:c>
    </x:row>
    <x:row r="1382" ht="15" hidden="0" customHeight="1">
      <x:c r="A1382" s="27" t="n">
        <x:v>378</x:v>
      </x:c>
      <x:c r="B1382" s="27" t="n">
        <x:v>331282</x:v>
      </x:c>
      <x:c r="C1382" s="27" t="str">
        <x:v>A2</x:v>
      </x:c>
      <x:c r="D1382" s="52" t="n">
        <x:v>2500</x:v>
      </x:c>
      <x:c r="E1382" s="46" t="n">
        <x:v>1</x:v>
      </x:c>
      <x:c r="F1382" s="46" t="n">
        <x:v>0.9999999999999998</x:v>
      </x:c>
      <x:c r="G1382" s="46" t="n">
        <x:v>1</x:v>
      </x:c>
      <x:c r="H1382" s="46" t="n">
        <x:v>1</x:v>
      </x:c>
      <x:c r="I1382" s="46" t="n">
        <x:v>1</x:v>
      </x:c>
      <x:c r="J1382" s="46" t="n">
        <x:v>1</x:v>
      </x:c>
      <x:c r="K1382" s="46" t="n">
        <x:v>1</x:v>
      </x:c>
      <x:c r="L1382" s="46" t="n">
        <x:v>1</x:v>
      </x:c>
      <x:c r="M1382" s="27" t="n">
        <x:v>1</x:v>
      </x:c>
    </x:row>
    <x:row r="1383" ht="15" hidden="0" customHeight="1">
      <x:c r="A1383" s="29" t="n">
        <x:v>379</x:v>
      </x:c>
      <x:c r="B1383" s="29" t="n">
        <x:v>331283</x:v>
      </x:c>
      <x:c r="C1383" s="29" t="str">
        <x:v>A2</x:v>
      </x:c>
      <x:c r="D1383" s="53" t="n">
        <x:v>2500</x:v>
      </x:c>
      <x:c r="E1383" s="47" t="n">
        <x:v>1</x:v>
      </x:c>
      <x:c r="F1383" s="47" t="n">
        <x:v>1</x:v>
      </x:c>
      <x:c r="G1383" s="47" t="n">
        <x:v>1</x:v>
      </x:c>
      <x:c r="H1383" s="47" t="n">
        <x:v>1</x:v>
      </x:c>
      <x:c r="I1383" s="47" t="n">
        <x:v>1</x:v>
      </x:c>
      <x:c r="J1383" s="47" t="n">
        <x:v>1</x:v>
      </x:c>
      <x:c r="K1383" s="47" t="n">
        <x:v>1</x:v>
      </x:c>
      <x:c r="L1383" s="47" t="n">
        <x:v>1</x:v>
      </x:c>
      <x:c r="M1383" s="29" t="n">
        <x:v>1</x:v>
      </x:c>
    </x:row>
    <x:row r="1384" ht="15" hidden="0" customHeight="1">
      <x:c r="A1384" s="27" t="n">
        <x:v>380</x:v>
      </x:c>
      <x:c r="B1384" s="27" t="n">
        <x:v>331284</x:v>
      </x:c>
      <x:c r="C1384" s="27" t="str">
        <x:v>A2</x:v>
      </x:c>
      <x:c r="D1384" s="52" t="n">
        <x:v>2500</x:v>
      </x:c>
      <x:c r="E1384" s="46" t="n">
        <x:v>1</x:v>
      </x:c>
      <x:c r="F1384" s="46" t="n">
        <x:v>1</x:v>
      </x:c>
      <x:c r="G1384" s="46" t="n">
        <x:v>1</x:v>
      </x:c>
      <x:c r="H1384" s="46" t="n">
        <x:v>1</x:v>
      </x:c>
      <x:c r="I1384" s="46" t="n">
        <x:v>1</x:v>
      </x:c>
      <x:c r="J1384" s="46" t="n">
        <x:v>1</x:v>
      </x:c>
      <x:c r="K1384" s="46" t="n">
        <x:v>1</x:v>
      </x:c>
      <x:c r="L1384" s="46" t="n">
        <x:v>1</x:v>
      </x:c>
      <x:c r="M1384" s="27" t="n">
        <x:v>1</x:v>
      </x:c>
    </x:row>
    <x:row r="1385" ht="15" hidden="0" customHeight="1">
      <x:c r="A1385" s="29" t="n">
        <x:v>381</x:v>
      </x:c>
      <x:c r="B1385" s="29" t="n">
        <x:v>331285</x:v>
      </x:c>
      <x:c r="C1385" s="29" t="str">
        <x:v>A2</x:v>
      </x:c>
      <x:c r="D1385" s="53" t="n">
        <x:v>2500</x:v>
      </x:c>
      <x:c r="E1385" s="47" t="n">
        <x:v>1</x:v>
      </x:c>
      <x:c r="F1385" s="47" t="n">
        <x:v>1</x:v>
      </x:c>
      <x:c r="G1385" s="47" t="n">
        <x:v>1</x:v>
      </x:c>
      <x:c r="H1385" s="47" t="n">
        <x:v>1</x:v>
      </x:c>
      <x:c r="I1385" s="47" t="n">
        <x:v>1</x:v>
      </x:c>
      <x:c r="J1385" s="47" t="n">
        <x:v>1</x:v>
      </x:c>
      <x:c r="K1385" s="47" t="n">
        <x:v>1</x:v>
      </x:c>
      <x:c r="L1385" s="47" t="n">
        <x:v>1</x:v>
      </x:c>
      <x:c r="M1385" s="29" t="n">
        <x:v>1</x:v>
      </x:c>
    </x:row>
    <x:row r="1386" ht="15" hidden="0" customHeight="1">
      <x:c r="A1386" s="27" t="n">
        <x:v>382</x:v>
      </x:c>
      <x:c r="B1386" s="27" t="n">
        <x:v>331286</x:v>
      </x:c>
      <x:c r="C1386" s="27" t="str">
        <x:v>A2</x:v>
      </x:c>
      <x:c r="D1386" s="52" t="n">
        <x:v>2500</x:v>
      </x:c>
      <x:c r="E1386" s="46" t="n">
        <x:v>1</x:v>
      </x:c>
      <x:c r="F1386" s="46" t="n">
        <x:v>1</x:v>
      </x:c>
      <x:c r="G1386" s="46" t="n">
        <x:v>1</x:v>
      </x:c>
      <x:c r="H1386" s="46" t="n">
        <x:v>1</x:v>
      </x:c>
      <x:c r="I1386" s="46" t="n">
        <x:v>1</x:v>
      </x:c>
      <x:c r="J1386" s="46" t="n">
        <x:v>1</x:v>
      </x:c>
      <x:c r="K1386" s="46" t="n">
        <x:v>1</x:v>
      </x:c>
      <x:c r="L1386" s="46" t="n">
        <x:v>1</x:v>
      </x:c>
      <x:c r="M1386" s="27" t="n">
        <x:v>1</x:v>
      </x:c>
    </x:row>
    <x:row r="1387" ht="15" hidden="0" customHeight="1">
      <x:c r="A1387" s="29" t="n">
        <x:v>383</x:v>
      </x:c>
      <x:c r="B1387" s="29" t="n">
        <x:v>331287</x:v>
      </x:c>
      <x:c r="C1387" s="29" t="str">
        <x:v>A2</x:v>
      </x:c>
      <x:c r="D1387" s="53" t="n">
        <x:v>2500</x:v>
      </x:c>
      <x:c r="E1387" s="47" t="n">
        <x:v>1</x:v>
      </x:c>
      <x:c r="F1387" s="47" t="n">
        <x:v>0.9999999999999998</x:v>
      </x:c>
      <x:c r="G1387" s="47" t="n">
        <x:v>1</x:v>
      </x:c>
      <x:c r="H1387" s="47" t="n">
        <x:v>1</x:v>
      </x:c>
      <x:c r="I1387" s="47" t="n">
        <x:v>1</x:v>
      </x:c>
      <x:c r="J1387" s="47" t="n">
        <x:v>1</x:v>
      </x:c>
      <x:c r="K1387" s="47" t="n">
        <x:v>1</x:v>
      </x:c>
      <x:c r="L1387" s="47" t="n">
        <x:v>1</x:v>
      </x:c>
      <x:c r="M1387" s="29" t="n">
        <x:v>1</x:v>
      </x:c>
    </x:row>
    <x:row r="1388" ht="15" hidden="0" customHeight="1">
      <x:c r="A1388" s="27" t="n">
        <x:v>384</x:v>
      </x:c>
      <x:c r="B1388" s="27" t="n">
        <x:v>331288</x:v>
      </x:c>
      <x:c r="C1388" s="27" t="str">
        <x:v>A2</x:v>
      </x:c>
      <x:c r="D1388" s="52" t="n">
        <x:v>2500</x:v>
      </x:c>
      <x:c r="E1388" s="46" t="n">
        <x:v>1</x:v>
      </x:c>
      <x:c r="F1388" s="46" t="n">
        <x:v>1</x:v>
      </x:c>
      <x:c r="G1388" s="46" t="n">
        <x:v>1</x:v>
      </x:c>
      <x:c r="H1388" s="46" t="n">
        <x:v>1</x:v>
      </x:c>
      <x:c r="I1388" s="46" t="n">
        <x:v>1</x:v>
      </x:c>
      <x:c r="J1388" s="46" t="n">
        <x:v>1</x:v>
      </x:c>
      <x:c r="K1388" s="46" t="n">
        <x:v>1</x:v>
      </x:c>
      <x:c r="L1388" s="46" t="n">
        <x:v>1</x:v>
      </x:c>
      <x:c r="M1388" s="27" t="n">
        <x:v>1</x:v>
      </x:c>
    </x:row>
    <x:row r="1389" ht="15" hidden="0" customHeight="1">
      <x:c r="A1389" s="29" t="n">
        <x:v>385</x:v>
      </x:c>
      <x:c r="B1389" s="29" t="n">
        <x:v>331289</x:v>
      </x:c>
      <x:c r="C1389" s="29" t="str">
        <x:v>A2</x:v>
      </x:c>
      <x:c r="D1389" s="53" t="n">
        <x:v>2500</x:v>
      </x:c>
      <x:c r="E1389" s="47" t="n">
        <x:v>1</x:v>
      </x:c>
      <x:c r="F1389" s="47" t="n">
        <x:v>1</x:v>
      </x:c>
      <x:c r="G1389" s="47" t="n">
        <x:v>1</x:v>
      </x:c>
      <x:c r="H1389" s="47" t="n">
        <x:v>1</x:v>
      </x:c>
      <x:c r="I1389" s="47" t="n">
        <x:v>1</x:v>
      </x:c>
      <x:c r="J1389" s="47" t="n">
        <x:v>1</x:v>
      </x:c>
      <x:c r="K1389" s="47" t="n">
        <x:v>1</x:v>
      </x:c>
      <x:c r="L1389" s="47" t="n">
        <x:v>1</x:v>
      </x:c>
      <x:c r="M1389" s="29" t="n">
        <x:v>1</x:v>
      </x:c>
    </x:row>
    <x:row r="1390" ht="15" hidden="0" customHeight="1">
      <x:c r="A1390" s="27" t="n">
        <x:v>386</x:v>
      </x:c>
      <x:c r="B1390" s="27" t="n">
        <x:v>331290</x:v>
      </x:c>
      <x:c r="C1390" s="27" t="str">
        <x:v>A2</x:v>
      </x:c>
      <x:c r="D1390" s="52" t="n">
        <x:v>2500</x:v>
      </x:c>
      <x:c r="E1390" s="46" t="n">
        <x:v>1</x:v>
      </x:c>
      <x:c r="F1390" s="46" t="n">
        <x:v>0.9999999999999998</x:v>
      </x:c>
      <x:c r="G1390" s="46" t="n">
        <x:v>1</x:v>
      </x:c>
      <x:c r="H1390" s="46" t="n">
        <x:v>1</x:v>
      </x:c>
      <x:c r="I1390" s="46" t="n">
        <x:v>1</x:v>
      </x:c>
      <x:c r="J1390" s="46" t="n">
        <x:v>1</x:v>
      </x:c>
      <x:c r="K1390" s="46" t="n">
        <x:v>1</x:v>
      </x:c>
      <x:c r="L1390" s="46" t="n">
        <x:v>1</x:v>
      </x:c>
      <x:c r="M1390" s="27" t="n">
        <x:v>1</x:v>
      </x:c>
    </x:row>
    <x:row r="1391" ht="15" hidden="0" customHeight="1">
      <x:c r="A1391" s="29" t="n">
        <x:v>387</x:v>
      </x:c>
      <x:c r="B1391" s="29" t="n">
        <x:v>331291</x:v>
      </x:c>
      <x:c r="C1391" s="29" t="str">
        <x:v>A2</x:v>
      </x:c>
      <x:c r="D1391" s="53" t="n">
        <x:v>2500</x:v>
      </x:c>
      <x:c r="E1391" s="47" t="n">
        <x:v>1</x:v>
      </x:c>
      <x:c r="F1391" s="47" t="n">
        <x:v>1</x:v>
      </x:c>
      <x:c r="G1391" s="47" t="n">
        <x:v>1</x:v>
      </x:c>
      <x:c r="H1391" s="47" t="n">
        <x:v>1</x:v>
      </x:c>
      <x:c r="I1391" s="47" t="n">
        <x:v>1</x:v>
      </x:c>
      <x:c r="J1391" s="47" t="n">
        <x:v>1</x:v>
      </x:c>
      <x:c r="K1391" s="47" t="n">
        <x:v>1</x:v>
      </x:c>
      <x:c r="L1391" s="47" t="n">
        <x:v>1</x:v>
      </x:c>
      <x:c r="M1391" s="29" t="n">
        <x:v>1</x:v>
      </x:c>
    </x:row>
    <x:row r="1392" ht="15" hidden="0" customHeight="1">
      <x:c r="A1392" s="27" t="n">
        <x:v>388</x:v>
      </x:c>
      <x:c r="B1392" s="27" t="n">
        <x:v>331292</x:v>
      </x:c>
      <x:c r="C1392" s="27" t="str">
        <x:v>A2</x:v>
      </x:c>
      <x:c r="D1392" s="52" t="n">
        <x:v>2500</x:v>
      </x:c>
      <x:c r="E1392" s="46" t="n">
        <x:v>1</x:v>
      </x:c>
      <x:c r="F1392" s="46" t="n">
        <x:v>1</x:v>
      </x:c>
      <x:c r="G1392" s="46" t="n">
        <x:v>1</x:v>
      </x:c>
      <x:c r="H1392" s="46" t="n">
        <x:v>1</x:v>
      </x:c>
      <x:c r="I1392" s="46" t="n">
        <x:v>1</x:v>
      </x:c>
      <x:c r="J1392" s="46" t="n">
        <x:v>1</x:v>
      </x:c>
      <x:c r="K1392" s="46" t="n">
        <x:v>1</x:v>
      </x:c>
      <x:c r="L1392" s="46" t="n">
        <x:v>1</x:v>
      </x:c>
      <x:c r="M1392" s="27" t="n">
        <x:v>1</x:v>
      </x:c>
    </x:row>
    <x:row r="1393" ht="15" hidden="0" customHeight="1">
      <x:c r="A1393" s="29" t="n">
        <x:v>389</x:v>
      </x:c>
      <x:c r="B1393" s="29" t="n">
        <x:v>331293</x:v>
      </x:c>
      <x:c r="C1393" s="29" t="str">
        <x:v>A2</x:v>
      </x:c>
      <x:c r="D1393" s="53" t="n">
        <x:v>2500</x:v>
      </x:c>
      <x:c r="E1393" s="47" t="n">
        <x:v>1</x:v>
      </x:c>
      <x:c r="F1393" s="47" t="n">
        <x:v>1</x:v>
      </x:c>
      <x:c r="G1393" s="47" t="n">
        <x:v>1</x:v>
      </x:c>
      <x:c r="H1393" s="47" t="n">
        <x:v>1</x:v>
      </x:c>
      <x:c r="I1393" s="47" t="n">
        <x:v>1</x:v>
      </x:c>
      <x:c r="J1393" s="47" t="n">
        <x:v>1</x:v>
      </x:c>
      <x:c r="K1393" s="47" t="n">
        <x:v>1</x:v>
      </x:c>
      <x:c r="L1393" s="47" t="n">
        <x:v>1</x:v>
      </x:c>
      <x:c r="M1393" s="29" t="n">
        <x:v>1</x:v>
      </x:c>
    </x:row>
    <x:row r="1394" ht="15" hidden="0" customHeight="1">
      <x:c r="A1394" s="27" t="n">
        <x:v>390</x:v>
      </x:c>
      <x:c r="B1394" s="27" t="n">
        <x:v>331294</x:v>
      </x:c>
      <x:c r="C1394" s="27" t="str">
        <x:v>A2</x:v>
      </x:c>
      <x:c r="D1394" s="52" t="n">
        <x:v>2500</x:v>
      </x:c>
      <x:c r="E1394" s="46" t="n">
        <x:v>1</x:v>
      </x:c>
      <x:c r="F1394" s="46" t="n">
        <x:v>1</x:v>
      </x:c>
      <x:c r="G1394" s="46" t="n">
        <x:v>1</x:v>
      </x:c>
      <x:c r="H1394" s="46" t="n">
        <x:v>1</x:v>
      </x:c>
      <x:c r="I1394" s="46" t="n">
        <x:v>1</x:v>
      </x:c>
      <x:c r="J1394" s="46" t="n">
        <x:v>1</x:v>
      </x:c>
      <x:c r="K1394" s="46" t="n">
        <x:v>1</x:v>
      </x:c>
      <x:c r="L1394" s="46" t="n">
        <x:v>1</x:v>
      </x:c>
      <x:c r="M1394" s="27" t="n">
        <x:v>1</x:v>
      </x:c>
    </x:row>
    <x:row r="1395" ht="15" hidden="0" customHeight="1">
      <x:c r="A1395" s="29" t="n">
        <x:v>391</x:v>
      </x:c>
      <x:c r="B1395" s="29" t="n">
        <x:v>331295</x:v>
      </x:c>
      <x:c r="C1395" s="29" t="str">
        <x:v>A2</x:v>
      </x:c>
      <x:c r="D1395" s="53" t="n">
        <x:v>2500</x:v>
      </x:c>
      <x:c r="E1395" s="47" t="n">
        <x:v>1</x:v>
      </x:c>
      <x:c r="F1395" s="47" t="n">
        <x:v>1</x:v>
      </x:c>
      <x:c r="G1395" s="47" t="n">
        <x:v>1</x:v>
      </x:c>
      <x:c r="H1395" s="47" t="n">
        <x:v>1</x:v>
      </x:c>
      <x:c r="I1395" s="47" t="n">
        <x:v>1</x:v>
      </x:c>
      <x:c r="J1395" s="47" t="n">
        <x:v>1</x:v>
      </x:c>
      <x:c r="K1395" s="47" t="n">
        <x:v>1</x:v>
      </x:c>
      <x:c r="L1395" s="47" t="n">
        <x:v>1</x:v>
      </x:c>
      <x:c r="M1395" s="29" t="n">
        <x:v>1</x:v>
      </x:c>
    </x:row>
    <x:row r="1396" ht="15" hidden="0" customHeight="1">
      <x:c r="A1396" s="27" t="n">
        <x:v>392</x:v>
      </x:c>
      <x:c r="B1396" s="27" t="n">
        <x:v>331296</x:v>
      </x:c>
      <x:c r="C1396" s="27" t="str">
        <x:v>A2</x:v>
      </x:c>
      <x:c r="D1396" s="52" t="n">
        <x:v>2500</x:v>
      </x:c>
      <x:c r="E1396" s="46" t="n">
        <x:v>1</x:v>
      </x:c>
      <x:c r="F1396" s="46" t="n">
        <x:v>1</x:v>
      </x:c>
      <x:c r="G1396" s="46" t="n">
        <x:v>1</x:v>
      </x:c>
      <x:c r="H1396" s="46" t="n">
        <x:v>1</x:v>
      </x:c>
      <x:c r="I1396" s="46" t="n">
        <x:v>1</x:v>
      </x:c>
      <x:c r="J1396" s="46" t="n">
        <x:v>1</x:v>
      </x:c>
      <x:c r="K1396" s="46" t="n">
        <x:v>1</x:v>
      </x:c>
      <x:c r="L1396" s="46" t="n">
        <x:v>1</x:v>
      </x:c>
      <x:c r="M1396" s="27" t="n">
        <x:v>1</x:v>
      </x:c>
    </x:row>
    <x:row r="1397" ht="15" hidden="0" customHeight="1">
      <x:c r="A1397" s="29" t="n">
        <x:v>393</x:v>
      </x:c>
      <x:c r="B1397" s="29" t="n">
        <x:v>331297</x:v>
      </x:c>
      <x:c r="C1397" s="29" t="str">
        <x:v>A2</x:v>
      </x:c>
      <x:c r="D1397" s="53" t="n">
        <x:v>2500</x:v>
      </x:c>
      <x:c r="E1397" s="47" t="n">
        <x:v>1</x:v>
      </x:c>
      <x:c r="F1397" s="47" t="n">
        <x:v>0.9999999999999999</x:v>
      </x:c>
      <x:c r="G1397" s="47" t="n">
        <x:v>1</x:v>
      </x:c>
      <x:c r="H1397" s="47" t="n">
        <x:v>1</x:v>
      </x:c>
      <x:c r="I1397" s="47" t="n">
        <x:v>1</x:v>
      </x:c>
      <x:c r="J1397" s="47" t="n">
        <x:v>1</x:v>
      </x:c>
      <x:c r="K1397" s="47" t="n">
        <x:v>1</x:v>
      </x:c>
      <x:c r="L1397" s="47" t="n">
        <x:v>1</x:v>
      </x:c>
      <x:c r="M1397" s="29" t="n">
        <x:v>1</x:v>
      </x:c>
    </x:row>
    <x:row r="1398" ht="15" hidden="0" customHeight="1">
      <x:c r="A1398" s="27" t="n">
        <x:v>394</x:v>
      </x:c>
      <x:c r="B1398" s="27" t="n">
        <x:v>331298</x:v>
      </x:c>
      <x:c r="C1398" s="27" t="str">
        <x:v>A2</x:v>
      </x:c>
      <x:c r="D1398" s="52" t="n">
        <x:v>2500</x:v>
      </x:c>
      <x:c r="E1398" s="46" t="n">
        <x:v>1</x:v>
      </x:c>
      <x:c r="F1398" s="46" t="n">
        <x:v>0.9999999999999999</x:v>
      </x:c>
      <x:c r="G1398" s="46" t="n">
        <x:v>1</x:v>
      </x:c>
      <x:c r="H1398" s="46" t="n">
        <x:v>1</x:v>
      </x:c>
      <x:c r="I1398" s="46" t="n">
        <x:v>1</x:v>
      </x:c>
      <x:c r="J1398" s="46" t="n">
        <x:v>1</x:v>
      </x:c>
      <x:c r="K1398" s="46" t="n">
        <x:v>1</x:v>
      </x:c>
      <x:c r="L1398" s="46" t="n">
        <x:v>1</x:v>
      </x:c>
      <x:c r="M1398" s="27" t="n">
        <x:v>1</x:v>
      </x:c>
    </x:row>
    <x:row r="1399" ht="15" hidden="0" customHeight="1">
      <x:c r="A1399" s="29" t="n">
        <x:v>395</x:v>
      </x:c>
      <x:c r="B1399" s="29" t="n">
        <x:v>331299</x:v>
      </x:c>
      <x:c r="C1399" s="29" t="str">
        <x:v>A2</x:v>
      </x:c>
      <x:c r="D1399" s="53" t="n">
        <x:v>2500</x:v>
      </x:c>
      <x:c r="E1399" s="47" t="n">
        <x:v>1</x:v>
      </x:c>
      <x:c r="F1399" s="47" t="n">
        <x:v>1</x:v>
      </x:c>
      <x:c r="G1399" s="47" t="n">
        <x:v>1</x:v>
      </x:c>
      <x:c r="H1399" s="47" t="n">
        <x:v>1</x:v>
      </x:c>
      <x:c r="I1399" s="47" t="n">
        <x:v>1</x:v>
      </x:c>
      <x:c r="J1399" s="47" t="n">
        <x:v>1</x:v>
      </x:c>
      <x:c r="K1399" s="47" t="n">
        <x:v>1</x:v>
      </x:c>
      <x:c r="L1399" s="47" t="n">
        <x:v>1</x:v>
      </x:c>
      <x:c r="M1399" s="29" t="n">
        <x:v>1</x:v>
      </x:c>
    </x:row>
    <x:row r="1400" ht="15" hidden="0" customHeight="1">
      <x:c r="A1400" s="27" t="n">
        <x:v>396</x:v>
      </x:c>
      <x:c r="B1400" s="27" t="n">
        <x:v>331300</x:v>
      </x:c>
      <x:c r="C1400" s="27" t="str">
        <x:v>A2</x:v>
      </x:c>
      <x:c r="D1400" s="52" t="n">
        <x:v>2500</x:v>
      </x:c>
      <x:c r="E1400" s="46" t="n">
        <x:v>1</x:v>
      </x:c>
      <x:c r="F1400" s="46" t="n">
        <x:v>1</x:v>
      </x:c>
      <x:c r="G1400" s="46" t="n">
        <x:v>1</x:v>
      </x:c>
      <x:c r="H1400" s="46" t="n">
        <x:v>1</x:v>
      </x:c>
      <x:c r="I1400" s="46" t="n">
        <x:v>1</x:v>
      </x:c>
      <x:c r="J1400" s="46" t="n">
        <x:v>1</x:v>
      </x:c>
      <x:c r="K1400" s="46" t="n">
        <x:v>1</x:v>
      </x:c>
      <x:c r="L1400" s="46" t="n">
        <x:v>1</x:v>
      </x:c>
      <x:c r="M1400" s="27" t="n">
        <x:v>1</x:v>
      </x:c>
    </x:row>
    <x:row r="1401" ht="15" hidden="0" customHeight="1">
      <x:c r="A1401" s="29" t="n">
        <x:v>397</x:v>
      </x:c>
      <x:c r="B1401" s="29" t="n">
        <x:v>331301</x:v>
      </x:c>
      <x:c r="C1401" s="29" t="str">
        <x:v>A2</x:v>
      </x:c>
      <x:c r="D1401" s="53" t="n">
        <x:v>2500</x:v>
      </x:c>
      <x:c r="E1401" s="47" t="n">
        <x:v>1</x:v>
      </x:c>
      <x:c r="F1401" s="47" t="n">
        <x:v>1</x:v>
      </x:c>
      <x:c r="G1401" s="47" t="n">
        <x:v>1</x:v>
      </x:c>
      <x:c r="H1401" s="47" t="n">
        <x:v>1</x:v>
      </x:c>
      <x:c r="I1401" s="47" t="n">
        <x:v>1</x:v>
      </x:c>
      <x:c r="J1401" s="47" t="n">
        <x:v>1</x:v>
      </x:c>
      <x:c r="K1401" s="47" t="n">
        <x:v>1</x:v>
      </x:c>
      <x:c r="L1401" s="47" t="n">
        <x:v>1</x:v>
      </x:c>
      <x:c r="M1401" s="29" t="n">
        <x:v>1</x:v>
      </x:c>
    </x:row>
    <x:row r="1402" ht="15" hidden="0" customHeight="1">
      <x:c r="A1402" s="27" t="n">
        <x:v>398</x:v>
      </x:c>
      <x:c r="B1402" s="27" t="n">
        <x:v>331302</x:v>
      </x:c>
      <x:c r="C1402" s="27" t="str">
        <x:v>A2</x:v>
      </x:c>
      <x:c r="D1402" s="52" t="n">
        <x:v>2500</x:v>
      </x:c>
      <x:c r="E1402" s="46" t="n">
        <x:v>1</x:v>
      </x:c>
      <x:c r="F1402" s="46" t="n">
        <x:v>1</x:v>
      </x:c>
      <x:c r="G1402" s="46" t="n">
        <x:v>1</x:v>
      </x:c>
      <x:c r="H1402" s="46" t="n">
        <x:v>1</x:v>
      </x:c>
      <x:c r="I1402" s="46" t="n">
        <x:v>1</x:v>
      </x:c>
      <x:c r="J1402" s="46" t="n">
        <x:v>1</x:v>
      </x:c>
      <x:c r="K1402" s="46" t="n">
        <x:v>1</x:v>
      </x:c>
      <x:c r="L1402" s="46" t="n">
        <x:v>1</x:v>
      </x:c>
      <x:c r="M1402" s="27" t="n">
        <x:v>1</x:v>
      </x:c>
    </x:row>
    <x:row r="1403" ht="15" hidden="0" customHeight="1">
      <x:c r="A1403" s="29" t="n">
        <x:v>399</x:v>
      </x:c>
      <x:c r="B1403" s="29" t="n">
        <x:v>331303</x:v>
      </x:c>
      <x:c r="C1403" s="29" t="str">
        <x:v>A2</x:v>
      </x:c>
      <x:c r="D1403" s="53" t="n">
        <x:v>2500</x:v>
      </x:c>
      <x:c r="E1403" s="47" t="n">
        <x:v>1</x:v>
      </x:c>
      <x:c r="F1403" s="47" t="n">
        <x:v>0.9999999999999998</x:v>
      </x:c>
      <x:c r="G1403" s="47" t="n">
        <x:v>1</x:v>
      </x:c>
      <x:c r="H1403" s="47" t="n">
        <x:v>1</x:v>
      </x:c>
      <x:c r="I1403" s="47" t="n">
        <x:v>1</x:v>
      </x:c>
      <x:c r="J1403" s="47" t="n">
        <x:v>1</x:v>
      </x:c>
      <x:c r="K1403" s="47" t="n">
        <x:v>1</x:v>
      </x:c>
      <x:c r="L1403" s="47" t="n">
        <x:v>1</x:v>
      </x:c>
      <x:c r="M1403" s="29" t="n">
        <x:v>1</x:v>
      </x:c>
    </x:row>
    <x:row r="1404" ht="15" hidden="0" customHeight="1">
      <x:c r="A1404" s="27" t="n">
        <x:v>400</x:v>
      </x:c>
      <x:c r="B1404" s="27" t="n">
        <x:v>331304</x:v>
      </x:c>
      <x:c r="C1404" s="27" t="str">
        <x:v>A2</x:v>
      </x:c>
      <x:c r="D1404" s="52" t="n">
        <x:v>2500</x:v>
      </x:c>
      <x:c r="E1404" s="46" t="n">
        <x:v>1</x:v>
      </x:c>
      <x:c r="F1404" s="46" t="n">
        <x:v>0.9999999999999998</x:v>
      </x:c>
      <x:c r="G1404" s="46" t="n">
        <x:v>1</x:v>
      </x:c>
      <x:c r="H1404" s="46" t="n">
        <x:v>1</x:v>
      </x:c>
      <x:c r="I1404" s="46" t="n">
        <x:v>1</x:v>
      </x:c>
      <x:c r="J1404" s="46" t="n">
        <x:v>1</x:v>
      </x:c>
      <x:c r="K1404" s="46" t="n">
        <x:v>1</x:v>
      </x:c>
      <x:c r="L1404" s="46" t="n">
        <x:v>1</x:v>
      </x:c>
      <x:c r="M1404" s="27" t="n">
        <x:v>1</x:v>
      </x:c>
    </x:row>
    <x:row r="1405" ht="15" hidden="0" customHeight="1">
      <x:c r="A1405" s="29" t="n">
        <x:v>401</x:v>
      </x:c>
      <x:c r="B1405" s="29" t="n">
        <x:v>331305</x:v>
      </x:c>
      <x:c r="C1405" s="29" t="str">
        <x:v>A2</x:v>
      </x:c>
      <x:c r="D1405" s="53" t="n">
        <x:v>2500</x:v>
      </x:c>
      <x:c r="E1405" s="47" t="n">
        <x:v>1</x:v>
      </x:c>
      <x:c r="F1405" s="47" t="n">
        <x:v>1</x:v>
      </x:c>
      <x:c r="G1405" s="47" t="n">
        <x:v>1</x:v>
      </x:c>
      <x:c r="H1405" s="47" t="n">
        <x:v>1</x:v>
      </x:c>
      <x:c r="I1405" s="47" t="n">
        <x:v>1</x:v>
      </x:c>
      <x:c r="J1405" s="47" t="n">
        <x:v>1</x:v>
      </x:c>
      <x:c r="K1405" s="47" t="n">
        <x:v>1</x:v>
      </x:c>
      <x:c r="L1405" s="47" t="n">
        <x:v>1</x:v>
      </x:c>
      <x:c r="M1405" s="29" t="n">
        <x:v>1</x:v>
      </x:c>
    </x:row>
    <x:row r="1406" ht="15" hidden="0" customHeight="1">
      <x:c r="A1406" s="27" t="n">
        <x:v>402</x:v>
      </x:c>
      <x:c r="B1406" s="27" t="n">
        <x:v>331306</x:v>
      </x:c>
      <x:c r="C1406" s="27" t="str">
        <x:v>A2</x:v>
      </x:c>
      <x:c r="D1406" s="52" t="n">
        <x:v>2500</x:v>
      </x:c>
      <x:c r="E1406" s="46" t="n">
        <x:v>1</x:v>
      </x:c>
      <x:c r="F1406" s="46" t="n">
        <x:v>1</x:v>
      </x:c>
      <x:c r="G1406" s="46" t="n">
        <x:v>1</x:v>
      </x:c>
      <x:c r="H1406" s="46" t="n">
        <x:v>1</x:v>
      </x:c>
      <x:c r="I1406" s="46" t="n">
        <x:v>1</x:v>
      </x:c>
      <x:c r="J1406" s="46" t="n">
        <x:v>1</x:v>
      </x:c>
      <x:c r="K1406" s="46" t="n">
        <x:v>1</x:v>
      </x:c>
      <x:c r="L1406" s="46" t="n">
        <x:v>1</x:v>
      </x:c>
      <x:c r="M1406" s="27" t="n">
        <x:v>1</x:v>
      </x:c>
    </x:row>
    <x:row r="1407" ht="15" hidden="0" customHeight="1">
      <x:c r="A1407" s="29" t="n">
        <x:v>403</x:v>
      </x:c>
      <x:c r="B1407" s="29" t="n">
        <x:v>331307</x:v>
      </x:c>
      <x:c r="C1407" s="29" t="str">
        <x:v>A2</x:v>
      </x:c>
      <x:c r="D1407" s="53" t="n">
        <x:v>2500</x:v>
      </x:c>
      <x:c r="E1407" s="47" t="n">
        <x:v>1</x:v>
      </x:c>
      <x:c r="F1407" s="47" t="n">
        <x:v>1</x:v>
      </x:c>
      <x:c r="G1407" s="47" t="n">
        <x:v>1</x:v>
      </x:c>
      <x:c r="H1407" s="47" t="n">
        <x:v>1</x:v>
      </x:c>
      <x:c r="I1407" s="47" t="n">
        <x:v>1</x:v>
      </x:c>
      <x:c r="J1407" s="47" t="n">
        <x:v>1</x:v>
      </x:c>
      <x:c r="K1407" s="47" t="n">
        <x:v>1</x:v>
      </x:c>
      <x:c r="L1407" s="47" t="n">
        <x:v>1</x:v>
      </x:c>
      <x:c r="M1407" s="29" t="n">
        <x:v>1</x:v>
      </x:c>
    </x:row>
    <x:row r="1408" ht="15" hidden="0" customHeight="1">
      <x:c r="A1408" s="27" t="n">
        <x:v>404</x:v>
      </x:c>
      <x:c r="B1408" s="27" t="n">
        <x:v>331308</x:v>
      </x:c>
      <x:c r="C1408" s="27" t="str">
        <x:v>A2</x:v>
      </x:c>
      <x:c r="D1408" s="52" t="n">
        <x:v>2500</x:v>
      </x:c>
      <x:c r="E1408" s="46" t="n">
        <x:v>1</x:v>
      </x:c>
      <x:c r="F1408" s="46" t="n">
        <x:v>1</x:v>
      </x:c>
      <x:c r="G1408" s="46" t="n">
        <x:v>1</x:v>
      </x:c>
      <x:c r="H1408" s="46" t="n">
        <x:v>1</x:v>
      </x:c>
      <x:c r="I1408" s="46" t="n">
        <x:v>1</x:v>
      </x:c>
      <x:c r="J1408" s="46" t="n">
        <x:v>1</x:v>
      </x:c>
      <x:c r="K1408" s="46" t="n">
        <x:v>1</x:v>
      </x:c>
      <x:c r="L1408" s="46" t="n">
        <x:v>1</x:v>
      </x:c>
      <x:c r="M1408" s="27" t="n">
        <x:v>1</x:v>
      </x:c>
    </x:row>
    <x:row r="1409" ht="15" hidden="0" customHeight="1">
      <x:c r="A1409" s="29" t="n">
        <x:v>405</x:v>
      </x:c>
      <x:c r="B1409" s="29" t="n">
        <x:v>331309</x:v>
      </x:c>
      <x:c r="C1409" s="29" t="str">
        <x:v>A2</x:v>
      </x:c>
      <x:c r="D1409" s="53" t="n">
        <x:v>2500</x:v>
      </x:c>
      <x:c r="E1409" s="47" t="n">
        <x:v>1</x:v>
      </x:c>
      <x:c r="F1409" s="47" t="n">
        <x:v>1</x:v>
      </x:c>
      <x:c r="G1409" s="47" t="n">
        <x:v>1</x:v>
      </x:c>
      <x:c r="H1409" s="47" t="n">
        <x:v>1</x:v>
      </x:c>
      <x:c r="I1409" s="47" t="n">
        <x:v>1</x:v>
      </x:c>
      <x:c r="J1409" s="47" t="n">
        <x:v>1</x:v>
      </x:c>
      <x:c r="K1409" s="47" t="n">
        <x:v>1</x:v>
      </x:c>
      <x:c r="L1409" s="47" t="n">
        <x:v>1</x:v>
      </x:c>
      <x:c r="M1409" s="29" t="n">
        <x:v>1</x:v>
      </x:c>
    </x:row>
    <x:row r="1410" ht="15" hidden="0" customHeight="1">
      <x:c r="A1410" s="27" t="n">
        <x:v>406</x:v>
      </x:c>
      <x:c r="B1410" s="27" t="n">
        <x:v>331310</x:v>
      </x:c>
      <x:c r="C1410" s="27" t="str">
        <x:v>A2</x:v>
      </x:c>
      <x:c r="D1410" s="52" t="n">
        <x:v>2500</x:v>
      </x:c>
      <x:c r="E1410" s="46" t="n">
        <x:v>1</x:v>
      </x:c>
      <x:c r="F1410" s="46" t="n">
        <x:v>1</x:v>
      </x:c>
      <x:c r="G1410" s="46" t="n">
        <x:v>1</x:v>
      </x:c>
      <x:c r="H1410" s="46" t="n">
        <x:v>1</x:v>
      </x:c>
      <x:c r="I1410" s="46" t="n">
        <x:v>1</x:v>
      </x:c>
      <x:c r="J1410" s="46" t="n">
        <x:v>1</x:v>
      </x:c>
      <x:c r="K1410" s="46" t="n">
        <x:v>1</x:v>
      </x:c>
      <x:c r="L1410" s="46" t="n">
        <x:v>1</x:v>
      </x:c>
      <x:c r="M1410" s="27" t="n">
        <x:v>1</x:v>
      </x:c>
    </x:row>
    <x:row r="1411" ht="15" hidden="0" customHeight="1">
      <x:c r="A1411" s="29" t="n">
        <x:v>407</x:v>
      </x:c>
      <x:c r="B1411" s="29" t="n">
        <x:v>331311</x:v>
      </x:c>
      <x:c r="C1411" s="29" t="str">
        <x:v>A2</x:v>
      </x:c>
      <x:c r="D1411" s="53" t="n">
        <x:v>2500</x:v>
      </x:c>
      <x:c r="E1411" s="47" t="n">
        <x:v>1</x:v>
      </x:c>
      <x:c r="F1411" s="47" t="n">
        <x:v>1</x:v>
      </x:c>
      <x:c r="G1411" s="47" t="n">
        <x:v>1</x:v>
      </x:c>
      <x:c r="H1411" s="47" t="n">
        <x:v>1</x:v>
      </x:c>
      <x:c r="I1411" s="47" t="n">
        <x:v>1</x:v>
      </x:c>
      <x:c r="J1411" s="47" t="n">
        <x:v>1</x:v>
      </x:c>
      <x:c r="K1411" s="47" t="n">
        <x:v>1</x:v>
      </x:c>
      <x:c r="L1411" s="47" t="n">
        <x:v>1</x:v>
      </x:c>
      <x:c r="M1411" s="29" t="n">
        <x:v>1</x:v>
      </x:c>
    </x:row>
    <x:row r="1412" ht="15" hidden="0" customHeight="1">
      <x:c r="A1412" s="27" t="n">
        <x:v>408</x:v>
      </x:c>
      <x:c r="B1412" s="27" t="n">
        <x:v>331312</x:v>
      </x:c>
      <x:c r="C1412" s="27" t="str">
        <x:v>A2</x:v>
      </x:c>
      <x:c r="D1412" s="52" t="n">
        <x:v>2500</x:v>
      </x:c>
      <x:c r="E1412" s="46" t="n">
        <x:v>1</x:v>
      </x:c>
      <x:c r="F1412" s="46" t="n">
        <x:v>1</x:v>
      </x:c>
      <x:c r="G1412" s="46" t="n">
        <x:v>1</x:v>
      </x:c>
      <x:c r="H1412" s="46" t="n">
        <x:v>1</x:v>
      </x:c>
      <x:c r="I1412" s="46" t="n">
        <x:v>1</x:v>
      </x:c>
      <x:c r="J1412" s="46" t="n">
        <x:v>1</x:v>
      </x:c>
      <x:c r="K1412" s="46" t="n">
        <x:v>1</x:v>
      </x:c>
      <x:c r="L1412" s="46" t="n">
        <x:v>1</x:v>
      </x:c>
      <x:c r="M1412" s="27" t="n">
        <x:v>1</x:v>
      </x:c>
    </x:row>
    <x:row r="1413" ht="15" hidden="0" customHeight="1">
      <x:c r="A1413" s="29" t="n">
        <x:v>409</x:v>
      </x:c>
      <x:c r="B1413" s="29" t="n">
        <x:v>331313</x:v>
      </x:c>
      <x:c r="C1413" s="29" t="str">
        <x:v>A2</x:v>
      </x:c>
      <x:c r="D1413" s="53" t="n">
        <x:v>2500</x:v>
      </x:c>
      <x:c r="E1413" s="47" t="n">
        <x:v>1</x:v>
      </x:c>
      <x:c r="F1413" s="47" t="n">
        <x:v>1</x:v>
      </x:c>
      <x:c r="G1413" s="47" t="n">
        <x:v>1</x:v>
      </x:c>
      <x:c r="H1413" s="47" t="n">
        <x:v>1</x:v>
      </x:c>
      <x:c r="I1413" s="47" t="n">
        <x:v>1</x:v>
      </x:c>
      <x:c r="J1413" s="47" t="n">
        <x:v>1</x:v>
      </x:c>
      <x:c r="K1413" s="47" t="n">
        <x:v>1</x:v>
      </x:c>
      <x:c r="L1413" s="47" t="n">
        <x:v>1</x:v>
      </x:c>
      <x:c r="M1413" s="29" t="n">
        <x:v>1</x:v>
      </x:c>
    </x:row>
    <x:row r="1414" ht="15" hidden="0" customHeight="1">
      <x:c r="A1414" s="27" t="n">
        <x:v>410</x:v>
      </x:c>
      <x:c r="B1414" s="27" t="n">
        <x:v>331314</x:v>
      </x:c>
      <x:c r="C1414" s="27" t="str">
        <x:v>A2</x:v>
      </x:c>
      <x:c r="D1414" s="52" t="n">
        <x:v>2500</x:v>
      </x:c>
      <x:c r="E1414" s="46" t="n">
        <x:v>1</x:v>
      </x:c>
      <x:c r="F1414" s="46" t="n">
        <x:v>1</x:v>
      </x:c>
      <x:c r="G1414" s="46" t="n">
        <x:v>1</x:v>
      </x:c>
      <x:c r="H1414" s="46" t="n">
        <x:v>1</x:v>
      </x:c>
      <x:c r="I1414" s="46" t="n">
        <x:v>1</x:v>
      </x:c>
      <x:c r="J1414" s="46" t="n">
        <x:v>1</x:v>
      </x:c>
      <x:c r="K1414" s="46" t="n">
        <x:v>1</x:v>
      </x:c>
      <x:c r="L1414" s="46" t="n">
        <x:v>1</x:v>
      </x:c>
      <x:c r="M1414" s="27" t="n">
        <x:v>1</x:v>
      </x:c>
    </x:row>
    <x:row r="1415" ht="15" hidden="0" customHeight="1">
      <x:c r="A1415" s="29" t="n">
        <x:v>411</x:v>
      </x:c>
      <x:c r="B1415" s="29" t="n">
        <x:v>331315</x:v>
      </x:c>
      <x:c r="C1415" s="29" t="str">
        <x:v>A2</x:v>
      </x:c>
      <x:c r="D1415" s="53" t="n">
        <x:v>2500</x:v>
      </x:c>
      <x:c r="E1415" s="47" t="n">
        <x:v>1</x:v>
      </x:c>
      <x:c r="F1415" s="47" t="n">
        <x:v>1</x:v>
      </x:c>
      <x:c r="G1415" s="47" t="n">
        <x:v>1</x:v>
      </x:c>
      <x:c r="H1415" s="47" t="n">
        <x:v>1</x:v>
      </x:c>
      <x:c r="I1415" s="47" t="n">
        <x:v>1</x:v>
      </x:c>
      <x:c r="J1415" s="47" t="n">
        <x:v>1</x:v>
      </x:c>
      <x:c r="K1415" s="47" t="n">
        <x:v>1</x:v>
      </x:c>
      <x:c r="L1415" s="47" t="n">
        <x:v>1</x:v>
      </x:c>
      <x:c r="M1415" s="29" t="n">
        <x:v>1</x:v>
      </x:c>
    </x:row>
    <x:row r="1416" ht="15" hidden="0" customHeight="1">
      <x:c r="A1416" s="27" t="n">
        <x:v>412</x:v>
      </x:c>
      <x:c r="B1416" s="27" t="n">
        <x:v>331316</x:v>
      </x:c>
      <x:c r="C1416" s="27" t="str">
        <x:v>A2</x:v>
      </x:c>
      <x:c r="D1416" s="52" t="n">
        <x:v>2500</x:v>
      </x:c>
      <x:c r="E1416" s="46" t="n">
        <x:v>1</x:v>
      </x:c>
      <x:c r="F1416" s="46" t="n">
        <x:v>1</x:v>
      </x:c>
      <x:c r="G1416" s="46" t="n">
        <x:v>1</x:v>
      </x:c>
      <x:c r="H1416" s="46" t="n">
        <x:v>1</x:v>
      </x:c>
      <x:c r="I1416" s="46" t="n">
        <x:v>1</x:v>
      </x:c>
      <x:c r="J1416" s="46" t="n">
        <x:v>1</x:v>
      </x:c>
      <x:c r="K1416" s="46" t="n">
        <x:v>1</x:v>
      </x:c>
      <x:c r="L1416" s="46" t="n">
        <x:v>1</x:v>
      </x:c>
      <x:c r="M1416" s="27" t="n">
        <x:v>1</x:v>
      </x:c>
    </x:row>
    <x:row r="1417" ht="15" hidden="0" customHeight="1">
      <x:c r="A1417" s="29" t="n">
        <x:v>413</x:v>
      </x:c>
      <x:c r="B1417" s="29" t="n">
        <x:v>331317</x:v>
      </x:c>
      <x:c r="C1417" s="29" t="str">
        <x:v>A2</x:v>
      </x:c>
      <x:c r="D1417" s="53" t="n">
        <x:v>2500</x:v>
      </x:c>
      <x:c r="E1417" s="47" t="n">
        <x:v>1</x:v>
      </x:c>
      <x:c r="F1417" s="47" t="n">
        <x:v>1</x:v>
      </x:c>
      <x:c r="G1417" s="47" t="n">
        <x:v>1</x:v>
      </x:c>
      <x:c r="H1417" s="47" t="n">
        <x:v>1</x:v>
      </x:c>
      <x:c r="I1417" s="47" t="n">
        <x:v>1</x:v>
      </x:c>
      <x:c r="J1417" s="47" t="n">
        <x:v>1</x:v>
      </x:c>
      <x:c r="K1417" s="47" t="n">
        <x:v>1</x:v>
      </x:c>
      <x:c r="L1417" s="47" t="n">
        <x:v>1</x:v>
      </x:c>
      <x:c r="M1417" s="29" t="n">
        <x:v>1</x:v>
      </x:c>
    </x:row>
    <x:row r="1418" ht="15" hidden="0" customHeight="1">
      <x:c r="A1418" s="27" t="n">
        <x:v>414</x:v>
      </x:c>
      <x:c r="B1418" s="27" t="n">
        <x:v>331318</x:v>
      </x:c>
      <x:c r="C1418" s="27" t="str">
        <x:v>A2</x:v>
      </x:c>
      <x:c r="D1418" s="52" t="n">
        <x:v>2500</x:v>
      </x:c>
      <x:c r="E1418" s="46" t="n">
        <x:v>1</x:v>
      </x:c>
      <x:c r="F1418" s="46" t="n">
        <x:v>0.9999999999999998</x:v>
      </x:c>
      <x:c r="G1418" s="46" t="n">
        <x:v>1</x:v>
      </x:c>
      <x:c r="H1418" s="46" t="n">
        <x:v>1</x:v>
      </x:c>
      <x:c r="I1418" s="46" t="n">
        <x:v>1</x:v>
      </x:c>
      <x:c r="J1418" s="46" t="n">
        <x:v>1</x:v>
      </x:c>
      <x:c r="K1418" s="46" t="n">
        <x:v>1</x:v>
      </x:c>
      <x:c r="L1418" s="46" t="n">
        <x:v>1</x:v>
      </x:c>
      <x:c r="M1418" s="27" t="n">
        <x:v>1</x:v>
      </x:c>
    </x:row>
    <x:row r="1419" ht="15" hidden="0" customHeight="1">
      <x:c r="A1419" s="29" t="n">
        <x:v>415</x:v>
      </x:c>
      <x:c r="B1419" s="29" t="n">
        <x:v>331319</x:v>
      </x:c>
      <x:c r="C1419" s="29" t="str">
        <x:v>A2</x:v>
      </x:c>
      <x:c r="D1419" s="53" t="n">
        <x:v>2500</x:v>
      </x:c>
      <x:c r="E1419" s="47" t="n">
        <x:v>1</x:v>
      </x:c>
      <x:c r="F1419" s="47" t="n">
        <x:v>1</x:v>
      </x:c>
      <x:c r="G1419" s="47" t="n">
        <x:v>1</x:v>
      </x:c>
      <x:c r="H1419" s="47" t="n">
        <x:v>1</x:v>
      </x:c>
      <x:c r="I1419" s="47" t="n">
        <x:v>1</x:v>
      </x:c>
      <x:c r="J1419" s="47" t="n">
        <x:v>1</x:v>
      </x:c>
      <x:c r="K1419" s="47" t="n">
        <x:v>1</x:v>
      </x:c>
      <x:c r="L1419" s="47" t="n">
        <x:v>1</x:v>
      </x:c>
      <x:c r="M1419" s="29" t="n">
        <x:v>1</x:v>
      </x:c>
    </x:row>
    <x:row r="1420" ht="15" hidden="0" customHeight="1">
      <x:c r="A1420" s="27" t="n">
        <x:v>416</x:v>
      </x:c>
      <x:c r="B1420" s="27" t="n">
        <x:v>331320</x:v>
      </x:c>
      <x:c r="C1420" s="27" t="str">
        <x:v>A2</x:v>
      </x:c>
      <x:c r="D1420" s="52" t="n">
        <x:v>2500</x:v>
      </x:c>
      <x:c r="E1420" s="46" t="n">
        <x:v>1</x:v>
      </x:c>
      <x:c r="F1420" s="46" t="n">
        <x:v>1</x:v>
      </x:c>
      <x:c r="G1420" s="46" t="n">
        <x:v>1</x:v>
      </x:c>
      <x:c r="H1420" s="46" t="n">
        <x:v>1</x:v>
      </x:c>
      <x:c r="I1420" s="46" t="n">
        <x:v>1</x:v>
      </x:c>
      <x:c r="J1420" s="46" t="n">
        <x:v>1</x:v>
      </x:c>
      <x:c r="K1420" s="46" t="n">
        <x:v>1</x:v>
      </x:c>
      <x:c r="L1420" s="46" t="n">
        <x:v>1</x:v>
      </x:c>
      <x:c r="M1420" s="27" t="n">
        <x:v>1</x:v>
      </x:c>
    </x:row>
    <x:row r="1421" ht="15" hidden="0" customHeight="1">
      <x:c r="A1421" s="29" t="n">
        <x:v>417</x:v>
      </x:c>
      <x:c r="B1421" s="29" t="n">
        <x:v>331321</x:v>
      </x:c>
      <x:c r="C1421" s="29" t="str">
        <x:v>A2</x:v>
      </x:c>
      <x:c r="D1421" s="53" t="n">
        <x:v>2500</x:v>
      </x:c>
      <x:c r="E1421" s="47" t="n">
        <x:v>1</x:v>
      </x:c>
      <x:c r="F1421" s="47" t="n">
        <x:v>0.9999999999999998</x:v>
      </x:c>
      <x:c r="G1421" s="47" t="n">
        <x:v>1</x:v>
      </x:c>
      <x:c r="H1421" s="47" t="n">
        <x:v>1</x:v>
      </x:c>
      <x:c r="I1421" s="47" t="n">
        <x:v>1</x:v>
      </x:c>
      <x:c r="J1421" s="47" t="n">
        <x:v>1</x:v>
      </x:c>
      <x:c r="K1421" s="47" t="n">
        <x:v>1</x:v>
      </x:c>
      <x:c r="L1421" s="47" t="n">
        <x:v>1</x:v>
      </x:c>
      <x:c r="M1421" s="29" t="n">
        <x:v>1</x:v>
      </x:c>
    </x:row>
    <x:row r="1422" ht="15" hidden="0" customHeight="1">
      <x:c r="A1422" s="27" t="n">
        <x:v>418</x:v>
      </x:c>
      <x:c r="B1422" s="27" t="n">
        <x:v>331322</x:v>
      </x:c>
      <x:c r="C1422" s="27" t="str">
        <x:v>A2</x:v>
      </x:c>
      <x:c r="D1422" s="52" t="n">
        <x:v>2500</x:v>
      </x:c>
      <x:c r="E1422" s="46" t="n">
        <x:v>1</x:v>
      </x:c>
      <x:c r="F1422" s="46" t="n">
        <x:v>1</x:v>
      </x:c>
      <x:c r="G1422" s="46" t="n">
        <x:v>1</x:v>
      </x:c>
      <x:c r="H1422" s="46" t="n">
        <x:v>1</x:v>
      </x:c>
      <x:c r="I1422" s="46" t="n">
        <x:v>1</x:v>
      </x:c>
      <x:c r="J1422" s="46" t="n">
        <x:v>1</x:v>
      </x:c>
      <x:c r="K1422" s="46" t="n">
        <x:v>1</x:v>
      </x:c>
      <x:c r="L1422" s="46" t="n">
        <x:v>1</x:v>
      </x:c>
      <x:c r="M1422" s="27" t="n">
        <x:v>1</x:v>
      </x:c>
    </x:row>
    <x:row r="1423" ht="15" hidden="0" customHeight="1">
      <x:c r="A1423" s="29" t="n">
        <x:v>419</x:v>
      </x:c>
      <x:c r="B1423" s="29" t="n">
        <x:v>331323</x:v>
      </x:c>
      <x:c r="C1423" s="29" t="str">
        <x:v>A2</x:v>
      </x:c>
      <x:c r="D1423" s="53" t="n">
        <x:v>2500</x:v>
      </x:c>
      <x:c r="E1423" s="47" t="n">
        <x:v>1</x:v>
      </x:c>
      <x:c r="F1423" s="47" t="n">
        <x:v>1</x:v>
      </x:c>
      <x:c r="G1423" s="47" t="n">
        <x:v>1</x:v>
      </x:c>
      <x:c r="H1423" s="47" t="n">
        <x:v>1</x:v>
      </x:c>
      <x:c r="I1423" s="47" t="n">
        <x:v>1</x:v>
      </x:c>
      <x:c r="J1423" s="47" t="n">
        <x:v>1</x:v>
      </x:c>
      <x:c r="K1423" s="47" t="n">
        <x:v>1</x:v>
      </x:c>
      <x:c r="L1423" s="47" t="n">
        <x:v>1</x:v>
      </x:c>
      <x:c r="M1423" s="29" t="n">
        <x:v>1</x:v>
      </x:c>
    </x:row>
    <x:row r="1424" ht="15" hidden="0" customHeight="1">
      <x:c r="A1424" s="27" t="n">
        <x:v>420</x:v>
      </x:c>
      <x:c r="B1424" s="27" t="n">
        <x:v>331324</x:v>
      </x:c>
      <x:c r="C1424" s="27" t="str">
        <x:v>A2</x:v>
      </x:c>
      <x:c r="D1424" s="52" t="n">
        <x:v>2500</x:v>
      </x:c>
      <x:c r="E1424" s="46" t="n">
        <x:v>1</x:v>
      </x:c>
      <x:c r="F1424" s="46" t="n">
        <x:v>0.9999999999999998</x:v>
      </x:c>
      <x:c r="G1424" s="46" t="n">
        <x:v>1</x:v>
      </x:c>
      <x:c r="H1424" s="46" t="n">
        <x:v>1</x:v>
      </x:c>
      <x:c r="I1424" s="46" t="n">
        <x:v>1</x:v>
      </x:c>
      <x:c r="J1424" s="46" t="n">
        <x:v>1</x:v>
      </x:c>
      <x:c r="K1424" s="46" t="n">
        <x:v>1</x:v>
      </x:c>
      <x:c r="L1424" s="46" t="n">
        <x:v>1</x:v>
      </x:c>
      <x:c r="M1424" s="27" t="n">
        <x:v>1</x:v>
      </x:c>
    </x:row>
    <x:row r="1425" ht="15" hidden="0" customHeight="1">
      <x:c r="A1425" s="29" t="n">
        <x:v>421</x:v>
      </x:c>
      <x:c r="B1425" s="29" t="n">
        <x:v>331325</x:v>
      </x:c>
      <x:c r="C1425" s="29" t="str">
        <x:v>A2</x:v>
      </x:c>
      <x:c r="D1425" s="53" t="n">
        <x:v>2500</x:v>
      </x:c>
      <x:c r="E1425" s="47" t="n">
        <x:v>1</x:v>
      </x:c>
      <x:c r="F1425" s="47" t="n">
        <x:v>1</x:v>
      </x:c>
      <x:c r="G1425" s="47" t="n">
        <x:v>1</x:v>
      </x:c>
      <x:c r="H1425" s="47" t="n">
        <x:v>1</x:v>
      </x:c>
      <x:c r="I1425" s="47" t="n">
        <x:v>1</x:v>
      </x:c>
      <x:c r="J1425" s="47" t="n">
        <x:v>1</x:v>
      </x:c>
      <x:c r="K1425" s="47" t="n">
        <x:v>1</x:v>
      </x:c>
      <x:c r="L1425" s="47" t="n">
        <x:v>1</x:v>
      </x:c>
      <x:c r="M1425" s="29" t="n">
        <x:v>1</x:v>
      </x:c>
    </x:row>
    <x:row r="1426" ht="15" hidden="0" customHeight="1">
      <x:c r="A1426" s="27" t="n">
        <x:v>422</x:v>
      </x:c>
      <x:c r="B1426" s="27" t="n">
        <x:v>331326</x:v>
      </x:c>
      <x:c r="C1426" s="27" t="str">
        <x:v>A2</x:v>
      </x:c>
      <x:c r="D1426" s="52" t="n">
        <x:v>2500</x:v>
      </x:c>
      <x:c r="E1426" s="46" t="n">
        <x:v>1</x:v>
      </x:c>
      <x:c r="F1426" s="46" t="n">
        <x:v>1</x:v>
      </x:c>
      <x:c r="G1426" s="46" t="n">
        <x:v>1</x:v>
      </x:c>
      <x:c r="H1426" s="46" t="n">
        <x:v>1</x:v>
      </x:c>
      <x:c r="I1426" s="46" t="n">
        <x:v>1</x:v>
      </x:c>
      <x:c r="J1426" s="46" t="n">
        <x:v>1</x:v>
      </x:c>
      <x:c r="K1426" s="46" t="n">
        <x:v>1</x:v>
      </x:c>
      <x:c r="L1426" s="46" t="n">
        <x:v>1</x:v>
      </x:c>
      <x:c r="M1426" s="27" t="n">
        <x:v>1</x:v>
      </x:c>
    </x:row>
    <x:row r="1427" ht="15" hidden="0" customHeight="1">
      <x:c r="A1427" s="29" t="n">
        <x:v>423</x:v>
      </x:c>
      <x:c r="B1427" s="29" t="n">
        <x:v>331327</x:v>
      </x:c>
      <x:c r="C1427" s="29" t="str">
        <x:v>A2</x:v>
      </x:c>
      <x:c r="D1427" s="53" t="n">
        <x:v>2500</x:v>
      </x:c>
      <x:c r="E1427" s="47" t="n">
        <x:v>1</x:v>
      </x:c>
      <x:c r="F1427" s="47" t="n">
        <x:v>1</x:v>
      </x:c>
      <x:c r="G1427" s="47" t="n">
        <x:v>1</x:v>
      </x:c>
      <x:c r="H1427" s="47" t="n">
        <x:v>1</x:v>
      </x:c>
      <x:c r="I1427" s="47" t="n">
        <x:v>1</x:v>
      </x:c>
      <x:c r="J1427" s="47" t="n">
        <x:v>1</x:v>
      </x:c>
      <x:c r="K1427" s="47" t="n">
        <x:v>1</x:v>
      </x:c>
      <x:c r="L1427" s="47" t="n">
        <x:v>1</x:v>
      </x:c>
      <x:c r="M1427" s="29" t="n">
        <x:v>1</x:v>
      </x:c>
    </x:row>
    <x:row r="1428" ht="15" hidden="0" customHeight="1">
      <x:c r="A1428" s="27" t="n">
        <x:v>424</x:v>
      </x:c>
      <x:c r="B1428" s="27" t="n">
        <x:v>331328</x:v>
      </x:c>
      <x:c r="C1428" s="27" t="str">
        <x:v>A2</x:v>
      </x:c>
      <x:c r="D1428" s="52" t="n">
        <x:v>2500</x:v>
      </x:c>
      <x:c r="E1428" s="46" t="n">
        <x:v>1</x:v>
      </x:c>
      <x:c r="F1428" s="46" t="n">
        <x:v>1</x:v>
      </x:c>
      <x:c r="G1428" s="46" t="n">
        <x:v>1</x:v>
      </x:c>
      <x:c r="H1428" s="46" t="n">
        <x:v>1</x:v>
      </x:c>
      <x:c r="I1428" s="46" t="n">
        <x:v>1</x:v>
      </x:c>
      <x:c r="J1428" s="46" t="n">
        <x:v>1</x:v>
      </x:c>
      <x:c r="K1428" s="46" t="n">
        <x:v>1</x:v>
      </x:c>
      <x:c r="L1428" s="46" t="n">
        <x:v>1</x:v>
      </x:c>
      <x:c r="M1428" s="27" t="n">
        <x:v>1</x:v>
      </x:c>
    </x:row>
    <x:row r="1429" ht="15" hidden="0" customHeight="1">
      <x:c r="A1429" s="29" t="n">
        <x:v>425</x:v>
      </x:c>
      <x:c r="B1429" s="29" t="n">
        <x:v>331329</x:v>
      </x:c>
      <x:c r="C1429" s="29" t="str">
        <x:v>A2</x:v>
      </x:c>
      <x:c r="D1429" s="53" t="n">
        <x:v>2500</x:v>
      </x:c>
      <x:c r="E1429" s="47" t="n">
        <x:v>1</x:v>
      </x:c>
      <x:c r="F1429" s="47" t="n">
        <x:v>1</x:v>
      </x:c>
      <x:c r="G1429" s="47" t="n">
        <x:v>1</x:v>
      </x:c>
      <x:c r="H1429" s="47" t="n">
        <x:v>1</x:v>
      </x:c>
      <x:c r="I1429" s="47" t="n">
        <x:v>1</x:v>
      </x:c>
      <x:c r="J1429" s="47" t="n">
        <x:v>1</x:v>
      </x:c>
      <x:c r="K1429" s="47" t="n">
        <x:v>1</x:v>
      </x:c>
      <x:c r="L1429" s="47" t="n">
        <x:v>1</x:v>
      </x:c>
      <x:c r="M1429" s="29" t="n">
        <x:v>1</x:v>
      </x:c>
    </x:row>
    <x:row r="1430" ht="15" hidden="0" customHeight="1">
      <x:c r="A1430" s="27" t="n">
        <x:v>426</x:v>
      </x:c>
      <x:c r="B1430" s="27" t="n">
        <x:v>331330</x:v>
      </x:c>
      <x:c r="C1430" s="27" t="str">
        <x:v>A2</x:v>
      </x:c>
      <x:c r="D1430" s="52" t="n">
        <x:v>2500</x:v>
      </x:c>
      <x:c r="E1430" s="46" t="n">
        <x:v>1</x:v>
      </x:c>
      <x:c r="F1430" s="46" t="n">
        <x:v>1</x:v>
      </x:c>
      <x:c r="G1430" s="46" t="n">
        <x:v>1</x:v>
      </x:c>
      <x:c r="H1430" s="46" t="n">
        <x:v>1</x:v>
      </x:c>
      <x:c r="I1430" s="46" t="n">
        <x:v>1</x:v>
      </x:c>
      <x:c r="J1430" s="46" t="n">
        <x:v>1</x:v>
      </x:c>
      <x:c r="K1430" s="46" t="n">
        <x:v>1</x:v>
      </x:c>
      <x:c r="L1430" s="46" t="n">
        <x:v>1</x:v>
      </x:c>
      <x:c r="M1430" s="27" t="n">
        <x:v>1</x:v>
      </x:c>
    </x:row>
    <x:row r="1431" ht="15" hidden="0" customHeight="1">
      <x:c r="A1431" s="29" t="n">
        <x:v>427</x:v>
      </x:c>
      <x:c r="B1431" s="29" t="n">
        <x:v>331331</x:v>
      </x:c>
      <x:c r="C1431" s="29" t="str">
        <x:v>A2</x:v>
      </x:c>
      <x:c r="D1431" s="53" t="n">
        <x:v>2500</x:v>
      </x:c>
      <x:c r="E1431" s="47" t="n">
        <x:v>1</x:v>
      </x:c>
      <x:c r="F1431" s="47" t="n">
        <x:v>0.9999999999999998</x:v>
      </x:c>
      <x:c r="G1431" s="47" t="n">
        <x:v>1</x:v>
      </x:c>
      <x:c r="H1431" s="47" t="n">
        <x:v>1</x:v>
      </x:c>
      <x:c r="I1431" s="47" t="n">
        <x:v>1</x:v>
      </x:c>
      <x:c r="J1431" s="47" t="n">
        <x:v>1</x:v>
      </x:c>
      <x:c r="K1431" s="47" t="n">
        <x:v>1</x:v>
      </x:c>
      <x:c r="L1431" s="47" t="n">
        <x:v>1</x:v>
      </x:c>
      <x:c r="M1431" s="29" t="n">
        <x:v>1</x:v>
      </x:c>
    </x:row>
    <x:row r="1432" ht="15" hidden="0" customHeight="1">
      <x:c r="A1432" s="27" t="n">
        <x:v>428</x:v>
      </x:c>
      <x:c r="B1432" s="27" t="n">
        <x:v>331332</x:v>
      </x:c>
      <x:c r="C1432" s="27" t="str">
        <x:v>A2</x:v>
      </x:c>
      <x:c r="D1432" s="52" t="n">
        <x:v>2500</x:v>
      </x:c>
      <x:c r="E1432" s="46" t="n">
        <x:v>1</x:v>
      </x:c>
      <x:c r="F1432" s="46" t="n">
        <x:v>1</x:v>
      </x:c>
      <x:c r="G1432" s="46" t="n">
        <x:v>1</x:v>
      </x:c>
      <x:c r="H1432" s="46" t="n">
        <x:v>1</x:v>
      </x:c>
      <x:c r="I1432" s="46" t="n">
        <x:v>1</x:v>
      </x:c>
      <x:c r="J1432" s="46" t="n">
        <x:v>1</x:v>
      </x:c>
      <x:c r="K1432" s="46" t="n">
        <x:v>1</x:v>
      </x:c>
      <x:c r="L1432" s="46" t="n">
        <x:v>1</x:v>
      </x:c>
      <x:c r="M1432" s="27" t="n">
        <x:v>1</x:v>
      </x:c>
    </x:row>
    <x:row r="1433" ht="15" hidden="0" customHeight="1">
      <x:c r="A1433" s="29" t="n">
        <x:v>429</x:v>
      </x:c>
      <x:c r="B1433" s="29" t="n">
        <x:v>331333</x:v>
      </x:c>
      <x:c r="C1433" s="29" t="str">
        <x:v>A2</x:v>
      </x:c>
      <x:c r="D1433" s="53" t="n">
        <x:v>2500</x:v>
      </x:c>
      <x:c r="E1433" s="47" t="n">
        <x:v>1</x:v>
      </x:c>
      <x:c r="F1433" s="47" t="n">
        <x:v>1</x:v>
      </x:c>
      <x:c r="G1433" s="47" t="n">
        <x:v>1</x:v>
      </x:c>
      <x:c r="H1433" s="47" t="n">
        <x:v>1</x:v>
      </x:c>
      <x:c r="I1433" s="47" t="n">
        <x:v>1</x:v>
      </x:c>
      <x:c r="J1433" s="47" t="n">
        <x:v>1</x:v>
      </x:c>
      <x:c r="K1433" s="47" t="n">
        <x:v>1</x:v>
      </x:c>
      <x:c r="L1433" s="47" t="n">
        <x:v>1</x:v>
      </x:c>
      <x:c r="M1433" s="29" t="n">
        <x:v>1</x:v>
      </x:c>
    </x:row>
    <x:row r="1434" ht="15" hidden="0" customHeight="1">
      <x:c r="A1434" s="27" t="n">
        <x:v>430</x:v>
      </x:c>
      <x:c r="B1434" s="27" t="n">
        <x:v>331334</x:v>
      </x:c>
      <x:c r="C1434" s="27" t="str">
        <x:v>A2</x:v>
      </x:c>
      <x:c r="D1434" s="52" t="n">
        <x:v>2500</x:v>
      </x:c>
      <x:c r="E1434" s="46" t="n">
        <x:v>1</x:v>
      </x:c>
      <x:c r="F1434" s="46" t="n">
        <x:v>0.9999999999999998</x:v>
      </x:c>
      <x:c r="G1434" s="46" t="n">
        <x:v>1</x:v>
      </x:c>
      <x:c r="H1434" s="46" t="n">
        <x:v>1</x:v>
      </x:c>
      <x:c r="I1434" s="46" t="n">
        <x:v>1</x:v>
      </x:c>
      <x:c r="J1434" s="46" t="n">
        <x:v>1</x:v>
      </x:c>
      <x:c r="K1434" s="46" t="n">
        <x:v>1</x:v>
      </x:c>
      <x:c r="L1434" s="46" t="n">
        <x:v>1</x:v>
      </x:c>
      <x:c r="M1434" s="27" t="n">
        <x:v>1</x:v>
      </x:c>
    </x:row>
    <x:row r="1435" ht="15" hidden="0" customHeight="1">
      <x:c r="A1435" s="29" t="n">
        <x:v>431</x:v>
      </x:c>
      <x:c r="B1435" s="29" t="n">
        <x:v>331335</x:v>
      </x:c>
      <x:c r="C1435" s="29" t="str">
        <x:v>A2</x:v>
      </x:c>
      <x:c r="D1435" s="53" t="n">
        <x:v>2500</x:v>
      </x:c>
      <x:c r="E1435" s="47" t="n">
        <x:v>1</x:v>
      </x:c>
      <x:c r="F1435" s="47" t="n">
        <x:v>1</x:v>
      </x:c>
      <x:c r="G1435" s="47" t="n">
        <x:v>1</x:v>
      </x:c>
      <x:c r="H1435" s="47" t="n">
        <x:v>1</x:v>
      </x:c>
      <x:c r="I1435" s="47" t="n">
        <x:v>1</x:v>
      </x:c>
      <x:c r="J1435" s="47" t="n">
        <x:v>1</x:v>
      </x:c>
      <x:c r="K1435" s="47" t="n">
        <x:v>1</x:v>
      </x:c>
      <x:c r="L1435" s="47" t="n">
        <x:v>1</x:v>
      </x:c>
      <x:c r="M1435" s="29" t="n">
        <x:v>1</x:v>
      </x:c>
    </x:row>
    <x:row r="1436" ht="15" hidden="0" customHeight="1">
      <x:c r="A1436" s="27" t="n">
        <x:v>432</x:v>
      </x:c>
      <x:c r="B1436" s="27" t="n">
        <x:v>331336</x:v>
      </x:c>
      <x:c r="C1436" s="27" t="str">
        <x:v>A2</x:v>
      </x:c>
      <x:c r="D1436" s="52" t="n">
        <x:v>2500</x:v>
      </x:c>
      <x:c r="E1436" s="46" t="n">
        <x:v>1</x:v>
      </x:c>
      <x:c r="F1436" s="46" t="n">
        <x:v>1</x:v>
      </x:c>
      <x:c r="G1436" s="46" t="n">
        <x:v>1</x:v>
      </x:c>
      <x:c r="H1436" s="46" t="n">
        <x:v>1</x:v>
      </x:c>
      <x:c r="I1436" s="46" t="n">
        <x:v>1</x:v>
      </x:c>
      <x:c r="J1436" s="46" t="n">
        <x:v>1</x:v>
      </x:c>
      <x:c r="K1436" s="46" t="n">
        <x:v>1</x:v>
      </x:c>
      <x:c r="L1436" s="46" t="n">
        <x:v>1</x:v>
      </x:c>
      <x:c r="M1436" s="27" t="n">
        <x:v>1</x:v>
      </x:c>
    </x:row>
    <x:row r="1437" ht="15" hidden="0" customHeight="1">
      <x:c r="A1437" s="29" t="n">
        <x:v>433</x:v>
      </x:c>
      <x:c r="B1437" s="29" t="n">
        <x:v>331337</x:v>
      </x:c>
      <x:c r="C1437" s="29" t="str">
        <x:v>A2</x:v>
      </x:c>
      <x:c r="D1437" s="53" t="n">
        <x:v>2500</x:v>
      </x:c>
      <x:c r="E1437" s="47" t="n">
        <x:v>1</x:v>
      </x:c>
      <x:c r="F1437" s="47" t="n">
        <x:v>1</x:v>
      </x:c>
      <x:c r="G1437" s="47" t="n">
        <x:v>1</x:v>
      </x:c>
      <x:c r="H1437" s="47" t="n">
        <x:v>1</x:v>
      </x:c>
      <x:c r="I1437" s="47" t="n">
        <x:v>1</x:v>
      </x:c>
      <x:c r="J1437" s="47" t="n">
        <x:v>1</x:v>
      </x:c>
      <x:c r="K1437" s="47" t="n">
        <x:v>1</x:v>
      </x:c>
      <x:c r="L1437" s="47" t="n">
        <x:v>1</x:v>
      </x:c>
      <x:c r="M1437" s="29" t="n">
        <x:v>1</x:v>
      </x:c>
    </x:row>
    <x:row r="1438" ht="15" hidden="0" customHeight="1">
      <x:c r="A1438" s="27" t="n">
        <x:v>434</x:v>
      </x:c>
      <x:c r="B1438" s="27" t="n">
        <x:v>331338</x:v>
      </x:c>
      <x:c r="C1438" s="27" t="str">
        <x:v>A2</x:v>
      </x:c>
      <x:c r="D1438" s="52" t="n">
        <x:v>2500</x:v>
      </x:c>
      <x:c r="E1438" s="46" t="n">
        <x:v>1</x:v>
      </x:c>
      <x:c r="F1438" s="46" t="n">
        <x:v>0.9999999999999998</x:v>
      </x:c>
      <x:c r="G1438" s="46" t="n">
        <x:v>1</x:v>
      </x:c>
      <x:c r="H1438" s="46" t="n">
        <x:v>1</x:v>
      </x:c>
      <x:c r="I1438" s="46" t="n">
        <x:v>1</x:v>
      </x:c>
      <x:c r="J1438" s="46" t="n">
        <x:v>1</x:v>
      </x:c>
      <x:c r="K1438" s="46" t="n">
        <x:v>1</x:v>
      </x:c>
      <x:c r="L1438" s="46" t="n">
        <x:v>1</x:v>
      </x:c>
      <x:c r="M1438" s="27" t="n">
        <x:v>1</x:v>
      </x:c>
    </x:row>
    <x:row r="1439" ht="15" hidden="0" customHeight="1">
      <x:c r="A1439" s="29" t="n">
        <x:v>435</x:v>
      </x:c>
      <x:c r="B1439" s="29" t="n">
        <x:v>331339</x:v>
      </x:c>
      <x:c r="C1439" s="29" t="str">
        <x:v>A2</x:v>
      </x:c>
      <x:c r="D1439" s="53" t="n">
        <x:v>2500</x:v>
      </x:c>
      <x:c r="E1439" s="47" t="n">
        <x:v>1</x:v>
      </x:c>
      <x:c r="F1439" s="47" t="n">
        <x:v>1</x:v>
      </x:c>
      <x:c r="G1439" s="47" t="n">
        <x:v>1</x:v>
      </x:c>
      <x:c r="H1439" s="47" t="n">
        <x:v>1</x:v>
      </x:c>
      <x:c r="I1439" s="47" t="n">
        <x:v>1</x:v>
      </x:c>
      <x:c r="J1439" s="47" t="n">
        <x:v>1</x:v>
      </x:c>
      <x:c r="K1439" s="47" t="n">
        <x:v>1</x:v>
      </x:c>
      <x:c r="L1439" s="47" t="n">
        <x:v>1</x:v>
      </x:c>
      <x:c r="M1439" s="29" t="n">
        <x:v>1</x:v>
      </x:c>
    </x:row>
    <x:row r="1440" ht="15" hidden="0" customHeight="1">
      <x:c r="A1440" s="27" t="n">
        <x:v>436</x:v>
      </x:c>
      <x:c r="B1440" s="27" t="n">
        <x:v>331340</x:v>
      </x:c>
      <x:c r="C1440" s="27" t="str">
        <x:v>A2</x:v>
      </x:c>
      <x:c r="D1440" s="52" t="n">
        <x:v>2500</x:v>
      </x:c>
      <x:c r="E1440" s="46" t="n">
        <x:v>1</x:v>
      </x:c>
      <x:c r="F1440" s="46" t="n">
        <x:v>1</x:v>
      </x:c>
      <x:c r="G1440" s="46" t="n">
        <x:v>1</x:v>
      </x:c>
      <x:c r="H1440" s="46" t="n">
        <x:v>1</x:v>
      </x:c>
      <x:c r="I1440" s="46" t="n">
        <x:v>1</x:v>
      </x:c>
      <x:c r="J1440" s="46" t="n">
        <x:v>1</x:v>
      </x:c>
      <x:c r="K1440" s="46" t="n">
        <x:v>1</x:v>
      </x:c>
      <x:c r="L1440" s="46" t="n">
        <x:v>1</x:v>
      </x:c>
      <x:c r="M1440" s="27" t="n">
        <x:v>1</x:v>
      </x:c>
    </x:row>
    <x:row r="1441" ht="15" hidden="0" customHeight="1">
      <x:c r="A1441" s="29" t="n">
        <x:v>437</x:v>
      </x:c>
      <x:c r="B1441" s="29" t="n">
        <x:v>331341</x:v>
      </x:c>
      <x:c r="C1441" s="29" t="str">
        <x:v>A2</x:v>
      </x:c>
      <x:c r="D1441" s="53" t="n">
        <x:v>2500</x:v>
      </x:c>
      <x:c r="E1441" s="47" t="n">
        <x:v>1</x:v>
      </x:c>
      <x:c r="F1441" s="47" t="n">
        <x:v>1</x:v>
      </x:c>
      <x:c r="G1441" s="47" t="n">
        <x:v>1</x:v>
      </x:c>
      <x:c r="H1441" s="47" t="n">
        <x:v>1</x:v>
      </x:c>
      <x:c r="I1441" s="47" t="n">
        <x:v>1</x:v>
      </x:c>
      <x:c r="J1441" s="47" t="n">
        <x:v>1</x:v>
      </x:c>
      <x:c r="K1441" s="47" t="n">
        <x:v>1</x:v>
      </x:c>
      <x:c r="L1441" s="47" t="n">
        <x:v>1</x:v>
      </x:c>
      <x:c r="M1441" s="29" t="n">
        <x:v>1</x:v>
      </x:c>
    </x:row>
    <x:row r="1442" ht="15" hidden="0" customHeight="1">
      <x:c r="A1442" s="27" t="n">
        <x:v>438</x:v>
      </x:c>
      <x:c r="B1442" s="27" t="n">
        <x:v>331342</x:v>
      </x:c>
      <x:c r="C1442" s="27" t="str">
        <x:v>A2</x:v>
      </x:c>
      <x:c r="D1442" s="52" t="n">
        <x:v>2500</x:v>
      </x:c>
      <x:c r="E1442" s="46" t="n">
        <x:v>1</x:v>
      </x:c>
      <x:c r="F1442" s="46" t="n">
        <x:v>1</x:v>
      </x:c>
      <x:c r="G1442" s="46" t="n">
        <x:v>1</x:v>
      </x:c>
      <x:c r="H1442" s="46" t="n">
        <x:v>1</x:v>
      </x:c>
      <x:c r="I1442" s="46" t="n">
        <x:v>1</x:v>
      </x:c>
      <x:c r="J1442" s="46" t="n">
        <x:v>1</x:v>
      </x:c>
      <x:c r="K1442" s="46" t="n">
        <x:v>1</x:v>
      </x:c>
      <x:c r="L1442" s="46" t="n">
        <x:v>1</x:v>
      </x:c>
      <x:c r="M1442" s="27" t="n">
        <x:v>1</x:v>
      </x:c>
    </x:row>
    <x:row r="1443" ht="15" hidden="0" customHeight="1">
      <x:c r="A1443" s="29" t="n">
        <x:v>439</x:v>
      </x:c>
      <x:c r="B1443" s="29" t="n">
        <x:v>331343</x:v>
      </x:c>
      <x:c r="C1443" s="29" t="str">
        <x:v>A2</x:v>
      </x:c>
      <x:c r="D1443" s="53" t="n">
        <x:v>2500</x:v>
      </x:c>
      <x:c r="E1443" s="47" t="n">
        <x:v>1</x:v>
      </x:c>
      <x:c r="F1443" s="47" t="n">
        <x:v>1</x:v>
      </x:c>
      <x:c r="G1443" s="47" t="n">
        <x:v>1</x:v>
      </x:c>
      <x:c r="H1443" s="47" t="n">
        <x:v>1</x:v>
      </x:c>
      <x:c r="I1443" s="47" t="n">
        <x:v>1</x:v>
      </x:c>
      <x:c r="J1443" s="47" t="n">
        <x:v>1</x:v>
      </x:c>
      <x:c r="K1443" s="47" t="n">
        <x:v>1</x:v>
      </x:c>
      <x:c r="L1443" s="47" t="n">
        <x:v>1</x:v>
      </x:c>
      <x:c r="M1443" s="29" t="n">
        <x:v>1</x:v>
      </x:c>
    </x:row>
    <x:row r="1444" ht="15" hidden="0" customHeight="1">
      <x:c r="A1444" s="27" t="n">
        <x:v>440</x:v>
      </x:c>
      <x:c r="B1444" s="27" t="n">
        <x:v>331344</x:v>
      </x:c>
      <x:c r="C1444" s="27" t="str">
        <x:v>A2</x:v>
      </x:c>
      <x:c r="D1444" s="52" t="n">
        <x:v>2500</x:v>
      </x:c>
      <x:c r="E1444" s="46" t="n">
        <x:v>1</x:v>
      </x:c>
      <x:c r="F1444" s="46" t="n">
        <x:v>1</x:v>
      </x:c>
      <x:c r="G1444" s="46" t="n">
        <x:v>1</x:v>
      </x:c>
      <x:c r="H1444" s="46" t="n">
        <x:v>1</x:v>
      </x:c>
      <x:c r="I1444" s="46" t="n">
        <x:v>1</x:v>
      </x:c>
      <x:c r="J1444" s="46" t="n">
        <x:v>1</x:v>
      </x:c>
      <x:c r="K1444" s="46" t="n">
        <x:v>1</x:v>
      </x:c>
      <x:c r="L1444" s="46" t="n">
        <x:v>1</x:v>
      </x:c>
      <x:c r="M1444" s="27" t="n">
        <x:v>1</x:v>
      </x:c>
    </x:row>
    <x:row r="1445" ht="15" hidden="0" customHeight="1">
      <x:c r="A1445" s="29" t="n">
        <x:v>441</x:v>
      </x:c>
      <x:c r="B1445" s="29" t="n">
        <x:v>331345</x:v>
      </x:c>
      <x:c r="C1445" s="29" t="str">
        <x:v>A2</x:v>
      </x:c>
      <x:c r="D1445" s="53" t="n">
        <x:v>2500</x:v>
      </x:c>
      <x:c r="E1445" s="47" t="n">
        <x:v>1</x:v>
      </x:c>
      <x:c r="F1445" s="47" t="n">
        <x:v>1</x:v>
      </x:c>
      <x:c r="G1445" s="47" t="n">
        <x:v>1</x:v>
      </x:c>
      <x:c r="H1445" s="47" t="n">
        <x:v>1</x:v>
      </x:c>
      <x:c r="I1445" s="47" t="n">
        <x:v>1</x:v>
      </x:c>
      <x:c r="J1445" s="47" t="n">
        <x:v>1</x:v>
      </x:c>
      <x:c r="K1445" s="47" t="n">
        <x:v>1</x:v>
      </x:c>
      <x:c r="L1445" s="47" t="n">
        <x:v>1</x:v>
      </x:c>
      <x:c r="M1445" s="29" t="n">
        <x:v>1</x:v>
      </x:c>
    </x:row>
    <x:row r="1446" ht="15" hidden="0" customHeight="1">
      <x:c r="A1446" s="27" t="n">
        <x:v>442</x:v>
      </x:c>
      <x:c r="B1446" s="27" t="n">
        <x:v>331346</x:v>
      </x:c>
      <x:c r="C1446" s="27" t="str">
        <x:v>A2</x:v>
      </x:c>
      <x:c r="D1446" s="52" t="n">
        <x:v>2500</x:v>
      </x:c>
      <x:c r="E1446" s="46" t="n">
        <x:v>1</x:v>
      </x:c>
      <x:c r="F1446" s="46" t="n">
        <x:v>1</x:v>
      </x:c>
      <x:c r="G1446" s="46" t="n">
        <x:v>1</x:v>
      </x:c>
      <x:c r="H1446" s="46" t="n">
        <x:v>1</x:v>
      </x:c>
      <x:c r="I1446" s="46" t="n">
        <x:v>1</x:v>
      </x:c>
      <x:c r="J1446" s="46" t="n">
        <x:v>1</x:v>
      </x:c>
      <x:c r="K1446" s="46" t="n">
        <x:v>1</x:v>
      </x:c>
      <x:c r="L1446" s="46" t="n">
        <x:v>0.9999999999999999</x:v>
      </x:c>
      <x:c r="M1446" s="27" t="n">
        <x:v>1</x:v>
      </x:c>
    </x:row>
    <x:row r="1447" ht="15" hidden="0" customHeight="1">
      <x:c r="A1447" s="29" t="n">
        <x:v>443</x:v>
      </x:c>
      <x:c r="B1447" s="29" t="n">
        <x:v>331347</x:v>
      </x:c>
      <x:c r="C1447" s="29" t="str">
        <x:v>A2</x:v>
      </x:c>
      <x:c r="D1447" s="53" t="n">
        <x:v>2500</x:v>
      </x:c>
      <x:c r="E1447" s="47" t="n">
        <x:v>1</x:v>
      </x:c>
      <x:c r="F1447" s="47" t="n">
        <x:v>1</x:v>
      </x:c>
      <x:c r="G1447" s="47" t="n">
        <x:v>1</x:v>
      </x:c>
      <x:c r="H1447" s="47" t="n">
        <x:v>1</x:v>
      </x:c>
      <x:c r="I1447" s="47" t="n">
        <x:v>1</x:v>
      </x:c>
      <x:c r="J1447" s="47" t="n">
        <x:v>1</x:v>
      </x:c>
      <x:c r="K1447" s="47" t="n">
        <x:v>1</x:v>
      </x:c>
      <x:c r="L1447" s="47" t="n">
        <x:v>1</x:v>
      </x:c>
      <x:c r="M1447" s="29" t="n">
        <x:v>1</x:v>
      </x:c>
    </x:row>
    <x:row r="1448" ht="15" hidden="0" customHeight="1">
      <x:c r="A1448" s="27" t="n">
        <x:v>444</x:v>
      </x:c>
      <x:c r="B1448" s="27" t="n">
        <x:v>331348</x:v>
      </x:c>
      <x:c r="C1448" s="27" t="str">
        <x:v>A2</x:v>
      </x:c>
      <x:c r="D1448" s="52" t="n">
        <x:v>2500</x:v>
      </x:c>
      <x:c r="E1448" s="46" t="n">
        <x:v>1</x:v>
      </x:c>
      <x:c r="F1448" s="46" t="n">
        <x:v>1</x:v>
      </x:c>
      <x:c r="G1448" s="46" t="n">
        <x:v>1</x:v>
      </x:c>
      <x:c r="H1448" s="46" t="n">
        <x:v>1</x:v>
      </x:c>
      <x:c r="I1448" s="46" t="n">
        <x:v>1</x:v>
      </x:c>
      <x:c r="J1448" s="46" t="n">
        <x:v>1</x:v>
      </x:c>
      <x:c r="K1448" s="46" t="n">
        <x:v>1</x:v>
      </x:c>
      <x:c r="L1448" s="46" t="n">
        <x:v>1</x:v>
      </x:c>
      <x:c r="M1448" s="27" t="n">
        <x:v>1</x:v>
      </x:c>
    </x:row>
    <x:row r="1449" ht="15" hidden="0" customHeight="1">
      <x:c r="A1449" s="29" t="n">
        <x:v>445</x:v>
      </x:c>
      <x:c r="B1449" s="29" t="n">
        <x:v>331349</x:v>
      </x:c>
      <x:c r="C1449" s="29" t="str">
        <x:v>A2</x:v>
      </x:c>
      <x:c r="D1449" s="53" t="n">
        <x:v>2500</x:v>
      </x:c>
      <x:c r="E1449" s="47" t="n">
        <x:v>1</x:v>
      </x:c>
      <x:c r="F1449" s="47" t="n">
        <x:v>1</x:v>
      </x:c>
      <x:c r="G1449" s="47" t="n">
        <x:v>1</x:v>
      </x:c>
      <x:c r="H1449" s="47" t="n">
        <x:v>1</x:v>
      </x:c>
      <x:c r="I1449" s="47" t="n">
        <x:v>1</x:v>
      </x:c>
      <x:c r="J1449" s="47" t="n">
        <x:v>1</x:v>
      </x:c>
      <x:c r="K1449" s="47" t="n">
        <x:v>1</x:v>
      </x:c>
      <x:c r="L1449" s="47" t="n">
        <x:v>0.9999999999999999</x:v>
      </x:c>
      <x:c r="M1449" s="29" t="n">
        <x:v>1</x:v>
      </x:c>
    </x:row>
    <x:row r="1450" ht="15" hidden="0" customHeight="1">
      <x:c r="A1450" s="27" t="n">
        <x:v>446</x:v>
      </x:c>
      <x:c r="B1450" s="27" t="n">
        <x:v>331350</x:v>
      </x:c>
      <x:c r="C1450" s="27" t="str">
        <x:v>A2</x:v>
      </x:c>
      <x:c r="D1450" s="52" t="n">
        <x:v>2500</x:v>
      </x:c>
      <x:c r="E1450" s="46" t="n">
        <x:v>1</x:v>
      </x:c>
      <x:c r="F1450" s="46" t="n">
        <x:v>1</x:v>
      </x:c>
      <x:c r="G1450" s="46" t="n">
        <x:v>1</x:v>
      </x:c>
      <x:c r="H1450" s="46" t="n">
        <x:v>1</x:v>
      </x:c>
      <x:c r="I1450" s="46" t="n">
        <x:v>1</x:v>
      </x:c>
      <x:c r="J1450" s="46" t="n">
        <x:v>1</x:v>
      </x:c>
      <x:c r="K1450" s="46" t="n">
        <x:v>1</x:v>
      </x:c>
      <x:c r="L1450" s="46" t="n">
        <x:v>1</x:v>
      </x:c>
      <x:c r="M1450" s="27" t="n">
        <x:v>1</x:v>
      </x:c>
    </x:row>
    <x:row r="1451" ht="15" hidden="0" customHeight="1">
      <x:c r="A1451" s="29" t="n">
        <x:v>447</x:v>
      </x:c>
      <x:c r="B1451" s="29" t="n">
        <x:v>331351</x:v>
      </x:c>
      <x:c r="C1451" s="29" t="str">
        <x:v>A2</x:v>
      </x:c>
      <x:c r="D1451" s="53" t="n">
        <x:v>2500</x:v>
      </x:c>
      <x:c r="E1451" s="47" t="n">
        <x:v>1</x:v>
      </x:c>
      <x:c r="F1451" s="47" t="n">
        <x:v>1</x:v>
      </x:c>
      <x:c r="G1451" s="47" t="n">
        <x:v>1</x:v>
      </x:c>
      <x:c r="H1451" s="47" t="n">
        <x:v>1</x:v>
      </x:c>
      <x:c r="I1451" s="47" t="n">
        <x:v>1</x:v>
      </x:c>
      <x:c r="J1451" s="47" t="n">
        <x:v>1</x:v>
      </x:c>
      <x:c r="K1451" s="47" t="n">
        <x:v>1</x:v>
      </x:c>
      <x:c r="L1451" s="47" t="n">
        <x:v>1</x:v>
      </x:c>
      <x:c r="M1451" s="29" t="n">
        <x:v>1</x:v>
      </x:c>
    </x:row>
    <x:row r="1452" ht="15" hidden="0" customHeight="1">
      <x:c r="A1452" s="27" t="n">
        <x:v>448</x:v>
      </x:c>
      <x:c r="B1452" s="27" t="n">
        <x:v>331352</x:v>
      </x:c>
      <x:c r="C1452" s="27" t="str">
        <x:v>A2</x:v>
      </x:c>
      <x:c r="D1452" s="52" t="n">
        <x:v>2500</x:v>
      </x:c>
      <x:c r="E1452" s="46" t="n">
        <x:v>1</x:v>
      </x:c>
      <x:c r="F1452" s="46" t="n">
        <x:v>1</x:v>
      </x:c>
      <x:c r="G1452" s="46" t="n">
        <x:v>1</x:v>
      </x:c>
      <x:c r="H1452" s="46" t="n">
        <x:v>1</x:v>
      </x:c>
      <x:c r="I1452" s="46" t="n">
        <x:v>1</x:v>
      </x:c>
      <x:c r="J1452" s="46" t="n">
        <x:v>1</x:v>
      </x:c>
      <x:c r="K1452" s="46" t="n">
        <x:v>1</x:v>
      </x:c>
      <x:c r="L1452" s="46" t="n">
        <x:v>1</x:v>
      </x:c>
      <x:c r="M1452" s="27" t="n">
        <x:v>1</x:v>
      </x:c>
    </x:row>
    <x:row r="1453" ht="15" hidden="0" customHeight="1">
      <x:c r="A1453" s="29" t="n">
        <x:v>449</x:v>
      </x:c>
      <x:c r="B1453" s="29" t="n">
        <x:v>331353</x:v>
      </x:c>
      <x:c r="C1453" s="29" t="str">
        <x:v>A2</x:v>
      </x:c>
      <x:c r="D1453" s="53" t="n">
        <x:v>2500</x:v>
      </x:c>
      <x:c r="E1453" s="47" t="n">
        <x:v>1</x:v>
      </x:c>
      <x:c r="F1453" s="47" t="n">
        <x:v>1</x:v>
      </x:c>
      <x:c r="G1453" s="47" t="n">
        <x:v>1</x:v>
      </x:c>
      <x:c r="H1453" s="47" t="n">
        <x:v>1</x:v>
      </x:c>
      <x:c r="I1453" s="47" t="n">
        <x:v>1</x:v>
      </x:c>
      <x:c r="J1453" s="47" t="n">
        <x:v>1</x:v>
      </x:c>
      <x:c r="K1453" s="47" t="n">
        <x:v>1</x:v>
      </x:c>
      <x:c r="L1453" s="47" t="n">
        <x:v>1</x:v>
      </x:c>
      <x:c r="M1453" s="29" t="n">
        <x:v>1</x:v>
      </x:c>
    </x:row>
    <x:row r="1454" ht="15" hidden="0" customHeight="1">
      <x:c r="A1454" s="27" t="n">
        <x:v>450</x:v>
      </x:c>
      <x:c r="B1454" s="27" t="n">
        <x:v>331354</x:v>
      </x:c>
      <x:c r="C1454" s="27" t="str">
        <x:v>A2</x:v>
      </x:c>
      <x:c r="D1454" s="52" t="n">
        <x:v>2500</x:v>
      </x:c>
      <x:c r="E1454" s="46" t="n">
        <x:v>1</x:v>
      </x:c>
      <x:c r="F1454" s="46" t="n">
        <x:v>1</x:v>
      </x:c>
      <x:c r="G1454" s="46" t="n">
        <x:v>1</x:v>
      </x:c>
      <x:c r="H1454" s="46" t="n">
        <x:v>1</x:v>
      </x:c>
      <x:c r="I1454" s="46" t="n">
        <x:v>1</x:v>
      </x:c>
      <x:c r="J1454" s="46" t="n">
        <x:v>1</x:v>
      </x:c>
      <x:c r="K1454" s="46" t="n">
        <x:v>1</x:v>
      </x:c>
      <x:c r="L1454" s="46" t="n">
        <x:v>1</x:v>
      </x:c>
      <x:c r="M1454" s="27" t="n">
        <x:v>1</x:v>
      </x:c>
    </x:row>
    <x:row r="1455" ht="15" hidden="0" customHeight="1">
      <x:c r="A1455" s="29" t="n">
        <x:v>451</x:v>
      </x:c>
      <x:c r="B1455" s="29" t="n">
        <x:v>331355</x:v>
      </x:c>
      <x:c r="C1455" s="29" t="str">
        <x:v>A2</x:v>
      </x:c>
      <x:c r="D1455" s="53" t="n">
        <x:v>2500</x:v>
      </x:c>
      <x:c r="E1455" s="47" t="n">
        <x:v>1</x:v>
      </x:c>
      <x:c r="F1455" s="47" t="n">
        <x:v>1</x:v>
      </x:c>
      <x:c r="G1455" s="47" t="n">
        <x:v>1</x:v>
      </x:c>
      <x:c r="H1455" s="47" t="n">
        <x:v>1</x:v>
      </x:c>
      <x:c r="I1455" s="47" t="n">
        <x:v>1</x:v>
      </x:c>
      <x:c r="J1455" s="47" t="n">
        <x:v>1</x:v>
      </x:c>
      <x:c r="K1455" s="47" t="n">
        <x:v>1</x:v>
      </x:c>
      <x:c r="L1455" s="47" t="n">
        <x:v>1</x:v>
      </x:c>
      <x:c r="M1455" s="29" t="n">
        <x:v>1</x:v>
      </x:c>
    </x:row>
    <x:row r="1456" ht="15" hidden="0" customHeight="1">
      <x:c r="A1456" s="27" t="n">
        <x:v>452</x:v>
      </x:c>
      <x:c r="B1456" s="27" t="n">
        <x:v>331356</x:v>
      </x:c>
      <x:c r="C1456" s="27" t="str">
        <x:v>A2</x:v>
      </x:c>
      <x:c r="D1456" s="52" t="n">
        <x:v>2500</x:v>
      </x:c>
      <x:c r="E1456" s="46" t="n">
        <x:v>1</x:v>
      </x:c>
      <x:c r="F1456" s="46" t="n">
        <x:v>1</x:v>
      </x:c>
      <x:c r="G1456" s="46" t="n">
        <x:v>1</x:v>
      </x:c>
      <x:c r="H1456" s="46" t="n">
        <x:v>1</x:v>
      </x:c>
      <x:c r="I1456" s="46" t="n">
        <x:v>1</x:v>
      </x:c>
      <x:c r="J1456" s="46" t="n">
        <x:v>1</x:v>
      </x:c>
      <x:c r="K1456" s="46" t="n">
        <x:v>1</x:v>
      </x:c>
      <x:c r="L1456" s="46" t="n">
        <x:v>1</x:v>
      </x:c>
      <x:c r="M1456" s="27" t="n">
        <x:v>1</x:v>
      </x:c>
    </x:row>
    <x:row r="1457" ht="15" hidden="0" customHeight="1">
      <x:c r="A1457" s="29" t="n">
        <x:v>453</x:v>
      </x:c>
      <x:c r="B1457" s="29" t="n">
        <x:v>331357</x:v>
      </x:c>
      <x:c r="C1457" s="29" t="str">
        <x:v>A2</x:v>
      </x:c>
      <x:c r="D1457" s="53" t="n">
        <x:v>2500</x:v>
      </x:c>
      <x:c r="E1457" s="47" t="n">
        <x:v>1</x:v>
      </x:c>
      <x:c r="F1457" s="47" t="n">
        <x:v>1</x:v>
      </x:c>
      <x:c r="G1457" s="47" t="n">
        <x:v>1</x:v>
      </x:c>
      <x:c r="H1457" s="47" t="n">
        <x:v>1</x:v>
      </x:c>
      <x:c r="I1457" s="47" t="n">
        <x:v>1</x:v>
      </x:c>
      <x:c r="J1457" s="47" t="n">
        <x:v>1</x:v>
      </x:c>
      <x:c r="K1457" s="47" t="n">
        <x:v>1</x:v>
      </x:c>
      <x:c r="L1457" s="47" t="n">
        <x:v>1</x:v>
      </x:c>
      <x:c r="M1457" s="29" t="n">
        <x:v>1</x:v>
      </x:c>
    </x:row>
    <x:row r="1458" ht="15" hidden="0" customHeight="1">
      <x:c r="A1458" s="27" t="n">
        <x:v>454</x:v>
      </x:c>
      <x:c r="B1458" s="27" t="n">
        <x:v>331358</x:v>
      </x:c>
      <x:c r="C1458" s="27" t="str">
        <x:v>A2</x:v>
      </x:c>
      <x:c r="D1458" s="52" t="n">
        <x:v>2500</x:v>
      </x:c>
      <x:c r="E1458" s="46" t="n">
        <x:v>1</x:v>
      </x:c>
      <x:c r="F1458" s="46" t="n">
        <x:v>1</x:v>
      </x:c>
      <x:c r="G1458" s="46" t="n">
        <x:v>1</x:v>
      </x:c>
      <x:c r="H1458" s="46" t="n">
        <x:v>1</x:v>
      </x:c>
      <x:c r="I1458" s="46" t="n">
        <x:v>1</x:v>
      </x:c>
      <x:c r="J1458" s="46" t="n">
        <x:v>1</x:v>
      </x:c>
      <x:c r="K1458" s="46" t="n">
        <x:v>1</x:v>
      </x:c>
      <x:c r="L1458" s="46" t="n">
        <x:v>1</x:v>
      </x:c>
      <x:c r="M1458" s="27" t="n">
        <x:v>1</x:v>
      </x:c>
    </x:row>
    <x:row r="1459" ht="15" hidden="0" customHeight="1">
      <x:c r="A1459" s="29" t="n">
        <x:v>455</x:v>
      </x:c>
      <x:c r="B1459" s="29" t="n">
        <x:v>331359</x:v>
      </x:c>
      <x:c r="C1459" s="29" t="str">
        <x:v>A2</x:v>
      </x:c>
      <x:c r="D1459" s="53" t="n">
        <x:v>2500</x:v>
      </x:c>
      <x:c r="E1459" s="47" t="n">
        <x:v>1</x:v>
      </x:c>
      <x:c r="F1459" s="47" t="n">
        <x:v>1</x:v>
      </x:c>
      <x:c r="G1459" s="47" t="n">
        <x:v>1</x:v>
      </x:c>
      <x:c r="H1459" s="47" t="n">
        <x:v>1</x:v>
      </x:c>
      <x:c r="I1459" s="47" t="n">
        <x:v>1</x:v>
      </x:c>
      <x:c r="J1459" s="47" t="n">
        <x:v>1</x:v>
      </x:c>
      <x:c r="K1459" s="47" t="n">
        <x:v>1</x:v>
      </x:c>
      <x:c r="L1459" s="47" t="n">
        <x:v>1</x:v>
      </x:c>
      <x:c r="M1459" s="29" t="n">
        <x:v>1</x:v>
      </x:c>
    </x:row>
    <x:row r="1460" ht="15" hidden="0" customHeight="1">
      <x:c r="A1460" s="27" t="n">
        <x:v>456</x:v>
      </x:c>
      <x:c r="B1460" s="27" t="n">
        <x:v>331360</x:v>
      </x:c>
      <x:c r="C1460" s="27" t="str">
        <x:v>A2</x:v>
      </x:c>
      <x:c r="D1460" s="52" t="n">
        <x:v>2500</x:v>
      </x:c>
      <x:c r="E1460" s="46" t="n">
        <x:v>1</x:v>
      </x:c>
      <x:c r="F1460" s="46" t="n">
        <x:v>0.9999999999999999</x:v>
      </x:c>
      <x:c r="G1460" s="46" t="n">
        <x:v>1</x:v>
      </x:c>
      <x:c r="H1460" s="46" t="n">
        <x:v>1</x:v>
      </x:c>
      <x:c r="I1460" s="46" t="n">
        <x:v>1</x:v>
      </x:c>
      <x:c r="J1460" s="46" t="n">
        <x:v>1</x:v>
      </x:c>
      <x:c r="K1460" s="46" t="n">
        <x:v>1</x:v>
      </x:c>
      <x:c r="L1460" s="46" t="n">
        <x:v>1</x:v>
      </x:c>
      <x:c r="M1460" s="27" t="n">
        <x:v>1</x:v>
      </x:c>
    </x:row>
    <x:row r="1461" ht="15" hidden="0" customHeight="1">
      <x:c r="A1461" s="29" t="n">
        <x:v>457</x:v>
      </x:c>
      <x:c r="B1461" s="29" t="n">
        <x:v>331361</x:v>
      </x:c>
      <x:c r="C1461" s="29" t="str">
        <x:v>A2</x:v>
      </x:c>
      <x:c r="D1461" s="53" t="n">
        <x:v>2500</x:v>
      </x:c>
      <x:c r="E1461" s="47" t="n">
        <x:v>1</x:v>
      </x:c>
      <x:c r="F1461" s="47" t="n">
        <x:v>0.9999999999999998</x:v>
      </x:c>
      <x:c r="G1461" s="47" t="n">
        <x:v>1</x:v>
      </x:c>
      <x:c r="H1461" s="47" t="n">
        <x:v>1</x:v>
      </x:c>
      <x:c r="I1461" s="47" t="n">
        <x:v>1</x:v>
      </x:c>
      <x:c r="J1461" s="47" t="n">
        <x:v>1</x:v>
      </x:c>
      <x:c r="K1461" s="47" t="n">
        <x:v>1</x:v>
      </x:c>
      <x:c r="L1461" s="47" t="n">
        <x:v>1</x:v>
      </x:c>
      <x:c r="M1461" s="29" t="n">
        <x:v>1</x:v>
      </x:c>
    </x:row>
    <x:row r="1462" ht="15" hidden="0" customHeight="1">
      <x:c r="A1462" s="27" t="n">
        <x:v>458</x:v>
      </x:c>
      <x:c r="B1462" s="27" t="n">
        <x:v>331362</x:v>
      </x:c>
      <x:c r="C1462" s="27" t="str">
        <x:v>A2</x:v>
      </x:c>
      <x:c r="D1462" s="52" t="n">
        <x:v>2500</x:v>
      </x:c>
      <x:c r="E1462" s="46" t="n">
        <x:v>1</x:v>
      </x:c>
      <x:c r="F1462" s="46" t="n">
        <x:v>0.9999999999999998</x:v>
      </x:c>
      <x:c r="G1462" s="46" t="n">
        <x:v>1</x:v>
      </x:c>
      <x:c r="H1462" s="46" t="n">
        <x:v>1</x:v>
      </x:c>
      <x:c r="I1462" s="46" t="n">
        <x:v>1</x:v>
      </x:c>
      <x:c r="J1462" s="46" t="n">
        <x:v>1</x:v>
      </x:c>
      <x:c r="K1462" s="46" t="n">
        <x:v>1</x:v>
      </x:c>
      <x:c r="L1462" s="46" t="n">
        <x:v>1</x:v>
      </x:c>
      <x:c r="M1462" s="27" t="n">
        <x:v>1</x:v>
      </x:c>
    </x:row>
    <x:row r="1463" ht="15" hidden="0" customHeight="1">
      <x:c r="A1463" s="29" t="n">
        <x:v>459</x:v>
      </x:c>
      <x:c r="B1463" s="29" t="n">
        <x:v>331363</x:v>
      </x:c>
      <x:c r="C1463" s="29" t="str">
        <x:v>A2</x:v>
      </x:c>
      <x:c r="D1463" s="53" t="n">
        <x:v>2500</x:v>
      </x:c>
      <x:c r="E1463" s="47" t="n">
        <x:v>1</x:v>
      </x:c>
      <x:c r="F1463" s="47" t="n">
        <x:v>1</x:v>
      </x:c>
      <x:c r="G1463" s="47" t="n">
        <x:v>1</x:v>
      </x:c>
      <x:c r="H1463" s="47" t="n">
        <x:v>1</x:v>
      </x:c>
      <x:c r="I1463" s="47" t="n">
        <x:v>1</x:v>
      </x:c>
      <x:c r="J1463" s="47" t="n">
        <x:v>1</x:v>
      </x:c>
      <x:c r="K1463" s="47" t="n">
        <x:v>1</x:v>
      </x:c>
      <x:c r="L1463" s="47" t="n">
        <x:v>1</x:v>
      </x:c>
      <x:c r="M1463" s="29" t="n">
        <x:v>1</x:v>
      </x:c>
    </x:row>
    <x:row r="1464" ht="15" hidden="0" customHeight="1">
      <x:c r="A1464" s="27" t="n">
        <x:v>460</x:v>
      </x:c>
      <x:c r="B1464" s="27" t="n">
        <x:v>331364</x:v>
      </x:c>
      <x:c r="C1464" s="27" t="str">
        <x:v>A2</x:v>
      </x:c>
      <x:c r="D1464" s="52" t="n">
        <x:v>2500</x:v>
      </x:c>
      <x:c r="E1464" s="46" t="n">
        <x:v>1</x:v>
      </x:c>
      <x:c r="F1464" s="46" t="n">
        <x:v>1</x:v>
      </x:c>
      <x:c r="G1464" s="46" t="n">
        <x:v>1</x:v>
      </x:c>
      <x:c r="H1464" s="46" t="n">
        <x:v>1</x:v>
      </x:c>
      <x:c r="I1464" s="46" t="n">
        <x:v>1</x:v>
      </x:c>
      <x:c r="J1464" s="46" t="n">
        <x:v>1</x:v>
      </x:c>
      <x:c r="K1464" s="46" t="n">
        <x:v>1</x:v>
      </x:c>
      <x:c r="L1464" s="46" t="n">
        <x:v>1</x:v>
      </x:c>
      <x:c r="M1464" s="27" t="n">
        <x:v>1</x:v>
      </x:c>
    </x:row>
    <x:row r="1465" ht="15" hidden="0" customHeight="1">
      <x:c r="A1465" s="29" t="n">
        <x:v>461</x:v>
      </x:c>
      <x:c r="B1465" s="29" t="n">
        <x:v>331365</x:v>
      </x:c>
      <x:c r="C1465" s="29" t="str">
        <x:v>A2</x:v>
      </x:c>
      <x:c r="D1465" s="53" t="n">
        <x:v>2490.473619174266</x:v>
      </x:c>
      <x:c r="E1465" s="47" t="n">
        <x:v>0.9961894476697063</x:v>
      </x:c>
      <x:c r="F1465" s="47" t="n">
        <x:v>0.9618944766970633</x:v>
      </x:c>
      <x:c r="G1465" s="47" t="n">
        <x:v>1</x:v>
      </x:c>
      <x:c r="H1465" s="47" t="n">
        <x:v>1</x:v>
      </x:c>
      <x:c r="I1465" s="47" t="n">
        <x:v>1</x:v>
      </x:c>
      <x:c r="J1465" s="47" t="n">
        <x:v>1</x:v>
      </x:c>
      <x:c r="K1465" s="47" t="n">
        <x:v>1</x:v>
      </x:c>
      <x:c r="L1465" s="47" t="n">
        <x:v>0.9952945659628849</x:v>
      </x:c>
      <x:c r="M1465" s="29" t="n">
        <x:v>1</x:v>
      </x:c>
    </x:row>
    <x:row r="1466" ht="15" hidden="0" customHeight="1">
      <x:c r="A1466" s="27" t="n">
        <x:v>462</x:v>
      </x:c>
      <x:c r="B1466" s="27" t="n">
        <x:v>331366</x:v>
      </x:c>
      <x:c r="C1466" s="27" t="str">
        <x:v>A2</x:v>
      </x:c>
      <x:c r="D1466" s="52" t="n">
        <x:v>2500</x:v>
      </x:c>
      <x:c r="E1466" s="46" t="n">
        <x:v>1</x:v>
      </x:c>
      <x:c r="F1466" s="46" t="n">
        <x:v>1</x:v>
      </x:c>
      <x:c r="G1466" s="46" t="n">
        <x:v>1</x:v>
      </x:c>
      <x:c r="H1466" s="46" t="n">
        <x:v>1</x:v>
      </x:c>
      <x:c r="I1466" s="46" t="n">
        <x:v>1</x:v>
      </x:c>
      <x:c r="J1466" s="46" t="n">
        <x:v>1</x:v>
      </x:c>
      <x:c r="K1466" s="46" t="n">
        <x:v>1</x:v>
      </x:c>
      <x:c r="L1466" s="46" t="n">
        <x:v>0.9999999999999999</x:v>
      </x:c>
      <x:c r="M1466" s="27" t="n">
        <x:v>1</x:v>
      </x:c>
    </x:row>
    <x:row r="1467" ht="15" hidden="0" customHeight="1">
      <x:c r="A1467" s="29" t="n">
        <x:v>463</x:v>
      </x:c>
      <x:c r="B1467" s="29" t="n">
        <x:v>331367</x:v>
      </x:c>
      <x:c r="C1467" s="29" t="str">
        <x:v>A2</x:v>
      </x:c>
      <x:c r="D1467" s="53" t="n">
        <x:v>2500</x:v>
      </x:c>
      <x:c r="E1467" s="47" t="n">
        <x:v>1</x:v>
      </x:c>
      <x:c r="F1467" s="47" t="n">
        <x:v>1</x:v>
      </x:c>
      <x:c r="G1467" s="47" t="n">
        <x:v>1</x:v>
      </x:c>
      <x:c r="H1467" s="47" t="n">
        <x:v>1</x:v>
      </x:c>
      <x:c r="I1467" s="47" t="n">
        <x:v>1</x:v>
      </x:c>
      <x:c r="J1467" s="47" t="n">
        <x:v>1</x:v>
      </x:c>
      <x:c r="K1467" s="47" t="n">
        <x:v>1</x:v>
      </x:c>
      <x:c r="L1467" s="47" t="n">
        <x:v>1</x:v>
      </x:c>
      <x:c r="M1467" s="29" t="n">
        <x:v>1</x:v>
      </x:c>
    </x:row>
    <x:row r="1468" ht="15" hidden="0" customHeight="1">
      <x:c r="A1468" s="27" t="n">
        <x:v>464</x:v>
      </x:c>
      <x:c r="B1468" s="27" t="n">
        <x:v>331368</x:v>
      </x:c>
      <x:c r="C1468" s="27" t="str">
        <x:v>A2</x:v>
      </x:c>
      <x:c r="D1468" s="52" t="n">
        <x:v>2500</x:v>
      </x:c>
      <x:c r="E1468" s="46" t="n">
        <x:v>1</x:v>
      </x:c>
      <x:c r="F1468" s="46" t="n">
        <x:v>0.9999999999999998</x:v>
      </x:c>
      <x:c r="G1468" s="46" t="n">
        <x:v>1</x:v>
      </x:c>
      <x:c r="H1468" s="46" t="n">
        <x:v>1</x:v>
      </x:c>
      <x:c r="I1468" s="46" t="n">
        <x:v>1</x:v>
      </x:c>
      <x:c r="J1468" s="46" t="n">
        <x:v>1</x:v>
      </x:c>
      <x:c r="K1468" s="46" t="n">
        <x:v>1</x:v>
      </x:c>
      <x:c r="L1468" s="46" t="n">
        <x:v>1</x:v>
      </x:c>
      <x:c r="M1468" s="27" t="n">
        <x:v>1</x:v>
      </x:c>
    </x:row>
    <x:row r="1469" ht="15" hidden="0" customHeight="1">
      <x:c r="A1469" s="29" t="n">
        <x:v>465</x:v>
      </x:c>
      <x:c r="B1469" s="29" t="n">
        <x:v>331369</x:v>
      </x:c>
      <x:c r="C1469" s="29" t="str">
        <x:v>A2</x:v>
      </x:c>
      <x:c r="D1469" s="53" t="n">
        <x:v>2500</x:v>
      </x:c>
      <x:c r="E1469" s="47" t="n">
        <x:v>1</x:v>
      </x:c>
      <x:c r="F1469" s="47" t="n">
        <x:v>1</x:v>
      </x:c>
      <x:c r="G1469" s="47" t="n">
        <x:v>1</x:v>
      </x:c>
      <x:c r="H1469" s="47" t="n">
        <x:v>1</x:v>
      </x:c>
      <x:c r="I1469" s="47" t="n">
        <x:v>1</x:v>
      </x:c>
      <x:c r="J1469" s="47" t="n">
        <x:v>1</x:v>
      </x:c>
      <x:c r="K1469" s="47" t="n">
        <x:v>1</x:v>
      </x:c>
      <x:c r="L1469" s="47" t="n">
        <x:v>1</x:v>
      </x:c>
      <x:c r="M1469" s="29" t="n">
        <x:v>1</x:v>
      </x:c>
    </x:row>
    <x:row r="1470" ht="15" hidden="0" customHeight="1">
      <x:c r="A1470" s="27" t="n">
        <x:v>466</x:v>
      </x:c>
      <x:c r="B1470" s="27" t="n">
        <x:v>331370</x:v>
      </x:c>
      <x:c r="C1470" s="27" t="str">
        <x:v>A2</x:v>
      </x:c>
      <x:c r="D1470" s="52" t="n">
        <x:v>2500</x:v>
      </x:c>
      <x:c r="E1470" s="46" t="n">
        <x:v>1</x:v>
      </x:c>
      <x:c r="F1470" s="46" t="n">
        <x:v>1</x:v>
      </x:c>
      <x:c r="G1470" s="46" t="n">
        <x:v>1</x:v>
      </x:c>
      <x:c r="H1470" s="46" t="n">
        <x:v>1</x:v>
      </x:c>
      <x:c r="I1470" s="46" t="n">
        <x:v>1</x:v>
      </x:c>
      <x:c r="J1470" s="46" t="n">
        <x:v>1</x:v>
      </x:c>
      <x:c r="K1470" s="46" t="n">
        <x:v>1</x:v>
      </x:c>
      <x:c r="L1470" s="46" t="n">
        <x:v>1</x:v>
      </x:c>
      <x:c r="M1470" s="27" t="n">
        <x:v>1</x:v>
      </x:c>
    </x:row>
    <x:row r="1471" ht="15" hidden="0" customHeight="1">
      <x:c r="A1471" s="29" t="n">
        <x:v>467</x:v>
      </x:c>
      <x:c r="B1471" s="29" t="n">
        <x:v>331371</x:v>
      </x:c>
      <x:c r="C1471" s="29" t="str">
        <x:v>A2</x:v>
      </x:c>
      <x:c r="D1471" s="53" t="n">
        <x:v>2500</x:v>
      </x:c>
      <x:c r="E1471" s="47" t="n">
        <x:v>1</x:v>
      </x:c>
      <x:c r="F1471" s="47" t="n">
        <x:v>1</x:v>
      </x:c>
      <x:c r="G1471" s="47" t="n">
        <x:v>1</x:v>
      </x:c>
      <x:c r="H1471" s="47" t="n">
        <x:v>1</x:v>
      </x:c>
      <x:c r="I1471" s="47" t="n">
        <x:v>1</x:v>
      </x:c>
      <x:c r="J1471" s="47" t="n">
        <x:v>1</x:v>
      </x:c>
      <x:c r="K1471" s="47" t="n">
        <x:v>1</x:v>
      </x:c>
      <x:c r="L1471" s="47" t="n">
        <x:v>1</x:v>
      </x:c>
      <x:c r="M1471" s="29" t="n">
        <x:v>1</x:v>
      </x:c>
    </x:row>
    <x:row r="1472" ht="15" hidden="0" customHeight="1">
      <x:c r="A1472" s="27" t="n">
        <x:v>468</x:v>
      </x:c>
      <x:c r="B1472" s="27" t="n">
        <x:v>331372</x:v>
      </x:c>
      <x:c r="C1472" s="27" t="str">
        <x:v>A2</x:v>
      </x:c>
      <x:c r="D1472" s="52" t="n">
        <x:v>2500</x:v>
      </x:c>
      <x:c r="E1472" s="46" t="n">
        <x:v>1</x:v>
      </x:c>
      <x:c r="F1472" s="46" t="n">
        <x:v>1</x:v>
      </x:c>
      <x:c r="G1472" s="46" t="n">
        <x:v>1</x:v>
      </x:c>
      <x:c r="H1472" s="46" t="n">
        <x:v>1</x:v>
      </x:c>
      <x:c r="I1472" s="46" t="n">
        <x:v>1</x:v>
      </x:c>
      <x:c r="J1472" s="46" t="n">
        <x:v>1</x:v>
      </x:c>
      <x:c r="K1472" s="46" t="n">
        <x:v>1</x:v>
      </x:c>
      <x:c r="L1472" s="46" t="n">
        <x:v>1</x:v>
      </x:c>
      <x:c r="M1472" s="27" t="n">
        <x:v>1</x:v>
      </x:c>
    </x:row>
    <x:row r="1473" ht="15" hidden="0" customHeight="1">
      <x:c r="A1473" s="29" t="n">
        <x:v>469</x:v>
      </x:c>
      <x:c r="B1473" s="29" t="n">
        <x:v>331373</x:v>
      </x:c>
      <x:c r="C1473" s="29" t="str">
        <x:v>A2</x:v>
      </x:c>
      <x:c r="D1473" s="53" t="n">
        <x:v>2500</x:v>
      </x:c>
      <x:c r="E1473" s="47" t="n">
        <x:v>1</x:v>
      </x:c>
      <x:c r="F1473" s="47" t="n">
        <x:v>0.9999999999999998</x:v>
      </x:c>
      <x:c r="G1473" s="47" t="n">
        <x:v>1</x:v>
      </x:c>
      <x:c r="H1473" s="47" t="n">
        <x:v>1</x:v>
      </x:c>
      <x:c r="I1473" s="47" t="n">
        <x:v>1</x:v>
      </x:c>
      <x:c r="J1473" s="47" t="n">
        <x:v>1</x:v>
      </x:c>
      <x:c r="K1473" s="47" t="n">
        <x:v>1</x:v>
      </x:c>
      <x:c r="L1473" s="47" t="n">
        <x:v>1</x:v>
      </x:c>
      <x:c r="M1473" s="29" t="n">
        <x:v>1</x:v>
      </x:c>
    </x:row>
    <x:row r="1474" ht="15" hidden="0" customHeight="1">
      <x:c r="A1474" s="27" t="n">
        <x:v>470</x:v>
      </x:c>
      <x:c r="B1474" s="27" t="n">
        <x:v>331374</x:v>
      </x:c>
      <x:c r="C1474" s="27" t="str">
        <x:v>A2</x:v>
      </x:c>
      <x:c r="D1474" s="52" t="n">
        <x:v>2500</x:v>
      </x:c>
      <x:c r="E1474" s="46" t="n">
        <x:v>1</x:v>
      </x:c>
      <x:c r="F1474" s="46" t="n">
        <x:v>1</x:v>
      </x:c>
      <x:c r="G1474" s="46" t="n">
        <x:v>1</x:v>
      </x:c>
      <x:c r="H1474" s="46" t="n">
        <x:v>1</x:v>
      </x:c>
      <x:c r="I1474" s="46" t="n">
        <x:v>1</x:v>
      </x:c>
      <x:c r="J1474" s="46" t="n">
        <x:v>1</x:v>
      </x:c>
      <x:c r="K1474" s="46" t="n">
        <x:v>1</x:v>
      </x:c>
      <x:c r="L1474" s="46" t="n">
        <x:v>1</x:v>
      </x:c>
      <x:c r="M1474" s="27" t="n">
        <x:v>1</x:v>
      </x:c>
    </x:row>
    <x:row r="1475" ht="15" hidden="0" customHeight="1">
      <x:c r="A1475" s="29" t="n">
        <x:v>471</x:v>
      </x:c>
      <x:c r="B1475" s="29" t="n">
        <x:v>331375</x:v>
      </x:c>
      <x:c r="C1475" s="29" t="str">
        <x:v>A2</x:v>
      </x:c>
      <x:c r="D1475" s="53" t="n">
        <x:v>2500</x:v>
      </x:c>
      <x:c r="E1475" s="47" t="n">
        <x:v>1</x:v>
      </x:c>
      <x:c r="F1475" s="47" t="n">
        <x:v>1</x:v>
      </x:c>
      <x:c r="G1475" s="47" t="n">
        <x:v>1</x:v>
      </x:c>
      <x:c r="H1475" s="47" t="n">
        <x:v>1</x:v>
      </x:c>
      <x:c r="I1475" s="47" t="n">
        <x:v>1</x:v>
      </x:c>
      <x:c r="J1475" s="47" t="n">
        <x:v>1</x:v>
      </x:c>
      <x:c r="K1475" s="47" t="n">
        <x:v>1</x:v>
      </x:c>
      <x:c r="L1475" s="47" t="n">
        <x:v>1</x:v>
      </x:c>
      <x:c r="M1475" s="29" t="n">
        <x:v>1</x:v>
      </x:c>
    </x:row>
    <x:row r="1476" ht="15" hidden="0" customHeight="1">
      <x:c r="A1476" s="27" t="n">
        <x:v>472</x:v>
      </x:c>
      <x:c r="B1476" s="27" t="n">
        <x:v>331376</x:v>
      </x:c>
      <x:c r="C1476" s="27" t="str">
        <x:v>A2</x:v>
      </x:c>
      <x:c r="D1476" s="52" t="n">
        <x:v>2500</x:v>
      </x:c>
      <x:c r="E1476" s="46" t="n">
        <x:v>1</x:v>
      </x:c>
      <x:c r="F1476" s="46" t="n">
        <x:v>1</x:v>
      </x:c>
      <x:c r="G1476" s="46" t="n">
        <x:v>1</x:v>
      </x:c>
      <x:c r="H1476" s="46" t="n">
        <x:v>1</x:v>
      </x:c>
      <x:c r="I1476" s="46" t="n">
        <x:v>1</x:v>
      </x:c>
      <x:c r="J1476" s="46" t="n">
        <x:v>1</x:v>
      </x:c>
      <x:c r="K1476" s="46" t="n">
        <x:v>1</x:v>
      </x:c>
      <x:c r="L1476" s="46" t="n">
        <x:v>1</x:v>
      </x:c>
      <x:c r="M1476" s="27" t="n">
        <x:v>1</x:v>
      </x:c>
    </x:row>
    <x:row r="1477" ht="15" hidden="0" customHeight="1">
      <x:c r="A1477" s="29" t="n">
        <x:v>473</x:v>
      </x:c>
      <x:c r="B1477" s="29" t="n">
        <x:v>331377</x:v>
      </x:c>
      <x:c r="C1477" s="29" t="str">
        <x:v>A2</x:v>
      </x:c>
      <x:c r="D1477" s="53" t="n">
        <x:v>2500</x:v>
      </x:c>
      <x:c r="E1477" s="47" t="n">
        <x:v>1</x:v>
      </x:c>
      <x:c r="F1477" s="47" t="n">
        <x:v>1</x:v>
      </x:c>
      <x:c r="G1477" s="47" t="n">
        <x:v>1</x:v>
      </x:c>
      <x:c r="H1477" s="47" t="n">
        <x:v>1</x:v>
      </x:c>
      <x:c r="I1477" s="47" t="n">
        <x:v>1</x:v>
      </x:c>
      <x:c r="J1477" s="47" t="n">
        <x:v>1</x:v>
      </x:c>
      <x:c r="K1477" s="47" t="n">
        <x:v>1</x:v>
      </x:c>
      <x:c r="L1477" s="47" t="n">
        <x:v>1</x:v>
      </x:c>
      <x:c r="M1477" s="29" t="n">
        <x:v>1</x:v>
      </x:c>
    </x:row>
    <x:row r="1478" ht="15" hidden="0" customHeight="1">
      <x:c r="A1478" s="27" t="n">
        <x:v>474</x:v>
      </x:c>
      <x:c r="B1478" s="27" t="n">
        <x:v>331378</x:v>
      </x:c>
      <x:c r="C1478" s="27" t="str">
        <x:v>A2</x:v>
      </x:c>
      <x:c r="D1478" s="52" t="n">
        <x:v>2500</x:v>
      </x:c>
      <x:c r="E1478" s="46" t="n">
        <x:v>1</x:v>
      </x:c>
      <x:c r="F1478" s="46" t="n">
        <x:v>1</x:v>
      </x:c>
      <x:c r="G1478" s="46" t="n">
        <x:v>1</x:v>
      </x:c>
      <x:c r="H1478" s="46" t="n">
        <x:v>1</x:v>
      </x:c>
      <x:c r="I1478" s="46" t="n">
        <x:v>1</x:v>
      </x:c>
      <x:c r="J1478" s="46" t="n">
        <x:v>1</x:v>
      </x:c>
      <x:c r="K1478" s="46" t="n">
        <x:v>1</x:v>
      </x:c>
      <x:c r="L1478" s="46" t="n">
        <x:v>1</x:v>
      </x:c>
      <x:c r="M1478" s="27" t="n">
        <x:v>1</x:v>
      </x:c>
    </x:row>
    <x:row r="1479" ht="15" hidden="0" customHeight="1">
      <x:c r="A1479" s="29" t="n">
        <x:v>475</x:v>
      </x:c>
      <x:c r="B1479" s="29" t="n">
        <x:v>331379</x:v>
      </x:c>
      <x:c r="C1479" s="29" t="str">
        <x:v>A2</x:v>
      </x:c>
      <x:c r="D1479" s="53" t="n">
        <x:v>2500</x:v>
      </x:c>
      <x:c r="E1479" s="47" t="n">
        <x:v>1</x:v>
      </x:c>
      <x:c r="F1479" s="47" t="n">
        <x:v>1</x:v>
      </x:c>
      <x:c r="G1479" s="47" t="n">
        <x:v>1</x:v>
      </x:c>
      <x:c r="H1479" s="47" t="n">
        <x:v>1</x:v>
      </x:c>
      <x:c r="I1479" s="47" t="n">
        <x:v>1</x:v>
      </x:c>
      <x:c r="J1479" s="47" t="n">
        <x:v>1</x:v>
      </x:c>
      <x:c r="K1479" s="47" t="n">
        <x:v>1</x:v>
      </x:c>
      <x:c r="L1479" s="47" t="n">
        <x:v>1</x:v>
      </x:c>
      <x:c r="M1479" s="29" t="n">
        <x:v>1</x:v>
      </x:c>
    </x:row>
    <x:row r="1480" ht="15" hidden="0" customHeight="1">
      <x:c r="A1480" s="27" t="n">
        <x:v>476</x:v>
      </x:c>
      <x:c r="B1480" s="27" t="n">
        <x:v>331380</x:v>
      </x:c>
      <x:c r="C1480" s="27" t="str">
        <x:v>A2</x:v>
      </x:c>
      <x:c r="D1480" s="52" t="n">
        <x:v>2500</x:v>
      </x:c>
      <x:c r="E1480" s="46" t="n">
        <x:v>1</x:v>
      </x:c>
      <x:c r="F1480" s="46" t="n">
        <x:v>1</x:v>
      </x:c>
      <x:c r="G1480" s="46" t="n">
        <x:v>1</x:v>
      </x:c>
      <x:c r="H1480" s="46" t="n">
        <x:v>1</x:v>
      </x:c>
      <x:c r="I1480" s="46" t="n">
        <x:v>1</x:v>
      </x:c>
      <x:c r="J1480" s="46" t="n">
        <x:v>1</x:v>
      </x:c>
      <x:c r="K1480" s="46" t="n">
        <x:v>1</x:v>
      </x:c>
      <x:c r="L1480" s="46" t="n">
        <x:v>1</x:v>
      </x:c>
      <x:c r="M1480" s="27" t="n">
        <x:v>1</x:v>
      </x:c>
    </x:row>
    <x:row r="1481" ht="15" hidden="0" customHeight="1">
      <x:c r="A1481" s="29" t="n">
        <x:v>477</x:v>
      </x:c>
      <x:c r="B1481" s="29" t="n">
        <x:v>331381</x:v>
      </x:c>
      <x:c r="C1481" s="29" t="str">
        <x:v>A2</x:v>
      </x:c>
      <x:c r="D1481" s="53" t="n">
        <x:v>2500</x:v>
      </x:c>
      <x:c r="E1481" s="47" t="n">
        <x:v>1</x:v>
      </x:c>
      <x:c r="F1481" s="47" t="n">
        <x:v>1</x:v>
      </x:c>
      <x:c r="G1481" s="47" t="n">
        <x:v>1</x:v>
      </x:c>
      <x:c r="H1481" s="47" t="n">
        <x:v>1</x:v>
      </x:c>
      <x:c r="I1481" s="47" t="n">
        <x:v>1</x:v>
      </x:c>
      <x:c r="J1481" s="47" t="n">
        <x:v>1</x:v>
      </x:c>
      <x:c r="K1481" s="47" t="n">
        <x:v>1</x:v>
      </x:c>
      <x:c r="L1481" s="47" t="n">
        <x:v>1</x:v>
      </x:c>
      <x:c r="M1481" s="29" t="n">
        <x:v>1</x:v>
      </x:c>
    </x:row>
    <x:row r="1482" ht="15" hidden="0" customHeight="1">
      <x:c r="A1482" s="27" t="n">
        <x:v>478</x:v>
      </x:c>
      <x:c r="B1482" s="27" t="n">
        <x:v>331382</x:v>
      </x:c>
      <x:c r="C1482" s="27" t="str">
        <x:v>A2</x:v>
      </x:c>
      <x:c r="D1482" s="52" t="n">
        <x:v>2500</x:v>
      </x:c>
      <x:c r="E1482" s="46" t="n">
        <x:v>1</x:v>
      </x:c>
      <x:c r="F1482" s="46" t="n">
        <x:v>0.9999999999999999</x:v>
      </x:c>
      <x:c r="G1482" s="46" t="n">
        <x:v>1</x:v>
      </x:c>
      <x:c r="H1482" s="46" t="n">
        <x:v>1</x:v>
      </x:c>
      <x:c r="I1482" s="46" t="n">
        <x:v>1</x:v>
      </x:c>
      <x:c r="J1482" s="46" t="n">
        <x:v>1</x:v>
      </x:c>
      <x:c r="K1482" s="46" t="n">
        <x:v>1</x:v>
      </x:c>
      <x:c r="L1482" s="46" t="n">
        <x:v>1</x:v>
      </x:c>
      <x:c r="M1482" s="27" t="n">
        <x:v>1</x:v>
      </x:c>
    </x:row>
    <x:row r="1483" ht="15" hidden="0" customHeight="1">
      <x:c r="A1483" s="29" t="n">
        <x:v>479</x:v>
      </x:c>
      <x:c r="B1483" s="29" t="n">
        <x:v>331383</x:v>
      </x:c>
      <x:c r="C1483" s="29" t="str">
        <x:v>A2</x:v>
      </x:c>
      <x:c r="D1483" s="53" t="n">
        <x:v>2500</x:v>
      </x:c>
      <x:c r="E1483" s="47" t="n">
        <x:v>1</x:v>
      </x:c>
      <x:c r="F1483" s="47" t="n">
        <x:v>1</x:v>
      </x:c>
      <x:c r="G1483" s="47" t="n">
        <x:v>1</x:v>
      </x:c>
      <x:c r="H1483" s="47" t="n">
        <x:v>1</x:v>
      </x:c>
      <x:c r="I1483" s="47" t="n">
        <x:v>1</x:v>
      </x:c>
      <x:c r="J1483" s="47" t="n">
        <x:v>1</x:v>
      </x:c>
      <x:c r="K1483" s="47" t="n">
        <x:v>1</x:v>
      </x:c>
      <x:c r="L1483" s="47" t="n">
        <x:v>1</x:v>
      </x:c>
      <x:c r="M1483" s="29" t="n">
        <x:v>1</x:v>
      </x:c>
    </x:row>
    <x:row r="1484" ht="15" hidden="0" customHeight="1">
      <x:c r="A1484" s="27" t="n">
        <x:v>480</x:v>
      </x:c>
      <x:c r="B1484" s="27" t="n">
        <x:v>331384</x:v>
      </x:c>
      <x:c r="C1484" s="27" t="str">
        <x:v>A2</x:v>
      </x:c>
      <x:c r="D1484" s="52" t="n">
        <x:v>2500</x:v>
      </x:c>
      <x:c r="E1484" s="46" t="n">
        <x:v>1</x:v>
      </x:c>
      <x:c r="F1484" s="46" t="n">
        <x:v>1</x:v>
      </x:c>
      <x:c r="G1484" s="46" t="n">
        <x:v>1</x:v>
      </x:c>
      <x:c r="H1484" s="46" t="n">
        <x:v>1</x:v>
      </x:c>
      <x:c r="I1484" s="46" t="n">
        <x:v>1</x:v>
      </x:c>
      <x:c r="J1484" s="46" t="n">
        <x:v>1</x:v>
      </x:c>
      <x:c r="K1484" s="46" t="n">
        <x:v>1</x:v>
      </x:c>
      <x:c r="L1484" s="46" t="n">
        <x:v>1</x:v>
      </x:c>
      <x:c r="M1484" s="27" t="n">
        <x:v>1</x:v>
      </x:c>
    </x:row>
    <x:row r="1485" ht="15" hidden="0" customHeight="1">
      <x:c r="A1485" s="29" t="n">
        <x:v>481</x:v>
      </x:c>
      <x:c r="B1485" s="29" t="n">
        <x:v>331385</x:v>
      </x:c>
      <x:c r="C1485" s="29" t="str">
        <x:v>A2</x:v>
      </x:c>
      <x:c r="D1485" s="53" t="n">
        <x:v>2500</x:v>
      </x:c>
      <x:c r="E1485" s="47" t="n">
        <x:v>1</x:v>
      </x:c>
      <x:c r="F1485" s="47" t="n">
        <x:v>1</x:v>
      </x:c>
      <x:c r="G1485" s="47" t="n">
        <x:v>1</x:v>
      </x:c>
      <x:c r="H1485" s="47" t="n">
        <x:v>1</x:v>
      </x:c>
      <x:c r="I1485" s="47" t="n">
        <x:v>1</x:v>
      </x:c>
      <x:c r="J1485" s="47" t="n">
        <x:v>1</x:v>
      </x:c>
      <x:c r="K1485" s="47" t="n">
        <x:v>1</x:v>
      </x:c>
      <x:c r="L1485" s="47" t="n">
        <x:v>1</x:v>
      </x:c>
      <x:c r="M1485" s="29" t="n">
        <x:v>1</x:v>
      </x:c>
    </x:row>
    <x:row r="1486" ht="15" hidden="0" customHeight="1">
      <x:c r="A1486" s="27" t="n">
        <x:v>482</x:v>
      </x:c>
      <x:c r="B1486" s="27" t="n">
        <x:v>331386</x:v>
      </x:c>
      <x:c r="C1486" s="27" t="str">
        <x:v>A2</x:v>
      </x:c>
      <x:c r="D1486" s="52" t="n">
        <x:v>2500</x:v>
      </x:c>
      <x:c r="E1486" s="46" t="n">
        <x:v>1</x:v>
      </x:c>
      <x:c r="F1486" s="46" t="n">
        <x:v>0.9999999999999998</x:v>
      </x:c>
      <x:c r="G1486" s="46" t="n">
        <x:v>1</x:v>
      </x:c>
      <x:c r="H1486" s="46" t="n">
        <x:v>1</x:v>
      </x:c>
      <x:c r="I1486" s="46" t="n">
        <x:v>1</x:v>
      </x:c>
      <x:c r="J1486" s="46" t="n">
        <x:v>1</x:v>
      </x:c>
      <x:c r="K1486" s="46" t="n">
        <x:v>1</x:v>
      </x:c>
      <x:c r="L1486" s="46" t="n">
        <x:v>1</x:v>
      </x:c>
      <x:c r="M1486" s="27" t="n">
        <x:v>1</x:v>
      </x:c>
    </x:row>
    <x:row r="1487" ht="15" hidden="0" customHeight="1">
      <x:c r="A1487" s="29" t="n">
        <x:v>483</x:v>
      </x:c>
      <x:c r="B1487" s="29" t="n">
        <x:v>331387</x:v>
      </x:c>
      <x:c r="C1487" s="29" t="str">
        <x:v>A2</x:v>
      </x:c>
      <x:c r="D1487" s="53" t="n">
        <x:v>2500</x:v>
      </x:c>
      <x:c r="E1487" s="47" t="n">
        <x:v>1</x:v>
      </x:c>
      <x:c r="F1487" s="47" t="n">
        <x:v>1</x:v>
      </x:c>
      <x:c r="G1487" s="47" t="n">
        <x:v>1</x:v>
      </x:c>
      <x:c r="H1487" s="47" t="n">
        <x:v>1</x:v>
      </x:c>
      <x:c r="I1487" s="47" t="n">
        <x:v>1</x:v>
      </x:c>
      <x:c r="J1487" s="47" t="n">
        <x:v>1</x:v>
      </x:c>
      <x:c r="K1487" s="47" t="n">
        <x:v>1</x:v>
      </x:c>
      <x:c r="L1487" s="47" t="n">
        <x:v>1</x:v>
      </x:c>
      <x:c r="M1487" s="29" t="n">
        <x:v>1</x:v>
      </x:c>
    </x:row>
    <x:row r="1488" ht="15" hidden="0" customHeight="1">
      <x:c r="A1488" s="27" t="n">
        <x:v>484</x:v>
      </x:c>
      <x:c r="B1488" s="27" t="n">
        <x:v>331388</x:v>
      </x:c>
      <x:c r="C1488" s="27" t="str">
        <x:v>A2</x:v>
      </x:c>
      <x:c r="D1488" s="52" t="n">
        <x:v>2500</x:v>
      </x:c>
      <x:c r="E1488" s="46" t="n">
        <x:v>1</x:v>
      </x:c>
      <x:c r="F1488" s="46" t="n">
        <x:v>1</x:v>
      </x:c>
      <x:c r="G1488" s="46" t="n">
        <x:v>1</x:v>
      </x:c>
      <x:c r="H1488" s="46" t="n">
        <x:v>1</x:v>
      </x:c>
      <x:c r="I1488" s="46" t="n">
        <x:v>1</x:v>
      </x:c>
      <x:c r="J1488" s="46" t="n">
        <x:v>1</x:v>
      </x:c>
      <x:c r="K1488" s="46" t="n">
        <x:v>1</x:v>
      </x:c>
      <x:c r="L1488" s="46" t="n">
        <x:v>1</x:v>
      </x:c>
      <x:c r="M1488" s="27" t="n">
        <x:v>1</x:v>
      </x:c>
    </x:row>
    <x:row r="1489" ht="15" hidden="0" customHeight="1">
      <x:c r="A1489" s="29" t="n">
        <x:v>485</x:v>
      </x:c>
      <x:c r="B1489" s="29" t="n">
        <x:v>331389</x:v>
      </x:c>
      <x:c r="C1489" s="29" t="str">
        <x:v>A2</x:v>
      </x:c>
      <x:c r="D1489" s="53" t="n">
        <x:v>2500</x:v>
      </x:c>
      <x:c r="E1489" s="47" t="n">
        <x:v>1</x:v>
      </x:c>
      <x:c r="F1489" s="47" t="n">
        <x:v>1</x:v>
      </x:c>
      <x:c r="G1489" s="47" t="n">
        <x:v>1</x:v>
      </x:c>
      <x:c r="H1489" s="47" t="n">
        <x:v>1</x:v>
      </x:c>
      <x:c r="I1489" s="47" t="n">
        <x:v>1</x:v>
      </x:c>
      <x:c r="J1489" s="47" t="n">
        <x:v>1</x:v>
      </x:c>
      <x:c r="K1489" s="47" t="n">
        <x:v>1</x:v>
      </x:c>
      <x:c r="L1489" s="47" t="n">
        <x:v>1</x:v>
      </x:c>
      <x:c r="M1489" s="29" t="n">
        <x:v>1</x:v>
      </x:c>
    </x:row>
    <x:row r="1490" ht="15" hidden="0" customHeight="1">
      <x:c r="A1490" s="27" t="n">
        <x:v>486</x:v>
      </x:c>
      <x:c r="B1490" s="27" t="n">
        <x:v>331390</x:v>
      </x:c>
      <x:c r="C1490" s="27" t="str">
        <x:v>A2</x:v>
      </x:c>
      <x:c r="D1490" s="52" t="n">
        <x:v>2500</x:v>
      </x:c>
      <x:c r="E1490" s="46" t="n">
        <x:v>1</x:v>
      </x:c>
      <x:c r="F1490" s="46" t="n">
        <x:v>1</x:v>
      </x:c>
      <x:c r="G1490" s="46" t="n">
        <x:v>1</x:v>
      </x:c>
      <x:c r="H1490" s="46" t="n">
        <x:v>1</x:v>
      </x:c>
      <x:c r="I1490" s="46" t="n">
        <x:v>1</x:v>
      </x:c>
      <x:c r="J1490" s="46" t="n">
        <x:v>1</x:v>
      </x:c>
      <x:c r="K1490" s="46" t="n">
        <x:v>1</x:v>
      </x:c>
      <x:c r="L1490" s="46" t="n">
        <x:v>1</x:v>
      </x:c>
      <x:c r="M1490" s="27" t="n">
        <x:v>1</x:v>
      </x:c>
    </x:row>
    <x:row r="1491" ht="15" hidden="0" customHeight="1">
      <x:c r="A1491" s="29" t="n">
        <x:v>487</x:v>
      </x:c>
      <x:c r="B1491" s="29" t="n">
        <x:v>331391</x:v>
      </x:c>
      <x:c r="C1491" s="29" t="str">
        <x:v>A2</x:v>
      </x:c>
      <x:c r="D1491" s="53" t="n">
        <x:v>2500</x:v>
      </x:c>
      <x:c r="E1491" s="47" t="n">
        <x:v>1</x:v>
      </x:c>
      <x:c r="F1491" s="47" t="n">
        <x:v>1</x:v>
      </x:c>
      <x:c r="G1491" s="47" t="n">
        <x:v>1</x:v>
      </x:c>
      <x:c r="H1491" s="47" t="n">
        <x:v>1</x:v>
      </x:c>
      <x:c r="I1491" s="47" t="n">
        <x:v>1</x:v>
      </x:c>
      <x:c r="J1491" s="47" t="n">
        <x:v>1</x:v>
      </x:c>
      <x:c r="K1491" s="47" t="n">
        <x:v>1</x:v>
      </x:c>
      <x:c r="L1491" s="47" t="n">
        <x:v>1</x:v>
      </x:c>
      <x:c r="M1491" s="29" t="n">
        <x:v>1</x:v>
      </x:c>
    </x:row>
    <x:row r="1492" ht="15" hidden="0" customHeight="1">
      <x:c r="A1492" s="27" t="n">
        <x:v>488</x:v>
      </x:c>
      <x:c r="B1492" s="27" t="n">
        <x:v>331392</x:v>
      </x:c>
      <x:c r="C1492" s="27" t="str">
        <x:v>A2</x:v>
      </x:c>
      <x:c r="D1492" s="52" t="n">
        <x:v>2500</x:v>
      </x:c>
      <x:c r="E1492" s="46" t="n">
        <x:v>1</x:v>
      </x:c>
      <x:c r="F1492" s="46" t="n">
        <x:v>1</x:v>
      </x:c>
      <x:c r="G1492" s="46" t="n">
        <x:v>1</x:v>
      </x:c>
      <x:c r="H1492" s="46" t="n">
        <x:v>1</x:v>
      </x:c>
      <x:c r="I1492" s="46" t="n">
        <x:v>1</x:v>
      </x:c>
      <x:c r="J1492" s="46" t="n">
        <x:v>1</x:v>
      </x:c>
      <x:c r="K1492" s="46" t="n">
        <x:v>1</x:v>
      </x:c>
      <x:c r="L1492" s="46" t="n">
        <x:v>1</x:v>
      </x:c>
      <x:c r="M1492" s="27" t="n">
        <x:v>1</x:v>
      </x:c>
    </x:row>
    <x:row r="1493" ht="15" hidden="0" customHeight="1">
      <x:c r="A1493" s="29" t="n">
        <x:v>489</x:v>
      </x:c>
      <x:c r="B1493" s="29" t="n">
        <x:v>331393</x:v>
      </x:c>
      <x:c r="C1493" s="29" t="str">
        <x:v>A2</x:v>
      </x:c>
      <x:c r="D1493" s="53" t="n">
        <x:v>2500</x:v>
      </x:c>
      <x:c r="E1493" s="47" t="n">
        <x:v>1</x:v>
      </x:c>
      <x:c r="F1493" s="47" t="n">
        <x:v>1</x:v>
      </x:c>
      <x:c r="G1493" s="47" t="n">
        <x:v>1</x:v>
      </x:c>
      <x:c r="H1493" s="47" t="n">
        <x:v>1</x:v>
      </x:c>
      <x:c r="I1493" s="47" t="n">
        <x:v>1</x:v>
      </x:c>
      <x:c r="J1493" s="47" t="n">
        <x:v>1</x:v>
      </x:c>
      <x:c r="K1493" s="47" t="n">
        <x:v>1</x:v>
      </x:c>
      <x:c r="L1493" s="47" t="n">
        <x:v>1</x:v>
      </x:c>
      <x:c r="M1493" s="29" t="n">
        <x:v>1</x:v>
      </x:c>
    </x:row>
    <x:row r="1494" ht="15" hidden="0" customHeight="1">
      <x:c r="A1494" s="27" t="n">
        <x:v>490</x:v>
      </x:c>
      <x:c r="B1494" s="27" t="n">
        <x:v>331394</x:v>
      </x:c>
      <x:c r="C1494" s="27" t="str">
        <x:v>A2</x:v>
      </x:c>
      <x:c r="D1494" s="52" t="n">
        <x:v>2500</x:v>
      </x:c>
      <x:c r="E1494" s="46" t="n">
        <x:v>1</x:v>
      </x:c>
      <x:c r="F1494" s="46" t="n">
        <x:v>0.9999999999999998</x:v>
      </x:c>
      <x:c r="G1494" s="46" t="n">
        <x:v>1</x:v>
      </x:c>
      <x:c r="H1494" s="46" t="n">
        <x:v>1</x:v>
      </x:c>
      <x:c r="I1494" s="46" t="n">
        <x:v>1</x:v>
      </x:c>
      <x:c r="J1494" s="46" t="n">
        <x:v>1</x:v>
      </x:c>
      <x:c r="K1494" s="46" t="n">
        <x:v>1</x:v>
      </x:c>
      <x:c r="L1494" s="46" t="n">
        <x:v>1</x:v>
      </x:c>
      <x:c r="M1494" s="27" t="n">
        <x:v>1</x:v>
      </x:c>
    </x:row>
    <x:row r="1495" ht="15" hidden="0" customHeight="1">
      <x:c r="A1495" s="29" t="n">
        <x:v>491</x:v>
      </x:c>
      <x:c r="B1495" s="29" t="n">
        <x:v>331395</x:v>
      </x:c>
      <x:c r="C1495" s="29" t="str">
        <x:v>A2</x:v>
      </x:c>
      <x:c r="D1495" s="53" t="n">
        <x:v>2500</x:v>
      </x:c>
      <x:c r="E1495" s="47" t="n">
        <x:v>1</x:v>
      </x:c>
      <x:c r="F1495" s="47" t="n">
        <x:v>1</x:v>
      </x:c>
      <x:c r="G1495" s="47" t="n">
        <x:v>1</x:v>
      </x:c>
      <x:c r="H1495" s="47" t="n">
        <x:v>1</x:v>
      </x:c>
      <x:c r="I1495" s="47" t="n">
        <x:v>1</x:v>
      </x:c>
      <x:c r="J1495" s="47" t="n">
        <x:v>1</x:v>
      </x:c>
      <x:c r="K1495" s="47" t="n">
        <x:v>1</x:v>
      </x:c>
      <x:c r="L1495" s="47" t="n">
        <x:v>1</x:v>
      </x:c>
      <x:c r="M1495" s="29" t="n">
        <x:v>1</x:v>
      </x:c>
    </x:row>
    <x:row r="1496" ht="15" hidden="0" customHeight="1">
      <x:c r="A1496" s="27" t="n">
        <x:v>492</x:v>
      </x:c>
      <x:c r="B1496" s="27" t="n">
        <x:v>331396</x:v>
      </x:c>
      <x:c r="C1496" s="27" t="str">
        <x:v>A2</x:v>
      </x:c>
      <x:c r="D1496" s="52" t="n">
        <x:v>2500</x:v>
      </x:c>
      <x:c r="E1496" s="46" t="n">
        <x:v>1</x:v>
      </x:c>
      <x:c r="F1496" s="46" t="n">
        <x:v>0.9999999999999998</x:v>
      </x:c>
      <x:c r="G1496" s="46" t="n">
        <x:v>1</x:v>
      </x:c>
      <x:c r="H1496" s="46" t="n">
        <x:v>1</x:v>
      </x:c>
      <x:c r="I1496" s="46" t="n">
        <x:v>1</x:v>
      </x:c>
      <x:c r="J1496" s="46" t="n">
        <x:v>1</x:v>
      </x:c>
      <x:c r="K1496" s="46" t="n">
        <x:v>1</x:v>
      </x:c>
      <x:c r="L1496" s="46" t="n">
        <x:v>1</x:v>
      </x:c>
      <x:c r="M1496" s="27" t="n">
        <x:v>1</x:v>
      </x:c>
    </x:row>
    <x:row r="1497" ht="15" hidden="0" customHeight="1">
      <x:c r="A1497" s="29" t="n">
        <x:v>493</x:v>
      </x:c>
      <x:c r="B1497" s="29" t="n">
        <x:v>331397</x:v>
      </x:c>
      <x:c r="C1497" s="29" t="str">
        <x:v>A2</x:v>
      </x:c>
      <x:c r="D1497" s="53" t="n">
        <x:v>2500</x:v>
      </x:c>
      <x:c r="E1497" s="47" t="n">
        <x:v>1</x:v>
      </x:c>
      <x:c r="F1497" s="47" t="n">
        <x:v>1</x:v>
      </x:c>
      <x:c r="G1497" s="47" t="n">
        <x:v>1</x:v>
      </x:c>
      <x:c r="H1497" s="47" t="n">
        <x:v>1</x:v>
      </x:c>
      <x:c r="I1497" s="47" t="n">
        <x:v>1</x:v>
      </x:c>
      <x:c r="J1497" s="47" t="n">
        <x:v>1</x:v>
      </x:c>
      <x:c r="K1497" s="47" t="n">
        <x:v>1</x:v>
      </x:c>
      <x:c r="L1497" s="47" t="n">
        <x:v>1</x:v>
      </x:c>
      <x:c r="M1497" s="29" t="n">
        <x:v>1</x:v>
      </x:c>
    </x:row>
    <x:row r="1498" ht="15" hidden="0" customHeight="1">
      <x:c r="A1498" s="27" t="n">
        <x:v>494</x:v>
      </x:c>
      <x:c r="B1498" s="27" t="n">
        <x:v>331398</x:v>
      </x:c>
      <x:c r="C1498" s="27" t="str">
        <x:v>A2</x:v>
      </x:c>
      <x:c r="D1498" s="52" t="n">
        <x:v>2500</x:v>
      </x:c>
      <x:c r="E1498" s="46" t="n">
        <x:v>1</x:v>
      </x:c>
      <x:c r="F1498" s="46" t="n">
        <x:v>1</x:v>
      </x:c>
      <x:c r="G1498" s="46" t="n">
        <x:v>1</x:v>
      </x:c>
      <x:c r="H1498" s="46" t="n">
        <x:v>1</x:v>
      </x:c>
      <x:c r="I1498" s="46" t="n">
        <x:v>1</x:v>
      </x:c>
      <x:c r="J1498" s="46" t="n">
        <x:v>1</x:v>
      </x:c>
      <x:c r="K1498" s="46" t="n">
        <x:v>1</x:v>
      </x:c>
      <x:c r="L1498" s="46" t="n">
        <x:v>1</x:v>
      </x:c>
      <x:c r="M1498" s="27" t="n">
        <x:v>1</x:v>
      </x:c>
    </x:row>
    <x:row r="1499" ht="15" hidden="0" customHeight="1">
      <x:c r="A1499" s="29" t="n">
        <x:v>495</x:v>
      </x:c>
      <x:c r="B1499" s="29" t="n">
        <x:v>331399</x:v>
      </x:c>
      <x:c r="C1499" s="29" t="str">
        <x:v>A2</x:v>
      </x:c>
      <x:c r="D1499" s="53" t="n">
        <x:v>2500</x:v>
      </x:c>
      <x:c r="E1499" s="47" t="n">
        <x:v>1</x:v>
      </x:c>
      <x:c r="F1499" s="47" t="n">
        <x:v>0.9999999999999998</x:v>
      </x:c>
      <x:c r="G1499" s="47" t="n">
        <x:v>1</x:v>
      </x:c>
      <x:c r="H1499" s="47" t="n">
        <x:v>1</x:v>
      </x:c>
      <x:c r="I1499" s="47" t="n">
        <x:v>1</x:v>
      </x:c>
      <x:c r="J1499" s="47" t="n">
        <x:v>1</x:v>
      </x:c>
      <x:c r="K1499" s="47" t="n">
        <x:v>1</x:v>
      </x:c>
      <x:c r="L1499" s="47" t="n">
        <x:v>1</x:v>
      </x:c>
      <x:c r="M1499" s="29" t="n">
        <x:v>1</x:v>
      </x:c>
    </x:row>
    <x:row r="1500" ht="15" hidden="0" customHeight="1">
      <x:c r="A1500" s="27" t="n">
        <x:v>496</x:v>
      </x:c>
      <x:c r="B1500" s="27" t="n">
        <x:v>331400</x:v>
      </x:c>
      <x:c r="C1500" s="27" t="str">
        <x:v>A2</x:v>
      </x:c>
      <x:c r="D1500" s="52" t="n">
        <x:v>2500</x:v>
      </x:c>
      <x:c r="E1500" s="46" t="n">
        <x:v>1</x:v>
      </x:c>
      <x:c r="F1500" s="46" t="n">
        <x:v>1</x:v>
      </x:c>
      <x:c r="G1500" s="46" t="n">
        <x:v>1</x:v>
      </x:c>
      <x:c r="H1500" s="46" t="n">
        <x:v>1</x:v>
      </x:c>
      <x:c r="I1500" s="46" t="n">
        <x:v>1</x:v>
      </x:c>
      <x:c r="J1500" s="46" t="n">
        <x:v>1</x:v>
      </x:c>
      <x:c r="K1500" s="46" t="n">
        <x:v>1</x:v>
      </x:c>
      <x:c r="L1500" s="46" t="n">
        <x:v>1</x:v>
      </x:c>
      <x:c r="M1500" s="27" t="n">
        <x:v>1</x:v>
      </x:c>
    </x:row>
    <x:row r="1501" ht="15" hidden="0" customHeight="1">
      <x:c r="A1501" s="29" t="n">
        <x:v>497</x:v>
      </x:c>
      <x:c r="B1501" s="29" t="n">
        <x:v>331401</x:v>
      </x:c>
      <x:c r="C1501" s="29" t="str">
        <x:v>A2</x:v>
      </x:c>
      <x:c r="D1501" s="53" t="n">
        <x:v>2500</x:v>
      </x:c>
      <x:c r="E1501" s="47" t="n">
        <x:v>1</x:v>
      </x:c>
      <x:c r="F1501" s="47" t="n">
        <x:v>1</x:v>
      </x:c>
      <x:c r="G1501" s="47" t="n">
        <x:v>1</x:v>
      </x:c>
      <x:c r="H1501" s="47" t="n">
        <x:v>1</x:v>
      </x:c>
      <x:c r="I1501" s="47" t="n">
        <x:v>1</x:v>
      </x:c>
      <x:c r="J1501" s="47" t="n">
        <x:v>1</x:v>
      </x:c>
      <x:c r="K1501" s="47" t="n">
        <x:v>1</x:v>
      </x:c>
      <x:c r="L1501" s="47" t="n">
        <x:v>1</x:v>
      </x:c>
      <x:c r="M1501" s="29" t="n">
        <x:v>1</x:v>
      </x:c>
    </x:row>
    <x:row r="1502" ht="15" hidden="0" customHeight="1">
      <x:c r="A1502" s="27" t="n">
        <x:v>498</x:v>
      </x:c>
      <x:c r="B1502" s="27" t="n">
        <x:v>331402</x:v>
      </x:c>
      <x:c r="C1502" s="27" t="str">
        <x:v>A2</x:v>
      </x:c>
      <x:c r="D1502" s="52" t="n">
        <x:v>2493.10402796648</x:v>
      </x:c>
      <x:c r="E1502" s="46" t="n">
        <x:v>0.9972416111865919</x:v>
      </x:c>
      <x:c r="F1502" s="46" t="n">
        <x:v>0.9724161118659199</x:v>
      </x:c>
      <x:c r="G1502" s="46" t="n">
        <x:v>1</x:v>
      </x:c>
      <x:c r="H1502" s="46" t="n">
        <x:v>1</x:v>
      </x:c>
      <x:c r="I1502" s="46" t="n">
        <x:v>1</x:v>
      </x:c>
      <x:c r="J1502" s="46" t="n">
        <x:v>1</x:v>
      </x:c>
      <x:c r="K1502" s="46" t="n">
        <x:v>1</x:v>
      </x:c>
      <x:c r="L1502" s="46" t="n">
        <x:v>0.9965938227623795</x:v>
      </x:c>
      <x:c r="M1502" s="27" t="n">
        <x:v>1</x:v>
      </x:c>
    </x:row>
    <x:row r="1503" ht="15" hidden="0" customHeight="1">
      <x:c r="A1503" s="29" t="n">
        <x:v>499</x:v>
      </x:c>
      <x:c r="B1503" s="29" t="n">
        <x:v>331403</x:v>
      </x:c>
      <x:c r="C1503" s="29" t="str">
        <x:v>A2</x:v>
      </x:c>
      <x:c r="D1503" s="53" t="n">
        <x:v>2500</x:v>
      </x:c>
      <x:c r="E1503" s="47" t="n">
        <x:v>1</x:v>
      </x:c>
      <x:c r="F1503" s="47" t="n">
        <x:v>0.9999999999999998</x:v>
      </x:c>
      <x:c r="G1503" s="47" t="n">
        <x:v>1</x:v>
      </x:c>
      <x:c r="H1503" s="47" t="n">
        <x:v>1</x:v>
      </x:c>
      <x:c r="I1503" s="47" t="n">
        <x:v>1</x:v>
      </x:c>
      <x:c r="J1503" s="47" t="n">
        <x:v>1</x:v>
      </x:c>
      <x:c r="K1503" s="47" t="n">
        <x:v>1</x:v>
      </x:c>
      <x:c r="L1503" s="47" t="n">
        <x:v>1</x:v>
      </x:c>
      <x:c r="M1503" s="29" t="n">
        <x:v>1</x:v>
      </x:c>
    </x:row>
    <x:row r="1504" ht="15" hidden="0" customHeight="1">
      <x:c r="A1504" s="27" t="n">
        <x:v>500</x:v>
      </x:c>
      <x:c r="B1504" s="27" t="n">
        <x:v>331404</x:v>
      </x:c>
      <x:c r="C1504" s="27" t="str">
        <x:v>A2</x:v>
      </x:c>
      <x:c r="D1504" s="52" t="n">
        <x:v>2500</x:v>
      </x:c>
      <x:c r="E1504" s="46" t="n">
        <x:v>1</x:v>
      </x:c>
      <x:c r="F1504" s="46" t="n">
        <x:v>1</x:v>
      </x:c>
      <x:c r="G1504" s="46" t="n">
        <x:v>1</x:v>
      </x:c>
      <x:c r="H1504" s="46" t="n">
        <x:v>1</x:v>
      </x:c>
      <x:c r="I1504" s="46" t="n">
        <x:v>1</x:v>
      </x:c>
      <x:c r="J1504" s="46" t="n">
        <x:v>1</x:v>
      </x:c>
      <x:c r="K1504" s="46" t="n">
        <x:v>1</x:v>
      </x:c>
      <x:c r="L1504" s="46" t="n">
        <x:v>1</x:v>
      </x:c>
      <x:c r="M1504" s="27" t="n">
        <x:v>1</x:v>
      </x:c>
    </x:row>
    <x:row r="1505" ht="15" hidden="0" customHeight="1">
      <x:c r="A1505" s="29" t="n">
        <x:v>1</x:v>
      </x:c>
      <x:c r="B1505" s="29" t="n">
        <x:v>330905</x:v>
      </x:c>
      <x:c r="C1505" s="29" t="str">
        <x:v>A3</x:v>
      </x:c>
      <x:c r="D1505" s="53" t="n">
        <x:v>2500</x:v>
      </x:c>
      <x:c r="E1505" s="47" t="n">
        <x:v>1</x:v>
      </x:c>
      <x:c r="F1505" s="47" t="n">
        <x:v>1</x:v>
      </x:c>
      <x:c r="G1505" s="47" t="n">
        <x:v>1</x:v>
      </x:c>
      <x:c r="H1505" s="47" t="n">
        <x:v>1</x:v>
      </x:c>
      <x:c r="I1505" s="47" t="n">
        <x:v>1</x:v>
      </x:c>
      <x:c r="J1505" s="47" t="n">
        <x:v>1</x:v>
      </x:c>
      <x:c r="K1505" s="47" t="n">
        <x:v>1</x:v>
      </x:c>
      <x:c r="L1505" s="47" t="n">
        <x:v>1</x:v>
      </x:c>
      <x:c r="M1505" s="29" t="n">
        <x:v>1</x:v>
      </x:c>
    </x:row>
    <x:row r="1506" ht="15" hidden="0" customHeight="1">
      <x:c r="A1506" s="27" t="n">
        <x:v>2</x:v>
      </x:c>
      <x:c r="B1506" s="27" t="n">
        <x:v>330906</x:v>
      </x:c>
      <x:c r="C1506" s="27" t="str">
        <x:v>A3</x:v>
      </x:c>
      <x:c r="D1506" s="52" t="n">
        <x:v>2500</x:v>
      </x:c>
      <x:c r="E1506" s="46" t="n">
        <x:v>1</x:v>
      </x:c>
      <x:c r="F1506" s="46" t="n">
        <x:v>1</x:v>
      </x:c>
      <x:c r="G1506" s="46" t="n">
        <x:v>1</x:v>
      </x:c>
      <x:c r="H1506" s="46" t="n">
        <x:v>1</x:v>
      </x:c>
      <x:c r="I1506" s="46" t="n">
        <x:v>1</x:v>
      </x:c>
      <x:c r="J1506" s="46" t="n">
        <x:v>1</x:v>
      </x:c>
      <x:c r="K1506" s="46" t="n">
        <x:v>1</x:v>
      </x:c>
      <x:c r="L1506" s="46" t="n">
        <x:v>1</x:v>
      </x:c>
      <x:c r="M1506" s="27" t="n">
        <x:v>1</x:v>
      </x:c>
    </x:row>
    <x:row r="1507" ht="15" hidden="0" customHeight="1">
      <x:c r="A1507" s="29" t="n">
        <x:v>3</x:v>
      </x:c>
      <x:c r="B1507" s="29" t="n">
        <x:v>330907</x:v>
      </x:c>
      <x:c r="C1507" s="29" t="str">
        <x:v>A3</x:v>
      </x:c>
      <x:c r="D1507" s="53" t="n">
        <x:v>2500</x:v>
      </x:c>
      <x:c r="E1507" s="47" t="n">
        <x:v>1</x:v>
      </x:c>
      <x:c r="F1507" s="47" t="n">
        <x:v>1</x:v>
      </x:c>
      <x:c r="G1507" s="47" t="n">
        <x:v>1</x:v>
      </x:c>
      <x:c r="H1507" s="47" t="n">
        <x:v>1</x:v>
      </x:c>
      <x:c r="I1507" s="47" t="n">
        <x:v>1</x:v>
      </x:c>
      <x:c r="J1507" s="47" t="n">
        <x:v>1</x:v>
      </x:c>
      <x:c r="K1507" s="47" t="n">
        <x:v>1</x:v>
      </x:c>
      <x:c r="L1507" s="47" t="n">
        <x:v>1</x:v>
      </x:c>
      <x:c r="M1507" s="29" t="n">
        <x:v>1</x:v>
      </x:c>
    </x:row>
    <x:row r="1508" ht="15" hidden="0" customHeight="1">
      <x:c r="A1508" s="27" t="n">
        <x:v>4</x:v>
      </x:c>
      <x:c r="B1508" s="27" t="n">
        <x:v>330908</x:v>
      </x:c>
      <x:c r="C1508" s="27" t="str">
        <x:v>A3</x:v>
      </x:c>
      <x:c r="D1508" s="52" t="n">
        <x:v>2500</x:v>
      </x:c>
      <x:c r="E1508" s="46" t="n">
        <x:v>1</x:v>
      </x:c>
      <x:c r="F1508" s="46" t="n">
        <x:v>1</x:v>
      </x:c>
      <x:c r="G1508" s="46" t="n">
        <x:v>1</x:v>
      </x:c>
      <x:c r="H1508" s="46" t="n">
        <x:v>1</x:v>
      </x:c>
      <x:c r="I1508" s="46" t="n">
        <x:v>1</x:v>
      </x:c>
      <x:c r="J1508" s="46" t="n">
        <x:v>1</x:v>
      </x:c>
      <x:c r="K1508" s="46" t="n">
        <x:v>1</x:v>
      </x:c>
      <x:c r="L1508" s="46" t="n">
        <x:v>1</x:v>
      </x:c>
      <x:c r="M1508" s="27" t="n">
        <x:v>1</x:v>
      </x:c>
    </x:row>
    <x:row r="1509" ht="15" hidden="0" customHeight="1">
      <x:c r="A1509" s="29" t="n">
        <x:v>5</x:v>
      </x:c>
      <x:c r="B1509" s="29" t="n">
        <x:v>330909</x:v>
      </x:c>
      <x:c r="C1509" s="29" t="str">
        <x:v>A3</x:v>
      </x:c>
      <x:c r="D1509" s="53" t="n">
        <x:v>2500</x:v>
      </x:c>
      <x:c r="E1509" s="47" t="n">
        <x:v>1</x:v>
      </x:c>
      <x:c r="F1509" s="47" t="n">
        <x:v>1</x:v>
      </x:c>
      <x:c r="G1509" s="47" t="n">
        <x:v>1</x:v>
      </x:c>
      <x:c r="H1509" s="47" t="n">
        <x:v>1</x:v>
      </x:c>
      <x:c r="I1509" s="47" t="n">
        <x:v>1</x:v>
      </x:c>
      <x:c r="J1509" s="47" t="n">
        <x:v>1</x:v>
      </x:c>
      <x:c r="K1509" s="47" t="n">
        <x:v>1</x:v>
      </x:c>
      <x:c r="L1509" s="47" t="n">
        <x:v>1</x:v>
      </x:c>
      <x:c r="M1509" s="29" t="n">
        <x:v>1</x:v>
      </x:c>
    </x:row>
    <x:row r="1510" ht="15" hidden="0" customHeight="1">
      <x:c r="A1510" s="27" t="n">
        <x:v>6</x:v>
      </x:c>
      <x:c r="B1510" s="27" t="n">
        <x:v>330910</x:v>
      </x:c>
      <x:c r="C1510" s="27" t="str">
        <x:v>A3</x:v>
      </x:c>
      <x:c r="D1510" s="52" t="n">
        <x:v>2500</x:v>
      </x:c>
      <x:c r="E1510" s="46" t="n">
        <x:v>1</x:v>
      </x:c>
      <x:c r="F1510" s="46" t="n">
        <x:v>1</x:v>
      </x:c>
      <x:c r="G1510" s="46" t="n">
        <x:v>1</x:v>
      </x:c>
      <x:c r="H1510" s="46" t="n">
        <x:v>1</x:v>
      </x:c>
      <x:c r="I1510" s="46" t="n">
        <x:v>1</x:v>
      </x:c>
      <x:c r="J1510" s="46" t="n">
        <x:v>1</x:v>
      </x:c>
      <x:c r="K1510" s="46" t="n">
        <x:v>1</x:v>
      </x:c>
      <x:c r="L1510" s="46" t="n">
        <x:v>1</x:v>
      </x:c>
      <x:c r="M1510" s="27" t="n">
        <x:v>1</x:v>
      </x:c>
    </x:row>
    <x:row r="1511" ht="15" hidden="0" customHeight="1">
      <x:c r="A1511" s="29" t="n">
        <x:v>7</x:v>
      </x:c>
      <x:c r="B1511" s="29" t="n">
        <x:v>330911</x:v>
      </x:c>
      <x:c r="C1511" s="29" t="str">
        <x:v>A3</x:v>
      </x:c>
      <x:c r="D1511" s="53" t="n">
        <x:v>2500</x:v>
      </x:c>
      <x:c r="E1511" s="47" t="n">
        <x:v>1</x:v>
      </x:c>
      <x:c r="F1511" s="47" t="n">
        <x:v>1</x:v>
      </x:c>
      <x:c r="G1511" s="47" t="n">
        <x:v>1</x:v>
      </x:c>
      <x:c r="H1511" s="47" t="n">
        <x:v>1</x:v>
      </x:c>
      <x:c r="I1511" s="47" t="n">
        <x:v>1</x:v>
      </x:c>
      <x:c r="J1511" s="47" t="n">
        <x:v>1</x:v>
      </x:c>
      <x:c r="K1511" s="47" t="n">
        <x:v>1</x:v>
      </x:c>
      <x:c r="L1511" s="47" t="n">
        <x:v>1</x:v>
      </x:c>
      <x:c r="M1511" s="29" t="n">
        <x:v>1</x:v>
      </x:c>
    </x:row>
    <x:row r="1512" ht="15" hidden="0" customHeight="1">
      <x:c r="A1512" s="27" t="n">
        <x:v>8</x:v>
      </x:c>
      <x:c r="B1512" s="27" t="n">
        <x:v>330912</x:v>
      </x:c>
      <x:c r="C1512" s="27" t="str">
        <x:v>A3</x:v>
      </x:c>
      <x:c r="D1512" s="52" t="n">
        <x:v>2500</x:v>
      </x:c>
      <x:c r="E1512" s="46" t="n">
        <x:v>1</x:v>
      </x:c>
      <x:c r="F1512" s="46" t="n">
        <x:v>1</x:v>
      </x:c>
      <x:c r="G1512" s="46" t="n">
        <x:v>1</x:v>
      </x:c>
      <x:c r="H1512" s="46" t="n">
        <x:v>1</x:v>
      </x:c>
      <x:c r="I1512" s="46" t="n">
        <x:v>1</x:v>
      </x:c>
      <x:c r="J1512" s="46" t="n">
        <x:v>1</x:v>
      </x:c>
      <x:c r="K1512" s="46" t="n">
        <x:v>1</x:v>
      </x:c>
      <x:c r="L1512" s="46" t="n">
        <x:v>1</x:v>
      </x:c>
      <x:c r="M1512" s="27" t="n">
        <x:v>1</x:v>
      </x:c>
    </x:row>
    <x:row r="1513" ht="15" hidden="0" customHeight="1">
      <x:c r="A1513" s="29" t="n">
        <x:v>9</x:v>
      </x:c>
      <x:c r="B1513" s="29" t="n">
        <x:v>330913</x:v>
      </x:c>
      <x:c r="C1513" s="29" t="str">
        <x:v>A3</x:v>
      </x:c>
      <x:c r="D1513" s="53" t="n">
        <x:v>2500</x:v>
      </x:c>
      <x:c r="E1513" s="47" t="n">
        <x:v>1</x:v>
      </x:c>
      <x:c r="F1513" s="47" t="n">
        <x:v>1</x:v>
      </x:c>
      <x:c r="G1513" s="47" t="n">
        <x:v>1</x:v>
      </x:c>
      <x:c r="H1513" s="47" t="n">
        <x:v>1</x:v>
      </x:c>
      <x:c r="I1513" s="47" t="n">
        <x:v>1</x:v>
      </x:c>
      <x:c r="J1513" s="47" t="n">
        <x:v>1</x:v>
      </x:c>
      <x:c r="K1513" s="47" t="n">
        <x:v>1</x:v>
      </x:c>
      <x:c r="L1513" s="47" t="n">
        <x:v>1</x:v>
      </x:c>
      <x:c r="M1513" s="29" t="n">
        <x:v>1</x:v>
      </x:c>
    </x:row>
    <x:row r="1514" ht="15" hidden="0" customHeight="1">
      <x:c r="A1514" s="27" t="n">
        <x:v>10</x:v>
      </x:c>
      <x:c r="B1514" s="27" t="n">
        <x:v>330914</x:v>
      </x:c>
      <x:c r="C1514" s="27" t="str">
        <x:v>A3</x:v>
      </x:c>
      <x:c r="D1514" s="52" t="n">
        <x:v>2500</x:v>
      </x:c>
      <x:c r="E1514" s="46" t="n">
        <x:v>1</x:v>
      </x:c>
      <x:c r="F1514" s="46" t="n">
        <x:v>1</x:v>
      </x:c>
      <x:c r="G1514" s="46" t="n">
        <x:v>1</x:v>
      </x:c>
      <x:c r="H1514" s="46" t="n">
        <x:v>1</x:v>
      </x:c>
      <x:c r="I1514" s="46" t="n">
        <x:v>1</x:v>
      </x:c>
      <x:c r="J1514" s="46" t="n">
        <x:v>1</x:v>
      </x:c>
      <x:c r="K1514" s="46" t="n">
        <x:v>1</x:v>
      </x:c>
      <x:c r="L1514" s="46" t="n">
        <x:v>1</x:v>
      </x:c>
      <x:c r="M1514" s="27" t="n">
        <x:v>1</x:v>
      </x:c>
    </x:row>
    <x:row r="1515" ht="15" hidden="0" customHeight="1">
      <x:c r="A1515" s="29" t="n">
        <x:v>11</x:v>
      </x:c>
      <x:c r="B1515" s="29" t="n">
        <x:v>330915</x:v>
      </x:c>
      <x:c r="C1515" s="29" t="str">
        <x:v>A3</x:v>
      </x:c>
      <x:c r="D1515" s="53" t="n">
        <x:v>2500</x:v>
      </x:c>
      <x:c r="E1515" s="47" t="n">
        <x:v>1</x:v>
      </x:c>
      <x:c r="F1515" s="47" t="n">
        <x:v>1</x:v>
      </x:c>
      <x:c r="G1515" s="47" t="n">
        <x:v>1</x:v>
      </x:c>
      <x:c r="H1515" s="47" t="n">
        <x:v>1</x:v>
      </x:c>
      <x:c r="I1515" s="47" t="n">
        <x:v>1</x:v>
      </x:c>
      <x:c r="J1515" s="47" t="n">
        <x:v>1</x:v>
      </x:c>
      <x:c r="K1515" s="47" t="n">
        <x:v>1</x:v>
      </x:c>
      <x:c r="L1515" s="47" t="n">
        <x:v>1</x:v>
      </x:c>
      <x:c r="M1515" s="29" t="n">
        <x:v>1</x:v>
      </x:c>
    </x:row>
    <x:row r="1516" ht="15" hidden="0" customHeight="1">
      <x:c r="A1516" s="27" t="n">
        <x:v>12</x:v>
      </x:c>
      <x:c r="B1516" s="27" t="n">
        <x:v>330916</x:v>
      </x:c>
      <x:c r="C1516" s="27" t="str">
        <x:v>A3</x:v>
      </x:c>
      <x:c r="D1516" s="52" t="n">
        <x:v>2500</x:v>
      </x:c>
      <x:c r="E1516" s="46" t="n">
        <x:v>1</x:v>
      </x:c>
      <x:c r="F1516" s="46" t="n">
        <x:v>1</x:v>
      </x:c>
      <x:c r="G1516" s="46" t="n">
        <x:v>1</x:v>
      </x:c>
      <x:c r="H1516" s="46" t="n">
        <x:v>1</x:v>
      </x:c>
      <x:c r="I1516" s="46" t="n">
        <x:v>1</x:v>
      </x:c>
      <x:c r="J1516" s="46" t="n">
        <x:v>1</x:v>
      </x:c>
      <x:c r="K1516" s="46" t="n">
        <x:v>1</x:v>
      </x:c>
      <x:c r="L1516" s="46" t="n">
        <x:v>1</x:v>
      </x:c>
      <x:c r="M1516" s="27" t="n">
        <x:v>1</x:v>
      </x:c>
    </x:row>
    <x:row r="1517" ht="15" hidden="0" customHeight="1">
      <x:c r="A1517" s="29" t="n">
        <x:v>13</x:v>
      </x:c>
      <x:c r="B1517" s="29" t="n">
        <x:v>330917</x:v>
      </x:c>
      <x:c r="C1517" s="29" t="str">
        <x:v>A3</x:v>
      </x:c>
      <x:c r="D1517" s="53" t="n">
        <x:v>2500</x:v>
      </x:c>
      <x:c r="E1517" s="47" t="n">
        <x:v>1</x:v>
      </x:c>
      <x:c r="F1517" s="47" t="n">
        <x:v>1</x:v>
      </x:c>
      <x:c r="G1517" s="47" t="n">
        <x:v>1</x:v>
      </x:c>
      <x:c r="H1517" s="47" t="n">
        <x:v>1</x:v>
      </x:c>
      <x:c r="I1517" s="47" t="n">
        <x:v>1</x:v>
      </x:c>
      <x:c r="J1517" s="47" t="n">
        <x:v>1</x:v>
      </x:c>
      <x:c r="K1517" s="47" t="n">
        <x:v>1</x:v>
      </x:c>
      <x:c r="L1517" s="47" t="n">
        <x:v>1</x:v>
      </x:c>
      <x:c r="M1517" s="29" t="n">
        <x:v>1</x:v>
      </x:c>
    </x:row>
    <x:row r="1518" ht="15" hidden="0" customHeight="1">
      <x:c r="A1518" s="27" t="n">
        <x:v>14</x:v>
      </x:c>
      <x:c r="B1518" s="27" t="n">
        <x:v>330918</x:v>
      </x:c>
      <x:c r="C1518" s="27" t="str">
        <x:v>A3</x:v>
      </x:c>
      <x:c r="D1518" s="52" t="n">
        <x:v>2500</x:v>
      </x:c>
      <x:c r="E1518" s="46" t="n">
        <x:v>1</x:v>
      </x:c>
      <x:c r="F1518" s="46" t="n">
        <x:v>1</x:v>
      </x:c>
      <x:c r="G1518" s="46" t="n">
        <x:v>1</x:v>
      </x:c>
      <x:c r="H1518" s="46" t="n">
        <x:v>1</x:v>
      </x:c>
      <x:c r="I1518" s="46" t="n">
        <x:v>1</x:v>
      </x:c>
      <x:c r="J1518" s="46" t="n">
        <x:v>1</x:v>
      </x:c>
      <x:c r="K1518" s="46" t="n">
        <x:v>1</x:v>
      </x:c>
      <x:c r="L1518" s="46" t="n">
        <x:v>1</x:v>
      </x:c>
      <x:c r="M1518" s="27" t="n">
        <x:v>1</x:v>
      </x:c>
    </x:row>
    <x:row r="1519" ht="15" hidden="0" customHeight="1">
      <x:c r="A1519" s="29" t="n">
        <x:v>15</x:v>
      </x:c>
      <x:c r="B1519" s="29" t="n">
        <x:v>330919</x:v>
      </x:c>
      <x:c r="C1519" s="29" t="str">
        <x:v>A3</x:v>
      </x:c>
      <x:c r="D1519" s="53" t="n">
        <x:v>2500</x:v>
      </x:c>
      <x:c r="E1519" s="47" t="n">
        <x:v>1</x:v>
      </x:c>
      <x:c r="F1519" s="47" t="n">
        <x:v>1</x:v>
      </x:c>
      <x:c r="G1519" s="47" t="n">
        <x:v>1</x:v>
      </x:c>
      <x:c r="H1519" s="47" t="n">
        <x:v>1</x:v>
      </x:c>
      <x:c r="I1519" s="47" t="n">
        <x:v>1</x:v>
      </x:c>
      <x:c r="J1519" s="47" t="n">
        <x:v>1</x:v>
      </x:c>
      <x:c r="K1519" s="47" t="n">
        <x:v>1</x:v>
      </x:c>
      <x:c r="L1519" s="47" t="n">
        <x:v>1</x:v>
      </x:c>
      <x:c r="M1519" s="29" t="n">
        <x:v>1</x:v>
      </x:c>
    </x:row>
    <x:row r="1520" ht="15" hidden="0" customHeight="1">
      <x:c r="A1520" s="27" t="n">
        <x:v>16</x:v>
      </x:c>
      <x:c r="B1520" s="27" t="n">
        <x:v>330920</x:v>
      </x:c>
      <x:c r="C1520" s="27" t="str">
        <x:v>A3</x:v>
      </x:c>
      <x:c r="D1520" s="52" t="n">
        <x:v>2500</x:v>
      </x:c>
      <x:c r="E1520" s="46" t="n">
        <x:v>1</x:v>
      </x:c>
      <x:c r="F1520" s="46" t="n">
        <x:v>1</x:v>
      </x:c>
      <x:c r="G1520" s="46" t="n">
        <x:v>1</x:v>
      </x:c>
      <x:c r="H1520" s="46" t="n">
        <x:v>1</x:v>
      </x:c>
      <x:c r="I1520" s="46" t="n">
        <x:v>1</x:v>
      </x:c>
      <x:c r="J1520" s="46" t="n">
        <x:v>1</x:v>
      </x:c>
      <x:c r="K1520" s="46" t="n">
        <x:v>1</x:v>
      </x:c>
      <x:c r="L1520" s="46" t="n">
        <x:v>1</x:v>
      </x:c>
      <x:c r="M1520" s="27" t="n">
        <x:v>1</x:v>
      </x:c>
    </x:row>
    <x:row r="1521" ht="15" hidden="0" customHeight="1">
      <x:c r="A1521" s="29" t="n">
        <x:v>17</x:v>
      </x:c>
      <x:c r="B1521" s="29" t="n">
        <x:v>330921</x:v>
      </x:c>
      <x:c r="C1521" s="29" t="str">
        <x:v>A3</x:v>
      </x:c>
      <x:c r="D1521" s="53" t="n">
        <x:v>2500</x:v>
      </x:c>
      <x:c r="E1521" s="47" t="n">
        <x:v>1</x:v>
      </x:c>
      <x:c r="F1521" s="47" t="n">
        <x:v>1</x:v>
      </x:c>
      <x:c r="G1521" s="47" t="n">
        <x:v>1</x:v>
      </x:c>
      <x:c r="H1521" s="47" t="n">
        <x:v>1</x:v>
      </x:c>
      <x:c r="I1521" s="47" t="n">
        <x:v>1</x:v>
      </x:c>
      <x:c r="J1521" s="47" t="n">
        <x:v>1</x:v>
      </x:c>
      <x:c r="K1521" s="47" t="n">
        <x:v>1</x:v>
      </x:c>
      <x:c r="L1521" s="47" t="n">
        <x:v>1</x:v>
      </x:c>
      <x:c r="M1521" s="29" t="n">
        <x:v>1</x:v>
      </x:c>
    </x:row>
    <x:row r="1522" ht="15" hidden="0" customHeight="1">
      <x:c r="A1522" s="27" t="n">
        <x:v>18</x:v>
      </x:c>
      <x:c r="B1522" s="27" t="n">
        <x:v>330922</x:v>
      </x:c>
      <x:c r="C1522" s="27" t="str">
        <x:v>A3</x:v>
      </x:c>
      <x:c r="D1522" s="52" t="n">
        <x:v>2500</x:v>
      </x:c>
      <x:c r="E1522" s="46" t="n">
        <x:v>1</x:v>
      </x:c>
      <x:c r="F1522" s="46" t="n">
        <x:v>1</x:v>
      </x:c>
      <x:c r="G1522" s="46" t="n">
        <x:v>1</x:v>
      </x:c>
      <x:c r="H1522" s="46" t="n">
        <x:v>1</x:v>
      </x:c>
      <x:c r="I1522" s="46" t="n">
        <x:v>1</x:v>
      </x:c>
      <x:c r="J1522" s="46" t="n">
        <x:v>1</x:v>
      </x:c>
      <x:c r="K1522" s="46" t="n">
        <x:v>1</x:v>
      </x:c>
      <x:c r="L1522" s="46" t="n">
        <x:v>1</x:v>
      </x:c>
      <x:c r="M1522" s="27" t="n">
        <x:v>1</x:v>
      </x:c>
    </x:row>
    <x:row r="1523" ht="15" hidden="0" customHeight="1">
      <x:c r="A1523" s="29" t="n">
        <x:v>19</x:v>
      </x:c>
      <x:c r="B1523" s="29" t="n">
        <x:v>330923</x:v>
      </x:c>
      <x:c r="C1523" s="29" t="str">
        <x:v>A3</x:v>
      </x:c>
      <x:c r="D1523" s="53" t="n">
        <x:v>2500</x:v>
      </x:c>
      <x:c r="E1523" s="47" t="n">
        <x:v>1</x:v>
      </x:c>
      <x:c r="F1523" s="47" t="n">
        <x:v>1</x:v>
      </x:c>
      <x:c r="G1523" s="47" t="n">
        <x:v>1</x:v>
      </x:c>
      <x:c r="H1523" s="47" t="n">
        <x:v>1</x:v>
      </x:c>
      <x:c r="I1523" s="47" t="n">
        <x:v>1</x:v>
      </x:c>
      <x:c r="J1523" s="47" t="n">
        <x:v>1</x:v>
      </x:c>
      <x:c r="K1523" s="47" t="n">
        <x:v>1</x:v>
      </x:c>
      <x:c r="L1523" s="47" t="n">
        <x:v>1</x:v>
      </x:c>
      <x:c r="M1523" s="29" t="n">
        <x:v>1</x:v>
      </x:c>
    </x:row>
    <x:row r="1524" ht="15" hidden="0" customHeight="1">
      <x:c r="A1524" s="27" t="n">
        <x:v>20</x:v>
      </x:c>
      <x:c r="B1524" s="27" t="n">
        <x:v>330924</x:v>
      </x:c>
      <x:c r="C1524" s="27" t="str">
        <x:v>A3</x:v>
      </x:c>
      <x:c r="D1524" s="52" t="n">
        <x:v>2500</x:v>
      </x:c>
      <x:c r="E1524" s="46" t="n">
        <x:v>1</x:v>
      </x:c>
      <x:c r="F1524" s="46" t="n">
        <x:v>1</x:v>
      </x:c>
      <x:c r="G1524" s="46" t="n">
        <x:v>1</x:v>
      </x:c>
      <x:c r="H1524" s="46" t="n">
        <x:v>1</x:v>
      </x:c>
      <x:c r="I1524" s="46" t="n">
        <x:v>1</x:v>
      </x:c>
      <x:c r="J1524" s="46" t="n">
        <x:v>1</x:v>
      </x:c>
      <x:c r="K1524" s="46" t="n">
        <x:v>1</x:v>
      </x:c>
      <x:c r="L1524" s="46" t="n">
        <x:v>1</x:v>
      </x:c>
      <x:c r="M1524" s="27" t="n">
        <x:v>1</x:v>
      </x:c>
    </x:row>
    <x:row r="1525" ht="15" hidden="0" customHeight="1">
      <x:c r="A1525" s="29" t="n">
        <x:v>21</x:v>
      </x:c>
      <x:c r="B1525" s="29" t="n">
        <x:v>330925</x:v>
      </x:c>
      <x:c r="C1525" s="29" t="str">
        <x:v>A3</x:v>
      </x:c>
      <x:c r="D1525" s="53" t="n">
        <x:v>2500</x:v>
      </x:c>
      <x:c r="E1525" s="47" t="n">
        <x:v>1</x:v>
      </x:c>
      <x:c r="F1525" s="47" t="n">
        <x:v>1</x:v>
      </x:c>
      <x:c r="G1525" s="47" t="n">
        <x:v>1</x:v>
      </x:c>
      <x:c r="H1525" s="47" t="n">
        <x:v>1</x:v>
      </x:c>
      <x:c r="I1525" s="47" t="n">
        <x:v>1</x:v>
      </x:c>
      <x:c r="J1525" s="47" t="n">
        <x:v>1</x:v>
      </x:c>
      <x:c r="K1525" s="47" t="n">
        <x:v>1</x:v>
      </x:c>
      <x:c r="L1525" s="47" t="n">
        <x:v>1</x:v>
      </x:c>
      <x:c r="M1525" s="29" t="n">
        <x:v>1</x:v>
      </x:c>
    </x:row>
    <x:row r="1526" ht="15" hidden="0" customHeight="1">
      <x:c r="A1526" s="27" t="n">
        <x:v>22</x:v>
      </x:c>
      <x:c r="B1526" s="27" t="n">
        <x:v>330926</x:v>
      </x:c>
      <x:c r="C1526" s="27" t="str">
        <x:v>A3</x:v>
      </x:c>
      <x:c r="D1526" s="52" t="n">
        <x:v>2500</x:v>
      </x:c>
      <x:c r="E1526" s="46" t="n">
        <x:v>1</x:v>
      </x:c>
      <x:c r="F1526" s="46" t="n">
        <x:v>1</x:v>
      </x:c>
      <x:c r="G1526" s="46" t="n">
        <x:v>1</x:v>
      </x:c>
      <x:c r="H1526" s="46" t="n">
        <x:v>1</x:v>
      </x:c>
      <x:c r="I1526" s="46" t="n">
        <x:v>1</x:v>
      </x:c>
      <x:c r="J1526" s="46" t="n">
        <x:v>1</x:v>
      </x:c>
      <x:c r="K1526" s="46" t="n">
        <x:v>1</x:v>
      </x:c>
      <x:c r="L1526" s="46" t="n">
        <x:v>1</x:v>
      </x:c>
      <x:c r="M1526" s="27" t="n">
        <x:v>1</x:v>
      </x:c>
    </x:row>
    <x:row r="1527" ht="15" hidden="0" customHeight="1">
      <x:c r="A1527" s="29" t="n">
        <x:v>23</x:v>
      </x:c>
      <x:c r="B1527" s="29" t="n">
        <x:v>330927</x:v>
      </x:c>
      <x:c r="C1527" s="29" t="str">
        <x:v>A3</x:v>
      </x:c>
      <x:c r="D1527" s="53" t="n">
        <x:v>2500</x:v>
      </x:c>
      <x:c r="E1527" s="47" t="n">
        <x:v>1</x:v>
      </x:c>
      <x:c r="F1527" s="47" t="n">
        <x:v>1</x:v>
      </x:c>
      <x:c r="G1527" s="47" t="n">
        <x:v>1</x:v>
      </x:c>
      <x:c r="H1527" s="47" t="n">
        <x:v>1</x:v>
      </x:c>
      <x:c r="I1527" s="47" t="n">
        <x:v>1</x:v>
      </x:c>
      <x:c r="J1527" s="47" t="n">
        <x:v>1</x:v>
      </x:c>
      <x:c r="K1527" s="47" t="n">
        <x:v>1</x:v>
      </x:c>
      <x:c r="L1527" s="47" t="n">
        <x:v>1</x:v>
      </x:c>
      <x:c r="M1527" s="29" t="n">
        <x:v>1</x:v>
      </x:c>
    </x:row>
    <x:row r="1528" ht="15" hidden="0" customHeight="1">
      <x:c r="A1528" s="27" t="n">
        <x:v>24</x:v>
      </x:c>
      <x:c r="B1528" s="27" t="n">
        <x:v>330928</x:v>
      </x:c>
      <x:c r="C1528" s="27" t="str">
        <x:v>A3</x:v>
      </x:c>
      <x:c r="D1528" s="52" t="n">
        <x:v>2500</x:v>
      </x:c>
      <x:c r="E1528" s="46" t="n">
        <x:v>1</x:v>
      </x:c>
      <x:c r="F1528" s="46" t="n">
        <x:v>1</x:v>
      </x:c>
      <x:c r="G1528" s="46" t="n">
        <x:v>1</x:v>
      </x:c>
      <x:c r="H1528" s="46" t="n">
        <x:v>1</x:v>
      </x:c>
      <x:c r="I1528" s="46" t="n">
        <x:v>1</x:v>
      </x:c>
      <x:c r="J1528" s="46" t="n">
        <x:v>1</x:v>
      </x:c>
      <x:c r="K1528" s="46" t="n">
        <x:v>1</x:v>
      </x:c>
      <x:c r="L1528" s="46" t="n">
        <x:v>1</x:v>
      </x:c>
      <x:c r="M1528" s="27" t="n">
        <x:v>1</x:v>
      </x:c>
    </x:row>
    <x:row r="1529" ht="15" hidden="0" customHeight="1">
      <x:c r="A1529" s="29" t="n">
        <x:v>25</x:v>
      </x:c>
      <x:c r="B1529" s="29" t="n">
        <x:v>330929</x:v>
      </x:c>
      <x:c r="C1529" s="29" t="str">
        <x:v>A3</x:v>
      </x:c>
      <x:c r="D1529" s="53" t="n">
        <x:v>2500</x:v>
      </x:c>
      <x:c r="E1529" s="47" t="n">
        <x:v>1</x:v>
      </x:c>
      <x:c r="F1529" s="47" t="n">
        <x:v>1</x:v>
      </x:c>
      <x:c r="G1529" s="47" t="n">
        <x:v>1</x:v>
      </x:c>
      <x:c r="H1529" s="47" t="n">
        <x:v>1</x:v>
      </x:c>
      <x:c r="I1529" s="47" t="n">
        <x:v>1</x:v>
      </x:c>
      <x:c r="J1529" s="47" t="n">
        <x:v>1</x:v>
      </x:c>
      <x:c r="K1529" s="47" t="n">
        <x:v>1</x:v>
      </x:c>
      <x:c r="L1529" s="47" t="n">
        <x:v>1</x:v>
      </x:c>
      <x:c r="M1529" s="29" t="n">
        <x:v>1</x:v>
      </x:c>
    </x:row>
    <x:row r="1530" ht="15" hidden="0" customHeight="1">
      <x:c r="A1530" s="27" t="n">
        <x:v>26</x:v>
      </x:c>
      <x:c r="B1530" s="27" t="n">
        <x:v>330930</x:v>
      </x:c>
      <x:c r="C1530" s="27" t="str">
        <x:v>A3</x:v>
      </x:c>
      <x:c r="D1530" s="52" t="n">
        <x:v>2500</x:v>
      </x:c>
      <x:c r="E1530" s="46" t="n">
        <x:v>1</x:v>
      </x:c>
      <x:c r="F1530" s="46" t="n">
        <x:v>1</x:v>
      </x:c>
      <x:c r="G1530" s="46" t="n">
        <x:v>1</x:v>
      </x:c>
      <x:c r="H1530" s="46" t="n">
        <x:v>1</x:v>
      </x:c>
      <x:c r="I1530" s="46" t="n">
        <x:v>1</x:v>
      </x:c>
      <x:c r="J1530" s="46" t="n">
        <x:v>1</x:v>
      </x:c>
      <x:c r="K1530" s="46" t="n">
        <x:v>1</x:v>
      </x:c>
      <x:c r="L1530" s="46" t="n">
        <x:v>1</x:v>
      </x:c>
      <x:c r="M1530" s="27" t="n">
        <x:v>1</x:v>
      </x:c>
    </x:row>
    <x:row r="1531" ht="15" hidden="0" customHeight="1">
      <x:c r="A1531" s="29" t="n">
        <x:v>27</x:v>
      </x:c>
      <x:c r="B1531" s="29" t="n">
        <x:v>330931</x:v>
      </x:c>
      <x:c r="C1531" s="29" t="str">
        <x:v>A3</x:v>
      </x:c>
      <x:c r="D1531" s="53" t="n">
        <x:v>2500</x:v>
      </x:c>
      <x:c r="E1531" s="47" t="n">
        <x:v>1</x:v>
      </x:c>
      <x:c r="F1531" s="47" t="n">
        <x:v>1</x:v>
      </x:c>
      <x:c r="G1531" s="47" t="n">
        <x:v>1</x:v>
      </x:c>
      <x:c r="H1531" s="47" t="n">
        <x:v>1</x:v>
      </x:c>
      <x:c r="I1531" s="47" t="n">
        <x:v>1</x:v>
      </x:c>
      <x:c r="J1531" s="47" t="n">
        <x:v>1</x:v>
      </x:c>
      <x:c r="K1531" s="47" t="n">
        <x:v>1</x:v>
      </x:c>
      <x:c r="L1531" s="47" t="n">
        <x:v>1</x:v>
      </x:c>
      <x:c r="M1531" s="29" t="n">
        <x:v>1</x:v>
      </x:c>
    </x:row>
    <x:row r="1532" ht="15" hidden="0" customHeight="1">
      <x:c r="A1532" s="27" t="n">
        <x:v>28</x:v>
      </x:c>
      <x:c r="B1532" s="27" t="n">
        <x:v>330932</x:v>
      </x:c>
      <x:c r="C1532" s="27" t="str">
        <x:v>A3</x:v>
      </x:c>
      <x:c r="D1532" s="52" t="n">
        <x:v>2500</x:v>
      </x:c>
      <x:c r="E1532" s="46" t="n">
        <x:v>1</x:v>
      </x:c>
      <x:c r="F1532" s="46" t="n">
        <x:v>1</x:v>
      </x:c>
      <x:c r="G1532" s="46" t="n">
        <x:v>1</x:v>
      </x:c>
      <x:c r="H1532" s="46" t="n">
        <x:v>1</x:v>
      </x:c>
      <x:c r="I1532" s="46" t="n">
        <x:v>1</x:v>
      </x:c>
      <x:c r="J1532" s="46" t="n">
        <x:v>1</x:v>
      </x:c>
      <x:c r="K1532" s="46" t="n">
        <x:v>1</x:v>
      </x:c>
      <x:c r="L1532" s="46" t="n">
        <x:v>1</x:v>
      </x:c>
      <x:c r="M1532" s="27" t="n">
        <x:v>1</x:v>
      </x:c>
    </x:row>
    <x:row r="1533" ht="15" hidden="0" customHeight="1">
      <x:c r="A1533" s="29" t="n">
        <x:v>29</x:v>
      </x:c>
      <x:c r="B1533" s="29" t="n">
        <x:v>330933</x:v>
      </x:c>
      <x:c r="C1533" s="29" t="str">
        <x:v>A3</x:v>
      </x:c>
      <x:c r="D1533" s="53" t="n">
        <x:v>2500</x:v>
      </x:c>
      <x:c r="E1533" s="47" t="n">
        <x:v>1</x:v>
      </x:c>
      <x:c r="F1533" s="47" t="n">
        <x:v>1</x:v>
      </x:c>
      <x:c r="G1533" s="47" t="n">
        <x:v>1</x:v>
      </x:c>
      <x:c r="H1533" s="47" t="n">
        <x:v>1</x:v>
      </x:c>
      <x:c r="I1533" s="47" t="n">
        <x:v>1</x:v>
      </x:c>
      <x:c r="J1533" s="47" t="n">
        <x:v>1</x:v>
      </x:c>
      <x:c r="K1533" s="47" t="n">
        <x:v>1</x:v>
      </x:c>
      <x:c r="L1533" s="47" t="n">
        <x:v>1</x:v>
      </x:c>
      <x:c r="M1533" s="29" t="n">
        <x:v>1</x:v>
      </x:c>
    </x:row>
    <x:row r="1534" ht="15" hidden="0" customHeight="1">
      <x:c r="A1534" s="27" t="n">
        <x:v>30</x:v>
      </x:c>
      <x:c r="B1534" s="27" t="n">
        <x:v>330934</x:v>
      </x:c>
      <x:c r="C1534" s="27" t="str">
        <x:v>A3</x:v>
      </x:c>
      <x:c r="D1534" s="52" t="n">
        <x:v>2500</x:v>
      </x:c>
      <x:c r="E1534" s="46" t="n">
        <x:v>1</x:v>
      </x:c>
      <x:c r="F1534" s="46" t="n">
        <x:v>1</x:v>
      </x:c>
      <x:c r="G1534" s="46" t="n">
        <x:v>1</x:v>
      </x:c>
      <x:c r="H1534" s="46" t="n">
        <x:v>1</x:v>
      </x:c>
      <x:c r="I1534" s="46" t="n">
        <x:v>1</x:v>
      </x:c>
      <x:c r="J1534" s="46" t="n">
        <x:v>1</x:v>
      </x:c>
      <x:c r="K1534" s="46" t="n">
        <x:v>1</x:v>
      </x:c>
      <x:c r="L1534" s="46" t="n">
        <x:v>1</x:v>
      </x:c>
      <x:c r="M1534" s="27" t="n">
        <x:v>1</x:v>
      </x:c>
    </x:row>
    <x:row r="1535" ht="15" hidden="0" customHeight="1">
      <x:c r="A1535" s="29" t="n">
        <x:v>31</x:v>
      </x:c>
      <x:c r="B1535" s="29" t="n">
        <x:v>330935</x:v>
      </x:c>
      <x:c r="C1535" s="29" t="str">
        <x:v>A3</x:v>
      </x:c>
      <x:c r="D1535" s="53" t="n">
        <x:v>2500</x:v>
      </x:c>
      <x:c r="E1535" s="47" t="n">
        <x:v>1</x:v>
      </x:c>
      <x:c r="F1535" s="47" t="n">
        <x:v>1</x:v>
      </x:c>
      <x:c r="G1535" s="47" t="n">
        <x:v>1</x:v>
      </x:c>
      <x:c r="H1535" s="47" t="n">
        <x:v>1</x:v>
      </x:c>
      <x:c r="I1535" s="47" t="n">
        <x:v>1</x:v>
      </x:c>
      <x:c r="J1535" s="47" t="n">
        <x:v>1</x:v>
      </x:c>
      <x:c r="K1535" s="47" t="n">
        <x:v>1</x:v>
      </x:c>
      <x:c r="L1535" s="47" t="n">
        <x:v>1</x:v>
      </x:c>
      <x:c r="M1535" s="29" t="n">
        <x:v>1</x:v>
      </x:c>
    </x:row>
    <x:row r="1536" ht="15" hidden="0" customHeight="1">
      <x:c r="A1536" s="27" t="n">
        <x:v>32</x:v>
      </x:c>
      <x:c r="B1536" s="27" t="n">
        <x:v>330936</x:v>
      </x:c>
      <x:c r="C1536" s="27" t="str">
        <x:v>A3</x:v>
      </x:c>
      <x:c r="D1536" s="52" t="n">
        <x:v>2500</x:v>
      </x:c>
      <x:c r="E1536" s="46" t="n">
        <x:v>1</x:v>
      </x:c>
      <x:c r="F1536" s="46" t="n">
        <x:v>1</x:v>
      </x:c>
      <x:c r="G1536" s="46" t="n">
        <x:v>1</x:v>
      </x:c>
      <x:c r="H1536" s="46" t="n">
        <x:v>1</x:v>
      </x:c>
      <x:c r="I1536" s="46" t="n">
        <x:v>1</x:v>
      </x:c>
      <x:c r="J1536" s="46" t="n">
        <x:v>1</x:v>
      </x:c>
      <x:c r="K1536" s="46" t="n">
        <x:v>1</x:v>
      </x:c>
      <x:c r="L1536" s="46" t="n">
        <x:v>1</x:v>
      </x:c>
      <x:c r="M1536" s="27" t="n">
        <x:v>1</x:v>
      </x:c>
    </x:row>
    <x:row r="1537" ht="15" hidden="0" customHeight="1">
      <x:c r="A1537" s="29" t="n">
        <x:v>33</x:v>
      </x:c>
      <x:c r="B1537" s="29" t="n">
        <x:v>330937</x:v>
      </x:c>
      <x:c r="C1537" s="29" t="str">
        <x:v>A3</x:v>
      </x:c>
      <x:c r="D1537" s="53" t="n">
        <x:v>2500</x:v>
      </x:c>
      <x:c r="E1537" s="47" t="n">
        <x:v>1</x:v>
      </x:c>
      <x:c r="F1537" s="47" t="n">
        <x:v>1</x:v>
      </x:c>
      <x:c r="G1537" s="47" t="n">
        <x:v>1</x:v>
      </x:c>
      <x:c r="H1537" s="47" t="n">
        <x:v>1</x:v>
      </x:c>
      <x:c r="I1537" s="47" t="n">
        <x:v>1</x:v>
      </x:c>
      <x:c r="J1537" s="47" t="n">
        <x:v>1</x:v>
      </x:c>
      <x:c r="K1537" s="47" t="n">
        <x:v>1</x:v>
      </x:c>
      <x:c r="L1537" s="47" t="n">
        <x:v>1</x:v>
      </x:c>
      <x:c r="M1537" s="29" t="n">
        <x:v>1</x:v>
      </x:c>
    </x:row>
    <x:row r="1538" ht="15" hidden="0" customHeight="1">
      <x:c r="A1538" s="27" t="n">
        <x:v>34</x:v>
      </x:c>
      <x:c r="B1538" s="27" t="n">
        <x:v>330938</x:v>
      </x:c>
      <x:c r="C1538" s="27" t="str">
        <x:v>A3</x:v>
      </x:c>
      <x:c r="D1538" s="52" t="n">
        <x:v>2500</x:v>
      </x:c>
      <x:c r="E1538" s="46" t="n">
        <x:v>1</x:v>
      </x:c>
      <x:c r="F1538" s="46" t="n">
        <x:v>1</x:v>
      </x:c>
      <x:c r="G1538" s="46" t="n">
        <x:v>1</x:v>
      </x:c>
      <x:c r="H1538" s="46" t="n">
        <x:v>1</x:v>
      </x:c>
      <x:c r="I1538" s="46" t="n">
        <x:v>1</x:v>
      </x:c>
      <x:c r="J1538" s="46" t="n">
        <x:v>1</x:v>
      </x:c>
      <x:c r="K1538" s="46" t="n">
        <x:v>1</x:v>
      </x:c>
      <x:c r="L1538" s="46" t="n">
        <x:v>1</x:v>
      </x:c>
      <x:c r="M1538" s="27" t="n">
        <x:v>1</x:v>
      </x:c>
    </x:row>
    <x:row r="1539" ht="15" hidden="0" customHeight="1">
      <x:c r="A1539" s="29" t="n">
        <x:v>35</x:v>
      </x:c>
      <x:c r="B1539" s="29" t="n">
        <x:v>330939</x:v>
      </x:c>
      <x:c r="C1539" s="29" t="str">
        <x:v>A3</x:v>
      </x:c>
      <x:c r="D1539" s="53" t="n">
        <x:v>2500</x:v>
      </x:c>
      <x:c r="E1539" s="47" t="n">
        <x:v>1</x:v>
      </x:c>
      <x:c r="F1539" s="47" t="n">
        <x:v>1</x:v>
      </x:c>
      <x:c r="G1539" s="47" t="n">
        <x:v>1</x:v>
      </x:c>
      <x:c r="H1539" s="47" t="n">
        <x:v>1</x:v>
      </x:c>
      <x:c r="I1539" s="47" t="n">
        <x:v>1</x:v>
      </x:c>
      <x:c r="J1539" s="47" t="n">
        <x:v>1</x:v>
      </x:c>
      <x:c r="K1539" s="47" t="n">
        <x:v>1</x:v>
      </x:c>
      <x:c r="L1539" s="47" t="n">
        <x:v>1</x:v>
      </x:c>
      <x:c r="M1539" s="29" t="n">
        <x:v>1</x:v>
      </x:c>
    </x:row>
    <x:row r="1540" ht="15" hidden="0" customHeight="1">
      <x:c r="A1540" s="27" t="n">
        <x:v>36</x:v>
      </x:c>
      <x:c r="B1540" s="27" t="n">
        <x:v>330940</x:v>
      </x:c>
      <x:c r="C1540" s="27" t="str">
        <x:v>A3</x:v>
      </x:c>
      <x:c r="D1540" s="52" t="n">
        <x:v>2500</x:v>
      </x:c>
      <x:c r="E1540" s="46" t="n">
        <x:v>1</x:v>
      </x:c>
      <x:c r="F1540" s="46" t="n">
        <x:v>1</x:v>
      </x:c>
      <x:c r="G1540" s="46" t="n">
        <x:v>1</x:v>
      </x:c>
      <x:c r="H1540" s="46" t="n">
        <x:v>1</x:v>
      </x:c>
      <x:c r="I1540" s="46" t="n">
        <x:v>1</x:v>
      </x:c>
      <x:c r="J1540" s="46" t="n">
        <x:v>1</x:v>
      </x:c>
      <x:c r="K1540" s="46" t="n">
        <x:v>1</x:v>
      </x:c>
      <x:c r="L1540" s="46" t="n">
        <x:v>1</x:v>
      </x:c>
      <x:c r="M1540" s="27" t="n">
        <x:v>1</x:v>
      </x:c>
    </x:row>
    <x:row r="1541" ht="15" hidden="0" customHeight="1">
      <x:c r="A1541" s="29" t="n">
        <x:v>37</x:v>
      </x:c>
      <x:c r="B1541" s="29" t="n">
        <x:v>330941</x:v>
      </x:c>
      <x:c r="C1541" s="29" t="str">
        <x:v>A3</x:v>
      </x:c>
      <x:c r="D1541" s="53" t="n">
        <x:v>2500</x:v>
      </x:c>
      <x:c r="E1541" s="47" t="n">
        <x:v>1</x:v>
      </x:c>
      <x:c r="F1541" s="47" t="n">
        <x:v>1</x:v>
      </x:c>
      <x:c r="G1541" s="47" t="n">
        <x:v>1</x:v>
      </x:c>
      <x:c r="H1541" s="47" t="n">
        <x:v>1</x:v>
      </x:c>
      <x:c r="I1541" s="47" t="n">
        <x:v>1</x:v>
      </x:c>
      <x:c r="J1541" s="47" t="n">
        <x:v>1</x:v>
      </x:c>
      <x:c r="K1541" s="47" t="n">
        <x:v>1</x:v>
      </x:c>
      <x:c r="L1541" s="47" t="n">
        <x:v>1</x:v>
      </x:c>
      <x:c r="M1541" s="29" t="n">
        <x:v>1</x:v>
      </x:c>
    </x:row>
    <x:row r="1542" ht="15" hidden="0" customHeight="1">
      <x:c r="A1542" s="27" t="n">
        <x:v>38</x:v>
      </x:c>
      <x:c r="B1542" s="27" t="n">
        <x:v>330942</x:v>
      </x:c>
      <x:c r="C1542" s="27" t="str">
        <x:v>A3</x:v>
      </x:c>
      <x:c r="D1542" s="52" t="n">
        <x:v>2500</x:v>
      </x:c>
      <x:c r="E1542" s="46" t="n">
        <x:v>1</x:v>
      </x:c>
      <x:c r="F1542" s="46" t="n">
        <x:v>1</x:v>
      </x:c>
      <x:c r="G1542" s="46" t="n">
        <x:v>1</x:v>
      </x:c>
      <x:c r="H1542" s="46" t="n">
        <x:v>1</x:v>
      </x:c>
      <x:c r="I1542" s="46" t="n">
        <x:v>1</x:v>
      </x:c>
      <x:c r="J1542" s="46" t="n">
        <x:v>1</x:v>
      </x:c>
      <x:c r="K1542" s="46" t="n">
        <x:v>1</x:v>
      </x:c>
      <x:c r="L1542" s="46" t="n">
        <x:v>1</x:v>
      </x:c>
      <x:c r="M1542" s="27" t="n">
        <x:v>1</x:v>
      </x:c>
    </x:row>
    <x:row r="1543" ht="15" hidden="0" customHeight="1">
      <x:c r="A1543" s="29" t="n">
        <x:v>39</x:v>
      </x:c>
      <x:c r="B1543" s="29" t="n">
        <x:v>330943</x:v>
      </x:c>
      <x:c r="C1543" s="29" t="str">
        <x:v>A3</x:v>
      </x:c>
      <x:c r="D1543" s="53" t="n">
        <x:v>2500</x:v>
      </x:c>
      <x:c r="E1543" s="47" t="n">
        <x:v>1</x:v>
      </x:c>
      <x:c r="F1543" s="47" t="n">
        <x:v>1</x:v>
      </x:c>
      <x:c r="G1543" s="47" t="n">
        <x:v>1</x:v>
      </x:c>
      <x:c r="H1543" s="47" t="n">
        <x:v>1</x:v>
      </x:c>
      <x:c r="I1543" s="47" t="n">
        <x:v>1</x:v>
      </x:c>
      <x:c r="J1543" s="47" t="n">
        <x:v>1</x:v>
      </x:c>
      <x:c r="K1543" s="47" t="n">
        <x:v>1</x:v>
      </x:c>
      <x:c r="L1543" s="47" t="n">
        <x:v>1</x:v>
      </x:c>
      <x:c r="M1543" s="29" t="n">
        <x:v>1</x:v>
      </x:c>
    </x:row>
    <x:row r="1544" ht="15" hidden="0" customHeight="1">
      <x:c r="A1544" s="27" t="n">
        <x:v>40</x:v>
      </x:c>
      <x:c r="B1544" s="27" t="n">
        <x:v>330944</x:v>
      </x:c>
      <x:c r="C1544" s="27" t="str">
        <x:v>A3</x:v>
      </x:c>
      <x:c r="D1544" s="52" t="n">
        <x:v>2500</x:v>
      </x:c>
      <x:c r="E1544" s="46" t="n">
        <x:v>1</x:v>
      </x:c>
      <x:c r="F1544" s="46" t="n">
        <x:v>1</x:v>
      </x:c>
      <x:c r="G1544" s="46" t="n">
        <x:v>1</x:v>
      </x:c>
      <x:c r="H1544" s="46" t="n">
        <x:v>1</x:v>
      </x:c>
      <x:c r="I1544" s="46" t="n">
        <x:v>1</x:v>
      </x:c>
      <x:c r="J1544" s="46" t="n">
        <x:v>1</x:v>
      </x:c>
      <x:c r="K1544" s="46" t="n">
        <x:v>1</x:v>
      </x:c>
      <x:c r="L1544" s="46" t="n">
        <x:v>1</x:v>
      </x:c>
      <x:c r="M1544" s="27" t="n">
        <x:v>1</x:v>
      </x:c>
    </x:row>
    <x:row r="1545" ht="15" hidden="0" customHeight="1">
      <x:c r="A1545" s="29" t="n">
        <x:v>41</x:v>
      </x:c>
      <x:c r="B1545" s="29" t="n">
        <x:v>330945</x:v>
      </x:c>
      <x:c r="C1545" s="29" t="str">
        <x:v>A3</x:v>
      </x:c>
      <x:c r="D1545" s="53" t="n">
        <x:v>2500</x:v>
      </x:c>
      <x:c r="E1545" s="47" t="n">
        <x:v>1</x:v>
      </x:c>
      <x:c r="F1545" s="47" t="n">
        <x:v>1</x:v>
      </x:c>
      <x:c r="G1545" s="47" t="n">
        <x:v>1</x:v>
      </x:c>
      <x:c r="H1545" s="47" t="n">
        <x:v>1</x:v>
      </x:c>
      <x:c r="I1545" s="47" t="n">
        <x:v>1</x:v>
      </x:c>
      <x:c r="J1545" s="47" t="n">
        <x:v>1</x:v>
      </x:c>
      <x:c r="K1545" s="47" t="n">
        <x:v>1</x:v>
      </x:c>
      <x:c r="L1545" s="47" t="n">
        <x:v>1</x:v>
      </x:c>
      <x:c r="M1545" s="29" t="n">
        <x:v>1</x:v>
      </x:c>
    </x:row>
    <x:row r="1546" ht="15" hidden="0" customHeight="1">
      <x:c r="A1546" s="27" t="n">
        <x:v>42</x:v>
      </x:c>
      <x:c r="B1546" s="27" t="n">
        <x:v>330946</x:v>
      </x:c>
      <x:c r="C1546" s="27" t="str">
        <x:v>A3</x:v>
      </x:c>
      <x:c r="D1546" s="52" t="n">
        <x:v>2500</x:v>
      </x:c>
      <x:c r="E1546" s="46" t="n">
        <x:v>1</x:v>
      </x:c>
      <x:c r="F1546" s="46" t="n">
        <x:v>1</x:v>
      </x:c>
      <x:c r="G1546" s="46" t="n">
        <x:v>1</x:v>
      </x:c>
      <x:c r="H1546" s="46" t="n">
        <x:v>1</x:v>
      </x:c>
      <x:c r="I1546" s="46" t="n">
        <x:v>1</x:v>
      </x:c>
      <x:c r="J1546" s="46" t="n">
        <x:v>1</x:v>
      </x:c>
      <x:c r="K1546" s="46" t="n">
        <x:v>1</x:v>
      </x:c>
      <x:c r="L1546" s="46" t="n">
        <x:v>1</x:v>
      </x:c>
      <x:c r="M1546" s="27" t="n">
        <x:v>1</x:v>
      </x:c>
    </x:row>
    <x:row r="1547" ht="15" hidden="0" customHeight="1">
      <x:c r="A1547" s="29" t="n">
        <x:v>43</x:v>
      </x:c>
      <x:c r="B1547" s="29" t="n">
        <x:v>330947</x:v>
      </x:c>
      <x:c r="C1547" s="29" t="str">
        <x:v>A3</x:v>
      </x:c>
      <x:c r="D1547" s="53" t="n">
        <x:v>2500</x:v>
      </x:c>
      <x:c r="E1547" s="47" t="n">
        <x:v>1</x:v>
      </x:c>
      <x:c r="F1547" s="47" t="n">
        <x:v>1</x:v>
      </x:c>
      <x:c r="G1547" s="47" t="n">
        <x:v>1</x:v>
      </x:c>
      <x:c r="H1547" s="47" t="n">
        <x:v>1</x:v>
      </x:c>
      <x:c r="I1547" s="47" t="n">
        <x:v>1</x:v>
      </x:c>
      <x:c r="J1547" s="47" t="n">
        <x:v>1</x:v>
      </x:c>
      <x:c r="K1547" s="47" t="n">
        <x:v>1</x:v>
      </x:c>
      <x:c r="L1547" s="47" t="n">
        <x:v>1</x:v>
      </x:c>
      <x:c r="M1547" s="29" t="n">
        <x:v>1</x:v>
      </x:c>
    </x:row>
    <x:row r="1548" ht="15" hidden="0" customHeight="1">
      <x:c r="A1548" s="27" t="n">
        <x:v>44</x:v>
      </x:c>
      <x:c r="B1548" s="27" t="n">
        <x:v>330948</x:v>
      </x:c>
      <x:c r="C1548" s="27" t="str">
        <x:v>A3</x:v>
      </x:c>
      <x:c r="D1548" s="52" t="n">
        <x:v>2500</x:v>
      </x:c>
      <x:c r="E1548" s="46" t="n">
        <x:v>1</x:v>
      </x:c>
      <x:c r="F1548" s="46" t="n">
        <x:v>1</x:v>
      </x:c>
      <x:c r="G1548" s="46" t="n">
        <x:v>1</x:v>
      </x:c>
      <x:c r="H1548" s="46" t="n">
        <x:v>1</x:v>
      </x:c>
      <x:c r="I1548" s="46" t="n">
        <x:v>1</x:v>
      </x:c>
      <x:c r="J1548" s="46" t="n">
        <x:v>1</x:v>
      </x:c>
      <x:c r="K1548" s="46" t="n">
        <x:v>1</x:v>
      </x:c>
      <x:c r="L1548" s="46" t="n">
        <x:v>1</x:v>
      </x:c>
      <x:c r="M1548" s="27" t="n">
        <x:v>1</x:v>
      </x:c>
    </x:row>
    <x:row r="1549" ht="15" hidden="0" customHeight="1">
      <x:c r="A1549" s="29" t="n">
        <x:v>45</x:v>
      </x:c>
      <x:c r="B1549" s="29" t="n">
        <x:v>330949</x:v>
      </x:c>
      <x:c r="C1549" s="29" t="str">
        <x:v>A3</x:v>
      </x:c>
      <x:c r="D1549" s="53" t="n">
        <x:v>2500</x:v>
      </x:c>
      <x:c r="E1549" s="47" t="n">
        <x:v>1</x:v>
      </x:c>
      <x:c r="F1549" s="47" t="n">
        <x:v>1</x:v>
      </x:c>
      <x:c r="G1549" s="47" t="n">
        <x:v>1</x:v>
      </x:c>
      <x:c r="H1549" s="47" t="n">
        <x:v>1</x:v>
      </x:c>
      <x:c r="I1549" s="47" t="n">
        <x:v>1</x:v>
      </x:c>
      <x:c r="J1549" s="47" t="n">
        <x:v>1</x:v>
      </x:c>
      <x:c r="K1549" s="47" t="n">
        <x:v>1</x:v>
      </x:c>
      <x:c r="L1549" s="47" t="n">
        <x:v>1</x:v>
      </x:c>
      <x:c r="M1549" s="29" t="n">
        <x:v>1</x:v>
      </x:c>
    </x:row>
    <x:row r="1550" ht="15" hidden="0" customHeight="1">
      <x:c r="A1550" s="27" t="n">
        <x:v>46</x:v>
      </x:c>
      <x:c r="B1550" s="27" t="n">
        <x:v>330950</x:v>
      </x:c>
      <x:c r="C1550" s="27" t="str">
        <x:v>A3</x:v>
      </x:c>
      <x:c r="D1550" s="52" t="n">
        <x:v>2500</x:v>
      </x:c>
      <x:c r="E1550" s="46" t="n">
        <x:v>1</x:v>
      </x:c>
      <x:c r="F1550" s="46" t="n">
        <x:v>1</x:v>
      </x:c>
      <x:c r="G1550" s="46" t="n">
        <x:v>1</x:v>
      </x:c>
      <x:c r="H1550" s="46" t="n">
        <x:v>1</x:v>
      </x:c>
      <x:c r="I1550" s="46" t="n">
        <x:v>1</x:v>
      </x:c>
      <x:c r="J1550" s="46" t="n">
        <x:v>1</x:v>
      </x:c>
      <x:c r="K1550" s="46" t="n">
        <x:v>1</x:v>
      </x:c>
      <x:c r="L1550" s="46" t="n">
        <x:v>1</x:v>
      </x:c>
      <x:c r="M1550" s="27" t="n">
        <x:v>1</x:v>
      </x:c>
    </x:row>
    <x:row r="1551" ht="15" hidden="0" customHeight="1">
      <x:c r="A1551" s="29" t="n">
        <x:v>47</x:v>
      </x:c>
      <x:c r="B1551" s="29" t="n">
        <x:v>330951</x:v>
      </x:c>
      <x:c r="C1551" s="29" t="str">
        <x:v>A3</x:v>
      </x:c>
      <x:c r="D1551" s="53" t="n">
        <x:v>2500</x:v>
      </x:c>
      <x:c r="E1551" s="47" t="n">
        <x:v>1</x:v>
      </x:c>
      <x:c r="F1551" s="47" t="n">
        <x:v>1</x:v>
      </x:c>
      <x:c r="G1551" s="47" t="n">
        <x:v>1</x:v>
      </x:c>
      <x:c r="H1551" s="47" t="n">
        <x:v>1</x:v>
      </x:c>
      <x:c r="I1551" s="47" t="n">
        <x:v>1</x:v>
      </x:c>
      <x:c r="J1551" s="47" t="n">
        <x:v>1</x:v>
      </x:c>
      <x:c r="K1551" s="47" t="n">
        <x:v>1</x:v>
      </x:c>
      <x:c r="L1551" s="47" t="n">
        <x:v>1</x:v>
      </x:c>
      <x:c r="M1551" s="29" t="n">
        <x:v>1</x:v>
      </x:c>
    </x:row>
    <x:row r="1552" ht="15" hidden="0" customHeight="1">
      <x:c r="A1552" s="27" t="n">
        <x:v>48</x:v>
      </x:c>
      <x:c r="B1552" s="27" t="n">
        <x:v>330952</x:v>
      </x:c>
      <x:c r="C1552" s="27" t="str">
        <x:v>A3</x:v>
      </x:c>
      <x:c r="D1552" s="52" t="n">
        <x:v>2500</x:v>
      </x:c>
      <x:c r="E1552" s="46" t="n">
        <x:v>1</x:v>
      </x:c>
      <x:c r="F1552" s="46" t="n">
        <x:v>1</x:v>
      </x:c>
      <x:c r="G1552" s="46" t="n">
        <x:v>1</x:v>
      </x:c>
      <x:c r="H1552" s="46" t="n">
        <x:v>1</x:v>
      </x:c>
      <x:c r="I1552" s="46" t="n">
        <x:v>1</x:v>
      </x:c>
      <x:c r="J1552" s="46" t="n">
        <x:v>1</x:v>
      </x:c>
      <x:c r="K1552" s="46" t="n">
        <x:v>1</x:v>
      </x:c>
      <x:c r="L1552" s="46" t="n">
        <x:v>1</x:v>
      </x:c>
      <x:c r="M1552" s="27" t="n">
        <x:v>1</x:v>
      </x:c>
    </x:row>
    <x:row r="1553" ht="15" hidden="0" customHeight="1">
      <x:c r="A1553" s="29" t="n">
        <x:v>49</x:v>
      </x:c>
      <x:c r="B1553" s="29" t="n">
        <x:v>330953</x:v>
      </x:c>
      <x:c r="C1553" s="29" t="str">
        <x:v>A3</x:v>
      </x:c>
      <x:c r="D1553" s="53" t="n">
        <x:v>2500</x:v>
      </x:c>
      <x:c r="E1553" s="47" t="n">
        <x:v>1</x:v>
      </x:c>
      <x:c r="F1553" s="47" t="n">
        <x:v>1</x:v>
      </x:c>
      <x:c r="G1553" s="47" t="n">
        <x:v>1</x:v>
      </x:c>
      <x:c r="H1553" s="47" t="n">
        <x:v>1</x:v>
      </x:c>
      <x:c r="I1553" s="47" t="n">
        <x:v>1</x:v>
      </x:c>
      <x:c r="J1553" s="47" t="n">
        <x:v>1</x:v>
      </x:c>
      <x:c r="K1553" s="47" t="n">
        <x:v>1</x:v>
      </x:c>
      <x:c r="L1553" s="47" t="n">
        <x:v>1</x:v>
      </x:c>
      <x:c r="M1553" s="29" t="n">
        <x:v>1</x:v>
      </x:c>
    </x:row>
    <x:row r="1554" ht="15" hidden="0" customHeight="1">
      <x:c r="A1554" s="27" t="n">
        <x:v>50</x:v>
      </x:c>
      <x:c r="B1554" s="27" t="n">
        <x:v>330954</x:v>
      </x:c>
      <x:c r="C1554" s="27" t="str">
        <x:v>A3</x:v>
      </x:c>
      <x:c r="D1554" s="52" t="n">
        <x:v>2500</x:v>
      </x:c>
      <x:c r="E1554" s="46" t="n">
        <x:v>1</x:v>
      </x:c>
      <x:c r="F1554" s="46" t="n">
        <x:v>1</x:v>
      </x:c>
      <x:c r="G1554" s="46" t="n">
        <x:v>1</x:v>
      </x:c>
      <x:c r="H1554" s="46" t="n">
        <x:v>1</x:v>
      </x:c>
      <x:c r="I1554" s="46" t="n">
        <x:v>1</x:v>
      </x:c>
      <x:c r="J1554" s="46" t="n">
        <x:v>1</x:v>
      </x:c>
      <x:c r="K1554" s="46" t="n">
        <x:v>1</x:v>
      </x:c>
      <x:c r="L1554" s="46" t="n">
        <x:v>1</x:v>
      </x:c>
      <x:c r="M1554" s="27" t="n">
        <x:v>1</x:v>
      </x:c>
    </x:row>
    <x:row r="1555" ht="15" hidden="0" customHeight="1">
      <x:c r="A1555" s="29" t="n">
        <x:v>51</x:v>
      </x:c>
      <x:c r="B1555" s="29" t="n">
        <x:v>330955</x:v>
      </x:c>
      <x:c r="C1555" s="29" t="str">
        <x:v>A3</x:v>
      </x:c>
      <x:c r="D1555" s="53" t="n">
        <x:v>2500</x:v>
      </x:c>
      <x:c r="E1555" s="47" t="n">
        <x:v>1</x:v>
      </x:c>
      <x:c r="F1555" s="47" t="n">
        <x:v>1</x:v>
      </x:c>
      <x:c r="G1555" s="47" t="n">
        <x:v>1</x:v>
      </x:c>
      <x:c r="H1555" s="47" t="n">
        <x:v>1</x:v>
      </x:c>
      <x:c r="I1555" s="47" t="n">
        <x:v>1</x:v>
      </x:c>
      <x:c r="J1555" s="47" t="n">
        <x:v>1</x:v>
      </x:c>
      <x:c r="K1555" s="47" t="n">
        <x:v>1</x:v>
      </x:c>
      <x:c r="L1555" s="47" t="n">
        <x:v>1</x:v>
      </x:c>
      <x:c r="M1555" s="29" t="n">
        <x:v>1</x:v>
      </x:c>
    </x:row>
    <x:row r="1556" ht="15" hidden="0" customHeight="1">
      <x:c r="A1556" s="27" t="n">
        <x:v>52</x:v>
      </x:c>
      <x:c r="B1556" s="27" t="n">
        <x:v>330956</x:v>
      </x:c>
      <x:c r="C1556" s="27" t="str">
        <x:v>A3</x:v>
      </x:c>
      <x:c r="D1556" s="52" t="n">
        <x:v>2500</x:v>
      </x:c>
      <x:c r="E1556" s="46" t="n">
        <x:v>1</x:v>
      </x:c>
      <x:c r="F1556" s="46" t="n">
        <x:v>1</x:v>
      </x:c>
      <x:c r="G1556" s="46" t="n">
        <x:v>1</x:v>
      </x:c>
      <x:c r="H1556" s="46" t="n">
        <x:v>1</x:v>
      </x:c>
      <x:c r="I1556" s="46" t="n">
        <x:v>1</x:v>
      </x:c>
      <x:c r="J1556" s="46" t="n">
        <x:v>1</x:v>
      </x:c>
      <x:c r="K1556" s="46" t="n">
        <x:v>1</x:v>
      </x:c>
      <x:c r="L1556" s="46" t="n">
        <x:v>1</x:v>
      </x:c>
      <x:c r="M1556" s="27" t="n">
        <x:v>1</x:v>
      </x:c>
    </x:row>
    <x:row r="1557" ht="15" hidden="0" customHeight="1">
      <x:c r="A1557" s="29" t="n">
        <x:v>53</x:v>
      </x:c>
      <x:c r="B1557" s="29" t="n">
        <x:v>330957</x:v>
      </x:c>
      <x:c r="C1557" s="29" t="str">
        <x:v>A3</x:v>
      </x:c>
      <x:c r="D1557" s="53" t="n">
        <x:v>2500</x:v>
      </x:c>
      <x:c r="E1557" s="47" t="n">
        <x:v>1</x:v>
      </x:c>
      <x:c r="F1557" s="47" t="n">
        <x:v>1</x:v>
      </x:c>
      <x:c r="G1557" s="47" t="n">
        <x:v>1</x:v>
      </x:c>
      <x:c r="H1557" s="47" t="n">
        <x:v>1</x:v>
      </x:c>
      <x:c r="I1557" s="47" t="n">
        <x:v>1</x:v>
      </x:c>
      <x:c r="J1557" s="47" t="n">
        <x:v>1</x:v>
      </x:c>
      <x:c r="K1557" s="47" t="n">
        <x:v>1</x:v>
      </x:c>
      <x:c r="L1557" s="47" t="n">
        <x:v>1</x:v>
      </x:c>
      <x:c r="M1557" s="29" t="n">
        <x:v>1</x:v>
      </x:c>
    </x:row>
    <x:row r="1558" ht="15" hidden="0" customHeight="1">
      <x:c r="A1558" s="27" t="n">
        <x:v>54</x:v>
      </x:c>
      <x:c r="B1558" s="27" t="n">
        <x:v>330958</x:v>
      </x:c>
      <x:c r="C1558" s="27" t="str">
        <x:v>A3</x:v>
      </x:c>
      <x:c r="D1558" s="52" t="n">
        <x:v>2500</x:v>
      </x:c>
      <x:c r="E1558" s="46" t="n">
        <x:v>1</x:v>
      </x:c>
      <x:c r="F1558" s="46" t="n">
        <x:v>1</x:v>
      </x:c>
      <x:c r="G1558" s="46" t="n">
        <x:v>1</x:v>
      </x:c>
      <x:c r="H1558" s="46" t="n">
        <x:v>1</x:v>
      </x:c>
      <x:c r="I1558" s="46" t="n">
        <x:v>1</x:v>
      </x:c>
      <x:c r="J1558" s="46" t="n">
        <x:v>1</x:v>
      </x:c>
      <x:c r="K1558" s="46" t="n">
        <x:v>1</x:v>
      </x:c>
      <x:c r="L1558" s="46" t="n">
        <x:v>1</x:v>
      </x:c>
      <x:c r="M1558" s="27" t="n">
        <x:v>1</x:v>
      </x:c>
    </x:row>
    <x:row r="1559" ht="15" hidden="0" customHeight="1">
      <x:c r="A1559" s="29" t="n">
        <x:v>55</x:v>
      </x:c>
      <x:c r="B1559" s="29" t="n">
        <x:v>330959</x:v>
      </x:c>
      <x:c r="C1559" s="29" t="str">
        <x:v>A3</x:v>
      </x:c>
      <x:c r="D1559" s="53" t="n">
        <x:v>2500</x:v>
      </x:c>
      <x:c r="E1559" s="47" t="n">
        <x:v>1</x:v>
      </x:c>
      <x:c r="F1559" s="47" t="n">
        <x:v>1</x:v>
      </x:c>
      <x:c r="G1559" s="47" t="n">
        <x:v>1</x:v>
      </x:c>
      <x:c r="H1559" s="47" t="n">
        <x:v>1</x:v>
      </x:c>
      <x:c r="I1559" s="47" t="n">
        <x:v>1</x:v>
      </x:c>
      <x:c r="J1559" s="47" t="n">
        <x:v>1</x:v>
      </x:c>
      <x:c r="K1559" s="47" t="n">
        <x:v>1</x:v>
      </x:c>
      <x:c r="L1559" s="47" t="n">
        <x:v>1</x:v>
      </x:c>
      <x:c r="M1559" s="29" t="n">
        <x:v>1</x:v>
      </x:c>
    </x:row>
    <x:row r="1560" ht="15" hidden="0" customHeight="1">
      <x:c r="A1560" s="27" t="n">
        <x:v>56</x:v>
      </x:c>
      <x:c r="B1560" s="27" t="n">
        <x:v>330960</x:v>
      </x:c>
      <x:c r="C1560" s="27" t="str">
        <x:v>A3</x:v>
      </x:c>
      <x:c r="D1560" s="52" t="n">
        <x:v>2500</x:v>
      </x:c>
      <x:c r="E1560" s="46" t="n">
        <x:v>1</x:v>
      </x:c>
      <x:c r="F1560" s="46" t="n">
        <x:v>1</x:v>
      </x:c>
      <x:c r="G1560" s="46" t="n">
        <x:v>1</x:v>
      </x:c>
      <x:c r="H1560" s="46" t="n">
        <x:v>1</x:v>
      </x:c>
      <x:c r="I1560" s="46" t="n">
        <x:v>1</x:v>
      </x:c>
      <x:c r="J1560" s="46" t="n">
        <x:v>1</x:v>
      </x:c>
      <x:c r="K1560" s="46" t="n">
        <x:v>1</x:v>
      </x:c>
      <x:c r="L1560" s="46" t="n">
        <x:v>1</x:v>
      </x:c>
      <x:c r="M1560" s="27" t="n">
        <x:v>1</x:v>
      </x:c>
    </x:row>
    <x:row r="1561" ht="15" hidden="0" customHeight="1">
      <x:c r="A1561" s="29" t="n">
        <x:v>57</x:v>
      </x:c>
      <x:c r="B1561" s="29" t="n">
        <x:v>330961</x:v>
      </x:c>
      <x:c r="C1561" s="29" t="str">
        <x:v>A3</x:v>
      </x:c>
      <x:c r="D1561" s="53" t="n">
        <x:v>2500</x:v>
      </x:c>
      <x:c r="E1561" s="47" t="n">
        <x:v>1</x:v>
      </x:c>
      <x:c r="F1561" s="47" t="n">
        <x:v>1</x:v>
      </x:c>
      <x:c r="G1561" s="47" t="n">
        <x:v>1</x:v>
      </x:c>
      <x:c r="H1561" s="47" t="n">
        <x:v>1</x:v>
      </x:c>
      <x:c r="I1561" s="47" t="n">
        <x:v>1</x:v>
      </x:c>
      <x:c r="J1561" s="47" t="n">
        <x:v>1</x:v>
      </x:c>
      <x:c r="K1561" s="47" t="n">
        <x:v>1</x:v>
      </x:c>
      <x:c r="L1561" s="47" t="n">
        <x:v>1</x:v>
      </x:c>
      <x:c r="M1561" s="29" t="n">
        <x:v>1</x:v>
      </x:c>
    </x:row>
    <x:row r="1562" ht="15" hidden="0" customHeight="1">
      <x:c r="A1562" s="27" t="n">
        <x:v>58</x:v>
      </x:c>
      <x:c r="B1562" s="27" t="n">
        <x:v>330962</x:v>
      </x:c>
      <x:c r="C1562" s="27" t="str">
        <x:v>A3</x:v>
      </x:c>
      <x:c r="D1562" s="52" t="n">
        <x:v>2500</x:v>
      </x:c>
      <x:c r="E1562" s="46" t="n">
        <x:v>1</x:v>
      </x:c>
      <x:c r="F1562" s="46" t="n">
        <x:v>1</x:v>
      </x:c>
      <x:c r="G1562" s="46" t="n">
        <x:v>1</x:v>
      </x:c>
      <x:c r="H1562" s="46" t="n">
        <x:v>1</x:v>
      </x:c>
      <x:c r="I1562" s="46" t="n">
        <x:v>1</x:v>
      </x:c>
      <x:c r="J1562" s="46" t="n">
        <x:v>1</x:v>
      </x:c>
      <x:c r="K1562" s="46" t="n">
        <x:v>1</x:v>
      </x:c>
      <x:c r="L1562" s="46" t="n">
        <x:v>1</x:v>
      </x:c>
      <x:c r="M1562" s="27" t="n">
        <x:v>1</x:v>
      </x:c>
    </x:row>
    <x:row r="1563" ht="15" hidden="0" customHeight="1">
      <x:c r="A1563" s="29" t="n">
        <x:v>59</x:v>
      </x:c>
      <x:c r="B1563" s="29" t="n">
        <x:v>330963</x:v>
      </x:c>
      <x:c r="C1563" s="29" t="str">
        <x:v>A3</x:v>
      </x:c>
      <x:c r="D1563" s="53" t="n">
        <x:v>2500</x:v>
      </x:c>
      <x:c r="E1563" s="47" t="n">
        <x:v>1</x:v>
      </x:c>
      <x:c r="F1563" s="47" t="n">
        <x:v>1</x:v>
      </x:c>
      <x:c r="G1563" s="47" t="n">
        <x:v>1</x:v>
      </x:c>
      <x:c r="H1563" s="47" t="n">
        <x:v>1</x:v>
      </x:c>
      <x:c r="I1563" s="47" t="n">
        <x:v>1</x:v>
      </x:c>
      <x:c r="J1563" s="47" t="n">
        <x:v>1</x:v>
      </x:c>
      <x:c r="K1563" s="47" t="n">
        <x:v>1</x:v>
      </x:c>
      <x:c r="L1563" s="47" t="n">
        <x:v>1</x:v>
      </x:c>
      <x:c r="M1563" s="29" t="n">
        <x:v>1</x:v>
      </x:c>
    </x:row>
    <x:row r="1564" ht="15" hidden="0" customHeight="1">
      <x:c r="A1564" s="27" t="n">
        <x:v>60</x:v>
      </x:c>
      <x:c r="B1564" s="27" t="n">
        <x:v>330964</x:v>
      </x:c>
      <x:c r="C1564" s="27" t="str">
        <x:v>A3</x:v>
      </x:c>
      <x:c r="D1564" s="52" t="n">
        <x:v>2500</x:v>
      </x:c>
      <x:c r="E1564" s="46" t="n">
        <x:v>1</x:v>
      </x:c>
      <x:c r="F1564" s="46" t="n">
        <x:v>1</x:v>
      </x:c>
      <x:c r="G1564" s="46" t="n">
        <x:v>1</x:v>
      </x:c>
      <x:c r="H1564" s="46" t="n">
        <x:v>1</x:v>
      </x:c>
      <x:c r="I1564" s="46" t="n">
        <x:v>1</x:v>
      </x:c>
      <x:c r="J1564" s="46" t="n">
        <x:v>1</x:v>
      </x:c>
      <x:c r="K1564" s="46" t="n">
        <x:v>1</x:v>
      </x:c>
      <x:c r="L1564" s="46" t="n">
        <x:v>1</x:v>
      </x:c>
      <x:c r="M1564" s="27" t="n">
        <x:v>1</x:v>
      </x:c>
    </x:row>
    <x:row r="1565" ht="15" hidden="0" customHeight="1">
      <x:c r="A1565" s="29" t="n">
        <x:v>61</x:v>
      </x:c>
      <x:c r="B1565" s="29" t="n">
        <x:v>330965</x:v>
      </x:c>
      <x:c r="C1565" s="29" t="str">
        <x:v>A3</x:v>
      </x:c>
      <x:c r="D1565" s="53" t="n">
        <x:v>2500</x:v>
      </x:c>
      <x:c r="E1565" s="47" t="n">
        <x:v>1</x:v>
      </x:c>
      <x:c r="F1565" s="47" t="n">
        <x:v>1</x:v>
      </x:c>
      <x:c r="G1565" s="47" t="n">
        <x:v>1</x:v>
      </x:c>
      <x:c r="H1565" s="47" t="n">
        <x:v>1</x:v>
      </x:c>
      <x:c r="I1565" s="47" t="n">
        <x:v>1</x:v>
      </x:c>
      <x:c r="J1565" s="47" t="n">
        <x:v>1</x:v>
      </x:c>
      <x:c r="K1565" s="47" t="n">
        <x:v>1</x:v>
      </x:c>
      <x:c r="L1565" s="47" t="n">
        <x:v>1</x:v>
      </x:c>
      <x:c r="M1565" s="29" t="n">
        <x:v>1</x:v>
      </x:c>
    </x:row>
    <x:row r="1566" ht="15" hidden="0" customHeight="1">
      <x:c r="A1566" s="27" t="n">
        <x:v>62</x:v>
      </x:c>
      <x:c r="B1566" s="27" t="n">
        <x:v>330966</x:v>
      </x:c>
      <x:c r="C1566" s="27" t="str">
        <x:v>A3</x:v>
      </x:c>
      <x:c r="D1566" s="52" t="n">
        <x:v>2500</x:v>
      </x:c>
      <x:c r="E1566" s="46" t="n">
        <x:v>1</x:v>
      </x:c>
      <x:c r="F1566" s="46" t="n">
        <x:v>1</x:v>
      </x:c>
      <x:c r="G1566" s="46" t="n">
        <x:v>1</x:v>
      </x:c>
      <x:c r="H1566" s="46" t="n">
        <x:v>1</x:v>
      </x:c>
      <x:c r="I1566" s="46" t="n">
        <x:v>1</x:v>
      </x:c>
      <x:c r="J1566" s="46" t="n">
        <x:v>1</x:v>
      </x:c>
      <x:c r="K1566" s="46" t="n">
        <x:v>1</x:v>
      </x:c>
      <x:c r="L1566" s="46" t="n">
        <x:v>1</x:v>
      </x:c>
      <x:c r="M1566" s="27" t="n">
        <x:v>1</x:v>
      </x:c>
    </x:row>
    <x:row r="1567" ht="15" hidden="0" customHeight="1">
      <x:c r="A1567" s="29" t="n">
        <x:v>63</x:v>
      </x:c>
      <x:c r="B1567" s="29" t="n">
        <x:v>330967</x:v>
      </x:c>
      <x:c r="C1567" s="29" t="str">
        <x:v>A3</x:v>
      </x:c>
      <x:c r="D1567" s="53" t="n">
        <x:v>2500</x:v>
      </x:c>
      <x:c r="E1567" s="47" t="n">
        <x:v>1</x:v>
      </x:c>
      <x:c r="F1567" s="47" t="n">
        <x:v>1</x:v>
      </x:c>
      <x:c r="G1567" s="47" t="n">
        <x:v>1</x:v>
      </x:c>
      <x:c r="H1567" s="47" t="n">
        <x:v>1</x:v>
      </x:c>
      <x:c r="I1567" s="47" t="n">
        <x:v>1</x:v>
      </x:c>
      <x:c r="J1567" s="47" t="n">
        <x:v>1</x:v>
      </x:c>
      <x:c r="K1567" s="47" t="n">
        <x:v>1</x:v>
      </x:c>
      <x:c r="L1567" s="47" t="n">
        <x:v>1</x:v>
      </x:c>
      <x:c r="M1567" s="29" t="n">
        <x:v>1</x:v>
      </x:c>
    </x:row>
    <x:row r="1568" ht="15" hidden="0" customHeight="1">
      <x:c r="A1568" s="27" t="n">
        <x:v>64</x:v>
      </x:c>
      <x:c r="B1568" s="27" t="n">
        <x:v>330968</x:v>
      </x:c>
      <x:c r="C1568" s="27" t="str">
        <x:v>A3</x:v>
      </x:c>
      <x:c r="D1568" s="52" t="n">
        <x:v>2500</x:v>
      </x:c>
      <x:c r="E1568" s="46" t="n">
        <x:v>1</x:v>
      </x:c>
      <x:c r="F1568" s="46" t="n">
        <x:v>1</x:v>
      </x:c>
      <x:c r="G1568" s="46" t="n">
        <x:v>1</x:v>
      </x:c>
      <x:c r="H1568" s="46" t="n">
        <x:v>1</x:v>
      </x:c>
      <x:c r="I1568" s="46" t="n">
        <x:v>1</x:v>
      </x:c>
      <x:c r="J1568" s="46" t="n">
        <x:v>1</x:v>
      </x:c>
      <x:c r="K1568" s="46" t="n">
        <x:v>1</x:v>
      </x:c>
      <x:c r="L1568" s="46" t="n">
        <x:v>1</x:v>
      </x:c>
      <x:c r="M1568" s="27" t="n">
        <x:v>1</x:v>
      </x:c>
    </x:row>
    <x:row r="1569" ht="15" hidden="0" customHeight="1">
      <x:c r="A1569" s="29" t="n">
        <x:v>65</x:v>
      </x:c>
      <x:c r="B1569" s="29" t="n">
        <x:v>330969</x:v>
      </x:c>
      <x:c r="C1569" s="29" t="str">
        <x:v>A3</x:v>
      </x:c>
      <x:c r="D1569" s="53" t="n">
        <x:v>2500</x:v>
      </x:c>
      <x:c r="E1569" s="47" t="n">
        <x:v>1</x:v>
      </x:c>
      <x:c r="F1569" s="47" t="n">
        <x:v>1</x:v>
      </x:c>
      <x:c r="G1569" s="47" t="n">
        <x:v>1</x:v>
      </x:c>
      <x:c r="H1569" s="47" t="n">
        <x:v>1</x:v>
      </x:c>
      <x:c r="I1569" s="47" t="n">
        <x:v>1</x:v>
      </x:c>
      <x:c r="J1569" s="47" t="n">
        <x:v>1</x:v>
      </x:c>
      <x:c r="K1569" s="47" t="n">
        <x:v>1</x:v>
      </x:c>
      <x:c r="L1569" s="47" t="n">
        <x:v>1</x:v>
      </x:c>
      <x:c r="M1569" s="29" t="n">
        <x:v>1</x:v>
      </x:c>
    </x:row>
    <x:row r="1570" ht="15" hidden="0" customHeight="1">
      <x:c r="A1570" s="27" t="n">
        <x:v>66</x:v>
      </x:c>
      <x:c r="B1570" s="27" t="n">
        <x:v>330970</x:v>
      </x:c>
      <x:c r="C1570" s="27" t="str">
        <x:v>A3</x:v>
      </x:c>
      <x:c r="D1570" s="52" t="n">
        <x:v>2500</x:v>
      </x:c>
      <x:c r="E1570" s="46" t="n">
        <x:v>1</x:v>
      </x:c>
      <x:c r="F1570" s="46" t="n">
        <x:v>1</x:v>
      </x:c>
      <x:c r="G1570" s="46" t="n">
        <x:v>1</x:v>
      </x:c>
      <x:c r="H1570" s="46" t="n">
        <x:v>1</x:v>
      </x:c>
      <x:c r="I1570" s="46" t="n">
        <x:v>1</x:v>
      </x:c>
      <x:c r="J1570" s="46" t="n">
        <x:v>1</x:v>
      </x:c>
      <x:c r="K1570" s="46" t="n">
        <x:v>1</x:v>
      </x:c>
      <x:c r="L1570" s="46" t="n">
        <x:v>1</x:v>
      </x:c>
      <x:c r="M1570" s="27" t="n">
        <x:v>1</x:v>
      </x:c>
    </x:row>
    <x:row r="1571" ht="15" hidden="0" customHeight="1">
      <x:c r="A1571" s="29" t="n">
        <x:v>67</x:v>
      </x:c>
      <x:c r="B1571" s="29" t="n">
        <x:v>330971</x:v>
      </x:c>
      <x:c r="C1571" s="29" t="str">
        <x:v>A3</x:v>
      </x:c>
      <x:c r="D1571" s="53" t="n">
        <x:v>2500</x:v>
      </x:c>
      <x:c r="E1571" s="47" t="n">
        <x:v>1</x:v>
      </x:c>
      <x:c r="F1571" s="47" t="n">
        <x:v>1</x:v>
      </x:c>
      <x:c r="G1571" s="47" t="n">
        <x:v>1</x:v>
      </x:c>
      <x:c r="H1571" s="47" t="n">
        <x:v>1</x:v>
      </x:c>
      <x:c r="I1571" s="47" t="n">
        <x:v>1</x:v>
      </x:c>
      <x:c r="J1571" s="47" t="n">
        <x:v>1</x:v>
      </x:c>
      <x:c r="K1571" s="47" t="n">
        <x:v>1</x:v>
      </x:c>
      <x:c r="L1571" s="47" t="n">
        <x:v>1</x:v>
      </x:c>
      <x:c r="M1571" s="29" t="n">
        <x:v>1</x:v>
      </x:c>
    </x:row>
    <x:row r="1572" ht="15" hidden="0" customHeight="1">
      <x:c r="A1572" s="27" t="n">
        <x:v>68</x:v>
      </x:c>
      <x:c r="B1572" s="27" t="n">
        <x:v>330972</x:v>
      </x:c>
      <x:c r="C1572" s="27" t="str">
        <x:v>A3</x:v>
      </x:c>
      <x:c r="D1572" s="52" t="n">
        <x:v>2500</x:v>
      </x:c>
      <x:c r="E1572" s="46" t="n">
        <x:v>1</x:v>
      </x:c>
      <x:c r="F1572" s="46" t="n">
        <x:v>1</x:v>
      </x:c>
      <x:c r="G1572" s="46" t="n">
        <x:v>1</x:v>
      </x:c>
      <x:c r="H1572" s="46" t="n">
        <x:v>1</x:v>
      </x:c>
      <x:c r="I1572" s="46" t="n">
        <x:v>1</x:v>
      </x:c>
      <x:c r="J1572" s="46" t="n">
        <x:v>1</x:v>
      </x:c>
      <x:c r="K1572" s="46" t="n">
        <x:v>1</x:v>
      </x:c>
      <x:c r="L1572" s="46" t="n">
        <x:v>1</x:v>
      </x:c>
      <x:c r="M1572" s="27" t="n">
        <x:v>1</x:v>
      </x:c>
    </x:row>
    <x:row r="1573" ht="15" hidden="0" customHeight="1">
      <x:c r="A1573" s="29" t="n">
        <x:v>69</x:v>
      </x:c>
      <x:c r="B1573" s="29" t="n">
        <x:v>330973</x:v>
      </x:c>
      <x:c r="C1573" s="29" t="str">
        <x:v>A3</x:v>
      </x:c>
      <x:c r="D1573" s="53" t="n">
        <x:v>2500</x:v>
      </x:c>
      <x:c r="E1573" s="47" t="n">
        <x:v>1</x:v>
      </x:c>
      <x:c r="F1573" s="47" t="n">
        <x:v>1</x:v>
      </x:c>
      <x:c r="G1573" s="47" t="n">
        <x:v>1</x:v>
      </x:c>
      <x:c r="H1573" s="47" t="n">
        <x:v>1</x:v>
      </x:c>
      <x:c r="I1573" s="47" t="n">
        <x:v>1</x:v>
      </x:c>
      <x:c r="J1573" s="47" t="n">
        <x:v>1</x:v>
      </x:c>
      <x:c r="K1573" s="47" t="n">
        <x:v>1</x:v>
      </x:c>
      <x:c r="L1573" s="47" t="n">
        <x:v>1</x:v>
      </x:c>
      <x:c r="M1573" s="29" t="n">
        <x:v>1</x:v>
      </x:c>
    </x:row>
    <x:row r="1574" ht="15" hidden="0" customHeight="1">
      <x:c r="A1574" s="27" t="n">
        <x:v>70</x:v>
      </x:c>
      <x:c r="B1574" s="27" t="n">
        <x:v>330974</x:v>
      </x:c>
      <x:c r="C1574" s="27" t="str">
        <x:v>A3</x:v>
      </x:c>
      <x:c r="D1574" s="52" t="n">
        <x:v>2500</x:v>
      </x:c>
      <x:c r="E1574" s="46" t="n">
        <x:v>1</x:v>
      </x:c>
      <x:c r="F1574" s="46" t="n">
        <x:v>1</x:v>
      </x:c>
      <x:c r="G1574" s="46" t="n">
        <x:v>1</x:v>
      </x:c>
      <x:c r="H1574" s="46" t="n">
        <x:v>1</x:v>
      </x:c>
      <x:c r="I1574" s="46" t="n">
        <x:v>1</x:v>
      </x:c>
      <x:c r="J1574" s="46" t="n">
        <x:v>1</x:v>
      </x:c>
      <x:c r="K1574" s="46" t="n">
        <x:v>1</x:v>
      </x:c>
      <x:c r="L1574" s="46" t="n">
        <x:v>1</x:v>
      </x:c>
      <x:c r="M1574" s="27" t="n">
        <x:v>1</x:v>
      </x:c>
    </x:row>
    <x:row r="1575" ht="15" hidden="0" customHeight="1">
      <x:c r="A1575" s="29" t="n">
        <x:v>71</x:v>
      </x:c>
      <x:c r="B1575" s="29" t="n">
        <x:v>330975</x:v>
      </x:c>
      <x:c r="C1575" s="29" t="str">
        <x:v>A3</x:v>
      </x:c>
      <x:c r="D1575" s="53" t="n">
        <x:v>2500</x:v>
      </x:c>
      <x:c r="E1575" s="47" t="n">
        <x:v>1</x:v>
      </x:c>
      <x:c r="F1575" s="47" t="n">
        <x:v>1</x:v>
      </x:c>
      <x:c r="G1575" s="47" t="n">
        <x:v>1</x:v>
      </x:c>
      <x:c r="H1575" s="47" t="n">
        <x:v>1</x:v>
      </x:c>
      <x:c r="I1575" s="47" t="n">
        <x:v>1</x:v>
      </x:c>
      <x:c r="J1575" s="47" t="n">
        <x:v>1</x:v>
      </x:c>
      <x:c r="K1575" s="47" t="n">
        <x:v>1</x:v>
      </x:c>
      <x:c r="L1575" s="47" t="n">
        <x:v>1</x:v>
      </x:c>
      <x:c r="M1575" s="29" t="n">
        <x:v>1</x:v>
      </x:c>
    </x:row>
    <x:row r="1576" ht="15" hidden="0" customHeight="1">
      <x:c r="A1576" s="27" t="n">
        <x:v>72</x:v>
      </x:c>
      <x:c r="B1576" s="27" t="n">
        <x:v>330976</x:v>
      </x:c>
      <x:c r="C1576" s="27" t="str">
        <x:v>A3</x:v>
      </x:c>
      <x:c r="D1576" s="52" t="n">
        <x:v>2500</x:v>
      </x:c>
      <x:c r="E1576" s="46" t="n">
        <x:v>1</x:v>
      </x:c>
      <x:c r="F1576" s="46" t="n">
        <x:v>1</x:v>
      </x:c>
      <x:c r="G1576" s="46" t="n">
        <x:v>1</x:v>
      </x:c>
      <x:c r="H1576" s="46" t="n">
        <x:v>1</x:v>
      </x:c>
      <x:c r="I1576" s="46" t="n">
        <x:v>1</x:v>
      </x:c>
      <x:c r="J1576" s="46" t="n">
        <x:v>1</x:v>
      </x:c>
      <x:c r="K1576" s="46" t="n">
        <x:v>1</x:v>
      </x:c>
      <x:c r="L1576" s="46" t="n">
        <x:v>1</x:v>
      </x:c>
      <x:c r="M1576" s="27" t="n">
        <x:v>1</x:v>
      </x:c>
    </x:row>
    <x:row r="1577" ht="15" hidden="0" customHeight="1">
      <x:c r="A1577" s="29" t="n">
        <x:v>73</x:v>
      </x:c>
      <x:c r="B1577" s="29" t="n">
        <x:v>330977</x:v>
      </x:c>
      <x:c r="C1577" s="29" t="str">
        <x:v>A3</x:v>
      </x:c>
      <x:c r="D1577" s="53" t="n">
        <x:v>2500</x:v>
      </x:c>
      <x:c r="E1577" s="47" t="n">
        <x:v>1</x:v>
      </x:c>
      <x:c r="F1577" s="47" t="n">
        <x:v>1</x:v>
      </x:c>
      <x:c r="G1577" s="47" t="n">
        <x:v>1</x:v>
      </x:c>
      <x:c r="H1577" s="47" t="n">
        <x:v>1</x:v>
      </x:c>
      <x:c r="I1577" s="47" t="n">
        <x:v>1</x:v>
      </x:c>
      <x:c r="J1577" s="47" t="n">
        <x:v>1</x:v>
      </x:c>
      <x:c r="K1577" s="47" t="n">
        <x:v>1</x:v>
      </x:c>
      <x:c r="L1577" s="47" t="n">
        <x:v>1</x:v>
      </x:c>
      <x:c r="M1577" s="29" t="n">
        <x:v>1</x:v>
      </x:c>
    </x:row>
    <x:row r="1578" ht="15" hidden="0" customHeight="1">
      <x:c r="A1578" s="27" t="n">
        <x:v>74</x:v>
      </x:c>
      <x:c r="B1578" s="27" t="n">
        <x:v>330978</x:v>
      </x:c>
      <x:c r="C1578" s="27" t="str">
        <x:v>A3</x:v>
      </x:c>
      <x:c r="D1578" s="52" t="n">
        <x:v>2500</x:v>
      </x:c>
      <x:c r="E1578" s="46" t="n">
        <x:v>1</x:v>
      </x:c>
      <x:c r="F1578" s="46" t="n">
        <x:v>1</x:v>
      </x:c>
      <x:c r="G1578" s="46" t="n">
        <x:v>1</x:v>
      </x:c>
      <x:c r="H1578" s="46" t="n">
        <x:v>1</x:v>
      </x:c>
      <x:c r="I1578" s="46" t="n">
        <x:v>1</x:v>
      </x:c>
      <x:c r="J1578" s="46" t="n">
        <x:v>1</x:v>
      </x:c>
      <x:c r="K1578" s="46" t="n">
        <x:v>1</x:v>
      </x:c>
      <x:c r="L1578" s="46" t="n">
        <x:v>1</x:v>
      </x:c>
      <x:c r="M1578" s="27" t="n">
        <x:v>1</x:v>
      </x:c>
    </x:row>
    <x:row r="1579" ht="15" hidden="0" customHeight="1">
      <x:c r="A1579" s="29" t="n">
        <x:v>75</x:v>
      </x:c>
      <x:c r="B1579" s="29" t="n">
        <x:v>330979</x:v>
      </x:c>
      <x:c r="C1579" s="29" t="str">
        <x:v>A3</x:v>
      </x:c>
      <x:c r="D1579" s="53" t="n">
        <x:v>2500</x:v>
      </x:c>
      <x:c r="E1579" s="47" t="n">
        <x:v>1</x:v>
      </x:c>
      <x:c r="F1579" s="47" t="n">
        <x:v>1</x:v>
      </x:c>
      <x:c r="G1579" s="47" t="n">
        <x:v>1</x:v>
      </x:c>
      <x:c r="H1579" s="47" t="n">
        <x:v>1</x:v>
      </x:c>
      <x:c r="I1579" s="47" t="n">
        <x:v>1</x:v>
      </x:c>
      <x:c r="J1579" s="47" t="n">
        <x:v>1</x:v>
      </x:c>
      <x:c r="K1579" s="47" t="n">
        <x:v>1</x:v>
      </x:c>
      <x:c r="L1579" s="47" t="n">
        <x:v>1</x:v>
      </x:c>
      <x:c r="M1579" s="29" t="n">
        <x:v>1</x:v>
      </x:c>
    </x:row>
    <x:row r="1580" ht="15" hidden="0" customHeight="1">
      <x:c r="A1580" s="27" t="n">
        <x:v>76</x:v>
      </x:c>
      <x:c r="B1580" s="27" t="n">
        <x:v>330980</x:v>
      </x:c>
      <x:c r="C1580" s="27" t="str">
        <x:v>A3</x:v>
      </x:c>
      <x:c r="D1580" s="52" t="n">
        <x:v>2500</x:v>
      </x:c>
      <x:c r="E1580" s="46" t="n">
        <x:v>1</x:v>
      </x:c>
      <x:c r="F1580" s="46" t="n">
        <x:v>1</x:v>
      </x:c>
      <x:c r="G1580" s="46" t="n">
        <x:v>1</x:v>
      </x:c>
      <x:c r="H1580" s="46" t="n">
        <x:v>1</x:v>
      </x:c>
      <x:c r="I1580" s="46" t="n">
        <x:v>1</x:v>
      </x:c>
      <x:c r="J1580" s="46" t="n">
        <x:v>1</x:v>
      </x:c>
      <x:c r="K1580" s="46" t="n">
        <x:v>1</x:v>
      </x:c>
      <x:c r="L1580" s="46" t="n">
        <x:v>1</x:v>
      </x:c>
      <x:c r="M1580" s="27" t="n">
        <x:v>1</x:v>
      </x:c>
    </x:row>
    <x:row r="1581" ht="15" hidden="0" customHeight="1">
      <x:c r="A1581" s="29" t="n">
        <x:v>77</x:v>
      </x:c>
      <x:c r="B1581" s="29" t="n">
        <x:v>330981</x:v>
      </x:c>
      <x:c r="C1581" s="29" t="str">
        <x:v>A3</x:v>
      </x:c>
      <x:c r="D1581" s="53" t="n">
        <x:v>2500</x:v>
      </x:c>
      <x:c r="E1581" s="47" t="n">
        <x:v>1</x:v>
      </x:c>
      <x:c r="F1581" s="47" t="n">
        <x:v>1</x:v>
      </x:c>
      <x:c r="G1581" s="47" t="n">
        <x:v>1</x:v>
      </x:c>
      <x:c r="H1581" s="47" t="n">
        <x:v>1</x:v>
      </x:c>
      <x:c r="I1581" s="47" t="n">
        <x:v>1</x:v>
      </x:c>
      <x:c r="J1581" s="47" t="n">
        <x:v>1</x:v>
      </x:c>
      <x:c r="K1581" s="47" t="n">
        <x:v>1</x:v>
      </x:c>
      <x:c r="L1581" s="47" t="n">
        <x:v>1</x:v>
      </x:c>
      <x:c r="M1581" s="29" t="n">
        <x:v>1</x:v>
      </x:c>
    </x:row>
    <x:row r="1582" ht="15" hidden="0" customHeight="1">
      <x:c r="A1582" s="27" t="n">
        <x:v>78</x:v>
      </x:c>
      <x:c r="B1582" s="27" t="n">
        <x:v>330982</x:v>
      </x:c>
      <x:c r="C1582" s="27" t="str">
        <x:v>A3</x:v>
      </x:c>
      <x:c r="D1582" s="52" t="n">
        <x:v>2500</x:v>
      </x:c>
      <x:c r="E1582" s="46" t="n">
        <x:v>1</x:v>
      </x:c>
      <x:c r="F1582" s="46" t="n">
        <x:v>1</x:v>
      </x:c>
      <x:c r="G1582" s="46" t="n">
        <x:v>1</x:v>
      </x:c>
      <x:c r="H1582" s="46" t="n">
        <x:v>1</x:v>
      </x:c>
      <x:c r="I1582" s="46" t="n">
        <x:v>1</x:v>
      </x:c>
      <x:c r="J1582" s="46" t="n">
        <x:v>1</x:v>
      </x:c>
      <x:c r="K1582" s="46" t="n">
        <x:v>1</x:v>
      </x:c>
      <x:c r="L1582" s="46" t="n">
        <x:v>1</x:v>
      </x:c>
      <x:c r="M1582" s="27" t="n">
        <x:v>1</x:v>
      </x:c>
    </x:row>
    <x:row r="1583" ht="15" hidden="0" customHeight="1">
      <x:c r="A1583" s="29" t="n">
        <x:v>79</x:v>
      </x:c>
      <x:c r="B1583" s="29" t="n">
        <x:v>330983</x:v>
      </x:c>
      <x:c r="C1583" s="29" t="str">
        <x:v>A3</x:v>
      </x:c>
      <x:c r="D1583" s="53" t="n">
        <x:v>2500</x:v>
      </x:c>
      <x:c r="E1583" s="47" t="n">
        <x:v>1</x:v>
      </x:c>
      <x:c r="F1583" s="47" t="n">
        <x:v>1</x:v>
      </x:c>
      <x:c r="G1583" s="47" t="n">
        <x:v>1</x:v>
      </x:c>
      <x:c r="H1583" s="47" t="n">
        <x:v>1</x:v>
      </x:c>
      <x:c r="I1583" s="47" t="n">
        <x:v>1</x:v>
      </x:c>
      <x:c r="J1583" s="47" t="n">
        <x:v>1</x:v>
      </x:c>
      <x:c r="K1583" s="47" t="n">
        <x:v>1</x:v>
      </x:c>
      <x:c r="L1583" s="47" t="n">
        <x:v>1</x:v>
      </x:c>
      <x:c r="M1583" s="29" t="n">
        <x:v>1</x:v>
      </x:c>
    </x:row>
    <x:row r="1584" ht="15" hidden="0" customHeight="1">
      <x:c r="A1584" s="27" t="n">
        <x:v>80</x:v>
      </x:c>
      <x:c r="B1584" s="27" t="n">
        <x:v>330984</x:v>
      </x:c>
      <x:c r="C1584" s="27" t="str">
        <x:v>A3</x:v>
      </x:c>
      <x:c r="D1584" s="52" t="n">
        <x:v>2500</x:v>
      </x:c>
      <x:c r="E1584" s="46" t="n">
        <x:v>1</x:v>
      </x:c>
      <x:c r="F1584" s="46" t="n">
        <x:v>1</x:v>
      </x:c>
      <x:c r="G1584" s="46" t="n">
        <x:v>1</x:v>
      </x:c>
      <x:c r="H1584" s="46" t="n">
        <x:v>1</x:v>
      </x:c>
      <x:c r="I1584" s="46" t="n">
        <x:v>1</x:v>
      </x:c>
      <x:c r="J1584" s="46" t="n">
        <x:v>1</x:v>
      </x:c>
      <x:c r="K1584" s="46" t="n">
        <x:v>1</x:v>
      </x:c>
      <x:c r="L1584" s="46" t="n">
        <x:v>1</x:v>
      </x:c>
      <x:c r="M1584" s="27" t="n">
        <x:v>1</x:v>
      </x:c>
    </x:row>
    <x:row r="1585" ht="15" hidden="0" customHeight="1">
      <x:c r="A1585" s="29" t="n">
        <x:v>81</x:v>
      </x:c>
      <x:c r="B1585" s="29" t="n">
        <x:v>330985</x:v>
      </x:c>
      <x:c r="C1585" s="29" t="str">
        <x:v>A3</x:v>
      </x:c>
      <x:c r="D1585" s="53" t="n">
        <x:v>2500</x:v>
      </x:c>
      <x:c r="E1585" s="47" t="n">
        <x:v>1</x:v>
      </x:c>
      <x:c r="F1585" s="47" t="n">
        <x:v>1</x:v>
      </x:c>
      <x:c r="G1585" s="47" t="n">
        <x:v>1</x:v>
      </x:c>
      <x:c r="H1585" s="47" t="n">
        <x:v>1</x:v>
      </x:c>
      <x:c r="I1585" s="47" t="n">
        <x:v>1</x:v>
      </x:c>
      <x:c r="J1585" s="47" t="n">
        <x:v>1</x:v>
      </x:c>
      <x:c r="K1585" s="47" t="n">
        <x:v>1</x:v>
      </x:c>
      <x:c r="L1585" s="47" t="n">
        <x:v>1</x:v>
      </x:c>
      <x:c r="M1585" s="29" t="n">
        <x:v>1</x:v>
      </x:c>
    </x:row>
    <x:row r="1586" ht="15" hidden="0" customHeight="1">
      <x:c r="A1586" s="27" t="n">
        <x:v>82</x:v>
      </x:c>
      <x:c r="B1586" s="27" t="n">
        <x:v>330986</x:v>
      </x:c>
      <x:c r="C1586" s="27" t="str">
        <x:v>A3</x:v>
      </x:c>
      <x:c r="D1586" s="52" t="n">
        <x:v>2500</x:v>
      </x:c>
      <x:c r="E1586" s="46" t="n">
        <x:v>1</x:v>
      </x:c>
      <x:c r="F1586" s="46" t="n">
        <x:v>1</x:v>
      </x:c>
      <x:c r="G1586" s="46" t="n">
        <x:v>1</x:v>
      </x:c>
      <x:c r="H1586" s="46" t="n">
        <x:v>1</x:v>
      </x:c>
      <x:c r="I1586" s="46" t="n">
        <x:v>1</x:v>
      </x:c>
      <x:c r="J1586" s="46" t="n">
        <x:v>1</x:v>
      </x:c>
      <x:c r="K1586" s="46" t="n">
        <x:v>1</x:v>
      </x:c>
      <x:c r="L1586" s="46" t="n">
        <x:v>1</x:v>
      </x:c>
      <x:c r="M1586" s="27" t="n">
        <x:v>1</x:v>
      </x:c>
    </x:row>
    <x:row r="1587" ht="15" hidden="0" customHeight="1">
      <x:c r="A1587" s="29" t="n">
        <x:v>83</x:v>
      </x:c>
      <x:c r="B1587" s="29" t="n">
        <x:v>330987</x:v>
      </x:c>
      <x:c r="C1587" s="29" t="str">
        <x:v>A3</x:v>
      </x:c>
      <x:c r="D1587" s="53" t="n">
        <x:v>2500</x:v>
      </x:c>
      <x:c r="E1587" s="47" t="n">
        <x:v>1</x:v>
      </x:c>
      <x:c r="F1587" s="47" t="n">
        <x:v>1</x:v>
      </x:c>
      <x:c r="G1587" s="47" t="n">
        <x:v>1</x:v>
      </x:c>
      <x:c r="H1587" s="47" t="n">
        <x:v>1</x:v>
      </x:c>
      <x:c r="I1587" s="47" t="n">
        <x:v>1</x:v>
      </x:c>
      <x:c r="J1587" s="47" t="n">
        <x:v>1</x:v>
      </x:c>
      <x:c r="K1587" s="47" t="n">
        <x:v>1</x:v>
      </x:c>
      <x:c r="L1587" s="47" t="n">
        <x:v>1</x:v>
      </x:c>
      <x:c r="M1587" s="29" t="n">
        <x:v>1</x:v>
      </x:c>
    </x:row>
    <x:row r="1588" ht="15" hidden="0" customHeight="1">
      <x:c r="A1588" s="27" t="n">
        <x:v>84</x:v>
      </x:c>
      <x:c r="B1588" s="27" t="n">
        <x:v>330988</x:v>
      </x:c>
      <x:c r="C1588" s="27" t="str">
        <x:v>A3</x:v>
      </x:c>
      <x:c r="D1588" s="52" t="n">
        <x:v>2500</x:v>
      </x:c>
      <x:c r="E1588" s="46" t="n">
        <x:v>1</x:v>
      </x:c>
      <x:c r="F1588" s="46" t="n">
        <x:v>1</x:v>
      </x:c>
      <x:c r="G1588" s="46" t="n">
        <x:v>1</x:v>
      </x:c>
      <x:c r="H1588" s="46" t="n">
        <x:v>1</x:v>
      </x:c>
      <x:c r="I1588" s="46" t="n">
        <x:v>1</x:v>
      </x:c>
      <x:c r="J1588" s="46" t="n">
        <x:v>1</x:v>
      </x:c>
      <x:c r="K1588" s="46" t="n">
        <x:v>1</x:v>
      </x:c>
      <x:c r="L1588" s="46" t="n">
        <x:v>1</x:v>
      </x:c>
      <x:c r="M1588" s="27" t="n">
        <x:v>1</x:v>
      </x:c>
    </x:row>
    <x:row r="1589" ht="15" hidden="0" customHeight="1">
      <x:c r="A1589" s="29" t="n">
        <x:v>85</x:v>
      </x:c>
      <x:c r="B1589" s="29" t="n">
        <x:v>330989</x:v>
      </x:c>
      <x:c r="C1589" s="29" t="str">
        <x:v>A3</x:v>
      </x:c>
      <x:c r="D1589" s="53" t="n">
        <x:v>2500</x:v>
      </x:c>
      <x:c r="E1589" s="47" t="n">
        <x:v>1</x:v>
      </x:c>
      <x:c r="F1589" s="47" t="n">
        <x:v>1</x:v>
      </x:c>
      <x:c r="G1589" s="47" t="n">
        <x:v>1</x:v>
      </x:c>
      <x:c r="H1589" s="47" t="n">
        <x:v>1</x:v>
      </x:c>
      <x:c r="I1589" s="47" t="n">
        <x:v>1</x:v>
      </x:c>
      <x:c r="J1589" s="47" t="n">
        <x:v>1</x:v>
      </x:c>
      <x:c r="K1589" s="47" t="n">
        <x:v>1</x:v>
      </x:c>
      <x:c r="L1589" s="47" t="n">
        <x:v>1</x:v>
      </x:c>
      <x:c r="M1589" s="29" t="n">
        <x:v>1</x:v>
      </x:c>
    </x:row>
    <x:row r="1590" ht="15" hidden="0" customHeight="1">
      <x:c r="A1590" s="27" t="n">
        <x:v>86</x:v>
      </x:c>
      <x:c r="B1590" s="27" t="n">
        <x:v>330990</x:v>
      </x:c>
      <x:c r="C1590" s="27" t="str">
        <x:v>A3</x:v>
      </x:c>
      <x:c r="D1590" s="52" t="n">
        <x:v>2500</x:v>
      </x:c>
      <x:c r="E1590" s="46" t="n">
        <x:v>1</x:v>
      </x:c>
      <x:c r="F1590" s="46" t="n">
        <x:v>1</x:v>
      </x:c>
      <x:c r="G1590" s="46" t="n">
        <x:v>1</x:v>
      </x:c>
      <x:c r="H1590" s="46" t="n">
        <x:v>1</x:v>
      </x:c>
      <x:c r="I1590" s="46" t="n">
        <x:v>1</x:v>
      </x:c>
      <x:c r="J1590" s="46" t="n">
        <x:v>1</x:v>
      </x:c>
      <x:c r="K1590" s="46" t="n">
        <x:v>1</x:v>
      </x:c>
      <x:c r="L1590" s="46" t="n">
        <x:v>1</x:v>
      </x:c>
      <x:c r="M1590" s="27" t="n">
        <x:v>1</x:v>
      </x:c>
    </x:row>
    <x:row r="1591" ht="15" hidden="0" customHeight="1">
      <x:c r="A1591" s="29" t="n">
        <x:v>87</x:v>
      </x:c>
      <x:c r="B1591" s="29" t="n">
        <x:v>330991</x:v>
      </x:c>
      <x:c r="C1591" s="29" t="str">
        <x:v>A3</x:v>
      </x:c>
      <x:c r="D1591" s="53" t="n">
        <x:v>2500</x:v>
      </x:c>
      <x:c r="E1591" s="47" t="n">
        <x:v>1</x:v>
      </x:c>
      <x:c r="F1591" s="47" t="n">
        <x:v>1</x:v>
      </x:c>
      <x:c r="G1591" s="47" t="n">
        <x:v>1</x:v>
      </x:c>
      <x:c r="H1591" s="47" t="n">
        <x:v>1</x:v>
      </x:c>
      <x:c r="I1591" s="47" t="n">
        <x:v>1</x:v>
      </x:c>
      <x:c r="J1591" s="47" t="n">
        <x:v>1</x:v>
      </x:c>
      <x:c r="K1591" s="47" t="n">
        <x:v>1</x:v>
      </x:c>
      <x:c r="L1591" s="47" t="n">
        <x:v>1</x:v>
      </x:c>
      <x:c r="M1591" s="29" t="n">
        <x:v>1</x:v>
      </x:c>
    </x:row>
    <x:row r="1592" ht="15" hidden="0" customHeight="1">
      <x:c r="A1592" s="27" t="n">
        <x:v>88</x:v>
      </x:c>
      <x:c r="B1592" s="27" t="n">
        <x:v>330992</x:v>
      </x:c>
      <x:c r="C1592" s="27" t="str">
        <x:v>A3</x:v>
      </x:c>
      <x:c r="D1592" s="52" t="n">
        <x:v>2500</x:v>
      </x:c>
      <x:c r="E1592" s="46" t="n">
        <x:v>1</x:v>
      </x:c>
      <x:c r="F1592" s="46" t="n">
        <x:v>1</x:v>
      </x:c>
      <x:c r="G1592" s="46" t="n">
        <x:v>1</x:v>
      </x:c>
      <x:c r="H1592" s="46" t="n">
        <x:v>1</x:v>
      </x:c>
      <x:c r="I1592" s="46" t="n">
        <x:v>1</x:v>
      </x:c>
      <x:c r="J1592" s="46" t="n">
        <x:v>1</x:v>
      </x:c>
      <x:c r="K1592" s="46" t="n">
        <x:v>1</x:v>
      </x:c>
      <x:c r="L1592" s="46" t="n">
        <x:v>1</x:v>
      </x:c>
      <x:c r="M1592" s="27" t="n">
        <x:v>1</x:v>
      </x:c>
    </x:row>
    <x:row r="1593" ht="15" hidden="0" customHeight="1">
      <x:c r="A1593" s="29" t="n">
        <x:v>89</x:v>
      </x:c>
      <x:c r="B1593" s="29" t="n">
        <x:v>330993</x:v>
      </x:c>
      <x:c r="C1593" s="29" t="str">
        <x:v>A3</x:v>
      </x:c>
      <x:c r="D1593" s="53" t="n">
        <x:v>2500</x:v>
      </x:c>
      <x:c r="E1593" s="47" t="n">
        <x:v>1</x:v>
      </x:c>
      <x:c r="F1593" s="47" t="n">
        <x:v>1</x:v>
      </x:c>
      <x:c r="G1593" s="47" t="n">
        <x:v>1</x:v>
      </x:c>
      <x:c r="H1593" s="47" t="n">
        <x:v>1</x:v>
      </x:c>
      <x:c r="I1593" s="47" t="n">
        <x:v>1</x:v>
      </x:c>
      <x:c r="J1593" s="47" t="n">
        <x:v>1</x:v>
      </x:c>
      <x:c r="K1593" s="47" t="n">
        <x:v>1</x:v>
      </x:c>
      <x:c r="L1593" s="47" t="n">
        <x:v>1</x:v>
      </x:c>
      <x:c r="M1593" s="29" t="n">
        <x:v>1</x:v>
      </x:c>
    </x:row>
    <x:row r="1594" ht="15" hidden="0" customHeight="1">
      <x:c r="A1594" s="27" t="n">
        <x:v>90</x:v>
      </x:c>
      <x:c r="B1594" s="27" t="n">
        <x:v>330994</x:v>
      </x:c>
      <x:c r="C1594" s="27" t="str">
        <x:v>A3</x:v>
      </x:c>
      <x:c r="D1594" s="52" t="n">
        <x:v>2500</x:v>
      </x:c>
      <x:c r="E1594" s="46" t="n">
        <x:v>1</x:v>
      </x:c>
      <x:c r="F1594" s="46" t="n">
        <x:v>1</x:v>
      </x:c>
      <x:c r="G1594" s="46" t="n">
        <x:v>1</x:v>
      </x:c>
      <x:c r="H1594" s="46" t="n">
        <x:v>1</x:v>
      </x:c>
      <x:c r="I1594" s="46" t="n">
        <x:v>1</x:v>
      </x:c>
      <x:c r="J1594" s="46" t="n">
        <x:v>1</x:v>
      </x:c>
      <x:c r="K1594" s="46" t="n">
        <x:v>1</x:v>
      </x:c>
      <x:c r="L1594" s="46" t="n">
        <x:v>1</x:v>
      </x:c>
      <x:c r="M1594" s="27" t="n">
        <x:v>1</x:v>
      </x:c>
    </x:row>
    <x:row r="1595" ht="15" hidden="0" customHeight="1">
      <x:c r="A1595" s="29" t="n">
        <x:v>91</x:v>
      </x:c>
      <x:c r="B1595" s="29" t="n">
        <x:v>330995</x:v>
      </x:c>
      <x:c r="C1595" s="29" t="str">
        <x:v>A3</x:v>
      </x:c>
      <x:c r="D1595" s="53" t="n">
        <x:v>2500</x:v>
      </x:c>
      <x:c r="E1595" s="47" t="n">
        <x:v>1</x:v>
      </x:c>
      <x:c r="F1595" s="47" t="n">
        <x:v>1</x:v>
      </x:c>
      <x:c r="G1595" s="47" t="n">
        <x:v>1</x:v>
      </x:c>
      <x:c r="H1595" s="47" t="n">
        <x:v>1</x:v>
      </x:c>
      <x:c r="I1595" s="47" t="n">
        <x:v>1</x:v>
      </x:c>
      <x:c r="J1595" s="47" t="n">
        <x:v>1</x:v>
      </x:c>
      <x:c r="K1595" s="47" t="n">
        <x:v>1</x:v>
      </x:c>
      <x:c r="L1595" s="47" t="n">
        <x:v>1</x:v>
      </x:c>
      <x:c r="M1595" s="29" t="n">
        <x:v>1</x:v>
      </x:c>
    </x:row>
    <x:row r="1596" ht="15" hidden="0" customHeight="1">
      <x:c r="A1596" s="27" t="n">
        <x:v>92</x:v>
      </x:c>
      <x:c r="B1596" s="27" t="n">
        <x:v>330996</x:v>
      </x:c>
      <x:c r="C1596" s="27" t="str">
        <x:v>A3</x:v>
      </x:c>
      <x:c r="D1596" s="52" t="n">
        <x:v>2500</x:v>
      </x:c>
      <x:c r="E1596" s="46" t="n">
        <x:v>1</x:v>
      </x:c>
      <x:c r="F1596" s="46" t="n">
        <x:v>1</x:v>
      </x:c>
      <x:c r="G1596" s="46" t="n">
        <x:v>1</x:v>
      </x:c>
      <x:c r="H1596" s="46" t="n">
        <x:v>1</x:v>
      </x:c>
      <x:c r="I1596" s="46" t="n">
        <x:v>1</x:v>
      </x:c>
      <x:c r="J1596" s="46" t="n">
        <x:v>1</x:v>
      </x:c>
      <x:c r="K1596" s="46" t="n">
        <x:v>1</x:v>
      </x:c>
      <x:c r="L1596" s="46" t="n">
        <x:v>1</x:v>
      </x:c>
      <x:c r="M1596" s="27" t="n">
        <x:v>1</x:v>
      </x:c>
    </x:row>
    <x:row r="1597" ht="15" hidden="0" customHeight="1">
      <x:c r="A1597" s="29" t="n">
        <x:v>93</x:v>
      </x:c>
      <x:c r="B1597" s="29" t="n">
        <x:v>330997</x:v>
      </x:c>
      <x:c r="C1597" s="29" t="str">
        <x:v>A3</x:v>
      </x:c>
      <x:c r="D1597" s="53" t="n">
        <x:v>2500</x:v>
      </x:c>
      <x:c r="E1597" s="47" t="n">
        <x:v>1</x:v>
      </x:c>
      <x:c r="F1597" s="47" t="n">
        <x:v>1</x:v>
      </x:c>
      <x:c r="G1597" s="47" t="n">
        <x:v>1</x:v>
      </x:c>
      <x:c r="H1597" s="47" t="n">
        <x:v>1</x:v>
      </x:c>
      <x:c r="I1597" s="47" t="n">
        <x:v>1</x:v>
      </x:c>
      <x:c r="J1597" s="47" t="n">
        <x:v>1</x:v>
      </x:c>
      <x:c r="K1597" s="47" t="n">
        <x:v>1</x:v>
      </x:c>
      <x:c r="L1597" s="47" t="n">
        <x:v>1</x:v>
      </x:c>
      <x:c r="M1597" s="29" t="n">
        <x:v>1</x:v>
      </x:c>
    </x:row>
    <x:row r="1598" ht="15" hidden="0" customHeight="1">
      <x:c r="A1598" s="27" t="n">
        <x:v>94</x:v>
      </x:c>
      <x:c r="B1598" s="27" t="n">
        <x:v>330998</x:v>
      </x:c>
      <x:c r="C1598" s="27" t="str">
        <x:v>A3</x:v>
      </x:c>
      <x:c r="D1598" s="52" t="n">
        <x:v>2500</x:v>
      </x:c>
      <x:c r="E1598" s="46" t="n">
        <x:v>1</x:v>
      </x:c>
      <x:c r="F1598" s="46" t="n">
        <x:v>1</x:v>
      </x:c>
      <x:c r="G1598" s="46" t="n">
        <x:v>1</x:v>
      </x:c>
      <x:c r="H1598" s="46" t="n">
        <x:v>1</x:v>
      </x:c>
      <x:c r="I1598" s="46" t="n">
        <x:v>1</x:v>
      </x:c>
      <x:c r="J1598" s="46" t="n">
        <x:v>1</x:v>
      </x:c>
      <x:c r="K1598" s="46" t="n">
        <x:v>1</x:v>
      </x:c>
      <x:c r="L1598" s="46" t="n">
        <x:v>1</x:v>
      </x:c>
      <x:c r="M1598" s="27" t="n">
        <x:v>1</x:v>
      </x:c>
    </x:row>
    <x:row r="1599" ht="15" hidden="0" customHeight="1">
      <x:c r="A1599" s="29" t="n">
        <x:v>95</x:v>
      </x:c>
      <x:c r="B1599" s="29" t="n">
        <x:v>330999</x:v>
      </x:c>
      <x:c r="C1599" s="29" t="str">
        <x:v>A3</x:v>
      </x:c>
      <x:c r="D1599" s="53" t="n">
        <x:v>2500</x:v>
      </x:c>
      <x:c r="E1599" s="47" t="n">
        <x:v>1</x:v>
      </x:c>
      <x:c r="F1599" s="47" t="n">
        <x:v>1</x:v>
      </x:c>
      <x:c r="G1599" s="47" t="n">
        <x:v>1</x:v>
      </x:c>
      <x:c r="H1599" s="47" t="n">
        <x:v>1</x:v>
      </x:c>
      <x:c r="I1599" s="47" t="n">
        <x:v>1</x:v>
      </x:c>
      <x:c r="J1599" s="47" t="n">
        <x:v>1</x:v>
      </x:c>
      <x:c r="K1599" s="47" t="n">
        <x:v>1</x:v>
      </x:c>
      <x:c r="L1599" s="47" t="n">
        <x:v>1</x:v>
      </x:c>
      <x:c r="M1599" s="29" t="n">
        <x:v>1</x:v>
      </x:c>
    </x:row>
    <x:row r="1600" ht="15" hidden="0" customHeight="1">
      <x:c r="A1600" s="27" t="n">
        <x:v>96</x:v>
      </x:c>
      <x:c r="B1600" s="27" t="n">
        <x:v>331000</x:v>
      </x:c>
      <x:c r="C1600" s="27" t="str">
        <x:v>A3</x:v>
      </x:c>
      <x:c r="D1600" s="52" t="n">
        <x:v>2500</x:v>
      </x:c>
      <x:c r="E1600" s="46" t="n">
        <x:v>1</x:v>
      </x:c>
      <x:c r="F1600" s="46" t="n">
        <x:v>1</x:v>
      </x:c>
      <x:c r="G1600" s="46" t="n">
        <x:v>1</x:v>
      </x:c>
      <x:c r="H1600" s="46" t="n">
        <x:v>1</x:v>
      </x:c>
      <x:c r="I1600" s="46" t="n">
        <x:v>1</x:v>
      </x:c>
      <x:c r="J1600" s="46" t="n">
        <x:v>1</x:v>
      </x:c>
      <x:c r="K1600" s="46" t="n">
        <x:v>1</x:v>
      </x:c>
      <x:c r="L1600" s="46" t="n">
        <x:v>1</x:v>
      </x:c>
      <x:c r="M1600" s="27" t="n">
        <x:v>1</x:v>
      </x:c>
    </x:row>
    <x:row r="1601" ht="15" hidden="0" customHeight="1">
      <x:c r="A1601" s="29" t="n">
        <x:v>97</x:v>
      </x:c>
      <x:c r="B1601" s="29" t="n">
        <x:v>331001</x:v>
      </x:c>
      <x:c r="C1601" s="29" t="str">
        <x:v>A3</x:v>
      </x:c>
      <x:c r="D1601" s="53" t="n">
        <x:v>2500</x:v>
      </x:c>
      <x:c r="E1601" s="47" t="n">
        <x:v>1</x:v>
      </x:c>
      <x:c r="F1601" s="47" t="n">
        <x:v>1</x:v>
      </x:c>
      <x:c r="G1601" s="47" t="n">
        <x:v>1</x:v>
      </x:c>
      <x:c r="H1601" s="47" t="n">
        <x:v>1</x:v>
      </x:c>
      <x:c r="I1601" s="47" t="n">
        <x:v>1</x:v>
      </x:c>
      <x:c r="J1601" s="47" t="n">
        <x:v>1</x:v>
      </x:c>
      <x:c r="K1601" s="47" t="n">
        <x:v>1</x:v>
      </x:c>
      <x:c r="L1601" s="47" t="n">
        <x:v>1</x:v>
      </x:c>
      <x:c r="M1601" s="29" t="n">
        <x:v>1</x:v>
      </x:c>
    </x:row>
    <x:row r="1602" ht="15" hidden="0" customHeight="1">
      <x:c r="A1602" s="27" t="n">
        <x:v>98</x:v>
      </x:c>
      <x:c r="B1602" s="27" t="n">
        <x:v>331002</x:v>
      </x:c>
      <x:c r="C1602" s="27" t="str">
        <x:v>A3</x:v>
      </x:c>
      <x:c r="D1602" s="52" t="n">
        <x:v>2500</x:v>
      </x:c>
      <x:c r="E1602" s="46" t="n">
        <x:v>1</x:v>
      </x:c>
      <x:c r="F1602" s="46" t="n">
        <x:v>1</x:v>
      </x:c>
      <x:c r="G1602" s="46" t="n">
        <x:v>1</x:v>
      </x:c>
      <x:c r="H1602" s="46" t="n">
        <x:v>1</x:v>
      </x:c>
      <x:c r="I1602" s="46" t="n">
        <x:v>1</x:v>
      </x:c>
      <x:c r="J1602" s="46" t="n">
        <x:v>1</x:v>
      </x:c>
      <x:c r="K1602" s="46" t="n">
        <x:v>1</x:v>
      </x:c>
      <x:c r="L1602" s="46" t="n">
        <x:v>1</x:v>
      </x:c>
      <x:c r="M1602" s="27" t="n">
        <x:v>1</x:v>
      </x:c>
    </x:row>
    <x:row r="1603" ht="15" hidden="0" customHeight="1">
      <x:c r="A1603" s="29" t="n">
        <x:v>99</x:v>
      </x:c>
      <x:c r="B1603" s="29" t="n">
        <x:v>331003</x:v>
      </x:c>
      <x:c r="C1603" s="29" t="str">
        <x:v>A3</x:v>
      </x:c>
      <x:c r="D1603" s="53" t="n">
        <x:v>2500</x:v>
      </x:c>
      <x:c r="E1603" s="47" t="n">
        <x:v>1</x:v>
      </x:c>
      <x:c r="F1603" s="47" t="n">
        <x:v>1</x:v>
      </x:c>
      <x:c r="G1603" s="47" t="n">
        <x:v>1</x:v>
      </x:c>
      <x:c r="H1603" s="47" t="n">
        <x:v>1</x:v>
      </x:c>
      <x:c r="I1603" s="47" t="n">
        <x:v>1</x:v>
      </x:c>
      <x:c r="J1603" s="47" t="n">
        <x:v>1</x:v>
      </x:c>
      <x:c r="K1603" s="47" t="n">
        <x:v>1</x:v>
      </x:c>
      <x:c r="L1603" s="47" t="n">
        <x:v>1</x:v>
      </x:c>
      <x:c r="M1603" s="29" t="n">
        <x:v>1</x:v>
      </x:c>
    </x:row>
    <x:row r="1604" ht="15" hidden="0" customHeight="1">
      <x:c r="A1604" s="27" t="n">
        <x:v>100</x:v>
      </x:c>
      <x:c r="B1604" s="27" t="n">
        <x:v>331004</x:v>
      </x:c>
      <x:c r="C1604" s="27" t="str">
        <x:v>A3</x:v>
      </x:c>
      <x:c r="D1604" s="52" t="n">
        <x:v>2500</x:v>
      </x:c>
      <x:c r="E1604" s="46" t="n">
        <x:v>1</x:v>
      </x:c>
      <x:c r="F1604" s="46" t="n">
        <x:v>1</x:v>
      </x:c>
      <x:c r="G1604" s="46" t="n">
        <x:v>1</x:v>
      </x:c>
      <x:c r="H1604" s="46" t="n">
        <x:v>1</x:v>
      </x:c>
      <x:c r="I1604" s="46" t="n">
        <x:v>1</x:v>
      </x:c>
      <x:c r="J1604" s="46" t="n">
        <x:v>1</x:v>
      </x:c>
      <x:c r="K1604" s="46" t="n">
        <x:v>1</x:v>
      </x:c>
      <x:c r="L1604" s="46" t="n">
        <x:v>1</x:v>
      </x:c>
      <x:c r="M1604" s="27" t="n">
        <x:v>1</x:v>
      </x:c>
    </x:row>
    <x:row r="1605" ht="15" hidden="0" customHeight="1">
      <x:c r="A1605" s="29" t="n">
        <x:v>101</x:v>
      </x:c>
      <x:c r="B1605" s="29" t="n">
        <x:v>331005</x:v>
      </x:c>
      <x:c r="C1605" s="29" t="str">
        <x:v>A3</x:v>
      </x:c>
      <x:c r="D1605" s="53" t="n">
        <x:v>2500</x:v>
      </x:c>
      <x:c r="E1605" s="47" t="n">
        <x:v>1</x:v>
      </x:c>
      <x:c r="F1605" s="47" t="n">
        <x:v>1</x:v>
      </x:c>
      <x:c r="G1605" s="47" t="n">
        <x:v>1</x:v>
      </x:c>
      <x:c r="H1605" s="47" t="n">
        <x:v>1</x:v>
      </x:c>
      <x:c r="I1605" s="47" t="n">
        <x:v>1</x:v>
      </x:c>
      <x:c r="J1605" s="47" t="n">
        <x:v>1</x:v>
      </x:c>
      <x:c r="K1605" s="47" t="n">
        <x:v>1</x:v>
      </x:c>
      <x:c r="L1605" s="47" t="n">
        <x:v>1</x:v>
      </x:c>
      <x:c r="M1605" s="29" t="n">
        <x:v>1</x:v>
      </x:c>
    </x:row>
    <x:row r="1606" ht="15" hidden="0" customHeight="1">
      <x:c r="A1606" s="27" t="n">
        <x:v>102</x:v>
      </x:c>
      <x:c r="B1606" s="27" t="n">
        <x:v>331006</x:v>
      </x:c>
      <x:c r="C1606" s="27" t="str">
        <x:v>A3</x:v>
      </x:c>
      <x:c r="D1606" s="52" t="n">
        <x:v>2500</x:v>
      </x:c>
      <x:c r="E1606" s="46" t="n">
        <x:v>1</x:v>
      </x:c>
      <x:c r="F1606" s="46" t="n">
        <x:v>1</x:v>
      </x:c>
      <x:c r="G1606" s="46" t="n">
        <x:v>1</x:v>
      </x:c>
      <x:c r="H1606" s="46" t="n">
        <x:v>1</x:v>
      </x:c>
      <x:c r="I1606" s="46" t="n">
        <x:v>1</x:v>
      </x:c>
      <x:c r="J1606" s="46" t="n">
        <x:v>1</x:v>
      </x:c>
      <x:c r="K1606" s="46" t="n">
        <x:v>1</x:v>
      </x:c>
      <x:c r="L1606" s="46" t="n">
        <x:v>1</x:v>
      </x:c>
      <x:c r="M1606" s="27" t="n">
        <x:v>1</x:v>
      </x:c>
    </x:row>
    <x:row r="1607" ht="15" hidden="0" customHeight="1">
      <x:c r="A1607" s="29" t="n">
        <x:v>103</x:v>
      </x:c>
      <x:c r="B1607" s="29" t="n">
        <x:v>331007</x:v>
      </x:c>
      <x:c r="C1607" s="29" t="str">
        <x:v>A3</x:v>
      </x:c>
      <x:c r="D1607" s="53" t="n">
        <x:v>2500</x:v>
      </x:c>
      <x:c r="E1607" s="47" t="n">
        <x:v>1</x:v>
      </x:c>
      <x:c r="F1607" s="47" t="n">
        <x:v>1</x:v>
      </x:c>
      <x:c r="G1607" s="47" t="n">
        <x:v>1</x:v>
      </x:c>
      <x:c r="H1607" s="47" t="n">
        <x:v>1</x:v>
      </x:c>
      <x:c r="I1607" s="47" t="n">
        <x:v>1</x:v>
      </x:c>
      <x:c r="J1607" s="47" t="n">
        <x:v>1</x:v>
      </x:c>
      <x:c r="K1607" s="47" t="n">
        <x:v>1</x:v>
      </x:c>
      <x:c r="L1607" s="47" t="n">
        <x:v>1</x:v>
      </x:c>
      <x:c r="M1607" s="29" t="n">
        <x:v>1</x:v>
      </x:c>
    </x:row>
    <x:row r="1608" ht="15" hidden="0" customHeight="1">
      <x:c r="A1608" s="27" t="n">
        <x:v>104</x:v>
      </x:c>
      <x:c r="B1608" s="27" t="n">
        <x:v>331008</x:v>
      </x:c>
      <x:c r="C1608" s="27" t="str">
        <x:v>A3</x:v>
      </x:c>
      <x:c r="D1608" s="52" t="n">
        <x:v>2500</x:v>
      </x:c>
      <x:c r="E1608" s="46" t="n">
        <x:v>1</x:v>
      </x:c>
      <x:c r="F1608" s="46" t="n">
        <x:v>1</x:v>
      </x:c>
      <x:c r="G1608" s="46" t="n">
        <x:v>1</x:v>
      </x:c>
      <x:c r="H1608" s="46" t="n">
        <x:v>1</x:v>
      </x:c>
      <x:c r="I1608" s="46" t="n">
        <x:v>1</x:v>
      </x:c>
      <x:c r="J1608" s="46" t="n">
        <x:v>1</x:v>
      </x:c>
      <x:c r="K1608" s="46" t="n">
        <x:v>1</x:v>
      </x:c>
      <x:c r="L1608" s="46" t="n">
        <x:v>1</x:v>
      </x:c>
      <x:c r="M1608" s="27" t="n">
        <x:v>1</x:v>
      </x:c>
    </x:row>
    <x:row r="1609" ht="15" hidden="0" customHeight="1">
      <x:c r="A1609" s="29" t="n">
        <x:v>105</x:v>
      </x:c>
      <x:c r="B1609" s="29" t="n">
        <x:v>331009</x:v>
      </x:c>
      <x:c r="C1609" s="29" t="str">
        <x:v>A3</x:v>
      </x:c>
      <x:c r="D1609" s="53" t="n">
        <x:v>2500</x:v>
      </x:c>
      <x:c r="E1609" s="47" t="n">
        <x:v>1</x:v>
      </x:c>
      <x:c r="F1609" s="47" t="n">
        <x:v>1</x:v>
      </x:c>
      <x:c r="G1609" s="47" t="n">
        <x:v>1</x:v>
      </x:c>
      <x:c r="H1609" s="47" t="n">
        <x:v>1</x:v>
      </x:c>
      <x:c r="I1609" s="47" t="n">
        <x:v>1</x:v>
      </x:c>
      <x:c r="J1609" s="47" t="n">
        <x:v>1</x:v>
      </x:c>
      <x:c r="K1609" s="47" t="n">
        <x:v>1</x:v>
      </x:c>
      <x:c r="L1609" s="47" t="n">
        <x:v>1</x:v>
      </x:c>
      <x:c r="M1609" s="29" t="n">
        <x:v>1</x:v>
      </x:c>
    </x:row>
    <x:row r="1610" ht="15" hidden="0" customHeight="1">
      <x:c r="A1610" s="27" t="n">
        <x:v>106</x:v>
      </x:c>
      <x:c r="B1610" s="27" t="n">
        <x:v>331010</x:v>
      </x:c>
      <x:c r="C1610" s="27" t="str">
        <x:v>A3</x:v>
      </x:c>
      <x:c r="D1610" s="52" t="n">
        <x:v>2500</x:v>
      </x:c>
      <x:c r="E1610" s="46" t="n">
        <x:v>1</x:v>
      </x:c>
      <x:c r="F1610" s="46" t="n">
        <x:v>1</x:v>
      </x:c>
      <x:c r="G1610" s="46" t="n">
        <x:v>1</x:v>
      </x:c>
      <x:c r="H1610" s="46" t="n">
        <x:v>1</x:v>
      </x:c>
      <x:c r="I1610" s="46" t="n">
        <x:v>1</x:v>
      </x:c>
      <x:c r="J1610" s="46" t="n">
        <x:v>1</x:v>
      </x:c>
      <x:c r="K1610" s="46" t="n">
        <x:v>1</x:v>
      </x:c>
      <x:c r="L1610" s="46" t="n">
        <x:v>1</x:v>
      </x:c>
      <x:c r="M1610" s="27" t="n">
        <x:v>1</x:v>
      </x:c>
    </x:row>
    <x:row r="1611" ht="15" hidden="0" customHeight="1">
      <x:c r="A1611" s="29" t="n">
        <x:v>107</x:v>
      </x:c>
      <x:c r="B1611" s="29" t="n">
        <x:v>331011</x:v>
      </x:c>
      <x:c r="C1611" s="29" t="str">
        <x:v>A3</x:v>
      </x:c>
      <x:c r="D1611" s="53" t="n">
        <x:v>2500</x:v>
      </x:c>
      <x:c r="E1611" s="47" t="n">
        <x:v>1</x:v>
      </x:c>
      <x:c r="F1611" s="47" t="n">
        <x:v>1</x:v>
      </x:c>
      <x:c r="G1611" s="47" t="n">
        <x:v>1</x:v>
      </x:c>
      <x:c r="H1611" s="47" t="n">
        <x:v>1</x:v>
      </x:c>
      <x:c r="I1611" s="47" t="n">
        <x:v>1</x:v>
      </x:c>
      <x:c r="J1611" s="47" t="n">
        <x:v>1</x:v>
      </x:c>
      <x:c r="K1611" s="47" t="n">
        <x:v>1</x:v>
      </x:c>
      <x:c r="L1611" s="47" t="n">
        <x:v>1</x:v>
      </x:c>
      <x:c r="M1611" s="29" t="n">
        <x:v>1</x:v>
      </x:c>
    </x:row>
    <x:row r="1612" ht="15" hidden="0" customHeight="1">
      <x:c r="A1612" s="27" t="n">
        <x:v>108</x:v>
      </x:c>
      <x:c r="B1612" s="27" t="n">
        <x:v>331012</x:v>
      </x:c>
      <x:c r="C1612" s="27" t="str">
        <x:v>A3</x:v>
      </x:c>
      <x:c r="D1612" s="52" t="n">
        <x:v>2500</x:v>
      </x:c>
      <x:c r="E1612" s="46" t="n">
        <x:v>1</x:v>
      </x:c>
      <x:c r="F1612" s="46" t="n">
        <x:v>1</x:v>
      </x:c>
      <x:c r="G1612" s="46" t="n">
        <x:v>1</x:v>
      </x:c>
      <x:c r="H1612" s="46" t="n">
        <x:v>1</x:v>
      </x:c>
      <x:c r="I1612" s="46" t="n">
        <x:v>1</x:v>
      </x:c>
      <x:c r="J1612" s="46" t="n">
        <x:v>1</x:v>
      </x:c>
      <x:c r="K1612" s="46" t="n">
        <x:v>1</x:v>
      </x:c>
      <x:c r="L1612" s="46" t="n">
        <x:v>1</x:v>
      </x:c>
      <x:c r="M1612" s="27" t="n">
        <x:v>1</x:v>
      </x:c>
    </x:row>
    <x:row r="1613" ht="15" hidden="0" customHeight="1">
      <x:c r="A1613" s="29" t="n">
        <x:v>109</x:v>
      </x:c>
      <x:c r="B1613" s="29" t="n">
        <x:v>331013</x:v>
      </x:c>
      <x:c r="C1613" s="29" t="str">
        <x:v>A3</x:v>
      </x:c>
      <x:c r="D1613" s="53" t="n">
        <x:v>2500</x:v>
      </x:c>
      <x:c r="E1613" s="47" t="n">
        <x:v>1</x:v>
      </x:c>
      <x:c r="F1613" s="47" t="n">
        <x:v>1</x:v>
      </x:c>
      <x:c r="G1613" s="47" t="n">
        <x:v>1</x:v>
      </x:c>
      <x:c r="H1613" s="47" t="n">
        <x:v>1</x:v>
      </x:c>
      <x:c r="I1613" s="47" t="n">
        <x:v>1</x:v>
      </x:c>
      <x:c r="J1613" s="47" t="n">
        <x:v>1</x:v>
      </x:c>
      <x:c r="K1613" s="47" t="n">
        <x:v>1</x:v>
      </x:c>
      <x:c r="L1613" s="47" t="n">
        <x:v>1</x:v>
      </x:c>
      <x:c r="M1613" s="29" t="n">
        <x:v>1</x:v>
      </x:c>
    </x:row>
    <x:row r="1614" ht="15" hidden="0" customHeight="1">
      <x:c r="A1614" s="27" t="n">
        <x:v>110</x:v>
      </x:c>
      <x:c r="B1614" s="27" t="n">
        <x:v>331014</x:v>
      </x:c>
      <x:c r="C1614" s="27" t="str">
        <x:v>A3</x:v>
      </x:c>
      <x:c r="D1614" s="52" t="n">
        <x:v>2500</x:v>
      </x:c>
      <x:c r="E1614" s="46" t="n">
        <x:v>1</x:v>
      </x:c>
      <x:c r="F1614" s="46" t="n">
        <x:v>1</x:v>
      </x:c>
      <x:c r="G1614" s="46" t="n">
        <x:v>1</x:v>
      </x:c>
      <x:c r="H1614" s="46" t="n">
        <x:v>1</x:v>
      </x:c>
      <x:c r="I1614" s="46" t="n">
        <x:v>1</x:v>
      </x:c>
      <x:c r="J1614" s="46" t="n">
        <x:v>1</x:v>
      </x:c>
      <x:c r="K1614" s="46" t="n">
        <x:v>1</x:v>
      </x:c>
      <x:c r="L1614" s="46" t="n">
        <x:v>1</x:v>
      </x:c>
      <x:c r="M1614" s="27" t="n">
        <x:v>1</x:v>
      </x:c>
    </x:row>
    <x:row r="1615" ht="15" hidden="0" customHeight="1">
      <x:c r="A1615" s="29" t="n">
        <x:v>111</x:v>
      </x:c>
      <x:c r="B1615" s="29" t="n">
        <x:v>331015</x:v>
      </x:c>
      <x:c r="C1615" s="29" t="str">
        <x:v>A3</x:v>
      </x:c>
      <x:c r="D1615" s="53" t="n">
        <x:v>2500</x:v>
      </x:c>
      <x:c r="E1615" s="47" t="n">
        <x:v>1</x:v>
      </x:c>
      <x:c r="F1615" s="47" t="n">
        <x:v>1</x:v>
      </x:c>
      <x:c r="G1615" s="47" t="n">
        <x:v>1</x:v>
      </x:c>
      <x:c r="H1615" s="47" t="n">
        <x:v>1</x:v>
      </x:c>
      <x:c r="I1615" s="47" t="n">
        <x:v>1</x:v>
      </x:c>
      <x:c r="J1615" s="47" t="n">
        <x:v>1</x:v>
      </x:c>
      <x:c r="K1615" s="47" t="n">
        <x:v>1</x:v>
      </x:c>
      <x:c r="L1615" s="47" t="n">
        <x:v>1</x:v>
      </x:c>
      <x:c r="M1615" s="29" t="n">
        <x:v>1</x:v>
      </x:c>
    </x:row>
    <x:row r="1616" ht="15" hidden="0" customHeight="1">
      <x:c r="A1616" s="27" t="n">
        <x:v>112</x:v>
      </x:c>
      <x:c r="B1616" s="27" t="n">
        <x:v>331016</x:v>
      </x:c>
      <x:c r="C1616" s="27" t="str">
        <x:v>A3</x:v>
      </x:c>
      <x:c r="D1616" s="52" t="n">
        <x:v>2500</x:v>
      </x:c>
      <x:c r="E1616" s="46" t="n">
        <x:v>1</x:v>
      </x:c>
      <x:c r="F1616" s="46" t="n">
        <x:v>1</x:v>
      </x:c>
      <x:c r="G1616" s="46" t="n">
        <x:v>1</x:v>
      </x:c>
      <x:c r="H1616" s="46" t="n">
        <x:v>1</x:v>
      </x:c>
      <x:c r="I1616" s="46" t="n">
        <x:v>1</x:v>
      </x:c>
      <x:c r="J1616" s="46" t="n">
        <x:v>1</x:v>
      </x:c>
      <x:c r="K1616" s="46" t="n">
        <x:v>1</x:v>
      </x:c>
      <x:c r="L1616" s="46" t="n">
        <x:v>1</x:v>
      </x:c>
      <x:c r="M1616" s="27" t="n">
        <x:v>1</x:v>
      </x:c>
    </x:row>
    <x:row r="1617" ht="15" hidden="0" customHeight="1">
      <x:c r="A1617" s="29" t="n">
        <x:v>113</x:v>
      </x:c>
      <x:c r="B1617" s="29" t="n">
        <x:v>331017</x:v>
      </x:c>
      <x:c r="C1617" s="29" t="str">
        <x:v>A3</x:v>
      </x:c>
      <x:c r="D1617" s="53" t="n">
        <x:v>2500</x:v>
      </x:c>
      <x:c r="E1617" s="47" t="n">
        <x:v>1</x:v>
      </x:c>
      <x:c r="F1617" s="47" t="n">
        <x:v>1</x:v>
      </x:c>
      <x:c r="G1617" s="47" t="n">
        <x:v>1</x:v>
      </x:c>
      <x:c r="H1617" s="47" t="n">
        <x:v>1</x:v>
      </x:c>
      <x:c r="I1617" s="47" t="n">
        <x:v>1</x:v>
      </x:c>
      <x:c r="J1617" s="47" t="n">
        <x:v>1</x:v>
      </x:c>
      <x:c r="K1617" s="47" t="n">
        <x:v>1</x:v>
      </x:c>
      <x:c r="L1617" s="47" t="n">
        <x:v>1</x:v>
      </x:c>
      <x:c r="M1617" s="29" t="n">
        <x:v>1</x:v>
      </x:c>
    </x:row>
    <x:row r="1618" ht="15" hidden="0" customHeight="1">
      <x:c r="A1618" s="27" t="n">
        <x:v>114</x:v>
      </x:c>
      <x:c r="B1618" s="27" t="n">
        <x:v>331018</x:v>
      </x:c>
      <x:c r="C1618" s="27" t="str">
        <x:v>A3</x:v>
      </x:c>
      <x:c r="D1618" s="52" t="n">
        <x:v>2500</x:v>
      </x:c>
      <x:c r="E1618" s="46" t="n">
        <x:v>1</x:v>
      </x:c>
      <x:c r="F1618" s="46" t="n">
        <x:v>1</x:v>
      </x:c>
      <x:c r="G1618" s="46" t="n">
        <x:v>1</x:v>
      </x:c>
      <x:c r="H1618" s="46" t="n">
        <x:v>1</x:v>
      </x:c>
      <x:c r="I1618" s="46" t="n">
        <x:v>1</x:v>
      </x:c>
      <x:c r="J1618" s="46" t="n">
        <x:v>1</x:v>
      </x:c>
      <x:c r="K1618" s="46" t="n">
        <x:v>1</x:v>
      </x:c>
      <x:c r="L1618" s="46" t="n">
        <x:v>1</x:v>
      </x:c>
      <x:c r="M1618" s="27" t="n">
        <x:v>1</x:v>
      </x:c>
    </x:row>
    <x:row r="1619" ht="15" hidden="0" customHeight="1">
      <x:c r="A1619" s="29" t="n">
        <x:v>115</x:v>
      </x:c>
      <x:c r="B1619" s="29" t="n">
        <x:v>331019</x:v>
      </x:c>
      <x:c r="C1619" s="29" t="str">
        <x:v>A3</x:v>
      </x:c>
      <x:c r="D1619" s="53" t="n">
        <x:v>2500</x:v>
      </x:c>
      <x:c r="E1619" s="47" t="n">
        <x:v>1</x:v>
      </x:c>
      <x:c r="F1619" s="47" t="n">
        <x:v>1</x:v>
      </x:c>
      <x:c r="G1619" s="47" t="n">
        <x:v>1</x:v>
      </x:c>
      <x:c r="H1619" s="47" t="n">
        <x:v>1</x:v>
      </x:c>
      <x:c r="I1619" s="47" t="n">
        <x:v>1</x:v>
      </x:c>
      <x:c r="J1619" s="47" t="n">
        <x:v>1</x:v>
      </x:c>
      <x:c r="K1619" s="47" t="n">
        <x:v>1</x:v>
      </x:c>
      <x:c r="L1619" s="47" t="n">
        <x:v>1</x:v>
      </x:c>
      <x:c r="M1619" s="29" t="n">
        <x:v>1</x:v>
      </x:c>
    </x:row>
    <x:row r="1620" ht="15" hidden="0" customHeight="1">
      <x:c r="A1620" s="27" t="n">
        <x:v>116</x:v>
      </x:c>
      <x:c r="B1620" s="27" t="n">
        <x:v>331020</x:v>
      </x:c>
      <x:c r="C1620" s="27" t="str">
        <x:v>A3</x:v>
      </x:c>
      <x:c r="D1620" s="52" t="n">
        <x:v>2500</x:v>
      </x:c>
      <x:c r="E1620" s="46" t="n">
        <x:v>1</x:v>
      </x:c>
      <x:c r="F1620" s="46" t="n">
        <x:v>1</x:v>
      </x:c>
      <x:c r="G1620" s="46" t="n">
        <x:v>1</x:v>
      </x:c>
      <x:c r="H1620" s="46" t="n">
        <x:v>1</x:v>
      </x:c>
      <x:c r="I1620" s="46" t="n">
        <x:v>1</x:v>
      </x:c>
      <x:c r="J1620" s="46" t="n">
        <x:v>1</x:v>
      </x:c>
      <x:c r="K1620" s="46" t="n">
        <x:v>1</x:v>
      </x:c>
      <x:c r="L1620" s="46" t="n">
        <x:v>1</x:v>
      </x:c>
      <x:c r="M1620" s="27" t="n">
        <x:v>1</x:v>
      </x:c>
    </x:row>
    <x:row r="1621" ht="15" hidden="0" customHeight="1">
      <x:c r="A1621" s="29" t="n">
        <x:v>117</x:v>
      </x:c>
      <x:c r="B1621" s="29" t="n">
        <x:v>331021</x:v>
      </x:c>
      <x:c r="C1621" s="29" t="str">
        <x:v>A3</x:v>
      </x:c>
      <x:c r="D1621" s="53" t="n">
        <x:v>2500</x:v>
      </x:c>
      <x:c r="E1621" s="47" t="n">
        <x:v>1</x:v>
      </x:c>
      <x:c r="F1621" s="47" t="n">
        <x:v>1</x:v>
      </x:c>
      <x:c r="G1621" s="47" t="n">
        <x:v>1</x:v>
      </x:c>
      <x:c r="H1621" s="47" t="n">
        <x:v>1</x:v>
      </x:c>
      <x:c r="I1621" s="47" t="n">
        <x:v>1</x:v>
      </x:c>
      <x:c r="J1621" s="47" t="n">
        <x:v>1</x:v>
      </x:c>
      <x:c r="K1621" s="47" t="n">
        <x:v>1</x:v>
      </x:c>
      <x:c r="L1621" s="47" t="n">
        <x:v>1</x:v>
      </x:c>
      <x:c r="M1621" s="29" t="n">
        <x:v>1</x:v>
      </x:c>
    </x:row>
    <x:row r="1622" ht="15" hidden="0" customHeight="1">
      <x:c r="A1622" s="27" t="n">
        <x:v>118</x:v>
      </x:c>
      <x:c r="B1622" s="27" t="n">
        <x:v>331022</x:v>
      </x:c>
      <x:c r="C1622" s="27" t="str">
        <x:v>A3</x:v>
      </x:c>
      <x:c r="D1622" s="52" t="n">
        <x:v>2500</x:v>
      </x:c>
      <x:c r="E1622" s="46" t="n">
        <x:v>1</x:v>
      </x:c>
      <x:c r="F1622" s="46" t="n">
        <x:v>1</x:v>
      </x:c>
      <x:c r="G1622" s="46" t="n">
        <x:v>1</x:v>
      </x:c>
      <x:c r="H1622" s="46" t="n">
        <x:v>1</x:v>
      </x:c>
      <x:c r="I1622" s="46" t="n">
        <x:v>1</x:v>
      </x:c>
      <x:c r="J1622" s="46" t="n">
        <x:v>1</x:v>
      </x:c>
      <x:c r="K1622" s="46" t="n">
        <x:v>1</x:v>
      </x:c>
      <x:c r="L1622" s="46" t="n">
        <x:v>1</x:v>
      </x:c>
      <x:c r="M1622" s="27" t="n">
        <x:v>1</x:v>
      </x:c>
    </x:row>
    <x:row r="1623" ht="15" hidden="0" customHeight="1">
      <x:c r="A1623" s="29" t="n">
        <x:v>119</x:v>
      </x:c>
      <x:c r="B1623" s="29" t="n">
        <x:v>331023</x:v>
      </x:c>
      <x:c r="C1623" s="29" t="str">
        <x:v>A3</x:v>
      </x:c>
      <x:c r="D1623" s="53" t="n">
        <x:v>2500</x:v>
      </x:c>
      <x:c r="E1623" s="47" t="n">
        <x:v>1</x:v>
      </x:c>
      <x:c r="F1623" s="47" t="n">
        <x:v>1</x:v>
      </x:c>
      <x:c r="G1623" s="47" t="n">
        <x:v>1</x:v>
      </x:c>
      <x:c r="H1623" s="47" t="n">
        <x:v>1</x:v>
      </x:c>
      <x:c r="I1623" s="47" t="n">
        <x:v>1</x:v>
      </x:c>
      <x:c r="J1623" s="47" t="n">
        <x:v>1</x:v>
      </x:c>
      <x:c r="K1623" s="47" t="n">
        <x:v>1</x:v>
      </x:c>
      <x:c r="L1623" s="47" t="n">
        <x:v>1</x:v>
      </x:c>
      <x:c r="M1623" s="29" t="n">
        <x:v>1</x:v>
      </x:c>
    </x:row>
    <x:row r="1624" ht="15" hidden="0" customHeight="1">
      <x:c r="A1624" s="27" t="n">
        <x:v>120</x:v>
      </x:c>
      <x:c r="B1624" s="27" t="n">
        <x:v>331024</x:v>
      </x:c>
      <x:c r="C1624" s="27" t="str">
        <x:v>A3</x:v>
      </x:c>
      <x:c r="D1624" s="52" t="n">
        <x:v>2500</x:v>
      </x:c>
      <x:c r="E1624" s="46" t="n">
        <x:v>1</x:v>
      </x:c>
      <x:c r="F1624" s="46" t="n">
        <x:v>1</x:v>
      </x:c>
      <x:c r="G1624" s="46" t="n">
        <x:v>1</x:v>
      </x:c>
      <x:c r="H1624" s="46" t="n">
        <x:v>1</x:v>
      </x:c>
      <x:c r="I1624" s="46" t="n">
        <x:v>1</x:v>
      </x:c>
      <x:c r="J1624" s="46" t="n">
        <x:v>1</x:v>
      </x:c>
      <x:c r="K1624" s="46" t="n">
        <x:v>1</x:v>
      </x:c>
      <x:c r="L1624" s="46" t="n">
        <x:v>1</x:v>
      </x:c>
      <x:c r="M1624" s="27" t="n">
        <x:v>1</x:v>
      </x:c>
    </x:row>
    <x:row r="1625" ht="15" hidden="0" customHeight="1">
      <x:c r="A1625" s="29" t="n">
        <x:v>121</x:v>
      </x:c>
      <x:c r="B1625" s="29" t="n">
        <x:v>331025</x:v>
      </x:c>
      <x:c r="C1625" s="29" t="str">
        <x:v>A3</x:v>
      </x:c>
      <x:c r="D1625" s="53" t="n">
        <x:v>2500</x:v>
      </x:c>
      <x:c r="E1625" s="47" t="n">
        <x:v>1</x:v>
      </x:c>
      <x:c r="F1625" s="47" t="n">
        <x:v>1</x:v>
      </x:c>
      <x:c r="G1625" s="47" t="n">
        <x:v>1</x:v>
      </x:c>
      <x:c r="H1625" s="47" t="n">
        <x:v>1</x:v>
      </x:c>
      <x:c r="I1625" s="47" t="n">
        <x:v>1</x:v>
      </x:c>
      <x:c r="J1625" s="47" t="n">
        <x:v>1</x:v>
      </x:c>
      <x:c r="K1625" s="47" t="n">
        <x:v>1</x:v>
      </x:c>
      <x:c r="L1625" s="47" t="n">
        <x:v>1</x:v>
      </x:c>
      <x:c r="M1625" s="29" t="n">
        <x:v>1</x:v>
      </x:c>
    </x:row>
    <x:row r="1626" ht="15" hidden="0" customHeight="1">
      <x:c r="A1626" s="27" t="n">
        <x:v>122</x:v>
      </x:c>
      <x:c r="B1626" s="27" t="n">
        <x:v>331026</x:v>
      </x:c>
      <x:c r="C1626" s="27" t="str">
        <x:v>A3</x:v>
      </x:c>
      <x:c r="D1626" s="52" t="n">
        <x:v>2500</x:v>
      </x:c>
      <x:c r="E1626" s="46" t="n">
        <x:v>1</x:v>
      </x:c>
      <x:c r="F1626" s="46" t="n">
        <x:v>1</x:v>
      </x:c>
      <x:c r="G1626" s="46" t="n">
        <x:v>1</x:v>
      </x:c>
      <x:c r="H1626" s="46" t="n">
        <x:v>1</x:v>
      </x:c>
      <x:c r="I1626" s="46" t="n">
        <x:v>1</x:v>
      </x:c>
      <x:c r="J1626" s="46" t="n">
        <x:v>1</x:v>
      </x:c>
      <x:c r="K1626" s="46" t="n">
        <x:v>1</x:v>
      </x:c>
      <x:c r="L1626" s="46" t="n">
        <x:v>1</x:v>
      </x:c>
      <x:c r="M1626" s="27" t="n">
        <x:v>1</x:v>
      </x:c>
    </x:row>
    <x:row r="1627" ht="15" hidden="0" customHeight="1">
      <x:c r="A1627" s="29" t="n">
        <x:v>123</x:v>
      </x:c>
      <x:c r="B1627" s="29" t="n">
        <x:v>331027</x:v>
      </x:c>
      <x:c r="C1627" s="29" t="str">
        <x:v>A3</x:v>
      </x:c>
      <x:c r="D1627" s="53" t="n">
        <x:v>2500</x:v>
      </x:c>
      <x:c r="E1627" s="47" t="n">
        <x:v>1</x:v>
      </x:c>
      <x:c r="F1627" s="47" t="n">
        <x:v>1</x:v>
      </x:c>
      <x:c r="G1627" s="47" t="n">
        <x:v>1</x:v>
      </x:c>
      <x:c r="H1627" s="47" t="n">
        <x:v>1</x:v>
      </x:c>
      <x:c r="I1627" s="47" t="n">
        <x:v>1</x:v>
      </x:c>
      <x:c r="J1627" s="47" t="n">
        <x:v>1</x:v>
      </x:c>
      <x:c r="K1627" s="47" t="n">
        <x:v>1</x:v>
      </x:c>
      <x:c r="L1627" s="47" t="n">
        <x:v>1</x:v>
      </x:c>
      <x:c r="M1627" s="29" t="n">
        <x:v>1</x:v>
      </x:c>
    </x:row>
    <x:row r="1628" ht="15" hidden="0" customHeight="1">
      <x:c r="A1628" s="27" t="n">
        <x:v>124</x:v>
      </x:c>
      <x:c r="B1628" s="27" t="n">
        <x:v>331028</x:v>
      </x:c>
      <x:c r="C1628" s="27" t="str">
        <x:v>A3</x:v>
      </x:c>
      <x:c r="D1628" s="52" t="n">
        <x:v>2500</x:v>
      </x:c>
      <x:c r="E1628" s="46" t="n">
        <x:v>1</x:v>
      </x:c>
      <x:c r="F1628" s="46" t="n">
        <x:v>1</x:v>
      </x:c>
      <x:c r="G1628" s="46" t="n">
        <x:v>1</x:v>
      </x:c>
      <x:c r="H1628" s="46" t="n">
        <x:v>1</x:v>
      </x:c>
      <x:c r="I1628" s="46" t="n">
        <x:v>1</x:v>
      </x:c>
      <x:c r="J1628" s="46" t="n">
        <x:v>1</x:v>
      </x:c>
      <x:c r="K1628" s="46" t="n">
        <x:v>1</x:v>
      </x:c>
      <x:c r="L1628" s="46" t="n">
        <x:v>1</x:v>
      </x:c>
      <x:c r="M1628" s="27" t="n">
        <x:v>1</x:v>
      </x:c>
    </x:row>
    <x:row r="1629" ht="15" hidden="0" customHeight="1">
      <x:c r="A1629" s="29" t="n">
        <x:v>125</x:v>
      </x:c>
      <x:c r="B1629" s="29" t="n">
        <x:v>331029</x:v>
      </x:c>
      <x:c r="C1629" s="29" t="str">
        <x:v>A3</x:v>
      </x:c>
      <x:c r="D1629" s="53" t="n">
        <x:v>2500</x:v>
      </x:c>
      <x:c r="E1629" s="47" t="n">
        <x:v>1</x:v>
      </x:c>
      <x:c r="F1629" s="47" t="n">
        <x:v>1</x:v>
      </x:c>
      <x:c r="G1629" s="47" t="n">
        <x:v>1</x:v>
      </x:c>
      <x:c r="H1629" s="47" t="n">
        <x:v>1</x:v>
      </x:c>
      <x:c r="I1629" s="47" t="n">
        <x:v>1</x:v>
      </x:c>
      <x:c r="J1629" s="47" t="n">
        <x:v>1</x:v>
      </x:c>
      <x:c r="K1629" s="47" t="n">
        <x:v>1</x:v>
      </x:c>
      <x:c r="L1629" s="47" t="n">
        <x:v>1</x:v>
      </x:c>
      <x:c r="M1629" s="29" t="n">
        <x:v>1</x:v>
      </x:c>
    </x:row>
    <x:row r="1630" ht="15" hidden="0" customHeight="1">
      <x:c r="A1630" s="27" t="n">
        <x:v>126</x:v>
      </x:c>
      <x:c r="B1630" s="27" t="n">
        <x:v>331030</x:v>
      </x:c>
      <x:c r="C1630" s="27" t="str">
        <x:v>A3</x:v>
      </x:c>
      <x:c r="D1630" s="52" t="n">
        <x:v>2500</x:v>
      </x:c>
      <x:c r="E1630" s="46" t="n">
        <x:v>1</x:v>
      </x:c>
      <x:c r="F1630" s="46" t="n">
        <x:v>1</x:v>
      </x:c>
      <x:c r="G1630" s="46" t="n">
        <x:v>1</x:v>
      </x:c>
      <x:c r="H1630" s="46" t="n">
        <x:v>1</x:v>
      </x:c>
      <x:c r="I1630" s="46" t="n">
        <x:v>1</x:v>
      </x:c>
      <x:c r="J1630" s="46" t="n">
        <x:v>1</x:v>
      </x:c>
      <x:c r="K1630" s="46" t="n">
        <x:v>1</x:v>
      </x:c>
      <x:c r="L1630" s="46" t="n">
        <x:v>1</x:v>
      </x:c>
      <x:c r="M1630" s="27" t="n">
        <x:v>1</x:v>
      </x:c>
    </x:row>
    <x:row r="1631" ht="15" hidden="0" customHeight="1">
      <x:c r="A1631" s="29" t="n">
        <x:v>127</x:v>
      </x:c>
      <x:c r="B1631" s="29" t="n">
        <x:v>331031</x:v>
      </x:c>
      <x:c r="C1631" s="29" t="str">
        <x:v>A3</x:v>
      </x:c>
      <x:c r="D1631" s="53" t="n">
        <x:v>2500</x:v>
      </x:c>
      <x:c r="E1631" s="47" t="n">
        <x:v>1</x:v>
      </x:c>
      <x:c r="F1631" s="47" t="n">
        <x:v>1</x:v>
      </x:c>
      <x:c r="G1631" s="47" t="n">
        <x:v>1</x:v>
      </x:c>
      <x:c r="H1631" s="47" t="n">
        <x:v>1</x:v>
      </x:c>
      <x:c r="I1631" s="47" t="n">
        <x:v>1</x:v>
      </x:c>
      <x:c r="J1631" s="47" t="n">
        <x:v>1</x:v>
      </x:c>
      <x:c r="K1631" s="47" t="n">
        <x:v>1</x:v>
      </x:c>
      <x:c r="L1631" s="47" t="n">
        <x:v>1</x:v>
      </x:c>
      <x:c r="M1631" s="29" t="n">
        <x:v>1</x:v>
      </x:c>
    </x:row>
    <x:row r="1632" ht="15" hidden="0" customHeight="1">
      <x:c r="A1632" s="27" t="n">
        <x:v>128</x:v>
      </x:c>
      <x:c r="B1632" s="27" t="n">
        <x:v>331032</x:v>
      </x:c>
      <x:c r="C1632" s="27" t="str">
        <x:v>A3</x:v>
      </x:c>
      <x:c r="D1632" s="52" t="n">
        <x:v>2500</x:v>
      </x:c>
      <x:c r="E1632" s="46" t="n">
        <x:v>1</x:v>
      </x:c>
      <x:c r="F1632" s="46" t="n">
        <x:v>1</x:v>
      </x:c>
      <x:c r="G1632" s="46" t="n">
        <x:v>1</x:v>
      </x:c>
      <x:c r="H1632" s="46" t="n">
        <x:v>1</x:v>
      </x:c>
      <x:c r="I1632" s="46" t="n">
        <x:v>1</x:v>
      </x:c>
      <x:c r="J1632" s="46" t="n">
        <x:v>1</x:v>
      </x:c>
      <x:c r="K1632" s="46" t="n">
        <x:v>1</x:v>
      </x:c>
      <x:c r="L1632" s="46" t="n">
        <x:v>1</x:v>
      </x:c>
      <x:c r="M1632" s="27" t="n">
        <x:v>1</x:v>
      </x:c>
    </x:row>
    <x:row r="1633" ht="15" hidden="0" customHeight="1">
      <x:c r="A1633" s="29" t="n">
        <x:v>129</x:v>
      </x:c>
      <x:c r="B1633" s="29" t="n">
        <x:v>331033</x:v>
      </x:c>
      <x:c r="C1633" s="29" t="str">
        <x:v>A3</x:v>
      </x:c>
      <x:c r="D1633" s="53" t="n">
        <x:v>2500</x:v>
      </x:c>
      <x:c r="E1633" s="47" t="n">
        <x:v>1</x:v>
      </x:c>
      <x:c r="F1633" s="47" t="n">
        <x:v>1</x:v>
      </x:c>
      <x:c r="G1633" s="47" t="n">
        <x:v>1</x:v>
      </x:c>
      <x:c r="H1633" s="47" t="n">
        <x:v>1</x:v>
      </x:c>
      <x:c r="I1633" s="47" t="n">
        <x:v>1</x:v>
      </x:c>
      <x:c r="J1633" s="47" t="n">
        <x:v>1</x:v>
      </x:c>
      <x:c r="K1633" s="47" t="n">
        <x:v>1</x:v>
      </x:c>
      <x:c r="L1633" s="47" t="n">
        <x:v>1</x:v>
      </x:c>
      <x:c r="M1633" s="29" t="n">
        <x:v>1</x:v>
      </x:c>
    </x:row>
    <x:row r="1634" ht="15" hidden="0" customHeight="1">
      <x:c r="A1634" s="27" t="n">
        <x:v>130</x:v>
      </x:c>
      <x:c r="B1634" s="27" t="n">
        <x:v>331034</x:v>
      </x:c>
      <x:c r="C1634" s="27" t="str">
        <x:v>A3</x:v>
      </x:c>
      <x:c r="D1634" s="52" t="n">
        <x:v>2500</x:v>
      </x:c>
      <x:c r="E1634" s="46" t="n">
        <x:v>1</x:v>
      </x:c>
      <x:c r="F1634" s="46" t="n">
        <x:v>1</x:v>
      </x:c>
      <x:c r="G1634" s="46" t="n">
        <x:v>1</x:v>
      </x:c>
      <x:c r="H1634" s="46" t="n">
        <x:v>1</x:v>
      </x:c>
      <x:c r="I1634" s="46" t="n">
        <x:v>1</x:v>
      </x:c>
      <x:c r="J1634" s="46" t="n">
        <x:v>1</x:v>
      </x:c>
      <x:c r="K1634" s="46" t="n">
        <x:v>1</x:v>
      </x:c>
      <x:c r="L1634" s="46" t="n">
        <x:v>1</x:v>
      </x:c>
      <x:c r="M1634" s="27" t="n">
        <x:v>1</x:v>
      </x:c>
    </x:row>
    <x:row r="1635" ht="15" hidden="0" customHeight="1">
      <x:c r="A1635" s="29" t="n">
        <x:v>131</x:v>
      </x:c>
      <x:c r="B1635" s="29" t="n">
        <x:v>331035</x:v>
      </x:c>
      <x:c r="C1635" s="29" t="str">
        <x:v>A3</x:v>
      </x:c>
      <x:c r="D1635" s="53" t="n">
        <x:v>2500</x:v>
      </x:c>
      <x:c r="E1635" s="47" t="n">
        <x:v>1</x:v>
      </x:c>
      <x:c r="F1635" s="47" t="n">
        <x:v>1</x:v>
      </x:c>
      <x:c r="G1635" s="47" t="n">
        <x:v>1</x:v>
      </x:c>
      <x:c r="H1635" s="47" t="n">
        <x:v>1</x:v>
      </x:c>
      <x:c r="I1635" s="47" t="n">
        <x:v>1</x:v>
      </x:c>
      <x:c r="J1635" s="47" t="n">
        <x:v>1</x:v>
      </x:c>
      <x:c r="K1635" s="47" t="n">
        <x:v>1</x:v>
      </x:c>
      <x:c r="L1635" s="47" t="n">
        <x:v>1</x:v>
      </x:c>
      <x:c r="M1635" s="29" t="n">
        <x:v>1</x:v>
      </x:c>
    </x:row>
    <x:row r="1636" ht="15" hidden="0" customHeight="1">
      <x:c r="A1636" s="27" t="n">
        <x:v>132</x:v>
      </x:c>
      <x:c r="B1636" s="27" t="n">
        <x:v>331036</x:v>
      </x:c>
      <x:c r="C1636" s="27" t="str">
        <x:v>A3</x:v>
      </x:c>
      <x:c r="D1636" s="52" t="n">
        <x:v>2500</x:v>
      </x:c>
      <x:c r="E1636" s="46" t="n">
        <x:v>1</x:v>
      </x:c>
      <x:c r="F1636" s="46" t="n">
        <x:v>1</x:v>
      </x:c>
      <x:c r="G1636" s="46" t="n">
        <x:v>1</x:v>
      </x:c>
      <x:c r="H1636" s="46" t="n">
        <x:v>1</x:v>
      </x:c>
      <x:c r="I1636" s="46" t="n">
        <x:v>1</x:v>
      </x:c>
      <x:c r="J1636" s="46" t="n">
        <x:v>1</x:v>
      </x:c>
      <x:c r="K1636" s="46" t="n">
        <x:v>1</x:v>
      </x:c>
      <x:c r="L1636" s="46" t="n">
        <x:v>1</x:v>
      </x:c>
      <x:c r="M1636" s="27" t="n">
        <x:v>1</x:v>
      </x:c>
    </x:row>
    <x:row r="1637" ht="15" hidden="0" customHeight="1">
      <x:c r="A1637" s="29" t="n">
        <x:v>133</x:v>
      </x:c>
      <x:c r="B1637" s="29" t="n">
        <x:v>331037</x:v>
      </x:c>
      <x:c r="C1637" s="29" t="str">
        <x:v>A3</x:v>
      </x:c>
      <x:c r="D1637" s="53" t="n">
        <x:v>2500</x:v>
      </x:c>
      <x:c r="E1637" s="47" t="n">
        <x:v>1</x:v>
      </x:c>
      <x:c r="F1637" s="47" t="n">
        <x:v>1</x:v>
      </x:c>
      <x:c r="G1637" s="47" t="n">
        <x:v>1</x:v>
      </x:c>
      <x:c r="H1637" s="47" t="n">
        <x:v>1</x:v>
      </x:c>
      <x:c r="I1637" s="47" t="n">
        <x:v>1</x:v>
      </x:c>
      <x:c r="J1637" s="47" t="n">
        <x:v>1</x:v>
      </x:c>
      <x:c r="K1637" s="47" t="n">
        <x:v>1</x:v>
      </x:c>
      <x:c r="L1637" s="47" t="n">
        <x:v>1</x:v>
      </x:c>
      <x:c r="M1637" s="29" t="n">
        <x:v>1</x:v>
      </x:c>
    </x:row>
    <x:row r="1638" ht="15" hidden="0" customHeight="1">
      <x:c r="A1638" s="27" t="n">
        <x:v>134</x:v>
      </x:c>
      <x:c r="B1638" s="27" t="n">
        <x:v>331038</x:v>
      </x:c>
      <x:c r="C1638" s="27" t="str">
        <x:v>A3</x:v>
      </x:c>
      <x:c r="D1638" s="52" t="n">
        <x:v>2500</x:v>
      </x:c>
      <x:c r="E1638" s="46" t="n">
        <x:v>1</x:v>
      </x:c>
      <x:c r="F1638" s="46" t="n">
        <x:v>1</x:v>
      </x:c>
      <x:c r="G1638" s="46" t="n">
        <x:v>1</x:v>
      </x:c>
      <x:c r="H1638" s="46" t="n">
        <x:v>1</x:v>
      </x:c>
      <x:c r="I1638" s="46" t="n">
        <x:v>1</x:v>
      </x:c>
      <x:c r="J1638" s="46" t="n">
        <x:v>1</x:v>
      </x:c>
      <x:c r="K1638" s="46" t="n">
        <x:v>1</x:v>
      </x:c>
      <x:c r="L1638" s="46" t="n">
        <x:v>1</x:v>
      </x:c>
      <x:c r="M1638" s="27" t="n">
        <x:v>1</x:v>
      </x:c>
    </x:row>
    <x:row r="1639" ht="15" hidden="0" customHeight="1">
      <x:c r="A1639" s="29" t="n">
        <x:v>135</x:v>
      </x:c>
      <x:c r="B1639" s="29" t="n">
        <x:v>331039</x:v>
      </x:c>
      <x:c r="C1639" s="29" t="str">
        <x:v>A3</x:v>
      </x:c>
      <x:c r="D1639" s="53" t="n">
        <x:v>2500</x:v>
      </x:c>
      <x:c r="E1639" s="47" t="n">
        <x:v>1</x:v>
      </x:c>
      <x:c r="F1639" s="47" t="n">
        <x:v>1</x:v>
      </x:c>
      <x:c r="G1639" s="47" t="n">
        <x:v>1</x:v>
      </x:c>
      <x:c r="H1639" s="47" t="n">
        <x:v>1</x:v>
      </x:c>
      <x:c r="I1639" s="47" t="n">
        <x:v>1</x:v>
      </x:c>
      <x:c r="J1639" s="47" t="n">
        <x:v>1</x:v>
      </x:c>
      <x:c r="K1639" s="47" t="n">
        <x:v>1</x:v>
      </x:c>
      <x:c r="L1639" s="47" t="n">
        <x:v>1</x:v>
      </x:c>
      <x:c r="M1639" s="29" t="n">
        <x:v>1</x:v>
      </x:c>
    </x:row>
    <x:row r="1640" ht="15" hidden="0" customHeight="1">
      <x:c r="A1640" s="27" t="n">
        <x:v>136</x:v>
      </x:c>
      <x:c r="B1640" s="27" t="n">
        <x:v>331040</x:v>
      </x:c>
      <x:c r="C1640" s="27" t="str">
        <x:v>A3</x:v>
      </x:c>
      <x:c r="D1640" s="52" t="n">
        <x:v>2500</x:v>
      </x:c>
      <x:c r="E1640" s="46" t="n">
        <x:v>1</x:v>
      </x:c>
      <x:c r="F1640" s="46" t="n">
        <x:v>1</x:v>
      </x:c>
      <x:c r="G1640" s="46" t="n">
        <x:v>1</x:v>
      </x:c>
      <x:c r="H1640" s="46" t="n">
        <x:v>1</x:v>
      </x:c>
      <x:c r="I1640" s="46" t="n">
        <x:v>1</x:v>
      </x:c>
      <x:c r="J1640" s="46" t="n">
        <x:v>1</x:v>
      </x:c>
      <x:c r="K1640" s="46" t="n">
        <x:v>1</x:v>
      </x:c>
      <x:c r="L1640" s="46" t="n">
        <x:v>1</x:v>
      </x:c>
      <x:c r="M1640" s="27" t="n">
        <x:v>1</x:v>
      </x:c>
    </x:row>
    <x:row r="1641" ht="15" hidden="0" customHeight="1">
      <x:c r="A1641" s="29" t="n">
        <x:v>137</x:v>
      </x:c>
      <x:c r="B1641" s="29" t="n">
        <x:v>331041</x:v>
      </x:c>
      <x:c r="C1641" s="29" t="str">
        <x:v>A3</x:v>
      </x:c>
      <x:c r="D1641" s="53" t="n">
        <x:v>2500</x:v>
      </x:c>
      <x:c r="E1641" s="47" t="n">
        <x:v>1</x:v>
      </x:c>
      <x:c r="F1641" s="47" t="n">
        <x:v>1</x:v>
      </x:c>
      <x:c r="G1641" s="47" t="n">
        <x:v>1</x:v>
      </x:c>
      <x:c r="H1641" s="47" t="n">
        <x:v>1</x:v>
      </x:c>
      <x:c r="I1641" s="47" t="n">
        <x:v>1</x:v>
      </x:c>
      <x:c r="J1641" s="47" t="n">
        <x:v>1</x:v>
      </x:c>
      <x:c r="K1641" s="47" t="n">
        <x:v>1</x:v>
      </x:c>
      <x:c r="L1641" s="47" t="n">
        <x:v>1</x:v>
      </x:c>
      <x:c r="M1641" s="29" t="n">
        <x:v>1</x:v>
      </x:c>
    </x:row>
    <x:row r="1642" ht="15" hidden="0" customHeight="1">
      <x:c r="A1642" s="27" t="n">
        <x:v>138</x:v>
      </x:c>
      <x:c r="B1642" s="27" t="n">
        <x:v>331042</x:v>
      </x:c>
      <x:c r="C1642" s="27" t="str">
        <x:v>A3</x:v>
      </x:c>
      <x:c r="D1642" s="52" t="n">
        <x:v>2500</x:v>
      </x:c>
      <x:c r="E1642" s="46" t="n">
        <x:v>1</x:v>
      </x:c>
      <x:c r="F1642" s="46" t="n">
        <x:v>1</x:v>
      </x:c>
      <x:c r="G1642" s="46" t="n">
        <x:v>1</x:v>
      </x:c>
      <x:c r="H1642" s="46" t="n">
        <x:v>1</x:v>
      </x:c>
      <x:c r="I1642" s="46" t="n">
        <x:v>1</x:v>
      </x:c>
      <x:c r="J1642" s="46" t="n">
        <x:v>1</x:v>
      </x:c>
      <x:c r="K1642" s="46" t="n">
        <x:v>1</x:v>
      </x:c>
      <x:c r="L1642" s="46" t="n">
        <x:v>1</x:v>
      </x:c>
      <x:c r="M1642" s="27" t="n">
        <x:v>1</x:v>
      </x:c>
    </x:row>
    <x:row r="1643" ht="15" hidden="0" customHeight="1">
      <x:c r="A1643" s="29" t="n">
        <x:v>139</x:v>
      </x:c>
      <x:c r="B1643" s="29" t="n">
        <x:v>331043</x:v>
      </x:c>
      <x:c r="C1643" s="29" t="str">
        <x:v>A3</x:v>
      </x:c>
      <x:c r="D1643" s="53" t="n">
        <x:v>2500</x:v>
      </x:c>
      <x:c r="E1643" s="47" t="n">
        <x:v>1</x:v>
      </x:c>
      <x:c r="F1643" s="47" t="n">
        <x:v>1</x:v>
      </x:c>
      <x:c r="G1643" s="47" t="n">
        <x:v>1</x:v>
      </x:c>
      <x:c r="H1643" s="47" t="n">
        <x:v>1</x:v>
      </x:c>
      <x:c r="I1643" s="47" t="n">
        <x:v>1</x:v>
      </x:c>
      <x:c r="J1643" s="47" t="n">
        <x:v>1</x:v>
      </x:c>
      <x:c r="K1643" s="47" t="n">
        <x:v>1</x:v>
      </x:c>
      <x:c r="L1643" s="47" t="n">
        <x:v>1</x:v>
      </x:c>
      <x:c r="M1643" s="29" t="n">
        <x:v>1</x:v>
      </x:c>
    </x:row>
    <x:row r="1644" ht="15" hidden="0" customHeight="1">
      <x:c r="A1644" s="27" t="n">
        <x:v>140</x:v>
      </x:c>
      <x:c r="B1644" s="27" t="n">
        <x:v>331044</x:v>
      </x:c>
      <x:c r="C1644" s="27" t="str">
        <x:v>A3</x:v>
      </x:c>
      <x:c r="D1644" s="52" t="n">
        <x:v>2500</x:v>
      </x:c>
      <x:c r="E1644" s="46" t="n">
        <x:v>1</x:v>
      </x:c>
      <x:c r="F1644" s="46" t="n">
        <x:v>1</x:v>
      </x:c>
      <x:c r="G1644" s="46" t="n">
        <x:v>1</x:v>
      </x:c>
      <x:c r="H1644" s="46" t="n">
        <x:v>1</x:v>
      </x:c>
      <x:c r="I1644" s="46" t="n">
        <x:v>1</x:v>
      </x:c>
      <x:c r="J1644" s="46" t="n">
        <x:v>1</x:v>
      </x:c>
      <x:c r="K1644" s="46" t="n">
        <x:v>1</x:v>
      </x:c>
      <x:c r="L1644" s="46" t="n">
        <x:v>1</x:v>
      </x:c>
      <x:c r="M1644" s="27" t="n">
        <x:v>1</x:v>
      </x:c>
    </x:row>
    <x:row r="1645" ht="15" hidden="0" customHeight="1">
      <x:c r="A1645" s="29" t="n">
        <x:v>141</x:v>
      </x:c>
      <x:c r="B1645" s="29" t="n">
        <x:v>331045</x:v>
      </x:c>
      <x:c r="C1645" s="29" t="str">
        <x:v>A3</x:v>
      </x:c>
      <x:c r="D1645" s="53" t="n">
        <x:v>2500</x:v>
      </x:c>
      <x:c r="E1645" s="47" t="n">
        <x:v>1</x:v>
      </x:c>
      <x:c r="F1645" s="47" t="n">
        <x:v>1</x:v>
      </x:c>
      <x:c r="G1645" s="47" t="n">
        <x:v>1</x:v>
      </x:c>
      <x:c r="H1645" s="47" t="n">
        <x:v>1</x:v>
      </x:c>
      <x:c r="I1645" s="47" t="n">
        <x:v>1</x:v>
      </x:c>
      <x:c r="J1645" s="47" t="n">
        <x:v>1</x:v>
      </x:c>
      <x:c r="K1645" s="47" t="n">
        <x:v>1</x:v>
      </x:c>
      <x:c r="L1645" s="47" t="n">
        <x:v>1</x:v>
      </x:c>
      <x:c r="M1645" s="29" t="n">
        <x:v>1</x:v>
      </x:c>
    </x:row>
    <x:row r="1646" ht="15" hidden="0" customHeight="1">
      <x:c r="A1646" s="27" t="n">
        <x:v>142</x:v>
      </x:c>
      <x:c r="B1646" s="27" t="n">
        <x:v>331046</x:v>
      </x:c>
      <x:c r="C1646" s="27" t="str">
        <x:v>A3</x:v>
      </x:c>
      <x:c r="D1646" s="52" t="n">
        <x:v>2500</x:v>
      </x:c>
      <x:c r="E1646" s="46" t="n">
        <x:v>1</x:v>
      </x:c>
      <x:c r="F1646" s="46" t="n">
        <x:v>1</x:v>
      </x:c>
      <x:c r="G1646" s="46" t="n">
        <x:v>1</x:v>
      </x:c>
      <x:c r="H1646" s="46" t="n">
        <x:v>1</x:v>
      </x:c>
      <x:c r="I1646" s="46" t="n">
        <x:v>1</x:v>
      </x:c>
      <x:c r="J1646" s="46" t="n">
        <x:v>1</x:v>
      </x:c>
      <x:c r="K1646" s="46" t="n">
        <x:v>1</x:v>
      </x:c>
      <x:c r="L1646" s="46" t="n">
        <x:v>1</x:v>
      </x:c>
      <x:c r="M1646" s="27" t="n">
        <x:v>1</x:v>
      </x:c>
    </x:row>
    <x:row r="1647" ht="15" hidden="0" customHeight="1">
      <x:c r="A1647" s="29" t="n">
        <x:v>143</x:v>
      </x:c>
      <x:c r="B1647" s="29" t="n">
        <x:v>331047</x:v>
      </x:c>
      <x:c r="C1647" s="29" t="str">
        <x:v>A3</x:v>
      </x:c>
      <x:c r="D1647" s="53" t="n">
        <x:v>2500</x:v>
      </x:c>
      <x:c r="E1647" s="47" t="n">
        <x:v>1</x:v>
      </x:c>
      <x:c r="F1647" s="47" t="n">
        <x:v>1</x:v>
      </x:c>
      <x:c r="G1647" s="47" t="n">
        <x:v>1</x:v>
      </x:c>
      <x:c r="H1647" s="47" t="n">
        <x:v>1</x:v>
      </x:c>
      <x:c r="I1647" s="47" t="n">
        <x:v>1</x:v>
      </x:c>
      <x:c r="J1647" s="47" t="n">
        <x:v>1</x:v>
      </x:c>
      <x:c r="K1647" s="47" t="n">
        <x:v>1</x:v>
      </x:c>
      <x:c r="L1647" s="47" t="n">
        <x:v>1</x:v>
      </x:c>
      <x:c r="M1647" s="29" t="n">
        <x:v>1</x:v>
      </x:c>
    </x:row>
    <x:row r="1648" ht="15" hidden="0" customHeight="1">
      <x:c r="A1648" s="27" t="n">
        <x:v>144</x:v>
      </x:c>
      <x:c r="B1648" s="27" t="n">
        <x:v>331048</x:v>
      </x:c>
      <x:c r="C1648" s="27" t="str">
        <x:v>A3</x:v>
      </x:c>
      <x:c r="D1648" s="52" t="n">
        <x:v>2500</x:v>
      </x:c>
      <x:c r="E1648" s="46" t="n">
        <x:v>1</x:v>
      </x:c>
      <x:c r="F1648" s="46" t="n">
        <x:v>1</x:v>
      </x:c>
      <x:c r="G1648" s="46" t="n">
        <x:v>1</x:v>
      </x:c>
      <x:c r="H1648" s="46" t="n">
        <x:v>1</x:v>
      </x:c>
      <x:c r="I1648" s="46" t="n">
        <x:v>1</x:v>
      </x:c>
      <x:c r="J1648" s="46" t="n">
        <x:v>1</x:v>
      </x:c>
      <x:c r="K1648" s="46" t="n">
        <x:v>1</x:v>
      </x:c>
      <x:c r="L1648" s="46" t="n">
        <x:v>1</x:v>
      </x:c>
      <x:c r="M1648" s="27" t="n">
        <x:v>1</x:v>
      </x:c>
    </x:row>
    <x:row r="1649" ht="15" hidden="0" customHeight="1">
      <x:c r="A1649" s="29" t="n">
        <x:v>145</x:v>
      </x:c>
      <x:c r="B1649" s="29" t="n">
        <x:v>331049</x:v>
      </x:c>
      <x:c r="C1649" s="29" t="str">
        <x:v>A3</x:v>
      </x:c>
      <x:c r="D1649" s="53" t="n">
        <x:v>2500</x:v>
      </x:c>
      <x:c r="E1649" s="47" t="n">
        <x:v>1</x:v>
      </x:c>
      <x:c r="F1649" s="47" t="n">
        <x:v>1</x:v>
      </x:c>
      <x:c r="G1649" s="47" t="n">
        <x:v>1</x:v>
      </x:c>
      <x:c r="H1649" s="47" t="n">
        <x:v>1</x:v>
      </x:c>
      <x:c r="I1649" s="47" t="n">
        <x:v>1</x:v>
      </x:c>
      <x:c r="J1649" s="47" t="n">
        <x:v>1</x:v>
      </x:c>
      <x:c r="K1649" s="47" t="n">
        <x:v>1</x:v>
      </x:c>
      <x:c r="L1649" s="47" t="n">
        <x:v>1</x:v>
      </x:c>
      <x:c r="M1649" s="29" t="n">
        <x:v>1</x:v>
      </x:c>
    </x:row>
    <x:row r="1650" ht="15" hidden="0" customHeight="1">
      <x:c r="A1650" s="27" t="n">
        <x:v>146</x:v>
      </x:c>
      <x:c r="B1650" s="27" t="n">
        <x:v>331050</x:v>
      </x:c>
      <x:c r="C1650" s="27" t="str">
        <x:v>A3</x:v>
      </x:c>
      <x:c r="D1650" s="52" t="n">
        <x:v>2500</x:v>
      </x:c>
      <x:c r="E1650" s="46" t="n">
        <x:v>1</x:v>
      </x:c>
      <x:c r="F1650" s="46" t="n">
        <x:v>1</x:v>
      </x:c>
      <x:c r="G1650" s="46" t="n">
        <x:v>1</x:v>
      </x:c>
      <x:c r="H1650" s="46" t="n">
        <x:v>1</x:v>
      </x:c>
      <x:c r="I1650" s="46" t="n">
        <x:v>1</x:v>
      </x:c>
      <x:c r="J1650" s="46" t="n">
        <x:v>1</x:v>
      </x:c>
      <x:c r="K1650" s="46" t="n">
        <x:v>1</x:v>
      </x:c>
      <x:c r="L1650" s="46" t="n">
        <x:v>1</x:v>
      </x:c>
      <x:c r="M1650" s="27" t="n">
        <x:v>1</x:v>
      </x:c>
    </x:row>
    <x:row r="1651" ht="15" hidden="0" customHeight="1">
      <x:c r="A1651" s="29" t="n">
        <x:v>147</x:v>
      </x:c>
      <x:c r="B1651" s="29" t="n">
        <x:v>331051</x:v>
      </x:c>
      <x:c r="C1651" s="29" t="str">
        <x:v>A3</x:v>
      </x:c>
      <x:c r="D1651" s="53" t="n">
        <x:v>2500</x:v>
      </x:c>
      <x:c r="E1651" s="47" t="n">
        <x:v>1</x:v>
      </x:c>
      <x:c r="F1651" s="47" t="n">
        <x:v>1</x:v>
      </x:c>
      <x:c r="G1651" s="47" t="n">
        <x:v>1</x:v>
      </x:c>
      <x:c r="H1651" s="47" t="n">
        <x:v>1</x:v>
      </x:c>
      <x:c r="I1651" s="47" t="n">
        <x:v>1</x:v>
      </x:c>
      <x:c r="J1651" s="47" t="n">
        <x:v>1</x:v>
      </x:c>
      <x:c r="K1651" s="47" t="n">
        <x:v>1</x:v>
      </x:c>
      <x:c r="L1651" s="47" t="n">
        <x:v>1</x:v>
      </x:c>
      <x:c r="M1651" s="29" t="n">
        <x:v>1</x:v>
      </x:c>
    </x:row>
    <x:row r="1652" ht="15" hidden="0" customHeight="1">
      <x:c r="A1652" s="27" t="n">
        <x:v>148</x:v>
      </x:c>
      <x:c r="B1652" s="27" t="n">
        <x:v>331052</x:v>
      </x:c>
      <x:c r="C1652" s="27" t="str">
        <x:v>A3</x:v>
      </x:c>
      <x:c r="D1652" s="52" t="n">
        <x:v>2500</x:v>
      </x:c>
      <x:c r="E1652" s="46" t="n">
        <x:v>1</x:v>
      </x:c>
      <x:c r="F1652" s="46" t="n">
        <x:v>1</x:v>
      </x:c>
      <x:c r="G1652" s="46" t="n">
        <x:v>1</x:v>
      </x:c>
      <x:c r="H1652" s="46" t="n">
        <x:v>1</x:v>
      </x:c>
      <x:c r="I1652" s="46" t="n">
        <x:v>1</x:v>
      </x:c>
      <x:c r="J1652" s="46" t="n">
        <x:v>1</x:v>
      </x:c>
      <x:c r="K1652" s="46" t="n">
        <x:v>1</x:v>
      </x:c>
      <x:c r="L1652" s="46" t="n">
        <x:v>1</x:v>
      </x:c>
      <x:c r="M1652" s="27" t="n">
        <x:v>1</x:v>
      </x:c>
    </x:row>
    <x:row r="1653" ht="15" hidden="0" customHeight="1">
      <x:c r="A1653" s="29" t="n">
        <x:v>149</x:v>
      </x:c>
      <x:c r="B1653" s="29" t="n">
        <x:v>331053</x:v>
      </x:c>
      <x:c r="C1653" s="29" t="str">
        <x:v>A3</x:v>
      </x:c>
      <x:c r="D1653" s="53" t="n">
        <x:v>2500</x:v>
      </x:c>
      <x:c r="E1653" s="47" t="n">
        <x:v>1</x:v>
      </x:c>
      <x:c r="F1653" s="47" t="n">
        <x:v>1</x:v>
      </x:c>
      <x:c r="G1653" s="47" t="n">
        <x:v>1</x:v>
      </x:c>
      <x:c r="H1653" s="47" t="n">
        <x:v>1</x:v>
      </x:c>
      <x:c r="I1653" s="47" t="n">
        <x:v>1</x:v>
      </x:c>
      <x:c r="J1653" s="47" t="n">
        <x:v>1</x:v>
      </x:c>
      <x:c r="K1653" s="47" t="n">
        <x:v>1</x:v>
      </x:c>
      <x:c r="L1653" s="47" t="n">
        <x:v>1</x:v>
      </x:c>
      <x:c r="M1653" s="29" t="n">
        <x:v>1</x:v>
      </x:c>
    </x:row>
    <x:row r="1654" ht="15" hidden="0" customHeight="1">
      <x:c r="A1654" s="27" t="n">
        <x:v>150</x:v>
      </x:c>
      <x:c r="B1654" s="27" t="n">
        <x:v>331054</x:v>
      </x:c>
      <x:c r="C1654" s="27" t="str">
        <x:v>A3</x:v>
      </x:c>
      <x:c r="D1654" s="52" t="n">
        <x:v>2500</x:v>
      </x:c>
      <x:c r="E1654" s="46" t="n">
        <x:v>1</x:v>
      </x:c>
      <x:c r="F1654" s="46" t="n">
        <x:v>1</x:v>
      </x:c>
      <x:c r="G1654" s="46" t="n">
        <x:v>1</x:v>
      </x:c>
      <x:c r="H1654" s="46" t="n">
        <x:v>1</x:v>
      </x:c>
      <x:c r="I1654" s="46" t="n">
        <x:v>1</x:v>
      </x:c>
      <x:c r="J1654" s="46" t="n">
        <x:v>1</x:v>
      </x:c>
      <x:c r="K1654" s="46" t="n">
        <x:v>1</x:v>
      </x:c>
      <x:c r="L1654" s="46" t="n">
        <x:v>1</x:v>
      </x:c>
      <x:c r="M1654" s="27" t="n">
        <x:v>1</x:v>
      </x:c>
    </x:row>
    <x:row r="1655" ht="15" hidden="0" customHeight="1">
      <x:c r="A1655" s="29" t="n">
        <x:v>151</x:v>
      </x:c>
      <x:c r="B1655" s="29" t="n">
        <x:v>331055</x:v>
      </x:c>
      <x:c r="C1655" s="29" t="str">
        <x:v>A3</x:v>
      </x:c>
      <x:c r="D1655" s="53" t="n">
        <x:v>2500</x:v>
      </x:c>
      <x:c r="E1655" s="47" t="n">
        <x:v>1</x:v>
      </x:c>
      <x:c r="F1655" s="47" t="n">
        <x:v>1</x:v>
      </x:c>
      <x:c r="G1655" s="47" t="n">
        <x:v>1</x:v>
      </x:c>
      <x:c r="H1655" s="47" t="n">
        <x:v>1</x:v>
      </x:c>
      <x:c r="I1655" s="47" t="n">
        <x:v>1</x:v>
      </x:c>
      <x:c r="J1655" s="47" t="n">
        <x:v>1</x:v>
      </x:c>
      <x:c r="K1655" s="47" t="n">
        <x:v>1</x:v>
      </x:c>
      <x:c r="L1655" s="47" t="n">
        <x:v>1</x:v>
      </x:c>
      <x:c r="M1655" s="29" t="n">
        <x:v>1</x:v>
      </x:c>
    </x:row>
    <x:row r="1656" ht="15" hidden="0" customHeight="1">
      <x:c r="A1656" s="27" t="n">
        <x:v>152</x:v>
      </x:c>
      <x:c r="B1656" s="27" t="n">
        <x:v>331056</x:v>
      </x:c>
      <x:c r="C1656" s="27" t="str">
        <x:v>A3</x:v>
      </x:c>
      <x:c r="D1656" s="52" t="n">
        <x:v>2500</x:v>
      </x:c>
      <x:c r="E1656" s="46" t="n">
        <x:v>1</x:v>
      </x:c>
      <x:c r="F1656" s="46" t="n">
        <x:v>1</x:v>
      </x:c>
      <x:c r="G1656" s="46" t="n">
        <x:v>1</x:v>
      </x:c>
      <x:c r="H1656" s="46" t="n">
        <x:v>1</x:v>
      </x:c>
      <x:c r="I1656" s="46" t="n">
        <x:v>1</x:v>
      </x:c>
      <x:c r="J1656" s="46" t="n">
        <x:v>1</x:v>
      </x:c>
      <x:c r="K1656" s="46" t="n">
        <x:v>1</x:v>
      </x:c>
      <x:c r="L1656" s="46" t="n">
        <x:v>1</x:v>
      </x:c>
      <x:c r="M1656" s="27" t="n">
        <x:v>1</x:v>
      </x:c>
    </x:row>
    <x:row r="1657" ht="15" hidden="0" customHeight="1">
      <x:c r="A1657" s="29" t="n">
        <x:v>153</x:v>
      </x:c>
      <x:c r="B1657" s="29" t="n">
        <x:v>331057</x:v>
      </x:c>
      <x:c r="C1657" s="29" t="str">
        <x:v>A3</x:v>
      </x:c>
      <x:c r="D1657" s="53" t="n">
        <x:v>2500</x:v>
      </x:c>
      <x:c r="E1657" s="47" t="n">
        <x:v>1</x:v>
      </x:c>
      <x:c r="F1657" s="47" t="n">
        <x:v>1</x:v>
      </x:c>
      <x:c r="G1657" s="47" t="n">
        <x:v>1</x:v>
      </x:c>
      <x:c r="H1657" s="47" t="n">
        <x:v>1</x:v>
      </x:c>
      <x:c r="I1657" s="47" t="n">
        <x:v>1</x:v>
      </x:c>
      <x:c r="J1657" s="47" t="n">
        <x:v>1</x:v>
      </x:c>
      <x:c r="K1657" s="47" t="n">
        <x:v>1</x:v>
      </x:c>
      <x:c r="L1657" s="47" t="n">
        <x:v>1</x:v>
      </x:c>
      <x:c r="M1657" s="29" t="n">
        <x:v>1</x:v>
      </x:c>
    </x:row>
    <x:row r="1658" ht="15" hidden="0" customHeight="1">
      <x:c r="A1658" s="27" t="n">
        <x:v>154</x:v>
      </x:c>
      <x:c r="B1658" s="27" t="n">
        <x:v>331058</x:v>
      </x:c>
      <x:c r="C1658" s="27" t="str">
        <x:v>A3</x:v>
      </x:c>
      <x:c r="D1658" s="52" t="n">
        <x:v>2500</x:v>
      </x:c>
      <x:c r="E1658" s="46" t="n">
        <x:v>1</x:v>
      </x:c>
      <x:c r="F1658" s="46" t="n">
        <x:v>1</x:v>
      </x:c>
      <x:c r="G1658" s="46" t="n">
        <x:v>1</x:v>
      </x:c>
      <x:c r="H1658" s="46" t="n">
        <x:v>1</x:v>
      </x:c>
      <x:c r="I1658" s="46" t="n">
        <x:v>1</x:v>
      </x:c>
      <x:c r="J1658" s="46" t="n">
        <x:v>1</x:v>
      </x:c>
      <x:c r="K1658" s="46" t="n">
        <x:v>1</x:v>
      </x:c>
      <x:c r="L1658" s="46" t="n">
        <x:v>1</x:v>
      </x:c>
      <x:c r="M1658" s="27" t="n">
        <x:v>1</x:v>
      </x:c>
    </x:row>
    <x:row r="1659" ht="15" hidden="0" customHeight="1">
      <x:c r="A1659" s="29" t="n">
        <x:v>155</x:v>
      </x:c>
      <x:c r="B1659" s="29" t="n">
        <x:v>331059</x:v>
      </x:c>
      <x:c r="C1659" s="29" t="str">
        <x:v>A3</x:v>
      </x:c>
      <x:c r="D1659" s="53" t="n">
        <x:v>2500</x:v>
      </x:c>
      <x:c r="E1659" s="47" t="n">
        <x:v>1</x:v>
      </x:c>
      <x:c r="F1659" s="47" t="n">
        <x:v>1</x:v>
      </x:c>
      <x:c r="G1659" s="47" t="n">
        <x:v>1</x:v>
      </x:c>
      <x:c r="H1659" s="47" t="n">
        <x:v>1</x:v>
      </x:c>
      <x:c r="I1659" s="47" t="n">
        <x:v>1</x:v>
      </x:c>
      <x:c r="J1659" s="47" t="n">
        <x:v>1</x:v>
      </x:c>
      <x:c r="K1659" s="47" t="n">
        <x:v>1</x:v>
      </x:c>
      <x:c r="L1659" s="47" t="n">
        <x:v>1</x:v>
      </x:c>
      <x:c r="M1659" s="29" t="n">
        <x:v>1</x:v>
      </x:c>
    </x:row>
    <x:row r="1660" ht="15" hidden="0" customHeight="1">
      <x:c r="A1660" s="27" t="n">
        <x:v>156</x:v>
      </x:c>
      <x:c r="B1660" s="27" t="n">
        <x:v>331060</x:v>
      </x:c>
      <x:c r="C1660" s="27" t="str">
        <x:v>A3</x:v>
      </x:c>
      <x:c r="D1660" s="52" t="n">
        <x:v>2500</x:v>
      </x:c>
      <x:c r="E1660" s="46" t="n">
        <x:v>1</x:v>
      </x:c>
      <x:c r="F1660" s="46" t="n">
        <x:v>1</x:v>
      </x:c>
      <x:c r="G1660" s="46" t="n">
        <x:v>1</x:v>
      </x:c>
      <x:c r="H1660" s="46" t="n">
        <x:v>1</x:v>
      </x:c>
      <x:c r="I1660" s="46" t="n">
        <x:v>1</x:v>
      </x:c>
      <x:c r="J1660" s="46" t="n">
        <x:v>1</x:v>
      </x:c>
      <x:c r="K1660" s="46" t="n">
        <x:v>1</x:v>
      </x:c>
      <x:c r="L1660" s="46" t="n">
        <x:v>1</x:v>
      </x:c>
      <x:c r="M1660" s="27" t="n">
        <x:v>1</x:v>
      </x:c>
    </x:row>
    <x:row r="1661" ht="15" hidden="0" customHeight="1">
      <x:c r="A1661" s="29" t="n">
        <x:v>157</x:v>
      </x:c>
      <x:c r="B1661" s="29" t="n">
        <x:v>331061</x:v>
      </x:c>
      <x:c r="C1661" s="29" t="str">
        <x:v>A3</x:v>
      </x:c>
      <x:c r="D1661" s="53" t="n">
        <x:v>2500</x:v>
      </x:c>
      <x:c r="E1661" s="47" t="n">
        <x:v>1</x:v>
      </x:c>
      <x:c r="F1661" s="47" t="n">
        <x:v>1</x:v>
      </x:c>
      <x:c r="G1661" s="47" t="n">
        <x:v>1</x:v>
      </x:c>
      <x:c r="H1661" s="47" t="n">
        <x:v>1</x:v>
      </x:c>
      <x:c r="I1661" s="47" t="n">
        <x:v>1</x:v>
      </x:c>
      <x:c r="J1661" s="47" t="n">
        <x:v>1</x:v>
      </x:c>
      <x:c r="K1661" s="47" t="n">
        <x:v>1</x:v>
      </x:c>
      <x:c r="L1661" s="47" t="n">
        <x:v>1</x:v>
      </x:c>
      <x:c r="M1661" s="29" t="n">
        <x:v>1</x:v>
      </x:c>
    </x:row>
    <x:row r="1662" ht="15" hidden="0" customHeight="1">
      <x:c r="A1662" s="27" t="n">
        <x:v>158</x:v>
      </x:c>
      <x:c r="B1662" s="27" t="n">
        <x:v>331062</x:v>
      </x:c>
      <x:c r="C1662" s="27" t="str">
        <x:v>A3</x:v>
      </x:c>
      <x:c r="D1662" s="52" t="n">
        <x:v>2500</x:v>
      </x:c>
      <x:c r="E1662" s="46" t="n">
        <x:v>1</x:v>
      </x:c>
      <x:c r="F1662" s="46" t="n">
        <x:v>1</x:v>
      </x:c>
      <x:c r="G1662" s="46" t="n">
        <x:v>1</x:v>
      </x:c>
      <x:c r="H1662" s="46" t="n">
        <x:v>1</x:v>
      </x:c>
      <x:c r="I1662" s="46" t="n">
        <x:v>1</x:v>
      </x:c>
      <x:c r="J1662" s="46" t="n">
        <x:v>1</x:v>
      </x:c>
      <x:c r="K1662" s="46" t="n">
        <x:v>1</x:v>
      </x:c>
      <x:c r="L1662" s="46" t="n">
        <x:v>1</x:v>
      </x:c>
      <x:c r="M1662" s="27" t="n">
        <x:v>1</x:v>
      </x:c>
    </x:row>
    <x:row r="1663" ht="15" hidden="0" customHeight="1">
      <x:c r="A1663" s="29" t="n">
        <x:v>159</x:v>
      </x:c>
      <x:c r="B1663" s="29" t="n">
        <x:v>331063</x:v>
      </x:c>
      <x:c r="C1663" s="29" t="str">
        <x:v>A3</x:v>
      </x:c>
      <x:c r="D1663" s="53" t="n">
        <x:v>2500</x:v>
      </x:c>
      <x:c r="E1663" s="47" t="n">
        <x:v>1</x:v>
      </x:c>
      <x:c r="F1663" s="47" t="n">
        <x:v>1</x:v>
      </x:c>
      <x:c r="G1663" s="47" t="n">
        <x:v>1</x:v>
      </x:c>
      <x:c r="H1663" s="47" t="n">
        <x:v>1</x:v>
      </x:c>
      <x:c r="I1663" s="47" t="n">
        <x:v>1</x:v>
      </x:c>
      <x:c r="J1663" s="47" t="n">
        <x:v>1</x:v>
      </x:c>
      <x:c r="K1663" s="47" t="n">
        <x:v>1</x:v>
      </x:c>
      <x:c r="L1663" s="47" t="n">
        <x:v>1</x:v>
      </x:c>
      <x:c r="M1663" s="29" t="n">
        <x:v>1</x:v>
      </x:c>
    </x:row>
    <x:row r="1664" ht="15" hidden="0" customHeight="1">
      <x:c r="A1664" s="27" t="n">
        <x:v>160</x:v>
      </x:c>
      <x:c r="B1664" s="27" t="n">
        <x:v>331064</x:v>
      </x:c>
      <x:c r="C1664" s="27" t="str">
        <x:v>A3</x:v>
      </x:c>
      <x:c r="D1664" s="52" t="n">
        <x:v>2500</x:v>
      </x:c>
      <x:c r="E1664" s="46" t="n">
        <x:v>1</x:v>
      </x:c>
      <x:c r="F1664" s="46" t="n">
        <x:v>1</x:v>
      </x:c>
      <x:c r="G1664" s="46" t="n">
        <x:v>1</x:v>
      </x:c>
      <x:c r="H1664" s="46" t="n">
        <x:v>1</x:v>
      </x:c>
      <x:c r="I1664" s="46" t="n">
        <x:v>1</x:v>
      </x:c>
      <x:c r="J1664" s="46" t="n">
        <x:v>1</x:v>
      </x:c>
      <x:c r="K1664" s="46" t="n">
        <x:v>1</x:v>
      </x:c>
      <x:c r="L1664" s="46" t="n">
        <x:v>1</x:v>
      </x:c>
      <x:c r="M1664" s="27" t="n">
        <x:v>1</x:v>
      </x:c>
    </x:row>
    <x:row r="1665" ht="15" hidden="0" customHeight="1">
      <x:c r="A1665" s="29" t="n">
        <x:v>161</x:v>
      </x:c>
      <x:c r="B1665" s="29" t="n">
        <x:v>331065</x:v>
      </x:c>
      <x:c r="C1665" s="29" t="str">
        <x:v>A3</x:v>
      </x:c>
      <x:c r="D1665" s="53" t="n">
        <x:v>2500</x:v>
      </x:c>
      <x:c r="E1665" s="47" t="n">
        <x:v>1</x:v>
      </x:c>
      <x:c r="F1665" s="47" t="n">
        <x:v>1</x:v>
      </x:c>
      <x:c r="G1665" s="47" t="n">
        <x:v>1</x:v>
      </x:c>
      <x:c r="H1665" s="47" t="n">
        <x:v>1</x:v>
      </x:c>
      <x:c r="I1665" s="47" t="n">
        <x:v>1</x:v>
      </x:c>
      <x:c r="J1665" s="47" t="n">
        <x:v>1</x:v>
      </x:c>
      <x:c r="K1665" s="47" t="n">
        <x:v>1</x:v>
      </x:c>
      <x:c r="L1665" s="47" t="n">
        <x:v>1</x:v>
      </x:c>
      <x:c r="M1665" s="29" t="n">
        <x:v>1</x:v>
      </x:c>
    </x:row>
    <x:row r="1666" ht="15" hidden="0" customHeight="1">
      <x:c r="A1666" s="27" t="n">
        <x:v>162</x:v>
      </x:c>
      <x:c r="B1666" s="27" t="n">
        <x:v>331066</x:v>
      </x:c>
      <x:c r="C1666" s="27" t="str">
        <x:v>A3</x:v>
      </x:c>
      <x:c r="D1666" s="52" t="n">
        <x:v>2500</x:v>
      </x:c>
      <x:c r="E1666" s="46" t="n">
        <x:v>1</x:v>
      </x:c>
      <x:c r="F1666" s="46" t="n">
        <x:v>1</x:v>
      </x:c>
      <x:c r="G1666" s="46" t="n">
        <x:v>1</x:v>
      </x:c>
      <x:c r="H1666" s="46" t="n">
        <x:v>1</x:v>
      </x:c>
      <x:c r="I1666" s="46" t="n">
        <x:v>1</x:v>
      </x:c>
      <x:c r="J1666" s="46" t="n">
        <x:v>1</x:v>
      </x:c>
      <x:c r="K1666" s="46" t="n">
        <x:v>1</x:v>
      </x:c>
      <x:c r="L1666" s="46" t="n">
        <x:v>1</x:v>
      </x:c>
      <x:c r="M1666" s="27" t="n">
        <x:v>1</x:v>
      </x:c>
    </x:row>
    <x:row r="1667" ht="15" hidden="0" customHeight="1">
      <x:c r="A1667" s="29" t="n">
        <x:v>163</x:v>
      </x:c>
      <x:c r="B1667" s="29" t="n">
        <x:v>331067</x:v>
      </x:c>
      <x:c r="C1667" s="29" t="str">
        <x:v>A3</x:v>
      </x:c>
      <x:c r="D1667" s="53" t="n">
        <x:v>2500</x:v>
      </x:c>
      <x:c r="E1667" s="47" t="n">
        <x:v>1</x:v>
      </x:c>
      <x:c r="F1667" s="47" t="n">
        <x:v>1</x:v>
      </x:c>
      <x:c r="G1667" s="47" t="n">
        <x:v>1</x:v>
      </x:c>
      <x:c r="H1667" s="47" t="n">
        <x:v>1</x:v>
      </x:c>
      <x:c r="I1667" s="47" t="n">
        <x:v>1</x:v>
      </x:c>
      <x:c r="J1667" s="47" t="n">
        <x:v>1</x:v>
      </x:c>
      <x:c r="K1667" s="47" t="n">
        <x:v>1</x:v>
      </x:c>
      <x:c r="L1667" s="47" t="n">
        <x:v>1</x:v>
      </x:c>
      <x:c r="M1667" s="29" t="n">
        <x:v>1</x:v>
      </x:c>
    </x:row>
    <x:row r="1668" ht="15" hidden="0" customHeight="1">
      <x:c r="A1668" s="27" t="n">
        <x:v>164</x:v>
      </x:c>
      <x:c r="B1668" s="27" t="n">
        <x:v>331068</x:v>
      </x:c>
      <x:c r="C1668" s="27" t="str">
        <x:v>A3</x:v>
      </x:c>
      <x:c r="D1668" s="52" t="n">
        <x:v>2500</x:v>
      </x:c>
      <x:c r="E1668" s="46" t="n">
        <x:v>1</x:v>
      </x:c>
      <x:c r="F1668" s="46" t="n">
        <x:v>1</x:v>
      </x:c>
      <x:c r="G1668" s="46" t="n">
        <x:v>1</x:v>
      </x:c>
      <x:c r="H1668" s="46" t="n">
        <x:v>1</x:v>
      </x:c>
      <x:c r="I1668" s="46" t="n">
        <x:v>1</x:v>
      </x:c>
      <x:c r="J1668" s="46" t="n">
        <x:v>1</x:v>
      </x:c>
      <x:c r="K1668" s="46" t="n">
        <x:v>1</x:v>
      </x:c>
      <x:c r="L1668" s="46" t="n">
        <x:v>1</x:v>
      </x:c>
      <x:c r="M1668" s="27" t="n">
        <x:v>1</x:v>
      </x:c>
    </x:row>
    <x:row r="1669" ht="15" hidden="0" customHeight="1">
      <x:c r="A1669" s="29" t="n">
        <x:v>165</x:v>
      </x:c>
      <x:c r="B1669" s="29" t="n">
        <x:v>331069</x:v>
      </x:c>
      <x:c r="C1669" s="29" t="str">
        <x:v>A3</x:v>
      </x:c>
      <x:c r="D1669" s="53" t="n">
        <x:v>2500</x:v>
      </x:c>
      <x:c r="E1669" s="47" t="n">
        <x:v>1</x:v>
      </x:c>
      <x:c r="F1669" s="47" t="n">
        <x:v>1</x:v>
      </x:c>
      <x:c r="G1669" s="47" t="n">
        <x:v>1</x:v>
      </x:c>
      <x:c r="H1669" s="47" t="n">
        <x:v>1</x:v>
      </x:c>
      <x:c r="I1669" s="47" t="n">
        <x:v>1</x:v>
      </x:c>
      <x:c r="J1669" s="47" t="n">
        <x:v>1</x:v>
      </x:c>
      <x:c r="K1669" s="47" t="n">
        <x:v>1</x:v>
      </x:c>
      <x:c r="L1669" s="47" t="n">
        <x:v>1</x:v>
      </x:c>
      <x:c r="M1669" s="29" t="n">
        <x:v>1</x:v>
      </x:c>
    </x:row>
    <x:row r="1670" ht="15" hidden="0" customHeight="1">
      <x:c r="A1670" s="27" t="n">
        <x:v>166</x:v>
      </x:c>
      <x:c r="B1670" s="27" t="n">
        <x:v>331070</x:v>
      </x:c>
      <x:c r="C1670" s="27" t="str">
        <x:v>A3</x:v>
      </x:c>
      <x:c r="D1670" s="52" t="n">
        <x:v>2500</x:v>
      </x:c>
      <x:c r="E1670" s="46" t="n">
        <x:v>1</x:v>
      </x:c>
      <x:c r="F1670" s="46" t="n">
        <x:v>1</x:v>
      </x:c>
      <x:c r="G1670" s="46" t="n">
        <x:v>1</x:v>
      </x:c>
      <x:c r="H1670" s="46" t="n">
        <x:v>1</x:v>
      </x:c>
      <x:c r="I1670" s="46" t="n">
        <x:v>1</x:v>
      </x:c>
      <x:c r="J1670" s="46" t="n">
        <x:v>1</x:v>
      </x:c>
      <x:c r="K1670" s="46" t="n">
        <x:v>1</x:v>
      </x:c>
      <x:c r="L1670" s="46" t="n">
        <x:v>1</x:v>
      </x:c>
      <x:c r="M1670" s="27" t="n">
        <x:v>1</x:v>
      </x:c>
    </x:row>
    <x:row r="1671" ht="15" hidden="0" customHeight="1">
      <x:c r="A1671" s="29" t="n">
        <x:v>167</x:v>
      </x:c>
      <x:c r="B1671" s="29" t="n">
        <x:v>331071</x:v>
      </x:c>
      <x:c r="C1671" s="29" t="str">
        <x:v>A3</x:v>
      </x:c>
      <x:c r="D1671" s="53" t="n">
        <x:v>2500</x:v>
      </x:c>
      <x:c r="E1671" s="47" t="n">
        <x:v>1</x:v>
      </x:c>
      <x:c r="F1671" s="47" t="n">
        <x:v>1</x:v>
      </x:c>
      <x:c r="G1671" s="47" t="n">
        <x:v>1</x:v>
      </x:c>
      <x:c r="H1671" s="47" t="n">
        <x:v>1</x:v>
      </x:c>
      <x:c r="I1671" s="47" t="n">
        <x:v>1</x:v>
      </x:c>
      <x:c r="J1671" s="47" t="n">
        <x:v>1</x:v>
      </x:c>
      <x:c r="K1671" s="47" t="n">
        <x:v>1</x:v>
      </x:c>
      <x:c r="L1671" s="47" t="n">
        <x:v>1</x:v>
      </x:c>
      <x:c r="M1671" s="29" t="n">
        <x:v>1</x:v>
      </x:c>
    </x:row>
    <x:row r="1672" ht="15" hidden="0" customHeight="1">
      <x:c r="A1672" s="27" t="n">
        <x:v>168</x:v>
      </x:c>
      <x:c r="B1672" s="27" t="n">
        <x:v>331072</x:v>
      </x:c>
      <x:c r="C1672" s="27" t="str">
        <x:v>A3</x:v>
      </x:c>
      <x:c r="D1672" s="52" t="n">
        <x:v>2500</x:v>
      </x:c>
      <x:c r="E1672" s="46" t="n">
        <x:v>1</x:v>
      </x:c>
      <x:c r="F1672" s="46" t="n">
        <x:v>1</x:v>
      </x:c>
      <x:c r="G1672" s="46" t="n">
        <x:v>1</x:v>
      </x:c>
      <x:c r="H1672" s="46" t="n">
        <x:v>1</x:v>
      </x:c>
      <x:c r="I1672" s="46" t="n">
        <x:v>1</x:v>
      </x:c>
      <x:c r="J1672" s="46" t="n">
        <x:v>1</x:v>
      </x:c>
      <x:c r="K1672" s="46" t="n">
        <x:v>1</x:v>
      </x:c>
      <x:c r="L1672" s="46" t="n">
        <x:v>1</x:v>
      </x:c>
      <x:c r="M1672" s="27" t="n">
        <x:v>1</x:v>
      </x:c>
    </x:row>
    <x:row r="1673" ht="15" hidden="0" customHeight="1">
      <x:c r="A1673" s="29" t="n">
        <x:v>169</x:v>
      </x:c>
      <x:c r="B1673" s="29" t="n">
        <x:v>331073</x:v>
      </x:c>
      <x:c r="C1673" s="29" t="str">
        <x:v>A3</x:v>
      </x:c>
      <x:c r="D1673" s="53" t="n">
        <x:v>2500</x:v>
      </x:c>
      <x:c r="E1673" s="47" t="n">
        <x:v>1</x:v>
      </x:c>
      <x:c r="F1673" s="47" t="n">
        <x:v>1</x:v>
      </x:c>
      <x:c r="G1673" s="47" t="n">
        <x:v>1</x:v>
      </x:c>
      <x:c r="H1673" s="47" t="n">
        <x:v>1</x:v>
      </x:c>
      <x:c r="I1673" s="47" t="n">
        <x:v>1</x:v>
      </x:c>
      <x:c r="J1673" s="47" t="n">
        <x:v>1</x:v>
      </x:c>
      <x:c r="K1673" s="47" t="n">
        <x:v>1</x:v>
      </x:c>
      <x:c r="L1673" s="47" t="n">
        <x:v>1</x:v>
      </x:c>
      <x:c r="M1673" s="29" t="n">
        <x:v>1</x:v>
      </x:c>
    </x:row>
    <x:row r="1674" ht="15" hidden="0" customHeight="1">
      <x:c r="A1674" s="27" t="n">
        <x:v>170</x:v>
      </x:c>
      <x:c r="B1674" s="27" t="n">
        <x:v>331074</x:v>
      </x:c>
      <x:c r="C1674" s="27" t="str">
        <x:v>A3</x:v>
      </x:c>
      <x:c r="D1674" s="52" t="n">
        <x:v>2500</x:v>
      </x:c>
      <x:c r="E1674" s="46" t="n">
        <x:v>1</x:v>
      </x:c>
      <x:c r="F1674" s="46" t="n">
        <x:v>1</x:v>
      </x:c>
      <x:c r="G1674" s="46" t="n">
        <x:v>1</x:v>
      </x:c>
      <x:c r="H1674" s="46" t="n">
        <x:v>1</x:v>
      </x:c>
      <x:c r="I1674" s="46" t="n">
        <x:v>1</x:v>
      </x:c>
      <x:c r="J1674" s="46" t="n">
        <x:v>1</x:v>
      </x:c>
      <x:c r="K1674" s="46" t="n">
        <x:v>1</x:v>
      </x:c>
      <x:c r="L1674" s="46" t="n">
        <x:v>1</x:v>
      </x:c>
      <x:c r="M1674" s="27" t="n">
        <x:v>1</x:v>
      </x:c>
    </x:row>
    <x:row r="1675" ht="15" hidden="0" customHeight="1">
      <x:c r="A1675" s="29" t="n">
        <x:v>171</x:v>
      </x:c>
      <x:c r="B1675" s="29" t="n">
        <x:v>331075</x:v>
      </x:c>
      <x:c r="C1675" s="29" t="str">
        <x:v>A3</x:v>
      </x:c>
      <x:c r="D1675" s="53" t="n">
        <x:v>2500</x:v>
      </x:c>
      <x:c r="E1675" s="47" t="n">
        <x:v>1</x:v>
      </x:c>
      <x:c r="F1675" s="47" t="n">
        <x:v>1</x:v>
      </x:c>
      <x:c r="G1675" s="47" t="n">
        <x:v>1</x:v>
      </x:c>
      <x:c r="H1675" s="47" t="n">
        <x:v>1</x:v>
      </x:c>
      <x:c r="I1675" s="47" t="n">
        <x:v>1</x:v>
      </x:c>
      <x:c r="J1675" s="47" t="n">
        <x:v>1</x:v>
      </x:c>
      <x:c r="K1675" s="47" t="n">
        <x:v>1</x:v>
      </x:c>
      <x:c r="L1675" s="47" t="n">
        <x:v>1</x:v>
      </x:c>
      <x:c r="M1675" s="29" t="n">
        <x:v>1</x:v>
      </x:c>
    </x:row>
    <x:row r="1676" ht="15" hidden="0" customHeight="1">
      <x:c r="A1676" s="27" t="n">
        <x:v>172</x:v>
      </x:c>
      <x:c r="B1676" s="27" t="n">
        <x:v>331076</x:v>
      </x:c>
      <x:c r="C1676" s="27" t="str">
        <x:v>A3</x:v>
      </x:c>
      <x:c r="D1676" s="52" t="n">
        <x:v>2500</x:v>
      </x:c>
      <x:c r="E1676" s="46" t="n">
        <x:v>1</x:v>
      </x:c>
      <x:c r="F1676" s="46" t="n">
        <x:v>1</x:v>
      </x:c>
      <x:c r="G1676" s="46" t="n">
        <x:v>1</x:v>
      </x:c>
      <x:c r="H1676" s="46" t="n">
        <x:v>1</x:v>
      </x:c>
      <x:c r="I1676" s="46" t="n">
        <x:v>1</x:v>
      </x:c>
      <x:c r="J1676" s="46" t="n">
        <x:v>1</x:v>
      </x:c>
      <x:c r="K1676" s="46" t="n">
        <x:v>1</x:v>
      </x:c>
      <x:c r="L1676" s="46" t="n">
        <x:v>1</x:v>
      </x:c>
      <x:c r="M1676" s="27" t="n">
        <x:v>1</x:v>
      </x:c>
    </x:row>
    <x:row r="1677" ht="15" hidden="0" customHeight="1">
      <x:c r="A1677" s="29" t="n">
        <x:v>173</x:v>
      </x:c>
      <x:c r="B1677" s="29" t="n">
        <x:v>331077</x:v>
      </x:c>
      <x:c r="C1677" s="29" t="str">
        <x:v>A3</x:v>
      </x:c>
      <x:c r="D1677" s="53" t="n">
        <x:v>2500</x:v>
      </x:c>
      <x:c r="E1677" s="47" t="n">
        <x:v>1</x:v>
      </x:c>
      <x:c r="F1677" s="47" t="n">
        <x:v>1</x:v>
      </x:c>
      <x:c r="G1677" s="47" t="n">
        <x:v>1</x:v>
      </x:c>
      <x:c r="H1677" s="47" t="n">
        <x:v>1</x:v>
      </x:c>
      <x:c r="I1677" s="47" t="n">
        <x:v>1</x:v>
      </x:c>
      <x:c r="J1677" s="47" t="n">
        <x:v>1</x:v>
      </x:c>
      <x:c r="K1677" s="47" t="n">
        <x:v>1</x:v>
      </x:c>
      <x:c r="L1677" s="47" t="n">
        <x:v>1</x:v>
      </x:c>
      <x:c r="M1677" s="29" t="n">
        <x:v>1</x:v>
      </x:c>
    </x:row>
    <x:row r="1678" ht="15" hidden="0" customHeight="1">
      <x:c r="A1678" s="27" t="n">
        <x:v>174</x:v>
      </x:c>
      <x:c r="B1678" s="27" t="n">
        <x:v>331078</x:v>
      </x:c>
      <x:c r="C1678" s="27" t="str">
        <x:v>A3</x:v>
      </x:c>
      <x:c r="D1678" s="52" t="n">
        <x:v>2500</x:v>
      </x:c>
      <x:c r="E1678" s="46" t="n">
        <x:v>1</x:v>
      </x:c>
      <x:c r="F1678" s="46" t="n">
        <x:v>1</x:v>
      </x:c>
      <x:c r="G1678" s="46" t="n">
        <x:v>1</x:v>
      </x:c>
      <x:c r="H1678" s="46" t="n">
        <x:v>1</x:v>
      </x:c>
      <x:c r="I1678" s="46" t="n">
        <x:v>1</x:v>
      </x:c>
      <x:c r="J1678" s="46" t="n">
        <x:v>1</x:v>
      </x:c>
      <x:c r="K1678" s="46" t="n">
        <x:v>1</x:v>
      </x:c>
      <x:c r="L1678" s="46" t="n">
        <x:v>1</x:v>
      </x:c>
      <x:c r="M1678" s="27" t="n">
        <x:v>1</x:v>
      </x:c>
    </x:row>
    <x:row r="1679" ht="15" hidden="0" customHeight="1">
      <x:c r="A1679" s="29" t="n">
        <x:v>175</x:v>
      </x:c>
      <x:c r="B1679" s="29" t="n">
        <x:v>331079</x:v>
      </x:c>
      <x:c r="C1679" s="29" t="str">
        <x:v>A3</x:v>
      </x:c>
      <x:c r="D1679" s="53" t="n">
        <x:v>2500</x:v>
      </x:c>
      <x:c r="E1679" s="47" t="n">
        <x:v>1</x:v>
      </x:c>
      <x:c r="F1679" s="47" t="n">
        <x:v>1</x:v>
      </x:c>
      <x:c r="G1679" s="47" t="n">
        <x:v>1</x:v>
      </x:c>
      <x:c r="H1679" s="47" t="n">
        <x:v>1</x:v>
      </x:c>
      <x:c r="I1679" s="47" t="n">
        <x:v>1</x:v>
      </x:c>
      <x:c r="J1679" s="47" t="n">
        <x:v>1</x:v>
      </x:c>
      <x:c r="K1679" s="47" t="n">
        <x:v>1</x:v>
      </x:c>
      <x:c r="L1679" s="47" t="n">
        <x:v>1</x:v>
      </x:c>
      <x:c r="M1679" s="29" t="n">
        <x:v>1</x:v>
      </x:c>
    </x:row>
    <x:row r="1680" ht="15" hidden="0" customHeight="1">
      <x:c r="A1680" s="27" t="n">
        <x:v>176</x:v>
      </x:c>
      <x:c r="B1680" s="27" t="n">
        <x:v>331080</x:v>
      </x:c>
      <x:c r="C1680" s="27" t="str">
        <x:v>A3</x:v>
      </x:c>
      <x:c r="D1680" s="52" t="n">
        <x:v>2500</x:v>
      </x:c>
      <x:c r="E1680" s="46" t="n">
        <x:v>1</x:v>
      </x:c>
      <x:c r="F1680" s="46" t="n">
        <x:v>1</x:v>
      </x:c>
      <x:c r="G1680" s="46" t="n">
        <x:v>1</x:v>
      </x:c>
      <x:c r="H1680" s="46" t="n">
        <x:v>1</x:v>
      </x:c>
      <x:c r="I1680" s="46" t="n">
        <x:v>1</x:v>
      </x:c>
      <x:c r="J1680" s="46" t="n">
        <x:v>1</x:v>
      </x:c>
      <x:c r="K1680" s="46" t="n">
        <x:v>1</x:v>
      </x:c>
      <x:c r="L1680" s="46" t="n">
        <x:v>1</x:v>
      </x:c>
      <x:c r="M1680" s="27" t="n">
        <x:v>1</x:v>
      </x:c>
    </x:row>
    <x:row r="1681" ht="15" hidden="0" customHeight="1">
      <x:c r="A1681" s="29" t="n">
        <x:v>177</x:v>
      </x:c>
      <x:c r="B1681" s="29" t="n">
        <x:v>331081</x:v>
      </x:c>
      <x:c r="C1681" s="29" t="str">
        <x:v>A3</x:v>
      </x:c>
      <x:c r="D1681" s="53" t="n">
        <x:v>2500</x:v>
      </x:c>
      <x:c r="E1681" s="47" t="n">
        <x:v>1</x:v>
      </x:c>
      <x:c r="F1681" s="47" t="n">
        <x:v>1</x:v>
      </x:c>
      <x:c r="G1681" s="47" t="n">
        <x:v>1</x:v>
      </x:c>
      <x:c r="H1681" s="47" t="n">
        <x:v>1</x:v>
      </x:c>
      <x:c r="I1681" s="47" t="n">
        <x:v>1</x:v>
      </x:c>
      <x:c r="J1681" s="47" t="n">
        <x:v>1</x:v>
      </x:c>
      <x:c r="K1681" s="47" t="n">
        <x:v>1</x:v>
      </x:c>
      <x:c r="L1681" s="47" t="n">
        <x:v>1</x:v>
      </x:c>
      <x:c r="M1681" s="29" t="n">
        <x:v>1</x:v>
      </x:c>
    </x:row>
    <x:row r="1682" ht="15" hidden="0" customHeight="1">
      <x:c r="A1682" s="27" t="n">
        <x:v>178</x:v>
      </x:c>
      <x:c r="B1682" s="27" t="n">
        <x:v>331082</x:v>
      </x:c>
      <x:c r="C1682" s="27" t="str">
        <x:v>A3</x:v>
      </x:c>
      <x:c r="D1682" s="52" t="n">
        <x:v>2500</x:v>
      </x:c>
      <x:c r="E1682" s="46" t="n">
        <x:v>1</x:v>
      </x:c>
      <x:c r="F1682" s="46" t="n">
        <x:v>1</x:v>
      </x:c>
      <x:c r="G1682" s="46" t="n">
        <x:v>1</x:v>
      </x:c>
      <x:c r="H1682" s="46" t="n">
        <x:v>1</x:v>
      </x:c>
      <x:c r="I1682" s="46" t="n">
        <x:v>1</x:v>
      </x:c>
      <x:c r="J1682" s="46" t="n">
        <x:v>1</x:v>
      </x:c>
      <x:c r="K1682" s="46" t="n">
        <x:v>1</x:v>
      </x:c>
      <x:c r="L1682" s="46" t="n">
        <x:v>1</x:v>
      </x:c>
      <x:c r="M1682" s="27" t="n">
        <x:v>1</x:v>
      </x:c>
    </x:row>
    <x:row r="1683" ht="15" hidden="0" customHeight="1">
      <x:c r="A1683" s="29" t="n">
        <x:v>179</x:v>
      </x:c>
      <x:c r="B1683" s="29" t="n">
        <x:v>331083</x:v>
      </x:c>
      <x:c r="C1683" s="29" t="str">
        <x:v>A3</x:v>
      </x:c>
      <x:c r="D1683" s="53" t="n">
        <x:v>2500</x:v>
      </x:c>
      <x:c r="E1683" s="47" t="n">
        <x:v>1</x:v>
      </x:c>
      <x:c r="F1683" s="47" t="n">
        <x:v>1</x:v>
      </x:c>
      <x:c r="G1683" s="47" t="n">
        <x:v>1</x:v>
      </x:c>
      <x:c r="H1683" s="47" t="n">
        <x:v>1</x:v>
      </x:c>
      <x:c r="I1683" s="47" t="n">
        <x:v>1</x:v>
      </x:c>
      <x:c r="J1683" s="47" t="n">
        <x:v>1</x:v>
      </x:c>
      <x:c r="K1683" s="47" t="n">
        <x:v>1</x:v>
      </x:c>
      <x:c r="L1683" s="47" t="n">
        <x:v>1</x:v>
      </x:c>
      <x:c r="M1683" s="29" t="n">
        <x:v>1</x:v>
      </x:c>
    </x:row>
    <x:row r="1684" ht="15" hidden="0" customHeight="1">
      <x:c r="A1684" s="27" t="n">
        <x:v>180</x:v>
      </x:c>
      <x:c r="B1684" s="27" t="n">
        <x:v>331084</x:v>
      </x:c>
      <x:c r="C1684" s="27" t="str">
        <x:v>A3</x:v>
      </x:c>
      <x:c r="D1684" s="52" t="n">
        <x:v>2500</x:v>
      </x:c>
      <x:c r="E1684" s="46" t="n">
        <x:v>1</x:v>
      </x:c>
      <x:c r="F1684" s="46" t="n">
        <x:v>1</x:v>
      </x:c>
      <x:c r="G1684" s="46" t="n">
        <x:v>1</x:v>
      </x:c>
      <x:c r="H1684" s="46" t="n">
        <x:v>1</x:v>
      </x:c>
      <x:c r="I1684" s="46" t="n">
        <x:v>1</x:v>
      </x:c>
      <x:c r="J1684" s="46" t="n">
        <x:v>1</x:v>
      </x:c>
      <x:c r="K1684" s="46" t="n">
        <x:v>1</x:v>
      </x:c>
      <x:c r="L1684" s="46" t="n">
        <x:v>1</x:v>
      </x:c>
      <x:c r="M1684" s="27" t="n">
        <x:v>1</x:v>
      </x:c>
    </x:row>
    <x:row r="1685" ht="15" hidden="0" customHeight="1">
      <x:c r="A1685" s="29" t="n">
        <x:v>181</x:v>
      </x:c>
      <x:c r="B1685" s="29" t="n">
        <x:v>331085</x:v>
      </x:c>
      <x:c r="C1685" s="29" t="str">
        <x:v>A3</x:v>
      </x:c>
      <x:c r="D1685" s="53" t="n">
        <x:v>2500</x:v>
      </x:c>
      <x:c r="E1685" s="47" t="n">
        <x:v>1</x:v>
      </x:c>
      <x:c r="F1685" s="47" t="n">
        <x:v>1</x:v>
      </x:c>
      <x:c r="G1685" s="47" t="n">
        <x:v>1</x:v>
      </x:c>
      <x:c r="H1685" s="47" t="n">
        <x:v>1</x:v>
      </x:c>
      <x:c r="I1685" s="47" t="n">
        <x:v>1</x:v>
      </x:c>
      <x:c r="J1685" s="47" t="n">
        <x:v>1</x:v>
      </x:c>
      <x:c r="K1685" s="47" t="n">
        <x:v>1</x:v>
      </x:c>
      <x:c r="L1685" s="47" t="n">
        <x:v>1</x:v>
      </x:c>
      <x:c r="M1685" s="29" t="n">
        <x:v>1</x:v>
      </x:c>
    </x:row>
    <x:row r="1686" ht="15" hidden="0" customHeight="1">
      <x:c r="A1686" s="27" t="n">
        <x:v>182</x:v>
      </x:c>
      <x:c r="B1686" s="27" t="n">
        <x:v>331086</x:v>
      </x:c>
      <x:c r="C1686" s="27" t="str">
        <x:v>A3</x:v>
      </x:c>
      <x:c r="D1686" s="52" t="n">
        <x:v>2500</x:v>
      </x:c>
      <x:c r="E1686" s="46" t="n">
        <x:v>1</x:v>
      </x:c>
      <x:c r="F1686" s="46" t="n">
        <x:v>1</x:v>
      </x:c>
      <x:c r="G1686" s="46" t="n">
        <x:v>1</x:v>
      </x:c>
      <x:c r="H1686" s="46" t="n">
        <x:v>1</x:v>
      </x:c>
      <x:c r="I1686" s="46" t="n">
        <x:v>1</x:v>
      </x:c>
      <x:c r="J1686" s="46" t="n">
        <x:v>1</x:v>
      </x:c>
      <x:c r="K1686" s="46" t="n">
        <x:v>1</x:v>
      </x:c>
      <x:c r="L1686" s="46" t="n">
        <x:v>1</x:v>
      </x:c>
      <x:c r="M1686" s="27" t="n">
        <x:v>1</x:v>
      </x:c>
    </x:row>
    <x:row r="1687" ht="15" hidden="0" customHeight="1">
      <x:c r="A1687" s="29" t="n">
        <x:v>183</x:v>
      </x:c>
      <x:c r="B1687" s="29" t="n">
        <x:v>331087</x:v>
      </x:c>
      <x:c r="C1687" s="29" t="str">
        <x:v>A3</x:v>
      </x:c>
      <x:c r="D1687" s="53" t="n">
        <x:v>2500</x:v>
      </x:c>
      <x:c r="E1687" s="47" t="n">
        <x:v>1</x:v>
      </x:c>
      <x:c r="F1687" s="47" t="n">
        <x:v>1</x:v>
      </x:c>
      <x:c r="G1687" s="47" t="n">
        <x:v>1</x:v>
      </x:c>
      <x:c r="H1687" s="47" t="n">
        <x:v>1</x:v>
      </x:c>
      <x:c r="I1687" s="47" t="n">
        <x:v>1</x:v>
      </x:c>
      <x:c r="J1687" s="47" t="n">
        <x:v>1</x:v>
      </x:c>
      <x:c r="K1687" s="47" t="n">
        <x:v>1</x:v>
      </x:c>
      <x:c r="L1687" s="47" t="n">
        <x:v>1</x:v>
      </x:c>
      <x:c r="M1687" s="29" t="n">
        <x:v>1</x:v>
      </x:c>
    </x:row>
    <x:row r="1688" ht="15" hidden="0" customHeight="1">
      <x:c r="A1688" s="27" t="n">
        <x:v>184</x:v>
      </x:c>
      <x:c r="B1688" s="27" t="n">
        <x:v>331088</x:v>
      </x:c>
      <x:c r="C1688" s="27" t="str">
        <x:v>A3</x:v>
      </x:c>
      <x:c r="D1688" s="52" t="n">
        <x:v>2500</x:v>
      </x:c>
      <x:c r="E1688" s="46" t="n">
        <x:v>1</x:v>
      </x:c>
      <x:c r="F1688" s="46" t="n">
        <x:v>1</x:v>
      </x:c>
      <x:c r="G1688" s="46" t="n">
        <x:v>1</x:v>
      </x:c>
      <x:c r="H1688" s="46" t="n">
        <x:v>1</x:v>
      </x:c>
      <x:c r="I1688" s="46" t="n">
        <x:v>1</x:v>
      </x:c>
      <x:c r="J1688" s="46" t="n">
        <x:v>1</x:v>
      </x:c>
      <x:c r="K1688" s="46" t="n">
        <x:v>1</x:v>
      </x:c>
      <x:c r="L1688" s="46" t="n">
        <x:v>1</x:v>
      </x:c>
      <x:c r="M1688" s="27" t="n">
        <x:v>1</x:v>
      </x:c>
    </x:row>
    <x:row r="1689" ht="15" hidden="0" customHeight="1">
      <x:c r="A1689" s="29" t="n">
        <x:v>185</x:v>
      </x:c>
      <x:c r="B1689" s="29" t="n">
        <x:v>331089</x:v>
      </x:c>
      <x:c r="C1689" s="29" t="str">
        <x:v>A3</x:v>
      </x:c>
      <x:c r="D1689" s="53" t="n">
        <x:v>2500</x:v>
      </x:c>
      <x:c r="E1689" s="47" t="n">
        <x:v>1</x:v>
      </x:c>
      <x:c r="F1689" s="47" t="n">
        <x:v>1</x:v>
      </x:c>
      <x:c r="G1689" s="47" t="n">
        <x:v>1</x:v>
      </x:c>
      <x:c r="H1689" s="47" t="n">
        <x:v>1</x:v>
      </x:c>
      <x:c r="I1689" s="47" t="n">
        <x:v>1</x:v>
      </x:c>
      <x:c r="J1689" s="47" t="n">
        <x:v>1</x:v>
      </x:c>
      <x:c r="K1689" s="47" t="n">
        <x:v>1</x:v>
      </x:c>
      <x:c r="L1689" s="47" t="n">
        <x:v>1</x:v>
      </x:c>
      <x:c r="M1689" s="29" t="n">
        <x:v>1</x:v>
      </x:c>
    </x:row>
    <x:row r="1690" ht="15" hidden="0" customHeight="1">
      <x:c r="A1690" s="27" t="n">
        <x:v>186</x:v>
      </x:c>
      <x:c r="B1690" s="27" t="n">
        <x:v>331090</x:v>
      </x:c>
      <x:c r="C1690" s="27" t="str">
        <x:v>A3</x:v>
      </x:c>
      <x:c r="D1690" s="52" t="n">
        <x:v>2500</x:v>
      </x:c>
      <x:c r="E1690" s="46" t="n">
        <x:v>1</x:v>
      </x:c>
      <x:c r="F1690" s="46" t="n">
        <x:v>1</x:v>
      </x:c>
      <x:c r="G1690" s="46" t="n">
        <x:v>1</x:v>
      </x:c>
      <x:c r="H1690" s="46" t="n">
        <x:v>1</x:v>
      </x:c>
      <x:c r="I1690" s="46" t="n">
        <x:v>1</x:v>
      </x:c>
      <x:c r="J1690" s="46" t="n">
        <x:v>1</x:v>
      </x:c>
      <x:c r="K1690" s="46" t="n">
        <x:v>1</x:v>
      </x:c>
      <x:c r="L1690" s="46" t="n">
        <x:v>1</x:v>
      </x:c>
      <x:c r="M1690" s="27" t="n">
        <x:v>1</x:v>
      </x:c>
    </x:row>
    <x:row r="1691" ht="15" hidden="0" customHeight="1">
      <x:c r="A1691" s="29" t="n">
        <x:v>187</x:v>
      </x:c>
      <x:c r="B1691" s="29" t="n">
        <x:v>331091</x:v>
      </x:c>
      <x:c r="C1691" s="29" t="str">
        <x:v>A3</x:v>
      </x:c>
      <x:c r="D1691" s="53" t="n">
        <x:v>2500</x:v>
      </x:c>
      <x:c r="E1691" s="47" t="n">
        <x:v>1</x:v>
      </x:c>
      <x:c r="F1691" s="47" t="n">
        <x:v>1</x:v>
      </x:c>
      <x:c r="G1691" s="47" t="n">
        <x:v>1</x:v>
      </x:c>
      <x:c r="H1691" s="47" t="n">
        <x:v>1</x:v>
      </x:c>
      <x:c r="I1691" s="47" t="n">
        <x:v>1</x:v>
      </x:c>
      <x:c r="J1691" s="47" t="n">
        <x:v>1</x:v>
      </x:c>
      <x:c r="K1691" s="47" t="n">
        <x:v>1</x:v>
      </x:c>
      <x:c r="L1691" s="47" t="n">
        <x:v>1</x:v>
      </x:c>
      <x:c r="M1691" s="29" t="n">
        <x:v>1</x:v>
      </x:c>
    </x:row>
    <x:row r="1692" ht="15" hidden="0" customHeight="1">
      <x:c r="A1692" s="27" t="n">
        <x:v>188</x:v>
      </x:c>
      <x:c r="B1692" s="27" t="n">
        <x:v>331092</x:v>
      </x:c>
      <x:c r="C1692" s="27" t="str">
        <x:v>A3</x:v>
      </x:c>
      <x:c r="D1692" s="52" t="n">
        <x:v>2500</x:v>
      </x:c>
      <x:c r="E1692" s="46" t="n">
        <x:v>1</x:v>
      </x:c>
      <x:c r="F1692" s="46" t="n">
        <x:v>1</x:v>
      </x:c>
      <x:c r="G1692" s="46" t="n">
        <x:v>1</x:v>
      </x:c>
      <x:c r="H1692" s="46" t="n">
        <x:v>1</x:v>
      </x:c>
      <x:c r="I1692" s="46" t="n">
        <x:v>1</x:v>
      </x:c>
      <x:c r="J1692" s="46" t="n">
        <x:v>1</x:v>
      </x:c>
      <x:c r="K1692" s="46" t="n">
        <x:v>1</x:v>
      </x:c>
      <x:c r="L1692" s="46" t="n">
        <x:v>1</x:v>
      </x:c>
      <x:c r="M1692" s="27" t="n">
        <x:v>1</x:v>
      </x:c>
    </x:row>
    <x:row r="1693" ht="15" hidden="0" customHeight="1">
      <x:c r="A1693" s="29" t="n">
        <x:v>189</x:v>
      </x:c>
      <x:c r="B1693" s="29" t="n">
        <x:v>331093</x:v>
      </x:c>
      <x:c r="C1693" s="29" t="str">
        <x:v>A3</x:v>
      </x:c>
      <x:c r="D1693" s="53" t="n">
        <x:v>2500</x:v>
      </x:c>
      <x:c r="E1693" s="47" t="n">
        <x:v>1</x:v>
      </x:c>
      <x:c r="F1693" s="47" t="n">
        <x:v>1</x:v>
      </x:c>
      <x:c r="G1693" s="47" t="n">
        <x:v>1</x:v>
      </x:c>
      <x:c r="H1693" s="47" t="n">
        <x:v>1</x:v>
      </x:c>
      <x:c r="I1693" s="47" t="n">
        <x:v>1</x:v>
      </x:c>
      <x:c r="J1693" s="47" t="n">
        <x:v>1</x:v>
      </x:c>
      <x:c r="K1693" s="47" t="n">
        <x:v>1</x:v>
      </x:c>
      <x:c r="L1693" s="47" t="n">
        <x:v>1</x:v>
      </x:c>
      <x:c r="M1693" s="29" t="n">
        <x:v>1</x:v>
      </x:c>
    </x:row>
    <x:row r="1694" ht="15" hidden="0" customHeight="1">
      <x:c r="A1694" s="27" t="n">
        <x:v>190</x:v>
      </x:c>
      <x:c r="B1694" s="27" t="n">
        <x:v>331094</x:v>
      </x:c>
      <x:c r="C1694" s="27" t="str">
        <x:v>A3</x:v>
      </x:c>
      <x:c r="D1694" s="52" t="n">
        <x:v>2500</x:v>
      </x:c>
      <x:c r="E1694" s="46" t="n">
        <x:v>1</x:v>
      </x:c>
      <x:c r="F1694" s="46" t="n">
        <x:v>1</x:v>
      </x:c>
      <x:c r="G1694" s="46" t="n">
        <x:v>1</x:v>
      </x:c>
      <x:c r="H1694" s="46" t="n">
        <x:v>1</x:v>
      </x:c>
      <x:c r="I1694" s="46" t="n">
        <x:v>1</x:v>
      </x:c>
      <x:c r="J1694" s="46" t="n">
        <x:v>1</x:v>
      </x:c>
      <x:c r="K1694" s="46" t="n">
        <x:v>1</x:v>
      </x:c>
      <x:c r="L1694" s="46" t="n">
        <x:v>1</x:v>
      </x:c>
      <x:c r="M1694" s="27" t="n">
        <x:v>1</x:v>
      </x:c>
    </x:row>
    <x:row r="1695" ht="15" hidden="0" customHeight="1">
      <x:c r="A1695" s="29" t="n">
        <x:v>191</x:v>
      </x:c>
      <x:c r="B1695" s="29" t="n">
        <x:v>331095</x:v>
      </x:c>
      <x:c r="C1695" s="29" t="str">
        <x:v>A3</x:v>
      </x:c>
      <x:c r="D1695" s="53" t="n">
        <x:v>2500</x:v>
      </x:c>
      <x:c r="E1695" s="47" t="n">
        <x:v>1</x:v>
      </x:c>
      <x:c r="F1695" s="47" t="n">
        <x:v>1</x:v>
      </x:c>
      <x:c r="G1695" s="47" t="n">
        <x:v>1</x:v>
      </x:c>
      <x:c r="H1695" s="47" t="n">
        <x:v>1</x:v>
      </x:c>
      <x:c r="I1695" s="47" t="n">
        <x:v>1</x:v>
      </x:c>
      <x:c r="J1695" s="47" t="n">
        <x:v>1</x:v>
      </x:c>
      <x:c r="K1695" s="47" t="n">
        <x:v>1</x:v>
      </x:c>
      <x:c r="L1695" s="47" t="n">
        <x:v>1</x:v>
      </x:c>
      <x:c r="M1695" s="29" t="n">
        <x:v>1</x:v>
      </x:c>
    </x:row>
    <x:row r="1696" ht="15" hidden="0" customHeight="1">
      <x:c r="A1696" s="27" t="n">
        <x:v>192</x:v>
      </x:c>
      <x:c r="B1696" s="27" t="n">
        <x:v>331096</x:v>
      </x:c>
      <x:c r="C1696" s="27" t="str">
        <x:v>A3</x:v>
      </x:c>
      <x:c r="D1696" s="52" t="n">
        <x:v>2500</x:v>
      </x:c>
      <x:c r="E1696" s="46" t="n">
        <x:v>1</x:v>
      </x:c>
      <x:c r="F1696" s="46" t="n">
        <x:v>1</x:v>
      </x:c>
      <x:c r="G1696" s="46" t="n">
        <x:v>1</x:v>
      </x:c>
      <x:c r="H1696" s="46" t="n">
        <x:v>1</x:v>
      </x:c>
      <x:c r="I1696" s="46" t="n">
        <x:v>1</x:v>
      </x:c>
      <x:c r="J1696" s="46" t="n">
        <x:v>1</x:v>
      </x:c>
      <x:c r="K1696" s="46" t="n">
        <x:v>1</x:v>
      </x:c>
      <x:c r="L1696" s="46" t="n">
        <x:v>1</x:v>
      </x:c>
      <x:c r="M1696" s="27" t="n">
        <x:v>1</x:v>
      </x:c>
    </x:row>
    <x:row r="1697" ht="15" hidden="0" customHeight="1">
      <x:c r="A1697" s="29" t="n">
        <x:v>193</x:v>
      </x:c>
      <x:c r="B1697" s="29" t="n">
        <x:v>331097</x:v>
      </x:c>
      <x:c r="C1697" s="29" t="str">
        <x:v>A3</x:v>
      </x:c>
      <x:c r="D1697" s="53" t="n">
        <x:v>2500</x:v>
      </x:c>
      <x:c r="E1697" s="47" t="n">
        <x:v>1</x:v>
      </x:c>
      <x:c r="F1697" s="47" t="n">
        <x:v>1</x:v>
      </x:c>
      <x:c r="G1697" s="47" t="n">
        <x:v>1</x:v>
      </x:c>
      <x:c r="H1697" s="47" t="n">
        <x:v>1</x:v>
      </x:c>
      <x:c r="I1697" s="47" t="n">
        <x:v>1</x:v>
      </x:c>
      <x:c r="J1697" s="47" t="n">
        <x:v>1</x:v>
      </x:c>
      <x:c r="K1697" s="47" t="n">
        <x:v>1</x:v>
      </x:c>
      <x:c r="L1697" s="47" t="n">
        <x:v>1</x:v>
      </x:c>
      <x:c r="M1697" s="29" t="n">
        <x:v>1</x:v>
      </x:c>
    </x:row>
    <x:row r="1698" ht="15" hidden="0" customHeight="1">
      <x:c r="A1698" s="27" t="n">
        <x:v>194</x:v>
      </x:c>
      <x:c r="B1698" s="27" t="n">
        <x:v>331098</x:v>
      </x:c>
      <x:c r="C1698" s="27" t="str">
        <x:v>A3</x:v>
      </x:c>
      <x:c r="D1698" s="52" t="n">
        <x:v>2500</x:v>
      </x:c>
      <x:c r="E1698" s="46" t="n">
        <x:v>1</x:v>
      </x:c>
      <x:c r="F1698" s="46" t="n">
        <x:v>1</x:v>
      </x:c>
      <x:c r="G1698" s="46" t="n">
        <x:v>1</x:v>
      </x:c>
      <x:c r="H1698" s="46" t="n">
        <x:v>1</x:v>
      </x:c>
      <x:c r="I1698" s="46" t="n">
        <x:v>1</x:v>
      </x:c>
      <x:c r="J1698" s="46" t="n">
        <x:v>1</x:v>
      </x:c>
      <x:c r="K1698" s="46" t="n">
        <x:v>1</x:v>
      </x:c>
      <x:c r="L1698" s="46" t="n">
        <x:v>1</x:v>
      </x:c>
      <x:c r="M1698" s="27" t="n">
        <x:v>1</x:v>
      </x:c>
    </x:row>
    <x:row r="1699" ht="15" hidden="0" customHeight="1">
      <x:c r="A1699" s="29" t="n">
        <x:v>195</x:v>
      </x:c>
      <x:c r="B1699" s="29" t="n">
        <x:v>331099</x:v>
      </x:c>
      <x:c r="C1699" s="29" t="str">
        <x:v>A3</x:v>
      </x:c>
      <x:c r="D1699" s="53" t="n">
        <x:v>2500</x:v>
      </x:c>
      <x:c r="E1699" s="47" t="n">
        <x:v>1</x:v>
      </x:c>
      <x:c r="F1699" s="47" t="n">
        <x:v>1</x:v>
      </x:c>
      <x:c r="G1699" s="47" t="n">
        <x:v>1</x:v>
      </x:c>
      <x:c r="H1699" s="47" t="n">
        <x:v>1</x:v>
      </x:c>
      <x:c r="I1699" s="47" t="n">
        <x:v>1</x:v>
      </x:c>
      <x:c r="J1699" s="47" t="n">
        <x:v>1</x:v>
      </x:c>
      <x:c r="K1699" s="47" t="n">
        <x:v>1</x:v>
      </x:c>
      <x:c r="L1699" s="47" t="n">
        <x:v>1</x:v>
      </x:c>
      <x:c r="M1699" s="29" t="n">
        <x:v>1</x:v>
      </x:c>
    </x:row>
    <x:row r="1700" ht="15" hidden="0" customHeight="1">
      <x:c r="A1700" s="27" t="n">
        <x:v>196</x:v>
      </x:c>
      <x:c r="B1700" s="27" t="n">
        <x:v>331100</x:v>
      </x:c>
      <x:c r="C1700" s="27" t="str">
        <x:v>A3</x:v>
      </x:c>
      <x:c r="D1700" s="52" t="n">
        <x:v>2500</x:v>
      </x:c>
      <x:c r="E1700" s="46" t="n">
        <x:v>1</x:v>
      </x:c>
      <x:c r="F1700" s="46" t="n">
        <x:v>1</x:v>
      </x:c>
      <x:c r="G1700" s="46" t="n">
        <x:v>1</x:v>
      </x:c>
      <x:c r="H1700" s="46" t="n">
        <x:v>1</x:v>
      </x:c>
      <x:c r="I1700" s="46" t="n">
        <x:v>1</x:v>
      </x:c>
      <x:c r="J1700" s="46" t="n">
        <x:v>1</x:v>
      </x:c>
      <x:c r="K1700" s="46" t="n">
        <x:v>1</x:v>
      </x:c>
      <x:c r="L1700" s="46" t="n">
        <x:v>1</x:v>
      </x:c>
      <x:c r="M1700" s="27" t="n">
        <x:v>1</x:v>
      </x:c>
    </x:row>
    <x:row r="1701" ht="15" hidden="0" customHeight="1">
      <x:c r="A1701" s="29" t="n">
        <x:v>197</x:v>
      </x:c>
      <x:c r="B1701" s="29" t="n">
        <x:v>331101</x:v>
      </x:c>
      <x:c r="C1701" s="29" t="str">
        <x:v>A3</x:v>
      </x:c>
      <x:c r="D1701" s="53" t="n">
        <x:v>2500</x:v>
      </x:c>
      <x:c r="E1701" s="47" t="n">
        <x:v>1</x:v>
      </x:c>
      <x:c r="F1701" s="47" t="n">
        <x:v>1</x:v>
      </x:c>
      <x:c r="G1701" s="47" t="n">
        <x:v>1</x:v>
      </x:c>
      <x:c r="H1701" s="47" t="n">
        <x:v>1</x:v>
      </x:c>
      <x:c r="I1701" s="47" t="n">
        <x:v>1</x:v>
      </x:c>
      <x:c r="J1701" s="47" t="n">
        <x:v>1</x:v>
      </x:c>
      <x:c r="K1701" s="47" t="n">
        <x:v>1</x:v>
      </x:c>
      <x:c r="L1701" s="47" t="n">
        <x:v>1</x:v>
      </x:c>
      <x:c r="M1701" s="29" t="n">
        <x:v>1</x:v>
      </x:c>
    </x:row>
    <x:row r="1702" ht="15" hidden="0" customHeight="1">
      <x:c r="A1702" s="27" t="n">
        <x:v>198</x:v>
      </x:c>
      <x:c r="B1702" s="27" t="n">
        <x:v>331102</x:v>
      </x:c>
      <x:c r="C1702" s="27" t="str">
        <x:v>A3</x:v>
      </x:c>
      <x:c r="D1702" s="52" t="n">
        <x:v>2500</x:v>
      </x:c>
      <x:c r="E1702" s="46" t="n">
        <x:v>1</x:v>
      </x:c>
      <x:c r="F1702" s="46" t="n">
        <x:v>1</x:v>
      </x:c>
      <x:c r="G1702" s="46" t="n">
        <x:v>1</x:v>
      </x:c>
      <x:c r="H1702" s="46" t="n">
        <x:v>1</x:v>
      </x:c>
      <x:c r="I1702" s="46" t="n">
        <x:v>1</x:v>
      </x:c>
      <x:c r="J1702" s="46" t="n">
        <x:v>1</x:v>
      </x:c>
      <x:c r="K1702" s="46" t="n">
        <x:v>1</x:v>
      </x:c>
      <x:c r="L1702" s="46" t="n">
        <x:v>1</x:v>
      </x:c>
      <x:c r="M1702" s="27" t="n">
        <x:v>1</x:v>
      </x:c>
    </x:row>
    <x:row r="1703" ht="15" hidden="0" customHeight="1">
      <x:c r="A1703" s="29" t="n">
        <x:v>199</x:v>
      </x:c>
      <x:c r="B1703" s="29" t="n">
        <x:v>331103</x:v>
      </x:c>
      <x:c r="C1703" s="29" t="str">
        <x:v>A3</x:v>
      </x:c>
      <x:c r="D1703" s="53" t="n">
        <x:v>2500</x:v>
      </x:c>
      <x:c r="E1703" s="47" t="n">
        <x:v>1</x:v>
      </x:c>
      <x:c r="F1703" s="47" t="n">
        <x:v>1</x:v>
      </x:c>
      <x:c r="G1703" s="47" t="n">
        <x:v>1</x:v>
      </x:c>
      <x:c r="H1703" s="47" t="n">
        <x:v>1</x:v>
      </x:c>
      <x:c r="I1703" s="47" t="n">
        <x:v>1</x:v>
      </x:c>
      <x:c r="J1703" s="47" t="n">
        <x:v>1</x:v>
      </x:c>
      <x:c r="K1703" s="47" t="n">
        <x:v>1</x:v>
      </x:c>
      <x:c r="L1703" s="47" t="n">
        <x:v>1</x:v>
      </x:c>
      <x:c r="M1703" s="29" t="n">
        <x:v>1</x:v>
      </x:c>
    </x:row>
    <x:row r="1704" ht="15" hidden="0" customHeight="1">
      <x:c r="A1704" s="27" t="n">
        <x:v>200</x:v>
      </x:c>
      <x:c r="B1704" s="27" t="n">
        <x:v>331104</x:v>
      </x:c>
      <x:c r="C1704" s="27" t="str">
        <x:v>A3</x:v>
      </x:c>
      <x:c r="D1704" s="52" t="n">
        <x:v>2500</x:v>
      </x:c>
      <x:c r="E1704" s="46" t="n">
        <x:v>1</x:v>
      </x:c>
      <x:c r="F1704" s="46" t="n">
        <x:v>1</x:v>
      </x:c>
      <x:c r="G1704" s="46" t="n">
        <x:v>1</x:v>
      </x:c>
      <x:c r="H1704" s="46" t="n">
        <x:v>1</x:v>
      </x:c>
      <x:c r="I1704" s="46" t="n">
        <x:v>1</x:v>
      </x:c>
      <x:c r="J1704" s="46" t="n">
        <x:v>1</x:v>
      </x:c>
      <x:c r="K1704" s="46" t="n">
        <x:v>1</x:v>
      </x:c>
      <x:c r="L1704" s="46" t="n">
        <x:v>1</x:v>
      </x:c>
      <x:c r="M1704" s="27" t="n">
        <x:v>1</x:v>
      </x:c>
    </x:row>
    <x:row r="1705" ht="15" hidden="0" customHeight="1">
      <x:c r="A1705" s="29" t="n">
        <x:v>201</x:v>
      </x:c>
      <x:c r="B1705" s="29" t="n">
        <x:v>331105</x:v>
      </x:c>
      <x:c r="C1705" s="29" t="str">
        <x:v>A3</x:v>
      </x:c>
      <x:c r="D1705" s="53" t="n">
        <x:v>2500</x:v>
      </x:c>
      <x:c r="E1705" s="47" t="n">
        <x:v>1</x:v>
      </x:c>
      <x:c r="F1705" s="47" t="n">
        <x:v>1</x:v>
      </x:c>
      <x:c r="G1705" s="47" t="n">
        <x:v>1</x:v>
      </x:c>
      <x:c r="H1705" s="47" t="n">
        <x:v>1</x:v>
      </x:c>
      <x:c r="I1705" s="47" t="n">
        <x:v>1</x:v>
      </x:c>
      <x:c r="J1705" s="47" t="n">
        <x:v>1</x:v>
      </x:c>
      <x:c r="K1705" s="47" t="n">
        <x:v>1</x:v>
      </x:c>
      <x:c r="L1705" s="47" t="n">
        <x:v>1</x:v>
      </x:c>
      <x:c r="M1705" s="29" t="n">
        <x:v>1</x:v>
      </x:c>
    </x:row>
    <x:row r="1706" ht="15" hidden="0" customHeight="1">
      <x:c r="A1706" s="27" t="n">
        <x:v>202</x:v>
      </x:c>
      <x:c r="B1706" s="27" t="n">
        <x:v>331106</x:v>
      </x:c>
      <x:c r="C1706" s="27" t="str">
        <x:v>A3</x:v>
      </x:c>
      <x:c r="D1706" s="52" t="n">
        <x:v>2500</x:v>
      </x:c>
      <x:c r="E1706" s="46" t="n">
        <x:v>1</x:v>
      </x:c>
      <x:c r="F1706" s="46" t="n">
        <x:v>1</x:v>
      </x:c>
      <x:c r="G1706" s="46" t="n">
        <x:v>1</x:v>
      </x:c>
      <x:c r="H1706" s="46" t="n">
        <x:v>1</x:v>
      </x:c>
      <x:c r="I1706" s="46" t="n">
        <x:v>1</x:v>
      </x:c>
      <x:c r="J1706" s="46" t="n">
        <x:v>1</x:v>
      </x:c>
      <x:c r="K1706" s="46" t="n">
        <x:v>1</x:v>
      </x:c>
      <x:c r="L1706" s="46" t="n">
        <x:v>1</x:v>
      </x:c>
      <x:c r="M1706" s="27" t="n">
        <x:v>1</x:v>
      </x:c>
    </x:row>
    <x:row r="1707" ht="15" hidden="0" customHeight="1">
      <x:c r="A1707" s="29" t="n">
        <x:v>203</x:v>
      </x:c>
      <x:c r="B1707" s="29" t="n">
        <x:v>331107</x:v>
      </x:c>
      <x:c r="C1707" s="29" t="str">
        <x:v>A3</x:v>
      </x:c>
      <x:c r="D1707" s="53" t="n">
        <x:v>2500</x:v>
      </x:c>
      <x:c r="E1707" s="47" t="n">
        <x:v>1</x:v>
      </x:c>
      <x:c r="F1707" s="47" t="n">
        <x:v>1</x:v>
      </x:c>
      <x:c r="G1707" s="47" t="n">
        <x:v>1</x:v>
      </x:c>
      <x:c r="H1707" s="47" t="n">
        <x:v>1</x:v>
      </x:c>
      <x:c r="I1707" s="47" t="n">
        <x:v>1</x:v>
      </x:c>
      <x:c r="J1707" s="47" t="n">
        <x:v>1</x:v>
      </x:c>
      <x:c r="K1707" s="47" t="n">
        <x:v>1</x:v>
      </x:c>
      <x:c r="L1707" s="47" t="n">
        <x:v>1</x:v>
      </x:c>
      <x:c r="M1707" s="29" t="n">
        <x:v>1</x:v>
      </x:c>
    </x:row>
    <x:row r="1708" ht="15" hidden="0" customHeight="1">
      <x:c r="A1708" s="27" t="n">
        <x:v>204</x:v>
      </x:c>
      <x:c r="B1708" s="27" t="n">
        <x:v>331108</x:v>
      </x:c>
      <x:c r="C1708" s="27" t="str">
        <x:v>A3</x:v>
      </x:c>
      <x:c r="D1708" s="52" t="n">
        <x:v>2500</x:v>
      </x:c>
      <x:c r="E1708" s="46" t="n">
        <x:v>1</x:v>
      </x:c>
      <x:c r="F1708" s="46" t="n">
        <x:v>1</x:v>
      </x:c>
      <x:c r="G1708" s="46" t="n">
        <x:v>1</x:v>
      </x:c>
      <x:c r="H1708" s="46" t="n">
        <x:v>1</x:v>
      </x:c>
      <x:c r="I1708" s="46" t="n">
        <x:v>1</x:v>
      </x:c>
      <x:c r="J1708" s="46" t="n">
        <x:v>1</x:v>
      </x:c>
      <x:c r="K1708" s="46" t="n">
        <x:v>1</x:v>
      </x:c>
      <x:c r="L1708" s="46" t="n">
        <x:v>1</x:v>
      </x:c>
      <x:c r="M1708" s="27" t="n">
        <x:v>1</x:v>
      </x:c>
    </x:row>
    <x:row r="1709" ht="15" hidden="0" customHeight="1">
      <x:c r="A1709" s="29" t="n">
        <x:v>205</x:v>
      </x:c>
      <x:c r="B1709" s="29" t="n">
        <x:v>331109</x:v>
      </x:c>
      <x:c r="C1709" s="29" t="str">
        <x:v>A3</x:v>
      </x:c>
      <x:c r="D1709" s="53" t="n">
        <x:v>2500</x:v>
      </x:c>
      <x:c r="E1709" s="47" t="n">
        <x:v>1</x:v>
      </x:c>
      <x:c r="F1709" s="47" t="n">
        <x:v>1</x:v>
      </x:c>
      <x:c r="G1709" s="47" t="n">
        <x:v>1</x:v>
      </x:c>
      <x:c r="H1709" s="47" t="n">
        <x:v>1</x:v>
      </x:c>
      <x:c r="I1709" s="47" t="n">
        <x:v>1</x:v>
      </x:c>
      <x:c r="J1709" s="47" t="n">
        <x:v>1</x:v>
      </x:c>
      <x:c r="K1709" s="47" t="n">
        <x:v>1</x:v>
      </x:c>
      <x:c r="L1709" s="47" t="n">
        <x:v>1</x:v>
      </x:c>
      <x:c r="M1709" s="29" t="n">
        <x:v>1</x:v>
      </x:c>
    </x:row>
    <x:row r="1710" ht="15" hidden="0" customHeight="1">
      <x:c r="A1710" s="27" t="n">
        <x:v>206</x:v>
      </x:c>
      <x:c r="B1710" s="27" t="n">
        <x:v>331110</x:v>
      </x:c>
      <x:c r="C1710" s="27" t="str">
        <x:v>A3</x:v>
      </x:c>
      <x:c r="D1710" s="52" t="n">
        <x:v>2500</x:v>
      </x:c>
      <x:c r="E1710" s="46" t="n">
        <x:v>1</x:v>
      </x:c>
      <x:c r="F1710" s="46" t="n">
        <x:v>1</x:v>
      </x:c>
      <x:c r="G1710" s="46" t="n">
        <x:v>1</x:v>
      </x:c>
      <x:c r="H1710" s="46" t="n">
        <x:v>1</x:v>
      </x:c>
      <x:c r="I1710" s="46" t="n">
        <x:v>1</x:v>
      </x:c>
      <x:c r="J1710" s="46" t="n">
        <x:v>1</x:v>
      </x:c>
      <x:c r="K1710" s="46" t="n">
        <x:v>1</x:v>
      </x:c>
      <x:c r="L1710" s="46" t="n">
        <x:v>1</x:v>
      </x:c>
      <x:c r="M1710" s="27" t="n">
        <x:v>1</x:v>
      </x:c>
    </x:row>
    <x:row r="1711" ht="15" hidden="0" customHeight="1">
      <x:c r="A1711" s="29" t="n">
        <x:v>207</x:v>
      </x:c>
      <x:c r="B1711" s="29" t="n">
        <x:v>331111</x:v>
      </x:c>
      <x:c r="C1711" s="29" t="str">
        <x:v>A3</x:v>
      </x:c>
      <x:c r="D1711" s="53" t="n">
        <x:v>2500</x:v>
      </x:c>
      <x:c r="E1711" s="47" t="n">
        <x:v>1</x:v>
      </x:c>
      <x:c r="F1711" s="47" t="n">
        <x:v>1</x:v>
      </x:c>
      <x:c r="G1711" s="47" t="n">
        <x:v>1</x:v>
      </x:c>
      <x:c r="H1711" s="47" t="n">
        <x:v>1</x:v>
      </x:c>
      <x:c r="I1711" s="47" t="n">
        <x:v>1</x:v>
      </x:c>
      <x:c r="J1711" s="47" t="n">
        <x:v>1</x:v>
      </x:c>
      <x:c r="K1711" s="47" t="n">
        <x:v>1</x:v>
      </x:c>
      <x:c r="L1711" s="47" t="n">
        <x:v>1</x:v>
      </x:c>
      <x:c r="M1711" s="29" t="n">
        <x:v>1</x:v>
      </x:c>
    </x:row>
    <x:row r="1712" ht="15" hidden="0" customHeight="1">
      <x:c r="A1712" s="27" t="n">
        <x:v>208</x:v>
      </x:c>
      <x:c r="B1712" s="27" t="n">
        <x:v>331112</x:v>
      </x:c>
      <x:c r="C1712" s="27" t="str">
        <x:v>A3</x:v>
      </x:c>
      <x:c r="D1712" s="52" t="n">
        <x:v>2500</x:v>
      </x:c>
      <x:c r="E1712" s="46" t="n">
        <x:v>1</x:v>
      </x:c>
      <x:c r="F1712" s="46" t="n">
        <x:v>1</x:v>
      </x:c>
      <x:c r="G1712" s="46" t="n">
        <x:v>1</x:v>
      </x:c>
      <x:c r="H1712" s="46" t="n">
        <x:v>1</x:v>
      </x:c>
      <x:c r="I1712" s="46" t="n">
        <x:v>1</x:v>
      </x:c>
      <x:c r="J1712" s="46" t="n">
        <x:v>1</x:v>
      </x:c>
      <x:c r="K1712" s="46" t="n">
        <x:v>1</x:v>
      </x:c>
      <x:c r="L1712" s="46" t="n">
        <x:v>1</x:v>
      </x:c>
      <x:c r="M1712" s="27" t="n">
        <x:v>1</x:v>
      </x:c>
    </x:row>
    <x:row r="1713" ht="15" hidden="0" customHeight="1">
      <x:c r="A1713" s="29" t="n">
        <x:v>209</x:v>
      </x:c>
      <x:c r="B1713" s="29" t="n">
        <x:v>331113</x:v>
      </x:c>
      <x:c r="C1713" s="29" t="str">
        <x:v>A3</x:v>
      </x:c>
      <x:c r="D1713" s="53" t="n">
        <x:v>2500</x:v>
      </x:c>
      <x:c r="E1713" s="47" t="n">
        <x:v>1</x:v>
      </x:c>
      <x:c r="F1713" s="47" t="n">
        <x:v>1</x:v>
      </x:c>
      <x:c r="G1713" s="47" t="n">
        <x:v>1</x:v>
      </x:c>
      <x:c r="H1713" s="47" t="n">
        <x:v>1</x:v>
      </x:c>
      <x:c r="I1713" s="47" t="n">
        <x:v>1</x:v>
      </x:c>
      <x:c r="J1713" s="47" t="n">
        <x:v>1</x:v>
      </x:c>
      <x:c r="K1713" s="47" t="n">
        <x:v>1</x:v>
      </x:c>
      <x:c r="L1713" s="47" t="n">
        <x:v>1</x:v>
      </x:c>
      <x:c r="M1713" s="29" t="n">
        <x:v>1</x:v>
      </x:c>
    </x:row>
    <x:row r="1714" ht="15" hidden="0" customHeight="1">
      <x:c r="A1714" s="27" t="n">
        <x:v>210</x:v>
      </x:c>
      <x:c r="B1714" s="27" t="n">
        <x:v>331114</x:v>
      </x:c>
      <x:c r="C1714" s="27" t="str">
        <x:v>A3</x:v>
      </x:c>
      <x:c r="D1714" s="52" t="n">
        <x:v>2500</x:v>
      </x:c>
      <x:c r="E1714" s="46" t="n">
        <x:v>1</x:v>
      </x:c>
      <x:c r="F1714" s="46" t="n">
        <x:v>1</x:v>
      </x:c>
      <x:c r="G1714" s="46" t="n">
        <x:v>1</x:v>
      </x:c>
      <x:c r="H1714" s="46" t="n">
        <x:v>1</x:v>
      </x:c>
      <x:c r="I1714" s="46" t="n">
        <x:v>1</x:v>
      </x:c>
      <x:c r="J1714" s="46" t="n">
        <x:v>1</x:v>
      </x:c>
      <x:c r="K1714" s="46" t="n">
        <x:v>1</x:v>
      </x:c>
      <x:c r="L1714" s="46" t="n">
        <x:v>1</x:v>
      </x:c>
      <x:c r="M1714" s="27" t="n">
        <x:v>1</x:v>
      </x:c>
    </x:row>
    <x:row r="1715" ht="15" hidden="0" customHeight="1">
      <x:c r="A1715" s="29" t="n">
        <x:v>211</x:v>
      </x:c>
      <x:c r="B1715" s="29" t="n">
        <x:v>331115</x:v>
      </x:c>
      <x:c r="C1715" s="29" t="str">
        <x:v>A3</x:v>
      </x:c>
      <x:c r="D1715" s="53" t="n">
        <x:v>2500</x:v>
      </x:c>
      <x:c r="E1715" s="47" t="n">
        <x:v>1</x:v>
      </x:c>
      <x:c r="F1715" s="47" t="n">
        <x:v>1</x:v>
      </x:c>
      <x:c r="G1715" s="47" t="n">
        <x:v>1</x:v>
      </x:c>
      <x:c r="H1715" s="47" t="n">
        <x:v>1</x:v>
      </x:c>
      <x:c r="I1715" s="47" t="n">
        <x:v>1</x:v>
      </x:c>
      <x:c r="J1715" s="47" t="n">
        <x:v>1</x:v>
      </x:c>
      <x:c r="K1715" s="47" t="n">
        <x:v>1</x:v>
      </x:c>
      <x:c r="L1715" s="47" t="n">
        <x:v>1</x:v>
      </x:c>
      <x:c r="M1715" s="29" t="n">
        <x:v>1</x:v>
      </x:c>
    </x:row>
    <x:row r="1716" ht="15" hidden="0" customHeight="1">
      <x:c r="A1716" s="27" t="n">
        <x:v>212</x:v>
      </x:c>
      <x:c r="B1716" s="27" t="n">
        <x:v>331116</x:v>
      </x:c>
      <x:c r="C1716" s="27" t="str">
        <x:v>A3</x:v>
      </x:c>
      <x:c r="D1716" s="52" t="n">
        <x:v>2500</x:v>
      </x:c>
      <x:c r="E1716" s="46" t="n">
        <x:v>1</x:v>
      </x:c>
      <x:c r="F1716" s="46" t="n">
        <x:v>1</x:v>
      </x:c>
      <x:c r="G1716" s="46" t="n">
        <x:v>1</x:v>
      </x:c>
      <x:c r="H1716" s="46" t="n">
        <x:v>1</x:v>
      </x:c>
      <x:c r="I1716" s="46" t="n">
        <x:v>1</x:v>
      </x:c>
      <x:c r="J1716" s="46" t="n">
        <x:v>1</x:v>
      </x:c>
      <x:c r="K1716" s="46" t="n">
        <x:v>1</x:v>
      </x:c>
      <x:c r="L1716" s="46" t="n">
        <x:v>1</x:v>
      </x:c>
      <x:c r="M1716" s="27" t="n">
        <x:v>1</x:v>
      </x:c>
    </x:row>
    <x:row r="1717" ht="15" hidden="0" customHeight="1">
      <x:c r="A1717" s="29" t="n">
        <x:v>213</x:v>
      </x:c>
      <x:c r="B1717" s="29" t="n">
        <x:v>331117</x:v>
      </x:c>
      <x:c r="C1717" s="29" t="str">
        <x:v>A3</x:v>
      </x:c>
      <x:c r="D1717" s="53" t="n">
        <x:v>2500</x:v>
      </x:c>
      <x:c r="E1717" s="47" t="n">
        <x:v>1</x:v>
      </x:c>
      <x:c r="F1717" s="47" t="n">
        <x:v>1</x:v>
      </x:c>
      <x:c r="G1717" s="47" t="n">
        <x:v>1</x:v>
      </x:c>
      <x:c r="H1717" s="47" t="n">
        <x:v>1</x:v>
      </x:c>
      <x:c r="I1717" s="47" t="n">
        <x:v>1</x:v>
      </x:c>
      <x:c r="J1717" s="47" t="n">
        <x:v>1</x:v>
      </x:c>
      <x:c r="K1717" s="47" t="n">
        <x:v>1</x:v>
      </x:c>
      <x:c r="L1717" s="47" t="n">
        <x:v>1</x:v>
      </x:c>
      <x:c r="M1717" s="29" t="n">
        <x:v>1</x:v>
      </x:c>
    </x:row>
    <x:row r="1718" ht="15" hidden="0" customHeight="1">
      <x:c r="A1718" s="27" t="n">
        <x:v>214</x:v>
      </x:c>
      <x:c r="B1718" s="27" t="n">
        <x:v>331118</x:v>
      </x:c>
      <x:c r="C1718" s="27" t="str">
        <x:v>A3</x:v>
      </x:c>
      <x:c r="D1718" s="52" t="n">
        <x:v>2500</x:v>
      </x:c>
      <x:c r="E1718" s="46" t="n">
        <x:v>1</x:v>
      </x:c>
      <x:c r="F1718" s="46" t="n">
        <x:v>1</x:v>
      </x:c>
      <x:c r="G1718" s="46" t="n">
        <x:v>1</x:v>
      </x:c>
      <x:c r="H1718" s="46" t="n">
        <x:v>1</x:v>
      </x:c>
      <x:c r="I1718" s="46" t="n">
        <x:v>1</x:v>
      </x:c>
      <x:c r="J1718" s="46" t="n">
        <x:v>1</x:v>
      </x:c>
      <x:c r="K1718" s="46" t="n">
        <x:v>1</x:v>
      </x:c>
      <x:c r="L1718" s="46" t="n">
        <x:v>1</x:v>
      </x:c>
      <x:c r="M1718" s="27" t="n">
        <x:v>1</x:v>
      </x:c>
    </x:row>
    <x:row r="1719" ht="15" hidden="0" customHeight="1">
      <x:c r="A1719" s="29" t="n">
        <x:v>215</x:v>
      </x:c>
      <x:c r="B1719" s="29" t="n">
        <x:v>331119</x:v>
      </x:c>
      <x:c r="C1719" s="29" t="str">
        <x:v>A3</x:v>
      </x:c>
      <x:c r="D1719" s="53" t="n">
        <x:v>2500</x:v>
      </x:c>
      <x:c r="E1719" s="47" t="n">
        <x:v>1</x:v>
      </x:c>
      <x:c r="F1719" s="47" t="n">
        <x:v>1</x:v>
      </x:c>
      <x:c r="G1719" s="47" t="n">
        <x:v>1</x:v>
      </x:c>
      <x:c r="H1719" s="47" t="n">
        <x:v>1</x:v>
      </x:c>
      <x:c r="I1719" s="47" t="n">
        <x:v>1</x:v>
      </x:c>
      <x:c r="J1719" s="47" t="n">
        <x:v>1</x:v>
      </x:c>
      <x:c r="K1719" s="47" t="n">
        <x:v>1</x:v>
      </x:c>
      <x:c r="L1719" s="47" t="n">
        <x:v>1</x:v>
      </x:c>
      <x:c r="M1719" s="29" t="n">
        <x:v>1</x:v>
      </x:c>
    </x:row>
    <x:row r="1720" ht="15" hidden="0" customHeight="1">
      <x:c r="A1720" s="27" t="n">
        <x:v>216</x:v>
      </x:c>
      <x:c r="B1720" s="27" t="n">
        <x:v>331120</x:v>
      </x:c>
      <x:c r="C1720" s="27" t="str">
        <x:v>A3</x:v>
      </x:c>
      <x:c r="D1720" s="52" t="n">
        <x:v>2500</x:v>
      </x:c>
      <x:c r="E1720" s="46" t="n">
        <x:v>1</x:v>
      </x:c>
      <x:c r="F1720" s="46" t="n">
        <x:v>1</x:v>
      </x:c>
      <x:c r="G1720" s="46" t="n">
        <x:v>1</x:v>
      </x:c>
      <x:c r="H1720" s="46" t="n">
        <x:v>1</x:v>
      </x:c>
      <x:c r="I1720" s="46" t="n">
        <x:v>1</x:v>
      </x:c>
      <x:c r="J1720" s="46" t="n">
        <x:v>1</x:v>
      </x:c>
      <x:c r="K1720" s="46" t="n">
        <x:v>1</x:v>
      </x:c>
      <x:c r="L1720" s="46" t="n">
        <x:v>1</x:v>
      </x:c>
      <x:c r="M1720" s="27" t="n">
        <x:v>1</x:v>
      </x:c>
    </x:row>
    <x:row r="1721" ht="15" hidden="0" customHeight="1">
      <x:c r="A1721" s="29" t="n">
        <x:v>217</x:v>
      </x:c>
      <x:c r="B1721" s="29" t="n">
        <x:v>331121</x:v>
      </x:c>
      <x:c r="C1721" s="29" t="str">
        <x:v>A3</x:v>
      </x:c>
      <x:c r="D1721" s="53" t="n">
        <x:v>2500</x:v>
      </x:c>
      <x:c r="E1721" s="47" t="n">
        <x:v>1</x:v>
      </x:c>
      <x:c r="F1721" s="47" t="n">
        <x:v>1</x:v>
      </x:c>
      <x:c r="G1721" s="47" t="n">
        <x:v>1</x:v>
      </x:c>
      <x:c r="H1721" s="47" t="n">
        <x:v>1</x:v>
      </x:c>
      <x:c r="I1721" s="47" t="n">
        <x:v>1</x:v>
      </x:c>
      <x:c r="J1721" s="47" t="n">
        <x:v>1</x:v>
      </x:c>
      <x:c r="K1721" s="47" t="n">
        <x:v>1</x:v>
      </x:c>
      <x:c r="L1721" s="47" t="n">
        <x:v>1</x:v>
      </x:c>
      <x:c r="M1721" s="29" t="n">
        <x:v>1</x:v>
      </x:c>
    </x:row>
    <x:row r="1722" ht="15" hidden="0" customHeight="1">
      <x:c r="A1722" s="27" t="n">
        <x:v>218</x:v>
      </x:c>
      <x:c r="B1722" s="27" t="n">
        <x:v>331122</x:v>
      </x:c>
      <x:c r="C1722" s="27" t="str">
        <x:v>A3</x:v>
      </x:c>
      <x:c r="D1722" s="52" t="n">
        <x:v>2500</x:v>
      </x:c>
      <x:c r="E1722" s="46" t="n">
        <x:v>1</x:v>
      </x:c>
      <x:c r="F1722" s="46" t="n">
        <x:v>1</x:v>
      </x:c>
      <x:c r="G1722" s="46" t="n">
        <x:v>1</x:v>
      </x:c>
      <x:c r="H1722" s="46" t="n">
        <x:v>1</x:v>
      </x:c>
      <x:c r="I1722" s="46" t="n">
        <x:v>1</x:v>
      </x:c>
      <x:c r="J1722" s="46" t="n">
        <x:v>1</x:v>
      </x:c>
      <x:c r="K1722" s="46" t="n">
        <x:v>1</x:v>
      </x:c>
      <x:c r="L1722" s="46" t="n">
        <x:v>1</x:v>
      </x:c>
      <x:c r="M1722" s="27" t="n">
        <x:v>1</x:v>
      </x:c>
    </x:row>
    <x:row r="1723" ht="15" hidden="0" customHeight="1">
      <x:c r="A1723" s="29" t="n">
        <x:v>219</x:v>
      </x:c>
      <x:c r="B1723" s="29" t="n">
        <x:v>331123</x:v>
      </x:c>
      <x:c r="C1723" s="29" t="str">
        <x:v>A3</x:v>
      </x:c>
      <x:c r="D1723" s="53" t="n">
        <x:v>2500</x:v>
      </x:c>
      <x:c r="E1723" s="47" t="n">
        <x:v>1</x:v>
      </x:c>
      <x:c r="F1723" s="47" t="n">
        <x:v>1</x:v>
      </x:c>
      <x:c r="G1723" s="47" t="n">
        <x:v>1</x:v>
      </x:c>
      <x:c r="H1723" s="47" t="n">
        <x:v>1</x:v>
      </x:c>
      <x:c r="I1723" s="47" t="n">
        <x:v>1</x:v>
      </x:c>
      <x:c r="J1723" s="47" t="n">
        <x:v>1</x:v>
      </x:c>
      <x:c r="K1723" s="47" t="n">
        <x:v>1</x:v>
      </x:c>
      <x:c r="L1723" s="47" t="n">
        <x:v>1</x:v>
      </x:c>
      <x:c r="M1723" s="29" t="n">
        <x:v>1</x:v>
      </x:c>
    </x:row>
    <x:row r="1724" ht="15" hidden="0" customHeight="1">
      <x:c r="A1724" s="27" t="n">
        <x:v>220</x:v>
      </x:c>
      <x:c r="B1724" s="27" t="n">
        <x:v>331124</x:v>
      </x:c>
      <x:c r="C1724" s="27" t="str">
        <x:v>A3</x:v>
      </x:c>
      <x:c r="D1724" s="52" t="n">
        <x:v>2500</x:v>
      </x:c>
      <x:c r="E1724" s="46" t="n">
        <x:v>1</x:v>
      </x:c>
      <x:c r="F1724" s="46" t="n">
        <x:v>1</x:v>
      </x:c>
      <x:c r="G1724" s="46" t="n">
        <x:v>1</x:v>
      </x:c>
      <x:c r="H1724" s="46" t="n">
        <x:v>1</x:v>
      </x:c>
      <x:c r="I1724" s="46" t="n">
        <x:v>1</x:v>
      </x:c>
      <x:c r="J1724" s="46" t="n">
        <x:v>1</x:v>
      </x:c>
      <x:c r="K1724" s="46" t="n">
        <x:v>1</x:v>
      </x:c>
      <x:c r="L1724" s="46" t="n">
        <x:v>1</x:v>
      </x:c>
      <x:c r="M1724" s="27" t="n">
        <x:v>1</x:v>
      </x:c>
    </x:row>
    <x:row r="1725" ht="15" hidden="0" customHeight="1">
      <x:c r="A1725" s="29" t="n">
        <x:v>221</x:v>
      </x:c>
      <x:c r="B1725" s="29" t="n">
        <x:v>331125</x:v>
      </x:c>
      <x:c r="C1725" s="29" t="str">
        <x:v>A3</x:v>
      </x:c>
      <x:c r="D1725" s="53" t="n">
        <x:v>2500</x:v>
      </x:c>
      <x:c r="E1725" s="47" t="n">
        <x:v>1</x:v>
      </x:c>
      <x:c r="F1725" s="47" t="n">
        <x:v>1</x:v>
      </x:c>
      <x:c r="G1725" s="47" t="n">
        <x:v>1</x:v>
      </x:c>
      <x:c r="H1725" s="47" t="n">
        <x:v>1</x:v>
      </x:c>
      <x:c r="I1725" s="47" t="n">
        <x:v>1</x:v>
      </x:c>
      <x:c r="J1725" s="47" t="n">
        <x:v>1</x:v>
      </x:c>
      <x:c r="K1725" s="47" t="n">
        <x:v>1</x:v>
      </x:c>
      <x:c r="L1725" s="47" t="n">
        <x:v>1</x:v>
      </x:c>
      <x:c r="M1725" s="29" t="n">
        <x:v>1</x:v>
      </x:c>
    </x:row>
    <x:row r="1726" ht="15" hidden="0" customHeight="1">
      <x:c r="A1726" s="27" t="n">
        <x:v>222</x:v>
      </x:c>
      <x:c r="B1726" s="27" t="n">
        <x:v>331126</x:v>
      </x:c>
      <x:c r="C1726" s="27" t="str">
        <x:v>A3</x:v>
      </x:c>
      <x:c r="D1726" s="52" t="n">
        <x:v>2500</x:v>
      </x:c>
      <x:c r="E1726" s="46" t="n">
        <x:v>1</x:v>
      </x:c>
      <x:c r="F1726" s="46" t="n">
        <x:v>1</x:v>
      </x:c>
      <x:c r="G1726" s="46" t="n">
        <x:v>1</x:v>
      </x:c>
      <x:c r="H1726" s="46" t="n">
        <x:v>1</x:v>
      </x:c>
      <x:c r="I1726" s="46" t="n">
        <x:v>1</x:v>
      </x:c>
      <x:c r="J1726" s="46" t="n">
        <x:v>1</x:v>
      </x:c>
      <x:c r="K1726" s="46" t="n">
        <x:v>1</x:v>
      </x:c>
      <x:c r="L1726" s="46" t="n">
        <x:v>1</x:v>
      </x:c>
      <x:c r="M1726" s="27" t="n">
        <x:v>1</x:v>
      </x:c>
    </x:row>
    <x:row r="1727" ht="15" hidden="0" customHeight="1">
      <x:c r="A1727" s="29" t="n">
        <x:v>223</x:v>
      </x:c>
      <x:c r="B1727" s="29" t="n">
        <x:v>331127</x:v>
      </x:c>
      <x:c r="C1727" s="29" t="str">
        <x:v>A3</x:v>
      </x:c>
      <x:c r="D1727" s="53" t="n">
        <x:v>2500</x:v>
      </x:c>
      <x:c r="E1727" s="47" t="n">
        <x:v>1</x:v>
      </x:c>
      <x:c r="F1727" s="47" t="n">
        <x:v>1</x:v>
      </x:c>
      <x:c r="G1727" s="47" t="n">
        <x:v>1</x:v>
      </x:c>
      <x:c r="H1727" s="47" t="n">
        <x:v>1</x:v>
      </x:c>
      <x:c r="I1727" s="47" t="n">
        <x:v>1</x:v>
      </x:c>
      <x:c r="J1727" s="47" t="n">
        <x:v>1</x:v>
      </x:c>
      <x:c r="K1727" s="47" t="n">
        <x:v>1</x:v>
      </x:c>
      <x:c r="L1727" s="47" t="n">
        <x:v>1</x:v>
      </x:c>
      <x:c r="M1727" s="29" t="n">
        <x:v>1</x:v>
      </x:c>
    </x:row>
    <x:row r="1728" ht="15" hidden="0" customHeight="1">
      <x:c r="A1728" s="27" t="n">
        <x:v>224</x:v>
      </x:c>
      <x:c r="B1728" s="27" t="n">
        <x:v>331128</x:v>
      </x:c>
      <x:c r="C1728" s="27" t="str">
        <x:v>A3</x:v>
      </x:c>
      <x:c r="D1728" s="52" t="n">
        <x:v>2500</x:v>
      </x:c>
      <x:c r="E1728" s="46" t="n">
        <x:v>1</x:v>
      </x:c>
      <x:c r="F1728" s="46" t="n">
        <x:v>1</x:v>
      </x:c>
      <x:c r="G1728" s="46" t="n">
        <x:v>1</x:v>
      </x:c>
      <x:c r="H1728" s="46" t="n">
        <x:v>1</x:v>
      </x:c>
      <x:c r="I1728" s="46" t="n">
        <x:v>1</x:v>
      </x:c>
      <x:c r="J1728" s="46" t="n">
        <x:v>1</x:v>
      </x:c>
      <x:c r="K1728" s="46" t="n">
        <x:v>1</x:v>
      </x:c>
      <x:c r="L1728" s="46" t="n">
        <x:v>1</x:v>
      </x:c>
      <x:c r="M1728" s="27" t="n">
        <x:v>1</x:v>
      </x:c>
    </x:row>
    <x:row r="1729" ht="15" hidden="0" customHeight="1">
      <x:c r="A1729" s="29" t="n">
        <x:v>225</x:v>
      </x:c>
      <x:c r="B1729" s="29" t="n">
        <x:v>331129</x:v>
      </x:c>
      <x:c r="C1729" s="29" t="str">
        <x:v>A3</x:v>
      </x:c>
      <x:c r="D1729" s="53" t="n">
        <x:v>2500</x:v>
      </x:c>
      <x:c r="E1729" s="47" t="n">
        <x:v>1</x:v>
      </x:c>
      <x:c r="F1729" s="47" t="n">
        <x:v>1</x:v>
      </x:c>
      <x:c r="G1729" s="47" t="n">
        <x:v>1</x:v>
      </x:c>
      <x:c r="H1729" s="47" t="n">
        <x:v>1</x:v>
      </x:c>
      <x:c r="I1729" s="47" t="n">
        <x:v>1</x:v>
      </x:c>
      <x:c r="J1729" s="47" t="n">
        <x:v>1</x:v>
      </x:c>
      <x:c r="K1729" s="47" t="n">
        <x:v>1</x:v>
      </x:c>
      <x:c r="L1729" s="47" t="n">
        <x:v>1</x:v>
      </x:c>
      <x:c r="M1729" s="29" t="n">
        <x:v>1</x:v>
      </x:c>
    </x:row>
    <x:row r="1730" ht="15" hidden="0" customHeight="1">
      <x:c r="A1730" s="27" t="n">
        <x:v>226</x:v>
      </x:c>
      <x:c r="B1730" s="27" t="n">
        <x:v>331130</x:v>
      </x:c>
      <x:c r="C1730" s="27" t="str">
        <x:v>A3</x:v>
      </x:c>
      <x:c r="D1730" s="52" t="n">
        <x:v>2500</x:v>
      </x:c>
      <x:c r="E1730" s="46" t="n">
        <x:v>1</x:v>
      </x:c>
      <x:c r="F1730" s="46" t="n">
        <x:v>1</x:v>
      </x:c>
      <x:c r="G1730" s="46" t="n">
        <x:v>1</x:v>
      </x:c>
      <x:c r="H1730" s="46" t="n">
        <x:v>1</x:v>
      </x:c>
      <x:c r="I1730" s="46" t="n">
        <x:v>1</x:v>
      </x:c>
      <x:c r="J1730" s="46" t="n">
        <x:v>1</x:v>
      </x:c>
      <x:c r="K1730" s="46" t="n">
        <x:v>1</x:v>
      </x:c>
      <x:c r="L1730" s="46" t="n">
        <x:v>1</x:v>
      </x:c>
      <x:c r="M1730" s="27" t="n">
        <x:v>1</x:v>
      </x:c>
    </x:row>
    <x:row r="1731" ht="15" hidden="0" customHeight="1">
      <x:c r="A1731" s="29" t="n">
        <x:v>227</x:v>
      </x:c>
      <x:c r="B1731" s="29" t="n">
        <x:v>331131</x:v>
      </x:c>
      <x:c r="C1731" s="29" t="str">
        <x:v>A3</x:v>
      </x:c>
      <x:c r="D1731" s="53" t="n">
        <x:v>2500</x:v>
      </x:c>
      <x:c r="E1731" s="47" t="n">
        <x:v>1</x:v>
      </x:c>
      <x:c r="F1731" s="47" t="n">
        <x:v>1</x:v>
      </x:c>
      <x:c r="G1731" s="47" t="n">
        <x:v>1</x:v>
      </x:c>
      <x:c r="H1731" s="47" t="n">
        <x:v>1</x:v>
      </x:c>
      <x:c r="I1731" s="47" t="n">
        <x:v>1</x:v>
      </x:c>
      <x:c r="J1731" s="47" t="n">
        <x:v>1</x:v>
      </x:c>
      <x:c r="K1731" s="47" t="n">
        <x:v>1</x:v>
      </x:c>
      <x:c r="L1731" s="47" t="n">
        <x:v>1</x:v>
      </x:c>
      <x:c r="M1731" s="29" t="n">
        <x:v>1</x:v>
      </x:c>
    </x:row>
    <x:row r="1732" ht="15" hidden="0" customHeight="1">
      <x:c r="A1732" s="27" t="n">
        <x:v>228</x:v>
      </x:c>
      <x:c r="B1732" s="27" t="n">
        <x:v>331132</x:v>
      </x:c>
      <x:c r="C1732" s="27" t="str">
        <x:v>A3</x:v>
      </x:c>
      <x:c r="D1732" s="52" t="n">
        <x:v>2500</x:v>
      </x:c>
      <x:c r="E1732" s="46" t="n">
        <x:v>1</x:v>
      </x:c>
      <x:c r="F1732" s="46" t="n">
        <x:v>1</x:v>
      </x:c>
      <x:c r="G1732" s="46" t="n">
        <x:v>1</x:v>
      </x:c>
      <x:c r="H1732" s="46" t="n">
        <x:v>1</x:v>
      </x:c>
      <x:c r="I1732" s="46" t="n">
        <x:v>1</x:v>
      </x:c>
      <x:c r="J1732" s="46" t="n">
        <x:v>1</x:v>
      </x:c>
      <x:c r="K1732" s="46" t="n">
        <x:v>1</x:v>
      </x:c>
      <x:c r="L1732" s="46" t="n">
        <x:v>1</x:v>
      </x:c>
      <x:c r="M1732" s="27" t="n">
        <x:v>1</x:v>
      </x:c>
    </x:row>
    <x:row r="1733" ht="15" hidden="0" customHeight="1">
      <x:c r="A1733" s="29" t="n">
        <x:v>229</x:v>
      </x:c>
      <x:c r="B1733" s="29" t="n">
        <x:v>331133</x:v>
      </x:c>
      <x:c r="C1733" s="29" t="str">
        <x:v>A3</x:v>
      </x:c>
      <x:c r="D1733" s="53" t="n">
        <x:v>2500</x:v>
      </x:c>
      <x:c r="E1733" s="47" t="n">
        <x:v>1</x:v>
      </x:c>
      <x:c r="F1733" s="47" t="n">
        <x:v>1</x:v>
      </x:c>
      <x:c r="G1733" s="47" t="n">
        <x:v>1</x:v>
      </x:c>
      <x:c r="H1733" s="47" t="n">
        <x:v>1</x:v>
      </x:c>
      <x:c r="I1733" s="47" t="n">
        <x:v>1</x:v>
      </x:c>
      <x:c r="J1733" s="47" t="n">
        <x:v>1</x:v>
      </x:c>
      <x:c r="K1733" s="47" t="n">
        <x:v>1</x:v>
      </x:c>
      <x:c r="L1733" s="47" t="n">
        <x:v>1</x:v>
      </x:c>
      <x:c r="M1733" s="29" t="n">
        <x:v>1</x:v>
      </x:c>
    </x:row>
    <x:row r="1734" ht="15" hidden="0" customHeight="1">
      <x:c r="A1734" s="27" t="n">
        <x:v>230</x:v>
      </x:c>
      <x:c r="B1734" s="27" t="n">
        <x:v>331134</x:v>
      </x:c>
      <x:c r="C1734" s="27" t="str">
        <x:v>A3</x:v>
      </x:c>
      <x:c r="D1734" s="52" t="n">
        <x:v>2500</x:v>
      </x:c>
      <x:c r="E1734" s="46" t="n">
        <x:v>1</x:v>
      </x:c>
      <x:c r="F1734" s="46" t="n">
        <x:v>1</x:v>
      </x:c>
      <x:c r="G1734" s="46" t="n">
        <x:v>1</x:v>
      </x:c>
      <x:c r="H1734" s="46" t="n">
        <x:v>1</x:v>
      </x:c>
      <x:c r="I1734" s="46" t="n">
        <x:v>1</x:v>
      </x:c>
      <x:c r="J1734" s="46" t="n">
        <x:v>1</x:v>
      </x:c>
      <x:c r="K1734" s="46" t="n">
        <x:v>1</x:v>
      </x:c>
      <x:c r="L1734" s="46" t="n">
        <x:v>1</x:v>
      </x:c>
      <x:c r="M1734" s="27" t="n">
        <x:v>1</x:v>
      </x:c>
    </x:row>
    <x:row r="1735" ht="15" hidden="0" customHeight="1">
      <x:c r="A1735" s="29" t="n">
        <x:v>231</x:v>
      </x:c>
      <x:c r="B1735" s="29" t="n">
        <x:v>331135</x:v>
      </x:c>
      <x:c r="C1735" s="29" t="str">
        <x:v>A3</x:v>
      </x:c>
      <x:c r="D1735" s="53" t="n">
        <x:v>2500</x:v>
      </x:c>
      <x:c r="E1735" s="47" t="n">
        <x:v>1</x:v>
      </x:c>
      <x:c r="F1735" s="47" t="n">
        <x:v>1</x:v>
      </x:c>
      <x:c r="G1735" s="47" t="n">
        <x:v>1</x:v>
      </x:c>
      <x:c r="H1735" s="47" t="n">
        <x:v>1</x:v>
      </x:c>
      <x:c r="I1735" s="47" t="n">
        <x:v>1</x:v>
      </x:c>
      <x:c r="J1735" s="47" t="n">
        <x:v>1</x:v>
      </x:c>
      <x:c r="K1735" s="47" t="n">
        <x:v>1</x:v>
      </x:c>
      <x:c r="L1735" s="47" t="n">
        <x:v>1</x:v>
      </x:c>
      <x:c r="M1735" s="29" t="n">
        <x:v>1</x:v>
      </x:c>
    </x:row>
    <x:row r="1736" ht="15" hidden="0" customHeight="1">
      <x:c r="A1736" s="27" t="n">
        <x:v>232</x:v>
      </x:c>
      <x:c r="B1736" s="27" t="n">
        <x:v>331136</x:v>
      </x:c>
      <x:c r="C1736" s="27" t="str">
        <x:v>A3</x:v>
      </x:c>
      <x:c r="D1736" s="52" t="n">
        <x:v>2500</x:v>
      </x:c>
      <x:c r="E1736" s="46" t="n">
        <x:v>1</x:v>
      </x:c>
      <x:c r="F1736" s="46" t="n">
        <x:v>1</x:v>
      </x:c>
      <x:c r="G1736" s="46" t="n">
        <x:v>1</x:v>
      </x:c>
      <x:c r="H1736" s="46" t="n">
        <x:v>1</x:v>
      </x:c>
      <x:c r="I1736" s="46" t="n">
        <x:v>1</x:v>
      </x:c>
      <x:c r="J1736" s="46" t="n">
        <x:v>1</x:v>
      </x:c>
      <x:c r="K1736" s="46" t="n">
        <x:v>1</x:v>
      </x:c>
      <x:c r="L1736" s="46" t="n">
        <x:v>1</x:v>
      </x:c>
      <x:c r="M1736" s="27" t="n">
        <x:v>1</x:v>
      </x:c>
    </x:row>
    <x:row r="1737" ht="15" hidden="0" customHeight="1">
      <x:c r="A1737" s="29" t="n">
        <x:v>233</x:v>
      </x:c>
      <x:c r="B1737" s="29" t="n">
        <x:v>331137</x:v>
      </x:c>
      <x:c r="C1737" s="29" t="str">
        <x:v>A3</x:v>
      </x:c>
      <x:c r="D1737" s="53" t="n">
        <x:v>2500</x:v>
      </x:c>
      <x:c r="E1737" s="47" t="n">
        <x:v>1</x:v>
      </x:c>
      <x:c r="F1737" s="47" t="n">
        <x:v>1</x:v>
      </x:c>
      <x:c r="G1737" s="47" t="n">
        <x:v>1</x:v>
      </x:c>
      <x:c r="H1737" s="47" t="n">
        <x:v>1</x:v>
      </x:c>
      <x:c r="I1737" s="47" t="n">
        <x:v>1</x:v>
      </x:c>
      <x:c r="J1737" s="47" t="n">
        <x:v>1</x:v>
      </x:c>
      <x:c r="K1737" s="47" t="n">
        <x:v>1</x:v>
      </x:c>
      <x:c r="L1737" s="47" t="n">
        <x:v>1</x:v>
      </x:c>
      <x:c r="M1737" s="29" t="n">
        <x:v>1</x:v>
      </x:c>
    </x:row>
    <x:row r="1738" ht="15" hidden="0" customHeight="1">
      <x:c r="A1738" s="27" t="n">
        <x:v>234</x:v>
      </x:c>
      <x:c r="B1738" s="27" t="n">
        <x:v>331138</x:v>
      </x:c>
      <x:c r="C1738" s="27" t="str">
        <x:v>A3</x:v>
      </x:c>
      <x:c r="D1738" s="52" t="n">
        <x:v>2500</x:v>
      </x:c>
      <x:c r="E1738" s="46" t="n">
        <x:v>1</x:v>
      </x:c>
      <x:c r="F1738" s="46" t="n">
        <x:v>1</x:v>
      </x:c>
      <x:c r="G1738" s="46" t="n">
        <x:v>1</x:v>
      </x:c>
      <x:c r="H1738" s="46" t="n">
        <x:v>1</x:v>
      </x:c>
      <x:c r="I1738" s="46" t="n">
        <x:v>1</x:v>
      </x:c>
      <x:c r="J1738" s="46" t="n">
        <x:v>1</x:v>
      </x:c>
      <x:c r="K1738" s="46" t="n">
        <x:v>1</x:v>
      </x:c>
      <x:c r="L1738" s="46" t="n">
        <x:v>1</x:v>
      </x:c>
      <x:c r="M1738" s="27" t="n">
        <x:v>1</x:v>
      </x:c>
    </x:row>
    <x:row r="1739" ht="15" hidden="0" customHeight="1">
      <x:c r="A1739" s="29" t="n">
        <x:v>235</x:v>
      </x:c>
      <x:c r="B1739" s="29" t="n">
        <x:v>331139</x:v>
      </x:c>
      <x:c r="C1739" s="29" t="str">
        <x:v>A3</x:v>
      </x:c>
      <x:c r="D1739" s="53" t="n">
        <x:v>2500</x:v>
      </x:c>
      <x:c r="E1739" s="47" t="n">
        <x:v>1</x:v>
      </x:c>
      <x:c r="F1739" s="47" t="n">
        <x:v>1</x:v>
      </x:c>
      <x:c r="G1739" s="47" t="n">
        <x:v>1</x:v>
      </x:c>
      <x:c r="H1739" s="47" t="n">
        <x:v>1</x:v>
      </x:c>
      <x:c r="I1739" s="47" t="n">
        <x:v>1</x:v>
      </x:c>
      <x:c r="J1739" s="47" t="n">
        <x:v>1</x:v>
      </x:c>
      <x:c r="K1739" s="47" t="n">
        <x:v>1</x:v>
      </x:c>
      <x:c r="L1739" s="47" t="n">
        <x:v>1</x:v>
      </x:c>
      <x:c r="M1739" s="29" t="n">
        <x:v>1</x:v>
      </x:c>
    </x:row>
    <x:row r="1740" ht="15" hidden="0" customHeight="1">
      <x:c r="A1740" s="27" t="n">
        <x:v>236</x:v>
      </x:c>
      <x:c r="B1740" s="27" t="n">
        <x:v>331140</x:v>
      </x:c>
      <x:c r="C1740" s="27" t="str">
        <x:v>A3</x:v>
      </x:c>
      <x:c r="D1740" s="52" t="n">
        <x:v>2500</x:v>
      </x:c>
      <x:c r="E1740" s="46" t="n">
        <x:v>1</x:v>
      </x:c>
      <x:c r="F1740" s="46" t="n">
        <x:v>1</x:v>
      </x:c>
      <x:c r="G1740" s="46" t="n">
        <x:v>1</x:v>
      </x:c>
      <x:c r="H1740" s="46" t="n">
        <x:v>1</x:v>
      </x:c>
      <x:c r="I1740" s="46" t="n">
        <x:v>1</x:v>
      </x:c>
      <x:c r="J1740" s="46" t="n">
        <x:v>1</x:v>
      </x:c>
      <x:c r="K1740" s="46" t="n">
        <x:v>1</x:v>
      </x:c>
      <x:c r="L1740" s="46" t="n">
        <x:v>1</x:v>
      </x:c>
      <x:c r="M1740" s="27" t="n">
        <x:v>1</x:v>
      </x:c>
    </x:row>
    <x:row r="1741" ht="15" hidden="0" customHeight="1">
      <x:c r="A1741" s="29" t="n">
        <x:v>237</x:v>
      </x:c>
      <x:c r="B1741" s="29" t="n">
        <x:v>331141</x:v>
      </x:c>
      <x:c r="C1741" s="29" t="str">
        <x:v>A3</x:v>
      </x:c>
      <x:c r="D1741" s="53" t="n">
        <x:v>2500</x:v>
      </x:c>
      <x:c r="E1741" s="47" t="n">
        <x:v>1</x:v>
      </x:c>
      <x:c r="F1741" s="47" t="n">
        <x:v>1</x:v>
      </x:c>
      <x:c r="G1741" s="47" t="n">
        <x:v>1</x:v>
      </x:c>
      <x:c r="H1741" s="47" t="n">
        <x:v>1</x:v>
      </x:c>
      <x:c r="I1741" s="47" t="n">
        <x:v>1</x:v>
      </x:c>
      <x:c r="J1741" s="47" t="n">
        <x:v>1</x:v>
      </x:c>
      <x:c r="K1741" s="47" t="n">
        <x:v>1</x:v>
      </x:c>
      <x:c r="L1741" s="47" t="n">
        <x:v>1</x:v>
      </x:c>
      <x:c r="M1741" s="29" t="n">
        <x:v>1</x:v>
      </x:c>
    </x:row>
    <x:row r="1742" ht="15" hidden="0" customHeight="1">
      <x:c r="A1742" s="27" t="n">
        <x:v>238</x:v>
      </x:c>
      <x:c r="B1742" s="27" t="n">
        <x:v>331142</x:v>
      </x:c>
      <x:c r="C1742" s="27" t="str">
        <x:v>A3</x:v>
      </x:c>
      <x:c r="D1742" s="52" t="n">
        <x:v>2500</x:v>
      </x:c>
      <x:c r="E1742" s="46" t="n">
        <x:v>1</x:v>
      </x:c>
      <x:c r="F1742" s="46" t="n">
        <x:v>1</x:v>
      </x:c>
      <x:c r="G1742" s="46" t="n">
        <x:v>1</x:v>
      </x:c>
      <x:c r="H1742" s="46" t="n">
        <x:v>1</x:v>
      </x:c>
      <x:c r="I1742" s="46" t="n">
        <x:v>1</x:v>
      </x:c>
      <x:c r="J1742" s="46" t="n">
        <x:v>1</x:v>
      </x:c>
      <x:c r="K1742" s="46" t="n">
        <x:v>1</x:v>
      </x:c>
      <x:c r="L1742" s="46" t="n">
        <x:v>1</x:v>
      </x:c>
      <x:c r="M1742" s="27" t="n">
        <x:v>1</x:v>
      </x:c>
    </x:row>
    <x:row r="1743" ht="15" hidden="0" customHeight="1">
      <x:c r="A1743" s="29" t="n">
        <x:v>239</x:v>
      </x:c>
      <x:c r="B1743" s="29" t="n">
        <x:v>331143</x:v>
      </x:c>
      <x:c r="C1743" s="29" t="str">
        <x:v>A3</x:v>
      </x:c>
      <x:c r="D1743" s="53" t="n">
        <x:v>2500</x:v>
      </x:c>
      <x:c r="E1743" s="47" t="n">
        <x:v>1</x:v>
      </x:c>
      <x:c r="F1743" s="47" t="n">
        <x:v>1</x:v>
      </x:c>
      <x:c r="G1743" s="47" t="n">
        <x:v>1</x:v>
      </x:c>
      <x:c r="H1743" s="47" t="n">
        <x:v>1</x:v>
      </x:c>
      <x:c r="I1743" s="47" t="n">
        <x:v>1</x:v>
      </x:c>
      <x:c r="J1743" s="47" t="n">
        <x:v>1</x:v>
      </x:c>
      <x:c r="K1743" s="47" t="n">
        <x:v>1</x:v>
      </x:c>
      <x:c r="L1743" s="47" t="n">
        <x:v>1</x:v>
      </x:c>
      <x:c r="M1743" s="29" t="n">
        <x:v>1</x:v>
      </x:c>
    </x:row>
    <x:row r="1744" ht="15" hidden="0" customHeight="1">
      <x:c r="A1744" s="27" t="n">
        <x:v>240</x:v>
      </x:c>
      <x:c r="B1744" s="27" t="n">
        <x:v>331144</x:v>
      </x:c>
      <x:c r="C1744" s="27" t="str">
        <x:v>A3</x:v>
      </x:c>
      <x:c r="D1744" s="52" t="n">
        <x:v>2500</x:v>
      </x:c>
      <x:c r="E1744" s="46" t="n">
        <x:v>1</x:v>
      </x:c>
      <x:c r="F1744" s="46" t="n">
        <x:v>1</x:v>
      </x:c>
      <x:c r="G1744" s="46" t="n">
        <x:v>1</x:v>
      </x:c>
      <x:c r="H1744" s="46" t="n">
        <x:v>1</x:v>
      </x:c>
      <x:c r="I1744" s="46" t="n">
        <x:v>1</x:v>
      </x:c>
      <x:c r="J1744" s="46" t="n">
        <x:v>1</x:v>
      </x:c>
      <x:c r="K1744" s="46" t="n">
        <x:v>1</x:v>
      </x:c>
      <x:c r="L1744" s="46" t="n">
        <x:v>1</x:v>
      </x:c>
      <x:c r="M1744" s="27" t="n">
        <x:v>1</x:v>
      </x:c>
    </x:row>
    <x:row r="1745" ht="15" hidden="0" customHeight="1">
      <x:c r="A1745" s="29" t="n">
        <x:v>241</x:v>
      </x:c>
      <x:c r="B1745" s="29" t="n">
        <x:v>331145</x:v>
      </x:c>
      <x:c r="C1745" s="29" t="str">
        <x:v>A3</x:v>
      </x:c>
      <x:c r="D1745" s="53" t="n">
        <x:v>2500</x:v>
      </x:c>
      <x:c r="E1745" s="47" t="n">
        <x:v>1</x:v>
      </x:c>
      <x:c r="F1745" s="47" t="n">
        <x:v>1</x:v>
      </x:c>
      <x:c r="G1745" s="47" t="n">
        <x:v>1</x:v>
      </x:c>
      <x:c r="H1745" s="47" t="n">
        <x:v>1</x:v>
      </x:c>
      <x:c r="I1745" s="47" t="n">
        <x:v>1</x:v>
      </x:c>
      <x:c r="J1745" s="47" t="n">
        <x:v>1</x:v>
      </x:c>
      <x:c r="K1745" s="47" t="n">
        <x:v>1</x:v>
      </x:c>
      <x:c r="L1745" s="47" t="n">
        <x:v>1</x:v>
      </x:c>
      <x:c r="M1745" s="29" t="n">
        <x:v>1</x:v>
      </x:c>
    </x:row>
    <x:row r="1746" ht="15" hidden="0" customHeight="1">
      <x:c r="A1746" s="27" t="n">
        <x:v>242</x:v>
      </x:c>
      <x:c r="B1746" s="27" t="n">
        <x:v>331146</x:v>
      </x:c>
      <x:c r="C1746" s="27" t="str">
        <x:v>A3</x:v>
      </x:c>
      <x:c r="D1746" s="52" t="n">
        <x:v>2500</x:v>
      </x:c>
      <x:c r="E1746" s="46" t="n">
        <x:v>1</x:v>
      </x:c>
      <x:c r="F1746" s="46" t="n">
        <x:v>1</x:v>
      </x:c>
      <x:c r="G1746" s="46" t="n">
        <x:v>1</x:v>
      </x:c>
      <x:c r="H1746" s="46" t="n">
        <x:v>1</x:v>
      </x:c>
      <x:c r="I1746" s="46" t="n">
        <x:v>1</x:v>
      </x:c>
      <x:c r="J1746" s="46" t="n">
        <x:v>1</x:v>
      </x:c>
      <x:c r="K1746" s="46" t="n">
        <x:v>1</x:v>
      </x:c>
      <x:c r="L1746" s="46" t="n">
        <x:v>1</x:v>
      </x:c>
      <x:c r="M1746" s="27" t="n">
        <x:v>1</x:v>
      </x:c>
    </x:row>
    <x:row r="1747" ht="15" hidden="0" customHeight="1">
      <x:c r="A1747" s="29" t="n">
        <x:v>243</x:v>
      </x:c>
      <x:c r="B1747" s="29" t="n">
        <x:v>331147</x:v>
      </x:c>
      <x:c r="C1747" s="29" t="str">
        <x:v>A3</x:v>
      </x:c>
      <x:c r="D1747" s="53" t="n">
        <x:v>2500</x:v>
      </x:c>
      <x:c r="E1747" s="47" t="n">
        <x:v>1</x:v>
      </x:c>
      <x:c r="F1747" s="47" t="n">
        <x:v>1</x:v>
      </x:c>
      <x:c r="G1747" s="47" t="n">
        <x:v>1</x:v>
      </x:c>
      <x:c r="H1747" s="47" t="n">
        <x:v>1</x:v>
      </x:c>
      <x:c r="I1747" s="47" t="n">
        <x:v>1</x:v>
      </x:c>
      <x:c r="J1747" s="47" t="n">
        <x:v>1</x:v>
      </x:c>
      <x:c r="K1747" s="47" t="n">
        <x:v>1</x:v>
      </x:c>
      <x:c r="L1747" s="47" t="n">
        <x:v>1</x:v>
      </x:c>
      <x:c r="M1747" s="29" t="n">
        <x:v>1</x:v>
      </x:c>
    </x:row>
    <x:row r="1748" ht="15" hidden="0" customHeight="1">
      <x:c r="A1748" s="27" t="n">
        <x:v>244</x:v>
      </x:c>
      <x:c r="B1748" s="27" t="n">
        <x:v>331148</x:v>
      </x:c>
      <x:c r="C1748" s="27" t="str">
        <x:v>A3</x:v>
      </x:c>
      <x:c r="D1748" s="52" t="n">
        <x:v>2500</x:v>
      </x:c>
      <x:c r="E1748" s="46" t="n">
        <x:v>1</x:v>
      </x:c>
      <x:c r="F1748" s="46" t="n">
        <x:v>1</x:v>
      </x:c>
      <x:c r="G1748" s="46" t="n">
        <x:v>1</x:v>
      </x:c>
      <x:c r="H1748" s="46" t="n">
        <x:v>1</x:v>
      </x:c>
      <x:c r="I1748" s="46" t="n">
        <x:v>1</x:v>
      </x:c>
      <x:c r="J1748" s="46" t="n">
        <x:v>1</x:v>
      </x:c>
      <x:c r="K1748" s="46" t="n">
        <x:v>1</x:v>
      </x:c>
      <x:c r="L1748" s="46" t="n">
        <x:v>1</x:v>
      </x:c>
      <x:c r="M1748" s="27" t="n">
        <x:v>1</x:v>
      </x:c>
    </x:row>
    <x:row r="1749" ht="15" hidden="0" customHeight="1">
      <x:c r="A1749" s="29" t="n">
        <x:v>245</x:v>
      </x:c>
      <x:c r="B1749" s="29" t="n">
        <x:v>331149</x:v>
      </x:c>
      <x:c r="C1749" s="29" t="str">
        <x:v>A3</x:v>
      </x:c>
      <x:c r="D1749" s="53" t="n">
        <x:v>2500</x:v>
      </x:c>
      <x:c r="E1749" s="47" t="n">
        <x:v>1</x:v>
      </x:c>
      <x:c r="F1749" s="47" t="n">
        <x:v>1</x:v>
      </x:c>
      <x:c r="G1749" s="47" t="n">
        <x:v>1</x:v>
      </x:c>
      <x:c r="H1749" s="47" t="n">
        <x:v>1</x:v>
      </x:c>
      <x:c r="I1749" s="47" t="n">
        <x:v>1</x:v>
      </x:c>
      <x:c r="J1749" s="47" t="n">
        <x:v>1</x:v>
      </x:c>
      <x:c r="K1749" s="47" t="n">
        <x:v>1</x:v>
      </x:c>
      <x:c r="L1749" s="47" t="n">
        <x:v>1</x:v>
      </x:c>
      <x:c r="M1749" s="29" t="n">
        <x:v>1</x:v>
      </x:c>
    </x:row>
    <x:row r="1750" ht="15" hidden="0" customHeight="1">
      <x:c r="A1750" s="27" t="n">
        <x:v>246</x:v>
      </x:c>
      <x:c r="B1750" s="27" t="n">
        <x:v>331150</x:v>
      </x:c>
      <x:c r="C1750" s="27" t="str">
        <x:v>A3</x:v>
      </x:c>
      <x:c r="D1750" s="52" t="n">
        <x:v>2500</x:v>
      </x:c>
      <x:c r="E1750" s="46" t="n">
        <x:v>1</x:v>
      </x:c>
      <x:c r="F1750" s="46" t="n">
        <x:v>1</x:v>
      </x:c>
      <x:c r="G1750" s="46" t="n">
        <x:v>1</x:v>
      </x:c>
      <x:c r="H1750" s="46" t="n">
        <x:v>1</x:v>
      </x:c>
      <x:c r="I1750" s="46" t="n">
        <x:v>1</x:v>
      </x:c>
      <x:c r="J1750" s="46" t="n">
        <x:v>1</x:v>
      </x:c>
      <x:c r="K1750" s="46" t="n">
        <x:v>1</x:v>
      </x:c>
      <x:c r="L1750" s="46" t="n">
        <x:v>1</x:v>
      </x:c>
      <x:c r="M1750" s="27" t="n">
        <x:v>1</x:v>
      </x:c>
    </x:row>
    <x:row r="1751" ht="15" hidden="0" customHeight="1">
      <x:c r="A1751" s="29" t="n">
        <x:v>247</x:v>
      </x:c>
      <x:c r="B1751" s="29" t="n">
        <x:v>331151</x:v>
      </x:c>
      <x:c r="C1751" s="29" t="str">
        <x:v>A3</x:v>
      </x:c>
      <x:c r="D1751" s="53" t="n">
        <x:v>2500</x:v>
      </x:c>
      <x:c r="E1751" s="47" t="n">
        <x:v>1</x:v>
      </x:c>
      <x:c r="F1751" s="47" t="n">
        <x:v>1</x:v>
      </x:c>
      <x:c r="G1751" s="47" t="n">
        <x:v>1</x:v>
      </x:c>
      <x:c r="H1751" s="47" t="n">
        <x:v>1</x:v>
      </x:c>
      <x:c r="I1751" s="47" t="n">
        <x:v>1</x:v>
      </x:c>
      <x:c r="J1751" s="47" t="n">
        <x:v>1</x:v>
      </x:c>
      <x:c r="K1751" s="47" t="n">
        <x:v>1</x:v>
      </x:c>
      <x:c r="L1751" s="47" t="n">
        <x:v>1</x:v>
      </x:c>
      <x:c r="M1751" s="29" t="n">
        <x:v>1</x:v>
      </x:c>
    </x:row>
    <x:row r="1752" ht="15" hidden="0" customHeight="1">
      <x:c r="A1752" s="27" t="n">
        <x:v>248</x:v>
      </x:c>
      <x:c r="B1752" s="27" t="n">
        <x:v>331152</x:v>
      </x:c>
      <x:c r="C1752" s="27" t="str">
        <x:v>A3</x:v>
      </x:c>
      <x:c r="D1752" s="52" t="n">
        <x:v>2500</x:v>
      </x:c>
      <x:c r="E1752" s="46" t="n">
        <x:v>1</x:v>
      </x:c>
      <x:c r="F1752" s="46" t="n">
        <x:v>1</x:v>
      </x:c>
      <x:c r="G1752" s="46" t="n">
        <x:v>1</x:v>
      </x:c>
      <x:c r="H1752" s="46" t="n">
        <x:v>1</x:v>
      </x:c>
      <x:c r="I1752" s="46" t="n">
        <x:v>1</x:v>
      </x:c>
      <x:c r="J1752" s="46" t="n">
        <x:v>1</x:v>
      </x:c>
      <x:c r="K1752" s="46" t="n">
        <x:v>1</x:v>
      </x:c>
      <x:c r="L1752" s="46" t="n">
        <x:v>1</x:v>
      </x:c>
      <x:c r="M1752" s="27" t="n">
        <x:v>1</x:v>
      </x:c>
    </x:row>
    <x:row r="1753" ht="15" hidden="0" customHeight="1">
      <x:c r="A1753" s="29" t="n">
        <x:v>249</x:v>
      </x:c>
      <x:c r="B1753" s="29" t="n">
        <x:v>331153</x:v>
      </x:c>
      <x:c r="C1753" s="29" t="str">
        <x:v>A3</x:v>
      </x:c>
      <x:c r="D1753" s="53" t="n">
        <x:v>2500</x:v>
      </x:c>
      <x:c r="E1753" s="47" t="n">
        <x:v>1</x:v>
      </x:c>
      <x:c r="F1753" s="47" t="n">
        <x:v>1</x:v>
      </x:c>
      <x:c r="G1753" s="47" t="n">
        <x:v>1</x:v>
      </x:c>
      <x:c r="H1753" s="47" t="n">
        <x:v>1</x:v>
      </x:c>
      <x:c r="I1753" s="47" t="n">
        <x:v>1</x:v>
      </x:c>
      <x:c r="J1753" s="47" t="n">
        <x:v>1</x:v>
      </x:c>
      <x:c r="K1753" s="47" t="n">
        <x:v>1</x:v>
      </x:c>
      <x:c r="L1753" s="47" t="n">
        <x:v>1</x:v>
      </x:c>
      <x:c r="M1753" s="29" t="n">
        <x:v>1</x:v>
      </x:c>
    </x:row>
    <x:row r="1754" ht="15" hidden="0" customHeight="1">
      <x:c r="A1754" s="27" t="n">
        <x:v>250</x:v>
      </x:c>
      <x:c r="B1754" s="27" t="n">
        <x:v>331154</x:v>
      </x:c>
      <x:c r="C1754" s="27" t="str">
        <x:v>A3</x:v>
      </x:c>
      <x:c r="D1754" s="52" t="n">
        <x:v>2500</x:v>
      </x:c>
      <x:c r="E1754" s="46" t="n">
        <x:v>1</x:v>
      </x:c>
      <x:c r="F1754" s="46" t="n">
        <x:v>1</x:v>
      </x:c>
      <x:c r="G1754" s="46" t="n">
        <x:v>1</x:v>
      </x:c>
      <x:c r="H1754" s="46" t="n">
        <x:v>1</x:v>
      </x:c>
      <x:c r="I1754" s="46" t="n">
        <x:v>1</x:v>
      </x:c>
      <x:c r="J1754" s="46" t="n">
        <x:v>1</x:v>
      </x:c>
      <x:c r="K1754" s="46" t="n">
        <x:v>1</x:v>
      </x:c>
      <x:c r="L1754" s="46" t="n">
        <x:v>1</x:v>
      </x:c>
      <x:c r="M1754" s="27" t="n">
        <x:v>1</x:v>
      </x:c>
    </x:row>
    <x:row r="1755" ht="15" hidden="0" customHeight="1">
      <x:c r="A1755" s="29" t="n">
        <x:v>251</x:v>
      </x:c>
      <x:c r="B1755" s="29" t="n">
        <x:v>331155</x:v>
      </x:c>
      <x:c r="C1755" s="29" t="str">
        <x:v>A3</x:v>
      </x:c>
      <x:c r="D1755" s="53" t="n">
        <x:v>2500</x:v>
      </x:c>
      <x:c r="E1755" s="47" t="n">
        <x:v>1</x:v>
      </x:c>
      <x:c r="F1755" s="47" t="n">
        <x:v>1</x:v>
      </x:c>
      <x:c r="G1755" s="47" t="n">
        <x:v>1</x:v>
      </x:c>
      <x:c r="H1755" s="47" t="n">
        <x:v>1</x:v>
      </x:c>
      <x:c r="I1755" s="47" t="n">
        <x:v>1</x:v>
      </x:c>
      <x:c r="J1755" s="47" t="n">
        <x:v>1</x:v>
      </x:c>
      <x:c r="K1755" s="47" t="n">
        <x:v>1</x:v>
      </x:c>
      <x:c r="L1755" s="47" t="n">
        <x:v>1</x:v>
      </x:c>
      <x:c r="M1755" s="29" t="n">
        <x:v>1</x:v>
      </x:c>
    </x:row>
    <x:row r="1756" ht="15" hidden="0" customHeight="1">
      <x:c r="A1756" s="27" t="n">
        <x:v>252</x:v>
      </x:c>
      <x:c r="B1756" s="27" t="n">
        <x:v>331156</x:v>
      </x:c>
      <x:c r="C1756" s="27" t="str">
        <x:v>A3</x:v>
      </x:c>
      <x:c r="D1756" s="52" t="n">
        <x:v>2500</x:v>
      </x:c>
      <x:c r="E1756" s="46" t="n">
        <x:v>1</x:v>
      </x:c>
      <x:c r="F1756" s="46" t="n">
        <x:v>1</x:v>
      </x:c>
      <x:c r="G1756" s="46" t="n">
        <x:v>1</x:v>
      </x:c>
      <x:c r="H1756" s="46" t="n">
        <x:v>1</x:v>
      </x:c>
      <x:c r="I1756" s="46" t="n">
        <x:v>1</x:v>
      </x:c>
      <x:c r="J1756" s="46" t="n">
        <x:v>1</x:v>
      </x:c>
      <x:c r="K1756" s="46" t="n">
        <x:v>1</x:v>
      </x:c>
      <x:c r="L1756" s="46" t="n">
        <x:v>1</x:v>
      </x:c>
      <x:c r="M1756" s="27" t="n">
        <x:v>1</x:v>
      </x:c>
    </x:row>
    <x:row r="1757" ht="15" hidden="0" customHeight="1">
      <x:c r="A1757" s="29" t="n">
        <x:v>253</x:v>
      </x:c>
      <x:c r="B1757" s="29" t="n">
        <x:v>331157</x:v>
      </x:c>
      <x:c r="C1757" s="29" t="str">
        <x:v>A3</x:v>
      </x:c>
      <x:c r="D1757" s="53" t="n">
        <x:v>2500</x:v>
      </x:c>
      <x:c r="E1757" s="47" t="n">
        <x:v>1</x:v>
      </x:c>
      <x:c r="F1757" s="47" t="n">
        <x:v>1</x:v>
      </x:c>
      <x:c r="G1757" s="47" t="n">
        <x:v>1</x:v>
      </x:c>
      <x:c r="H1757" s="47" t="n">
        <x:v>1</x:v>
      </x:c>
      <x:c r="I1757" s="47" t="n">
        <x:v>1</x:v>
      </x:c>
      <x:c r="J1757" s="47" t="n">
        <x:v>1</x:v>
      </x:c>
      <x:c r="K1757" s="47" t="n">
        <x:v>1</x:v>
      </x:c>
      <x:c r="L1757" s="47" t="n">
        <x:v>1</x:v>
      </x:c>
      <x:c r="M1757" s="29" t="n">
        <x:v>1</x:v>
      </x:c>
    </x:row>
    <x:row r="1758" ht="15" hidden="0" customHeight="1">
      <x:c r="A1758" s="27" t="n">
        <x:v>254</x:v>
      </x:c>
      <x:c r="B1758" s="27" t="n">
        <x:v>331158</x:v>
      </x:c>
      <x:c r="C1758" s="27" t="str">
        <x:v>A3</x:v>
      </x:c>
      <x:c r="D1758" s="52" t="n">
        <x:v>2500</x:v>
      </x:c>
      <x:c r="E1758" s="46" t="n">
        <x:v>1</x:v>
      </x:c>
      <x:c r="F1758" s="46" t="n">
        <x:v>1</x:v>
      </x:c>
      <x:c r="G1758" s="46" t="n">
        <x:v>1</x:v>
      </x:c>
      <x:c r="H1758" s="46" t="n">
        <x:v>1</x:v>
      </x:c>
      <x:c r="I1758" s="46" t="n">
        <x:v>1</x:v>
      </x:c>
      <x:c r="J1758" s="46" t="n">
        <x:v>1</x:v>
      </x:c>
      <x:c r="K1758" s="46" t="n">
        <x:v>1</x:v>
      </x:c>
      <x:c r="L1758" s="46" t="n">
        <x:v>1</x:v>
      </x:c>
      <x:c r="M1758" s="27" t="n">
        <x:v>1</x:v>
      </x:c>
    </x:row>
    <x:row r="1759" ht="15" hidden="0" customHeight="1">
      <x:c r="A1759" s="29" t="n">
        <x:v>255</x:v>
      </x:c>
      <x:c r="B1759" s="29" t="n">
        <x:v>331159</x:v>
      </x:c>
      <x:c r="C1759" s="29" t="str">
        <x:v>A3</x:v>
      </x:c>
      <x:c r="D1759" s="53" t="n">
        <x:v>2500</x:v>
      </x:c>
      <x:c r="E1759" s="47" t="n">
        <x:v>1</x:v>
      </x:c>
      <x:c r="F1759" s="47" t="n">
        <x:v>1</x:v>
      </x:c>
      <x:c r="G1759" s="47" t="n">
        <x:v>1</x:v>
      </x:c>
      <x:c r="H1759" s="47" t="n">
        <x:v>1</x:v>
      </x:c>
      <x:c r="I1759" s="47" t="n">
        <x:v>1</x:v>
      </x:c>
      <x:c r="J1759" s="47" t="n">
        <x:v>1</x:v>
      </x:c>
      <x:c r="K1759" s="47" t="n">
        <x:v>1</x:v>
      </x:c>
      <x:c r="L1759" s="47" t="n">
        <x:v>1</x:v>
      </x:c>
      <x:c r="M1759" s="29" t="n">
        <x:v>1</x:v>
      </x:c>
    </x:row>
    <x:row r="1760" ht="15" hidden="0" customHeight="1">
      <x:c r="A1760" s="27" t="n">
        <x:v>256</x:v>
      </x:c>
      <x:c r="B1760" s="27" t="n">
        <x:v>331160</x:v>
      </x:c>
      <x:c r="C1760" s="27" t="str">
        <x:v>A3</x:v>
      </x:c>
      <x:c r="D1760" s="52" t="n">
        <x:v>2500</x:v>
      </x:c>
      <x:c r="E1760" s="46" t="n">
        <x:v>1</x:v>
      </x:c>
      <x:c r="F1760" s="46" t="n">
        <x:v>1</x:v>
      </x:c>
      <x:c r="G1760" s="46" t="n">
        <x:v>1</x:v>
      </x:c>
      <x:c r="H1760" s="46" t="n">
        <x:v>1</x:v>
      </x:c>
      <x:c r="I1760" s="46" t="n">
        <x:v>1</x:v>
      </x:c>
      <x:c r="J1760" s="46" t="n">
        <x:v>1</x:v>
      </x:c>
      <x:c r="K1760" s="46" t="n">
        <x:v>1</x:v>
      </x:c>
      <x:c r="L1760" s="46" t="n">
        <x:v>1</x:v>
      </x:c>
      <x:c r="M1760" s="27" t="n">
        <x:v>1</x:v>
      </x:c>
    </x:row>
    <x:row r="1761" ht="15" hidden="0" customHeight="1">
      <x:c r="A1761" s="29" t="n">
        <x:v>257</x:v>
      </x:c>
      <x:c r="B1761" s="29" t="n">
        <x:v>331161</x:v>
      </x:c>
      <x:c r="C1761" s="29" t="str">
        <x:v>A3</x:v>
      </x:c>
      <x:c r="D1761" s="53" t="n">
        <x:v>2500</x:v>
      </x:c>
      <x:c r="E1761" s="47" t="n">
        <x:v>1</x:v>
      </x:c>
      <x:c r="F1761" s="47" t="n">
        <x:v>1</x:v>
      </x:c>
      <x:c r="G1761" s="47" t="n">
        <x:v>1</x:v>
      </x:c>
      <x:c r="H1761" s="47" t="n">
        <x:v>1</x:v>
      </x:c>
      <x:c r="I1761" s="47" t="n">
        <x:v>1</x:v>
      </x:c>
      <x:c r="J1761" s="47" t="n">
        <x:v>1</x:v>
      </x:c>
      <x:c r="K1761" s="47" t="n">
        <x:v>1</x:v>
      </x:c>
      <x:c r="L1761" s="47" t="n">
        <x:v>1</x:v>
      </x:c>
      <x:c r="M1761" s="29" t="n">
        <x:v>1</x:v>
      </x:c>
    </x:row>
    <x:row r="1762" ht="15" hidden="0" customHeight="1">
      <x:c r="A1762" s="27" t="n">
        <x:v>258</x:v>
      </x:c>
      <x:c r="B1762" s="27" t="n">
        <x:v>331162</x:v>
      </x:c>
      <x:c r="C1762" s="27" t="str">
        <x:v>A3</x:v>
      </x:c>
      <x:c r="D1762" s="52" t="n">
        <x:v>2500</x:v>
      </x:c>
      <x:c r="E1762" s="46" t="n">
        <x:v>1</x:v>
      </x:c>
      <x:c r="F1762" s="46" t="n">
        <x:v>1</x:v>
      </x:c>
      <x:c r="G1762" s="46" t="n">
        <x:v>1</x:v>
      </x:c>
      <x:c r="H1762" s="46" t="n">
        <x:v>1</x:v>
      </x:c>
      <x:c r="I1762" s="46" t="n">
        <x:v>1</x:v>
      </x:c>
      <x:c r="J1762" s="46" t="n">
        <x:v>1</x:v>
      </x:c>
      <x:c r="K1762" s="46" t="n">
        <x:v>1</x:v>
      </x:c>
      <x:c r="L1762" s="46" t="n">
        <x:v>1</x:v>
      </x:c>
      <x:c r="M1762" s="27" t="n">
        <x:v>1</x:v>
      </x:c>
    </x:row>
    <x:row r="1763" ht="15" hidden="0" customHeight="1">
      <x:c r="A1763" s="29" t="n">
        <x:v>259</x:v>
      </x:c>
      <x:c r="B1763" s="29" t="n">
        <x:v>331163</x:v>
      </x:c>
      <x:c r="C1763" s="29" t="str">
        <x:v>A3</x:v>
      </x:c>
      <x:c r="D1763" s="53" t="n">
        <x:v>2500</x:v>
      </x:c>
      <x:c r="E1763" s="47" t="n">
        <x:v>1</x:v>
      </x:c>
      <x:c r="F1763" s="47" t="n">
        <x:v>1</x:v>
      </x:c>
      <x:c r="G1763" s="47" t="n">
        <x:v>1</x:v>
      </x:c>
      <x:c r="H1763" s="47" t="n">
        <x:v>1</x:v>
      </x:c>
      <x:c r="I1763" s="47" t="n">
        <x:v>1</x:v>
      </x:c>
      <x:c r="J1763" s="47" t="n">
        <x:v>1</x:v>
      </x:c>
      <x:c r="K1763" s="47" t="n">
        <x:v>1</x:v>
      </x:c>
      <x:c r="L1763" s="47" t="n">
        <x:v>1</x:v>
      </x:c>
      <x:c r="M1763" s="29" t="n">
        <x:v>1</x:v>
      </x:c>
    </x:row>
    <x:row r="1764" ht="15" hidden="0" customHeight="1">
      <x:c r="A1764" s="27" t="n">
        <x:v>260</x:v>
      </x:c>
      <x:c r="B1764" s="27" t="n">
        <x:v>331164</x:v>
      </x:c>
      <x:c r="C1764" s="27" t="str">
        <x:v>A3</x:v>
      </x:c>
      <x:c r="D1764" s="52" t="n">
        <x:v>2500</x:v>
      </x:c>
      <x:c r="E1764" s="46" t="n">
        <x:v>1</x:v>
      </x:c>
      <x:c r="F1764" s="46" t="n">
        <x:v>1</x:v>
      </x:c>
      <x:c r="G1764" s="46" t="n">
        <x:v>1</x:v>
      </x:c>
      <x:c r="H1764" s="46" t="n">
        <x:v>1</x:v>
      </x:c>
      <x:c r="I1764" s="46" t="n">
        <x:v>1</x:v>
      </x:c>
      <x:c r="J1764" s="46" t="n">
        <x:v>1</x:v>
      </x:c>
      <x:c r="K1764" s="46" t="n">
        <x:v>1</x:v>
      </x:c>
      <x:c r="L1764" s="46" t="n">
        <x:v>1</x:v>
      </x:c>
      <x:c r="M1764" s="27" t="n">
        <x:v>1</x:v>
      </x:c>
    </x:row>
    <x:row r="1765" ht="15" hidden="0" customHeight="1">
      <x:c r="A1765" s="29" t="n">
        <x:v>261</x:v>
      </x:c>
      <x:c r="B1765" s="29" t="n">
        <x:v>331165</x:v>
      </x:c>
      <x:c r="C1765" s="29" t="str">
        <x:v>A3</x:v>
      </x:c>
      <x:c r="D1765" s="53" t="n">
        <x:v>2500</x:v>
      </x:c>
      <x:c r="E1765" s="47" t="n">
        <x:v>1</x:v>
      </x:c>
      <x:c r="F1765" s="47" t="n">
        <x:v>1</x:v>
      </x:c>
      <x:c r="G1765" s="47" t="n">
        <x:v>1</x:v>
      </x:c>
      <x:c r="H1765" s="47" t="n">
        <x:v>1</x:v>
      </x:c>
      <x:c r="I1765" s="47" t="n">
        <x:v>1</x:v>
      </x:c>
      <x:c r="J1765" s="47" t="n">
        <x:v>1</x:v>
      </x:c>
      <x:c r="K1765" s="47" t="n">
        <x:v>1</x:v>
      </x:c>
      <x:c r="L1765" s="47" t="n">
        <x:v>1</x:v>
      </x:c>
      <x:c r="M1765" s="29" t="n">
        <x:v>1</x:v>
      </x:c>
    </x:row>
    <x:row r="1766" ht="15" hidden="0" customHeight="1">
      <x:c r="A1766" s="27" t="n">
        <x:v>262</x:v>
      </x:c>
      <x:c r="B1766" s="27" t="n">
        <x:v>331166</x:v>
      </x:c>
      <x:c r="C1766" s="27" t="str">
        <x:v>A3</x:v>
      </x:c>
      <x:c r="D1766" s="52" t="n">
        <x:v>2500</x:v>
      </x:c>
      <x:c r="E1766" s="46" t="n">
        <x:v>1</x:v>
      </x:c>
      <x:c r="F1766" s="46" t="n">
        <x:v>1</x:v>
      </x:c>
      <x:c r="G1766" s="46" t="n">
        <x:v>1</x:v>
      </x:c>
      <x:c r="H1766" s="46" t="n">
        <x:v>1</x:v>
      </x:c>
      <x:c r="I1766" s="46" t="n">
        <x:v>1</x:v>
      </x:c>
      <x:c r="J1766" s="46" t="n">
        <x:v>1</x:v>
      </x:c>
      <x:c r="K1766" s="46" t="n">
        <x:v>1</x:v>
      </x:c>
      <x:c r="L1766" s="46" t="n">
        <x:v>1</x:v>
      </x:c>
      <x:c r="M1766" s="27" t="n">
        <x:v>1</x:v>
      </x:c>
    </x:row>
    <x:row r="1767" ht="15" hidden="0" customHeight="1">
      <x:c r="A1767" s="29" t="n">
        <x:v>263</x:v>
      </x:c>
      <x:c r="B1767" s="29" t="n">
        <x:v>331167</x:v>
      </x:c>
      <x:c r="C1767" s="29" t="str">
        <x:v>A3</x:v>
      </x:c>
      <x:c r="D1767" s="53" t="n">
        <x:v>2500</x:v>
      </x:c>
      <x:c r="E1767" s="47" t="n">
        <x:v>1</x:v>
      </x:c>
      <x:c r="F1767" s="47" t="n">
        <x:v>1</x:v>
      </x:c>
      <x:c r="G1767" s="47" t="n">
        <x:v>1</x:v>
      </x:c>
      <x:c r="H1767" s="47" t="n">
        <x:v>1</x:v>
      </x:c>
      <x:c r="I1767" s="47" t="n">
        <x:v>1</x:v>
      </x:c>
      <x:c r="J1767" s="47" t="n">
        <x:v>1</x:v>
      </x:c>
      <x:c r="K1767" s="47" t="n">
        <x:v>1</x:v>
      </x:c>
      <x:c r="L1767" s="47" t="n">
        <x:v>1</x:v>
      </x:c>
      <x:c r="M1767" s="29" t="n">
        <x:v>1</x:v>
      </x:c>
    </x:row>
    <x:row r="1768" ht="15" hidden="0" customHeight="1">
      <x:c r="A1768" s="27" t="n">
        <x:v>264</x:v>
      </x:c>
      <x:c r="B1768" s="27" t="n">
        <x:v>331168</x:v>
      </x:c>
      <x:c r="C1768" s="27" t="str">
        <x:v>A3</x:v>
      </x:c>
      <x:c r="D1768" s="52" t="n">
        <x:v>2500</x:v>
      </x:c>
      <x:c r="E1768" s="46" t="n">
        <x:v>1</x:v>
      </x:c>
      <x:c r="F1768" s="46" t="n">
        <x:v>1</x:v>
      </x:c>
      <x:c r="G1768" s="46" t="n">
        <x:v>1</x:v>
      </x:c>
      <x:c r="H1768" s="46" t="n">
        <x:v>1</x:v>
      </x:c>
      <x:c r="I1768" s="46" t="n">
        <x:v>1</x:v>
      </x:c>
      <x:c r="J1768" s="46" t="n">
        <x:v>1</x:v>
      </x:c>
      <x:c r="K1768" s="46" t="n">
        <x:v>1</x:v>
      </x:c>
      <x:c r="L1768" s="46" t="n">
        <x:v>1</x:v>
      </x:c>
      <x:c r="M1768" s="27" t="n">
        <x:v>1</x:v>
      </x:c>
    </x:row>
    <x:row r="1769" ht="15" hidden="0" customHeight="1">
      <x:c r="A1769" s="29" t="n">
        <x:v>265</x:v>
      </x:c>
      <x:c r="B1769" s="29" t="n">
        <x:v>331169</x:v>
      </x:c>
      <x:c r="C1769" s="29" t="str">
        <x:v>A3</x:v>
      </x:c>
      <x:c r="D1769" s="53" t="n">
        <x:v>2500</x:v>
      </x:c>
      <x:c r="E1769" s="47" t="n">
        <x:v>1</x:v>
      </x:c>
      <x:c r="F1769" s="47" t="n">
        <x:v>1</x:v>
      </x:c>
      <x:c r="G1769" s="47" t="n">
        <x:v>1</x:v>
      </x:c>
      <x:c r="H1769" s="47" t="n">
        <x:v>1</x:v>
      </x:c>
      <x:c r="I1769" s="47" t="n">
        <x:v>1</x:v>
      </x:c>
      <x:c r="J1769" s="47" t="n">
        <x:v>1</x:v>
      </x:c>
      <x:c r="K1769" s="47" t="n">
        <x:v>1</x:v>
      </x:c>
      <x:c r="L1769" s="47" t="n">
        <x:v>1</x:v>
      </x:c>
      <x:c r="M1769" s="29" t="n">
        <x:v>1</x:v>
      </x:c>
    </x:row>
    <x:row r="1770" ht="15" hidden="0" customHeight="1">
      <x:c r="A1770" s="27" t="n">
        <x:v>266</x:v>
      </x:c>
      <x:c r="B1770" s="27" t="n">
        <x:v>331170</x:v>
      </x:c>
      <x:c r="C1770" s="27" t="str">
        <x:v>A3</x:v>
      </x:c>
      <x:c r="D1770" s="52" t="n">
        <x:v>2500</x:v>
      </x:c>
      <x:c r="E1770" s="46" t="n">
        <x:v>1</x:v>
      </x:c>
      <x:c r="F1770" s="46" t="n">
        <x:v>1</x:v>
      </x:c>
      <x:c r="G1770" s="46" t="n">
        <x:v>1</x:v>
      </x:c>
      <x:c r="H1770" s="46" t="n">
        <x:v>1</x:v>
      </x:c>
      <x:c r="I1770" s="46" t="n">
        <x:v>1</x:v>
      </x:c>
      <x:c r="J1770" s="46" t="n">
        <x:v>1</x:v>
      </x:c>
      <x:c r="K1770" s="46" t="n">
        <x:v>1</x:v>
      </x:c>
      <x:c r="L1770" s="46" t="n">
        <x:v>1</x:v>
      </x:c>
      <x:c r="M1770" s="27" t="n">
        <x:v>1</x:v>
      </x:c>
    </x:row>
    <x:row r="1771" ht="15" hidden="0" customHeight="1">
      <x:c r="A1771" s="29" t="n">
        <x:v>267</x:v>
      </x:c>
      <x:c r="B1771" s="29" t="n">
        <x:v>331171</x:v>
      </x:c>
      <x:c r="C1771" s="29" t="str">
        <x:v>A3</x:v>
      </x:c>
      <x:c r="D1771" s="53" t="n">
        <x:v>2500</x:v>
      </x:c>
      <x:c r="E1771" s="47" t="n">
        <x:v>1</x:v>
      </x:c>
      <x:c r="F1771" s="47" t="n">
        <x:v>1</x:v>
      </x:c>
      <x:c r="G1771" s="47" t="n">
        <x:v>1</x:v>
      </x:c>
      <x:c r="H1771" s="47" t="n">
        <x:v>1</x:v>
      </x:c>
      <x:c r="I1771" s="47" t="n">
        <x:v>1</x:v>
      </x:c>
      <x:c r="J1771" s="47" t="n">
        <x:v>1</x:v>
      </x:c>
      <x:c r="K1771" s="47" t="n">
        <x:v>1</x:v>
      </x:c>
      <x:c r="L1771" s="47" t="n">
        <x:v>1</x:v>
      </x:c>
      <x:c r="M1771" s="29" t="n">
        <x:v>1</x:v>
      </x:c>
    </x:row>
    <x:row r="1772" ht="15" hidden="0" customHeight="1">
      <x:c r="A1772" s="27" t="n">
        <x:v>268</x:v>
      </x:c>
      <x:c r="B1772" s="27" t="n">
        <x:v>331172</x:v>
      </x:c>
      <x:c r="C1772" s="27" t="str">
        <x:v>A3</x:v>
      </x:c>
      <x:c r="D1772" s="52" t="n">
        <x:v>2500</x:v>
      </x:c>
      <x:c r="E1772" s="46" t="n">
        <x:v>1</x:v>
      </x:c>
      <x:c r="F1772" s="46" t="n">
        <x:v>1</x:v>
      </x:c>
      <x:c r="G1772" s="46" t="n">
        <x:v>1</x:v>
      </x:c>
      <x:c r="H1772" s="46" t="n">
        <x:v>1</x:v>
      </x:c>
      <x:c r="I1772" s="46" t="n">
        <x:v>1</x:v>
      </x:c>
      <x:c r="J1772" s="46" t="n">
        <x:v>1</x:v>
      </x:c>
      <x:c r="K1772" s="46" t="n">
        <x:v>1</x:v>
      </x:c>
      <x:c r="L1772" s="46" t="n">
        <x:v>1</x:v>
      </x:c>
      <x:c r="M1772" s="27" t="n">
        <x:v>1</x:v>
      </x:c>
    </x:row>
    <x:row r="1773" ht="15" hidden="0" customHeight="1">
      <x:c r="A1773" s="29" t="n">
        <x:v>269</x:v>
      </x:c>
      <x:c r="B1773" s="29" t="n">
        <x:v>331173</x:v>
      </x:c>
      <x:c r="C1773" s="29" t="str">
        <x:v>A3</x:v>
      </x:c>
      <x:c r="D1773" s="53" t="n">
        <x:v>2500</x:v>
      </x:c>
      <x:c r="E1773" s="47" t="n">
        <x:v>1</x:v>
      </x:c>
      <x:c r="F1773" s="47" t="n">
        <x:v>1</x:v>
      </x:c>
      <x:c r="G1773" s="47" t="n">
        <x:v>1</x:v>
      </x:c>
      <x:c r="H1773" s="47" t="n">
        <x:v>1</x:v>
      </x:c>
      <x:c r="I1773" s="47" t="n">
        <x:v>1</x:v>
      </x:c>
      <x:c r="J1773" s="47" t="n">
        <x:v>1</x:v>
      </x:c>
      <x:c r="K1773" s="47" t="n">
        <x:v>1</x:v>
      </x:c>
      <x:c r="L1773" s="47" t="n">
        <x:v>1</x:v>
      </x:c>
      <x:c r="M1773" s="29" t="n">
        <x:v>1</x:v>
      </x:c>
    </x:row>
    <x:row r="1774" ht="15" hidden="0" customHeight="1">
      <x:c r="A1774" s="27" t="n">
        <x:v>270</x:v>
      </x:c>
      <x:c r="B1774" s="27" t="n">
        <x:v>331174</x:v>
      </x:c>
      <x:c r="C1774" s="27" t="str">
        <x:v>A3</x:v>
      </x:c>
      <x:c r="D1774" s="52" t="n">
        <x:v>2500</x:v>
      </x:c>
      <x:c r="E1774" s="46" t="n">
        <x:v>1</x:v>
      </x:c>
      <x:c r="F1774" s="46" t="n">
        <x:v>1</x:v>
      </x:c>
      <x:c r="G1774" s="46" t="n">
        <x:v>1</x:v>
      </x:c>
      <x:c r="H1774" s="46" t="n">
        <x:v>1</x:v>
      </x:c>
      <x:c r="I1774" s="46" t="n">
        <x:v>1</x:v>
      </x:c>
      <x:c r="J1774" s="46" t="n">
        <x:v>1</x:v>
      </x:c>
      <x:c r="K1774" s="46" t="n">
        <x:v>1</x:v>
      </x:c>
      <x:c r="L1774" s="46" t="n">
        <x:v>1</x:v>
      </x:c>
      <x:c r="M1774" s="27" t="n">
        <x:v>1</x:v>
      </x:c>
    </x:row>
    <x:row r="1775" ht="15" hidden="0" customHeight="1">
      <x:c r="A1775" s="29" t="n">
        <x:v>271</x:v>
      </x:c>
      <x:c r="B1775" s="29" t="n">
        <x:v>331175</x:v>
      </x:c>
      <x:c r="C1775" s="29" t="str">
        <x:v>A3</x:v>
      </x:c>
      <x:c r="D1775" s="53" t="n">
        <x:v>2500</x:v>
      </x:c>
      <x:c r="E1775" s="47" t="n">
        <x:v>1</x:v>
      </x:c>
      <x:c r="F1775" s="47" t="n">
        <x:v>1</x:v>
      </x:c>
      <x:c r="G1775" s="47" t="n">
        <x:v>1</x:v>
      </x:c>
      <x:c r="H1775" s="47" t="n">
        <x:v>1</x:v>
      </x:c>
      <x:c r="I1775" s="47" t="n">
        <x:v>1</x:v>
      </x:c>
      <x:c r="J1775" s="47" t="n">
        <x:v>1</x:v>
      </x:c>
      <x:c r="K1775" s="47" t="n">
        <x:v>1</x:v>
      </x:c>
      <x:c r="L1775" s="47" t="n">
        <x:v>1</x:v>
      </x:c>
      <x:c r="M1775" s="29" t="n">
        <x:v>1</x:v>
      </x:c>
    </x:row>
    <x:row r="1776" ht="15" hidden="0" customHeight="1">
      <x:c r="A1776" s="27" t="n">
        <x:v>272</x:v>
      </x:c>
      <x:c r="B1776" s="27" t="n">
        <x:v>331176</x:v>
      </x:c>
      <x:c r="C1776" s="27" t="str">
        <x:v>A3</x:v>
      </x:c>
      <x:c r="D1776" s="52" t="n">
        <x:v>2500</x:v>
      </x:c>
      <x:c r="E1776" s="46" t="n">
        <x:v>1</x:v>
      </x:c>
      <x:c r="F1776" s="46" t="n">
        <x:v>1</x:v>
      </x:c>
      <x:c r="G1776" s="46" t="n">
        <x:v>1</x:v>
      </x:c>
      <x:c r="H1776" s="46" t="n">
        <x:v>1</x:v>
      </x:c>
      <x:c r="I1776" s="46" t="n">
        <x:v>1</x:v>
      </x:c>
      <x:c r="J1776" s="46" t="n">
        <x:v>1</x:v>
      </x:c>
      <x:c r="K1776" s="46" t="n">
        <x:v>1</x:v>
      </x:c>
      <x:c r="L1776" s="46" t="n">
        <x:v>1</x:v>
      </x:c>
      <x:c r="M1776" s="27" t="n">
        <x:v>1</x:v>
      </x:c>
    </x:row>
    <x:row r="1777" ht="15" hidden="0" customHeight="1">
      <x:c r="A1777" s="29" t="n">
        <x:v>273</x:v>
      </x:c>
      <x:c r="B1777" s="29" t="n">
        <x:v>331177</x:v>
      </x:c>
      <x:c r="C1777" s="29" t="str">
        <x:v>A3</x:v>
      </x:c>
      <x:c r="D1777" s="53" t="n">
        <x:v>2500</x:v>
      </x:c>
      <x:c r="E1777" s="47" t="n">
        <x:v>1</x:v>
      </x:c>
      <x:c r="F1777" s="47" t="n">
        <x:v>1</x:v>
      </x:c>
      <x:c r="G1777" s="47" t="n">
        <x:v>1</x:v>
      </x:c>
      <x:c r="H1777" s="47" t="n">
        <x:v>1</x:v>
      </x:c>
      <x:c r="I1777" s="47" t="n">
        <x:v>1</x:v>
      </x:c>
      <x:c r="J1777" s="47" t="n">
        <x:v>1</x:v>
      </x:c>
      <x:c r="K1777" s="47" t="n">
        <x:v>1</x:v>
      </x:c>
      <x:c r="L1777" s="47" t="n">
        <x:v>1</x:v>
      </x:c>
      <x:c r="M1777" s="29" t="n">
        <x:v>1</x:v>
      </x:c>
    </x:row>
    <x:row r="1778" ht="15" hidden="0" customHeight="1">
      <x:c r="A1778" s="27" t="n">
        <x:v>274</x:v>
      </x:c>
      <x:c r="B1778" s="27" t="n">
        <x:v>331178</x:v>
      </x:c>
      <x:c r="C1778" s="27" t="str">
        <x:v>A3</x:v>
      </x:c>
      <x:c r="D1778" s="52" t="n">
        <x:v>2500</x:v>
      </x:c>
      <x:c r="E1778" s="46" t="n">
        <x:v>1</x:v>
      </x:c>
      <x:c r="F1778" s="46" t="n">
        <x:v>1</x:v>
      </x:c>
      <x:c r="G1778" s="46" t="n">
        <x:v>1</x:v>
      </x:c>
      <x:c r="H1778" s="46" t="n">
        <x:v>1</x:v>
      </x:c>
      <x:c r="I1778" s="46" t="n">
        <x:v>1</x:v>
      </x:c>
      <x:c r="J1778" s="46" t="n">
        <x:v>1</x:v>
      </x:c>
      <x:c r="K1778" s="46" t="n">
        <x:v>1</x:v>
      </x:c>
      <x:c r="L1778" s="46" t="n">
        <x:v>1</x:v>
      </x:c>
      <x:c r="M1778" s="27" t="n">
        <x:v>1</x:v>
      </x:c>
    </x:row>
    <x:row r="1779" ht="15" hidden="0" customHeight="1">
      <x:c r="A1779" s="29" t="n">
        <x:v>275</x:v>
      </x:c>
      <x:c r="B1779" s="29" t="n">
        <x:v>331179</x:v>
      </x:c>
      <x:c r="C1779" s="29" t="str">
        <x:v>A3</x:v>
      </x:c>
      <x:c r="D1779" s="53" t="n">
        <x:v>2500</x:v>
      </x:c>
      <x:c r="E1779" s="47" t="n">
        <x:v>1</x:v>
      </x:c>
      <x:c r="F1779" s="47" t="n">
        <x:v>1</x:v>
      </x:c>
      <x:c r="G1779" s="47" t="n">
        <x:v>1</x:v>
      </x:c>
      <x:c r="H1779" s="47" t="n">
        <x:v>1</x:v>
      </x:c>
      <x:c r="I1779" s="47" t="n">
        <x:v>1</x:v>
      </x:c>
      <x:c r="J1779" s="47" t="n">
        <x:v>1</x:v>
      </x:c>
      <x:c r="K1779" s="47" t="n">
        <x:v>1</x:v>
      </x:c>
      <x:c r="L1779" s="47" t="n">
        <x:v>1</x:v>
      </x:c>
      <x:c r="M1779" s="29" t="n">
        <x:v>1</x:v>
      </x:c>
    </x:row>
    <x:row r="1780" ht="15" hidden="0" customHeight="1">
      <x:c r="A1780" s="27" t="n">
        <x:v>276</x:v>
      </x:c>
      <x:c r="B1780" s="27" t="n">
        <x:v>331180</x:v>
      </x:c>
      <x:c r="C1780" s="27" t="str">
        <x:v>A3</x:v>
      </x:c>
      <x:c r="D1780" s="52" t="n">
        <x:v>2500</x:v>
      </x:c>
      <x:c r="E1780" s="46" t="n">
        <x:v>1</x:v>
      </x:c>
      <x:c r="F1780" s="46" t="n">
        <x:v>1</x:v>
      </x:c>
      <x:c r="G1780" s="46" t="n">
        <x:v>1</x:v>
      </x:c>
      <x:c r="H1780" s="46" t="n">
        <x:v>1</x:v>
      </x:c>
      <x:c r="I1780" s="46" t="n">
        <x:v>1</x:v>
      </x:c>
      <x:c r="J1780" s="46" t="n">
        <x:v>1</x:v>
      </x:c>
      <x:c r="K1780" s="46" t="n">
        <x:v>1</x:v>
      </x:c>
      <x:c r="L1780" s="46" t="n">
        <x:v>1</x:v>
      </x:c>
      <x:c r="M1780" s="27" t="n">
        <x:v>1</x:v>
      </x:c>
    </x:row>
    <x:row r="1781" ht="15" hidden="0" customHeight="1">
      <x:c r="A1781" s="29" t="n">
        <x:v>277</x:v>
      </x:c>
      <x:c r="B1781" s="29" t="n">
        <x:v>331181</x:v>
      </x:c>
      <x:c r="C1781" s="29" t="str">
        <x:v>A3</x:v>
      </x:c>
      <x:c r="D1781" s="53" t="n">
        <x:v>2500</x:v>
      </x:c>
      <x:c r="E1781" s="47" t="n">
        <x:v>1</x:v>
      </x:c>
      <x:c r="F1781" s="47" t="n">
        <x:v>1</x:v>
      </x:c>
      <x:c r="G1781" s="47" t="n">
        <x:v>1</x:v>
      </x:c>
      <x:c r="H1781" s="47" t="n">
        <x:v>1</x:v>
      </x:c>
      <x:c r="I1781" s="47" t="n">
        <x:v>1</x:v>
      </x:c>
      <x:c r="J1781" s="47" t="n">
        <x:v>1</x:v>
      </x:c>
      <x:c r="K1781" s="47" t="n">
        <x:v>1</x:v>
      </x:c>
      <x:c r="L1781" s="47" t="n">
        <x:v>1</x:v>
      </x:c>
      <x:c r="M1781" s="29" t="n">
        <x:v>1</x:v>
      </x:c>
    </x:row>
    <x:row r="1782" ht="15" hidden="0" customHeight="1">
      <x:c r="A1782" s="27" t="n">
        <x:v>278</x:v>
      </x:c>
      <x:c r="B1782" s="27" t="n">
        <x:v>331182</x:v>
      </x:c>
      <x:c r="C1782" s="27" t="str">
        <x:v>A3</x:v>
      </x:c>
      <x:c r="D1782" s="52" t="n">
        <x:v>2500</x:v>
      </x:c>
      <x:c r="E1782" s="46" t="n">
        <x:v>1</x:v>
      </x:c>
      <x:c r="F1782" s="46" t="n">
        <x:v>1</x:v>
      </x:c>
      <x:c r="G1782" s="46" t="n">
        <x:v>1</x:v>
      </x:c>
      <x:c r="H1782" s="46" t="n">
        <x:v>1</x:v>
      </x:c>
      <x:c r="I1782" s="46" t="n">
        <x:v>1</x:v>
      </x:c>
      <x:c r="J1782" s="46" t="n">
        <x:v>1</x:v>
      </x:c>
      <x:c r="K1782" s="46" t="n">
        <x:v>1</x:v>
      </x:c>
      <x:c r="L1782" s="46" t="n">
        <x:v>1</x:v>
      </x:c>
      <x:c r="M1782" s="27" t="n">
        <x:v>1</x:v>
      </x:c>
    </x:row>
    <x:row r="1783" ht="15" hidden="0" customHeight="1">
      <x:c r="A1783" s="29" t="n">
        <x:v>279</x:v>
      </x:c>
      <x:c r="B1783" s="29" t="n">
        <x:v>331183</x:v>
      </x:c>
      <x:c r="C1783" s="29" t="str">
        <x:v>A3</x:v>
      </x:c>
      <x:c r="D1783" s="53" t="n">
        <x:v>2500</x:v>
      </x:c>
      <x:c r="E1783" s="47" t="n">
        <x:v>1</x:v>
      </x:c>
      <x:c r="F1783" s="47" t="n">
        <x:v>1</x:v>
      </x:c>
      <x:c r="G1783" s="47" t="n">
        <x:v>1</x:v>
      </x:c>
      <x:c r="H1783" s="47" t="n">
        <x:v>1</x:v>
      </x:c>
      <x:c r="I1783" s="47" t="n">
        <x:v>1</x:v>
      </x:c>
      <x:c r="J1783" s="47" t="n">
        <x:v>1</x:v>
      </x:c>
      <x:c r="K1783" s="47" t="n">
        <x:v>1</x:v>
      </x:c>
      <x:c r="L1783" s="47" t="n">
        <x:v>1</x:v>
      </x:c>
      <x:c r="M1783" s="29" t="n">
        <x:v>1</x:v>
      </x:c>
    </x:row>
    <x:row r="1784" ht="15" hidden="0" customHeight="1">
      <x:c r="A1784" s="27" t="n">
        <x:v>280</x:v>
      </x:c>
      <x:c r="B1784" s="27" t="n">
        <x:v>331184</x:v>
      </x:c>
      <x:c r="C1784" s="27" t="str">
        <x:v>A3</x:v>
      </x:c>
      <x:c r="D1784" s="52" t="n">
        <x:v>2500</x:v>
      </x:c>
      <x:c r="E1784" s="46" t="n">
        <x:v>1</x:v>
      </x:c>
      <x:c r="F1784" s="46" t="n">
        <x:v>1</x:v>
      </x:c>
      <x:c r="G1784" s="46" t="n">
        <x:v>1</x:v>
      </x:c>
      <x:c r="H1784" s="46" t="n">
        <x:v>1</x:v>
      </x:c>
      <x:c r="I1784" s="46" t="n">
        <x:v>1</x:v>
      </x:c>
      <x:c r="J1784" s="46" t="n">
        <x:v>1</x:v>
      </x:c>
      <x:c r="K1784" s="46" t="n">
        <x:v>1</x:v>
      </x:c>
      <x:c r="L1784" s="46" t="n">
        <x:v>1</x:v>
      </x:c>
      <x:c r="M1784" s="27" t="n">
        <x:v>1</x:v>
      </x:c>
    </x:row>
    <x:row r="1785" ht="15" hidden="0" customHeight="1">
      <x:c r="A1785" s="29" t="n">
        <x:v>281</x:v>
      </x:c>
      <x:c r="B1785" s="29" t="n">
        <x:v>331185</x:v>
      </x:c>
      <x:c r="C1785" s="29" t="str">
        <x:v>A3</x:v>
      </x:c>
      <x:c r="D1785" s="53" t="n">
        <x:v>2500</x:v>
      </x:c>
      <x:c r="E1785" s="47" t="n">
        <x:v>1</x:v>
      </x:c>
      <x:c r="F1785" s="47" t="n">
        <x:v>1</x:v>
      </x:c>
      <x:c r="G1785" s="47" t="n">
        <x:v>1</x:v>
      </x:c>
      <x:c r="H1785" s="47" t="n">
        <x:v>1</x:v>
      </x:c>
      <x:c r="I1785" s="47" t="n">
        <x:v>1</x:v>
      </x:c>
      <x:c r="J1785" s="47" t="n">
        <x:v>1</x:v>
      </x:c>
      <x:c r="K1785" s="47" t="n">
        <x:v>1</x:v>
      </x:c>
      <x:c r="L1785" s="47" t="n">
        <x:v>1</x:v>
      </x:c>
      <x:c r="M1785" s="29" t="n">
        <x:v>1</x:v>
      </x:c>
    </x:row>
    <x:row r="1786" ht="15" hidden="0" customHeight="1">
      <x:c r="A1786" s="27" t="n">
        <x:v>282</x:v>
      </x:c>
      <x:c r="B1786" s="27" t="n">
        <x:v>331186</x:v>
      </x:c>
      <x:c r="C1786" s="27" t="str">
        <x:v>A3</x:v>
      </x:c>
      <x:c r="D1786" s="52" t="n">
        <x:v>2500</x:v>
      </x:c>
      <x:c r="E1786" s="46" t="n">
        <x:v>1</x:v>
      </x:c>
      <x:c r="F1786" s="46" t="n">
        <x:v>1</x:v>
      </x:c>
      <x:c r="G1786" s="46" t="n">
        <x:v>1</x:v>
      </x:c>
      <x:c r="H1786" s="46" t="n">
        <x:v>1</x:v>
      </x:c>
      <x:c r="I1786" s="46" t="n">
        <x:v>1</x:v>
      </x:c>
      <x:c r="J1786" s="46" t="n">
        <x:v>1</x:v>
      </x:c>
      <x:c r="K1786" s="46" t="n">
        <x:v>1</x:v>
      </x:c>
      <x:c r="L1786" s="46" t="n">
        <x:v>1</x:v>
      </x:c>
      <x:c r="M1786" s="27" t="n">
        <x:v>1</x:v>
      </x:c>
    </x:row>
    <x:row r="1787" ht="15" hidden="0" customHeight="1">
      <x:c r="A1787" s="29" t="n">
        <x:v>283</x:v>
      </x:c>
      <x:c r="B1787" s="29" t="n">
        <x:v>331187</x:v>
      </x:c>
      <x:c r="C1787" s="29" t="str">
        <x:v>A3</x:v>
      </x:c>
      <x:c r="D1787" s="53" t="n">
        <x:v>2500</x:v>
      </x:c>
      <x:c r="E1787" s="47" t="n">
        <x:v>1</x:v>
      </x:c>
      <x:c r="F1787" s="47" t="n">
        <x:v>1</x:v>
      </x:c>
      <x:c r="G1787" s="47" t="n">
        <x:v>1</x:v>
      </x:c>
      <x:c r="H1787" s="47" t="n">
        <x:v>1</x:v>
      </x:c>
      <x:c r="I1787" s="47" t="n">
        <x:v>1</x:v>
      </x:c>
      <x:c r="J1787" s="47" t="n">
        <x:v>1</x:v>
      </x:c>
      <x:c r="K1787" s="47" t="n">
        <x:v>1</x:v>
      </x:c>
      <x:c r="L1787" s="47" t="n">
        <x:v>1</x:v>
      </x:c>
      <x:c r="M1787" s="29" t="n">
        <x:v>1</x:v>
      </x:c>
    </x:row>
    <x:row r="1788" ht="15" hidden="0" customHeight="1">
      <x:c r="A1788" s="27" t="n">
        <x:v>284</x:v>
      </x:c>
      <x:c r="B1788" s="27" t="n">
        <x:v>331188</x:v>
      </x:c>
      <x:c r="C1788" s="27" t="str">
        <x:v>A3</x:v>
      </x:c>
      <x:c r="D1788" s="52" t="n">
        <x:v>2500</x:v>
      </x:c>
      <x:c r="E1788" s="46" t="n">
        <x:v>1</x:v>
      </x:c>
      <x:c r="F1788" s="46" t="n">
        <x:v>1</x:v>
      </x:c>
      <x:c r="G1788" s="46" t="n">
        <x:v>1</x:v>
      </x:c>
      <x:c r="H1788" s="46" t="n">
        <x:v>1</x:v>
      </x:c>
      <x:c r="I1788" s="46" t="n">
        <x:v>1</x:v>
      </x:c>
      <x:c r="J1788" s="46" t="n">
        <x:v>1</x:v>
      </x:c>
      <x:c r="K1788" s="46" t="n">
        <x:v>1</x:v>
      </x:c>
      <x:c r="L1788" s="46" t="n">
        <x:v>1</x:v>
      </x:c>
      <x:c r="M1788" s="27" t="n">
        <x:v>1</x:v>
      </x:c>
    </x:row>
    <x:row r="1789" ht="15" hidden="0" customHeight="1">
      <x:c r="A1789" s="29" t="n">
        <x:v>285</x:v>
      </x:c>
      <x:c r="B1789" s="29" t="n">
        <x:v>331189</x:v>
      </x:c>
      <x:c r="C1789" s="29" t="str">
        <x:v>A3</x:v>
      </x:c>
      <x:c r="D1789" s="53" t="n">
        <x:v>2500</x:v>
      </x:c>
      <x:c r="E1789" s="47" t="n">
        <x:v>1</x:v>
      </x:c>
      <x:c r="F1789" s="47" t="n">
        <x:v>1</x:v>
      </x:c>
      <x:c r="G1789" s="47" t="n">
        <x:v>1</x:v>
      </x:c>
      <x:c r="H1789" s="47" t="n">
        <x:v>1</x:v>
      </x:c>
      <x:c r="I1789" s="47" t="n">
        <x:v>1</x:v>
      </x:c>
      <x:c r="J1789" s="47" t="n">
        <x:v>1</x:v>
      </x:c>
      <x:c r="K1789" s="47" t="n">
        <x:v>1</x:v>
      </x:c>
      <x:c r="L1789" s="47" t="n">
        <x:v>1</x:v>
      </x:c>
      <x:c r="M1789" s="29" t="n">
        <x:v>1</x:v>
      </x:c>
    </x:row>
    <x:row r="1790" ht="15" hidden="0" customHeight="1">
      <x:c r="A1790" s="27" t="n">
        <x:v>286</x:v>
      </x:c>
      <x:c r="B1790" s="27" t="n">
        <x:v>331190</x:v>
      </x:c>
      <x:c r="C1790" s="27" t="str">
        <x:v>A3</x:v>
      </x:c>
      <x:c r="D1790" s="52" t="n">
        <x:v>2500</x:v>
      </x:c>
      <x:c r="E1790" s="46" t="n">
        <x:v>1</x:v>
      </x:c>
      <x:c r="F1790" s="46" t="n">
        <x:v>1</x:v>
      </x:c>
      <x:c r="G1790" s="46" t="n">
        <x:v>1</x:v>
      </x:c>
      <x:c r="H1790" s="46" t="n">
        <x:v>1</x:v>
      </x:c>
      <x:c r="I1790" s="46" t="n">
        <x:v>1</x:v>
      </x:c>
      <x:c r="J1790" s="46" t="n">
        <x:v>1</x:v>
      </x:c>
      <x:c r="K1790" s="46" t="n">
        <x:v>1</x:v>
      </x:c>
      <x:c r="L1790" s="46" t="n">
        <x:v>1</x:v>
      </x:c>
      <x:c r="M1790" s="27" t="n">
        <x:v>1</x:v>
      </x:c>
    </x:row>
    <x:row r="1791" ht="15" hidden="0" customHeight="1">
      <x:c r="A1791" s="29" t="n">
        <x:v>287</x:v>
      </x:c>
      <x:c r="B1791" s="29" t="n">
        <x:v>331191</x:v>
      </x:c>
      <x:c r="C1791" s="29" t="str">
        <x:v>A3</x:v>
      </x:c>
      <x:c r="D1791" s="53" t="n">
        <x:v>2500</x:v>
      </x:c>
      <x:c r="E1791" s="47" t="n">
        <x:v>1</x:v>
      </x:c>
      <x:c r="F1791" s="47" t="n">
        <x:v>1</x:v>
      </x:c>
      <x:c r="G1791" s="47" t="n">
        <x:v>1</x:v>
      </x:c>
      <x:c r="H1791" s="47" t="n">
        <x:v>1</x:v>
      </x:c>
      <x:c r="I1791" s="47" t="n">
        <x:v>1</x:v>
      </x:c>
      <x:c r="J1791" s="47" t="n">
        <x:v>1</x:v>
      </x:c>
      <x:c r="K1791" s="47" t="n">
        <x:v>1</x:v>
      </x:c>
      <x:c r="L1791" s="47" t="n">
        <x:v>1</x:v>
      </x:c>
      <x:c r="M1791" s="29" t="n">
        <x:v>1</x:v>
      </x:c>
    </x:row>
    <x:row r="1792" ht="15" hidden="0" customHeight="1">
      <x:c r="A1792" s="27" t="n">
        <x:v>288</x:v>
      </x:c>
      <x:c r="B1792" s="27" t="n">
        <x:v>331192</x:v>
      </x:c>
      <x:c r="C1792" s="27" t="str">
        <x:v>A3</x:v>
      </x:c>
      <x:c r="D1792" s="52" t="n">
        <x:v>2500</x:v>
      </x:c>
      <x:c r="E1792" s="46" t="n">
        <x:v>1</x:v>
      </x:c>
      <x:c r="F1792" s="46" t="n">
        <x:v>1</x:v>
      </x:c>
      <x:c r="G1792" s="46" t="n">
        <x:v>1</x:v>
      </x:c>
      <x:c r="H1792" s="46" t="n">
        <x:v>1</x:v>
      </x:c>
      <x:c r="I1792" s="46" t="n">
        <x:v>1</x:v>
      </x:c>
      <x:c r="J1792" s="46" t="n">
        <x:v>1</x:v>
      </x:c>
      <x:c r="K1792" s="46" t="n">
        <x:v>1</x:v>
      </x:c>
      <x:c r="L1792" s="46" t="n">
        <x:v>1</x:v>
      </x:c>
      <x:c r="M1792" s="27" t="n">
        <x:v>1</x:v>
      </x:c>
    </x:row>
    <x:row r="1793" ht="15" hidden="0" customHeight="1">
      <x:c r="A1793" s="29" t="n">
        <x:v>289</x:v>
      </x:c>
      <x:c r="B1793" s="29" t="n">
        <x:v>331193</x:v>
      </x:c>
      <x:c r="C1793" s="29" t="str">
        <x:v>A3</x:v>
      </x:c>
      <x:c r="D1793" s="53" t="n">
        <x:v>2500</x:v>
      </x:c>
      <x:c r="E1793" s="47" t="n">
        <x:v>1</x:v>
      </x:c>
      <x:c r="F1793" s="47" t="n">
        <x:v>1</x:v>
      </x:c>
      <x:c r="G1793" s="47" t="n">
        <x:v>1</x:v>
      </x:c>
      <x:c r="H1793" s="47" t="n">
        <x:v>1</x:v>
      </x:c>
      <x:c r="I1793" s="47" t="n">
        <x:v>1</x:v>
      </x:c>
      <x:c r="J1793" s="47" t="n">
        <x:v>1</x:v>
      </x:c>
      <x:c r="K1793" s="47" t="n">
        <x:v>1</x:v>
      </x:c>
      <x:c r="L1793" s="47" t="n">
        <x:v>1</x:v>
      </x:c>
      <x:c r="M1793" s="29" t="n">
        <x:v>1</x:v>
      </x:c>
    </x:row>
    <x:row r="1794" ht="15" hidden="0" customHeight="1">
      <x:c r="A1794" s="27" t="n">
        <x:v>290</x:v>
      </x:c>
      <x:c r="B1794" s="27" t="n">
        <x:v>331194</x:v>
      </x:c>
      <x:c r="C1794" s="27" t="str">
        <x:v>A3</x:v>
      </x:c>
      <x:c r="D1794" s="52" t="n">
        <x:v>2500</x:v>
      </x:c>
      <x:c r="E1794" s="46" t="n">
        <x:v>1</x:v>
      </x:c>
      <x:c r="F1794" s="46" t="n">
        <x:v>1</x:v>
      </x:c>
      <x:c r="G1794" s="46" t="n">
        <x:v>1</x:v>
      </x:c>
      <x:c r="H1794" s="46" t="n">
        <x:v>1</x:v>
      </x:c>
      <x:c r="I1794" s="46" t="n">
        <x:v>1</x:v>
      </x:c>
      <x:c r="J1794" s="46" t="n">
        <x:v>1</x:v>
      </x:c>
      <x:c r="K1794" s="46" t="n">
        <x:v>1</x:v>
      </x:c>
      <x:c r="L1794" s="46" t="n">
        <x:v>1</x:v>
      </x:c>
      <x:c r="M1794" s="27" t="n">
        <x:v>1</x:v>
      </x:c>
    </x:row>
    <x:row r="1795" ht="15" hidden="0" customHeight="1">
      <x:c r="A1795" s="29" t="n">
        <x:v>291</x:v>
      </x:c>
      <x:c r="B1795" s="29" t="n">
        <x:v>331195</x:v>
      </x:c>
      <x:c r="C1795" s="29" t="str">
        <x:v>A3</x:v>
      </x:c>
      <x:c r="D1795" s="53" t="n">
        <x:v>2500</x:v>
      </x:c>
      <x:c r="E1795" s="47" t="n">
        <x:v>1</x:v>
      </x:c>
      <x:c r="F1795" s="47" t="n">
        <x:v>1</x:v>
      </x:c>
      <x:c r="G1795" s="47" t="n">
        <x:v>1</x:v>
      </x:c>
      <x:c r="H1795" s="47" t="n">
        <x:v>1</x:v>
      </x:c>
      <x:c r="I1795" s="47" t="n">
        <x:v>1</x:v>
      </x:c>
      <x:c r="J1795" s="47" t="n">
        <x:v>1</x:v>
      </x:c>
      <x:c r="K1795" s="47" t="n">
        <x:v>1</x:v>
      </x:c>
      <x:c r="L1795" s="47" t="n">
        <x:v>1</x:v>
      </x:c>
      <x:c r="M1795" s="29" t="n">
        <x:v>1</x:v>
      </x:c>
    </x:row>
    <x:row r="1796" ht="15" hidden="0" customHeight="1">
      <x:c r="A1796" s="27" t="n">
        <x:v>292</x:v>
      </x:c>
      <x:c r="B1796" s="27" t="n">
        <x:v>331196</x:v>
      </x:c>
      <x:c r="C1796" s="27" t="str">
        <x:v>A3</x:v>
      </x:c>
      <x:c r="D1796" s="52" t="n">
        <x:v>2500</x:v>
      </x:c>
      <x:c r="E1796" s="46" t="n">
        <x:v>1</x:v>
      </x:c>
      <x:c r="F1796" s="46" t="n">
        <x:v>1</x:v>
      </x:c>
      <x:c r="G1796" s="46" t="n">
        <x:v>1</x:v>
      </x:c>
      <x:c r="H1796" s="46" t="n">
        <x:v>1</x:v>
      </x:c>
      <x:c r="I1796" s="46" t="n">
        <x:v>1</x:v>
      </x:c>
      <x:c r="J1796" s="46" t="n">
        <x:v>1</x:v>
      </x:c>
      <x:c r="K1796" s="46" t="n">
        <x:v>1</x:v>
      </x:c>
      <x:c r="L1796" s="46" t="n">
        <x:v>1</x:v>
      </x:c>
      <x:c r="M1796" s="27" t="n">
        <x:v>1</x:v>
      </x:c>
    </x:row>
    <x:row r="1797" ht="15" hidden="0" customHeight="1">
      <x:c r="A1797" s="29" t="n">
        <x:v>293</x:v>
      </x:c>
      <x:c r="B1797" s="29" t="n">
        <x:v>331197</x:v>
      </x:c>
      <x:c r="C1797" s="29" t="str">
        <x:v>A3</x:v>
      </x:c>
      <x:c r="D1797" s="53" t="n">
        <x:v>2500</x:v>
      </x:c>
      <x:c r="E1797" s="47" t="n">
        <x:v>1</x:v>
      </x:c>
      <x:c r="F1797" s="47" t="n">
        <x:v>1</x:v>
      </x:c>
      <x:c r="G1797" s="47" t="n">
        <x:v>1</x:v>
      </x:c>
      <x:c r="H1797" s="47" t="n">
        <x:v>1</x:v>
      </x:c>
      <x:c r="I1797" s="47" t="n">
        <x:v>1</x:v>
      </x:c>
      <x:c r="J1797" s="47" t="n">
        <x:v>1</x:v>
      </x:c>
      <x:c r="K1797" s="47" t="n">
        <x:v>1</x:v>
      </x:c>
      <x:c r="L1797" s="47" t="n">
        <x:v>1</x:v>
      </x:c>
      <x:c r="M1797" s="29" t="n">
        <x:v>1</x:v>
      </x:c>
    </x:row>
    <x:row r="1798" ht="15" hidden="0" customHeight="1">
      <x:c r="A1798" s="27" t="n">
        <x:v>294</x:v>
      </x:c>
      <x:c r="B1798" s="27" t="n">
        <x:v>331198</x:v>
      </x:c>
      <x:c r="C1798" s="27" t="str">
        <x:v>A3</x:v>
      </x:c>
      <x:c r="D1798" s="52" t="n">
        <x:v>2500</x:v>
      </x:c>
      <x:c r="E1798" s="46" t="n">
        <x:v>1</x:v>
      </x:c>
      <x:c r="F1798" s="46" t="n">
        <x:v>1</x:v>
      </x:c>
      <x:c r="G1798" s="46" t="n">
        <x:v>1</x:v>
      </x:c>
      <x:c r="H1798" s="46" t="n">
        <x:v>1</x:v>
      </x:c>
      <x:c r="I1798" s="46" t="n">
        <x:v>1</x:v>
      </x:c>
      <x:c r="J1798" s="46" t="n">
        <x:v>1</x:v>
      </x:c>
      <x:c r="K1798" s="46" t="n">
        <x:v>1</x:v>
      </x:c>
      <x:c r="L1798" s="46" t="n">
        <x:v>1</x:v>
      </x:c>
      <x:c r="M1798" s="27" t="n">
        <x:v>1</x:v>
      </x:c>
    </x:row>
    <x:row r="1799" ht="15" hidden="0" customHeight="1">
      <x:c r="A1799" s="29" t="n">
        <x:v>295</x:v>
      </x:c>
      <x:c r="B1799" s="29" t="n">
        <x:v>331199</x:v>
      </x:c>
      <x:c r="C1799" s="29" t="str">
        <x:v>A3</x:v>
      </x:c>
      <x:c r="D1799" s="53" t="n">
        <x:v>2500</x:v>
      </x:c>
      <x:c r="E1799" s="47" t="n">
        <x:v>1</x:v>
      </x:c>
      <x:c r="F1799" s="47" t="n">
        <x:v>1</x:v>
      </x:c>
      <x:c r="G1799" s="47" t="n">
        <x:v>1</x:v>
      </x:c>
      <x:c r="H1799" s="47" t="n">
        <x:v>1</x:v>
      </x:c>
      <x:c r="I1799" s="47" t="n">
        <x:v>1</x:v>
      </x:c>
      <x:c r="J1799" s="47" t="n">
        <x:v>1</x:v>
      </x:c>
      <x:c r="K1799" s="47" t="n">
        <x:v>1</x:v>
      </x:c>
      <x:c r="L1799" s="47" t="n">
        <x:v>1</x:v>
      </x:c>
      <x:c r="M1799" s="29" t="n">
        <x:v>1</x:v>
      </x:c>
    </x:row>
    <x:row r="1800" ht="15" hidden="0" customHeight="1">
      <x:c r="A1800" s="27" t="n">
        <x:v>296</x:v>
      </x:c>
      <x:c r="B1800" s="27" t="n">
        <x:v>331200</x:v>
      </x:c>
      <x:c r="C1800" s="27" t="str">
        <x:v>A3</x:v>
      </x:c>
      <x:c r="D1800" s="52" t="n">
        <x:v>2500</x:v>
      </x:c>
      <x:c r="E1800" s="46" t="n">
        <x:v>1</x:v>
      </x:c>
      <x:c r="F1800" s="46" t="n">
        <x:v>1</x:v>
      </x:c>
      <x:c r="G1800" s="46" t="n">
        <x:v>1</x:v>
      </x:c>
      <x:c r="H1800" s="46" t="n">
        <x:v>1</x:v>
      </x:c>
      <x:c r="I1800" s="46" t="n">
        <x:v>1</x:v>
      </x:c>
      <x:c r="J1800" s="46" t="n">
        <x:v>1</x:v>
      </x:c>
      <x:c r="K1800" s="46" t="n">
        <x:v>1</x:v>
      </x:c>
      <x:c r="L1800" s="46" t="n">
        <x:v>1</x:v>
      </x:c>
      <x:c r="M1800" s="27" t="n">
        <x:v>1</x:v>
      </x:c>
    </x:row>
    <x:row r="1801" ht="15" hidden="0" customHeight="1">
      <x:c r="A1801" s="29" t="n">
        <x:v>297</x:v>
      </x:c>
      <x:c r="B1801" s="29" t="n">
        <x:v>331201</x:v>
      </x:c>
      <x:c r="C1801" s="29" t="str">
        <x:v>A3</x:v>
      </x:c>
      <x:c r="D1801" s="53" t="n">
        <x:v>2500</x:v>
      </x:c>
      <x:c r="E1801" s="47" t="n">
        <x:v>1</x:v>
      </x:c>
      <x:c r="F1801" s="47" t="n">
        <x:v>1</x:v>
      </x:c>
      <x:c r="G1801" s="47" t="n">
        <x:v>1</x:v>
      </x:c>
      <x:c r="H1801" s="47" t="n">
        <x:v>1</x:v>
      </x:c>
      <x:c r="I1801" s="47" t="n">
        <x:v>1</x:v>
      </x:c>
      <x:c r="J1801" s="47" t="n">
        <x:v>1</x:v>
      </x:c>
      <x:c r="K1801" s="47" t="n">
        <x:v>1</x:v>
      </x:c>
      <x:c r="L1801" s="47" t="n">
        <x:v>1</x:v>
      </x:c>
      <x:c r="M1801" s="29" t="n">
        <x:v>1</x:v>
      </x:c>
    </x:row>
    <x:row r="1802" ht="15" hidden="0" customHeight="1">
      <x:c r="A1802" s="27" t="n">
        <x:v>298</x:v>
      </x:c>
      <x:c r="B1802" s="27" t="n">
        <x:v>331202</x:v>
      </x:c>
      <x:c r="C1802" s="27" t="str">
        <x:v>A3</x:v>
      </x:c>
      <x:c r="D1802" s="52" t="n">
        <x:v>2500</x:v>
      </x:c>
      <x:c r="E1802" s="46" t="n">
        <x:v>1</x:v>
      </x:c>
      <x:c r="F1802" s="46" t="n">
        <x:v>1</x:v>
      </x:c>
      <x:c r="G1802" s="46" t="n">
        <x:v>1</x:v>
      </x:c>
      <x:c r="H1802" s="46" t="n">
        <x:v>1</x:v>
      </x:c>
      <x:c r="I1802" s="46" t="n">
        <x:v>1</x:v>
      </x:c>
      <x:c r="J1802" s="46" t="n">
        <x:v>1</x:v>
      </x:c>
      <x:c r="K1802" s="46" t="n">
        <x:v>1</x:v>
      </x:c>
      <x:c r="L1802" s="46" t="n">
        <x:v>1</x:v>
      </x:c>
      <x:c r="M1802" s="27" t="n">
        <x:v>1</x:v>
      </x:c>
    </x:row>
    <x:row r="1803" ht="15" hidden="0" customHeight="1">
      <x:c r="A1803" s="29" t="n">
        <x:v>299</x:v>
      </x:c>
      <x:c r="B1803" s="29" t="n">
        <x:v>331203</x:v>
      </x:c>
      <x:c r="C1803" s="29" t="str">
        <x:v>A3</x:v>
      </x:c>
      <x:c r="D1803" s="53" t="n">
        <x:v>2500</x:v>
      </x:c>
      <x:c r="E1803" s="47" t="n">
        <x:v>1</x:v>
      </x:c>
      <x:c r="F1803" s="47" t="n">
        <x:v>1</x:v>
      </x:c>
      <x:c r="G1803" s="47" t="n">
        <x:v>1</x:v>
      </x:c>
      <x:c r="H1803" s="47" t="n">
        <x:v>1</x:v>
      </x:c>
      <x:c r="I1803" s="47" t="n">
        <x:v>1</x:v>
      </x:c>
      <x:c r="J1803" s="47" t="n">
        <x:v>1</x:v>
      </x:c>
      <x:c r="K1803" s="47" t="n">
        <x:v>1</x:v>
      </x:c>
      <x:c r="L1803" s="47" t="n">
        <x:v>1</x:v>
      </x:c>
      <x:c r="M1803" s="29" t="n">
        <x:v>1</x:v>
      </x:c>
    </x:row>
    <x:row r="1804" ht="15" hidden="0" customHeight="1">
      <x:c r="A1804" s="27" t="n">
        <x:v>300</x:v>
      </x:c>
      <x:c r="B1804" s="27" t="n">
        <x:v>331204</x:v>
      </x:c>
      <x:c r="C1804" s="27" t="str">
        <x:v>A3</x:v>
      </x:c>
      <x:c r="D1804" s="52" t="n">
        <x:v>2500</x:v>
      </x:c>
      <x:c r="E1804" s="46" t="n">
        <x:v>1</x:v>
      </x:c>
      <x:c r="F1804" s="46" t="n">
        <x:v>1</x:v>
      </x:c>
      <x:c r="G1804" s="46" t="n">
        <x:v>1</x:v>
      </x:c>
      <x:c r="H1804" s="46" t="n">
        <x:v>1</x:v>
      </x:c>
      <x:c r="I1804" s="46" t="n">
        <x:v>1</x:v>
      </x:c>
      <x:c r="J1804" s="46" t="n">
        <x:v>1</x:v>
      </x:c>
      <x:c r="K1804" s="46" t="n">
        <x:v>1</x:v>
      </x:c>
      <x:c r="L1804" s="46" t="n">
        <x:v>1</x:v>
      </x:c>
      <x:c r="M1804" s="27" t="n">
        <x:v>1</x:v>
      </x:c>
    </x:row>
    <x:row r="1805" ht="15" hidden="0" customHeight="1">
      <x:c r="A1805" s="29" t="n">
        <x:v>301</x:v>
      </x:c>
      <x:c r="B1805" s="29" t="n">
        <x:v>331205</x:v>
      </x:c>
      <x:c r="C1805" s="29" t="str">
        <x:v>A3</x:v>
      </x:c>
      <x:c r="D1805" s="53" t="n">
        <x:v>2500</x:v>
      </x:c>
      <x:c r="E1805" s="47" t="n">
        <x:v>1</x:v>
      </x:c>
      <x:c r="F1805" s="47" t="n">
        <x:v>1</x:v>
      </x:c>
      <x:c r="G1805" s="47" t="n">
        <x:v>1</x:v>
      </x:c>
      <x:c r="H1805" s="47" t="n">
        <x:v>1</x:v>
      </x:c>
      <x:c r="I1805" s="47" t="n">
        <x:v>1</x:v>
      </x:c>
      <x:c r="J1805" s="47" t="n">
        <x:v>1</x:v>
      </x:c>
      <x:c r="K1805" s="47" t="n">
        <x:v>1</x:v>
      </x:c>
      <x:c r="L1805" s="47" t="n">
        <x:v>1</x:v>
      </x:c>
      <x:c r="M1805" s="29" t="n">
        <x:v>1</x:v>
      </x:c>
    </x:row>
    <x:row r="1806" ht="15" hidden="0" customHeight="1">
      <x:c r="A1806" s="27" t="n">
        <x:v>302</x:v>
      </x:c>
      <x:c r="B1806" s="27" t="n">
        <x:v>331206</x:v>
      </x:c>
      <x:c r="C1806" s="27" t="str">
        <x:v>A3</x:v>
      </x:c>
      <x:c r="D1806" s="52" t="n">
        <x:v>2500</x:v>
      </x:c>
      <x:c r="E1806" s="46" t="n">
        <x:v>1</x:v>
      </x:c>
      <x:c r="F1806" s="46" t="n">
        <x:v>1</x:v>
      </x:c>
      <x:c r="G1806" s="46" t="n">
        <x:v>1</x:v>
      </x:c>
      <x:c r="H1806" s="46" t="n">
        <x:v>1</x:v>
      </x:c>
      <x:c r="I1806" s="46" t="n">
        <x:v>1</x:v>
      </x:c>
      <x:c r="J1806" s="46" t="n">
        <x:v>1</x:v>
      </x:c>
      <x:c r="K1806" s="46" t="n">
        <x:v>1</x:v>
      </x:c>
      <x:c r="L1806" s="46" t="n">
        <x:v>1</x:v>
      </x:c>
      <x:c r="M1806" s="27" t="n">
        <x:v>1</x:v>
      </x:c>
    </x:row>
    <x:row r="1807" ht="15" hidden="0" customHeight="1">
      <x:c r="A1807" s="29" t="n">
        <x:v>303</x:v>
      </x:c>
      <x:c r="B1807" s="29" t="n">
        <x:v>331207</x:v>
      </x:c>
      <x:c r="C1807" s="29" t="str">
        <x:v>A3</x:v>
      </x:c>
      <x:c r="D1807" s="53" t="n">
        <x:v>2500</x:v>
      </x:c>
      <x:c r="E1807" s="47" t="n">
        <x:v>1</x:v>
      </x:c>
      <x:c r="F1807" s="47" t="n">
        <x:v>1</x:v>
      </x:c>
      <x:c r="G1807" s="47" t="n">
        <x:v>1</x:v>
      </x:c>
      <x:c r="H1807" s="47" t="n">
        <x:v>1</x:v>
      </x:c>
      <x:c r="I1807" s="47" t="n">
        <x:v>1</x:v>
      </x:c>
      <x:c r="J1807" s="47" t="n">
        <x:v>1</x:v>
      </x:c>
      <x:c r="K1807" s="47" t="n">
        <x:v>1</x:v>
      </x:c>
      <x:c r="L1807" s="47" t="n">
        <x:v>1</x:v>
      </x:c>
      <x:c r="M1807" s="29" t="n">
        <x:v>1</x:v>
      </x:c>
    </x:row>
    <x:row r="1808" ht="15" hidden="0" customHeight="1">
      <x:c r="A1808" s="27" t="n">
        <x:v>304</x:v>
      </x:c>
      <x:c r="B1808" s="27" t="n">
        <x:v>331208</x:v>
      </x:c>
      <x:c r="C1808" s="27" t="str">
        <x:v>A3</x:v>
      </x:c>
      <x:c r="D1808" s="52" t="n">
        <x:v>2500</x:v>
      </x:c>
      <x:c r="E1808" s="46" t="n">
        <x:v>1</x:v>
      </x:c>
      <x:c r="F1808" s="46" t="n">
        <x:v>1</x:v>
      </x:c>
      <x:c r="G1808" s="46" t="n">
        <x:v>1</x:v>
      </x:c>
      <x:c r="H1808" s="46" t="n">
        <x:v>1</x:v>
      </x:c>
      <x:c r="I1808" s="46" t="n">
        <x:v>1</x:v>
      </x:c>
      <x:c r="J1808" s="46" t="n">
        <x:v>1</x:v>
      </x:c>
      <x:c r="K1808" s="46" t="n">
        <x:v>1</x:v>
      </x:c>
      <x:c r="L1808" s="46" t="n">
        <x:v>1</x:v>
      </x:c>
      <x:c r="M1808" s="27" t="n">
        <x:v>1</x:v>
      </x:c>
    </x:row>
    <x:row r="1809" ht="15" hidden="0" customHeight="1">
      <x:c r="A1809" s="29" t="n">
        <x:v>305</x:v>
      </x:c>
      <x:c r="B1809" s="29" t="n">
        <x:v>331209</x:v>
      </x:c>
      <x:c r="C1809" s="29" t="str">
        <x:v>A3</x:v>
      </x:c>
      <x:c r="D1809" s="53" t="n">
        <x:v>2500</x:v>
      </x:c>
      <x:c r="E1809" s="47" t="n">
        <x:v>1</x:v>
      </x:c>
      <x:c r="F1809" s="47" t="n">
        <x:v>1</x:v>
      </x:c>
      <x:c r="G1809" s="47" t="n">
        <x:v>1</x:v>
      </x:c>
      <x:c r="H1809" s="47" t="n">
        <x:v>1</x:v>
      </x:c>
      <x:c r="I1809" s="47" t="n">
        <x:v>1</x:v>
      </x:c>
      <x:c r="J1809" s="47" t="n">
        <x:v>1</x:v>
      </x:c>
      <x:c r="K1809" s="47" t="n">
        <x:v>1</x:v>
      </x:c>
      <x:c r="L1809" s="47" t="n">
        <x:v>1</x:v>
      </x:c>
      <x:c r="M1809" s="29" t="n">
        <x:v>1</x:v>
      </x:c>
    </x:row>
    <x:row r="1810" ht="15" hidden="0" customHeight="1">
      <x:c r="A1810" s="27" t="n">
        <x:v>306</x:v>
      </x:c>
      <x:c r="B1810" s="27" t="n">
        <x:v>331210</x:v>
      </x:c>
      <x:c r="C1810" s="27" t="str">
        <x:v>A3</x:v>
      </x:c>
      <x:c r="D1810" s="52" t="n">
        <x:v>2500</x:v>
      </x:c>
      <x:c r="E1810" s="46" t="n">
        <x:v>1</x:v>
      </x:c>
      <x:c r="F1810" s="46" t="n">
        <x:v>1</x:v>
      </x:c>
      <x:c r="G1810" s="46" t="n">
        <x:v>1</x:v>
      </x:c>
      <x:c r="H1810" s="46" t="n">
        <x:v>1</x:v>
      </x:c>
      <x:c r="I1810" s="46" t="n">
        <x:v>1</x:v>
      </x:c>
      <x:c r="J1810" s="46" t="n">
        <x:v>1</x:v>
      </x:c>
      <x:c r="K1810" s="46" t="n">
        <x:v>1</x:v>
      </x:c>
      <x:c r="L1810" s="46" t="n">
        <x:v>1</x:v>
      </x:c>
      <x:c r="M1810" s="27" t="n">
        <x:v>1</x:v>
      </x:c>
    </x:row>
    <x:row r="1811" ht="15" hidden="0" customHeight="1">
      <x:c r="A1811" s="29" t="n">
        <x:v>307</x:v>
      </x:c>
      <x:c r="B1811" s="29" t="n">
        <x:v>331211</x:v>
      </x:c>
      <x:c r="C1811" s="29" t="str">
        <x:v>A3</x:v>
      </x:c>
      <x:c r="D1811" s="53" t="n">
        <x:v>2500</x:v>
      </x:c>
      <x:c r="E1811" s="47" t="n">
        <x:v>1</x:v>
      </x:c>
      <x:c r="F1811" s="47" t="n">
        <x:v>1</x:v>
      </x:c>
      <x:c r="G1811" s="47" t="n">
        <x:v>1</x:v>
      </x:c>
      <x:c r="H1811" s="47" t="n">
        <x:v>1</x:v>
      </x:c>
      <x:c r="I1811" s="47" t="n">
        <x:v>1</x:v>
      </x:c>
      <x:c r="J1811" s="47" t="n">
        <x:v>1</x:v>
      </x:c>
      <x:c r="K1811" s="47" t="n">
        <x:v>1</x:v>
      </x:c>
      <x:c r="L1811" s="47" t="n">
        <x:v>1</x:v>
      </x:c>
      <x:c r="M1811" s="29" t="n">
        <x:v>1</x:v>
      </x:c>
    </x:row>
    <x:row r="1812" ht="15" hidden="0" customHeight="1">
      <x:c r="A1812" s="27" t="n">
        <x:v>308</x:v>
      </x:c>
      <x:c r="B1812" s="27" t="n">
        <x:v>331212</x:v>
      </x:c>
      <x:c r="C1812" s="27" t="str">
        <x:v>A3</x:v>
      </x:c>
      <x:c r="D1812" s="52" t="n">
        <x:v>2500</x:v>
      </x:c>
      <x:c r="E1812" s="46" t="n">
        <x:v>1</x:v>
      </x:c>
      <x:c r="F1812" s="46" t="n">
        <x:v>1</x:v>
      </x:c>
      <x:c r="G1812" s="46" t="n">
        <x:v>1</x:v>
      </x:c>
      <x:c r="H1812" s="46" t="n">
        <x:v>1</x:v>
      </x:c>
      <x:c r="I1812" s="46" t="n">
        <x:v>1</x:v>
      </x:c>
      <x:c r="J1812" s="46" t="n">
        <x:v>1</x:v>
      </x:c>
      <x:c r="K1812" s="46" t="n">
        <x:v>1</x:v>
      </x:c>
      <x:c r="L1812" s="46" t="n">
        <x:v>1</x:v>
      </x:c>
      <x:c r="M1812" s="27" t="n">
        <x:v>1</x:v>
      </x:c>
    </x:row>
    <x:row r="1813" ht="15" hidden="0" customHeight="1">
      <x:c r="A1813" s="29" t="n">
        <x:v>309</x:v>
      </x:c>
      <x:c r="B1813" s="29" t="n">
        <x:v>331213</x:v>
      </x:c>
      <x:c r="C1813" s="29" t="str">
        <x:v>A3</x:v>
      </x:c>
      <x:c r="D1813" s="53" t="n">
        <x:v>2500</x:v>
      </x:c>
      <x:c r="E1813" s="47" t="n">
        <x:v>1</x:v>
      </x:c>
      <x:c r="F1813" s="47" t="n">
        <x:v>1</x:v>
      </x:c>
      <x:c r="G1813" s="47" t="n">
        <x:v>1</x:v>
      </x:c>
      <x:c r="H1813" s="47" t="n">
        <x:v>1</x:v>
      </x:c>
      <x:c r="I1813" s="47" t="n">
        <x:v>1</x:v>
      </x:c>
      <x:c r="J1813" s="47" t="n">
        <x:v>1</x:v>
      </x:c>
      <x:c r="K1813" s="47" t="n">
        <x:v>1</x:v>
      </x:c>
      <x:c r="L1813" s="47" t="n">
        <x:v>1</x:v>
      </x:c>
      <x:c r="M1813" s="29" t="n">
        <x:v>1</x:v>
      </x:c>
    </x:row>
    <x:row r="1814" ht="15" hidden="0" customHeight="1">
      <x:c r="A1814" s="27" t="n">
        <x:v>310</x:v>
      </x:c>
      <x:c r="B1814" s="27" t="n">
        <x:v>331214</x:v>
      </x:c>
      <x:c r="C1814" s="27" t="str">
        <x:v>A3</x:v>
      </x:c>
      <x:c r="D1814" s="52" t="n">
        <x:v>2500</x:v>
      </x:c>
      <x:c r="E1814" s="46" t="n">
        <x:v>1</x:v>
      </x:c>
      <x:c r="F1814" s="46" t="n">
        <x:v>1</x:v>
      </x:c>
      <x:c r="G1814" s="46" t="n">
        <x:v>1</x:v>
      </x:c>
      <x:c r="H1814" s="46" t="n">
        <x:v>1</x:v>
      </x:c>
      <x:c r="I1814" s="46" t="n">
        <x:v>1</x:v>
      </x:c>
      <x:c r="J1814" s="46" t="n">
        <x:v>1</x:v>
      </x:c>
      <x:c r="K1814" s="46" t="n">
        <x:v>1</x:v>
      </x:c>
      <x:c r="L1814" s="46" t="n">
        <x:v>1</x:v>
      </x:c>
      <x:c r="M1814" s="27" t="n">
        <x:v>1</x:v>
      </x:c>
    </x:row>
    <x:row r="1815" ht="15" hidden="0" customHeight="1">
      <x:c r="A1815" s="29" t="n">
        <x:v>311</x:v>
      </x:c>
      <x:c r="B1815" s="29" t="n">
        <x:v>331215</x:v>
      </x:c>
      <x:c r="C1815" s="29" t="str">
        <x:v>A3</x:v>
      </x:c>
      <x:c r="D1815" s="53" t="n">
        <x:v>2500</x:v>
      </x:c>
      <x:c r="E1815" s="47" t="n">
        <x:v>1</x:v>
      </x:c>
      <x:c r="F1815" s="47" t="n">
        <x:v>1</x:v>
      </x:c>
      <x:c r="G1815" s="47" t="n">
        <x:v>1</x:v>
      </x:c>
      <x:c r="H1815" s="47" t="n">
        <x:v>1</x:v>
      </x:c>
      <x:c r="I1815" s="47" t="n">
        <x:v>1</x:v>
      </x:c>
      <x:c r="J1815" s="47" t="n">
        <x:v>1</x:v>
      </x:c>
      <x:c r="K1815" s="47" t="n">
        <x:v>1</x:v>
      </x:c>
      <x:c r="L1815" s="47" t="n">
        <x:v>1</x:v>
      </x:c>
      <x:c r="M1815" s="29" t="n">
        <x:v>1</x:v>
      </x:c>
    </x:row>
    <x:row r="1816" ht="15" hidden="0" customHeight="1">
      <x:c r="A1816" s="27" t="n">
        <x:v>312</x:v>
      </x:c>
      <x:c r="B1816" s="27" t="n">
        <x:v>331216</x:v>
      </x:c>
      <x:c r="C1816" s="27" t="str">
        <x:v>A3</x:v>
      </x:c>
      <x:c r="D1816" s="52" t="n">
        <x:v>2500</x:v>
      </x:c>
      <x:c r="E1816" s="46" t="n">
        <x:v>1</x:v>
      </x:c>
      <x:c r="F1816" s="46" t="n">
        <x:v>1</x:v>
      </x:c>
      <x:c r="G1816" s="46" t="n">
        <x:v>1</x:v>
      </x:c>
      <x:c r="H1816" s="46" t="n">
        <x:v>1</x:v>
      </x:c>
      <x:c r="I1816" s="46" t="n">
        <x:v>1</x:v>
      </x:c>
      <x:c r="J1816" s="46" t="n">
        <x:v>1</x:v>
      </x:c>
      <x:c r="K1816" s="46" t="n">
        <x:v>1</x:v>
      </x:c>
      <x:c r="L1816" s="46" t="n">
        <x:v>1</x:v>
      </x:c>
      <x:c r="M1816" s="27" t="n">
        <x:v>1</x:v>
      </x:c>
    </x:row>
    <x:row r="1817" ht="15" hidden="0" customHeight="1">
      <x:c r="A1817" s="29" t="n">
        <x:v>313</x:v>
      </x:c>
      <x:c r="B1817" s="29" t="n">
        <x:v>331217</x:v>
      </x:c>
      <x:c r="C1817" s="29" t="str">
        <x:v>A3</x:v>
      </x:c>
      <x:c r="D1817" s="53" t="n">
        <x:v>2500</x:v>
      </x:c>
      <x:c r="E1817" s="47" t="n">
        <x:v>1</x:v>
      </x:c>
      <x:c r="F1817" s="47" t="n">
        <x:v>1</x:v>
      </x:c>
      <x:c r="G1817" s="47" t="n">
        <x:v>1</x:v>
      </x:c>
      <x:c r="H1817" s="47" t="n">
        <x:v>1</x:v>
      </x:c>
      <x:c r="I1817" s="47" t="n">
        <x:v>1</x:v>
      </x:c>
      <x:c r="J1817" s="47" t="n">
        <x:v>1</x:v>
      </x:c>
      <x:c r="K1817" s="47" t="n">
        <x:v>1</x:v>
      </x:c>
      <x:c r="L1817" s="47" t="n">
        <x:v>1</x:v>
      </x:c>
      <x:c r="M1817" s="29" t="n">
        <x:v>1</x:v>
      </x:c>
    </x:row>
    <x:row r="1818" ht="15" hidden="0" customHeight="1">
      <x:c r="A1818" s="27" t="n">
        <x:v>314</x:v>
      </x:c>
      <x:c r="B1818" s="27" t="n">
        <x:v>331218</x:v>
      </x:c>
      <x:c r="C1818" s="27" t="str">
        <x:v>A3</x:v>
      </x:c>
      <x:c r="D1818" s="52" t="n">
        <x:v>2500</x:v>
      </x:c>
      <x:c r="E1818" s="46" t="n">
        <x:v>1</x:v>
      </x:c>
      <x:c r="F1818" s="46" t="n">
        <x:v>1</x:v>
      </x:c>
      <x:c r="G1818" s="46" t="n">
        <x:v>1</x:v>
      </x:c>
      <x:c r="H1818" s="46" t="n">
        <x:v>1</x:v>
      </x:c>
      <x:c r="I1818" s="46" t="n">
        <x:v>1</x:v>
      </x:c>
      <x:c r="J1818" s="46" t="n">
        <x:v>1</x:v>
      </x:c>
      <x:c r="K1818" s="46" t="n">
        <x:v>1</x:v>
      </x:c>
      <x:c r="L1818" s="46" t="n">
        <x:v>1</x:v>
      </x:c>
      <x:c r="M1818" s="27" t="n">
        <x:v>1</x:v>
      </x:c>
    </x:row>
    <x:row r="1819" ht="15" hidden="0" customHeight="1">
      <x:c r="A1819" s="29" t="n">
        <x:v>315</x:v>
      </x:c>
      <x:c r="B1819" s="29" t="n">
        <x:v>331219</x:v>
      </x:c>
      <x:c r="C1819" s="29" t="str">
        <x:v>A3</x:v>
      </x:c>
      <x:c r="D1819" s="53" t="n">
        <x:v>2500</x:v>
      </x:c>
      <x:c r="E1819" s="47" t="n">
        <x:v>1</x:v>
      </x:c>
      <x:c r="F1819" s="47" t="n">
        <x:v>1</x:v>
      </x:c>
      <x:c r="G1819" s="47" t="n">
        <x:v>1</x:v>
      </x:c>
      <x:c r="H1819" s="47" t="n">
        <x:v>1</x:v>
      </x:c>
      <x:c r="I1819" s="47" t="n">
        <x:v>1</x:v>
      </x:c>
      <x:c r="J1819" s="47" t="n">
        <x:v>1</x:v>
      </x:c>
      <x:c r="K1819" s="47" t="n">
        <x:v>1</x:v>
      </x:c>
      <x:c r="L1819" s="47" t="n">
        <x:v>1</x:v>
      </x:c>
      <x:c r="M1819" s="29" t="n">
        <x:v>1</x:v>
      </x:c>
    </x:row>
    <x:row r="1820" ht="15" hidden="0" customHeight="1">
      <x:c r="A1820" s="27" t="n">
        <x:v>316</x:v>
      </x:c>
      <x:c r="B1820" s="27" t="n">
        <x:v>331220</x:v>
      </x:c>
      <x:c r="C1820" s="27" t="str">
        <x:v>A3</x:v>
      </x:c>
      <x:c r="D1820" s="52" t="n">
        <x:v>2500</x:v>
      </x:c>
      <x:c r="E1820" s="46" t="n">
        <x:v>1</x:v>
      </x:c>
      <x:c r="F1820" s="46" t="n">
        <x:v>1</x:v>
      </x:c>
      <x:c r="G1820" s="46" t="n">
        <x:v>1</x:v>
      </x:c>
      <x:c r="H1820" s="46" t="n">
        <x:v>1</x:v>
      </x:c>
      <x:c r="I1820" s="46" t="n">
        <x:v>1</x:v>
      </x:c>
      <x:c r="J1820" s="46" t="n">
        <x:v>1</x:v>
      </x:c>
      <x:c r="K1820" s="46" t="n">
        <x:v>1</x:v>
      </x:c>
      <x:c r="L1820" s="46" t="n">
        <x:v>1</x:v>
      </x:c>
      <x:c r="M1820" s="27" t="n">
        <x:v>1</x:v>
      </x:c>
    </x:row>
    <x:row r="1821" ht="15" hidden="0" customHeight="1">
      <x:c r="A1821" s="29" t="n">
        <x:v>317</x:v>
      </x:c>
      <x:c r="B1821" s="29" t="n">
        <x:v>331221</x:v>
      </x:c>
      <x:c r="C1821" s="29" t="str">
        <x:v>A3</x:v>
      </x:c>
      <x:c r="D1821" s="53" t="n">
        <x:v>2500</x:v>
      </x:c>
      <x:c r="E1821" s="47" t="n">
        <x:v>1</x:v>
      </x:c>
      <x:c r="F1821" s="47" t="n">
        <x:v>1</x:v>
      </x:c>
      <x:c r="G1821" s="47" t="n">
        <x:v>1</x:v>
      </x:c>
      <x:c r="H1821" s="47" t="n">
        <x:v>1</x:v>
      </x:c>
      <x:c r="I1821" s="47" t="n">
        <x:v>1</x:v>
      </x:c>
      <x:c r="J1821" s="47" t="n">
        <x:v>1</x:v>
      </x:c>
      <x:c r="K1821" s="47" t="n">
        <x:v>1</x:v>
      </x:c>
      <x:c r="L1821" s="47" t="n">
        <x:v>1</x:v>
      </x:c>
      <x:c r="M1821" s="29" t="n">
        <x:v>1</x:v>
      </x:c>
    </x:row>
    <x:row r="1822" ht="15" hidden="0" customHeight="1">
      <x:c r="A1822" s="27" t="n">
        <x:v>318</x:v>
      </x:c>
      <x:c r="B1822" s="27" t="n">
        <x:v>331222</x:v>
      </x:c>
      <x:c r="C1822" s="27" t="str">
        <x:v>A3</x:v>
      </x:c>
      <x:c r="D1822" s="52" t="n">
        <x:v>2500</x:v>
      </x:c>
      <x:c r="E1822" s="46" t="n">
        <x:v>1</x:v>
      </x:c>
      <x:c r="F1822" s="46" t="n">
        <x:v>1</x:v>
      </x:c>
      <x:c r="G1822" s="46" t="n">
        <x:v>1</x:v>
      </x:c>
      <x:c r="H1822" s="46" t="n">
        <x:v>1</x:v>
      </x:c>
      <x:c r="I1822" s="46" t="n">
        <x:v>1</x:v>
      </x:c>
      <x:c r="J1822" s="46" t="n">
        <x:v>1</x:v>
      </x:c>
      <x:c r="K1822" s="46" t="n">
        <x:v>1</x:v>
      </x:c>
      <x:c r="L1822" s="46" t="n">
        <x:v>1</x:v>
      </x:c>
      <x:c r="M1822" s="27" t="n">
        <x:v>1</x:v>
      </x:c>
    </x:row>
    <x:row r="1823" ht="15" hidden="0" customHeight="1">
      <x:c r="A1823" s="29" t="n">
        <x:v>319</x:v>
      </x:c>
      <x:c r="B1823" s="29" t="n">
        <x:v>331223</x:v>
      </x:c>
      <x:c r="C1823" s="29" t="str">
        <x:v>A3</x:v>
      </x:c>
      <x:c r="D1823" s="53" t="n">
        <x:v>2500</x:v>
      </x:c>
      <x:c r="E1823" s="47" t="n">
        <x:v>1</x:v>
      </x:c>
      <x:c r="F1823" s="47" t="n">
        <x:v>1</x:v>
      </x:c>
      <x:c r="G1823" s="47" t="n">
        <x:v>1</x:v>
      </x:c>
      <x:c r="H1823" s="47" t="n">
        <x:v>1</x:v>
      </x:c>
      <x:c r="I1823" s="47" t="n">
        <x:v>1</x:v>
      </x:c>
      <x:c r="J1823" s="47" t="n">
        <x:v>1</x:v>
      </x:c>
      <x:c r="K1823" s="47" t="n">
        <x:v>1</x:v>
      </x:c>
      <x:c r="L1823" s="47" t="n">
        <x:v>1</x:v>
      </x:c>
      <x:c r="M1823" s="29" t="n">
        <x:v>1</x:v>
      </x:c>
    </x:row>
    <x:row r="1824" ht="15" hidden="0" customHeight="1">
      <x:c r="A1824" s="27" t="n">
        <x:v>320</x:v>
      </x:c>
      <x:c r="B1824" s="27" t="n">
        <x:v>331224</x:v>
      </x:c>
      <x:c r="C1824" s="27" t="str">
        <x:v>A3</x:v>
      </x:c>
      <x:c r="D1824" s="52" t="n">
        <x:v>2500</x:v>
      </x:c>
      <x:c r="E1824" s="46" t="n">
        <x:v>1</x:v>
      </x:c>
      <x:c r="F1824" s="46" t="n">
        <x:v>1</x:v>
      </x:c>
      <x:c r="G1824" s="46" t="n">
        <x:v>1</x:v>
      </x:c>
      <x:c r="H1824" s="46" t="n">
        <x:v>1</x:v>
      </x:c>
      <x:c r="I1824" s="46" t="n">
        <x:v>1</x:v>
      </x:c>
      <x:c r="J1824" s="46" t="n">
        <x:v>1</x:v>
      </x:c>
      <x:c r="K1824" s="46" t="n">
        <x:v>1</x:v>
      </x:c>
      <x:c r="L1824" s="46" t="n">
        <x:v>1</x:v>
      </x:c>
      <x:c r="M1824" s="27" t="n">
        <x:v>1</x:v>
      </x:c>
    </x:row>
    <x:row r="1825" ht="15" hidden="0" customHeight="1">
      <x:c r="A1825" s="29" t="n">
        <x:v>321</x:v>
      </x:c>
      <x:c r="B1825" s="29" t="n">
        <x:v>331225</x:v>
      </x:c>
      <x:c r="C1825" s="29" t="str">
        <x:v>A3</x:v>
      </x:c>
      <x:c r="D1825" s="53" t="n">
        <x:v>2500</x:v>
      </x:c>
      <x:c r="E1825" s="47" t="n">
        <x:v>1</x:v>
      </x:c>
      <x:c r="F1825" s="47" t="n">
        <x:v>1</x:v>
      </x:c>
      <x:c r="G1825" s="47" t="n">
        <x:v>1</x:v>
      </x:c>
      <x:c r="H1825" s="47" t="n">
        <x:v>1</x:v>
      </x:c>
      <x:c r="I1825" s="47" t="n">
        <x:v>1</x:v>
      </x:c>
      <x:c r="J1825" s="47" t="n">
        <x:v>1</x:v>
      </x:c>
      <x:c r="K1825" s="47" t="n">
        <x:v>1</x:v>
      </x:c>
      <x:c r="L1825" s="47" t="n">
        <x:v>1</x:v>
      </x:c>
      <x:c r="M1825" s="29" t="n">
        <x:v>1</x:v>
      </x:c>
    </x:row>
    <x:row r="1826" ht="15" hidden="0" customHeight="1">
      <x:c r="A1826" s="27" t="n">
        <x:v>322</x:v>
      </x:c>
      <x:c r="B1826" s="27" t="n">
        <x:v>331226</x:v>
      </x:c>
      <x:c r="C1826" s="27" t="str">
        <x:v>A3</x:v>
      </x:c>
      <x:c r="D1826" s="52" t="n">
        <x:v>2500</x:v>
      </x:c>
      <x:c r="E1826" s="46" t="n">
        <x:v>1</x:v>
      </x:c>
      <x:c r="F1826" s="46" t="n">
        <x:v>1</x:v>
      </x:c>
      <x:c r="G1826" s="46" t="n">
        <x:v>1</x:v>
      </x:c>
      <x:c r="H1826" s="46" t="n">
        <x:v>1</x:v>
      </x:c>
      <x:c r="I1826" s="46" t="n">
        <x:v>1</x:v>
      </x:c>
      <x:c r="J1826" s="46" t="n">
        <x:v>1</x:v>
      </x:c>
      <x:c r="K1826" s="46" t="n">
        <x:v>1</x:v>
      </x:c>
      <x:c r="L1826" s="46" t="n">
        <x:v>1</x:v>
      </x:c>
      <x:c r="M1826" s="27" t="n">
        <x:v>1</x:v>
      </x:c>
    </x:row>
    <x:row r="1827" ht="15" hidden="0" customHeight="1">
      <x:c r="A1827" s="29" t="n">
        <x:v>323</x:v>
      </x:c>
      <x:c r="B1827" s="29" t="n">
        <x:v>331227</x:v>
      </x:c>
      <x:c r="C1827" s="29" t="str">
        <x:v>A3</x:v>
      </x:c>
      <x:c r="D1827" s="53" t="n">
        <x:v>2500</x:v>
      </x:c>
      <x:c r="E1827" s="47" t="n">
        <x:v>1</x:v>
      </x:c>
      <x:c r="F1827" s="47" t="n">
        <x:v>1</x:v>
      </x:c>
      <x:c r="G1827" s="47" t="n">
        <x:v>1</x:v>
      </x:c>
      <x:c r="H1827" s="47" t="n">
        <x:v>1</x:v>
      </x:c>
      <x:c r="I1827" s="47" t="n">
        <x:v>1</x:v>
      </x:c>
      <x:c r="J1827" s="47" t="n">
        <x:v>1</x:v>
      </x:c>
      <x:c r="K1827" s="47" t="n">
        <x:v>1</x:v>
      </x:c>
      <x:c r="L1827" s="47" t="n">
        <x:v>1</x:v>
      </x:c>
      <x:c r="M1827" s="29" t="n">
        <x:v>1</x:v>
      </x:c>
    </x:row>
    <x:row r="1828" ht="15" hidden="0" customHeight="1">
      <x:c r="A1828" s="27" t="n">
        <x:v>324</x:v>
      </x:c>
      <x:c r="B1828" s="27" t="n">
        <x:v>331228</x:v>
      </x:c>
      <x:c r="C1828" s="27" t="str">
        <x:v>A3</x:v>
      </x:c>
      <x:c r="D1828" s="52" t="n">
        <x:v>2500</x:v>
      </x:c>
      <x:c r="E1828" s="46" t="n">
        <x:v>1</x:v>
      </x:c>
      <x:c r="F1828" s="46" t="n">
        <x:v>1</x:v>
      </x:c>
      <x:c r="G1828" s="46" t="n">
        <x:v>1</x:v>
      </x:c>
      <x:c r="H1828" s="46" t="n">
        <x:v>1</x:v>
      </x:c>
      <x:c r="I1828" s="46" t="n">
        <x:v>1</x:v>
      </x:c>
      <x:c r="J1828" s="46" t="n">
        <x:v>1</x:v>
      </x:c>
      <x:c r="K1828" s="46" t="n">
        <x:v>1</x:v>
      </x:c>
      <x:c r="L1828" s="46" t="n">
        <x:v>1</x:v>
      </x:c>
      <x:c r="M1828" s="27" t="n">
        <x:v>1</x:v>
      </x:c>
    </x:row>
    <x:row r="1829" ht="15" hidden="0" customHeight="1">
      <x:c r="A1829" s="29" t="n">
        <x:v>325</x:v>
      </x:c>
      <x:c r="B1829" s="29" t="n">
        <x:v>331229</x:v>
      </x:c>
      <x:c r="C1829" s="29" t="str">
        <x:v>A3</x:v>
      </x:c>
      <x:c r="D1829" s="53" t="n">
        <x:v>2500</x:v>
      </x:c>
      <x:c r="E1829" s="47" t="n">
        <x:v>1</x:v>
      </x:c>
      <x:c r="F1829" s="47" t="n">
        <x:v>1</x:v>
      </x:c>
      <x:c r="G1829" s="47" t="n">
        <x:v>1</x:v>
      </x:c>
      <x:c r="H1829" s="47" t="n">
        <x:v>1</x:v>
      </x:c>
      <x:c r="I1829" s="47" t="n">
        <x:v>1</x:v>
      </x:c>
      <x:c r="J1829" s="47" t="n">
        <x:v>1</x:v>
      </x:c>
      <x:c r="K1829" s="47" t="n">
        <x:v>1</x:v>
      </x:c>
      <x:c r="L1829" s="47" t="n">
        <x:v>1</x:v>
      </x:c>
      <x:c r="M1829" s="29" t="n">
        <x:v>1</x:v>
      </x:c>
    </x:row>
    <x:row r="1830" ht="15" hidden="0" customHeight="1">
      <x:c r="A1830" s="27" t="n">
        <x:v>326</x:v>
      </x:c>
      <x:c r="B1830" s="27" t="n">
        <x:v>331230</x:v>
      </x:c>
      <x:c r="C1830" s="27" t="str">
        <x:v>A3</x:v>
      </x:c>
      <x:c r="D1830" s="52" t="n">
        <x:v>2500</x:v>
      </x:c>
      <x:c r="E1830" s="46" t="n">
        <x:v>1</x:v>
      </x:c>
      <x:c r="F1830" s="46" t="n">
        <x:v>1</x:v>
      </x:c>
      <x:c r="G1830" s="46" t="n">
        <x:v>1</x:v>
      </x:c>
      <x:c r="H1830" s="46" t="n">
        <x:v>1</x:v>
      </x:c>
      <x:c r="I1830" s="46" t="n">
        <x:v>1</x:v>
      </x:c>
      <x:c r="J1830" s="46" t="n">
        <x:v>1</x:v>
      </x:c>
      <x:c r="K1830" s="46" t="n">
        <x:v>1</x:v>
      </x:c>
      <x:c r="L1830" s="46" t="n">
        <x:v>1</x:v>
      </x:c>
      <x:c r="M1830" s="27" t="n">
        <x:v>1</x:v>
      </x:c>
    </x:row>
    <x:row r="1831" ht="15" hidden="0" customHeight="1">
      <x:c r="A1831" s="29" t="n">
        <x:v>327</x:v>
      </x:c>
      <x:c r="B1831" s="29" t="n">
        <x:v>331231</x:v>
      </x:c>
      <x:c r="C1831" s="29" t="str">
        <x:v>A3</x:v>
      </x:c>
      <x:c r="D1831" s="53" t="n">
        <x:v>2500</x:v>
      </x:c>
      <x:c r="E1831" s="47" t="n">
        <x:v>1</x:v>
      </x:c>
      <x:c r="F1831" s="47" t="n">
        <x:v>1</x:v>
      </x:c>
      <x:c r="G1831" s="47" t="n">
        <x:v>1</x:v>
      </x:c>
      <x:c r="H1831" s="47" t="n">
        <x:v>1</x:v>
      </x:c>
      <x:c r="I1831" s="47" t="n">
        <x:v>1</x:v>
      </x:c>
      <x:c r="J1831" s="47" t="n">
        <x:v>1</x:v>
      </x:c>
      <x:c r="K1831" s="47" t="n">
        <x:v>1</x:v>
      </x:c>
      <x:c r="L1831" s="47" t="n">
        <x:v>1</x:v>
      </x:c>
      <x:c r="M1831" s="29" t="n">
        <x:v>1</x:v>
      </x:c>
    </x:row>
    <x:row r="1832" ht="15" hidden="0" customHeight="1">
      <x:c r="A1832" s="27" t="n">
        <x:v>328</x:v>
      </x:c>
      <x:c r="B1832" s="27" t="n">
        <x:v>331232</x:v>
      </x:c>
      <x:c r="C1832" s="27" t="str">
        <x:v>A3</x:v>
      </x:c>
      <x:c r="D1832" s="52" t="n">
        <x:v>2500</x:v>
      </x:c>
      <x:c r="E1832" s="46" t="n">
        <x:v>1</x:v>
      </x:c>
      <x:c r="F1832" s="46" t="n">
        <x:v>1</x:v>
      </x:c>
      <x:c r="G1832" s="46" t="n">
        <x:v>1</x:v>
      </x:c>
      <x:c r="H1832" s="46" t="n">
        <x:v>1</x:v>
      </x:c>
      <x:c r="I1832" s="46" t="n">
        <x:v>1</x:v>
      </x:c>
      <x:c r="J1832" s="46" t="n">
        <x:v>1</x:v>
      </x:c>
      <x:c r="K1832" s="46" t="n">
        <x:v>1</x:v>
      </x:c>
      <x:c r="L1832" s="46" t="n">
        <x:v>1</x:v>
      </x:c>
      <x:c r="M1832" s="27" t="n">
        <x:v>1</x:v>
      </x:c>
    </x:row>
    <x:row r="1833" ht="15" hidden="0" customHeight="1">
      <x:c r="A1833" s="29" t="n">
        <x:v>329</x:v>
      </x:c>
      <x:c r="B1833" s="29" t="n">
        <x:v>331233</x:v>
      </x:c>
      <x:c r="C1833" s="29" t="str">
        <x:v>A3</x:v>
      </x:c>
      <x:c r="D1833" s="53" t="n">
        <x:v>2500</x:v>
      </x:c>
      <x:c r="E1833" s="47" t="n">
        <x:v>1</x:v>
      </x:c>
      <x:c r="F1833" s="47" t="n">
        <x:v>1</x:v>
      </x:c>
      <x:c r="G1833" s="47" t="n">
        <x:v>1</x:v>
      </x:c>
      <x:c r="H1833" s="47" t="n">
        <x:v>1</x:v>
      </x:c>
      <x:c r="I1833" s="47" t="n">
        <x:v>1</x:v>
      </x:c>
      <x:c r="J1833" s="47" t="n">
        <x:v>1</x:v>
      </x:c>
      <x:c r="K1833" s="47" t="n">
        <x:v>1</x:v>
      </x:c>
      <x:c r="L1833" s="47" t="n">
        <x:v>1</x:v>
      </x:c>
      <x:c r="M1833" s="29" t="n">
        <x:v>1</x:v>
      </x:c>
    </x:row>
    <x:row r="1834" ht="15" hidden="0" customHeight="1">
      <x:c r="A1834" s="27" t="n">
        <x:v>330</x:v>
      </x:c>
      <x:c r="B1834" s="27" t="n">
        <x:v>331234</x:v>
      </x:c>
      <x:c r="C1834" s="27" t="str">
        <x:v>A3</x:v>
      </x:c>
      <x:c r="D1834" s="52" t="n">
        <x:v>2500</x:v>
      </x:c>
      <x:c r="E1834" s="46" t="n">
        <x:v>1</x:v>
      </x:c>
      <x:c r="F1834" s="46" t="n">
        <x:v>1</x:v>
      </x:c>
      <x:c r="G1834" s="46" t="n">
        <x:v>1</x:v>
      </x:c>
      <x:c r="H1834" s="46" t="n">
        <x:v>1</x:v>
      </x:c>
      <x:c r="I1834" s="46" t="n">
        <x:v>1</x:v>
      </x:c>
      <x:c r="J1834" s="46" t="n">
        <x:v>1</x:v>
      </x:c>
      <x:c r="K1834" s="46" t="n">
        <x:v>1</x:v>
      </x:c>
      <x:c r="L1834" s="46" t="n">
        <x:v>1</x:v>
      </x:c>
      <x:c r="M1834" s="27" t="n">
        <x:v>1</x:v>
      </x:c>
    </x:row>
    <x:row r="1835" ht="15" hidden="0" customHeight="1">
      <x:c r="A1835" s="29" t="n">
        <x:v>331</x:v>
      </x:c>
      <x:c r="B1835" s="29" t="n">
        <x:v>331235</x:v>
      </x:c>
      <x:c r="C1835" s="29" t="str">
        <x:v>A3</x:v>
      </x:c>
      <x:c r="D1835" s="53" t="n">
        <x:v>2500</x:v>
      </x:c>
      <x:c r="E1835" s="47" t="n">
        <x:v>1</x:v>
      </x:c>
      <x:c r="F1835" s="47" t="n">
        <x:v>1</x:v>
      </x:c>
      <x:c r="G1835" s="47" t="n">
        <x:v>1</x:v>
      </x:c>
      <x:c r="H1835" s="47" t="n">
        <x:v>1</x:v>
      </x:c>
      <x:c r="I1835" s="47" t="n">
        <x:v>1</x:v>
      </x:c>
      <x:c r="J1835" s="47" t="n">
        <x:v>1</x:v>
      </x:c>
      <x:c r="K1835" s="47" t="n">
        <x:v>1</x:v>
      </x:c>
      <x:c r="L1835" s="47" t="n">
        <x:v>1</x:v>
      </x:c>
      <x:c r="M1835" s="29" t="n">
        <x:v>1</x:v>
      </x:c>
    </x:row>
    <x:row r="1836" ht="15" hidden="0" customHeight="1">
      <x:c r="A1836" s="27" t="n">
        <x:v>332</x:v>
      </x:c>
      <x:c r="B1836" s="27" t="n">
        <x:v>331236</x:v>
      </x:c>
      <x:c r="C1836" s="27" t="str">
        <x:v>A3</x:v>
      </x:c>
      <x:c r="D1836" s="52" t="n">
        <x:v>2500</x:v>
      </x:c>
      <x:c r="E1836" s="46" t="n">
        <x:v>1</x:v>
      </x:c>
      <x:c r="F1836" s="46" t="n">
        <x:v>1</x:v>
      </x:c>
      <x:c r="G1836" s="46" t="n">
        <x:v>1</x:v>
      </x:c>
      <x:c r="H1836" s="46" t="n">
        <x:v>1</x:v>
      </x:c>
      <x:c r="I1836" s="46" t="n">
        <x:v>1</x:v>
      </x:c>
      <x:c r="J1836" s="46" t="n">
        <x:v>1</x:v>
      </x:c>
      <x:c r="K1836" s="46" t="n">
        <x:v>1</x:v>
      </x:c>
      <x:c r="L1836" s="46" t="n">
        <x:v>1</x:v>
      </x:c>
      <x:c r="M1836" s="27" t="n">
        <x:v>1</x:v>
      </x:c>
    </x:row>
    <x:row r="1837" ht="15" hidden="0" customHeight="1">
      <x:c r="A1837" s="29" t="n">
        <x:v>333</x:v>
      </x:c>
      <x:c r="B1837" s="29" t="n">
        <x:v>331237</x:v>
      </x:c>
      <x:c r="C1837" s="29" t="str">
        <x:v>A3</x:v>
      </x:c>
      <x:c r="D1837" s="53" t="n">
        <x:v>2500</x:v>
      </x:c>
      <x:c r="E1837" s="47" t="n">
        <x:v>1</x:v>
      </x:c>
      <x:c r="F1837" s="47" t="n">
        <x:v>1</x:v>
      </x:c>
      <x:c r="G1837" s="47" t="n">
        <x:v>1</x:v>
      </x:c>
      <x:c r="H1837" s="47" t="n">
        <x:v>1</x:v>
      </x:c>
      <x:c r="I1837" s="47" t="n">
        <x:v>1</x:v>
      </x:c>
      <x:c r="J1837" s="47" t="n">
        <x:v>1</x:v>
      </x:c>
      <x:c r="K1837" s="47" t="n">
        <x:v>1</x:v>
      </x:c>
      <x:c r="L1837" s="47" t="n">
        <x:v>1</x:v>
      </x:c>
      <x:c r="M1837" s="29" t="n">
        <x:v>1</x:v>
      </x:c>
    </x:row>
    <x:row r="1838" ht="15" hidden="0" customHeight="1">
      <x:c r="A1838" s="27" t="n">
        <x:v>334</x:v>
      </x:c>
      <x:c r="B1838" s="27" t="n">
        <x:v>331238</x:v>
      </x:c>
      <x:c r="C1838" s="27" t="str">
        <x:v>A3</x:v>
      </x:c>
      <x:c r="D1838" s="52" t="n">
        <x:v>2500</x:v>
      </x:c>
      <x:c r="E1838" s="46" t="n">
        <x:v>1</x:v>
      </x:c>
      <x:c r="F1838" s="46" t="n">
        <x:v>1</x:v>
      </x:c>
      <x:c r="G1838" s="46" t="n">
        <x:v>1</x:v>
      </x:c>
      <x:c r="H1838" s="46" t="n">
        <x:v>1</x:v>
      </x:c>
      <x:c r="I1838" s="46" t="n">
        <x:v>1</x:v>
      </x:c>
      <x:c r="J1838" s="46" t="n">
        <x:v>1</x:v>
      </x:c>
      <x:c r="K1838" s="46" t="n">
        <x:v>1</x:v>
      </x:c>
      <x:c r="L1838" s="46" t="n">
        <x:v>1</x:v>
      </x:c>
      <x:c r="M1838" s="27" t="n">
        <x:v>1</x:v>
      </x:c>
    </x:row>
    <x:row r="1839" ht="15" hidden="0" customHeight="1">
      <x:c r="A1839" s="29" t="n">
        <x:v>335</x:v>
      </x:c>
      <x:c r="B1839" s="29" t="n">
        <x:v>331239</x:v>
      </x:c>
      <x:c r="C1839" s="29" t="str">
        <x:v>A3</x:v>
      </x:c>
      <x:c r="D1839" s="53" t="n">
        <x:v>2500</x:v>
      </x:c>
      <x:c r="E1839" s="47" t="n">
        <x:v>1</x:v>
      </x:c>
      <x:c r="F1839" s="47" t="n">
        <x:v>1</x:v>
      </x:c>
      <x:c r="G1839" s="47" t="n">
        <x:v>1</x:v>
      </x:c>
      <x:c r="H1839" s="47" t="n">
        <x:v>1</x:v>
      </x:c>
      <x:c r="I1839" s="47" t="n">
        <x:v>1</x:v>
      </x:c>
      <x:c r="J1839" s="47" t="n">
        <x:v>1</x:v>
      </x:c>
      <x:c r="K1839" s="47" t="n">
        <x:v>1</x:v>
      </x:c>
      <x:c r="L1839" s="47" t="n">
        <x:v>1</x:v>
      </x:c>
      <x:c r="M1839" s="29" t="n">
        <x:v>1</x:v>
      </x:c>
    </x:row>
    <x:row r="1840" ht="15" hidden="0" customHeight="1">
      <x:c r="A1840" s="27" t="n">
        <x:v>336</x:v>
      </x:c>
      <x:c r="B1840" s="27" t="n">
        <x:v>331240</x:v>
      </x:c>
      <x:c r="C1840" s="27" t="str">
        <x:v>A3</x:v>
      </x:c>
      <x:c r="D1840" s="52" t="n">
        <x:v>2500</x:v>
      </x:c>
      <x:c r="E1840" s="46" t="n">
        <x:v>1</x:v>
      </x:c>
      <x:c r="F1840" s="46" t="n">
        <x:v>1</x:v>
      </x:c>
      <x:c r="G1840" s="46" t="n">
        <x:v>1</x:v>
      </x:c>
      <x:c r="H1840" s="46" t="n">
        <x:v>1</x:v>
      </x:c>
      <x:c r="I1840" s="46" t="n">
        <x:v>1</x:v>
      </x:c>
      <x:c r="J1840" s="46" t="n">
        <x:v>1</x:v>
      </x:c>
      <x:c r="K1840" s="46" t="n">
        <x:v>1</x:v>
      </x:c>
      <x:c r="L1840" s="46" t="n">
        <x:v>1</x:v>
      </x:c>
      <x:c r="M1840" s="27" t="n">
        <x:v>1</x:v>
      </x:c>
    </x:row>
    <x:row r="1841" ht="15" hidden="0" customHeight="1">
      <x:c r="A1841" s="29" t="n">
        <x:v>337</x:v>
      </x:c>
      <x:c r="B1841" s="29" t="n">
        <x:v>331241</x:v>
      </x:c>
      <x:c r="C1841" s="29" t="str">
        <x:v>A3</x:v>
      </x:c>
      <x:c r="D1841" s="53" t="n">
        <x:v>2500</x:v>
      </x:c>
      <x:c r="E1841" s="47" t="n">
        <x:v>1</x:v>
      </x:c>
      <x:c r="F1841" s="47" t="n">
        <x:v>1</x:v>
      </x:c>
      <x:c r="G1841" s="47" t="n">
        <x:v>1</x:v>
      </x:c>
      <x:c r="H1841" s="47" t="n">
        <x:v>1</x:v>
      </x:c>
      <x:c r="I1841" s="47" t="n">
        <x:v>1</x:v>
      </x:c>
      <x:c r="J1841" s="47" t="n">
        <x:v>1</x:v>
      </x:c>
      <x:c r="K1841" s="47" t="n">
        <x:v>1</x:v>
      </x:c>
      <x:c r="L1841" s="47" t="n">
        <x:v>1</x:v>
      </x:c>
      <x:c r="M1841" s="29" t="n">
        <x:v>1</x:v>
      </x:c>
    </x:row>
    <x:row r="1842" ht="15" hidden="0" customHeight="1">
      <x:c r="A1842" s="27" t="n">
        <x:v>338</x:v>
      </x:c>
      <x:c r="B1842" s="27" t="n">
        <x:v>331242</x:v>
      </x:c>
      <x:c r="C1842" s="27" t="str">
        <x:v>A3</x:v>
      </x:c>
      <x:c r="D1842" s="52" t="n">
        <x:v>2500</x:v>
      </x:c>
      <x:c r="E1842" s="46" t="n">
        <x:v>1</x:v>
      </x:c>
      <x:c r="F1842" s="46" t="n">
        <x:v>1</x:v>
      </x:c>
      <x:c r="G1842" s="46" t="n">
        <x:v>1</x:v>
      </x:c>
      <x:c r="H1842" s="46" t="n">
        <x:v>1</x:v>
      </x:c>
      <x:c r="I1842" s="46" t="n">
        <x:v>1</x:v>
      </x:c>
      <x:c r="J1842" s="46" t="n">
        <x:v>1</x:v>
      </x:c>
      <x:c r="K1842" s="46" t="n">
        <x:v>1</x:v>
      </x:c>
      <x:c r="L1842" s="46" t="n">
        <x:v>1</x:v>
      </x:c>
      <x:c r="M1842" s="27" t="n">
        <x:v>1</x:v>
      </x:c>
    </x:row>
    <x:row r="1843" ht="15" hidden="0" customHeight="1">
      <x:c r="A1843" s="29" t="n">
        <x:v>339</x:v>
      </x:c>
      <x:c r="B1843" s="29" t="n">
        <x:v>331243</x:v>
      </x:c>
      <x:c r="C1843" s="29" t="str">
        <x:v>A3</x:v>
      </x:c>
      <x:c r="D1843" s="53" t="n">
        <x:v>2500</x:v>
      </x:c>
      <x:c r="E1843" s="47" t="n">
        <x:v>1</x:v>
      </x:c>
      <x:c r="F1843" s="47" t="n">
        <x:v>1</x:v>
      </x:c>
      <x:c r="G1843" s="47" t="n">
        <x:v>1</x:v>
      </x:c>
      <x:c r="H1843" s="47" t="n">
        <x:v>1</x:v>
      </x:c>
      <x:c r="I1843" s="47" t="n">
        <x:v>1</x:v>
      </x:c>
      <x:c r="J1843" s="47" t="n">
        <x:v>1</x:v>
      </x:c>
      <x:c r="K1843" s="47" t="n">
        <x:v>1</x:v>
      </x:c>
      <x:c r="L1843" s="47" t="n">
        <x:v>1</x:v>
      </x:c>
      <x:c r="M1843" s="29" t="n">
        <x:v>1</x:v>
      </x:c>
    </x:row>
    <x:row r="1844" ht="15" hidden="0" customHeight="1">
      <x:c r="A1844" s="27" t="n">
        <x:v>340</x:v>
      </x:c>
      <x:c r="B1844" s="27" t="n">
        <x:v>331244</x:v>
      </x:c>
      <x:c r="C1844" s="27" t="str">
        <x:v>A3</x:v>
      </x:c>
      <x:c r="D1844" s="52" t="n">
        <x:v>2500</x:v>
      </x:c>
      <x:c r="E1844" s="46" t="n">
        <x:v>1</x:v>
      </x:c>
      <x:c r="F1844" s="46" t="n">
        <x:v>1</x:v>
      </x:c>
      <x:c r="G1844" s="46" t="n">
        <x:v>1</x:v>
      </x:c>
      <x:c r="H1844" s="46" t="n">
        <x:v>1</x:v>
      </x:c>
      <x:c r="I1844" s="46" t="n">
        <x:v>1</x:v>
      </x:c>
      <x:c r="J1844" s="46" t="n">
        <x:v>1</x:v>
      </x:c>
      <x:c r="K1844" s="46" t="n">
        <x:v>1</x:v>
      </x:c>
      <x:c r="L1844" s="46" t="n">
        <x:v>1</x:v>
      </x:c>
      <x:c r="M1844" s="27" t="n">
        <x:v>1</x:v>
      </x:c>
    </x:row>
    <x:row r="1845" ht="15" hidden="0" customHeight="1">
      <x:c r="A1845" s="29" t="n">
        <x:v>341</x:v>
      </x:c>
      <x:c r="B1845" s="29" t="n">
        <x:v>331245</x:v>
      </x:c>
      <x:c r="C1845" s="29" t="str">
        <x:v>A3</x:v>
      </x:c>
      <x:c r="D1845" s="53" t="n">
        <x:v>2500</x:v>
      </x:c>
      <x:c r="E1845" s="47" t="n">
        <x:v>1</x:v>
      </x:c>
      <x:c r="F1845" s="47" t="n">
        <x:v>1</x:v>
      </x:c>
      <x:c r="G1845" s="47" t="n">
        <x:v>1</x:v>
      </x:c>
      <x:c r="H1845" s="47" t="n">
        <x:v>1</x:v>
      </x:c>
      <x:c r="I1845" s="47" t="n">
        <x:v>1</x:v>
      </x:c>
      <x:c r="J1845" s="47" t="n">
        <x:v>1</x:v>
      </x:c>
      <x:c r="K1845" s="47" t="n">
        <x:v>1</x:v>
      </x:c>
      <x:c r="L1845" s="47" t="n">
        <x:v>1</x:v>
      </x:c>
      <x:c r="M1845" s="29" t="n">
        <x:v>1</x:v>
      </x:c>
    </x:row>
    <x:row r="1846" ht="15" hidden="0" customHeight="1">
      <x:c r="A1846" s="27" t="n">
        <x:v>342</x:v>
      </x:c>
      <x:c r="B1846" s="27" t="n">
        <x:v>331246</x:v>
      </x:c>
      <x:c r="C1846" s="27" t="str">
        <x:v>A3</x:v>
      </x:c>
      <x:c r="D1846" s="52" t="n">
        <x:v>2500</x:v>
      </x:c>
      <x:c r="E1846" s="46" t="n">
        <x:v>1</x:v>
      </x:c>
      <x:c r="F1846" s="46" t="n">
        <x:v>1</x:v>
      </x:c>
      <x:c r="G1846" s="46" t="n">
        <x:v>1</x:v>
      </x:c>
      <x:c r="H1846" s="46" t="n">
        <x:v>1</x:v>
      </x:c>
      <x:c r="I1846" s="46" t="n">
        <x:v>1</x:v>
      </x:c>
      <x:c r="J1846" s="46" t="n">
        <x:v>1</x:v>
      </x:c>
      <x:c r="K1846" s="46" t="n">
        <x:v>1</x:v>
      </x:c>
      <x:c r="L1846" s="46" t="n">
        <x:v>1</x:v>
      </x:c>
      <x:c r="M1846" s="27" t="n">
        <x:v>1</x:v>
      </x:c>
    </x:row>
    <x:row r="1847" ht="15" hidden="0" customHeight="1">
      <x:c r="A1847" s="29" t="n">
        <x:v>343</x:v>
      </x:c>
      <x:c r="B1847" s="29" t="n">
        <x:v>331247</x:v>
      </x:c>
      <x:c r="C1847" s="29" t="str">
        <x:v>A3</x:v>
      </x:c>
      <x:c r="D1847" s="53" t="n">
        <x:v>2500</x:v>
      </x:c>
      <x:c r="E1847" s="47" t="n">
        <x:v>1</x:v>
      </x:c>
      <x:c r="F1847" s="47" t="n">
        <x:v>1</x:v>
      </x:c>
      <x:c r="G1847" s="47" t="n">
        <x:v>1</x:v>
      </x:c>
      <x:c r="H1847" s="47" t="n">
        <x:v>1</x:v>
      </x:c>
      <x:c r="I1847" s="47" t="n">
        <x:v>1</x:v>
      </x:c>
      <x:c r="J1847" s="47" t="n">
        <x:v>1</x:v>
      </x:c>
      <x:c r="K1847" s="47" t="n">
        <x:v>1</x:v>
      </x:c>
      <x:c r="L1847" s="47" t="n">
        <x:v>1</x:v>
      </x:c>
      <x:c r="M1847" s="29" t="n">
        <x:v>1</x:v>
      </x:c>
    </x:row>
    <x:row r="1848" ht="15" hidden="0" customHeight="1">
      <x:c r="A1848" s="27" t="n">
        <x:v>344</x:v>
      </x:c>
      <x:c r="B1848" s="27" t="n">
        <x:v>331248</x:v>
      </x:c>
      <x:c r="C1848" s="27" t="str">
        <x:v>A3</x:v>
      </x:c>
      <x:c r="D1848" s="52" t="n">
        <x:v>2500</x:v>
      </x:c>
      <x:c r="E1848" s="46" t="n">
        <x:v>1</x:v>
      </x:c>
      <x:c r="F1848" s="46" t="n">
        <x:v>1</x:v>
      </x:c>
      <x:c r="G1848" s="46" t="n">
        <x:v>1</x:v>
      </x:c>
      <x:c r="H1848" s="46" t="n">
        <x:v>1</x:v>
      </x:c>
      <x:c r="I1848" s="46" t="n">
        <x:v>1</x:v>
      </x:c>
      <x:c r="J1848" s="46" t="n">
        <x:v>1</x:v>
      </x:c>
      <x:c r="K1848" s="46" t="n">
        <x:v>1</x:v>
      </x:c>
      <x:c r="L1848" s="46" t="n">
        <x:v>1</x:v>
      </x:c>
      <x:c r="M1848" s="27" t="n">
        <x:v>1</x:v>
      </x:c>
    </x:row>
    <x:row r="1849" ht="15" hidden="0" customHeight="1">
      <x:c r="A1849" s="29" t="n">
        <x:v>345</x:v>
      </x:c>
      <x:c r="B1849" s="29" t="n">
        <x:v>331249</x:v>
      </x:c>
      <x:c r="C1849" s="29" t="str">
        <x:v>A3</x:v>
      </x:c>
      <x:c r="D1849" s="53" t="n">
        <x:v>2500</x:v>
      </x:c>
      <x:c r="E1849" s="47" t="n">
        <x:v>1</x:v>
      </x:c>
      <x:c r="F1849" s="47" t="n">
        <x:v>1</x:v>
      </x:c>
      <x:c r="G1849" s="47" t="n">
        <x:v>1</x:v>
      </x:c>
      <x:c r="H1849" s="47" t="n">
        <x:v>1</x:v>
      </x:c>
      <x:c r="I1849" s="47" t="n">
        <x:v>1</x:v>
      </x:c>
      <x:c r="J1849" s="47" t="n">
        <x:v>1</x:v>
      </x:c>
      <x:c r="K1849" s="47" t="n">
        <x:v>1</x:v>
      </x:c>
      <x:c r="L1849" s="47" t="n">
        <x:v>1</x:v>
      </x:c>
      <x:c r="M1849" s="29" t="n">
        <x:v>1</x:v>
      </x:c>
    </x:row>
    <x:row r="1850" ht="15" hidden="0" customHeight="1">
      <x:c r="A1850" s="27" t="n">
        <x:v>346</x:v>
      </x:c>
      <x:c r="B1850" s="27" t="n">
        <x:v>331250</x:v>
      </x:c>
      <x:c r="C1850" s="27" t="str">
        <x:v>A3</x:v>
      </x:c>
      <x:c r="D1850" s="52" t="n">
        <x:v>2500</x:v>
      </x:c>
      <x:c r="E1850" s="46" t="n">
        <x:v>1</x:v>
      </x:c>
      <x:c r="F1850" s="46" t="n">
        <x:v>1</x:v>
      </x:c>
      <x:c r="G1850" s="46" t="n">
        <x:v>1</x:v>
      </x:c>
      <x:c r="H1850" s="46" t="n">
        <x:v>1</x:v>
      </x:c>
      <x:c r="I1850" s="46" t="n">
        <x:v>1</x:v>
      </x:c>
      <x:c r="J1850" s="46" t="n">
        <x:v>1</x:v>
      </x:c>
      <x:c r="K1850" s="46" t="n">
        <x:v>1</x:v>
      </x:c>
      <x:c r="L1850" s="46" t="n">
        <x:v>1</x:v>
      </x:c>
      <x:c r="M1850" s="27" t="n">
        <x:v>1</x:v>
      </x:c>
    </x:row>
    <x:row r="1851" ht="15" hidden="0" customHeight="1">
      <x:c r="A1851" s="29" t="n">
        <x:v>347</x:v>
      </x:c>
      <x:c r="B1851" s="29" t="n">
        <x:v>331251</x:v>
      </x:c>
      <x:c r="C1851" s="29" t="str">
        <x:v>A3</x:v>
      </x:c>
      <x:c r="D1851" s="53" t="n">
        <x:v>2500</x:v>
      </x:c>
      <x:c r="E1851" s="47" t="n">
        <x:v>1</x:v>
      </x:c>
      <x:c r="F1851" s="47" t="n">
        <x:v>1</x:v>
      </x:c>
      <x:c r="G1851" s="47" t="n">
        <x:v>1</x:v>
      </x:c>
      <x:c r="H1851" s="47" t="n">
        <x:v>1</x:v>
      </x:c>
      <x:c r="I1851" s="47" t="n">
        <x:v>1</x:v>
      </x:c>
      <x:c r="J1851" s="47" t="n">
        <x:v>1</x:v>
      </x:c>
      <x:c r="K1851" s="47" t="n">
        <x:v>1</x:v>
      </x:c>
      <x:c r="L1851" s="47" t="n">
        <x:v>1</x:v>
      </x:c>
      <x:c r="M1851" s="29" t="n">
        <x:v>1</x:v>
      </x:c>
    </x:row>
    <x:row r="1852" ht="15" hidden="0" customHeight="1">
      <x:c r="A1852" s="27" t="n">
        <x:v>348</x:v>
      </x:c>
      <x:c r="B1852" s="27" t="n">
        <x:v>331252</x:v>
      </x:c>
      <x:c r="C1852" s="27" t="str">
        <x:v>A3</x:v>
      </x:c>
      <x:c r="D1852" s="52" t="n">
        <x:v>2500</x:v>
      </x:c>
      <x:c r="E1852" s="46" t="n">
        <x:v>1</x:v>
      </x:c>
      <x:c r="F1852" s="46" t="n">
        <x:v>1</x:v>
      </x:c>
      <x:c r="G1852" s="46" t="n">
        <x:v>1</x:v>
      </x:c>
      <x:c r="H1852" s="46" t="n">
        <x:v>1</x:v>
      </x:c>
      <x:c r="I1852" s="46" t="n">
        <x:v>1</x:v>
      </x:c>
      <x:c r="J1852" s="46" t="n">
        <x:v>1</x:v>
      </x:c>
      <x:c r="K1852" s="46" t="n">
        <x:v>1</x:v>
      </x:c>
      <x:c r="L1852" s="46" t="n">
        <x:v>1</x:v>
      </x:c>
      <x:c r="M1852" s="27" t="n">
        <x:v>1</x:v>
      </x:c>
    </x:row>
    <x:row r="1853" ht="15" hidden="0" customHeight="1">
      <x:c r="A1853" s="29" t="n">
        <x:v>349</x:v>
      </x:c>
      <x:c r="B1853" s="29" t="n">
        <x:v>331253</x:v>
      </x:c>
      <x:c r="C1853" s="29" t="str">
        <x:v>A3</x:v>
      </x:c>
      <x:c r="D1853" s="53" t="n">
        <x:v>2500</x:v>
      </x:c>
      <x:c r="E1853" s="47" t="n">
        <x:v>1</x:v>
      </x:c>
      <x:c r="F1853" s="47" t="n">
        <x:v>1</x:v>
      </x:c>
      <x:c r="G1853" s="47" t="n">
        <x:v>1</x:v>
      </x:c>
      <x:c r="H1853" s="47" t="n">
        <x:v>1</x:v>
      </x:c>
      <x:c r="I1853" s="47" t="n">
        <x:v>1</x:v>
      </x:c>
      <x:c r="J1853" s="47" t="n">
        <x:v>1</x:v>
      </x:c>
      <x:c r="K1853" s="47" t="n">
        <x:v>1</x:v>
      </x:c>
      <x:c r="L1853" s="47" t="n">
        <x:v>1</x:v>
      </x:c>
      <x:c r="M1853" s="29" t="n">
        <x:v>1</x:v>
      </x:c>
    </x:row>
    <x:row r="1854" ht="15" hidden="0" customHeight="1">
      <x:c r="A1854" s="27" t="n">
        <x:v>350</x:v>
      </x:c>
      <x:c r="B1854" s="27" t="n">
        <x:v>331254</x:v>
      </x:c>
      <x:c r="C1854" s="27" t="str">
        <x:v>A3</x:v>
      </x:c>
      <x:c r="D1854" s="52" t="n">
        <x:v>2500</x:v>
      </x:c>
      <x:c r="E1854" s="46" t="n">
        <x:v>1</x:v>
      </x:c>
      <x:c r="F1854" s="46" t="n">
        <x:v>1</x:v>
      </x:c>
      <x:c r="G1854" s="46" t="n">
        <x:v>1</x:v>
      </x:c>
      <x:c r="H1854" s="46" t="n">
        <x:v>1</x:v>
      </x:c>
      <x:c r="I1854" s="46" t="n">
        <x:v>1</x:v>
      </x:c>
      <x:c r="J1854" s="46" t="n">
        <x:v>1</x:v>
      </x:c>
      <x:c r="K1854" s="46" t="n">
        <x:v>1</x:v>
      </x:c>
      <x:c r="L1854" s="46" t="n">
        <x:v>1</x:v>
      </x:c>
      <x:c r="M1854" s="27" t="n">
        <x:v>1</x:v>
      </x:c>
    </x:row>
    <x:row r="1855" ht="15" hidden="0" customHeight="1">
      <x:c r="A1855" s="29" t="n">
        <x:v>351</x:v>
      </x:c>
      <x:c r="B1855" s="29" t="n">
        <x:v>331255</x:v>
      </x:c>
      <x:c r="C1855" s="29" t="str">
        <x:v>A3</x:v>
      </x:c>
      <x:c r="D1855" s="53" t="n">
        <x:v>2500</x:v>
      </x:c>
      <x:c r="E1855" s="47" t="n">
        <x:v>1</x:v>
      </x:c>
      <x:c r="F1855" s="47" t="n">
        <x:v>1</x:v>
      </x:c>
      <x:c r="G1855" s="47" t="n">
        <x:v>1</x:v>
      </x:c>
      <x:c r="H1855" s="47" t="n">
        <x:v>1</x:v>
      </x:c>
      <x:c r="I1855" s="47" t="n">
        <x:v>1</x:v>
      </x:c>
      <x:c r="J1855" s="47" t="n">
        <x:v>1</x:v>
      </x:c>
      <x:c r="K1855" s="47" t="n">
        <x:v>1</x:v>
      </x:c>
      <x:c r="L1855" s="47" t="n">
        <x:v>1</x:v>
      </x:c>
      <x:c r="M1855" s="29" t="n">
        <x:v>1</x:v>
      </x:c>
    </x:row>
    <x:row r="1856" ht="15" hidden="0" customHeight="1">
      <x:c r="A1856" s="27" t="n">
        <x:v>352</x:v>
      </x:c>
      <x:c r="B1856" s="27" t="n">
        <x:v>331256</x:v>
      </x:c>
      <x:c r="C1856" s="27" t="str">
        <x:v>A3</x:v>
      </x:c>
      <x:c r="D1856" s="52" t="n">
        <x:v>2500</x:v>
      </x:c>
      <x:c r="E1856" s="46" t="n">
        <x:v>1</x:v>
      </x:c>
      <x:c r="F1856" s="46" t="n">
        <x:v>1</x:v>
      </x:c>
      <x:c r="G1856" s="46" t="n">
        <x:v>1</x:v>
      </x:c>
      <x:c r="H1856" s="46" t="n">
        <x:v>1</x:v>
      </x:c>
      <x:c r="I1856" s="46" t="n">
        <x:v>1</x:v>
      </x:c>
      <x:c r="J1856" s="46" t="n">
        <x:v>1</x:v>
      </x:c>
      <x:c r="K1856" s="46" t="n">
        <x:v>1</x:v>
      </x:c>
      <x:c r="L1856" s="46" t="n">
        <x:v>1</x:v>
      </x:c>
      <x:c r="M1856" s="27" t="n">
        <x:v>1</x:v>
      </x:c>
    </x:row>
    <x:row r="1857" ht="15" hidden="0" customHeight="1">
      <x:c r="A1857" s="29" t="n">
        <x:v>353</x:v>
      </x:c>
      <x:c r="B1857" s="29" t="n">
        <x:v>331257</x:v>
      </x:c>
      <x:c r="C1857" s="29" t="str">
        <x:v>A3</x:v>
      </x:c>
      <x:c r="D1857" s="53" t="n">
        <x:v>2500</x:v>
      </x:c>
      <x:c r="E1857" s="47" t="n">
        <x:v>1</x:v>
      </x:c>
      <x:c r="F1857" s="47" t="n">
        <x:v>1</x:v>
      </x:c>
      <x:c r="G1857" s="47" t="n">
        <x:v>1</x:v>
      </x:c>
      <x:c r="H1857" s="47" t="n">
        <x:v>1</x:v>
      </x:c>
      <x:c r="I1857" s="47" t="n">
        <x:v>1</x:v>
      </x:c>
      <x:c r="J1857" s="47" t="n">
        <x:v>1</x:v>
      </x:c>
      <x:c r="K1857" s="47" t="n">
        <x:v>1</x:v>
      </x:c>
      <x:c r="L1857" s="47" t="n">
        <x:v>1</x:v>
      </x:c>
      <x:c r="M1857" s="29" t="n">
        <x:v>1</x:v>
      </x:c>
    </x:row>
    <x:row r="1858" ht="15" hidden="0" customHeight="1">
      <x:c r="A1858" s="27" t="n">
        <x:v>354</x:v>
      </x:c>
      <x:c r="B1858" s="27" t="n">
        <x:v>331258</x:v>
      </x:c>
      <x:c r="C1858" s="27" t="str">
        <x:v>A3</x:v>
      </x:c>
      <x:c r="D1858" s="52" t="n">
        <x:v>2500</x:v>
      </x:c>
      <x:c r="E1858" s="46" t="n">
        <x:v>1</x:v>
      </x:c>
      <x:c r="F1858" s="46" t="n">
        <x:v>1</x:v>
      </x:c>
      <x:c r="G1858" s="46" t="n">
        <x:v>1</x:v>
      </x:c>
      <x:c r="H1858" s="46" t="n">
        <x:v>1</x:v>
      </x:c>
      <x:c r="I1858" s="46" t="n">
        <x:v>1</x:v>
      </x:c>
      <x:c r="J1858" s="46" t="n">
        <x:v>1</x:v>
      </x:c>
      <x:c r="K1858" s="46" t="n">
        <x:v>1</x:v>
      </x:c>
      <x:c r="L1858" s="46" t="n">
        <x:v>1</x:v>
      </x:c>
      <x:c r="M1858" s="27" t="n">
        <x:v>1</x:v>
      </x:c>
    </x:row>
    <x:row r="1859" ht="15" hidden="0" customHeight="1">
      <x:c r="A1859" s="29" t="n">
        <x:v>355</x:v>
      </x:c>
      <x:c r="B1859" s="29" t="n">
        <x:v>331259</x:v>
      </x:c>
      <x:c r="C1859" s="29" t="str">
        <x:v>A3</x:v>
      </x:c>
      <x:c r="D1859" s="53" t="n">
        <x:v>2500</x:v>
      </x:c>
      <x:c r="E1859" s="47" t="n">
        <x:v>1</x:v>
      </x:c>
      <x:c r="F1859" s="47" t="n">
        <x:v>1</x:v>
      </x:c>
      <x:c r="G1859" s="47" t="n">
        <x:v>1</x:v>
      </x:c>
      <x:c r="H1859" s="47" t="n">
        <x:v>1</x:v>
      </x:c>
      <x:c r="I1859" s="47" t="n">
        <x:v>1</x:v>
      </x:c>
      <x:c r="J1859" s="47" t="n">
        <x:v>1</x:v>
      </x:c>
      <x:c r="K1859" s="47" t="n">
        <x:v>1</x:v>
      </x:c>
      <x:c r="L1859" s="47" t="n">
        <x:v>1</x:v>
      </x:c>
      <x:c r="M1859" s="29" t="n">
        <x:v>1</x:v>
      </x:c>
    </x:row>
    <x:row r="1860" ht="15" hidden="0" customHeight="1">
      <x:c r="A1860" s="27" t="n">
        <x:v>356</x:v>
      </x:c>
      <x:c r="B1860" s="27" t="n">
        <x:v>331260</x:v>
      </x:c>
      <x:c r="C1860" s="27" t="str">
        <x:v>A3</x:v>
      </x:c>
      <x:c r="D1860" s="52" t="n">
        <x:v>2500</x:v>
      </x:c>
      <x:c r="E1860" s="46" t="n">
        <x:v>1</x:v>
      </x:c>
      <x:c r="F1860" s="46" t="n">
        <x:v>1</x:v>
      </x:c>
      <x:c r="G1860" s="46" t="n">
        <x:v>1</x:v>
      </x:c>
      <x:c r="H1860" s="46" t="n">
        <x:v>1</x:v>
      </x:c>
      <x:c r="I1860" s="46" t="n">
        <x:v>1</x:v>
      </x:c>
      <x:c r="J1860" s="46" t="n">
        <x:v>1</x:v>
      </x:c>
      <x:c r="K1860" s="46" t="n">
        <x:v>1</x:v>
      </x:c>
      <x:c r="L1860" s="46" t="n">
        <x:v>1</x:v>
      </x:c>
      <x:c r="M1860" s="27" t="n">
        <x:v>1</x:v>
      </x:c>
    </x:row>
    <x:row r="1861" ht="15" hidden="0" customHeight="1">
      <x:c r="A1861" s="29" t="n">
        <x:v>357</x:v>
      </x:c>
      <x:c r="B1861" s="29" t="n">
        <x:v>331261</x:v>
      </x:c>
      <x:c r="C1861" s="29" t="str">
        <x:v>A3</x:v>
      </x:c>
      <x:c r="D1861" s="53" t="n">
        <x:v>2500</x:v>
      </x:c>
      <x:c r="E1861" s="47" t="n">
        <x:v>1</x:v>
      </x:c>
      <x:c r="F1861" s="47" t="n">
        <x:v>1</x:v>
      </x:c>
      <x:c r="G1861" s="47" t="n">
        <x:v>1</x:v>
      </x:c>
      <x:c r="H1861" s="47" t="n">
        <x:v>1</x:v>
      </x:c>
      <x:c r="I1861" s="47" t="n">
        <x:v>1</x:v>
      </x:c>
      <x:c r="J1861" s="47" t="n">
        <x:v>1</x:v>
      </x:c>
      <x:c r="K1861" s="47" t="n">
        <x:v>1</x:v>
      </x:c>
      <x:c r="L1861" s="47" t="n">
        <x:v>1</x:v>
      </x:c>
      <x:c r="M1861" s="29" t="n">
        <x:v>1</x:v>
      </x:c>
    </x:row>
    <x:row r="1862" ht="15" hidden="0" customHeight="1">
      <x:c r="A1862" s="27" t="n">
        <x:v>358</x:v>
      </x:c>
      <x:c r="B1862" s="27" t="n">
        <x:v>331262</x:v>
      </x:c>
      <x:c r="C1862" s="27" t="str">
        <x:v>A3</x:v>
      </x:c>
      <x:c r="D1862" s="52" t="n">
        <x:v>2500</x:v>
      </x:c>
      <x:c r="E1862" s="46" t="n">
        <x:v>1</x:v>
      </x:c>
      <x:c r="F1862" s="46" t="n">
        <x:v>1</x:v>
      </x:c>
      <x:c r="G1862" s="46" t="n">
        <x:v>1</x:v>
      </x:c>
      <x:c r="H1862" s="46" t="n">
        <x:v>1</x:v>
      </x:c>
      <x:c r="I1862" s="46" t="n">
        <x:v>1</x:v>
      </x:c>
      <x:c r="J1862" s="46" t="n">
        <x:v>1</x:v>
      </x:c>
      <x:c r="K1862" s="46" t="n">
        <x:v>1</x:v>
      </x:c>
      <x:c r="L1862" s="46" t="n">
        <x:v>1</x:v>
      </x:c>
      <x:c r="M1862" s="27" t="n">
        <x:v>1</x:v>
      </x:c>
    </x:row>
    <x:row r="1863" ht="15" hidden="0" customHeight="1">
      <x:c r="A1863" s="29" t="n">
        <x:v>359</x:v>
      </x:c>
      <x:c r="B1863" s="29" t="n">
        <x:v>331263</x:v>
      </x:c>
      <x:c r="C1863" s="29" t="str">
        <x:v>A3</x:v>
      </x:c>
      <x:c r="D1863" s="53" t="n">
        <x:v>2500</x:v>
      </x:c>
      <x:c r="E1863" s="47" t="n">
        <x:v>1</x:v>
      </x:c>
      <x:c r="F1863" s="47" t="n">
        <x:v>1</x:v>
      </x:c>
      <x:c r="G1863" s="47" t="n">
        <x:v>1</x:v>
      </x:c>
      <x:c r="H1863" s="47" t="n">
        <x:v>1</x:v>
      </x:c>
      <x:c r="I1863" s="47" t="n">
        <x:v>1</x:v>
      </x:c>
      <x:c r="J1863" s="47" t="n">
        <x:v>1</x:v>
      </x:c>
      <x:c r="K1863" s="47" t="n">
        <x:v>1</x:v>
      </x:c>
      <x:c r="L1863" s="47" t="n">
        <x:v>1</x:v>
      </x:c>
      <x:c r="M1863" s="29" t="n">
        <x:v>1</x:v>
      </x:c>
    </x:row>
    <x:row r="1864" ht="15" hidden="0" customHeight="1">
      <x:c r="A1864" s="27" t="n">
        <x:v>360</x:v>
      </x:c>
      <x:c r="B1864" s="27" t="n">
        <x:v>331264</x:v>
      </x:c>
      <x:c r="C1864" s="27" t="str">
        <x:v>A3</x:v>
      </x:c>
      <x:c r="D1864" s="52" t="n">
        <x:v>2500</x:v>
      </x:c>
      <x:c r="E1864" s="46" t="n">
        <x:v>1</x:v>
      </x:c>
      <x:c r="F1864" s="46" t="n">
        <x:v>1</x:v>
      </x:c>
      <x:c r="G1864" s="46" t="n">
        <x:v>1</x:v>
      </x:c>
      <x:c r="H1864" s="46" t="n">
        <x:v>1</x:v>
      </x:c>
      <x:c r="I1864" s="46" t="n">
        <x:v>1</x:v>
      </x:c>
      <x:c r="J1864" s="46" t="n">
        <x:v>1</x:v>
      </x:c>
      <x:c r="K1864" s="46" t="n">
        <x:v>1</x:v>
      </x:c>
      <x:c r="L1864" s="46" t="n">
        <x:v>1</x:v>
      </x:c>
      <x:c r="M1864" s="27" t="n">
        <x:v>1</x:v>
      </x:c>
    </x:row>
    <x:row r="1865" ht="15" hidden="0" customHeight="1">
      <x:c r="A1865" s="29" t="n">
        <x:v>361</x:v>
      </x:c>
      <x:c r="B1865" s="29" t="n">
        <x:v>331265</x:v>
      </x:c>
      <x:c r="C1865" s="29" t="str">
        <x:v>A3</x:v>
      </x:c>
      <x:c r="D1865" s="53" t="n">
        <x:v>2500</x:v>
      </x:c>
      <x:c r="E1865" s="47" t="n">
        <x:v>1</x:v>
      </x:c>
      <x:c r="F1865" s="47" t="n">
        <x:v>1</x:v>
      </x:c>
      <x:c r="G1865" s="47" t="n">
        <x:v>1</x:v>
      </x:c>
      <x:c r="H1865" s="47" t="n">
        <x:v>1</x:v>
      </x:c>
      <x:c r="I1865" s="47" t="n">
        <x:v>1</x:v>
      </x:c>
      <x:c r="J1865" s="47" t="n">
        <x:v>1</x:v>
      </x:c>
      <x:c r="K1865" s="47" t="n">
        <x:v>1</x:v>
      </x:c>
      <x:c r="L1865" s="47" t="n">
        <x:v>1</x:v>
      </x:c>
      <x:c r="M1865" s="29" t="n">
        <x:v>1</x:v>
      </x:c>
    </x:row>
    <x:row r="1866" ht="15" hidden="0" customHeight="1">
      <x:c r="A1866" s="27" t="n">
        <x:v>362</x:v>
      </x:c>
      <x:c r="B1866" s="27" t="n">
        <x:v>331266</x:v>
      </x:c>
      <x:c r="C1866" s="27" t="str">
        <x:v>A3</x:v>
      </x:c>
      <x:c r="D1866" s="52" t="n">
        <x:v>2500</x:v>
      </x:c>
      <x:c r="E1866" s="46" t="n">
        <x:v>1</x:v>
      </x:c>
      <x:c r="F1866" s="46" t="n">
        <x:v>1</x:v>
      </x:c>
      <x:c r="G1866" s="46" t="n">
        <x:v>1</x:v>
      </x:c>
      <x:c r="H1866" s="46" t="n">
        <x:v>1</x:v>
      </x:c>
      <x:c r="I1866" s="46" t="n">
        <x:v>1</x:v>
      </x:c>
      <x:c r="J1866" s="46" t="n">
        <x:v>1</x:v>
      </x:c>
      <x:c r="K1866" s="46" t="n">
        <x:v>1</x:v>
      </x:c>
      <x:c r="L1866" s="46" t="n">
        <x:v>1</x:v>
      </x:c>
      <x:c r="M1866" s="27" t="n">
        <x:v>1</x:v>
      </x:c>
    </x:row>
    <x:row r="1867" ht="15" hidden="0" customHeight="1">
      <x:c r="A1867" s="29" t="n">
        <x:v>363</x:v>
      </x:c>
      <x:c r="B1867" s="29" t="n">
        <x:v>331267</x:v>
      </x:c>
      <x:c r="C1867" s="29" t="str">
        <x:v>A3</x:v>
      </x:c>
      <x:c r="D1867" s="53" t="n">
        <x:v>2500</x:v>
      </x:c>
      <x:c r="E1867" s="47" t="n">
        <x:v>1</x:v>
      </x:c>
      <x:c r="F1867" s="47" t="n">
        <x:v>1</x:v>
      </x:c>
      <x:c r="G1867" s="47" t="n">
        <x:v>1</x:v>
      </x:c>
      <x:c r="H1867" s="47" t="n">
        <x:v>1</x:v>
      </x:c>
      <x:c r="I1867" s="47" t="n">
        <x:v>1</x:v>
      </x:c>
      <x:c r="J1867" s="47" t="n">
        <x:v>1</x:v>
      </x:c>
      <x:c r="K1867" s="47" t="n">
        <x:v>1</x:v>
      </x:c>
      <x:c r="L1867" s="47" t="n">
        <x:v>1</x:v>
      </x:c>
      <x:c r="M1867" s="29" t="n">
        <x:v>1</x:v>
      </x:c>
    </x:row>
    <x:row r="1868" ht="15" hidden="0" customHeight="1">
      <x:c r="A1868" s="27" t="n">
        <x:v>364</x:v>
      </x:c>
      <x:c r="B1868" s="27" t="n">
        <x:v>331268</x:v>
      </x:c>
      <x:c r="C1868" s="27" t="str">
        <x:v>A3</x:v>
      </x:c>
      <x:c r="D1868" s="52" t="n">
        <x:v>2500</x:v>
      </x:c>
      <x:c r="E1868" s="46" t="n">
        <x:v>1</x:v>
      </x:c>
      <x:c r="F1868" s="46" t="n">
        <x:v>1</x:v>
      </x:c>
      <x:c r="G1868" s="46" t="n">
        <x:v>1</x:v>
      </x:c>
      <x:c r="H1868" s="46" t="n">
        <x:v>1</x:v>
      </x:c>
      <x:c r="I1868" s="46" t="n">
        <x:v>1</x:v>
      </x:c>
      <x:c r="J1868" s="46" t="n">
        <x:v>1</x:v>
      </x:c>
      <x:c r="K1868" s="46" t="n">
        <x:v>1</x:v>
      </x:c>
      <x:c r="L1868" s="46" t="n">
        <x:v>1</x:v>
      </x:c>
      <x:c r="M1868" s="27" t="n">
        <x:v>1</x:v>
      </x:c>
    </x:row>
    <x:row r="1869" ht="15" hidden="0" customHeight="1">
      <x:c r="A1869" s="29" t="n">
        <x:v>365</x:v>
      </x:c>
      <x:c r="B1869" s="29" t="n">
        <x:v>331269</x:v>
      </x:c>
      <x:c r="C1869" s="29" t="str">
        <x:v>A3</x:v>
      </x:c>
      <x:c r="D1869" s="53" t="n">
        <x:v>2500</x:v>
      </x:c>
      <x:c r="E1869" s="47" t="n">
        <x:v>1</x:v>
      </x:c>
      <x:c r="F1869" s="47" t="n">
        <x:v>1</x:v>
      </x:c>
      <x:c r="G1869" s="47" t="n">
        <x:v>1</x:v>
      </x:c>
      <x:c r="H1869" s="47" t="n">
        <x:v>1</x:v>
      </x:c>
      <x:c r="I1869" s="47" t="n">
        <x:v>1</x:v>
      </x:c>
      <x:c r="J1869" s="47" t="n">
        <x:v>1</x:v>
      </x:c>
      <x:c r="K1869" s="47" t="n">
        <x:v>1</x:v>
      </x:c>
      <x:c r="L1869" s="47" t="n">
        <x:v>1</x:v>
      </x:c>
      <x:c r="M1869" s="29" t="n">
        <x:v>1</x:v>
      </x:c>
    </x:row>
    <x:row r="1870" ht="15" hidden="0" customHeight="1">
      <x:c r="A1870" s="27" t="n">
        <x:v>366</x:v>
      </x:c>
      <x:c r="B1870" s="27" t="n">
        <x:v>331270</x:v>
      </x:c>
      <x:c r="C1870" s="27" t="str">
        <x:v>A3</x:v>
      </x:c>
      <x:c r="D1870" s="52" t="n">
        <x:v>2500</x:v>
      </x:c>
      <x:c r="E1870" s="46" t="n">
        <x:v>1</x:v>
      </x:c>
      <x:c r="F1870" s="46" t="n">
        <x:v>1</x:v>
      </x:c>
      <x:c r="G1870" s="46" t="n">
        <x:v>1</x:v>
      </x:c>
      <x:c r="H1870" s="46" t="n">
        <x:v>1</x:v>
      </x:c>
      <x:c r="I1870" s="46" t="n">
        <x:v>1</x:v>
      </x:c>
      <x:c r="J1870" s="46" t="n">
        <x:v>1</x:v>
      </x:c>
      <x:c r="K1870" s="46" t="n">
        <x:v>1</x:v>
      </x:c>
      <x:c r="L1870" s="46" t="n">
        <x:v>1</x:v>
      </x:c>
      <x:c r="M1870" s="27" t="n">
        <x:v>1</x:v>
      </x:c>
    </x:row>
    <x:row r="1871" ht="15" hidden="0" customHeight="1">
      <x:c r="A1871" s="29" t="n">
        <x:v>367</x:v>
      </x:c>
      <x:c r="B1871" s="29" t="n">
        <x:v>331271</x:v>
      </x:c>
      <x:c r="C1871" s="29" t="str">
        <x:v>A3</x:v>
      </x:c>
      <x:c r="D1871" s="53" t="n">
        <x:v>2500</x:v>
      </x:c>
      <x:c r="E1871" s="47" t="n">
        <x:v>1</x:v>
      </x:c>
      <x:c r="F1871" s="47" t="n">
        <x:v>1</x:v>
      </x:c>
      <x:c r="G1871" s="47" t="n">
        <x:v>1</x:v>
      </x:c>
      <x:c r="H1871" s="47" t="n">
        <x:v>1</x:v>
      </x:c>
      <x:c r="I1871" s="47" t="n">
        <x:v>1</x:v>
      </x:c>
      <x:c r="J1871" s="47" t="n">
        <x:v>1</x:v>
      </x:c>
      <x:c r="K1871" s="47" t="n">
        <x:v>1</x:v>
      </x:c>
      <x:c r="L1871" s="47" t="n">
        <x:v>1</x:v>
      </x:c>
      <x:c r="M1871" s="29" t="n">
        <x:v>1</x:v>
      </x:c>
    </x:row>
    <x:row r="1872" ht="15" hidden="0" customHeight="1">
      <x:c r="A1872" s="27" t="n">
        <x:v>368</x:v>
      </x:c>
      <x:c r="B1872" s="27" t="n">
        <x:v>331272</x:v>
      </x:c>
      <x:c r="C1872" s="27" t="str">
        <x:v>A3</x:v>
      </x:c>
      <x:c r="D1872" s="52" t="n">
        <x:v>2500</x:v>
      </x:c>
      <x:c r="E1872" s="46" t="n">
        <x:v>1</x:v>
      </x:c>
      <x:c r="F1872" s="46" t="n">
        <x:v>1</x:v>
      </x:c>
      <x:c r="G1872" s="46" t="n">
        <x:v>1</x:v>
      </x:c>
      <x:c r="H1872" s="46" t="n">
        <x:v>1</x:v>
      </x:c>
      <x:c r="I1872" s="46" t="n">
        <x:v>1</x:v>
      </x:c>
      <x:c r="J1872" s="46" t="n">
        <x:v>1</x:v>
      </x:c>
      <x:c r="K1872" s="46" t="n">
        <x:v>1</x:v>
      </x:c>
      <x:c r="L1872" s="46" t="n">
        <x:v>1</x:v>
      </x:c>
      <x:c r="M1872" s="27" t="n">
        <x:v>1</x:v>
      </x:c>
    </x:row>
    <x:row r="1873" ht="15" hidden="0" customHeight="1">
      <x:c r="A1873" s="29" t="n">
        <x:v>369</x:v>
      </x:c>
      <x:c r="B1873" s="29" t="n">
        <x:v>331273</x:v>
      </x:c>
      <x:c r="C1873" s="29" t="str">
        <x:v>A3</x:v>
      </x:c>
      <x:c r="D1873" s="53" t="n">
        <x:v>2500</x:v>
      </x:c>
      <x:c r="E1873" s="47" t="n">
        <x:v>1</x:v>
      </x:c>
      <x:c r="F1873" s="47" t="n">
        <x:v>1</x:v>
      </x:c>
      <x:c r="G1873" s="47" t="n">
        <x:v>1</x:v>
      </x:c>
      <x:c r="H1873" s="47" t="n">
        <x:v>1</x:v>
      </x:c>
      <x:c r="I1873" s="47" t="n">
        <x:v>1</x:v>
      </x:c>
      <x:c r="J1873" s="47" t="n">
        <x:v>1</x:v>
      </x:c>
      <x:c r="K1873" s="47" t="n">
        <x:v>1</x:v>
      </x:c>
      <x:c r="L1873" s="47" t="n">
        <x:v>1</x:v>
      </x:c>
      <x:c r="M1873" s="29" t="n">
        <x:v>1</x:v>
      </x:c>
    </x:row>
    <x:row r="1874" ht="15" hidden="0" customHeight="1">
      <x:c r="A1874" s="27" t="n">
        <x:v>370</x:v>
      </x:c>
      <x:c r="B1874" s="27" t="n">
        <x:v>331274</x:v>
      </x:c>
      <x:c r="C1874" s="27" t="str">
        <x:v>A3</x:v>
      </x:c>
      <x:c r="D1874" s="52" t="n">
        <x:v>2500</x:v>
      </x:c>
      <x:c r="E1874" s="46" t="n">
        <x:v>1</x:v>
      </x:c>
      <x:c r="F1874" s="46" t="n">
        <x:v>1</x:v>
      </x:c>
      <x:c r="G1874" s="46" t="n">
        <x:v>1</x:v>
      </x:c>
      <x:c r="H1874" s="46" t="n">
        <x:v>1</x:v>
      </x:c>
      <x:c r="I1874" s="46" t="n">
        <x:v>1</x:v>
      </x:c>
      <x:c r="J1874" s="46" t="n">
        <x:v>1</x:v>
      </x:c>
      <x:c r="K1874" s="46" t="n">
        <x:v>1</x:v>
      </x:c>
      <x:c r="L1874" s="46" t="n">
        <x:v>1</x:v>
      </x:c>
      <x:c r="M1874" s="27" t="n">
        <x:v>1</x:v>
      </x:c>
    </x:row>
    <x:row r="1875" ht="15" hidden="0" customHeight="1">
      <x:c r="A1875" s="29" t="n">
        <x:v>371</x:v>
      </x:c>
      <x:c r="B1875" s="29" t="n">
        <x:v>331275</x:v>
      </x:c>
      <x:c r="C1875" s="29" t="str">
        <x:v>A3</x:v>
      </x:c>
      <x:c r="D1875" s="53" t="n">
        <x:v>2500</x:v>
      </x:c>
      <x:c r="E1875" s="47" t="n">
        <x:v>1</x:v>
      </x:c>
      <x:c r="F1875" s="47" t="n">
        <x:v>1</x:v>
      </x:c>
      <x:c r="G1875" s="47" t="n">
        <x:v>1</x:v>
      </x:c>
      <x:c r="H1875" s="47" t="n">
        <x:v>1</x:v>
      </x:c>
      <x:c r="I1875" s="47" t="n">
        <x:v>1</x:v>
      </x:c>
      <x:c r="J1875" s="47" t="n">
        <x:v>1</x:v>
      </x:c>
      <x:c r="K1875" s="47" t="n">
        <x:v>1</x:v>
      </x:c>
      <x:c r="L1875" s="47" t="n">
        <x:v>1</x:v>
      </x:c>
      <x:c r="M1875" s="29" t="n">
        <x:v>1</x:v>
      </x:c>
    </x:row>
    <x:row r="1876" ht="15" hidden="0" customHeight="1">
      <x:c r="A1876" s="27" t="n">
        <x:v>372</x:v>
      </x:c>
      <x:c r="B1876" s="27" t="n">
        <x:v>331276</x:v>
      </x:c>
      <x:c r="C1876" s="27" t="str">
        <x:v>A3</x:v>
      </x:c>
      <x:c r="D1876" s="52" t="n">
        <x:v>2500</x:v>
      </x:c>
      <x:c r="E1876" s="46" t="n">
        <x:v>1</x:v>
      </x:c>
      <x:c r="F1876" s="46" t="n">
        <x:v>1</x:v>
      </x:c>
      <x:c r="G1876" s="46" t="n">
        <x:v>1</x:v>
      </x:c>
      <x:c r="H1876" s="46" t="n">
        <x:v>1</x:v>
      </x:c>
      <x:c r="I1876" s="46" t="n">
        <x:v>1</x:v>
      </x:c>
      <x:c r="J1876" s="46" t="n">
        <x:v>1</x:v>
      </x:c>
      <x:c r="K1876" s="46" t="n">
        <x:v>1</x:v>
      </x:c>
      <x:c r="L1876" s="46" t="n">
        <x:v>1</x:v>
      </x:c>
      <x:c r="M1876" s="27" t="n">
        <x:v>1</x:v>
      </x:c>
    </x:row>
    <x:row r="1877" ht="15" hidden="0" customHeight="1">
      <x:c r="A1877" s="29" t="n">
        <x:v>373</x:v>
      </x:c>
      <x:c r="B1877" s="29" t="n">
        <x:v>331277</x:v>
      </x:c>
      <x:c r="C1877" s="29" t="str">
        <x:v>A3</x:v>
      </x:c>
      <x:c r="D1877" s="53" t="n">
        <x:v>2500</x:v>
      </x:c>
      <x:c r="E1877" s="47" t="n">
        <x:v>1</x:v>
      </x:c>
      <x:c r="F1877" s="47" t="n">
        <x:v>1</x:v>
      </x:c>
      <x:c r="G1877" s="47" t="n">
        <x:v>1</x:v>
      </x:c>
      <x:c r="H1877" s="47" t="n">
        <x:v>1</x:v>
      </x:c>
      <x:c r="I1877" s="47" t="n">
        <x:v>1</x:v>
      </x:c>
      <x:c r="J1877" s="47" t="n">
        <x:v>1</x:v>
      </x:c>
      <x:c r="K1877" s="47" t="n">
        <x:v>1</x:v>
      </x:c>
      <x:c r="L1877" s="47" t="n">
        <x:v>1</x:v>
      </x:c>
      <x:c r="M1877" s="29" t="n">
        <x:v>1</x:v>
      </x:c>
    </x:row>
    <x:row r="1878" ht="15" hidden="0" customHeight="1">
      <x:c r="A1878" s="27" t="n">
        <x:v>374</x:v>
      </x:c>
      <x:c r="B1878" s="27" t="n">
        <x:v>331278</x:v>
      </x:c>
      <x:c r="C1878" s="27" t="str">
        <x:v>A3</x:v>
      </x:c>
      <x:c r="D1878" s="52" t="n">
        <x:v>2500</x:v>
      </x:c>
      <x:c r="E1878" s="46" t="n">
        <x:v>1</x:v>
      </x:c>
      <x:c r="F1878" s="46" t="n">
        <x:v>1</x:v>
      </x:c>
      <x:c r="G1878" s="46" t="n">
        <x:v>1</x:v>
      </x:c>
      <x:c r="H1878" s="46" t="n">
        <x:v>1</x:v>
      </x:c>
      <x:c r="I1878" s="46" t="n">
        <x:v>1</x:v>
      </x:c>
      <x:c r="J1878" s="46" t="n">
        <x:v>1</x:v>
      </x:c>
      <x:c r="K1878" s="46" t="n">
        <x:v>1</x:v>
      </x:c>
      <x:c r="L1878" s="46" t="n">
        <x:v>1</x:v>
      </x:c>
      <x:c r="M1878" s="27" t="n">
        <x:v>1</x:v>
      </x:c>
    </x:row>
    <x:row r="1879" ht="15" hidden="0" customHeight="1">
      <x:c r="A1879" s="29" t="n">
        <x:v>375</x:v>
      </x:c>
      <x:c r="B1879" s="29" t="n">
        <x:v>331279</x:v>
      </x:c>
      <x:c r="C1879" s="29" t="str">
        <x:v>A3</x:v>
      </x:c>
      <x:c r="D1879" s="53" t="n">
        <x:v>2500</x:v>
      </x:c>
      <x:c r="E1879" s="47" t="n">
        <x:v>1</x:v>
      </x:c>
      <x:c r="F1879" s="47" t="n">
        <x:v>1</x:v>
      </x:c>
      <x:c r="G1879" s="47" t="n">
        <x:v>1</x:v>
      </x:c>
      <x:c r="H1879" s="47" t="n">
        <x:v>1</x:v>
      </x:c>
      <x:c r="I1879" s="47" t="n">
        <x:v>1</x:v>
      </x:c>
      <x:c r="J1879" s="47" t="n">
        <x:v>1</x:v>
      </x:c>
      <x:c r="K1879" s="47" t="n">
        <x:v>1</x:v>
      </x:c>
      <x:c r="L1879" s="47" t="n">
        <x:v>1</x:v>
      </x:c>
      <x:c r="M1879" s="29" t="n">
        <x:v>1</x:v>
      </x:c>
    </x:row>
    <x:row r="1880" ht="15" hidden="0" customHeight="1">
      <x:c r="A1880" s="27" t="n">
        <x:v>376</x:v>
      </x:c>
      <x:c r="B1880" s="27" t="n">
        <x:v>331280</x:v>
      </x:c>
      <x:c r="C1880" s="27" t="str">
        <x:v>A3</x:v>
      </x:c>
      <x:c r="D1880" s="52" t="n">
        <x:v>2500</x:v>
      </x:c>
      <x:c r="E1880" s="46" t="n">
        <x:v>1</x:v>
      </x:c>
      <x:c r="F1880" s="46" t="n">
        <x:v>1</x:v>
      </x:c>
      <x:c r="G1880" s="46" t="n">
        <x:v>1</x:v>
      </x:c>
      <x:c r="H1880" s="46" t="n">
        <x:v>1</x:v>
      </x:c>
      <x:c r="I1880" s="46" t="n">
        <x:v>1</x:v>
      </x:c>
      <x:c r="J1880" s="46" t="n">
        <x:v>1</x:v>
      </x:c>
      <x:c r="K1880" s="46" t="n">
        <x:v>1</x:v>
      </x:c>
      <x:c r="L1880" s="46" t="n">
        <x:v>1</x:v>
      </x:c>
      <x:c r="M1880" s="27" t="n">
        <x:v>1</x:v>
      </x:c>
    </x:row>
    <x:row r="1881" ht="15" hidden="0" customHeight="1">
      <x:c r="A1881" s="29" t="n">
        <x:v>377</x:v>
      </x:c>
      <x:c r="B1881" s="29" t="n">
        <x:v>331281</x:v>
      </x:c>
      <x:c r="C1881" s="29" t="str">
        <x:v>A3</x:v>
      </x:c>
      <x:c r="D1881" s="53" t="n">
        <x:v>2500</x:v>
      </x:c>
      <x:c r="E1881" s="47" t="n">
        <x:v>1</x:v>
      </x:c>
      <x:c r="F1881" s="47" t="n">
        <x:v>1</x:v>
      </x:c>
      <x:c r="G1881" s="47" t="n">
        <x:v>1</x:v>
      </x:c>
      <x:c r="H1881" s="47" t="n">
        <x:v>1</x:v>
      </x:c>
      <x:c r="I1881" s="47" t="n">
        <x:v>1</x:v>
      </x:c>
      <x:c r="J1881" s="47" t="n">
        <x:v>1</x:v>
      </x:c>
      <x:c r="K1881" s="47" t="n">
        <x:v>1</x:v>
      </x:c>
      <x:c r="L1881" s="47" t="n">
        <x:v>1</x:v>
      </x:c>
      <x:c r="M1881" s="29" t="n">
        <x:v>1</x:v>
      </x:c>
    </x:row>
    <x:row r="1882" ht="15" hidden="0" customHeight="1">
      <x:c r="A1882" s="27" t="n">
        <x:v>378</x:v>
      </x:c>
      <x:c r="B1882" s="27" t="n">
        <x:v>331282</x:v>
      </x:c>
      <x:c r="C1882" s="27" t="str">
        <x:v>A3</x:v>
      </x:c>
      <x:c r="D1882" s="52" t="n">
        <x:v>2500</x:v>
      </x:c>
      <x:c r="E1882" s="46" t="n">
        <x:v>1</x:v>
      </x:c>
      <x:c r="F1882" s="46" t="n">
        <x:v>1</x:v>
      </x:c>
      <x:c r="G1882" s="46" t="n">
        <x:v>1</x:v>
      </x:c>
      <x:c r="H1882" s="46" t="n">
        <x:v>1</x:v>
      </x:c>
      <x:c r="I1882" s="46" t="n">
        <x:v>1</x:v>
      </x:c>
      <x:c r="J1882" s="46" t="n">
        <x:v>1</x:v>
      </x:c>
      <x:c r="K1882" s="46" t="n">
        <x:v>1</x:v>
      </x:c>
      <x:c r="L1882" s="46" t="n">
        <x:v>1</x:v>
      </x:c>
      <x:c r="M1882" s="27" t="n">
        <x:v>1</x:v>
      </x:c>
    </x:row>
    <x:row r="1883" ht="15" hidden="0" customHeight="1">
      <x:c r="A1883" s="29" t="n">
        <x:v>379</x:v>
      </x:c>
      <x:c r="B1883" s="29" t="n">
        <x:v>331283</x:v>
      </x:c>
      <x:c r="C1883" s="29" t="str">
        <x:v>A3</x:v>
      </x:c>
      <x:c r="D1883" s="53" t="n">
        <x:v>2500</x:v>
      </x:c>
      <x:c r="E1883" s="47" t="n">
        <x:v>1</x:v>
      </x:c>
      <x:c r="F1883" s="47" t="n">
        <x:v>1</x:v>
      </x:c>
      <x:c r="G1883" s="47" t="n">
        <x:v>1</x:v>
      </x:c>
      <x:c r="H1883" s="47" t="n">
        <x:v>1</x:v>
      </x:c>
      <x:c r="I1883" s="47" t="n">
        <x:v>1</x:v>
      </x:c>
      <x:c r="J1883" s="47" t="n">
        <x:v>1</x:v>
      </x:c>
      <x:c r="K1883" s="47" t="n">
        <x:v>1</x:v>
      </x:c>
      <x:c r="L1883" s="47" t="n">
        <x:v>1</x:v>
      </x:c>
      <x:c r="M1883" s="29" t="n">
        <x:v>1</x:v>
      </x:c>
    </x:row>
    <x:row r="1884" ht="15" hidden="0" customHeight="1">
      <x:c r="A1884" s="27" t="n">
        <x:v>380</x:v>
      </x:c>
      <x:c r="B1884" s="27" t="n">
        <x:v>331284</x:v>
      </x:c>
      <x:c r="C1884" s="27" t="str">
        <x:v>A3</x:v>
      </x:c>
      <x:c r="D1884" s="52" t="n">
        <x:v>2500</x:v>
      </x:c>
      <x:c r="E1884" s="46" t="n">
        <x:v>1</x:v>
      </x:c>
      <x:c r="F1884" s="46" t="n">
        <x:v>1</x:v>
      </x:c>
      <x:c r="G1884" s="46" t="n">
        <x:v>1</x:v>
      </x:c>
      <x:c r="H1884" s="46" t="n">
        <x:v>1</x:v>
      </x:c>
      <x:c r="I1884" s="46" t="n">
        <x:v>1</x:v>
      </x:c>
      <x:c r="J1884" s="46" t="n">
        <x:v>1</x:v>
      </x:c>
      <x:c r="K1884" s="46" t="n">
        <x:v>1</x:v>
      </x:c>
      <x:c r="L1884" s="46" t="n">
        <x:v>1</x:v>
      </x:c>
      <x:c r="M1884" s="27" t="n">
        <x:v>1</x:v>
      </x:c>
    </x:row>
    <x:row r="1885" ht="15" hidden="0" customHeight="1">
      <x:c r="A1885" s="29" t="n">
        <x:v>381</x:v>
      </x:c>
      <x:c r="B1885" s="29" t="n">
        <x:v>331285</x:v>
      </x:c>
      <x:c r="C1885" s="29" t="str">
        <x:v>A3</x:v>
      </x:c>
      <x:c r="D1885" s="53" t="n">
        <x:v>2500</x:v>
      </x:c>
      <x:c r="E1885" s="47" t="n">
        <x:v>1</x:v>
      </x:c>
      <x:c r="F1885" s="47" t="n">
        <x:v>1</x:v>
      </x:c>
      <x:c r="G1885" s="47" t="n">
        <x:v>1</x:v>
      </x:c>
      <x:c r="H1885" s="47" t="n">
        <x:v>1</x:v>
      </x:c>
      <x:c r="I1885" s="47" t="n">
        <x:v>1</x:v>
      </x:c>
      <x:c r="J1885" s="47" t="n">
        <x:v>1</x:v>
      </x:c>
      <x:c r="K1885" s="47" t="n">
        <x:v>1</x:v>
      </x:c>
      <x:c r="L1885" s="47" t="n">
        <x:v>1</x:v>
      </x:c>
      <x:c r="M1885" s="29" t="n">
        <x:v>1</x:v>
      </x:c>
    </x:row>
    <x:row r="1886" ht="15" hidden="0" customHeight="1">
      <x:c r="A1886" s="27" t="n">
        <x:v>382</x:v>
      </x:c>
      <x:c r="B1886" s="27" t="n">
        <x:v>331286</x:v>
      </x:c>
      <x:c r="C1886" s="27" t="str">
        <x:v>A3</x:v>
      </x:c>
      <x:c r="D1886" s="52" t="n">
        <x:v>2500</x:v>
      </x:c>
      <x:c r="E1886" s="46" t="n">
        <x:v>1</x:v>
      </x:c>
      <x:c r="F1886" s="46" t="n">
        <x:v>1</x:v>
      </x:c>
      <x:c r="G1886" s="46" t="n">
        <x:v>1</x:v>
      </x:c>
      <x:c r="H1886" s="46" t="n">
        <x:v>1</x:v>
      </x:c>
      <x:c r="I1886" s="46" t="n">
        <x:v>1</x:v>
      </x:c>
      <x:c r="J1886" s="46" t="n">
        <x:v>1</x:v>
      </x:c>
      <x:c r="K1886" s="46" t="n">
        <x:v>1</x:v>
      </x:c>
      <x:c r="L1886" s="46" t="n">
        <x:v>1</x:v>
      </x:c>
      <x:c r="M1886" s="27" t="n">
        <x:v>1</x:v>
      </x:c>
    </x:row>
    <x:row r="1887" ht="15" hidden="0" customHeight="1">
      <x:c r="A1887" s="29" t="n">
        <x:v>383</x:v>
      </x:c>
      <x:c r="B1887" s="29" t="n">
        <x:v>331287</x:v>
      </x:c>
      <x:c r="C1887" s="29" t="str">
        <x:v>A3</x:v>
      </x:c>
      <x:c r="D1887" s="53" t="n">
        <x:v>2500</x:v>
      </x:c>
      <x:c r="E1887" s="47" t="n">
        <x:v>1</x:v>
      </x:c>
      <x:c r="F1887" s="47" t="n">
        <x:v>1</x:v>
      </x:c>
      <x:c r="G1887" s="47" t="n">
        <x:v>1</x:v>
      </x:c>
      <x:c r="H1887" s="47" t="n">
        <x:v>1</x:v>
      </x:c>
      <x:c r="I1887" s="47" t="n">
        <x:v>1</x:v>
      </x:c>
      <x:c r="J1887" s="47" t="n">
        <x:v>1</x:v>
      </x:c>
      <x:c r="K1887" s="47" t="n">
        <x:v>1</x:v>
      </x:c>
      <x:c r="L1887" s="47" t="n">
        <x:v>1</x:v>
      </x:c>
      <x:c r="M1887" s="29" t="n">
        <x:v>1</x:v>
      </x:c>
    </x:row>
    <x:row r="1888" ht="15" hidden="0" customHeight="1">
      <x:c r="A1888" s="27" t="n">
        <x:v>384</x:v>
      </x:c>
      <x:c r="B1888" s="27" t="n">
        <x:v>331288</x:v>
      </x:c>
      <x:c r="C1888" s="27" t="str">
        <x:v>A3</x:v>
      </x:c>
      <x:c r="D1888" s="52" t="n">
        <x:v>2500</x:v>
      </x:c>
      <x:c r="E1888" s="46" t="n">
        <x:v>1</x:v>
      </x:c>
      <x:c r="F1888" s="46" t="n">
        <x:v>1</x:v>
      </x:c>
      <x:c r="G1888" s="46" t="n">
        <x:v>1</x:v>
      </x:c>
      <x:c r="H1888" s="46" t="n">
        <x:v>1</x:v>
      </x:c>
      <x:c r="I1888" s="46" t="n">
        <x:v>1</x:v>
      </x:c>
      <x:c r="J1888" s="46" t="n">
        <x:v>1</x:v>
      </x:c>
      <x:c r="K1888" s="46" t="n">
        <x:v>1</x:v>
      </x:c>
      <x:c r="L1888" s="46" t="n">
        <x:v>1</x:v>
      </x:c>
      <x:c r="M1888" s="27" t="n">
        <x:v>1</x:v>
      </x:c>
    </x:row>
    <x:row r="1889" ht="15" hidden="0" customHeight="1">
      <x:c r="A1889" s="29" t="n">
        <x:v>385</x:v>
      </x:c>
      <x:c r="B1889" s="29" t="n">
        <x:v>331289</x:v>
      </x:c>
      <x:c r="C1889" s="29" t="str">
        <x:v>A3</x:v>
      </x:c>
      <x:c r="D1889" s="53" t="n">
        <x:v>2500</x:v>
      </x:c>
      <x:c r="E1889" s="47" t="n">
        <x:v>1</x:v>
      </x:c>
      <x:c r="F1889" s="47" t="n">
        <x:v>1</x:v>
      </x:c>
      <x:c r="G1889" s="47" t="n">
        <x:v>1</x:v>
      </x:c>
      <x:c r="H1889" s="47" t="n">
        <x:v>1</x:v>
      </x:c>
      <x:c r="I1889" s="47" t="n">
        <x:v>1</x:v>
      </x:c>
      <x:c r="J1889" s="47" t="n">
        <x:v>1</x:v>
      </x:c>
      <x:c r="K1889" s="47" t="n">
        <x:v>1</x:v>
      </x:c>
      <x:c r="L1889" s="47" t="n">
        <x:v>1</x:v>
      </x:c>
      <x:c r="M1889" s="29" t="n">
        <x:v>1</x:v>
      </x:c>
    </x:row>
    <x:row r="1890" ht="15" hidden="0" customHeight="1">
      <x:c r="A1890" s="27" t="n">
        <x:v>386</x:v>
      </x:c>
      <x:c r="B1890" s="27" t="n">
        <x:v>331290</x:v>
      </x:c>
      <x:c r="C1890" s="27" t="str">
        <x:v>A3</x:v>
      </x:c>
      <x:c r="D1890" s="52" t="n">
        <x:v>2500</x:v>
      </x:c>
      <x:c r="E1890" s="46" t="n">
        <x:v>1</x:v>
      </x:c>
      <x:c r="F1890" s="46" t="n">
        <x:v>1</x:v>
      </x:c>
      <x:c r="G1890" s="46" t="n">
        <x:v>1</x:v>
      </x:c>
      <x:c r="H1890" s="46" t="n">
        <x:v>1</x:v>
      </x:c>
      <x:c r="I1890" s="46" t="n">
        <x:v>1</x:v>
      </x:c>
      <x:c r="J1890" s="46" t="n">
        <x:v>1</x:v>
      </x:c>
      <x:c r="K1890" s="46" t="n">
        <x:v>1</x:v>
      </x:c>
      <x:c r="L1890" s="46" t="n">
        <x:v>1</x:v>
      </x:c>
      <x:c r="M1890" s="27" t="n">
        <x:v>1</x:v>
      </x:c>
    </x:row>
    <x:row r="1891" ht="15" hidden="0" customHeight="1">
      <x:c r="A1891" s="29" t="n">
        <x:v>387</x:v>
      </x:c>
      <x:c r="B1891" s="29" t="n">
        <x:v>331291</x:v>
      </x:c>
      <x:c r="C1891" s="29" t="str">
        <x:v>A3</x:v>
      </x:c>
      <x:c r="D1891" s="53" t="n">
        <x:v>2500</x:v>
      </x:c>
      <x:c r="E1891" s="47" t="n">
        <x:v>1</x:v>
      </x:c>
      <x:c r="F1891" s="47" t="n">
        <x:v>1</x:v>
      </x:c>
      <x:c r="G1891" s="47" t="n">
        <x:v>1</x:v>
      </x:c>
      <x:c r="H1891" s="47" t="n">
        <x:v>1</x:v>
      </x:c>
      <x:c r="I1891" s="47" t="n">
        <x:v>1</x:v>
      </x:c>
      <x:c r="J1891" s="47" t="n">
        <x:v>1</x:v>
      </x:c>
      <x:c r="K1891" s="47" t="n">
        <x:v>1</x:v>
      </x:c>
      <x:c r="L1891" s="47" t="n">
        <x:v>1</x:v>
      </x:c>
      <x:c r="M1891" s="29" t="n">
        <x:v>1</x:v>
      </x:c>
    </x:row>
    <x:row r="1892" ht="15" hidden="0" customHeight="1">
      <x:c r="A1892" s="27" t="n">
        <x:v>388</x:v>
      </x:c>
      <x:c r="B1892" s="27" t="n">
        <x:v>331292</x:v>
      </x:c>
      <x:c r="C1892" s="27" t="str">
        <x:v>A3</x:v>
      </x:c>
      <x:c r="D1892" s="52" t="n">
        <x:v>2500</x:v>
      </x:c>
      <x:c r="E1892" s="46" t="n">
        <x:v>1</x:v>
      </x:c>
      <x:c r="F1892" s="46" t="n">
        <x:v>1</x:v>
      </x:c>
      <x:c r="G1892" s="46" t="n">
        <x:v>1</x:v>
      </x:c>
      <x:c r="H1892" s="46" t="n">
        <x:v>1</x:v>
      </x:c>
      <x:c r="I1892" s="46" t="n">
        <x:v>1</x:v>
      </x:c>
      <x:c r="J1892" s="46" t="n">
        <x:v>1</x:v>
      </x:c>
      <x:c r="K1892" s="46" t="n">
        <x:v>1</x:v>
      </x:c>
      <x:c r="L1892" s="46" t="n">
        <x:v>1</x:v>
      </x:c>
      <x:c r="M1892" s="27" t="n">
        <x:v>1</x:v>
      </x:c>
    </x:row>
    <x:row r="1893" ht="15" hidden="0" customHeight="1">
      <x:c r="A1893" s="29" t="n">
        <x:v>389</x:v>
      </x:c>
      <x:c r="B1893" s="29" t="n">
        <x:v>331293</x:v>
      </x:c>
      <x:c r="C1893" s="29" t="str">
        <x:v>A3</x:v>
      </x:c>
      <x:c r="D1893" s="53" t="n">
        <x:v>2500</x:v>
      </x:c>
      <x:c r="E1893" s="47" t="n">
        <x:v>1</x:v>
      </x:c>
      <x:c r="F1893" s="47" t="n">
        <x:v>1</x:v>
      </x:c>
      <x:c r="G1893" s="47" t="n">
        <x:v>1</x:v>
      </x:c>
      <x:c r="H1893" s="47" t="n">
        <x:v>1</x:v>
      </x:c>
      <x:c r="I1893" s="47" t="n">
        <x:v>1</x:v>
      </x:c>
      <x:c r="J1893" s="47" t="n">
        <x:v>1</x:v>
      </x:c>
      <x:c r="K1893" s="47" t="n">
        <x:v>1</x:v>
      </x:c>
      <x:c r="L1893" s="47" t="n">
        <x:v>1</x:v>
      </x:c>
      <x:c r="M1893" s="29" t="n">
        <x:v>1</x:v>
      </x:c>
    </x:row>
    <x:row r="1894" ht="15" hidden="0" customHeight="1">
      <x:c r="A1894" s="27" t="n">
        <x:v>390</x:v>
      </x:c>
      <x:c r="B1894" s="27" t="n">
        <x:v>331294</x:v>
      </x:c>
      <x:c r="C1894" s="27" t="str">
        <x:v>A3</x:v>
      </x:c>
      <x:c r="D1894" s="52" t="n">
        <x:v>2500</x:v>
      </x:c>
      <x:c r="E1894" s="46" t="n">
        <x:v>1</x:v>
      </x:c>
      <x:c r="F1894" s="46" t="n">
        <x:v>1</x:v>
      </x:c>
      <x:c r="G1894" s="46" t="n">
        <x:v>1</x:v>
      </x:c>
      <x:c r="H1894" s="46" t="n">
        <x:v>1</x:v>
      </x:c>
      <x:c r="I1894" s="46" t="n">
        <x:v>1</x:v>
      </x:c>
      <x:c r="J1894" s="46" t="n">
        <x:v>1</x:v>
      </x:c>
      <x:c r="K1894" s="46" t="n">
        <x:v>1</x:v>
      </x:c>
      <x:c r="L1894" s="46" t="n">
        <x:v>1</x:v>
      </x:c>
      <x:c r="M1894" s="27" t="n">
        <x:v>1</x:v>
      </x:c>
    </x:row>
    <x:row r="1895" ht="15" hidden="0" customHeight="1">
      <x:c r="A1895" s="29" t="n">
        <x:v>391</x:v>
      </x:c>
      <x:c r="B1895" s="29" t="n">
        <x:v>331295</x:v>
      </x:c>
      <x:c r="C1895" s="29" t="str">
        <x:v>A3</x:v>
      </x:c>
      <x:c r="D1895" s="53" t="n">
        <x:v>2500</x:v>
      </x:c>
      <x:c r="E1895" s="47" t="n">
        <x:v>1</x:v>
      </x:c>
      <x:c r="F1895" s="47" t="n">
        <x:v>1</x:v>
      </x:c>
      <x:c r="G1895" s="47" t="n">
        <x:v>1</x:v>
      </x:c>
      <x:c r="H1895" s="47" t="n">
        <x:v>1</x:v>
      </x:c>
      <x:c r="I1895" s="47" t="n">
        <x:v>1</x:v>
      </x:c>
      <x:c r="J1895" s="47" t="n">
        <x:v>1</x:v>
      </x:c>
      <x:c r="K1895" s="47" t="n">
        <x:v>1</x:v>
      </x:c>
      <x:c r="L1895" s="47" t="n">
        <x:v>1</x:v>
      </x:c>
      <x:c r="M1895" s="29" t="n">
        <x:v>1</x:v>
      </x:c>
    </x:row>
    <x:row r="1896" ht="15" hidden="0" customHeight="1">
      <x:c r="A1896" s="27" t="n">
        <x:v>392</x:v>
      </x:c>
      <x:c r="B1896" s="27" t="n">
        <x:v>331296</x:v>
      </x:c>
      <x:c r="C1896" s="27" t="str">
        <x:v>A3</x:v>
      </x:c>
      <x:c r="D1896" s="52" t="n">
        <x:v>2500</x:v>
      </x:c>
      <x:c r="E1896" s="46" t="n">
        <x:v>1</x:v>
      </x:c>
      <x:c r="F1896" s="46" t="n">
        <x:v>1</x:v>
      </x:c>
      <x:c r="G1896" s="46" t="n">
        <x:v>1</x:v>
      </x:c>
      <x:c r="H1896" s="46" t="n">
        <x:v>1</x:v>
      </x:c>
      <x:c r="I1896" s="46" t="n">
        <x:v>1</x:v>
      </x:c>
      <x:c r="J1896" s="46" t="n">
        <x:v>1</x:v>
      </x:c>
      <x:c r="K1896" s="46" t="n">
        <x:v>1</x:v>
      </x:c>
      <x:c r="L1896" s="46" t="n">
        <x:v>1</x:v>
      </x:c>
      <x:c r="M1896" s="27" t="n">
        <x:v>1</x:v>
      </x:c>
    </x:row>
    <x:row r="1897" ht="15" hidden="0" customHeight="1">
      <x:c r="A1897" s="29" t="n">
        <x:v>393</x:v>
      </x:c>
      <x:c r="B1897" s="29" t="n">
        <x:v>331297</x:v>
      </x:c>
      <x:c r="C1897" s="29" t="str">
        <x:v>A3</x:v>
      </x:c>
      <x:c r="D1897" s="53" t="n">
        <x:v>2500</x:v>
      </x:c>
      <x:c r="E1897" s="47" t="n">
        <x:v>1</x:v>
      </x:c>
      <x:c r="F1897" s="47" t="n">
        <x:v>1</x:v>
      </x:c>
      <x:c r="G1897" s="47" t="n">
        <x:v>1</x:v>
      </x:c>
      <x:c r="H1897" s="47" t="n">
        <x:v>1</x:v>
      </x:c>
      <x:c r="I1897" s="47" t="n">
        <x:v>1</x:v>
      </x:c>
      <x:c r="J1897" s="47" t="n">
        <x:v>1</x:v>
      </x:c>
      <x:c r="K1897" s="47" t="n">
        <x:v>1</x:v>
      </x:c>
      <x:c r="L1897" s="47" t="n">
        <x:v>1</x:v>
      </x:c>
      <x:c r="M1897" s="29" t="n">
        <x:v>1</x:v>
      </x:c>
    </x:row>
    <x:row r="1898" ht="15" hidden="0" customHeight="1">
      <x:c r="A1898" s="27" t="n">
        <x:v>394</x:v>
      </x:c>
      <x:c r="B1898" s="27" t="n">
        <x:v>331298</x:v>
      </x:c>
      <x:c r="C1898" s="27" t="str">
        <x:v>A3</x:v>
      </x:c>
      <x:c r="D1898" s="52" t="n">
        <x:v>2500</x:v>
      </x:c>
      <x:c r="E1898" s="46" t="n">
        <x:v>1</x:v>
      </x:c>
      <x:c r="F1898" s="46" t="n">
        <x:v>1</x:v>
      </x:c>
      <x:c r="G1898" s="46" t="n">
        <x:v>1</x:v>
      </x:c>
      <x:c r="H1898" s="46" t="n">
        <x:v>1</x:v>
      </x:c>
      <x:c r="I1898" s="46" t="n">
        <x:v>1</x:v>
      </x:c>
      <x:c r="J1898" s="46" t="n">
        <x:v>1</x:v>
      </x:c>
      <x:c r="K1898" s="46" t="n">
        <x:v>1</x:v>
      </x:c>
      <x:c r="L1898" s="46" t="n">
        <x:v>1</x:v>
      </x:c>
      <x:c r="M1898" s="27" t="n">
        <x:v>1</x:v>
      </x:c>
    </x:row>
    <x:row r="1899" ht="15" hidden="0" customHeight="1">
      <x:c r="A1899" s="29" t="n">
        <x:v>395</x:v>
      </x:c>
      <x:c r="B1899" s="29" t="n">
        <x:v>331299</x:v>
      </x:c>
      <x:c r="C1899" s="29" t="str">
        <x:v>A3</x:v>
      </x:c>
      <x:c r="D1899" s="53" t="n">
        <x:v>2500</x:v>
      </x:c>
      <x:c r="E1899" s="47" t="n">
        <x:v>1</x:v>
      </x:c>
      <x:c r="F1899" s="47" t="n">
        <x:v>1</x:v>
      </x:c>
      <x:c r="G1899" s="47" t="n">
        <x:v>1</x:v>
      </x:c>
      <x:c r="H1899" s="47" t="n">
        <x:v>1</x:v>
      </x:c>
      <x:c r="I1899" s="47" t="n">
        <x:v>1</x:v>
      </x:c>
      <x:c r="J1899" s="47" t="n">
        <x:v>1</x:v>
      </x:c>
      <x:c r="K1899" s="47" t="n">
        <x:v>1</x:v>
      </x:c>
      <x:c r="L1899" s="47" t="n">
        <x:v>1</x:v>
      </x:c>
      <x:c r="M1899" s="29" t="n">
        <x:v>1</x:v>
      </x:c>
    </x:row>
    <x:row r="1900" ht="15" hidden="0" customHeight="1">
      <x:c r="A1900" s="27" t="n">
        <x:v>396</x:v>
      </x:c>
      <x:c r="B1900" s="27" t="n">
        <x:v>331300</x:v>
      </x:c>
      <x:c r="C1900" s="27" t="str">
        <x:v>A3</x:v>
      </x:c>
      <x:c r="D1900" s="52" t="n">
        <x:v>2500</x:v>
      </x:c>
      <x:c r="E1900" s="46" t="n">
        <x:v>1</x:v>
      </x:c>
      <x:c r="F1900" s="46" t="n">
        <x:v>1</x:v>
      </x:c>
      <x:c r="G1900" s="46" t="n">
        <x:v>1</x:v>
      </x:c>
      <x:c r="H1900" s="46" t="n">
        <x:v>1</x:v>
      </x:c>
      <x:c r="I1900" s="46" t="n">
        <x:v>1</x:v>
      </x:c>
      <x:c r="J1900" s="46" t="n">
        <x:v>1</x:v>
      </x:c>
      <x:c r="K1900" s="46" t="n">
        <x:v>1</x:v>
      </x:c>
      <x:c r="L1900" s="46" t="n">
        <x:v>1</x:v>
      </x:c>
      <x:c r="M1900" s="27" t="n">
        <x:v>1</x:v>
      </x:c>
    </x:row>
    <x:row r="1901" ht="15" hidden="0" customHeight="1">
      <x:c r="A1901" s="29" t="n">
        <x:v>397</x:v>
      </x:c>
      <x:c r="B1901" s="29" t="n">
        <x:v>331301</x:v>
      </x:c>
      <x:c r="C1901" s="29" t="str">
        <x:v>A3</x:v>
      </x:c>
      <x:c r="D1901" s="53" t="n">
        <x:v>2500</x:v>
      </x:c>
      <x:c r="E1901" s="47" t="n">
        <x:v>1</x:v>
      </x:c>
      <x:c r="F1901" s="47" t="n">
        <x:v>1</x:v>
      </x:c>
      <x:c r="G1901" s="47" t="n">
        <x:v>1</x:v>
      </x:c>
      <x:c r="H1901" s="47" t="n">
        <x:v>1</x:v>
      </x:c>
      <x:c r="I1901" s="47" t="n">
        <x:v>1</x:v>
      </x:c>
      <x:c r="J1901" s="47" t="n">
        <x:v>1</x:v>
      </x:c>
      <x:c r="K1901" s="47" t="n">
        <x:v>1</x:v>
      </x:c>
      <x:c r="L1901" s="47" t="n">
        <x:v>1</x:v>
      </x:c>
      <x:c r="M1901" s="29" t="n">
        <x:v>1</x:v>
      </x:c>
    </x:row>
    <x:row r="1902" ht="15" hidden="0" customHeight="1">
      <x:c r="A1902" s="27" t="n">
        <x:v>398</x:v>
      </x:c>
      <x:c r="B1902" s="27" t="n">
        <x:v>331302</x:v>
      </x:c>
      <x:c r="C1902" s="27" t="str">
        <x:v>A3</x:v>
      </x:c>
      <x:c r="D1902" s="52" t="n">
        <x:v>2500</x:v>
      </x:c>
      <x:c r="E1902" s="46" t="n">
        <x:v>1</x:v>
      </x:c>
      <x:c r="F1902" s="46" t="n">
        <x:v>1</x:v>
      </x:c>
      <x:c r="G1902" s="46" t="n">
        <x:v>1</x:v>
      </x:c>
      <x:c r="H1902" s="46" t="n">
        <x:v>1</x:v>
      </x:c>
      <x:c r="I1902" s="46" t="n">
        <x:v>1</x:v>
      </x:c>
      <x:c r="J1902" s="46" t="n">
        <x:v>1</x:v>
      </x:c>
      <x:c r="K1902" s="46" t="n">
        <x:v>1</x:v>
      </x:c>
      <x:c r="L1902" s="46" t="n">
        <x:v>1</x:v>
      </x:c>
      <x:c r="M1902" s="27" t="n">
        <x:v>1</x:v>
      </x:c>
    </x:row>
    <x:row r="1903" ht="15" hidden="0" customHeight="1">
      <x:c r="A1903" s="29" t="n">
        <x:v>399</x:v>
      </x:c>
      <x:c r="B1903" s="29" t="n">
        <x:v>331303</x:v>
      </x:c>
      <x:c r="C1903" s="29" t="str">
        <x:v>A3</x:v>
      </x:c>
      <x:c r="D1903" s="53" t="n">
        <x:v>2500</x:v>
      </x:c>
      <x:c r="E1903" s="47" t="n">
        <x:v>1</x:v>
      </x:c>
      <x:c r="F1903" s="47" t="n">
        <x:v>1</x:v>
      </x:c>
      <x:c r="G1903" s="47" t="n">
        <x:v>1</x:v>
      </x:c>
      <x:c r="H1903" s="47" t="n">
        <x:v>1</x:v>
      </x:c>
      <x:c r="I1903" s="47" t="n">
        <x:v>1</x:v>
      </x:c>
      <x:c r="J1903" s="47" t="n">
        <x:v>1</x:v>
      </x:c>
      <x:c r="K1903" s="47" t="n">
        <x:v>1</x:v>
      </x:c>
      <x:c r="L1903" s="47" t="n">
        <x:v>1</x:v>
      </x:c>
      <x:c r="M1903" s="29" t="n">
        <x:v>1</x:v>
      </x:c>
    </x:row>
    <x:row r="1904" ht="15" hidden="0" customHeight="1">
      <x:c r="A1904" s="27" t="n">
        <x:v>400</x:v>
      </x:c>
      <x:c r="B1904" s="27" t="n">
        <x:v>331304</x:v>
      </x:c>
      <x:c r="C1904" s="27" t="str">
        <x:v>A3</x:v>
      </x:c>
      <x:c r="D1904" s="52" t="n">
        <x:v>2500</x:v>
      </x:c>
      <x:c r="E1904" s="46" t="n">
        <x:v>1</x:v>
      </x:c>
      <x:c r="F1904" s="46" t="n">
        <x:v>1</x:v>
      </x:c>
      <x:c r="G1904" s="46" t="n">
        <x:v>1</x:v>
      </x:c>
      <x:c r="H1904" s="46" t="n">
        <x:v>1</x:v>
      </x:c>
      <x:c r="I1904" s="46" t="n">
        <x:v>1</x:v>
      </x:c>
      <x:c r="J1904" s="46" t="n">
        <x:v>1</x:v>
      </x:c>
      <x:c r="K1904" s="46" t="n">
        <x:v>1</x:v>
      </x:c>
      <x:c r="L1904" s="46" t="n">
        <x:v>1</x:v>
      </x:c>
      <x:c r="M1904" s="27" t="n">
        <x:v>1</x:v>
      </x:c>
    </x:row>
    <x:row r="1905" ht="15" hidden="0" customHeight="1">
      <x:c r="A1905" s="29" t="n">
        <x:v>401</x:v>
      </x:c>
      <x:c r="B1905" s="29" t="n">
        <x:v>331305</x:v>
      </x:c>
      <x:c r="C1905" s="29" t="str">
        <x:v>A3</x:v>
      </x:c>
      <x:c r="D1905" s="53" t="n">
        <x:v>2500</x:v>
      </x:c>
      <x:c r="E1905" s="47" t="n">
        <x:v>1</x:v>
      </x:c>
      <x:c r="F1905" s="47" t="n">
        <x:v>1</x:v>
      </x:c>
      <x:c r="G1905" s="47" t="n">
        <x:v>1</x:v>
      </x:c>
      <x:c r="H1905" s="47" t="n">
        <x:v>1</x:v>
      </x:c>
      <x:c r="I1905" s="47" t="n">
        <x:v>1</x:v>
      </x:c>
      <x:c r="J1905" s="47" t="n">
        <x:v>1</x:v>
      </x:c>
      <x:c r="K1905" s="47" t="n">
        <x:v>1</x:v>
      </x:c>
      <x:c r="L1905" s="47" t="n">
        <x:v>1</x:v>
      </x:c>
      <x:c r="M1905" s="29" t="n">
        <x:v>1</x:v>
      </x:c>
    </x:row>
    <x:row r="1906" ht="15" hidden="0" customHeight="1">
      <x:c r="A1906" s="27" t="n">
        <x:v>402</x:v>
      </x:c>
      <x:c r="B1906" s="27" t="n">
        <x:v>331306</x:v>
      </x:c>
      <x:c r="C1906" s="27" t="str">
        <x:v>A3</x:v>
      </x:c>
      <x:c r="D1906" s="52" t="n">
        <x:v>2500</x:v>
      </x:c>
      <x:c r="E1906" s="46" t="n">
        <x:v>1</x:v>
      </x:c>
      <x:c r="F1906" s="46" t="n">
        <x:v>1</x:v>
      </x:c>
      <x:c r="G1906" s="46" t="n">
        <x:v>1</x:v>
      </x:c>
      <x:c r="H1906" s="46" t="n">
        <x:v>1</x:v>
      </x:c>
      <x:c r="I1906" s="46" t="n">
        <x:v>1</x:v>
      </x:c>
      <x:c r="J1906" s="46" t="n">
        <x:v>1</x:v>
      </x:c>
      <x:c r="K1906" s="46" t="n">
        <x:v>1</x:v>
      </x:c>
      <x:c r="L1906" s="46" t="n">
        <x:v>1</x:v>
      </x:c>
      <x:c r="M1906" s="27" t="n">
        <x:v>1</x:v>
      </x:c>
    </x:row>
    <x:row r="1907" ht="15" hidden="0" customHeight="1">
      <x:c r="A1907" s="29" t="n">
        <x:v>403</x:v>
      </x:c>
      <x:c r="B1907" s="29" t="n">
        <x:v>331307</x:v>
      </x:c>
      <x:c r="C1907" s="29" t="str">
        <x:v>A3</x:v>
      </x:c>
      <x:c r="D1907" s="53" t="n">
        <x:v>2500</x:v>
      </x:c>
      <x:c r="E1907" s="47" t="n">
        <x:v>1</x:v>
      </x:c>
      <x:c r="F1907" s="47" t="n">
        <x:v>1</x:v>
      </x:c>
      <x:c r="G1907" s="47" t="n">
        <x:v>1</x:v>
      </x:c>
      <x:c r="H1907" s="47" t="n">
        <x:v>1</x:v>
      </x:c>
      <x:c r="I1907" s="47" t="n">
        <x:v>1</x:v>
      </x:c>
      <x:c r="J1907" s="47" t="n">
        <x:v>1</x:v>
      </x:c>
      <x:c r="K1907" s="47" t="n">
        <x:v>1</x:v>
      </x:c>
      <x:c r="L1907" s="47" t="n">
        <x:v>1</x:v>
      </x:c>
      <x:c r="M1907" s="29" t="n">
        <x:v>1</x:v>
      </x:c>
    </x:row>
    <x:row r="1908" ht="15" hidden="0" customHeight="1">
      <x:c r="A1908" s="27" t="n">
        <x:v>404</x:v>
      </x:c>
      <x:c r="B1908" s="27" t="n">
        <x:v>331308</x:v>
      </x:c>
      <x:c r="C1908" s="27" t="str">
        <x:v>A3</x:v>
      </x:c>
      <x:c r="D1908" s="52" t="n">
        <x:v>2500</x:v>
      </x:c>
      <x:c r="E1908" s="46" t="n">
        <x:v>1</x:v>
      </x:c>
      <x:c r="F1908" s="46" t="n">
        <x:v>1</x:v>
      </x:c>
      <x:c r="G1908" s="46" t="n">
        <x:v>1</x:v>
      </x:c>
      <x:c r="H1908" s="46" t="n">
        <x:v>1</x:v>
      </x:c>
      <x:c r="I1908" s="46" t="n">
        <x:v>1</x:v>
      </x:c>
      <x:c r="J1908" s="46" t="n">
        <x:v>1</x:v>
      </x:c>
      <x:c r="K1908" s="46" t="n">
        <x:v>1</x:v>
      </x:c>
      <x:c r="L1908" s="46" t="n">
        <x:v>1</x:v>
      </x:c>
      <x:c r="M1908" s="27" t="n">
        <x:v>1</x:v>
      </x:c>
    </x:row>
    <x:row r="1909" ht="15" hidden="0" customHeight="1">
      <x:c r="A1909" s="29" t="n">
        <x:v>405</x:v>
      </x:c>
      <x:c r="B1909" s="29" t="n">
        <x:v>331309</x:v>
      </x:c>
      <x:c r="C1909" s="29" t="str">
        <x:v>A3</x:v>
      </x:c>
      <x:c r="D1909" s="53" t="n">
        <x:v>2500</x:v>
      </x:c>
      <x:c r="E1909" s="47" t="n">
        <x:v>1</x:v>
      </x:c>
      <x:c r="F1909" s="47" t="n">
        <x:v>1</x:v>
      </x:c>
      <x:c r="G1909" s="47" t="n">
        <x:v>1</x:v>
      </x:c>
      <x:c r="H1909" s="47" t="n">
        <x:v>1</x:v>
      </x:c>
      <x:c r="I1909" s="47" t="n">
        <x:v>1</x:v>
      </x:c>
      <x:c r="J1909" s="47" t="n">
        <x:v>1</x:v>
      </x:c>
      <x:c r="K1909" s="47" t="n">
        <x:v>1</x:v>
      </x:c>
      <x:c r="L1909" s="47" t="n">
        <x:v>1</x:v>
      </x:c>
      <x:c r="M1909" s="29" t="n">
        <x:v>1</x:v>
      </x:c>
    </x:row>
    <x:row r="1910" ht="15" hidden="0" customHeight="1">
      <x:c r="A1910" s="27" t="n">
        <x:v>406</x:v>
      </x:c>
      <x:c r="B1910" s="27" t="n">
        <x:v>331310</x:v>
      </x:c>
      <x:c r="C1910" s="27" t="str">
        <x:v>A3</x:v>
      </x:c>
      <x:c r="D1910" s="52" t="n">
        <x:v>2500</x:v>
      </x:c>
      <x:c r="E1910" s="46" t="n">
        <x:v>1</x:v>
      </x:c>
      <x:c r="F1910" s="46" t="n">
        <x:v>1</x:v>
      </x:c>
      <x:c r="G1910" s="46" t="n">
        <x:v>1</x:v>
      </x:c>
      <x:c r="H1910" s="46" t="n">
        <x:v>1</x:v>
      </x:c>
      <x:c r="I1910" s="46" t="n">
        <x:v>1</x:v>
      </x:c>
      <x:c r="J1910" s="46" t="n">
        <x:v>1</x:v>
      </x:c>
      <x:c r="K1910" s="46" t="n">
        <x:v>1</x:v>
      </x:c>
      <x:c r="L1910" s="46" t="n">
        <x:v>1</x:v>
      </x:c>
      <x:c r="M1910" s="27" t="n">
        <x:v>1</x:v>
      </x:c>
    </x:row>
    <x:row r="1911" ht="15" hidden="0" customHeight="1">
      <x:c r="A1911" s="29" t="n">
        <x:v>407</x:v>
      </x:c>
      <x:c r="B1911" s="29" t="n">
        <x:v>331311</x:v>
      </x:c>
      <x:c r="C1911" s="29" t="str">
        <x:v>A3</x:v>
      </x:c>
      <x:c r="D1911" s="53" t="n">
        <x:v>2500</x:v>
      </x:c>
      <x:c r="E1911" s="47" t="n">
        <x:v>1</x:v>
      </x:c>
      <x:c r="F1911" s="47" t="n">
        <x:v>1</x:v>
      </x:c>
      <x:c r="G1911" s="47" t="n">
        <x:v>1</x:v>
      </x:c>
      <x:c r="H1911" s="47" t="n">
        <x:v>1</x:v>
      </x:c>
      <x:c r="I1911" s="47" t="n">
        <x:v>1</x:v>
      </x:c>
      <x:c r="J1911" s="47" t="n">
        <x:v>1</x:v>
      </x:c>
      <x:c r="K1911" s="47" t="n">
        <x:v>1</x:v>
      </x:c>
      <x:c r="L1911" s="47" t="n">
        <x:v>1</x:v>
      </x:c>
      <x:c r="M1911" s="29" t="n">
        <x:v>1</x:v>
      </x:c>
    </x:row>
    <x:row r="1912" ht="15" hidden="0" customHeight="1">
      <x:c r="A1912" s="27" t="n">
        <x:v>408</x:v>
      </x:c>
      <x:c r="B1912" s="27" t="n">
        <x:v>331312</x:v>
      </x:c>
      <x:c r="C1912" s="27" t="str">
        <x:v>A3</x:v>
      </x:c>
      <x:c r="D1912" s="52" t="n">
        <x:v>2500</x:v>
      </x:c>
      <x:c r="E1912" s="46" t="n">
        <x:v>1</x:v>
      </x:c>
      <x:c r="F1912" s="46" t="n">
        <x:v>1</x:v>
      </x:c>
      <x:c r="G1912" s="46" t="n">
        <x:v>1</x:v>
      </x:c>
      <x:c r="H1912" s="46" t="n">
        <x:v>1</x:v>
      </x:c>
      <x:c r="I1912" s="46" t="n">
        <x:v>1</x:v>
      </x:c>
      <x:c r="J1912" s="46" t="n">
        <x:v>1</x:v>
      </x:c>
      <x:c r="K1912" s="46" t="n">
        <x:v>1</x:v>
      </x:c>
      <x:c r="L1912" s="46" t="n">
        <x:v>1</x:v>
      </x:c>
      <x:c r="M1912" s="27" t="n">
        <x:v>1</x:v>
      </x:c>
    </x:row>
    <x:row r="1913" ht="15" hidden="0" customHeight="1">
      <x:c r="A1913" s="29" t="n">
        <x:v>409</x:v>
      </x:c>
      <x:c r="B1913" s="29" t="n">
        <x:v>331313</x:v>
      </x:c>
      <x:c r="C1913" s="29" t="str">
        <x:v>A3</x:v>
      </x:c>
      <x:c r="D1913" s="53" t="n">
        <x:v>2500</x:v>
      </x:c>
      <x:c r="E1913" s="47" t="n">
        <x:v>1</x:v>
      </x:c>
      <x:c r="F1913" s="47" t="n">
        <x:v>1</x:v>
      </x:c>
      <x:c r="G1913" s="47" t="n">
        <x:v>1</x:v>
      </x:c>
      <x:c r="H1913" s="47" t="n">
        <x:v>1</x:v>
      </x:c>
      <x:c r="I1913" s="47" t="n">
        <x:v>1</x:v>
      </x:c>
      <x:c r="J1913" s="47" t="n">
        <x:v>1</x:v>
      </x:c>
      <x:c r="K1913" s="47" t="n">
        <x:v>1</x:v>
      </x:c>
      <x:c r="L1913" s="47" t="n">
        <x:v>1</x:v>
      </x:c>
      <x:c r="M1913" s="29" t="n">
        <x:v>1</x:v>
      </x:c>
    </x:row>
    <x:row r="1914" ht="15" hidden="0" customHeight="1">
      <x:c r="A1914" s="27" t="n">
        <x:v>410</x:v>
      </x:c>
      <x:c r="B1914" s="27" t="n">
        <x:v>331314</x:v>
      </x:c>
      <x:c r="C1914" s="27" t="str">
        <x:v>A3</x:v>
      </x:c>
      <x:c r="D1914" s="52" t="n">
        <x:v>2500</x:v>
      </x:c>
      <x:c r="E1914" s="46" t="n">
        <x:v>1</x:v>
      </x:c>
      <x:c r="F1914" s="46" t="n">
        <x:v>1</x:v>
      </x:c>
      <x:c r="G1914" s="46" t="n">
        <x:v>1</x:v>
      </x:c>
      <x:c r="H1914" s="46" t="n">
        <x:v>1</x:v>
      </x:c>
      <x:c r="I1914" s="46" t="n">
        <x:v>1</x:v>
      </x:c>
      <x:c r="J1914" s="46" t="n">
        <x:v>1</x:v>
      </x:c>
      <x:c r="K1914" s="46" t="n">
        <x:v>1</x:v>
      </x:c>
      <x:c r="L1914" s="46" t="n">
        <x:v>1</x:v>
      </x:c>
      <x:c r="M1914" s="27" t="n">
        <x:v>1</x:v>
      </x:c>
    </x:row>
    <x:row r="1915" ht="15" hidden="0" customHeight="1">
      <x:c r="A1915" s="29" t="n">
        <x:v>411</x:v>
      </x:c>
      <x:c r="B1915" s="29" t="n">
        <x:v>331315</x:v>
      </x:c>
      <x:c r="C1915" s="29" t="str">
        <x:v>A3</x:v>
      </x:c>
      <x:c r="D1915" s="53" t="n">
        <x:v>2500</x:v>
      </x:c>
      <x:c r="E1915" s="47" t="n">
        <x:v>1</x:v>
      </x:c>
      <x:c r="F1915" s="47" t="n">
        <x:v>1</x:v>
      </x:c>
      <x:c r="G1915" s="47" t="n">
        <x:v>1</x:v>
      </x:c>
      <x:c r="H1915" s="47" t="n">
        <x:v>1</x:v>
      </x:c>
      <x:c r="I1915" s="47" t="n">
        <x:v>1</x:v>
      </x:c>
      <x:c r="J1915" s="47" t="n">
        <x:v>1</x:v>
      </x:c>
      <x:c r="K1915" s="47" t="n">
        <x:v>1</x:v>
      </x:c>
      <x:c r="L1915" s="47" t="n">
        <x:v>1</x:v>
      </x:c>
      <x:c r="M1915" s="29" t="n">
        <x:v>1</x:v>
      </x:c>
    </x:row>
    <x:row r="1916" ht="15" hidden="0" customHeight="1">
      <x:c r="A1916" s="27" t="n">
        <x:v>412</x:v>
      </x:c>
      <x:c r="B1916" s="27" t="n">
        <x:v>331316</x:v>
      </x:c>
      <x:c r="C1916" s="27" t="str">
        <x:v>A3</x:v>
      </x:c>
      <x:c r="D1916" s="52" t="n">
        <x:v>2500</x:v>
      </x:c>
      <x:c r="E1916" s="46" t="n">
        <x:v>1</x:v>
      </x:c>
      <x:c r="F1916" s="46" t="n">
        <x:v>1</x:v>
      </x:c>
      <x:c r="G1916" s="46" t="n">
        <x:v>1</x:v>
      </x:c>
      <x:c r="H1916" s="46" t="n">
        <x:v>1</x:v>
      </x:c>
      <x:c r="I1916" s="46" t="n">
        <x:v>1</x:v>
      </x:c>
      <x:c r="J1916" s="46" t="n">
        <x:v>1</x:v>
      </x:c>
      <x:c r="K1916" s="46" t="n">
        <x:v>1</x:v>
      </x:c>
      <x:c r="L1916" s="46" t="n">
        <x:v>1</x:v>
      </x:c>
      <x:c r="M1916" s="27" t="n">
        <x:v>1</x:v>
      </x:c>
    </x:row>
    <x:row r="1917" ht="15" hidden="0" customHeight="1">
      <x:c r="A1917" s="29" t="n">
        <x:v>413</x:v>
      </x:c>
      <x:c r="B1917" s="29" t="n">
        <x:v>331317</x:v>
      </x:c>
      <x:c r="C1917" s="29" t="str">
        <x:v>A3</x:v>
      </x:c>
      <x:c r="D1917" s="53" t="n">
        <x:v>2500</x:v>
      </x:c>
      <x:c r="E1917" s="47" t="n">
        <x:v>1</x:v>
      </x:c>
      <x:c r="F1917" s="47" t="n">
        <x:v>1</x:v>
      </x:c>
      <x:c r="G1917" s="47" t="n">
        <x:v>1</x:v>
      </x:c>
      <x:c r="H1917" s="47" t="n">
        <x:v>1</x:v>
      </x:c>
      <x:c r="I1917" s="47" t="n">
        <x:v>1</x:v>
      </x:c>
      <x:c r="J1917" s="47" t="n">
        <x:v>1</x:v>
      </x:c>
      <x:c r="K1917" s="47" t="n">
        <x:v>1</x:v>
      </x:c>
      <x:c r="L1917" s="47" t="n">
        <x:v>1</x:v>
      </x:c>
      <x:c r="M1917" s="29" t="n">
        <x:v>1</x:v>
      </x:c>
    </x:row>
    <x:row r="1918" ht="15" hidden="0" customHeight="1">
      <x:c r="A1918" s="27" t="n">
        <x:v>414</x:v>
      </x:c>
      <x:c r="B1918" s="27" t="n">
        <x:v>331318</x:v>
      </x:c>
      <x:c r="C1918" s="27" t="str">
        <x:v>A3</x:v>
      </x:c>
      <x:c r="D1918" s="52" t="n">
        <x:v>2500</x:v>
      </x:c>
      <x:c r="E1918" s="46" t="n">
        <x:v>1</x:v>
      </x:c>
      <x:c r="F1918" s="46" t="n">
        <x:v>1</x:v>
      </x:c>
      <x:c r="G1918" s="46" t="n">
        <x:v>1</x:v>
      </x:c>
      <x:c r="H1918" s="46" t="n">
        <x:v>1</x:v>
      </x:c>
      <x:c r="I1918" s="46" t="n">
        <x:v>1</x:v>
      </x:c>
      <x:c r="J1918" s="46" t="n">
        <x:v>1</x:v>
      </x:c>
      <x:c r="K1918" s="46" t="n">
        <x:v>1</x:v>
      </x:c>
      <x:c r="L1918" s="46" t="n">
        <x:v>1</x:v>
      </x:c>
      <x:c r="M1918" s="27" t="n">
        <x:v>1</x:v>
      </x:c>
    </x:row>
    <x:row r="1919" ht="15" hidden="0" customHeight="1">
      <x:c r="A1919" s="29" t="n">
        <x:v>415</x:v>
      </x:c>
      <x:c r="B1919" s="29" t="n">
        <x:v>331319</x:v>
      </x:c>
      <x:c r="C1919" s="29" t="str">
        <x:v>A3</x:v>
      </x:c>
      <x:c r="D1919" s="53" t="n">
        <x:v>2500</x:v>
      </x:c>
      <x:c r="E1919" s="47" t="n">
        <x:v>1</x:v>
      </x:c>
      <x:c r="F1919" s="47" t="n">
        <x:v>1</x:v>
      </x:c>
      <x:c r="G1919" s="47" t="n">
        <x:v>1</x:v>
      </x:c>
      <x:c r="H1919" s="47" t="n">
        <x:v>1</x:v>
      </x:c>
      <x:c r="I1919" s="47" t="n">
        <x:v>1</x:v>
      </x:c>
      <x:c r="J1919" s="47" t="n">
        <x:v>1</x:v>
      </x:c>
      <x:c r="K1919" s="47" t="n">
        <x:v>1</x:v>
      </x:c>
      <x:c r="L1919" s="47" t="n">
        <x:v>1</x:v>
      </x:c>
      <x:c r="M1919" s="29" t="n">
        <x:v>1</x:v>
      </x:c>
    </x:row>
    <x:row r="1920" ht="15" hidden="0" customHeight="1">
      <x:c r="A1920" s="27" t="n">
        <x:v>416</x:v>
      </x:c>
      <x:c r="B1920" s="27" t="n">
        <x:v>331320</x:v>
      </x:c>
      <x:c r="C1920" s="27" t="str">
        <x:v>A3</x:v>
      </x:c>
      <x:c r="D1920" s="52" t="n">
        <x:v>2500</x:v>
      </x:c>
      <x:c r="E1920" s="46" t="n">
        <x:v>1</x:v>
      </x:c>
      <x:c r="F1920" s="46" t="n">
        <x:v>1</x:v>
      </x:c>
      <x:c r="G1920" s="46" t="n">
        <x:v>1</x:v>
      </x:c>
      <x:c r="H1920" s="46" t="n">
        <x:v>1</x:v>
      </x:c>
      <x:c r="I1920" s="46" t="n">
        <x:v>1</x:v>
      </x:c>
      <x:c r="J1920" s="46" t="n">
        <x:v>1</x:v>
      </x:c>
      <x:c r="K1920" s="46" t="n">
        <x:v>1</x:v>
      </x:c>
      <x:c r="L1920" s="46" t="n">
        <x:v>1</x:v>
      </x:c>
      <x:c r="M1920" s="27" t="n">
        <x:v>1</x:v>
      </x:c>
    </x:row>
    <x:row r="1921" ht="15" hidden="0" customHeight="1">
      <x:c r="A1921" s="29" t="n">
        <x:v>417</x:v>
      </x:c>
      <x:c r="B1921" s="29" t="n">
        <x:v>331321</x:v>
      </x:c>
      <x:c r="C1921" s="29" t="str">
        <x:v>A3</x:v>
      </x:c>
      <x:c r="D1921" s="53" t="n">
        <x:v>2500</x:v>
      </x:c>
      <x:c r="E1921" s="47" t="n">
        <x:v>1</x:v>
      </x:c>
      <x:c r="F1921" s="47" t="n">
        <x:v>1</x:v>
      </x:c>
      <x:c r="G1921" s="47" t="n">
        <x:v>1</x:v>
      </x:c>
      <x:c r="H1921" s="47" t="n">
        <x:v>1</x:v>
      </x:c>
      <x:c r="I1921" s="47" t="n">
        <x:v>1</x:v>
      </x:c>
      <x:c r="J1921" s="47" t="n">
        <x:v>1</x:v>
      </x:c>
      <x:c r="K1921" s="47" t="n">
        <x:v>1</x:v>
      </x:c>
      <x:c r="L1921" s="47" t="n">
        <x:v>1</x:v>
      </x:c>
      <x:c r="M1921" s="29" t="n">
        <x:v>1</x:v>
      </x:c>
    </x:row>
    <x:row r="1922" ht="15" hidden="0" customHeight="1">
      <x:c r="A1922" s="27" t="n">
        <x:v>418</x:v>
      </x:c>
      <x:c r="B1922" s="27" t="n">
        <x:v>331322</x:v>
      </x:c>
      <x:c r="C1922" s="27" t="str">
        <x:v>A3</x:v>
      </x:c>
      <x:c r="D1922" s="52" t="n">
        <x:v>2500</x:v>
      </x:c>
      <x:c r="E1922" s="46" t="n">
        <x:v>1</x:v>
      </x:c>
      <x:c r="F1922" s="46" t="n">
        <x:v>1</x:v>
      </x:c>
      <x:c r="G1922" s="46" t="n">
        <x:v>1</x:v>
      </x:c>
      <x:c r="H1922" s="46" t="n">
        <x:v>1</x:v>
      </x:c>
      <x:c r="I1922" s="46" t="n">
        <x:v>1</x:v>
      </x:c>
      <x:c r="J1922" s="46" t="n">
        <x:v>1</x:v>
      </x:c>
      <x:c r="K1922" s="46" t="n">
        <x:v>1</x:v>
      </x:c>
      <x:c r="L1922" s="46" t="n">
        <x:v>1</x:v>
      </x:c>
      <x:c r="M1922" s="27" t="n">
        <x:v>1</x:v>
      </x:c>
    </x:row>
    <x:row r="1923" ht="15" hidden="0" customHeight="1">
      <x:c r="A1923" s="29" t="n">
        <x:v>419</x:v>
      </x:c>
      <x:c r="B1923" s="29" t="n">
        <x:v>331323</x:v>
      </x:c>
      <x:c r="C1923" s="29" t="str">
        <x:v>A3</x:v>
      </x:c>
      <x:c r="D1923" s="53" t="n">
        <x:v>2500</x:v>
      </x:c>
      <x:c r="E1923" s="47" t="n">
        <x:v>1</x:v>
      </x:c>
      <x:c r="F1923" s="47" t="n">
        <x:v>1</x:v>
      </x:c>
      <x:c r="G1923" s="47" t="n">
        <x:v>1</x:v>
      </x:c>
      <x:c r="H1923" s="47" t="n">
        <x:v>1</x:v>
      </x:c>
      <x:c r="I1923" s="47" t="n">
        <x:v>1</x:v>
      </x:c>
      <x:c r="J1923" s="47" t="n">
        <x:v>1</x:v>
      </x:c>
      <x:c r="K1923" s="47" t="n">
        <x:v>1</x:v>
      </x:c>
      <x:c r="L1923" s="47" t="n">
        <x:v>1</x:v>
      </x:c>
      <x:c r="M1923" s="29" t="n">
        <x:v>1</x:v>
      </x:c>
    </x:row>
    <x:row r="1924" ht="15" hidden="0" customHeight="1">
      <x:c r="A1924" s="27" t="n">
        <x:v>420</x:v>
      </x:c>
      <x:c r="B1924" s="27" t="n">
        <x:v>331324</x:v>
      </x:c>
      <x:c r="C1924" s="27" t="str">
        <x:v>A3</x:v>
      </x:c>
      <x:c r="D1924" s="52" t="n">
        <x:v>2500</x:v>
      </x:c>
      <x:c r="E1924" s="46" t="n">
        <x:v>1</x:v>
      </x:c>
      <x:c r="F1924" s="46" t="n">
        <x:v>1</x:v>
      </x:c>
      <x:c r="G1924" s="46" t="n">
        <x:v>1</x:v>
      </x:c>
      <x:c r="H1924" s="46" t="n">
        <x:v>1</x:v>
      </x:c>
      <x:c r="I1924" s="46" t="n">
        <x:v>1</x:v>
      </x:c>
      <x:c r="J1924" s="46" t="n">
        <x:v>1</x:v>
      </x:c>
      <x:c r="K1924" s="46" t="n">
        <x:v>1</x:v>
      </x:c>
      <x:c r="L1924" s="46" t="n">
        <x:v>1</x:v>
      </x:c>
      <x:c r="M1924" s="27" t="n">
        <x:v>1</x:v>
      </x:c>
    </x:row>
    <x:row r="1925" ht="15" hidden="0" customHeight="1">
      <x:c r="A1925" s="29" t="n">
        <x:v>421</x:v>
      </x:c>
      <x:c r="B1925" s="29" t="n">
        <x:v>331325</x:v>
      </x:c>
      <x:c r="C1925" s="29" t="str">
        <x:v>A3</x:v>
      </x:c>
      <x:c r="D1925" s="53" t="n">
        <x:v>2500</x:v>
      </x:c>
      <x:c r="E1925" s="47" t="n">
        <x:v>1</x:v>
      </x:c>
      <x:c r="F1925" s="47" t="n">
        <x:v>1</x:v>
      </x:c>
      <x:c r="G1925" s="47" t="n">
        <x:v>1</x:v>
      </x:c>
      <x:c r="H1925" s="47" t="n">
        <x:v>1</x:v>
      </x:c>
      <x:c r="I1925" s="47" t="n">
        <x:v>1</x:v>
      </x:c>
      <x:c r="J1925" s="47" t="n">
        <x:v>1</x:v>
      </x:c>
      <x:c r="K1925" s="47" t="n">
        <x:v>1</x:v>
      </x:c>
      <x:c r="L1925" s="47" t="n">
        <x:v>1</x:v>
      </x:c>
      <x:c r="M1925" s="29" t="n">
        <x:v>1</x:v>
      </x:c>
    </x:row>
    <x:row r="1926" ht="15" hidden="0" customHeight="1">
      <x:c r="A1926" s="27" t="n">
        <x:v>422</x:v>
      </x:c>
      <x:c r="B1926" s="27" t="n">
        <x:v>331326</x:v>
      </x:c>
      <x:c r="C1926" s="27" t="str">
        <x:v>A3</x:v>
      </x:c>
      <x:c r="D1926" s="52" t="n">
        <x:v>2500</x:v>
      </x:c>
      <x:c r="E1926" s="46" t="n">
        <x:v>1</x:v>
      </x:c>
      <x:c r="F1926" s="46" t="n">
        <x:v>1</x:v>
      </x:c>
      <x:c r="G1926" s="46" t="n">
        <x:v>1</x:v>
      </x:c>
      <x:c r="H1926" s="46" t="n">
        <x:v>1</x:v>
      </x:c>
      <x:c r="I1926" s="46" t="n">
        <x:v>1</x:v>
      </x:c>
      <x:c r="J1926" s="46" t="n">
        <x:v>1</x:v>
      </x:c>
      <x:c r="K1926" s="46" t="n">
        <x:v>1</x:v>
      </x:c>
      <x:c r="L1926" s="46" t="n">
        <x:v>1</x:v>
      </x:c>
      <x:c r="M1926" s="27" t="n">
        <x:v>1</x:v>
      </x:c>
    </x:row>
    <x:row r="1927" ht="15" hidden="0" customHeight="1">
      <x:c r="A1927" s="29" t="n">
        <x:v>423</x:v>
      </x:c>
      <x:c r="B1927" s="29" t="n">
        <x:v>331327</x:v>
      </x:c>
      <x:c r="C1927" s="29" t="str">
        <x:v>A3</x:v>
      </x:c>
      <x:c r="D1927" s="53" t="n">
        <x:v>2500</x:v>
      </x:c>
      <x:c r="E1927" s="47" t="n">
        <x:v>1</x:v>
      </x:c>
      <x:c r="F1927" s="47" t="n">
        <x:v>1</x:v>
      </x:c>
      <x:c r="G1927" s="47" t="n">
        <x:v>1</x:v>
      </x:c>
      <x:c r="H1927" s="47" t="n">
        <x:v>1</x:v>
      </x:c>
      <x:c r="I1927" s="47" t="n">
        <x:v>1</x:v>
      </x:c>
      <x:c r="J1927" s="47" t="n">
        <x:v>1</x:v>
      </x:c>
      <x:c r="K1927" s="47" t="n">
        <x:v>1</x:v>
      </x:c>
      <x:c r="L1927" s="47" t="n">
        <x:v>1</x:v>
      </x:c>
      <x:c r="M1927" s="29" t="n">
        <x:v>1</x:v>
      </x:c>
    </x:row>
    <x:row r="1928" ht="15" hidden="0" customHeight="1">
      <x:c r="A1928" s="27" t="n">
        <x:v>424</x:v>
      </x:c>
      <x:c r="B1928" s="27" t="n">
        <x:v>331328</x:v>
      </x:c>
      <x:c r="C1928" s="27" t="str">
        <x:v>A3</x:v>
      </x:c>
      <x:c r="D1928" s="52" t="n">
        <x:v>2500</x:v>
      </x:c>
      <x:c r="E1928" s="46" t="n">
        <x:v>1</x:v>
      </x:c>
      <x:c r="F1928" s="46" t="n">
        <x:v>1</x:v>
      </x:c>
      <x:c r="G1928" s="46" t="n">
        <x:v>1</x:v>
      </x:c>
      <x:c r="H1928" s="46" t="n">
        <x:v>1</x:v>
      </x:c>
      <x:c r="I1928" s="46" t="n">
        <x:v>1</x:v>
      </x:c>
      <x:c r="J1928" s="46" t="n">
        <x:v>1</x:v>
      </x:c>
      <x:c r="K1928" s="46" t="n">
        <x:v>1</x:v>
      </x:c>
      <x:c r="L1928" s="46" t="n">
        <x:v>1</x:v>
      </x:c>
      <x:c r="M1928" s="27" t="n">
        <x:v>1</x:v>
      </x:c>
    </x:row>
    <x:row r="1929" ht="15" hidden="0" customHeight="1">
      <x:c r="A1929" s="29" t="n">
        <x:v>425</x:v>
      </x:c>
      <x:c r="B1929" s="29" t="n">
        <x:v>331329</x:v>
      </x:c>
      <x:c r="C1929" s="29" t="str">
        <x:v>A3</x:v>
      </x:c>
      <x:c r="D1929" s="53" t="n">
        <x:v>2500</x:v>
      </x:c>
      <x:c r="E1929" s="47" t="n">
        <x:v>1</x:v>
      </x:c>
      <x:c r="F1929" s="47" t="n">
        <x:v>1</x:v>
      </x:c>
      <x:c r="G1929" s="47" t="n">
        <x:v>1</x:v>
      </x:c>
      <x:c r="H1929" s="47" t="n">
        <x:v>1</x:v>
      </x:c>
      <x:c r="I1929" s="47" t="n">
        <x:v>1</x:v>
      </x:c>
      <x:c r="J1929" s="47" t="n">
        <x:v>1</x:v>
      </x:c>
      <x:c r="K1929" s="47" t="n">
        <x:v>1</x:v>
      </x:c>
      <x:c r="L1929" s="47" t="n">
        <x:v>1</x:v>
      </x:c>
      <x:c r="M1929" s="29" t="n">
        <x:v>1</x:v>
      </x:c>
    </x:row>
    <x:row r="1930" ht="15" hidden="0" customHeight="1">
      <x:c r="A1930" s="27" t="n">
        <x:v>426</x:v>
      </x:c>
      <x:c r="B1930" s="27" t="n">
        <x:v>331330</x:v>
      </x:c>
      <x:c r="C1930" s="27" t="str">
        <x:v>A3</x:v>
      </x:c>
      <x:c r="D1930" s="52" t="n">
        <x:v>2500</x:v>
      </x:c>
      <x:c r="E1930" s="46" t="n">
        <x:v>1</x:v>
      </x:c>
      <x:c r="F1930" s="46" t="n">
        <x:v>1</x:v>
      </x:c>
      <x:c r="G1930" s="46" t="n">
        <x:v>1</x:v>
      </x:c>
      <x:c r="H1930" s="46" t="n">
        <x:v>1</x:v>
      </x:c>
      <x:c r="I1930" s="46" t="n">
        <x:v>1</x:v>
      </x:c>
      <x:c r="J1930" s="46" t="n">
        <x:v>1</x:v>
      </x:c>
      <x:c r="K1930" s="46" t="n">
        <x:v>1</x:v>
      </x:c>
      <x:c r="L1930" s="46" t="n">
        <x:v>1</x:v>
      </x:c>
      <x:c r="M1930" s="27" t="n">
        <x:v>1</x:v>
      </x:c>
    </x:row>
    <x:row r="1931" ht="15" hidden="0" customHeight="1">
      <x:c r="A1931" s="29" t="n">
        <x:v>427</x:v>
      </x:c>
      <x:c r="B1931" s="29" t="n">
        <x:v>331331</x:v>
      </x:c>
      <x:c r="C1931" s="29" t="str">
        <x:v>A3</x:v>
      </x:c>
      <x:c r="D1931" s="53" t="n">
        <x:v>2500</x:v>
      </x:c>
      <x:c r="E1931" s="47" t="n">
        <x:v>1</x:v>
      </x:c>
      <x:c r="F1931" s="47" t="n">
        <x:v>1</x:v>
      </x:c>
      <x:c r="G1931" s="47" t="n">
        <x:v>1</x:v>
      </x:c>
      <x:c r="H1931" s="47" t="n">
        <x:v>1</x:v>
      </x:c>
      <x:c r="I1931" s="47" t="n">
        <x:v>1</x:v>
      </x:c>
      <x:c r="J1931" s="47" t="n">
        <x:v>1</x:v>
      </x:c>
      <x:c r="K1931" s="47" t="n">
        <x:v>1</x:v>
      </x:c>
      <x:c r="L1931" s="47" t="n">
        <x:v>1</x:v>
      </x:c>
      <x:c r="M1931" s="29" t="n">
        <x:v>1</x:v>
      </x:c>
    </x:row>
    <x:row r="1932" ht="15" hidden="0" customHeight="1">
      <x:c r="A1932" s="27" t="n">
        <x:v>428</x:v>
      </x:c>
      <x:c r="B1932" s="27" t="n">
        <x:v>331332</x:v>
      </x:c>
      <x:c r="C1932" s="27" t="str">
        <x:v>A3</x:v>
      </x:c>
      <x:c r="D1932" s="52" t="n">
        <x:v>2500</x:v>
      </x:c>
      <x:c r="E1932" s="46" t="n">
        <x:v>1</x:v>
      </x:c>
      <x:c r="F1932" s="46" t="n">
        <x:v>1</x:v>
      </x:c>
      <x:c r="G1932" s="46" t="n">
        <x:v>1</x:v>
      </x:c>
      <x:c r="H1932" s="46" t="n">
        <x:v>1</x:v>
      </x:c>
      <x:c r="I1932" s="46" t="n">
        <x:v>1</x:v>
      </x:c>
      <x:c r="J1932" s="46" t="n">
        <x:v>1</x:v>
      </x:c>
      <x:c r="K1932" s="46" t="n">
        <x:v>1</x:v>
      </x:c>
      <x:c r="L1932" s="46" t="n">
        <x:v>1</x:v>
      </x:c>
      <x:c r="M1932" s="27" t="n">
        <x:v>1</x:v>
      </x:c>
    </x:row>
    <x:row r="1933" ht="15" hidden="0" customHeight="1">
      <x:c r="A1933" s="29" t="n">
        <x:v>429</x:v>
      </x:c>
      <x:c r="B1933" s="29" t="n">
        <x:v>331333</x:v>
      </x:c>
      <x:c r="C1933" s="29" t="str">
        <x:v>A3</x:v>
      </x:c>
      <x:c r="D1933" s="53" t="n">
        <x:v>2500</x:v>
      </x:c>
      <x:c r="E1933" s="47" t="n">
        <x:v>1</x:v>
      </x:c>
      <x:c r="F1933" s="47" t="n">
        <x:v>1</x:v>
      </x:c>
      <x:c r="G1933" s="47" t="n">
        <x:v>1</x:v>
      </x:c>
      <x:c r="H1933" s="47" t="n">
        <x:v>1</x:v>
      </x:c>
      <x:c r="I1933" s="47" t="n">
        <x:v>1</x:v>
      </x:c>
      <x:c r="J1933" s="47" t="n">
        <x:v>1</x:v>
      </x:c>
      <x:c r="K1933" s="47" t="n">
        <x:v>1</x:v>
      </x:c>
      <x:c r="L1933" s="47" t="n">
        <x:v>1</x:v>
      </x:c>
      <x:c r="M1933" s="29" t="n">
        <x:v>1</x:v>
      </x:c>
    </x:row>
    <x:row r="1934" ht="15" hidden="0" customHeight="1">
      <x:c r="A1934" s="27" t="n">
        <x:v>430</x:v>
      </x:c>
      <x:c r="B1934" s="27" t="n">
        <x:v>331334</x:v>
      </x:c>
      <x:c r="C1934" s="27" t="str">
        <x:v>A3</x:v>
      </x:c>
      <x:c r="D1934" s="52" t="n">
        <x:v>2500</x:v>
      </x:c>
      <x:c r="E1934" s="46" t="n">
        <x:v>1</x:v>
      </x:c>
      <x:c r="F1934" s="46" t="n">
        <x:v>1</x:v>
      </x:c>
      <x:c r="G1934" s="46" t="n">
        <x:v>1</x:v>
      </x:c>
      <x:c r="H1934" s="46" t="n">
        <x:v>1</x:v>
      </x:c>
      <x:c r="I1934" s="46" t="n">
        <x:v>1</x:v>
      </x:c>
      <x:c r="J1934" s="46" t="n">
        <x:v>1</x:v>
      </x:c>
      <x:c r="K1934" s="46" t="n">
        <x:v>1</x:v>
      </x:c>
      <x:c r="L1934" s="46" t="n">
        <x:v>1</x:v>
      </x:c>
      <x:c r="M1934" s="27" t="n">
        <x:v>1</x:v>
      </x:c>
    </x:row>
    <x:row r="1935" ht="15" hidden="0" customHeight="1">
      <x:c r="A1935" s="29" t="n">
        <x:v>431</x:v>
      </x:c>
      <x:c r="B1935" s="29" t="n">
        <x:v>331335</x:v>
      </x:c>
      <x:c r="C1935" s="29" t="str">
        <x:v>A3</x:v>
      </x:c>
      <x:c r="D1935" s="53" t="n">
        <x:v>2500</x:v>
      </x:c>
      <x:c r="E1935" s="47" t="n">
        <x:v>1</x:v>
      </x:c>
      <x:c r="F1935" s="47" t="n">
        <x:v>1</x:v>
      </x:c>
      <x:c r="G1935" s="47" t="n">
        <x:v>1</x:v>
      </x:c>
      <x:c r="H1935" s="47" t="n">
        <x:v>1</x:v>
      </x:c>
      <x:c r="I1935" s="47" t="n">
        <x:v>1</x:v>
      </x:c>
      <x:c r="J1935" s="47" t="n">
        <x:v>1</x:v>
      </x:c>
      <x:c r="K1935" s="47" t="n">
        <x:v>1</x:v>
      </x:c>
      <x:c r="L1935" s="47" t="n">
        <x:v>1</x:v>
      </x:c>
      <x:c r="M1935" s="29" t="n">
        <x:v>1</x:v>
      </x:c>
    </x:row>
    <x:row r="1936" ht="15" hidden="0" customHeight="1">
      <x:c r="A1936" s="27" t="n">
        <x:v>432</x:v>
      </x:c>
      <x:c r="B1936" s="27" t="n">
        <x:v>331336</x:v>
      </x:c>
      <x:c r="C1936" s="27" t="str">
        <x:v>A3</x:v>
      </x:c>
      <x:c r="D1936" s="52" t="n">
        <x:v>2500</x:v>
      </x:c>
      <x:c r="E1936" s="46" t="n">
        <x:v>1</x:v>
      </x:c>
      <x:c r="F1936" s="46" t="n">
        <x:v>1</x:v>
      </x:c>
      <x:c r="G1936" s="46" t="n">
        <x:v>1</x:v>
      </x:c>
      <x:c r="H1936" s="46" t="n">
        <x:v>1</x:v>
      </x:c>
      <x:c r="I1936" s="46" t="n">
        <x:v>1</x:v>
      </x:c>
      <x:c r="J1936" s="46" t="n">
        <x:v>1</x:v>
      </x:c>
      <x:c r="K1936" s="46" t="n">
        <x:v>1</x:v>
      </x:c>
      <x:c r="L1936" s="46" t="n">
        <x:v>1</x:v>
      </x:c>
      <x:c r="M1936" s="27" t="n">
        <x:v>1</x:v>
      </x:c>
    </x:row>
    <x:row r="1937" ht="15" hidden="0" customHeight="1">
      <x:c r="A1937" s="29" t="n">
        <x:v>433</x:v>
      </x:c>
      <x:c r="B1937" s="29" t="n">
        <x:v>331337</x:v>
      </x:c>
      <x:c r="C1937" s="29" t="str">
        <x:v>A3</x:v>
      </x:c>
      <x:c r="D1937" s="53" t="n">
        <x:v>2500</x:v>
      </x:c>
      <x:c r="E1937" s="47" t="n">
        <x:v>1</x:v>
      </x:c>
      <x:c r="F1937" s="47" t="n">
        <x:v>1</x:v>
      </x:c>
      <x:c r="G1937" s="47" t="n">
        <x:v>1</x:v>
      </x:c>
      <x:c r="H1937" s="47" t="n">
        <x:v>1</x:v>
      </x:c>
      <x:c r="I1937" s="47" t="n">
        <x:v>1</x:v>
      </x:c>
      <x:c r="J1937" s="47" t="n">
        <x:v>1</x:v>
      </x:c>
      <x:c r="K1937" s="47" t="n">
        <x:v>1</x:v>
      </x:c>
      <x:c r="L1937" s="47" t="n">
        <x:v>1</x:v>
      </x:c>
      <x:c r="M1937" s="29" t="n">
        <x:v>1</x:v>
      </x:c>
    </x:row>
    <x:row r="1938" ht="15" hidden="0" customHeight="1">
      <x:c r="A1938" s="27" t="n">
        <x:v>434</x:v>
      </x:c>
      <x:c r="B1938" s="27" t="n">
        <x:v>331338</x:v>
      </x:c>
      <x:c r="C1938" s="27" t="str">
        <x:v>A3</x:v>
      </x:c>
      <x:c r="D1938" s="52" t="n">
        <x:v>2500</x:v>
      </x:c>
      <x:c r="E1938" s="46" t="n">
        <x:v>1</x:v>
      </x:c>
      <x:c r="F1938" s="46" t="n">
        <x:v>1</x:v>
      </x:c>
      <x:c r="G1938" s="46" t="n">
        <x:v>1</x:v>
      </x:c>
      <x:c r="H1938" s="46" t="n">
        <x:v>1</x:v>
      </x:c>
      <x:c r="I1938" s="46" t="n">
        <x:v>1</x:v>
      </x:c>
      <x:c r="J1938" s="46" t="n">
        <x:v>1</x:v>
      </x:c>
      <x:c r="K1938" s="46" t="n">
        <x:v>1</x:v>
      </x:c>
      <x:c r="L1938" s="46" t="n">
        <x:v>1</x:v>
      </x:c>
      <x:c r="M1938" s="27" t="n">
        <x:v>1</x:v>
      </x:c>
    </x:row>
    <x:row r="1939" ht="15" hidden="0" customHeight="1">
      <x:c r="A1939" s="29" t="n">
        <x:v>435</x:v>
      </x:c>
      <x:c r="B1939" s="29" t="n">
        <x:v>331339</x:v>
      </x:c>
      <x:c r="C1939" s="29" t="str">
        <x:v>A3</x:v>
      </x:c>
      <x:c r="D1939" s="53" t="n">
        <x:v>2500</x:v>
      </x:c>
      <x:c r="E1939" s="47" t="n">
        <x:v>1</x:v>
      </x:c>
      <x:c r="F1939" s="47" t="n">
        <x:v>1</x:v>
      </x:c>
      <x:c r="G1939" s="47" t="n">
        <x:v>1</x:v>
      </x:c>
      <x:c r="H1939" s="47" t="n">
        <x:v>1</x:v>
      </x:c>
      <x:c r="I1939" s="47" t="n">
        <x:v>1</x:v>
      </x:c>
      <x:c r="J1939" s="47" t="n">
        <x:v>1</x:v>
      </x:c>
      <x:c r="K1939" s="47" t="n">
        <x:v>1</x:v>
      </x:c>
      <x:c r="L1939" s="47" t="n">
        <x:v>1</x:v>
      </x:c>
      <x:c r="M1939" s="29" t="n">
        <x:v>1</x:v>
      </x:c>
    </x:row>
    <x:row r="1940" ht="15" hidden="0" customHeight="1">
      <x:c r="A1940" s="27" t="n">
        <x:v>436</x:v>
      </x:c>
      <x:c r="B1940" s="27" t="n">
        <x:v>331340</x:v>
      </x:c>
      <x:c r="C1940" s="27" t="str">
        <x:v>A3</x:v>
      </x:c>
      <x:c r="D1940" s="52" t="n">
        <x:v>2500</x:v>
      </x:c>
      <x:c r="E1940" s="46" t="n">
        <x:v>1</x:v>
      </x:c>
      <x:c r="F1940" s="46" t="n">
        <x:v>1</x:v>
      </x:c>
      <x:c r="G1940" s="46" t="n">
        <x:v>1</x:v>
      </x:c>
      <x:c r="H1940" s="46" t="n">
        <x:v>1</x:v>
      </x:c>
      <x:c r="I1940" s="46" t="n">
        <x:v>1</x:v>
      </x:c>
      <x:c r="J1940" s="46" t="n">
        <x:v>1</x:v>
      </x:c>
      <x:c r="K1940" s="46" t="n">
        <x:v>1</x:v>
      </x:c>
      <x:c r="L1940" s="46" t="n">
        <x:v>1</x:v>
      </x:c>
      <x:c r="M1940" s="27" t="n">
        <x:v>1</x:v>
      </x:c>
    </x:row>
    <x:row r="1941" ht="15" hidden="0" customHeight="1">
      <x:c r="A1941" s="29" t="n">
        <x:v>437</x:v>
      </x:c>
      <x:c r="B1941" s="29" t="n">
        <x:v>331341</x:v>
      </x:c>
      <x:c r="C1941" s="29" t="str">
        <x:v>A3</x:v>
      </x:c>
      <x:c r="D1941" s="53" t="n">
        <x:v>2500</x:v>
      </x:c>
      <x:c r="E1941" s="47" t="n">
        <x:v>1</x:v>
      </x:c>
      <x:c r="F1941" s="47" t="n">
        <x:v>1</x:v>
      </x:c>
      <x:c r="G1941" s="47" t="n">
        <x:v>1</x:v>
      </x:c>
      <x:c r="H1941" s="47" t="n">
        <x:v>1</x:v>
      </x:c>
      <x:c r="I1941" s="47" t="n">
        <x:v>1</x:v>
      </x:c>
      <x:c r="J1941" s="47" t="n">
        <x:v>1</x:v>
      </x:c>
      <x:c r="K1941" s="47" t="n">
        <x:v>1</x:v>
      </x:c>
      <x:c r="L1941" s="47" t="n">
        <x:v>1</x:v>
      </x:c>
      <x:c r="M1941" s="29" t="n">
        <x:v>1</x:v>
      </x:c>
    </x:row>
    <x:row r="1942" ht="15" hidden="0" customHeight="1">
      <x:c r="A1942" s="27" t="n">
        <x:v>438</x:v>
      </x:c>
      <x:c r="B1942" s="27" t="n">
        <x:v>331342</x:v>
      </x:c>
      <x:c r="C1942" s="27" t="str">
        <x:v>A3</x:v>
      </x:c>
      <x:c r="D1942" s="52" t="n">
        <x:v>2500</x:v>
      </x:c>
      <x:c r="E1942" s="46" t="n">
        <x:v>1</x:v>
      </x:c>
      <x:c r="F1942" s="46" t="n">
        <x:v>1</x:v>
      </x:c>
      <x:c r="G1942" s="46" t="n">
        <x:v>1</x:v>
      </x:c>
      <x:c r="H1942" s="46" t="n">
        <x:v>1</x:v>
      </x:c>
      <x:c r="I1942" s="46" t="n">
        <x:v>1</x:v>
      </x:c>
      <x:c r="J1942" s="46" t="n">
        <x:v>1</x:v>
      </x:c>
      <x:c r="K1942" s="46" t="n">
        <x:v>1</x:v>
      </x:c>
      <x:c r="L1942" s="46" t="n">
        <x:v>1</x:v>
      </x:c>
      <x:c r="M1942" s="27" t="n">
        <x:v>1</x:v>
      </x:c>
    </x:row>
    <x:row r="1943" ht="15" hidden="0" customHeight="1">
      <x:c r="A1943" s="29" t="n">
        <x:v>439</x:v>
      </x:c>
      <x:c r="B1943" s="29" t="n">
        <x:v>331343</x:v>
      </x:c>
      <x:c r="C1943" s="29" t="str">
        <x:v>A3</x:v>
      </x:c>
      <x:c r="D1943" s="53" t="n">
        <x:v>2500</x:v>
      </x:c>
      <x:c r="E1943" s="47" t="n">
        <x:v>1</x:v>
      </x:c>
      <x:c r="F1943" s="47" t="n">
        <x:v>1</x:v>
      </x:c>
      <x:c r="G1943" s="47" t="n">
        <x:v>1</x:v>
      </x:c>
      <x:c r="H1943" s="47" t="n">
        <x:v>1</x:v>
      </x:c>
      <x:c r="I1943" s="47" t="n">
        <x:v>1</x:v>
      </x:c>
      <x:c r="J1943" s="47" t="n">
        <x:v>1</x:v>
      </x:c>
      <x:c r="K1943" s="47" t="n">
        <x:v>1</x:v>
      </x:c>
      <x:c r="L1943" s="47" t="n">
        <x:v>1</x:v>
      </x:c>
      <x:c r="M1943" s="29" t="n">
        <x:v>1</x:v>
      </x:c>
    </x:row>
    <x:row r="1944" ht="15" hidden="0" customHeight="1">
      <x:c r="A1944" s="27" t="n">
        <x:v>440</x:v>
      </x:c>
      <x:c r="B1944" s="27" t="n">
        <x:v>331344</x:v>
      </x:c>
      <x:c r="C1944" s="27" t="str">
        <x:v>A3</x:v>
      </x:c>
      <x:c r="D1944" s="52" t="n">
        <x:v>2500</x:v>
      </x:c>
      <x:c r="E1944" s="46" t="n">
        <x:v>1</x:v>
      </x:c>
      <x:c r="F1944" s="46" t="n">
        <x:v>1</x:v>
      </x:c>
      <x:c r="G1944" s="46" t="n">
        <x:v>1</x:v>
      </x:c>
      <x:c r="H1944" s="46" t="n">
        <x:v>1</x:v>
      </x:c>
      <x:c r="I1944" s="46" t="n">
        <x:v>1</x:v>
      </x:c>
      <x:c r="J1944" s="46" t="n">
        <x:v>1</x:v>
      </x:c>
      <x:c r="K1944" s="46" t="n">
        <x:v>1</x:v>
      </x:c>
      <x:c r="L1944" s="46" t="n">
        <x:v>1</x:v>
      </x:c>
      <x:c r="M1944" s="27" t="n">
        <x:v>1</x:v>
      </x:c>
    </x:row>
    <x:row r="1945" ht="15" hidden="0" customHeight="1">
      <x:c r="A1945" s="29" t="n">
        <x:v>441</x:v>
      </x:c>
      <x:c r="B1945" s="29" t="n">
        <x:v>331345</x:v>
      </x:c>
      <x:c r="C1945" s="29" t="str">
        <x:v>A3</x:v>
      </x:c>
      <x:c r="D1945" s="53" t="n">
        <x:v>2500</x:v>
      </x:c>
      <x:c r="E1945" s="47" t="n">
        <x:v>1</x:v>
      </x:c>
      <x:c r="F1945" s="47" t="n">
        <x:v>1</x:v>
      </x:c>
      <x:c r="G1945" s="47" t="n">
        <x:v>1</x:v>
      </x:c>
      <x:c r="H1945" s="47" t="n">
        <x:v>1</x:v>
      </x:c>
      <x:c r="I1945" s="47" t="n">
        <x:v>1</x:v>
      </x:c>
      <x:c r="J1945" s="47" t="n">
        <x:v>1</x:v>
      </x:c>
      <x:c r="K1945" s="47" t="n">
        <x:v>1</x:v>
      </x:c>
      <x:c r="L1945" s="47" t="n">
        <x:v>1</x:v>
      </x:c>
      <x:c r="M1945" s="29" t="n">
        <x:v>1</x:v>
      </x:c>
    </x:row>
    <x:row r="1946" ht="15" hidden="0" customHeight="1">
      <x:c r="A1946" s="27" t="n">
        <x:v>442</x:v>
      </x:c>
      <x:c r="B1946" s="27" t="n">
        <x:v>331346</x:v>
      </x:c>
      <x:c r="C1946" s="27" t="str">
        <x:v>A3</x:v>
      </x:c>
      <x:c r="D1946" s="52" t="n">
        <x:v>2500</x:v>
      </x:c>
      <x:c r="E1946" s="46" t="n">
        <x:v>1</x:v>
      </x:c>
      <x:c r="F1946" s="46" t="n">
        <x:v>1</x:v>
      </x:c>
      <x:c r="G1946" s="46" t="n">
        <x:v>1</x:v>
      </x:c>
      <x:c r="H1946" s="46" t="n">
        <x:v>1</x:v>
      </x:c>
      <x:c r="I1946" s="46" t="n">
        <x:v>1</x:v>
      </x:c>
      <x:c r="J1946" s="46" t="n">
        <x:v>1</x:v>
      </x:c>
      <x:c r="K1946" s="46" t="n">
        <x:v>1</x:v>
      </x:c>
      <x:c r="L1946" s="46" t="n">
        <x:v>1</x:v>
      </x:c>
      <x:c r="M1946" s="27" t="n">
        <x:v>1</x:v>
      </x:c>
    </x:row>
    <x:row r="1947" ht="15" hidden="0" customHeight="1">
      <x:c r="A1947" s="29" t="n">
        <x:v>443</x:v>
      </x:c>
      <x:c r="B1947" s="29" t="n">
        <x:v>331347</x:v>
      </x:c>
      <x:c r="C1947" s="29" t="str">
        <x:v>A3</x:v>
      </x:c>
      <x:c r="D1947" s="53" t="n">
        <x:v>2500</x:v>
      </x:c>
      <x:c r="E1947" s="47" t="n">
        <x:v>1</x:v>
      </x:c>
      <x:c r="F1947" s="47" t="n">
        <x:v>1</x:v>
      </x:c>
      <x:c r="G1947" s="47" t="n">
        <x:v>1</x:v>
      </x:c>
      <x:c r="H1947" s="47" t="n">
        <x:v>1</x:v>
      </x:c>
      <x:c r="I1947" s="47" t="n">
        <x:v>1</x:v>
      </x:c>
      <x:c r="J1947" s="47" t="n">
        <x:v>1</x:v>
      </x:c>
      <x:c r="K1947" s="47" t="n">
        <x:v>1</x:v>
      </x:c>
      <x:c r="L1947" s="47" t="n">
        <x:v>1</x:v>
      </x:c>
      <x:c r="M1947" s="29" t="n">
        <x:v>1</x:v>
      </x:c>
    </x:row>
    <x:row r="1948" ht="15" hidden="0" customHeight="1">
      <x:c r="A1948" s="27" t="n">
        <x:v>444</x:v>
      </x:c>
      <x:c r="B1948" s="27" t="n">
        <x:v>331348</x:v>
      </x:c>
      <x:c r="C1948" s="27" t="str">
        <x:v>A3</x:v>
      </x:c>
      <x:c r="D1948" s="52" t="n">
        <x:v>2500</x:v>
      </x:c>
      <x:c r="E1948" s="46" t="n">
        <x:v>1</x:v>
      </x:c>
      <x:c r="F1948" s="46" t="n">
        <x:v>1</x:v>
      </x:c>
      <x:c r="G1948" s="46" t="n">
        <x:v>1</x:v>
      </x:c>
      <x:c r="H1948" s="46" t="n">
        <x:v>1</x:v>
      </x:c>
      <x:c r="I1948" s="46" t="n">
        <x:v>1</x:v>
      </x:c>
      <x:c r="J1948" s="46" t="n">
        <x:v>1</x:v>
      </x:c>
      <x:c r="K1948" s="46" t="n">
        <x:v>1</x:v>
      </x:c>
      <x:c r="L1948" s="46" t="n">
        <x:v>1</x:v>
      </x:c>
      <x:c r="M1948" s="27" t="n">
        <x:v>1</x:v>
      </x:c>
    </x:row>
    <x:row r="1949" ht="15" hidden="0" customHeight="1">
      <x:c r="A1949" s="29" t="n">
        <x:v>445</x:v>
      </x:c>
      <x:c r="B1949" s="29" t="n">
        <x:v>331349</x:v>
      </x:c>
      <x:c r="C1949" s="29" t="str">
        <x:v>A3</x:v>
      </x:c>
      <x:c r="D1949" s="53" t="n">
        <x:v>2500</x:v>
      </x:c>
      <x:c r="E1949" s="47" t="n">
        <x:v>1</x:v>
      </x:c>
      <x:c r="F1949" s="47" t="n">
        <x:v>1</x:v>
      </x:c>
      <x:c r="G1949" s="47" t="n">
        <x:v>1</x:v>
      </x:c>
      <x:c r="H1949" s="47" t="n">
        <x:v>1</x:v>
      </x:c>
      <x:c r="I1949" s="47" t="n">
        <x:v>1</x:v>
      </x:c>
      <x:c r="J1949" s="47" t="n">
        <x:v>1</x:v>
      </x:c>
      <x:c r="K1949" s="47" t="n">
        <x:v>1</x:v>
      </x:c>
      <x:c r="L1949" s="47" t="n">
        <x:v>1</x:v>
      </x:c>
      <x:c r="M1949" s="29" t="n">
        <x:v>1</x:v>
      </x:c>
    </x:row>
    <x:row r="1950" ht="15" hidden="0" customHeight="1">
      <x:c r="A1950" s="27" t="n">
        <x:v>446</x:v>
      </x:c>
      <x:c r="B1950" s="27" t="n">
        <x:v>331350</x:v>
      </x:c>
      <x:c r="C1950" s="27" t="str">
        <x:v>A3</x:v>
      </x:c>
      <x:c r="D1950" s="52" t="n">
        <x:v>2500</x:v>
      </x:c>
      <x:c r="E1950" s="46" t="n">
        <x:v>1</x:v>
      </x:c>
      <x:c r="F1950" s="46" t="n">
        <x:v>1</x:v>
      </x:c>
      <x:c r="G1950" s="46" t="n">
        <x:v>1</x:v>
      </x:c>
      <x:c r="H1950" s="46" t="n">
        <x:v>1</x:v>
      </x:c>
      <x:c r="I1950" s="46" t="n">
        <x:v>1</x:v>
      </x:c>
      <x:c r="J1950" s="46" t="n">
        <x:v>1</x:v>
      </x:c>
      <x:c r="K1950" s="46" t="n">
        <x:v>1</x:v>
      </x:c>
      <x:c r="L1950" s="46" t="n">
        <x:v>1</x:v>
      </x:c>
      <x:c r="M1950" s="27" t="n">
        <x:v>1</x:v>
      </x:c>
    </x:row>
    <x:row r="1951" ht="15" hidden="0" customHeight="1">
      <x:c r="A1951" s="29" t="n">
        <x:v>447</x:v>
      </x:c>
      <x:c r="B1951" s="29" t="n">
        <x:v>331351</x:v>
      </x:c>
      <x:c r="C1951" s="29" t="str">
        <x:v>A3</x:v>
      </x:c>
      <x:c r="D1951" s="53" t="n">
        <x:v>2500</x:v>
      </x:c>
      <x:c r="E1951" s="47" t="n">
        <x:v>1</x:v>
      </x:c>
      <x:c r="F1951" s="47" t="n">
        <x:v>1</x:v>
      </x:c>
      <x:c r="G1951" s="47" t="n">
        <x:v>1</x:v>
      </x:c>
      <x:c r="H1951" s="47" t="n">
        <x:v>1</x:v>
      </x:c>
      <x:c r="I1951" s="47" t="n">
        <x:v>1</x:v>
      </x:c>
      <x:c r="J1951" s="47" t="n">
        <x:v>1</x:v>
      </x:c>
      <x:c r="K1951" s="47" t="n">
        <x:v>1</x:v>
      </x:c>
      <x:c r="L1951" s="47" t="n">
        <x:v>1</x:v>
      </x:c>
      <x:c r="M1951" s="29" t="n">
        <x:v>1</x:v>
      </x:c>
    </x:row>
    <x:row r="1952" ht="15" hidden="0" customHeight="1">
      <x:c r="A1952" s="27" t="n">
        <x:v>448</x:v>
      </x:c>
      <x:c r="B1952" s="27" t="n">
        <x:v>331352</x:v>
      </x:c>
      <x:c r="C1952" s="27" t="str">
        <x:v>A3</x:v>
      </x:c>
      <x:c r="D1952" s="52" t="n">
        <x:v>2500</x:v>
      </x:c>
      <x:c r="E1952" s="46" t="n">
        <x:v>1</x:v>
      </x:c>
      <x:c r="F1952" s="46" t="n">
        <x:v>1</x:v>
      </x:c>
      <x:c r="G1952" s="46" t="n">
        <x:v>1</x:v>
      </x:c>
      <x:c r="H1952" s="46" t="n">
        <x:v>1</x:v>
      </x:c>
      <x:c r="I1952" s="46" t="n">
        <x:v>1</x:v>
      </x:c>
      <x:c r="J1952" s="46" t="n">
        <x:v>1</x:v>
      </x:c>
      <x:c r="K1952" s="46" t="n">
        <x:v>1</x:v>
      </x:c>
      <x:c r="L1952" s="46" t="n">
        <x:v>1</x:v>
      </x:c>
      <x:c r="M1952" s="27" t="n">
        <x:v>1</x:v>
      </x:c>
    </x:row>
    <x:row r="1953" ht="15" hidden="0" customHeight="1">
      <x:c r="A1953" s="29" t="n">
        <x:v>449</x:v>
      </x:c>
      <x:c r="B1953" s="29" t="n">
        <x:v>331353</x:v>
      </x:c>
      <x:c r="C1953" s="29" t="str">
        <x:v>A3</x:v>
      </x:c>
      <x:c r="D1953" s="53" t="n">
        <x:v>2500</x:v>
      </x:c>
      <x:c r="E1953" s="47" t="n">
        <x:v>1</x:v>
      </x:c>
      <x:c r="F1953" s="47" t="n">
        <x:v>1</x:v>
      </x:c>
      <x:c r="G1953" s="47" t="n">
        <x:v>1</x:v>
      </x:c>
      <x:c r="H1953" s="47" t="n">
        <x:v>1</x:v>
      </x:c>
      <x:c r="I1953" s="47" t="n">
        <x:v>1</x:v>
      </x:c>
      <x:c r="J1953" s="47" t="n">
        <x:v>1</x:v>
      </x:c>
      <x:c r="K1953" s="47" t="n">
        <x:v>1</x:v>
      </x:c>
      <x:c r="L1953" s="47" t="n">
        <x:v>1</x:v>
      </x:c>
      <x:c r="M1953" s="29" t="n">
        <x:v>1</x:v>
      </x:c>
    </x:row>
    <x:row r="1954" ht="15" hidden="0" customHeight="1">
      <x:c r="A1954" s="27" t="n">
        <x:v>450</x:v>
      </x:c>
      <x:c r="B1954" s="27" t="n">
        <x:v>331354</x:v>
      </x:c>
      <x:c r="C1954" s="27" t="str">
        <x:v>A3</x:v>
      </x:c>
      <x:c r="D1954" s="52" t="n">
        <x:v>2500</x:v>
      </x:c>
      <x:c r="E1954" s="46" t="n">
        <x:v>1</x:v>
      </x:c>
      <x:c r="F1954" s="46" t="n">
        <x:v>1</x:v>
      </x:c>
      <x:c r="G1954" s="46" t="n">
        <x:v>1</x:v>
      </x:c>
      <x:c r="H1954" s="46" t="n">
        <x:v>1</x:v>
      </x:c>
      <x:c r="I1954" s="46" t="n">
        <x:v>1</x:v>
      </x:c>
      <x:c r="J1954" s="46" t="n">
        <x:v>1</x:v>
      </x:c>
      <x:c r="K1954" s="46" t="n">
        <x:v>1</x:v>
      </x:c>
      <x:c r="L1954" s="46" t="n">
        <x:v>1</x:v>
      </x:c>
      <x:c r="M1954" s="27" t="n">
        <x:v>1</x:v>
      </x:c>
    </x:row>
    <x:row r="1955" ht="15" hidden="0" customHeight="1">
      <x:c r="A1955" s="29" t="n">
        <x:v>451</x:v>
      </x:c>
      <x:c r="B1955" s="29" t="n">
        <x:v>331355</x:v>
      </x:c>
      <x:c r="C1955" s="29" t="str">
        <x:v>A3</x:v>
      </x:c>
      <x:c r="D1955" s="53" t="n">
        <x:v>2500</x:v>
      </x:c>
      <x:c r="E1955" s="47" t="n">
        <x:v>1</x:v>
      </x:c>
      <x:c r="F1955" s="47" t="n">
        <x:v>1</x:v>
      </x:c>
      <x:c r="G1955" s="47" t="n">
        <x:v>1</x:v>
      </x:c>
      <x:c r="H1955" s="47" t="n">
        <x:v>1</x:v>
      </x:c>
      <x:c r="I1955" s="47" t="n">
        <x:v>1</x:v>
      </x:c>
      <x:c r="J1955" s="47" t="n">
        <x:v>1</x:v>
      </x:c>
      <x:c r="K1955" s="47" t="n">
        <x:v>1</x:v>
      </x:c>
      <x:c r="L1955" s="47" t="n">
        <x:v>1</x:v>
      </x:c>
      <x:c r="M1955" s="29" t="n">
        <x:v>1</x:v>
      </x:c>
    </x:row>
    <x:row r="1956" ht="15" hidden="0" customHeight="1">
      <x:c r="A1956" s="27" t="n">
        <x:v>452</x:v>
      </x:c>
      <x:c r="B1956" s="27" t="n">
        <x:v>331356</x:v>
      </x:c>
      <x:c r="C1956" s="27" t="str">
        <x:v>A3</x:v>
      </x:c>
      <x:c r="D1956" s="52" t="n">
        <x:v>2500</x:v>
      </x:c>
      <x:c r="E1956" s="46" t="n">
        <x:v>1</x:v>
      </x:c>
      <x:c r="F1956" s="46" t="n">
        <x:v>1</x:v>
      </x:c>
      <x:c r="G1956" s="46" t="n">
        <x:v>1</x:v>
      </x:c>
      <x:c r="H1956" s="46" t="n">
        <x:v>1</x:v>
      </x:c>
      <x:c r="I1956" s="46" t="n">
        <x:v>1</x:v>
      </x:c>
      <x:c r="J1956" s="46" t="n">
        <x:v>1</x:v>
      </x:c>
      <x:c r="K1956" s="46" t="n">
        <x:v>1</x:v>
      </x:c>
      <x:c r="L1956" s="46" t="n">
        <x:v>1</x:v>
      </x:c>
      <x:c r="M1956" s="27" t="n">
        <x:v>1</x:v>
      </x:c>
    </x:row>
    <x:row r="1957" ht="15" hidden="0" customHeight="1">
      <x:c r="A1957" s="29" t="n">
        <x:v>453</x:v>
      </x:c>
      <x:c r="B1957" s="29" t="n">
        <x:v>331357</x:v>
      </x:c>
      <x:c r="C1957" s="29" t="str">
        <x:v>A3</x:v>
      </x:c>
      <x:c r="D1957" s="53" t="n">
        <x:v>2500</x:v>
      </x:c>
      <x:c r="E1957" s="47" t="n">
        <x:v>1</x:v>
      </x:c>
      <x:c r="F1957" s="47" t="n">
        <x:v>1</x:v>
      </x:c>
      <x:c r="G1957" s="47" t="n">
        <x:v>1</x:v>
      </x:c>
      <x:c r="H1957" s="47" t="n">
        <x:v>1</x:v>
      </x:c>
      <x:c r="I1957" s="47" t="n">
        <x:v>1</x:v>
      </x:c>
      <x:c r="J1957" s="47" t="n">
        <x:v>1</x:v>
      </x:c>
      <x:c r="K1957" s="47" t="n">
        <x:v>1</x:v>
      </x:c>
      <x:c r="L1957" s="47" t="n">
        <x:v>1</x:v>
      </x:c>
      <x:c r="M1957" s="29" t="n">
        <x:v>1</x:v>
      </x:c>
    </x:row>
    <x:row r="1958" ht="15" hidden="0" customHeight="1">
      <x:c r="A1958" s="27" t="n">
        <x:v>454</x:v>
      </x:c>
      <x:c r="B1958" s="27" t="n">
        <x:v>331358</x:v>
      </x:c>
      <x:c r="C1958" s="27" t="str">
        <x:v>A3</x:v>
      </x:c>
      <x:c r="D1958" s="52" t="n">
        <x:v>2500</x:v>
      </x:c>
      <x:c r="E1958" s="46" t="n">
        <x:v>1</x:v>
      </x:c>
      <x:c r="F1958" s="46" t="n">
        <x:v>1</x:v>
      </x:c>
      <x:c r="G1958" s="46" t="n">
        <x:v>1</x:v>
      </x:c>
      <x:c r="H1958" s="46" t="n">
        <x:v>1</x:v>
      </x:c>
      <x:c r="I1958" s="46" t="n">
        <x:v>1</x:v>
      </x:c>
      <x:c r="J1958" s="46" t="n">
        <x:v>1</x:v>
      </x:c>
      <x:c r="K1958" s="46" t="n">
        <x:v>1</x:v>
      </x:c>
      <x:c r="L1958" s="46" t="n">
        <x:v>1</x:v>
      </x:c>
      <x:c r="M1958" s="27" t="n">
        <x:v>1</x:v>
      </x:c>
    </x:row>
    <x:row r="1959" ht="15" hidden="0" customHeight="1">
      <x:c r="A1959" s="29" t="n">
        <x:v>455</x:v>
      </x:c>
      <x:c r="B1959" s="29" t="n">
        <x:v>331359</x:v>
      </x:c>
      <x:c r="C1959" s="29" t="str">
        <x:v>A3</x:v>
      </x:c>
      <x:c r="D1959" s="53" t="n">
        <x:v>2500</x:v>
      </x:c>
      <x:c r="E1959" s="47" t="n">
        <x:v>1</x:v>
      </x:c>
      <x:c r="F1959" s="47" t="n">
        <x:v>1</x:v>
      </x:c>
      <x:c r="G1959" s="47" t="n">
        <x:v>1</x:v>
      </x:c>
      <x:c r="H1959" s="47" t="n">
        <x:v>1</x:v>
      </x:c>
      <x:c r="I1959" s="47" t="n">
        <x:v>1</x:v>
      </x:c>
      <x:c r="J1959" s="47" t="n">
        <x:v>1</x:v>
      </x:c>
      <x:c r="K1959" s="47" t="n">
        <x:v>1</x:v>
      </x:c>
      <x:c r="L1959" s="47" t="n">
        <x:v>1</x:v>
      </x:c>
      <x:c r="M1959" s="29" t="n">
        <x:v>1</x:v>
      </x:c>
    </x:row>
    <x:row r="1960" ht="15" hidden="0" customHeight="1">
      <x:c r="A1960" s="27" t="n">
        <x:v>456</x:v>
      </x:c>
      <x:c r="B1960" s="27" t="n">
        <x:v>331360</x:v>
      </x:c>
      <x:c r="C1960" s="27" t="str">
        <x:v>A3</x:v>
      </x:c>
      <x:c r="D1960" s="52" t="n">
        <x:v>2500</x:v>
      </x:c>
      <x:c r="E1960" s="46" t="n">
        <x:v>1</x:v>
      </x:c>
      <x:c r="F1960" s="46" t="n">
        <x:v>1</x:v>
      </x:c>
      <x:c r="G1960" s="46" t="n">
        <x:v>1</x:v>
      </x:c>
      <x:c r="H1960" s="46" t="n">
        <x:v>1</x:v>
      </x:c>
      <x:c r="I1960" s="46" t="n">
        <x:v>1</x:v>
      </x:c>
      <x:c r="J1960" s="46" t="n">
        <x:v>1</x:v>
      </x:c>
      <x:c r="K1960" s="46" t="n">
        <x:v>1</x:v>
      </x:c>
      <x:c r="L1960" s="46" t="n">
        <x:v>1</x:v>
      </x:c>
      <x:c r="M1960" s="27" t="n">
        <x:v>1</x:v>
      </x:c>
    </x:row>
    <x:row r="1961" ht="15" hidden="0" customHeight="1">
      <x:c r="A1961" s="29" t="n">
        <x:v>457</x:v>
      </x:c>
      <x:c r="B1961" s="29" t="n">
        <x:v>331361</x:v>
      </x:c>
      <x:c r="C1961" s="29" t="str">
        <x:v>A3</x:v>
      </x:c>
      <x:c r="D1961" s="53" t="n">
        <x:v>2500</x:v>
      </x:c>
      <x:c r="E1961" s="47" t="n">
        <x:v>1</x:v>
      </x:c>
      <x:c r="F1961" s="47" t="n">
        <x:v>1</x:v>
      </x:c>
      <x:c r="G1961" s="47" t="n">
        <x:v>1</x:v>
      </x:c>
      <x:c r="H1961" s="47" t="n">
        <x:v>1</x:v>
      </x:c>
      <x:c r="I1961" s="47" t="n">
        <x:v>1</x:v>
      </x:c>
      <x:c r="J1961" s="47" t="n">
        <x:v>1</x:v>
      </x:c>
      <x:c r="K1961" s="47" t="n">
        <x:v>1</x:v>
      </x:c>
      <x:c r="L1961" s="47" t="n">
        <x:v>1</x:v>
      </x:c>
      <x:c r="M1961" s="29" t="n">
        <x:v>1</x:v>
      </x:c>
    </x:row>
    <x:row r="1962" ht="15" hidden="0" customHeight="1">
      <x:c r="A1962" s="27" t="n">
        <x:v>458</x:v>
      </x:c>
      <x:c r="B1962" s="27" t="n">
        <x:v>331362</x:v>
      </x:c>
      <x:c r="C1962" s="27" t="str">
        <x:v>A3</x:v>
      </x:c>
      <x:c r="D1962" s="52" t="n">
        <x:v>2500</x:v>
      </x:c>
      <x:c r="E1962" s="46" t="n">
        <x:v>1</x:v>
      </x:c>
      <x:c r="F1962" s="46" t="n">
        <x:v>1</x:v>
      </x:c>
      <x:c r="G1962" s="46" t="n">
        <x:v>1</x:v>
      </x:c>
      <x:c r="H1962" s="46" t="n">
        <x:v>1</x:v>
      </x:c>
      <x:c r="I1962" s="46" t="n">
        <x:v>1</x:v>
      </x:c>
      <x:c r="J1962" s="46" t="n">
        <x:v>1</x:v>
      </x:c>
      <x:c r="K1962" s="46" t="n">
        <x:v>1</x:v>
      </x:c>
      <x:c r="L1962" s="46" t="n">
        <x:v>1</x:v>
      </x:c>
      <x:c r="M1962" s="27" t="n">
        <x:v>1</x:v>
      </x:c>
    </x:row>
    <x:row r="1963" ht="15" hidden="0" customHeight="1">
      <x:c r="A1963" s="29" t="n">
        <x:v>459</x:v>
      </x:c>
      <x:c r="B1963" s="29" t="n">
        <x:v>331363</x:v>
      </x:c>
      <x:c r="C1963" s="29" t="str">
        <x:v>A3</x:v>
      </x:c>
      <x:c r="D1963" s="53" t="n">
        <x:v>2500</x:v>
      </x:c>
      <x:c r="E1963" s="47" t="n">
        <x:v>1</x:v>
      </x:c>
      <x:c r="F1963" s="47" t="n">
        <x:v>1</x:v>
      </x:c>
      <x:c r="G1963" s="47" t="n">
        <x:v>1</x:v>
      </x:c>
      <x:c r="H1963" s="47" t="n">
        <x:v>1</x:v>
      </x:c>
      <x:c r="I1963" s="47" t="n">
        <x:v>1</x:v>
      </x:c>
      <x:c r="J1963" s="47" t="n">
        <x:v>1</x:v>
      </x:c>
      <x:c r="K1963" s="47" t="n">
        <x:v>1</x:v>
      </x:c>
      <x:c r="L1963" s="47" t="n">
        <x:v>1</x:v>
      </x:c>
      <x:c r="M1963" s="29" t="n">
        <x:v>1</x:v>
      </x:c>
    </x:row>
    <x:row r="1964" ht="15" hidden="0" customHeight="1">
      <x:c r="A1964" s="27" t="n">
        <x:v>460</x:v>
      </x:c>
      <x:c r="B1964" s="27" t="n">
        <x:v>331364</x:v>
      </x:c>
      <x:c r="C1964" s="27" t="str">
        <x:v>A3</x:v>
      </x:c>
      <x:c r="D1964" s="52" t="n">
        <x:v>2500</x:v>
      </x:c>
      <x:c r="E1964" s="46" t="n">
        <x:v>1</x:v>
      </x:c>
      <x:c r="F1964" s="46" t="n">
        <x:v>1</x:v>
      </x:c>
      <x:c r="G1964" s="46" t="n">
        <x:v>1</x:v>
      </x:c>
      <x:c r="H1964" s="46" t="n">
        <x:v>1</x:v>
      </x:c>
      <x:c r="I1964" s="46" t="n">
        <x:v>1</x:v>
      </x:c>
      <x:c r="J1964" s="46" t="n">
        <x:v>1</x:v>
      </x:c>
      <x:c r="K1964" s="46" t="n">
        <x:v>1</x:v>
      </x:c>
      <x:c r="L1964" s="46" t="n">
        <x:v>1</x:v>
      </x:c>
      <x:c r="M1964" s="27" t="n">
        <x:v>1</x:v>
      </x:c>
    </x:row>
    <x:row r="1965" ht="15" hidden="0" customHeight="1">
      <x:c r="A1965" s="29" t="n">
        <x:v>461</x:v>
      </x:c>
      <x:c r="B1965" s="29" t="n">
        <x:v>331365</x:v>
      </x:c>
      <x:c r="C1965" s="29" t="str">
        <x:v>A3</x:v>
      </x:c>
      <x:c r="D1965" s="53" t="n">
        <x:v>2500</x:v>
      </x:c>
      <x:c r="E1965" s="47" t="n">
        <x:v>1</x:v>
      </x:c>
      <x:c r="F1965" s="47" t="n">
        <x:v>1</x:v>
      </x:c>
      <x:c r="G1965" s="47" t="n">
        <x:v>1</x:v>
      </x:c>
      <x:c r="H1965" s="47" t="n">
        <x:v>1</x:v>
      </x:c>
      <x:c r="I1965" s="47" t="n">
        <x:v>1</x:v>
      </x:c>
      <x:c r="J1965" s="47" t="n">
        <x:v>1</x:v>
      </x:c>
      <x:c r="K1965" s="47" t="n">
        <x:v>1</x:v>
      </x:c>
      <x:c r="L1965" s="47" t="n">
        <x:v>1</x:v>
      </x:c>
      <x:c r="M1965" s="29" t="n">
        <x:v>1</x:v>
      </x:c>
    </x:row>
    <x:row r="1966" ht="15" hidden="0" customHeight="1">
      <x:c r="A1966" s="27" t="n">
        <x:v>462</x:v>
      </x:c>
      <x:c r="B1966" s="27" t="n">
        <x:v>331366</x:v>
      </x:c>
      <x:c r="C1966" s="27" t="str">
        <x:v>A3</x:v>
      </x:c>
      <x:c r="D1966" s="52" t="n">
        <x:v>2500</x:v>
      </x:c>
      <x:c r="E1966" s="46" t="n">
        <x:v>1</x:v>
      </x:c>
      <x:c r="F1966" s="46" t="n">
        <x:v>1</x:v>
      </x:c>
      <x:c r="G1966" s="46" t="n">
        <x:v>1</x:v>
      </x:c>
      <x:c r="H1966" s="46" t="n">
        <x:v>1</x:v>
      </x:c>
      <x:c r="I1966" s="46" t="n">
        <x:v>1</x:v>
      </x:c>
      <x:c r="J1966" s="46" t="n">
        <x:v>1</x:v>
      </x:c>
      <x:c r="K1966" s="46" t="n">
        <x:v>1</x:v>
      </x:c>
      <x:c r="L1966" s="46" t="n">
        <x:v>1</x:v>
      </x:c>
      <x:c r="M1966" s="27" t="n">
        <x:v>1</x:v>
      </x:c>
    </x:row>
    <x:row r="1967" ht="15" hidden="0" customHeight="1">
      <x:c r="A1967" s="29" t="n">
        <x:v>463</x:v>
      </x:c>
      <x:c r="B1967" s="29" t="n">
        <x:v>331367</x:v>
      </x:c>
      <x:c r="C1967" s="29" t="str">
        <x:v>A3</x:v>
      </x:c>
      <x:c r="D1967" s="53" t="n">
        <x:v>2500</x:v>
      </x:c>
      <x:c r="E1967" s="47" t="n">
        <x:v>1</x:v>
      </x:c>
      <x:c r="F1967" s="47" t="n">
        <x:v>1</x:v>
      </x:c>
      <x:c r="G1967" s="47" t="n">
        <x:v>1</x:v>
      </x:c>
      <x:c r="H1967" s="47" t="n">
        <x:v>1</x:v>
      </x:c>
      <x:c r="I1967" s="47" t="n">
        <x:v>1</x:v>
      </x:c>
      <x:c r="J1967" s="47" t="n">
        <x:v>1</x:v>
      </x:c>
      <x:c r="K1967" s="47" t="n">
        <x:v>1</x:v>
      </x:c>
      <x:c r="L1967" s="47" t="n">
        <x:v>1</x:v>
      </x:c>
      <x:c r="M1967" s="29" t="n">
        <x:v>1</x:v>
      </x:c>
    </x:row>
    <x:row r="1968" ht="15" hidden="0" customHeight="1">
      <x:c r="A1968" s="27" t="n">
        <x:v>464</x:v>
      </x:c>
      <x:c r="B1968" s="27" t="n">
        <x:v>331368</x:v>
      </x:c>
      <x:c r="C1968" s="27" t="str">
        <x:v>A3</x:v>
      </x:c>
      <x:c r="D1968" s="52" t="n">
        <x:v>2500</x:v>
      </x:c>
      <x:c r="E1968" s="46" t="n">
        <x:v>1</x:v>
      </x:c>
      <x:c r="F1968" s="46" t="n">
        <x:v>1</x:v>
      </x:c>
      <x:c r="G1968" s="46" t="n">
        <x:v>1</x:v>
      </x:c>
      <x:c r="H1968" s="46" t="n">
        <x:v>1</x:v>
      </x:c>
      <x:c r="I1968" s="46" t="n">
        <x:v>1</x:v>
      </x:c>
      <x:c r="J1968" s="46" t="n">
        <x:v>1</x:v>
      </x:c>
      <x:c r="K1968" s="46" t="n">
        <x:v>1</x:v>
      </x:c>
      <x:c r="L1968" s="46" t="n">
        <x:v>1</x:v>
      </x:c>
      <x:c r="M1968" s="27" t="n">
        <x:v>1</x:v>
      </x:c>
    </x:row>
    <x:row r="1969" ht="15" hidden="0" customHeight="1">
      <x:c r="A1969" s="29" t="n">
        <x:v>465</x:v>
      </x:c>
      <x:c r="B1969" s="29" t="n">
        <x:v>331369</x:v>
      </x:c>
      <x:c r="C1969" s="29" t="str">
        <x:v>A3</x:v>
      </x:c>
      <x:c r="D1969" s="53" t="n">
        <x:v>2500</x:v>
      </x:c>
      <x:c r="E1969" s="47" t="n">
        <x:v>1</x:v>
      </x:c>
      <x:c r="F1969" s="47" t="n">
        <x:v>1</x:v>
      </x:c>
      <x:c r="G1969" s="47" t="n">
        <x:v>1</x:v>
      </x:c>
      <x:c r="H1969" s="47" t="n">
        <x:v>1</x:v>
      </x:c>
      <x:c r="I1969" s="47" t="n">
        <x:v>1</x:v>
      </x:c>
      <x:c r="J1969" s="47" t="n">
        <x:v>1</x:v>
      </x:c>
      <x:c r="K1969" s="47" t="n">
        <x:v>1</x:v>
      </x:c>
      <x:c r="L1969" s="47" t="n">
        <x:v>1</x:v>
      </x:c>
      <x:c r="M1969" s="29" t="n">
        <x:v>1</x:v>
      </x:c>
    </x:row>
    <x:row r="1970" ht="15" hidden="0" customHeight="1">
      <x:c r="A1970" s="27" t="n">
        <x:v>466</x:v>
      </x:c>
      <x:c r="B1970" s="27" t="n">
        <x:v>331370</x:v>
      </x:c>
      <x:c r="C1970" s="27" t="str">
        <x:v>A3</x:v>
      </x:c>
      <x:c r="D1970" s="52" t="n">
        <x:v>2500</x:v>
      </x:c>
      <x:c r="E1970" s="46" t="n">
        <x:v>1</x:v>
      </x:c>
      <x:c r="F1970" s="46" t="n">
        <x:v>1</x:v>
      </x:c>
      <x:c r="G1970" s="46" t="n">
        <x:v>1</x:v>
      </x:c>
      <x:c r="H1970" s="46" t="n">
        <x:v>1</x:v>
      </x:c>
      <x:c r="I1970" s="46" t="n">
        <x:v>1</x:v>
      </x:c>
      <x:c r="J1970" s="46" t="n">
        <x:v>1</x:v>
      </x:c>
      <x:c r="K1970" s="46" t="n">
        <x:v>1</x:v>
      </x:c>
      <x:c r="L1970" s="46" t="n">
        <x:v>1</x:v>
      </x:c>
      <x:c r="M1970" s="27" t="n">
        <x:v>1</x:v>
      </x:c>
    </x:row>
    <x:row r="1971" ht="15" hidden="0" customHeight="1">
      <x:c r="A1971" s="29" t="n">
        <x:v>467</x:v>
      </x:c>
      <x:c r="B1971" s="29" t="n">
        <x:v>331371</x:v>
      </x:c>
      <x:c r="C1971" s="29" t="str">
        <x:v>A3</x:v>
      </x:c>
      <x:c r="D1971" s="53" t="n">
        <x:v>2500</x:v>
      </x:c>
      <x:c r="E1971" s="47" t="n">
        <x:v>1</x:v>
      </x:c>
      <x:c r="F1971" s="47" t="n">
        <x:v>1</x:v>
      </x:c>
      <x:c r="G1971" s="47" t="n">
        <x:v>1</x:v>
      </x:c>
      <x:c r="H1971" s="47" t="n">
        <x:v>1</x:v>
      </x:c>
      <x:c r="I1971" s="47" t="n">
        <x:v>1</x:v>
      </x:c>
      <x:c r="J1971" s="47" t="n">
        <x:v>1</x:v>
      </x:c>
      <x:c r="K1971" s="47" t="n">
        <x:v>1</x:v>
      </x:c>
      <x:c r="L1971" s="47" t="n">
        <x:v>1</x:v>
      </x:c>
      <x:c r="M1971" s="29" t="n">
        <x:v>1</x:v>
      </x:c>
    </x:row>
    <x:row r="1972" ht="15" hidden="0" customHeight="1">
      <x:c r="A1972" s="27" t="n">
        <x:v>468</x:v>
      </x:c>
      <x:c r="B1972" s="27" t="n">
        <x:v>331372</x:v>
      </x:c>
      <x:c r="C1972" s="27" t="str">
        <x:v>A3</x:v>
      </x:c>
      <x:c r="D1972" s="52" t="n">
        <x:v>2500</x:v>
      </x:c>
      <x:c r="E1972" s="46" t="n">
        <x:v>1</x:v>
      </x:c>
      <x:c r="F1972" s="46" t="n">
        <x:v>1</x:v>
      </x:c>
      <x:c r="G1972" s="46" t="n">
        <x:v>1</x:v>
      </x:c>
      <x:c r="H1972" s="46" t="n">
        <x:v>1</x:v>
      </x:c>
      <x:c r="I1972" s="46" t="n">
        <x:v>1</x:v>
      </x:c>
      <x:c r="J1972" s="46" t="n">
        <x:v>1</x:v>
      </x:c>
      <x:c r="K1972" s="46" t="n">
        <x:v>1</x:v>
      </x:c>
      <x:c r="L1972" s="46" t="n">
        <x:v>1</x:v>
      </x:c>
      <x:c r="M1972" s="27" t="n">
        <x:v>1</x:v>
      </x:c>
    </x:row>
    <x:row r="1973" ht="15" hidden="0" customHeight="1">
      <x:c r="A1973" s="29" t="n">
        <x:v>469</x:v>
      </x:c>
      <x:c r="B1973" s="29" t="n">
        <x:v>331373</x:v>
      </x:c>
      <x:c r="C1973" s="29" t="str">
        <x:v>A3</x:v>
      </x:c>
      <x:c r="D1973" s="53" t="n">
        <x:v>2500</x:v>
      </x:c>
      <x:c r="E1973" s="47" t="n">
        <x:v>1</x:v>
      </x:c>
      <x:c r="F1973" s="47" t="n">
        <x:v>1</x:v>
      </x:c>
      <x:c r="G1973" s="47" t="n">
        <x:v>1</x:v>
      </x:c>
      <x:c r="H1973" s="47" t="n">
        <x:v>1</x:v>
      </x:c>
      <x:c r="I1973" s="47" t="n">
        <x:v>1</x:v>
      </x:c>
      <x:c r="J1973" s="47" t="n">
        <x:v>1</x:v>
      </x:c>
      <x:c r="K1973" s="47" t="n">
        <x:v>1</x:v>
      </x:c>
      <x:c r="L1973" s="47" t="n">
        <x:v>1</x:v>
      </x:c>
      <x:c r="M1973" s="29" t="n">
        <x:v>1</x:v>
      </x:c>
    </x:row>
    <x:row r="1974" ht="15" hidden="0" customHeight="1">
      <x:c r="A1974" s="27" t="n">
        <x:v>470</x:v>
      </x:c>
      <x:c r="B1974" s="27" t="n">
        <x:v>331374</x:v>
      </x:c>
      <x:c r="C1974" s="27" t="str">
        <x:v>A3</x:v>
      </x:c>
      <x:c r="D1974" s="52" t="n">
        <x:v>2500</x:v>
      </x:c>
      <x:c r="E1974" s="46" t="n">
        <x:v>1</x:v>
      </x:c>
      <x:c r="F1974" s="46" t="n">
        <x:v>1</x:v>
      </x:c>
      <x:c r="G1974" s="46" t="n">
        <x:v>1</x:v>
      </x:c>
      <x:c r="H1974" s="46" t="n">
        <x:v>1</x:v>
      </x:c>
      <x:c r="I1974" s="46" t="n">
        <x:v>1</x:v>
      </x:c>
      <x:c r="J1974" s="46" t="n">
        <x:v>1</x:v>
      </x:c>
      <x:c r="K1974" s="46" t="n">
        <x:v>1</x:v>
      </x:c>
      <x:c r="L1974" s="46" t="n">
        <x:v>1</x:v>
      </x:c>
      <x:c r="M1974" s="27" t="n">
        <x:v>1</x:v>
      </x:c>
    </x:row>
    <x:row r="1975" ht="15" hidden="0" customHeight="1">
      <x:c r="A1975" s="29" t="n">
        <x:v>471</x:v>
      </x:c>
      <x:c r="B1975" s="29" t="n">
        <x:v>331375</x:v>
      </x:c>
      <x:c r="C1975" s="29" t="str">
        <x:v>A3</x:v>
      </x:c>
      <x:c r="D1975" s="53" t="n">
        <x:v>2500</x:v>
      </x:c>
      <x:c r="E1975" s="47" t="n">
        <x:v>1</x:v>
      </x:c>
      <x:c r="F1975" s="47" t="n">
        <x:v>1</x:v>
      </x:c>
      <x:c r="G1975" s="47" t="n">
        <x:v>1</x:v>
      </x:c>
      <x:c r="H1975" s="47" t="n">
        <x:v>1</x:v>
      </x:c>
      <x:c r="I1975" s="47" t="n">
        <x:v>1</x:v>
      </x:c>
      <x:c r="J1975" s="47" t="n">
        <x:v>1</x:v>
      </x:c>
      <x:c r="K1975" s="47" t="n">
        <x:v>1</x:v>
      </x:c>
      <x:c r="L1975" s="47" t="n">
        <x:v>1</x:v>
      </x:c>
      <x:c r="M1975" s="29" t="n">
        <x:v>1</x:v>
      </x:c>
    </x:row>
    <x:row r="1976" ht="15" hidden="0" customHeight="1">
      <x:c r="A1976" s="27" t="n">
        <x:v>472</x:v>
      </x:c>
      <x:c r="B1976" s="27" t="n">
        <x:v>331376</x:v>
      </x:c>
      <x:c r="C1976" s="27" t="str">
        <x:v>A3</x:v>
      </x:c>
      <x:c r="D1976" s="52" t="n">
        <x:v>2500</x:v>
      </x:c>
      <x:c r="E1976" s="46" t="n">
        <x:v>1</x:v>
      </x:c>
      <x:c r="F1976" s="46" t="n">
        <x:v>1</x:v>
      </x:c>
      <x:c r="G1976" s="46" t="n">
        <x:v>1</x:v>
      </x:c>
      <x:c r="H1976" s="46" t="n">
        <x:v>1</x:v>
      </x:c>
      <x:c r="I1976" s="46" t="n">
        <x:v>1</x:v>
      </x:c>
      <x:c r="J1976" s="46" t="n">
        <x:v>1</x:v>
      </x:c>
      <x:c r="K1976" s="46" t="n">
        <x:v>1</x:v>
      </x:c>
      <x:c r="L1976" s="46" t="n">
        <x:v>1</x:v>
      </x:c>
      <x:c r="M1976" s="27" t="n">
        <x:v>1</x:v>
      </x:c>
    </x:row>
    <x:row r="1977" ht="15" hidden="0" customHeight="1">
      <x:c r="A1977" s="29" t="n">
        <x:v>473</x:v>
      </x:c>
      <x:c r="B1977" s="29" t="n">
        <x:v>331377</x:v>
      </x:c>
      <x:c r="C1977" s="29" t="str">
        <x:v>A3</x:v>
      </x:c>
      <x:c r="D1977" s="53" t="n">
        <x:v>2500</x:v>
      </x:c>
      <x:c r="E1977" s="47" t="n">
        <x:v>1</x:v>
      </x:c>
      <x:c r="F1977" s="47" t="n">
        <x:v>1</x:v>
      </x:c>
      <x:c r="G1977" s="47" t="n">
        <x:v>1</x:v>
      </x:c>
      <x:c r="H1977" s="47" t="n">
        <x:v>1</x:v>
      </x:c>
      <x:c r="I1977" s="47" t="n">
        <x:v>1</x:v>
      </x:c>
      <x:c r="J1977" s="47" t="n">
        <x:v>1</x:v>
      </x:c>
      <x:c r="K1977" s="47" t="n">
        <x:v>1</x:v>
      </x:c>
      <x:c r="L1977" s="47" t="n">
        <x:v>1</x:v>
      </x:c>
      <x:c r="M1977" s="29" t="n">
        <x:v>1</x:v>
      </x:c>
    </x:row>
    <x:row r="1978" ht="15" hidden="0" customHeight="1">
      <x:c r="A1978" s="27" t="n">
        <x:v>474</x:v>
      </x:c>
      <x:c r="B1978" s="27" t="n">
        <x:v>331378</x:v>
      </x:c>
      <x:c r="C1978" s="27" t="str">
        <x:v>A3</x:v>
      </x:c>
      <x:c r="D1978" s="52" t="n">
        <x:v>2500</x:v>
      </x:c>
      <x:c r="E1978" s="46" t="n">
        <x:v>1</x:v>
      </x:c>
      <x:c r="F1978" s="46" t="n">
        <x:v>1</x:v>
      </x:c>
      <x:c r="G1978" s="46" t="n">
        <x:v>1</x:v>
      </x:c>
      <x:c r="H1978" s="46" t="n">
        <x:v>1</x:v>
      </x:c>
      <x:c r="I1978" s="46" t="n">
        <x:v>1</x:v>
      </x:c>
      <x:c r="J1978" s="46" t="n">
        <x:v>1</x:v>
      </x:c>
      <x:c r="K1978" s="46" t="n">
        <x:v>1</x:v>
      </x:c>
      <x:c r="L1978" s="46" t="n">
        <x:v>1</x:v>
      </x:c>
      <x:c r="M1978" s="27" t="n">
        <x:v>1</x:v>
      </x:c>
    </x:row>
    <x:row r="1979" ht="15" hidden="0" customHeight="1">
      <x:c r="A1979" s="29" t="n">
        <x:v>475</x:v>
      </x:c>
      <x:c r="B1979" s="29" t="n">
        <x:v>331379</x:v>
      </x:c>
      <x:c r="C1979" s="29" t="str">
        <x:v>A3</x:v>
      </x:c>
      <x:c r="D1979" s="53" t="n">
        <x:v>2500</x:v>
      </x:c>
      <x:c r="E1979" s="47" t="n">
        <x:v>1</x:v>
      </x:c>
      <x:c r="F1979" s="47" t="n">
        <x:v>1</x:v>
      </x:c>
      <x:c r="G1979" s="47" t="n">
        <x:v>1</x:v>
      </x:c>
      <x:c r="H1979" s="47" t="n">
        <x:v>1</x:v>
      </x:c>
      <x:c r="I1979" s="47" t="n">
        <x:v>1</x:v>
      </x:c>
      <x:c r="J1979" s="47" t="n">
        <x:v>1</x:v>
      </x:c>
      <x:c r="K1979" s="47" t="n">
        <x:v>1</x:v>
      </x:c>
      <x:c r="L1979" s="47" t="n">
        <x:v>1</x:v>
      </x:c>
      <x:c r="M1979" s="29" t="n">
        <x:v>1</x:v>
      </x:c>
    </x:row>
    <x:row r="1980" ht="15" hidden="0" customHeight="1">
      <x:c r="A1980" s="27" t="n">
        <x:v>476</x:v>
      </x:c>
      <x:c r="B1980" s="27" t="n">
        <x:v>331380</x:v>
      </x:c>
      <x:c r="C1980" s="27" t="str">
        <x:v>A3</x:v>
      </x:c>
      <x:c r="D1980" s="52" t="n">
        <x:v>2500</x:v>
      </x:c>
      <x:c r="E1980" s="46" t="n">
        <x:v>1</x:v>
      </x:c>
      <x:c r="F1980" s="46" t="n">
        <x:v>1</x:v>
      </x:c>
      <x:c r="G1980" s="46" t="n">
        <x:v>1</x:v>
      </x:c>
      <x:c r="H1980" s="46" t="n">
        <x:v>1</x:v>
      </x:c>
      <x:c r="I1980" s="46" t="n">
        <x:v>1</x:v>
      </x:c>
      <x:c r="J1980" s="46" t="n">
        <x:v>1</x:v>
      </x:c>
      <x:c r="K1980" s="46" t="n">
        <x:v>1</x:v>
      </x:c>
      <x:c r="L1980" s="46" t="n">
        <x:v>1</x:v>
      </x:c>
      <x:c r="M1980" s="27" t="n">
        <x:v>1</x:v>
      </x:c>
    </x:row>
    <x:row r="1981" ht="15" hidden="0" customHeight="1">
      <x:c r="A1981" s="29" t="n">
        <x:v>477</x:v>
      </x:c>
      <x:c r="B1981" s="29" t="n">
        <x:v>331381</x:v>
      </x:c>
      <x:c r="C1981" s="29" t="str">
        <x:v>A3</x:v>
      </x:c>
      <x:c r="D1981" s="53" t="n">
        <x:v>2500</x:v>
      </x:c>
      <x:c r="E1981" s="47" t="n">
        <x:v>1</x:v>
      </x:c>
      <x:c r="F1981" s="47" t="n">
        <x:v>1</x:v>
      </x:c>
      <x:c r="G1981" s="47" t="n">
        <x:v>1</x:v>
      </x:c>
      <x:c r="H1981" s="47" t="n">
        <x:v>1</x:v>
      </x:c>
      <x:c r="I1981" s="47" t="n">
        <x:v>1</x:v>
      </x:c>
      <x:c r="J1981" s="47" t="n">
        <x:v>1</x:v>
      </x:c>
      <x:c r="K1981" s="47" t="n">
        <x:v>1</x:v>
      </x:c>
      <x:c r="L1981" s="47" t="n">
        <x:v>1</x:v>
      </x:c>
      <x:c r="M1981" s="29" t="n">
        <x:v>1</x:v>
      </x:c>
    </x:row>
    <x:row r="1982" ht="15" hidden="0" customHeight="1">
      <x:c r="A1982" s="27" t="n">
        <x:v>478</x:v>
      </x:c>
      <x:c r="B1982" s="27" t="n">
        <x:v>331382</x:v>
      </x:c>
      <x:c r="C1982" s="27" t="str">
        <x:v>A3</x:v>
      </x:c>
      <x:c r="D1982" s="52" t="n">
        <x:v>2500</x:v>
      </x:c>
      <x:c r="E1982" s="46" t="n">
        <x:v>1</x:v>
      </x:c>
      <x:c r="F1982" s="46" t="n">
        <x:v>1</x:v>
      </x:c>
      <x:c r="G1982" s="46" t="n">
        <x:v>1</x:v>
      </x:c>
      <x:c r="H1982" s="46" t="n">
        <x:v>1</x:v>
      </x:c>
      <x:c r="I1982" s="46" t="n">
        <x:v>1</x:v>
      </x:c>
      <x:c r="J1982" s="46" t="n">
        <x:v>1</x:v>
      </x:c>
      <x:c r="K1982" s="46" t="n">
        <x:v>1</x:v>
      </x:c>
      <x:c r="L1982" s="46" t="n">
        <x:v>1</x:v>
      </x:c>
      <x:c r="M1982" s="27" t="n">
        <x:v>1</x:v>
      </x:c>
    </x:row>
    <x:row r="1983" ht="15" hidden="0" customHeight="1">
      <x:c r="A1983" s="29" t="n">
        <x:v>479</x:v>
      </x:c>
      <x:c r="B1983" s="29" t="n">
        <x:v>331383</x:v>
      </x:c>
      <x:c r="C1983" s="29" t="str">
        <x:v>A3</x:v>
      </x:c>
      <x:c r="D1983" s="53" t="n">
        <x:v>2500</x:v>
      </x:c>
      <x:c r="E1983" s="47" t="n">
        <x:v>1</x:v>
      </x:c>
      <x:c r="F1983" s="47" t="n">
        <x:v>1</x:v>
      </x:c>
      <x:c r="G1983" s="47" t="n">
        <x:v>1</x:v>
      </x:c>
      <x:c r="H1983" s="47" t="n">
        <x:v>1</x:v>
      </x:c>
      <x:c r="I1983" s="47" t="n">
        <x:v>1</x:v>
      </x:c>
      <x:c r="J1983" s="47" t="n">
        <x:v>1</x:v>
      </x:c>
      <x:c r="K1983" s="47" t="n">
        <x:v>1</x:v>
      </x:c>
      <x:c r="L1983" s="47" t="n">
        <x:v>1</x:v>
      </x:c>
      <x:c r="M1983" s="29" t="n">
        <x:v>1</x:v>
      </x:c>
    </x:row>
    <x:row r="1984" ht="15" hidden="0" customHeight="1">
      <x:c r="A1984" s="27" t="n">
        <x:v>480</x:v>
      </x:c>
      <x:c r="B1984" s="27" t="n">
        <x:v>331384</x:v>
      </x:c>
      <x:c r="C1984" s="27" t="str">
        <x:v>A3</x:v>
      </x:c>
      <x:c r="D1984" s="52" t="n">
        <x:v>2500</x:v>
      </x:c>
      <x:c r="E1984" s="46" t="n">
        <x:v>1</x:v>
      </x:c>
      <x:c r="F1984" s="46" t="n">
        <x:v>1</x:v>
      </x:c>
      <x:c r="G1984" s="46" t="n">
        <x:v>1</x:v>
      </x:c>
      <x:c r="H1984" s="46" t="n">
        <x:v>1</x:v>
      </x:c>
      <x:c r="I1984" s="46" t="n">
        <x:v>1</x:v>
      </x:c>
      <x:c r="J1984" s="46" t="n">
        <x:v>1</x:v>
      </x:c>
      <x:c r="K1984" s="46" t="n">
        <x:v>1</x:v>
      </x:c>
      <x:c r="L1984" s="46" t="n">
        <x:v>1</x:v>
      </x:c>
      <x:c r="M1984" s="27" t="n">
        <x:v>1</x:v>
      </x:c>
    </x:row>
    <x:row r="1985" ht="15" hidden="0" customHeight="1">
      <x:c r="A1985" s="29" t="n">
        <x:v>481</x:v>
      </x:c>
      <x:c r="B1985" s="29" t="n">
        <x:v>331385</x:v>
      </x:c>
      <x:c r="C1985" s="29" t="str">
        <x:v>A3</x:v>
      </x:c>
      <x:c r="D1985" s="53" t="n">
        <x:v>2500</x:v>
      </x:c>
      <x:c r="E1985" s="47" t="n">
        <x:v>1</x:v>
      </x:c>
      <x:c r="F1985" s="47" t="n">
        <x:v>1</x:v>
      </x:c>
      <x:c r="G1985" s="47" t="n">
        <x:v>1</x:v>
      </x:c>
      <x:c r="H1985" s="47" t="n">
        <x:v>1</x:v>
      </x:c>
      <x:c r="I1985" s="47" t="n">
        <x:v>1</x:v>
      </x:c>
      <x:c r="J1985" s="47" t="n">
        <x:v>1</x:v>
      </x:c>
      <x:c r="K1985" s="47" t="n">
        <x:v>1</x:v>
      </x:c>
      <x:c r="L1985" s="47" t="n">
        <x:v>1</x:v>
      </x:c>
      <x:c r="M1985" s="29" t="n">
        <x:v>1</x:v>
      </x:c>
    </x:row>
    <x:row r="1986" ht="15" hidden="0" customHeight="1">
      <x:c r="A1986" s="27" t="n">
        <x:v>482</x:v>
      </x:c>
      <x:c r="B1986" s="27" t="n">
        <x:v>331386</x:v>
      </x:c>
      <x:c r="C1986" s="27" t="str">
        <x:v>A3</x:v>
      </x:c>
      <x:c r="D1986" s="52" t="n">
        <x:v>2500</x:v>
      </x:c>
      <x:c r="E1986" s="46" t="n">
        <x:v>1</x:v>
      </x:c>
      <x:c r="F1986" s="46" t="n">
        <x:v>1</x:v>
      </x:c>
      <x:c r="G1986" s="46" t="n">
        <x:v>1</x:v>
      </x:c>
      <x:c r="H1986" s="46" t="n">
        <x:v>1</x:v>
      </x:c>
      <x:c r="I1986" s="46" t="n">
        <x:v>1</x:v>
      </x:c>
      <x:c r="J1986" s="46" t="n">
        <x:v>1</x:v>
      </x:c>
      <x:c r="K1986" s="46" t="n">
        <x:v>1</x:v>
      </x:c>
      <x:c r="L1986" s="46" t="n">
        <x:v>1</x:v>
      </x:c>
      <x:c r="M1986" s="27" t="n">
        <x:v>1</x:v>
      </x:c>
    </x:row>
    <x:row r="1987" ht="15" hidden="0" customHeight="1">
      <x:c r="A1987" s="29" t="n">
        <x:v>483</x:v>
      </x:c>
      <x:c r="B1987" s="29" t="n">
        <x:v>331387</x:v>
      </x:c>
      <x:c r="C1987" s="29" t="str">
        <x:v>A3</x:v>
      </x:c>
      <x:c r="D1987" s="53" t="n">
        <x:v>2500</x:v>
      </x:c>
      <x:c r="E1987" s="47" t="n">
        <x:v>1</x:v>
      </x:c>
      <x:c r="F1987" s="47" t="n">
        <x:v>1</x:v>
      </x:c>
      <x:c r="G1987" s="47" t="n">
        <x:v>1</x:v>
      </x:c>
      <x:c r="H1987" s="47" t="n">
        <x:v>1</x:v>
      </x:c>
      <x:c r="I1987" s="47" t="n">
        <x:v>1</x:v>
      </x:c>
      <x:c r="J1987" s="47" t="n">
        <x:v>1</x:v>
      </x:c>
      <x:c r="K1987" s="47" t="n">
        <x:v>1</x:v>
      </x:c>
      <x:c r="L1987" s="47" t="n">
        <x:v>1</x:v>
      </x:c>
      <x:c r="M1987" s="29" t="n">
        <x:v>1</x:v>
      </x:c>
    </x:row>
    <x:row r="1988" ht="15" hidden="0" customHeight="1">
      <x:c r="A1988" s="27" t="n">
        <x:v>484</x:v>
      </x:c>
      <x:c r="B1988" s="27" t="n">
        <x:v>331388</x:v>
      </x:c>
      <x:c r="C1988" s="27" t="str">
        <x:v>A3</x:v>
      </x:c>
      <x:c r="D1988" s="52" t="n">
        <x:v>2500</x:v>
      </x:c>
      <x:c r="E1988" s="46" t="n">
        <x:v>1</x:v>
      </x:c>
      <x:c r="F1988" s="46" t="n">
        <x:v>1</x:v>
      </x:c>
      <x:c r="G1988" s="46" t="n">
        <x:v>1</x:v>
      </x:c>
      <x:c r="H1988" s="46" t="n">
        <x:v>1</x:v>
      </x:c>
      <x:c r="I1988" s="46" t="n">
        <x:v>1</x:v>
      </x:c>
      <x:c r="J1988" s="46" t="n">
        <x:v>1</x:v>
      </x:c>
      <x:c r="K1988" s="46" t="n">
        <x:v>1</x:v>
      </x:c>
      <x:c r="L1988" s="46" t="n">
        <x:v>1</x:v>
      </x:c>
      <x:c r="M1988" s="27" t="n">
        <x:v>1</x:v>
      </x:c>
    </x:row>
    <x:row r="1989" ht="15" hidden="0" customHeight="1">
      <x:c r="A1989" s="29" t="n">
        <x:v>485</x:v>
      </x:c>
      <x:c r="B1989" s="29" t="n">
        <x:v>331389</x:v>
      </x:c>
      <x:c r="C1989" s="29" t="str">
        <x:v>A3</x:v>
      </x:c>
      <x:c r="D1989" s="53" t="n">
        <x:v>2500</x:v>
      </x:c>
      <x:c r="E1989" s="47" t="n">
        <x:v>1</x:v>
      </x:c>
      <x:c r="F1989" s="47" t="n">
        <x:v>1</x:v>
      </x:c>
      <x:c r="G1989" s="47" t="n">
        <x:v>1</x:v>
      </x:c>
      <x:c r="H1989" s="47" t="n">
        <x:v>1</x:v>
      </x:c>
      <x:c r="I1989" s="47" t="n">
        <x:v>1</x:v>
      </x:c>
      <x:c r="J1989" s="47" t="n">
        <x:v>1</x:v>
      </x:c>
      <x:c r="K1989" s="47" t="n">
        <x:v>1</x:v>
      </x:c>
      <x:c r="L1989" s="47" t="n">
        <x:v>1</x:v>
      </x:c>
      <x:c r="M1989" s="29" t="n">
        <x:v>1</x:v>
      </x:c>
    </x:row>
    <x:row r="1990" ht="15" hidden="0" customHeight="1">
      <x:c r="A1990" s="27" t="n">
        <x:v>486</x:v>
      </x:c>
      <x:c r="B1990" s="27" t="n">
        <x:v>331390</x:v>
      </x:c>
      <x:c r="C1990" s="27" t="str">
        <x:v>A3</x:v>
      </x:c>
      <x:c r="D1990" s="52" t="n">
        <x:v>2500</x:v>
      </x:c>
      <x:c r="E1990" s="46" t="n">
        <x:v>1</x:v>
      </x:c>
      <x:c r="F1990" s="46" t="n">
        <x:v>1</x:v>
      </x:c>
      <x:c r="G1990" s="46" t="n">
        <x:v>1</x:v>
      </x:c>
      <x:c r="H1990" s="46" t="n">
        <x:v>1</x:v>
      </x:c>
      <x:c r="I1990" s="46" t="n">
        <x:v>1</x:v>
      </x:c>
      <x:c r="J1990" s="46" t="n">
        <x:v>1</x:v>
      </x:c>
      <x:c r="K1990" s="46" t="n">
        <x:v>1</x:v>
      </x:c>
      <x:c r="L1990" s="46" t="n">
        <x:v>1</x:v>
      </x:c>
      <x:c r="M1990" s="27" t="n">
        <x:v>1</x:v>
      </x:c>
    </x:row>
    <x:row r="1991" ht="15" hidden="0" customHeight="1">
      <x:c r="A1991" s="29" t="n">
        <x:v>487</x:v>
      </x:c>
      <x:c r="B1991" s="29" t="n">
        <x:v>331391</x:v>
      </x:c>
      <x:c r="C1991" s="29" t="str">
        <x:v>A3</x:v>
      </x:c>
      <x:c r="D1991" s="53" t="n">
        <x:v>2500</x:v>
      </x:c>
      <x:c r="E1991" s="47" t="n">
        <x:v>1</x:v>
      </x:c>
      <x:c r="F1991" s="47" t="n">
        <x:v>1</x:v>
      </x:c>
      <x:c r="G1991" s="47" t="n">
        <x:v>1</x:v>
      </x:c>
      <x:c r="H1991" s="47" t="n">
        <x:v>1</x:v>
      </x:c>
      <x:c r="I1991" s="47" t="n">
        <x:v>1</x:v>
      </x:c>
      <x:c r="J1991" s="47" t="n">
        <x:v>1</x:v>
      </x:c>
      <x:c r="K1991" s="47" t="n">
        <x:v>1</x:v>
      </x:c>
      <x:c r="L1991" s="47" t="n">
        <x:v>1</x:v>
      </x:c>
      <x:c r="M1991" s="29" t="n">
        <x:v>1</x:v>
      </x:c>
    </x:row>
    <x:row r="1992" ht="15" hidden="0" customHeight="1">
      <x:c r="A1992" s="27" t="n">
        <x:v>488</x:v>
      </x:c>
      <x:c r="B1992" s="27" t="n">
        <x:v>331392</x:v>
      </x:c>
      <x:c r="C1992" s="27" t="str">
        <x:v>A3</x:v>
      </x:c>
      <x:c r="D1992" s="52" t="n">
        <x:v>2500</x:v>
      </x:c>
      <x:c r="E1992" s="46" t="n">
        <x:v>1</x:v>
      </x:c>
      <x:c r="F1992" s="46" t="n">
        <x:v>1</x:v>
      </x:c>
      <x:c r="G1992" s="46" t="n">
        <x:v>1</x:v>
      </x:c>
      <x:c r="H1992" s="46" t="n">
        <x:v>1</x:v>
      </x:c>
      <x:c r="I1992" s="46" t="n">
        <x:v>1</x:v>
      </x:c>
      <x:c r="J1992" s="46" t="n">
        <x:v>1</x:v>
      </x:c>
      <x:c r="K1992" s="46" t="n">
        <x:v>1</x:v>
      </x:c>
      <x:c r="L1992" s="46" t="n">
        <x:v>1</x:v>
      </x:c>
      <x:c r="M1992" s="27" t="n">
        <x:v>1</x:v>
      </x:c>
    </x:row>
    <x:row r="1993" ht="15" hidden="0" customHeight="1">
      <x:c r="A1993" s="29" t="n">
        <x:v>489</x:v>
      </x:c>
      <x:c r="B1993" s="29" t="n">
        <x:v>331393</x:v>
      </x:c>
      <x:c r="C1993" s="29" t="str">
        <x:v>A3</x:v>
      </x:c>
      <x:c r="D1993" s="53" t="n">
        <x:v>2500</x:v>
      </x:c>
      <x:c r="E1993" s="47" t="n">
        <x:v>1</x:v>
      </x:c>
      <x:c r="F1993" s="47" t="n">
        <x:v>1</x:v>
      </x:c>
      <x:c r="G1993" s="47" t="n">
        <x:v>1</x:v>
      </x:c>
      <x:c r="H1993" s="47" t="n">
        <x:v>1</x:v>
      </x:c>
      <x:c r="I1993" s="47" t="n">
        <x:v>1</x:v>
      </x:c>
      <x:c r="J1993" s="47" t="n">
        <x:v>1</x:v>
      </x:c>
      <x:c r="K1993" s="47" t="n">
        <x:v>1</x:v>
      </x:c>
      <x:c r="L1993" s="47" t="n">
        <x:v>1</x:v>
      </x:c>
      <x:c r="M1993" s="29" t="n">
        <x:v>1</x:v>
      </x:c>
    </x:row>
    <x:row r="1994" ht="15" hidden="0" customHeight="1">
      <x:c r="A1994" s="27" t="n">
        <x:v>490</x:v>
      </x:c>
      <x:c r="B1994" s="27" t="n">
        <x:v>331394</x:v>
      </x:c>
      <x:c r="C1994" s="27" t="str">
        <x:v>A3</x:v>
      </x:c>
      <x:c r="D1994" s="52" t="n">
        <x:v>2500</x:v>
      </x:c>
      <x:c r="E1994" s="46" t="n">
        <x:v>1</x:v>
      </x:c>
      <x:c r="F1994" s="46" t="n">
        <x:v>1</x:v>
      </x:c>
      <x:c r="G1994" s="46" t="n">
        <x:v>1</x:v>
      </x:c>
      <x:c r="H1994" s="46" t="n">
        <x:v>1</x:v>
      </x:c>
      <x:c r="I1994" s="46" t="n">
        <x:v>1</x:v>
      </x:c>
      <x:c r="J1994" s="46" t="n">
        <x:v>1</x:v>
      </x:c>
      <x:c r="K1994" s="46" t="n">
        <x:v>1</x:v>
      </x:c>
      <x:c r="L1994" s="46" t="n">
        <x:v>1</x:v>
      </x:c>
      <x:c r="M1994" s="27" t="n">
        <x:v>1</x:v>
      </x:c>
    </x:row>
    <x:row r="1995" ht="15" hidden="0" customHeight="1">
      <x:c r="A1995" s="29" t="n">
        <x:v>491</x:v>
      </x:c>
      <x:c r="B1995" s="29" t="n">
        <x:v>331395</x:v>
      </x:c>
      <x:c r="C1995" s="29" t="str">
        <x:v>A3</x:v>
      </x:c>
      <x:c r="D1995" s="53" t="n">
        <x:v>2500</x:v>
      </x:c>
      <x:c r="E1995" s="47" t="n">
        <x:v>1</x:v>
      </x:c>
      <x:c r="F1995" s="47" t="n">
        <x:v>1</x:v>
      </x:c>
      <x:c r="G1995" s="47" t="n">
        <x:v>1</x:v>
      </x:c>
      <x:c r="H1995" s="47" t="n">
        <x:v>1</x:v>
      </x:c>
      <x:c r="I1995" s="47" t="n">
        <x:v>1</x:v>
      </x:c>
      <x:c r="J1995" s="47" t="n">
        <x:v>1</x:v>
      </x:c>
      <x:c r="K1995" s="47" t="n">
        <x:v>1</x:v>
      </x:c>
      <x:c r="L1995" s="47" t="n">
        <x:v>1</x:v>
      </x:c>
      <x:c r="M1995" s="29" t="n">
        <x:v>1</x:v>
      </x:c>
    </x:row>
    <x:row r="1996" ht="15" hidden="0" customHeight="1">
      <x:c r="A1996" s="27" t="n">
        <x:v>492</x:v>
      </x:c>
      <x:c r="B1996" s="27" t="n">
        <x:v>331396</x:v>
      </x:c>
      <x:c r="C1996" s="27" t="str">
        <x:v>A3</x:v>
      </x:c>
      <x:c r="D1996" s="52" t="n">
        <x:v>2500</x:v>
      </x:c>
      <x:c r="E1996" s="46" t="n">
        <x:v>1</x:v>
      </x:c>
      <x:c r="F1996" s="46" t="n">
        <x:v>1</x:v>
      </x:c>
      <x:c r="G1996" s="46" t="n">
        <x:v>1</x:v>
      </x:c>
      <x:c r="H1996" s="46" t="n">
        <x:v>1</x:v>
      </x:c>
      <x:c r="I1996" s="46" t="n">
        <x:v>1</x:v>
      </x:c>
      <x:c r="J1996" s="46" t="n">
        <x:v>1</x:v>
      </x:c>
      <x:c r="K1996" s="46" t="n">
        <x:v>1</x:v>
      </x:c>
      <x:c r="L1996" s="46" t="n">
        <x:v>1</x:v>
      </x:c>
      <x:c r="M1996" s="27" t="n">
        <x:v>1</x:v>
      </x:c>
    </x:row>
    <x:row r="1997" ht="15" hidden="0" customHeight="1">
      <x:c r="A1997" s="29" t="n">
        <x:v>493</x:v>
      </x:c>
      <x:c r="B1997" s="29" t="n">
        <x:v>331397</x:v>
      </x:c>
      <x:c r="C1997" s="29" t="str">
        <x:v>A3</x:v>
      </x:c>
      <x:c r="D1997" s="53" t="n">
        <x:v>2500</x:v>
      </x:c>
      <x:c r="E1997" s="47" t="n">
        <x:v>1</x:v>
      </x:c>
      <x:c r="F1997" s="47" t="n">
        <x:v>1</x:v>
      </x:c>
      <x:c r="G1997" s="47" t="n">
        <x:v>1</x:v>
      </x:c>
      <x:c r="H1997" s="47" t="n">
        <x:v>1</x:v>
      </x:c>
      <x:c r="I1997" s="47" t="n">
        <x:v>1</x:v>
      </x:c>
      <x:c r="J1997" s="47" t="n">
        <x:v>1</x:v>
      </x:c>
      <x:c r="K1997" s="47" t="n">
        <x:v>1</x:v>
      </x:c>
      <x:c r="L1997" s="47" t="n">
        <x:v>1</x:v>
      </x:c>
      <x:c r="M1997" s="29" t="n">
        <x:v>1</x:v>
      </x:c>
    </x:row>
    <x:row r="1998" ht="15" hidden="0" customHeight="1">
      <x:c r="A1998" s="27" t="n">
        <x:v>494</x:v>
      </x:c>
      <x:c r="B1998" s="27" t="n">
        <x:v>331398</x:v>
      </x:c>
      <x:c r="C1998" s="27" t="str">
        <x:v>A3</x:v>
      </x:c>
      <x:c r="D1998" s="52" t="n">
        <x:v>2500</x:v>
      </x:c>
      <x:c r="E1998" s="46" t="n">
        <x:v>1</x:v>
      </x:c>
      <x:c r="F1998" s="46" t="n">
        <x:v>1</x:v>
      </x:c>
      <x:c r="G1998" s="46" t="n">
        <x:v>1</x:v>
      </x:c>
      <x:c r="H1998" s="46" t="n">
        <x:v>1</x:v>
      </x:c>
      <x:c r="I1998" s="46" t="n">
        <x:v>1</x:v>
      </x:c>
      <x:c r="J1998" s="46" t="n">
        <x:v>1</x:v>
      </x:c>
      <x:c r="K1998" s="46" t="n">
        <x:v>1</x:v>
      </x:c>
      <x:c r="L1998" s="46" t="n">
        <x:v>1</x:v>
      </x:c>
      <x:c r="M1998" s="27" t="n">
        <x:v>1</x:v>
      </x:c>
    </x:row>
    <x:row r="1999" ht="15" hidden="0" customHeight="1">
      <x:c r="A1999" s="29" t="n">
        <x:v>495</x:v>
      </x:c>
      <x:c r="B1999" s="29" t="n">
        <x:v>331399</x:v>
      </x:c>
      <x:c r="C1999" s="29" t="str">
        <x:v>A3</x:v>
      </x:c>
      <x:c r="D1999" s="53" t="n">
        <x:v>2500</x:v>
      </x:c>
      <x:c r="E1999" s="47" t="n">
        <x:v>1</x:v>
      </x:c>
      <x:c r="F1999" s="47" t="n">
        <x:v>1</x:v>
      </x:c>
      <x:c r="G1999" s="47" t="n">
        <x:v>1</x:v>
      </x:c>
      <x:c r="H1999" s="47" t="n">
        <x:v>1</x:v>
      </x:c>
      <x:c r="I1999" s="47" t="n">
        <x:v>1</x:v>
      </x:c>
      <x:c r="J1999" s="47" t="n">
        <x:v>1</x:v>
      </x:c>
      <x:c r="K1999" s="47" t="n">
        <x:v>1</x:v>
      </x:c>
      <x:c r="L1999" s="47" t="n">
        <x:v>1</x:v>
      </x:c>
      <x:c r="M1999" s="29" t="n">
        <x:v>1</x:v>
      </x:c>
    </x:row>
    <x:row r="2000" ht="15" hidden="0" customHeight="1">
      <x:c r="A2000" s="27" t="n">
        <x:v>496</x:v>
      </x:c>
      <x:c r="B2000" s="27" t="n">
        <x:v>331400</x:v>
      </x:c>
      <x:c r="C2000" s="27" t="str">
        <x:v>A3</x:v>
      </x:c>
      <x:c r="D2000" s="52" t="n">
        <x:v>2500</x:v>
      </x:c>
      <x:c r="E2000" s="46" t="n">
        <x:v>1</x:v>
      </x:c>
      <x:c r="F2000" s="46" t="n">
        <x:v>1</x:v>
      </x:c>
      <x:c r="G2000" s="46" t="n">
        <x:v>1</x:v>
      </x:c>
      <x:c r="H2000" s="46" t="n">
        <x:v>1</x:v>
      </x:c>
      <x:c r="I2000" s="46" t="n">
        <x:v>1</x:v>
      </x:c>
      <x:c r="J2000" s="46" t="n">
        <x:v>1</x:v>
      </x:c>
      <x:c r="K2000" s="46" t="n">
        <x:v>1</x:v>
      </x:c>
      <x:c r="L2000" s="46" t="n">
        <x:v>1</x:v>
      </x:c>
      <x:c r="M2000" s="27" t="n">
        <x:v>1</x:v>
      </x:c>
    </x:row>
    <x:row r="2001" ht="15" hidden="0" customHeight="1">
      <x:c r="A2001" s="29" t="n">
        <x:v>497</x:v>
      </x:c>
      <x:c r="B2001" s="29" t="n">
        <x:v>331401</x:v>
      </x:c>
      <x:c r="C2001" s="29" t="str">
        <x:v>A3</x:v>
      </x:c>
      <x:c r="D2001" s="53" t="n">
        <x:v>2500</x:v>
      </x:c>
      <x:c r="E2001" s="47" t="n">
        <x:v>1</x:v>
      </x:c>
      <x:c r="F2001" s="47" t="n">
        <x:v>1</x:v>
      </x:c>
      <x:c r="G2001" s="47" t="n">
        <x:v>1</x:v>
      </x:c>
      <x:c r="H2001" s="47" t="n">
        <x:v>1</x:v>
      </x:c>
      <x:c r="I2001" s="47" t="n">
        <x:v>1</x:v>
      </x:c>
      <x:c r="J2001" s="47" t="n">
        <x:v>1</x:v>
      </x:c>
      <x:c r="K2001" s="47" t="n">
        <x:v>1</x:v>
      </x:c>
      <x:c r="L2001" s="47" t="n">
        <x:v>1</x:v>
      </x:c>
      <x:c r="M2001" s="29" t="n">
        <x:v>1</x:v>
      </x:c>
    </x:row>
    <x:row r="2002" ht="15" hidden="0" customHeight="1">
      <x:c r="A2002" s="27" t="n">
        <x:v>498</x:v>
      </x:c>
      <x:c r="B2002" s="27" t="n">
        <x:v>331402</x:v>
      </x:c>
      <x:c r="C2002" s="27" t="str">
        <x:v>A3</x:v>
      </x:c>
      <x:c r="D2002" s="52" t="n">
        <x:v>2500</x:v>
      </x:c>
      <x:c r="E2002" s="46" t="n">
        <x:v>1</x:v>
      </x:c>
      <x:c r="F2002" s="46" t="n">
        <x:v>1</x:v>
      </x:c>
      <x:c r="G2002" s="46" t="n">
        <x:v>1</x:v>
      </x:c>
      <x:c r="H2002" s="46" t="n">
        <x:v>1</x:v>
      </x:c>
      <x:c r="I2002" s="46" t="n">
        <x:v>1</x:v>
      </x:c>
      <x:c r="J2002" s="46" t="n">
        <x:v>1</x:v>
      </x:c>
      <x:c r="K2002" s="46" t="n">
        <x:v>1</x:v>
      </x:c>
      <x:c r="L2002" s="46" t="n">
        <x:v>1</x:v>
      </x:c>
      <x:c r="M2002" s="27" t="n">
        <x:v>1</x:v>
      </x:c>
    </x:row>
    <x:row r="2003" ht="15" hidden="0" customHeight="1">
      <x:c r="A2003" s="29" t="n">
        <x:v>499</x:v>
      </x:c>
      <x:c r="B2003" s="29" t="n">
        <x:v>331403</x:v>
      </x:c>
      <x:c r="C2003" s="29" t="str">
        <x:v>A3</x:v>
      </x:c>
      <x:c r="D2003" s="53" t="n">
        <x:v>2500</x:v>
      </x:c>
      <x:c r="E2003" s="47" t="n">
        <x:v>1</x:v>
      </x:c>
      <x:c r="F2003" s="47" t="n">
        <x:v>1</x:v>
      </x:c>
      <x:c r="G2003" s="47" t="n">
        <x:v>1</x:v>
      </x:c>
      <x:c r="H2003" s="47" t="n">
        <x:v>1</x:v>
      </x:c>
      <x:c r="I2003" s="47" t="n">
        <x:v>1</x:v>
      </x:c>
      <x:c r="J2003" s="47" t="n">
        <x:v>1</x:v>
      </x:c>
      <x:c r="K2003" s="47" t="n">
        <x:v>1</x:v>
      </x:c>
      <x:c r="L2003" s="47" t="n">
        <x:v>1</x:v>
      </x:c>
      <x:c r="M2003" s="29" t="n">
        <x:v>1</x:v>
      </x:c>
    </x:row>
    <x:row r="2004" ht="15" hidden="0" customHeight="1">
      <x:c r="A2004" s="27" t="n">
        <x:v>500</x:v>
      </x:c>
      <x:c r="B2004" s="27" t="n">
        <x:v>331404</x:v>
      </x:c>
      <x:c r="C2004" s="27" t="str">
        <x:v>A3</x:v>
      </x:c>
      <x:c r="D2004" s="52" t="n">
        <x:v>2500</x:v>
      </x:c>
      <x:c r="E2004" s="46" t="n">
        <x:v>1</x:v>
      </x:c>
      <x:c r="F2004" s="46" t="n">
        <x:v>1</x:v>
      </x:c>
      <x:c r="G2004" s="46" t="n">
        <x:v>1</x:v>
      </x:c>
      <x:c r="H2004" s="46" t="n">
        <x:v>1</x:v>
      </x:c>
      <x:c r="I2004" s="46" t="n">
        <x:v>1</x:v>
      </x:c>
      <x:c r="J2004" s="46" t="n">
        <x:v>1</x:v>
      </x:c>
      <x:c r="K2004" s="46" t="n">
        <x:v>1</x:v>
      </x:c>
      <x:c r="L2004" s="46" t="n">
        <x:v>1</x:v>
      </x:c>
      <x:c r="M2004" s="27" t="n">
        <x:v>1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8" hidden="0" customWidth="1"/>
  </x:cols>
  <x:sheetData>
    <x:row r="1" ht="29" customHeight="1">
      <x:c r="A1" s="83" t="str">
        <x:v>Twenty-five-year planning burden</x:v>
      </x:c>
      <x:c r="B1" s="83"/>
      <x:c r="C1" s="83"/>
      <x:c r="D1" s="83"/>
      <x:c r="E1" s="83"/>
      <x:c r="F1" s="83"/>
      <x:c r="G1" s="83"/>
      <x:c r="H1" s="83"/>
      <x:c r="I1" s="83"/>
      <x:c r="J1" s="83"/>
    </x:row>
    <x:row r="2" ht="31" customHeight="1">
      <x:c r="A2" s="84" t="str">
        <x:v>The mobility force is an industrial establishment, not a $180B transport accessory. Values are order-of-magnitude hypotheses in real 2026 dollars.</x:v>
      </x:c>
      <x:c r="B2" s="84"/>
      <x:c r="C2" s="84"/>
      <x:c r="D2" s="84"/>
      <x:c r="E2" s="84"/>
      <x:c r="F2" s="84"/>
      <x:c r="G2" s="84"/>
      <x:c r="H2" s="84"/>
      <x:c r="I2" s="84"/>
      <x:c r="J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</x:row>
    <x:row r="4" ht="32" customHeight="1">
      <x:c r="A4" s="86" t="str">
        <x:v>Architecture</x:v>
      </x:c>
      <x:c r="B4" s="87" t="str">
        <x:v>Mobility capital $B</x:v>
      </x:c>
      <x:c r="C4" s="87" t="str">
        <x:v>Receiver capital $B</x:v>
      </x:c>
      <x:c r="D4" s="87" t="str">
        <x:v>Total capital $B</x:v>
      </x:c>
      <x:c r="E4" s="87" t="str">
        <x:v>Mature mobility O&amp;M $B/y</x:v>
      </x:c>
      <x:c r="F4" s="87" t="str">
        <x:v>Receiver O&amp;M $B/y</x:v>
      </x:c>
      <x:c r="G4" s="87" t="str">
        <x:v>Total O&amp;M $B/y</x:v>
      </x:c>
      <x:c r="H4" s="87" t="str">
        <x:v>25-year $B</x:v>
      </x:c>
      <x:c r="I4" s="87" t="str">
        <x:v>Cost/person of campaign capacity</x:v>
      </x:c>
      <x:c r="J4" s="88" t="str">
        <x:v>Boundary</x:v>
      </x:c>
    </x:row>
    <x:row r="5" ht="64.80000305175781" hidden="0" customHeight="1">
      <x:c r="A5" s="28" t="str">
        <x:v>A0</x:v>
      </x:c>
      <x:c r="B5" s="68" t="n">
        <x:f>IF(A5="A0",216,1158.75*INDEX(Architectures!D:D,MATCH(A5,Architectures!A:A,0)))</x:f>
        <x:v>216</x:v>
      </x:c>
      <x:c r="C5" s="68" t="n">
        <x:f>IF(A5="A0",0,563.808*INDEX(Architectures!C:C,MATCH(A5,Architectures!A:A,0)))</x:f>
        <x:v>0</x:v>
      </x:c>
      <x:c r="D5" s="68" t="n">
        <x:f>B5+C5</x:f>
        <x:v>216</x:v>
      </x:c>
      <x:c r="E5" s="68" t="n">
        <x:f>IF(A5="A0",24,86.90625*INDEX(Architectures!D:D,MATCH(A5,Architectures!A:A,0)))</x:f>
        <x:v>24</x:v>
      </x:c>
      <x:c r="F5" s="68" t="n">
        <x:f>IF(A5="A0",0,36.32*INDEX(Architectures!C:C,MATCH(A5,Architectures!A:A,0)))</x:f>
        <x:v>0</x:v>
      </x:c>
      <x:c r="G5" s="68" t="n">
        <x:f>E5+F5</x:f>
        <x:v>24</x:v>
      </x:c>
      <x:c r="H5" s="68" t="n">
        <x:f>D5+G5*Controls!C13</x:f>
        <x:v>595.44</x:v>
      </x:c>
      <x:c r="I5" s="71" t="n">
        <x:f>H5*1000000000/(Controls!C8*1000)</x:f>
        <x:v>238176</x:v>
      </x:c>
      <x:c r="J5" s="28" t="str">
        <x:v>planning screen; independent cost and schedule risk open</x:v>
      </x:c>
    </x:row>
    <x:row r="6" ht="64.80000305175781" hidden="0" customHeight="1">
      <x:c r="A6" s="27" t="str">
        <x:v>A1</x:v>
      </x:c>
      <x:c r="B6" s="69" t="n">
        <x:f>IF(A6="A0",216,1158.75*INDEX(Architectures!D:D,MATCH(A6,Architectures!A:A,0)))</x:f>
        <x:v>1158.75</x:v>
      </x:c>
      <x:c r="C6" s="69" t="n">
        <x:f>IF(A6="A0",0,563.808*INDEX(Architectures!C:C,MATCH(A6,Architectures!A:A,0)))</x:f>
        <x:v>845.712</x:v>
      </x:c>
      <x:c r="D6" s="69" t="n">
        <x:f>B6+C6</x:f>
        <x:v>2004.462</x:v>
      </x:c>
      <x:c r="E6" s="69" t="n">
        <x:f>IF(A6="A0",24,86.90625*INDEX(Architectures!D:D,MATCH(A6,Architectures!A:A,0)))</x:f>
        <x:v>86.90625</x:v>
      </x:c>
      <x:c r="F6" s="69" t="n">
        <x:f>IF(A6="A0",0,36.32*INDEX(Architectures!C:C,MATCH(A6,Architectures!A:A,0)))</x:f>
        <x:v>54.480000000000004</x:v>
      </x:c>
      <x:c r="G6" s="69" t="n">
        <x:f>E6+F6</x:f>
        <x:v>141.38625000000002</x:v>
      </x:c>
      <x:c r="H6" s="69" t="n">
        <x:f>D6+G6*Controls!C13</x:f>
        <x:v>4239.7786125</x:v>
      </x:c>
      <x:c r="I6" s="72" t="n">
        <x:f>H6*1000000000/(Controls!C8*1000)</x:f>
        <x:v>1695911.445</x:v>
      </x:c>
      <x:c r="J6" s="27" t="str">
        <x:v>planning screen; independent cost and schedule risk open</x:v>
      </x:c>
    </x:row>
    <x:row r="7" ht="64.80000305175781" hidden="0" customHeight="1">
      <x:c r="A7" s="29" t="str">
        <x:v>A2</x:v>
      </x:c>
      <x:c r="B7" s="70" t="n">
        <x:f>IF(A7="A0",216,1158.75*INDEX(Architectures!D:D,MATCH(A7,Architectures!A:A,0)))</x:f>
        <x:v>1448.4375</x:v>
      </x:c>
      <x:c r="C7" s="70" t="n">
        <x:f>IF(A7="A0",0,563.808*INDEX(Architectures!C:C,MATCH(A7,Architectures!A:A,0)))</x:f>
        <x:v>902.0928</x:v>
      </x:c>
      <x:c r="D7" s="70" t="n">
        <x:f>B7+C7</x:f>
        <x:v>2350.5303</x:v>
      </x:c>
      <x:c r="E7" s="70" t="n">
        <x:f>IF(A7="A0",24,86.90625*INDEX(Architectures!D:D,MATCH(A7,Architectures!A:A,0)))</x:f>
        <x:v>108.6328125</x:v>
      </x:c>
      <x:c r="F7" s="70" t="n">
        <x:f>IF(A7="A0",0,36.32*INDEX(Architectures!C:C,MATCH(A7,Architectures!A:A,0)))</x:f>
        <x:v>58.112</x:v>
      </x:c>
      <x:c r="G7" s="70" t="n">
        <x:f>E7+F7</x:f>
        <x:v>166.7448125</x:v>
      </x:c>
      <x:c r="H7" s="70" t="n">
        <x:f>D7+G7*Controls!C13</x:f>
        <x:v>4986.765785625</x:v>
      </x:c>
      <x:c r="I7" s="73" t="n">
        <x:f>H7*1000000000/(Controls!C8*1000)</x:f>
        <x:v>1994706.31425</x:v>
      </x:c>
      <x:c r="J7" s="29" t="str">
        <x:v>planning screen; independent cost and schedule risk open</x:v>
      </x:c>
    </x:row>
    <x:row r="8" ht="64.80000305175781" hidden="0" customHeight="1">
      <x:c r="A8" s="27" t="str">
        <x:v>A3</x:v>
      </x:c>
      <x:c r="B8" s="69" t="n">
        <x:f>IF(A8="A0",216,1158.75*INDEX(Architectures!D:D,MATCH(A8,Architectures!A:A,0)))</x:f>
        <x:v>695.25</x:v>
      </x:c>
      <x:c r="C8" s="69" t="n">
        <x:f>IF(A8="A0",0,563.808*INDEX(Architectures!C:C,MATCH(A8,Architectures!A:A,0)))</x:f>
        <x:v>2367.9936000000002</x:v>
      </x:c>
      <x:c r="D8" s="69" t="n">
        <x:f>B8+C8</x:f>
        <x:v>3063.2436000000002</x:v>
      </x:c>
      <x:c r="E8" s="69" t="n">
        <x:f>IF(A8="A0",24,86.90625*INDEX(Architectures!D:D,MATCH(A8,Architectures!A:A,0)))</x:f>
        <x:v>52.14375</x:v>
      </x:c>
      <x:c r="F8" s="69" t="n">
        <x:f>IF(A8="A0",0,36.32*INDEX(Architectures!C:C,MATCH(A8,Architectures!A:A,0)))</x:f>
        <x:v>152.544</x:v>
      </x:c>
      <x:c r="G8" s="69" t="n">
        <x:f>E8+F8</x:f>
        <x:v>204.68775</x:v>
      </x:c>
      <x:c r="H8" s="69" t="n">
        <x:f>D8+G8*Controls!C13</x:f>
        <x:v>6299.356927500001</x:v>
      </x:c>
      <x:c r="I8" s="72" t="n">
        <x:f>H8*1000000000/(Controls!C8*1000)</x:f>
        <x:v>2519742.771</x:v>
      </x:c>
      <x:c r="J8" s="27" t="str">
        <x:v>planning screen; independent cost and schedule risk open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  <x:col min="8" max="8" width="48" hidden="0" customWidth="1"/>
  </x:cols>
  <x:sheetData>
    <x:row r="1" ht="29" customHeight="1">
      <x:c r="A1" s="83" t="str">
        <x:v>Standing profession and workforce screen</x:v>
      </x:c>
      <x:c r="B1" s="83"/>
      <x:c r="C1" s="83"/>
      <x:c r="D1" s="83"/>
      <x:c r="E1" s="83"/>
      <x:c r="F1" s="83"/>
      <x:c r="G1" s="83"/>
      <x:c r="H1" s="83"/>
    </x:row>
    <x:row r="2" ht="31" customHeight="1">
      <x:c r="A2" s="84" t="str">
        <x:v>Direct asset staffing is only the visible core. Training, relief, reserve, medical, rights, software, inspection and supplier labor multiply it.</x:v>
      </x:c>
      <x:c r="B2" s="84"/>
      <x:c r="C2" s="84"/>
      <x:c r="D2" s="84"/>
      <x:c r="E2" s="84"/>
      <x:c r="F2" s="84"/>
      <x:c r="G2" s="84"/>
      <x:c r="H2" s="84"/>
    </x:row>
    <x:row r="3">
      <x:c r="A3" s="85"/>
      <x:c r="B3" s="85"/>
      <x:c r="C3" s="85"/>
      <x:c r="D3" s="85"/>
      <x:c r="E3" s="85"/>
      <x:c r="F3" s="85"/>
      <x:c r="G3" s="85"/>
      <x:c r="H3" s="85"/>
    </x:row>
    <x:row r="4" ht="32" customHeight="1">
      <x:c r="A4" s="86" t="str">
        <x:v>Force element</x:v>
      </x:c>
      <x:c r="B4" s="87" t="str">
        <x:v>Direct workforce</x:v>
      </x:c>
      <x:c r="C4" s="87" t="str">
        <x:v>Relief/training factor</x:v>
      </x:c>
      <x:c r="D4" s="87" t="str">
        <x:v>Active establishment</x:v>
      </x:c>
      <x:c r="E4" s="87" t="str">
        <x:v>Reserve/affiliate factor</x:v>
      </x:c>
      <x:c r="F4" s="87" t="str">
        <x:v>Affiliated billets</x:v>
      </x:c>
      <x:c r="G4" s="87" t="str">
        <x:v>Scarce professions</x:v>
      </x:c>
      <x:c r="H4" s="88" t="str">
        <x:v>Boundary</x:v>
      </x:c>
    </x:row>
    <x:row r="5" ht="64.80000305175781" hidden="0" customHeight="1">
      <x:c r="A5" s="28" t="str">
        <x:v>Mobile fleets</x:v>
      </x:c>
      <x:c r="B5" s="42" t="n">
        <x:f>SUMIF('Fleet Classes'!C:C,"Road",'Fleet Classes'!L:L)+SUMIF('Fleet Classes'!C:C,"Rail",'Fleet Classes'!L:L)+SUMIF('Fleet Classes'!C:C,"Air",'Fleet Classes'!L:L)+SUMIF('Fleet Classes'!C:C,"Water",'Fleet Classes'!L:L)</x:f>
        <x:v>121800</x:v>
      </x:c>
      <x:c r="C5" s="42" t="n">
        <x:v>2.4</x:v>
      </x:c>
      <x:c r="D5" s="42" t="n">
        <x:f>B5*C5</x:f>
        <x:v>292320</x:v>
      </x:c>
      <x:c r="E5" s="42" t="n">
        <x:v>3</x:v>
      </x:c>
      <x:c r="F5" s="42" t="n">
        <x:f>D5*E5</x:f>
        <x:v>876960</x:v>
      </x:c>
      <x:c r="G5" s="28" t="str">
        <x:v>accessible operators; maintainers; clinical transport teams</x:v>
      </x:c>
      <x:c r="H5" s="28" t="str">
        <x:v>billet hypothesis; labor-market and fatigue evidence open</x:v>
      </x:c>
    </x:row>
    <x:row r="6" ht="64.80000305175781" hidden="0" customHeight="1">
      <x:c r="A6" s="27" t="str">
        <x:v>Transfer nodes</x:v>
      </x:c>
      <x:c r="B6" s="43" t="n">
        <x:f>SUMIF('Fleet Classes'!C:C,"Node",'Fleet Classes'!L:L)</x:f>
        <x:v>73280</x:v>
      </x:c>
      <x:c r="C6" s="43" t="n">
        <x:v>2.6</x:v>
      </x:c>
      <x:c r="D6" s="43" t="n">
        <x:f>B6*C6</x:f>
        <x:v>190528</x:v>
      </x:c>
      <x:c r="E6" s="43" t="n">
        <x:v>3.5</x:v>
      </x:c>
      <x:c r="F6" s="43" t="n">
        <x:f>D6*E6</x:f>
        <x:v>666848</x:v>
      </x:c>
      <x:c r="G6" s="27" t="str">
        <x:v>registration; public health; sanitation; interpreters; safeguarding</x:v>
      </x:c>
      <x:c r="H6" s="27" t="str">
        <x:v>billet hypothesis; labor-market and fatigue evidence open</x:v>
      </x:c>
    </x:row>
    <x:row r="7" ht="64.80000305175781" hidden="0" customHeight="1">
      <x:c r="A7" s="29" t="str">
        <x:v>Network restoration</x:v>
      </x:c>
      <x:c r="B7" s="44" t="n">
        <x:f>SUMIF('Fleet Classes'!C:C,"Enable",'Fleet Classes'!L:L)</x:f>
        <x:v>144000</x:v>
      </x:c>
      <x:c r="C7" s="44" t="n">
        <x:v>2.2</x:v>
      </x:c>
      <x:c r="D7" s="44" t="n">
        <x:f>B7*C7</x:f>
        <x:v>316800</x:v>
      </x:c>
      <x:c r="E7" s="44" t="n">
        <x:v>4</x:v>
      </x:c>
      <x:c r="F7" s="44" t="n">
        <x:f>D7*E7</x:f>
        <x:v>1267200</x:v>
      </x:c>
      <x:c r="G7" s="29" t="str">
        <x:v>bridge/track inspectors; signal; heavy construction; utility crews</x:v>
      </x:c>
      <x:c r="H7" s="29" t="str">
        <x:v>billet hypothesis; labor-market and fatigue evidence open</x:v>
      </x:c>
    </x:row>
    <x:row r="8" ht="64.80000305175781" hidden="0" customHeight="1">
      <x:c r="A8" s="27" t="str">
        <x:v>Command and custody</x:v>
      </x:c>
      <x:c r="B8" s="43" t="n">
        <x:f>SUMIF('Fleet Classes'!C:C,"Command",'Fleet Classes'!L:L)</x:f>
        <x:v>36800</x:v>
      </x:c>
      <x:c r="C8" s="43" t="n">
        <x:v>2.5</x:v>
      </x:c>
      <x:c r="D8" s="43" t="n">
        <x:f>B8*C8</x:f>
        <x:v>92000</x:v>
      </x:c>
      <x:c r="E8" s="43" t="n">
        <x:v>2.5</x:v>
      </x:c>
      <x:c r="F8" s="43" t="n">
        <x:f>D8*E8</x:f>
        <x:v>230000</x:v>
      </x:c>
      <x:c r="G8" s="27" t="str">
        <x:v>dispatch; patient regulation; rights; data custody; return</x:v>
      </x:c>
      <x:c r="H8" s="27" t="str">
        <x:v>billet hypothesis; labor-market and fatigue evidence open</x:v>
      </x:c>
    </x:row>
    <x:row r="9" ht="64.80000305175781" hidden="0" customHeight="1">
      <x:c r="A9" s="29" t="str">
        <x:v>Bases and depots</x:v>
      </x:c>
      <x:c r="B9" s="44" t="n">
        <x:f>SUMIF('Fleet Classes'!C:C,"Base",'Fleet Classes'!L:L)</x:f>
        <x:v>67200</x:v>
      </x:c>
      <x:c r="C9" s="44" t="n">
        <x:v>2</x:v>
      </x:c>
      <x:c r="D9" s="44" t="n">
        <x:f>B9*C9</x:f>
        <x:v>134400</x:v>
      </x:c>
      <x:c r="E9" s="44" t="n">
        <x:v>3</x:v>
      </x:c>
      <x:c r="F9" s="44" t="n">
        <x:f>D9*E9</x:f>
        <x:v>403200</x:v>
      </x:c>
      <x:c r="G9" s="29" t="str">
        <x:v>heavy maintenance; energy; stores; schoolhouse; test</x:v>
      </x:c>
      <x:c r="H9" s="29" t="str">
        <x:v>billet hypothesis; labor-market and fatigue evidence open</x:v>
      </x:c>
    </x:row>
    <x:row r="10">
      <x:c r="A10" s="85"/>
      <x:c r="B10" s="85"/>
      <x:c r="C10" s="85"/>
      <x:c r="D10" s="85"/>
      <x:c r="E10" s="85"/>
      <x:c r="F10" s="85"/>
      <x:c r="G10" s="85"/>
      <x:c r="H10" s="85"/>
    </x:row>
    <x:row r="11" ht="23" customHeight="1">
      <x:c r="A11" s="89" t="str">
        <x:v>Force-wide totals</x:v>
      </x:c>
      <x:c r="B11" s="89"/>
      <x:c r="C11" s="89"/>
      <x:c r="D11" s="89"/>
      <x:c r="E11" s="89"/>
      <x:c r="F11" s="89"/>
      <x:c r="G11" s="89"/>
      <x:c r="H11" s="89"/>
    </x:row>
    <x:row r="12" ht="30" customHeight="1">
      <x:c r="A12" s="93" t="str">
        <x:v>Direct</x:v>
      </x:c>
      <x:c r="B12" s="95" t="n">
        <x:f>SUM(B5:B9)</x:f>
        <x:v>443080</x:v>
      </x:c>
      <x:c r="C12" s="95" t="str">
        <x:v>Active establishment</x:v>
      </x:c>
      <x:c r="D12" s="95" t="n">
        <x:f>SUM(D5:D9)</x:f>
        <x:v>1026048</x:v>
      </x:c>
      <x:c r="E12" s="95" t="str">
        <x:v>Affiliated billets</x:v>
      </x:c>
      <x:c r="F12" s="95" t="n">
        <x:f>SUM(F5:F9)</x:f>
        <x:v>3444208</x:v>
      </x:c>
      <x:c r="G12" s="93" t="str">
        <x:v>new national profession on the scale of a major armed service</x:v>
      </x:c>
      <x:c r="H12" s="93" t="str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47" hidden="0" customWidth="1"/>
    <x:col min="4" max="4" width="47" hidden="0" customWidth="1"/>
    <x:col min="5" max="5" width="47" hidden="0" customWidth="1"/>
    <x:col min="6" max="6" width="47" hidden="0" customWidth="1"/>
    <x:col min="7" max="7" width="47" hidden="0" customWidth="1"/>
    <x:col min="8" max="8" width="16" hidden="0" customWidth="1"/>
    <x:col min="9" max="9" width="16" hidden="0" customWidth="1"/>
  </x:cols>
  <x:sheetData>
    <x:row r="1" ht="29" customHeight="1">
      <x:c r="A1" s="83" t="str">
        <x:v>Mission-pulled technology portfolio</x:v>
      </x:c>
      <x:c r="B1" s="83"/>
      <x:c r="C1" s="83"/>
      <x:c r="D1" s="83"/>
      <x:c r="E1" s="83"/>
      <x:c r="F1" s="83"/>
      <x:c r="G1" s="83"/>
      <x:c r="H1" s="83"/>
      <x:c r="I1" s="83"/>
    </x:row>
    <x:row r="2" ht="31" customHeight="1">
      <x:c r="A2" s="84" t="str">
        <x:v>Innovation targets the failure chain: collection, transfer, line-haul, route restoration, destination intake, identity and return. No platform rendering is authorized.</x:v>
      </x:c>
      <x:c r="B2" s="84"/>
      <x:c r="C2" s="84"/>
      <x:c r="D2" s="84"/>
      <x:c r="E2" s="84"/>
      <x:c r="F2" s="84"/>
      <x:c r="G2" s="84"/>
      <x:c r="H2" s="84"/>
      <x:c r="I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</x:row>
    <x:row r="4" ht="32" customHeight="1">
      <x:c r="A4" s="86" t="str">
        <x:v>Program</x:v>
      </x:c>
      <x:c r="B4" s="87" t="str">
        <x:v>Failure attacked</x:v>
      </x:c>
      <x:c r="C4" s="87" t="str">
        <x:v>Threshold</x:v>
      </x:c>
      <x:c r="D4" s="87" t="str">
        <x:v>Objective</x:v>
      </x:c>
      <x:c r="E4" s="87" t="str">
        <x:v>Kill criterion</x:v>
      </x:c>
      <x:c r="F4" s="87" t="str">
        <x:v>Test venue</x:v>
      </x:c>
      <x:c r="G4" s="87" t="str">
        <x:v>Transition owner</x:v>
      </x:c>
      <x:c r="H4" s="87" t="str">
        <x:v>Maturity</x:v>
      </x:c>
      <x:c r="I4" s="88" t="str">
        <x:v>Rendering</x:v>
      </x:c>
    </x:row>
    <x:row r="5" ht="86.4000015258789" hidden="0" customHeight="1">
      <x:c r="A5" s="28" t="str">
        <x:v>Universal continuity module</x:v>
      </x:c>
      <x:c r="B5" s="28" t="str">
        <x:v>mode changes separate people/devices/caregivers</x:v>
      </x:c>
      <x:c r="C5" s="28" t="str">
        <x:v>one module transfers road-rail-air-water without occupant reconfiguration</x:v>
      </x:c>
      <x:c r="D5" s="28" t="str">
        <x:v>80% reduction in transfer dwell</x:v>
      </x:c>
      <x:c r="E5" s="28" t="str">
        <x:v>density gain requires family/device separation</x:v>
      </x:c>
      <x:c r="F5" s="28" t="str">
        <x:v>full-scale multimodal transfer range</x:v>
      </x:c>
      <x:c r="G5" s="28" t="str">
        <x:v>mobility service</x:v>
      </x:c>
      <x:c r="H5" s="28" t="str">
        <x:v>R1/R2</x:v>
      </x:c>
      <x:c r="I5" s="28" t="str">
        <x:v>BLOCKED</x:v>
      </x:c>
    </x:row>
    <x:row r="6" ht="64.80000305175781" hidden="0" customHeight="1">
      <x:c r="A6" s="27" t="str">
        <x:v>Autonomous collection mesh</x:v>
      </x:c>
      <x:c r="B6" s="27" t="str">
        <x:v>blocked streets and unavailable drivers strand origins</x:v>
      </x:c>
      <x:c r="C6" s="27" t="str">
        <x:v>10,000 people/day per cell under disconnected navigation</x:v>
      </x:c>
      <x:c r="D6" s="27" t="str">
        <x:v>50,000/day with supervised autonomy</x:v>
      </x:c>
      <x:c r="E6" s="27" t="str">
        <x:v>requires intact cloud/GNSS or excludes nonstandard boarding</x:v>
      </x:c>
      <x:c r="F6" s="27" t="str">
        <x:v>damaged-city collection range</x:v>
      </x:c>
      <x:c r="G6" s="27" t="str">
        <x:v>ground mobility command</x:v>
      </x:c>
      <x:c r="H6" s="27" t="str">
        <x:v>R1/R2</x:v>
      </x:c>
      <x:c r="I6" s="27" t="str">
        <x:v>BLOCKED</x:v>
      </x:c>
    </x:row>
    <x:row r="7" ht="64.80000305175781" hidden="0" customHeight="1">
      <x:c r="A7" s="29" t="str">
        <x:v>Damage-tolerant civil rail bridge</x:v>
      </x:c>
      <x:c r="B7" s="29" t="str">
        <x:v>rail exists but inspection/signaling/loading do not</x:v>
      </x:c>
      <x:c r="C7" s="29" t="str">
        <x:v>restore 10 x 1,200-person paths/day</x:v>
      </x:c>
      <x:c r="D7" s="29" t="str">
        <x:v>30 paths/day across temporary signaling</x:v>
      </x:c>
      <x:c r="E7" s="29" t="str">
        <x:v>depends on uninspected structure or involuntary railroad access</x:v>
      </x:c>
      <x:c r="F7" s="29" t="str">
        <x:v>rail damage and transfer-node range</x:v>
      </x:c>
      <x:c r="G7" s="29" t="str">
        <x:v>rail mobility command</x:v>
      </x:c>
      <x:c r="H7" s="29" t="str">
        <x:v>R1/R2</x:v>
      </x:c>
      <x:c r="I7" s="29" t="str">
        <x:v>BLOCKED</x:v>
      </x:c>
    </x:row>
    <x:row r="8" ht="64.80000305175781" hidden="0" customHeight="1">
      <x:c r="A8" s="27" t="str">
        <x:v>Austere accessible air bridge</x:v>
      </x:c>
      <x:c r="B8" s="27" t="str">
        <x:v>airport queues and boarding break 72h chain</x:v>
      </x:c>
      <x:c r="C8" s="27" t="str">
        <x:v>250 mixed-needs people/sortie from 1,500m class runway</x:v>
      </x:c>
      <x:c r="D8" s="27" t="str">
        <x:v>four safe cycles/day with modular clinical cabin</x:v>
      </x:c>
      <x:c r="E8" s="27" t="str">
        <x:v>nominal seats exclude device/clinical/caregiver space</x:v>
      </x:c>
      <x:c r="F8" s="27" t="str">
        <x:v>austere aviation range</x:v>
      </x:c>
      <x:c r="G8" s="27" t="str">
        <x:v>air mobility command</x:v>
      </x:c>
      <x:c r="H8" s="27" t="str">
        <x:v>R1/R2</x:v>
      </x:c>
      <x:c r="I8" s="27" t="str">
        <x:v>BLOCKED</x:v>
      </x:c>
    </x:row>
    <x:row r="9" ht="75.5999984741211" hidden="0" customHeight="1">
      <x:c r="A9" s="29" t="str">
        <x:v>Shallow-draft civil bridge</x:v>
      </x:c>
      <x:c r="B9" s="29" t="str">
        <x:v>deepwater port loss isolates coast/island</x:v>
      </x:c>
      <x:c r="C9" s="29" t="str">
        <x:v>1,800 people/sortie without intact deepwater berth</x:v>
      </x:c>
      <x:c r="D9" s="29" t="str">
        <x:v>2,500 plus utility transfer in sea state defined by test</x:v>
      </x:c>
      <x:c r="E9" s="29" t="str">
        <x:v>berth, weather, sanitation or medical custody outside requirement</x:v>
      </x:c>
      <x:c r="F9" s="29" t="str">
        <x:v>littoral and river proving corridor</x:v>
      </x:c>
      <x:c r="G9" s="29" t="str">
        <x:v>water mobility command</x:v>
      </x:c>
      <x:c r="H9" s="29" t="str">
        <x:v>R1/R2</x:v>
      </x:c>
      <x:c r="I9" s="29" t="str">
        <x:v>BLOCKED</x:v>
      </x:c>
    </x:row>
    <x:row r="10" ht="75.5999984741211" hidden="0" customHeight="1">
      <x:c r="A10" s="27" t="str">
        <x:v>Self-proving route restoration</x:v>
      </x:c>
      <x:c r="B10" s="27" t="str">
        <x:v>uncertain structures create fictitious paths</x:v>
      </x:c>
      <x:c r="C10" s="27" t="str">
        <x:v>machine-readable inspection and certified temporary repair inside 12h</x:v>
      </x:c>
      <x:c r="D10" s="27" t="str">
        <x:v>continuous reproof under aftershock/flood</x:v>
      </x:c>
      <x:c r="E10" s="27" t="str">
        <x:v>automation can declare safety without independent authority</x:v>
      </x:c>
      <x:c r="F10" s="27" t="str">
        <x:v>compound infrastructure range</x:v>
      </x:c>
      <x:c r="G10" s="27" t="str">
        <x:v>network assurance command</x:v>
      </x:c>
      <x:c r="H10" s="27" t="str">
        <x:v>R1/R2</x:v>
      </x:c>
      <x:c r="I10" s="27" t="str">
        <x:v>BLOCKED</x:v>
      </x:c>
    </x:row>
    <x:row r="11" ht="86.4000015258789" hidden="0" customHeight="1">
      <x:c r="A11" s="29" t="str">
        <x:v>Continuity digital twin</x:v>
      </x:c>
      <x:c r="B11" s="29" t="str">
        <x:v>stale receiver/path state causes harmful dispatch</x:v>
      </x:c>
      <x:c r="C11" s="29" t="str">
        <x:v>offline provenance and local validation for every capacity claim</x:v>
      </x:c>
      <x:c r="D11" s="29" t="str">
        <x:v>privacy-preserving national matching in minutes</x:v>
      </x:c>
      <x:c r="E11" s="29" t="str">
        <x:v>central outage, spoofing or registry coercion creates unsafe orders</x:v>
      </x:c>
      <x:c r="F11" s="29" t="str">
        <x:v>disconnected cyber/operations range</x:v>
      </x:c>
      <x:c r="G11" s="29" t="str">
        <x:v>civil data authority</x:v>
      </x:c>
      <x:c r="H11" s="29" t="str">
        <x:v>R1/R2</x:v>
      </x:c>
      <x:c r="I11" s="29" t="str">
        <x:v>BLOCKED</x:v>
      </x:c>
    </x:row>
    <x:row r="12" ht="64.80000305175781" hidden="0" customHeight="1">
      <x:c r="A12" s="27" t="str">
        <x:v>Reunification and return system</x:v>
      </x:c>
      <x:c r="B12" s="27" t="str">
        <x:v>outbound movement becomes indefinite displacement</x:v>
      </x:c>
      <x:c r="C12" s="27" t="str">
        <x:v>persistent household/custody record and funded return option</x:v>
      </x:c>
      <x:c r="D12" s="27" t="str">
        <x:v>return plan generated with initial destination assignment</x:v>
      </x:c>
      <x:c r="E12" s="27" t="str">
        <x:v>throughput optimized by family separation or rights waiver</x:v>
      </x:c>
      <x:c r="F12" s="27" t="str">
        <x:v>long-duration population-continuity exercise</x:v>
      </x:c>
      <x:c r="G12" s="27" t="str">
        <x:v>rights and recovery authority</x:v>
      </x:c>
      <x:c r="H12" s="27" t="str">
        <x:v>R1/R2</x:v>
      </x:c>
      <x:c r="I12" s="27" t="str">
        <x:v>BLOCKED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9" hidden="0" customWidth="1"/>
    <x:col min="3" max="3" width="49" hidden="0" customWidth="1"/>
    <x:col min="4" max="4" width="49" hidden="0" customWidth="1"/>
    <x:col min="5" max="5" width="49" hidden="0" customWidth="1"/>
    <x:col min="6" max="6" width="49" hidden="0" customWidth="1"/>
    <x:col min="7" max="7" width="29" hidden="0" customWidth="1"/>
    <x:col min="8" max="8" width="14" hidden="0" customWidth="1"/>
  </x:cols>
  <x:sheetData>
    <x:row r="1" ht="29" customHeight="1">
      <x:c r="A1" s="83" t="str">
        <x:v>Rights, accessibility and custody are throughput</x:v>
      </x:c>
      <x:c r="B1" s="83"/>
      <x:c r="C1" s="83"/>
      <x:c r="D1" s="83"/>
      <x:c r="E1" s="83"/>
      <x:c r="F1" s="83"/>
      <x:c r="G1" s="83"/>
      <x:c r="H1" s="83"/>
    </x:row>
    <x:row r="2" ht="31" customHeight="1">
      <x:c r="A2" s="84" t="str">
        <x:v>A person receives service only if every link remains lawful and usable. Capacity without consent, identity, accompaniment or destination release is zero for that person.</x:v>
      </x:c>
      <x:c r="B2" s="84"/>
      <x:c r="C2" s="84"/>
      <x:c r="D2" s="84"/>
      <x:c r="E2" s="84"/>
      <x:c r="F2" s="84"/>
      <x:c r="G2" s="84"/>
      <x:c r="H2" s="84"/>
    </x:row>
    <x:row r="3">
      <x:c r="A3" s="85"/>
      <x:c r="B3" s="85"/>
      <x:c r="C3" s="85"/>
      <x:c r="D3" s="85"/>
      <x:c r="E3" s="85"/>
      <x:c r="F3" s="85"/>
      <x:c r="G3" s="85"/>
      <x:c r="H3" s="85"/>
    </x:row>
    <x:row r="4" ht="32" customHeight="1">
      <x:c r="A4" s="86" t="str">
        <x:v>Link</x:v>
      </x:c>
      <x:c r="B4" s="87" t="str">
        <x:v>Required state</x:v>
      </x:c>
      <x:c r="C4" s="87" t="str">
        <x:v>Failure mode</x:v>
      </x:c>
      <x:c r="D4" s="87" t="str">
        <x:v>Capacity rule</x:v>
      </x:c>
      <x:c r="E4" s="87" t="str">
        <x:v>Evidence authority</x:v>
      </x:c>
      <x:c r="F4" s="87" t="str">
        <x:v>Exercise</x:v>
      </x:c>
      <x:c r="G4" s="87" t="str">
        <x:v>Metric</x:v>
      </x:c>
      <x:c r="H4" s="88" t="str">
        <x:v>Status</x:v>
      </x:c>
    </x:row>
    <x:row r="5" ht="75.5999984741211" hidden="0" customHeight="1">
      <x:c r="A5" s="28" t="str">
        <x:v>Notice and consent</x:v>
      </x:c>
      <x:c r="B5" s="28" t="str">
        <x:v>accessible, multilingual notice; voluntary choice or reviewable authority</x:v>
      </x:c>
      <x:c r="C5" s="28" t="str">
        <x:v>coercion, inaccessible alert, misinformation</x:v>
      </x:c>
      <x:c r="D5" s="28" t="str">
        <x:v>no dispatch credit without documented authority and refusal path</x:v>
      </x:c>
      <x:c r="E5" s="28" t="str">
        <x:v>civil rights + affected governments</x:v>
      </x:c>
      <x:c r="F5" s="28" t="str">
        <x:v>no-notice consent and appeal drill</x:v>
      </x:c>
      <x:c r="G5" s="28" t="str">
        <x:v>informed choices/time</x:v>
      </x:c>
      <x:c r="H5" s="28" t="str">
        <x:v>OPEN</x:v>
      </x:c>
    </x:row>
    <x:row r="6" ht="75.5999984741211" hidden="0" customHeight="1">
      <x:c r="A6" s="27" t="str">
        <x:v>Door-to-node collection</x:v>
      </x:c>
      <x:c r="B6" s="27" t="str">
        <x:v>accessible pickup reaches person with device, animal and essentials</x:v>
      </x:c>
      <x:c r="C6" s="27" t="str">
        <x:v>elevator/street/transit failure</x:v>
      </x:c>
      <x:c r="D6" s="27" t="str">
        <x:v>vehicle seat is zero until origin pickup closes</x:v>
      </x:c>
      <x:c r="E6" s="27" t="str">
        <x:v>disability-led test authority</x:v>
      </x:c>
      <x:c r="F6" s="27" t="str">
        <x:v>damaged-building-to-node trial</x:v>
      </x:c>
      <x:c r="G6" s="27" t="str">
        <x:v>complete pickups/day</x:v>
      </x:c>
      <x:c r="H6" s="27" t="str">
        <x:v>OPEN</x:v>
      </x:c>
    </x:row>
    <x:row r="7" ht="64.80000305175781" hidden="0" customHeight="1">
      <x:c r="A7" s="29" t="str">
        <x:v>Identity and household continuity</x:v>
      </x:c>
      <x:c r="B7" s="29" t="str">
        <x:v>persistent person-household-device record</x:v>
      </x:c>
      <x:c r="C7" s="29" t="str">
        <x:v>family separation, lost documents, duplicate records</x:v>
      </x:c>
      <x:c r="D7" s="29" t="str">
        <x:v>no throughput credit for untraceable transfer</x:v>
      </x:c>
      <x:c r="E7" s="29" t="str">
        <x:v>privacy/civil data authority</x:v>
      </x:c>
      <x:c r="F7" s="29" t="str">
        <x:v>offline red-team transfer</x:v>
      </x:c>
      <x:c r="G7" s="29" t="str">
        <x:v>unbroken custody share</x:v>
      </x:c>
      <x:c r="H7" s="29" t="str">
        <x:v>OPEN</x:v>
      </x:c>
    </x:row>
    <x:row r="8" ht="75.5999984741211" hidden="0" customHeight="1">
      <x:c r="A8" s="27" t="str">
        <x:v>Clinical regulation</x:v>
      </x:c>
      <x:c r="B8" s="27" t="str">
        <x:v>need matched to crew, conveyance and destination bed</x:v>
      </x:c>
      <x:c r="C8" s="27" t="str">
        <x:v>patient moved without clinical destination</x:v>
      </x:c>
      <x:c r="D8" s="27" t="str">
        <x:v>clinical movement limited by receiving match</x:v>
      </x:c>
      <x:c r="E8" s="27" t="str">
        <x:v>health authority</x:v>
      </x:c>
      <x:c r="F8" s="27" t="str">
        <x:v>origin-to-bed patient movement</x:v>
      </x:c>
      <x:c r="G8" s="27" t="str">
        <x:v>safe releases/day</x:v>
      </x:c>
      <x:c r="H8" s="27" t="str">
        <x:v>OPEN</x:v>
      </x:c>
    </x:row>
    <x:row r="9" ht="75.5999984741211" hidden="0" customHeight="1">
      <x:c r="A9" s="29" t="str">
        <x:v>Mode transfer</x:v>
      </x:c>
      <x:c r="B9" s="29" t="str">
        <x:v>boarding, toilets, restraints, communications and dwell remain accessible</x:v>
      </x:c>
      <x:c r="C9" s="29" t="str">
        <x:v>device separation or unsafe lift</x:v>
      </x:c>
      <x:c r="D9" s="29" t="str">
        <x:v>least-accessible interface bounds chain</x:v>
      </x:c>
      <x:c r="E9" s="29" t="str">
        <x:v>accessibility authority</x:v>
      </x:c>
      <x:c r="F9" s="29" t="str">
        <x:v>four-mode transfer test</x:v>
      </x:c>
      <x:c r="G9" s="29" t="str">
        <x:v>p95 dwell; adverse events</x:v>
      </x:c>
      <x:c r="H9" s="29" t="str">
        <x:v>OPEN</x:v>
      </x:c>
    </x:row>
    <x:row r="10" ht="64.80000305175781" hidden="0" customHeight="1">
      <x:c r="A10" s="27" t="str">
        <x:v>Destination intake</x:v>
      </x:c>
      <x:c r="B10" s="27" t="str">
        <x:v>receiver admits, powers, sanitizes and assigns arrivals</x:v>
      </x:c>
      <x:c r="C10" s="27" t="str">
        <x:v>queue exceeds utilities/staff/records</x:v>
      </x:c>
      <x:c r="D10" s="27" t="str">
        <x:v>spare capacity capped by intake rate</x:v>
      </x:c>
      <x:c r="E10" s="27" t="str">
        <x:v>receiving command + host government</x:v>
      </x:c>
      <x:c r="F10" s="27" t="str">
        <x:v>50k/day occupied-node trial</x:v>
      </x:c>
      <x:c r="G10" s="27" t="str">
        <x:v>complete admissions/day</x:v>
      </x:c>
      <x:c r="H10" s="27" t="str">
        <x:v>OPEN</x:v>
      </x:c>
    </x:row>
    <x:row r="11" ht="64.80000305175781" hidden="0" customHeight="1">
      <x:c r="A11" s="29" t="str">
        <x:v>Sovereignty and custody</x:v>
      </x:c>
      <x:c r="B11" s="29" t="str">
        <x:v>Tribal, territorial, interstate and facility authority remains valid</x:v>
      </x:c>
      <x:c r="C11" s="29" t="str">
        <x:v>federal throughput overrides sovereign or custodial law</x:v>
      </x:c>
      <x:c r="D11" s="29" t="str">
        <x:v>path unavailable absent invitation/compact</x:v>
      </x:c>
      <x:c r="E11" s="29" t="str">
        <x:v>civil authority + sovereign partners</x:v>
      </x:c>
      <x:c r="F11" s="29" t="str">
        <x:v>compact activation exercise</x:v>
      </x:c>
      <x:c r="G11" s="29" t="str">
        <x:v>lawful paths/total</x:v>
      </x:c>
      <x:c r="H11" s="29" t="str">
        <x:v>OPEN</x:v>
      </x:c>
    </x:row>
    <x:row r="12" ht="64.80000305175781" hidden="0" customHeight="1">
      <x:c r="A12" s="27" t="str">
        <x:v>Return or durable continuity</x:v>
      </x:c>
      <x:c r="B12" s="27" t="str">
        <x:v>funded, informed reverse movement or durable settlement</x:v>
      </x:c>
      <x:c r="C12" s="27" t="str">
        <x:v>temporary protection becomes indefinite displacement</x:v>
      </x:c>
      <x:c r="D12" s="27" t="str">
        <x:v>outbound flow incurs return reserve and case ownership</x:v>
      </x:c>
      <x:c r="E12" s="27" t="str">
        <x:v>recovery/rights authority</x:v>
      </x:c>
      <x:c r="F12" s="27" t="str">
        <x:v>180-day return campaign</x:v>
      </x:c>
      <x:c r="G12" s="27" t="str">
        <x:v>time to informed offer</x:v>
      </x:c>
      <x:c r="H12" s="27" t="str">
        <x:v>OPEN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8" hidden="0" customWidth="1"/>
    <x:col min="3" max="3" width="48" hidden="0" customWidth="1"/>
    <x:col min="4" max="4" width="48" hidden="0" customWidth="1"/>
    <x:col min="5" max="5" width="26" hidden="0" customWidth="1"/>
    <x:col min="6" max="6" width="21" hidden="0" customWidth="1"/>
    <x:col min="7" max="7" width="21" hidden="0" customWidth="1"/>
  </x:cols>
  <x:sheetData>
    <x:row r="1" ht="29" customHeight="1">
      <x:c r="A1" s="83" t="str">
        <x:v>Evidence gates before configuration and rendering</x:v>
      </x:c>
      <x:c r="B1" s="83"/>
      <x:c r="C1" s="83"/>
      <x:c r="D1" s="83"/>
      <x:c r="E1" s="83"/>
      <x:c r="F1" s="83"/>
      <x:c r="G1" s="83"/>
    </x:row>
    <x:row r="2" ht="31" customHeight="1">
      <x:c r="A2" s="84" t="str">
        <x:v>Arithmetic can admit an architecture to testing; it cannot prove a vehicle, site, legal regime or service outcome.</x:v>
      </x:c>
      <x:c r="B2" s="84"/>
      <x:c r="C2" s="84"/>
      <x:c r="D2" s="84"/>
      <x:c r="E2" s="84"/>
      <x:c r="F2" s="84"/>
      <x:c r="G2" s="84"/>
    </x:row>
    <x:row r="3">
      <x:c r="A3" s="85"/>
      <x:c r="B3" s="85"/>
      <x:c r="C3" s="85"/>
      <x:c r="D3" s="85"/>
      <x:c r="E3" s="85"/>
      <x:c r="F3" s="85"/>
      <x:c r="G3" s="85"/>
    </x:row>
    <x:row r="4" ht="32" customHeight="1">
      <x:c r="A4" s="86" t="str">
        <x:v>Gate</x:v>
      </x:c>
      <x:c r="B4" s="87" t="str">
        <x:v>Open question</x:v>
      </x:c>
      <x:c r="C4" s="87" t="str">
        <x:v>Current evidence</x:v>
      </x:c>
      <x:c r="D4" s="87" t="str">
        <x:v>Closure evidence</x:v>
      </x:c>
      <x:c r="E4" s="87" t="str">
        <x:v>Owner</x:v>
      </x:c>
      <x:c r="F4" s="87" t="str">
        <x:v>Status</x:v>
      </x:c>
      <x:c r="G4" s="88" t="str">
        <x:v>Effect</x:v>
      </x:c>
    </x:row>
    <x:row r="5" ht="64.80000305175781" hidden="0" customHeight="1">
      <x:c r="A5" s="28" t="str">
        <x:v>G01</x:v>
      </x:c>
      <x:c r="B5" s="28" t="str">
        <x:v>Which people require which movement chain?</x:v>
      </x:c>
      <x:c r="C5" s="28" t="str">
        <x:v>ACS screening cohorts</x:v>
      </x:c>
      <x:c r="D5" s="28" t="str">
        <x:v>linked operator data and disability-led registry study</x:v>
      </x:c>
      <x:c r="E5" s="28" t="str">
        <x:v>population science</x:v>
      </x:c>
      <x:c r="F5" s="28" t="str">
        <x:v>OPEN</x:v>
      </x:c>
      <x:c r="G5" s="28" t="str">
        <x:v>blocks R3 and platform rendering</x:v>
      </x:c>
    </x:row>
    <x:row r="6" ht="54" hidden="0" customHeight="1">
      <x:c r="A6" s="27" t="str">
        <x:v>G02</x:v>
      </x:c>
      <x:c r="B6" s="27" t="str">
        <x:v>Are cohort overlaps and place factors valid?</x:v>
      </x:c>
      <x:c r="C6" s="27" t="str">
        <x:v>precedence assumptions</x:v>
      </x:c>
      <x:c r="D6" s="27" t="str">
        <x:v>microdata linkage and occupied boarding trials</x:v>
      </x:c>
      <x:c r="E6" s="27" t="str">
        <x:v>independent methods authority</x:v>
      </x:c>
      <x:c r="F6" s="27" t="str">
        <x:v>OPEN</x:v>
      </x:c>
      <x:c r="G6" s="27" t="str">
        <x:v>blocks R3 and platform rendering</x:v>
      </x:c>
    </x:row>
    <x:row r="7" ht="64.80000305175781" hidden="0" customHeight="1">
      <x:c r="A7" s="29" t="str">
        <x:v>G03</x:v>
      </x:c>
      <x:c r="B7" s="29" t="str">
        <x:v>What road paths survive each hazard?</x:v>
      </x:c>
      <x:c r="C7" s="29" t="str">
        <x:v>2014 NHPN coverage gate</x:v>
      </x:c>
      <x:c r="D7" s="29" t="str">
        <x:v>current network plus bridge/terrain fragility and field inspection</x:v>
      </x:c>
      <x:c r="E7" s="29" t="str">
        <x:v>road assurance</x:v>
      </x:c>
      <x:c r="F7" s="29" t="str">
        <x:v>OPEN</x:v>
      </x:c>
      <x:c r="G7" s="29" t="str">
        <x:v>blocks R3 and platform rendering</x:v>
      </x:c>
    </x:row>
    <x:row r="8" ht="75.5999984741211" hidden="0" customHeight="1">
      <x:c r="A8" s="27" t="str">
        <x:v>G04</x:v>
      </x:c>
      <x:c r="B8" s="27" t="str">
        <x:v>Can rail rights, track and signals support emergency passenger service?</x:v>
      </x:c>
      <x:c r="C8" s="27" t="str">
        <x:v>2026 NARN topology</x:v>
      </x:c>
      <x:c r="D8" s="27" t="str">
        <x:v>agreements, loading designs and damaged-network trials</x:v>
      </x:c>
      <x:c r="E8" s="27" t="str">
        <x:v>rail authority</x:v>
      </x:c>
      <x:c r="F8" s="27" t="str">
        <x:v>OPEN</x:v>
      </x:c>
      <x:c r="G8" s="27" t="str">
        <x:v>blocks R3 and platform rendering</x:v>
      </x:c>
    </x:row>
    <x:row r="9" ht="43.20000076293945" hidden="0" customHeight="1">
      <x:c r="A9" s="29" t="str">
        <x:v>G05</x:v>
      </x:c>
      <x:c r="B9" s="29" t="str">
        <x:v>Which airports remain usable?</x:v>
      </x:c>
      <x:c r="C9" s="29" t="str">
        <x:v>primary-airport presence</x:v>
      </x:c>
      <x:c r="D9" s="29" t="str">
        <x:v>runway/pavement/fuel/airspace/terminal fragility</x:v>
      </x:c>
      <x:c r="E9" s="29" t="str">
        <x:v>aviation authority</x:v>
      </x:c>
      <x:c r="F9" s="29" t="str">
        <x:v>OPEN</x:v>
      </x:c>
      <x:c r="G9" s="29" t="str">
        <x:v>blocks R3 and platform rendering</x:v>
      </x:c>
    </x:row>
    <x:row r="10" ht="64.80000305175781" hidden="0" customHeight="1">
      <x:c r="A10" s="27" t="str">
        <x:v>G06</x:v>
      </x:c>
      <x:c r="B10" s="27" t="str">
        <x:v>Which water routes and terminals accept the force?</x:v>
      </x:c>
      <x:c r="C10" s="27" t="str">
        <x:v>USACE/BTS topology and terminals</x:v>
      </x:c>
      <x:c r="D10" s="27" t="str">
        <x:v>hydrographic, berth, weather and passenger-safety evidence</x:v>
      </x:c>
      <x:c r="E10" s="27" t="str">
        <x:v>water authority</x:v>
      </x:c>
      <x:c r="F10" s="27" t="str">
        <x:v>OPEN</x:v>
      </x:c>
      <x:c r="G10" s="27" t="str">
        <x:v>blocks R3 and platform rendering</x:v>
      </x:c>
    </x:row>
    <x:row r="11" ht="43.20000076293945" hidden="0" customHeight="1">
      <x:c r="A11" s="29" t="str">
        <x:v>G07</x:v>
      </x:c>
      <x:c r="B11" s="29" t="str">
        <x:v>Can CTN-10/50 sustain rated intake?</x:v>
      </x:c>
      <x:c r="C11" s="29" t="str">
        <x:v>design objective</x:v>
      </x:c>
      <x:c r="D11" s="29" t="str">
        <x:v>seven-day occupied disconnected trial</x:v>
      </x:c>
      <x:c r="E11" s="29" t="str">
        <x:v>receiving command</x:v>
      </x:c>
      <x:c r="F11" s="29" t="str">
        <x:v>OPEN</x:v>
      </x:c>
      <x:c r="G11" s="29" t="str">
        <x:v>blocks R3 and platform rendering</x:v>
      </x:c>
    </x:row>
    <x:row r="12" ht="75.5999984741211" hidden="0" customHeight="1">
      <x:c r="A12" s="27" t="str">
        <x:v>G08</x:v>
      </x:c>
      <x:c r="B12" s="27" t="str">
        <x:v>Does the common passenger module preserve dignity and safety?</x:v>
      </x:c>
      <x:c r="C12" s="27" t="str">
        <x:v>functional requirement</x:v>
      </x:c>
      <x:c r="D12" s="27" t="str">
        <x:v>disability-led four-mode certification</x:v>
      </x:c>
      <x:c r="E12" s="27" t="str">
        <x:v>accessibility authority</x:v>
      </x:c>
      <x:c r="F12" s="27" t="str">
        <x:v>OPEN</x:v>
      </x:c>
      <x:c r="G12" s="27" t="str">
        <x:v>blocks R3 and platform rendering</x:v>
      </x:c>
    </x:row>
    <x:row r="13" ht="54" hidden="0" customHeight="1">
      <x:c r="A13" s="29" t="str">
        <x:v>G09</x:v>
      </x:c>
      <x:c r="B13" s="29" t="str">
        <x:v>Can ACA-250 close runway and sortie physics?</x:v>
      </x:c>
      <x:c r="C13" s="29" t="str">
        <x:v>mission envelope</x:v>
      </x:c>
      <x:c r="D13" s="29" t="str">
        <x:v>mass/energy/aero/crew/maintenance model and flight test</x:v>
      </x:c>
      <x:c r="E13" s="29" t="str">
        <x:v>air mobility</x:v>
      </x:c>
      <x:c r="F13" s="29" t="str">
        <x:v>OPEN</x:v>
      </x:c>
      <x:c r="G13" s="29" t="str">
        <x:v>blocks R3 and platform rendering</x:v>
      </x:c>
    </x:row>
    <x:row r="14" ht="86.4000015258789" hidden="0" customHeight="1">
      <x:c r="A14" s="27" t="str">
        <x:v>G10</x:v>
      </x:c>
      <x:c r="B14" s="27" t="str">
        <x:v>Can WCB-1800 close stability, sanitation and sea-state physics?</x:v>
      </x:c>
      <x:c r="C14" s="27" t="str">
        <x:v>mission envelope</x:v>
      </x:c>
      <x:c r="D14" s="27" t="str">
        <x:v>naval architecture and occupied sea trial</x:v>
      </x:c>
      <x:c r="E14" s="27" t="str">
        <x:v>water mobility</x:v>
      </x:c>
      <x:c r="F14" s="27" t="str">
        <x:v>OPEN</x:v>
      </x:c>
      <x:c r="G14" s="27" t="str">
        <x:v>blocks R3 and platform rendering</x:v>
      </x:c>
    </x:row>
    <x:row r="15" ht="64.80000305175781" hidden="0" customHeight="1">
      <x:c r="A15" s="29" t="str">
        <x:v>G11</x:v>
      </x:c>
      <x:c r="B15" s="29" t="str">
        <x:v>Can MCT-1200 load and turn on freight infrastructure?</x:v>
      </x:c>
      <x:c r="C15" s="29" t="str">
        <x:v>mission envelope</x:v>
      </x:c>
      <x:c r="D15" s="29" t="str">
        <x:v>clearance, braking, platform and network trials</x:v>
      </x:c>
      <x:c r="E15" s="29" t="str">
        <x:v>rail mobility</x:v>
      </x:c>
      <x:c r="F15" s="29" t="str">
        <x:v>OPEN</x:v>
      </x:c>
      <x:c r="G15" s="29" t="str">
        <x:v>blocks R3 and platform rendering</x:v>
      </x:c>
    </x:row>
    <x:row r="16" ht="64.80000305175781" hidden="0" customHeight="1">
      <x:c r="A16" s="27" t="str">
        <x:v>G12</x:v>
      </x:c>
      <x:c r="B16" s="27" t="str">
        <x:v>Can ACM-60 operate two long-haul missions/72h?</x:v>
      </x:c>
      <x:c r="C16" s="27" t="str">
        <x:v>mission envelope</x:v>
      </x:c>
      <x:c r="D16" s="27" t="str">
        <x:v>driver/autonomy, charge/fuel, maintenance and boarding trials</x:v>
      </x:c>
      <x:c r="E16" s="27" t="str">
        <x:v>road mobility</x:v>
      </x:c>
      <x:c r="F16" s="27" t="str">
        <x:v>OPEN</x:v>
      </x:c>
      <x:c r="G16" s="27" t="str">
        <x:v>blocks R3 and platform rendering</x:v>
      </x:c>
    </x:row>
    <x:row r="17" ht="64.80000305175781" hidden="0" customHeight="1">
      <x:c r="A17" s="29" t="str">
        <x:v>G13</x:v>
      </x:c>
      <x:c r="B17" s="29" t="str">
        <x:v>Are route/receiver correlations fitted?</x:v>
      </x:c>
      <x:c r="C17" s="29" t="str">
        <x:v>declared stress process</x:v>
      </x:c>
      <x:c r="D17" s="29" t="str">
        <x:v>historical/event reconstruction and physics-based joint model</x:v>
      </x:c>
      <x:c r="E17" s="29" t="str">
        <x:v>assurance authority</x:v>
      </x:c>
      <x:c r="F17" s="29" t="str">
        <x:v>OPEN</x:v>
      </x:c>
      <x:c r="G17" s="29" t="str">
        <x:v>blocks R3 and platform rendering</x:v>
      </x:c>
    </x:row>
    <x:row r="18" ht="64.80000305175781" hidden="0" customHeight="1">
      <x:c r="A18" s="27" t="str">
        <x:v>G14</x:v>
      </x:c>
      <x:c r="B18" s="27" t="str">
        <x:v>Does A2 retain 95% assurance under parameter uncertainty?</x:v>
      </x:c>
      <x:c r="C18" s="27" t="str">
        <x:v>500 fixed-seed trials; 98.8%</x:v>
      </x:c>
      <x:c r="D18" s="27" t="str">
        <x:v>Bayesian/robust sensitivity and independent replication</x:v>
      </x:c>
      <x:c r="E18" s="27" t="str">
        <x:v>independent analysis</x:v>
      </x:c>
      <x:c r="F18" s="27" t="str">
        <x:v>OPEN</x:v>
      </x:c>
      <x:c r="G18" s="27" t="str">
        <x:v>blocks R3 and platform rendering</x:v>
      </x:c>
    </x:row>
    <x:row r="19" ht="64.80000305175781" hidden="0" customHeight="1">
      <x:c r="A19" s="29" t="str">
        <x:v>G15</x:v>
      </x:c>
      <x:c r="B19" s="29" t="str">
        <x:v>Are protected cohorts served equitably within SCAs?</x:v>
      </x:c>
      <x:c r="C19" s="29" t="str">
        <x:v>national cohort minima</x:v>
      </x:c>
      <x:c r="D19" s="29" t="str">
        <x:v>tract/individual-level optimization with rights constraints</x:v>
      </x:c>
      <x:c r="E19" s="29" t="str">
        <x:v>civil rights authority</x:v>
      </x:c>
      <x:c r="F19" s="29" t="str">
        <x:v>OPEN</x:v>
      </x:c>
      <x:c r="G19" s="29" t="str">
        <x:v>blocks R3 and platform rendering</x:v>
      </x:c>
    </x:row>
    <x:row r="20" ht="54" hidden="0" customHeight="1">
      <x:c r="A20" s="27" t="str">
        <x:v>G16</x:v>
      </x:c>
      <x:c r="B20" s="27" t="str">
        <x:v>Are workforce ratios feasible?</x:v>
      </x:c>
      <x:c r="C20" s="27" t="str">
        <x:v>billet multipliers</x:v>
      </x:c>
      <x:c r="D20" s="27" t="str">
        <x:v>labor market, schoolhouse, fatigue and reserve exercise</x:v>
      </x:c>
      <x:c r="E20" s="27" t="str">
        <x:v>personnel command</x:v>
      </x:c>
      <x:c r="F20" s="27" t="str">
        <x:v>OPEN</x:v>
      </x:c>
      <x:c r="G20" s="27" t="str">
        <x:v>blocks R3 and platform rendering</x:v>
      </x:c>
    </x:row>
    <x:row r="21" ht="64.80000305175781" hidden="0" customHeight="1">
      <x:c r="A21" s="29" t="str">
        <x:v>G17</x:v>
      </x:c>
      <x:c r="B21" s="29" t="str">
        <x:v>Are costs and schedules credible?</x:v>
      </x:c>
      <x:c r="C21" s="29" t="str">
        <x:v>parametric planning screen</x:v>
      </x:c>
      <x:c r="D21" s="29" t="str">
        <x:v>independent cost, schedule and industrial-base estimate</x:v>
      </x:c>
      <x:c r="E21" s="29" t="str">
        <x:v>cost agency</x:v>
      </x:c>
      <x:c r="F21" s="29" t="str">
        <x:v>OPEN</x:v>
      </x:c>
      <x:c r="G21" s="29" t="str">
        <x:v>blocks R3 and platform rendering</x:v>
      </x:c>
    </x:row>
    <x:row r="22" ht="64.80000305175781" hidden="0" customHeight="1">
      <x:c r="A22" s="27" t="str">
        <x:v>G18</x:v>
      </x:c>
      <x:c r="B22" s="27" t="str">
        <x:v>Can disconnected dispatch resist stale or falsified state?</x:v>
      </x:c>
      <x:c r="C22" s="27" t="str">
        <x:v>concept requirement</x:v>
      </x:c>
      <x:c r="D22" s="27" t="str">
        <x:v>fault-injected cyber/operations mission thread</x:v>
      </x:c>
      <x:c r="E22" s="27" t="str">
        <x:v>data authority</x:v>
      </x:c>
      <x:c r="F22" s="27" t="str">
        <x:v>OPEN</x:v>
      </x:c>
      <x:c r="G22" s="27" t="str">
        <x:v>blocks R3 and platform rendering</x:v>
      </x:c>
    </x:row>
    <x:row r="23" ht="64.80000305175781" hidden="0" customHeight="1">
      <x:c r="A23" s="29" t="str">
        <x:v>G19</x:v>
      </x:c>
      <x:c r="B23" s="29" t="str">
        <x:v>Are interstate, Tribal and territorial authorities executable?</x:v>
      </x:c>
      <x:c r="C23" s="29" t="str">
        <x:v>rights chain</x:v>
      </x:c>
      <x:c r="D23" s="29" t="str">
        <x:v>ratified compacts and sovereign-led exercises</x:v>
      </x:c>
      <x:c r="E23" s="29" t="str">
        <x:v>civil authority</x:v>
      </x:c>
      <x:c r="F23" s="29" t="str">
        <x:v>OPEN</x:v>
      </x:c>
      <x:c r="G23" s="29" t="str">
        <x:v>blocks R3 and platform rendering</x:v>
      </x:c>
    </x:row>
    <x:row r="24" ht="54" hidden="0" customHeight="1">
      <x:c r="A24" s="27" t="str">
        <x:v>G20</x:v>
      </x:c>
      <x:c r="B24" s="27" t="str">
        <x:v>Does every outbound flow have a funded return path?</x:v>
      </x:c>
      <x:c r="C24" s="27" t="str">
        <x:v>qualitative reserve rule</x:v>
      </x:c>
      <x:c r="D24" s="27" t="str">
        <x:v>180-day campaign and claims/settlement design</x:v>
      </x:c>
      <x:c r="E24" s="27" t="str">
        <x:v>recovery authority</x:v>
      </x:c>
      <x:c r="F24" s="27" t="str">
        <x:v>OPEN</x:v>
      </x:c>
      <x:c r="G24" s="27" t="str">
        <x:v>blocks R3 and platform rendering</x:v>
      </x:c>
    </x:row>
    <x:row r="25" ht="64.80000305175781" hidden="0" customHeight="1">
      <x:c r="A25" s="29" t="str">
        <x:v>G21</x:v>
      </x:c>
      <x:c r="B25" s="29" t="str">
        <x:v>What environmental/community burdens follow?</x:v>
      </x:c>
      <x:c r="C25" s="29" t="str">
        <x:v>not modeled</x:v>
      </x:c>
      <x:c r="D25" s="29" t="str">
        <x:v>lifecycle, land, noise, emissions and community review</x:v>
      </x:c>
      <x:c r="E25" s="29" t="str">
        <x:v>environmental authority</x:v>
      </x:c>
      <x:c r="F25" s="29" t="str">
        <x:v>OPEN</x:v>
      </x:c>
      <x:c r="G25" s="29" t="str">
        <x:v>blocks R3 and platform rendering</x:v>
      </x:c>
    </x:row>
    <x:row r="26" ht="54" hidden="0" customHeight="1">
      <x:c r="A26" s="27" t="str">
        <x:v>G22</x:v>
      </x:c>
      <x:c r="B26" s="27" t="str">
        <x:v>Do supply chains sustain fleet regeneration?</x:v>
      </x:c>
      <x:c r="C26" s="27" t="str">
        <x:v>inventory and capital only</x:v>
      </x:c>
      <x:c r="D26" s="27" t="str">
        <x:v>supplier map, surge contracts, spares and depot trials</x:v>
      </x:c>
      <x:c r="E26" s="27" t="str">
        <x:v>industrial command</x:v>
      </x:c>
      <x:c r="F26" s="27" t="str">
        <x:v>OPEN</x:v>
      </x:c>
      <x:c r="G26" s="27" t="str">
        <x:v>blocks R3 and platform rendering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1" hidden="0" customWidth="1"/>
    <x:col min="3" max="3" width="43" hidden="0" customWidth="1"/>
    <x:col min="4" max="4" width="43" hidden="0" customWidth="1"/>
    <x:col min="5" max="5" width="43" hidden="0" customWidth="1"/>
    <x:col min="6" max="6" width="75" hidden="0" customWidth="1"/>
    <x:col min="7" max="7" width="18" hidden="0" customWidth="1"/>
    <x:col min="8" max="8" width="18" hidden="0" customWidth="1"/>
  </x:cols>
  <x:sheetData>
    <x:row r="1" ht="29" customHeight="1">
      <x:c r="A1" s="83" t="str">
        <x:v>Sources</x:v>
      </x:c>
      <x:c r="B1" s="83"/>
      <x:c r="C1" s="83"/>
      <x:c r="D1" s="83"/>
      <x:c r="E1" s="83"/>
      <x:c r="F1" s="83"/>
      <x:c r="G1" s="83"/>
      <x:c r="H1" s="83"/>
    </x:row>
    <x:row r="2" ht="31" customHeight="1">
      <x:c r="A2" s="84" t="str">
        <x:v>Official sources establish population, network presence, accessibility and patient-movement boundaries. Design quantities remain hypotheses.</x:v>
      </x:c>
      <x:c r="B2" s="84"/>
      <x:c r="C2" s="84"/>
      <x:c r="D2" s="84"/>
      <x:c r="E2" s="84"/>
      <x:c r="F2" s="84"/>
      <x:c r="G2" s="84"/>
      <x:c r="H2" s="84"/>
    </x:row>
    <x:row r="3">
      <x:c r="A3" s="85"/>
      <x:c r="B3" s="85"/>
      <x:c r="C3" s="85"/>
      <x:c r="D3" s="85"/>
      <x:c r="E3" s="85"/>
      <x:c r="F3" s="85"/>
      <x:c r="G3" s="85"/>
      <x:c r="H3" s="85"/>
    </x:row>
    <x:row r="4" ht="32" customHeight="1">
      <x:c r="A4" s="86" t="str">
        <x:v>Key</x:v>
      </x:c>
      <x:c r="B4" s="87" t="str">
        <x:v>Owner</x:v>
      </x:c>
      <x:c r="C4" s="87" t="str">
        <x:v>Asset</x:v>
      </x:c>
      <x:c r="D4" s="87" t="str">
        <x:v>Use</x:v>
      </x:c>
      <x:c r="E4" s="87" t="str">
        <x:v>Boundary</x:v>
      </x:c>
      <x:c r="F4" s="87" t="str">
        <x:v>URL</x:v>
      </x:c>
      <x:c r="G4" s="87" t="str">
        <x:v>Accessed</x:v>
      </x:c>
      <x:c r="H4" s="88" t="str">
        <x:v>Class</x:v>
      </x:c>
    </x:row>
    <x:row r="5" ht="108" hidden="0" customHeight="1">
      <x:c r="A5" s="28" t="str">
        <x:v>ACS24-B18101</x:v>
      </x:c>
      <x:c r="B5" s="28" t="str">
        <x:v>U.S. Census Bureau</x:v>
      </x:c>
      <x:c r="C5" s="28" t="str">
        <x:v>2024 ACS 5-year B18101 Sex by Age by Disability Status</x:v>
      </x:c>
      <x:c r="D5" s="28" t="str">
        <x:v>county civilian noninstitutionalized disability rates</x:v>
      </x:c>
      <x:c r="E5" s="28" t="str">
        <x:v>survey estimate; does not identify who needs evacuation assistance</x:v>
      </x:c>
      <x:c r="F5" s="28" t="str">
        <x:v>https://www2.census.gov/programs-surveys/acs/summary_file/2024/table-based-SF/data/5YRData/acsdt5y2024-b18101.dat</x:v>
      </x:c>
      <x:c r="G5" s="28" t="str">
        <x:v>2026-09-05</x:v>
      </x:c>
      <x:c r="H5" s="28" t="str">
        <x:v>official source</x:v>
      </x:c>
    </x:row>
    <x:row r="6" ht="97.19999694824219" hidden="0" customHeight="1">
      <x:c r="A6" s="27" t="str">
        <x:v>ACS24-B08201</x:v>
      </x:c>
      <x:c r="B6" s="27" t="str">
        <x:v>U.S. Census Bureau</x:v>
      </x:c>
      <x:c r="C6" s="27" t="str">
        <x:v>2024 ACS 5-year B08201 Household Size by Vehicles Available</x:v>
      </x:c>
      <x:c r="D6" s="27" t="str">
        <x:v>zero-vehicle household person estimate</x:v>
      </x:c>
      <x:c r="E6" s="27" t="str">
        <x:v>4+ person households use a 4.5-person planning coefficient; no event behavior inferred</x:v>
      </x:c>
      <x:c r="F6" s="27" t="str">
        <x:v>https://api.census.gov/data/2024/acs/acs5/groups/B08201.html</x:v>
      </x:c>
      <x:c r="G6" s="27" t="str">
        <x:v>2026-09-05</x:v>
      </x:c>
      <x:c r="H6" s="27" t="str">
        <x:v>official source</x:v>
      </x:c>
    </x:row>
    <x:row r="7" ht="108" hidden="0" customHeight="1">
      <x:c r="A7" s="29" t="str">
        <x:v>ACS24-B26101</x:v>
      </x:c>
      <x:c r="B7" s="29" t="str">
        <x:v>U.S. Census Bureau</x:v>
      </x:c>
      <x:c r="C7" s="29" t="str">
        <x:v>2024 ACS 5-year B26101 Group Quarters Type by Age by Sex</x:v>
      </x:c>
      <x:c r="D7" s="29" t="str">
        <x:v>state institutionalized and nursing-facility rates distributed across counties</x:v>
      </x:c>
      <x:c r="E7" s="29" t="str">
        <x:v>state-only table in the table-based file; county placement and operator requirements remain open</x:v>
      </x:c>
      <x:c r="F7" s="29" t="str">
        <x:v>https://www2.census.gov/programs-surveys/acs/summary_file/2024/table-based-SF/data/5YRData/acsdt5y2024-b26101.dat</x:v>
      </x:c>
      <x:c r="G7" s="29" t="str">
        <x:v>2026-09-05</x:v>
      </x:c>
      <x:c r="H7" s="29" t="str">
        <x:v>official source</x:v>
      </x:c>
    </x:row>
    <x:row r="8" ht="86.4000015258789" hidden="0" customHeight="1">
      <x:c r="A8" s="27" t="str">
        <x:v>BTS-GEO26</x:v>
      </x:c>
      <x:c r="B8" s="27" t="str">
        <x:v>Bureau of Transportation Statistics</x:v>
      </x:c>
      <x:c r="C8" s="27" t="str">
        <x:v>Transportation Geography of the United States 2026</x:v>
      </x:c>
      <x:c r="D8" s="27" t="str">
        <x:v>current national multimodal dataset framing</x:v>
      </x:c>
      <x:c r="E8" s="27" t="str">
        <x:v>map and layers describe infrastructure presence, not disaster operability</x:v>
      </x:c>
      <x:c r="F8" s="27" t="str">
        <x:v>https://www.bts.gov/geography/geospatial-2/transportation-geography-united-states-2026</x:v>
      </x:c>
      <x:c r="G8" s="27" t="str">
        <x:v>2026-09-05</x:v>
      </x:c>
      <x:c r="H8" s="27" t="str">
        <x:v>official source</x:v>
      </x:c>
    </x:row>
    <x:row r="9" ht="118.80000305175781" hidden="0" customHeight="1">
      <x:c r="A9" s="29" t="str">
        <x:v>BTS-NHPN</x:v>
      </x:c>
      <x:c r="B9" s="29" t="str">
        <x:v>Bureau of Transportation Statistics / FHWA</x:v>
      </x:c>
      <x:c r="C9" s="29" t="str">
        <x:v>NTAD National Highway Planning Network Feature Service</x:v>
      </x:c>
      <x:c r="D9" s="29" t="str">
        <x:v>major-road coverage gate and county length</x:v>
      </x:c>
      <x:c r="E9" s="29" t="str">
        <x:v>2014-vintage service; no current condition, passenger throughput or damage claim</x:v>
      </x:c>
      <x:c r="F9" s="29" t="str">
        <x:v>https://services.arcgis.com/xOi1kZaI0eWDREZv/arcgis/rest/services/NTAD_National_Highway_Planning_Network/FeatureServer/0</x:v>
      </x:c>
      <x:c r="G9" s="29" t="str">
        <x:v>2026-09-05</x:v>
      </x:c>
      <x:c r="H9" s="29" t="str">
        <x:v>official source</x:v>
      </x:c>
    </x:row>
    <x:row r="10" ht="118.80000305175781" hidden="0" customHeight="1">
      <x:c r="A10" s="27" t="str">
        <x:v>BTS-NARN26</x:v>
      </x:c>
      <x:c r="B10" s="27" t="str">
        <x:v>Bureau of Transportation Statistics / FRA</x:v>
      </x:c>
      <x:c r="C10" s="27" t="str">
        <x:v>NTAD North American Rail Network Lines</x:v>
      </x:c>
      <x:c r="D10" s="27" t="str">
        <x:v>rail footprint and shared-node SCA topology</x:v>
      </x:c>
      <x:c r="E10" s="27" t="str">
        <x:v>infrastructure topology; trackage rights, passenger loading, condition and disaster availability remain open</x:v>
      </x:c>
      <x:c r="F10" s="27" t="str">
        <x:v>https://services.arcgis.com/xOi1kZaI0eWDREZv/arcgis/rest/services/NTAD_North_American_Rail_Network_Lines/FeatureServer/0</x:v>
      </x:c>
      <x:c r="G10" s="27" t="str">
        <x:v>2026-09-05</x:v>
      </x:c>
      <x:c r="H10" s="27" t="str">
        <x:v>official source</x:v>
      </x:c>
    </x:row>
    <x:row r="11" ht="97.19999694824219" hidden="0" customHeight="1">
      <x:c r="A11" s="29" t="str">
        <x:v>BTS-AIR26</x:v>
      </x:c>
      <x:c r="B11" s="29" t="str">
        <x:v>Bureau of Transportation Statistics / FAA</x:v>
      </x:c>
      <x:c r="C11" s="29" t="str">
        <x:v>NTAD Aviation Facilities and Primary Airport Parcels</x:v>
      </x:c>
      <x:c r="D11" s="29" t="str">
        <x:v>primary-airport endpoint gate</x:v>
      </x:c>
      <x:c r="E11" s="29" t="str">
        <x:v>presence, not runway/terminal/fuel/crew disaster capacity</x:v>
      </x:c>
      <x:c r="F11" s="29" t="str">
        <x:v>https://services.arcgis.com/xOi1kZaI0eWDREZv/arcgis/rest/services/NTAD_Aviation_Facilities/FeatureServer/0</x:v>
      </x:c>
      <x:c r="G11" s="29" t="str">
        <x:v>2026-09-05</x:v>
      </x:c>
      <x:c r="H11" s="29" t="str">
        <x:v>official source</x:v>
      </x:c>
    </x:row>
    <x:row r="12" ht="118.80000305175781" hidden="0" customHeight="1">
      <x:c r="A12" s="27" t="str">
        <x:v>BTS-IPCD</x:v>
      </x:c>
      <x:c r="B12" s="27" t="str">
        <x:v>Bureau of Transportation Statistics</x:v>
      </x:c>
      <x:c r="C12" s="27" t="str">
        <x:v>Intermodal Passenger Connectivity Database</x:v>
      </x:c>
      <x:c r="D12" s="27" t="str">
        <x:v>existing passenger and multimodal-node presence</x:v>
      </x:c>
      <x:c r="E12" s="27" t="str">
        <x:v>facility database is not a current emergency-capacity inventory</x:v>
      </x:c>
      <x:c r="F12" s="27" t="str">
        <x:v>https://services.arcgis.com/xOi1kZaI0eWDREZv/arcgis/rest/services/NTAD_Intermodal_Passenger_Connectivity_Database/FeatureServer/0</x:v>
      </x:c>
      <x:c r="G12" s="27" t="str">
        <x:v>2026-09-05</x:v>
      </x:c>
      <x:c r="H12" s="27" t="str">
        <x:v>official source</x:v>
      </x:c>
    </x:row>
    <x:row r="13" ht="97.19999694824219" hidden="0" customHeight="1">
      <x:c r="A13" s="29" t="str">
        <x:v>BTS-USACE-WATER</x:v>
      </x:c>
      <x:c r="B13" s="29" t="str">
        <x:v>Bureau of Transportation Statistics / U.S. Army Corps of Engineers</x:v>
      </x:c>
      <x:c r="C13" s="29" t="str">
        <x:v>National Waterway Network, Principal Ports and Ferry Terminals</x:v>
      </x:c>
      <x:c r="D13" s="29" t="str">
        <x:v>waterway topology and water-terminal presence</x:v>
      </x:c>
      <x:c r="E13" s="29" t="str">
        <x:v>navigation presence is not draft, weather, berth or passenger suitability</x:v>
      </x:c>
      <x:c r="F13" s="29" t="str">
        <x:v>https://services7.arcgis.com/n1YM8pTrFmm7L4hs/ArcGIS/rest/services/Waterway_Networks/FeatureServer/1</x:v>
      </x:c>
      <x:c r="G13" s="29" t="str">
        <x:v>2026-09-05</x:v>
      </x:c>
      <x:c r="H13" s="29" t="str">
        <x:v>official source</x:v>
      </x:c>
    </x:row>
    <x:row r="14" ht="64.80000305175781" hidden="0" customHeight="1">
      <x:c r="A14" s="27" t="str">
        <x:v>DOJ-ADA-EM</x:v>
      </x:c>
      <x:c r="B14" s="27" t="str">
        <x:v>U.S. Department of Justice</x:v>
      </x:c>
      <x:c r="C14" s="27" t="str">
        <x:v>Emergency Planning under the ADA</x:v>
      </x:c>
      <x:c r="D14" s="27" t="str">
        <x:v>door-to-destination accessibility and shelter continuity requirements</x:v>
      </x:c>
      <x:c r="E14" s="27" t="str">
        <x:v>guidance, not a vehicle capacity coefficient</x:v>
      </x:c>
      <x:c r="F14" s="27" t="str">
        <x:v>https://www.ada.gov/topics/emergency-planning/</x:v>
      </x:c>
      <x:c r="G14" s="27" t="str">
        <x:v>2026-09-05</x:v>
      </x:c>
      <x:c r="H14" s="27" t="str">
        <x:v>official source</x:v>
      </x:c>
    </x:row>
    <x:row r="15" ht="86.4000015258789" hidden="0" customHeight="1">
      <x:c r="A15" s="29" t="str">
        <x:v>DOT-EM-CHECK</x:v>
      </x:c>
      <x:c r="B15" s="29" t="str">
        <x:v>U.S. Department of Transportation</x:v>
      </x:c>
      <x:c r="C15" s="29" t="str">
        <x:v>Transportation and Emergency Checklist</x:v>
      </x:c>
      <x:c r="D15" s="29" t="str">
        <x:v>transportation-dependent populations, door-to-door and partner coordination requirements</x:v>
      </x:c>
      <x:c r="E15" s="29" t="str">
        <x:v>planning guidance, not a national fleet size</x:v>
      </x:c>
      <x:c r="F15" s="29" t="str">
        <x:v>https://www.transportation.gov/civil-rights/emergency-preparedness/emergency-checklist</x:v>
      </x:c>
      <x:c r="G15" s="29" t="str">
        <x:v>2026-09-05</x:v>
      </x:c>
      <x:c r="H15" s="29" t="str">
        <x:v>official source</x:v>
      </x:c>
    </x:row>
    <x:row r="16" ht="97.19999694824219" hidden="0" customHeight="1">
      <x:c r="A16" s="27" t="str">
        <x:v>HHS-PM</x:v>
      </x:c>
      <x:c r="B16" s="27" t="str">
        <x:v>HHS ASPR</x:v>
      </x:c>
      <x:c r="C16" s="27" t="str">
        <x:v>Federal Patient Movement resources</x:v>
      </x:c>
      <x:c r="D16" s="27" t="str">
        <x:v>patient regulation, transport matching, reception and distribution chain</x:v>
      </x:c>
      <x:c r="E16" s="27" t="str">
        <x:v>existing program guidance; does not validate Department-scale throughput</x:v>
      </x:c>
      <x:c r="F16" s="27" t="str">
        <x:v>https://asprwgpublic.hhs.gov/ASPR/hhscapabilities/resourcedocs/Patient%20Movement%20Resources.pdf</x:v>
      </x:c>
      <x:c r="G16" s="27" t="str">
        <x:v>2026-09-05</x:v>
      </x:c>
      <x:c r="H16" s="27" t="str">
        <x:v>official source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23" hidden="0" customWidth="1"/>
    <x:col min="3" max="3" width="23" hidden="0" customWidth="1"/>
    <x:col min="4" max="4" width="18" hidden="0" customWidth="1"/>
    <x:col min="5" max="5" width="18" hidden="0" customWidth="1"/>
    <x:col min="6" max="6" width="45" hidden="0" customWidth="1"/>
  </x:cols>
  <x:sheetData>
    <x:row r="1" ht="29" customHeight="1">
      <x:c r="A1" s="83" t="str">
        <x:v>Model checks</x:v>
      </x:c>
      <x:c r="B1" s="83"/>
      <x:c r="C1" s="83"/>
      <x:c r="D1" s="83"/>
      <x:c r="E1" s="83"/>
      <x:c r="F1" s="83"/>
    </x:row>
    <x:row r="2" ht="31" customHeight="1">
      <x:c r="A2" s="84" t="str">
        <x:v>Checks protect conservation, formula reconciliation, stochastic summaries and the rendering gate. PASS does not close evidence gates.</x:v>
      </x:c>
      <x:c r="B2" s="84"/>
      <x:c r="C2" s="84"/>
      <x:c r="D2" s="84"/>
      <x:c r="E2" s="84"/>
      <x:c r="F2" s="84"/>
    </x:row>
    <x:row r="3">
      <x:c r="A3" s="85"/>
      <x:c r="B3" s="85"/>
      <x:c r="C3" s="85"/>
      <x:c r="D3" s="85"/>
      <x:c r="E3" s="85"/>
      <x:c r="F3" s="85"/>
    </x:row>
    <x:row r="4" ht="32" customHeight="1">
      <x:c r="A4" s="86" t="str">
        <x:v>Check</x:v>
      </x:c>
      <x:c r="B4" s="87" t="str">
        <x:v>Calculated</x:v>
      </x:c>
      <x:c r="C4" s="87" t="str">
        <x:v>Expected/rule</x:v>
      </x:c>
      <x:c r="D4" s="87" t="str">
        <x:v>Result</x:v>
      </x:c>
      <x:c r="E4" s="87" t="str">
        <x:v>Scope</x:v>
      </x:c>
      <x:c r="F4" s="88" t="str">
        <x:v>Meaning</x:v>
      </x:c>
    </x:row>
    <x:row r="5" ht="32.400001525878906" hidden="0" customHeight="1">
      <x:c r="A5" s="28" t="str">
        <x:v>Sheet count</x:v>
      </x:c>
      <x:c r="B5" s="75" t="n">
        <x:v>23</x:v>
      </x:c>
      <x:c r="C5" s="75" t="n">
        <x:v>23</x:v>
      </x:c>
      <x:c r="D5" s="28" t="str">
        <x:f>IF(ABS(B5-C5)&lt;0.02,"PASS","FAIL")</x:f>
        <x:v>PASS</x:v>
      </x:c>
      <x:c r="E5" s="28" t="str">
        <x:v>structure</x:v>
      </x:c>
      <x:c r="F5" s="28" t="str">
        <x:v>all argument layers present</x:v>
      </x:c>
    </x:row>
    <x:row r="6" ht="21.600000381469727" hidden="0" customHeight="1">
      <x:c r="A6" s="27" t="str">
        <x:v>SCA cohort count</x:v>
      </x:c>
      <x:c r="B6" s="76" t="n">
        <x:f>COUNTA('SCA Cohorts'!A5:A36)</x:f>
        <x:v>32</x:v>
      </x:c>
      <x:c r="C6" s="76" t="n">
        <x:v>32</x:v>
      </x:c>
      <x:c r="D6" s="27" t="str">
        <x:f>IF(ABS(B6-C6)&lt;0.02,"PASS","FAIL")</x:f>
        <x:v>PASS</x:v>
      </x:c>
      <x:c r="E6" s="27" t="str">
        <x:v>cohorts</x:v>
      </x:c>
      <x:c r="F6" s="27" t="str">
        <x:v>one row per SCA</x:v>
      </x:c>
    </x:row>
    <x:row r="7" ht="32.400001525878906" hidden="0" customHeight="1">
      <x:c r="A7" s="29" t="str">
        <x:v>Population conservation</x:v>
      </x:c>
      <x:c r="B7" s="77" t="n">
        <x:f>SUM('SCA Cohorts'!B5:B36)</x:f>
        <x:v>344969692</x:v>
      </x:c>
      <x:c r="C7" s="77" t="n">
        <x:v>344969692</x:v>
      </x:c>
      <x:c r="D7" s="29" t="str">
        <x:f>IF(ABS(B7-C7)&lt;0.02,"PASS","FAIL")</x:f>
        <x:v>PASS</x:v>
      </x:c>
      <x:c r="E7" s="29" t="str">
        <x:v>data</x:v>
      </x:c>
      <x:c r="F7" s="29" t="str">
        <x:v>Pass 32 population denominator</x:v>
      </x:c>
    </x:row>
    <x:row r="8" ht="32.400001525878906" hidden="0" customHeight="1">
      <x:c r="A8" s="27" t="str">
        <x:v>Cohort share conservation</x:v>
      </x:c>
      <x:c r="B8" s="76" t="n">
        <x:f>SUM('National Cohorts'!C5:C9)</x:f>
        <x:v>1</x:v>
      </x:c>
      <x:c r="C8" s="76" t="n">
        <x:v>1</x:v>
      </x:c>
      <x:c r="D8" s="27" t="str">
        <x:f>IF(ABS(B8-C8)&lt;0.02,"PASS","FAIL")</x:f>
        <x:v>PASS</x:v>
      </x:c>
      <x:c r="E8" s="27" t="str">
        <x:v>cohorts</x:v>
      </x:c>
      <x:c r="F8" s="27" t="str">
        <x:v>exclusive national shares</x:v>
      </x:c>
    </x:row>
    <x:row r="9" ht="32.400001525878906" hidden="0" customHeight="1">
      <x:c r="A9" s="29" t="str">
        <x:v>Campaign demand</x:v>
      </x:c>
      <x:c r="B9" s="77" t="n">
        <x:f>Controls!C8</x:f>
        <x:v>2500</x:v>
      </x:c>
      <x:c r="C9" s="77" t="n">
        <x:v>2500</x:v>
      </x:c>
      <x:c r="D9" s="29" t="str">
        <x:f>IF(ABS(B9-C9)&lt;0.02,"PASS","FAIL")</x:f>
        <x:v>PASS</x:v>
      </x:c>
      <x:c r="E9" s="29" t="str">
        <x:v>mission</x:v>
      </x:c>
      <x:c r="F9" s="29" t="str">
        <x:v>concurrent domestic campaign</x:v>
      </x:c>
    </x:row>
    <x:row r="10" ht="32.400001525878906" hidden="0" customHeight="1">
      <x:c r="A10" s="27" t="str">
        <x:v>Gross fleet throughput</x:v>
      </x:c>
      <x:c r="B10" s="76" t="n">
        <x:f>SUM('Fleet Classes'!G5:G8)</x:f>
        <x:v>3554</x:v>
      </x:c>
      <x:c r="C10" s="76" t="n">
        <x:v>3554</x:v>
      </x:c>
      <x:c r="D10" s="27" t="str">
        <x:f>IF(ABS(B10-C10)&lt;0.02,"PASS","FAIL")</x:f>
        <x:v>PASS</x:v>
      </x:c>
      <x:c r="E10" s="27" t="str">
        <x:v>fleet</x:v>
      </x:c>
      <x:c r="F10" s="27" t="str">
        <x:v>declared 72h movement-place CDE</x:v>
      </x:c>
    </x:row>
    <x:row r="11" ht="32.400001525878906" hidden="0" customHeight="1">
      <x:c r="A11" s="29" t="str">
        <x:v>Asset capital subtotal</x:v>
      </x:c>
      <x:c r="B11" s="77" t="n">
        <x:f>SUM('Fleet Classes'!I5:I13)</x:f>
        <x:v>927</x:v>
      </x:c>
      <x:c r="C11" s="77" t="n">
        <x:v>927</x:v>
      </x:c>
      <x:c r="D11" s="29" t="str">
        <x:f>IF(ABS(B11-C11)&lt;0.02,"PASS","FAIL")</x:f>
        <x:v>PASS</x:v>
      </x:c>
      <x:c r="E11" s="29" t="str">
        <x:v>finance</x:v>
      </x:c>
      <x:c r="F11" s="29" t="str">
        <x:v>line capital before reserve</x:v>
      </x:c>
    </x:row>
    <x:row r="12" ht="32.400001525878906" hidden="0" customHeight="1">
      <x:c r="A12" s="27" t="str">
        <x:v>Purpose-built capital with reserve</x:v>
      </x:c>
      <x:c r="B12" s="76" t="n">
        <x:f>SUM('Fleet Classes'!I5:I13)*(1+Controls!C11)</x:f>
        <x:v>1158.75</x:v>
      </x:c>
      <x:c r="C12" s="76" t="n">
        <x:v>1158.75</x:v>
      </x:c>
      <x:c r="D12" s="27" t="str">
        <x:f>IF(ABS(B12-C12)&lt;0.02,"PASS","FAIL")</x:f>
        <x:v>PASS</x:v>
      </x:c>
      <x:c r="E12" s="27" t="str">
        <x:v>finance</x:v>
      </x:c>
      <x:c r="F12" s="27" t="str">
        <x:v>25% reserve</x:v>
      </x:c>
    </x:row>
    <x:row r="13" ht="21.600000381469727" hidden="0" customHeight="1">
      <x:c r="A13" s="29" t="str">
        <x:v>Trial row count</x:v>
      </x:c>
      <x:c r="B13" s="77" t="n">
        <x:f>COUNTA(Trials!A5:A2004)</x:f>
        <x:v>2000</x:v>
      </x:c>
      <x:c r="C13" s="77" t="n">
        <x:v>2000</x:v>
      </x:c>
      <x:c r="D13" s="29" t="str">
        <x:f>IF(ABS(B13-C13)&lt;0.02,"PASS","FAIL")</x:f>
        <x:v>PASS</x:v>
      </x:c>
      <x:c r="E13" s="29" t="str">
        <x:v>simulation</x:v>
      </x:c>
      <x:c r="F13" s="29" t="str">
        <x:v>500 x four architectures</x:v>
      </x:c>
    </x:row>
    <x:row r="14" ht="32.400001525878906" hidden="0" customHeight="1">
      <x:c r="A14" s="27" t="str">
        <x:v>A0 success</x:v>
      </x:c>
      <x:c r="B14" s="76" t="n">
        <x:f>'Simulation Summary'!J5</x:f>
        <x:v>0</x:v>
      </x:c>
      <x:c r="C14" s="76" t="n">
        <x:v>0</x:v>
      </x:c>
      <x:c r="D14" s="27" t="str">
        <x:f>IF(ABS(B14-C14)&lt;0.02,"PASS","FAIL")</x:f>
        <x:v>PASS</x:v>
      </x:c>
      <x:c r="E14" s="27" t="str">
        <x:v>assurance</x:v>
      </x:c>
      <x:c r="F14" s="27" t="str">
        <x:v>borrowed baseline rejected</x:v>
      </x:c>
    </x:row>
    <x:row r="15" ht="43.20000076293945" hidden="0" customHeight="1">
      <x:c r="A15" s="29" t="str">
        <x:v>A1 success</x:v>
      </x:c>
      <x:c r="B15" s="77" t="n">
        <x:f>'Simulation Summary'!J6</x:f>
        <x:v>0.138</x:v>
      </x:c>
      <x:c r="C15" s="77" t="n">
        <x:v>0.138</x:v>
      </x:c>
      <x:c r="D15" s="29" t="str">
        <x:f>IF(ABS(B15-C15)&lt;0.02,"PASS","FAIL")</x:f>
        <x:v>PASS</x:v>
      </x:c>
      <x:c r="E15" s="29" t="str">
        <x:v>assurance</x:v>
      </x:c>
      <x:c r="F15" s="29" t="str">
        <x:v>national mean hides geographic tail</x:v>
      </x:c>
    </x:row>
    <x:row r="16" ht="43.20000076293945" hidden="0" customHeight="1">
      <x:c r="A16" s="27" t="str">
        <x:v>A2 success</x:v>
      </x:c>
      <x:c r="B16" s="76" t="n">
        <x:f>'Simulation Summary'!J7</x:f>
        <x:v>0.988</x:v>
      </x:c>
      <x:c r="C16" s="76" t="n">
        <x:v>0.988</x:v>
      </x:c>
      <x:c r="D16" s="27" t="str">
        <x:f>IF(ABS(B16-C16)&lt;0.02,"PASS","FAIL")</x:f>
        <x:v>PASS</x:v>
      </x:c>
      <x:c r="E16" s="27" t="str">
        <x:v>assurance</x:v>
      </x:c>
      <x:c r="F16" s="27" t="str">
        <x:v>first architecture meeting target</x:v>
      </x:c>
    </x:row>
    <x:row r="17" ht="32.400001525878906" hidden="0" customHeight="1">
      <x:c r="A17" s="29" t="str">
        <x:v>A2 admission target</x:v>
      </x:c>
      <x:c r="B17" s="77" t="n">
        <x:f>'Simulation Summary'!K7</x:f>
        <x:v>0.95</x:v>
      </x:c>
      <x:c r="C17" s="77" t="n">
        <x:v>0.95</x:v>
      </x:c>
      <x:c r="D17" s="29" t="str">
        <x:f>IF(B17&gt;=C17,"PASS","FAIL")</x:f>
        <x:v>PASS</x:v>
      </x:c>
      <x:c r="E17" s="29" t="str">
        <x:v>assurance</x:v>
      </x:c>
      <x:c r="F17" s="29" t="str">
        <x:v>must equal/exceed</x:v>
      </x:c>
    </x:row>
    <x:row r="18" ht="21.600000381469727" hidden="0" customHeight="1">
      <x:c r="A18" s="27" t="str">
        <x:v>Evidence gates open</x:v>
      </x:c>
      <x:c r="B18" s="76" t="n">
        <x:f>COUNTIF('Evidence Gates'!F5:F26,"OPEN")</x:f>
        <x:v>22</x:v>
      </x:c>
      <x:c r="C18" s="76" t="n">
        <x:v>22</x:v>
      </x:c>
      <x:c r="D18" s="27" t="str">
        <x:f>IF(ABS(B18-C18)&lt;0.02,"PASS","FAIL")</x:f>
        <x:v>PASS</x:v>
      </x:c>
      <x:c r="E18" s="27" t="str">
        <x:v>evidence</x:v>
      </x:c>
      <x:c r="F18" s="27" t="str">
        <x:v>no R3 maturity</x:v>
      </x:c>
    </x:row>
    <x:row r="19" ht="43.20000076293945" hidden="0" customHeight="1">
      <x:c r="A19" s="29" t="str">
        <x:v>Rendering authorization</x:v>
      </x:c>
      <x:c r="B19" s="77" t="n">
        <x:f>Controls!C20</x:f>
        <x:v>0</x:v>
      </x:c>
      <x:c r="C19" s="77" t="n">
        <x:v>0</x:v>
      </x:c>
      <x:c r="D19" s="29" t="str">
        <x:f>IF(ABS(B19-C19)&lt;0.02,"PASS","FAIL")</x:f>
        <x:v>PASS</x:v>
      </x:c>
      <x:c r="E19" s="29" t="str">
        <x:v>governance</x:v>
      </x:c>
      <x:c r="F19" s="29" t="str">
        <x:v>platform imagery remains blocked</x:v>
      </x:c>
    </x:row>
  </x:sheetData>
  <x:mergeCells>
    <x:mergeCell ref="A1:F1"/>
    <x:mergeCell ref="A2:F2"/>
  </x:mergeCells>
  <x:pageMargins left="0.7" right="0.7" top="0.75" bottom="0.75" header="0.3" footer="0.3"/>
</x:worksheet>
</file>