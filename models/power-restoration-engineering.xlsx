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dc917214ad4d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a58510df1254212"/>
    <x:sheet xmlns:r="http://schemas.openxmlformats.org/officeDocument/2006/relationships" name="Controls" sheetId="2" r:id="R293e8965a4824b7a"/>
    <x:sheet xmlns:r="http://schemas.openxmlformats.org/officeDocument/2006/relationships" name="Load Registry" sheetId="3" r:id="R870c93ce9ca745f3"/>
    <x:sheet xmlns:r="http://schemas.openxmlformats.org/officeDocument/2006/relationships" name="Network States" sheetId="4" r:id="Rb68354f2da654279"/>
    <x:sheet xmlns:r="http://schemas.openxmlformats.org/officeDocument/2006/relationships" name="Source Cases" sheetId="5" r:id="Rbb0676ffee2347c4"/>
    <x:sheet xmlns:r="http://schemas.openxmlformats.org/officeDocument/2006/relationships" name="Generation Fleet" sheetId="6" r:id="R947b3219a609432b"/>
    <x:sheet xmlns:r="http://schemas.openxmlformats.org/officeDocument/2006/relationships" name="Storage" sheetId="7" r:id="Rd953b9d15f534b76"/>
    <x:sheet xmlns:r="http://schemas.openxmlformats.org/officeDocument/2006/relationships" name="Feeder Model" sheetId="8" r:id="R639dd0d4b1374d87"/>
    <x:sheet xmlns:r="http://schemas.openxmlformats.org/officeDocument/2006/relationships" name="Transformation" sheetId="9" r:id="R9bb1a46b389e490f"/>
    <x:sheet xmlns:r="http://schemas.openxmlformats.org/officeDocument/2006/relationships" name="Construction" sheetId="10" r:id="R2b7f167d7eb2497a"/>
    <x:sheet xmlns:r="http://schemas.openxmlformats.org/officeDocument/2006/relationships" name="Fuel &amp; Energy" sheetId="11" r:id="R48389f152ce746fa"/>
    <x:sheet xmlns:r="http://schemas.openxmlformats.org/officeDocument/2006/relationships" name="Thermal Works" sheetId="12" r:id="R875f25b6454b4645"/>
    <x:sheet xmlns:r="http://schemas.openxmlformats.org/officeDocument/2006/relationships" name="Deployment Manifest" sheetId="13" r:id="Rf4032836cd094408"/>
    <x:sheet xmlns:r="http://schemas.openxmlformats.org/officeDocument/2006/relationships" name="Workforce" sheetId="14" r:id="R1468cf1d6c1d4f6f"/>
    <x:sheet xmlns:r="http://schemas.openxmlformats.org/officeDocument/2006/relationships" name="Failure Modes" sheetId="15" r:id="Rb27f3020608a4b34"/>
    <x:sheet xmlns:r="http://schemas.openxmlformats.org/officeDocument/2006/relationships" name="R3 Gate" sheetId="16" r:id="Rb2958e854d154f58"/>
    <x:sheet xmlns:r="http://schemas.openxmlformats.org/officeDocument/2006/relationships" name="Sources" sheetId="17" r:id="Re0451900eaa648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0"/>
    <x:numFmt numFmtId="201" formatCode="0.0%"/>
    <x:numFmt numFmtId="202" formatCode="0%"/>
    <x:numFmt numFmtId="203" formatCode="0.0"/>
    <x:numFmt numFmtId="204" formatCode="0.00%"/>
    <x:numFmt numFmtId="205" formatCode="#,##0.00"/>
    <x:numFmt numFmtId="206" formatCode="#,##0.0"/>
    <x:numFmt numFmtId="207" formatCode="#,##0"/>
  </x:numFmts>
  <x:fonts count="6">
    <x:font>
      <x:sz val="11"/>
      <x:name val="Carlito"/>
    </x:font>
    <x:font>
      <x:b/>
      <x:sz val="16"/>
      <x:color rgb="FF172033"/>
      <x:name val="Helvetica Neue"/>
    </x:font>
    <x:font>
      <x:i/>
      <x:sz val="10"/>
      <x:color rgb="FF667085"/>
      <x:name val="Helvetica Neue"/>
    </x:font>
    <x:font>
      <x:b/>
      <x:sz val="10"/>
      <x:color rgb="FFFFFFFF"/>
      <x:name val="Helvetica Neue"/>
    </x:font>
    <x:font>
      <x:sz val="10"/>
      <x:color rgb="FF172033"/>
      <x:name val="Helvetica Neue"/>
    </x:font>
    <x:font>
      <x:b/>
      <x:sz val="11"/>
      <x:color rgb="FF172033"/>
      <x:name val="Helvetica Neue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8">
    <x:border/>
    <x:border>
      <x:bottom style="medium">
        <x:color rgb="FF17365D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left style="thin">
        <x:color rgb="FF2F75B5"/>
      </x:left>
      <x:top style="thin">
        <x:color rgb="FF2F75B5"/>
      </x:top>
      <x:bottom style="thin">
        <x:color rgb="FF2F75B5"/>
      </x:bottom>
    </x:border>
    <x:border>
      <x:top style="thin">
        <x:color rgb="FF2F75B5"/>
      </x:top>
      <x:bottom style="thin">
        <x:color rgb="FF2F75B5"/>
      </x:bottom>
    </x:border>
    <x:border>
      <x:right style="thin">
        <x:color rgb="FF2F75B5"/>
      </x:right>
      <x:top style="thin">
        <x:color rgb="FF2F75B5"/>
      </x:top>
      <x:bottom style="thin">
        <x:color rgb="FF2F75B5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3" borderId="0" xfId="0" applyNumberFormat="1" applyFont="1" applyFill="1" applyBorder="1" applyAlignment="1">
      <x:alignment vertical="top"/>
    </x:xf>
    <x:xf numFmtId="200" fontId="4" fillId="3" borderId="0" xfId="0" applyNumberFormat="1" applyFont="1" applyFill="1" applyBorder="1" applyAlignment="1">
      <x:alignment vertical="top"/>
    </x:xf>
    <x:xf numFmtId="201" fontId="4" fillId="3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200" fontId="4" fillId="3" borderId="0" xfId="0" applyNumberFormat="1" applyFont="1" applyFill="1" applyBorder="1" applyAlignment="1">
      <x:alignment vertical="top" wrapText="1"/>
    </x:xf>
    <x:xf numFmtId="201" fontId="4" fillId="3" borderId="0" xfId="0" applyNumberFormat="1" applyFont="1" applyFill="1" applyBorder="1" applyAlignment="1">
      <x:alignment vertical="top" wrapText="1"/>
    </x:xf>
    <x:xf numFmtId="202" fontId="4" fillId="0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5" xfId="0" applyNumberFormat="1" applyFont="1" applyFill="1" applyBorder="1"/>
    <x:xf numFmtId="0" fontId="5" fillId="4" borderId="6" xfId="0" applyNumberFormat="1" applyFont="1" applyFill="1" applyBorder="1"/>
    <x:xf numFmtId="0" fontId="5" fillId="4" borderId="7" xfId="0" applyNumberFormat="1" applyFont="1" applyFill="1" applyBorder="1"/>
    <x:xf numFmtId="202" fontId="4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5" fillId="4" borderId="5" xfId="0" applyNumberFormat="1" applyFont="1" applyFill="1" applyBorder="1" applyAlignment="1">
      <x:alignment wrapText="1"/>
    </x:xf>
    <x:xf numFmtId="0" fontId="5" fillId="4" borderId="6" xfId="0" applyNumberFormat="1" applyFont="1" applyFill="1" applyBorder="1" applyAlignment="1">
      <x:alignment wrapText="1"/>
    </x:xf>
    <x:xf numFmtId="0" fontId="5" fillId="4" borderId="7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4" fillId="0" borderId="0" xfId="0" applyNumberFormat="1" applyFont="1" applyFill="1" applyBorder="1"/>
    <x:xf numFmtId="203" fontId="4" fillId="0" borderId="0" xfId="0" applyNumberFormat="1" applyFont="1" applyFill="1" applyBorder="1" applyAlignment="1">
      <x:alignment vertical="top"/>
    </x:xf>
    <x:xf numFmtId="200" fontId="4" fillId="0" borderId="0" xfId="0" applyNumberFormat="1" applyFont="1" applyFill="1" applyBorder="1" applyAlignment="1">
      <x:alignment vertical="top"/>
    </x:xf>
    <x:xf numFmtId="203" fontId="4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4" fontId="4" fillId="0" borderId="0" xfId="0" applyNumberFormat="1" applyFont="1" applyFill="1" applyBorder="1" applyAlignment="1">
      <x:alignment vertical="top"/>
    </x:xf>
    <x:xf numFmtId="205" fontId="4" fillId="0" borderId="0" xfId="0" applyNumberFormat="1" applyFont="1" applyFill="1" applyBorder="1" applyAlignment="1">
      <x:alignment vertical="top"/>
    </x:xf>
    <x:xf numFmtId="206" fontId="4" fillId="0" borderId="0" xfId="0" applyNumberFormat="1" applyFont="1" applyFill="1" applyBorder="1" applyAlignment="1">
      <x:alignment vertical="top"/>
    </x:xf>
    <x:xf numFmtId="205" fontId="4" fillId="0" borderId="0" xfId="0" applyNumberFormat="1" applyFont="1" applyFill="1" applyBorder="1" applyAlignment="1">
      <x:alignment vertical="top" wrapText="1"/>
    </x:xf>
    <x:xf numFmtId="204" fontId="4" fillId="0" borderId="0" xfId="0" applyNumberFormat="1" applyFont="1" applyFill="1" applyBorder="1" applyAlignment="1">
      <x:alignment vertical="top" wrapText="1"/>
    </x:xf>
    <x:xf numFmtId="206" fontId="4" fillId="0" borderId="0" xfId="0" applyNumberFormat="1" applyFont="1" applyFill="1" applyBorder="1" applyAlignment="1">
      <x:alignment vertical="top" wrapText="1"/>
    </x:xf>
    <x:xf numFmtId="201" fontId="4" fillId="0" borderId="0" xfId="0" applyNumberFormat="1" applyFont="1" applyFill="1" applyBorder="1" applyAlignment="1">
      <x:alignment vertical="top"/>
    </x:xf>
    <x:xf numFmtId="201" fontId="4" fillId="0" borderId="0" xfId="0" applyNumberFormat="1" applyFont="1" applyFill="1" applyBorder="1" applyAlignment="1">
      <x:alignment vertical="top" wrapText="1"/>
    </x:xf>
    <x:xf numFmtId="207" fontId="4" fillId="0" borderId="0" xfId="0" applyNumberFormat="1" applyFont="1" applyFill="1" applyBorder="1" applyAlignment="1">
      <x:alignment vertical="top"/>
    </x:xf>
    <x:xf numFmtId="207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9"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99fe7ee3b24f0c" /><Relationship Type="http://schemas.openxmlformats.org/officeDocument/2006/relationships/theme" Target="/xl/theme/theme1.xml" Id="R5f855da442e740bc" /><Relationship Type="http://schemas.openxmlformats.org/officeDocument/2006/relationships/sharedStrings" Target="/xl/sharedStrings.xml" Id="Ra6dc9d489f6e4d4c" /><Relationship Type="http://schemas.openxmlformats.org/officeDocument/2006/relationships/worksheet" Target="/xl/worksheets/sheet1.xml" Id="Rea58510df1254212" /><Relationship Type="http://schemas.openxmlformats.org/officeDocument/2006/relationships/worksheet" Target="/xl/worksheets/sheet2.xml" Id="R293e8965a4824b7a" /><Relationship Type="http://schemas.openxmlformats.org/officeDocument/2006/relationships/worksheet" Target="/xl/worksheets/sheet3.xml" Id="R870c93ce9ca745f3" /><Relationship Type="http://schemas.openxmlformats.org/officeDocument/2006/relationships/worksheet" Target="/xl/worksheets/sheet4.xml" Id="Rb68354f2da654279" /><Relationship Type="http://schemas.openxmlformats.org/officeDocument/2006/relationships/worksheet" Target="/xl/worksheets/sheet5.xml" Id="Rbb0676ffee2347c4" /><Relationship Type="http://schemas.openxmlformats.org/officeDocument/2006/relationships/worksheet" Target="/xl/worksheets/sheet6.xml" Id="R947b3219a609432b" /><Relationship Type="http://schemas.openxmlformats.org/officeDocument/2006/relationships/worksheet" Target="/xl/worksheets/sheet7.xml" Id="Rd953b9d15f534b76" /><Relationship Type="http://schemas.openxmlformats.org/officeDocument/2006/relationships/worksheet" Target="/xl/worksheets/sheet8.xml" Id="R639dd0d4b1374d87" /><Relationship Type="http://schemas.openxmlformats.org/officeDocument/2006/relationships/worksheet" Target="/xl/worksheets/sheet9.xml" Id="R9bb1a46b389e490f" /><Relationship Type="http://schemas.openxmlformats.org/officeDocument/2006/relationships/worksheet" Target="/xl/worksheets/sheet10.xml" Id="R2b7f167d7eb2497a" /><Relationship Type="http://schemas.openxmlformats.org/officeDocument/2006/relationships/worksheet" Target="/xl/worksheets/sheet11.xml" Id="R48389f152ce746fa" /><Relationship Type="http://schemas.openxmlformats.org/officeDocument/2006/relationships/worksheet" Target="/xl/worksheets/sheet12.xml" Id="R875f25b6454b4645" /><Relationship Type="http://schemas.openxmlformats.org/officeDocument/2006/relationships/worksheet" Target="/xl/worksheets/sheet13.xml" Id="Rf4032836cd094408" /><Relationship Type="http://schemas.openxmlformats.org/officeDocument/2006/relationships/worksheet" Target="/xl/worksheets/sheet14.xml" Id="R1468cf1d6c1d4f6f" /><Relationship Type="http://schemas.openxmlformats.org/officeDocument/2006/relationships/worksheet" Target="/xl/worksheets/sheet15.xml" Id="Rb27f3020608a4b34" /><Relationship Type="http://schemas.openxmlformats.org/officeDocument/2006/relationships/worksheet" Target="/xl/worksheets/sheet16.xml" Id="Rb2958e854d154f58" /><Relationship Type="http://schemas.openxmlformats.org/officeDocument/2006/relationships/worksheet" Target="/xl/worksheets/sheet17.xml" Id="Re0451900eaa648a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1aa192f6b6d4fc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Helvetica Neue"/>
                <a:ea typeface="Helvetica Neue"/>
                <a:cs typeface="Helvetica Neue"/>
              </a:rPr>
              <a:t>Network-state dry burden (t)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Helvetica Neue"/>
              <a:ea typeface="Helvetica Neue"/>
              <a:cs typeface="Helvetica Neue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Line + equipment mass (t)</c:v>
          </c:tx>
          <c:cat>
            <c:strRef>
              <c:f>'Summary'!$F$5:$F$7</c:f>
              <c:strCache>
                <c:ptCount val="0"/>
              </c:strCache>
            </c:strRef>
          </c:cat>
          <c:val>
            <c:numRef>
              <c:f>'Summary'!$G$5:$G$7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Helvetica Neue"/>
                <a:ea typeface="Helvetica Neue"/>
                <a:cs typeface="Helvetica Neue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Helvetica Neue"/>
                <a:ea typeface="Helvetica Neue"/>
                <a:cs typeface="Helvetica Neue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8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1aa192f6b6d4fc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721440de61e4ee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1" hidden="0" customWidth="1"/>
    <x:col min="3" max="3" width="18" hidden="0" customWidth="1"/>
    <x:col min="4" max="4" width="52" hidden="0" customWidth="1"/>
    <x:col min="5" max="5" width="3" hidden="0" customWidth="1"/>
    <x:col min="6" max="6" width="26" hidden="0" customWidth="1"/>
    <x:col min="7" max="7" width="17" hidden="0" customWidth="1"/>
    <x:col min="8" max="8" width="17" hidden="0" customWidth="1"/>
    <x:col min="9" max="9" width="24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4" customHeight="1">
      <x:c r="A1" s="2" t="str">
        <x:v>PRG-100 deployable electric utility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30" customHeight="1">
      <x:c r="A2" s="3" t="str">
        <x:v>Configuration-level screening model for a Department of Resilience regional power-restoration group. Baseline: bypass network, liquid-fuel-dominant source mix.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4" ht="32" customHeight="1">
      <x:c r="A4" s="15" t="str">
        <x:v>Decision metric</x:v>
      </x:c>
      <x:c r="B4" s="16" t="str">
        <x:v>Value</x:v>
      </x:c>
      <x:c r="C4" s="16" t="str">
        <x:v>Unit</x:v>
      </x:c>
      <x:c r="D4" s="17" t="str">
        <x:v>Interpretation</x:v>
      </x:c>
      <x:c r="E4" s="34"/>
      <x:c r="F4" s="15" t="str">
        <x:v>State</x:v>
      </x:c>
      <x:c r="G4" s="17" t="str">
        <x:v>Line + equipment mass (t)</x:v>
      </x:c>
      <x:c r="H4" s="34"/>
      <x:c r="I4" s="34"/>
      <x:c r="J4" s="34"/>
      <x:c r="K4" s="34"/>
      <x:c r="L4" s="34"/>
      <x:c r="M4" s="34"/>
      <x:c r="N4" s="34"/>
    </x:row>
    <x:row r="5">
      <x:c r="A5" s="23" t="str">
        <x:v>Maturity</x:v>
      </x:c>
      <x:c r="B5" s="23" t="str">
        <x:f>'R3 Gate'!$B$26</x:f>
        <x:v>R2+</x:v>
      </x:c>
      <x:c r="C5" s="23" t="str">
        <x:v>level</x:v>
      </x:c>
      <x:c r="D5" s="23" t="str">
        <x:v>R2+ prohibits asset rendering</x:v>
      </x:c>
      <x:c r="E5" s="34"/>
      <x:c r="F5" s="23" t="str">
        <x:v>Reuse</x:v>
      </x:c>
      <x:c r="G5" s="23" t="n">
        <x:f>SUM('Construction'!F5:I5)</x:f>
        <x:v>448.6</x:v>
      </x:c>
      <x:c r="H5" s="34"/>
      <x:c r="I5" s="34"/>
      <x:c r="J5" s="34"/>
      <x:c r="K5" s="34"/>
      <x:c r="L5" s="34"/>
      <x:c r="M5" s="34"/>
      <x:c r="N5" s="34"/>
    </x:row>
    <x:row r="6">
      <x:c r="A6" s="23" t="str">
        <x:v>Network state</x:v>
      </x:c>
      <x:c r="B6" s="23" t="str">
        <x:f>'Controls'!$C$5</x:f>
        <x:v>Bypass</x:v>
      </x:c>
      <x:c r="C6" s="23" t="str">
        <x:v>case</x:v>
      </x:c>
      <x:c r="D6" s="23" t="str">
        <x:v>Reuse, bypass or rebuild</x:v>
      </x:c>
      <x:c r="E6" s="34"/>
      <x:c r="F6" s="23" t="str">
        <x:v>Bypass</x:v>
      </x:c>
      <x:c r="G6" s="23" t="n">
        <x:f>SUM('Construction'!F6:I6)</x:f>
        <x:v>4114.8</x:v>
      </x:c>
      <x:c r="H6" s="34"/>
      <x:c r="I6" s="34"/>
      <x:c r="J6" s="34"/>
      <x:c r="K6" s="34"/>
      <x:c r="L6" s="34"/>
      <x:c r="M6" s="34"/>
      <x:c r="N6" s="34"/>
    </x:row>
    <x:row r="7">
      <x:c r="A7" s="23" t="str">
        <x:v>Source case</x:v>
      </x:c>
      <x:c r="B7" s="23" t="str">
        <x:f>'Controls'!$C$6</x:f>
        <x:v>Liquid fuel dominant</x:v>
      </x:c>
      <x:c r="C7" s="23" t="str">
        <x:v>case</x:v>
      </x:c>
      <x:c r="D7" s="23" t="str">
        <x:v>Average dispatch mix</x:v>
      </x:c>
      <x:c r="E7" s="34"/>
      <x:c r="F7" s="23" t="str">
        <x:v>Rebuild</x:v>
      </x:c>
      <x:c r="G7" s="23" t="n">
        <x:f>SUM('Construction'!F7:I7)</x:f>
        <x:v>14479.2</x:v>
      </x:c>
      <x:c r="H7" s="34"/>
      <x:c r="I7" s="34"/>
      <x:c r="J7" s="34"/>
      <x:c r="K7" s="34"/>
      <x:c r="L7" s="34"/>
      <x:c r="M7" s="34"/>
      <x:c r="N7" s="34"/>
    </x:row>
    <x:row r="8">
      <x:c r="A8" s="23" t="str">
        <x:v>Net critical service</x:v>
      </x:c>
      <x:c r="B8" s="49" t="n">
        <x:f>'Controls'!$C$8</x:f>
        <x:v>100</x:v>
      </x:c>
      <x:c r="C8" s="23" t="str">
        <x:v>MW</x:v>
      </x:c>
      <x:c r="D8" s="23" t="str">
        <x:v>Delivered critical load target</x:v>
      </x:c>
      <x:c r="E8" s="34"/>
      <x:c r="F8" s="34"/>
      <x:c r="G8" s="34"/>
      <x:c r="H8" s="34"/>
      <x:c r="I8" s="34"/>
      <x:c r="J8" s="34"/>
      <x:c r="K8" s="34"/>
      <x:c r="L8" s="34"/>
      <x:c r="M8" s="34"/>
      <x:c r="N8" s="34"/>
    </x:row>
    <x:row r="9">
      <x:c r="A9" s="23" t="str">
        <x:v>Gross dispatched generation</x:v>
      </x:c>
      <x:c r="B9" s="49" t="n">
        <x:f>'Generation Fleet'!$C$7</x:f>
        <x:v>103.89476864292646</x:v>
      </x:c>
      <x:c r="C9" s="23" t="str">
        <x:v>MW</x:v>
      </x:c>
      <x:c r="D9" s="23" t="str">
        <x:v>Net load plus loss and auxiliaries</x:v>
      </x:c>
      <x:c r="E9" s="34"/>
      <x:c r="F9" s="34"/>
      <x:c r="G9" s="34"/>
      <x:c r="H9" s="34"/>
      <x:c r="I9" s="34"/>
      <x:c r="J9" s="34"/>
      <x:c r="K9" s="34"/>
      <x:c r="L9" s="34"/>
      <x:c r="M9" s="34"/>
      <x:c r="N9" s="34"/>
    </x:row>
    <x:row r="10">
      <x:c r="A10" s="23" t="str">
        <x:v>Owned generation nameplate</x:v>
      </x:c>
      <x:c r="B10" s="49" t="n">
        <x:f>'Generation Fleet'!$C$12</x:f>
        <x:v>140</x:v>
      </x:c>
      <x:c r="C10" s="23" t="str">
        <x:v>MW</x:v>
      </x:c>
      <x:c r="D10" s="23" t="str">
        <x:v>Rounded modules with reserve and derating</x:v>
      </x:c>
      <x:c r="E10" s="34"/>
      <x:c r="F10" s="34"/>
      <x:c r="G10" s="34"/>
      <x:c r="H10" s="34"/>
      <x:c r="I10" s="34"/>
      <x:c r="J10" s="34"/>
      <x:c r="K10" s="34"/>
      <x:c r="L10" s="34"/>
      <x:c r="M10" s="34"/>
      <x:c r="N10" s="34"/>
    </x:row>
    <x:row r="11">
      <x:c r="A11" s="23" t="str">
        <x:v>Generation modules</x:v>
      </x:c>
      <x:c r="B11" s="49" t="n">
        <x:f>'Generation Fleet'!$C$11</x:f>
        <x:v>14</x:v>
      </x:c>
      <x:c r="C11" s="23" t="str">
        <x:v>count</x:v>
      </x:c>
      <x:c r="D11" s="23" t="str">
        <x:v>10 MW reference blocks</x:v>
      </x:c>
      <x:c r="E11" s="34"/>
      <x:c r="F11" s="34"/>
      <x:c r="G11" s="34"/>
      <x:c r="H11" s="34"/>
      <x:c r="I11" s="34"/>
      <x:c r="J11" s="34"/>
      <x:c r="K11" s="34"/>
      <x:c r="L11" s="34"/>
      <x:c r="M11" s="34"/>
      <x:c r="N11" s="34"/>
    </x:row>
    <x:row r="12">
      <x:c r="A12" s="23" t="str">
        <x:v>BESS owned</x:v>
      </x:c>
      <x:c r="B12" s="49" t="n">
        <x:f>'Storage'!$C$18</x:f>
        <x:v>140</x:v>
      </x:c>
      <x:c r="C12" s="23" t="str">
        <x:v>MWh</x:v>
      </x:c>
      <x:c r="D12" s="23" t="str">
        <x:v>Power and energy constrained</x:v>
      </x:c>
      <x:c r="E12" s="34"/>
      <x:c r="F12" s="34"/>
      <x:c r="G12" s="34"/>
      <x:c r="H12" s="34"/>
      <x:c r="I12" s="34"/>
      <x:c r="J12" s="34"/>
      <x:c r="K12" s="34"/>
      <x:c r="L12" s="34"/>
      <x:c r="M12" s="34"/>
      <x:c r="N12" s="34"/>
    </x:row>
    <x:row r="13">
      <x:c r="A13" s="23" t="str">
        <x:v>Current per feeder</x:v>
      </x:c>
      <x:c r="B13" s="49" t="n">
        <x:f>'Feeder Model'!$C$10</x:f>
        <x:v>185.9421156810389</x:v>
      </x:c>
      <x:c r="C13" s="23" t="str">
        <x:v>A</x:v>
      </x:c>
      <x:c r="D13" s="23" t="str">
        <x:v>At selected voltage and power factor</x:v>
      </x:c>
      <x:c r="E13" s="34"/>
      <x:c r="F13" s="34"/>
      <x:c r="G13" s="34"/>
      <x:c r="H13" s="34"/>
      <x:c r="I13" s="34"/>
      <x:c r="J13" s="34"/>
      <x:c r="K13" s="34"/>
      <x:c r="L13" s="34"/>
      <x:c r="M13" s="34"/>
      <x:c r="N13" s="34"/>
    </x:row>
    <x:row r="14">
      <x:c r="A14" s="23" t="str">
        <x:v>Network loss</x:v>
      </x:c>
      <x:c r="B14" s="48" t="n">
        <x:f>'Feeder Model'!$C$16</x:f>
        <x:v>0.007779255836386692</x:v>
      </x:c>
      <x:c r="C14" s="23" t="str">
        <x:v>% net</x:v>
      </x:c>
      <x:c r="D14" s="23" t="str">
        <x:v>Screening resistive loss</x:v>
      </x:c>
      <x:c r="E14" s="34"/>
      <x:c r="F14" s="34"/>
      <x:c r="G14" s="34"/>
      <x:c r="H14" s="34"/>
      <x:c r="I14" s="34"/>
      <x:c r="J14" s="34"/>
      <x:c r="K14" s="34"/>
      <x:c r="L14" s="34"/>
      <x:c r="M14" s="34"/>
      <x:c r="N14" s="34"/>
    </x:row>
    <x:row r="15">
      <x:c r="A15" s="23" t="str">
        <x:v>Approx. voltage drop</x:v>
      </x:c>
      <x:c r="B15" s="48" t="n">
        <x:f>'Feeder Model'!$C$17</x:f>
        <x:v>0.008742644510839837</x:v>
      </x:c>
      <x:c r="C15" s="23" t="str">
        <x:v>%</x:v>
      </x:c>
      <x:c r="D15" s="23" t="str">
        <x:v>End-of-feeder screening value</x:v>
      </x:c>
      <x:c r="E15" s="34"/>
      <x:c r="F15" s="34"/>
      <x:c r="G15" s="34"/>
      <x:c r="H15" s="34"/>
      <x:c r="I15" s="34"/>
      <x:c r="J15" s="34"/>
      <x:c r="K15" s="34"/>
      <x:c r="L15" s="34"/>
      <x:c r="M15" s="34"/>
      <x:c r="N15" s="34"/>
    </x:row>
    <x:row r="16">
      <x:c r="A16" s="23" t="str">
        <x:v>Temporary route</x:v>
      </x:c>
      <x:c r="B16" s="49" t="n">
        <x:f>'Network States'!$B$14</x:f>
        <x:v>60</x:v>
      </x:c>
      <x:c r="C16" s="23" t="str">
        <x:v>circuit-km</x:v>
      </x:c>
      <x:c r="D16" s="23" t="str">
        <x:v>Total three-phase circuit length</x:v>
      </x:c>
      <x:c r="E16" s="34"/>
      <x:c r="F16" s="34"/>
      <x:c r="G16" s="34"/>
      <x:c r="H16" s="34"/>
      <x:c r="I16" s="34"/>
      <x:c r="J16" s="34"/>
      <x:c r="K16" s="34"/>
      <x:c r="L16" s="34"/>
      <x:c r="M16" s="34"/>
      <x:c r="N16" s="34"/>
    </x:row>
    <x:row r="17">
      <x:c r="A17" s="23" t="str">
        <x:v>Network setup</x:v>
      </x:c>
      <x:c r="B17" s="49" t="n">
        <x:f>'Construction'!$B$19</x:f>
        <x:v>13.571428571428573</x:v>
      </x:c>
      <x:c r="C17" s="23" t="str">
        <x:v>days</x:v>
      </x:c>
      <x:c r="D17" s="23" t="str">
        <x:v>Parallel-front assumption</x:v>
      </x:c>
      <x:c r="E17" s="34"/>
      <x:c r="F17" s="34"/>
      <x:c r="G17" s="34"/>
      <x:c r="H17" s="34"/>
      <x:c r="I17" s="34"/>
      <x:c r="J17" s="34"/>
      <x:c r="K17" s="34"/>
      <x:c r="L17" s="34"/>
      <x:c r="M17" s="34"/>
      <x:c r="N17" s="34"/>
    </x:row>
    <x:row r="18">
      <x:c r="A18" s="23" t="str">
        <x:v>Daily liquid fuel</x:v>
      </x:c>
      <x:c r="B18" s="49" t="n">
        <x:f>'Fuel &amp; Energy'!$C$9</x:f>
        <x:v>152460.56848045927</x:v>
      </x:c>
      <x:c r="C18" s="23" t="str">
        <x:v>gal/day</x:v>
      </x:c>
      <x:c r="D18" s="23" t="str">
        <x:v>Selected source case</x:v>
      </x:c>
      <x:c r="E18" s="34"/>
      <x:c r="F18" s="34"/>
      <x:c r="G18" s="34"/>
      <x:c r="H18" s="34"/>
      <x:c r="I18" s="34"/>
      <x:c r="J18" s="34"/>
      <x:c r="K18" s="34"/>
      <x:c r="L18" s="34"/>
      <x:c r="M18" s="34"/>
      <x:c r="N18" s="34"/>
    </x:row>
    <x:row r="19">
      <x:c r="A19" s="23" t="str">
        <x:v>Daily gas energy</x:v>
      </x:c>
      <x:c r="B19" s="49" t="n">
        <x:f>'Fuel &amp; Energy'!$C$14</x:f>
        <x:v>0</x:v>
      </x:c>
      <x:c r="C19" s="23" t="str">
        <x:v>MMBtu/day</x:v>
      </x:c>
      <x:c r="D19" s="23" t="str">
        <x:v>Selected source case</x:v>
      </x:c>
      <x:c r="E19" s="34"/>
      <x:c r="F19" s="34"/>
      <x:c r="G19" s="34"/>
      <x:c r="H19" s="34"/>
      <x:c r="I19" s="34"/>
      <x:c r="J19" s="34"/>
      <x:c r="K19" s="34"/>
      <x:c r="L19" s="34"/>
      <x:c r="M19" s="34"/>
      <x:c r="N19" s="34"/>
    </x:row>
    <x:row r="20">
      <x:c r="A20" s="23" t="str">
        <x:v>Onsite liquid reserve</x:v>
      </x:c>
      <x:c r="B20" s="49" t="n">
        <x:f>'Fuel &amp; Energy'!$C$12</x:f>
        <x:v>1067223.979363215</x:v>
      </x:c>
      <x:c r="C20" s="23" t="str">
        <x:v>gal</x:v>
      </x:c>
      <x:c r="D20" s="23" t="str">
        <x:v>Stored fuel excluded from dry mass</x:v>
      </x:c>
      <x:c r="E20" s="34"/>
      <x:c r="F20" s="34"/>
      <x:c r="G20" s="34"/>
      <x:c r="H20" s="34"/>
      <x:c r="I20" s="34"/>
      <x:c r="J20" s="34"/>
      <x:c r="K20" s="34"/>
      <x:c r="L20" s="34"/>
      <x:c r="M20" s="34"/>
      <x:c r="N20" s="34"/>
    </x:row>
    <x:row r="21">
      <x:c r="A21" s="23" t="str">
        <x:v>Dry deployment mass</x:v>
      </x:c>
      <x:c r="B21" s="49" t="n">
        <x:f>'Deployment Manifest'!$B$20</x:f>
        <x:v>18331.92</x:v>
      </x:c>
      <x:c r="C21" s="23" t="str">
        <x:v>t</x:v>
      </x:c>
      <x:c r="D21" s="23" t="str">
        <x:v>Preliminary with contingency</x:v>
      </x:c>
      <x:c r="E21" s="34"/>
      <x:c r="F21" s="34"/>
      <x:c r="G21" s="34"/>
      <x:c r="H21" s="34"/>
      <x:c r="I21" s="34"/>
      <x:c r="J21" s="34"/>
      <x:c r="K21" s="34"/>
      <x:c r="L21" s="34"/>
      <x:c r="M21" s="34"/>
      <x:c r="N21" s="34"/>
    </x:row>
    <x:row r="22">
      <x:c r="A22" s="23" t="str">
        <x:v>Deployed personnel</x:v>
      </x:c>
      <x:c r="B22" s="49" t="n">
        <x:f>'Workforce'!$B$19</x:f>
        <x:v>2796</x:v>
      </x:c>
      <x:c r="C22" s="23" t="str">
        <x:v>people</x:v>
      </x:c>
      <x:c r="D22" s="23" t="str">
        <x:v>Shift-complete hypothesis</x:v>
      </x:c>
      <x:c r="E22" s="34"/>
      <x:c r="F22" s="34"/>
      <x:c r="G22" s="34"/>
      <x:c r="H22" s="34"/>
      <x:c r="I22" s="34"/>
      <x:c r="J22" s="34"/>
      <x:c r="K22" s="34"/>
      <x:c r="L22" s="34"/>
      <x:c r="M22" s="34"/>
      <x:c r="N22" s="34"/>
    </x:row>
    <x:row r="23">
      <x:c r="A23" s="23" t="str">
        <x:v>Service establishment</x:v>
      </x:c>
      <x:c r="B23" s="49" t="n">
        <x:f>'Workforce'!$B$24</x:f>
        <x:v>10485</x:v>
      </x:c>
      <x:c r="C23" s="23" t="str">
        <x:v>billets</x:v>
      </x:c>
      <x:c r="D23" s="23" t="str">
        <x:v>Three echelons plus school/depot</x:v>
      </x:c>
      <x:c r="E23" s="34"/>
      <x:c r="F23" s="34"/>
      <x:c r="G23" s="34"/>
      <x:c r="H23" s="34"/>
      <x:c r="I23" s="34"/>
      <x:c r="J23" s="34"/>
      <x:c r="K23" s="34"/>
      <x:c r="L23" s="34"/>
      <x:c r="M23" s="34"/>
      <x:c r="N23" s="34"/>
    </x:row>
    <x:row r="24">
      <x:c r="A24" s="23" t="str">
        <x:v>Thermal capacity</x:v>
      </x:c>
      <x:c r="B24" s="49" t="n">
        <x:f>'Thermal Works'!$C$7</x:f>
        <x:v>60</x:v>
      </x:c>
      <x:c r="C24" s="23" t="str">
        <x:v>MWth</x:v>
      </x:c>
      <x:c r="D24" s="23" t="str">
        <x:v>From selected electric allocation</x:v>
      </x:c>
      <x:c r="E24" s="34"/>
      <x:c r="F24" s="34"/>
      <x:c r="G24" s="34"/>
      <x:c r="H24" s="34"/>
      <x:c r="I24" s="34"/>
      <x:c r="J24" s="34"/>
      <x:c r="K24" s="34"/>
      <x:c r="L24" s="34"/>
      <x:c r="M24" s="34"/>
      <x:c r="N24" s="34"/>
    </x:row>
    <x:row r="25">
      <x:c r="A25" s="23" t="str">
        <x:v>Concurrent thermal protection</x:v>
      </x:c>
      <x:c r="B25" s="49" t="n">
        <x:f>'Thermal Works'!$C$9</x:f>
        <x:v>120000</x:v>
      </x:c>
      <x:c r="C25" s="23" t="str">
        <x:v>people</x:v>
      </x:c>
      <x:c r="D25" s="23" t="str">
        <x:v>At assumed intensity</x:v>
      </x:c>
      <x:c r="E25" s="34"/>
      <x:c r="F25" s="34"/>
      <x:c r="G25" s="34"/>
      <x:c r="H25" s="34"/>
      <x:c r="I25" s="34"/>
      <x:c r="J25" s="34"/>
      <x:c r="K25" s="34"/>
      <x:c r="L25" s="34"/>
      <x:c r="M25" s="34"/>
      <x:c r="N25" s="34"/>
    </x:row>
    <x:row r="26">
      <x:c r="A26" s="34"/>
      <x:c r="B26" s="34"/>
      <x:c r="C26" s="34"/>
      <x:c r="D26" s="34"/>
      <x:c r="E26" s="34"/>
      <x:c r="F26" s="34"/>
      <x:c r="G26" s="34"/>
      <x:c r="H26" s="34"/>
      <x:c r="I26" s="34"/>
      <x:c r="J26" s="34"/>
      <x:c r="K26" s="34"/>
      <x:c r="L26" s="34"/>
      <x:c r="M26" s="34"/>
      <x:c r="N26" s="34"/>
    </x:row>
    <x:row r="27" ht="32" customHeight="1">
      <x:c r="A27" s="34"/>
      <x:c r="B27" s="34"/>
      <x:c r="C27" s="34"/>
      <x:c r="D27" s="34"/>
      <x:c r="E27" s="34"/>
      <x:c r="F27" s="15" t="str">
        <x:v>Scenario check</x:v>
      </x:c>
      <x:c r="G27" s="16" t="str">
        <x:v>Baseline</x:v>
      </x:c>
      <x:c r="H27" s="16" t="str">
        <x:v>Alternative</x:v>
      </x:c>
      <x:c r="I27" s="17" t="str">
        <x:v>Direction</x:v>
      </x:c>
      <x:c r="J27" s="34"/>
      <x:c r="K27" s="34"/>
      <x:c r="L27" s="34"/>
      <x:c r="M27" s="34"/>
      <x:c r="N27" s="34"/>
    </x:row>
    <x:row r="28">
      <x:c r="A28" s="35" t="str">
        <x:v>First-principles findings</x:v>
      </x:c>
      <x:c r="B28" s="36"/>
      <x:c r="C28" s="36"/>
      <x:c r="D28" s="37"/>
      <x:c r="E28" s="34"/>
      <x:c r="F28" s="23" t="str">
        <x:v>Network dry mass</x:v>
      </x:c>
      <x:c r="G28" s="49" t="n">
        <x:f>'Construction'!F6+'Construction'!G6+'Construction'!H6+'Construction'!I6</x:f>
        <x:v>4114.8</x:v>
      </x:c>
      <x:c r="H28" s="49" t="n">
        <x:f>'Construction'!F5+'Construction'!G5+'Construction'!H5+'Construction'!I5</x:f>
        <x:v>448.6</x:v>
      </x:c>
      <x:c r="I28" s="23" t="str">
        <x:v>Reuse lower than bypass</x:v>
      </x:c>
      <x:c r="J28" s="34"/>
      <x:c r="K28" s="34"/>
      <x:c r="L28" s="34"/>
      <x:c r="M28" s="34"/>
      <x:c r="N28" s="34"/>
    </x:row>
    <x:row r="29">
      <x:c r="A29" s="34"/>
      <x:c r="B29" s="34"/>
      <x:c r="C29" s="34"/>
      <x:c r="D29" s="34"/>
      <x:c r="E29" s="34"/>
      <x:c r="F29" s="23" t="str">
        <x:v>Network setup days</x:v>
      </x:c>
      <x:c r="G29" s="49" t="n">
        <x:f>'Construction'!J6</x:f>
        <x:v>13.571428571428573</x:v>
      </x:c>
      <x:c r="H29" s="49" t="n">
        <x:f>'Construction'!J5</x:f>
        <x:v>6.333333333333333</x:v>
      </x:c>
      <x:c r="I29" s="23" t="str">
        <x:v>Reuse lower than bypass</x:v>
      </x:c>
      <x:c r="J29" s="34"/>
      <x:c r="K29" s="34"/>
      <x:c r="L29" s="34"/>
      <x:c r="M29" s="34"/>
      <x:c r="N29" s="34"/>
    </x:row>
    <x:row r="30" ht="32" customHeight="1">
      <x:c r="A30" s="15" t="str">
        <x:v>Finding</x:v>
      </x:c>
      <x:c r="B30" s="16" t="str">
        <x:v>Operational implication</x:v>
      </x:c>
      <x:c r="C30" s="16" t="str">
        <x:v>Institutional decision</x:v>
      </x:c>
      <x:c r="D30" s="17" t="str">
        <x:v>Current limit</x:v>
      </x:c>
      <x:c r="E30" s="34"/>
      <x:c r="F30" s="23" t="str">
        <x:v>Network dry mass</x:v>
      </x:c>
      <x:c r="G30" s="49" t="n">
        <x:f>'Construction'!F6+'Construction'!G6+'Construction'!H6+'Construction'!I6</x:f>
        <x:v>4114.8</x:v>
      </x:c>
      <x:c r="H30" s="49" t="n">
        <x:f>'Construction'!F7+'Construction'!G7+'Construction'!H7+'Construction'!I7</x:f>
        <x:v>14479.2</x:v>
      </x:c>
      <x:c r="I30" s="23" t="str">
        <x:v>Rebuild higher than bypass</x:v>
      </x:c>
      <x:c r="J30" s="34"/>
      <x:c r="K30" s="34"/>
      <x:c r="L30" s="34"/>
      <x:c r="M30" s="34"/>
      <x:c r="N30" s="34"/>
    </x:row>
    <x:row r="31" ht="58" customHeight="1">
      <x:c r="A31" s="23" t="str">
        <x:v>PRG-100 is a utility formation</x:v>
      </x:c>
      <x:c r="B31" s="23" t="str">
        <x:v>Generation, network, protection, fuel, repair and operators must deploy as one system</x:v>
      </x:c>
      <x:c r="C31" s="23" t="str">
        <x:v>Create deployable utility formations, not generator caches</x:v>
      </x:c>
      <x:c r="D31" s="23" t="str">
        <x:v>Site-specific grid studies remain open</x:v>
      </x:c>
      <x:c r="E31" s="34"/>
      <x:c r="F31" s="23" t="str">
        <x:v>Network setup days</x:v>
      </x:c>
      <x:c r="G31" s="49" t="n">
        <x:f>'Construction'!J6</x:f>
        <x:v>13.571428571428573</x:v>
      </x:c>
      <x:c r="H31" s="49" t="n">
        <x:f>'Construction'!J7</x:f>
        <x:v>39.28571428571429</x:v>
      </x:c>
      <x:c r="I31" s="23" t="str">
        <x:v>Rebuild higher than bypass</x:v>
      </x:c>
      <x:c r="J31" s="34"/>
      <x:c r="K31" s="34"/>
      <x:c r="L31" s="34"/>
      <x:c r="M31" s="34"/>
      <x:c r="N31" s="34"/>
    </x:row>
    <x:row r="32" ht="58" customHeight="1">
      <x:c r="A32" s="23" t="str">
        <x:v>Network state dominates mass and time</x:v>
      </x:c>
      <x:c r="B32" s="23" t="str">
        <x:v>Rebuild may be strategically valuable but is not a fast extension of reuse</x:v>
      </x:c>
      <x:c r="C32" s="23" t="str">
        <x:v>Own distinct reuse, bypass and rebuild packages</x:v>
      </x:c>
      <x:c r="D32" s="23" t="str">
        <x:v>Construction rates are unverified</x:v>
      </x:c>
      <x:c r="E32" s="34"/>
      <x:c r="F32" s="23" t="str">
        <x:v>Liquid demand</x:v>
      </x:c>
      <x:c r="G32" s="49" t="n">
        <x:f>100*24000*'Controls'!$C$31/'Controls'!$C$33*0.8</x:f>
        <x:v>146745.18310392267</x:v>
      </x:c>
      <x:c r="H32" s="49" t="n">
        <x:f>100*24000*'Controls'!$C$31/'Controls'!$C$33*0.25</x:f>
        <x:v>45857.86971997583</x:v>
      </x:c>
      <x:c r="I32" s="23" t="str">
        <x:v>Gas hybrid below liquid dominant</x:v>
      </x:c>
      <x:c r="J32" s="34"/>
      <x:c r="K32" s="34"/>
      <x:c r="L32" s="34"/>
      <x:c r="M32" s="34"/>
      <x:c r="N32" s="34"/>
    </x:row>
    <x:row r="33" ht="58" customHeight="1">
      <x:c r="A33" s="23" t="str">
        <x:v>Liquid fuel can become the largest recurring flow</x:v>
      </x:c>
      <x:c r="B33" s="23" t="str">
        <x:v>A nominal 100 MW mission requires a continuous fuel enterprise</x:v>
      </x:c>
      <x:c r="C33" s="23" t="str">
        <x:v>Fund source diversification and fuel-quality capability</x:v>
      </x:c>
      <x:c r="D33" s="23" t="str">
        <x:v>Gas and grid availability are scenario-dependent</x:v>
      </x:c>
      <x:c r="E33" s="34"/>
      <x:c r="F33" s="34"/>
      <x:c r="G33" s="34"/>
      <x:c r="H33" s="34"/>
      <x:c r="I33" s="34"/>
      <x:c r="J33" s="34"/>
      <x:c r="K33" s="34"/>
      <x:c r="L33" s="34"/>
      <x:c r="M33" s="34"/>
      <x:c r="N33" s="34"/>
    </x:row>
    <x:row r="34" ht="58" customHeight="1">
      <x:c r="A34" s="23" t="str">
        <x:v>Storage is a control and transition system</x:v>
      </x:c>
      <x:c r="B34" s="23" t="str">
        <x:v>MWh alone does not prove ride-through or black start</x:v>
      </x:c>
      <x:c r="C34" s="23" t="str">
        <x:v>Test dynamic behavior with motors, faults and cold-load pickup</x:v>
      </x:c>
      <x:c r="D34" s="23" t="str">
        <x:v>Dynamic stability is not modeled</x:v>
      </x:c>
      <x:c r="E34" s="34"/>
      <x:c r="F34" s="34"/>
      <x:c r="G34" s="34"/>
      <x:c r="H34" s="34"/>
      <x:c r="I34" s="34"/>
      <x:c r="J34" s="34"/>
      <x:c r="K34" s="34"/>
      <x:c r="L34" s="34"/>
      <x:c r="M34" s="34"/>
      <x:c r="N34" s="34"/>
    </x:row>
    <x:row r="35" ht="58" customHeight="1">
      <x:c r="A35" s="23" t="str">
        <x:v>Current state is R2+</x:v>
      </x:c>
      <x:c r="B35" s="23" t="str">
        <x:v>The configuration balances are coherent enough to direct experiments</x:v>
      </x:c>
      <x:c r="C35" s="23" t="str">
        <x:v>Do not render a vehicle or freeze procurement specifications</x:v>
      </x:c>
      <x:c r="D35" s="23" t="str">
        <x:v>Fifteen R3 gates remain unverified</x:v>
      </x:c>
      <x:c r="E35" s="34"/>
      <x:c r="F35" s="34"/>
      <x:c r="G35" s="34"/>
      <x:c r="H35" s="34"/>
      <x:c r="I35" s="34"/>
      <x:c r="J35" s="34"/>
      <x:c r="K35" s="34"/>
      <x:c r="L35" s="34"/>
      <x:c r="M35" s="34"/>
      <x:c r="N35" s="34"/>
    </x:row>
  </x:sheetData>
  <x:conditionalFormatting sqref="B5:B5">
    <x:cfRule type="containsText" dxfId="8" priority="1" operator="containsText" text="R2+"/>
  </x:conditionalFormatting>
  <x:pageMargins left="0.7" right="0.7" top="0.75" bottom="0.75" header="0.3" footer="0.3"/>
  <x:drawing xmlns:r="http://schemas.openxmlformats.org/officeDocument/2006/relationships" r:id="Re721440de61e4ee4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20" hidden="0" customWidth="1"/>
    <x:col min="3" max="3" width="21" hidden="0" customWidth="1"/>
    <x:col min="4" max="4" width="48" hidden="0" customWidth="1"/>
    <x:col min="5" max="5" width="24" hidden="0" customWidth="1"/>
  </x:cols>
  <x:sheetData>
    <x:row r="1" ht="24" customHeight="1">
      <x:c r="A1" s="2" t="str">
        <x:v>PRG-100 controls</x:v>
      </x:c>
      <x:c r="B1" s="1"/>
      <x:c r="C1" s="1"/>
      <x:c r="D1" s="1"/>
      <x:c r="E1" s="1"/>
    </x:row>
    <x:row r="2" ht="30" customHeight="1">
      <x:c r="A2" s="3" t="str">
        <x:v>Yellow cells are design-study inputs. The baseline is a 100 MW bypass network with liquid-fuel-dominant generation.</x:v>
      </x:c>
      <x:c r="B2" s="3"/>
      <x:c r="C2" s="3"/>
      <x:c r="D2" s="3"/>
      <x:c r="E2" s="3"/>
    </x:row>
    <x:row r="4" ht="32" customHeight="1">
      <x:c r="A4" s="15" t="str">
        <x:v>Parameter</x:v>
      </x:c>
      <x:c r="B4" s="16" t="str">
        <x:v>Unit</x:v>
      </x:c>
      <x:c r="C4" s="16" t="str">
        <x:v>Value</x:v>
      </x:c>
      <x:c r="D4" s="16" t="str">
        <x:v>Basis</x:v>
      </x:c>
      <x:c r="E4" s="17" t="str">
        <x:v>Evidence class</x:v>
      </x:c>
    </x:row>
    <x:row r="5">
      <x:c r="A5" s="23" t="str">
        <x:v>Network state</x:v>
      </x:c>
      <x:c r="B5" s="23" t="str">
        <x:v>case</x:v>
      </x:c>
      <x:c r="C5" s="24" t="str">
        <x:v>Bypass</x:v>
      </x:c>
      <x:c r="D5" s="23" t="str">
        <x:v>Select damaged-system posture</x:v>
      </x:c>
      <x:c r="E5" s="23" t="str">
        <x:v>Scenario control</x:v>
      </x:c>
    </x:row>
    <x:row r="6">
      <x:c r="A6" s="23" t="str">
        <x:v>Source case</x:v>
      </x:c>
      <x:c r="B6" s="23" t="str">
        <x:v>case</x:v>
      </x:c>
      <x:c r="C6" s="24" t="str">
        <x:v>Liquid fuel dominant</x:v>
      </x:c>
      <x:c r="D6" s="23" t="str">
        <x:v>Select energy-source mix</x:v>
      </x:c>
      <x:c r="E6" s="23" t="str">
        <x:v>Scenario control</x:v>
      </x:c>
    </x:row>
    <x:row r="7">
      <x:c r="A7" s="23" t="str">
        <x:v>Mission</x:v>
      </x:c>
      <x:c r="B7" s="23" t="str">
        <x:v>case</x:v>
      </x:c>
      <x:c r="C7" s="24" t="str">
        <x:v>Regional bridge</x:v>
      </x:c>
      <x:c r="D7" s="23" t="str">
        <x:v>Select operational employment</x:v>
      </x:c>
      <x:c r="E7" s="23" t="str">
        <x:v>Scenario control</x:v>
      </x:c>
    </x:row>
    <x:row r="8">
      <x:c r="A8" s="23" t="str">
        <x:v>Net critical load</x:v>
      </x:c>
      <x:c r="B8" s="23" t="str">
        <x:v>MW</x:v>
      </x:c>
      <x:c r="C8" s="24" t="n">
        <x:v>100</x:v>
      </x:c>
      <x:c r="D8" s="23" t="str">
        <x:v>PRG-100 reference output</x:v>
      </x:c>
      <x:c r="E8" s="23" t="str">
        <x:v>Design target</x:v>
      </x:c>
    </x:row>
    <x:row r="9">
      <x:c r="A9" s="23" t="str">
        <x:v>Power factor</x:v>
      </x:c>
      <x:c r="B9" s="23" t="str">
        <x:v>ratio</x:v>
      </x:c>
      <x:c r="C9" s="25" t="n">
        <x:v>0.9</x:v>
      </x:c>
      <x:c r="D9" s="23" t="str">
        <x:v>Balanced three-phase planning value</x:v>
      </x:c>
      <x:c r="E9" s="23" t="str">
        <x:v>Engineering assumption</x:v>
      </x:c>
    </x:row>
    <x:row r="10">
      <x:c r="A10" s="23" t="str">
        <x:v>System voltage</x:v>
      </x:c>
      <x:c r="B10" s="23" t="str">
        <x:v>kV</x:v>
      </x:c>
      <x:c r="C10" s="24" t="n">
        <x:v>34.5</x:v>
      </x:c>
      <x:c r="D10" s="23" t="str">
        <x:v>Reference medium-voltage backbone</x:v>
      </x:c>
      <x:c r="E10" s="23" t="str">
        <x:v>Design choice</x:v>
      </x:c>
    </x:row>
    <x:row r="11">
      <x:c r="A11" s="23" t="str">
        <x:v>Electrical islands</x:v>
      </x:c>
      <x:c r="B11" s="23" t="str">
        <x:v>count</x:v>
      </x:c>
      <x:c r="C11" s="24" t="n">
        <x:v>5</x:v>
      </x:c>
      <x:c r="D11" s="23" t="str">
        <x:v>Independent protection and restoration cells</x:v>
      </x:c>
      <x:c r="E11" s="23" t="str">
        <x:v>Design choice</x:v>
      </x:c>
    </x:row>
    <x:row r="12">
      <x:c r="A12" s="23" t="str">
        <x:v>Feeders</x:v>
      </x:c>
      <x:c r="B12" s="23" t="str">
        <x:v>count</x:v>
      </x:c>
      <x:c r="C12" s="24" t="n">
        <x:v>10</x:v>
      </x:c>
      <x:c r="D12" s="23" t="str">
        <x:v>Two feeders per island</x:v>
      </x:c>
      <x:c r="E12" s="23" t="str">
        <x:v>Design choice</x:v>
      </x:c>
    </x:row>
    <x:row r="13">
      <x:c r="A13" s="23" t="str">
        <x:v>Campaign duration</x:v>
      </x:c>
      <x:c r="B13" s="23" t="str">
        <x:v>days</x:v>
      </x:c>
      <x:c r="C13" s="24" t="n">
        <x:v>30</x:v>
      </x:c>
      <x:c r="D13" s="23" t="str">
        <x:v>Reference sustained operation</x:v>
      </x:c>
      <x:c r="E13" s="23" t="str">
        <x:v>Design target</x:v>
      </x:c>
    </x:row>
    <x:row r="14">
      <x:c r="A14" s="23" t="str">
        <x:v>Auxiliary load</x:v>
      </x:c>
      <x:c r="B14" s="23" t="str">
        <x:v>% gross</x:v>
      </x:c>
      <x:c r="C14" s="26" t="n">
        <x:v>0.03</x:v>
      </x:c>
      <x:c r="D14" s="23" t="str">
        <x:v>Generation, controls, cooling and pumping</x:v>
      </x:c>
      <x:c r="E14" s="23" t="str">
        <x:v>Engineering assumption</x:v>
      </x:c>
    </x:row>
    <x:row r="15">
      <x:c r="A15" s="23" t="str">
        <x:v>Ambient derating</x:v>
      </x:c>
      <x:c r="B15" s="23" t="str">
        <x:v>% nameplate</x:v>
      </x:c>
      <x:c r="C15" s="26" t="n">
        <x:v>0.1</x:v>
      </x:c>
      <x:c r="D15" s="23" t="str">
        <x:v>High-temperature and site derating</x:v>
      </x:c>
      <x:c r="E15" s="23" t="str">
        <x:v>Engineering assumption</x:v>
      </x:c>
    </x:row>
    <x:row r="16">
      <x:c r="A16" s="23" t="str">
        <x:v>Capacity reserve</x:v>
      </x:c>
      <x:c r="B16" s="23" t="str">
        <x:v>% required</x:v>
      </x:c>
      <x:c r="C16" s="26" t="n">
        <x:v>0.2</x:v>
      </x:c>
      <x:c r="D16" s="23" t="str">
        <x:v>N-1 and operational margin</x:v>
      </x:c>
      <x:c r="E16" s="23" t="str">
        <x:v>Design choice</x:v>
      </x:c>
    </x:row>
    <x:row r="17">
      <x:c r="A17" s="23" t="str">
        <x:v>P0 load share</x:v>
      </x:c>
      <x:c r="B17" s="23" t="str">
        <x:v>% net</x:v>
      </x:c>
      <x:c r="C17" s="26" t="n">
        <x:v>0.2</x:v>
      </x:c>
      <x:c r="D17" s="23" t="str">
        <x:v>No-break life-safety and control</x:v>
      </x:c>
      <x:c r="E17" s="23" t="str">
        <x:v>Design allocation</x:v>
      </x:c>
    </x:row>
    <x:row r="18">
      <x:c r="A18" s="23" t="str">
        <x:v>P1 load share</x:v>
      </x:c>
      <x:c r="B18" s="23" t="str">
        <x:v>% net</x:v>
      </x:c>
      <x:c r="C18" s="26" t="n">
        <x:v>0.4</x:v>
      </x:c>
      <x:c r="D18" s="23" t="str">
        <x:v>Rapid-restoration critical services</x:v>
      </x:c>
      <x:c r="E18" s="23" t="str">
        <x:v>Design allocation</x:v>
      </x:c>
    </x:row>
    <x:row r="19">
      <x:c r="A19" s="23" t="str">
        <x:v>P2 load share</x:v>
      </x:c>
      <x:c r="B19" s="23" t="str">
        <x:v>% net</x:v>
      </x:c>
      <x:c r="C19" s="26" t="n">
        <x:v>0.3</x:v>
      </x:c>
      <x:c r="D19" s="23" t="str">
        <x:v>Stabilization loads</x:v>
      </x:c>
      <x:c r="E19" s="23" t="str">
        <x:v>Design allocation</x:v>
      </x:c>
    </x:row>
    <x:row r="20">
      <x:c r="A20" s="23" t="str">
        <x:v>Interruptible share</x:v>
      </x:c>
      <x:c r="B20" s="23" t="str">
        <x:v>% net</x:v>
      </x:c>
      <x:c r="C20" s="26" t="n">
        <x:v>0.1</x:v>
      </x:c>
      <x:c r="D20" s="23" t="str">
        <x:v>Deferrable and shed-capable load</x:v>
      </x:c>
      <x:c r="E20" s="23" t="str">
        <x:v>Design allocation</x:v>
      </x:c>
    </x:row>
    <x:row r="21">
      <x:c r="A21" s="23" t="str">
        <x:v>Full-load bridge</x:v>
      </x:c>
      <x:c r="B21" s="23" t="str">
        <x:v>hours</x:v>
      </x:c>
      <x:c r="C21" s="24" t="n">
        <x:v>0.25</x:v>
      </x:c>
      <x:c r="D21" s="23" t="str">
        <x:v>Ride-through for source transfer</x:v>
      </x:c>
      <x:c r="E21" s="23" t="str">
        <x:v>Design choice</x:v>
      </x:c>
    </x:row>
    <x:row r="22">
      <x:c r="A22" s="23" t="str">
        <x:v>P0 endurance</x:v>
      </x:c>
      <x:c r="B22" s="23" t="str">
        <x:v>hours</x:v>
      </x:c>
      <x:c r="C22" s="24" t="n">
        <x:v>4</x:v>
      </x:c>
      <x:c r="D22" s="23" t="str">
        <x:v>Black-start and island-control endurance</x:v>
      </x:c>
      <x:c r="E22" s="23" t="str">
        <x:v>Design choice</x:v>
      </x:c>
    </x:row>
    <x:row r="23">
      <x:c r="A23" s="23" t="str">
        <x:v>BESS usable depth</x:v>
      </x:c>
      <x:c r="B23" s="23" t="str">
        <x:v>% nominal</x:v>
      </x:c>
      <x:c r="C23" s="26" t="n">
        <x:v>0.8</x:v>
      </x:c>
      <x:c r="D23" s="23" t="str">
        <x:v>Cycle and life reserve</x:v>
      </x:c>
      <x:c r="E23" s="23" t="str">
        <x:v>Engineering assumption</x:v>
      </x:c>
    </x:row>
    <x:row r="24">
      <x:c r="A24" s="23" t="str">
        <x:v>BESS conversion efficiency</x:v>
      </x:c>
      <x:c r="B24" s="23" t="str">
        <x:v>%</x:v>
      </x:c>
      <x:c r="C24" s="26" t="n">
        <x:v>0.92</x:v>
      </x:c>
      <x:c r="D24" s="23" t="str">
        <x:v>AC-to-AC planning efficiency</x:v>
      </x:c>
      <x:c r="E24" s="23" t="str">
        <x:v>Engineering assumption</x:v>
      </x:c>
    </x:row>
    <x:row r="25">
      <x:c r="A25" s="23" t="str">
        <x:v>BESS energy reserve</x:v>
      </x:c>
      <x:c r="B25" s="23" t="str">
        <x:v>%</x:v>
      </x:c>
      <x:c r="C25" s="26" t="n">
        <x:v>0.2</x:v>
      </x:c>
      <x:c r="D25" s="23" t="str">
        <x:v>Contingency above calculated usable need</x:v>
      </x:c>
      <x:c r="E25" s="23" t="str">
        <x:v>Design choice</x:v>
      </x:c>
    </x:row>
    <x:row r="26">
      <x:c r="A26" s="23" t="str">
        <x:v>Thermal allocation</x:v>
      </x:c>
      <x:c r="B26" s="23" t="str">
        <x:v>MW electric</x:v>
      </x:c>
      <x:c r="C26" s="24" t="n">
        <x:v>20</x:v>
      </x:c>
      <x:c r="D26" s="23" t="str">
        <x:v>Shelter heating/cooling share</x:v>
      </x:c>
      <x:c r="E26" s="23" t="str">
        <x:v>Design allocation</x:v>
      </x:c>
    </x:row>
    <x:row r="27">
      <x:c r="A27" s="23" t="str">
        <x:v>Thermal COP</x:v>
      </x:c>
      <x:c r="B27" s="23" t="str">
        <x:v>ratio</x:v>
      </x:c>
      <x:c r="C27" s="24" t="n">
        <x:v>3</x:v>
      </x:c>
      <x:c r="D27" s="23" t="str">
        <x:v>Heat-pump planning value</x:v>
      </x:c>
      <x:c r="E27" s="23" t="str">
        <x:v>Engineering assumption</x:v>
      </x:c>
    </x:row>
    <x:row r="28">
      <x:c r="A28" s="23" t="str">
        <x:v>Concurrent thermal intensity</x:v>
      </x:c>
      <x:c r="B28" s="23" t="str">
        <x:v>kWth/person</x:v>
      </x:c>
      <x:c r="C28" s="24" t="n">
        <x:v>0.5</x:v>
      </x:c>
      <x:c r="D28" s="23" t="str">
        <x:v>Shelter peak planning factor</x:v>
      </x:c>
      <x:c r="E28" s="23" t="str">
        <x:v>Design assumption</x:v>
      </x:c>
    </x:row>
    <x:row r="29">
      <x:c r="A29" s="23" t="str">
        <x:v>Source module rating</x:v>
      </x:c>
      <x:c r="B29" s="23" t="str">
        <x:v>MW</x:v>
      </x:c>
      <x:c r="C29" s="24" t="n">
        <x:v>10</x:v>
      </x:c>
      <x:c r="D29" s="23" t="str">
        <x:v>Common transportable prime-power block</x:v>
      </x:c>
      <x:c r="E29" s="23" t="str">
        <x:v>Design choice</x:v>
      </x:c>
    </x:row>
    <x:row r="30">
      <x:c r="A30" s="23" t="str">
        <x:v>Source module dry mass</x:v>
      </x:c>
      <x:c r="B30" s="23" t="str">
        <x:v>t/module</x:v>
      </x:c>
      <x:c r="C30" s="24" t="n">
        <x:v>200</x:v>
      </x:c>
      <x:c r="D30" s="23" t="str">
        <x:v>Generator, switchgear, cooling; preliminary</x:v>
      </x:c>
      <x:c r="E30" s="23" t="str">
        <x:v>Mass assumption</x:v>
      </x:c>
    </x:row>
    <x:row r="31">
      <x:c r="A31" s="23" t="str">
        <x:v>Liquid heat rate</x:v>
      </x:c>
      <x:c r="B31" s="23" t="str">
        <x:v>Btu/net-kWh</x:v>
      </x:c>
      <x:c r="C31" s="24" t="n">
        <x:v>10500</x:v>
      </x:c>
      <x:c r="D31" s="23" t="str">
        <x:v>Simple-cycle/mobile generation reference</x:v>
      </x:c>
      <x:c r="E31" s="23" t="str">
        <x:v>EIA-derived planning input</x:v>
      </x:c>
    </x:row>
    <x:row r="32">
      <x:c r="A32" s="23" t="str">
        <x:v>Gas heat rate</x:v>
      </x:c>
      <x:c r="B32" s="23" t="str">
        <x:v>Btu/net-kWh</x:v>
      </x:c>
      <x:c r="C32" s="24" t="n">
        <x:v>9000</x:v>
      </x:c>
      <x:c r="D32" s="23" t="str">
        <x:v>Efficient reciprocating/turbine hybrid</x:v>
      </x:c>
      <x:c r="E32" s="23" t="str">
        <x:v>Engineering assumption</x:v>
      </x:c>
    </x:row>
    <x:row r="33">
      <x:c r="A33" s="23" t="str">
        <x:v>Diesel heat content</x:v>
      </x:c>
      <x:c r="B33" s="23" t="str">
        <x:v>Btu/gal</x:v>
      </x:c>
      <x:c r="C33" s="24" t="n">
        <x:v>137381</x:v>
      </x:c>
      <x:c r="D33" s="23" t="str">
        <x:v>Distillate conversion factor</x:v>
      </x:c>
      <x:c r="E33" s="23" t="str">
        <x:v>EIA reference</x:v>
      </x:c>
    </x:row>
    <x:row r="34">
      <x:c r="A34" s="23" t="str">
        <x:v>Onsite liquid reserve</x:v>
      </x:c>
      <x:c r="B34" s="23" t="str">
        <x:v>days</x:v>
      </x:c>
      <x:c r="C34" s="24" t="n">
        <x:v>7</x:v>
      </x:c>
      <x:c r="D34" s="23" t="str">
        <x:v>Route-interruption endurance</x:v>
      </x:c>
      <x:c r="E34" s="23" t="str">
        <x:v>Design choice</x:v>
      </x:c>
    </x:row>
    <x:row r="35">
      <x:c r="A35" s="23" t="str">
        <x:v>Fuel truck payload</x:v>
      </x:c>
      <x:c r="B35" s="23" t="str">
        <x:v>gal</x:v>
      </x:c>
      <x:c r="C35" s="24" t="n">
        <x:v>9000</x:v>
      </x:c>
      <x:c r="D35" s="23" t="str">
        <x:v>Reference highway tanker</x:v>
      </x:c>
      <x:c r="E35" s="23" t="str">
        <x:v>Logistics assumption</x:v>
      </x:c>
    </x:row>
    <x:row r="36">
      <x:c r="A36" s="23" t="str">
        <x:v>Conductor resistance</x:v>
      </x:c>
      <x:c r="B36" s="23" t="str">
        <x:v>ohm/km/phase</x:v>
      </x:c>
      <x:c r="C36" s="24" t="n">
        <x:v>0.125</x:v>
      </x:c>
      <x:c r="D36" s="23" t="str">
        <x:v>Reference MV circuit</x:v>
      </x:c>
      <x:c r="E36" s="23" t="str">
        <x:v>Engineering assumption</x:v>
      </x:c>
    </x:row>
    <x:row r="37">
      <x:c r="A37" s="23" t="str">
        <x:v>Conductor reactance</x:v>
      </x:c>
      <x:c r="B37" s="23" t="str">
        <x:v>ohm/km/phase</x:v>
      </x:c>
      <x:c r="C37" s="24" t="n">
        <x:v>0.1</x:v>
      </x:c>
      <x:c r="D37" s="23" t="str">
        <x:v>Reference MV circuit</x:v>
      </x:c>
      <x:c r="E37" s="23" t="str">
        <x:v>Engineering assumption</x:v>
      </x:c>
    </x:row>
    <x:row r="38">
      <x:c r="A38" s="23" t="str">
        <x:v>Surface cable mass</x:v>
      </x:c>
      <x:c r="B38" s="23" t="str">
        <x:v>t/circuit-km</x:v>
      </x:c>
      <x:c r="C38" s="24" t="n">
        <x:v>8</x:v>
      </x:c>
      <x:c r="D38" s="23" t="str">
        <x:v>Three-phase cable, reels and protection</x:v>
      </x:c>
      <x:c r="E38" s="23" t="str">
        <x:v>Mass assumption</x:v>
      </x:c>
    </x:row>
    <x:row r="39">
      <x:c r="A39" s="23" t="str">
        <x:v>Overhead conductor mass</x:v>
      </x:c>
      <x:c r="B39" s="23" t="str">
        <x:v>t/circuit-km</x:v>
      </x:c>
      <x:c r="C39" s="24" t="n">
        <x:v>3.3</x:v>
      </x:c>
      <x:c r="D39" s="23" t="str">
        <x:v>Three phases and hardware allowance</x:v>
      </x:c>
      <x:c r="E39" s="23" t="str">
        <x:v>Mass assumption</x:v>
      </x:c>
    </x:row>
    <x:row r="40">
      <x:c r="A40" s="23" t="str">
        <x:v>Pole density</x:v>
      </x:c>
      <x:c r="B40" s="23" t="str">
        <x:v>poles/km</x:v>
      </x:c>
      <x:c r="C40" s="24" t="n">
        <x:v>20</x:v>
      </x:c>
      <x:c r="D40" s="23" t="str">
        <x:v>Rapid overhead line spacing</x:v>
      </x:c>
      <x:c r="E40" s="23" t="str">
        <x:v>Engineering assumption</x:v>
      </x:c>
    </x:row>
    <x:row r="41">
      <x:c r="A41" s="23" t="str">
        <x:v>Pole mass</x:v>
      </x:c>
      <x:c r="B41" s="23" t="str">
        <x:v>t/pole</x:v>
      </x:c>
      <x:c r="C41" s="24" t="n">
        <x:v>1.2</x:v>
      </x:c>
      <x:c r="D41" s="23" t="str">
        <x:v>Composite/steel rapid pole</x:v>
      </x:c>
      <x:c r="E41" s="23" t="str">
        <x:v>Mass assumption</x:v>
      </x:c>
    </x:row>
    <x:row r="42">
      <x:c r="A42" s="23" t="str">
        <x:v>Foundation and hardware</x:v>
      </x:c>
      <x:c r="B42" s="23" t="str">
        <x:v>t/pole</x:v>
      </x:c>
      <x:c r="C42" s="24" t="n">
        <x:v>2</x:v>
      </x:c>
      <x:c r="D42" s="23" t="str">
        <x:v>Anchors, crossarms, protection</x:v>
      </x:c>
      <x:c r="E42" s="23" t="str">
        <x:v>Mass assumption</x:v>
      </x:c>
    </x:row>
    <x:row r="43">
      <x:c r="A43" s="23" t="str">
        <x:v>Overhead build rate</x:v>
      </x:c>
      <x:c r="B43" s="23" t="str">
        <x:v>km/front-day</x:v>
      </x:c>
      <x:c r="C43" s="24" t="n">
        <x:v>0.35</x:v>
      </x:c>
      <x:c r="D43" s="23" t="str">
        <x:v>Unverified production assumption</x:v>
      </x:c>
      <x:c r="E43" s="23" t="str">
        <x:v>Open evidence</x:v>
      </x:c>
    </x:row>
    <x:row r="44">
      <x:c r="A44" s="23" t="str">
        <x:v>Cable build rate</x:v>
      </x:c>
      <x:c r="B44" s="23" t="str">
        <x:v>km/front-day</x:v>
      </x:c>
      <x:c r="C44" s="24" t="n">
        <x:v>0.5</x:v>
      </x:c>
      <x:c r="D44" s="23" t="str">
        <x:v>Unverified surface-route assumption</x:v>
      </x:c>
      <x:c r="E44" s="23" t="str">
        <x:v>Open evidence</x:v>
      </x:c>
    </x:row>
    <x:row r="45">
      <x:c r="A45" s="23" t="str">
        <x:v>Parallel work fronts</x:v>
      </x:c>
      <x:c r="B45" s="23" t="str">
        <x:v>count</x:v>
      </x:c>
      <x:c r="C45" s="24" t="n">
        <x:v>12</x:v>
      </x:c>
      <x:c r="D45" s="23" t="str">
        <x:v>Route construction teams</x:v>
      </x:c>
      <x:c r="E45" s="23" t="str">
        <x:v>Force assumption</x:v>
      </x:c>
    </x:row>
    <x:row r="46">
      <x:c r="A46" s="23" t="str">
        <x:v>Survey/commissioning</x:v>
      </x:c>
      <x:c r="B46" s="23" t="str">
        <x:v>days</x:v>
      </x:c>
      <x:c r="C46" s="24" t="n">
        <x:v>5</x:v>
      </x:c>
      <x:c r="D46" s="23" t="str">
        <x:v>Protection, energization and mapping</x:v>
      </x:c>
      <x:c r="E46" s="23" t="str">
        <x:v>Design assumption</x:v>
      </x:c>
    </x:row>
    <x:row r="47">
      <x:c r="A47" s="23" t="str">
        <x:v>Mobile substation rating</x:v>
      </x:c>
      <x:c r="B47" s="23" t="str">
        <x:v>MVA</x:v>
      </x:c>
      <x:c r="C47" s="24" t="n">
        <x:v>25</x:v>
      </x:c>
      <x:c r="D47" s="23" t="str">
        <x:v>One per island plus reserve</x:v>
      </x:c>
      <x:c r="E47" s="23" t="str">
        <x:v>Design choice</x:v>
      </x:c>
    </x:row>
    <x:row r="48">
      <x:c r="A48" s="23" t="str">
        <x:v>Mobile substation mass</x:v>
      </x:c>
      <x:c r="B48" s="23" t="str">
        <x:v>t/unit</x:v>
      </x:c>
      <x:c r="C48" s="24" t="n">
        <x:v>120</x:v>
      </x:c>
      <x:c r="D48" s="23" t="str">
        <x:v>Transformer, switchgear and trailer</x:v>
      </x:c>
      <x:c r="E48" s="23" t="str">
        <x:v>Mass assumption</x:v>
      </x:c>
    </x:row>
    <x:row r="49">
      <x:c r="A49" s="23" t="str">
        <x:v>Distribution node mass</x:v>
      </x:c>
      <x:c r="B49" s="23" t="str">
        <x:v>t/node</x:v>
      </x:c>
      <x:c r="C49" s="24" t="n">
        <x:v>4</x:v>
      </x:c>
      <x:c r="D49" s="23" t="str">
        <x:v>Transformer, protection and local switchgear</x:v>
      </x:c>
      <x:c r="E49" s="23" t="str">
        <x:v>Mass assumption</x:v>
      </x:c>
    </x:row>
    <x:row r="50">
      <x:c r="A50" s="23" t="str">
        <x:v>Construction equipment</x:v>
      </x:c>
      <x:c r="B50" s="23" t="str">
        <x:v>t/route-km</x:v>
      </x:c>
      <x:c r="C50" s="24" t="n">
        <x:v>25</x:v>
      </x:c>
      <x:c r="D50" s="23" t="str">
        <x:v>Handling, access and line installation</x:v>
      </x:c>
      <x:c r="E50" s="23" t="str">
        <x:v>Mass assumption</x:v>
      </x:c>
    </x:row>
    <x:row r="51">
      <x:c r="A51" s="23" t="str">
        <x:v>Controls/comms/survey</x:v>
      </x:c>
      <x:c r="B51" s="23" t="str">
        <x:v>t</x:v>
      </x:c>
      <x:c r="C51" s="24" t="n">
        <x:v>400</x:v>
      </x:c>
      <x:c r="D51" s="23" t="str">
        <x:v>Grid-forming controls, fiber/radio and survey</x:v>
      </x:c>
      <x:c r="E51" s="23" t="str">
        <x:v>Mass assumption</x:v>
      </x:c>
    </x:row>
    <x:row r="52">
      <x:c r="A52" s="23" t="str">
        <x:v>Fuel plant/tanks dry</x:v>
      </x:c>
      <x:c r="B52" s="23" t="str">
        <x:v>t</x:v>
      </x:c>
      <x:c r="C52" s="24" t="n">
        <x:v>500</x:v>
      </x:c>
      <x:c r="D52" s="23" t="str">
        <x:v>Bladders, pumps, filtration; stored fuel excluded</x:v>
      </x:c>
      <x:c r="E52" s="23" t="str">
        <x:v>Mass assumption</x:v>
      </x:c>
    </x:row>
    <x:row r="53">
      <x:c r="A53" s="23" t="str">
        <x:v>Maintenance/workshops</x:v>
      </x:c>
      <x:c r="B53" s="23" t="str">
        <x:v>t</x:v>
      </x:c>
      <x:c r="C53" s="24" t="n">
        <x:v>1000</x:v>
      </x:c>
      <x:c r="D53" s="23" t="str">
        <x:v>Repair, spares, test and fabrication</x:v>
      </x:c>
      <x:c r="E53" s="23" t="str">
        <x:v>Mass assumption</x:v>
      </x:c>
    </x:row>
    <x:row r="54">
      <x:c r="A54" s="23" t="str">
        <x:v>Responder/base/logistics</x:v>
      </x:c>
      <x:c r="B54" s="23" t="str">
        <x:v>t</x:v>
      </x:c>
      <x:c r="C54" s="24" t="n">
        <x:v>4000</x:v>
      </x:c>
      <x:c r="D54" s="23" t="str">
        <x:v>Camp, sanitation, food, vehicles and sustainment</x:v>
      </x:c>
      <x:c r="E54" s="23" t="str">
        <x:v>Mass assumption</x:v>
      </x:c>
    </x:row>
    <x:row r="55">
      <x:c r="A55" s="23" t="str">
        <x:v>Manifest contingency</x:v>
      </x:c>
      <x:c r="B55" s="23" t="str">
        <x:v>% subtotal</x:v>
      </x:c>
      <x:c r="C55" s="26" t="n">
        <x:v>0.15</x:v>
      </x:c>
      <x:c r="D55" s="23" t="str">
        <x:v>Preliminary design incompleteness</x:v>
      </x:c>
      <x:c r="E55" s="23" t="str">
        <x:v>Design assumption</x:v>
      </x:c>
    </x:row>
  </x:sheetData>
  <x:dataValidations count="3">
    <x:dataValidation type="list" sqref="C5">
      <x:formula1>"Reuse,Bypass,Rebuild"</x:formula1>
    </x:dataValidation>
    <x:dataValidation type="list" sqref="C6">
      <x:formula1>"Liquid fuel dominant,Gas hybrid,Surviving grid-local"</x:formula1>
    </x:dataValidation>
    <x:dataValidation type="list" sqref="C7">
      <x:formula1>"Facility continuity,District island,Regional bridge,Thermal protection"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12" hidden="0" customWidth="1"/>
    <x:col min="3" max="3" width="14" hidden="0" customWidth="1"/>
    <x:col min="4" max="4" width="10" hidden="0" customWidth="1"/>
    <x:col min="5" max="5" width="10" hidden="0" customWidth="1"/>
    <x:col min="6" max="6" width="18" hidden="0" customWidth="1"/>
    <x:col min="7" max="7" width="19" hidden="0" customWidth="1"/>
    <x:col min="8" max="8" width="24" hidden="0" customWidth="1"/>
    <x:col min="9" max="9" width="40" hidden="0" customWidth="1"/>
    <x:col min="10" max="10" width="20" hidden="0" customWidth="1"/>
  </x:cols>
  <x:sheetData>
    <x:row r="1" ht="24" customHeight="1">
      <x:c r="A1" s="2" t="str">
        <x:v>Illustrative critical-load registry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ht="30" customHeight="1">
      <x:c r="A2" s="3" t="str">
        <x:v>Allocations are force-design assumptions, not empirical estimates of a specific disaster. Every deployment requires a surveyed registry and connection plan.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4" ht="32" customHeight="1">
      <x:c r="A4" s="15" t="str">
        <x:v>Load class</x:v>
      </x:c>
      <x:c r="B4" s="16" t="str">
        <x:v>Net MW</x:v>
      </x:c>
      <x:c r="C4" s="16" t="str">
        <x:v>Tier</x:v>
      </x:c>
      <x:c r="D4" s="16" t="str">
        <x:v>Nodes</x:v>
      </x:c>
      <x:c r="E4" s="16" t="str">
        <x:v>PF</x:v>
      </x:c>
      <x:c r="F4" s="16" t="str">
        <x:v>Outage tolerance</x:v>
      </x:c>
      <x:c r="G4" s="16" t="str">
        <x:v>Ride-through</x:v>
      </x:c>
      <x:c r="H4" s="16" t="str">
        <x:v>Connection mode</x:v>
      </x:c>
      <x:c r="I4" s="16" t="str">
        <x:v>Operational consequence</x:v>
      </x:c>
      <x:c r="J4" s="17" t="str">
        <x:v>Evidence class</x:v>
      </x:c>
    </x:row>
    <x:row r="5">
      <x:c r="A5" s="23" t="str">
        <x:v>Hospitals and acute care</x:v>
      </x:c>
      <x:c r="B5" s="42" t="n">
        <x:v>22</x:v>
      </x:c>
      <x:c r="C5" s="23" t="str">
        <x:v>P0</x:v>
      </x:c>
      <x:c r="D5" s="23" t="n">
        <x:v>8</x:v>
      </x:c>
      <x:c r="E5" s="43" t="n">
        <x:v>0.92</x:v>
      </x:c>
      <x:c r="F5" s="23" t="str">
        <x:v>Seconds</x:v>
      </x:c>
      <x:c r="G5" s="23" t="str">
        <x:v>4 h critical subset</x:v>
      </x:c>
      <x:c r="H5" s="23" t="str">
        <x:v>Dedicated feeder</x:v>
      </x:c>
      <x:c r="I5" s="23" t="str">
        <x:v>Loss of life and evacuation</x:v>
      </x:c>
      <x:c r="J5" s="23" t="str">
        <x:v>Design allocation</x:v>
      </x:c>
    </x:row>
    <x:row r="6">
      <x:c r="A6" s="23" t="str">
        <x:v>Water treatment and pumping</x:v>
      </x:c>
      <x:c r="B6" s="42" t="n">
        <x:v>10</x:v>
      </x:c>
      <x:c r="C6" s="23" t="str">
        <x:v>P1</x:v>
      </x:c>
      <x:c r="D6" s="23" t="n">
        <x:v>6</x:v>
      </x:c>
      <x:c r="E6" s="43" t="n">
        <x:v>0.9</x:v>
      </x:c>
      <x:c r="F6" s="23" t="str">
        <x:v>Minutes</x:v>
      </x:c>
      <x:c r="G6" s="23" t="str">
        <x:v>30 min</x:v>
      </x:c>
      <x:c r="H6" s="23" t="str">
        <x:v>Dedicated feeder</x:v>
      </x:c>
      <x:c r="I6" s="23" t="str">
        <x:v>Public-health failure</x:v>
      </x:c>
      <x:c r="J6" s="23" t="str">
        <x:v>Design allocation</x:v>
      </x:c>
    </x:row>
    <x:row r="7">
      <x:c r="A7" s="23" t="str">
        <x:v>Wastewater</x:v>
      </x:c>
      <x:c r="B7" s="42" t="n">
        <x:v>8</x:v>
      </x:c>
      <x:c r="C7" s="23" t="str">
        <x:v>P1</x:v>
      </x:c>
      <x:c r="D7" s="23" t="n">
        <x:v>5</x:v>
      </x:c>
      <x:c r="E7" s="43" t="n">
        <x:v>0.9</x:v>
      </x:c>
      <x:c r="F7" s="23" t="str">
        <x:v>Minutes</x:v>
      </x:c>
      <x:c r="G7" s="23" t="str">
        <x:v>30 min</x:v>
      </x:c>
      <x:c r="H7" s="23" t="str">
        <x:v>Dedicated feeder</x:v>
      </x:c>
      <x:c r="I7" s="23" t="str">
        <x:v>Sanitation and receiving-water failure</x:v>
      </x:c>
      <x:c r="J7" s="23" t="str">
        <x:v>Design allocation</x:v>
      </x:c>
    </x:row>
    <x:row r="8">
      <x:c r="A8" s="23" t="str">
        <x:v>Communications and dispatch</x:v>
      </x:c>
      <x:c r="B8" s="42" t="n">
        <x:v>5</x:v>
      </x:c>
      <x:c r="C8" s="23" t="str">
        <x:v>P0</x:v>
      </x:c>
      <x:c r="D8" s="23" t="n">
        <x:v>12</x:v>
      </x:c>
      <x:c r="E8" s="43" t="n">
        <x:v>0.95</x:v>
      </x:c>
      <x:c r="F8" s="23" t="str">
        <x:v>No-break</x:v>
      </x:c>
      <x:c r="G8" s="23" t="str">
        <x:v>4 h</x:v>
      </x:c>
      <x:c r="H8" s="23" t="str">
        <x:v>Dual-fed microgrid</x:v>
      </x:c>
      <x:c r="I8" s="23" t="str">
        <x:v>Command failure</x:v>
      </x:c>
      <x:c r="J8" s="23" t="str">
        <x:v>Design allocation</x:v>
      </x:c>
    </x:row>
    <x:row r="9">
      <x:c r="A9" s="23" t="str">
        <x:v>Shelters and thermal protection</x:v>
      </x:c>
      <x:c r="B9" s="42" t="n">
        <x:v>20</x:v>
      </x:c>
      <x:c r="C9" s="23" t="str">
        <x:v>P1</x:v>
      </x:c>
      <x:c r="D9" s="23" t="n">
        <x:v>20</x:v>
      </x:c>
      <x:c r="E9" s="43" t="n">
        <x:v>0.9</x:v>
      </x:c>
      <x:c r="F9" s="23" t="str">
        <x:v>Minutes</x:v>
      </x:c>
      <x:c r="G9" s="23" t="str">
        <x:v>15 min</x:v>
      </x:c>
      <x:c r="H9" s="23" t="str">
        <x:v>District islands</x:v>
      </x:c>
      <x:c r="I9" s="23" t="str">
        <x:v>Heat/cold mortality</x:v>
      </x:c>
      <x:c r="J9" s="23" t="str">
        <x:v>Design allocation</x:v>
      </x:c>
    </x:row>
    <x:row r="10">
      <x:c r="A10" s="23" t="str">
        <x:v>Food and pharmacy cold chain</x:v>
      </x:c>
      <x:c r="B10" s="42" t="n">
        <x:v>10</x:v>
      </x:c>
      <x:c r="C10" s="23" t="str">
        <x:v>P2</x:v>
      </x:c>
      <x:c r="D10" s="23" t="n">
        <x:v>15</x:v>
      </x:c>
      <x:c r="E10" s="43" t="n">
        <x:v>0.9</x:v>
      </x:c>
      <x:c r="F10" s="23" t="str">
        <x:v>Hours</x:v>
      </x:c>
      <x:c r="G10" s="23" t="str">
        <x:v>15 min</x:v>
      </x:c>
      <x:c r="H10" s="23" t="str">
        <x:v>District islands</x:v>
      </x:c>
      <x:c r="I10" s="23" t="str">
        <x:v>Supply loss</x:v>
      </x:c>
      <x:c r="J10" s="23" t="str">
        <x:v>Design allocation</x:v>
      </x:c>
    </x:row>
    <x:row r="11">
      <x:c r="A11" s="23" t="str">
        <x:v>Transit and fuel distribution</x:v>
      </x:c>
      <x:c r="B11" s="42" t="n">
        <x:v>8</x:v>
      </x:c>
      <x:c r="C11" s="23" t="str">
        <x:v>P2</x:v>
      </x:c>
      <x:c r="D11" s="23" t="n">
        <x:v>10</x:v>
      </x:c>
      <x:c r="E11" s="43" t="n">
        <x:v>0.88</x:v>
      </x:c>
      <x:c r="F11" s="23" t="str">
        <x:v>Hours</x:v>
      </x:c>
      <x:c r="G11" s="23" t="str">
        <x:v>None</x:v>
      </x:c>
      <x:c r="H11" s="23" t="str">
        <x:v>Controlled feeder</x:v>
      </x:c>
      <x:c r="I11" s="23" t="str">
        <x:v>Mobility collapse</x:v>
      </x:c>
      <x:c r="J11" s="23" t="str">
        <x:v>Design allocation</x:v>
      </x:c>
    </x:row>
    <x:row r="12">
      <x:c r="A12" s="23" t="str">
        <x:v>Civil services</x:v>
      </x:c>
      <x:c r="B12" s="42" t="n">
        <x:v>5</x:v>
      </x:c>
      <x:c r="C12" s="23" t="str">
        <x:v>P2</x:v>
      </x:c>
      <x:c r="D12" s="23" t="n">
        <x:v>10</x:v>
      </x:c>
      <x:c r="E12" s="43" t="n">
        <x:v>0.92</x:v>
      </x:c>
      <x:c r="F12" s="23" t="str">
        <x:v>Hours</x:v>
      </x:c>
      <x:c r="G12" s="23" t="str">
        <x:v>15 min</x:v>
      </x:c>
      <x:c r="H12" s="23" t="str">
        <x:v>Controlled feeder</x:v>
      </x:c>
      <x:c r="I12" s="23" t="str">
        <x:v>Government continuity loss</x:v>
      </x:c>
      <x:c r="J12" s="23" t="str">
        <x:v>Design allocation</x:v>
      </x:c>
    </x:row>
    <x:row r="13">
      <x:c r="A13" s="23" t="str">
        <x:v>Critical manufacturing and labs</x:v>
      </x:c>
      <x:c r="B13" s="42" t="n">
        <x:v>7</x:v>
      </x:c>
      <x:c r="C13" s="23" t="str">
        <x:v>Interruptible</x:v>
      </x:c>
      <x:c r="D13" s="23" t="n">
        <x:v>8</x:v>
      </x:c>
      <x:c r="E13" s="43" t="n">
        <x:v>0.9</x:v>
      </x:c>
      <x:c r="F13" s="23" t="str">
        <x:v>Hours</x:v>
      </x:c>
      <x:c r="G13" s="23" t="str">
        <x:v>None</x:v>
      </x:c>
      <x:c r="H13" s="23" t="str">
        <x:v>Curtailable feeder</x:v>
      </x:c>
      <x:c r="I13" s="23" t="str">
        <x:v>Repair and health supply constraint</x:v>
      </x:c>
      <x:c r="J13" s="23" t="str">
        <x:v>Design allocation</x:v>
      </x:c>
    </x:row>
    <x:row r="14">
      <x:c r="A14" s="23" t="str">
        <x:v>Unallocated connection reserve</x:v>
      </x:c>
      <x:c r="B14" s="42" t="n">
        <x:v>5</x:v>
      </x:c>
      <x:c r="C14" s="23" t="str">
        <x:v>Interruptible</x:v>
      </x:c>
      <x:c r="D14" s="23" t="n">
        <x:v>6</x:v>
      </x:c>
      <x:c r="E14" s="43" t="n">
        <x:v>0.9</x:v>
      </x:c>
      <x:c r="F14" s="23" t="str">
        <x:v>Hours</x:v>
      </x:c>
      <x:c r="G14" s="23" t="str">
        <x:v>None</x:v>
      </x:c>
      <x:c r="H14" s="23" t="str">
        <x:v>Mobile tie</x:v>
      </x:c>
      <x:c r="I14" s="23" t="str">
        <x:v>Emergent mission shortfall</x:v>
      </x:c>
      <x:c r="J14" s="23" t="str">
        <x:v>Design allocation</x:v>
      </x:c>
    </x:row>
    <x:row r="15">
      <x:c r="A15" s="34"/>
      <x:c r="B15" s="34"/>
      <x:c r="C15" s="34"/>
      <x:c r="D15" s="34"/>
      <x:c r="E15" s="34"/>
      <x:c r="F15" s="34"/>
      <x:c r="G15" s="34"/>
      <x:c r="H15" s="34"/>
      <x:c r="I15" s="34"/>
      <x:c r="J15" s="34"/>
    </x:row>
    <x:row r="16" ht="32" customHeight="1">
      <x:c r="A16" s="15" t="str">
        <x:v>Reconciliation</x:v>
      </x:c>
      <x:c r="B16" s="16" t="str">
        <x:v>MW</x:v>
      </x:c>
      <x:c r="C16" s="17" t="str">
        <x:v>Status</x:v>
      </x:c>
      <x:c r="D16" s="34"/>
      <x:c r="E16" s="34"/>
      <x:c r="F16" s="34"/>
      <x:c r="G16" s="34"/>
      <x:c r="H16" s="34"/>
      <x:c r="I16" s="34"/>
      <x:c r="J16" s="34"/>
    </x:row>
    <x:row r="17">
      <x:c r="A17" s="23" t="str">
        <x:v>Registry total</x:v>
      </x:c>
      <x:c r="B17" s="23" t="n">
        <x:f>SUM(B5:B14)</x:f>
        <x:v>100</x:v>
      </x:c>
      <x:c r="C17" s="23" t="str">
        <x:f>IF(ABS(B17-B18)&lt;0.001,"Reconciles","Review")</x:f>
        <x:v>Reconciles</x:v>
      </x:c>
      <x:c r="D17" s="34"/>
      <x:c r="E17" s="34"/>
      <x:c r="F17" s="34"/>
      <x:c r="G17" s="34"/>
      <x:c r="H17" s="34"/>
      <x:c r="I17" s="34"/>
      <x:c r="J17" s="34"/>
    </x:row>
    <x:row r="18">
      <x:c r="A18" s="23" t="str">
        <x:v>Control target</x:v>
      </x:c>
      <x:c r="B18" s="23" t="n">
        <x:f>'Controls'!$C$8</x:f>
        <x:v>100</x:v>
      </x:c>
      <x:c r="C18" s="23"/>
      <x:c r="D18" s="34"/>
      <x:c r="E18" s="34"/>
      <x:c r="F18" s="34"/>
      <x:c r="G18" s="34"/>
      <x:c r="H18" s="34"/>
      <x:c r="I18" s="34"/>
      <x:c r="J18" s="34"/>
    </x:row>
    <x:row r="19">
      <x:c r="A19" s="23" t="str">
        <x:v>Difference</x:v>
      </x:c>
      <x:c r="B19" s="23" t="n">
        <x:f>B17-B18</x:f>
        <x:v>0</x:v>
      </x:c>
      <x:c r="C19" s="23"/>
      <x:c r="D19" s="34"/>
      <x:c r="E19" s="34"/>
      <x:c r="F19" s="34"/>
      <x:c r="G19" s="34"/>
      <x:c r="H19" s="34"/>
      <x:c r="I19" s="34"/>
      <x:c r="J19" s="34"/>
    </x:row>
    <x:row r="20">
      <x:c r="A20" s="23" t="str">
        <x:v>Tier shares</x:v>
      </x:c>
      <x:c r="B20" s="23"/>
      <x:c r="C20" s="23" t="str">
        <x:f>IF(ABS('Controls'!$C$17+'Controls'!$C$18+'Controls'!$C$19+'Controls'!$C$20-1)&lt;0.0001,"Reconciles","Review")</x:f>
        <x:v>Reconciles</x:v>
      </x:c>
      <x:c r="D20" s="34"/>
      <x:c r="E20" s="34"/>
      <x:c r="F20" s="34"/>
      <x:c r="G20" s="34"/>
      <x:c r="H20" s="34"/>
      <x:c r="I20" s="34"/>
      <x:c r="J20" s="34"/>
    </x:row>
  </x:sheetData>
  <x:conditionalFormatting sqref="C17:C20">
    <x:cfRule type="containsText" dxfId="0" priority="1" operator="containsText" text="Review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14" hidden="0" customWidth="1"/>
    <x:col min="4" max="4" width="16" hidden="0" customWidth="1"/>
    <x:col min="5" max="5" width="19" hidden="0" customWidth="1"/>
    <x:col min="6" max="6" width="23" hidden="0" customWidth="1"/>
    <x:col min="7" max="7" width="34" hidden="0" customWidth="1"/>
    <x:col min="8" max="8" width="42" hidden="0" customWidth="1"/>
    <x:col min="9" max="9" width="46" hidden="0" customWidth="1"/>
  </x:cols>
  <x:sheetData>
    <x:row r="1" ht="24" customHeight="1">
      <x:c r="A1" s="2" t="str">
        <x:v>Network-state alternatives</x:v>
      </x:c>
      <x:c r="B1" s="1"/>
      <x:c r="C1" s="1"/>
      <x:c r="D1" s="1"/>
      <x:c r="E1" s="1"/>
      <x:c r="F1" s="1"/>
      <x:c r="G1" s="1"/>
      <x:c r="H1" s="1"/>
      <x:c r="I1" s="1"/>
    </x:row>
    <x:row r="2" ht="30" customHeight="1">
      <x:c r="A2" s="3" t="str">
        <x:v>The force must restore service through a damaged topology, bypass it, or create a replacement network. Route values are total three-phase circuit-kilometres.</x:v>
      </x:c>
      <x:c r="B2" s="3"/>
      <x:c r="C2" s="3"/>
      <x:c r="D2" s="3"/>
      <x:c r="E2" s="3"/>
      <x:c r="F2" s="3"/>
      <x:c r="G2" s="3"/>
      <x:c r="H2" s="3"/>
      <x:c r="I2" s="3"/>
    </x:row>
    <x:row r="4" ht="32" customHeight="1">
      <x:c r="A4" s="15" t="str">
        <x:v>State</x:v>
      </x:c>
      <x:c r="B4" s="16" t="str">
        <x:v>Route (circuit-km)</x:v>
      </x:c>
      <x:c r="C4" s="16" t="str">
        <x:v>Cable share</x:v>
      </x:c>
      <x:c r="D4" s="16" t="str">
        <x:v>Overhead share</x:v>
      </x:c>
      <x:c r="E4" s="16" t="str">
        <x:v>Distribution nodes</x:v>
      </x:c>
      <x:c r="F4" s="16" t="str">
        <x:v>Existing asset reliance</x:v>
      </x:c>
      <x:c r="G4" s="16" t="str">
        <x:v>Primary advantage</x:v>
      </x:c>
      <x:c r="H4" s="16" t="str">
        <x:v>Dominant risk</x:v>
      </x:c>
      <x:c r="I4" s="17" t="str">
        <x:v>Use condition</x:v>
      </x:c>
    </x:row>
    <x:row r="5">
      <x:c r="A5" s="23" t="str">
        <x:v>Reuse</x:v>
      </x:c>
      <x:c r="B5" s="23" t="n">
        <x:v>10</x:v>
      </x:c>
      <x:c r="C5" s="33" t="n">
        <x:v>0.8</x:v>
      </x:c>
      <x:c r="D5" s="33" t="n">
        <x:v>0.2</x:v>
      </x:c>
      <x:c r="E5" s="23" t="n">
        <x:v>20</x:v>
      </x:c>
      <x:c r="F5" s="23" t="str">
        <x:v>High</x:v>
      </x:c>
      <x:c r="G5" s="23" t="str">
        <x:v>Fastest and lightest</x:v>
      </x:c>
      <x:c r="H5" s="23" t="str">
        <x:v>Hidden damage and uncertain protection</x:v>
      </x:c>
      <x:c r="I5" s="23" t="str">
        <x:v>Survey confirms conductors, grounding and clearances</x:v>
      </x:c>
    </x:row>
    <x:row r="6">
      <x:c r="A6" s="23" t="str">
        <x:v>Bypass</x:v>
      </x:c>
      <x:c r="B6" s="23" t="n">
        <x:v>60</x:v>
      </x:c>
      <x:c r="C6" s="33" t="n">
        <x:v>0.4</x:v>
      </x:c>
      <x:c r="D6" s="33" t="n">
        <x:v>0.6</x:v>
      </x:c>
      <x:c r="E6" s="23" t="n">
        <x:v>60</x:v>
      </x:c>
      <x:c r="F6" s="23" t="str">
        <x:v>Medium</x:v>
      </x:c>
      <x:c r="G6" s="23" t="str">
        <x:v>Balances speed, independence and reach</x:v>
      </x:c>
      <x:c r="H6" s="23" t="str">
        <x:v>Route productivity and crossing permissions</x:v>
      </x:c>
      <x:c r="I6" s="23" t="str">
        <x:v>Existing network cannot be trusted end-to-end</x:v>
      </x:c>
    </x:row>
    <x:row r="7">
      <x:c r="A7" s="23" t="str">
        <x:v>Rebuild</x:v>
      </x:c>
      <x:c r="B7" s="23" t="n">
        <x:v>180</x:v>
      </x:c>
      <x:c r="C7" s="33" t="n">
        <x:v>0.2</x:v>
      </x:c>
      <x:c r="D7" s="33" t="n">
        <x:v>0.8</x:v>
      </x:c>
      <x:c r="E7" s="23" t="n">
        <x:v>120</x:v>
      </x:c>
      <x:c r="F7" s="23" t="str">
        <x:v>Low</x:v>
      </x:c>
      <x:c r="G7" s="23" t="str">
        <x:v>Independent regional bridge network</x:v>
      </x:c>
      <x:c r="H7" s="23" t="str">
        <x:v>Very high mass, labor and route burden</x:v>
      </x:c>
      <x:c r="I7" s="23" t="str">
        <x:v>Original grid is absent or strategically unsuitable</x:v>
      </x:c>
    </x:row>
    <x:row r="8">
      <x:c r="A8" s="34"/>
      <x:c r="B8" s="34"/>
      <x:c r="C8" s="34"/>
      <x:c r="D8" s="34"/>
      <x:c r="E8" s="34"/>
      <x:c r="F8" s="34"/>
      <x:c r="G8" s="34"/>
      <x:c r="H8" s="34"/>
      <x:c r="I8" s="34"/>
    </x:row>
    <x:row r="9">
      <x:c r="A9" s="34"/>
      <x:c r="B9" s="34"/>
      <x:c r="C9" s="34"/>
      <x:c r="D9" s="34"/>
      <x:c r="E9" s="34"/>
      <x:c r="F9" s="34"/>
      <x:c r="G9" s="34"/>
      <x:c r="H9" s="34"/>
      <x:c r="I9" s="34"/>
    </x:row>
    <x:row r="10">
      <x:c r="A10" s="35" t="str">
        <x:v>Selected state</x:v>
      </x:c>
      <x:c r="B10" s="36"/>
      <x:c r="C10" s="36"/>
      <x:c r="D10" s="37"/>
      <x:c r="E10" s="34"/>
      <x:c r="F10" s="34"/>
      <x:c r="G10" s="34"/>
      <x:c r="H10" s="34"/>
      <x:c r="I10" s="34"/>
    </x:row>
    <x:row r="11">
      <x:c r="A11" s="34"/>
      <x:c r="B11" s="34"/>
      <x:c r="C11" s="34"/>
      <x:c r="D11" s="34"/>
      <x:c r="E11" s="34"/>
      <x:c r="F11" s="34"/>
      <x:c r="G11" s="34"/>
      <x:c r="H11" s="34"/>
      <x:c r="I11" s="34"/>
    </x:row>
    <x:row r="12" ht="32" customHeight="1">
      <x:c r="A12" s="15" t="str">
        <x:v>Metric</x:v>
      </x:c>
      <x:c r="B12" s="17" t="str">
        <x:v>Value</x:v>
      </x:c>
      <x:c r="C12" s="34"/>
      <x:c r="D12" s="34"/>
      <x:c r="E12" s="34"/>
      <x:c r="F12" s="34"/>
      <x:c r="G12" s="34"/>
      <x:c r="H12" s="34"/>
      <x:c r="I12" s="34"/>
    </x:row>
    <x:row r="13">
      <x:c r="A13" s="23" t="str">
        <x:v>State</x:v>
      </x:c>
      <x:c r="B13" s="23" t="str">
        <x:f>'Controls'!$C$5</x:f>
        <x:v>Bypass</x:v>
      </x:c>
      <x:c r="C13" s="34"/>
      <x:c r="D13" s="34"/>
      <x:c r="E13" s="34"/>
      <x:c r="F13" s="34"/>
      <x:c r="G13" s="34"/>
      <x:c r="H13" s="34"/>
      <x:c r="I13" s="34"/>
    </x:row>
    <x:row r="14">
      <x:c r="A14" s="23" t="str">
        <x:v>Route (circuit-km)</x:v>
      </x:c>
      <x:c r="B14" s="23" t="n">
        <x:f>INDEX(B5:B7,MATCH(B13,A5:A7,0))</x:f>
        <x:v>60</x:v>
      </x:c>
      <x:c r="C14" s="34"/>
      <x:c r="D14" s="34"/>
      <x:c r="E14" s="34"/>
      <x:c r="F14" s="34"/>
      <x:c r="G14" s="34"/>
      <x:c r="H14" s="34"/>
      <x:c r="I14" s="34"/>
    </x:row>
    <x:row r="15">
      <x:c r="A15" s="23" t="str">
        <x:v>Cable share</x:v>
      </x:c>
      <x:c r="B15" s="33" t="n">
        <x:f>INDEX(C5:C7,MATCH(B13,A5:A7,0))</x:f>
        <x:v>0.4</x:v>
      </x:c>
      <x:c r="C15" s="34"/>
      <x:c r="D15" s="34"/>
      <x:c r="E15" s="34"/>
      <x:c r="F15" s="34"/>
      <x:c r="G15" s="34"/>
      <x:c r="H15" s="34"/>
      <x:c r="I15" s="34"/>
    </x:row>
    <x:row r="16">
      <x:c r="A16" s="23" t="str">
        <x:v>Overhead share</x:v>
      </x:c>
      <x:c r="B16" s="33" t="n">
        <x:f>INDEX(D5:D7,MATCH(B13,A5:A7,0))</x:f>
        <x:v>0.6</x:v>
      </x:c>
      <x:c r="C16" s="34"/>
      <x:c r="D16" s="34"/>
      <x:c r="E16" s="34"/>
      <x:c r="F16" s="34"/>
      <x:c r="G16" s="34"/>
      <x:c r="H16" s="34"/>
      <x:c r="I16" s="34"/>
    </x:row>
    <x:row r="17">
      <x:c r="A17" s="23" t="str">
        <x:v>Distribution nodes</x:v>
      </x:c>
      <x:c r="B17" s="23" t="n">
        <x:f>INDEX(E5:E7,MATCH(B13,A5:A7,0))</x:f>
        <x:v>60</x:v>
      </x:c>
      <x:c r="C17" s="34"/>
      <x:c r="D17" s="34"/>
      <x:c r="E17" s="34"/>
      <x:c r="F17" s="34"/>
      <x:c r="G17" s="34"/>
      <x:c r="H17" s="34"/>
      <x:c r="I17" s="34"/>
    </x:row>
    <x:row r="18">
      <x:c r="A18" s="23" t="str">
        <x:v>Average feeder length (km)</x:v>
      </x:c>
      <x:c r="B18" s="23" t="n">
        <x:f>B14/'Controls'!$C$12</x:f>
        <x:v>6</x:v>
      </x:c>
      <x:c r="C18" s="34"/>
      <x:c r="D18" s="34"/>
      <x:c r="E18" s="34"/>
      <x:c r="F18" s="34"/>
      <x:c r="G18" s="34"/>
      <x:c r="H18" s="34"/>
      <x:c r="I18" s="34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4" hidden="0" customWidth="1"/>
    <x:col min="4" max="4" width="17" hidden="0" customWidth="1"/>
    <x:col min="5" max="5" width="34" hidden="0" customWidth="1"/>
    <x:col min="6" max="6" width="24" hidden="0" customWidth="1"/>
    <x:col min="7" max="7" width="35" hidden="0" customWidth="1"/>
    <x:col min="8" max="8" width="43" hidden="0" customWidth="1"/>
  </x:cols>
  <x:sheetData>
    <x:row r="1" ht="24" customHeight="1">
      <x:c r="A1" s="2" t="str">
        <x:v>Source-case architecture</x:v>
      </x:c>
      <x:c r="B1" s="1"/>
      <x:c r="C1" s="1"/>
      <x:c r="D1" s="1"/>
      <x:c r="E1" s="1"/>
      <x:c r="F1" s="1"/>
      <x:c r="G1" s="1"/>
      <x:c r="H1" s="1"/>
    </x:row>
    <x:row r="2" ht="30" customHeight="1">
      <x:c r="A2" s="3" t="str">
        <x:v>Source shares apply to average gross generation, not reserve nameplate. They expose logistics sensitivity without presuming a single fuel future.</x:v>
      </x:c>
      <x:c r="B2" s="3"/>
      <x:c r="C2" s="3"/>
      <x:c r="D2" s="3"/>
      <x:c r="E2" s="3"/>
      <x:c r="F2" s="3"/>
      <x:c r="G2" s="3"/>
      <x:c r="H2" s="3"/>
    </x:row>
    <x:row r="4" ht="32" customHeight="1">
      <x:c r="A4" s="15" t="str">
        <x:v>Source case</x:v>
      </x:c>
      <x:c r="B4" s="16" t="str">
        <x:v>Liquid share</x:v>
      </x:c>
      <x:c r="C4" s="16" t="str">
        <x:v>Gas share</x:v>
      </x:c>
      <x:c r="D4" s="16" t="str">
        <x:v>Grid/local share</x:v>
      </x:c>
      <x:c r="E4" s="16" t="str">
        <x:v>Black-start posture</x:v>
      </x:c>
      <x:c r="F4" s="16" t="str">
        <x:v>Fuel-route dependence</x:v>
      </x:c>
      <x:c r="G4" s="16" t="str">
        <x:v>Best use</x:v>
      </x:c>
      <x:c r="H4" s="17" t="str">
        <x:v>Current limit</x:v>
      </x:c>
    </x:row>
    <x:row r="5">
      <x:c r="A5" s="23" t="str">
        <x:v>Liquid fuel dominant</x:v>
      </x:c>
      <x:c r="B5" s="33" t="n">
        <x:v>0.8</x:v>
      </x:c>
      <x:c r="C5" s="33" t="n">
        <x:v>0</x:v>
      </x:c>
      <x:c r="D5" s="33" t="n">
        <x:v>0.2</x:v>
      </x:c>
      <x:c r="E5" s="23" t="str">
        <x:v>Self-starting modular fleet</x:v>
      </x:c>
      <x:c r="F5" s="23" t="str">
        <x:v>Very high</x:v>
      </x:c>
      <x:c r="G5" s="23" t="str">
        <x:v>No trusted gas or grid</x:v>
      </x:c>
      <x:c r="H5" s="23" t="str">
        <x:v>Daily liquid flow dominates sustainment</x:v>
      </x:c>
    </x:row>
    <x:row r="6">
      <x:c r="A6" s="23" t="str">
        <x:v>Gas hybrid</x:v>
      </x:c>
      <x:c r="B6" s="33" t="n">
        <x:v>0.25</x:v>
      </x:c>
      <x:c r="C6" s="33" t="n">
        <x:v>0.55</x:v>
      </x:c>
      <x:c r="D6" s="33" t="n">
        <x:v>0.2</x:v>
      </x:c>
      <x:c r="E6" s="23" t="str">
        <x:v>Liquid black start; gas carries base</x:v>
      </x:c>
      <x:c r="F6" s="23" t="str">
        <x:v>Medium</x:v>
      </x:c>
      <x:c r="G6" s="23" t="str">
        <x:v>Surviving gas network or LNG/CNG bridge</x:v>
      </x:c>
      <x:c r="H6" s="23" t="str">
        <x:v>Gas pressure and composition must be verified</x:v>
      </x:c>
    </x:row>
    <x:row r="7">
      <x:c r="A7" s="23" t="str">
        <x:v>Surviving grid-local</x:v>
      </x:c>
      <x:c r="B7" s="33" t="n">
        <x:v>0.1</x:v>
      </x:c>
      <x:c r="C7" s="33" t="n">
        <x:v>0.1</x:v>
      </x:c>
      <x:c r="D7" s="33" t="n">
        <x:v>0.8</x:v>
      </x:c>
      <x:c r="E7" s="23" t="str">
        <x:v>Grid-forming islands behind controlled ties</x:v>
      </x:c>
      <x:c r="F7" s="23" t="str">
        <x:v>Low</x:v>
      </x:c>
      <x:c r="G7" s="23" t="str">
        <x:v>Partially intact utility and local generation</x:v>
      </x:c>
      <x:c r="H7" s="23" t="str">
        <x:v>Protection and stability studies are site-specific</x:v>
      </x:c>
    </x:row>
    <x:row r="8">
      <x:c r="A8" s="34"/>
      <x:c r="B8" s="34"/>
      <x:c r="C8" s="34"/>
      <x:c r="D8" s="34"/>
      <x:c r="E8" s="34"/>
      <x:c r="F8" s="34"/>
      <x:c r="G8" s="34"/>
      <x:c r="H8" s="34"/>
    </x:row>
    <x:row r="9">
      <x:c r="A9" s="34"/>
      <x:c r="B9" s="34"/>
      <x:c r="C9" s="34"/>
      <x:c r="D9" s="34"/>
      <x:c r="E9" s="34"/>
      <x:c r="F9" s="34"/>
      <x:c r="G9" s="34"/>
      <x:c r="H9" s="34"/>
    </x:row>
    <x:row r="10">
      <x:c r="A10" s="35" t="str">
        <x:v>Selected source mix</x:v>
      </x:c>
      <x:c r="B10" s="36"/>
      <x:c r="C10" s="37"/>
      <x:c r="D10" s="34"/>
      <x:c r="E10" s="34"/>
      <x:c r="F10" s="34"/>
      <x:c r="G10" s="34"/>
      <x:c r="H10" s="34"/>
    </x:row>
    <x:row r="11">
      <x:c r="A11" s="34"/>
      <x:c r="B11" s="34"/>
      <x:c r="C11" s="34"/>
      <x:c r="D11" s="34"/>
      <x:c r="E11" s="34"/>
      <x:c r="F11" s="34"/>
      <x:c r="G11" s="34"/>
      <x:c r="H11" s="34"/>
    </x:row>
    <x:row r="12" ht="32" customHeight="1">
      <x:c r="A12" s="15" t="str">
        <x:v>Metric</x:v>
      </x:c>
      <x:c r="B12" s="17" t="str">
        <x:v>Value</x:v>
      </x:c>
      <x:c r="C12" s="34"/>
      <x:c r="D12" s="34"/>
      <x:c r="E12" s="34"/>
      <x:c r="F12" s="34"/>
      <x:c r="G12" s="34"/>
      <x:c r="H12" s="34"/>
    </x:row>
    <x:row r="13">
      <x:c r="A13" s="23" t="str">
        <x:v>Source case</x:v>
      </x:c>
      <x:c r="B13" s="23" t="str">
        <x:f>'Controls'!$C$6</x:f>
        <x:v>Liquid fuel dominant</x:v>
      </x:c>
      <x:c r="C13" s="34"/>
      <x:c r="D13" s="34"/>
      <x:c r="E13" s="34"/>
      <x:c r="F13" s="34"/>
      <x:c r="G13" s="34"/>
      <x:c r="H13" s="34"/>
    </x:row>
    <x:row r="14">
      <x:c r="A14" s="23" t="str">
        <x:v>Liquid share</x:v>
      </x:c>
      <x:c r="B14" s="33" t="n">
        <x:f>INDEX(B5:B7,MATCH(B13,A5:A7,0))</x:f>
        <x:v>0.8</x:v>
      </x:c>
      <x:c r="C14" s="34"/>
      <x:c r="D14" s="34"/>
      <x:c r="E14" s="34"/>
      <x:c r="F14" s="34"/>
      <x:c r="G14" s="34"/>
      <x:c r="H14" s="34"/>
    </x:row>
    <x:row r="15">
      <x:c r="A15" s="23" t="str">
        <x:v>Gas share</x:v>
      </x:c>
      <x:c r="B15" s="33" t="n">
        <x:f>INDEX(C5:C7,MATCH(B13,A5:A7,0))</x:f>
        <x:v>0</x:v>
      </x:c>
      <x:c r="C15" s="34"/>
      <x:c r="D15" s="34"/>
      <x:c r="E15" s="34"/>
      <x:c r="F15" s="34"/>
      <x:c r="G15" s="34"/>
      <x:c r="H15" s="34"/>
    </x:row>
    <x:row r="16">
      <x:c r="A16" s="23" t="str">
        <x:v>Grid/local share</x:v>
      </x:c>
      <x:c r="B16" s="33" t="n">
        <x:f>INDEX(D5:D7,MATCH(B13,A5:A7,0))</x:f>
        <x:v>0.2</x:v>
      </x:c>
      <x:c r="C16" s="34"/>
      <x:c r="D16" s="34"/>
      <x:c r="E16" s="34"/>
      <x:c r="F16" s="34"/>
      <x:c r="G16" s="34"/>
      <x:c r="H16" s="34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8" hidden="0" customWidth="1"/>
    <x:col min="4" max="4" width="18" hidden="0" customWidth="1"/>
    <x:col min="5" max="5" width="38" hidden="0" customWidth="1"/>
    <x:col min="6" max="6" width="44" hidden="0" customWidth="1"/>
  </x:cols>
  <x:sheetData>
    <x:row r="1" ht="24" customHeight="1">
      <x:c r="A1" s="2" t="str">
        <x:v>Prime-power fleet sizing</x:v>
      </x:c>
      <x:c r="B1" s="1"/>
      <x:c r="C1" s="1"/>
      <x:c r="D1" s="1"/>
      <x:c r="E1" s="1"/>
      <x:c r="F1" s="1"/>
    </x:row>
    <x:row r="2" ht="30" customHeight="1">
      <x:c r="A2" s="3" t="str">
        <x:v>Reserve and environmental derating determine owned nameplate. Average dispatched generation excludes unused reserve capacity.</x:v>
      </x:c>
      <x:c r="B2" s="3"/>
      <x:c r="C2" s="3"/>
      <x:c r="D2" s="3"/>
      <x:c r="E2" s="3"/>
      <x:c r="F2" s="3"/>
    </x:row>
    <x:row r="4" ht="32" customHeight="1">
      <x:c r="A4" s="15" t="str">
        <x:v>Metric</x:v>
      </x:c>
      <x:c r="B4" s="16" t="str">
        <x:v>Unit</x:v>
      </x:c>
      <x:c r="C4" s="17" t="str">
        <x:v>Value</x:v>
      </x:c>
      <x:c r="D4" s="34"/>
      <x:c r="E4" s="34"/>
      <x:c r="F4" s="34"/>
    </x:row>
    <x:row r="5">
      <x:c r="A5" s="23" t="str">
        <x:v>Net critical load</x:v>
      </x:c>
      <x:c r="B5" s="23" t="str">
        <x:v>MW</x:v>
      </x:c>
      <x:c r="C5" s="47" t="n">
        <x:f>'Controls'!$C$8</x:f>
        <x:v>100</x:v>
      </x:c>
      <x:c r="D5" s="34"/>
      <x:c r="E5" s="34"/>
      <x:c r="F5" s="34"/>
    </x:row>
    <x:row r="6">
      <x:c r="A6" s="23" t="str">
        <x:v>Network loss</x:v>
      </x:c>
      <x:c r="B6" s="23" t="str">
        <x:v>MW</x:v>
      </x:c>
      <x:c r="C6" s="47" t="n">
        <x:f>'Feeder Model'!$C$15</x:f>
        <x:v>0.7779255836386693</x:v>
      </x:c>
      <x:c r="D6" s="34"/>
      <x:c r="E6" s="34"/>
      <x:c r="F6" s="34"/>
    </x:row>
    <x:row r="7">
      <x:c r="A7" s="23" t="str">
        <x:v>Gross dispatched generation</x:v>
      </x:c>
      <x:c r="B7" s="23" t="str">
        <x:v>MW</x:v>
      </x:c>
      <x:c r="C7" s="47" t="n">
        <x:f>(C5+C6)/(1-'Controls'!$C$14)</x:f>
        <x:v>103.89476864292646</x:v>
      </x:c>
      <x:c r="D7" s="34"/>
      <x:c r="E7" s="34"/>
      <x:c r="F7" s="34"/>
    </x:row>
    <x:row r="8">
      <x:c r="A8" s="23" t="str">
        <x:v>Required nameplate before reserve</x:v>
      </x:c>
      <x:c r="B8" s="23" t="str">
        <x:v>MW</x:v>
      </x:c>
      <x:c r="C8" s="47" t="n">
        <x:f>C7/(1-'Controls'!$C$15)</x:f>
        <x:v>115.43863182547385</x:v>
      </x:c>
      <x:c r="D8" s="34"/>
      <x:c r="E8" s="34"/>
      <x:c r="F8" s="34"/>
    </x:row>
    <x:row r="9">
      <x:c r="A9" s="23" t="str">
        <x:v>Owned nameplate with reserve</x:v>
      </x:c>
      <x:c r="B9" s="23" t="str">
        <x:v>MW</x:v>
      </x:c>
      <x:c r="C9" s="47" t="n">
        <x:f>C8*(1+'Controls'!$C$16)</x:f>
        <x:v>138.5263581905686</x:v>
      </x:c>
      <x:c r="D9" s="34"/>
      <x:c r="E9" s="34"/>
      <x:c r="F9" s="34"/>
    </x:row>
    <x:row r="10">
      <x:c r="A10" s="23" t="str">
        <x:v>Module rating</x:v>
      </x:c>
      <x:c r="B10" s="23" t="str">
        <x:v>MW</x:v>
      </x:c>
      <x:c r="C10" s="47" t="n">
        <x:f>'Controls'!$C$29</x:f>
        <x:v>10</x:v>
      </x:c>
      <x:c r="D10" s="34"/>
      <x:c r="E10" s="34"/>
      <x:c r="F10" s="34"/>
    </x:row>
    <x:row r="11">
      <x:c r="A11" s="23" t="str">
        <x:v>Modules owned</x:v>
      </x:c>
      <x:c r="B11" s="23" t="str">
        <x:v>count</x:v>
      </x:c>
      <x:c r="C11" s="47" t="n">
        <x:f>CEILING(C9/C10,1)</x:f>
        <x:v>14</x:v>
      </x:c>
      <x:c r="D11" s="34"/>
      <x:c r="E11" s="34"/>
      <x:c r="F11" s="34"/>
    </x:row>
    <x:row r="12">
      <x:c r="A12" s="23" t="str">
        <x:v>Rounded owned nameplate</x:v>
      </x:c>
      <x:c r="B12" s="23" t="str">
        <x:v>MW</x:v>
      </x:c>
      <x:c r="C12" s="47" t="n">
        <x:f>C11*C10</x:f>
        <x:v>140</x:v>
      </x:c>
      <x:c r="D12" s="34"/>
      <x:c r="E12" s="34"/>
      <x:c r="F12" s="34"/>
    </x:row>
    <x:row r="13">
      <x:c r="A13" s="23" t="str">
        <x:v>Largest-source loss</x:v>
      </x:c>
      <x:c r="B13" s="23" t="str">
        <x:v>MW</x:v>
      </x:c>
      <x:c r="C13" s="47" t="n">
        <x:f>C10</x:f>
        <x:v>10</x:v>
      </x:c>
      <x:c r="D13" s="34"/>
      <x:c r="E13" s="34"/>
      <x:c r="F13" s="34"/>
    </x:row>
    <x:row r="14">
      <x:c r="A14" s="23" t="str">
        <x:v>Available after largest loss</x:v>
      </x:c>
      <x:c r="B14" s="23" t="str">
        <x:v>MW</x:v>
      </x:c>
      <x:c r="C14" s="47" t="n">
        <x:f>C12-C13</x:f>
        <x:v>130</x:v>
      </x:c>
      <x:c r="D14" s="34"/>
      <x:c r="E14" s="34"/>
      <x:c r="F14" s="34"/>
    </x:row>
    <x:row r="15">
      <x:c r="A15" s="23" t="str">
        <x:v>N-1 margin above gross dispatch</x:v>
      </x:c>
      <x:c r="B15" s="23" t="str">
        <x:v>MW</x:v>
      </x:c>
      <x:c r="C15" s="47" t="n">
        <x:f>C14-C7</x:f>
        <x:v>26.105231357073535</x:v>
      </x:c>
      <x:c r="D15" s="34"/>
      <x:c r="E15" s="34"/>
      <x:c r="F15" s="34"/>
    </x:row>
    <x:row r="16">
      <x:c r="A16" s="23" t="str">
        <x:v>N-1 status</x:v>
      </x:c>
      <x:c r="B16" s="23" t="str">
        <x:v>status</x:v>
      </x:c>
      <x:c r="C16" s="23" t="str">
        <x:f>IF(C14&gt;=C7,"Pass","Review")</x:f>
        <x:v>Pass</x:v>
      </x:c>
      <x:c r="D16" s="34"/>
      <x:c r="E16" s="34"/>
      <x:c r="F16" s="34"/>
    </x:row>
    <x:row r="17">
      <x:c r="A17" s="34"/>
      <x:c r="B17" s="34"/>
      <x:c r="C17" s="34"/>
      <x:c r="D17" s="34"/>
      <x:c r="E17" s="34"/>
      <x:c r="F17" s="34"/>
    </x:row>
    <x:row r="18">
      <x:c r="A18" s="34"/>
      <x:c r="B18" s="34"/>
      <x:c r="C18" s="34"/>
      <x:c r="D18" s="34"/>
      <x:c r="E18" s="34"/>
      <x:c r="F18" s="34"/>
    </x:row>
    <x:row r="19">
      <x:c r="A19" s="35" t="str">
        <x:v>Source allocation at average dispatch</x:v>
      </x:c>
      <x:c r="B19" s="36"/>
      <x:c r="C19" s="36"/>
      <x:c r="D19" s="36"/>
      <x:c r="E19" s="36"/>
      <x:c r="F19" s="37"/>
    </x:row>
    <x:row r="20">
      <x:c r="A20" s="34"/>
      <x:c r="B20" s="34"/>
      <x:c r="C20" s="34"/>
      <x:c r="D20" s="34"/>
      <x:c r="E20" s="34"/>
      <x:c r="F20" s="34"/>
    </x:row>
    <x:row r="21" ht="32" customHeight="1">
      <x:c r="A21" s="15" t="str">
        <x:v>Source</x:v>
      </x:c>
      <x:c r="B21" s="16" t="str">
        <x:v>Share</x:v>
      </x:c>
      <x:c r="C21" s="16" t="str">
        <x:v>Average MW</x:v>
      </x:c>
      <x:c r="D21" s="16" t="str">
        <x:v>Daily MWh</x:v>
      </x:c>
      <x:c r="E21" s="16" t="str">
        <x:v>Installed role</x:v>
      </x:c>
      <x:c r="F21" s="17" t="str">
        <x:v>Failure implication</x:v>
      </x:c>
    </x:row>
    <x:row r="22">
      <x:c r="A22" s="23" t="str">
        <x:v>Liquid</x:v>
      </x:c>
      <x:c r="B22" s="33" t="n">
        <x:f>'Source Cases'!$B$14</x:f>
        <x:v>0.8</x:v>
      </x:c>
      <x:c r="C22" s="49" t="n">
        <x:f>$C$7*B22</x:f>
        <x:v>83.11581491434117</x:v>
      </x:c>
      <x:c r="D22" s="49" t="n">
        <x:f>C22*24</x:f>
        <x:v>1994.7795579441881</x:v>
      </x:c>
      <x:c r="E22" s="23" t="str">
        <x:v>Self-starting firm generation</x:v>
      </x:c>
      <x:c r="F22" s="23" t="str">
        <x:v>Fuel route and tank farm are critical</x:v>
      </x:c>
    </x:row>
    <x:row r="23">
      <x:c r="A23" s="23" t="str">
        <x:v>Gas</x:v>
      </x:c>
      <x:c r="B23" s="33" t="n">
        <x:f>'Source Cases'!$B$15</x:f>
        <x:v>0</x:v>
      </x:c>
      <x:c r="C23" s="49" t="n">
        <x:f>$C$7*B23</x:f>
        <x:v>0</x:v>
      </x:c>
      <x:c r="D23" s="49" t="n">
        <x:f>C23*24</x:f>
        <x:v>0</x:v>
      </x:c>
      <x:c r="E23" s="23" t="str">
        <x:v>Firm base generation where supply exists</x:v>
      </x:c>
      <x:c r="F23" s="23" t="str">
        <x:v>Pressure loss can remove majority source</x:v>
      </x:c>
    </x:row>
    <x:row r="24">
      <x:c r="A24" s="23" t="str">
        <x:v>Grid/local</x:v>
      </x:c>
      <x:c r="B24" s="33" t="n">
        <x:f>'Source Cases'!$B$16</x:f>
        <x:v>0.2</x:v>
      </x:c>
      <x:c r="C24" s="49" t="n">
        <x:f>$C$7*B24</x:f>
        <x:v>20.778953728585293</x:v>
      </x:c>
      <x:c r="D24" s="49" t="n">
        <x:f>C24*24</x:f>
        <x:v>498.69488948604703</x:v>
      </x:c>
      <x:c r="E24" s="23" t="str">
        <x:v>Controlled ties and surviving local assets</x:v>
      </x:c>
      <x:c r="F24" s="23" t="str">
        <x:v>Protection instability can force separation</x:v>
      </x:c>
    </x:row>
  </x:sheetData>
  <x:conditionalFormatting sqref="C16:C16">
    <x:cfRule type="containsText" dxfId="1" priority="1" operator="containsText" text="Review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8" hidden="0" customWidth="1"/>
    <x:col min="3" max="3" width="18" hidden="0" customWidth="1"/>
    <x:col min="4" max="4" width="4" hidden="0" customWidth="1"/>
    <x:col min="5" max="5" width="25" hidden="0" customWidth="1"/>
    <x:col min="6" max="6" width="17" hidden="0" customWidth="1"/>
    <x:col min="7" max="7" width="17" hidden="0" customWidth="1"/>
    <x:col min="8" max="8" width="46" hidden="0" customWidth="1"/>
    <x:col min="9" max="9" width="31" hidden="0" customWidth="1"/>
    <x:col min="10" max="10" width="39" hidden="0" customWidth="1"/>
  </x:cols>
  <x:sheetData>
    <x:row r="1" ht="24" customHeight="1">
      <x:c r="A1" s="2" t="str">
        <x:v>Battery ride-through and black-start reserve</x:v>
      </x:c>
      <x:c r="B1" s="1"/>
      <x:c r="C1" s="1"/>
      <x:c r="D1" s="1"/>
      <x:c r="E1" s="1"/>
      <x:c r="F1" s="1"/>
    </x:row>
    <x:row r="2" ht="30" customHeight="1">
      <x:c r="A2" s="3" t="str">
        <x:v>The larger of full-load bridge energy and P0 endurance drives usable energy; power and energy both drive module count.</x:v>
      </x:c>
      <x:c r="B2" s="3"/>
      <x:c r="C2" s="3"/>
      <x:c r="D2" s="3"/>
      <x:c r="E2" s="3"/>
      <x:c r="F2" s="3"/>
    </x:row>
    <x:row r="4" ht="32" customHeight="1">
      <x:c r="A4" s="15" t="str">
        <x:v>Metric</x:v>
      </x:c>
      <x:c r="B4" s="16" t="str">
        <x:v>Unit</x:v>
      </x:c>
      <x:c r="C4" s="17" t="str">
        <x:v>Value</x:v>
      </x:c>
      <x:c r="D4" s="34"/>
      <x:c r="E4" s="15" t="str">
        <x:v>Operational mode</x:v>
      </x:c>
      <x:c r="F4" s="16" t="str">
        <x:v>Power served</x:v>
      </x:c>
      <x:c r="G4" s="16" t="str">
        <x:v>Endurance</x:v>
      </x:c>
      <x:c r="H4" s="16" t="str">
        <x:v>Control objective</x:v>
      </x:c>
      <x:c r="I4" s="16" t="str">
        <x:v>Release condition</x:v>
      </x:c>
      <x:c r="J4" s="17" t="str">
        <x:v>Open issue</x:v>
      </x:c>
    </x:row>
    <x:row r="5">
      <x:c r="A5" s="23" t="str">
        <x:v>Full-load bridge energy</x:v>
      </x:c>
      <x:c r="B5" s="23" t="str">
        <x:v>MWh usable</x:v>
      </x:c>
      <x:c r="C5" s="49" t="n">
        <x:f>'Controls'!$C$8*'Controls'!$C$21</x:f>
        <x:v>25</x:v>
      </x:c>
      <x:c r="D5" s="34"/>
      <x:c r="E5" s="23" t="str">
        <x:v>Transfer bridge</x:v>
      </x:c>
      <x:c r="F5" s="23"/>
      <x:c r="G5" s="23"/>
      <x:c r="H5" s="23" t="str">
        <x:v>Hold all critical load while sources synchronize</x:v>
      </x:c>
      <x:c r="I5" s="23" t="str">
        <x:v>Stable generation and frequency</x:v>
      </x:c>
      <x:c r="J5" s="23" t="str">
        <x:v>Dynamic response and motor starts</x:v>
      </x:c>
    </x:row>
    <x:row r="6">
      <x:c r="A6" s="23" t="str">
        <x:v>P0 power</x:v>
      </x:c>
      <x:c r="B6" s="23" t="str">
        <x:v>MW</x:v>
      </x:c>
      <x:c r="C6" s="49" t="n">
        <x:f>'Controls'!$C$8*'Controls'!$C$17</x:f>
        <x:v>20</x:v>
      </x:c>
      <x:c r="D6" s="34"/>
      <x:c r="E6" s="23" t="str">
        <x:v>P0 island</x:v>
      </x:c>
      <x:c r="F6" s="23"/>
      <x:c r="G6" s="23"/>
      <x:c r="H6" s="23" t="str">
        <x:v>Sustain no-break life safety and controls</x:v>
      </x:c>
      <x:c r="I6" s="23" t="str">
        <x:v>Firm source or controlled shutdown</x:v>
      </x:c>
      <x:c r="J6" s="23" t="str">
        <x:v>Actual P0 registry</x:v>
      </x:c>
    </x:row>
    <x:row r="7">
      <x:c r="A7" s="23" t="str">
        <x:v>P0 endurance energy</x:v>
      </x:c>
      <x:c r="B7" s="23" t="str">
        <x:v>MWh usable</x:v>
      </x:c>
      <x:c r="C7" s="49" t="n">
        <x:f>C6*'Controls'!$C$22</x:f>
        <x:v>80</x:v>
      </x:c>
      <x:c r="D7" s="34"/>
      <x:c r="E7" s="23" t="str">
        <x:v>Black start</x:v>
      </x:c>
      <x:c r="F7" s="23"/>
      <x:c r="G7" s="23"/>
      <x:c r="H7" s="23" t="str">
        <x:v>Energize auxiliaries, controls and source blocks</x:v>
      </x:c>
      <x:c r="I7" s="23" t="str">
        <x:v>Source fleet stable</x:v>
      </x:c>
      <x:c r="J7" s="23" t="str">
        <x:v>Sequence and cold-load pickup</x:v>
      </x:c>
    </x:row>
    <x:row r="8">
      <x:c r="A8" s="23" t="str">
        <x:v>Required usable energy</x:v>
      </x:c>
      <x:c r="B8" s="23" t="str">
        <x:v>MWh</x:v>
      </x:c>
      <x:c r="C8" s="49" t="n">
        <x:f>MAX(C5,C7)</x:f>
        <x:v>80</x:v>
      </x:c>
      <x:c r="D8" s="34"/>
      <x:c r="E8" s="23" t="str">
        <x:v>Contingency reserve</x:v>
      </x:c>
      <x:c r="F8" s="23"/>
      <x:c r="G8" s="23"/>
      <x:c r="H8" s="23" t="str">
        <x:v>Preserve minimum state of charge</x:v>
      </x:c>
      <x:c r="I8" s="23" t="str">
        <x:v>Incident-command release</x:v>
      </x:c>
      <x:c r="J8" s="23" t="str">
        <x:v>Battery temperature and degradation</x:v>
      </x:c>
    </x:row>
    <x:row r="9">
      <x:c r="A9" s="23" t="str">
        <x:v>Required nominal energy before reserve</x:v>
      </x:c>
      <x:c r="B9" s="23" t="str">
        <x:v>MWh</x:v>
      </x:c>
      <x:c r="C9" s="49" t="n">
        <x:f>C8/('Controls'!$C$23*'Controls'!$C$24)</x:f>
        <x:v>108.69565217391303</x:v>
      </x:c>
      <x:c r="D9" s="34"/>
      <x:c r="E9" s="23" t="str">
        <x:v>Degraded storage</x:v>
      </x:c>
      <x:c r="F9" s="23"/>
      <x:c r="G9" s="23"/>
      <x:c r="H9" s="23" t="str">
        <x:v>Prioritize control, communications and hospitals</x:v>
      </x:c>
      <x:c r="I9" s="23" t="str">
        <x:v>Fault isolated</x:v>
      </x:c>
      <x:c r="J9" s="23" t="str">
        <x:v>Module common-mode failures</x:v>
      </x:c>
    </x:row>
    <x:row r="10">
      <x:c r="A10" s="23" t="str">
        <x:v>Required nominal energy with reserve</x:v>
      </x:c>
      <x:c r="B10" s="23" t="str">
        <x:v>MWh</x:v>
      </x:c>
      <x:c r="C10" s="49" t="n">
        <x:f>C9*(1+'Controls'!$C$25)</x:f>
        <x:v>130.43478260869563</x:v>
      </x:c>
      <x:c r="D10" s="34"/>
      <x:c r="E10" s="34"/>
      <x:c r="F10" s="34"/>
      <x:c r="G10" s="34"/>
      <x:c r="H10" s="34"/>
      <x:c r="I10" s="34"/>
      <x:c r="J10" s="34"/>
    </x:row>
    <x:row r="11">
      <x:c r="A11" s="23" t="str">
        <x:v>Required inverter power with reserve</x:v>
      </x:c>
      <x:c r="B11" s="23" t="str">
        <x:v>MW</x:v>
      </x:c>
      <x:c r="C11" s="49" t="n">
        <x:f>'Controls'!$C$8*(1+'Controls'!$C$16)</x:f>
        <x:v>120</x:v>
      </x:c>
      <x:c r="D11" s="34"/>
      <x:c r="E11" s="34"/>
      <x:c r="F11" s="34"/>
      <x:c r="G11" s="34"/>
      <x:c r="H11" s="34"/>
      <x:c r="I11" s="34"/>
      <x:c r="J11" s="34"/>
    </x:row>
    <x:row r="12">
      <x:c r="A12" s="23" t="str">
        <x:v>Module power</x:v>
      </x:c>
      <x:c r="B12" s="23" t="str">
        <x:v>MW</x:v>
      </x:c>
      <x:c r="C12" s="49" t="n">
        <x:v>20</x:v>
      </x:c>
      <x:c r="D12" s="34"/>
      <x:c r="E12" s="34"/>
      <x:c r="F12" s="34"/>
      <x:c r="G12" s="34"/>
      <x:c r="H12" s="34"/>
      <x:c r="I12" s="34"/>
      <x:c r="J12" s="34"/>
    </x:row>
    <x:row r="13">
      <x:c r="A13" s="23" t="str">
        <x:v>Module energy</x:v>
      </x:c>
      <x:c r="B13" s="23" t="str">
        <x:v>MWh</x:v>
      </x:c>
      <x:c r="C13" s="49" t="n">
        <x:v>20</x:v>
      </x:c>
      <x:c r="D13" s="34"/>
      <x:c r="E13" s="34"/>
      <x:c r="F13" s="34"/>
      <x:c r="G13" s="34"/>
      <x:c r="H13" s="34"/>
      <x:c r="I13" s="34"/>
      <x:c r="J13" s="34"/>
    </x:row>
    <x:row r="14">
      <x:c r="A14" s="23" t="str">
        <x:v>Modules by power</x:v>
      </x:c>
      <x:c r="B14" s="23" t="str">
        <x:v>count</x:v>
      </x:c>
      <x:c r="C14" s="49" t="n">
        <x:f>CEILING(C11/C12,1)</x:f>
        <x:v>6</x:v>
      </x:c>
      <x:c r="D14" s="34"/>
      <x:c r="E14" s="34"/>
      <x:c r="F14" s="34"/>
      <x:c r="G14" s="34"/>
      <x:c r="H14" s="34"/>
      <x:c r="I14" s="34"/>
      <x:c r="J14" s="34"/>
    </x:row>
    <x:row r="15">
      <x:c r="A15" s="23" t="str">
        <x:v>Modules by energy</x:v>
      </x:c>
      <x:c r="B15" s="23" t="str">
        <x:v>count</x:v>
      </x:c>
      <x:c r="C15" s="49" t="n">
        <x:f>CEILING(C10/C13,1)</x:f>
        <x:v>7</x:v>
      </x:c>
      <x:c r="D15" s="34"/>
      <x:c r="E15" s="34"/>
      <x:c r="F15" s="34"/>
      <x:c r="G15" s="34"/>
      <x:c r="H15" s="34"/>
      <x:c r="I15" s="34"/>
      <x:c r="J15" s="34"/>
    </x:row>
    <x:row r="16">
      <x:c r="A16" s="23" t="str">
        <x:v>Modules owned</x:v>
      </x:c>
      <x:c r="B16" s="23" t="str">
        <x:v>count</x:v>
      </x:c>
      <x:c r="C16" s="49" t="n">
        <x:f>MAX(C14,C15)</x:f>
        <x:v>7</x:v>
      </x:c>
      <x:c r="D16" s="34"/>
      <x:c r="E16" s="34"/>
      <x:c r="F16" s="34"/>
      <x:c r="G16" s="34"/>
      <x:c r="H16" s="34"/>
      <x:c r="I16" s="34"/>
      <x:c r="J16" s="34"/>
    </x:row>
    <x:row r="17">
      <x:c r="A17" s="23" t="str">
        <x:v>Owned power</x:v>
      </x:c>
      <x:c r="B17" s="23" t="str">
        <x:v>MW</x:v>
      </x:c>
      <x:c r="C17" s="49" t="n">
        <x:f>C16*C12</x:f>
        <x:v>140</x:v>
      </x:c>
      <x:c r="D17" s="34"/>
      <x:c r="E17" s="34"/>
      <x:c r="F17" s="34"/>
      <x:c r="G17" s="34"/>
      <x:c r="H17" s="34"/>
      <x:c r="I17" s="34"/>
      <x:c r="J17" s="34"/>
    </x:row>
    <x:row r="18">
      <x:c r="A18" s="23" t="str">
        <x:v>Owned energy</x:v>
      </x:c>
      <x:c r="B18" s="23" t="str">
        <x:v>MWh</x:v>
      </x:c>
      <x:c r="C18" s="49" t="n">
        <x:f>C16*C13</x:f>
        <x:v>140</x:v>
      </x:c>
      <x:c r="D18" s="34"/>
      <x:c r="E18" s="34"/>
      <x:c r="F18" s="34"/>
      <x:c r="G18" s="34"/>
      <x:c r="H18" s="34"/>
      <x:c r="I18" s="34"/>
      <x:c r="J18" s="34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3" hidden="0" customWidth="1"/>
    <x:col min="3" max="3" width="15" hidden="0" customWidth="1"/>
    <x:col min="4" max="4" width="18" hidden="0" customWidth="1"/>
    <x:col min="5" max="5" width="17" hidden="0" customWidth="1"/>
    <x:col min="6" max="6" width="35" hidden="0" customWidth="1"/>
    <x:col min="7" max="7" width="48" hidden="0" customWidth="1"/>
  </x:cols>
  <x:sheetData>
    <x:row r="1" ht="24" customHeight="1">
      <x:c r="A1" s="2" t="str">
        <x:v>Medium-voltage feeder model</x:v>
      </x:c>
      <x:c r="B1" s="1"/>
      <x:c r="C1" s="1"/>
      <x:c r="D1" s="1"/>
      <x:c r="E1" s="1"/>
      <x:c r="F1" s="1"/>
      <x:c r="G1" s="1"/>
    </x:row>
    <x:row r="2" ht="30" customHeight="1">
      <x:c r="A2" s="3" t="str">
        <x:v>Balanced three-phase reference. Loss and voltage-drop arithmetic are screening calculations; relay, fault-duty, grounding, harmonics and transient studies remain open.</x:v>
      </x:c>
      <x:c r="B2" s="3"/>
      <x:c r="C2" s="3"/>
      <x:c r="D2" s="3"/>
      <x:c r="E2" s="3"/>
      <x:c r="F2" s="3"/>
      <x:c r="G2" s="3"/>
    </x:row>
    <x:row r="4" ht="32" customHeight="1">
      <x:c r="A4" s="15" t="str">
        <x:v>Metric</x:v>
      </x:c>
      <x:c r="B4" s="16" t="str">
        <x:v>Unit</x:v>
      </x:c>
      <x:c r="C4" s="17" t="str">
        <x:v>Value</x:v>
      </x:c>
      <x:c r="D4" s="34"/>
      <x:c r="E4" s="34"/>
      <x:c r="F4" s="34"/>
      <x:c r="G4" s="34"/>
    </x:row>
    <x:row r="5">
      <x:c r="A5" s="23" t="str">
        <x:v>Net critical load</x:v>
      </x:c>
      <x:c r="B5" s="23" t="str">
        <x:v>MW</x:v>
      </x:c>
      <x:c r="C5" s="47" t="n">
        <x:f>'Controls'!$C$8</x:f>
        <x:v>100</x:v>
      </x:c>
      <x:c r="D5" s="34"/>
      <x:c r="E5" s="34"/>
      <x:c r="F5" s="34"/>
      <x:c r="G5" s="34"/>
    </x:row>
    <x:row r="6">
      <x:c r="A6" s="23" t="str">
        <x:v>Feeders</x:v>
      </x:c>
      <x:c r="B6" s="23" t="str">
        <x:v>count</x:v>
      </x:c>
      <x:c r="C6" s="47" t="n">
        <x:f>'Controls'!$C$12</x:f>
        <x:v>10</x:v>
      </x:c>
      <x:c r="D6" s="34"/>
      <x:c r="E6" s="34"/>
      <x:c r="F6" s="34"/>
      <x:c r="G6" s="34"/>
    </x:row>
    <x:row r="7">
      <x:c r="A7" s="23" t="str">
        <x:v>Load per feeder</x:v>
      </x:c>
      <x:c r="B7" s="23" t="str">
        <x:v>MW</x:v>
      </x:c>
      <x:c r="C7" s="47" t="n">
        <x:f>C5/C6</x:f>
        <x:v>10</x:v>
      </x:c>
      <x:c r="D7" s="34"/>
      <x:c r="E7" s="34"/>
      <x:c r="F7" s="34"/>
      <x:c r="G7" s="34"/>
    </x:row>
    <x:row r="8">
      <x:c r="A8" s="23" t="str">
        <x:v>System voltage</x:v>
      </x:c>
      <x:c r="B8" s="23" t="str">
        <x:v>kV</x:v>
      </x:c>
      <x:c r="C8" s="47" t="n">
        <x:f>'Controls'!$C$10</x:f>
        <x:v>34.5</x:v>
      </x:c>
      <x:c r="D8" s="34"/>
      <x:c r="E8" s="34"/>
      <x:c r="F8" s="34"/>
      <x:c r="G8" s="34"/>
    </x:row>
    <x:row r="9">
      <x:c r="A9" s="23" t="str">
        <x:v>Power factor</x:v>
      </x:c>
      <x:c r="B9" s="23" t="str">
        <x:v>ratio</x:v>
      </x:c>
      <x:c r="C9" s="47" t="n">
        <x:f>'Controls'!$C$9</x:f>
        <x:v>0.9</x:v>
      </x:c>
      <x:c r="D9" s="34"/>
      <x:c r="E9" s="34"/>
      <x:c r="F9" s="34"/>
      <x:c r="G9" s="34"/>
    </x:row>
    <x:row r="10">
      <x:c r="A10" s="23" t="str">
        <x:v>Current per feeder</x:v>
      </x:c>
      <x:c r="B10" s="23" t="str">
        <x:v>A</x:v>
      </x:c>
      <x:c r="C10" s="47" t="n">
        <x:f>C7*1000/(SQRT(3)*C8*C9)</x:f>
        <x:v>185.9421156810389</x:v>
      </x:c>
      <x:c r="D10" s="34"/>
      <x:c r="E10" s="34"/>
      <x:c r="F10" s="34"/>
      <x:c r="G10" s="34"/>
    </x:row>
    <x:row r="11">
      <x:c r="A11" s="23" t="str">
        <x:v>Total route</x:v>
      </x:c>
      <x:c r="B11" s="23" t="str">
        <x:v>circuit-km</x:v>
      </x:c>
      <x:c r="C11" s="47" t="n">
        <x:f>'Network States'!$B$14</x:f>
        <x:v>60</x:v>
      </x:c>
      <x:c r="D11" s="34"/>
      <x:c r="E11" s="34"/>
      <x:c r="F11" s="34"/>
      <x:c r="G11" s="34"/>
    </x:row>
    <x:row r="12">
      <x:c r="A12" s="23" t="str">
        <x:v>Average feeder length</x:v>
      </x:c>
      <x:c r="B12" s="23" t="str">
        <x:v>km</x:v>
      </x:c>
      <x:c r="C12" s="47" t="n">
        <x:f>C11/C6</x:f>
        <x:v>6</x:v>
      </x:c>
      <x:c r="D12" s="34"/>
      <x:c r="E12" s="34"/>
      <x:c r="F12" s="34"/>
      <x:c r="G12" s="34"/>
    </x:row>
    <x:row r="13">
      <x:c r="A13" s="23" t="str">
        <x:v>Resistance</x:v>
      </x:c>
      <x:c r="B13" s="23" t="str">
        <x:v>ohm/km/phase</x:v>
      </x:c>
      <x:c r="C13" s="47" t="n">
        <x:f>'Controls'!$C$36</x:f>
        <x:v>0.125</x:v>
      </x:c>
      <x:c r="D13" s="34"/>
      <x:c r="E13" s="34"/>
      <x:c r="F13" s="34"/>
      <x:c r="G13" s="34"/>
    </x:row>
    <x:row r="14">
      <x:c r="A14" s="23" t="str">
        <x:v>Reactance</x:v>
      </x:c>
      <x:c r="B14" s="23" t="str">
        <x:v>ohm/km/phase</x:v>
      </x:c>
      <x:c r="C14" s="47" t="n">
        <x:f>'Controls'!$C$37</x:f>
        <x:v>0.1</x:v>
      </x:c>
      <x:c r="D14" s="34"/>
      <x:c r="E14" s="34"/>
      <x:c r="F14" s="34"/>
      <x:c r="G14" s="34"/>
    </x:row>
    <x:row r="15">
      <x:c r="A15" s="23" t="str">
        <x:v>Total resistive loss</x:v>
      </x:c>
      <x:c r="B15" s="23" t="str">
        <x:v>MW</x:v>
      </x:c>
      <x:c r="C15" s="47" t="n">
        <x:f>3*C10^2*C13*C11/1000000</x:f>
        <x:v>0.7779255836386693</x:v>
      </x:c>
      <x:c r="D15" s="34"/>
      <x:c r="E15" s="34"/>
      <x:c r="F15" s="34"/>
      <x:c r="G15" s="34"/>
    </x:row>
    <x:row r="16">
      <x:c r="A16" s="23" t="str">
        <x:v>Loss fraction</x:v>
      </x:c>
      <x:c r="B16" s="23" t="str">
        <x:v>% net</x:v>
      </x:c>
      <x:c r="C16" s="48" t="n">
        <x:f>C15/C5</x:f>
        <x:v>0.007779255836386692</x:v>
      </x:c>
      <x:c r="D16" s="34"/>
      <x:c r="E16" s="34"/>
      <x:c r="F16" s="34"/>
      <x:c r="G16" s="34"/>
    </x:row>
    <x:row r="17">
      <x:c r="A17" s="23" t="str">
        <x:v>Approximate end voltage drop</x:v>
      </x:c>
      <x:c r="B17" s="23" t="str">
        <x:v>%</x:v>
      </x:c>
      <x:c r="C17" s="48" t="n">
        <x:f>SQRT(3)*C10*(C13*C9+C14*SQRT(1-C9^2))*C12/(C8*1000)</x:f>
        <x:v>0.008742644510839837</x:v>
      </x:c>
      <x:c r="D17" s="34"/>
      <x:c r="E17" s="34"/>
      <x:c r="F17" s="34"/>
      <x:c r="G17" s="34"/>
    </x:row>
    <x:row r="18">
      <x:c r="A18" s="34"/>
      <x:c r="B18" s="34"/>
      <x:c r="C18" s="34"/>
      <x:c r="D18" s="34"/>
      <x:c r="E18" s="34"/>
      <x:c r="F18" s="34"/>
      <x:c r="G18" s="34"/>
    </x:row>
    <x:row r="19">
      <x:c r="A19" s="34"/>
      <x:c r="B19" s="34"/>
      <x:c r="C19" s="34"/>
      <x:c r="D19" s="34"/>
      <x:c r="E19" s="34"/>
      <x:c r="F19" s="34"/>
      <x:c r="G19" s="34"/>
    </x:row>
    <x:row r="20">
      <x:c r="A20" s="35" t="str">
        <x:v>Per-island and per-feeder architecture</x:v>
      </x:c>
      <x:c r="B20" s="36"/>
      <x:c r="C20" s="36"/>
      <x:c r="D20" s="36"/>
      <x:c r="E20" s="36"/>
      <x:c r="F20" s="36"/>
      <x:c r="G20" s="37"/>
    </x:row>
    <x:row r="21">
      <x:c r="A21" s="34"/>
      <x:c r="B21" s="34"/>
      <x:c r="C21" s="34"/>
      <x:c r="D21" s="34"/>
      <x:c r="E21" s="34"/>
      <x:c r="F21" s="34"/>
      <x:c r="G21" s="34"/>
    </x:row>
    <x:row r="22" ht="32" customHeight="1">
      <x:c r="A22" s="15" t="str">
        <x:v>Element</x:v>
      </x:c>
      <x:c r="B22" s="16" t="str">
        <x:v>Count</x:v>
      </x:c>
      <x:c r="C22" s="16" t="str">
        <x:v>Net MW each</x:v>
      </x:c>
      <x:c r="D22" s="16" t="str">
        <x:v>Nominal MVA each</x:v>
      </x:c>
      <x:c r="E22" s="16" t="str">
        <x:v>Current each (A)</x:v>
      </x:c>
      <x:c r="F22" s="16" t="str">
        <x:v>Protection posture</x:v>
      </x:c>
      <x:c r="G22" s="17" t="str">
        <x:v>Open engineering work</x:v>
      </x:c>
    </x:row>
    <x:row r="23">
      <x:c r="A23" s="23" t="str">
        <x:v>Island</x:v>
      </x:c>
      <x:c r="B23" s="23" t="n">
        <x:f>'Controls'!$C$11</x:f>
        <x:v>5</x:v>
      </x:c>
      <x:c r="C23" s="49" t="n">
        <x:f>'Controls'!$C$8/B23</x:f>
        <x:v>20</x:v>
      </x:c>
      <x:c r="D23" s="49" t="n">
        <x:f>C23/'Controls'!$C$9</x:f>
        <x:v>22.22222222222222</x:v>
      </x:c>
      <x:c r="E23" s="49" t="n">
        <x:f>C23*1000/(SQRT(3)*'Controls'!$C$10*'Controls'!$C$9)</x:f>
        <x:v>371.8842313620778</x:v>
      </x:c>
      <x:c r="F23" s="23" t="str">
        <x:v>Independent grid-forming protection zone</x:v>
      </x:c>
      <x:c r="G23" s="23" t="str">
        <x:v>Fault duty, grounding, resynchronization</x:v>
      </x:c>
    </x:row>
    <x:row r="24">
      <x:c r="A24" s="23" t="str">
        <x:v>Feeder</x:v>
      </x:c>
      <x:c r="B24" s="23" t="n">
        <x:f>'Controls'!$C$12</x:f>
        <x:v>10</x:v>
      </x:c>
      <x:c r="C24" s="49" t="n">
        <x:f>C7</x:f>
        <x:v>10</x:v>
      </x:c>
      <x:c r="D24" s="49" t="n">
        <x:f>C24/'Controls'!$C$9</x:f>
        <x:v>11.11111111111111</x:v>
      </x:c>
      <x:c r="E24" s="49" t="n">
        <x:f>C10</x:f>
        <x:v>185.9421156810389</x:v>
      </x:c>
      <x:c r="F24" s="23" t="str">
        <x:v>Sectionalized radial default with controlled ties</x:v>
      </x:c>
      <x:c r="G24" s="23" t="str">
        <x:v>Conductor selection, relay settings, harmonics</x:v>
      </x:c>
    </x:row>
    <x:row r="25">
      <x:c r="A25" s="23" t="str">
        <x:v>Distribution node</x:v>
      </x:c>
      <x:c r="B25" s="23" t="n">
        <x:f>'Network States'!$B$17</x:f>
        <x:v>60</x:v>
      </x:c>
      <x:c r="C25" s="23"/>
      <x:c r="D25" s="23"/>
      <x:c r="E25" s="23"/>
      <x:c r="F25" s="23" t="str">
        <x:v>Local isolation and load-shed controller</x:v>
      </x:c>
      <x:c r="G25" s="23" t="str">
        <x:v>Site connection survey and transformer impedance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34" hidden="0" customWidth="1"/>
    <x:col min="3" max="3" width="14" hidden="0" customWidth="1"/>
    <x:col min="4" max="4" width="17" hidden="0" customWidth="1"/>
    <x:col min="5" max="5" width="16" hidden="0" customWidth="1"/>
    <x:col min="6" max="6" width="18" hidden="0" customWidth="1"/>
    <x:col min="7" max="7" width="19" hidden="0" customWidth="1"/>
    <x:col min="8" max="8" width="47" hidden="0" customWidth="1"/>
  </x:cols>
  <x:sheetData>
    <x:row r="1" ht="24" customHeight="1">
      <x:c r="A1" s="2" t="str">
        <x:v>Transformation, switching and connection layer</x:v>
      </x:c>
      <x:c r="B1" s="1"/>
      <x:c r="C1" s="1"/>
      <x:c r="D1" s="1"/>
      <x:c r="E1" s="1"/>
      <x:c r="F1" s="1"/>
      <x:c r="G1" s="1"/>
      <x:c r="H1" s="1"/>
    </x:row>
    <x:row r="2" ht="30" customHeight="1">
      <x:c r="A2" s="3" t="str">
        <x:v>A PRG-100 is a deployable electric utility, not a pile of generators. Transformation and protection are first-order force elements.</x:v>
      </x:c>
      <x:c r="B2" s="3"/>
      <x:c r="C2" s="3"/>
      <x:c r="D2" s="3"/>
      <x:c r="E2" s="3"/>
      <x:c r="F2" s="3"/>
      <x:c r="G2" s="3"/>
      <x:c r="H2" s="3"/>
    </x:row>
    <x:row r="4" ht="32" customHeight="1">
      <x:c r="A4" s="15" t="str">
        <x:v>Element</x:v>
      </x:c>
      <x:c r="B4" s="16" t="str">
        <x:v>Sizing rule</x:v>
      </x:c>
      <x:c r="C4" s="16" t="str">
        <x:v>Units owned</x:v>
      </x:c>
      <x:c r="D4" s="16" t="str">
        <x:v>Unit rating</x:v>
      </x:c>
      <x:c r="E4" s="16" t="str">
        <x:v>Total rating</x:v>
      </x:c>
      <x:c r="F4" s="16" t="str">
        <x:v>Dry mass/unit (t)</x:v>
      </x:c>
      <x:c r="G4" s="16" t="str">
        <x:v>Total dry mass (t)</x:v>
      </x:c>
      <x:c r="H4" s="17" t="str">
        <x:v>Engineering gate</x:v>
      </x:c>
    </x:row>
    <x:row r="5">
      <x:c r="A5" s="23" t="str">
        <x:v>Mobile substations</x:v>
      </x:c>
      <x:c r="B5" s="23" t="str">
        <x:v>Capacity floor plus one N-1 reserve</x:v>
      </x:c>
      <x:c r="C5" s="23" t="n">
        <x:f>MAX('Controls'!$C$11+1,CEILING('Generation Fleet'!$C$12/'Controls'!$C$9/'Controls'!$C$47,1)+1)</x:f>
        <x:v>8</x:v>
      </x:c>
      <x:c r="D5" s="23" t="n">
        <x:f>'Controls'!$C$47</x:f>
        <x:v>25</x:v>
      </x:c>
      <x:c r="E5" s="23" t="n">
        <x:f>C5*D5</x:f>
        <x:v>200</x:v>
      </x:c>
      <x:c r="F5" s="23" t="n">
        <x:f>'Controls'!$C$48</x:f>
        <x:v>120</x:v>
      </x:c>
      <x:c r="G5" s="23" t="n">
        <x:f>C5*F5</x:f>
        <x:v>960</x:v>
      </x:c>
      <x:c r="H5" s="23" t="str">
        <x:v>Fault duty and transformer impedance</x:v>
      </x:c>
    </x:row>
    <x:row r="6">
      <x:c r="A6" s="23" t="str">
        <x:v>Distribution nodes</x:v>
      </x:c>
      <x:c r="B6" s="23" t="str">
        <x:v>Selected state node count</x:v>
      </x:c>
      <x:c r="C6" s="23" t="n">
        <x:f>'Network States'!$B$17</x:f>
        <x:v>60</x:v>
      </x:c>
      <x:c r="D6" s="23" t="str">
        <x:v>Site-specific</x:v>
      </x:c>
      <x:c r="E6" s="23"/>
      <x:c r="F6" s="23" t="n">
        <x:f>'Controls'!$C$49</x:f>
        <x:v>4</x:v>
      </x:c>
      <x:c r="G6" s="23" t="n">
        <x:f>C6*F6</x:f>
        <x:v>240</x:v>
      </x:c>
      <x:c r="H6" s="23" t="str">
        <x:v>Connection survey and protection settings</x:v>
      </x:c>
    </x:row>
    <x:row r="7">
      <x:c r="A7" s="23" t="str">
        <x:v>Grid-forming control cells</x:v>
      </x:c>
      <x:c r="B7" s="23" t="str">
        <x:v>One per island plus two reserve</x:v>
      </x:c>
      <x:c r="C7" s="23" t="n">
        <x:f>'Controls'!$C$11+2</x:f>
        <x:v>7</x:v>
      </x:c>
      <x:c r="D7" s="23" t="str">
        <x:v>Island controller</x:v>
      </x:c>
      <x:c r="E7" s="23"/>
      <x:c r="F7" s="23" t="n">
        <x:v>8</x:v>
      </x:c>
      <x:c r="G7" s="23" t="n">
        <x:f>C7*F7</x:f>
        <x:v>56</x:v>
      </x:c>
      <x:c r="H7" s="23" t="str">
        <x:v>Hardware-in-loop stability testing</x:v>
      </x:c>
    </x:row>
    <x:row r="8">
      <x:c r="A8" s="23" t="str">
        <x:v>Synchronization/tie packages</x:v>
      </x:c>
      <x:c r="B8" s="23" t="str">
        <x:v>One per island</x:v>
      </x:c>
      <x:c r="C8" s="23" t="n">
        <x:f>'Controls'!$C$11</x:f>
        <x:v>5</x:v>
      </x:c>
      <x:c r="D8" s="23" t="str">
        <x:v>Controlled tie</x:v>
      </x:c>
      <x:c r="E8" s="23"/>
      <x:c r="F8" s="23" t="n">
        <x:v>12</x:v>
      </x:c>
      <x:c r="G8" s="23" t="n">
        <x:f>C8*F8</x:f>
        <x:v>60</x:v>
      </x:c>
      <x:c r="H8" s="23" t="str">
        <x:v>Utility interconnection and resynchronization</x:v>
      </x:c>
    </x:row>
    <x:row r="9">
      <x:c r="A9" s="23" t="str">
        <x:v>Grounding/protection kits</x:v>
      </x:c>
      <x:c r="B9" s="23" t="str">
        <x:v>One per feeder plus 20% reserve</x:v>
      </x:c>
      <x:c r="C9" s="23" t="n">
        <x:f>CEILING('Controls'!$C$12*1.2,1)</x:f>
        <x:v>12</x:v>
      </x:c>
      <x:c r="D9" s="23" t="str">
        <x:v>Feeder kit</x:v>
      </x:c>
      <x:c r="E9" s="23"/>
      <x:c r="F9" s="23" t="n">
        <x:v>5</x:v>
      </x:c>
      <x:c r="G9" s="23" t="n">
        <x:f>C9*F9</x:f>
        <x:v>60</x:v>
      </x:c>
      <x:c r="H9" s="23" t="str">
        <x:v>Ground potential rise and touch voltage</x:v>
      </x:c>
    </x:row>
    <x:row r="10">
      <x:c r="A10" s="34"/>
      <x:c r="B10" s="34"/>
      <x:c r="C10" s="34"/>
      <x:c r="D10" s="34"/>
      <x:c r="E10" s="34"/>
      <x:c r="F10" s="34"/>
      <x:c r="G10" s="34"/>
      <x:c r="H10" s="34"/>
    </x:row>
    <x:row r="11">
      <x:c r="A11" s="34"/>
      <x:c r="B11" s="34"/>
      <x:c r="C11" s="34"/>
      <x:c r="D11" s="34"/>
      <x:c r="E11" s="34"/>
      <x:c r="F11" s="34"/>
      <x:c r="G11" s="34"/>
      <x:c r="H11" s="34"/>
    </x:row>
    <x:row r="12">
      <x:c r="A12" s="35" t="str">
        <x:v>Totals</x:v>
      </x:c>
      <x:c r="B12" s="36"/>
      <x:c r="C12" s="37"/>
      <x:c r="D12" s="34"/>
      <x:c r="E12" s="34"/>
      <x:c r="F12" s="34"/>
      <x:c r="G12" s="34"/>
      <x:c r="H12" s="34"/>
    </x:row>
    <x:row r="13">
      <x:c r="A13" s="34"/>
      <x:c r="B13" s="34"/>
      <x:c r="C13" s="34"/>
      <x:c r="D13" s="34"/>
      <x:c r="E13" s="34"/>
      <x:c r="F13" s="34"/>
      <x:c r="G13" s="34"/>
      <x:c r="H13" s="34"/>
    </x:row>
    <x:row r="14">
      <x:c r="A14" s="23" t="str">
        <x:v>Transformation/protection dry mass (t)</x:v>
      </x:c>
      <x:c r="B14" s="23" t="n">
        <x:f>SUM(G5:G9)</x:f>
        <x:v>1376</x:v>
      </x:c>
      <x:c r="C14" s="34"/>
      <x:c r="D14" s="34"/>
      <x:c r="E14" s="34"/>
      <x:c r="F14" s="34"/>
      <x:c r="G14" s="34"/>
      <x:c r="H14" s="34"/>
    </x:row>
    <x:row r="15">
      <x:c r="A15" s="23" t="str">
        <x:v>Substation capacity status</x:v>
      </x:c>
      <x:c r="B15" s="23" t="str">
        <x:f>IF(E5&gt;='Generation Fleet'!$C$12/'Controls'!$C$9,"Capacity available","Review")</x:f>
        <x:v>Capacity available</x:v>
      </x:c>
      <x:c r="C15" s="34"/>
      <x:c r="D15" s="34"/>
      <x:c r="E15" s="34"/>
      <x:c r="F15" s="34"/>
      <x:c r="G15" s="34"/>
      <x:c r="H15" s="34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6" hidden="0" customWidth="1"/>
    <x:col min="3" max="3" width="14" hidden="0" customWidth="1"/>
    <x:col min="4" max="4" width="16" hidden="0" customWidth="1"/>
    <x:col min="5" max="5" width="12" hidden="0" customWidth="1"/>
    <x:col min="6" max="6" width="17" hidden="0" customWidth="1"/>
    <x:col min="7" max="7" width="19" hidden="0" customWidth="1"/>
    <x:col min="8" max="8" width="23" hidden="0" customWidth="1"/>
    <x:col min="9" max="9" width="24" hidden="0" customWidth="1"/>
    <x:col min="10" max="10" width="16" hidden="0" customWidth="1"/>
    <x:col min="11" max="11" width="18" hidden="0" customWidth="1"/>
  </x:cols>
  <x:sheetData>
    <x:row r="1" ht="24" customHeight="1">
      <x:c r="A1" s="2" t="str">
        <x:v>Temporary network construction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30" customHeight="1">
      <x:c r="A2" s="3" t="str">
        <x:v>Mass and duration are calculated for all three network states so the operational choice remains visible.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4" ht="32" customHeight="1">
      <x:c r="A4" s="15" t="str">
        <x:v>State</x:v>
      </x:c>
      <x:c r="B4" s="16" t="str">
        <x:v>Total route km</x:v>
      </x:c>
      <x:c r="C4" s="16" t="str">
        <x:v>Cable km</x:v>
      </x:c>
      <x:c r="D4" s="16" t="str">
        <x:v>Overhead km</x:v>
      </x:c>
      <x:c r="E4" s="16" t="str">
        <x:v>Poles</x:v>
      </x:c>
      <x:c r="F4" s="16" t="str">
        <x:v>Cable mass (t)</x:v>
      </x:c>
      <x:c r="G4" s="16" t="str">
        <x:v>OH conductor (t)</x:v>
      </x:c>
      <x:c r="H4" s="16" t="str">
        <x:v>Pole+foundation (t)</x:v>
      </x:c>
      <x:c r="I4" s="16" t="str">
        <x:v>Construction equipment (t)</x:v>
      </x:c>
      <x:c r="J4" s="16" t="str">
        <x:v>Setup days</x:v>
      </x:c>
      <x:c r="K4" s="17" t="str">
        <x:v>Distribution nodes</x:v>
      </x:c>
    </x:row>
    <x:row r="5">
      <x:c r="A5" s="23" t="str">
        <x:v>Reuse</x:v>
      </x:c>
      <x:c r="B5" s="49" t="n">
        <x:f>'Network States'!B5</x:f>
        <x:v>10</x:v>
      </x:c>
      <x:c r="C5" s="49" t="n">
        <x:f>B5*'Network States'!C5</x:f>
        <x:v>8</x:v>
      </x:c>
      <x:c r="D5" s="49" t="n">
        <x:f>B5*'Network States'!D5</x:f>
        <x:v>2</x:v>
      </x:c>
      <x:c r="E5" s="49" t="n">
        <x:f>D5*'Controls'!$C$40</x:f>
        <x:v>40</x:v>
      </x:c>
      <x:c r="F5" s="49" t="n">
        <x:f>C5*'Controls'!$C$38</x:f>
        <x:v>64</x:v>
      </x:c>
      <x:c r="G5" s="49" t="n">
        <x:f>D5*'Controls'!$C$39</x:f>
        <x:v>6.6</x:v>
      </x:c>
      <x:c r="H5" s="49" t="n">
        <x:f>E5*('Controls'!$C$41+'Controls'!$C$42)</x:f>
        <x:v>128</x:v>
      </x:c>
      <x:c r="I5" s="49" t="n">
        <x:f>B5*'Controls'!$C$50</x:f>
        <x:v>250</x:v>
      </x:c>
      <x:c r="J5" s="49" t="n">
        <x:f>MAX(C5/('Controls'!$C$45*'Controls'!$C$44),D5/('Controls'!$C$45*'Controls'!$C$43))+'Controls'!$C$46</x:f>
        <x:v>6.333333333333333</x:v>
      </x:c>
      <x:c r="K5" s="49" t="n">
        <x:f>'Network States'!E5</x:f>
        <x:v>20</x:v>
      </x:c>
    </x:row>
    <x:row r="6">
      <x:c r="A6" s="23" t="str">
        <x:v>Bypass</x:v>
      </x:c>
      <x:c r="B6" s="49" t="n">
        <x:f>'Network States'!B6</x:f>
        <x:v>60</x:v>
      </x:c>
      <x:c r="C6" s="49" t="n">
        <x:f>B6*'Network States'!C6</x:f>
        <x:v>24</x:v>
      </x:c>
      <x:c r="D6" s="49" t="n">
        <x:f>B6*'Network States'!D6</x:f>
        <x:v>36</x:v>
      </x:c>
      <x:c r="E6" s="49" t="n">
        <x:f>D6*'Controls'!$C$40</x:f>
        <x:v>720</x:v>
      </x:c>
      <x:c r="F6" s="49" t="n">
        <x:f>C6*'Controls'!$C$38</x:f>
        <x:v>192</x:v>
      </x:c>
      <x:c r="G6" s="49" t="n">
        <x:f>D6*'Controls'!$C$39</x:f>
        <x:v>118.8</x:v>
      </x:c>
      <x:c r="H6" s="49" t="n">
        <x:f>E6*('Controls'!$C$41+'Controls'!$C$42)</x:f>
        <x:v>2304</x:v>
      </x:c>
      <x:c r="I6" s="49" t="n">
        <x:f>B6*'Controls'!$C$50</x:f>
        <x:v>1500</x:v>
      </x:c>
      <x:c r="J6" s="49" t="n">
        <x:f>MAX(C6/('Controls'!$C$45*'Controls'!$C$44),D6/('Controls'!$C$45*'Controls'!$C$43))+'Controls'!$C$46</x:f>
        <x:v>13.571428571428573</x:v>
      </x:c>
      <x:c r="K6" s="49" t="n">
        <x:f>'Network States'!E6</x:f>
        <x:v>60</x:v>
      </x:c>
    </x:row>
    <x:row r="7">
      <x:c r="A7" s="23" t="str">
        <x:v>Rebuild</x:v>
      </x:c>
      <x:c r="B7" s="49" t="n">
        <x:f>'Network States'!B7</x:f>
        <x:v>180</x:v>
      </x:c>
      <x:c r="C7" s="49" t="n">
        <x:f>B7*'Network States'!C7</x:f>
        <x:v>36</x:v>
      </x:c>
      <x:c r="D7" s="49" t="n">
        <x:f>B7*'Network States'!D7</x:f>
        <x:v>144</x:v>
      </x:c>
      <x:c r="E7" s="49" t="n">
        <x:f>D7*'Controls'!$C$40</x:f>
        <x:v>2880</x:v>
      </x:c>
      <x:c r="F7" s="49" t="n">
        <x:f>C7*'Controls'!$C$38</x:f>
        <x:v>288</x:v>
      </x:c>
      <x:c r="G7" s="49" t="n">
        <x:f>D7*'Controls'!$C$39</x:f>
        <x:v>475.2</x:v>
      </x:c>
      <x:c r="H7" s="49" t="n">
        <x:f>E7*('Controls'!$C$41+'Controls'!$C$42)</x:f>
        <x:v>9216</x:v>
      </x:c>
      <x:c r="I7" s="49" t="n">
        <x:f>B7*'Controls'!$C$50</x:f>
        <x:v>4500</x:v>
      </x:c>
      <x:c r="J7" s="49" t="n">
        <x:f>MAX(C7/('Controls'!$C$45*'Controls'!$C$44),D7/('Controls'!$C$45*'Controls'!$C$43))+'Controls'!$C$46</x:f>
        <x:v>39.28571428571429</x:v>
      </x:c>
      <x:c r="K7" s="49" t="n">
        <x:f>'Network States'!E7</x:f>
        <x:v>120</x:v>
      </x:c>
    </x:row>
    <x:row r="8">
      <x:c r="A8" s="34"/>
      <x:c r="B8" s="34"/>
      <x:c r="C8" s="34"/>
      <x:c r="D8" s="34"/>
      <x:c r="E8" s="34"/>
      <x:c r="F8" s="34"/>
      <x:c r="G8" s="34"/>
      <x:c r="H8" s="34"/>
      <x:c r="I8" s="34"/>
      <x:c r="J8" s="34"/>
      <x:c r="K8" s="34"/>
    </x:row>
    <x:row r="9">
      <x:c r="A9" s="34"/>
      <x:c r="B9" s="34"/>
      <x:c r="C9" s="34"/>
      <x:c r="D9" s="34"/>
      <x:c r="E9" s="34"/>
      <x:c r="F9" s="34"/>
      <x:c r="G9" s="34"/>
      <x:c r="H9" s="34"/>
      <x:c r="I9" s="34"/>
      <x:c r="J9" s="34"/>
      <x:c r="K9" s="34"/>
    </x:row>
    <x:row r="10">
      <x:c r="A10" s="35" t="str">
        <x:v>Selected construction state</x:v>
      </x:c>
      <x:c r="B10" s="36"/>
      <x:c r="C10" s="37"/>
      <x:c r="D10" s="34"/>
      <x:c r="E10" s="34"/>
      <x:c r="F10" s="34"/>
      <x:c r="G10" s="34"/>
      <x:c r="H10" s="34"/>
      <x:c r="I10" s="34"/>
      <x:c r="J10" s="34"/>
      <x:c r="K10" s="34"/>
    </x:row>
    <x:row r="11">
      <x:c r="A11" s="34"/>
      <x:c r="B11" s="34"/>
      <x:c r="C11" s="34"/>
      <x:c r="D11" s="34"/>
      <x:c r="E11" s="34"/>
      <x:c r="F11" s="34"/>
      <x:c r="G11" s="34"/>
      <x:c r="H11" s="34"/>
      <x:c r="I11" s="34"/>
      <x:c r="J11" s="34"/>
      <x:c r="K11" s="34"/>
    </x:row>
    <x:row r="12" ht="32" customHeight="1">
      <x:c r="A12" s="15" t="str">
        <x:v>Metric</x:v>
      </x:c>
      <x:c r="B12" s="17" t="str">
        <x:v>Value</x:v>
      </x:c>
      <x:c r="C12" s="34"/>
      <x:c r="D12" s="34"/>
      <x:c r="E12" s="34"/>
      <x:c r="F12" s="34"/>
      <x:c r="G12" s="34"/>
      <x:c r="H12" s="34"/>
      <x:c r="I12" s="34"/>
      <x:c r="J12" s="34"/>
      <x:c r="K12" s="34"/>
    </x:row>
    <x:row r="13">
      <x:c r="A13" s="23" t="str">
        <x:v>State</x:v>
      </x:c>
      <x:c r="B13" s="23" t="str">
        <x:f>'Controls'!$C$5</x:f>
        <x:v>Bypass</x:v>
      </x:c>
      <x:c r="C13" s="34"/>
      <x:c r="D13" s="34"/>
      <x:c r="E13" s="34"/>
      <x:c r="F13" s="34"/>
      <x:c r="G13" s="34"/>
      <x:c r="H13" s="34"/>
      <x:c r="I13" s="34"/>
      <x:c r="J13" s="34"/>
      <x:c r="K13" s="34"/>
    </x:row>
    <x:row r="14">
      <x:c r="A14" s="23" t="str">
        <x:v>Cable km</x:v>
      </x:c>
      <x:c r="B14" s="49" t="n">
        <x:f>INDEX(C5:C7,MATCH(B13,A5:A7,0))</x:f>
        <x:v>24</x:v>
      </x:c>
      <x:c r="C14" s="34"/>
      <x:c r="D14" s="34"/>
      <x:c r="E14" s="34"/>
      <x:c r="F14" s="34"/>
      <x:c r="G14" s="34"/>
      <x:c r="H14" s="34"/>
      <x:c r="I14" s="34"/>
      <x:c r="J14" s="34"/>
      <x:c r="K14" s="34"/>
    </x:row>
    <x:row r="15">
      <x:c r="A15" s="23" t="str">
        <x:v>Overhead km</x:v>
      </x:c>
      <x:c r="B15" s="49" t="n">
        <x:f>INDEX(D5:D7,MATCH(B13,A5:A7,0))</x:f>
        <x:v>36</x:v>
      </x:c>
      <x:c r="C15" s="34"/>
      <x:c r="D15" s="34"/>
      <x:c r="E15" s="34"/>
      <x:c r="F15" s="34"/>
      <x:c r="G15" s="34"/>
      <x:c r="H15" s="34"/>
      <x:c r="I15" s="34"/>
      <x:c r="J15" s="34"/>
      <x:c r="K15" s="34"/>
    </x:row>
    <x:row r="16">
      <x:c r="A16" s="23" t="str">
        <x:v>Poles</x:v>
      </x:c>
      <x:c r="B16" s="49" t="n">
        <x:f>INDEX(E5:E7,MATCH(B13,A5:A7,0))</x:f>
        <x:v>720</x:v>
      </x:c>
      <x:c r="C16" s="34"/>
      <x:c r="D16" s="34"/>
      <x:c r="E16" s="34"/>
      <x:c r="F16" s="34"/>
      <x:c r="G16" s="34"/>
      <x:c r="H16" s="34"/>
      <x:c r="I16" s="34"/>
      <x:c r="J16" s="34"/>
      <x:c r="K16" s="34"/>
    </x:row>
    <x:row r="17">
      <x:c r="A17" s="23" t="str">
        <x:v>Line material mass (t)</x:v>
      </x:c>
      <x:c r="B17" s="49" t="n">
        <x:f>INDEX(F5:F7,MATCH(B13,A5:A7,0))+INDEX(G5:G7,MATCH(B13,A5:A7,0))+INDEX(H5:H7,MATCH(B13,A5:A7,0))</x:f>
        <x:v>2614.8</x:v>
      </x:c>
      <x:c r="C17" s="34"/>
      <x:c r="D17" s="34"/>
      <x:c r="E17" s="34"/>
      <x:c r="F17" s="34"/>
      <x:c r="G17" s="34"/>
      <x:c r="H17" s="34"/>
      <x:c r="I17" s="34"/>
      <x:c r="J17" s="34"/>
      <x:c r="K17" s="34"/>
    </x:row>
    <x:row r="18">
      <x:c r="A18" s="23" t="str">
        <x:v>Construction equipment (t)</x:v>
      </x:c>
      <x:c r="B18" s="49" t="n">
        <x:f>INDEX(I5:I7,MATCH(B13,A5:A7,0))</x:f>
        <x:v>1500</x:v>
      </x:c>
      <x:c r="C18" s="34"/>
      <x:c r="D18" s="34"/>
      <x:c r="E18" s="34"/>
      <x:c r="F18" s="34"/>
      <x:c r="G18" s="34"/>
      <x:c r="H18" s="34"/>
      <x:c r="I18" s="34"/>
      <x:c r="J18" s="34"/>
      <x:c r="K18" s="34"/>
    </x:row>
    <x:row r="19">
      <x:c r="A19" s="23" t="str">
        <x:v>Setup days</x:v>
      </x:c>
      <x:c r="B19" s="49" t="n">
        <x:f>INDEX(J5:J7,MATCH(B13,A5:A7,0))</x:f>
        <x:v>13.571428571428573</x:v>
      </x:c>
      <x:c r="C19" s="34"/>
      <x:c r="D19" s="34"/>
      <x:c r="E19" s="34"/>
      <x:c r="F19" s="34"/>
      <x:c r="G19" s="34"/>
      <x:c r="H19" s="34"/>
      <x:c r="I19" s="34"/>
      <x:c r="J19" s="34"/>
      <x:c r="K19" s="34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18" hidden="0" customWidth="1"/>
    <x:col min="3" max="3" width="21" hidden="0" customWidth="1"/>
    <x:col min="4" max="4" width="4" hidden="0" customWidth="1"/>
    <x:col min="5" max="5" width="40" hidden="0" customWidth="1"/>
    <x:col min="6" max="6" width="57" hidden="0" customWidth="1"/>
  </x:cols>
  <x:sheetData>
    <x:row r="1" ht="24" customHeight="1">
      <x:c r="A1" s="2" t="str">
        <x:v>Fuel, energy and sustainment flows</x:v>
      </x:c>
      <x:c r="B1" s="1"/>
      <x:c r="C1" s="1"/>
      <x:c r="D1" s="1"/>
      <x:c r="E1" s="1"/>
      <x:c r="F1" s="1"/>
    </x:row>
    <x:row r="2" ht="30" customHeight="1">
      <x:c r="A2" s="3" t="str">
        <x:v>Fuel is calculated from dispatched source shares. Stored liquid fuel is reported separately from dry deployment mass.</x:v>
      </x:c>
      <x:c r="B2" s="3"/>
      <x:c r="C2" s="3"/>
      <x:c r="D2" s="3"/>
      <x:c r="E2" s="3"/>
      <x:c r="F2" s="3"/>
    </x:row>
    <x:row r="4" ht="32" customHeight="1">
      <x:c r="A4" s="15" t="str">
        <x:v>Metric</x:v>
      </x:c>
      <x:c r="B4" s="16" t="str">
        <x:v>Unit</x:v>
      </x:c>
      <x:c r="C4" s="17" t="str">
        <x:v>Value</x:v>
      </x:c>
      <x:c r="D4" s="34"/>
      <x:c r="E4" s="15" t="str">
        <x:v>Operational fact</x:v>
      </x:c>
      <x:c r="F4" s="17" t="str">
        <x:v>Implication</x:v>
      </x:c>
    </x:row>
    <x:row r="5">
      <x:c r="A5" s="23" t="str">
        <x:v>Gross dispatched generation</x:v>
      </x:c>
      <x:c r="B5" s="23" t="str">
        <x:v>MW</x:v>
      </x:c>
      <x:c r="C5" s="49" t="n">
        <x:f>'Generation Fleet'!$C$7</x:f>
        <x:v>103.89476864292646</x:v>
      </x:c>
      <x:c r="D5" s="34"/>
      <x:c r="E5" s="23" t="str">
        <x:v>Seven-day reserve is a major liquid inventory</x:v>
      </x:c>
      <x:c r="F5" s="23" t="str">
        <x:v>Tank spacing, berming, fire protection and replenishment are formation-level capabilities</x:v>
      </x:c>
    </x:row>
    <x:row r="6">
      <x:c r="A6" s="23" t="str">
        <x:v>Liquid generation</x:v>
      </x:c>
      <x:c r="B6" s="23" t="str">
        <x:v>MW</x:v>
      </x:c>
      <x:c r="C6" s="49" t="n">
        <x:f>C5*'Source Cases'!$B$14</x:f>
        <x:v>83.11581491434117</x:v>
      </x:c>
      <x:c r="D6" s="34"/>
      <x:c r="E6" s="23" t="str">
        <x:v>Gas hybrid cuts liquid truck demand</x:v>
      </x:c>
      <x:c r="F6" s="23" t="str">
        <x:v>It creates dependence on surviving gas pressure or a separate gas logistics chain</x:v>
      </x:c>
    </x:row>
    <x:row r="7">
      <x:c r="A7" s="23" t="str">
        <x:v>Gas generation</x:v>
      </x:c>
      <x:c r="B7" s="23" t="str">
        <x:v>MW</x:v>
      </x:c>
      <x:c r="C7" s="49" t="n">
        <x:f>C5*'Source Cases'!$B$15</x:f>
        <x:v>0</x:v>
      </x:c>
      <x:c r="D7" s="34"/>
      <x:c r="E7" s="23" t="str">
        <x:v>Grid/local source is conditional</x:v>
      </x:c>
      <x:c r="F7" s="23" t="str">
        <x:v>Controlled separation must be safer than remaining tied to an unstable grid</x:v>
      </x:c>
    </x:row>
    <x:row r="8">
      <x:c r="A8" s="23" t="str">
        <x:v>Grid/local generation</x:v>
      </x:c>
      <x:c r="B8" s="23" t="str">
        <x:v>MW</x:v>
      </x:c>
      <x:c r="C8" s="49" t="n">
        <x:f>C5*'Source Cases'!$B$16</x:f>
        <x:v>20.778953728585293</x:v>
      </x:c>
      <x:c r="D8" s="34"/>
      <x:c r="E8" s="23" t="str">
        <x:v>Fuel purity and filtration are mission critical</x:v>
      </x:c>
      <x:c r="F8" s="23" t="str">
        <x:v>Contamination can remove many nominally independent modules</x:v>
      </x:c>
    </x:row>
    <x:row r="9">
      <x:c r="A9" s="23" t="str">
        <x:v>Liquid fuel</x:v>
      </x:c>
      <x:c r="B9" s="23" t="str">
        <x:v>gal/day</x:v>
      </x:c>
      <x:c r="C9" s="49" t="n">
        <x:f>C6*24000*'Controls'!$C$31/'Controls'!$C$33</x:f>
        <x:v>152460.56848045927</x:v>
      </x:c>
      <x:c r="D9" s="34"/>
      <x:c r="E9" s="23" t="str">
        <x:v>Reserve nameplate is not burned continuously</x:v>
      </x:c>
      <x:c r="F9" s="23" t="str">
        <x:v>Fuel follows dispatched MW, not installed MW</x:v>
      </x:c>
    </x:row>
    <x:row r="10">
      <x:c r="A10" s="23" t="str">
        <x:v>Liquid fuel</x:v>
      </x:c>
      <x:c r="B10" s="23" t="str">
        <x:v>m³/day</x:v>
      </x:c>
      <x:c r="C10" s="49" t="n">
        <x:f>C9*0.00378541</x:f>
        <x:v>577.1257605316154</x:v>
      </x:c>
      <x:c r="D10" s="34"/>
      <x:c r="E10" s="34"/>
      <x:c r="F10" s="34"/>
    </x:row>
    <x:row r="11">
      <x:c r="A11" s="23" t="str">
        <x:v>Liquid trucks</x:v>
      </x:c>
      <x:c r="B11" s="23" t="str">
        <x:v>loads/day</x:v>
      </x:c>
      <x:c r="C11" s="49" t="n">
        <x:f>C9/'Controls'!$C$35</x:f>
        <x:v>16.940063164495474</x:v>
      </x:c>
      <x:c r="D11" s="34"/>
      <x:c r="E11" s="34"/>
      <x:c r="F11" s="34"/>
    </x:row>
    <x:row r="12">
      <x:c r="A12" s="23" t="str">
        <x:v>Onsite reserve</x:v>
      </x:c>
      <x:c r="B12" s="23" t="str">
        <x:v>gal</x:v>
      </x:c>
      <x:c r="C12" s="49" t="n">
        <x:f>C9*'Controls'!$C$34</x:f>
        <x:v>1067223.979363215</x:v>
      </x:c>
      <x:c r="D12" s="34"/>
      <x:c r="E12" s="34"/>
      <x:c r="F12" s="34"/>
    </x:row>
    <x:row r="13">
      <x:c r="A13" s="23" t="str">
        <x:v>Onsite reserve mass</x:v>
      </x:c>
      <x:c r="B13" s="23" t="str">
        <x:v>t</x:v>
      </x:c>
      <x:c r="C13" s="49" t="n">
        <x:f>C12*3.16/1000</x:f>
        <x:v>3372.4277747877595</x:v>
      </x:c>
      <x:c r="D13" s="34"/>
      <x:c r="E13" s="34"/>
      <x:c r="F13" s="34"/>
    </x:row>
    <x:row r="14">
      <x:c r="A14" s="23" t="str">
        <x:v>Gas energy</x:v>
      </x:c>
      <x:c r="B14" s="23" t="str">
        <x:v>MMBtu/day</x:v>
      </x:c>
      <x:c r="C14" s="49" t="n">
        <x:f>C7*24000*'Controls'!$C$32/1000000</x:f>
        <x:v>0</x:v>
      </x:c>
      <x:c r="D14" s="34"/>
      <x:c r="E14" s="34"/>
      <x:c r="F14" s="34"/>
    </x:row>
    <x:row r="15">
      <x:c r="A15" s="23" t="str">
        <x:v>Campaign liquid fuel</x:v>
      </x:c>
      <x:c r="B15" s="23" t="str">
        <x:v>gal</x:v>
      </x:c>
      <x:c r="C15" s="49" t="n">
        <x:f>C9*'Controls'!$C$13</x:f>
        <x:v>4573817.054413779</x:v>
      </x:c>
      <x:c r="D15" s="34"/>
      <x:c r="E15" s="34"/>
      <x:c r="F15" s="34"/>
    </x:row>
    <x:row r="16">
      <x:c r="A16" s="23" t="str">
        <x:v>Campaign gas energy</x:v>
      </x:c>
      <x:c r="B16" s="23" t="str">
        <x:v>MMBtu</x:v>
      </x:c>
      <x:c r="C16" s="49" t="n">
        <x:f>C14*'Controls'!$C$13</x:f>
        <x:v>0</x:v>
      </x:c>
      <x:c r="D16" s="34"/>
      <x:c r="E16" s="34"/>
      <x:c r="F16" s="34"/>
    </x:row>
    <x:row r="17">
      <x:c r="A17" s="23" t="str">
        <x:v>Campaign delivered energy</x:v>
      </x:c>
      <x:c r="B17" s="23" t="str">
        <x:v>MWh</x:v>
      </x:c>
      <x:c r="C17" s="49" t="n">
        <x:f>'Controls'!$C$8*24*'Controls'!$C$13</x:f>
        <x:v>72000</x:v>
      </x:c>
      <x:c r="D17" s="34"/>
      <x:c r="E17" s="34"/>
      <x:c r="F17" s="34"/>
    </x:row>
    <x:row r="18">
      <x:c r="A18" s="23" t="str">
        <x:v>Source shares status</x:v>
      </x:c>
      <x:c r="B18" s="23" t="str">
        <x:v>status</x:v>
      </x:c>
      <x:c r="C18" s="23" t="str">
        <x:f>IF(ABS('Source Cases'!$B$14+'Source Cases'!$B$15+'Source Cases'!$B$16-1)&lt;0.0001,"Reconciles","Review")</x:f>
        <x:v>Reconciles</x:v>
      </x:c>
      <x:c r="D18" s="34"/>
      <x:c r="E18" s="34"/>
      <x:c r="F18" s="34"/>
    </x:row>
    <x:row r="19">
      <x:c r="A19" s="23" t="str">
        <x:v>Liquid benchmark at 100 MW</x:v>
      </x:c>
      <x:c r="B19" s="23" t="str">
        <x:v>gal/day</x:v>
      </x:c>
      <x:c r="C19" s="49" t="n">
        <x:f>100*24000*10500/137381</x:f>
        <x:v>183431.47887990333</x:v>
      </x:c>
      <x:c r="D19" s="34"/>
      <x:c r="E19" s="34"/>
      <x:c r="F19" s="34"/>
    </x:row>
    <x:row r="20">
      <x:c r="A20" s="23" t="str">
        <x:v>Benchmark difference</x:v>
      </x:c>
      <x:c r="B20" s="23" t="str">
        <x:v>gal/day</x:v>
      </x:c>
      <x:c r="C20" s="49" t="n">
        <x:f>C9-C19</x:f>
        <x:v>-30970.910399444052</x:v>
      </x:c>
      <x:c r="D20" s="34"/>
      <x:c r="E20" s="34"/>
      <x:c r="F20" s="34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3" max="3" width="21" hidden="0" customWidth="1"/>
    <x:col min="4" max="4" width="4" hidden="0" customWidth="1"/>
    <x:col min="5" max="5" width="28" hidden="0" customWidth="1"/>
    <x:col min="6" max="6" width="64" hidden="0" customWidth="1"/>
  </x:cols>
  <x:sheetData>
    <x:row r="1" ht="24" customHeight="1">
      <x:c r="A1" s="2" t="str">
        <x:v>Rapid thermal-protection utility</x:v>
      </x:c>
      <x:c r="B1" s="1"/>
      <x:c r="C1" s="1"/>
      <x:c r="D1" s="1"/>
      <x:c r="E1" s="1"/>
      <x:c r="F1" s="1"/>
    </x:row>
    <x:row r="2" ht="30" customHeight="1">
      <x:c r="A2" s="3" t="str">
        <x:v>Electric power becomes population protection only through heat pumps, distribution, shelter envelopes, controls and safe occupancy.</x:v>
      </x:c>
      <x:c r="B2" s="3"/>
      <x:c r="C2" s="3"/>
      <x:c r="D2" s="3"/>
      <x:c r="E2" s="3"/>
      <x:c r="F2" s="3"/>
    </x:row>
    <x:row r="4" ht="32" customHeight="1">
      <x:c r="A4" s="15" t="str">
        <x:v>Metric</x:v>
      </x:c>
      <x:c r="B4" s="16" t="str">
        <x:v>Unit</x:v>
      </x:c>
      <x:c r="C4" s="17" t="str">
        <x:v>Value</x:v>
      </x:c>
      <x:c r="D4" s="34"/>
      <x:c r="E4" s="15" t="str">
        <x:v>System layer</x:v>
      </x:c>
      <x:c r="F4" s="17" t="str">
        <x:v>Required capability</x:v>
      </x:c>
    </x:row>
    <x:row r="5">
      <x:c r="A5" s="23" t="str">
        <x:v>Electric allocation</x:v>
      </x:c>
      <x:c r="B5" s="23" t="str">
        <x:v>MW</x:v>
      </x:c>
      <x:c r="C5" s="49" t="n">
        <x:f>'Controls'!$C$26</x:f>
        <x:v>20</x:v>
      </x:c>
      <x:c r="D5" s="34"/>
      <x:c r="E5" s="23" t="str">
        <x:v>Source</x:v>
      </x:c>
      <x:c r="F5" s="23" t="str">
        <x:v>Firm electric allocation with controlled shedding</x:v>
      </x:c>
    </x:row>
    <x:row r="6">
      <x:c r="A6" s="23" t="str">
        <x:v>Thermal COP</x:v>
      </x:c>
      <x:c r="B6" s="23" t="str">
        <x:v>ratio</x:v>
      </x:c>
      <x:c r="C6" s="49" t="n">
        <x:f>'Controls'!$C$27</x:f>
        <x:v>3</x:v>
      </x:c>
      <x:c r="D6" s="34"/>
      <x:c r="E6" s="23" t="str">
        <x:v>Plant</x:v>
      </x:c>
      <x:c r="F6" s="23" t="str">
        <x:v>Modular heat pumps, chillers, boilers where justified, and thermal storage</x:v>
      </x:c>
    </x:row>
    <x:row r="7">
      <x:c r="A7" s="23" t="str">
        <x:v>Delivered thermal capacity</x:v>
      </x:c>
      <x:c r="B7" s="23" t="str">
        <x:v>MWth</x:v>
      </x:c>
      <x:c r="C7" s="49" t="n">
        <x:f>C5*C6</x:f>
        <x:v>60</x:v>
      </x:c>
      <x:c r="D7" s="34"/>
      <x:c r="E7" s="23" t="str">
        <x:v>Distribution</x:v>
      </x:c>
      <x:c r="F7" s="23" t="str">
        <x:v>Temporary hydronic loops, ducting or packaged local units</x:v>
      </x:c>
    </x:row>
    <x:row r="8">
      <x:c r="A8" s="23" t="str">
        <x:v>Concurrent intensity</x:v>
      </x:c>
      <x:c r="B8" s="23" t="str">
        <x:v>kWth/person</x:v>
      </x:c>
      <x:c r="C8" s="49" t="n">
        <x:f>'Controls'!$C$28</x:f>
        <x:v>0.5</x:v>
      </x:c>
      <x:c r="D8" s="34"/>
      <x:c r="E8" s="23" t="str">
        <x:v>Building interface</x:v>
      </x:c>
      <x:c r="F8" s="23" t="str">
        <x:v>Envelope kits, ventilation, filtration and electrical safety</x:v>
      </x:c>
    </x:row>
    <x:row r="9">
      <x:c r="A9" s="23" t="str">
        <x:v>Concurrent protected population</x:v>
      </x:c>
      <x:c r="B9" s="23" t="str">
        <x:v>people</x:v>
      </x:c>
      <x:c r="C9" s="49" t="n">
        <x:f>C7*1000/C8</x:f>
        <x:v>120000</x:v>
      </x:c>
      <x:c r="D9" s="34"/>
      <x:c r="E9" s="23" t="str">
        <x:v>Operations</x:v>
      </x:c>
      <x:c r="F9" s="23" t="str">
        <x:v>Occupancy sensing, temperature prioritization and public-health limits</x:v>
      </x:c>
    </x:row>
    <x:row r="10">
      <x:c r="A10" s="23" t="str">
        <x:v>Operating hours/day</x:v>
      </x:c>
      <x:c r="B10" s="23" t="str">
        <x:v>hours</x:v>
      </x:c>
      <x:c r="C10" s="49" t="n">
        <x:v>16</x:v>
      </x:c>
      <x:c r="D10" s="34"/>
      <x:c r="E10" s="23" t="str">
        <x:v>Sustainment</x:v>
      </x:c>
      <x:c r="F10" s="23" t="str">
        <x:v>Filters, refrigerant, water treatment, maintenance and spares</x:v>
      </x:c>
    </x:row>
    <x:row r="11">
      <x:c r="A11" s="23" t="str">
        <x:v>Protected person-hours/day</x:v>
      </x:c>
      <x:c r="B11" s="23" t="str">
        <x:v>person-hours</x:v>
      </x:c>
      <x:c r="C11" s="49" t="n">
        <x:f>C9*C10</x:f>
        <x:v>1920000</x:v>
      </x:c>
      <x:c r="D11" s="34"/>
      <x:c r="E11" s="34"/>
      <x:c r="F11" s="34"/>
    </x:row>
    <x:row r="12">
      <x:c r="A12" s="23" t="str">
        <x:v>Equivalent 24-hour population</x:v>
      </x:c>
      <x:c r="B12" s="23" t="str">
        <x:v>people</x:v>
      </x:c>
      <x:c r="C12" s="49" t="n">
        <x:f>C11/24</x:f>
        <x:v>80000</x:v>
      </x:c>
      <x:c r="D12" s="34"/>
      <x:c r="E12" s="34"/>
      <x:c r="F12" s="34"/>
    </x:row>
    <x:row r="13">
      <x:c r="A13" s="23" t="str">
        <x:v>Share of net electrical load</x:v>
      </x:c>
      <x:c r="B13" s="23" t="str">
        <x:v>%</x:v>
      </x:c>
      <x:c r="C13" s="51" t="n">
        <x:f>C5/'Controls'!$C$8</x:f>
        <x:v>0.2</x:v>
      </x:c>
      <x:c r="D13" s="34"/>
      <x:c r="E13" s="34"/>
      <x:c r="F13" s="34"/>
    </x:row>
    <x:row r="14">
      <x:c r="A14" s="23" t="str">
        <x:v>Allocation headroom</x:v>
      </x:c>
      <x:c r="B14" s="23" t="str">
        <x:v>MW</x:v>
      </x:c>
      <x:c r="C14" s="49" t="n">
        <x:f>'Load Registry'!$B$9-C5</x:f>
        <x:v>0</x:v>
      </x:c>
      <x:c r="D14" s="34"/>
      <x:c r="E14" s="34"/>
      <x:c r="F14" s="34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9" hidden="0" customWidth="1"/>
    <x:col min="2" max="2" width="32" hidden="0" customWidth="1"/>
    <x:col min="3" max="3" width="14" hidden="0" customWidth="1"/>
    <x:col min="4" max="4" width="15" hidden="0" customWidth="1"/>
    <x:col min="5" max="5" width="18" hidden="0" customWidth="1"/>
    <x:col min="6" max="6" width="18" hidden="0" customWidth="1"/>
    <x:col min="7" max="7" width="22" hidden="0" customWidth="1"/>
    <x:col min="8" max="8" width="49" hidden="0" customWidth="1"/>
  </x:cols>
  <x:sheetData>
    <x:row r="1" ht="24" customHeight="1">
      <x:c r="A1" s="2" t="str">
        <x:v>Preliminary deployment manifest</x:v>
      </x:c>
      <x:c r="B1" s="1"/>
      <x:c r="C1" s="1"/>
      <x:c r="D1" s="1"/>
      <x:c r="E1" s="1"/>
      <x:c r="F1" s="1"/>
      <x:c r="G1" s="1"/>
      <x:c r="H1" s="1"/>
    </x:row>
    <x:row r="2" ht="30" customHeight="1">
      <x:c r="A2" s="3" t="str">
        <x:v>Dry mass is a strategic-mobility screening value. Stored fuel is excluded and reported separately.</x:v>
      </x:c>
      <x:c r="B2" s="3"/>
      <x:c r="C2" s="3"/>
      <x:c r="D2" s="3"/>
      <x:c r="E2" s="3"/>
      <x:c r="F2" s="3"/>
      <x:c r="G2" s="3"/>
      <x:c r="H2" s="3"/>
    </x:row>
    <x:row r="4" ht="32" customHeight="1">
      <x:c r="A4" s="15" t="str">
        <x:v>Category</x:v>
      </x:c>
      <x:c r="B4" s="16" t="str">
        <x:v>Sizing basis</x:v>
      </x:c>
      <x:c r="C4" s="16" t="str">
        <x:v>Quantity</x:v>
      </x:c>
      <x:c r="D4" s="16" t="str">
        <x:v>Unit</x:v>
      </x:c>
      <x:c r="E4" s="16" t="str">
        <x:v>Unit mass (t)</x:v>
      </x:c>
      <x:c r="F4" s="16" t="str">
        <x:v>Subtotal (t)</x:v>
      </x:c>
      <x:c r="G4" s="16" t="str">
        <x:v>Evidence class</x:v>
      </x:c>
      <x:c r="H4" s="17" t="str">
        <x:v>Closure action</x:v>
      </x:c>
    </x:row>
    <x:row r="5">
      <x:c r="A5" s="23" t="str">
        <x:v>Generation modules</x:v>
      </x:c>
      <x:c r="B5" s="23" t="str">
        <x:v>Rounded owned fleet</x:v>
      </x:c>
      <x:c r="C5" s="23" t="n">
        <x:f>'Generation Fleet'!$C$11</x:f>
        <x:v>14</x:v>
      </x:c>
      <x:c r="D5" s="23" t="str">
        <x:v>modules</x:v>
      </x:c>
      <x:c r="E5" s="23" t="n">
        <x:f>'Controls'!$C$30</x:f>
        <x:v>200</x:v>
      </x:c>
      <x:c r="F5" s="23" t="n">
        <x:f>C5*E5</x:f>
        <x:v>2800</x:v>
      </x:c>
      <x:c r="G5" s="23" t="str">
        <x:v>Mass assumption</x:v>
      </x:c>
      <x:c r="H5" s="23" t="str">
        <x:v>Vendor/industry concept studies</x:v>
      </x:c>
    </x:row>
    <x:row r="6">
      <x:c r="A6" s="23" t="str">
        <x:v>BESS modules</x:v>
      </x:c>
      <x:c r="B6" s="23" t="str">
        <x:v>Power/energy maximum</x:v>
      </x:c>
      <x:c r="C6" s="23" t="n">
        <x:f>'Storage'!$C$16</x:f>
        <x:v>7</x:v>
      </x:c>
      <x:c r="D6" s="23" t="str">
        <x:v>modules</x:v>
      </x:c>
      <x:c r="E6" s="23" t="n">
        <x:v>250</x:v>
      </x:c>
      <x:c r="F6" s="23" t="n">
        <x:f>C6*E6</x:f>
        <x:v>1750</x:v>
      </x:c>
      <x:c r="G6" s="23" t="str">
        <x:v>Mass assumption</x:v>
      </x:c>
      <x:c r="H6" s="23" t="str">
        <x:v>Container architecture and thermal design</x:v>
      </x:c>
    </x:row>
    <x:row r="7">
      <x:c r="A7" s="23" t="str">
        <x:v>Transformation/protection</x:v>
      </x:c>
      <x:c r="B7" s="23" t="str">
        <x:v>Calculated subsystem</x:v>
      </x:c>
      <x:c r="C7" s="23" t="n">
        <x:v>1</x:v>
      </x:c>
      <x:c r="D7" s="23" t="str">
        <x:v>lot</x:v>
      </x:c>
      <x:c r="E7" s="23" t="n">
        <x:f>'Transformation'!$B$14</x:f>
        <x:v>1376</x:v>
      </x:c>
      <x:c r="F7" s="23" t="n">
        <x:f>C7*E7</x:f>
        <x:v>1376</x:v>
      </x:c>
      <x:c r="G7" s="23" t="str">
        <x:v>Mixed</x:v>
      </x:c>
      <x:c r="H7" s="23" t="str">
        <x:v>Component manifest and fault study</x:v>
      </x:c>
    </x:row>
    <x:row r="8">
      <x:c r="A8" s="23" t="str">
        <x:v>Line materials</x:v>
      </x:c>
      <x:c r="B8" s="23" t="str">
        <x:v>Selected network state</x:v>
      </x:c>
      <x:c r="C8" s="23" t="n">
        <x:v>1</x:v>
      </x:c>
      <x:c r="D8" s="23" t="str">
        <x:v>lot</x:v>
      </x:c>
      <x:c r="E8" s="23" t="n">
        <x:f>'Construction'!$B$17</x:f>
        <x:v>2614.8</x:v>
      </x:c>
      <x:c r="F8" s="23" t="n">
        <x:f>C8*E8</x:f>
        <x:v>2614.8</x:v>
      </x:c>
      <x:c r="G8" s="23" t="str">
        <x:v>Calculated/assumed</x:v>
      </x:c>
      <x:c r="H8" s="23" t="str">
        <x:v>Conductor and structure bill of materials</x:v>
      </x:c>
    </x:row>
    <x:row r="9">
      <x:c r="A9" s="23" t="str">
        <x:v>Construction equipment</x:v>
      </x:c>
      <x:c r="B9" s="23" t="str">
        <x:v>Route-scaled</x:v>
      </x:c>
      <x:c r="C9" s="23" t="n">
        <x:v>1</x:v>
      </x:c>
      <x:c r="D9" s="23" t="str">
        <x:v>lot</x:v>
      </x:c>
      <x:c r="E9" s="23" t="n">
        <x:f>'Construction'!$B$18</x:f>
        <x:v>1500</x:v>
      </x:c>
      <x:c r="F9" s="23" t="n">
        <x:f>C9*E9</x:f>
        <x:v>1500</x:v>
      </x:c>
      <x:c r="G9" s="23" t="str">
        <x:v>Mass assumption</x:v>
      </x:c>
      <x:c r="H9" s="23" t="str">
        <x:v>Production trials and fleet design</x:v>
      </x:c>
    </x:row>
    <x:row r="10">
      <x:c r="A10" s="23" t="str">
        <x:v>Controls/comms/survey</x:v>
      </x:c>
      <x:c r="B10" s="23" t="str">
        <x:v>Fixed command layer</x:v>
      </x:c>
      <x:c r="C10" s="23" t="n">
        <x:v>1</x:v>
      </x:c>
      <x:c r="D10" s="23" t="str">
        <x:v>lot</x:v>
      </x:c>
      <x:c r="E10" s="23" t="n">
        <x:f>'Controls'!$C$51</x:f>
        <x:v>400</x:v>
      </x:c>
      <x:c r="F10" s="23" t="n">
        <x:f>C10*E10</x:f>
        <x:v>400</x:v>
      </x:c>
      <x:c r="G10" s="23" t="str">
        <x:v>Mass assumption</x:v>
      </x:c>
      <x:c r="H10" s="23" t="str">
        <x:v>System architecture</x:v>
      </x:c>
    </x:row>
    <x:row r="11">
      <x:c r="A11" s="23" t="str">
        <x:v>Fuel plant/tanks dry</x:v>
      </x:c>
      <x:c r="B11" s="23" t="str">
        <x:v>Fixed liquid logistics</x:v>
      </x:c>
      <x:c r="C11" s="23" t="n">
        <x:v>1</x:v>
      </x:c>
      <x:c r="D11" s="23" t="str">
        <x:v>lot</x:v>
      </x:c>
      <x:c r="E11" s="23" t="n">
        <x:f>'Controls'!$C$52</x:f>
        <x:v>500</x:v>
      </x:c>
      <x:c r="F11" s="23" t="n">
        <x:f>C11*E11</x:f>
        <x:v>500</x:v>
      </x:c>
      <x:c r="G11" s="23" t="str">
        <x:v>Mass assumption</x:v>
      </x:c>
      <x:c r="H11" s="23" t="str">
        <x:v>Tank farm and safety design</x:v>
      </x:c>
    </x:row>
    <x:row r="12">
      <x:c r="A12" s="23" t="str">
        <x:v>Maintenance/workshops</x:v>
      </x:c>
      <x:c r="B12" s="23" t="str">
        <x:v>Fixed repair layer</x:v>
      </x:c>
      <x:c r="C12" s="23" t="n">
        <x:v>1</x:v>
      </x:c>
      <x:c r="D12" s="23" t="str">
        <x:v>lot</x:v>
      </x:c>
      <x:c r="E12" s="23" t="n">
        <x:f>'Controls'!$C$53</x:f>
        <x:v>1000</x:v>
      </x:c>
      <x:c r="F12" s="23" t="n">
        <x:f>C12*E12</x:f>
        <x:v>1000</x:v>
      </x:c>
      <x:c r="G12" s="23" t="str">
        <x:v>Mass assumption</x:v>
      </x:c>
      <x:c r="H12" s="23" t="str">
        <x:v>Repair analysis</x:v>
      </x:c>
    </x:row>
    <x:row r="13">
      <x:c r="A13" s="23" t="str">
        <x:v>Responder/base/logistics</x:v>
      </x:c>
      <x:c r="B13" s="23" t="str">
        <x:v>Fixed sustainment layer</x:v>
      </x:c>
      <x:c r="C13" s="23" t="n">
        <x:v>1</x:v>
      </x:c>
      <x:c r="D13" s="23" t="str">
        <x:v>lot</x:v>
      </x:c>
      <x:c r="E13" s="23" t="n">
        <x:f>'Controls'!$C$54</x:f>
        <x:v>4000</x:v>
      </x:c>
      <x:c r="F13" s="23" t="n">
        <x:f>C13*E13</x:f>
        <x:v>4000</x:v>
      </x:c>
      <x:c r="G13" s="23" t="str">
        <x:v>Mass assumption</x:v>
      </x:c>
      <x:c r="H13" s="23" t="str">
        <x:v>Personnel and consumption model</x:v>
      </x:c>
    </x:row>
    <x:row r="14">
      <x:c r="A14" s="34"/>
      <x:c r="B14" s="34"/>
      <x:c r="C14" s="34"/>
      <x:c r="D14" s="34"/>
      <x:c r="E14" s="34"/>
      <x:c r="F14" s="34"/>
      <x:c r="G14" s="34"/>
      <x:c r="H14" s="34"/>
    </x:row>
    <x:row r="15">
      <x:c r="A15" s="34"/>
      <x:c r="B15" s="34"/>
      <x:c r="C15" s="34"/>
      <x:c r="D15" s="34"/>
      <x:c r="E15" s="34"/>
      <x:c r="F15" s="34"/>
      <x:c r="G15" s="34"/>
      <x:c r="H15" s="34"/>
    </x:row>
    <x:row r="16">
      <x:c r="A16" s="35" t="str">
        <x:v>Manifest totals</x:v>
      </x:c>
      <x:c r="B16" s="36"/>
      <x:c r="C16" s="37"/>
      <x:c r="D16" s="34"/>
      <x:c r="E16" s="34"/>
      <x:c r="F16" s="34"/>
      <x:c r="G16" s="34"/>
      <x:c r="H16" s="34"/>
    </x:row>
    <x:row r="17">
      <x:c r="A17" s="34"/>
      <x:c r="B17" s="34"/>
      <x:c r="C17" s="34"/>
      <x:c r="D17" s="34"/>
      <x:c r="E17" s="34"/>
      <x:c r="F17" s="34"/>
      <x:c r="G17" s="34"/>
      <x:c r="H17" s="34"/>
    </x:row>
    <x:row r="18">
      <x:c r="A18" s="23" t="str">
        <x:v>Dry subtotal (t)</x:v>
      </x:c>
      <x:c r="B18" s="49" t="n">
        <x:f>SUM(F5:F13)</x:f>
        <x:v>15940.8</x:v>
      </x:c>
      <x:c r="C18" s="34"/>
      <x:c r="D18" s="34"/>
      <x:c r="E18" s="34"/>
      <x:c r="F18" s="34"/>
      <x:c r="G18" s="34"/>
      <x:c r="H18" s="34"/>
    </x:row>
    <x:row r="19">
      <x:c r="A19" s="23" t="str">
        <x:v>Contingency (t)</x:v>
      </x:c>
      <x:c r="B19" s="49" t="n">
        <x:f>B18*'Controls'!$C$55</x:f>
        <x:v>2391.12</x:v>
      </x:c>
      <x:c r="C19" s="34"/>
      <x:c r="D19" s="34"/>
      <x:c r="E19" s="34"/>
      <x:c r="F19" s="34"/>
      <x:c r="G19" s="34"/>
      <x:c r="H19" s="34"/>
    </x:row>
    <x:row r="20">
      <x:c r="A20" s="23" t="str">
        <x:v>Preliminary dry deployment mass (t)</x:v>
      </x:c>
      <x:c r="B20" s="49" t="n">
        <x:f>B18+B19</x:f>
        <x:v>18331.92</x:v>
      </x:c>
      <x:c r="C20" s="34"/>
      <x:c r="D20" s="34"/>
      <x:c r="E20" s="34"/>
      <x:c r="F20" s="34"/>
      <x:c r="G20" s="34"/>
      <x:c r="H20" s="34"/>
    </x:row>
    <x:row r="21">
      <x:c r="A21" s="23" t="str">
        <x:v>Stored liquid fuel mass (t; excluded)</x:v>
      </x:c>
      <x:c r="B21" s="49" t="n">
        <x:f>'Fuel &amp; Energy'!$C$13</x:f>
        <x:v>3372.4277747877595</x:v>
      </x:c>
      <x:c r="C21" s="34"/>
      <x:c r="D21" s="34"/>
      <x:c r="E21" s="34"/>
      <x:c r="F21" s="34"/>
      <x:c r="G21" s="34"/>
      <x:c r="H21" s="34"/>
    </x:row>
    <x:row r="22">
      <x:c r="A22" s="23" t="str">
        <x:v>Dry mass per net MW (t/MW)</x:v>
      </x:c>
      <x:c r="B22" s="49" t="n">
        <x:f>B20/'Controls'!$C$8</x:f>
        <x:v>183.3192</x:v>
      </x:c>
      <x:c r="C22" s="34"/>
      <x:c r="D22" s="34"/>
      <x:c r="E22" s="34"/>
      <x:c r="F22" s="34"/>
      <x:c r="G22" s="34"/>
      <x:c r="H22" s="34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4" hidden="0" customWidth="1"/>
    <x:col min="3" max="3" width="15" hidden="0" customWidth="1"/>
    <x:col min="4" max="4" width="14" hidden="0" customWidth="1"/>
    <x:col min="5" max="5" width="14" hidden="0" customWidth="1"/>
    <x:col min="6" max="6" width="15" hidden="0" customWidth="1"/>
    <x:col min="7" max="7" width="18" hidden="0" customWidth="1"/>
    <x:col min="8" max="8" width="45" hidden="0" customWidth="1"/>
  </x:cols>
  <x:sheetData>
    <x:row r="1" ht="24" customHeight="1">
      <x:c r="A1" s="2" t="str">
        <x:v>Shift-complete workforce</x:v>
      </x:c>
      <x:c r="B1" s="1"/>
      <x:c r="C1" s="1"/>
      <x:c r="D1" s="1"/>
      <x:c r="E1" s="1"/>
      <x:c r="F1" s="1"/>
      <x:c r="G1" s="1"/>
      <x:c r="H1" s="1"/>
    </x:row>
    <x:row r="2" ht="30" customHeight="1">
      <x:c r="A2" s="3" t="str">
        <x:v>Personnel are derived from continuous posts, day crews and relief factors. This is a force-establishment hypothesis, not a staffing table.</x:v>
      </x:c>
      <x:c r="B2" s="3"/>
      <x:c r="C2" s="3"/>
      <x:c r="D2" s="3"/>
      <x:c r="E2" s="3"/>
      <x:c r="F2" s="3"/>
      <x:c r="G2" s="3"/>
      <x:c r="H2" s="3"/>
    </x:row>
    <x:row r="4" ht="32" customHeight="1">
      <x:c r="A4" s="15" t="str">
        <x:v>Function</x:v>
      </x:c>
      <x:c r="B4" s="16" t="str">
        <x:v>24/7 posts</x:v>
      </x:c>
      <x:c r="C4" s="16" t="str">
        <x:v>People/post</x:v>
      </x:c>
      <x:c r="D4" s="16" t="str">
        <x:v>Shift factor</x:v>
      </x:c>
      <x:c r="E4" s="16" t="str">
        <x:v>Day staff</x:v>
      </x:c>
      <x:c r="F4" s="16" t="str">
        <x:v>Scaling staff</x:v>
      </x:c>
      <x:c r="G4" s="16" t="str">
        <x:v>Deployed billets</x:v>
      </x:c>
      <x:c r="H4" s="17" t="str">
        <x:v>Primary driver</x:v>
      </x:c>
    </x:row>
    <x:row r="5">
      <x:c r="A5" s="23" t="str">
        <x:v>Command and grid operations</x:v>
      </x:c>
      <x:c r="B5" s="23" t="n">
        <x:v>35</x:v>
      </x:c>
      <x:c r="C5" s="23" t="n">
        <x:v>1</x:v>
      </x:c>
      <x:c r="D5" s="23" t="n">
        <x:v>4.2</x:v>
      </x:c>
      <x:c r="E5" s="23" t="n">
        <x:v>100</x:v>
      </x:c>
      <x:c r="F5" s="23" t="n">
        <x:v>0</x:v>
      </x:c>
      <x:c r="G5" s="23" t="n">
        <x:f>B5*C5*D5+E5+F5</x:f>
        <x:v>247</x:v>
      </x:c>
      <x:c r="H5" s="23" t="str">
        <x:v>Five islands plus regional control</x:v>
      </x:c>
    </x:row>
    <x:row r="6">
      <x:c r="A6" s="23" t="str">
        <x:v>Generation and storage</x:v>
      </x:c>
      <x:c r="B6" s="23" t="n">
        <x:v>45</x:v>
      </x:c>
      <x:c r="C6" s="23" t="n">
        <x:v>1</x:v>
      </x:c>
      <x:c r="D6" s="23" t="n">
        <x:v>4.2</x:v>
      </x:c>
      <x:c r="E6" s="23" t="n">
        <x:v>180</x:v>
      </x:c>
      <x:c r="F6" s="23" t="n">
        <x:v>0</x:v>
      </x:c>
      <x:c r="G6" s="23" t="n">
        <x:f>B6*C6*D6+E6+F6</x:f>
        <x:v>369</x:v>
      </x:c>
      <x:c r="H6" s="23" t="str">
        <x:v>Modules, fuel plant and BESS</x:v>
      </x:c>
    </x:row>
    <x:row r="7">
      <x:c r="A7" s="23" t="str">
        <x:v>Substations and protection</x:v>
      </x:c>
      <x:c r="B7" s="23" t="n">
        <x:v>25</x:v>
      </x:c>
      <x:c r="C7" s="23" t="n">
        <x:v>1</x:v>
      </x:c>
      <x:c r="D7" s="23" t="n">
        <x:v>4.2</x:v>
      </x:c>
      <x:c r="E7" s="23" t="n">
        <x:v>160</x:v>
      </x:c>
      <x:c r="F7" s="23" t="n">
        <x:v>0</x:v>
      </x:c>
      <x:c r="G7" s="23" t="n">
        <x:f>B7*C7*D7+E7+F7</x:f>
        <x:v>265</x:v>
      </x:c>
      <x:c r="H7" s="23" t="str">
        <x:v>Switching, relay and grounding</x:v>
      </x:c>
    </x:row>
    <x:row r="8">
      <x:c r="A8" s="23" t="str">
        <x:v>Line construction</x:v>
      </x:c>
      <x:c r="B8" s="23" t="n">
        <x:v>0</x:v>
      </x:c>
      <x:c r="C8" s="23" t="n">
        <x:v>0</x:v>
      </x:c>
      <x:c r="D8" s="23" t="n">
        <x:v>0</x:v>
      </x:c>
      <x:c r="E8" s="23" t="n">
        <x:v>120</x:v>
      </x:c>
      <x:c r="F8" s="23" t="n">
        <x:f>'Controls'!$C$45*18</x:f>
        <x:v>216</x:v>
      </x:c>
      <x:c r="G8" s="23" t="n">
        <x:f>B8*C8*D8+E8+F8</x:f>
        <x:v>336</x:v>
      </x:c>
      <x:c r="H8" s="23" t="str">
        <x:v>Parallel work fronts</x:v>
      </x:c>
    </x:row>
    <x:row r="9">
      <x:c r="A9" s="23" t="str">
        <x:v>Connection crews</x:v>
      </x:c>
      <x:c r="B9" s="23" t="n">
        <x:v>0</x:v>
      </x:c>
      <x:c r="C9" s="23" t="n">
        <x:v>0</x:v>
      </x:c>
      <x:c r="D9" s="23" t="n">
        <x:v>0</x:v>
      </x:c>
      <x:c r="E9" s="23" t="n">
        <x:v>80</x:v>
      </x:c>
      <x:c r="F9" s="23" t="n">
        <x:f>'Network States'!$B$17*3</x:f>
        <x:v>180</x:v>
      </x:c>
      <x:c r="G9" s="23" t="n">
        <x:f>B9*C9*D9+E9+F9</x:f>
        <x:v>260</x:v>
      </x:c>
      <x:c r="H9" s="23" t="str">
        <x:v>Distribution node count</x:v>
      </x:c>
    </x:row>
    <x:row r="10">
      <x:c r="A10" s="23" t="str">
        <x:v>Fuel logistics</x:v>
      </x:c>
      <x:c r="B10" s="23" t="n">
        <x:v>20</x:v>
      </x:c>
      <x:c r="C10" s="23" t="n">
        <x:v>1</x:v>
      </x:c>
      <x:c r="D10" s="23" t="n">
        <x:v>4.2</x:v>
      </x:c>
      <x:c r="E10" s="23" t="n">
        <x:v>120</x:v>
      </x:c>
      <x:c r="F10" s="23" t="n">
        <x:v>0</x:v>
      </x:c>
      <x:c r="G10" s="23" t="n">
        <x:f>B10*C10*D10+E10+F10</x:f>
        <x:v>204</x:v>
      </x:c>
      <x:c r="H10" s="23" t="str">
        <x:v>Continuous receiving and quality</x:v>
      </x:c>
    </x:row>
    <x:row r="11">
      <x:c r="A11" s="23" t="str">
        <x:v>Maintenance and fabrication</x:v>
      </x:c>
      <x:c r="B11" s="23" t="n">
        <x:v>20</x:v>
      </x:c>
      <x:c r="C11" s="23" t="n">
        <x:v>1</x:v>
      </x:c>
      <x:c r="D11" s="23" t="n">
        <x:v>4.2</x:v>
      </x:c>
      <x:c r="E11" s="23" t="n">
        <x:v>220</x:v>
      </x:c>
      <x:c r="F11" s="23" t="n">
        <x:v>0</x:v>
      </x:c>
      <x:c r="G11" s="23" t="n">
        <x:f>B11*C11*D11+E11+F11</x:f>
        <x:v>304</x:v>
      </x:c>
      <x:c r="H11" s="23" t="str">
        <x:v>Repairable fleet and spares</x:v>
      </x:c>
    </x:row>
    <x:row r="12">
      <x:c r="A12" s="23" t="str">
        <x:v>Safety, medical and environmental</x:v>
      </x:c>
      <x:c r="B12" s="23" t="n">
        <x:v>15</x:v>
      </x:c>
      <x:c r="C12" s="23" t="n">
        <x:v>1</x:v>
      </x:c>
      <x:c r="D12" s="23" t="n">
        <x:v>4.2</x:v>
      </x:c>
      <x:c r="E12" s="23" t="n">
        <x:v>140</x:v>
      </x:c>
      <x:c r="F12" s="23" t="n">
        <x:v>0</x:v>
      </x:c>
      <x:c r="G12" s="23" t="n">
        <x:f>B12*C12*D12+E12+F12</x:f>
        <x:v>203</x:v>
      </x:c>
      <x:c r="H12" s="23" t="str">
        <x:v>High-energy, fuel and public interfaces</x:v>
      </x:c>
    </x:row>
    <x:row r="13">
      <x:c r="A13" s="23" t="str">
        <x:v>Logistics, camp and movement</x:v>
      </x:c>
      <x:c r="B13" s="23" t="n">
        <x:v>30</x:v>
      </x:c>
      <x:c r="C13" s="23" t="n">
        <x:v>1</x:v>
      </x:c>
      <x:c r="D13" s="23" t="n">
        <x:v>4.2</x:v>
      </x:c>
      <x:c r="E13" s="23" t="n">
        <x:v>260</x:v>
      </x:c>
      <x:c r="F13" s="23" t="n">
        <x:v>0</x:v>
      </x:c>
      <x:c r="G13" s="23" t="n">
        <x:f>B13*C13*D13+E13+F13</x:f>
        <x:v>386</x:v>
      </x:c>
      <x:c r="H13" s="23" t="str">
        <x:v>Heavy manifest and sustainment</x:v>
      </x:c>
    </x:row>
    <x:row r="14">
      <x:c r="A14" s="23" t="str">
        <x:v>Planning, survey and liaison</x:v>
      </x:c>
      <x:c r="B14" s="23" t="n">
        <x:v>10</x:v>
      </x:c>
      <x:c r="C14" s="23" t="n">
        <x:v>1</x:v>
      </x:c>
      <x:c r="D14" s="23" t="n">
        <x:v>4.2</x:v>
      </x:c>
      <x:c r="E14" s="23" t="n">
        <x:v>180</x:v>
      </x:c>
      <x:c r="F14" s="23" t="n">
        <x:v>0</x:v>
      </x:c>
      <x:c r="G14" s="23" t="n">
        <x:f>B14*C14*D14+E14+F14</x:f>
        <x:v>222</x:v>
      </x:c>
      <x:c r="H14" s="23" t="str">
        <x:v>Utility mapping and civil coordination</x:v>
      </x:c>
    </x:row>
    <x:row r="15">
      <x:c r="A15" s="34"/>
      <x:c r="B15" s="34"/>
      <x:c r="C15" s="34"/>
      <x:c r="D15" s="34"/>
      <x:c r="E15" s="34"/>
      <x:c r="F15" s="34"/>
      <x:c r="G15" s="34"/>
      <x:c r="H15" s="34"/>
    </x:row>
    <x:row r="16">
      <x:c r="A16" s="34"/>
      <x:c r="B16" s="34"/>
      <x:c r="C16" s="34"/>
      <x:c r="D16" s="34"/>
      <x:c r="E16" s="34"/>
      <x:c r="F16" s="34"/>
      <x:c r="G16" s="34"/>
      <x:c r="H16" s="34"/>
    </x:row>
    <x:row r="17">
      <x:c r="A17" s="35" t="str">
        <x:v>Force establishment</x:v>
      </x:c>
      <x:c r="B17" s="36"/>
      <x:c r="C17" s="37"/>
      <x:c r="D17" s="34"/>
      <x:c r="E17" s="34"/>
      <x:c r="F17" s="34"/>
      <x:c r="G17" s="34"/>
      <x:c r="H17" s="34"/>
    </x:row>
    <x:row r="18">
      <x:c r="A18" s="34"/>
      <x:c r="B18" s="34"/>
      <x:c r="C18" s="34"/>
      <x:c r="D18" s="34"/>
      <x:c r="E18" s="34"/>
      <x:c r="F18" s="34"/>
      <x:c r="G18" s="34"/>
      <x:c r="H18" s="34"/>
    </x:row>
    <x:row r="19">
      <x:c r="A19" s="23" t="str">
        <x:v>Deployed personnel</x:v>
      </x:c>
      <x:c r="B19" s="53" t="n">
        <x:f>SUM(G5:G14)</x:f>
        <x:v>2796</x:v>
      </x:c>
      <x:c r="C19" s="34"/>
      <x:c r="D19" s="34"/>
      <x:c r="E19" s="34"/>
      <x:c r="F19" s="34"/>
      <x:c r="G19" s="34"/>
      <x:c r="H19" s="34"/>
    </x:row>
    <x:row r="20">
      <x:c r="A20" s="23" t="str">
        <x:v>Operational echelons</x:v>
      </x:c>
      <x:c r="B20" s="53" t="n">
        <x:v>3</x:v>
      </x:c>
      <x:c r="C20" s="34"/>
      <x:c r="D20" s="34"/>
      <x:c r="E20" s="34"/>
      <x:c r="F20" s="34"/>
      <x:c r="G20" s="34"/>
      <x:c r="H20" s="34"/>
    </x:row>
    <x:row r="21">
      <x:c r="A21" s="23" t="str">
        <x:v>Operational establishment</x:v>
      </x:c>
      <x:c r="B21" s="53" t="n">
        <x:f>B19*B20</x:f>
        <x:v>8388</x:v>
      </x:c>
      <x:c r="C21" s="34"/>
      <x:c r="D21" s="34"/>
      <x:c r="E21" s="34"/>
      <x:c r="F21" s="34"/>
      <x:c r="G21" s="34"/>
      <x:c r="H21" s="34"/>
    </x:row>
    <x:row r="22">
      <x:c r="A22" s="23" t="str">
        <x:v>School/depot overhead</x:v>
      </x:c>
      <x:c r="B22" s="33" t="n">
        <x:v>0.25</x:v>
      </x:c>
      <x:c r="C22" s="34"/>
      <x:c r="D22" s="34"/>
      <x:c r="E22" s="34"/>
      <x:c r="F22" s="34"/>
      <x:c r="G22" s="34"/>
      <x:c r="H22" s="34"/>
    </x:row>
    <x:row r="23">
      <x:c r="A23" s="23" t="str">
        <x:v>Training/depot billets</x:v>
      </x:c>
      <x:c r="B23" s="53" t="n">
        <x:f>B21*B22</x:f>
        <x:v>2097</x:v>
      </x:c>
      <x:c r="C23" s="34"/>
      <x:c r="D23" s="34"/>
      <x:c r="E23" s="34"/>
      <x:c r="F23" s="34"/>
      <x:c r="G23" s="34"/>
      <x:c r="H23" s="34"/>
    </x:row>
    <x:row r="24">
      <x:c r="A24" s="23" t="str">
        <x:v>Total service establishment</x:v>
      </x:c>
      <x:c r="B24" s="53" t="n">
        <x:f>B21+B23</x:f>
        <x:v>10485</x:v>
      </x:c>
      <x:c r="C24" s="34"/>
      <x:c r="D24" s="34"/>
      <x:c r="E24" s="34"/>
      <x:c r="F24" s="34"/>
      <x:c r="G24" s="34"/>
      <x:c r="H24" s="34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9" hidden="0" customWidth="1"/>
    <x:col min="3" max="3" width="34" hidden="0" customWidth="1"/>
    <x:col min="4" max="4" width="24" hidden="0" customWidth="1"/>
    <x:col min="5" max="5" width="40" hidden="0" customWidth="1"/>
    <x:col min="6" max="6" width="34" hidden="0" customWidth="1"/>
    <x:col min="7" max="7" width="27" hidden="0" customWidth="1"/>
    <x:col min="8" max="8" width="17" hidden="0" customWidth="1"/>
    <x:col min="9" max="9" width="42" hidden="0" customWidth="1"/>
  </x:cols>
  <x:sheetData>
    <x:row r="1" ht="24" customHeight="1">
      <x:c r="A1" s="2" t="str">
        <x:v>Reference failure cases</x:v>
      </x:c>
      <x:c r="B1" s="1"/>
      <x:c r="C1" s="1"/>
      <x:c r="D1" s="1"/>
      <x:c r="E1" s="1"/>
      <x:c r="F1" s="1"/>
      <x:c r="G1" s="1"/>
      <x:c r="H1" s="1"/>
      <x:c r="I1" s="1"/>
    </x:row>
    <x:row r="2" ht="30" customHeight="1">
      <x:c r="A2" s="3" t="str">
        <x:v>Every failure is expressed as a lost function and a required recovery mechanism. Passing arithmetic does not replace integrated testing.</x:v>
      </x:c>
      <x:c r="B2" s="3"/>
      <x:c r="C2" s="3"/>
      <x:c r="D2" s="3"/>
      <x:c r="E2" s="3"/>
      <x:c r="F2" s="3"/>
      <x:c r="G2" s="3"/>
      <x:c r="H2" s="3"/>
      <x:c r="I2" s="3"/>
    </x:row>
    <x:row r="4" ht="32" customHeight="1">
      <x:c r="A4" s="15" t="str">
        <x:v>Failure case</x:v>
      </x:c>
      <x:c r="B4" s="16" t="str">
        <x:v>Initiating condition</x:v>
      </x:c>
      <x:c r="C4" s="16" t="str">
        <x:v>Immediate effect</x:v>
      </x:c>
      <x:c r="D4" s="16" t="str">
        <x:v>Quantified exposure</x:v>
      </x:c>
      <x:c r="E4" s="16" t="str">
        <x:v>Automatic response</x:v>
      </x:c>
      <x:c r="F4" s="16" t="str">
        <x:v>Human action</x:v>
      </x:c>
      <x:c r="G4" s="16" t="str">
        <x:v>Recovery target</x:v>
      </x:c>
      <x:c r="H4" s="16" t="str">
        <x:v>Current status</x:v>
      </x:c>
      <x:c r="I4" s="17" t="str">
        <x:v>Test needed</x:v>
      </x:c>
    </x:row>
    <x:row r="5">
      <x:c r="A5" s="23" t="str">
        <x:v>Largest source module</x:v>
      </x:c>
      <x:c r="B5" s="23" t="str">
        <x:v>Trip/fire/maintenance</x:v>
      </x:c>
      <x:c r="C5" s="23" t="str">
        <x:v>Lose one generation block</x:v>
      </x:c>
      <x:c r="D5" s="23" t="str">
        <x:v>10 MW</x:v>
      </x:c>
      <x:c r="E5" s="23" t="str">
        <x:v>BESS arrests frequency; reserve starts</x:v>
      </x:c>
      <x:c r="F5" s="23" t="str">
        <x:v>Isolate and diagnose</x:v>
      </x:c>
      <x:c r="G5" s="23" t="str">
        <x:v>No P0 shed</x:v>
      </x:c>
      <x:c r="H5" s="23" t="str">
        <x:v>Model closed</x:v>
      </x:c>
      <x:c r="I5" s="23" t="str">
        <x:v>Full-scale N-1 island test</x:v>
      </x:c>
    </x:row>
    <x:row r="6">
      <x:c r="A6" s="23" t="str">
        <x:v>One feeder</x:v>
      </x:c>
      <x:c r="B6" s="23" t="str">
        <x:v>Fault or route damage</x:v>
      </x:c>
      <x:c r="C6" s="23" t="str">
        <x:v>Local load loss</x:v>
      </x:c>
      <x:c r="D6" s="23" t="str">
        <x:v>10 MW nominal</x:v>
      </x:c>
      <x:c r="E6" s="23" t="str">
        <x:v>Protection isolates section</x:v>
      </x:c>
      <x:c r="F6" s="23" t="str">
        <x:v>Backfeed or mobile tie</x:v>
      </x:c>
      <x:c r="G6" s="23" t="str">
        <x:v>P0 in &lt;15 min</x:v>
      </x:c>
      <x:c r="H6" s="23" t="str">
        <x:v>Bounded</x:v>
      </x:c>
      <x:c r="I6" s="23" t="str">
        <x:v>Fault and switching exercise</x:v>
      </x:c>
    </x:row>
    <x:row r="7">
      <x:c r="A7" s="23" t="str">
        <x:v>One mobile substation</x:v>
      </x:c>
      <x:c r="B7" s="23" t="str">
        <x:v>Transformer/protection failure</x:v>
      </x:c>
      <x:c r="C7" s="23" t="str">
        <x:v>One island transformation constrained</x:v>
      </x:c>
      <x:c r="D7" s="23" t="str">
        <x:v>25 MVA</x:v>
      </x:c>
      <x:c r="E7" s="23" t="str">
        <x:v>Island separates</x:v>
      </x:c>
      <x:c r="F7" s="23" t="str">
        <x:v>Deploy reserve unit</x:v>
      </x:c>
      <x:c r="G7" s="23" t="str">
        <x:v>Restore in &lt;12 h</x:v>
      </x:c>
      <x:c r="H7" s="23" t="str">
        <x:v>Bounded</x:v>
      </x:c>
      <x:c r="I7" s="23" t="str">
        <x:v>Swap and energization trial</x:v>
      </x:c>
    </x:row>
    <x:row r="8">
      <x:c r="A8" s="23" t="str">
        <x:v>Fuel route interruption</x:v>
      </x:c>
      <x:c r="B8" s="23" t="str">
        <x:v>Road/port denial</x:v>
      </x:c>
      <x:c r="C8" s="23" t="str">
        <x:v>Liquid replenishment stops</x:v>
      </x:c>
      <x:c r="D8" s="23" t="str">
        <x:v>7-day onsite reserve</x:v>
      </x:c>
      <x:c r="E8" s="23" t="str">
        <x:v>Conserve and shift source mix</x:v>
      </x:c>
      <x:c r="F8" s="23" t="str">
        <x:v>Open alternate route</x:v>
      </x:c>
      <x:c r="G8" s="23" t="str">
        <x:v>Maintain P0 through reserve</x:v>
      </x:c>
      <x:c r="H8" s="23" t="str">
        <x:v>Model closed</x:v>
      </x:c>
      <x:c r="I8" s="23" t="str">
        <x:v>Campaign logistics exercise</x:v>
      </x:c>
    </x:row>
    <x:row r="9">
      <x:c r="A9" s="23" t="str">
        <x:v>Control network failure</x:v>
      </x:c>
      <x:c r="B9" s="23" t="str">
        <x:v>Cyber/physical loss</x:v>
      </x:c>
      <x:c r="C9" s="23" t="str">
        <x:v>Automation unavailable</x:v>
      </x:c>
      <x:c r="D9" s="23" t="str">
        <x:v>Manual safe mode TBD</x:v>
      </x:c>
      <x:c r="E9" s="23" t="str">
        <x:v>Local controllers hold last-safe state</x:v>
      </x:c>
      <x:c r="F9" s="23" t="str">
        <x:v>Manual island operation</x:v>
      </x:c>
      <x:c r="G9" s="23" t="str">
        <x:v>Safe 60% load target</x:v>
      </x:c>
      <x:c r="H9" s="23" t="str">
        <x:v>Open</x:v>
      </x:c>
      <x:c r="I9" s="23" t="str">
        <x:v>Disconnected manual-ops test</x:v>
      </x:c>
    </x:row>
    <x:row r="10">
      <x:c r="A10" s="23" t="str">
        <x:v>One BESS block</x:v>
      </x:c>
      <x:c r="B10" s="23" t="str">
        <x:v>Thermal fault/isolation</x:v>
      </x:c>
      <x:c r="C10" s="23" t="str">
        <x:v>Reduced bridge power and energy</x:v>
      </x:c>
      <x:c r="D10" s="23" t="str">
        <x:v>20 MW / 20 MWh</x:v>
      </x:c>
      <x:c r="E10" s="23" t="str">
        <x:v>Block isolates</x:v>
      </x:c>
      <x:c r="F10" s="23" t="str">
        <x:v>Reprioritize P0</x:v>
      </x:c>
      <x:c r="G10" s="23" t="str">
        <x:v>No uncontrolled outage</x:v>
      </x:c>
      <x:c r="H10" s="23" t="str">
        <x:v>Bounded</x:v>
      </x:c>
      <x:c r="I10" s="23" t="str">
        <x:v>Propagation and degraded-mode test</x:v>
      </x:c>
    </x:row>
    <x:row r="11">
      <x:c r="A11" s="23" t="str">
        <x:v>High ambient derating</x:v>
      </x:c>
      <x:c r="B11" s="23" t="str">
        <x:v>Heat/smoke/altitude</x:v>
      </x:c>
      <x:c r="C11" s="23" t="str">
        <x:v>Source capacity falls</x:v>
      </x:c>
      <x:c r="D11" s="23" t="str">
        <x:v>10% modeled</x:v>
      </x:c>
      <x:c r="E11" s="23" t="str">
        <x:v>Start reserve blocks</x:v>
      </x:c>
      <x:c r="F11" s="23" t="str">
        <x:v>Clean filters and manage loads</x:v>
      </x:c>
      <x:c r="G11" s="23" t="str">
        <x:v>Meet net target</x:v>
      </x:c>
      <x:c r="H11" s="23" t="str">
        <x:v>Model closed</x:v>
      </x:c>
      <x:c r="I11" s="23" t="str">
        <x:v>Environmental chamber and field test</x:v>
      </x:c>
    </x:row>
    <x:row r="12">
      <x:c r="A12" s="23" t="str">
        <x:v>Missing drawings</x:v>
      </x:c>
      <x:c r="B12" s="23" t="str">
        <x:v>Records absent or wrong</x:v>
      </x:c>
      <x:c r="C12" s="23" t="str">
        <x:v>Survey and connection delayed</x:v>
      </x:c>
      <x:c r="D12" s="23" t="str">
        <x:v>5-day commissioning floor</x:v>
      </x:c>
      <x:c r="E12" s="23" t="str">
        <x:v>Do not energize unknown plant</x:v>
      </x:c>
      <x:c r="F12" s="23" t="str">
        <x:v>Trace, test and map</x:v>
      </x:c>
      <x:c r="G12" s="23" t="str">
        <x:v>Safe first energization</x:v>
      </x:c>
      <x:c r="H12" s="23" t="str">
        <x:v>Open</x:v>
      </x:c>
      <x:c r="I12" s="23" t="str">
        <x:v>Blind-site deployment trial</x:v>
      </x:c>
    </x:row>
    <x:row r="13">
      <x:c r="A13" s="23" t="str">
        <x:v>Skilled crew loss</x:v>
      </x:c>
      <x:c r="B13" s="23" t="str">
        <x:v>Illness/fatigue/rotation</x:v>
      </x:c>
      <x:c r="C13" s="23" t="str">
        <x:v>Reduced switching and repair rate</x:v>
      </x:c>
      <x:c r="D13" s="23" t="str">
        <x:v>Relief factor 4.2</x:v>
      </x:c>
      <x:c r="E13" s="23" t="str">
        <x:v>Cross-qualified watch teams</x:v>
      </x:c>
      <x:c r="F13" s="23" t="str">
        <x:v>Reassign and surge reserve</x:v>
      </x:c>
      <x:c r="G13" s="23" t="str">
        <x:v>No critical watch gap</x:v>
      </x:c>
      <x:c r="H13" s="23" t="str">
        <x:v>Bounded</x:v>
      </x:c>
      <x:c r="I13" s="23" t="str">
        <x:v>30-day duty-cycle exercise</x:v>
      </x:c>
    </x:row>
    <x:row r="14">
      <x:c r="A14" s="23" t="str">
        <x:v>90-day campaign</x:v>
      </x:c>
      <x:c r="B14" s="23" t="str">
        <x:v>Relief and parts exhaustion</x:v>
      </x:c>
      <x:c r="C14" s="23" t="str">
        <x:v>Readiness decay</x:v>
      </x:c>
      <x:c r="D14" s="23" t="str">
        <x:v>3x baseline duration</x:v>
      </x:c>
      <x:c r="E14" s="23" t="str">
        <x:v>Condition-based maintenance</x:v>
      </x:c>
      <x:c r="F14" s="23" t="str">
        <x:v>Rotate echelons and replenish</x:v>
      </x:c>
      <x:c r="G14" s="23" t="str">
        <x:v>Stable availability</x:v>
      </x:c>
      <x:c r="H14" s="23" t="str">
        <x:v>Open</x:v>
      </x:c>
      <x:c r="I14" s="23" t="str">
        <x:v>90-day endurance demonstration</x:v>
      </x:c>
    </x:row>
    <x:row r="15">
      <x:c r="A15" s="23" t="str">
        <x:v>Common fuel contamination</x:v>
      </x:c>
      <x:c r="B15" s="23" t="str">
        <x:v>Bad batch/water ingress</x:v>
      </x:c>
      <x:c r="C15" s="23" t="str">
        <x:v>Multiple engines threatened</x:v>
      </x:c>
      <x:c r="D15" s="23" t="str">
        <x:v>Liquid fleet common mode</x:v>
      </x:c>
      <x:c r="E15" s="23" t="str">
        <x:v>Quality interlock stops transfer</x:v>
      </x:c>
      <x:c r="F15" s="23" t="str">
        <x:v>Quarantine, filter and sample</x:v>
      </x:c>
      <x:c r="G15" s="23" t="str">
        <x:v>One clean reserve source</x:v>
      </x:c>
      <x:c r="H15" s="23" t="str">
        <x:v>Open</x:v>
      </x:c>
      <x:c r="I15" s="23" t="str">
        <x:v>Contaminated-fuel drill</x:v>
      </x:c>
    </x:row>
    <x:row r="16">
      <x:c r="A16" s="23" t="str">
        <x:v>Protection miscoordination</x:v>
      </x:c>
      <x:c r="B16" s="23" t="str">
        <x:v>Unknown fault current/topology</x:v>
      </x:c>
      <x:c r="C16" s="23" t="str">
        <x:v>Cascading trip or unsafe energization</x:v>
      </x:c>
      <x:c r="D16" s="23" t="str">
        <x:v>Multi-island common mode</x:v>
      </x:c>
      <x:c r="E16" s="23" t="str">
        <x:v>Zone trips to safe state</x:v>
      </x:c>
      <x:c r="F16" s="23" t="str">
        <x:v>Rebuild settings and sectionalize</x:v>
      </x:c>
      <x:c r="G16" s="23" t="str">
        <x:v>Black start in &lt;4 h</x:v>
      </x:c>
      <x:c r="H16" s="23" t="str">
        <x:v>Open</x:v>
      </x:c>
      <x:c r="I16" s="23" t="str">
        <x:v>Hardware-in-loop and live-grid test</x:v>
      </x:c>
    </x:row>
  </x:sheetData>
  <x:conditionalFormatting sqref="H5:H16">
    <x:cfRule type="containsText" dxfId="2" priority="1" operator="containsText" text="Open"/>
    <x:cfRule type="containsText" dxfId="3" priority="2" operator="containsText" text="Bounded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9" hidden="0" customWidth="1"/>
    <x:col min="2" max="2" width="47" hidden="0" customWidth="1"/>
    <x:col min="3" max="3" width="38" hidden="0" customWidth="1"/>
    <x:col min="4" max="4" width="18" hidden="0" customWidth="1"/>
    <x:col min="5" max="5" width="45" hidden="0" customWidth="1"/>
    <x:col min="6" max="6" width="45" hidden="0" customWidth="1"/>
  </x:cols>
  <x:sheetData>
    <x:row r="1" ht="24" customHeight="1">
      <x:c r="A1" s="2" t="str">
        <x:v>PRG-100 evidence gate</x:v>
      </x:c>
      <x:c r="B1" s="1"/>
      <x:c r="C1" s="1"/>
      <x:c r="D1" s="1"/>
      <x:c r="E1" s="1"/>
      <x:c r="F1" s="1"/>
    </x:row>
    <x:row r="2" ht="30" customHeight="1">
      <x:c r="A2" s="3" t="str">
        <x:v>R3 requires test-backed configuration closure. No platform rendering or acquisition specification is authorized at R2+.</x:v>
      </x:c>
      <x:c r="B2" s="3"/>
      <x:c r="C2" s="3"/>
      <x:c r="D2" s="3"/>
      <x:c r="E2" s="3"/>
      <x:c r="F2" s="3"/>
    </x:row>
    <x:row r="4" ht="32" customHeight="1">
      <x:c r="A4" s="15" t="str">
        <x:v>Gate</x:v>
      </x:c>
      <x:c r="B4" s="16" t="str">
        <x:v>Closure criterion</x:v>
      </x:c>
      <x:c r="C4" s="16" t="str">
        <x:v>Current evidence</x:v>
      </x:c>
      <x:c r="D4" s="16" t="str">
        <x:v>Status</x:v>
      </x:c>
      <x:c r="E4" s="16" t="str">
        <x:v>Why it matters</x:v>
      </x:c>
      <x:c r="F4" s="17" t="str">
        <x:v>Next proof</x:v>
      </x:c>
    </x:row>
    <x:row r="5">
      <x:c r="A5" s="23" t="str">
        <x:v>Load registry</x:v>
      </x:c>
      <x:c r="B5" s="23" t="str">
        <x:v>100 MW registry, tiers and interfaces reconciled</x:v>
      </x:c>
      <x:c r="C5" s="23" t="str">
        <x:v>Illustrative allocation only</x:v>
      </x:c>
      <x:c r="D5" s="23" t="str">
        <x:v>Model closed</x:v>
      </x:c>
      <x:c r="E5" s="23" t="str">
        <x:v>Determines every downstream subsystem</x:v>
      </x:c>
      <x:c r="F5" s="23" t="str">
        <x:v>Three regional demand datasets</x:v>
      </x:c>
    </x:row>
    <x:row r="6">
      <x:c r="A6" s="23" t="str">
        <x:v>Network topology</x:v>
      </x:c>
      <x:c r="B6" s="23" t="str">
        <x:v>Reuse/bypass/rebuild selection rules tested</x:v>
      </x:c>
      <x:c r="C6" s="23" t="str">
        <x:v>Three modeled states</x:v>
      </x:c>
      <x:c r="D6" s="23" t="str">
        <x:v>Model closed</x:v>
      </x:c>
      <x:c r="E6" s="23" t="str">
        <x:v>Sets mass, speed and independence</x:v>
      </x:c>
      <x:c r="F6" s="23" t="str">
        <x:v>Tabletop plus site surveys</x:v>
      </x:c>
    </x:row>
    <x:row r="7">
      <x:c r="A7" s="23" t="str">
        <x:v>Power flow</x:v>
      </x:c>
      <x:c r="B7" s="23" t="str">
        <x:v>Voltage, loss and loading close across cases</x:v>
      </x:c>
      <x:c r="C7" s="23" t="str">
        <x:v>Screening model only</x:v>
      </x:c>
      <x:c r="D7" s="23" t="str">
        <x:v>Bounded</x:v>
      </x:c>
      <x:c r="E7" s="23" t="str">
        <x:v>Prevents unusable feeders</x:v>
      </x:c>
      <x:c r="F7" s="23" t="str">
        <x:v>Detailed load-flow studies</x:v>
      </x:c>
    </x:row>
    <x:row r="8">
      <x:c r="A8" s="23" t="str">
        <x:v>Protection and grounding</x:v>
      </x:c>
      <x:c r="B8" s="23" t="str">
        <x:v>Fault duty, relay and grounding design demonstrated</x:v>
      </x:c>
      <x:c r="C8" s="23" t="str">
        <x:v>Architecture statement</x:v>
      </x:c>
      <x:c r="D8" s="23" t="str">
        <x:v>Open</x:v>
      </x:c>
      <x:c r="E8" s="23" t="str">
        <x:v>Life safety and cascade prevention</x:v>
      </x:c>
      <x:c r="F8" s="23" t="str">
        <x:v>Hardware-in-loop test</x:v>
      </x:c>
    </x:row>
    <x:row r="9">
      <x:c r="A9" s="23" t="str">
        <x:v>Generation N-1</x:v>
      </x:c>
      <x:c r="B9" s="23" t="str">
        <x:v>Largest source loss without P0 shed</x:v>
      </x:c>
      <x:c r="C9" s="23" t="str">
        <x:v>Capacity arithmetic</x:v>
      </x:c>
      <x:c r="D9" s="23" t="str">
        <x:v>Model closed</x:v>
      </x:c>
      <x:c r="E9" s="23" t="str">
        <x:v>Core continuity requirement</x:v>
      </x:c>
      <x:c r="F9" s="23" t="str">
        <x:v>Integrated source-trip test</x:v>
      </x:c>
    </x:row>
    <x:row r="10">
      <x:c r="A10" s="23" t="str">
        <x:v>Storage dynamics</x:v>
      </x:c>
      <x:c r="B10" s="23" t="str">
        <x:v>Ride-through and black start demonstrated</x:v>
      </x:c>
      <x:c r="C10" s="23" t="str">
        <x:v>Energy/power sizing</x:v>
      </x:c>
      <x:c r="D10" s="23" t="str">
        <x:v>Bounded</x:v>
      </x:c>
      <x:c r="E10" s="23" t="str">
        <x:v>Static energy does not prove stability</x:v>
      </x:c>
      <x:c r="F10" s="23" t="str">
        <x:v>Dynamic model and full-scale test</x:v>
      </x:c>
    </x:row>
    <x:row r="11">
      <x:c r="A11" s="23" t="str">
        <x:v>Fuel sustainment</x:v>
      </x:c>
      <x:c r="B11" s="23" t="str">
        <x:v>30/90-day source logistics and quality close</x:v>
      </x:c>
      <x:c r="C11" s="23" t="str">
        <x:v>Flow calculation</x:v>
      </x:c>
      <x:c r="D11" s="23" t="str">
        <x:v>Bounded</x:v>
      </x:c>
      <x:c r="E11" s="23" t="str">
        <x:v>Fuel can dominate the force</x:v>
      </x:c>
      <x:c r="F11" s="23" t="str">
        <x:v>Campaign logistics demonstration</x:v>
      </x:c>
    </x:row>
    <x:row r="12">
      <x:c r="A12" s="23" t="str">
        <x:v>Construction productivity</x:v>
      </x:c>
      <x:c r="B12" s="23" t="str">
        <x:v>Route build rates demonstrated in debris/weather</x:v>
      </x:c>
      <x:c r="C12" s="23" t="str">
        <x:v>Assumptions only</x:v>
      </x:c>
      <x:c r="D12" s="23" t="str">
        <x:v>Open</x:v>
      </x:c>
      <x:c r="E12" s="23" t="str">
        <x:v>Determines time to service</x:v>
      </x:c>
      <x:c r="F12" s="23" t="str">
        <x:v>Multi-front field trial</x:v>
      </x:c>
    </x:row>
    <x:row r="13">
      <x:c r="A13" s="23" t="str">
        <x:v>Strategic mobility</x:v>
      </x:c>
      <x:c r="B13" s="23" t="str">
        <x:v>Transport modes and reception close by item</x:v>
      </x:c>
      <x:c r="C13" s="23" t="str">
        <x:v>Preliminary dry mass</x:v>
      </x:c>
      <x:c r="D13" s="23" t="str">
        <x:v>Open</x:v>
      </x:c>
      <x:c r="E13" s="23" t="str">
        <x:v>Tonnes are not a movement plan</x:v>
      </x:c>
      <x:c r="F13" s="23" t="str">
        <x:v>Itemized lift and port model</x:v>
      </x:c>
    </x:row>
    <x:row r="14">
      <x:c r="A14" s="23" t="str">
        <x:v>Connection interfaces</x:v>
      </x:c>
      <x:c r="B14" s="23" t="str">
        <x:v>Safe interfaces cover priority facilities</x:v>
      </x:c>
      <x:c r="C14" s="23" t="str">
        <x:v>Node count only</x:v>
      </x:c>
      <x:c r="D14" s="23" t="str">
        <x:v>Open</x:v>
      </x:c>
      <x:c r="E14" s="23" t="str">
        <x:v>Last-mile work controls outcomes</x:v>
      </x:c>
      <x:c r="F14" s="23" t="str">
        <x:v>Facility interface prototypes</x:v>
      </x:c>
    </x:row>
    <x:row r="15">
      <x:c r="A15" s="23" t="str">
        <x:v>Thermal protection</x:v>
      </x:c>
      <x:c r="B15" s="23" t="str">
        <x:v>Person-hour performance demonstrated</x:v>
      </x:c>
      <x:c r="C15" s="23" t="str">
        <x:v>First-order conversion</x:v>
      </x:c>
      <x:c r="D15" s="23" t="str">
        <x:v>Bounded</x:v>
      </x:c>
      <x:c r="E15" s="23" t="str">
        <x:v>MW alone does not protect people</x:v>
      </x:c>
      <x:c r="F15" s="23" t="str">
        <x:v>Shelter system field test</x:v>
      </x:c>
    </x:row>
    <x:row r="16">
      <x:c r="A16" s="23" t="str">
        <x:v>Workforce endurance</x:v>
      </x:c>
      <x:c r="B16" s="23" t="str">
        <x:v>Shift, qualification and relief model validated</x:v>
      </x:c>
      <x:c r="C16" s="23" t="str">
        <x:v>Billet hypothesis</x:v>
      </x:c>
      <x:c r="D16" s="23" t="str">
        <x:v>Open</x:v>
      </x:c>
      <x:c r="E16" s="23" t="str">
        <x:v>People are a limiting subsystem</x:v>
      </x:c>
      <x:c r="F16" s="23" t="str">
        <x:v>30/90-day duty trial</x:v>
      </x:c>
    </x:row>
    <x:row r="17">
      <x:c r="A17" s="23" t="str">
        <x:v>Maintainability</x:v>
      </x:c>
      <x:c r="B17" s="23" t="str">
        <x:v>Spares, tools and repair times meet availability</x:v>
      </x:c>
      <x:c r="C17" s="23" t="str">
        <x:v>Workshop mass allowance</x:v>
      </x:c>
      <x:c r="D17" s="23" t="str">
        <x:v>Open</x:v>
      </x:c>
      <x:c r="E17" s="23" t="str">
        <x:v>A fleet must remain serviceable</x:v>
      </x:c>
      <x:c r="F17" s="23" t="str">
        <x:v>Reliability/maintainability program</x:v>
      </x:c>
    </x:row>
    <x:row r="18">
      <x:c r="A18" s="23" t="str">
        <x:v>Cyber/manual mode</x:v>
      </x:c>
      <x:c r="B18" s="23" t="str">
        <x:v>Disconnected operation retains safe service</x:v>
      </x:c>
      <x:c r="C18" s="23" t="str">
        <x:v>Requirement only</x:v>
      </x:c>
      <x:c r="D18" s="23" t="str">
        <x:v>Open</x:v>
      </x:c>
      <x:c r="E18" s="23" t="str">
        <x:v>Control failure must not become grid failure</x:v>
      </x:c>
      <x:c r="F18" s="23" t="str">
        <x:v>Red-team and manual-ops test</x:v>
      </x:c>
    </x:row>
    <x:row r="19">
      <x:c r="A19" s="23" t="str">
        <x:v>Cost and industrial base</x:v>
      </x:c>
      <x:c r="B19" s="23" t="str">
        <x:v>Configuration-level recurring cost and capacity modeled</x:v>
      </x:c>
      <x:c r="C19" s="23" t="str">
        <x:v>Not yet configured</x:v>
      </x:c>
      <x:c r="D19" s="23" t="str">
        <x:v>Open</x:v>
      </x:c>
      <x:c r="E19" s="23" t="str">
        <x:v>Program scale needs build-rate evidence</x:v>
      </x:c>
      <x:c r="F19" s="23" t="str">
        <x:v>Vendor studies and cost model</x:v>
      </x:c>
    </x:row>
    <x:row r="20">
      <x:c r="A20" s="34"/>
      <x:c r="B20" s="34"/>
      <x:c r="C20" s="34"/>
      <x:c r="D20" s="34"/>
      <x:c r="E20" s="34"/>
      <x:c r="F20" s="34"/>
    </x:row>
    <x:row r="21">
      <x:c r="A21" s="34"/>
      <x:c r="B21" s="34"/>
      <x:c r="C21" s="34"/>
      <x:c r="D21" s="34"/>
      <x:c r="E21" s="34"/>
      <x:c r="F21" s="34"/>
    </x:row>
    <x:row r="22">
      <x:c r="A22" s="35" t="str">
        <x:v>Maturity decision</x:v>
      </x:c>
      <x:c r="B22" s="36"/>
      <x:c r="C22" s="37"/>
      <x:c r="D22" s="34"/>
      <x:c r="E22" s="34"/>
      <x:c r="F22" s="34"/>
    </x:row>
    <x:row r="23">
      <x:c r="A23" s="34"/>
      <x:c r="B23" s="34"/>
      <x:c r="C23" s="34"/>
      <x:c r="D23" s="34"/>
      <x:c r="E23" s="34"/>
      <x:c r="F23" s="34"/>
    </x:row>
    <x:row r="24">
      <x:c r="A24" s="23" t="str">
        <x:v>Verified gates</x:v>
      </x:c>
      <x:c r="B24" s="23" t="n">
        <x:f>COUNTIF(D5:D19,"Verified")</x:f>
        <x:v>0</x:v>
      </x:c>
      <x:c r="C24" s="34"/>
      <x:c r="D24" s="34"/>
      <x:c r="E24" s="34"/>
      <x:c r="F24" s="34"/>
    </x:row>
    <x:row r="25">
      <x:c r="A25" s="23" t="str">
        <x:v>Total gates</x:v>
      </x:c>
      <x:c r="B25" s="23" t="n">
        <x:f>ROWS(D5:D19)</x:f>
        <x:v>15</x:v>
      </x:c>
      <x:c r="C25" s="34"/>
      <x:c r="D25" s="34"/>
      <x:c r="E25" s="34"/>
      <x:c r="F25" s="34"/>
    </x:row>
    <x:row r="26">
      <x:c r="A26" s="23" t="str">
        <x:v>Current maturity</x:v>
      </x:c>
      <x:c r="B26" s="23" t="str">
        <x:f>IF(B24=B25,"R3","R2+")</x:f>
        <x:v>R2+</x:v>
      </x:c>
      <x:c r="C26" s="34"/>
      <x:c r="D26" s="34"/>
      <x:c r="E26" s="34"/>
      <x:c r="F26" s="34"/>
    </x:row>
    <x:row r="27">
      <x:c r="A27" s="23" t="str">
        <x:v>Rendering authorization</x:v>
      </x:c>
      <x:c r="B27" s="23" t="str">
        <x:f>IF(B26="R3","Authorized","Prohibited")</x:f>
        <x:v>Prohibited</x:v>
      </x:c>
      <x:c r="C27" s="34"/>
      <x:c r="D27" s="34"/>
      <x:c r="E27" s="34"/>
      <x:c r="F27" s="34"/>
    </x:row>
    <x:row r="28">
      <x:c r="A28" s="23" t="str">
        <x:v>Decision</x:v>
      </x:c>
      <x:c r="B28" s="23" t="str">
        <x:f>IF(B26="R3","Freeze reference configuration","Continue mission engineering")</x:f>
        <x:v>Continue mission engineering</x:v>
      </x:c>
      <x:c r="C28" s="34"/>
      <x:c r="D28" s="34"/>
      <x:c r="E28" s="34"/>
      <x:c r="F28" s="34"/>
    </x:row>
  </x:sheetData>
  <x:conditionalFormatting sqref="D5:D19">
    <x:cfRule type="containsText" dxfId="4" priority="1" operator="containsText" text="Open"/>
    <x:cfRule type="containsText" dxfId="5" priority="2" operator="containsText" text="Bounded"/>
    <x:cfRule type="containsText" dxfId="6" priority="3" operator="containsText" text="Model closed"/>
    <x:cfRule type="containsText" dxfId="7" priority="4" operator="containsText" text="Verified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9" hidden="0" customWidth="1"/>
    <x:col min="3" max="3" width="52" hidden="0" customWidth="1"/>
    <x:col min="4" max="4" width="48" hidden="0" customWidth="1"/>
    <x:col min="5" max="5" width="78" hidden="0" customWidth="1"/>
    <x:col min="6" max="6" width="16" hidden="0" customWidth="1"/>
  </x:cols>
  <x:sheetData>
    <x:row r="1" ht="24" customHeight="1">
      <x:c r="A1" s="2" t="str">
        <x:v>Source register</x:v>
      </x:c>
      <x:c r="B1" s="1"/>
      <x:c r="C1" s="1"/>
      <x:c r="D1" s="1"/>
      <x:c r="E1" s="1"/>
      <x:c r="F1" s="1"/>
    </x:row>
    <x:row r="2" ht="30" customHeight="1">
      <x:c r="A2" s="3" t="str">
        <x:v>Official and primary technical references supporting the current screening model. Design assumptions remain explicitly labeled elsewhere.</x:v>
      </x:c>
      <x:c r="B2" s="3"/>
      <x:c r="C2" s="3"/>
      <x:c r="D2" s="3"/>
      <x:c r="E2" s="3"/>
      <x:c r="F2" s="3"/>
    </x:row>
    <x:row r="4" ht="32" customHeight="1">
      <x:c r="A4" s="15" t="str">
        <x:v>ID</x:v>
      </x:c>
      <x:c r="B4" s="16" t="str">
        <x:v>Institution</x:v>
      </x:c>
      <x:c r="C4" s="16" t="str">
        <x:v>Source</x:v>
      </x:c>
      <x:c r="D4" s="16" t="str">
        <x:v>Model use</x:v>
      </x:c>
      <x:c r="E4" s="16" t="str">
        <x:v>URL</x:v>
      </x:c>
      <x:c r="F4" s="17" t="str">
        <x:v>Accessed</x:v>
      </x:c>
    </x:row>
    <x:row r="5">
      <x:c r="A5" s="23" t="str">
        <x:v>PWR-01</x:v>
      </x:c>
      <x:c r="B5" s="23" t="str">
        <x:v>FEMA</x:v>
      </x:c>
      <x:c r="C5" s="23" t="str">
        <x:v>Emergency Power Systems for Critical Facilities: A Best Practices Approach to Improving Reliability</x:v>
      </x:c>
      <x:c r="D5" s="23" t="str">
        <x:v>Critical-facility continuity and emergency-power framing</x:v>
      </x:c>
      <x:c r="E5" s="23" t="str">
        <x:v>https://www.fema.gov/sites/default/files/2020-07/fema_p-1019_final_02-06-2015.pdf</x:v>
      </x:c>
      <x:c r="F5" s="23" t="str">
        <x:v>2026-09-04</x:v>
      </x:c>
    </x:row>
    <x:row r="6">
      <x:c r="A6" s="23" t="str">
        <x:v>PWR-02</x:v>
      </x:c>
      <x:c r="B6" s="23" t="str">
        <x:v>Sandia National Laboratories</x:v>
      </x:c>
      <x:c r="C6" s="23" t="str">
        <x:v>Microgrid Conceptual Design Guidebook</x:v>
      </x:c>
      <x:c r="D6" s="23" t="str">
        <x:v>Microgrid design process, resilience and control framing</x:v>
      </x:c>
      <x:c r="E6" s="23" t="str">
        <x:v>https://www.sandia.gov/research/publications/details/microgrid-conceptual-design-guidebook-2022-2022-04-19/</x:v>
      </x:c>
      <x:c r="F6" s="23" t="str">
        <x:v>2026-09-04</x:v>
      </x:c>
    </x:row>
    <x:row r="7">
      <x:c r="A7" s="23" t="str">
        <x:v>PWR-03</x:v>
      </x:c>
      <x:c r="B7" s="23" t="str">
        <x:v>NREL</x:v>
      </x:c>
      <x:c r="C7" s="23" t="str">
        <x:v>ComStock Analysis Tool</x:v>
      </x:c>
      <x:c r="D7" s="23" t="str">
        <x:v>Load-shape and building-demand research path</x:v>
      </x:c>
      <x:c r="E7" s="23" t="str">
        <x:v>https://www.nrel.gov/buildings/comstock.html</x:v>
      </x:c>
      <x:c r="F7" s="23" t="str">
        <x:v>2026-09-04</x:v>
      </x:c>
    </x:row>
    <x:row r="8">
      <x:c r="A8" s="23" t="str">
        <x:v>PWR-04</x:v>
      </x:c>
      <x:c r="B8" s="23" t="str">
        <x:v>DOE</x:v>
      </x:c>
      <x:c r="C8" s="23" t="str">
        <x:v>UNIFI Consortium</x:v>
      </x:c>
      <x:c r="D8" s="23" t="str">
        <x:v>Grid-forming inverter research and interoperability</x:v>
      </x:c>
      <x:c r="E8" s="23" t="str">
        <x:v>https://www.energy.gov/cmei/systems/unifi-consortium</x:v>
      </x:c>
      <x:c r="F8" s="23" t="str">
        <x:v>2026-09-04</x:v>
      </x:c>
    </x:row>
    <x:row r="9">
      <x:c r="A9" s="23" t="str">
        <x:v>PWR-05</x:v>
      </x:c>
      <x:c r="B9" s="23" t="str">
        <x:v>DOE</x:v>
      </x:c>
      <x:c r="C9" s="23" t="str">
        <x:v>Supply Chain and Market Analysis: Distribution Transformers</x:v>
      </x:c>
      <x:c r="D9" s="23" t="str">
        <x:v>Transformer constraint and industrial-base context</x:v>
      </x:c>
      <x:c r="E9" s="23" t="str">
        <x:v>https://www.energy.gov/oe/supply-chain-and-market-analysis</x:v>
      </x:c>
      <x:c r="F9" s="23" t="str">
        <x:v>2026-09-04</x:v>
      </x:c>
    </x:row>
    <x:row r="10">
      <x:c r="A10" s="23" t="str">
        <x:v>PWR-06</x:v>
      </x:c>
      <x:c r="B10" s="23" t="str">
        <x:v>NERC</x:v>
      </x:c>
      <x:c r="C10" s="23" t="str">
        <x:v>EOP-005-3: System Restoration from Blackstart Resources</x:v>
      </x:c>
      <x:c r="D10" s="23" t="str">
        <x:v>Restoration planning and black-start requirements</x:v>
      </x:c>
      <x:c r="E10" s="23" t="str">
        <x:v>https://www.nerc.com/globalassets/standards/reliability-standards/eop/eop-005-3.pdf</x:v>
      </x:c>
      <x:c r="F10" s="23" t="str">
        <x:v>2026-09-04</x:v>
      </x:c>
    </x:row>
    <x:row r="11">
      <x:c r="A11" s="23" t="str">
        <x:v>PWR-07</x:v>
      </x:c>
      <x:c r="B11" s="23" t="str">
        <x:v>FERC and NERC</x:v>
      </x:c>
      <x:c r="C11" s="23" t="str">
        <x:v>Joint Blackstart Availability Study in Texas</x:v>
      </x:c>
      <x:c r="D11" s="23" t="str">
        <x:v>Recent restoration findings</x:v>
      </x:c>
      <x:c r="E11" s="23" t="str">
        <x:v>https://www.ferc.gov/sites/default/files/2023-12/Blackstart%20Report.pdf</x:v>
      </x:c>
      <x:c r="F11" s="23" t="str">
        <x:v>2026-09-04</x:v>
      </x:c>
    </x:row>
    <x:row r="12">
      <x:c r="A12" s="23" t="str">
        <x:v>PWR-08</x:v>
      </x:c>
      <x:c r="B12" s="23" t="str">
        <x:v>U.S. EIA</x:v>
      </x:c>
      <x:c r="C12" s="23" t="str">
        <x:v>Approximate heat content of petroleum consumption and conversion factors</x:v>
      </x:c>
      <x:c r="D12" s="23" t="str">
        <x:v>Diesel heat-content conversion</x:v>
      </x:c>
      <x:c r="E12" s="23" t="str">
        <x:v>https://www.eia.gov/energyexplained/units-and-calculators/energy-conversion-calculators.php</x:v>
      </x:c>
      <x:c r="F12" s="23" t="str">
        <x:v>2026-09-04</x:v>
      </x:c>
    </x:row>
    <x:row r="13">
      <x:c r="A13" s="23" t="str">
        <x:v>PWR-09</x:v>
      </x:c>
      <x:c r="B13" s="23" t="str">
        <x:v>U.S. EIA</x:v>
      </x:c>
      <x:c r="C13" s="23" t="str">
        <x:v>What is the efficiency of different types of power plants?</x:v>
      </x:c>
      <x:c r="D13" s="23" t="str">
        <x:v>Reference heat-rate arithmetic and interpretation</x:v>
      </x:c>
      <x:c r="E13" s="23" t="str">
        <x:v>https://www.eia.gov/tools/faqs/faq.php?id=107&amp;t=7</x:v>
      </x:c>
      <x:c r="F13" s="23" t="str">
        <x:v>2026-09-04</x:v>
      </x:c>
    </x:row>
  </x:sheetData>
  <x:pageMargins left="0.7" right="0.7" top="0.75" bottom="0.75" header="0.3" footer="0.3"/>
</x:worksheet>
</file>